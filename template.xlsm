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E1EBECE8-1802-4170-871C-4B604176247E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9" state="hidden" r:id="rId5"/>
    <sheet name="社食等の札" sheetId="5" state="hidden" r:id="rId6"/>
    <sheet name="盛付札（関数）" sheetId="6" state="hidden" r:id="rId7"/>
    <sheet name="札_まとめ（印刷用）" sheetId="7" r:id="rId8"/>
    <sheet name="商品マスタ一覧" sheetId="8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F160" i="6" l="1"/>
  <c r="FF159" i="6"/>
  <c r="FF158" i="6"/>
  <c r="FF157" i="6"/>
  <c r="FF156" i="6"/>
  <c r="FF155" i="6"/>
  <c r="FF154" i="6"/>
  <c r="FF153" i="6"/>
  <c r="FE160" i="6"/>
  <c r="FE159" i="6"/>
  <c r="FE158" i="6"/>
  <c r="FE157" i="6"/>
  <c r="FE156" i="6"/>
  <c r="FE155" i="6"/>
  <c r="FE154" i="6"/>
  <c r="FE153" i="6"/>
  <c r="FD160" i="6"/>
  <c r="FD159" i="6"/>
  <c r="FD158" i="6"/>
  <c r="FD157" i="6"/>
  <c r="FD156" i="6"/>
  <c r="FD155" i="6"/>
  <c r="FD154" i="6"/>
  <c r="FD153" i="6"/>
  <c r="FC160" i="6"/>
  <c r="FC159" i="6"/>
  <c r="FC158" i="6"/>
  <c r="FC157" i="6"/>
  <c r="FC156" i="6"/>
  <c r="FC155" i="6"/>
  <c r="FC154" i="6"/>
  <c r="FC153" i="6"/>
  <c r="EY160" i="6"/>
  <c r="EY159" i="6"/>
  <c r="EY158" i="6"/>
  <c r="EY157" i="6"/>
  <c r="EY156" i="6"/>
  <c r="EY155" i="6"/>
  <c r="EY154" i="6"/>
  <c r="EY153" i="6"/>
  <c r="EZ160" i="6"/>
  <c r="EZ159" i="6"/>
  <c r="EZ158" i="6"/>
  <c r="EZ157" i="6"/>
  <c r="EZ156" i="6"/>
  <c r="EZ155" i="6"/>
  <c r="EZ154" i="6"/>
  <c r="EZ153" i="6"/>
  <c r="FA154" i="6"/>
  <c r="FA155" i="6"/>
  <c r="FA156" i="6"/>
  <c r="FA157" i="6"/>
  <c r="FA158" i="6"/>
  <c r="FA159" i="6"/>
  <c r="FA160" i="6"/>
  <c r="FA153" i="6"/>
  <c r="A2" i="2" l="1"/>
  <c r="EX152" i="6"/>
  <c r="EX151" i="6"/>
  <c r="EX150" i="6"/>
  <c r="EX149" i="6"/>
  <c r="EX148" i="6"/>
  <c r="EX147" i="6"/>
  <c r="EX146" i="6"/>
  <c r="EX145" i="6"/>
  <c r="EX144" i="6"/>
  <c r="EX143" i="6"/>
  <c r="EX142" i="6"/>
  <c r="EX141" i="6"/>
  <c r="EX140" i="6"/>
  <c r="EX139" i="6"/>
  <c r="EX138" i="6"/>
  <c r="EX137" i="6"/>
  <c r="EX136" i="6"/>
  <c r="EX135" i="6"/>
  <c r="EX134" i="6"/>
  <c r="EX133" i="6"/>
  <c r="EX132" i="6"/>
  <c r="EX131" i="6"/>
  <c r="EX130" i="6"/>
  <c r="EX129" i="6"/>
  <c r="EX128" i="6"/>
  <c r="EX127" i="6"/>
  <c r="EX126" i="6"/>
  <c r="EX125" i="6"/>
  <c r="FG124" i="6"/>
  <c r="FD124" i="6"/>
  <c r="FC124" i="6"/>
  <c r="EV124" i="6"/>
  <c r="FG123" i="6"/>
  <c r="FA123" i="6"/>
  <c r="EV123" i="6"/>
  <c r="FG122" i="6"/>
  <c r="EV122" i="6"/>
  <c r="FG121" i="6"/>
  <c r="EV121" i="6"/>
  <c r="EU110" i="6"/>
  <c r="EU114" i="6" s="1"/>
  <c r="EU118" i="6" s="1"/>
  <c r="EU107" i="6"/>
  <c r="EU111" i="6" s="1"/>
  <c r="EU115" i="6" s="1"/>
  <c r="EU119" i="6" s="1"/>
  <c r="EU106" i="6"/>
  <c r="EU105" i="6"/>
  <c r="EU109" i="6" s="1"/>
  <c r="EU113" i="6" s="1"/>
  <c r="EU117" i="6" s="1"/>
  <c r="EU104" i="6"/>
  <c r="EU108" i="6" s="1"/>
  <c r="EU112" i="6" s="1"/>
  <c r="EU116" i="6" s="1"/>
  <c r="EU120" i="6" s="1"/>
  <c r="EU102" i="6"/>
  <c r="EU83" i="6"/>
  <c r="EU87" i="6" s="1"/>
  <c r="EU91" i="6" s="1"/>
  <c r="EU95" i="6" s="1"/>
  <c r="EU81" i="6"/>
  <c r="EU85" i="6" s="1"/>
  <c r="EU89" i="6" s="1"/>
  <c r="EU93" i="6" s="1"/>
  <c r="EU80" i="6"/>
  <c r="EU84" i="6" s="1"/>
  <c r="EU88" i="6" s="1"/>
  <c r="EU92" i="6" s="1"/>
  <c r="EU96" i="6" s="1"/>
  <c r="EU78" i="6"/>
  <c r="EU82" i="6" s="1"/>
  <c r="EU86" i="6" s="1"/>
  <c r="EU90" i="6" s="1"/>
  <c r="EU94" i="6" s="1"/>
  <c r="EU59" i="6"/>
  <c r="EU63" i="6" s="1"/>
  <c r="EU67" i="6" s="1"/>
  <c r="EU71" i="6" s="1"/>
  <c r="EU57" i="6"/>
  <c r="EU61" i="6" s="1"/>
  <c r="EU65" i="6" s="1"/>
  <c r="EU69" i="6" s="1"/>
  <c r="EU56" i="6"/>
  <c r="EU60" i="6" s="1"/>
  <c r="EU64" i="6" s="1"/>
  <c r="EU68" i="6" s="1"/>
  <c r="EU72" i="6" s="1"/>
  <c r="EU54" i="6"/>
  <c r="EU58" i="6" s="1"/>
  <c r="EU62" i="6" s="1"/>
  <c r="EU66" i="6" s="1"/>
  <c r="EU70" i="6" s="1"/>
  <c r="EU35" i="6"/>
  <c r="EU39" i="6" s="1"/>
  <c r="EU43" i="6" s="1"/>
  <c r="EU47" i="6" s="1"/>
  <c r="EU33" i="6"/>
  <c r="EU37" i="6" s="1"/>
  <c r="EU41" i="6" s="1"/>
  <c r="EU45" i="6" s="1"/>
  <c r="EU32" i="6"/>
  <c r="EU36" i="6" s="1"/>
  <c r="EU40" i="6" s="1"/>
  <c r="EU44" i="6" s="1"/>
  <c r="EU48" i="6" s="1"/>
  <c r="EU30" i="6"/>
  <c r="EU34" i="6" s="1"/>
  <c r="EU38" i="6" s="1"/>
  <c r="EU42" i="6" s="1"/>
  <c r="EU46" i="6" s="1"/>
  <c r="EU11" i="6"/>
  <c r="EU15" i="6" s="1"/>
  <c r="EU19" i="6" s="1"/>
  <c r="EU23" i="6" s="1"/>
  <c r="EU9" i="6"/>
  <c r="EU13" i="6" s="1"/>
  <c r="EU17" i="6" s="1"/>
  <c r="EU21" i="6" s="1"/>
  <c r="EU8" i="6"/>
  <c r="EU12" i="6" s="1"/>
  <c r="EU16" i="6" s="1"/>
  <c r="EU20" i="6" s="1"/>
  <c r="EU24" i="6" s="1"/>
  <c r="EU6" i="6"/>
  <c r="EU10" i="6" s="1"/>
  <c r="EU14" i="6" s="1"/>
  <c r="EU18" i="6" s="1"/>
  <c r="EU22" i="6" s="1"/>
  <c r="B6" i="5"/>
  <c r="EX124" i="6" s="1"/>
  <c r="H8" i="4"/>
  <c r="G8" i="4"/>
  <c r="E8" i="4"/>
  <c r="A8" i="4"/>
  <c r="H7" i="4"/>
  <c r="G7" i="4"/>
  <c r="E7" i="4"/>
  <c r="A7" i="4"/>
  <c r="H6" i="4"/>
  <c r="G6" i="4"/>
  <c r="E6" i="4"/>
  <c r="A6" i="4"/>
  <c r="H5" i="4"/>
  <c r="E5" i="4"/>
  <c r="A5" i="4"/>
  <c r="H4" i="4"/>
  <c r="G4" i="4"/>
  <c r="E4" i="4"/>
  <c r="A4" i="4"/>
  <c r="H3" i="4"/>
  <c r="G3" i="4"/>
  <c r="E3" i="4"/>
  <c r="A3" i="4"/>
  <c r="H2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K150" i="3"/>
  <c r="D4" i="4" s="1"/>
  <c r="I150" i="3"/>
  <c r="D3" i="4" s="1"/>
  <c r="G150" i="3"/>
  <c r="D2" i="4" s="1"/>
  <c r="E150" i="3"/>
  <c r="C150" i="3"/>
  <c r="AM2" i="3"/>
  <c r="A2" i="3"/>
  <c r="W147" i="2"/>
  <c r="AN147" i="3" s="1"/>
  <c r="V147" i="2"/>
  <c r="AM147" i="3" s="1"/>
  <c r="T147" i="2"/>
  <c r="AL147" i="3" s="1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A146" i="2" a="1"/>
  <c r="A146" i="2" s="1"/>
  <c r="A146" i="3" s="1"/>
  <c r="T145" i="2" a="1"/>
  <c r="T145" i="2" s="1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W145" i="2" s="1"/>
  <c r="T144" i="2" a="1"/>
  <c r="T144" i="2" s="1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T143" i="2" a="1"/>
  <c r="T143" i="2" s="1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W143" i="2" s="1"/>
  <c r="T142" i="2" a="1"/>
  <c r="T142" i="2" s="1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T141" i="2" a="1"/>
  <c r="T141" i="2" s="1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W141" i="2" s="1"/>
  <c r="T140" i="2" a="1"/>
  <c r="T140" i="2" s="1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T139" i="2" a="1"/>
  <c r="T139" i="2" s="1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W139" i="2" s="1"/>
  <c r="T138" i="2" a="1"/>
  <c r="T138" i="2" s="1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T137" i="2" a="1"/>
  <c r="T137" i="2" s="1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W137" i="2" s="1"/>
  <c r="T136" i="2" a="1"/>
  <c r="T136" i="2" s="1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T135" i="2" a="1"/>
  <c r="T135" i="2" s="1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W135" i="2" s="1"/>
  <c r="T134" i="2" a="1"/>
  <c r="T134" i="2" s="1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T133" i="2" a="1"/>
  <c r="T133" i="2" s="1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W133" i="2" s="1"/>
  <c r="T132" i="2" a="1"/>
  <c r="T132" i="2" s="1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T131" i="2" a="1"/>
  <c r="T131" i="2" s="1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W131" i="2" s="1"/>
  <c r="T130" i="2" a="1"/>
  <c r="T130" i="2" s="1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T129" i="2" a="1"/>
  <c r="T129" i="2" s="1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W129" i="2" s="1"/>
  <c r="T128" i="2" a="1"/>
  <c r="T128" i="2" s="1"/>
  <c r="K128" i="2"/>
  <c r="J128" i="2"/>
  <c r="I128" i="2"/>
  <c r="H128" i="2"/>
  <c r="G128" i="2"/>
  <c r="F128" i="2"/>
  <c r="E128" i="2"/>
  <c r="D128" i="2"/>
  <c r="C128" i="2"/>
  <c r="B128" i="2"/>
  <c r="T127" i="2" a="1"/>
  <c r="T127" i="2" s="1"/>
  <c r="K127" i="2"/>
  <c r="J127" i="2"/>
  <c r="I127" i="2"/>
  <c r="H127" i="2"/>
  <c r="G127" i="2"/>
  <c r="F127" i="2"/>
  <c r="E127" i="2"/>
  <c r="D127" i="2"/>
  <c r="C127" i="2"/>
  <c r="B127" i="2"/>
  <c r="A127" i="2"/>
  <c r="W127" i="2" s="1"/>
  <c r="T126" i="2" a="1"/>
  <c r="T126" i="2" s="1"/>
  <c r="K126" i="2"/>
  <c r="J126" i="2"/>
  <c r="I126" i="2"/>
  <c r="H126" i="2"/>
  <c r="G126" i="2"/>
  <c r="F126" i="2"/>
  <c r="E126" i="2"/>
  <c r="D126" i="2"/>
  <c r="C126" i="2"/>
  <c r="B126" i="2"/>
  <c r="T125" i="2" a="1"/>
  <c r="T125" i="2" s="1"/>
  <c r="K125" i="2"/>
  <c r="J125" i="2"/>
  <c r="I125" i="2"/>
  <c r="H125" i="2"/>
  <c r="G125" i="2"/>
  <c r="F125" i="2"/>
  <c r="E125" i="2"/>
  <c r="D125" i="2"/>
  <c r="C125" i="2"/>
  <c r="B125" i="2"/>
  <c r="A125" i="2"/>
  <c r="W125" i="2" s="1"/>
  <c r="T124" i="2" a="1"/>
  <c r="T124" i="2" s="1"/>
  <c r="K124" i="2"/>
  <c r="J124" i="2"/>
  <c r="I124" i="2"/>
  <c r="H124" i="2"/>
  <c r="G124" i="2"/>
  <c r="F124" i="2"/>
  <c r="E124" i="2"/>
  <c r="D124" i="2"/>
  <c r="C124" i="2"/>
  <c r="B124" i="2"/>
  <c r="A124" i="2"/>
  <c r="W124" i="2" s="1"/>
  <c r="T123" i="2" a="1"/>
  <c r="T123" i="2" s="1"/>
  <c r="K123" i="2"/>
  <c r="J123" i="2"/>
  <c r="I123" i="2"/>
  <c r="H123" i="2"/>
  <c r="G123" i="2"/>
  <c r="F123" i="2"/>
  <c r="E123" i="2"/>
  <c r="D123" i="2"/>
  <c r="C123" i="2"/>
  <c r="B123" i="2"/>
  <c r="A123" i="2"/>
  <c r="W123" i="2" s="1"/>
  <c r="T122" i="2" a="1"/>
  <c r="T122" i="2" s="1"/>
  <c r="K122" i="2"/>
  <c r="J122" i="2"/>
  <c r="I122" i="2"/>
  <c r="H122" i="2"/>
  <c r="G122" i="2"/>
  <c r="F122" i="2"/>
  <c r="E122" i="2"/>
  <c r="D122" i="2"/>
  <c r="C122" i="2"/>
  <c r="B122" i="2"/>
  <c r="A122" i="2"/>
  <c r="W122" i="2" s="1"/>
  <c r="T121" i="2" a="1"/>
  <c r="T121" i="2" s="1"/>
  <c r="K121" i="2"/>
  <c r="J121" i="2"/>
  <c r="I121" i="2"/>
  <c r="H121" i="2"/>
  <c r="G121" i="2"/>
  <c r="F121" i="2"/>
  <c r="E121" i="2"/>
  <c r="D121" i="2"/>
  <c r="C121" i="2"/>
  <c r="B121" i="2"/>
  <c r="A121" i="2"/>
  <c r="W121" i="2" s="1"/>
  <c r="T120" i="2" a="1"/>
  <c r="T120" i="2" s="1"/>
  <c r="K120" i="2"/>
  <c r="J120" i="2"/>
  <c r="I120" i="2"/>
  <c r="H120" i="2"/>
  <c r="G120" i="2"/>
  <c r="F120" i="2"/>
  <c r="E120" i="2"/>
  <c r="D120" i="2"/>
  <c r="C120" i="2"/>
  <c r="B120" i="2"/>
  <c r="A120" i="2"/>
  <c r="W120" i="2" s="1"/>
  <c r="T119" i="2" a="1"/>
  <c r="T119" i="2" s="1"/>
  <c r="K119" i="2"/>
  <c r="J119" i="2"/>
  <c r="I119" i="2"/>
  <c r="H119" i="2"/>
  <c r="G119" i="2"/>
  <c r="F119" i="2"/>
  <c r="E119" i="2"/>
  <c r="D119" i="2"/>
  <c r="C119" i="2"/>
  <c r="B119" i="2"/>
  <c r="A119" i="2"/>
  <c r="W119" i="2" s="1"/>
  <c r="T118" i="2" a="1"/>
  <c r="T118" i="2" s="1"/>
  <c r="K118" i="2"/>
  <c r="J118" i="2"/>
  <c r="I118" i="2"/>
  <c r="H118" i="2"/>
  <c r="G118" i="2"/>
  <c r="F118" i="2"/>
  <c r="E118" i="2"/>
  <c r="D118" i="2"/>
  <c r="C118" i="2"/>
  <c r="B118" i="2"/>
  <c r="A118" i="2"/>
  <c r="W118" i="2" s="1"/>
  <c r="T117" i="2" a="1"/>
  <c r="T117" i="2" s="1"/>
  <c r="K117" i="2"/>
  <c r="J117" i="2"/>
  <c r="I117" i="2"/>
  <c r="H117" i="2"/>
  <c r="G117" i="2"/>
  <c r="F117" i="2"/>
  <c r="E117" i="2"/>
  <c r="D117" i="2"/>
  <c r="C117" i="2"/>
  <c r="B117" i="2"/>
  <c r="A117" i="2"/>
  <c r="W117" i="2" s="1"/>
  <c r="T116" i="2" a="1"/>
  <c r="T116" i="2" s="1"/>
  <c r="K116" i="2"/>
  <c r="J116" i="2"/>
  <c r="I116" i="2"/>
  <c r="H116" i="2"/>
  <c r="G116" i="2"/>
  <c r="F116" i="2"/>
  <c r="E116" i="2"/>
  <c r="D116" i="2"/>
  <c r="C116" i="2"/>
  <c r="B116" i="2"/>
  <c r="A116" i="2"/>
  <c r="W116" i="2" s="1"/>
  <c r="T115" i="2" a="1"/>
  <c r="T115" i="2" s="1"/>
  <c r="K115" i="2"/>
  <c r="J115" i="2"/>
  <c r="I115" i="2"/>
  <c r="H115" i="2"/>
  <c r="G115" i="2"/>
  <c r="F115" i="2"/>
  <c r="E115" i="2"/>
  <c r="D115" i="2"/>
  <c r="C115" i="2"/>
  <c r="B115" i="2"/>
  <c r="A115" i="2"/>
  <c r="W115" i="2" s="1"/>
  <c r="T114" i="2" a="1"/>
  <c r="T114" i="2" s="1"/>
  <c r="K114" i="2"/>
  <c r="J114" i="2"/>
  <c r="I114" i="2"/>
  <c r="H114" i="2"/>
  <c r="G114" i="2"/>
  <c r="F114" i="2"/>
  <c r="E114" i="2"/>
  <c r="D114" i="2"/>
  <c r="C114" i="2"/>
  <c r="B114" i="2"/>
  <c r="A114" i="2"/>
  <c r="W114" i="2" s="1"/>
  <c r="T113" i="2" a="1"/>
  <c r="T113" i="2" s="1"/>
  <c r="K113" i="2"/>
  <c r="J113" i="2"/>
  <c r="I113" i="2"/>
  <c r="H113" i="2"/>
  <c r="G113" i="2"/>
  <c r="F113" i="2"/>
  <c r="E113" i="2"/>
  <c r="D113" i="2"/>
  <c r="C113" i="2"/>
  <c r="B113" i="2"/>
  <c r="A113" i="2"/>
  <c r="W113" i="2" s="1"/>
  <c r="T112" i="2" a="1"/>
  <c r="T112" i="2" s="1"/>
  <c r="K112" i="2"/>
  <c r="J112" i="2"/>
  <c r="I112" i="2"/>
  <c r="H112" i="2"/>
  <c r="G112" i="2"/>
  <c r="F112" i="2"/>
  <c r="E112" i="2"/>
  <c r="D112" i="2"/>
  <c r="C112" i="2"/>
  <c r="B112" i="2"/>
  <c r="A112" i="2"/>
  <c r="W112" i="2" s="1"/>
  <c r="T111" i="2" a="1"/>
  <c r="T111" i="2" s="1"/>
  <c r="K111" i="2"/>
  <c r="J111" i="2"/>
  <c r="I111" i="2"/>
  <c r="H111" i="2"/>
  <c r="G111" i="2"/>
  <c r="F111" i="2"/>
  <c r="E111" i="2"/>
  <c r="D111" i="2"/>
  <c r="C111" i="2"/>
  <c r="B111" i="2"/>
  <c r="A111" i="2"/>
  <c r="W111" i="2" s="1"/>
  <c r="T110" i="2" a="1"/>
  <c r="T110" i="2" s="1"/>
  <c r="K110" i="2"/>
  <c r="J110" i="2"/>
  <c r="I110" i="2"/>
  <c r="H110" i="2"/>
  <c r="G110" i="2"/>
  <c r="F110" i="2"/>
  <c r="E110" i="2"/>
  <c r="D110" i="2"/>
  <c r="C110" i="2"/>
  <c r="B110" i="2"/>
  <c r="A110" i="2"/>
  <c r="W110" i="2" s="1"/>
  <c r="T109" i="2" a="1"/>
  <c r="T109" i="2" s="1"/>
  <c r="K109" i="2"/>
  <c r="J109" i="2"/>
  <c r="I109" i="2"/>
  <c r="H109" i="2"/>
  <c r="G109" i="2"/>
  <c r="F109" i="2"/>
  <c r="E109" i="2"/>
  <c r="D109" i="2"/>
  <c r="C109" i="2"/>
  <c r="B109" i="2"/>
  <c r="A109" i="2"/>
  <c r="W109" i="2" s="1"/>
  <c r="T108" i="2" a="1"/>
  <c r="T108" i="2" s="1"/>
  <c r="K108" i="2"/>
  <c r="J108" i="2"/>
  <c r="I108" i="2"/>
  <c r="H108" i="2"/>
  <c r="G108" i="2"/>
  <c r="F108" i="2"/>
  <c r="E108" i="2"/>
  <c r="D108" i="2"/>
  <c r="C108" i="2"/>
  <c r="B108" i="2"/>
  <c r="A108" i="2"/>
  <c r="W108" i="2" s="1"/>
  <c r="T107" i="2" a="1"/>
  <c r="T107" i="2" s="1"/>
  <c r="K107" i="2"/>
  <c r="J107" i="2"/>
  <c r="I107" i="2"/>
  <c r="H107" i="2"/>
  <c r="G107" i="2"/>
  <c r="F107" i="2"/>
  <c r="E107" i="2"/>
  <c r="D107" i="2"/>
  <c r="C107" i="2"/>
  <c r="B107" i="2"/>
  <c r="A107" i="2"/>
  <c r="W107" i="2" s="1"/>
  <c r="T106" i="2" a="1"/>
  <c r="T106" i="2" s="1"/>
  <c r="K106" i="2"/>
  <c r="J106" i="2"/>
  <c r="I106" i="2"/>
  <c r="H106" i="2"/>
  <c r="G106" i="2"/>
  <c r="F106" i="2"/>
  <c r="E106" i="2"/>
  <c r="D106" i="2"/>
  <c r="C106" i="2"/>
  <c r="B106" i="2"/>
  <c r="A106" i="2"/>
  <c r="W106" i="2" s="1"/>
  <c r="T105" i="2" a="1"/>
  <c r="T105" i="2" s="1"/>
  <c r="K105" i="2"/>
  <c r="J105" i="2"/>
  <c r="I105" i="2"/>
  <c r="H105" i="2"/>
  <c r="G105" i="2"/>
  <c r="F105" i="2"/>
  <c r="E105" i="2"/>
  <c r="D105" i="2"/>
  <c r="C105" i="2"/>
  <c r="B105" i="2"/>
  <c r="A105" i="2"/>
  <c r="W105" i="2" s="1"/>
  <c r="T104" i="2" a="1"/>
  <c r="T104" i="2" s="1"/>
  <c r="K104" i="2"/>
  <c r="J104" i="2"/>
  <c r="I104" i="2"/>
  <c r="H104" i="2"/>
  <c r="G104" i="2"/>
  <c r="F104" i="2"/>
  <c r="E104" i="2"/>
  <c r="D104" i="2"/>
  <c r="C104" i="2"/>
  <c r="B104" i="2"/>
  <c r="A104" i="2"/>
  <c r="W104" i="2" s="1"/>
  <c r="T103" i="2" a="1"/>
  <c r="T103" i="2" s="1"/>
  <c r="K103" i="2"/>
  <c r="J103" i="2"/>
  <c r="I103" i="2"/>
  <c r="H103" i="2"/>
  <c r="G103" i="2"/>
  <c r="F103" i="2"/>
  <c r="E103" i="2"/>
  <c r="D103" i="2"/>
  <c r="C103" i="2"/>
  <c r="B103" i="2"/>
  <c r="A103" i="2"/>
  <c r="W103" i="2" s="1"/>
  <c r="T102" i="2" a="1"/>
  <c r="T102" i="2" s="1"/>
  <c r="K102" i="2"/>
  <c r="J102" i="2"/>
  <c r="I102" i="2"/>
  <c r="H102" i="2"/>
  <c r="G102" i="2"/>
  <c r="F102" i="2"/>
  <c r="E102" i="2"/>
  <c r="D102" i="2"/>
  <c r="C102" i="2"/>
  <c r="B102" i="2"/>
  <c r="A102" i="2"/>
  <c r="W102" i="2" s="1"/>
  <c r="T101" i="2" a="1"/>
  <c r="T101" i="2" s="1"/>
  <c r="K101" i="2"/>
  <c r="J101" i="2"/>
  <c r="I101" i="2"/>
  <c r="H101" i="2"/>
  <c r="G101" i="2"/>
  <c r="F101" i="2"/>
  <c r="E101" i="2"/>
  <c r="D101" i="2"/>
  <c r="C101" i="2"/>
  <c r="B101" i="2"/>
  <c r="A101" i="2"/>
  <c r="W101" i="2" s="1"/>
  <c r="T100" i="2" a="1"/>
  <c r="T100" i="2" s="1"/>
  <c r="K100" i="2"/>
  <c r="J100" i="2"/>
  <c r="I100" i="2"/>
  <c r="H100" i="2"/>
  <c r="G100" i="2"/>
  <c r="F100" i="2"/>
  <c r="E100" i="2"/>
  <c r="D100" i="2"/>
  <c r="C100" i="2"/>
  <c r="B100" i="2"/>
  <c r="A100" i="2"/>
  <c r="W100" i="2" s="1"/>
  <c r="T99" i="2" a="1"/>
  <c r="T99" i="2" s="1"/>
  <c r="K99" i="2"/>
  <c r="J99" i="2"/>
  <c r="I99" i="2"/>
  <c r="H99" i="2"/>
  <c r="G99" i="2"/>
  <c r="F99" i="2"/>
  <c r="E99" i="2"/>
  <c r="D99" i="2"/>
  <c r="C99" i="2"/>
  <c r="B99" i="2"/>
  <c r="A99" i="2"/>
  <c r="W99" i="2" s="1"/>
  <c r="T98" i="2" a="1"/>
  <c r="T98" i="2" s="1"/>
  <c r="K98" i="2"/>
  <c r="J98" i="2"/>
  <c r="I98" i="2"/>
  <c r="H98" i="2"/>
  <c r="G98" i="2"/>
  <c r="F98" i="2"/>
  <c r="E98" i="2"/>
  <c r="D98" i="2"/>
  <c r="C98" i="2"/>
  <c r="B98" i="2"/>
  <c r="A98" i="2"/>
  <c r="W98" i="2" s="1"/>
  <c r="T97" i="2" a="1"/>
  <c r="T97" i="2" s="1"/>
  <c r="K97" i="2"/>
  <c r="J97" i="2"/>
  <c r="I97" i="2"/>
  <c r="H97" i="2"/>
  <c r="G97" i="2"/>
  <c r="F97" i="2"/>
  <c r="E97" i="2"/>
  <c r="D97" i="2"/>
  <c r="C97" i="2"/>
  <c r="B97" i="2"/>
  <c r="A97" i="2"/>
  <c r="W97" i="2" s="1"/>
  <c r="T96" i="2" a="1"/>
  <c r="T96" i="2" s="1"/>
  <c r="K96" i="2"/>
  <c r="J96" i="2"/>
  <c r="I96" i="2"/>
  <c r="H96" i="2"/>
  <c r="G96" i="2"/>
  <c r="F96" i="2"/>
  <c r="E96" i="2"/>
  <c r="D96" i="2"/>
  <c r="C96" i="2"/>
  <c r="B96" i="2"/>
  <c r="A96" i="2"/>
  <c r="W96" i="2" s="1"/>
  <c r="T95" i="2" a="1"/>
  <c r="T95" i="2" s="1"/>
  <c r="K95" i="2"/>
  <c r="J95" i="2"/>
  <c r="I95" i="2"/>
  <c r="H95" i="2"/>
  <c r="G95" i="2"/>
  <c r="F95" i="2"/>
  <c r="E95" i="2"/>
  <c r="D95" i="2"/>
  <c r="C95" i="2"/>
  <c r="B95" i="2"/>
  <c r="A95" i="2"/>
  <c r="W95" i="2" s="1"/>
  <c r="T94" i="2" a="1"/>
  <c r="T94" i="2" s="1"/>
  <c r="K94" i="2"/>
  <c r="J94" i="2"/>
  <c r="I94" i="2"/>
  <c r="H94" i="2"/>
  <c r="G94" i="2"/>
  <c r="F94" i="2"/>
  <c r="E94" i="2"/>
  <c r="D94" i="2"/>
  <c r="C94" i="2"/>
  <c r="B94" i="2"/>
  <c r="A94" i="2"/>
  <c r="W94" i="2" s="1"/>
  <c r="T93" i="2" a="1"/>
  <c r="T93" i="2" s="1"/>
  <c r="K93" i="2"/>
  <c r="J93" i="2"/>
  <c r="I93" i="2"/>
  <c r="H93" i="2"/>
  <c r="G93" i="2"/>
  <c r="F93" i="2"/>
  <c r="E93" i="2"/>
  <c r="D93" i="2"/>
  <c r="C93" i="2"/>
  <c r="B93" i="2"/>
  <c r="A93" i="2"/>
  <c r="W93" i="2" s="1"/>
  <c r="T92" i="2" a="1"/>
  <c r="T92" i="2" s="1"/>
  <c r="K92" i="2"/>
  <c r="J92" i="2"/>
  <c r="I92" i="2"/>
  <c r="H92" i="2"/>
  <c r="G92" i="2"/>
  <c r="F92" i="2"/>
  <c r="E92" i="2"/>
  <c r="D92" i="2"/>
  <c r="C92" i="2"/>
  <c r="B92" i="2"/>
  <c r="A92" i="2"/>
  <c r="W92" i="2" s="1"/>
  <c r="T91" i="2" a="1"/>
  <c r="T91" i="2" s="1"/>
  <c r="K91" i="2"/>
  <c r="J91" i="2"/>
  <c r="I91" i="2"/>
  <c r="H91" i="2"/>
  <c r="G91" i="2"/>
  <c r="F91" i="2"/>
  <c r="E91" i="2"/>
  <c r="D91" i="2"/>
  <c r="C91" i="2"/>
  <c r="B91" i="2"/>
  <c r="A91" i="2"/>
  <c r="W91" i="2" s="1"/>
  <c r="T90" i="2" a="1"/>
  <c r="T90" i="2" s="1"/>
  <c r="K90" i="2"/>
  <c r="J90" i="2"/>
  <c r="I90" i="2"/>
  <c r="H90" i="2"/>
  <c r="G90" i="2"/>
  <c r="F90" i="2"/>
  <c r="E90" i="2"/>
  <c r="D90" i="2"/>
  <c r="C90" i="2"/>
  <c r="B90" i="2"/>
  <c r="A90" i="2"/>
  <c r="W90" i="2" s="1"/>
  <c r="T89" i="2" a="1"/>
  <c r="T89" i="2" s="1"/>
  <c r="K89" i="2"/>
  <c r="J89" i="2"/>
  <c r="I89" i="2"/>
  <c r="H89" i="2"/>
  <c r="G89" i="2"/>
  <c r="F89" i="2"/>
  <c r="E89" i="2"/>
  <c r="D89" i="2"/>
  <c r="C89" i="2"/>
  <c r="B89" i="2"/>
  <c r="A89" i="2"/>
  <c r="W89" i="2" s="1"/>
  <c r="T88" i="2" a="1"/>
  <c r="T88" i="2" s="1"/>
  <c r="K88" i="2"/>
  <c r="J88" i="2"/>
  <c r="I88" i="2"/>
  <c r="H88" i="2"/>
  <c r="G88" i="2"/>
  <c r="F88" i="2"/>
  <c r="E88" i="2"/>
  <c r="D88" i="2"/>
  <c r="C88" i="2"/>
  <c r="B88" i="2"/>
  <c r="A88" i="2"/>
  <c r="W88" i="2" s="1"/>
  <c r="T87" i="2" a="1"/>
  <c r="T87" i="2" s="1"/>
  <c r="K87" i="2"/>
  <c r="J87" i="2"/>
  <c r="I87" i="2"/>
  <c r="H87" i="2"/>
  <c r="G87" i="2"/>
  <c r="F87" i="2"/>
  <c r="E87" i="2"/>
  <c r="D87" i="2"/>
  <c r="C87" i="2"/>
  <c r="B87" i="2"/>
  <c r="A87" i="2"/>
  <c r="W87" i="2" s="1"/>
  <c r="T86" i="2" a="1"/>
  <c r="T86" i="2" s="1"/>
  <c r="K86" i="2"/>
  <c r="J86" i="2"/>
  <c r="I86" i="2"/>
  <c r="H86" i="2"/>
  <c r="G86" i="2"/>
  <c r="F86" i="2"/>
  <c r="E86" i="2"/>
  <c r="D86" i="2"/>
  <c r="C86" i="2"/>
  <c r="B86" i="2"/>
  <c r="A86" i="2"/>
  <c r="W86" i="2" s="1"/>
  <c r="T85" i="2" a="1"/>
  <c r="T85" i="2" s="1"/>
  <c r="K85" i="2"/>
  <c r="J85" i="2"/>
  <c r="I85" i="2"/>
  <c r="H85" i="2"/>
  <c r="G85" i="2"/>
  <c r="F85" i="2"/>
  <c r="E85" i="2"/>
  <c r="D85" i="2"/>
  <c r="C85" i="2"/>
  <c r="B85" i="2"/>
  <c r="A85" i="2"/>
  <c r="W85" i="2" s="1"/>
  <c r="T84" i="2" a="1"/>
  <c r="T84" i="2" s="1"/>
  <c r="K84" i="2"/>
  <c r="J84" i="2"/>
  <c r="I84" i="2"/>
  <c r="H84" i="2"/>
  <c r="G84" i="2"/>
  <c r="F84" i="2"/>
  <c r="E84" i="2"/>
  <c r="D84" i="2"/>
  <c r="C84" i="2"/>
  <c r="B84" i="2"/>
  <c r="A84" i="2"/>
  <c r="W84" i="2" s="1"/>
  <c r="T83" i="2" a="1"/>
  <c r="T83" i="2" s="1"/>
  <c r="K83" i="2"/>
  <c r="J83" i="2"/>
  <c r="I83" i="2"/>
  <c r="H83" i="2"/>
  <c r="G83" i="2"/>
  <c r="F83" i="2"/>
  <c r="E83" i="2"/>
  <c r="D83" i="2"/>
  <c r="C83" i="2"/>
  <c r="B83" i="2"/>
  <c r="A83" i="2"/>
  <c r="W83" i="2" s="1"/>
  <c r="T82" i="2" a="1"/>
  <c r="T82" i="2" s="1"/>
  <c r="K82" i="2"/>
  <c r="J82" i="2"/>
  <c r="I82" i="2"/>
  <c r="H82" i="2"/>
  <c r="G82" i="2"/>
  <c r="F82" i="2"/>
  <c r="E82" i="2"/>
  <c r="D82" i="2"/>
  <c r="C82" i="2"/>
  <c r="B82" i="2"/>
  <c r="A82" i="2"/>
  <c r="W82" i="2" s="1"/>
  <c r="T81" i="2" a="1"/>
  <c r="T81" i="2" s="1"/>
  <c r="K81" i="2"/>
  <c r="J81" i="2"/>
  <c r="I81" i="2"/>
  <c r="H81" i="2"/>
  <c r="G81" i="2"/>
  <c r="F81" i="2"/>
  <c r="E81" i="2"/>
  <c r="D81" i="2"/>
  <c r="C81" i="2"/>
  <c r="B81" i="2"/>
  <c r="A81" i="2"/>
  <c r="W81" i="2" s="1"/>
  <c r="T80" i="2" a="1"/>
  <c r="T80" i="2" s="1"/>
  <c r="K80" i="2"/>
  <c r="J80" i="2"/>
  <c r="I80" i="2"/>
  <c r="H80" i="2"/>
  <c r="G80" i="2"/>
  <c r="F80" i="2"/>
  <c r="E80" i="2"/>
  <c r="D80" i="2"/>
  <c r="C80" i="2"/>
  <c r="B80" i="2"/>
  <c r="A80" i="2"/>
  <c r="W80" i="2" s="1"/>
  <c r="T79" i="2" a="1"/>
  <c r="T79" i="2" s="1"/>
  <c r="K79" i="2"/>
  <c r="J79" i="2"/>
  <c r="I79" i="2"/>
  <c r="H79" i="2"/>
  <c r="G79" i="2"/>
  <c r="F79" i="2"/>
  <c r="E79" i="2"/>
  <c r="D79" i="2"/>
  <c r="C79" i="2"/>
  <c r="B79" i="2"/>
  <c r="A79" i="2"/>
  <c r="W79" i="2" s="1"/>
  <c r="T78" i="2" a="1"/>
  <c r="T78" i="2" s="1"/>
  <c r="K78" i="2"/>
  <c r="J78" i="2"/>
  <c r="I78" i="2"/>
  <c r="H78" i="2"/>
  <c r="G78" i="2"/>
  <c r="F78" i="2"/>
  <c r="E78" i="2"/>
  <c r="D78" i="2"/>
  <c r="C78" i="2"/>
  <c r="B78" i="2"/>
  <c r="A78" i="2"/>
  <c r="W78" i="2" s="1"/>
  <c r="T77" i="2" a="1"/>
  <c r="T77" i="2" s="1"/>
  <c r="K77" i="2"/>
  <c r="J77" i="2"/>
  <c r="I77" i="2"/>
  <c r="H77" i="2"/>
  <c r="G77" i="2"/>
  <c r="F77" i="2"/>
  <c r="E77" i="2"/>
  <c r="D77" i="2"/>
  <c r="C77" i="2"/>
  <c r="B77" i="2"/>
  <c r="A77" i="2"/>
  <c r="W77" i="2" s="1"/>
  <c r="T76" i="2" a="1"/>
  <c r="T76" i="2" s="1"/>
  <c r="K76" i="2"/>
  <c r="J76" i="2"/>
  <c r="I76" i="2"/>
  <c r="H76" i="2"/>
  <c r="G76" i="2"/>
  <c r="F76" i="2"/>
  <c r="E76" i="2"/>
  <c r="D76" i="2"/>
  <c r="C76" i="2"/>
  <c r="B76" i="2"/>
  <c r="A76" i="2"/>
  <c r="W76" i="2" s="1"/>
  <c r="T75" i="2" a="1"/>
  <c r="T75" i="2" s="1"/>
  <c r="K75" i="2"/>
  <c r="J75" i="2"/>
  <c r="I75" i="2"/>
  <c r="H75" i="2"/>
  <c r="G75" i="2"/>
  <c r="F75" i="2"/>
  <c r="E75" i="2"/>
  <c r="D75" i="2"/>
  <c r="C75" i="2"/>
  <c r="B75" i="2"/>
  <c r="A75" i="2"/>
  <c r="W75" i="2" s="1"/>
  <c r="T74" i="2" a="1"/>
  <c r="T74" i="2" s="1"/>
  <c r="K74" i="2"/>
  <c r="J74" i="2"/>
  <c r="I74" i="2"/>
  <c r="H74" i="2"/>
  <c r="G74" i="2"/>
  <c r="F74" i="2"/>
  <c r="E74" i="2"/>
  <c r="D74" i="2"/>
  <c r="C74" i="2"/>
  <c r="B74" i="2"/>
  <c r="A74" i="2"/>
  <c r="W74" i="2" s="1"/>
  <c r="T73" i="2" a="1"/>
  <c r="T73" i="2" s="1"/>
  <c r="K73" i="2"/>
  <c r="J73" i="2"/>
  <c r="I73" i="2"/>
  <c r="H73" i="2"/>
  <c r="G73" i="2"/>
  <c r="F73" i="2"/>
  <c r="E73" i="2"/>
  <c r="D73" i="2"/>
  <c r="C73" i="2"/>
  <c r="B73" i="2"/>
  <c r="A73" i="2"/>
  <c r="W73" i="2" s="1"/>
  <c r="T72" i="2" a="1"/>
  <c r="T72" i="2" s="1"/>
  <c r="K72" i="2"/>
  <c r="J72" i="2"/>
  <c r="I72" i="2"/>
  <c r="H72" i="2"/>
  <c r="G72" i="2"/>
  <c r="F72" i="2"/>
  <c r="E72" i="2"/>
  <c r="D72" i="2"/>
  <c r="C72" i="2"/>
  <c r="B72" i="2"/>
  <c r="A72" i="2"/>
  <c r="W72" i="2" s="1"/>
  <c r="T71" i="2" a="1"/>
  <c r="T71" i="2" s="1"/>
  <c r="K71" i="2"/>
  <c r="J71" i="2"/>
  <c r="I71" i="2"/>
  <c r="H71" i="2"/>
  <c r="G71" i="2"/>
  <c r="F71" i="2"/>
  <c r="E71" i="2"/>
  <c r="D71" i="2"/>
  <c r="C71" i="2"/>
  <c r="B71" i="2"/>
  <c r="A71" i="2"/>
  <c r="W71" i="2" s="1"/>
  <c r="T70" i="2" a="1"/>
  <c r="T70" i="2" s="1"/>
  <c r="K70" i="2"/>
  <c r="J70" i="2"/>
  <c r="I70" i="2"/>
  <c r="H70" i="2"/>
  <c r="G70" i="2"/>
  <c r="F70" i="2"/>
  <c r="E70" i="2"/>
  <c r="D70" i="2"/>
  <c r="C70" i="2"/>
  <c r="B70" i="2"/>
  <c r="A70" i="2"/>
  <c r="W70" i="2" s="1"/>
  <c r="T69" i="2" a="1"/>
  <c r="T69" i="2" s="1"/>
  <c r="K69" i="2"/>
  <c r="J69" i="2"/>
  <c r="I69" i="2"/>
  <c r="H69" i="2"/>
  <c r="G69" i="2"/>
  <c r="F69" i="2"/>
  <c r="E69" i="2"/>
  <c r="D69" i="2"/>
  <c r="C69" i="2"/>
  <c r="B69" i="2"/>
  <c r="A69" i="2"/>
  <c r="W69" i="2" s="1"/>
  <c r="T68" i="2" a="1"/>
  <c r="T68" i="2" s="1"/>
  <c r="K68" i="2"/>
  <c r="J68" i="2"/>
  <c r="I68" i="2"/>
  <c r="H68" i="2"/>
  <c r="G68" i="2"/>
  <c r="F68" i="2"/>
  <c r="E68" i="2"/>
  <c r="D68" i="2"/>
  <c r="C68" i="2"/>
  <c r="B68" i="2"/>
  <c r="A68" i="2"/>
  <c r="W68" i="2" s="1"/>
  <c r="T67" i="2" a="1"/>
  <c r="T67" i="2" s="1"/>
  <c r="K67" i="2"/>
  <c r="J67" i="2"/>
  <c r="I67" i="2"/>
  <c r="H67" i="2"/>
  <c r="G67" i="2"/>
  <c r="F67" i="2"/>
  <c r="E67" i="2"/>
  <c r="D67" i="2"/>
  <c r="C67" i="2"/>
  <c r="B67" i="2"/>
  <c r="A67" i="2"/>
  <c r="W67" i="2" s="1"/>
  <c r="T66" i="2" a="1"/>
  <c r="T66" i="2" s="1"/>
  <c r="K66" i="2"/>
  <c r="J66" i="2"/>
  <c r="I66" i="2"/>
  <c r="H66" i="2"/>
  <c r="G66" i="2"/>
  <c r="F66" i="2"/>
  <c r="E66" i="2"/>
  <c r="D66" i="2"/>
  <c r="C66" i="2"/>
  <c r="B66" i="2"/>
  <c r="A66" i="2"/>
  <c r="W66" i="2" s="1"/>
  <c r="T65" i="2" a="1"/>
  <c r="T65" i="2" s="1"/>
  <c r="K65" i="2"/>
  <c r="J65" i="2"/>
  <c r="I65" i="2"/>
  <c r="H65" i="2"/>
  <c r="G65" i="2"/>
  <c r="F65" i="2"/>
  <c r="E65" i="2"/>
  <c r="D65" i="2"/>
  <c r="C65" i="2"/>
  <c r="B65" i="2"/>
  <c r="A65" i="2"/>
  <c r="W65" i="2" s="1"/>
  <c r="T64" i="2" a="1"/>
  <c r="T64" i="2" s="1"/>
  <c r="K64" i="2"/>
  <c r="J64" i="2"/>
  <c r="I64" i="2"/>
  <c r="H64" i="2"/>
  <c r="G64" i="2"/>
  <c r="F64" i="2"/>
  <c r="E64" i="2"/>
  <c r="D64" i="2"/>
  <c r="C64" i="2"/>
  <c r="B64" i="2"/>
  <c r="A64" i="2"/>
  <c r="W64" i="2" s="1"/>
  <c r="T63" i="2" a="1"/>
  <c r="T63" i="2" s="1"/>
  <c r="K63" i="2"/>
  <c r="J63" i="2"/>
  <c r="I63" i="2"/>
  <c r="H63" i="2"/>
  <c r="G63" i="2"/>
  <c r="F63" i="2"/>
  <c r="E63" i="2"/>
  <c r="D63" i="2"/>
  <c r="C63" i="2"/>
  <c r="B63" i="2"/>
  <c r="A63" i="2"/>
  <c r="W63" i="2" s="1"/>
  <c r="T62" i="2" a="1"/>
  <c r="T62" i="2" s="1"/>
  <c r="K62" i="2"/>
  <c r="J62" i="2"/>
  <c r="I62" i="2"/>
  <c r="H62" i="2"/>
  <c r="G62" i="2"/>
  <c r="F62" i="2"/>
  <c r="E62" i="2"/>
  <c r="D62" i="2"/>
  <c r="C62" i="2"/>
  <c r="B62" i="2"/>
  <c r="A62" i="2"/>
  <c r="W62" i="2" s="1"/>
  <c r="T61" i="2" a="1"/>
  <c r="T61" i="2" s="1"/>
  <c r="K61" i="2"/>
  <c r="J61" i="2"/>
  <c r="I61" i="2"/>
  <c r="H61" i="2"/>
  <c r="G61" i="2"/>
  <c r="F61" i="2"/>
  <c r="E61" i="2"/>
  <c r="D61" i="2"/>
  <c r="C61" i="2"/>
  <c r="B61" i="2"/>
  <c r="A61" i="2"/>
  <c r="W61" i="2" s="1"/>
  <c r="T60" i="2" a="1"/>
  <c r="T60" i="2" s="1"/>
  <c r="K60" i="2"/>
  <c r="J60" i="2"/>
  <c r="I60" i="2"/>
  <c r="H60" i="2"/>
  <c r="G60" i="2"/>
  <c r="F60" i="2"/>
  <c r="E60" i="2"/>
  <c r="D60" i="2"/>
  <c r="C60" i="2"/>
  <c r="B60" i="2"/>
  <c r="A60" i="2"/>
  <c r="W60" i="2" s="1"/>
  <c r="T59" i="2" a="1"/>
  <c r="T59" i="2" s="1"/>
  <c r="K59" i="2"/>
  <c r="J59" i="2"/>
  <c r="I59" i="2"/>
  <c r="H59" i="2"/>
  <c r="G59" i="2"/>
  <c r="F59" i="2"/>
  <c r="E59" i="2"/>
  <c r="D59" i="2"/>
  <c r="C59" i="2"/>
  <c r="B59" i="2"/>
  <c r="A59" i="2"/>
  <c r="W59" i="2" s="1"/>
  <c r="T58" i="2" a="1"/>
  <c r="T58" i="2" s="1"/>
  <c r="K58" i="2"/>
  <c r="J58" i="2"/>
  <c r="I58" i="2"/>
  <c r="H58" i="2"/>
  <c r="G58" i="2"/>
  <c r="F58" i="2"/>
  <c r="E58" i="2"/>
  <c r="D58" i="2"/>
  <c r="C58" i="2"/>
  <c r="B58" i="2"/>
  <c r="A58" i="2"/>
  <c r="W58" i="2" s="1"/>
  <c r="T57" i="2" a="1"/>
  <c r="T57" i="2" s="1"/>
  <c r="K57" i="2"/>
  <c r="J57" i="2"/>
  <c r="I57" i="2"/>
  <c r="H57" i="2"/>
  <c r="G57" i="2"/>
  <c r="F57" i="2"/>
  <c r="E57" i="2"/>
  <c r="D57" i="2"/>
  <c r="C57" i="2"/>
  <c r="B57" i="2"/>
  <c r="A57" i="2"/>
  <c r="W57" i="2" s="1"/>
  <c r="T56" i="2" a="1"/>
  <c r="T56" i="2" s="1"/>
  <c r="K56" i="2"/>
  <c r="J56" i="2"/>
  <c r="I56" i="2"/>
  <c r="H56" i="2"/>
  <c r="G56" i="2"/>
  <c r="F56" i="2"/>
  <c r="E56" i="2"/>
  <c r="D56" i="2"/>
  <c r="C56" i="2"/>
  <c r="B56" i="2"/>
  <c r="A56" i="2"/>
  <c r="W56" i="2" s="1"/>
  <c r="T55" i="2" a="1"/>
  <c r="T55" i="2" s="1"/>
  <c r="K55" i="2"/>
  <c r="J55" i="2"/>
  <c r="I55" i="2"/>
  <c r="H55" i="2"/>
  <c r="G55" i="2"/>
  <c r="F55" i="2"/>
  <c r="E55" i="2"/>
  <c r="D55" i="2"/>
  <c r="C55" i="2"/>
  <c r="B55" i="2"/>
  <c r="A55" i="2"/>
  <c r="W55" i="2" s="1"/>
  <c r="T54" i="2" a="1"/>
  <c r="T54" i="2" s="1"/>
  <c r="K54" i="2"/>
  <c r="J54" i="2"/>
  <c r="I54" i="2"/>
  <c r="H54" i="2"/>
  <c r="G54" i="2"/>
  <c r="F54" i="2"/>
  <c r="E54" i="2"/>
  <c r="D54" i="2"/>
  <c r="C54" i="2"/>
  <c r="B54" i="2"/>
  <c r="A54" i="2"/>
  <c r="W54" i="2" s="1"/>
  <c r="T53" i="2" a="1"/>
  <c r="T53" i="2" s="1"/>
  <c r="K53" i="2"/>
  <c r="J53" i="2"/>
  <c r="I53" i="2"/>
  <c r="H53" i="2"/>
  <c r="G53" i="2"/>
  <c r="F53" i="2"/>
  <c r="E53" i="2"/>
  <c r="D53" i="2"/>
  <c r="C53" i="2"/>
  <c r="B53" i="2"/>
  <c r="A53" i="2"/>
  <c r="W53" i="2" s="1"/>
  <c r="T52" i="2" a="1"/>
  <c r="T52" i="2" s="1"/>
  <c r="K52" i="2"/>
  <c r="J52" i="2"/>
  <c r="I52" i="2"/>
  <c r="H52" i="2"/>
  <c r="G52" i="2"/>
  <c r="F52" i="2"/>
  <c r="E52" i="2"/>
  <c r="D52" i="2"/>
  <c r="C52" i="2"/>
  <c r="B52" i="2"/>
  <c r="A52" i="2"/>
  <c r="W52" i="2" s="1"/>
  <c r="T51" i="2" a="1"/>
  <c r="T51" i="2" s="1"/>
  <c r="K51" i="2"/>
  <c r="J51" i="2"/>
  <c r="I51" i="2"/>
  <c r="H51" i="2"/>
  <c r="G51" i="2"/>
  <c r="F51" i="2"/>
  <c r="E51" i="2"/>
  <c r="D51" i="2"/>
  <c r="C51" i="2"/>
  <c r="B51" i="2"/>
  <c r="A51" i="2"/>
  <c r="W51" i="2" s="1"/>
  <c r="T50" i="2" a="1"/>
  <c r="T50" i="2" s="1"/>
  <c r="K50" i="2"/>
  <c r="J50" i="2"/>
  <c r="I50" i="2"/>
  <c r="H50" i="2"/>
  <c r="G50" i="2"/>
  <c r="F50" i="2"/>
  <c r="E50" i="2"/>
  <c r="D50" i="2"/>
  <c r="C50" i="2"/>
  <c r="B50" i="2"/>
  <c r="A50" i="2"/>
  <c r="W50" i="2" s="1"/>
  <c r="T49" i="2" a="1"/>
  <c r="T49" i="2" s="1"/>
  <c r="K49" i="2"/>
  <c r="J49" i="2"/>
  <c r="I49" i="2"/>
  <c r="H49" i="2"/>
  <c r="G49" i="2"/>
  <c r="F49" i="2"/>
  <c r="E49" i="2"/>
  <c r="D49" i="2"/>
  <c r="C49" i="2"/>
  <c r="B49" i="2"/>
  <c r="A49" i="2"/>
  <c r="W49" i="2" s="1"/>
  <c r="T48" i="2" a="1"/>
  <c r="T48" i="2" s="1"/>
  <c r="K48" i="2"/>
  <c r="J48" i="2"/>
  <c r="I48" i="2"/>
  <c r="H48" i="2"/>
  <c r="G48" i="2"/>
  <c r="F48" i="2"/>
  <c r="E48" i="2"/>
  <c r="D48" i="2"/>
  <c r="C48" i="2"/>
  <c r="B48" i="2"/>
  <c r="A48" i="2"/>
  <c r="W48" i="2" s="1"/>
  <c r="T47" i="2" a="1"/>
  <c r="T47" i="2" s="1"/>
  <c r="K47" i="2"/>
  <c r="J47" i="2"/>
  <c r="I47" i="2"/>
  <c r="H47" i="2"/>
  <c r="G47" i="2"/>
  <c r="F47" i="2"/>
  <c r="E47" i="2"/>
  <c r="D47" i="2"/>
  <c r="C47" i="2"/>
  <c r="B47" i="2"/>
  <c r="A47" i="2"/>
  <c r="W47" i="2" s="1"/>
  <c r="T46" i="2" a="1"/>
  <c r="T46" i="2" s="1"/>
  <c r="K46" i="2"/>
  <c r="J46" i="2"/>
  <c r="I46" i="2"/>
  <c r="H46" i="2"/>
  <c r="G46" i="2"/>
  <c r="F46" i="2"/>
  <c r="E46" i="2"/>
  <c r="D46" i="2"/>
  <c r="C46" i="2"/>
  <c r="B46" i="2"/>
  <c r="A46" i="2"/>
  <c r="W46" i="2" s="1"/>
  <c r="T45" i="2" a="1"/>
  <c r="T45" i="2" s="1"/>
  <c r="K45" i="2"/>
  <c r="J45" i="2"/>
  <c r="I45" i="2"/>
  <c r="H45" i="2"/>
  <c r="G45" i="2"/>
  <c r="F45" i="2"/>
  <c r="E45" i="2"/>
  <c r="D45" i="2"/>
  <c r="C45" i="2"/>
  <c r="B45" i="2"/>
  <c r="A45" i="2"/>
  <c r="W45" i="2" s="1"/>
  <c r="T44" i="2" a="1"/>
  <c r="T44" i="2" s="1"/>
  <c r="K44" i="2"/>
  <c r="J44" i="2"/>
  <c r="I44" i="2"/>
  <c r="H44" i="2"/>
  <c r="G44" i="2"/>
  <c r="F44" i="2"/>
  <c r="E44" i="2"/>
  <c r="D44" i="2"/>
  <c r="C44" i="2"/>
  <c r="B44" i="2"/>
  <c r="A44" i="2"/>
  <c r="W44" i="2" s="1"/>
  <c r="T43" i="2" a="1"/>
  <c r="T43" i="2" s="1"/>
  <c r="K43" i="2"/>
  <c r="J43" i="2"/>
  <c r="I43" i="2"/>
  <c r="H43" i="2"/>
  <c r="G43" i="2"/>
  <c r="F43" i="2"/>
  <c r="E43" i="2"/>
  <c r="D43" i="2"/>
  <c r="C43" i="2"/>
  <c r="B43" i="2"/>
  <c r="A43" i="2"/>
  <c r="W43" i="2" s="1"/>
  <c r="T42" i="2" a="1"/>
  <c r="T42" i="2" s="1"/>
  <c r="K42" i="2"/>
  <c r="J42" i="2"/>
  <c r="I42" i="2"/>
  <c r="H42" i="2"/>
  <c r="G42" i="2"/>
  <c r="F42" i="2"/>
  <c r="E42" i="2"/>
  <c r="D42" i="2"/>
  <c r="C42" i="2"/>
  <c r="B42" i="2"/>
  <c r="A42" i="2"/>
  <c r="W42" i="2" s="1"/>
  <c r="T41" i="2" a="1"/>
  <c r="T41" i="2" s="1"/>
  <c r="K41" i="2"/>
  <c r="J41" i="2"/>
  <c r="I41" i="2"/>
  <c r="H41" i="2"/>
  <c r="G41" i="2"/>
  <c r="F41" i="2"/>
  <c r="E41" i="2"/>
  <c r="D41" i="2"/>
  <c r="C41" i="2"/>
  <c r="B41" i="2"/>
  <c r="A41" i="2"/>
  <c r="W41" i="2" s="1"/>
  <c r="T40" i="2" a="1"/>
  <c r="T40" i="2" s="1"/>
  <c r="K40" i="2"/>
  <c r="J40" i="2"/>
  <c r="I40" i="2"/>
  <c r="H40" i="2"/>
  <c r="G40" i="2"/>
  <c r="F40" i="2"/>
  <c r="E40" i="2"/>
  <c r="D40" i="2"/>
  <c r="C40" i="2"/>
  <c r="B40" i="2"/>
  <c r="A40" i="2"/>
  <c r="W40" i="2" s="1"/>
  <c r="L3" i="2" a="1"/>
  <c r="L3" i="2" s="1"/>
  <c r="A1" i="9" s="1"/>
  <c r="F1" i="9" s="1"/>
  <c r="V2" i="2"/>
  <c r="A7" i="2" a="1"/>
  <c r="A7" i="3" a="1"/>
  <c r="A6" i="2" a="1"/>
  <c r="A6" i="3" a="1"/>
  <c r="FA151" i="6" a="1"/>
  <c r="FA147" i="6" a="1"/>
  <c r="FA143" i="6" a="1"/>
  <c r="FA139" i="6" a="1"/>
  <c r="FA135" i="6" a="1"/>
  <c r="FA131" i="6" a="1"/>
  <c r="FA127" i="6" a="1"/>
  <c r="FA125" i="6" a="1"/>
  <c r="EV150" i="6" a="1"/>
  <c r="EV146" i="6" a="1"/>
  <c r="EV138" i="6" a="1"/>
  <c r="EV134" i="6" a="1"/>
  <c r="EV128" i="6" a="1"/>
  <c r="EV126" i="6" a="1"/>
  <c r="FA150" i="6" a="1"/>
  <c r="FA146" i="6" a="1"/>
  <c r="FA138" i="6" a="1"/>
  <c r="FA134" i="6" a="1"/>
  <c r="FA128" i="6" a="1"/>
  <c r="FA126" i="6" a="1"/>
  <c r="EV151" i="6" a="1"/>
  <c r="EV149" i="6" a="1"/>
  <c r="EV147" i="6" a="1"/>
  <c r="EV145" i="6" a="1"/>
  <c r="EV143" i="6" a="1"/>
  <c r="EV141" i="6" a="1"/>
  <c r="EV139" i="6" a="1"/>
  <c r="EV137" i="6" a="1"/>
  <c r="EV135" i="6" a="1"/>
  <c r="EV133" i="6" a="1"/>
  <c r="EV131" i="6" a="1"/>
  <c r="EV129" i="6" a="1"/>
  <c r="EV127" i="6" a="1"/>
  <c r="EV125" i="6" a="1"/>
  <c r="V118" i="2" l="1"/>
  <c r="V122" i="2"/>
  <c r="V106" i="2"/>
  <c r="V110" i="2"/>
  <c r="V114" i="2"/>
  <c r="V92" i="2"/>
  <c r="V96" i="2"/>
  <c r="V100" i="2"/>
  <c r="V80" i="2"/>
  <c r="V84" i="2"/>
  <c r="V88" i="2"/>
  <c r="V68" i="2"/>
  <c r="V72" i="2"/>
  <c r="V76" i="2"/>
  <c r="V60" i="2"/>
  <c r="V64" i="2"/>
  <c r="V48" i="2"/>
  <c r="V52" i="2"/>
  <c r="V56" i="2"/>
  <c r="V40" i="2"/>
  <c r="V44" i="2"/>
  <c r="V135" i="2"/>
  <c r="V139" i="2"/>
  <c r="V143" i="2"/>
  <c r="V119" i="2"/>
  <c r="V123" i="2"/>
  <c r="V127" i="2"/>
  <c r="V131" i="2"/>
  <c r="V107" i="2"/>
  <c r="V111" i="2"/>
  <c r="V115" i="2"/>
  <c r="V93" i="2"/>
  <c r="V97" i="2"/>
  <c r="V101" i="2"/>
  <c r="V81" i="2"/>
  <c r="V85" i="2"/>
  <c r="V89" i="2"/>
  <c r="V69" i="2"/>
  <c r="V73" i="2"/>
  <c r="V77" i="2"/>
  <c r="V61" i="2"/>
  <c r="V65" i="2"/>
  <c r="V49" i="2"/>
  <c r="V53" i="2"/>
  <c r="V57" i="2"/>
  <c r="V41" i="2"/>
  <c r="V45" i="2"/>
  <c r="V120" i="2"/>
  <c r="V124" i="2"/>
  <c r="V104" i="2"/>
  <c r="V108" i="2"/>
  <c r="V112" i="2"/>
  <c r="V116" i="2"/>
  <c r="V94" i="2"/>
  <c r="V98" i="2"/>
  <c r="V102" i="2"/>
  <c r="V82" i="2"/>
  <c r="V86" i="2"/>
  <c r="V90" i="2"/>
  <c r="V70" i="2"/>
  <c r="V74" i="2"/>
  <c r="V78" i="2"/>
  <c r="V62" i="2"/>
  <c r="V66" i="2"/>
  <c r="V50" i="2"/>
  <c r="V54" i="2"/>
  <c r="V58" i="2"/>
  <c r="V42" i="2"/>
  <c r="V46" i="2"/>
  <c r="V133" i="2"/>
  <c r="V137" i="2"/>
  <c r="V141" i="2"/>
  <c r="V145" i="2"/>
  <c r="V121" i="2"/>
  <c r="V125" i="2"/>
  <c r="V129" i="2"/>
  <c r="V105" i="2"/>
  <c r="V109" i="2"/>
  <c r="V113" i="2"/>
  <c r="V117" i="2"/>
  <c r="V95" i="2"/>
  <c r="V99" i="2"/>
  <c r="V103" i="2"/>
  <c r="V83" i="2"/>
  <c r="V87" i="2"/>
  <c r="V91" i="2"/>
  <c r="V71" i="2"/>
  <c r="V75" i="2"/>
  <c r="V79" i="2"/>
  <c r="V63" i="2"/>
  <c r="V67" i="2"/>
  <c r="V51" i="2"/>
  <c r="V55" i="2"/>
  <c r="V59" i="2"/>
  <c r="V43" i="2"/>
  <c r="V47" i="2"/>
  <c r="C5" i="4"/>
  <c r="A7" i="2"/>
  <c r="A7" i="3"/>
  <c r="A6" i="2"/>
  <c r="A6" i="3"/>
  <c r="A8" i="3" s="1" a="1"/>
  <c r="A8" i="3" s="1"/>
  <c r="D5" i="4"/>
  <c r="F5" i="4" s="1"/>
  <c r="G5" i="4" s="1"/>
  <c r="EV125" i="6"/>
  <c r="EV127" i="6"/>
  <c r="EV129" i="6"/>
  <c r="EV131" i="6"/>
  <c r="EV133" i="6"/>
  <c r="EV135" i="6"/>
  <c r="EV137" i="6"/>
  <c r="EV139" i="6"/>
  <c r="EV141" i="6"/>
  <c r="EV143" i="6"/>
  <c r="EV145" i="6"/>
  <c r="EV147" i="6"/>
  <c r="EV149" i="6"/>
  <c r="EV151" i="6"/>
  <c r="FA126" i="6"/>
  <c r="FA128" i="6"/>
  <c r="FA134" i="6"/>
  <c r="FA138" i="6"/>
  <c r="FA146" i="6"/>
  <c r="FA150" i="6"/>
  <c r="EV126" i="6"/>
  <c r="EV128" i="6"/>
  <c r="EV134" i="6"/>
  <c r="EV138" i="6"/>
  <c r="EV146" i="6"/>
  <c r="EV150" i="6"/>
  <c r="FA125" i="6"/>
  <c r="FA127" i="6"/>
  <c r="FA131" i="6"/>
  <c r="FA135" i="6"/>
  <c r="FA139" i="6"/>
  <c r="FA143" i="6"/>
  <c r="FA147" i="6"/>
  <c r="FA151" i="6"/>
  <c r="L126" i="2"/>
  <c r="L118" i="2"/>
  <c r="L110" i="2"/>
  <c r="L125" i="2"/>
  <c r="L117" i="2"/>
  <c r="L109" i="2"/>
  <c r="L124" i="2"/>
  <c r="L116" i="2"/>
  <c r="L108" i="2"/>
  <c r="V3" i="3"/>
  <c r="L123" i="2"/>
  <c r="L115" i="2"/>
  <c r="L107" i="2"/>
  <c r="L122" i="2"/>
  <c r="L114" i="2"/>
  <c r="L106" i="2"/>
  <c r="L121" i="2"/>
  <c r="L113" i="2"/>
  <c r="L105" i="2"/>
  <c r="L128" i="2"/>
  <c r="L120" i="2"/>
  <c r="L112" i="2"/>
  <c r="L127" i="2"/>
  <c r="L119" i="2"/>
  <c r="L111" i="2"/>
  <c r="L103" i="2"/>
  <c r="L104" i="2"/>
  <c r="L97" i="2"/>
  <c r="L89" i="2"/>
  <c r="L81" i="2"/>
  <c r="L73" i="2"/>
  <c r="L65" i="2"/>
  <c r="L57" i="2"/>
  <c r="L49" i="2"/>
  <c r="L41" i="2"/>
  <c r="L96" i="2"/>
  <c r="L88" i="2"/>
  <c r="L80" i="2"/>
  <c r="L72" i="2"/>
  <c r="L64" i="2"/>
  <c r="L56" i="2"/>
  <c r="L48" i="2"/>
  <c r="L40" i="2"/>
  <c r="L95" i="2"/>
  <c r="L87" i="2"/>
  <c r="L79" i="2"/>
  <c r="L71" i="2"/>
  <c r="L63" i="2"/>
  <c r="L55" i="2"/>
  <c r="L47" i="2"/>
  <c r="L94" i="2"/>
  <c r="L86" i="2"/>
  <c r="L78" i="2"/>
  <c r="L70" i="2"/>
  <c r="L62" i="2"/>
  <c r="L54" i="2"/>
  <c r="L46" i="2"/>
  <c r="L101" i="2"/>
  <c r="L93" i="2"/>
  <c r="L85" i="2"/>
  <c r="L77" i="2"/>
  <c r="L69" i="2"/>
  <c r="L61" i="2"/>
  <c r="L53" i="2"/>
  <c r="L45" i="2"/>
  <c r="L100" i="2"/>
  <c r="L92" i="2"/>
  <c r="L84" i="2"/>
  <c r="L76" i="2"/>
  <c r="L68" i="2"/>
  <c r="L60" i="2"/>
  <c r="L52" i="2"/>
  <c r="L44" i="2"/>
  <c r="M5" i="2"/>
  <c r="M4" i="2" s="1"/>
  <c r="L99" i="2"/>
  <c r="L91" i="2"/>
  <c r="L83" i="2"/>
  <c r="L75" i="2"/>
  <c r="L67" i="2"/>
  <c r="L59" i="2"/>
  <c r="L51" i="2"/>
  <c r="L43" i="2"/>
  <c r="L102" i="2"/>
  <c r="L98" i="2"/>
  <c r="L90" i="2"/>
  <c r="L82" i="2"/>
  <c r="L74" i="2"/>
  <c r="L66" i="2"/>
  <c r="L58" i="2"/>
  <c r="L50" i="2"/>
  <c r="L42" i="2"/>
  <c r="F6" i="4"/>
  <c r="F7" i="4"/>
  <c r="F8" i="4"/>
  <c r="I8" i="4" s="1"/>
  <c r="F2" i="4"/>
  <c r="G2" i="4" s="1"/>
  <c r="F3" i="4"/>
  <c r="I3" i="4" s="1"/>
  <c r="AL146" i="3"/>
  <c r="AJ146" i="3"/>
  <c r="F4" i="4"/>
  <c r="AJ147" i="3"/>
  <c r="A126" i="2"/>
  <c r="FA142" i="6" a="1"/>
  <c r="EV142" i="6" a="1"/>
  <c r="FA130" i="6" a="1"/>
  <c r="EV130" i="6" a="1"/>
  <c r="FA136" i="6" a="1"/>
  <c r="EV136" i="6" a="1"/>
  <c r="FA133" i="6" a="1"/>
  <c r="FA145" i="6" a="1"/>
  <c r="FA149" i="6" a="1"/>
  <c r="FA141" i="6" a="1"/>
  <c r="FA129" i="6" a="1"/>
  <c r="FA137" i="6" a="1"/>
  <c r="W126" i="2" l="1"/>
  <c r="V126" i="2"/>
  <c r="EV142" i="6"/>
  <c r="FA142" i="6"/>
  <c r="FH142" i="6" s="1"/>
  <c r="FG142" i="6" s="1"/>
  <c r="EV130" i="6"/>
  <c r="FA130" i="6"/>
  <c r="V6" i="2"/>
  <c r="W6" i="2"/>
  <c r="W7" i="2"/>
  <c r="V7" i="2"/>
  <c r="T6" i="2"/>
  <c r="S6" i="2"/>
  <c r="Q6" i="2"/>
  <c r="R6" i="2"/>
  <c r="T7" i="2"/>
  <c r="S7" i="2"/>
  <c r="R7" i="2"/>
  <c r="Q7" i="2"/>
  <c r="P6" i="2"/>
  <c r="O6" i="2"/>
  <c r="N6" i="2"/>
  <c r="P7" i="2"/>
  <c r="O7" i="2"/>
  <c r="N7" i="2"/>
  <c r="M6" i="2"/>
  <c r="L6" i="2"/>
  <c r="K6" i="2"/>
  <c r="J6" i="2"/>
  <c r="M7" i="2"/>
  <c r="L7" i="2"/>
  <c r="K7" i="2"/>
  <c r="J7" i="2"/>
  <c r="I6" i="2"/>
  <c r="H6" i="2"/>
  <c r="G6" i="2"/>
  <c r="F6" i="2"/>
  <c r="I7" i="2"/>
  <c r="H7" i="2"/>
  <c r="G7" i="2"/>
  <c r="F7" i="2"/>
  <c r="E6" i="2"/>
  <c r="E7" i="2"/>
  <c r="C6" i="2"/>
  <c r="D6" i="2"/>
  <c r="C7" i="2"/>
  <c r="D7" i="2"/>
  <c r="B7" i="2"/>
  <c r="B6" i="2"/>
  <c r="A8" i="2" a="1"/>
  <c r="A8" i="2" s="1"/>
  <c r="A9" i="2" a="1"/>
  <c r="A9" i="2" s="1"/>
  <c r="B7" i="3"/>
  <c r="A9" i="3" a="1"/>
  <c r="A9" i="3" s="1"/>
  <c r="B6" i="3"/>
  <c r="AN6" i="3"/>
  <c r="AM6" i="3"/>
  <c r="AN7" i="3"/>
  <c r="AM7" i="3"/>
  <c r="AL6" i="3"/>
  <c r="AJ6" i="3"/>
  <c r="AJ7" i="3"/>
  <c r="AL7" i="3"/>
  <c r="AF6" i="3"/>
  <c r="AH6" i="3"/>
  <c r="AF7" i="3"/>
  <c r="AH7" i="3"/>
  <c r="AB6" i="3"/>
  <c r="AD6" i="3"/>
  <c r="AB7" i="3"/>
  <c r="AD7" i="3"/>
  <c r="X6" i="3"/>
  <c r="Z6" i="3"/>
  <c r="X7" i="3"/>
  <c r="Z7" i="3"/>
  <c r="T6" i="3"/>
  <c r="V6" i="3"/>
  <c r="T7" i="3"/>
  <c r="V7" i="3"/>
  <c r="P6" i="3"/>
  <c r="R6" i="3"/>
  <c r="P7" i="3"/>
  <c r="R7" i="3"/>
  <c r="L6" i="3"/>
  <c r="N6" i="3"/>
  <c r="L7" i="3"/>
  <c r="N7" i="3"/>
  <c r="D6" i="3"/>
  <c r="J6" i="3"/>
  <c r="D7" i="3"/>
  <c r="J7" i="3"/>
  <c r="H6" i="3"/>
  <c r="F6" i="3"/>
  <c r="H7" i="3"/>
  <c r="F7" i="3"/>
  <c r="FA137" i="6"/>
  <c r="EY137" i="6" s="1"/>
  <c r="EZ137" i="6" s="1"/>
  <c r="FA129" i="6"/>
  <c r="EY129" i="6" s="1"/>
  <c r="EZ129" i="6" s="1"/>
  <c r="FA141" i="6"/>
  <c r="FH141" i="6" s="1"/>
  <c r="FA149" i="6"/>
  <c r="EY149" i="6" s="1"/>
  <c r="EZ149" i="6" s="1"/>
  <c r="FA145" i="6"/>
  <c r="EY145" i="6" s="1"/>
  <c r="EZ145" i="6" s="1"/>
  <c r="FA133" i="6"/>
  <c r="EY133" i="6" s="1"/>
  <c r="EZ133" i="6" s="1"/>
  <c r="EV136" i="6"/>
  <c r="FA136" i="6"/>
  <c r="FH127" i="6"/>
  <c r="FG127" i="6" s="1"/>
  <c r="FD127" i="6"/>
  <c r="FE127" i="6" s="1"/>
  <c r="FC128" i="6"/>
  <c r="EY128" i="6"/>
  <c r="EZ128" i="6" s="1"/>
  <c r="FD128" i="6"/>
  <c r="FE128" i="6" s="1"/>
  <c r="FH128" i="6"/>
  <c r="FG128" i="6" s="1"/>
  <c r="EY139" i="6"/>
  <c r="EZ139" i="6" s="1"/>
  <c r="FC139" i="6"/>
  <c r="FH125" i="6"/>
  <c r="FG125" i="6" s="1"/>
  <c r="FD125" i="6"/>
  <c r="FE125" i="6" s="1"/>
  <c r="FC126" i="6"/>
  <c r="EY126" i="6"/>
  <c r="EZ126" i="6" s="1"/>
  <c r="FD126" i="6"/>
  <c r="FE126" i="6" s="1"/>
  <c r="FH126" i="6"/>
  <c r="FG126" i="6" s="1"/>
  <c r="FC137" i="6"/>
  <c r="I4" i="4"/>
  <c r="I5" i="4"/>
  <c r="I7" i="4"/>
  <c r="I6" i="4"/>
  <c r="X4" i="3"/>
  <c r="FH151" i="6"/>
  <c r="FG151" i="6" s="1"/>
  <c r="FD151" i="6"/>
  <c r="FE151" i="6" s="1"/>
  <c r="FC150" i="6"/>
  <c r="EY150" i="6"/>
  <c r="EZ150" i="6" s="1"/>
  <c r="FD150" i="6"/>
  <c r="FE150" i="6" s="1"/>
  <c r="FH150" i="6"/>
  <c r="FG150" i="6" s="1"/>
  <c r="EY151" i="6"/>
  <c r="EZ151" i="6" s="1"/>
  <c r="FC151" i="6"/>
  <c r="EY135" i="6"/>
  <c r="EZ135" i="6" s="1"/>
  <c r="FC135" i="6"/>
  <c r="FH147" i="6"/>
  <c r="FG147" i="6" s="1"/>
  <c r="FD147" i="6"/>
  <c r="FE147" i="6" s="1"/>
  <c r="FC146" i="6"/>
  <c r="EY146" i="6"/>
  <c r="EZ146" i="6" s="1"/>
  <c r="FD146" i="6"/>
  <c r="FE146" i="6" s="1"/>
  <c r="FH146" i="6"/>
  <c r="FG146" i="6" s="1"/>
  <c r="FC149" i="6"/>
  <c r="FC133" i="6"/>
  <c r="FH143" i="6"/>
  <c r="FG143" i="6" s="1"/>
  <c r="FD143" i="6"/>
  <c r="FE143" i="6" s="1"/>
  <c r="EY147" i="6"/>
  <c r="EZ147" i="6" s="1"/>
  <c r="FC147" i="6"/>
  <c r="EY131" i="6"/>
  <c r="EZ131" i="6" s="1"/>
  <c r="FC131" i="6"/>
  <c r="FH139" i="6"/>
  <c r="FG139" i="6" s="1"/>
  <c r="FD139" i="6"/>
  <c r="FE139" i="6" s="1"/>
  <c r="FC138" i="6"/>
  <c r="EY138" i="6"/>
  <c r="EZ138" i="6" s="1"/>
  <c r="FD138" i="6"/>
  <c r="FE138" i="6" s="1"/>
  <c r="FH138" i="6"/>
  <c r="FG138" i="6" s="1"/>
  <c r="FC145" i="6"/>
  <c r="FC129" i="6"/>
  <c r="FH135" i="6"/>
  <c r="FG135" i="6" s="1"/>
  <c r="FD135" i="6"/>
  <c r="FE135" i="6" s="1"/>
  <c r="FC134" i="6"/>
  <c r="EY134" i="6"/>
  <c r="EZ134" i="6" s="1"/>
  <c r="FD134" i="6"/>
  <c r="FE134" i="6" s="1"/>
  <c r="FH134" i="6"/>
  <c r="FG134" i="6" s="1"/>
  <c r="EY143" i="6"/>
  <c r="EZ143" i="6" s="1"/>
  <c r="FC143" i="6"/>
  <c r="EY127" i="6"/>
  <c r="EZ127" i="6" s="1"/>
  <c r="FC127" i="6"/>
  <c r="A128" i="2"/>
  <c r="I2" i="4"/>
  <c r="FH131" i="6"/>
  <c r="FG131" i="6" s="1"/>
  <c r="FD131" i="6"/>
  <c r="FE131" i="6" s="1"/>
  <c r="FC130" i="6"/>
  <c r="FH130" i="6"/>
  <c r="FG130" i="6" s="1"/>
  <c r="FC141" i="6"/>
  <c r="EY125" i="6"/>
  <c r="EZ125" i="6" s="1"/>
  <c r="FC125" i="6"/>
  <c r="FA132" i="6" a="1"/>
  <c r="EV132" i="6" a="1"/>
  <c r="M3" i="2" a="1"/>
  <c r="FA140" i="6" a="1"/>
  <c r="EV140" i="6" a="1"/>
  <c r="FA144" i="6" a="1"/>
  <c r="EV144" i="6" a="1"/>
  <c r="FA152" i="6" a="1"/>
  <c r="EV152" i="6" a="1"/>
  <c r="FA148" i="6" a="1"/>
  <c r="EV148" i="6" a="1"/>
  <c r="W128" i="2" l="1"/>
  <c r="V128" i="2"/>
  <c r="EY141" i="6"/>
  <c r="EZ141" i="6" s="1"/>
  <c r="FD130" i="6"/>
  <c r="FE130" i="6" s="1"/>
  <c r="EY142" i="6"/>
  <c r="EZ142" i="6" s="1"/>
  <c r="FC142" i="6"/>
  <c r="FD142" i="6" s="1"/>
  <c r="FE142" i="6" s="1"/>
  <c r="EY130" i="6"/>
  <c r="EZ130" i="6" s="1"/>
  <c r="W9" i="2"/>
  <c r="V9" i="2"/>
  <c r="W8" i="2"/>
  <c r="V8" i="2"/>
  <c r="A11" i="2" a="1"/>
  <c r="A11" i="2" s="1"/>
  <c r="A10" i="2" a="1"/>
  <c r="A10" i="2" s="1"/>
  <c r="N9" i="2"/>
  <c r="F9" i="2"/>
  <c r="M9" i="2"/>
  <c r="E9" i="2"/>
  <c r="T9" i="2"/>
  <c r="L9" i="2"/>
  <c r="D9" i="2"/>
  <c r="S9" i="2"/>
  <c r="K9" i="2"/>
  <c r="C9" i="2"/>
  <c r="R9" i="2"/>
  <c r="J9" i="2"/>
  <c r="B9" i="2"/>
  <c r="Q9" i="2"/>
  <c r="I9" i="2"/>
  <c r="P9" i="2"/>
  <c r="H9" i="2"/>
  <c r="O9" i="2"/>
  <c r="G9" i="2"/>
  <c r="S8" i="2"/>
  <c r="K8" i="2"/>
  <c r="C8" i="2"/>
  <c r="R8" i="2"/>
  <c r="J8" i="2"/>
  <c r="B8" i="2"/>
  <c r="Q8" i="2"/>
  <c r="I8" i="2"/>
  <c r="P8" i="2"/>
  <c r="H8" i="2"/>
  <c r="O8" i="2"/>
  <c r="G8" i="2"/>
  <c r="N8" i="2"/>
  <c r="F8" i="2"/>
  <c r="M8" i="2"/>
  <c r="E8" i="2"/>
  <c r="T8" i="2"/>
  <c r="L8" i="2"/>
  <c r="D8" i="2"/>
  <c r="AN8" i="3"/>
  <c r="AM8" i="3"/>
  <c r="AN9" i="3"/>
  <c r="AM9" i="3"/>
  <c r="H9" i="3"/>
  <c r="AD9" i="3"/>
  <c r="AF9" i="3"/>
  <c r="D9" i="3"/>
  <c r="AB9" i="3"/>
  <c r="V9" i="3"/>
  <c r="X9" i="3"/>
  <c r="R9" i="3"/>
  <c r="L9" i="3"/>
  <c r="T9" i="3"/>
  <c r="J9" i="3"/>
  <c r="P9" i="3"/>
  <c r="AJ9" i="3"/>
  <c r="Z9" i="3"/>
  <c r="B9" i="3"/>
  <c r="F9" i="3"/>
  <c r="AH9" i="3"/>
  <c r="AL9" i="3"/>
  <c r="N9" i="3"/>
  <c r="A11" i="3" a="1"/>
  <c r="A11" i="3" s="1"/>
  <c r="AJ8" i="3"/>
  <c r="T8" i="3"/>
  <c r="D8" i="3"/>
  <c r="A10" i="3" a="1"/>
  <c r="A10" i="3" s="1"/>
  <c r="AH8" i="3"/>
  <c r="R8" i="3"/>
  <c r="B8" i="3"/>
  <c r="AF8" i="3"/>
  <c r="P8" i="3"/>
  <c r="V8" i="3"/>
  <c r="AD8" i="3"/>
  <c r="N8" i="3"/>
  <c r="AL8" i="3"/>
  <c r="AB8" i="3"/>
  <c r="L8" i="3"/>
  <c r="Z8" i="3"/>
  <c r="J8" i="3"/>
  <c r="F8" i="3"/>
  <c r="X8" i="3"/>
  <c r="H8" i="3"/>
  <c r="EV148" i="6"/>
  <c r="FA148" i="6"/>
  <c r="EV152" i="6"/>
  <c r="FA152" i="6"/>
  <c r="EV144" i="6"/>
  <c r="FA144" i="6"/>
  <c r="EV140" i="6"/>
  <c r="FA140" i="6"/>
  <c r="M3" i="2"/>
  <c r="A2" i="9" s="1"/>
  <c r="EV132" i="6"/>
  <c r="FA132" i="6"/>
  <c r="A130" i="2"/>
  <c r="FD136" i="6"/>
  <c r="FE136" i="6" s="1"/>
  <c r="FH136" i="6"/>
  <c r="FG136" i="6" s="1"/>
  <c r="FC136" i="6"/>
  <c r="EY136" i="6"/>
  <c r="EZ136" i="6" s="1"/>
  <c r="FH133" i="6"/>
  <c r="FG133" i="6" s="1"/>
  <c r="FD133" i="6"/>
  <c r="FE133" i="6" s="1"/>
  <c r="FH145" i="6"/>
  <c r="FG145" i="6" s="1"/>
  <c r="FD145" i="6"/>
  <c r="FE145" i="6" s="1"/>
  <c r="FH149" i="6"/>
  <c r="FG149" i="6" s="1"/>
  <c r="FD149" i="6"/>
  <c r="FE149" i="6" s="1"/>
  <c r="FG141" i="6"/>
  <c r="FD141" i="6"/>
  <c r="FE141" i="6" s="1"/>
  <c r="FH129" i="6"/>
  <c r="FG129" i="6" s="1"/>
  <c r="FD129" i="6"/>
  <c r="FE129" i="6" s="1"/>
  <c r="FH137" i="6"/>
  <c r="FG137" i="6" s="1"/>
  <c r="FD137" i="6"/>
  <c r="FE137" i="6" s="1"/>
  <c r="W130" i="2" l="1"/>
  <c r="V130" i="2"/>
  <c r="F2" i="9"/>
  <c r="D10" i="2"/>
  <c r="V10" i="2"/>
  <c r="W10" i="2"/>
  <c r="E11" i="2"/>
  <c r="W11" i="2"/>
  <c r="V11" i="2"/>
  <c r="R11" i="2"/>
  <c r="L11" i="2"/>
  <c r="M11" i="2"/>
  <c r="G11" i="2"/>
  <c r="I11" i="2"/>
  <c r="O11" i="2"/>
  <c r="F11" i="2"/>
  <c r="H11" i="2"/>
  <c r="H10" i="2"/>
  <c r="K11" i="2"/>
  <c r="C10" i="2"/>
  <c r="D11" i="2"/>
  <c r="T10" i="2"/>
  <c r="K10" i="2"/>
  <c r="Q11" i="2"/>
  <c r="N11" i="2"/>
  <c r="F10" i="2"/>
  <c r="S10" i="2"/>
  <c r="O10" i="2"/>
  <c r="L10" i="2"/>
  <c r="C11" i="2"/>
  <c r="P10" i="2"/>
  <c r="Q10" i="2"/>
  <c r="B10" i="2"/>
  <c r="I10" i="2"/>
  <c r="P11" i="2"/>
  <c r="S11" i="2"/>
  <c r="A12" i="2" a="1"/>
  <c r="A12" i="2" s="1"/>
  <c r="N10" i="2"/>
  <c r="J10" i="2"/>
  <c r="E10" i="2"/>
  <c r="B11" i="2"/>
  <c r="T11" i="2"/>
  <c r="G10" i="2"/>
  <c r="R10" i="2"/>
  <c r="M10" i="2"/>
  <c r="J11" i="2"/>
  <c r="A13" i="2" a="1"/>
  <c r="A13" i="2" s="1"/>
  <c r="AN11" i="3"/>
  <c r="AM11" i="3"/>
  <c r="AN10" i="3"/>
  <c r="AM10" i="3"/>
  <c r="T11" i="3"/>
  <c r="J11" i="3"/>
  <c r="P11" i="3"/>
  <c r="AJ11" i="3"/>
  <c r="Z11" i="3"/>
  <c r="AF11" i="3"/>
  <c r="F11" i="3"/>
  <c r="H11" i="3"/>
  <c r="B11" i="3"/>
  <c r="V11" i="3"/>
  <c r="L11" i="3"/>
  <c r="R11" i="3"/>
  <c r="AL11" i="3"/>
  <c r="N11" i="3"/>
  <c r="A13" i="3" a="1"/>
  <c r="A13" i="3" s="1"/>
  <c r="AD11" i="3"/>
  <c r="D11" i="3"/>
  <c r="AB11" i="3"/>
  <c r="AH11" i="3"/>
  <c r="X11" i="3"/>
  <c r="AF10" i="3"/>
  <c r="P10" i="3"/>
  <c r="AD10" i="3"/>
  <c r="N10" i="3"/>
  <c r="AB10" i="3"/>
  <c r="L10" i="3"/>
  <c r="AH10" i="3"/>
  <c r="Z10" i="3"/>
  <c r="J10" i="3"/>
  <c r="B10" i="3"/>
  <c r="X10" i="3"/>
  <c r="H10" i="3"/>
  <c r="A12" i="3" a="1"/>
  <c r="A12" i="3" s="1"/>
  <c r="AL10" i="3"/>
  <c r="V10" i="3"/>
  <c r="F10" i="3"/>
  <c r="R10" i="3"/>
  <c r="AJ10" i="3"/>
  <c r="T10" i="3"/>
  <c r="D10" i="3"/>
  <c r="FD132" i="6"/>
  <c r="FE132" i="6" s="1"/>
  <c r="FH132" i="6"/>
  <c r="FG132" i="6" s="1"/>
  <c r="FC152" i="6"/>
  <c r="EY152" i="6"/>
  <c r="EZ152" i="6" s="1"/>
  <c r="FC132" i="6"/>
  <c r="EY132" i="6"/>
  <c r="EZ132" i="6" s="1"/>
  <c r="FD148" i="6"/>
  <c r="FE148" i="6" s="1"/>
  <c r="FH148" i="6"/>
  <c r="FG148" i="6" s="1"/>
  <c r="FC148" i="6"/>
  <c r="EY148" i="6"/>
  <c r="EZ148" i="6" s="1"/>
  <c r="A132" i="2"/>
  <c r="FD144" i="6"/>
  <c r="FE144" i="6" s="1"/>
  <c r="FH144" i="6"/>
  <c r="FG144" i="6" s="1"/>
  <c r="FD140" i="6"/>
  <c r="FE140" i="6" s="1"/>
  <c r="FH140" i="6"/>
  <c r="FG140" i="6" s="1"/>
  <c r="FC144" i="6"/>
  <c r="EY144" i="6"/>
  <c r="EZ144" i="6" s="1"/>
  <c r="FC140" i="6"/>
  <c r="EY140" i="6"/>
  <c r="EZ140" i="6" s="1"/>
  <c r="M125" i="2"/>
  <c r="M117" i="2"/>
  <c r="M109" i="2"/>
  <c r="M124" i="2"/>
  <c r="M116" i="2"/>
  <c r="M108" i="2"/>
  <c r="X3" i="3"/>
  <c r="M123" i="2"/>
  <c r="M115" i="2"/>
  <c r="M107" i="2"/>
  <c r="M122" i="2"/>
  <c r="M114" i="2"/>
  <c r="M106" i="2"/>
  <c r="M121" i="2"/>
  <c r="M113" i="2"/>
  <c r="M105" i="2"/>
  <c r="M128" i="2"/>
  <c r="M120" i="2"/>
  <c r="M112" i="2"/>
  <c r="M104" i="2"/>
  <c r="M127" i="2"/>
  <c r="M119" i="2"/>
  <c r="M111" i="2"/>
  <c r="M126" i="2"/>
  <c r="M118" i="2"/>
  <c r="M110" i="2"/>
  <c r="M102" i="2"/>
  <c r="M96" i="2"/>
  <c r="M88" i="2"/>
  <c r="M80" i="2"/>
  <c r="M72" i="2"/>
  <c r="M64" i="2"/>
  <c r="M56" i="2"/>
  <c r="M48" i="2"/>
  <c r="M40" i="2"/>
  <c r="M95" i="2"/>
  <c r="M87" i="2"/>
  <c r="M79" i="2"/>
  <c r="M71" i="2"/>
  <c r="M63" i="2"/>
  <c r="M55" i="2"/>
  <c r="M47" i="2"/>
  <c r="M103" i="2"/>
  <c r="M94" i="2"/>
  <c r="M86" i="2"/>
  <c r="M78" i="2"/>
  <c r="M70" i="2"/>
  <c r="M62" i="2"/>
  <c r="M54" i="2"/>
  <c r="M46" i="2"/>
  <c r="M101" i="2"/>
  <c r="M93" i="2"/>
  <c r="M85" i="2"/>
  <c r="M77" i="2"/>
  <c r="M69" i="2"/>
  <c r="M61" i="2"/>
  <c r="M53" i="2"/>
  <c r="M45" i="2"/>
  <c r="M100" i="2"/>
  <c r="M92" i="2"/>
  <c r="M84" i="2"/>
  <c r="M76" i="2"/>
  <c r="M68" i="2"/>
  <c r="M60" i="2"/>
  <c r="M52" i="2"/>
  <c r="M44" i="2"/>
  <c r="N5" i="2"/>
  <c r="N4" i="2" s="1"/>
  <c r="M99" i="2"/>
  <c r="M91" i="2"/>
  <c r="M83" i="2"/>
  <c r="M75" i="2"/>
  <c r="M67" i="2"/>
  <c r="M59" i="2"/>
  <c r="M51" i="2"/>
  <c r="M43" i="2"/>
  <c r="M98" i="2"/>
  <c r="M90" i="2"/>
  <c r="M82" i="2"/>
  <c r="M74" i="2"/>
  <c r="M66" i="2"/>
  <c r="M58" i="2"/>
  <c r="M50" i="2"/>
  <c r="M42" i="2"/>
  <c r="M97" i="2"/>
  <c r="M89" i="2"/>
  <c r="M81" i="2"/>
  <c r="M73" i="2"/>
  <c r="M65" i="2"/>
  <c r="M57" i="2"/>
  <c r="M49" i="2"/>
  <c r="M41" i="2"/>
  <c r="FD152" i="6"/>
  <c r="FE152" i="6" s="1"/>
  <c r="FH152" i="6"/>
  <c r="FG152" i="6" s="1"/>
  <c r="B2" i="9" a="1"/>
  <c r="W132" i="2" l="1"/>
  <c r="V132" i="2"/>
  <c r="B2" i="9"/>
  <c r="W13" i="2"/>
  <c r="V13" i="2"/>
  <c r="W12" i="2"/>
  <c r="V12" i="2"/>
  <c r="N13" i="2"/>
  <c r="K13" i="2"/>
  <c r="H13" i="2"/>
  <c r="P13" i="2"/>
  <c r="F13" i="2"/>
  <c r="C13" i="2"/>
  <c r="O13" i="2"/>
  <c r="M13" i="2"/>
  <c r="R13" i="2"/>
  <c r="G13" i="2"/>
  <c r="E13" i="2"/>
  <c r="J13" i="2"/>
  <c r="S13" i="2"/>
  <c r="T13" i="2"/>
  <c r="B13" i="2"/>
  <c r="L13" i="2"/>
  <c r="Q13" i="2"/>
  <c r="A15" i="2" a="1"/>
  <c r="A15" i="2" s="1"/>
  <c r="D13" i="2"/>
  <c r="I13" i="2"/>
  <c r="S12" i="2"/>
  <c r="P12" i="2"/>
  <c r="K12" i="2"/>
  <c r="H12" i="2"/>
  <c r="A14" i="2" a="1"/>
  <c r="A14" i="2" s="1"/>
  <c r="C12" i="2"/>
  <c r="O12" i="2"/>
  <c r="I12" i="2"/>
  <c r="M12" i="2"/>
  <c r="R12" i="2"/>
  <c r="G12" i="2"/>
  <c r="E12" i="2"/>
  <c r="J12" i="2"/>
  <c r="N12" i="2"/>
  <c r="T12" i="2"/>
  <c r="B12" i="2"/>
  <c r="F12" i="2"/>
  <c r="D12" i="2"/>
  <c r="L12" i="2"/>
  <c r="Q12" i="2"/>
  <c r="AM12" i="3"/>
  <c r="AN12" i="3"/>
  <c r="AN13" i="3"/>
  <c r="AM13" i="3"/>
  <c r="P13" i="3"/>
  <c r="Z13" i="3"/>
  <c r="AF13" i="3"/>
  <c r="F13" i="3"/>
  <c r="AJ13" i="3"/>
  <c r="B13" i="3"/>
  <c r="AL13" i="3"/>
  <c r="AB13" i="3"/>
  <c r="AH13" i="3"/>
  <c r="V13" i="3"/>
  <c r="L13" i="3"/>
  <c r="R13" i="3"/>
  <c r="D13" i="3"/>
  <c r="T13" i="3"/>
  <c r="A15" i="3" a="1"/>
  <c r="A15" i="3" s="1"/>
  <c r="H13" i="3"/>
  <c r="N13" i="3"/>
  <c r="X13" i="3"/>
  <c r="AD13" i="3"/>
  <c r="J13" i="3"/>
  <c r="AB12" i="3"/>
  <c r="L12" i="3"/>
  <c r="Z12" i="3"/>
  <c r="J12" i="3"/>
  <c r="X12" i="3"/>
  <c r="H12" i="3"/>
  <c r="AL12" i="3"/>
  <c r="V12" i="3"/>
  <c r="F12" i="3"/>
  <c r="AJ12" i="3"/>
  <c r="T12" i="3"/>
  <c r="D12" i="3"/>
  <c r="AD12" i="3"/>
  <c r="A14" i="3" a="1"/>
  <c r="A14" i="3" s="1"/>
  <c r="AH12" i="3"/>
  <c r="R12" i="3"/>
  <c r="B12" i="3"/>
  <c r="N12" i="3"/>
  <c r="AF12" i="3"/>
  <c r="P12" i="3"/>
  <c r="Z4" i="3"/>
  <c r="A134" i="2"/>
  <c r="N3" i="2" a="1"/>
  <c r="W134" i="2" l="1"/>
  <c r="V134" i="2"/>
  <c r="W15" i="2"/>
  <c r="V15" i="2"/>
  <c r="V14" i="2"/>
  <c r="W14" i="2"/>
  <c r="C14" i="2"/>
  <c r="D14" i="2"/>
  <c r="N14" i="2"/>
  <c r="M14" i="2"/>
  <c r="T14" i="2"/>
  <c r="J14" i="2"/>
  <c r="P14" i="2"/>
  <c r="A16" i="2" a="1"/>
  <c r="A16" i="2" s="1"/>
  <c r="Q14" i="2"/>
  <c r="E14" i="2"/>
  <c r="S14" i="2"/>
  <c r="O14" i="2"/>
  <c r="K14" i="2"/>
  <c r="L14" i="2"/>
  <c r="H14" i="2"/>
  <c r="G14" i="2"/>
  <c r="B14" i="2"/>
  <c r="I14" i="2"/>
  <c r="F14" i="2"/>
  <c r="R14" i="2"/>
  <c r="G15" i="2"/>
  <c r="S15" i="2"/>
  <c r="J15" i="2"/>
  <c r="O15" i="2"/>
  <c r="F15" i="2"/>
  <c r="N15" i="2"/>
  <c r="P15" i="2"/>
  <c r="D15" i="2"/>
  <c r="B15" i="2"/>
  <c r="H15" i="2"/>
  <c r="I15" i="2"/>
  <c r="R15" i="2"/>
  <c r="T15" i="2"/>
  <c r="K15" i="2"/>
  <c r="L15" i="2"/>
  <c r="Q15" i="2"/>
  <c r="A17" i="2" a="1"/>
  <c r="A17" i="2" s="1"/>
  <c r="E15" i="2"/>
  <c r="C15" i="2"/>
  <c r="M15" i="2"/>
  <c r="AN14" i="3"/>
  <c r="AM14" i="3"/>
  <c r="AN15" i="3"/>
  <c r="AM15" i="3"/>
  <c r="N15" i="3"/>
  <c r="AD15" i="3"/>
  <c r="A17" i="3" a="1"/>
  <c r="A17" i="3" s="1"/>
  <c r="D15" i="3"/>
  <c r="T15" i="3"/>
  <c r="AL15" i="3"/>
  <c r="X15" i="3"/>
  <c r="AF15" i="3"/>
  <c r="H15" i="3"/>
  <c r="J15" i="3"/>
  <c r="AJ15" i="3"/>
  <c r="Z15" i="3"/>
  <c r="B15" i="3"/>
  <c r="P15" i="3"/>
  <c r="L15" i="3"/>
  <c r="R15" i="3"/>
  <c r="F15" i="3"/>
  <c r="AB15" i="3"/>
  <c r="AH15" i="3"/>
  <c r="V15" i="3"/>
  <c r="X14" i="3"/>
  <c r="H14" i="3"/>
  <c r="AL14" i="3"/>
  <c r="V14" i="3"/>
  <c r="F14" i="3"/>
  <c r="AJ14" i="3"/>
  <c r="T14" i="3"/>
  <c r="D14" i="3"/>
  <c r="A16" i="3" a="1"/>
  <c r="A16" i="3" s="1"/>
  <c r="AH14" i="3"/>
  <c r="R14" i="3"/>
  <c r="B14" i="3"/>
  <c r="AF14" i="3"/>
  <c r="P14" i="3"/>
  <c r="Z14" i="3"/>
  <c r="AD14" i="3"/>
  <c r="N14" i="3"/>
  <c r="J14" i="3"/>
  <c r="AB14" i="3"/>
  <c r="L14" i="3"/>
  <c r="N3" i="2"/>
  <c r="A3" i="9" s="1"/>
  <c r="A136" i="2"/>
  <c r="W136" i="2" l="1"/>
  <c r="V136" i="2"/>
  <c r="F3" i="9"/>
  <c r="B3" i="9" s="1" a="1"/>
  <c r="B3" i="9" s="1"/>
  <c r="W16" i="2"/>
  <c r="V16" i="2"/>
  <c r="W17" i="2"/>
  <c r="V17" i="2"/>
  <c r="Q16" i="2"/>
  <c r="E16" i="2"/>
  <c r="M16" i="2"/>
  <c r="C16" i="2"/>
  <c r="L16" i="2"/>
  <c r="F16" i="2"/>
  <c r="D16" i="2"/>
  <c r="I16" i="2"/>
  <c r="S16" i="2"/>
  <c r="K16" i="2"/>
  <c r="G16" i="2"/>
  <c r="R16" i="2"/>
  <c r="B16" i="2"/>
  <c r="N16" i="2"/>
  <c r="H16" i="2"/>
  <c r="O16" i="2"/>
  <c r="T16" i="2"/>
  <c r="A18" i="2" a="1"/>
  <c r="A18" i="2" s="1"/>
  <c r="P16" i="2"/>
  <c r="J16" i="2"/>
  <c r="J17" i="2"/>
  <c r="D17" i="2"/>
  <c r="S17" i="2"/>
  <c r="N17" i="2"/>
  <c r="O17" i="2"/>
  <c r="E17" i="2"/>
  <c r="B17" i="2"/>
  <c r="K17" i="2"/>
  <c r="P17" i="2"/>
  <c r="C17" i="2"/>
  <c r="A19" i="2" a="1"/>
  <c r="A19" i="2" s="1"/>
  <c r="H17" i="2"/>
  <c r="L17" i="2"/>
  <c r="M17" i="2"/>
  <c r="R17" i="2"/>
  <c r="I17" i="2"/>
  <c r="F17" i="2"/>
  <c r="Q17" i="2"/>
  <c r="G17" i="2"/>
  <c r="T17" i="2"/>
  <c r="AN17" i="3"/>
  <c r="AM17" i="3"/>
  <c r="AM16" i="3"/>
  <c r="AN16" i="3"/>
  <c r="P17" i="3"/>
  <c r="A19" i="3" a="1"/>
  <c r="A19" i="3" s="1"/>
  <c r="J17" i="3"/>
  <c r="Z17" i="3"/>
  <c r="AD17" i="3"/>
  <c r="R17" i="3"/>
  <c r="T17" i="3"/>
  <c r="F17" i="3"/>
  <c r="AF17" i="3"/>
  <c r="AJ17" i="3"/>
  <c r="AB17" i="3"/>
  <c r="AL17" i="3"/>
  <c r="V17" i="3"/>
  <c r="B17" i="3"/>
  <c r="X17" i="3"/>
  <c r="N17" i="3"/>
  <c r="AH17" i="3"/>
  <c r="H17" i="3"/>
  <c r="L17" i="3"/>
  <c r="D17" i="3"/>
  <c r="AJ16" i="3"/>
  <c r="T16" i="3"/>
  <c r="D16" i="3"/>
  <c r="A18" i="3" a="1"/>
  <c r="A18" i="3" s="1"/>
  <c r="AH16" i="3"/>
  <c r="R16" i="3"/>
  <c r="B16" i="3"/>
  <c r="AF16" i="3"/>
  <c r="P16" i="3"/>
  <c r="AD16" i="3"/>
  <c r="N16" i="3"/>
  <c r="AB16" i="3"/>
  <c r="L16" i="3"/>
  <c r="F16" i="3"/>
  <c r="Z16" i="3"/>
  <c r="J16" i="3"/>
  <c r="AL16" i="3"/>
  <c r="V16" i="3"/>
  <c r="X16" i="3"/>
  <c r="H16" i="3"/>
  <c r="A138" i="2"/>
  <c r="N124" i="2"/>
  <c r="N116" i="2"/>
  <c r="N108" i="2"/>
  <c r="Z3" i="3"/>
  <c r="N123" i="2"/>
  <c r="N115" i="2"/>
  <c r="N107" i="2"/>
  <c r="N122" i="2"/>
  <c r="N114" i="2"/>
  <c r="N106" i="2"/>
  <c r="N121" i="2"/>
  <c r="N113" i="2"/>
  <c r="N105" i="2"/>
  <c r="N128" i="2"/>
  <c r="N120" i="2"/>
  <c r="N112" i="2"/>
  <c r="N127" i="2"/>
  <c r="N119" i="2"/>
  <c r="N111" i="2"/>
  <c r="N103" i="2"/>
  <c r="N126" i="2"/>
  <c r="N118" i="2"/>
  <c r="N110" i="2"/>
  <c r="N125" i="2"/>
  <c r="N117" i="2"/>
  <c r="N109" i="2"/>
  <c r="N95" i="2"/>
  <c r="N87" i="2"/>
  <c r="N79" i="2"/>
  <c r="N71" i="2"/>
  <c r="N63" i="2"/>
  <c r="N55" i="2"/>
  <c r="N47" i="2"/>
  <c r="N94" i="2"/>
  <c r="N86" i="2"/>
  <c r="N78" i="2"/>
  <c r="N70" i="2"/>
  <c r="N62" i="2"/>
  <c r="N54" i="2"/>
  <c r="N46" i="2"/>
  <c r="N101" i="2"/>
  <c r="N93" i="2"/>
  <c r="N85" i="2"/>
  <c r="N77" i="2"/>
  <c r="N69" i="2"/>
  <c r="N61" i="2"/>
  <c r="N53" i="2"/>
  <c r="N45" i="2"/>
  <c r="O5" i="2"/>
  <c r="O4" i="2" s="1"/>
  <c r="N100" i="2"/>
  <c r="N92" i="2"/>
  <c r="N84" i="2"/>
  <c r="N76" i="2"/>
  <c r="N68" i="2"/>
  <c r="N60" i="2"/>
  <c r="N52" i="2"/>
  <c r="N44" i="2"/>
  <c r="N99" i="2"/>
  <c r="N91" i="2"/>
  <c r="N83" i="2"/>
  <c r="N75" i="2"/>
  <c r="N67" i="2"/>
  <c r="N59" i="2"/>
  <c r="N51" i="2"/>
  <c r="N43" i="2"/>
  <c r="N98" i="2"/>
  <c r="N90" i="2"/>
  <c r="N82" i="2"/>
  <c r="N74" i="2"/>
  <c r="N66" i="2"/>
  <c r="N58" i="2"/>
  <c r="N50" i="2"/>
  <c r="N42" i="2"/>
  <c r="N102" i="2"/>
  <c r="N97" i="2"/>
  <c r="N89" i="2"/>
  <c r="N81" i="2"/>
  <c r="N73" i="2"/>
  <c r="N65" i="2"/>
  <c r="N57" i="2"/>
  <c r="N49" i="2"/>
  <c r="N41" i="2"/>
  <c r="N104" i="2"/>
  <c r="N96" i="2"/>
  <c r="N88" i="2"/>
  <c r="N80" i="2"/>
  <c r="N72" i="2"/>
  <c r="N64" i="2"/>
  <c r="N56" i="2"/>
  <c r="N48" i="2"/>
  <c r="N40" i="2"/>
  <c r="W138" i="2" l="1"/>
  <c r="V138" i="2"/>
  <c r="V18" i="2"/>
  <c r="W18" i="2"/>
  <c r="W19" i="2"/>
  <c r="V19" i="2"/>
  <c r="R19" i="2"/>
  <c r="N19" i="2"/>
  <c r="G19" i="2"/>
  <c r="L19" i="2"/>
  <c r="C19" i="2"/>
  <c r="P19" i="2"/>
  <c r="E19" i="2"/>
  <c r="Q19" i="2"/>
  <c r="D19" i="2"/>
  <c r="M19" i="2"/>
  <c r="H19" i="2"/>
  <c r="J19" i="2"/>
  <c r="F19" i="2"/>
  <c r="S19" i="2"/>
  <c r="A21" i="2" a="1"/>
  <c r="A21" i="2" s="1"/>
  <c r="O19" i="2"/>
  <c r="T19" i="2"/>
  <c r="I19" i="2"/>
  <c r="K19" i="2"/>
  <c r="B19" i="2"/>
  <c r="A20" i="2" a="1"/>
  <c r="A20" i="2" s="1"/>
  <c r="P18" i="2"/>
  <c r="Q18" i="2"/>
  <c r="C18" i="2"/>
  <c r="D18" i="2"/>
  <c r="L18" i="2"/>
  <c r="S18" i="2"/>
  <c r="R18" i="2"/>
  <c r="I18" i="2"/>
  <c r="G18" i="2"/>
  <c r="B18" i="2"/>
  <c r="O18" i="2"/>
  <c r="J18" i="2"/>
  <c r="H18" i="2"/>
  <c r="F18" i="2"/>
  <c r="T18" i="2"/>
  <c r="M18" i="2"/>
  <c r="K18" i="2"/>
  <c r="N18" i="2"/>
  <c r="E18" i="2"/>
  <c r="AN19" i="3"/>
  <c r="AM19" i="3"/>
  <c r="AN18" i="3"/>
  <c r="AM18" i="3"/>
  <c r="AL19" i="3"/>
  <c r="D19" i="3"/>
  <c r="F19" i="3"/>
  <c r="A21" i="3" a="1"/>
  <c r="A21" i="3" s="1"/>
  <c r="J19" i="3"/>
  <c r="L19" i="3"/>
  <c r="AB19" i="3"/>
  <c r="AD19" i="3"/>
  <c r="P19" i="3"/>
  <c r="AF19" i="3"/>
  <c r="R19" i="3"/>
  <c r="X19" i="3"/>
  <c r="AH19" i="3"/>
  <c r="H19" i="3"/>
  <c r="T19" i="3"/>
  <c r="N19" i="3"/>
  <c r="AJ19" i="3"/>
  <c r="V19" i="3"/>
  <c r="Z19" i="3"/>
  <c r="B19" i="3"/>
  <c r="AF18" i="3"/>
  <c r="P18" i="3"/>
  <c r="AD18" i="3"/>
  <c r="N18" i="3"/>
  <c r="AB18" i="3"/>
  <c r="L18" i="3"/>
  <c r="B18" i="3"/>
  <c r="Z18" i="3"/>
  <c r="J18" i="3"/>
  <c r="R18" i="3"/>
  <c r="X18" i="3"/>
  <c r="H18" i="3"/>
  <c r="AL18" i="3"/>
  <c r="V18" i="3"/>
  <c r="F18" i="3"/>
  <c r="AH18" i="3"/>
  <c r="AJ18" i="3"/>
  <c r="T18" i="3"/>
  <c r="D18" i="3"/>
  <c r="A20" i="3" a="1"/>
  <c r="A20" i="3" s="1"/>
  <c r="AB4" i="3"/>
  <c r="A140" i="2"/>
  <c r="O3" i="2" a="1"/>
  <c r="W140" i="2" l="1"/>
  <c r="V140" i="2"/>
  <c r="W21" i="2"/>
  <c r="V21" i="2"/>
  <c r="W20" i="2"/>
  <c r="V20" i="2"/>
  <c r="E21" i="2"/>
  <c r="H21" i="2"/>
  <c r="L21" i="2"/>
  <c r="C21" i="2"/>
  <c r="Q21" i="2"/>
  <c r="O21" i="2"/>
  <c r="A23" i="2" a="1"/>
  <c r="A23" i="2" s="1"/>
  <c r="R21" i="2"/>
  <c r="J21" i="2"/>
  <c r="D21" i="2"/>
  <c r="S21" i="2"/>
  <c r="M21" i="2"/>
  <c r="I21" i="2"/>
  <c r="P21" i="2"/>
  <c r="B21" i="2"/>
  <c r="G21" i="2"/>
  <c r="T21" i="2"/>
  <c r="N21" i="2"/>
  <c r="F21" i="2"/>
  <c r="K21" i="2"/>
  <c r="N20" i="2"/>
  <c r="D20" i="2"/>
  <c r="T20" i="2"/>
  <c r="K20" i="2"/>
  <c r="H20" i="2"/>
  <c r="J20" i="2"/>
  <c r="I20" i="2"/>
  <c r="S20" i="2"/>
  <c r="A22" i="2" a="1"/>
  <c r="A22" i="2" s="1"/>
  <c r="M20" i="2"/>
  <c r="F20" i="2"/>
  <c r="G20" i="2"/>
  <c r="O20" i="2"/>
  <c r="Q20" i="2"/>
  <c r="L20" i="2"/>
  <c r="B20" i="2"/>
  <c r="C20" i="2"/>
  <c r="R20" i="2"/>
  <c r="E20" i="2"/>
  <c r="P20" i="2"/>
  <c r="AN21" i="3"/>
  <c r="AM21" i="3"/>
  <c r="AN20" i="3"/>
  <c r="AM20" i="3"/>
  <c r="Z21" i="3"/>
  <c r="AH21" i="3"/>
  <c r="B21" i="3"/>
  <c r="H21" i="3"/>
  <c r="D21" i="3"/>
  <c r="X21" i="3"/>
  <c r="V21" i="3"/>
  <c r="P21" i="3"/>
  <c r="AD21" i="3"/>
  <c r="J21" i="3"/>
  <c r="L21" i="3"/>
  <c r="T21" i="3"/>
  <c r="N21" i="3"/>
  <c r="AF21" i="3"/>
  <c r="A23" i="3" a="1"/>
  <c r="A23" i="3" s="1"/>
  <c r="AJ21" i="3"/>
  <c r="F21" i="3"/>
  <c r="AB21" i="3"/>
  <c r="R21" i="3"/>
  <c r="AL21" i="3"/>
  <c r="AF20" i="3"/>
  <c r="AJ20" i="3"/>
  <c r="H20" i="3"/>
  <c r="N20" i="3"/>
  <c r="P20" i="3"/>
  <c r="A22" i="3" a="1"/>
  <c r="A22" i="3" s="1"/>
  <c r="AL20" i="3"/>
  <c r="D20" i="3"/>
  <c r="AB20" i="3"/>
  <c r="V20" i="3"/>
  <c r="AH20" i="3"/>
  <c r="L20" i="3"/>
  <c r="F20" i="3"/>
  <c r="R20" i="3"/>
  <c r="Z20" i="3"/>
  <c r="X20" i="3"/>
  <c r="B20" i="3"/>
  <c r="J20" i="3"/>
  <c r="AD20" i="3"/>
  <c r="T20" i="3"/>
  <c r="O3" i="2"/>
  <c r="A4" i="9" s="1"/>
  <c r="A142" i="2"/>
  <c r="W142" i="2" l="1"/>
  <c r="V142" i="2"/>
  <c r="F4" i="9"/>
  <c r="B4" i="9" s="1" a="1"/>
  <c r="B4" i="9" s="1"/>
  <c r="W23" i="2"/>
  <c r="V23" i="2"/>
  <c r="W22" i="2"/>
  <c r="V22" i="2"/>
  <c r="G22" i="2"/>
  <c r="D22" i="2"/>
  <c r="R22" i="2"/>
  <c r="A24" i="2" a="1"/>
  <c r="A24" i="2" s="1"/>
  <c r="I22" i="2"/>
  <c r="M22" i="2"/>
  <c r="H22" i="2"/>
  <c r="Q22" i="2"/>
  <c r="N22" i="2"/>
  <c r="B22" i="2"/>
  <c r="L22" i="2"/>
  <c r="C22" i="2"/>
  <c r="K22" i="2"/>
  <c r="O22" i="2"/>
  <c r="S22" i="2"/>
  <c r="J22" i="2"/>
  <c r="P22" i="2"/>
  <c r="T22" i="2"/>
  <c r="E22" i="2"/>
  <c r="F22" i="2"/>
  <c r="T23" i="2"/>
  <c r="I23" i="2"/>
  <c r="B23" i="2"/>
  <c r="S23" i="2"/>
  <c r="A25" i="2" a="1"/>
  <c r="A25" i="2" s="1"/>
  <c r="L23" i="2"/>
  <c r="O23" i="2"/>
  <c r="M23" i="2"/>
  <c r="Q23" i="2"/>
  <c r="N23" i="2"/>
  <c r="J23" i="2"/>
  <c r="R23" i="2"/>
  <c r="F23" i="2"/>
  <c r="K23" i="2"/>
  <c r="G23" i="2"/>
  <c r="C23" i="2"/>
  <c r="P23" i="2"/>
  <c r="E23" i="2"/>
  <c r="H23" i="2"/>
  <c r="D23" i="2"/>
  <c r="AM22" i="3"/>
  <c r="AN22" i="3"/>
  <c r="AN23" i="3"/>
  <c r="AM23" i="3"/>
  <c r="P23" i="3"/>
  <c r="X23" i="3"/>
  <c r="AF23" i="3"/>
  <c r="D23" i="3"/>
  <c r="R23" i="3"/>
  <c r="A25" i="3" a="1"/>
  <c r="A25" i="3" s="1"/>
  <c r="L23" i="3"/>
  <c r="AL23" i="3"/>
  <c r="H23" i="3"/>
  <c r="AB23" i="3"/>
  <c r="F23" i="3"/>
  <c r="J23" i="3"/>
  <c r="T23" i="3"/>
  <c r="AH23" i="3"/>
  <c r="V23" i="3"/>
  <c r="N23" i="3"/>
  <c r="AD23" i="3"/>
  <c r="Z23" i="3"/>
  <c r="AJ23" i="3"/>
  <c r="B23" i="3"/>
  <c r="AB22" i="3"/>
  <c r="H22" i="3"/>
  <c r="A24" i="3" a="1"/>
  <c r="A24" i="3" s="1"/>
  <c r="L22" i="3"/>
  <c r="AL22" i="3"/>
  <c r="AH22" i="3"/>
  <c r="P22" i="3"/>
  <c r="V22" i="3"/>
  <c r="R22" i="3"/>
  <c r="N22" i="3"/>
  <c r="F22" i="3"/>
  <c r="B22" i="3"/>
  <c r="Z22" i="3"/>
  <c r="AJ22" i="3"/>
  <c r="D22" i="3"/>
  <c r="X22" i="3"/>
  <c r="AF22" i="3"/>
  <c r="J22" i="3"/>
  <c r="T22" i="3"/>
  <c r="AD22" i="3"/>
  <c r="AB3" i="3"/>
  <c r="O123" i="2"/>
  <c r="O115" i="2"/>
  <c r="O107" i="2"/>
  <c r="O122" i="2"/>
  <c r="O114" i="2"/>
  <c r="O106" i="2"/>
  <c r="O121" i="2"/>
  <c r="O113" i="2"/>
  <c r="O105" i="2"/>
  <c r="O128" i="2"/>
  <c r="O120" i="2"/>
  <c r="O112" i="2"/>
  <c r="O104" i="2"/>
  <c r="O127" i="2"/>
  <c r="O119" i="2"/>
  <c r="O111" i="2"/>
  <c r="O126" i="2"/>
  <c r="O118" i="2"/>
  <c r="O110" i="2"/>
  <c r="O102" i="2"/>
  <c r="O125" i="2"/>
  <c r="O117" i="2"/>
  <c r="O109" i="2"/>
  <c r="O124" i="2"/>
  <c r="O116" i="2"/>
  <c r="O108" i="2"/>
  <c r="O94" i="2"/>
  <c r="O86" i="2"/>
  <c r="O78" i="2"/>
  <c r="O70" i="2"/>
  <c r="O62" i="2"/>
  <c r="O54" i="2"/>
  <c r="O46" i="2"/>
  <c r="O103" i="2"/>
  <c r="O101" i="2"/>
  <c r="O93" i="2"/>
  <c r="O85" i="2"/>
  <c r="O77" i="2"/>
  <c r="O69" i="2"/>
  <c r="O61" i="2"/>
  <c r="O53" i="2"/>
  <c r="O45" i="2"/>
  <c r="O100" i="2"/>
  <c r="O92" i="2"/>
  <c r="O84" i="2"/>
  <c r="O76" i="2"/>
  <c r="O68" i="2"/>
  <c r="O60" i="2"/>
  <c r="O52" i="2"/>
  <c r="O44" i="2"/>
  <c r="P5" i="2"/>
  <c r="P4" i="2" s="1"/>
  <c r="O99" i="2"/>
  <c r="O91" i="2"/>
  <c r="O83" i="2"/>
  <c r="O75" i="2"/>
  <c r="O67" i="2"/>
  <c r="O59" i="2"/>
  <c r="O51" i="2"/>
  <c r="O43" i="2"/>
  <c r="O98" i="2"/>
  <c r="O90" i="2"/>
  <c r="O82" i="2"/>
  <c r="O74" i="2"/>
  <c r="O66" i="2"/>
  <c r="O58" i="2"/>
  <c r="O50" i="2"/>
  <c r="O42" i="2"/>
  <c r="O97" i="2"/>
  <c r="O89" i="2"/>
  <c r="O81" i="2"/>
  <c r="O73" i="2"/>
  <c r="O65" i="2"/>
  <c r="O57" i="2"/>
  <c r="O49" i="2"/>
  <c r="O41" i="2"/>
  <c r="O96" i="2"/>
  <c r="O88" i="2"/>
  <c r="O80" i="2"/>
  <c r="O72" i="2"/>
  <c r="O64" i="2"/>
  <c r="O56" i="2"/>
  <c r="O48" i="2"/>
  <c r="O40" i="2"/>
  <c r="O95" i="2"/>
  <c r="O87" i="2"/>
  <c r="O79" i="2"/>
  <c r="O71" i="2"/>
  <c r="O63" i="2"/>
  <c r="O55" i="2"/>
  <c r="O47" i="2"/>
  <c r="A144" i="2"/>
  <c r="P3" i="2" a="1"/>
  <c r="W144" i="2" l="1"/>
  <c r="V144" i="2"/>
  <c r="W25" i="2"/>
  <c r="V25" i="2"/>
  <c r="W24" i="2"/>
  <c r="V24" i="2"/>
  <c r="K24" i="2"/>
  <c r="H24" i="2"/>
  <c r="B24" i="2"/>
  <c r="A26" i="2" a="1"/>
  <c r="A26" i="2" s="1"/>
  <c r="D24" i="2"/>
  <c r="C24" i="2"/>
  <c r="G24" i="2"/>
  <c r="M24" i="2"/>
  <c r="L24" i="2"/>
  <c r="I24" i="2"/>
  <c r="F24" i="2"/>
  <c r="T24" i="2"/>
  <c r="P24" i="2"/>
  <c r="S24" i="2"/>
  <c r="Q24" i="2"/>
  <c r="J24" i="2"/>
  <c r="O24" i="2"/>
  <c r="E24" i="2"/>
  <c r="R24" i="2"/>
  <c r="N24" i="2"/>
  <c r="E25" i="2"/>
  <c r="C25" i="2"/>
  <c r="D25" i="2"/>
  <c r="Q25" i="2"/>
  <c r="M25" i="2"/>
  <c r="B25" i="2"/>
  <c r="S25" i="2"/>
  <c r="H25" i="2"/>
  <c r="A27" i="2" a="1"/>
  <c r="A27" i="2" s="1"/>
  <c r="L25" i="2"/>
  <c r="I25" i="2"/>
  <c r="N25" i="2"/>
  <c r="G25" i="2"/>
  <c r="K25" i="2"/>
  <c r="P25" i="2"/>
  <c r="T25" i="2"/>
  <c r="O25" i="2"/>
  <c r="R25" i="2"/>
  <c r="J25" i="2"/>
  <c r="F25" i="2"/>
  <c r="P3" i="2"/>
  <c r="A5" i="9" s="1"/>
  <c r="AN24" i="3"/>
  <c r="AM24" i="3"/>
  <c r="AN25" i="3"/>
  <c r="AM25" i="3"/>
  <c r="AD25" i="3"/>
  <c r="B25" i="3"/>
  <c r="L25" i="3"/>
  <c r="P25" i="3"/>
  <c r="X25" i="3"/>
  <c r="F25" i="3"/>
  <c r="A27" i="3" a="1"/>
  <c r="A27" i="3" s="1"/>
  <c r="AB25" i="3"/>
  <c r="R25" i="3"/>
  <c r="J25" i="3"/>
  <c r="H25" i="3"/>
  <c r="AH25" i="3"/>
  <c r="V25" i="3"/>
  <c r="T25" i="3"/>
  <c r="N25" i="3"/>
  <c r="AF25" i="3"/>
  <c r="AL25" i="3"/>
  <c r="AJ25" i="3"/>
  <c r="Z25" i="3"/>
  <c r="D25" i="3"/>
  <c r="AL24" i="3"/>
  <c r="A26" i="3" a="1"/>
  <c r="A26" i="3" s="1"/>
  <c r="V24" i="3"/>
  <c r="AH24" i="3"/>
  <c r="F24" i="3"/>
  <c r="R24" i="3"/>
  <c r="AB24" i="3"/>
  <c r="B24" i="3"/>
  <c r="X24" i="3"/>
  <c r="J24" i="3"/>
  <c r="AF24" i="3"/>
  <c r="H24" i="3"/>
  <c r="AJ24" i="3"/>
  <c r="P24" i="3"/>
  <c r="Z24" i="3"/>
  <c r="D24" i="3"/>
  <c r="N24" i="3"/>
  <c r="L24" i="3"/>
  <c r="T24" i="3"/>
  <c r="AD24" i="3"/>
  <c r="AD4" i="3"/>
  <c r="F5" i="9" l="1"/>
  <c r="Q5" i="2"/>
  <c r="W26" i="2"/>
  <c r="V26" i="2"/>
  <c r="W27" i="2"/>
  <c r="V27" i="2"/>
  <c r="J27" i="2"/>
  <c r="O27" i="2"/>
  <c r="N27" i="2"/>
  <c r="M27" i="2"/>
  <c r="C27" i="2"/>
  <c r="K27" i="2"/>
  <c r="I27" i="2"/>
  <c r="T27" i="2"/>
  <c r="B27" i="2"/>
  <c r="F27" i="2"/>
  <c r="G27" i="2"/>
  <c r="R27" i="2"/>
  <c r="P27" i="2"/>
  <c r="E27" i="2"/>
  <c r="D27" i="2"/>
  <c r="H27" i="2"/>
  <c r="L27" i="2"/>
  <c r="A29" i="2" a="1"/>
  <c r="A29" i="2" s="1"/>
  <c r="S27" i="2"/>
  <c r="Q27" i="2"/>
  <c r="G26" i="2"/>
  <c r="A28" i="2" a="1"/>
  <c r="A28" i="2" s="1"/>
  <c r="H26" i="2"/>
  <c r="T26" i="2"/>
  <c r="L26" i="2"/>
  <c r="O26" i="2"/>
  <c r="R26" i="2"/>
  <c r="N26" i="2"/>
  <c r="M26" i="2"/>
  <c r="Q26" i="2"/>
  <c r="F26" i="2"/>
  <c r="J26" i="2"/>
  <c r="B26" i="2"/>
  <c r="C26" i="2"/>
  <c r="E26" i="2"/>
  <c r="P26" i="2"/>
  <c r="I26" i="2"/>
  <c r="K26" i="2"/>
  <c r="S26" i="2"/>
  <c r="D26" i="2"/>
  <c r="AN27" i="3"/>
  <c r="AM27" i="3"/>
  <c r="AN26" i="3"/>
  <c r="AM26" i="3"/>
  <c r="R27" i="3"/>
  <c r="P27" i="3"/>
  <c r="V27" i="3"/>
  <c r="AL27" i="3"/>
  <c r="AJ27" i="3"/>
  <c r="Z27" i="3"/>
  <c r="L27" i="3"/>
  <c r="AB27" i="3"/>
  <c r="B27" i="3"/>
  <c r="H27" i="3"/>
  <c r="N27" i="3"/>
  <c r="AH27" i="3"/>
  <c r="J27" i="3"/>
  <c r="A29" i="3" a="1"/>
  <c r="A29" i="3" s="1"/>
  <c r="AD27" i="3"/>
  <c r="D27" i="3"/>
  <c r="AF27" i="3"/>
  <c r="T27" i="3"/>
  <c r="X27" i="3"/>
  <c r="F27" i="3"/>
  <c r="F26" i="3"/>
  <c r="P26" i="3"/>
  <c r="A28" i="3" a="1"/>
  <c r="A28" i="3" s="1"/>
  <c r="AD26" i="3"/>
  <c r="AH26" i="3"/>
  <c r="N26" i="3"/>
  <c r="R26" i="3"/>
  <c r="AB26" i="3"/>
  <c r="AJ26" i="3"/>
  <c r="B26" i="3"/>
  <c r="L26" i="3"/>
  <c r="T26" i="3"/>
  <c r="X26" i="3"/>
  <c r="H26" i="3"/>
  <c r="AL26" i="3"/>
  <c r="AF26" i="3"/>
  <c r="J26" i="3"/>
  <c r="D26" i="3"/>
  <c r="V26" i="3"/>
  <c r="Z26" i="3"/>
  <c r="W29" i="2" l="1"/>
  <c r="V29" i="2"/>
  <c r="W28" i="2"/>
  <c r="V28" i="2"/>
  <c r="O28" i="2"/>
  <c r="F28" i="2"/>
  <c r="A30" i="2" a="1"/>
  <c r="A30" i="2" s="1"/>
  <c r="J28" i="2"/>
  <c r="H28" i="2"/>
  <c r="I28" i="2"/>
  <c r="E28" i="2"/>
  <c r="K28" i="2"/>
  <c r="T28" i="2"/>
  <c r="S28" i="2"/>
  <c r="D28" i="2"/>
  <c r="G28" i="2"/>
  <c r="Q28" i="2"/>
  <c r="R28" i="2"/>
  <c r="B28" i="2"/>
  <c r="C28" i="2"/>
  <c r="M28" i="2"/>
  <c r="N28" i="2"/>
  <c r="L28" i="2"/>
  <c r="P28" i="2"/>
  <c r="R29" i="2"/>
  <c r="E29" i="2"/>
  <c r="S29" i="2"/>
  <c r="H29" i="2"/>
  <c r="N29" i="2"/>
  <c r="J29" i="2"/>
  <c r="L29" i="2"/>
  <c r="M29" i="2"/>
  <c r="Q29" i="2"/>
  <c r="F29" i="2"/>
  <c r="K29" i="2"/>
  <c r="A31" i="2" a="1"/>
  <c r="A31" i="2" s="1"/>
  <c r="T29" i="2"/>
  <c r="G29" i="2"/>
  <c r="C29" i="2"/>
  <c r="B29" i="2"/>
  <c r="D29" i="2"/>
  <c r="P29" i="2"/>
  <c r="O29" i="2"/>
  <c r="I29" i="2"/>
  <c r="AN28" i="3"/>
  <c r="AM28" i="3"/>
  <c r="AN29" i="3"/>
  <c r="AM29" i="3"/>
  <c r="AB29" i="3"/>
  <c r="D29" i="3"/>
  <c r="X29" i="3"/>
  <c r="J29" i="3"/>
  <c r="Z29" i="3"/>
  <c r="R29" i="3"/>
  <c r="V29" i="3"/>
  <c r="AF29" i="3"/>
  <c r="L29" i="3"/>
  <c r="N29" i="3"/>
  <c r="P29" i="3"/>
  <c r="H29" i="3"/>
  <c r="AD29" i="3"/>
  <c r="F29" i="3"/>
  <c r="AH29" i="3"/>
  <c r="T29" i="3"/>
  <c r="AJ29" i="3"/>
  <c r="AL29" i="3"/>
  <c r="A31" i="3" a="1"/>
  <c r="A31" i="3" s="1"/>
  <c r="AN31" i="3" s="1"/>
  <c r="B29" i="3"/>
  <c r="D28" i="3"/>
  <c r="R28" i="3"/>
  <c r="AJ28" i="3"/>
  <c r="AB28" i="3"/>
  <c r="X28" i="3"/>
  <c r="AH28" i="3"/>
  <c r="AF28" i="3"/>
  <c r="AL28" i="3"/>
  <c r="L28" i="3"/>
  <c r="H28" i="3"/>
  <c r="N28" i="3"/>
  <c r="T28" i="3"/>
  <c r="A30" i="3" a="1"/>
  <c r="A30" i="3" s="1"/>
  <c r="AN30" i="3" s="1"/>
  <c r="B28" i="3"/>
  <c r="P28" i="3"/>
  <c r="Z28" i="3"/>
  <c r="V28" i="3"/>
  <c r="AD28" i="3"/>
  <c r="J28" i="3"/>
  <c r="F28" i="3"/>
  <c r="P122" i="2"/>
  <c r="P114" i="2"/>
  <c r="P106" i="2"/>
  <c r="P121" i="2"/>
  <c r="P113" i="2"/>
  <c r="P105" i="2"/>
  <c r="P128" i="2"/>
  <c r="P120" i="2"/>
  <c r="P112" i="2"/>
  <c r="P104" i="2"/>
  <c r="P127" i="2"/>
  <c r="P119" i="2"/>
  <c r="P111" i="2"/>
  <c r="P103" i="2"/>
  <c r="P126" i="2"/>
  <c r="P118" i="2"/>
  <c r="P110" i="2"/>
  <c r="P125" i="2"/>
  <c r="P117" i="2"/>
  <c r="P109" i="2"/>
  <c r="P101" i="2"/>
  <c r="P124" i="2"/>
  <c r="P116" i="2"/>
  <c r="P108" i="2"/>
  <c r="AD3" i="3"/>
  <c r="P123" i="2"/>
  <c r="P115" i="2"/>
  <c r="P107" i="2"/>
  <c r="P93" i="2"/>
  <c r="P85" i="2"/>
  <c r="P77" i="2"/>
  <c r="P69" i="2"/>
  <c r="P61" i="2"/>
  <c r="P53" i="2"/>
  <c r="P45" i="2"/>
  <c r="P100" i="2"/>
  <c r="P92" i="2"/>
  <c r="P84" i="2"/>
  <c r="P76" i="2"/>
  <c r="P68" i="2"/>
  <c r="P60" i="2"/>
  <c r="P52" i="2"/>
  <c r="P44" i="2"/>
  <c r="P99" i="2"/>
  <c r="P91" i="2"/>
  <c r="P83" i="2"/>
  <c r="P75" i="2"/>
  <c r="P67" i="2"/>
  <c r="P59" i="2"/>
  <c r="P51" i="2"/>
  <c r="P43" i="2"/>
  <c r="P98" i="2"/>
  <c r="P90" i="2"/>
  <c r="P82" i="2"/>
  <c r="P74" i="2"/>
  <c r="P66" i="2"/>
  <c r="P58" i="2"/>
  <c r="P50" i="2"/>
  <c r="P42" i="2"/>
  <c r="P97" i="2"/>
  <c r="P89" i="2"/>
  <c r="P81" i="2"/>
  <c r="P73" i="2"/>
  <c r="P65" i="2"/>
  <c r="P57" i="2"/>
  <c r="P49" i="2"/>
  <c r="P41" i="2"/>
  <c r="P102" i="2"/>
  <c r="P96" i="2"/>
  <c r="P88" i="2"/>
  <c r="P80" i="2"/>
  <c r="P72" i="2"/>
  <c r="P64" i="2"/>
  <c r="P56" i="2"/>
  <c r="P48" i="2"/>
  <c r="P40" i="2"/>
  <c r="P95" i="2"/>
  <c r="P87" i="2"/>
  <c r="P79" i="2"/>
  <c r="P71" i="2"/>
  <c r="P63" i="2"/>
  <c r="P55" i="2"/>
  <c r="P47" i="2"/>
  <c r="P94" i="2"/>
  <c r="P86" i="2"/>
  <c r="P78" i="2"/>
  <c r="P70" i="2"/>
  <c r="P62" i="2"/>
  <c r="P54" i="2"/>
  <c r="P46" i="2"/>
  <c r="W30" i="2" l="1"/>
  <c r="V30" i="2"/>
  <c r="W31" i="2"/>
  <c r="V31" i="2"/>
  <c r="D31" i="2"/>
  <c r="C31" i="2"/>
  <c r="O31" i="2"/>
  <c r="P31" i="2"/>
  <c r="A33" i="2" a="1"/>
  <c r="A33" i="2" s="1"/>
  <c r="N31" i="2"/>
  <c r="M31" i="2"/>
  <c r="T31" i="2"/>
  <c r="S31" i="2"/>
  <c r="R31" i="2"/>
  <c r="J31" i="2"/>
  <c r="Q31" i="2"/>
  <c r="G31" i="2"/>
  <c r="L31" i="2"/>
  <c r="F31" i="2"/>
  <c r="H31" i="2"/>
  <c r="E31" i="2"/>
  <c r="I31" i="2"/>
  <c r="B31" i="2"/>
  <c r="K31" i="2"/>
  <c r="K30" i="2"/>
  <c r="N30" i="2"/>
  <c r="I30" i="2"/>
  <c r="G30" i="2"/>
  <c r="B30" i="2"/>
  <c r="T30" i="2"/>
  <c r="L30" i="2"/>
  <c r="S30" i="2"/>
  <c r="E30" i="2"/>
  <c r="F30" i="2"/>
  <c r="H30" i="2"/>
  <c r="R30" i="2"/>
  <c r="Q30" i="2"/>
  <c r="M30" i="2"/>
  <c r="D30" i="2"/>
  <c r="P30" i="2"/>
  <c r="O30" i="2"/>
  <c r="C30" i="2"/>
  <c r="J30" i="2"/>
  <c r="A32" i="2" a="1"/>
  <c r="A32" i="2" s="1"/>
  <c r="AD31" i="3"/>
  <c r="A33" i="3" a="1"/>
  <c r="A33" i="3" s="1"/>
  <c r="AM31" i="3"/>
  <c r="AM30" i="3"/>
  <c r="P31" i="3"/>
  <c r="L31" i="3"/>
  <c r="T31" i="3"/>
  <c r="X31" i="3"/>
  <c r="V31" i="3"/>
  <c r="D31" i="3"/>
  <c r="AL31" i="3"/>
  <c r="AB31" i="3"/>
  <c r="B31" i="3"/>
  <c r="J31" i="3"/>
  <c r="Z31" i="3"/>
  <c r="AF31" i="3"/>
  <c r="N31" i="3"/>
  <c r="R31" i="3"/>
  <c r="AJ31" i="3"/>
  <c r="F31" i="3"/>
  <c r="H31" i="3"/>
  <c r="AH31" i="3"/>
  <c r="AF30" i="3"/>
  <c r="AL30" i="3"/>
  <c r="F30" i="3"/>
  <c r="X30" i="3"/>
  <c r="B30" i="3"/>
  <c r="J30" i="3"/>
  <c r="AH30" i="3"/>
  <c r="N30" i="3"/>
  <c r="A32" i="3" a="1"/>
  <c r="A32" i="3" s="1"/>
  <c r="D30" i="3"/>
  <c r="AJ30" i="3"/>
  <c r="L30" i="3"/>
  <c r="Z30" i="3"/>
  <c r="P30" i="3"/>
  <c r="V30" i="3"/>
  <c r="H30" i="3"/>
  <c r="AB30" i="3"/>
  <c r="R30" i="3"/>
  <c r="T30" i="3"/>
  <c r="AD30" i="3"/>
  <c r="AF4" i="3"/>
  <c r="V32" i="2" l="1"/>
  <c r="W32" i="2"/>
  <c r="W33" i="2"/>
  <c r="V33" i="2"/>
  <c r="E33" i="2"/>
  <c r="D33" i="2"/>
  <c r="J33" i="2"/>
  <c r="I33" i="2"/>
  <c r="P33" i="2"/>
  <c r="G33" i="2"/>
  <c r="N33" i="2"/>
  <c r="C33" i="2"/>
  <c r="T33" i="2"/>
  <c r="S33" i="2"/>
  <c r="H33" i="2"/>
  <c r="B33" i="2"/>
  <c r="F33" i="2"/>
  <c r="M33" i="2"/>
  <c r="A35" i="2" a="1"/>
  <c r="A35" i="2" s="1"/>
  <c r="K33" i="2"/>
  <c r="R33" i="2"/>
  <c r="L33" i="2"/>
  <c r="O33" i="2"/>
  <c r="Q33" i="2"/>
  <c r="H32" i="2"/>
  <c r="P32" i="2"/>
  <c r="K32" i="2"/>
  <c r="N32" i="2"/>
  <c r="D32" i="2"/>
  <c r="B32" i="2"/>
  <c r="L32" i="2"/>
  <c r="T32" i="2"/>
  <c r="I32" i="2"/>
  <c r="G32" i="2"/>
  <c r="Q32" i="2"/>
  <c r="J32" i="2"/>
  <c r="C32" i="2"/>
  <c r="O32" i="2"/>
  <c r="A34" i="2" a="1"/>
  <c r="A34" i="2" s="1"/>
  <c r="E32" i="2"/>
  <c r="M32" i="2"/>
  <c r="R32" i="2"/>
  <c r="S32" i="2"/>
  <c r="F32" i="2"/>
  <c r="AN32" i="3"/>
  <c r="AM32" i="3"/>
  <c r="AD33" i="3"/>
  <c r="AN33" i="3"/>
  <c r="AM33" i="3"/>
  <c r="P33" i="3"/>
  <c r="A35" i="3" a="1"/>
  <c r="A35" i="3" s="1"/>
  <c r="N35" i="3" s="1"/>
  <c r="AH33" i="3"/>
  <c r="AL33" i="3"/>
  <c r="D33" i="3"/>
  <c r="H33" i="3"/>
  <c r="X33" i="3"/>
  <c r="B33" i="3"/>
  <c r="Z33" i="3"/>
  <c r="N33" i="3"/>
  <c r="R33" i="3"/>
  <c r="AJ33" i="3"/>
  <c r="F33" i="3"/>
  <c r="V33" i="3"/>
  <c r="T33" i="3"/>
  <c r="AF33" i="3"/>
  <c r="L33" i="3"/>
  <c r="AB33" i="3"/>
  <c r="J33" i="3"/>
  <c r="AB32" i="3"/>
  <c r="N32" i="3"/>
  <c r="X32" i="3"/>
  <c r="AL32" i="3"/>
  <c r="AF32" i="3"/>
  <c r="T32" i="3"/>
  <c r="P32" i="3"/>
  <c r="Z32" i="3"/>
  <c r="H32" i="3"/>
  <c r="L32" i="3"/>
  <c r="AH32" i="3"/>
  <c r="D32" i="3"/>
  <c r="F32" i="3"/>
  <c r="AJ32" i="3"/>
  <c r="V32" i="3"/>
  <c r="R32" i="3"/>
  <c r="AD32" i="3"/>
  <c r="A34" i="3" a="1"/>
  <c r="A34" i="3" s="1"/>
  <c r="B32" i="3"/>
  <c r="J32" i="3"/>
  <c r="W34" i="2" l="1"/>
  <c r="V34" i="2"/>
  <c r="W35" i="2"/>
  <c r="V35" i="2"/>
  <c r="T34" i="2"/>
  <c r="C34" i="2"/>
  <c r="L34" i="2"/>
  <c r="G34" i="2"/>
  <c r="P34" i="2"/>
  <c r="H34" i="2"/>
  <c r="I34" i="2"/>
  <c r="A36" i="2" a="1"/>
  <c r="A36" i="2" s="1"/>
  <c r="J34" i="2"/>
  <c r="K34" i="2"/>
  <c r="S34" i="2"/>
  <c r="E34" i="2"/>
  <c r="F34" i="2"/>
  <c r="N34" i="2"/>
  <c r="O34" i="2"/>
  <c r="Q34" i="2"/>
  <c r="R34" i="2"/>
  <c r="B34" i="2"/>
  <c r="D34" i="2"/>
  <c r="M34" i="2"/>
  <c r="I35" i="2"/>
  <c r="G35" i="2"/>
  <c r="N35" i="2"/>
  <c r="F35" i="2"/>
  <c r="T35" i="2"/>
  <c r="S35" i="2"/>
  <c r="K35" i="2"/>
  <c r="J35" i="2"/>
  <c r="H35" i="2"/>
  <c r="A37" i="2" a="1"/>
  <c r="A37" i="2" s="1"/>
  <c r="M35" i="2"/>
  <c r="L35" i="2"/>
  <c r="O35" i="2"/>
  <c r="B35" i="2"/>
  <c r="C35" i="2"/>
  <c r="R35" i="2"/>
  <c r="Q35" i="2"/>
  <c r="P35" i="2"/>
  <c r="E35" i="2"/>
  <c r="D35" i="2"/>
  <c r="AB35" i="3"/>
  <c r="H35" i="3"/>
  <c r="T35" i="3"/>
  <c r="X35" i="3"/>
  <c r="AH35" i="3"/>
  <c r="A37" i="3" a="1"/>
  <c r="A37" i="3" s="1"/>
  <c r="AN37" i="3" s="1"/>
  <c r="D35" i="3"/>
  <c r="R35" i="3"/>
  <c r="F35" i="3"/>
  <c r="AF35" i="3"/>
  <c r="Z35" i="3"/>
  <c r="AN35" i="3"/>
  <c r="AM35" i="3"/>
  <c r="AN34" i="3"/>
  <c r="AM34" i="3"/>
  <c r="V35" i="3"/>
  <c r="P35" i="3"/>
  <c r="J35" i="3"/>
  <c r="AL35" i="3"/>
  <c r="AD35" i="3"/>
  <c r="AJ35" i="3"/>
  <c r="B35" i="3"/>
  <c r="L35" i="3"/>
  <c r="AH34" i="3"/>
  <c r="D34" i="3"/>
  <c r="AF34" i="3"/>
  <c r="Z34" i="3"/>
  <c r="F34" i="3"/>
  <c r="AL34" i="3"/>
  <c r="R34" i="3"/>
  <c r="AJ34" i="3"/>
  <c r="V34" i="3"/>
  <c r="H34" i="3"/>
  <c r="AD34" i="3"/>
  <c r="AB34" i="3"/>
  <c r="A36" i="3" a="1"/>
  <c r="A36" i="3" s="1"/>
  <c r="J34" i="3"/>
  <c r="L34" i="3"/>
  <c r="X34" i="3"/>
  <c r="P34" i="3"/>
  <c r="N34" i="3"/>
  <c r="B34" i="3"/>
  <c r="T34" i="3"/>
  <c r="V36" i="2" l="1"/>
  <c r="W36" i="2"/>
  <c r="W37" i="2"/>
  <c r="V37" i="2"/>
  <c r="M37" i="2"/>
  <c r="J37" i="2"/>
  <c r="I37" i="2"/>
  <c r="C37" i="2"/>
  <c r="F37" i="2"/>
  <c r="A39" i="2" a="1"/>
  <c r="A39" i="2" s="1"/>
  <c r="O37" i="2"/>
  <c r="T37" i="2"/>
  <c r="E37" i="2"/>
  <c r="B37" i="2"/>
  <c r="S37" i="2"/>
  <c r="L37" i="2"/>
  <c r="P37" i="2"/>
  <c r="Q37" i="2"/>
  <c r="K37" i="2"/>
  <c r="R37" i="2"/>
  <c r="N37" i="2"/>
  <c r="H37" i="2"/>
  <c r="G37" i="2"/>
  <c r="D37" i="2"/>
  <c r="L36" i="2"/>
  <c r="N36" i="2"/>
  <c r="A38" i="2" a="1"/>
  <c r="A38" i="2" s="1"/>
  <c r="E36" i="2"/>
  <c r="K36" i="2"/>
  <c r="C36" i="2"/>
  <c r="Q36" i="2"/>
  <c r="M36" i="2"/>
  <c r="J36" i="2"/>
  <c r="S36" i="2"/>
  <c r="D36" i="2"/>
  <c r="F36" i="2"/>
  <c r="B36" i="2"/>
  <c r="H36" i="2"/>
  <c r="P36" i="2"/>
  <c r="G36" i="2"/>
  <c r="R36" i="2"/>
  <c r="I36" i="2"/>
  <c r="O36" i="2"/>
  <c r="T36" i="2"/>
  <c r="AJ37" i="3"/>
  <c r="AB37" i="3"/>
  <c r="AH37" i="3"/>
  <c r="P37" i="3"/>
  <c r="X37" i="3"/>
  <c r="F37" i="3"/>
  <c r="J37" i="3"/>
  <c r="R37" i="3"/>
  <c r="AF37" i="3"/>
  <c r="L37" i="3"/>
  <c r="AL37" i="3"/>
  <c r="N37" i="3"/>
  <c r="Z37" i="3"/>
  <c r="D37" i="3"/>
  <c r="H37" i="3"/>
  <c r="B37" i="3"/>
  <c r="T37" i="3"/>
  <c r="A39" i="3" a="1"/>
  <c r="A39" i="3" s="1"/>
  <c r="AN39" i="3" s="1"/>
  <c r="AD37" i="3"/>
  <c r="V37" i="3"/>
  <c r="AM37" i="3"/>
  <c r="AN36" i="3"/>
  <c r="AM36" i="3"/>
  <c r="AH36" i="3"/>
  <c r="X36" i="3"/>
  <c r="F36" i="3"/>
  <c r="Z36" i="3"/>
  <c r="AJ36" i="3"/>
  <c r="D36" i="3"/>
  <c r="R36" i="3"/>
  <c r="P36" i="3"/>
  <c r="AD36" i="3"/>
  <c r="AB36" i="3"/>
  <c r="H36" i="3"/>
  <c r="V36" i="3"/>
  <c r="B36" i="3"/>
  <c r="T36" i="3"/>
  <c r="AF36" i="3"/>
  <c r="A38" i="3" a="1"/>
  <c r="A38" i="3" s="1"/>
  <c r="L36" i="3"/>
  <c r="J36" i="3"/>
  <c r="N36" i="3"/>
  <c r="AL36" i="3"/>
  <c r="A1" i="5" a="1"/>
  <c r="A2" i="5" a="1"/>
  <c r="B3" i="5" a="1"/>
  <c r="W38" i="2" l="1"/>
  <c r="V38" i="2"/>
  <c r="W39" i="2"/>
  <c r="V39" i="2"/>
  <c r="B3" i="5"/>
  <c r="A2" i="5"/>
  <c r="A1" i="5"/>
  <c r="K39" i="2"/>
  <c r="E39" i="2"/>
  <c r="Q39" i="2"/>
  <c r="H39" i="2"/>
  <c r="J39" i="2"/>
  <c r="N39" i="2"/>
  <c r="D39" i="2"/>
  <c r="C39" i="2"/>
  <c r="S39" i="2"/>
  <c r="I39" i="2"/>
  <c r="M39" i="2"/>
  <c r="O39" i="2"/>
  <c r="P39" i="2"/>
  <c r="T39" i="2"/>
  <c r="R39" i="2"/>
  <c r="B39" i="2"/>
  <c r="F39" i="2"/>
  <c r="G39" i="2"/>
  <c r="L39" i="2"/>
  <c r="G38" i="2"/>
  <c r="Q38" i="2"/>
  <c r="O38" i="2"/>
  <c r="S38" i="2"/>
  <c r="M38" i="2"/>
  <c r="C38" i="2"/>
  <c r="H38" i="2"/>
  <c r="J38" i="2"/>
  <c r="D38" i="2"/>
  <c r="F38" i="2"/>
  <c r="K38" i="2"/>
  <c r="P38" i="2"/>
  <c r="R38" i="2"/>
  <c r="L38" i="2"/>
  <c r="N38" i="2"/>
  <c r="I38" i="2"/>
  <c r="B38" i="2"/>
  <c r="E38" i="2"/>
  <c r="T38" i="2"/>
  <c r="J39" i="3"/>
  <c r="A41" i="3" a="1"/>
  <c r="A41" i="3" s="1"/>
  <c r="AH41" i="3" s="1"/>
  <c r="AD39" i="3"/>
  <c r="P39" i="3"/>
  <c r="AL39" i="3"/>
  <c r="L39" i="3"/>
  <c r="T39" i="3"/>
  <c r="V39" i="3"/>
  <c r="F39" i="3"/>
  <c r="N39" i="3"/>
  <c r="R39" i="3"/>
  <c r="AJ39" i="3"/>
  <c r="X39" i="3"/>
  <c r="B39" i="3"/>
  <c r="AH39" i="3"/>
  <c r="D39" i="3"/>
  <c r="Z39" i="3"/>
  <c r="AF39" i="3"/>
  <c r="AM39" i="3"/>
  <c r="H39" i="3"/>
  <c r="AB39" i="3"/>
  <c r="AN38" i="3"/>
  <c r="AM38" i="3"/>
  <c r="AF38" i="3"/>
  <c r="B38" i="3"/>
  <c r="AB38" i="3"/>
  <c r="V38" i="3"/>
  <c r="AD38" i="3"/>
  <c r="T38" i="3"/>
  <c r="AH38" i="3"/>
  <c r="A40" i="3" a="1"/>
  <c r="A40" i="3" s="1"/>
  <c r="L38" i="3"/>
  <c r="Z38" i="3"/>
  <c r="N38" i="3"/>
  <c r="P38" i="3"/>
  <c r="X38" i="3"/>
  <c r="D38" i="3"/>
  <c r="R38" i="3"/>
  <c r="H38" i="3"/>
  <c r="J38" i="3"/>
  <c r="AJ38" i="3"/>
  <c r="F38" i="3"/>
  <c r="AL38" i="3"/>
  <c r="F2" i="5" a="1"/>
  <c r="E1" i="5" a="1"/>
  <c r="H1" i="5" a="1"/>
  <c r="H1" i="5" l="1"/>
  <c r="E1" i="5"/>
  <c r="C9" i="4" s="1"/>
  <c r="F2" i="5"/>
  <c r="E3" i="5"/>
  <c r="FA121" i="6" s="1"/>
  <c r="E4" i="5"/>
  <c r="FA122" i="6" s="1"/>
  <c r="AF41" i="3"/>
  <c r="A43" i="3" a="1"/>
  <c r="A43" i="3" s="1"/>
  <c r="AB43" i="3" s="1"/>
  <c r="X41" i="3"/>
  <c r="F41" i="3"/>
  <c r="L41" i="3"/>
  <c r="AJ41" i="3"/>
  <c r="P41" i="3"/>
  <c r="R41" i="3"/>
  <c r="J41" i="3"/>
  <c r="AL41" i="3"/>
  <c r="D41" i="3"/>
  <c r="AD41" i="3"/>
  <c r="AB41" i="3"/>
  <c r="H41" i="3"/>
  <c r="T41" i="3"/>
  <c r="AM41" i="3"/>
  <c r="N41" i="3"/>
  <c r="Z41" i="3"/>
  <c r="AN41" i="3"/>
  <c r="V41" i="3"/>
  <c r="B41" i="3"/>
  <c r="AN40" i="3"/>
  <c r="AM40" i="3"/>
  <c r="AH40" i="3"/>
  <c r="AF40" i="3"/>
  <c r="AL40" i="3"/>
  <c r="Z40" i="3"/>
  <c r="T40" i="3"/>
  <c r="R40" i="3"/>
  <c r="A42" i="3" a="1"/>
  <c r="A42" i="3" s="1"/>
  <c r="AJ40" i="3"/>
  <c r="AB40" i="3"/>
  <c r="H40" i="3"/>
  <c r="F40" i="3"/>
  <c r="P40" i="3"/>
  <c r="L40" i="3"/>
  <c r="AD40" i="3"/>
  <c r="D40" i="3"/>
  <c r="B40" i="3"/>
  <c r="V40" i="3"/>
  <c r="X40" i="3"/>
  <c r="J40" i="3"/>
  <c r="N40" i="3"/>
  <c r="B5" i="9" a="1"/>
  <c r="B1" i="9" a="1"/>
  <c r="B5" i="9" l="1"/>
  <c r="B1" i="9"/>
  <c r="E6" i="5"/>
  <c r="C6" i="5" s="1"/>
  <c r="T43" i="3"/>
  <c r="Z43" i="3"/>
  <c r="A45" i="3" a="1"/>
  <c r="A45" i="3" s="1"/>
  <c r="AJ45" i="3" s="1"/>
  <c r="X43" i="3"/>
  <c r="J43" i="3"/>
  <c r="L43" i="3"/>
  <c r="N43" i="3"/>
  <c r="H43" i="3"/>
  <c r="AD43" i="3"/>
  <c r="AM43" i="3"/>
  <c r="V43" i="3"/>
  <c r="R43" i="3"/>
  <c r="AL43" i="3"/>
  <c r="B43" i="3"/>
  <c r="D43" i="3"/>
  <c r="AH43" i="3"/>
  <c r="P43" i="3"/>
  <c r="AJ43" i="3"/>
  <c r="AF43" i="3"/>
  <c r="AN43" i="3"/>
  <c r="F43" i="3"/>
  <c r="AN42" i="3"/>
  <c r="AM42" i="3"/>
  <c r="AD42" i="3"/>
  <c r="N42" i="3"/>
  <c r="A44" i="3" a="1"/>
  <c r="A44" i="3" s="1"/>
  <c r="X42" i="3"/>
  <c r="F42" i="3"/>
  <c r="AL42" i="3"/>
  <c r="AF42" i="3"/>
  <c r="V42" i="3"/>
  <c r="B42" i="3"/>
  <c r="T42" i="3"/>
  <c r="J42" i="3"/>
  <c r="AJ42" i="3"/>
  <c r="D42" i="3"/>
  <c r="R42" i="3"/>
  <c r="Z42" i="3"/>
  <c r="L42" i="3"/>
  <c r="AH42" i="3"/>
  <c r="P42" i="3"/>
  <c r="AB42" i="3"/>
  <c r="H42" i="3"/>
  <c r="FA124" i="6" l="1"/>
  <c r="AD45" i="3"/>
  <c r="N45" i="3"/>
  <c r="AB45" i="3"/>
  <c r="T45" i="3"/>
  <c r="Z45" i="3"/>
  <c r="D45" i="3"/>
  <c r="L45" i="3"/>
  <c r="AF45" i="3"/>
  <c r="P45" i="3"/>
  <c r="B45" i="3"/>
  <c r="AL45" i="3"/>
  <c r="H45" i="3"/>
  <c r="X45" i="3"/>
  <c r="F45" i="3"/>
  <c r="V45" i="3"/>
  <c r="R45" i="3"/>
  <c r="AM45" i="3"/>
  <c r="A47" i="3" a="1"/>
  <c r="A47" i="3" s="1"/>
  <c r="L47" i="3" s="1"/>
  <c r="J45" i="3"/>
  <c r="AN45" i="3"/>
  <c r="AH45" i="3"/>
  <c r="AN44" i="3"/>
  <c r="AM44" i="3"/>
  <c r="B44" i="3"/>
  <c r="P44" i="3"/>
  <c r="T44" i="3"/>
  <c r="R44" i="3"/>
  <c r="AL44" i="3"/>
  <c r="D44" i="3"/>
  <c r="X44" i="3"/>
  <c r="AD44" i="3"/>
  <c r="N44" i="3"/>
  <c r="AF44" i="3"/>
  <c r="V44" i="3"/>
  <c r="Z44" i="3"/>
  <c r="H44" i="3"/>
  <c r="J44" i="3"/>
  <c r="AH44" i="3"/>
  <c r="L44" i="3"/>
  <c r="F44" i="3"/>
  <c r="AB44" i="3"/>
  <c r="AJ44" i="3"/>
  <c r="A46" i="3" a="1"/>
  <c r="A46" i="3" s="1"/>
  <c r="EY124" i="6" l="1"/>
  <c r="D6" i="5"/>
  <c r="EZ124" i="6" s="1"/>
  <c r="AH47" i="3"/>
  <c r="J47" i="3"/>
  <c r="P47" i="3"/>
  <c r="AL47" i="3"/>
  <c r="AD47" i="3"/>
  <c r="H47" i="3"/>
  <c r="B47" i="3"/>
  <c r="AB47" i="3"/>
  <c r="R47" i="3"/>
  <c r="T47" i="3"/>
  <c r="F47" i="3"/>
  <c r="D47" i="3"/>
  <c r="AF47" i="3"/>
  <c r="A49" i="3" a="1"/>
  <c r="A49" i="3" s="1"/>
  <c r="AL49" i="3" s="1"/>
  <c r="AM47" i="3"/>
  <c r="X47" i="3"/>
  <c r="Z47" i="3"/>
  <c r="N47" i="3"/>
  <c r="V47" i="3"/>
  <c r="AJ47" i="3"/>
  <c r="AN47" i="3"/>
  <c r="AM46" i="3"/>
  <c r="AN46" i="3"/>
  <c r="B46" i="3"/>
  <c r="AH46" i="3"/>
  <c r="X46" i="3"/>
  <c r="P46" i="3"/>
  <c r="F46" i="3"/>
  <c r="R46" i="3"/>
  <c r="J46" i="3"/>
  <c r="AD46" i="3"/>
  <c r="AB46" i="3"/>
  <c r="V46" i="3"/>
  <c r="L46" i="3"/>
  <c r="N46" i="3"/>
  <c r="AF46" i="3"/>
  <c r="A48" i="3" a="1"/>
  <c r="A48" i="3" s="1"/>
  <c r="H46" i="3"/>
  <c r="D46" i="3"/>
  <c r="AL46" i="3"/>
  <c r="Z46" i="3"/>
  <c r="T46" i="3"/>
  <c r="AJ46" i="3"/>
  <c r="AJ49" i="3" l="1"/>
  <c r="AF49" i="3"/>
  <c r="H49" i="3"/>
  <c r="F49" i="3"/>
  <c r="X49" i="3"/>
  <c r="A51" i="3" a="1"/>
  <c r="A51" i="3" s="1"/>
  <c r="X51" i="3" s="1"/>
  <c r="B49" i="3"/>
  <c r="L49" i="3"/>
  <c r="AH49" i="3"/>
  <c r="R49" i="3"/>
  <c r="J49" i="3"/>
  <c r="T49" i="3"/>
  <c r="N49" i="3"/>
  <c r="AB49" i="3"/>
  <c r="P49" i="3"/>
  <c r="D49" i="3"/>
  <c r="Z49" i="3"/>
  <c r="AD49" i="3"/>
  <c r="AM49" i="3"/>
  <c r="AN49" i="3"/>
  <c r="V49" i="3"/>
  <c r="AN48" i="3"/>
  <c r="AM48" i="3"/>
  <c r="AF48" i="3"/>
  <c r="H48" i="3"/>
  <c r="T48" i="3"/>
  <c r="AH48" i="3"/>
  <c r="F48" i="3"/>
  <c r="R48" i="3"/>
  <c r="A50" i="3" a="1"/>
  <c r="A50" i="3" s="1"/>
  <c r="P48" i="3"/>
  <c r="L48" i="3"/>
  <c r="B48" i="3"/>
  <c r="AD48" i="3"/>
  <c r="AB48" i="3"/>
  <c r="J48" i="3"/>
  <c r="AL48" i="3"/>
  <c r="N48" i="3"/>
  <c r="Z48" i="3"/>
  <c r="AJ48" i="3"/>
  <c r="X48" i="3"/>
  <c r="D48" i="3"/>
  <c r="V48" i="3"/>
  <c r="F51" i="3" l="1"/>
  <c r="AB51" i="3"/>
  <c r="P51" i="3"/>
  <c r="D51" i="3"/>
  <c r="L51" i="3"/>
  <c r="AJ51" i="3"/>
  <c r="AD51" i="3"/>
  <c r="A53" i="3" a="1"/>
  <c r="A53" i="3" s="1"/>
  <c r="AM53" i="3" s="1"/>
  <c r="N51" i="3"/>
  <c r="B51" i="3"/>
  <c r="AF51" i="3"/>
  <c r="AL51" i="3"/>
  <c r="T51" i="3"/>
  <c r="J51" i="3"/>
  <c r="Z51" i="3"/>
  <c r="AH51" i="3"/>
  <c r="V51" i="3"/>
  <c r="R51" i="3"/>
  <c r="AM51" i="3"/>
  <c r="AN51" i="3"/>
  <c r="H51" i="3"/>
  <c r="AM50" i="3"/>
  <c r="AN50" i="3"/>
  <c r="AH50" i="3"/>
  <c r="F50" i="3"/>
  <c r="V50" i="3"/>
  <c r="B50" i="3"/>
  <c r="AF50" i="3"/>
  <c r="AJ50" i="3"/>
  <c r="T50" i="3"/>
  <c r="X50" i="3"/>
  <c r="N50" i="3"/>
  <c r="AB50" i="3"/>
  <c r="L50" i="3"/>
  <c r="Z50" i="3"/>
  <c r="AL50" i="3"/>
  <c r="P50" i="3"/>
  <c r="A52" i="3" a="1"/>
  <c r="A52" i="3" s="1"/>
  <c r="H50" i="3"/>
  <c r="R50" i="3"/>
  <c r="D50" i="3"/>
  <c r="AD50" i="3"/>
  <c r="J50" i="3"/>
  <c r="X53" i="3" l="1"/>
  <c r="A55" i="3" a="1"/>
  <c r="A55" i="3" s="1"/>
  <c r="P55" i="3" s="1"/>
  <c r="R53" i="3"/>
  <c r="AF53" i="3"/>
  <c r="AD53" i="3"/>
  <c r="AJ53" i="3"/>
  <c r="T53" i="3"/>
  <c r="AN53" i="3"/>
  <c r="AH53" i="3"/>
  <c r="V53" i="3"/>
  <c r="L53" i="3"/>
  <c r="N53" i="3"/>
  <c r="Z53" i="3"/>
  <c r="AB53" i="3"/>
  <c r="F53" i="3"/>
  <c r="J53" i="3"/>
  <c r="D53" i="3"/>
  <c r="B53" i="3"/>
  <c r="AL53" i="3"/>
  <c r="H53" i="3"/>
  <c r="P53" i="3"/>
  <c r="AN52" i="3"/>
  <c r="AM52" i="3"/>
  <c r="N52" i="3"/>
  <c r="AB52" i="3"/>
  <c r="A54" i="3" a="1"/>
  <c r="A54" i="3" s="1"/>
  <c r="X52" i="3"/>
  <c r="P52" i="3"/>
  <c r="R52" i="3"/>
  <c r="B52" i="3"/>
  <c r="AL52" i="3"/>
  <c r="AH52" i="3"/>
  <c r="D52" i="3"/>
  <c r="L52" i="3"/>
  <c r="Z52" i="3"/>
  <c r="J52" i="3"/>
  <c r="AD52" i="3"/>
  <c r="V52" i="3"/>
  <c r="AJ52" i="3"/>
  <c r="H52" i="3"/>
  <c r="AF52" i="3"/>
  <c r="T52" i="3"/>
  <c r="F52" i="3"/>
  <c r="F55" i="3" l="1"/>
  <c r="X55" i="3"/>
  <c r="AJ55" i="3"/>
  <c r="H55" i="3"/>
  <c r="T55" i="3"/>
  <c r="V55" i="3"/>
  <c r="AD55" i="3"/>
  <c r="L55" i="3"/>
  <c r="J55" i="3"/>
  <c r="A57" i="3" a="1"/>
  <c r="A57" i="3" s="1"/>
  <c r="N57" i="3" s="1"/>
  <c r="AL55" i="3"/>
  <c r="AB55" i="3"/>
  <c r="AN55" i="3"/>
  <c r="R55" i="3"/>
  <c r="Z55" i="3"/>
  <c r="AF55" i="3"/>
  <c r="D55" i="3"/>
  <c r="AH55" i="3"/>
  <c r="N55" i="3"/>
  <c r="AM55" i="3"/>
  <c r="B55" i="3"/>
  <c r="AN54" i="3"/>
  <c r="AM54" i="3"/>
  <c r="A56" i="3" a="1"/>
  <c r="A56" i="3" s="1"/>
  <c r="AL54" i="3"/>
  <c r="D54" i="3"/>
  <c r="B54" i="3"/>
  <c r="N54" i="3"/>
  <c r="H54" i="3"/>
  <c r="AH54" i="3"/>
  <c r="AJ54" i="3"/>
  <c r="V54" i="3"/>
  <c r="R54" i="3"/>
  <c r="T54" i="3"/>
  <c r="X54" i="3"/>
  <c r="AD54" i="3"/>
  <c r="L54" i="3"/>
  <c r="AF54" i="3"/>
  <c r="P54" i="3"/>
  <c r="F54" i="3"/>
  <c r="Z54" i="3"/>
  <c r="AB54" i="3"/>
  <c r="J54" i="3"/>
  <c r="X57" i="3" l="1"/>
  <c r="AM57" i="3"/>
  <c r="AB57" i="3"/>
  <c r="AN57" i="3"/>
  <c r="F57" i="3"/>
  <c r="Z57" i="3"/>
  <c r="A59" i="3" a="1"/>
  <c r="A59" i="3" s="1"/>
  <c r="AH59" i="3" s="1"/>
  <c r="AF57" i="3"/>
  <c r="H57" i="3"/>
  <c r="AJ57" i="3"/>
  <c r="J57" i="3"/>
  <c r="AH57" i="3"/>
  <c r="R57" i="3"/>
  <c r="B57" i="3"/>
  <c r="T57" i="3"/>
  <c r="D57" i="3"/>
  <c r="V57" i="3"/>
  <c r="AD57" i="3"/>
  <c r="AL57" i="3"/>
  <c r="P57" i="3"/>
  <c r="L57" i="3"/>
  <c r="AN56" i="3"/>
  <c r="AM56" i="3"/>
  <c r="AH56" i="3"/>
  <c r="H56" i="3"/>
  <c r="L56" i="3"/>
  <c r="AJ56" i="3"/>
  <c r="AB56" i="3"/>
  <c r="X56" i="3"/>
  <c r="D56" i="3"/>
  <c r="T56" i="3"/>
  <c r="AF56" i="3"/>
  <c r="N56" i="3"/>
  <c r="AD56" i="3"/>
  <c r="F56" i="3"/>
  <c r="J56" i="3"/>
  <c r="V56" i="3"/>
  <c r="AL56" i="3"/>
  <c r="A58" i="3" a="1"/>
  <c r="A58" i="3" s="1"/>
  <c r="P56" i="3"/>
  <c r="B56" i="3"/>
  <c r="R56" i="3"/>
  <c r="Z56" i="3"/>
  <c r="A61" i="3" l="1" a="1"/>
  <c r="A61" i="3" s="1"/>
  <c r="L61" i="3" s="1"/>
  <c r="L59" i="3"/>
  <c r="X59" i="3"/>
  <c r="AD59" i="3"/>
  <c r="AM59" i="3"/>
  <c r="AL59" i="3"/>
  <c r="D59" i="3"/>
  <c r="AJ59" i="3"/>
  <c r="AB59" i="3"/>
  <c r="J59" i="3"/>
  <c r="V59" i="3"/>
  <c r="T59" i="3"/>
  <c r="F59" i="3"/>
  <c r="N59" i="3"/>
  <c r="B59" i="3"/>
  <c r="P59" i="3"/>
  <c r="AF59" i="3"/>
  <c r="AN59" i="3"/>
  <c r="H59" i="3"/>
  <c r="Z59" i="3"/>
  <c r="R59" i="3"/>
  <c r="AN58" i="3"/>
  <c r="AM58" i="3"/>
  <c r="Z58" i="3"/>
  <c r="J58" i="3"/>
  <c r="N58" i="3"/>
  <c r="AD58" i="3"/>
  <c r="AL58" i="3"/>
  <c r="L58" i="3"/>
  <c r="T58" i="3"/>
  <c r="AH58" i="3"/>
  <c r="A60" i="3" a="1"/>
  <c r="A60" i="3" s="1"/>
  <c r="F58" i="3"/>
  <c r="X58" i="3"/>
  <c r="AJ58" i="3"/>
  <c r="AB58" i="3"/>
  <c r="D58" i="3"/>
  <c r="P58" i="3"/>
  <c r="B58" i="3"/>
  <c r="H58" i="3"/>
  <c r="R58" i="3"/>
  <c r="AF58" i="3"/>
  <c r="V58" i="3"/>
  <c r="H61" i="3" l="1"/>
  <c r="B61" i="3"/>
  <c r="AF61" i="3"/>
  <c r="T61" i="3"/>
  <c r="AD61" i="3"/>
  <c r="AL61" i="3"/>
  <c r="R61" i="3"/>
  <c r="Z61" i="3"/>
  <c r="AB61" i="3"/>
  <c r="P61" i="3"/>
  <c r="X61" i="3"/>
  <c r="N61" i="3"/>
  <c r="AM61" i="3"/>
  <c r="V61" i="3"/>
  <c r="AJ61" i="3"/>
  <c r="AN61" i="3"/>
  <c r="F61" i="3"/>
  <c r="J61" i="3"/>
  <c r="A63" i="3" a="1"/>
  <c r="A63" i="3" s="1"/>
  <c r="A65" i="3" s="1" a="1"/>
  <c r="A65" i="3" s="1"/>
  <c r="D61" i="3"/>
  <c r="AH61" i="3"/>
  <c r="AM60" i="3"/>
  <c r="AN60" i="3"/>
  <c r="AF60" i="3"/>
  <c r="V60" i="3"/>
  <c r="R60" i="3"/>
  <c r="P60" i="3"/>
  <c r="Z60" i="3"/>
  <c r="AH60" i="3"/>
  <c r="N60" i="3"/>
  <c r="T60" i="3"/>
  <c r="AL60" i="3"/>
  <c r="H60" i="3"/>
  <c r="F60" i="3"/>
  <c r="L60" i="3"/>
  <c r="AJ60" i="3"/>
  <c r="AD60" i="3"/>
  <c r="A62" i="3" a="1"/>
  <c r="A62" i="3" s="1"/>
  <c r="AB60" i="3"/>
  <c r="B60" i="3"/>
  <c r="D60" i="3"/>
  <c r="X60" i="3"/>
  <c r="J60" i="3"/>
  <c r="AJ63" i="3" l="1"/>
  <c r="AD63" i="3"/>
  <c r="N63" i="3"/>
  <c r="B63" i="3"/>
  <c r="D63" i="3"/>
  <c r="F63" i="3"/>
  <c r="J63" i="3"/>
  <c r="Z63" i="3"/>
  <c r="H63" i="3"/>
  <c r="AH63" i="3"/>
  <c r="V63" i="3"/>
  <c r="P63" i="3"/>
  <c r="AL63" i="3"/>
  <c r="AM63" i="3"/>
  <c r="AN63" i="3"/>
  <c r="AF63" i="3"/>
  <c r="AB63" i="3"/>
  <c r="X63" i="3"/>
  <c r="L63" i="3"/>
  <c r="R63" i="3"/>
  <c r="T63" i="3"/>
  <c r="AN65" i="3"/>
  <c r="AM65" i="3"/>
  <c r="AN62" i="3"/>
  <c r="AM62" i="3"/>
  <c r="R62" i="3"/>
  <c r="F62" i="3"/>
  <c r="AB62" i="3"/>
  <c r="N62" i="3"/>
  <c r="T62" i="3"/>
  <c r="AD62" i="3"/>
  <c r="Z62" i="3"/>
  <c r="AL62" i="3"/>
  <c r="H62" i="3"/>
  <c r="AH62" i="3"/>
  <c r="P62" i="3"/>
  <c r="L62" i="3"/>
  <c r="V62" i="3"/>
  <c r="AF62" i="3"/>
  <c r="J62" i="3"/>
  <c r="D62" i="3"/>
  <c r="X62" i="3"/>
  <c r="AJ62" i="3"/>
  <c r="A64" i="3" a="1"/>
  <c r="A64" i="3" s="1"/>
  <c r="B62" i="3"/>
  <c r="AL65" i="3"/>
  <c r="AD65" i="3"/>
  <c r="J65" i="3"/>
  <c r="L65" i="3"/>
  <c r="AF65" i="3"/>
  <c r="F65" i="3"/>
  <c r="P65" i="3"/>
  <c r="D65" i="3"/>
  <c r="A67" i="3" a="1"/>
  <c r="A67" i="3" s="1"/>
  <c r="H65" i="3"/>
  <c r="AB65" i="3"/>
  <c r="X65" i="3"/>
  <c r="T65" i="3"/>
  <c r="R65" i="3"/>
  <c r="V65" i="3"/>
  <c r="N65" i="3"/>
  <c r="B65" i="3"/>
  <c r="AH65" i="3"/>
  <c r="AJ65" i="3"/>
  <c r="Z65" i="3"/>
  <c r="AM64" i="3" l="1"/>
  <c r="AN64" i="3"/>
  <c r="AN67" i="3"/>
  <c r="AM67" i="3"/>
  <c r="H67" i="3"/>
  <c r="N67" i="3"/>
  <c r="AB67" i="3"/>
  <c r="AF67" i="3"/>
  <c r="T67" i="3"/>
  <c r="X67" i="3"/>
  <c r="F67" i="3"/>
  <c r="A69" i="3" a="1"/>
  <c r="A69" i="3" s="1"/>
  <c r="AJ67" i="3"/>
  <c r="D67" i="3"/>
  <c r="AL67" i="3"/>
  <c r="L67" i="3"/>
  <c r="R67" i="3"/>
  <c r="B67" i="3"/>
  <c r="V67" i="3"/>
  <c r="Z67" i="3"/>
  <c r="J67" i="3"/>
  <c r="P67" i="3"/>
  <c r="AD67" i="3"/>
  <c r="AH67" i="3"/>
  <c r="AF64" i="3"/>
  <c r="AB64" i="3"/>
  <c r="D64" i="3"/>
  <c r="AD64" i="3"/>
  <c r="P64" i="3"/>
  <c r="L64" i="3"/>
  <c r="Z64" i="3"/>
  <c r="AL64" i="3"/>
  <c r="N64" i="3"/>
  <c r="B64" i="3"/>
  <c r="H64" i="3"/>
  <c r="X64" i="3"/>
  <c r="R64" i="3"/>
  <c r="AJ64" i="3"/>
  <c r="V64" i="3"/>
  <c r="F64" i="3"/>
  <c r="A66" i="3" a="1"/>
  <c r="A66" i="3" s="1"/>
  <c r="J64" i="3"/>
  <c r="T64" i="3"/>
  <c r="AH64" i="3"/>
  <c r="AN69" i="3" l="1"/>
  <c r="AM69" i="3"/>
  <c r="AN66" i="3"/>
  <c r="AM66" i="3"/>
  <c r="AF69" i="3"/>
  <c r="AD69" i="3"/>
  <c r="H69" i="3"/>
  <c r="L69" i="3"/>
  <c r="AH69" i="3"/>
  <c r="D69" i="3"/>
  <c r="R69" i="3"/>
  <c r="F69" i="3"/>
  <c r="A71" i="3" a="1"/>
  <c r="A71" i="3" s="1"/>
  <c r="B69" i="3"/>
  <c r="J69" i="3"/>
  <c r="AB69" i="3"/>
  <c r="N69" i="3"/>
  <c r="Z69" i="3"/>
  <c r="V69" i="3"/>
  <c r="AJ69" i="3"/>
  <c r="T69" i="3"/>
  <c r="X69" i="3"/>
  <c r="AL69" i="3"/>
  <c r="P69" i="3"/>
  <c r="X66" i="3"/>
  <c r="P66" i="3"/>
  <c r="AB66" i="3"/>
  <c r="L66" i="3"/>
  <c r="H66" i="3"/>
  <c r="B66" i="3"/>
  <c r="T66" i="3"/>
  <c r="Z66" i="3"/>
  <c r="AL66" i="3"/>
  <c r="J66" i="3"/>
  <c r="AD66" i="3"/>
  <c r="AJ66" i="3"/>
  <c r="AF66" i="3"/>
  <c r="V66" i="3"/>
  <c r="A68" i="3" a="1"/>
  <c r="A68" i="3" s="1"/>
  <c r="D66" i="3"/>
  <c r="N66" i="3"/>
  <c r="F66" i="3"/>
  <c r="R66" i="3"/>
  <c r="AH66" i="3"/>
  <c r="AM68" i="3" l="1"/>
  <c r="AN68" i="3"/>
  <c r="AN71" i="3"/>
  <c r="AM71" i="3"/>
  <c r="T68" i="3"/>
  <c r="R68" i="3"/>
  <c r="AL68" i="3"/>
  <c r="AB68" i="3"/>
  <c r="X68" i="3"/>
  <c r="AF68" i="3"/>
  <c r="P68" i="3"/>
  <c r="F68" i="3"/>
  <c r="V68" i="3"/>
  <c r="L68" i="3"/>
  <c r="J68" i="3"/>
  <c r="A70" i="3" a="1"/>
  <c r="A70" i="3" s="1"/>
  <c r="AJ68" i="3"/>
  <c r="AH68" i="3"/>
  <c r="D68" i="3"/>
  <c r="AD68" i="3"/>
  <c r="B68" i="3"/>
  <c r="Z68" i="3"/>
  <c r="N68" i="3"/>
  <c r="H68" i="3"/>
  <c r="H71" i="3"/>
  <c r="B71" i="3"/>
  <c r="AB71" i="3"/>
  <c r="P71" i="3"/>
  <c r="D71" i="3"/>
  <c r="AF71" i="3"/>
  <c r="Z71" i="3"/>
  <c r="N71" i="3"/>
  <c r="L71" i="3"/>
  <c r="AD71" i="3"/>
  <c r="A73" i="3" a="1"/>
  <c r="A73" i="3" s="1"/>
  <c r="J71" i="3"/>
  <c r="AL71" i="3"/>
  <c r="T71" i="3"/>
  <c r="R71" i="3"/>
  <c r="X71" i="3"/>
  <c r="V71" i="3"/>
  <c r="F71" i="3"/>
  <c r="AH71" i="3"/>
  <c r="AJ71" i="3"/>
  <c r="AN70" i="3" l="1"/>
  <c r="AM70" i="3"/>
  <c r="AN73" i="3"/>
  <c r="AM73" i="3"/>
  <c r="AD73" i="3"/>
  <c r="F73" i="3"/>
  <c r="P73" i="3"/>
  <c r="L73" i="3"/>
  <c r="T73" i="3"/>
  <c r="J73" i="3"/>
  <c r="AB73" i="3"/>
  <c r="V73" i="3"/>
  <c r="AJ73" i="3"/>
  <c r="Z73" i="3"/>
  <c r="AL73" i="3"/>
  <c r="B73" i="3"/>
  <c r="AF73" i="3"/>
  <c r="D73" i="3"/>
  <c r="A75" i="3" a="1"/>
  <c r="A75" i="3" s="1"/>
  <c r="H73" i="3"/>
  <c r="X73" i="3"/>
  <c r="R73" i="3"/>
  <c r="N73" i="3"/>
  <c r="AH73" i="3"/>
  <c r="P70" i="3"/>
  <c r="A72" i="3" a="1"/>
  <c r="A72" i="3" s="1"/>
  <c r="AD70" i="3"/>
  <c r="N70" i="3"/>
  <c r="D70" i="3"/>
  <c r="L70" i="3"/>
  <c r="Z70" i="3"/>
  <c r="AL70" i="3"/>
  <c r="B70" i="3"/>
  <c r="AF70" i="3"/>
  <c r="X70" i="3"/>
  <c r="R70" i="3"/>
  <c r="H70" i="3"/>
  <c r="AB70" i="3"/>
  <c r="V70" i="3"/>
  <c r="AJ70" i="3"/>
  <c r="T70" i="3"/>
  <c r="F70" i="3"/>
  <c r="J70" i="3"/>
  <c r="AH70" i="3"/>
  <c r="AN75" i="3" l="1"/>
  <c r="AM75" i="3"/>
  <c r="AN72" i="3"/>
  <c r="AM72" i="3"/>
  <c r="AL75" i="3"/>
  <c r="B75" i="3"/>
  <c r="R75" i="3"/>
  <c r="F75" i="3"/>
  <c r="AH75" i="3"/>
  <c r="X75" i="3"/>
  <c r="D75" i="3"/>
  <c r="AB75" i="3"/>
  <c r="J75" i="3"/>
  <c r="AD75" i="3"/>
  <c r="H75" i="3"/>
  <c r="Z75" i="3"/>
  <c r="L75" i="3"/>
  <c r="A77" i="3" a="1"/>
  <c r="A77" i="3" s="1"/>
  <c r="V75" i="3"/>
  <c r="AF75" i="3"/>
  <c r="AJ75" i="3"/>
  <c r="T75" i="3"/>
  <c r="P75" i="3"/>
  <c r="N75" i="3"/>
  <c r="D72" i="3"/>
  <c r="F72" i="3"/>
  <c r="AD72" i="3"/>
  <c r="R72" i="3"/>
  <c r="AB72" i="3"/>
  <c r="H72" i="3"/>
  <c r="J72" i="3"/>
  <c r="P72" i="3"/>
  <c r="N72" i="3"/>
  <c r="Z72" i="3"/>
  <c r="T72" i="3"/>
  <c r="B72" i="3"/>
  <c r="AL72" i="3"/>
  <c r="X72" i="3"/>
  <c r="V72" i="3"/>
  <c r="L72" i="3"/>
  <c r="AH72" i="3"/>
  <c r="A74" i="3" a="1"/>
  <c r="A74" i="3" s="1"/>
  <c r="AJ72" i="3"/>
  <c r="AF72" i="3"/>
  <c r="AN74" i="3" l="1"/>
  <c r="AM74" i="3"/>
  <c r="AN77" i="3"/>
  <c r="AM77" i="3"/>
  <c r="X74" i="3"/>
  <c r="J74" i="3"/>
  <c r="L74" i="3"/>
  <c r="AF74" i="3"/>
  <c r="Z74" i="3"/>
  <c r="AL74" i="3"/>
  <c r="B74" i="3"/>
  <c r="R74" i="3"/>
  <c r="T74" i="3"/>
  <c r="V74" i="3"/>
  <c r="AJ74" i="3"/>
  <c r="A76" i="3" a="1"/>
  <c r="A76" i="3" s="1"/>
  <c r="F74" i="3"/>
  <c r="P74" i="3"/>
  <c r="N74" i="3"/>
  <c r="AB74" i="3"/>
  <c r="H74" i="3"/>
  <c r="D74" i="3"/>
  <c r="AH74" i="3"/>
  <c r="AD74" i="3"/>
  <c r="Z77" i="3"/>
  <c r="A79" i="3" a="1"/>
  <c r="A79" i="3" s="1"/>
  <c r="AD77" i="3"/>
  <c r="F77" i="3"/>
  <c r="N77" i="3"/>
  <c r="D77" i="3"/>
  <c r="V77" i="3"/>
  <c r="AJ77" i="3"/>
  <c r="AH77" i="3"/>
  <c r="X77" i="3"/>
  <c r="J77" i="3"/>
  <c r="AF77" i="3"/>
  <c r="P77" i="3"/>
  <c r="H77" i="3"/>
  <c r="R77" i="3"/>
  <c r="B77" i="3"/>
  <c r="AL77" i="3"/>
  <c r="AB77" i="3"/>
  <c r="L77" i="3"/>
  <c r="T77" i="3"/>
  <c r="AN76" i="3" l="1"/>
  <c r="AM76" i="3"/>
  <c r="AM79" i="3"/>
  <c r="AN79" i="3"/>
  <c r="T79" i="3"/>
  <c r="Z79" i="3"/>
  <c r="AL79" i="3"/>
  <c r="AF79" i="3"/>
  <c r="N79" i="3"/>
  <c r="A81" i="3" a="1"/>
  <c r="A81" i="3" s="1"/>
  <c r="V79" i="3"/>
  <c r="X79" i="3"/>
  <c r="B79" i="3"/>
  <c r="H79" i="3"/>
  <c r="AD79" i="3"/>
  <c r="AJ79" i="3"/>
  <c r="AB79" i="3"/>
  <c r="L79" i="3"/>
  <c r="D79" i="3"/>
  <c r="F79" i="3"/>
  <c r="J79" i="3"/>
  <c r="P79" i="3"/>
  <c r="R79" i="3"/>
  <c r="AH79" i="3"/>
  <c r="X76" i="3"/>
  <c r="Z76" i="3"/>
  <c r="T76" i="3"/>
  <c r="H76" i="3"/>
  <c r="AJ76" i="3"/>
  <c r="AL76" i="3"/>
  <c r="AH76" i="3"/>
  <c r="J76" i="3"/>
  <c r="F76" i="3"/>
  <c r="V76" i="3"/>
  <c r="N76" i="3"/>
  <c r="R76" i="3"/>
  <c r="A78" i="3" a="1"/>
  <c r="A78" i="3" s="1"/>
  <c r="D76" i="3"/>
  <c r="P76" i="3"/>
  <c r="AD76" i="3"/>
  <c r="B76" i="3"/>
  <c r="L76" i="3"/>
  <c r="AF76" i="3"/>
  <c r="AB76" i="3"/>
  <c r="AM78" i="3" l="1"/>
  <c r="AN78" i="3"/>
  <c r="AN81" i="3"/>
  <c r="AM81" i="3"/>
  <c r="J81" i="3"/>
  <c r="AB81" i="3"/>
  <c r="N81" i="3"/>
  <c r="H81" i="3"/>
  <c r="V81" i="3"/>
  <c r="R81" i="3"/>
  <c r="L81" i="3"/>
  <c r="X81" i="3"/>
  <c r="T81" i="3"/>
  <c r="F81" i="3"/>
  <c r="B81" i="3"/>
  <c r="D81" i="3"/>
  <c r="AD81" i="3"/>
  <c r="AL81" i="3"/>
  <c r="AH81" i="3"/>
  <c r="A83" i="3" a="1"/>
  <c r="A83" i="3" s="1"/>
  <c r="Z81" i="3"/>
  <c r="AJ81" i="3"/>
  <c r="AF81" i="3"/>
  <c r="P81" i="3"/>
  <c r="AH78" i="3"/>
  <c r="D78" i="3"/>
  <c r="R78" i="3"/>
  <c r="H78" i="3"/>
  <c r="AJ78" i="3"/>
  <c r="V78" i="3"/>
  <c r="F78" i="3"/>
  <c r="X78" i="3"/>
  <c r="AF78" i="3"/>
  <c r="T78" i="3"/>
  <c r="AL78" i="3"/>
  <c r="L78" i="3"/>
  <c r="B78" i="3"/>
  <c r="N78" i="3"/>
  <c r="P78" i="3"/>
  <c r="AD78" i="3"/>
  <c r="Z78" i="3"/>
  <c r="J78" i="3"/>
  <c r="AB78" i="3"/>
  <c r="A80" i="3" a="1"/>
  <c r="A80" i="3" s="1"/>
  <c r="AN80" i="3" l="1"/>
  <c r="AM80" i="3"/>
  <c r="AM83" i="3"/>
  <c r="AN83" i="3"/>
  <c r="J80" i="3"/>
  <c r="AF80" i="3"/>
  <c r="H80" i="3"/>
  <c r="R80" i="3"/>
  <c r="D80" i="3"/>
  <c r="P80" i="3"/>
  <c r="AB80" i="3"/>
  <c r="V80" i="3"/>
  <c r="N80" i="3"/>
  <c r="AJ80" i="3"/>
  <c r="B80" i="3"/>
  <c r="AL80" i="3"/>
  <c r="T80" i="3"/>
  <c r="AD80" i="3"/>
  <c r="L80" i="3"/>
  <c r="AH80" i="3"/>
  <c r="F80" i="3"/>
  <c r="Z80" i="3"/>
  <c r="X80" i="3"/>
  <c r="A82" i="3" a="1"/>
  <c r="A82" i="3" s="1"/>
  <c r="AL83" i="3"/>
  <c r="AJ83" i="3"/>
  <c r="F83" i="3"/>
  <c r="AH83" i="3"/>
  <c r="AD83" i="3"/>
  <c r="D83" i="3"/>
  <c r="N83" i="3"/>
  <c r="B83" i="3"/>
  <c r="R83" i="3"/>
  <c r="L83" i="3"/>
  <c r="V83" i="3"/>
  <c r="X83" i="3"/>
  <c r="Z83" i="3"/>
  <c r="A85" i="3" a="1"/>
  <c r="A85" i="3" s="1"/>
  <c r="P83" i="3"/>
  <c r="AF83" i="3"/>
  <c r="AB83" i="3"/>
  <c r="J83" i="3"/>
  <c r="H83" i="3"/>
  <c r="T83" i="3"/>
  <c r="AN85" i="3" l="1"/>
  <c r="AM85" i="3"/>
  <c r="AN82" i="3"/>
  <c r="AM82" i="3"/>
  <c r="X82" i="3"/>
  <c r="D82" i="3"/>
  <c r="P82" i="3"/>
  <c r="V82" i="3"/>
  <c r="F82" i="3"/>
  <c r="AL82" i="3"/>
  <c r="T82" i="3"/>
  <c r="AF82" i="3"/>
  <c r="J82" i="3"/>
  <c r="L82" i="3"/>
  <c r="B82" i="3"/>
  <c r="H82" i="3"/>
  <c r="R82" i="3"/>
  <c r="Z82" i="3"/>
  <c r="AH82" i="3"/>
  <c r="AB82" i="3"/>
  <c r="N82" i="3"/>
  <c r="AD82" i="3"/>
  <c r="AJ82" i="3"/>
  <c r="A84" i="3" a="1"/>
  <c r="A84" i="3" s="1"/>
  <c r="T85" i="3"/>
  <c r="F85" i="3"/>
  <c r="R85" i="3"/>
  <c r="AB85" i="3"/>
  <c r="A87" i="3" a="1"/>
  <c r="A87" i="3" s="1"/>
  <c r="X85" i="3"/>
  <c r="L85" i="3"/>
  <c r="AD85" i="3"/>
  <c r="N85" i="3"/>
  <c r="J85" i="3"/>
  <c r="AL85" i="3"/>
  <c r="V85" i="3"/>
  <c r="P85" i="3"/>
  <c r="Z85" i="3"/>
  <c r="AF85" i="3"/>
  <c r="AJ85" i="3"/>
  <c r="AH85" i="3"/>
  <c r="D85" i="3"/>
  <c r="H85" i="3"/>
  <c r="B85" i="3"/>
  <c r="AN87" i="3" l="1"/>
  <c r="AM87" i="3"/>
  <c r="AN84" i="3"/>
  <c r="AM84" i="3"/>
  <c r="B84" i="3"/>
  <c r="N84" i="3"/>
  <c r="P84" i="3"/>
  <c r="L84" i="3"/>
  <c r="H84" i="3"/>
  <c r="Z84" i="3"/>
  <c r="AH84" i="3"/>
  <c r="A86" i="3" a="1"/>
  <c r="A86" i="3" s="1"/>
  <c r="R84" i="3"/>
  <c r="AD84" i="3"/>
  <c r="J84" i="3"/>
  <c r="AL84" i="3"/>
  <c r="V84" i="3"/>
  <c r="T84" i="3"/>
  <c r="AJ84" i="3"/>
  <c r="F84" i="3"/>
  <c r="X84" i="3"/>
  <c r="AF84" i="3"/>
  <c r="AB84" i="3"/>
  <c r="D84" i="3"/>
  <c r="AL87" i="3"/>
  <c r="P87" i="3"/>
  <c r="T87" i="3"/>
  <c r="Z87" i="3"/>
  <c r="J87" i="3"/>
  <c r="F87" i="3"/>
  <c r="AF87" i="3"/>
  <c r="D87" i="3"/>
  <c r="AH87" i="3"/>
  <c r="H87" i="3"/>
  <c r="V87" i="3"/>
  <c r="L87" i="3"/>
  <c r="AB87" i="3"/>
  <c r="AJ87" i="3"/>
  <c r="N87" i="3"/>
  <c r="AD87" i="3"/>
  <c r="X87" i="3"/>
  <c r="A89" i="3" a="1"/>
  <c r="A89" i="3" s="1"/>
  <c r="R87" i="3"/>
  <c r="B87" i="3"/>
  <c r="AN86" i="3" l="1"/>
  <c r="AM86" i="3"/>
  <c r="AN89" i="3"/>
  <c r="AM89" i="3"/>
  <c r="B86" i="3"/>
  <c r="L86" i="3"/>
  <c r="X86" i="3"/>
  <c r="AB86" i="3"/>
  <c r="AJ86" i="3"/>
  <c r="F86" i="3"/>
  <c r="P86" i="3"/>
  <c r="AD86" i="3"/>
  <c r="AH86" i="3"/>
  <c r="V86" i="3"/>
  <c r="H86" i="3"/>
  <c r="AF86" i="3"/>
  <c r="AL86" i="3"/>
  <c r="A88" i="3" a="1"/>
  <c r="A88" i="3" s="1"/>
  <c r="T86" i="3"/>
  <c r="J86" i="3"/>
  <c r="D86" i="3"/>
  <c r="R86" i="3"/>
  <c r="N86" i="3"/>
  <c r="Z86" i="3"/>
  <c r="A91" i="3" a="1"/>
  <c r="A91" i="3" s="1"/>
  <c r="X89" i="3"/>
  <c r="AH89" i="3"/>
  <c r="L89" i="3"/>
  <c r="P89" i="3"/>
  <c r="N89" i="3"/>
  <c r="D89" i="3"/>
  <c r="AJ89" i="3"/>
  <c r="AL89" i="3"/>
  <c r="B89" i="3"/>
  <c r="T89" i="3"/>
  <c r="Z89" i="3"/>
  <c r="AF89" i="3"/>
  <c r="AB89" i="3"/>
  <c r="F89" i="3"/>
  <c r="H89" i="3"/>
  <c r="V89" i="3"/>
  <c r="J89" i="3"/>
  <c r="R89" i="3"/>
  <c r="AD89" i="3"/>
  <c r="AM88" i="3" l="1"/>
  <c r="AN88" i="3"/>
  <c r="AN91" i="3"/>
  <c r="AM91" i="3"/>
  <c r="D88" i="3"/>
  <c r="T88" i="3"/>
  <c r="AL88" i="3"/>
  <c r="N88" i="3"/>
  <c r="Z88" i="3"/>
  <c r="AD88" i="3"/>
  <c r="V88" i="3"/>
  <c r="AF88" i="3"/>
  <c r="AB88" i="3"/>
  <c r="P88" i="3"/>
  <c r="J88" i="3"/>
  <c r="F88" i="3"/>
  <c r="B88" i="3"/>
  <c r="H88" i="3"/>
  <c r="L88" i="3"/>
  <c r="R88" i="3"/>
  <c r="AJ88" i="3"/>
  <c r="AH88" i="3"/>
  <c r="X88" i="3"/>
  <c r="A90" i="3" a="1"/>
  <c r="A90" i="3" s="1"/>
  <c r="AJ91" i="3"/>
  <c r="H91" i="3"/>
  <c r="AD91" i="3"/>
  <c r="D91" i="3"/>
  <c r="F91" i="3"/>
  <c r="L91" i="3"/>
  <c r="J91" i="3"/>
  <c r="V91" i="3"/>
  <c r="P91" i="3"/>
  <c r="B91" i="3"/>
  <c r="Z91" i="3"/>
  <c r="N91" i="3"/>
  <c r="AB91" i="3"/>
  <c r="AF91" i="3"/>
  <c r="AL91" i="3"/>
  <c r="T91" i="3"/>
  <c r="A93" i="3" a="1"/>
  <c r="A93" i="3" s="1"/>
  <c r="X91" i="3"/>
  <c r="AH91" i="3"/>
  <c r="R91" i="3"/>
  <c r="AN90" i="3" l="1"/>
  <c r="AM90" i="3"/>
  <c r="AN93" i="3"/>
  <c r="AM93" i="3"/>
  <c r="D93" i="3"/>
  <c r="A95" i="3" a="1"/>
  <c r="A95" i="3" s="1"/>
  <c r="AB93" i="3"/>
  <c r="AL93" i="3"/>
  <c r="X93" i="3"/>
  <c r="H93" i="3"/>
  <c r="P93" i="3"/>
  <c r="L93" i="3"/>
  <c r="AJ93" i="3"/>
  <c r="J93" i="3"/>
  <c r="T93" i="3"/>
  <c r="N93" i="3"/>
  <c r="AF93" i="3"/>
  <c r="V93" i="3"/>
  <c r="AD93" i="3"/>
  <c r="Z93" i="3"/>
  <c r="B93" i="3"/>
  <c r="F93" i="3"/>
  <c r="R93" i="3"/>
  <c r="AH93" i="3"/>
  <c r="T90" i="3"/>
  <c r="AF90" i="3"/>
  <c r="AB90" i="3"/>
  <c r="A92" i="3" a="1"/>
  <c r="A92" i="3" s="1"/>
  <c r="B90" i="3"/>
  <c r="V90" i="3"/>
  <c r="J90" i="3"/>
  <c r="AL90" i="3"/>
  <c r="N90" i="3"/>
  <c r="D90" i="3"/>
  <c r="AH90" i="3"/>
  <c r="R90" i="3"/>
  <c r="H90" i="3"/>
  <c r="Z90" i="3"/>
  <c r="X90" i="3"/>
  <c r="L90" i="3"/>
  <c r="AJ90" i="3"/>
  <c r="AD90" i="3"/>
  <c r="F90" i="3"/>
  <c r="P90" i="3"/>
  <c r="AN95" i="3" l="1"/>
  <c r="AM95" i="3"/>
  <c r="AM92" i="3"/>
  <c r="AN92" i="3"/>
  <c r="AF92" i="3"/>
  <c r="Z92" i="3"/>
  <c r="X92" i="3"/>
  <c r="A94" i="3" a="1"/>
  <c r="A94" i="3" s="1"/>
  <c r="J92" i="3"/>
  <c r="AL92" i="3"/>
  <c r="L92" i="3"/>
  <c r="N92" i="3"/>
  <c r="H92" i="3"/>
  <c r="F92" i="3"/>
  <c r="V92" i="3"/>
  <c r="T92" i="3"/>
  <c r="B92" i="3"/>
  <c r="AB92" i="3"/>
  <c r="P92" i="3"/>
  <c r="D92" i="3"/>
  <c r="R92" i="3"/>
  <c r="AH92" i="3"/>
  <c r="AJ92" i="3"/>
  <c r="AD92" i="3"/>
  <c r="L95" i="3"/>
  <c r="V95" i="3"/>
  <c r="F95" i="3"/>
  <c r="B95" i="3"/>
  <c r="AD95" i="3"/>
  <c r="P95" i="3"/>
  <c r="H95" i="3"/>
  <c r="T95" i="3"/>
  <c r="J95" i="3"/>
  <c r="X95" i="3"/>
  <c r="AL95" i="3"/>
  <c r="AH95" i="3"/>
  <c r="AJ95" i="3"/>
  <c r="AF95" i="3"/>
  <c r="Z95" i="3"/>
  <c r="AB95" i="3"/>
  <c r="A97" i="3" a="1"/>
  <c r="A97" i="3" s="1"/>
  <c r="R95" i="3"/>
  <c r="D95" i="3"/>
  <c r="N95" i="3"/>
  <c r="AN94" i="3" l="1"/>
  <c r="AM94" i="3"/>
  <c r="AN97" i="3"/>
  <c r="AM97" i="3"/>
  <c r="A99" i="3" a="1"/>
  <c r="A99" i="3" s="1"/>
  <c r="X97" i="3"/>
  <c r="T97" i="3"/>
  <c r="AB97" i="3"/>
  <c r="F97" i="3"/>
  <c r="AD97" i="3"/>
  <c r="V97" i="3"/>
  <c r="R97" i="3"/>
  <c r="P97" i="3"/>
  <c r="AF97" i="3"/>
  <c r="J97" i="3"/>
  <c r="D97" i="3"/>
  <c r="B97" i="3"/>
  <c r="L97" i="3"/>
  <c r="Z97" i="3"/>
  <c r="AH97" i="3"/>
  <c r="H97" i="3"/>
  <c r="AL97" i="3"/>
  <c r="AJ97" i="3"/>
  <c r="N97" i="3"/>
  <c r="AF94" i="3"/>
  <c r="D94" i="3"/>
  <c r="J94" i="3"/>
  <c r="Z94" i="3"/>
  <c r="AD94" i="3"/>
  <c r="B94" i="3"/>
  <c r="L94" i="3"/>
  <c r="H94" i="3"/>
  <c r="AH94" i="3"/>
  <c r="N94" i="3"/>
  <c r="P94" i="3"/>
  <c r="R94" i="3"/>
  <c r="F94" i="3"/>
  <c r="AL94" i="3"/>
  <c r="AB94" i="3"/>
  <c r="T94" i="3"/>
  <c r="V94" i="3"/>
  <c r="AJ94" i="3"/>
  <c r="X94" i="3"/>
  <c r="A96" i="3" a="1"/>
  <c r="A96" i="3" s="1"/>
  <c r="AN99" i="3" l="1"/>
  <c r="AM99" i="3"/>
  <c r="AN96" i="3"/>
  <c r="AM96" i="3"/>
  <c r="AL96" i="3"/>
  <c r="H96" i="3"/>
  <c r="D96" i="3"/>
  <c r="L96" i="3"/>
  <c r="AH96" i="3"/>
  <c r="AJ96" i="3"/>
  <c r="A98" i="3" a="1"/>
  <c r="A98" i="3" s="1"/>
  <c r="F96" i="3"/>
  <c r="B96" i="3"/>
  <c r="X96" i="3"/>
  <c r="N96" i="3"/>
  <c r="V96" i="3"/>
  <c r="Z96" i="3"/>
  <c r="R96" i="3"/>
  <c r="AB96" i="3"/>
  <c r="P96" i="3"/>
  <c r="AD96" i="3"/>
  <c r="J96" i="3"/>
  <c r="T96" i="3"/>
  <c r="AF96" i="3"/>
  <c r="J99" i="3"/>
  <c r="Z99" i="3"/>
  <c r="V99" i="3"/>
  <c r="N99" i="3"/>
  <c r="L99" i="3"/>
  <c r="AF99" i="3"/>
  <c r="F99" i="3"/>
  <c r="AD99" i="3"/>
  <c r="D99" i="3"/>
  <c r="B99" i="3"/>
  <c r="AL99" i="3"/>
  <c r="P99" i="3"/>
  <c r="X99" i="3"/>
  <c r="T99" i="3"/>
  <c r="AB99" i="3"/>
  <c r="H99" i="3"/>
  <c r="R99" i="3"/>
  <c r="A101" i="3" a="1"/>
  <c r="A101" i="3" s="1"/>
  <c r="AH99" i="3"/>
  <c r="AJ99" i="3"/>
  <c r="I1" i="5"/>
  <c r="AN101" i="3" l="1"/>
  <c r="AM101" i="3"/>
  <c r="AN98" i="3"/>
  <c r="AM98" i="3"/>
  <c r="A9" i="4"/>
  <c r="A100" i="3" a="1"/>
  <c r="A100" i="3" s="1"/>
  <c r="D98" i="3"/>
  <c r="J98" i="3"/>
  <c r="R98" i="3"/>
  <c r="AF98" i="3"/>
  <c r="AJ98" i="3"/>
  <c r="T98" i="3"/>
  <c r="P98" i="3"/>
  <c r="H98" i="3"/>
  <c r="AH98" i="3"/>
  <c r="F98" i="3"/>
  <c r="Z98" i="3"/>
  <c r="AL98" i="3"/>
  <c r="B98" i="3"/>
  <c r="X98" i="3"/>
  <c r="L98" i="3"/>
  <c r="N98" i="3"/>
  <c r="AB98" i="3"/>
  <c r="AD98" i="3"/>
  <c r="V98" i="3"/>
  <c r="R101" i="3"/>
  <c r="AB101" i="3"/>
  <c r="H101" i="3"/>
  <c r="Z101" i="3"/>
  <c r="F101" i="3"/>
  <c r="J101" i="3"/>
  <c r="AF101" i="3"/>
  <c r="D101" i="3"/>
  <c r="AH101" i="3"/>
  <c r="AL101" i="3"/>
  <c r="N101" i="3"/>
  <c r="T101" i="3"/>
  <c r="X101" i="3"/>
  <c r="A103" i="3" a="1"/>
  <c r="A103" i="3" s="1"/>
  <c r="L101" i="3"/>
  <c r="V101" i="3"/>
  <c r="AJ101" i="3"/>
  <c r="P101" i="3"/>
  <c r="AD101" i="3"/>
  <c r="B101" i="3"/>
  <c r="AN103" i="3" l="1"/>
  <c r="AM103" i="3"/>
  <c r="AN100" i="3"/>
  <c r="AM100" i="3"/>
  <c r="AH103" i="3"/>
  <c r="AD103" i="3"/>
  <c r="AL103" i="3"/>
  <c r="V103" i="3"/>
  <c r="B103" i="3"/>
  <c r="A105" i="3" a="1"/>
  <c r="A105" i="3" s="1"/>
  <c r="AF103" i="3"/>
  <c r="D103" i="3"/>
  <c r="N103" i="3"/>
  <c r="Z103" i="3"/>
  <c r="R103" i="3"/>
  <c r="AB103" i="3"/>
  <c r="P103" i="3"/>
  <c r="J103" i="3"/>
  <c r="AJ103" i="3"/>
  <c r="T103" i="3"/>
  <c r="X103" i="3"/>
  <c r="H103" i="3"/>
  <c r="F103" i="3"/>
  <c r="L103" i="3"/>
  <c r="J100" i="3"/>
  <c r="AB100" i="3"/>
  <c r="N100" i="3"/>
  <c r="A102" i="3" a="1"/>
  <c r="A102" i="3" s="1"/>
  <c r="AH100" i="3"/>
  <c r="Z100" i="3"/>
  <c r="L100" i="3"/>
  <c r="B100" i="3"/>
  <c r="H100" i="3"/>
  <c r="AD100" i="3"/>
  <c r="P100" i="3"/>
  <c r="AF100" i="3"/>
  <c r="AJ100" i="3"/>
  <c r="X100" i="3"/>
  <c r="F100" i="3"/>
  <c r="T100" i="3"/>
  <c r="D100" i="3"/>
  <c r="R100" i="3"/>
  <c r="AL100" i="3"/>
  <c r="V100" i="3"/>
  <c r="AM102" i="3" l="1"/>
  <c r="AN102" i="3"/>
  <c r="AN105" i="3"/>
  <c r="AM105" i="3"/>
  <c r="J105" i="3"/>
  <c r="Z105" i="3"/>
  <c r="H105" i="3"/>
  <c r="T105" i="3"/>
  <c r="AD105" i="3"/>
  <c r="AL105" i="3"/>
  <c r="N105" i="3"/>
  <c r="F105" i="3"/>
  <c r="V105" i="3"/>
  <c r="AH105" i="3"/>
  <c r="R105" i="3"/>
  <c r="X105" i="3"/>
  <c r="B105" i="3"/>
  <c r="P105" i="3"/>
  <c r="D105" i="3"/>
  <c r="AB105" i="3"/>
  <c r="AF105" i="3"/>
  <c r="L105" i="3"/>
  <c r="AJ105" i="3"/>
  <c r="A107" i="3" a="1"/>
  <c r="A107" i="3" s="1"/>
  <c r="B102" i="3"/>
  <c r="AB102" i="3"/>
  <c r="AD102" i="3"/>
  <c r="R102" i="3"/>
  <c r="T102" i="3"/>
  <c r="AH102" i="3"/>
  <c r="V102" i="3"/>
  <c r="N102" i="3"/>
  <c r="D102" i="3"/>
  <c r="AF102" i="3"/>
  <c r="P102" i="3"/>
  <c r="F102" i="3"/>
  <c r="H102" i="3"/>
  <c r="L102" i="3"/>
  <c r="J102" i="3"/>
  <c r="AL102" i="3"/>
  <c r="AJ102" i="3"/>
  <c r="A104" i="3" a="1"/>
  <c r="A104" i="3" s="1"/>
  <c r="Z102" i="3"/>
  <c r="X102" i="3"/>
  <c r="AN107" i="3" l="1"/>
  <c r="AM107" i="3"/>
  <c r="AN104" i="3"/>
  <c r="AM104" i="3"/>
  <c r="J104" i="3"/>
  <c r="N104" i="3"/>
  <c r="AF104" i="3"/>
  <c r="H104" i="3"/>
  <c r="AL104" i="3"/>
  <c r="Z104" i="3"/>
  <c r="T104" i="3"/>
  <c r="A106" i="3" a="1"/>
  <c r="A106" i="3" s="1"/>
  <c r="F104" i="3"/>
  <c r="D104" i="3"/>
  <c r="X104" i="3"/>
  <c r="B104" i="3"/>
  <c r="AH104" i="3"/>
  <c r="R104" i="3"/>
  <c r="AD104" i="3"/>
  <c r="P104" i="3"/>
  <c r="V104" i="3"/>
  <c r="AB104" i="3"/>
  <c r="AJ104" i="3"/>
  <c r="L104" i="3"/>
  <c r="H107" i="3"/>
  <c r="AF107" i="3"/>
  <c r="Z107" i="3"/>
  <c r="J107" i="3"/>
  <c r="AL107" i="3"/>
  <c r="A109" i="3" a="1"/>
  <c r="A109" i="3" s="1"/>
  <c r="F107" i="3"/>
  <c r="AB107" i="3"/>
  <c r="P107" i="3"/>
  <c r="T107" i="3"/>
  <c r="AD107" i="3"/>
  <c r="V107" i="3"/>
  <c r="N107" i="3"/>
  <c r="R107" i="3"/>
  <c r="D107" i="3"/>
  <c r="AH107" i="3"/>
  <c r="AJ107" i="3"/>
  <c r="X107" i="3"/>
  <c r="L107" i="3"/>
  <c r="B107" i="3"/>
  <c r="AN109" i="3" l="1"/>
  <c r="AM109" i="3"/>
  <c r="AM106" i="3"/>
  <c r="AN106" i="3"/>
  <c r="AB106" i="3"/>
  <c r="X106" i="3"/>
  <c r="T106" i="3"/>
  <c r="H106" i="3"/>
  <c r="AF106" i="3"/>
  <c r="D106" i="3"/>
  <c r="AD106" i="3"/>
  <c r="J106" i="3"/>
  <c r="AJ106" i="3"/>
  <c r="V106" i="3"/>
  <c r="B106" i="3"/>
  <c r="L106" i="3"/>
  <c r="R106" i="3"/>
  <c r="P106" i="3"/>
  <c r="AL106" i="3"/>
  <c r="F106" i="3"/>
  <c r="A108" i="3" a="1"/>
  <c r="A108" i="3" s="1"/>
  <c r="AH106" i="3"/>
  <c r="Z106" i="3"/>
  <c r="N106" i="3"/>
  <c r="D109" i="3"/>
  <c r="P109" i="3"/>
  <c r="AB109" i="3"/>
  <c r="AD109" i="3"/>
  <c r="X109" i="3"/>
  <c r="H109" i="3"/>
  <c r="B109" i="3"/>
  <c r="AF109" i="3"/>
  <c r="Z109" i="3"/>
  <c r="J109" i="3"/>
  <c r="V109" i="3"/>
  <c r="N109" i="3"/>
  <c r="L109" i="3"/>
  <c r="F109" i="3"/>
  <c r="AJ109" i="3"/>
  <c r="AL109" i="3"/>
  <c r="R109" i="3"/>
  <c r="AH109" i="3"/>
  <c r="A111" i="3" a="1"/>
  <c r="A111" i="3" s="1"/>
  <c r="T109" i="3"/>
  <c r="AN108" i="3" l="1"/>
  <c r="AM108" i="3"/>
  <c r="AN111" i="3"/>
  <c r="AM111" i="3"/>
  <c r="A113" i="3" a="1"/>
  <c r="A113" i="3" s="1"/>
  <c r="AJ111" i="3"/>
  <c r="AH111" i="3"/>
  <c r="T111" i="3"/>
  <c r="V111" i="3"/>
  <c r="P111" i="3"/>
  <c r="AL111" i="3"/>
  <c r="J111" i="3"/>
  <c r="X111" i="3"/>
  <c r="H111" i="3"/>
  <c r="L111" i="3"/>
  <c r="D111" i="3"/>
  <c r="AD111" i="3"/>
  <c r="F111" i="3"/>
  <c r="B111" i="3"/>
  <c r="N111" i="3"/>
  <c r="R111" i="3"/>
  <c r="AF111" i="3"/>
  <c r="AB111" i="3"/>
  <c r="Z111" i="3"/>
  <c r="L108" i="3"/>
  <c r="T108" i="3"/>
  <c r="R108" i="3"/>
  <c r="H108" i="3"/>
  <c r="V108" i="3"/>
  <c r="J108" i="3"/>
  <c r="AD108" i="3"/>
  <c r="N108" i="3"/>
  <c r="X108" i="3"/>
  <c r="A110" i="3" a="1"/>
  <c r="A110" i="3" s="1"/>
  <c r="AJ108" i="3"/>
  <c r="AB108" i="3"/>
  <c r="AF108" i="3"/>
  <c r="AL108" i="3"/>
  <c r="D108" i="3"/>
  <c r="F108" i="3"/>
  <c r="B108" i="3"/>
  <c r="Z108" i="3"/>
  <c r="AH108" i="3"/>
  <c r="P108" i="3"/>
  <c r="AN113" i="3" l="1"/>
  <c r="AM113" i="3"/>
  <c r="AN110" i="3"/>
  <c r="AM110" i="3"/>
  <c r="AH110" i="3"/>
  <c r="Z110" i="3"/>
  <c r="H110" i="3"/>
  <c r="AF110" i="3"/>
  <c r="V110" i="3"/>
  <c r="R110" i="3"/>
  <c r="B110" i="3"/>
  <c r="T110" i="3"/>
  <c r="AJ110" i="3"/>
  <c r="L110" i="3"/>
  <c r="F110" i="3"/>
  <c r="X110" i="3"/>
  <c r="D110" i="3"/>
  <c r="N110" i="3"/>
  <c r="AB110" i="3"/>
  <c r="J110" i="3"/>
  <c r="A112" i="3" a="1"/>
  <c r="A112" i="3" s="1"/>
  <c r="P110" i="3"/>
  <c r="AL110" i="3"/>
  <c r="AD110" i="3"/>
  <c r="AD113" i="3"/>
  <c r="R113" i="3"/>
  <c r="F113" i="3"/>
  <c r="Z113" i="3"/>
  <c r="AH113" i="3"/>
  <c r="N113" i="3"/>
  <c r="AF113" i="3"/>
  <c r="AB113" i="3"/>
  <c r="L113" i="3"/>
  <c r="AJ113" i="3"/>
  <c r="AL113" i="3"/>
  <c r="V113" i="3"/>
  <c r="H113" i="3"/>
  <c r="T113" i="3"/>
  <c r="A115" i="3" a="1"/>
  <c r="A115" i="3" s="1"/>
  <c r="X113" i="3"/>
  <c r="B113" i="3"/>
  <c r="P113" i="3"/>
  <c r="J113" i="3"/>
  <c r="D113" i="3"/>
  <c r="AN115" i="3" l="1"/>
  <c r="AM115" i="3"/>
  <c r="AN112" i="3"/>
  <c r="AM112" i="3"/>
  <c r="L115" i="3"/>
  <c r="B115" i="3"/>
  <c r="F115" i="3"/>
  <c r="AL115" i="3"/>
  <c r="P115" i="3"/>
  <c r="X115" i="3"/>
  <c r="V115" i="3"/>
  <c r="N115" i="3"/>
  <c r="Z115" i="3"/>
  <c r="AD115" i="3"/>
  <c r="J115" i="3"/>
  <c r="H115" i="3"/>
  <c r="AJ115" i="3"/>
  <c r="D115" i="3"/>
  <c r="A117" i="3" a="1"/>
  <c r="A117" i="3" s="1"/>
  <c r="T115" i="3"/>
  <c r="AH115" i="3"/>
  <c r="R115" i="3"/>
  <c r="AB115" i="3"/>
  <c r="AF115" i="3"/>
  <c r="AF112" i="3"/>
  <c r="D112" i="3"/>
  <c r="AL112" i="3"/>
  <c r="J112" i="3"/>
  <c r="B112" i="3"/>
  <c r="H112" i="3"/>
  <c r="A114" i="3" a="1"/>
  <c r="A114" i="3" s="1"/>
  <c r="Z112" i="3"/>
  <c r="AH112" i="3"/>
  <c r="P112" i="3"/>
  <c r="AJ112" i="3"/>
  <c r="V112" i="3"/>
  <c r="AD112" i="3"/>
  <c r="L112" i="3"/>
  <c r="T112" i="3"/>
  <c r="N112" i="3"/>
  <c r="R112" i="3"/>
  <c r="AB112" i="3"/>
  <c r="F112" i="3"/>
  <c r="X112" i="3"/>
  <c r="AN114" i="3" l="1"/>
  <c r="AM114" i="3"/>
  <c r="AN117" i="3"/>
  <c r="AM117" i="3"/>
  <c r="T117" i="3"/>
  <c r="R117" i="3"/>
  <c r="X117" i="3"/>
  <c r="AL117" i="3"/>
  <c r="V117" i="3"/>
  <c r="AH117" i="3"/>
  <c r="AF117" i="3"/>
  <c r="AJ117" i="3"/>
  <c r="L117" i="3"/>
  <c r="B117" i="3"/>
  <c r="H117" i="3"/>
  <c r="AD117" i="3"/>
  <c r="AB117" i="3"/>
  <c r="D117" i="3"/>
  <c r="A119" i="3" a="1"/>
  <c r="A119" i="3" s="1"/>
  <c r="J117" i="3"/>
  <c r="N117" i="3"/>
  <c r="Z117" i="3"/>
  <c r="P117" i="3"/>
  <c r="F117" i="3"/>
  <c r="H114" i="3"/>
  <c r="P114" i="3"/>
  <c r="AF114" i="3"/>
  <c r="AL114" i="3"/>
  <c r="J114" i="3"/>
  <c r="N114" i="3"/>
  <c r="T114" i="3"/>
  <c r="AB114" i="3"/>
  <c r="AD114" i="3"/>
  <c r="X114" i="3"/>
  <c r="F114" i="3"/>
  <c r="R114" i="3"/>
  <c r="AH114" i="3"/>
  <c r="V114" i="3"/>
  <c r="AJ114" i="3"/>
  <c r="L114" i="3"/>
  <c r="B114" i="3"/>
  <c r="A116" i="3" a="1"/>
  <c r="A116" i="3" s="1"/>
  <c r="D114" i="3"/>
  <c r="Z114" i="3"/>
  <c r="AN119" i="3" l="1"/>
  <c r="AM119" i="3"/>
  <c r="AM116" i="3"/>
  <c r="AN116" i="3"/>
  <c r="AB119" i="3"/>
  <c r="R119" i="3"/>
  <c r="T119" i="3"/>
  <c r="A121" i="3" a="1"/>
  <c r="A121" i="3" s="1"/>
  <c r="X119" i="3"/>
  <c r="B119" i="3"/>
  <c r="J119" i="3"/>
  <c r="Z119" i="3"/>
  <c r="L119" i="3"/>
  <c r="H119" i="3"/>
  <c r="P119" i="3"/>
  <c r="AH119" i="3"/>
  <c r="AL119" i="3"/>
  <c r="N119" i="3"/>
  <c r="AF119" i="3"/>
  <c r="AD119" i="3"/>
  <c r="V119" i="3"/>
  <c r="D119" i="3"/>
  <c r="AJ119" i="3"/>
  <c r="F119" i="3"/>
  <c r="X116" i="3"/>
  <c r="AD116" i="3"/>
  <c r="P116" i="3"/>
  <c r="R116" i="3"/>
  <c r="AH116" i="3"/>
  <c r="V116" i="3"/>
  <c r="J116" i="3"/>
  <c r="AJ116" i="3"/>
  <c r="T116" i="3"/>
  <c r="N116" i="3"/>
  <c r="AB116" i="3"/>
  <c r="Z116" i="3"/>
  <c r="A118" i="3" a="1"/>
  <c r="A118" i="3" s="1"/>
  <c r="F116" i="3"/>
  <c r="H116" i="3"/>
  <c r="AL116" i="3"/>
  <c r="AF116" i="3"/>
  <c r="B116" i="3"/>
  <c r="L116" i="3"/>
  <c r="D116" i="3"/>
  <c r="AN121" i="3" l="1"/>
  <c r="AM121" i="3"/>
  <c r="AN118" i="3"/>
  <c r="AM118" i="3"/>
  <c r="AJ121" i="3"/>
  <c r="A123" i="3" a="1"/>
  <c r="A123" i="3" s="1"/>
  <c r="AD121" i="3"/>
  <c r="T121" i="3"/>
  <c r="H121" i="3"/>
  <c r="D121" i="3"/>
  <c r="J121" i="3"/>
  <c r="N121" i="3"/>
  <c r="AB121" i="3"/>
  <c r="L121" i="3"/>
  <c r="AH121" i="3"/>
  <c r="AF121" i="3"/>
  <c r="Z121" i="3"/>
  <c r="R121" i="3"/>
  <c r="AL121" i="3"/>
  <c r="P121" i="3"/>
  <c r="V121" i="3"/>
  <c r="F121" i="3"/>
  <c r="B121" i="3"/>
  <c r="X121" i="3"/>
  <c r="D118" i="3"/>
  <c r="T118" i="3"/>
  <c r="AH118" i="3"/>
  <c r="R118" i="3"/>
  <c r="F118" i="3"/>
  <c r="X118" i="3"/>
  <c r="A120" i="3" a="1"/>
  <c r="A120" i="3" s="1"/>
  <c r="AF118" i="3"/>
  <c r="Z118" i="3"/>
  <c r="B118" i="3"/>
  <c r="P118" i="3"/>
  <c r="L118" i="3"/>
  <c r="AJ118" i="3"/>
  <c r="V118" i="3"/>
  <c r="N118" i="3"/>
  <c r="H118" i="3"/>
  <c r="J118" i="3"/>
  <c r="AD118" i="3"/>
  <c r="AB118" i="3"/>
  <c r="AL118" i="3"/>
  <c r="AM120" i="3" l="1"/>
  <c r="AN120" i="3"/>
  <c r="AN123" i="3"/>
  <c r="AM123" i="3"/>
  <c r="AF120" i="3"/>
  <c r="V120" i="3"/>
  <c r="AH120" i="3"/>
  <c r="D120" i="3"/>
  <c r="T120" i="3"/>
  <c r="F120" i="3"/>
  <c r="AL120" i="3"/>
  <c r="R120" i="3"/>
  <c r="AB120" i="3"/>
  <c r="B120" i="3"/>
  <c r="P120" i="3"/>
  <c r="J120" i="3"/>
  <c r="X120" i="3"/>
  <c r="AD120" i="3"/>
  <c r="N120" i="3"/>
  <c r="L120" i="3"/>
  <c r="AJ120" i="3"/>
  <c r="Z120" i="3"/>
  <c r="H120" i="3"/>
  <c r="A122" i="3" a="1"/>
  <c r="A122" i="3" s="1"/>
  <c r="R123" i="3"/>
  <c r="AF123" i="3"/>
  <c r="AH123" i="3"/>
  <c r="AD123" i="3"/>
  <c r="B123" i="3"/>
  <c r="A125" i="3" a="1"/>
  <c r="A125" i="3" s="1"/>
  <c r="Z123" i="3"/>
  <c r="J123" i="3"/>
  <c r="H123" i="3"/>
  <c r="T123" i="3"/>
  <c r="D123" i="3"/>
  <c r="AL123" i="3"/>
  <c r="L123" i="3"/>
  <c r="F123" i="3"/>
  <c r="X123" i="3"/>
  <c r="V123" i="3"/>
  <c r="N123" i="3"/>
  <c r="AB123" i="3"/>
  <c r="AJ123" i="3"/>
  <c r="P123" i="3"/>
  <c r="AN122" i="3" l="1"/>
  <c r="AM122" i="3"/>
  <c r="AN125" i="3"/>
  <c r="AM125" i="3"/>
  <c r="Z122" i="3"/>
  <c r="X122" i="3"/>
  <c r="N122" i="3"/>
  <c r="AD122" i="3"/>
  <c r="L122" i="3"/>
  <c r="V122" i="3"/>
  <c r="T122" i="3"/>
  <c r="J122" i="3"/>
  <c r="F122" i="3"/>
  <c r="A124" i="3" a="1"/>
  <c r="A124" i="3" s="1"/>
  <c r="AJ122" i="3"/>
  <c r="P122" i="3"/>
  <c r="AL122" i="3"/>
  <c r="H122" i="3"/>
  <c r="AB122" i="3"/>
  <c r="AF122" i="3"/>
  <c r="AH122" i="3"/>
  <c r="D122" i="3"/>
  <c r="R122" i="3"/>
  <c r="B122" i="3"/>
  <c r="Z125" i="3"/>
  <c r="P125" i="3"/>
  <c r="AJ125" i="3"/>
  <c r="AB125" i="3"/>
  <c r="B125" i="3"/>
  <c r="AL125" i="3"/>
  <c r="V125" i="3"/>
  <c r="N125" i="3"/>
  <c r="L125" i="3"/>
  <c r="AH125" i="3"/>
  <c r="R125" i="3"/>
  <c r="AD125" i="3"/>
  <c r="A127" i="3" a="1"/>
  <c r="A127" i="3" s="1"/>
  <c r="J125" i="3"/>
  <c r="D125" i="3"/>
  <c r="T125" i="3"/>
  <c r="AF125" i="3"/>
  <c r="H125" i="3"/>
  <c r="F125" i="3"/>
  <c r="X125" i="3"/>
  <c r="AN124" i="3" l="1"/>
  <c r="AM124" i="3"/>
  <c r="AN127" i="3"/>
  <c r="AM127" i="3"/>
  <c r="F124" i="3"/>
  <c r="Z124" i="3"/>
  <c r="A126" i="3" a="1"/>
  <c r="A126" i="3" s="1"/>
  <c r="L124" i="3"/>
  <c r="D124" i="3"/>
  <c r="H124" i="3"/>
  <c r="AF124" i="3"/>
  <c r="T124" i="3"/>
  <c r="X124" i="3"/>
  <c r="J124" i="3"/>
  <c r="AL124" i="3"/>
  <c r="B124" i="3"/>
  <c r="AJ124" i="3"/>
  <c r="N124" i="3"/>
  <c r="AH124" i="3"/>
  <c r="AD124" i="3"/>
  <c r="AB124" i="3"/>
  <c r="V124" i="3"/>
  <c r="P124" i="3"/>
  <c r="R124" i="3"/>
  <c r="F127" i="3"/>
  <c r="H127" i="3"/>
  <c r="B127" i="3"/>
  <c r="AJ127" i="3"/>
  <c r="X127" i="3"/>
  <c r="A129" i="3" a="1"/>
  <c r="A129" i="3" s="1"/>
  <c r="D127" i="3"/>
  <c r="AH127" i="3"/>
  <c r="AB127" i="3"/>
  <c r="P127" i="3"/>
  <c r="AL127" i="3"/>
  <c r="T127" i="3"/>
  <c r="AD127" i="3"/>
  <c r="L127" i="3"/>
  <c r="Z127" i="3"/>
  <c r="R127" i="3"/>
  <c r="J127" i="3"/>
  <c r="N127" i="3"/>
  <c r="V127" i="3"/>
  <c r="AF127" i="3"/>
  <c r="AN129" i="3" l="1"/>
  <c r="AM129" i="3"/>
  <c r="AN126" i="3"/>
  <c r="AM126" i="3"/>
  <c r="B126" i="3"/>
  <c r="AF126" i="3"/>
  <c r="T126" i="3"/>
  <c r="J126" i="3"/>
  <c r="AD126" i="3"/>
  <c r="N126" i="3"/>
  <c r="AB126" i="3"/>
  <c r="AH126" i="3"/>
  <c r="X126" i="3"/>
  <c r="H126" i="3"/>
  <c r="R126" i="3"/>
  <c r="V126" i="3"/>
  <c r="D126" i="3"/>
  <c r="L126" i="3"/>
  <c r="P126" i="3"/>
  <c r="Z126" i="3"/>
  <c r="AL126" i="3"/>
  <c r="F126" i="3"/>
  <c r="A128" i="3" a="1"/>
  <c r="A128" i="3" s="1"/>
  <c r="AJ126" i="3"/>
  <c r="X129" i="3"/>
  <c r="AD129" i="3"/>
  <c r="R129" i="3"/>
  <c r="H129" i="3"/>
  <c r="T129" i="3"/>
  <c r="F129" i="3"/>
  <c r="AF129" i="3"/>
  <c r="J129" i="3"/>
  <c r="AL129" i="3"/>
  <c r="D129" i="3"/>
  <c r="B129" i="3"/>
  <c r="P129" i="3"/>
  <c r="Z129" i="3"/>
  <c r="AH129" i="3"/>
  <c r="A131" i="3" a="1"/>
  <c r="A131" i="3" s="1"/>
  <c r="AB129" i="3"/>
  <c r="L129" i="3"/>
  <c r="N129" i="3"/>
  <c r="AJ129" i="3"/>
  <c r="V129" i="3"/>
  <c r="AN128" i="3" l="1"/>
  <c r="AM128" i="3"/>
  <c r="AM131" i="3"/>
  <c r="AN131" i="3"/>
  <c r="D128" i="3"/>
  <c r="B128" i="3"/>
  <c r="AL128" i="3"/>
  <c r="V128" i="3"/>
  <c r="R128" i="3"/>
  <c r="AJ128" i="3"/>
  <c r="N128" i="3"/>
  <c r="J128" i="3"/>
  <c r="P128" i="3"/>
  <c r="AF128" i="3"/>
  <c r="F128" i="3"/>
  <c r="Z128" i="3"/>
  <c r="H128" i="3"/>
  <c r="AD128" i="3"/>
  <c r="X128" i="3"/>
  <c r="L128" i="3"/>
  <c r="A130" i="3" a="1"/>
  <c r="A130" i="3" s="1"/>
  <c r="AB128" i="3"/>
  <c r="AH128" i="3"/>
  <c r="T128" i="3"/>
  <c r="AL131" i="3"/>
  <c r="V131" i="3"/>
  <c r="AD131" i="3"/>
  <c r="Z131" i="3"/>
  <c r="A133" i="3" a="1"/>
  <c r="A133" i="3" s="1"/>
  <c r="X131" i="3"/>
  <c r="AF131" i="3"/>
  <c r="B131" i="3"/>
  <c r="L131" i="3"/>
  <c r="AH131" i="3"/>
  <c r="D131" i="3"/>
  <c r="T131" i="3"/>
  <c r="N131" i="3"/>
  <c r="AB131" i="3"/>
  <c r="F131" i="3"/>
  <c r="R131" i="3"/>
  <c r="H131" i="3"/>
  <c r="AJ131" i="3"/>
  <c r="J131" i="3"/>
  <c r="P131" i="3"/>
  <c r="AN133" i="3" l="1"/>
  <c r="AM133" i="3"/>
  <c r="AN130" i="3"/>
  <c r="AM130" i="3"/>
  <c r="F133" i="3"/>
  <c r="P133" i="3"/>
  <c r="L133" i="3"/>
  <c r="J133" i="3"/>
  <c r="AF133" i="3"/>
  <c r="H133" i="3"/>
  <c r="A135" i="3" a="1"/>
  <c r="A135" i="3" s="1"/>
  <c r="AD133" i="3"/>
  <c r="V133" i="3"/>
  <c r="Z133" i="3"/>
  <c r="AJ133" i="3"/>
  <c r="D133" i="3"/>
  <c r="AB133" i="3"/>
  <c r="X133" i="3"/>
  <c r="N133" i="3"/>
  <c r="AH133" i="3"/>
  <c r="AL133" i="3"/>
  <c r="R133" i="3"/>
  <c r="T133" i="3"/>
  <c r="B133" i="3"/>
  <c r="AD130" i="3"/>
  <c r="AB130" i="3"/>
  <c r="L130" i="3"/>
  <c r="AJ130" i="3"/>
  <c r="B130" i="3"/>
  <c r="D130" i="3"/>
  <c r="P130" i="3"/>
  <c r="A132" i="3" a="1"/>
  <c r="A132" i="3" s="1"/>
  <c r="F130" i="3"/>
  <c r="AL130" i="3"/>
  <c r="J130" i="3"/>
  <c r="R130" i="3"/>
  <c r="AH130" i="3"/>
  <c r="X130" i="3"/>
  <c r="N130" i="3"/>
  <c r="V130" i="3"/>
  <c r="H130" i="3"/>
  <c r="AF130" i="3"/>
  <c r="Z130" i="3"/>
  <c r="T130" i="3"/>
  <c r="AN132" i="3" l="1"/>
  <c r="AM132" i="3"/>
  <c r="AN135" i="3"/>
  <c r="AM135" i="3"/>
  <c r="A137" i="3" a="1"/>
  <c r="A137" i="3" s="1"/>
  <c r="AL135" i="3"/>
  <c r="AD135" i="3"/>
  <c r="P135" i="3"/>
  <c r="AH135" i="3"/>
  <c r="Z135" i="3"/>
  <c r="V135" i="3"/>
  <c r="H135" i="3"/>
  <c r="X135" i="3"/>
  <c r="J135" i="3"/>
  <c r="B135" i="3"/>
  <c r="N135" i="3"/>
  <c r="AB135" i="3"/>
  <c r="L135" i="3"/>
  <c r="T135" i="3"/>
  <c r="D135" i="3"/>
  <c r="F135" i="3"/>
  <c r="AF135" i="3"/>
  <c r="R135" i="3"/>
  <c r="AJ135" i="3"/>
  <c r="P132" i="3"/>
  <c r="AD132" i="3"/>
  <c r="N132" i="3"/>
  <c r="B132" i="3"/>
  <c r="A134" i="3" a="1"/>
  <c r="A134" i="3" s="1"/>
  <c r="D132" i="3"/>
  <c r="L132" i="3"/>
  <c r="H132" i="3"/>
  <c r="AH132" i="3"/>
  <c r="AF132" i="3"/>
  <c r="V132" i="3"/>
  <c r="X132" i="3"/>
  <c r="AJ132" i="3"/>
  <c r="T132" i="3"/>
  <c r="J132" i="3"/>
  <c r="F132" i="3"/>
  <c r="Z132" i="3"/>
  <c r="R132" i="3"/>
  <c r="AL132" i="3"/>
  <c r="AB132" i="3"/>
  <c r="AN137" i="3" l="1"/>
  <c r="AM137" i="3"/>
  <c r="AM134" i="3"/>
  <c r="AN134" i="3"/>
  <c r="AB134" i="3"/>
  <c r="L134" i="3"/>
  <c r="N134" i="3"/>
  <c r="AL134" i="3"/>
  <c r="T134" i="3"/>
  <c r="J134" i="3"/>
  <c r="D134" i="3"/>
  <c r="X134" i="3"/>
  <c r="F134" i="3"/>
  <c r="H134" i="3"/>
  <c r="Z134" i="3"/>
  <c r="AF134" i="3"/>
  <c r="B134" i="3"/>
  <c r="A136" i="3" a="1"/>
  <c r="A136" i="3" s="1"/>
  <c r="AD134" i="3"/>
  <c r="AJ134" i="3"/>
  <c r="V134" i="3"/>
  <c r="AH134" i="3"/>
  <c r="R134" i="3"/>
  <c r="P134" i="3"/>
  <c r="P137" i="3"/>
  <c r="F137" i="3"/>
  <c r="AF137" i="3"/>
  <c r="AH137" i="3"/>
  <c r="H137" i="3"/>
  <c r="J137" i="3"/>
  <c r="N137" i="3"/>
  <c r="L137" i="3"/>
  <c r="AD137" i="3"/>
  <c r="AJ137" i="3"/>
  <c r="D137" i="3"/>
  <c r="B137" i="3"/>
  <c r="AB137" i="3"/>
  <c r="V137" i="3"/>
  <c r="AL137" i="3"/>
  <c r="X137" i="3"/>
  <c r="T137" i="3"/>
  <c r="Z137" i="3"/>
  <c r="A139" i="3" a="1"/>
  <c r="A139" i="3" s="1"/>
  <c r="R137" i="3"/>
  <c r="AN139" i="3" l="1"/>
  <c r="AM139" i="3"/>
  <c r="AN136" i="3"/>
  <c r="AM136" i="3"/>
  <c r="D139" i="3"/>
  <c r="AB139" i="3"/>
  <c r="R139" i="3"/>
  <c r="F139" i="3"/>
  <c r="Z139" i="3"/>
  <c r="B139" i="3"/>
  <c r="P139" i="3"/>
  <c r="H139" i="3"/>
  <c r="L139" i="3"/>
  <c r="N139" i="3"/>
  <c r="AD139" i="3"/>
  <c r="V139" i="3"/>
  <c r="X139" i="3"/>
  <c r="AF139" i="3"/>
  <c r="AJ139" i="3"/>
  <c r="AH139" i="3"/>
  <c r="T139" i="3"/>
  <c r="A141" i="3" a="1"/>
  <c r="A141" i="3" s="1"/>
  <c r="J139" i="3"/>
  <c r="AL139" i="3"/>
  <c r="N136" i="3"/>
  <c r="H136" i="3"/>
  <c r="AB136" i="3"/>
  <c r="V136" i="3"/>
  <c r="AD136" i="3"/>
  <c r="J136" i="3"/>
  <c r="AF136" i="3"/>
  <c r="B136" i="3"/>
  <c r="AL136" i="3"/>
  <c r="T136" i="3"/>
  <c r="F136" i="3"/>
  <c r="A138" i="3" a="1"/>
  <c r="A138" i="3" s="1"/>
  <c r="D136" i="3"/>
  <c r="L136" i="3"/>
  <c r="AH136" i="3"/>
  <c r="AJ136" i="3"/>
  <c r="Z136" i="3"/>
  <c r="R136" i="3"/>
  <c r="X136" i="3"/>
  <c r="P136" i="3"/>
  <c r="AM138" i="3" l="1"/>
  <c r="AN138" i="3"/>
  <c r="AN141" i="3"/>
  <c r="AM141" i="3"/>
  <c r="J138" i="3"/>
  <c r="AH138" i="3"/>
  <c r="H138" i="3"/>
  <c r="AJ138" i="3"/>
  <c r="R138" i="3"/>
  <c r="Z138" i="3"/>
  <c r="AB138" i="3"/>
  <c r="F138" i="3"/>
  <c r="P138" i="3"/>
  <c r="X138" i="3"/>
  <c r="AF138" i="3"/>
  <c r="A140" i="3" a="1"/>
  <c r="A140" i="3" s="1"/>
  <c r="T138" i="3"/>
  <c r="V138" i="3"/>
  <c r="L138" i="3"/>
  <c r="AL138" i="3"/>
  <c r="D138" i="3"/>
  <c r="AD138" i="3"/>
  <c r="B138" i="3"/>
  <c r="N138" i="3"/>
  <c r="AL141" i="3"/>
  <c r="T141" i="3"/>
  <c r="X141" i="3"/>
  <c r="AD141" i="3"/>
  <c r="P141" i="3"/>
  <c r="B141" i="3"/>
  <c r="AB141" i="3"/>
  <c r="AF141" i="3"/>
  <c r="R141" i="3"/>
  <c r="L141" i="3"/>
  <c r="AJ141" i="3"/>
  <c r="AH141" i="3"/>
  <c r="H141" i="3"/>
  <c r="Z141" i="3"/>
  <c r="V141" i="3"/>
  <c r="D141" i="3"/>
  <c r="J141" i="3"/>
  <c r="A143" i="3" a="1"/>
  <c r="A143" i="3" s="1"/>
  <c r="F141" i="3"/>
  <c r="N141" i="3"/>
  <c r="AN140" i="3" l="1"/>
  <c r="AM140" i="3"/>
  <c r="AN143" i="3"/>
  <c r="AM143" i="3"/>
  <c r="V140" i="3"/>
  <c r="AB140" i="3"/>
  <c r="AJ140" i="3"/>
  <c r="AD140" i="3"/>
  <c r="F140" i="3"/>
  <c r="D140" i="3"/>
  <c r="N140" i="3"/>
  <c r="A142" i="3" a="1"/>
  <c r="A142" i="3" s="1"/>
  <c r="H140" i="3"/>
  <c r="AF140" i="3"/>
  <c r="AL140" i="3"/>
  <c r="R140" i="3"/>
  <c r="P140" i="3"/>
  <c r="Z140" i="3"/>
  <c r="T140" i="3"/>
  <c r="B140" i="3"/>
  <c r="J140" i="3"/>
  <c r="AH140" i="3"/>
  <c r="L140" i="3"/>
  <c r="X140" i="3"/>
  <c r="D143" i="3"/>
  <c r="N143" i="3"/>
  <c r="Z143" i="3"/>
  <c r="H143" i="3"/>
  <c r="P143" i="3"/>
  <c r="L143" i="3"/>
  <c r="AL143" i="3"/>
  <c r="B143" i="3"/>
  <c r="AD143" i="3"/>
  <c r="T143" i="3"/>
  <c r="X143" i="3"/>
  <c r="AJ143" i="3"/>
  <c r="R143" i="3"/>
  <c r="J143" i="3"/>
  <c r="A145" i="3" a="1"/>
  <c r="A145" i="3" s="1"/>
  <c r="AB143" i="3"/>
  <c r="AH143" i="3"/>
  <c r="AF143" i="3"/>
  <c r="V143" i="3"/>
  <c r="F143" i="3"/>
  <c r="AN145" i="3" l="1"/>
  <c r="AM145" i="3"/>
  <c r="AN142" i="3"/>
  <c r="AM142" i="3"/>
  <c r="Z142" i="3"/>
  <c r="P142" i="3"/>
  <c r="T142" i="3"/>
  <c r="AH142" i="3"/>
  <c r="L142" i="3"/>
  <c r="AD142" i="3"/>
  <c r="X142" i="3"/>
  <c r="N142" i="3"/>
  <c r="D142" i="3"/>
  <c r="R142" i="3"/>
  <c r="B142" i="3"/>
  <c r="AJ142" i="3"/>
  <c r="F142" i="3"/>
  <c r="AF142" i="3"/>
  <c r="H142" i="3"/>
  <c r="J142" i="3"/>
  <c r="V142" i="3"/>
  <c r="AL142" i="3"/>
  <c r="AB142" i="3"/>
  <c r="A144" i="3" a="1"/>
  <c r="A144" i="3" s="1"/>
  <c r="H145" i="3"/>
  <c r="T145" i="3"/>
  <c r="AD145" i="3"/>
  <c r="F145" i="3"/>
  <c r="D145" i="3"/>
  <c r="N145" i="3"/>
  <c r="B145" i="3"/>
  <c r="J145" i="3"/>
  <c r="L145" i="3"/>
  <c r="Z145" i="3"/>
  <c r="P145" i="3"/>
  <c r="AH145" i="3"/>
  <c r="V145" i="3"/>
  <c r="AB145" i="3"/>
  <c r="AF145" i="3"/>
  <c r="AJ145" i="3"/>
  <c r="AL145" i="3"/>
  <c r="X145" i="3"/>
  <c r="R145" i="3"/>
  <c r="AN144" i="3" l="1"/>
  <c r="AM144" i="3"/>
  <c r="AH144" i="3"/>
  <c r="L144" i="3"/>
  <c r="AL144" i="3"/>
  <c r="R144" i="3"/>
  <c r="H144" i="3"/>
  <c r="V144" i="3"/>
  <c r="AB144" i="3"/>
  <c r="AD144" i="3"/>
  <c r="X144" i="3"/>
  <c r="T144" i="3"/>
  <c r="D144" i="3"/>
  <c r="P144" i="3"/>
  <c r="F144" i="3"/>
  <c r="AJ144" i="3"/>
  <c r="AF144" i="3"/>
  <c r="Z144" i="3"/>
  <c r="B144" i="3"/>
  <c r="J144" i="3"/>
  <c r="N144" i="3"/>
  <c r="Q4" i="2"/>
  <c r="Q3" i="2" a="1"/>
  <c r="Q3" i="2" l="1"/>
  <c r="A6" i="9" s="1"/>
  <c r="F6" i="9" l="1"/>
  <c r="B6" i="9" s="1" a="1"/>
  <c r="B6" i="9" s="1"/>
  <c r="Q106" i="2"/>
  <c r="Q93" i="2"/>
  <c r="Q109" i="2"/>
  <c r="Q122" i="2"/>
  <c r="Q128" i="2"/>
  <c r="Q104" i="2"/>
  <c r="Q84" i="2"/>
  <c r="Q96" i="2"/>
  <c r="Q54" i="2"/>
  <c r="Q98" i="2"/>
  <c r="Q45" i="2"/>
  <c r="Q85" i="2"/>
  <c r="Q97" i="2"/>
  <c r="Q40" i="2"/>
  <c r="Q81" i="2"/>
  <c r="Q121" i="2"/>
  <c r="Q41" i="2"/>
  <c r="Q74" i="2"/>
  <c r="Q72" i="2"/>
  <c r="Q56" i="2"/>
  <c r="Q68" i="2"/>
  <c r="Q80" i="2"/>
  <c r="Q89" i="2"/>
  <c r="Q58" i="2"/>
  <c r="Q53" i="2"/>
  <c r="Q99" i="2"/>
  <c r="Q116" i="2"/>
  <c r="Q113" i="2"/>
  <c r="Q48" i="2"/>
  <c r="Q103" i="2"/>
  <c r="Q125" i="2"/>
  <c r="Q90" i="2"/>
  <c r="Q82" i="2"/>
  <c r="Q100" i="2"/>
  <c r="Q61" i="2"/>
  <c r="Q112" i="2"/>
  <c r="Q102" i="2"/>
  <c r="Q55" i="2"/>
  <c r="Q120" i="2"/>
  <c r="Q60" i="2"/>
  <c r="Q69" i="2"/>
  <c r="Q124" i="2"/>
  <c r="Q110" i="2"/>
  <c r="Q126" i="2"/>
  <c r="Q76" i="2"/>
  <c r="Q117" i="2"/>
  <c r="Q107" i="2"/>
  <c r="Q78" i="2"/>
  <c r="Q94" i="2"/>
  <c r="Q83" i="2"/>
  <c r="Q77" i="2"/>
  <c r="Q87" i="2"/>
  <c r="Q114" i="2"/>
  <c r="Q127" i="2"/>
  <c r="Q119" i="2"/>
  <c r="Q71" i="2"/>
  <c r="Q62" i="2"/>
  <c r="Q101" i="2"/>
  <c r="Q64" i="2"/>
  <c r="Q73" i="2"/>
  <c r="Q49" i="2"/>
  <c r="Q66" i="2"/>
  <c r="Q95" i="2"/>
  <c r="Q51" i="2"/>
  <c r="Q63" i="2"/>
  <c r="Q67" i="2"/>
  <c r="Q44" i="2"/>
  <c r="Q86" i="2"/>
  <c r="Q42" i="2"/>
  <c r="Q47" i="2"/>
  <c r="Q91" i="2"/>
  <c r="Q92" i="2"/>
  <c r="Q59" i="2"/>
  <c r="Q111" i="2"/>
  <c r="Q75" i="2"/>
  <c r="Q46" i="2"/>
  <c r="Q50" i="2"/>
  <c r="Q105" i="2"/>
  <c r="Q123" i="2"/>
  <c r="Q65" i="2"/>
  <c r="Q57" i="2"/>
  <c r="Q52" i="2"/>
  <c r="Q115" i="2"/>
  <c r="Q88" i="2"/>
  <c r="Q43" i="2"/>
  <c r="Q118" i="2"/>
  <c r="Q70" i="2"/>
  <c r="Q79" i="2"/>
  <c r="Q108" i="2"/>
  <c r="R5" i="2"/>
  <c r="R1" i="2" s="1" a="1"/>
  <c r="R1" i="2" s="1"/>
  <c r="AF3" i="3"/>
  <c r="AH4" i="3" l="1"/>
  <c r="R4" i="2"/>
  <c r="R3" i="2" a="1"/>
  <c r="R3" i="2" l="1"/>
  <c r="A7" i="9" s="1"/>
  <c r="F7" i="9" l="1"/>
  <c r="B7" i="9" s="1" a="1"/>
  <c r="B7" i="9" s="1"/>
  <c r="R72" i="2"/>
  <c r="R102" i="2"/>
  <c r="R101" i="2"/>
  <c r="R55" i="2"/>
  <c r="R77" i="2"/>
  <c r="R86" i="2"/>
  <c r="R70" i="2"/>
  <c r="R54" i="2"/>
  <c r="R41" i="2"/>
  <c r="R95" i="2"/>
  <c r="AH3" i="3"/>
  <c r="R43" i="2"/>
  <c r="R109" i="2"/>
  <c r="R42" i="2"/>
  <c r="R88" i="2"/>
  <c r="R74" i="2"/>
  <c r="R73" i="2"/>
  <c r="R62" i="2"/>
  <c r="R127" i="2"/>
  <c r="R85" i="2"/>
  <c r="R112" i="2"/>
  <c r="R87" i="2"/>
  <c r="R59" i="2"/>
  <c r="R125" i="2"/>
  <c r="R89" i="2"/>
  <c r="R114" i="2"/>
  <c r="R90" i="2"/>
  <c r="R123" i="2"/>
  <c r="R75" i="2"/>
  <c r="R100" i="2"/>
  <c r="R105" i="2"/>
  <c r="R56" i="2"/>
  <c r="R116" i="2"/>
  <c r="R121" i="2"/>
  <c r="R120" i="2"/>
  <c r="R53" i="2"/>
  <c r="R45" i="2"/>
  <c r="R110" i="2"/>
  <c r="R84" i="2"/>
  <c r="R111" i="2"/>
  <c r="R126" i="2"/>
  <c r="R76" i="2"/>
  <c r="R63" i="2"/>
  <c r="R124" i="2"/>
  <c r="R68" i="2"/>
  <c r="R69" i="2"/>
  <c r="R47" i="2"/>
  <c r="R46" i="2"/>
  <c r="R82" i="2"/>
  <c r="R78" i="2"/>
  <c r="R50" i="2"/>
  <c r="R71" i="2"/>
  <c r="R93" i="2"/>
  <c r="R65" i="2"/>
  <c r="R49" i="2"/>
  <c r="R66" i="2"/>
  <c r="R96" i="2"/>
  <c r="R80" i="2"/>
  <c r="R97" i="2"/>
  <c r="R48" i="2"/>
  <c r="R64" i="2"/>
  <c r="R51" i="2"/>
  <c r="R103" i="2"/>
  <c r="R106" i="2"/>
  <c r="S5" i="2"/>
  <c r="S1" i="2" s="1" a="1"/>
  <c r="S1" i="2" s="1"/>
  <c r="R79" i="2"/>
  <c r="R104" i="2"/>
  <c r="R117" i="2"/>
  <c r="R94" i="2"/>
  <c r="R67" i="2"/>
  <c r="R122" i="2"/>
  <c r="R115" i="2"/>
  <c r="R113" i="2"/>
  <c r="R98" i="2"/>
  <c r="R83" i="2"/>
  <c r="R99" i="2"/>
  <c r="R108" i="2"/>
  <c r="R57" i="2"/>
  <c r="R61" i="2"/>
  <c r="R44" i="2"/>
  <c r="R92" i="2"/>
  <c r="R128" i="2"/>
  <c r="R60" i="2"/>
  <c r="R107" i="2"/>
  <c r="R118" i="2"/>
  <c r="R52" i="2"/>
  <c r="R91" i="2"/>
  <c r="R119" i="2"/>
  <c r="R40" i="2"/>
  <c r="R58" i="2"/>
  <c r="R81" i="2"/>
  <c r="S4" i="2" l="1"/>
  <c r="S3" i="2" s="1" a="1"/>
  <c r="S3" i="2" s="1"/>
  <c r="A8" i="9" s="1"/>
  <c r="AJ4" i="3"/>
  <c r="EV154" i="6" l="1" a="1"/>
  <c r="EV154" i="6" s="1"/>
  <c r="FB154" i="6" s="1"/>
  <c r="FH154" i="6" s="1"/>
  <c r="EV159" i="6" a="1"/>
  <c r="EV159" i="6" s="1"/>
  <c r="FB159" i="6" s="1"/>
  <c r="FH159" i="6" s="1"/>
  <c r="EV155" i="6" a="1"/>
  <c r="EV155" i="6" s="1"/>
  <c r="FB155" i="6" s="1"/>
  <c r="FH155" i="6" s="1"/>
  <c r="EV160" i="6" a="1"/>
  <c r="EV160" i="6" s="1"/>
  <c r="FB160" i="6" s="1"/>
  <c r="FH160" i="6" s="1"/>
  <c r="EV156" i="6" a="1"/>
  <c r="EV156" i="6" s="1"/>
  <c r="FB156" i="6" s="1"/>
  <c r="FH156" i="6" s="1"/>
  <c r="EV158" i="6" a="1"/>
  <c r="EV158" i="6" s="1"/>
  <c r="FB158" i="6" s="1"/>
  <c r="FH158" i="6" s="1"/>
  <c r="EV157" i="6" a="1"/>
  <c r="EV157" i="6" s="1"/>
  <c r="FB157" i="6" s="1"/>
  <c r="FH157" i="6" s="1"/>
  <c r="EV153" i="6" a="1"/>
  <c r="EV153" i="6" s="1"/>
  <c r="FB153" i="6" s="1"/>
  <c r="FH153" i="6" s="1"/>
  <c r="F8" i="9"/>
  <c r="B8" i="9" s="1" a="1"/>
  <c r="B8" i="9" s="1"/>
  <c r="S49" i="2"/>
  <c r="S117" i="2"/>
  <c r="S82" i="2"/>
  <c r="S119" i="2"/>
  <c r="S88" i="2"/>
  <c r="S103" i="2"/>
  <c r="S118" i="2"/>
  <c r="S116" i="2"/>
  <c r="S104" i="2"/>
  <c r="S99" i="2"/>
  <c r="S125" i="2"/>
  <c r="S128" i="2"/>
  <c r="S127" i="2"/>
  <c r="S45" i="2"/>
  <c r="S93" i="2"/>
  <c r="S122" i="2"/>
  <c r="S54" i="2"/>
  <c r="S41" i="2"/>
  <c r="S96" i="2"/>
  <c r="S90" i="2"/>
  <c r="S110" i="2"/>
  <c r="S113" i="2"/>
  <c r="S53" i="2"/>
  <c r="S100" i="2"/>
  <c r="S50" i="2"/>
  <c r="S42" i="2"/>
  <c r="S43" i="2"/>
  <c r="S102" i="2"/>
  <c r="S57" i="2"/>
  <c r="S75" i="2"/>
  <c r="S67" i="2"/>
  <c r="S106" i="2"/>
  <c r="S126" i="2"/>
  <c r="S84" i="2"/>
  <c r="S63" i="2"/>
  <c r="S105" i="2"/>
  <c r="S86" i="2"/>
  <c r="S73" i="2"/>
  <c r="S97" i="2"/>
  <c r="S85" i="2"/>
  <c r="S109" i="2"/>
  <c r="S59" i="2"/>
  <c r="S60" i="2"/>
  <c r="S112" i="2"/>
  <c r="S76" i="2"/>
  <c r="S48" i="2"/>
  <c r="S61" i="2"/>
  <c r="S111" i="2"/>
  <c r="S52" i="2"/>
  <c r="S71" i="2"/>
  <c r="S81" i="2"/>
  <c r="S62" i="2"/>
  <c r="S98" i="2"/>
  <c r="S65" i="2"/>
  <c r="S47" i="2"/>
  <c r="S107" i="2"/>
  <c r="S40" i="2"/>
  <c r="S51" i="2"/>
  <c r="S64" i="2"/>
  <c r="S120" i="2"/>
  <c r="S80" i="2"/>
  <c r="S78" i="2"/>
  <c r="S92" i="2"/>
  <c r="S95" i="2"/>
  <c r="S123" i="2"/>
  <c r="S83" i="2"/>
  <c r="S44" i="2"/>
  <c r="S66" i="2"/>
  <c r="S77" i="2"/>
  <c r="S114" i="2"/>
  <c r="S91" i="2"/>
  <c r="AJ3" i="3"/>
  <c r="S70" i="2"/>
  <c r="S79" i="2"/>
  <c r="S56" i="2"/>
  <c r="S69" i="2"/>
  <c r="S115" i="2"/>
  <c r="S94" i="2"/>
  <c r="S55" i="2"/>
  <c r="S72" i="2"/>
  <c r="S89" i="2"/>
  <c r="S108" i="2"/>
  <c r="S68" i="2"/>
  <c r="S87" i="2"/>
  <c r="S74" i="2"/>
  <c r="S121" i="2"/>
  <c r="S46" i="2"/>
  <c r="S58" i="2"/>
  <c r="S124" i="2"/>
  <c r="S101" i="2"/>
  <c r="B1" i="6" a="1"/>
  <c r="ES19" i="6" l="1"/>
  <c r="EL33" i="6"/>
  <c r="ES33" i="6"/>
  <c r="EL12" i="6"/>
  <c r="ES26" i="6"/>
  <c r="EL19" i="6"/>
  <c r="ES40" i="6"/>
  <c r="ES5" i="6"/>
  <c r="EL26" i="6"/>
  <c r="EL40" i="6"/>
  <c r="EL5" i="6"/>
  <c r="ES12" i="6"/>
  <c r="ED19" i="6"/>
  <c r="DW19" i="6"/>
  <c r="DW33" i="6"/>
  <c r="ED26" i="6"/>
  <c r="ED40" i="6"/>
  <c r="DW5" i="6"/>
  <c r="ED5" i="6"/>
  <c r="DW26" i="6"/>
  <c r="ED33" i="6"/>
  <c r="DW40" i="6"/>
  <c r="ED12" i="6"/>
  <c r="DW12" i="6"/>
  <c r="DH19" i="6"/>
  <c r="DO40" i="6"/>
  <c r="DO33" i="6"/>
  <c r="DH33" i="6"/>
  <c r="DH26" i="6"/>
  <c r="DO12" i="6"/>
  <c r="DO5" i="6"/>
  <c r="DH40" i="6"/>
  <c r="DO26" i="6"/>
  <c r="DH12" i="6"/>
  <c r="DO19" i="6"/>
  <c r="DH5" i="6"/>
  <c r="CZ19" i="6"/>
  <c r="CS40" i="6"/>
  <c r="CZ5" i="6"/>
  <c r="CZ12" i="6"/>
  <c r="CZ26" i="6"/>
  <c r="CZ33" i="6"/>
  <c r="CS19" i="6"/>
  <c r="CS12" i="6"/>
  <c r="CS26" i="6"/>
  <c r="CS33" i="6"/>
  <c r="CS5" i="6"/>
  <c r="CZ40" i="6"/>
  <c r="CK19" i="6"/>
  <c r="CK40" i="6"/>
  <c r="CD5" i="6"/>
  <c r="CD26" i="6"/>
  <c r="CD19" i="6"/>
  <c r="CD12" i="6"/>
  <c r="CK33" i="6"/>
  <c r="CD33" i="6"/>
  <c r="CD40" i="6"/>
  <c r="CK12" i="6"/>
  <c r="CK26" i="6"/>
  <c r="CK5" i="6"/>
  <c r="BV19" i="6"/>
  <c r="BO19" i="6"/>
  <c r="BV12" i="6"/>
  <c r="BV33" i="6"/>
  <c r="BV5" i="6"/>
  <c r="BO12" i="6"/>
  <c r="BO33" i="6"/>
  <c r="BO5" i="6"/>
  <c r="BV40" i="6"/>
  <c r="BO40" i="6"/>
  <c r="BV26" i="6"/>
  <c r="BO26" i="6"/>
  <c r="BG19" i="6"/>
  <c r="AZ33" i="6"/>
  <c r="AZ19" i="6"/>
  <c r="BG40" i="6"/>
  <c r="BG26" i="6"/>
  <c r="AZ12" i="6"/>
  <c r="AZ40" i="6"/>
  <c r="BG33" i="6"/>
  <c r="AZ26" i="6"/>
  <c r="AZ5" i="6"/>
  <c r="BG12" i="6"/>
  <c r="BG5" i="6"/>
  <c r="AR19" i="6"/>
  <c r="AK5" i="6"/>
  <c r="AR5" i="6"/>
  <c r="AR40" i="6"/>
  <c r="AK19" i="6"/>
  <c r="AK40" i="6"/>
  <c r="AK33" i="6"/>
  <c r="AK12" i="6"/>
  <c r="AR33" i="6"/>
  <c r="AR12" i="6"/>
  <c r="AR26" i="6"/>
  <c r="AK26" i="6"/>
  <c r="V19" i="6"/>
  <c r="V26" i="6"/>
  <c r="AC26" i="6"/>
  <c r="AC33" i="6"/>
  <c r="V33" i="6"/>
  <c r="AC19" i="6"/>
  <c r="AC12" i="6"/>
  <c r="V40" i="6"/>
  <c r="AC40" i="6"/>
  <c r="V12" i="6"/>
  <c r="EW153" i="6"/>
  <c r="FG157" i="6"/>
  <c r="EW157" i="6"/>
  <c r="FG158" i="6"/>
  <c r="EW158" i="6"/>
  <c r="FG156" i="6"/>
  <c r="EW156" i="6"/>
  <c r="FG160" i="6"/>
  <c r="EW160" i="6"/>
  <c r="FG155" i="6"/>
  <c r="EW155" i="6"/>
  <c r="FG159" i="6"/>
  <c r="EW159" i="6"/>
  <c r="FG154" i="6"/>
  <c r="EW154" i="6"/>
  <c r="FG153" i="6"/>
  <c r="N82" i="6"/>
  <c r="G82" i="6"/>
  <c r="N75" i="6"/>
  <c r="G54" i="6"/>
  <c r="N54" i="6"/>
  <c r="G61" i="6"/>
  <c r="G75" i="6"/>
  <c r="N61" i="6"/>
  <c r="N68" i="6"/>
  <c r="G68" i="6"/>
  <c r="ES82" i="6"/>
  <c r="ES47" i="6"/>
  <c r="EL61" i="6"/>
  <c r="EL82" i="6"/>
  <c r="EL47" i="6"/>
  <c r="ES61" i="6"/>
  <c r="EL68" i="6"/>
  <c r="ES54" i="6"/>
  <c r="ES75" i="6"/>
  <c r="EL75" i="6"/>
  <c r="EL54" i="6"/>
  <c r="ES68" i="6"/>
  <c r="ED82" i="6"/>
  <c r="DW47" i="6"/>
  <c r="DW82" i="6"/>
  <c r="ED47" i="6"/>
  <c r="DW54" i="6"/>
  <c r="DW75" i="6"/>
  <c r="ED68" i="6"/>
  <c r="ED61" i="6"/>
  <c r="ED54" i="6"/>
  <c r="ED75" i="6"/>
  <c r="DW61" i="6"/>
  <c r="DW68" i="6"/>
  <c r="DO82" i="6"/>
  <c r="DO75" i="6"/>
  <c r="DH61" i="6"/>
  <c r="DH68" i="6"/>
  <c r="DO54" i="6"/>
  <c r="DH54" i="6"/>
  <c r="DH82" i="6"/>
  <c r="DH47" i="6"/>
  <c r="DO68" i="6"/>
  <c r="DO47" i="6"/>
  <c r="DH75" i="6"/>
  <c r="DO61" i="6"/>
  <c r="CZ82" i="6"/>
  <c r="CS82" i="6"/>
  <c r="CS47" i="6"/>
  <c r="CS54" i="6"/>
  <c r="CS75" i="6"/>
  <c r="CZ54" i="6"/>
  <c r="CZ61" i="6"/>
  <c r="CZ47" i="6"/>
  <c r="CS68" i="6"/>
  <c r="CZ75" i="6"/>
  <c r="CZ68" i="6"/>
  <c r="CS61" i="6"/>
  <c r="CK68" i="6"/>
  <c r="CD47" i="6"/>
  <c r="CD82" i="6"/>
  <c r="CK47" i="6"/>
  <c r="CK61" i="6"/>
  <c r="CD54" i="6"/>
  <c r="CD75" i="6"/>
  <c r="CD68" i="6"/>
  <c r="CK54" i="6"/>
  <c r="CK75" i="6"/>
  <c r="CK82" i="6"/>
  <c r="CD61" i="6"/>
  <c r="BV82" i="6"/>
  <c r="BO68" i="6"/>
  <c r="BV54" i="6"/>
  <c r="BV75" i="6"/>
  <c r="BO47" i="6"/>
  <c r="BV68" i="6"/>
  <c r="BV61" i="6"/>
  <c r="BO61" i="6"/>
  <c r="BO54" i="6"/>
  <c r="BO82" i="6"/>
  <c r="BO75" i="6"/>
  <c r="BV47" i="6"/>
  <c r="BG82" i="6"/>
  <c r="BG61" i="6"/>
  <c r="AZ82" i="6"/>
  <c r="BG47" i="6"/>
  <c r="BG75" i="6"/>
  <c r="BG54" i="6"/>
  <c r="BG68" i="6"/>
  <c r="AZ54" i="6"/>
  <c r="AZ47" i="6"/>
  <c r="AZ68" i="6"/>
  <c r="AZ75" i="6"/>
  <c r="AZ61" i="6"/>
  <c r="AR82" i="6"/>
  <c r="AK75" i="6"/>
  <c r="AR61" i="6"/>
  <c r="AR75" i="6"/>
  <c r="AK47" i="6"/>
  <c r="AK61" i="6"/>
  <c r="AR68" i="6"/>
  <c r="AR54" i="6"/>
  <c r="AK54" i="6"/>
  <c r="AK68" i="6"/>
  <c r="AK82" i="6"/>
  <c r="AR47" i="6"/>
  <c r="AC82" i="6"/>
  <c r="V47" i="6"/>
  <c r="AC61" i="6"/>
  <c r="V82" i="6"/>
  <c r="V54" i="6"/>
  <c r="AC47" i="6"/>
  <c r="V75" i="6"/>
  <c r="AC54" i="6"/>
  <c r="V61" i="6"/>
  <c r="AC68" i="6"/>
  <c r="V68" i="6"/>
  <c r="AC75" i="6"/>
  <c r="AC5" i="6"/>
  <c r="V5" i="6"/>
  <c r="G47" i="6"/>
  <c r="N47" i="6"/>
  <c r="G33" i="6"/>
  <c r="B1" i="6"/>
  <c r="N26" i="6"/>
  <c r="N12" i="6"/>
  <c r="G5" i="6"/>
  <c r="G40" i="6"/>
  <c r="G26" i="6"/>
  <c r="N5" i="6"/>
  <c r="N40" i="6"/>
  <c r="G12" i="6"/>
  <c r="G19" i="6"/>
  <c r="N19" i="6"/>
  <c r="N33" i="6"/>
  <c r="G1" i="6" a="1"/>
  <c r="G1" i="6" l="1"/>
  <c r="B43" i="6" a="1"/>
  <c r="H1" i="6" a="1"/>
  <c r="C2" i="6" a="1"/>
  <c r="B3" i="6" a="1"/>
  <c r="B43" i="6" l="1"/>
  <c r="B3" i="6"/>
  <c r="C2" i="6"/>
  <c r="H1" i="6"/>
  <c r="I1" i="6" a="1"/>
  <c r="G4" i="6" l="1" a="1"/>
  <c r="G4" i="6" s="1"/>
  <c r="I1" i="6"/>
  <c r="C6" i="6"/>
  <c r="FC1" i="6" s="1"/>
  <c r="C1" i="6"/>
  <c r="F6" i="6"/>
  <c r="C3" i="6"/>
  <c r="EW1" i="6"/>
  <c r="E3" i="6"/>
  <c r="D6" i="6"/>
  <c r="B6" i="6"/>
  <c r="E44" i="6" a="1"/>
  <c r="C44" i="6" a="1"/>
  <c r="G3" i="6" a="1"/>
  <c r="N1" i="6" a="1"/>
  <c r="E44" i="6" l="1"/>
  <c r="C44" i="6"/>
  <c r="G3" i="6"/>
  <c r="F7" i="6" s="1"/>
  <c r="N1" i="6"/>
  <c r="EV1" i="6"/>
  <c r="I43" i="6" a="1"/>
  <c r="EW2" i="6" a="1"/>
  <c r="A8" i="6" a="1"/>
  <c r="J2" i="6" a="1"/>
  <c r="I3" i="6" a="1"/>
  <c r="C4" i="6" a="1"/>
  <c r="I43" i="6" l="1"/>
  <c r="C4" i="6"/>
  <c r="I3" i="6"/>
  <c r="J2" i="6"/>
  <c r="A8" i="6"/>
  <c r="EW2" i="6"/>
  <c r="FF1" i="6"/>
  <c r="C46" i="6" a="1"/>
  <c r="F2" i="6" a="1"/>
  <c r="B2" i="6" a="1"/>
  <c r="B8" i="6" a="1"/>
  <c r="C46" i="6" l="1"/>
  <c r="N4" i="6" a="1"/>
  <c r="N4" i="6" s="1"/>
  <c r="F2" i="6"/>
  <c r="B8" i="6"/>
  <c r="B2" i="6"/>
  <c r="J6" i="6"/>
  <c r="FC3" i="6" s="1"/>
  <c r="J1" i="6"/>
  <c r="L3" i="6"/>
  <c r="K6" i="6"/>
  <c r="I6" i="6"/>
  <c r="EW3" i="6"/>
  <c r="M6" i="6"/>
  <c r="J3" i="6"/>
  <c r="FA1" i="6"/>
  <c r="D7" i="6"/>
  <c r="FE1" i="6" s="1"/>
  <c r="B7" i="6"/>
  <c r="FD1" i="6" s="1"/>
  <c r="E4" i="6" a="1"/>
  <c r="FA2" i="6" a="1"/>
  <c r="J44" i="6" a="1"/>
  <c r="N3" i="6" a="1"/>
  <c r="G8" i="6" a="1"/>
  <c r="EV3" i="6" l="1"/>
  <c r="E4" i="6"/>
  <c r="FB1" i="6" s="1"/>
  <c r="G2" i="6"/>
  <c r="EZ1" i="6" s="1"/>
  <c r="E2" i="6" a="1"/>
  <c r="E2" i="6" s="1"/>
  <c r="EX1" i="6" s="1"/>
  <c r="J44" i="6"/>
  <c r="M44" i="6" s="1" a="1"/>
  <c r="M44" i="6" s="1"/>
  <c r="FA2" i="6"/>
  <c r="C43" i="6"/>
  <c r="F48" i="6"/>
  <c r="E45" i="6"/>
  <c r="D48" i="6"/>
  <c r="C45" i="6"/>
  <c r="C48" i="6"/>
  <c r="B48" i="6"/>
  <c r="N3" i="6"/>
  <c r="EY1" i="6"/>
  <c r="G8" i="6"/>
  <c r="FC2" i="6" a="1"/>
  <c r="EV2" i="6" a="1"/>
  <c r="B44" i="6" a="1"/>
  <c r="EW4" i="6" a="1"/>
  <c r="H8" i="6" a="1"/>
  <c r="C9" i="6" a="1"/>
  <c r="B10" i="6" a="1"/>
  <c r="J4" i="6" a="1"/>
  <c r="D49" i="6" l="1"/>
  <c r="B44" i="6"/>
  <c r="EV2" i="6"/>
  <c r="FC2" i="6"/>
  <c r="B49" i="6"/>
  <c r="J46" i="6" a="1"/>
  <c r="J46" i="6" s="1"/>
  <c r="FH1" i="6" a="1"/>
  <c r="FH1" i="6" s="1"/>
  <c r="FG1" i="6" s="1"/>
  <c r="M7" i="6"/>
  <c r="FF3" i="6" s="1"/>
  <c r="J4" i="6"/>
  <c r="B10" i="6"/>
  <c r="C9" i="6"/>
  <c r="H8" i="6"/>
  <c r="EW4" i="6"/>
  <c r="FE2" i="6" a="1"/>
  <c r="E46" i="6" a="1"/>
  <c r="FD2" i="6" a="1"/>
  <c r="F49" i="6" a="1"/>
  <c r="M2" i="6" a="1"/>
  <c r="I2" i="6" a="1"/>
  <c r="EW5" i="6" a="1"/>
  <c r="I8" i="6" a="1"/>
  <c r="FE2" i="6" l="1"/>
  <c r="F49" i="6"/>
  <c r="F44" i="6" s="1" a="1"/>
  <c r="F44" i="6" s="1"/>
  <c r="FD2" i="6"/>
  <c r="E46" i="6"/>
  <c r="J48" i="6"/>
  <c r="L45" i="6"/>
  <c r="I49" i="6"/>
  <c r="K48" i="6"/>
  <c r="I48" i="6"/>
  <c r="J45" i="6"/>
  <c r="M48" i="6"/>
  <c r="J43" i="6"/>
  <c r="I44" i="6" a="1"/>
  <c r="I44" i="6" s="1"/>
  <c r="N44" i="6"/>
  <c r="M2" i="6"/>
  <c r="I8" i="6"/>
  <c r="EW5" i="6"/>
  <c r="I2" i="6"/>
  <c r="C13" i="6"/>
  <c r="C8" i="6"/>
  <c r="D13" i="6"/>
  <c r="E10" i="6"/>
  <c r="B13" i="6"/>
  <c r="C10" i="6"/>
  <c r="F13" i="6"/>
  <c r="K7" i="6"/>
  <c r="FE3" i="6" s="1"/>
  <c r="FA3" i="6"/>
  <c r="I7" i="6"/>
  <c r="FD3" i="6" s="1"/>
  <c r="L4" i="6" a="1"/>
  <c r="L2" i="6" a="1"/>
  <c r="EV4" i="6" a="1"/>
  <c r="EV5" i="6" a="1"/>
  <c r="FF2" i="6" a="1"/>
  <c r="FB2" i="6" a="1"/>
  <c r="L46" i="6" a="1"/>
  <c r="G10" i="6" a="1"/>
  <c r="FA4" i="6" a="1"/>
  <c r="FC5" i="6" a="1"/>
  <c r="N8" i="6" a="1"/>
  <c r="B9" i="6" a="1"/>
  <c r="L4" i="6" l="1"/>
  <c r="FB3" i="6" s="1"/>
  <c r="L2" i="6"/>
  <c r="EX3" i="6" s="1"/>
  <c r="EV4" i="6"/>
  <c r="EV5" i="6"/>
  <c r="M49" i="6" a="1"/>
  <c r="M49" i="6" s="1"/>
  <c r="K49" i="6"/>
  <c r="L46" i="6"/>
  <c r="FB2" i="6"/>
  <c r="FF2" i="6"/>
  <c r="G10" i="6"/>
  <c r="FA4" i="6"/>
  <c r="EY3" i="6"/>
  <c r="N2" i="6"/>
  <c r="EZ3" i="6" s="1"/>
  <c r="B9" i="6"/>
  <c r="N8" i="6"/>
  <c r="FC5" i="6"/>
  <c r="B50" i="6" a="1"/>
  <c r="E11" i="6" a="1"/>
  <c r="EY2" i="6" a="1"/>
  <c r="G11" i="6" a="1"/>
  <c r="FC4" i="6" a="1"/>
  <c r="C11" i="6" a="1"/>
  <c r="A15" i="6" a="1"/>
  <c r="J9" i="6" a="1"/>
  <c r="I10" i="6" a="1"/>
  <c r="FE4" i="6" a="1"/>
  <c r="B50" i="6" l="1"/>
  <c r="E11" i="6"/>
  <c r="EY2" i="6"/>
  <c r="G44" i="6"/>
  <c r="G11" i="6"/>
  <c r="F14" i="6" s="1"/>
  <c r="FC4" i="6"/>
  <c r="FH3" i="6" a="1"/>
  <c r="FH3" i="6" s="1"/>
  <c r="FG3" i="6" s="1"/>
  <c r="FE4" i="6"/>
  <c r="I10" i="6"/>
  <c r="J9" i="6"/>
  <c r="A15" i="6"/>
  <c r="C11" i="6"/>
  <c r="C51" i="6" a="1"/>
  <c r="EX2" i="6" a="1"/>
  <c r="EZ2" i="6" a="1"/>
  <c r="EY4" i="6" a="1"/>
  <c r="FD4" i="6" a="1"/>
  <c r="FF4" i="6" a="1"/>
  <c r="EZ4" i="6" a="1"/>
  <c r="FB4" i="6" a="1"/>
  <c r="FF5" i="6" a="1"/>
  <c r="F9" i="6" a="1"/>
  <c r="FA5" i="6" a="1"/>
  <c r="EW7" i="6" a="1"/>
  <c r="B15" i="6" a="1"/>
  <c r="FB5" i="6" a="1"/>
  <c r="C51" i="6" l="1"/>
  <c r="EX2" i="6"/>
  <c r="EZ2" i="6"/>
  <c r="FD4" i="6"/>
  <c r="EY4" i="6"/>
  <c r="FB4" i="6"/>
  <c r="EZ4" i="6"/>
  <c r="FF4" i="6"/>
  <c r="F9" i="6"/>
  <c r="E9" i="6" s="1" a="1"/>
  <c r="E9" i="6" s="1"/>
  <c r="FF5" i="6"/>
  <c r="FB5" i="6"/>
  <c r="B15" i="6"/>
  <c r="EW7" i="6"/>
  <c r="FA5" i="6"/>
  <c r="J13" i="6"/>
  <c r="J8" i="6"/>
  <c r="K13" i="6"/>
  <c r="L10" i="6"/>
  <c r="I13" i="6"/>
  <c r="J10" i="6"/>
  <c r="M13" i="6"/>
  <c r="B14" i="6"/>
  <c r="D14" i="6"/>
  <c r="EW6" i="6" a="1"/>
  <c r="EY5" i="6" a="1"/>
  <c r="N10" i="6" a="1"/>
  <c r="FD5" i="6" a="1"/>
  <c r="G15" i="6" a="1"/>
  <c r="FC7" i="6" a="1"/>
  <c r="I9" i="6" a="1"/>
  <c r="EV7" i="6" a="1"/>
  <c r="FE5" i="6" a="1"/>
  <c r="EW6" i="6" l="1"/>
  <c r="C53" i="6" a="1"/>
  <c r="C53" i="6" s="1"/>
  <c r="F51" i="6" a="1"/>
  <c r="F51" i="6" s="1"/>
  <c r="EY5" i="6"/>
  <c r="G9" i="6"/>
  <c r="FH2" i="6" a="1"/>
  <c r="FH2" i="6" s="1"/>
  <c r="FG2" i="6" s="1"/>
  <c r="N10" i="6"/>
  <c r="FE5" i="6"/>
  <c r="EV7" i="6"/>
  <c r="I9" i="6"/>
  <c r="FC7" i="6"/>
  <c r="G15" i="6"/>
  <c r="FD5" i="6"/>
  <c r="FA6" i="6" a="1"/>
  <c r="L11" i="6" a="1"/>
  <c r="EX5" i="6" a="1"/>
  <c r="EZ5" i="6" a="1"/>
  <c r="N11" i="6" a="1"/>
  <c r="H15" i="6" a="1"/>
  <c r="C16" i="6" a="1"/>
  <c r="B17" i="6" a="1"/>
  <c r="J11" i="6" a="1"/>
  <c r="FA6" i="6" l="1"/>
  <c r="G51" i="6"/>
  <c r="F55" i="6"/>
  <c r="E52" i="6"/>
  <c r="B56" i="6"/>
  <c r="C50" i="6"/>
  <c r="E51" i="6" s="1" a="1"/>
  <c r="E51" i="6" s="1"/>
  <c r="C55" i="6"/>
  <c r="D56" i="6" s="1"/>
  <c r="D55" i="6"/>
  <c r="C52" i="6"/>
  <c r="B55" i="6"/>
  <c r="B51" i="6" a="1"/>
  <c r="B51" i="6" s="1"/>
  <c r="L11" i="6"/>
  <c r="EX5" i="6"/>
  <c r="EZ5" i="6"/>
  <c r="N11" i="6"/>
  <c r="M14" i="6" s="1"/>
  <c r="J11" i="6"/>
  <c r="B17" i="6"/>
  <c r="C16" i="6"/>
  <c r="H15" i="6"/>
  <c r="EV6" i="6" a="1"/>
  <c r="FC6" i="6" a="1"/>
  <c r="E53" i="6" a="1"/>
  <c r="EX6" i="6" a="1"/>
  <c r="FE6" i="6" a="1"/>
  <c r="FD6" i="6" a="1"/>
  <c r="EY6" i="6" a="1"/>
  <c r="M9" i="6" a="1"/>
  <c r="FA7" i="6" a="1"/>
  <c r="EW9" i="6" a="1"/>
  <c r="I15" i="6" a="1"/>
  <c r="FF7" i="6" a="1"/>
  <c r="FB7" i="6" a="1"/>
  <c r="EX6" i="6" l="1"/>
  <c r="E53" i="6"/>
  <c r="FC6" i="6"/>
  <c r="EV6" i="6"/>
  <c r="F56" i="6" a="1"/>
  <c r="F56" i="6" s="1"/>
  <c r="FH5" i="6" a="1"/>
  <c r="FH5" i="6" s="1"/>
  <c r="FG5" i="6" s="1"/>
  <c r="FD6" i="6"/>
  <c r="FE6" i="6"/>
  <c r="EY6" i="6"/>
  <c r="M9" i="6"/>
  <c r="FB7" i="6"/>
  <c r="FF7" i="6"/>
  <c r="I15" i="6"/>
  <c r="EW9" i="6"/>
  <c r="FA7" i="6"/>
  <c r="C20" i="6"/>
  <c r="C15" i="6"/>
  <c r="D20" i="6"/>
  <c r="B20" i="6"/>
  <c r="E17" i="6"/>
  <c r="C17" i="6"/>
  <c r="F20" i="6"/>
  <c r="I14" i="6"/>
  <c r="K14" i="6"/>
  <c r="FB6" i="6" a="1"/>
  <c r="FF6" i="6" a="1"/>
  <c r="I50" i="6" a="1"/>
  <c r="L9" i="6" a="1"/>
  <c r="G18" i="6" a="1"/>
  <c r="G17" i="6" a="1"/>
  <c r="EZ6" i="6" a="1"/>
  <c r="EY7" i="6" a="1"/>
  <c r="F16" i="6" a="1"/>
  <c r="B16" i="6" a="1"/>
  <c r="EV9" i="6" a="1"/>
  <c r="FE7" i="6" a="1"/>
  <c r="N15" i="6" a="1"/>
  <c r="FD7" i="6" a="1"/>
  <c r="FC9" i="6" a="1"/>
  <c r="I50" i="6" l="1"/>
  <c r="FF6" i="6"/>
  <c r="FB6" i="6"/>
  <c r="L9" i="6"/>
  <c r="G17" i="6"/>
  <c r="G18" i="6"/>
  <c r="EZ6" i="6"/>
  <c r="EY7" i="6"/>
  <c r="N9" i="6"/>
  <c r="FC9" i="6"/>
  <c r="FD7" i="6"/>
  <c r="N15" i="6"/>
  <c r="FE7" i="6"/>
  <c r="EV9" i="6"/>
  <c r="B16" i="6"/>
  <c r="F16" i="6"/>
  <c r="J51" i="6" a="1"/>
  <c r="E16" i="6" a="1"/>
  <c r="EX7" i="6" a="1"/>
  <c r="EZ7" i="6" a="1"/>
  <c r="C18" i="6" a="1"/>
  <c r="E18" i="6" a="1"/>
  <c r="A22" i="6" a="1"/>
  <c r="J16" i="6" a="1"/>
  <c r="I17" i="6" a="1"/>
  <c r="EY9" i="6" a="1"/>
  <c r="FH6" i="6" l="1" a="1"/>
  <c r="FH6" i="6" s="1"/>
  <c r="FG6" i="6" s="1"/>
  <c r="J51" i="6"/>
  <c r="E16" i="6"/>
  <c r="EX7" i="6"/>
  <c r="EZ7" i="6"/>
  <c r="F21" i="6"/>
  <c r="EY9" i="6"/>
  <c r="I17" i="6"/>
  <c r="J16" i="6"/>
  <c r="A22" i="6"/>
  <c r="E18" i="6"/>
  <c r="C18" i="6"/>
  <c r="G16" i="6"/>
  <c r="EW8" i="6" a="1"/>
  <c r="FF9" i="6" a="1"/>
  <c r="FB9" i="6" a="1"/>
  <c r="EX9" i="6" a="1"/>
  <c r="FA9" i="6" a="1"/>
  <c r="EW11" i="6" a="1"/>
  <c r="EZ9" i="6" a="1"/>
  <c r="B22" i="6" a="1"/>
  <c r="EW8" i="6" l="1"/>
  <c r="M51" i="6" a="1"/>
  <c r="M51" i="6" s="1"/>
  <c r="J53" i="6" a="1"/>
  <c r="J53" i="6" s="1"/>
  <c r="N18" i="6" a="1"/>
  <c r="N18" i="6" s="1"/>
  <c r="FH7" i="6" a="1"/>
  <c r="FH7" i="6" s="1"/>
  <c r="FG7" i="6" s="1"/>
  <c r="FF9" i="6"/>
  <c r="B22" i="6"/>
  <c r="EZ9" i="6"/>
  <c r="EW11" i="6"/>
  <c r="FA9" i="6"/>
  <c r="EX9" i="6"/>
  <c r="FB9" i="6"/>
  <c r="J20" i="6"/>
  <c r="J15" i="6"/>
  <c r="K20" i="6"/>
  <c r="M20" i="6"/>
  <c r="L17" i="6"/>
  <c r="J17" i="6"/>
  <c r="I20" i="6"/>
  <c r="B21" i="6"/>
  <c r="D21" i="6"/>
  <c r="EY8" i="6" a="1"/>
  <c r="FA8" i="6" a="1"/>
  <c r="N17" i="6" a="1"/>
  <c r="G22" i="6" a="1"/>
  <c r="FD9" i="6" a="1"/>
  <c r="FE9" i="6" a="1"/>
  <c r="FC11" i="6" a="1"/>
  <c r="M16" i="6" a="1"/>
  <c r="I16" i="6" a="1"/>
  <c r="EV11" i="6" a="1"/>
  <c r="FA8" i="6" l="1"/>
  <c r="EY8" i="6"/>
  <c r="K55" i="6"/>
  <c r="J55" i="6"/>
  <c r="K56" i="6" s="1"/>
  <c r="L52" i="6"/>
  <c r="M55" i="6"/>
  <c r="J50" i="6"/>
  <c r="L51" i="6" s="1" a="1"/>
  <c r="L51" i="6" s="1"/>
  <c r="I56" i="6"/>
  <c r="I55" i="6"/>
  <c r="J52" i="6"/>
  <c r="I51" i="6" a="1"/>
  <c r="I51" i="6" s="1"/>
  <c r="N51" i="6"/>
  <c r="N17" i="6"/>
  <c r="EV11" i="6"/>
  <c r="I16" i="6"/>
  <c r="M16" i="6"/>
  <c r="FC11" i="6"/>
  <c r="FE9" i="6"/>
  <c r="FD9" i="6"/>
  <c r="G22" i="6"/>
  <c r="FD8" i="6" a="1"/>
  <c r="FE8" i="6" a="1"/>
  <c r="L53" i="6" a="1"/>
  <c r="FC8" i="6" a="1"/>
  <c r="EZ8" i="6" a="1"/>
  <c r="EX8" i="6" a="1"/>
  <c r="EV8" i="6" a="1"/>
  <c r="L18" i="6" a="1"/>
  <c r="L16" i="6" a="1"/>
  <c r="H22" i="6" a="1"/>
  <c r="J18" i="6" a="1"/>
  <c r="C23" i="6" a="1"/>
  <c r="B24" i="6" a="1"/>
  <c r="EY11" i="6" a="1"/>
  <c r="EV8" i="6" l="1"/>
  <c r="EX8" i="6"/>
  <c r="EZ8" i="6"/>
  <c r="FC8" i="6"/>
  <c r="L53" i="6"/>
  <c r="FE8" i="6"/>
  <c r="FD8" i="6"/>
  <c r="M56" i="6" a="1"/>
  <c r="M56" i="6" s="1"/>
  <c r="L18" i="6"/>
  <c r="L16" i="6"/>
  <c r="H22" i="6"/>
  <c r="M21" i="6"/>
  <c r="FH9" i="6" a="1"/>
  <c r="FH9" i="6" s="1"/>
  <c r="FG9" i="6" s="1"/>
  <c r="EY11" i="6"/>
  <c r="B24" i="6"/>
  <c r="C23" i="6"/>
  <c r="J18" i="6"/>
  <c r="N16" i="6"/>
  <c r="FF8" i="6" a="1"/>
  <c r="B57" i="6" a="1"/>
  <c r="FB8" i="6" a="1"/>
  <c r="EX11" i="6" a="1"/>
  <c r="I22" i="6" a="1"/>
  <c r="FF11" i="6" a="1"/>
  <c r="EW13" i="6" a="1"/>
  <c r="EZ11" i="6" a="1"/>
  <c r="FA11" i="6" a="1"/>
  <c r="FB11" i="6" a="1"/>
  <c r="FB8" i="6" l="1"/>
  <c r="B57" i="6"/>
  <c r="FF8" i="6"/>
  <c r="EX11" i="6"/>
  <c r="G25" i="6" a="1"/>
  <c r="G25" i="6" s="1"/>
  <c r="I22" i="6"/>
  <c r="FF11" i="6"/>
  <c r="FB11" i="6"/>
  <c r="FA11" i="6"/>
  <c r="EZ11" i="6"/>
  <c r="EW13" i="6"/>
  <c r="K21" i="6"/>
  <c r="I21" i="6"/>
  <c r="C27" i="6"/>
  <c r="C22" i="6"/>
  <c r="D27" i="6"/>
  <c r="F27" i="6"/>
  <c r="E24" i="6"/>
  <c r="C24" i="6"/>
  <c r="B27" i="6"/>
  <c r="C58" i="6" a="1"/>
  <c r="G24" i="6" a="1"/>
  <c r="N22" i="6" a="1"/>
  <c r="FC13" i="6" a="1"/>
  <c r="FE11" i="6" a="1"/>
  <c r="B23" i="6" a="1"/>
  <c r="EV13" i="6" a="1"/>
  <c r="FD11" i="6" a="1"/>
  <c r="FH8" i="6" l="1" a="1"/>
  <c r="FH8" i="6" s="1"/>
  <c r="FG8" i="6" s="1"/>
  <c r="C58" i="6"/>
  <c r="G24" i="6"/>
  <c r="F28" i="6" s="1"/>
  <c r="N22" i="6"/>
  <c r="FD11" i="6"/>
  <c r="EV13" i="6"/>
  <c r="B23" i="6"/>
  <c r="FE11" i="6"/>
  <c r="FC13" i="6"/>
  <c r="EW10" i="6" a="1"/>
  <c r="I24" i="6" a="1"/>
  <c r="E25" i="6" a="1"/>
  <c r="A29" i="6" a="1"/>
  <c r="J23" i="6" a="1"/>
  <c r="C25" i="6" a="1"/>
  <c r="FF13" i="6" a="1"/>
  <c r="EW10" i="6" l="1"/>
  <c r="C60" i="6" a="1"/>
  <c r="C60" i="6" s="1"/>
  <c r="F58" i="6" a="1"/>
  <c r="F58" i="6" s="1"/>
  <c r="I24" i="6"/>
  <c r="FH11" i="6" a="1"/>
  <c r="FH11" i="6" s="1"/>
  <c r="FG11" i="6" s="1"/>
  <c r="FF13" i="6"/>
  <c r="C25" i="6"/>
  <c r="J23" i="6"/>
  <c r="A29" i="6"/>
  <c r="E25" i="6"/>
  <c r="FA10" i="6" a="1"/>
  <c r="EY10" i="6" a="1"/>
  <c r="F23" i="6" a="1"/>
  <c r="EW15" i="6" a="1"/>
  <c r="B29" i="6" a="1"/>
  <c r="FA13" i="6" a="1"/>
  <c r="FB13" i="6" a="1"/>
  <c r="EY10" i="6" l="1"/>
  <c r="FA10" i="6"/>
  <c r="G58" i="6"/>
  <c r="B63" i="6"/>
  <c r="B62" i="6"/>
  <c r="D62" i="6"/>
  <c r="C59" i="6"/>
  <c r="C62" i="6"/>
  <c r="D63" i="6" s="1"/>
  <c r="E59" i="6"/>
  <c r="C57" i="6"/>
  <c r="E58" i="6" s="1" a="1"/>
  <c r="E58" i="6" s="1"/>
  <c r="F62" i="6"/>
  <c r="B58" i="6" a="1"/>
  <c r="B58" i="6" s="1"/>
  <c r="J22" i="6"/>
  <c r="N25" i="6" a="1"/>
  <c r="N25" i="6" s="1"/>
  <c r="F23" i="6"/>
  <c r="FB13" i="6"/>
  <c r="FA13" i="6"/>
  <c r="B29" i="6"/>
  <c r="EW15" i="6"/>
  <c r="B28" i="6"/>
  <c r="D28" i="6"/>
  <c r="J27" i="6"/>
  <c r="K27" i="6"/>
  <c r="M27" i="6"/>
  <c r="J24" i="6"/>
  <c r="L24" i="6"/>
  <c r="I27" i="6"/>
  <c r="FE10" i="6" a="1"/>
  <c r="EX10" i="6" a="1"/>
  <c r="EV10" i="6" a="1"/>
  <c r="FC10" i="6" a="1"/>
  <c r="EZ10" i="6" a="1"/>
  <c r="FD10" i="6" a="1"/>
  <c r="E60" i="6" a="1"/>
  <c r="E23" i="6" a="1"/>
  <c r="N24" i="6" a="1"/>
  <c r="EY13" i="6" a="1"/>
  <c r="FD13" i="6" a="1"/>
  <c r="FE13" i="6" a="1"/>
  <c r="G29" i="6" a="1"/>
  <c r="I23" i="6" a="1"/>
  <c r="EV15" i="6" a="1"/>
  <c r="FC15" i="6" a="1"/>
  <c r="E60" i="6" l="1"/>
  <c r="FD10" i="6"/>
  <c r="EZ10" i="6"/>
  <c r="FC10" i="6"/>
  <c r="EV10" i="6"/>
  <c r="EX10" i="6"/>
  <c r="FE10" i="6"/>
  <c r="F63" i="6" a="1"/>
  <c r="F63" i="6" s="1"/>
  <c r="E23" i="6"/>
  <c r="N24" i="6"/>
  <c r="M28" i="6" s="1"/>
  <c r="EY13" i="6"/>
  <c r="G23" i="6"/>
  <c r="FC15" i="6"/>
  <c r="EV15" i="6"/>
  <c r="I23" i="6"/>
  <c r="G29" i="6"/>
  <c r="FE13" i="6"/>
  <c r="FD13" i="6"/>
  <c r="FB10" i="6" a="1"/>
  <c r="FF10" i="6" a="1"/>
  <c r="I57" i="6" a="1"/>
  <c r="L25" i="6" a="1"/>
  <c r="EX13" i="6" a="1"/>
  <c r="EZ13" i="6" a="1"/>
  <c r="H29" i="6" a="1"/>
  <c r="C30" i="6" a="1"/>
  <c r="B31" i="6" a="1"/>
  <c r="J25" i="6" a="1"/>
  <c r="FF15" i="6" a="1"/>
  <c r="I57" i="6" l="1"/>
  <c r="FF10" i="6"/>
  <c r="FB10" i="6"/>
  <c r="L25" i="6"/>
  <c r="EZ13" i="6"/>
  <c r="EX13" i="6"/>
  <c r="FF15" i="6"/>
  <c r="J25" i="6"/>
  <c r="B31" i="6"/>
  <c r="C30" i="6"/>
  <c r="H29" i="6"/>
  <c r="J58" i="6" a="1"/>
  <c r="M23" i="6" a="1"/>
  <c r="EW17" i="6" a="1"/>
  <c r="FB15" i="6" a="1"/>
  <c r="I29" i="6" a="1"/>
  <c r="FA15" i="6" a="1"/>
  <c r="FH10" i="6" l="1" a="1"/>
  <c r="FH10" i="6" s="1"/>
  <c r="FG10" i="6" s="1"/>
  <c r="J58" i="6"/>
  <c r="M23" i="6"/>
  <c r="L23" i="6" s="1" a="1"/>
  <c r="L23" i="6" s="1"/>
  <c r="G32" i="6" a="1"/>
  <c r="G32" i="6" s="1"/>
  <c r="FH13" i="6" a="1"/>
  <c r="FH13" i="6" s="1"/>
  <c r="FG13" i="6" s="1"/>
  <c r="FA15" i="6"/>
  <c r="I29" i="6"/>
  <c r="FB15" i="6"/>
  <c r="EW17" i="6"/>
  <c r="I28" i="6"/>
  <c r="K28" i="6"/>
  <c r="C34" i="6"/>
  <c r="C29" i="6"/>
  <c r="B34" i="6"/>
  <c r="C31" i="6"/>
  <c r="F34" i="6"/>
  <c r="E31" i="6"/>
  <c r="D34" i="6"/>
  <c r="EW12" i="6" a="1"/>
  <c r="G31" i="6" a="1"/>
  <c r="FE15" i="6" a="1"/>
  <c r="FC17" i="6" a="1"/>
  <c r="EY15" i="6" a="1"/>
  <c r="B30" i="6" a="1"/>
  <c r="EV17" i="6" a="1"/>
  <c r="N29" i="6" a="1"/>
  <c r="FD15" i="6" a="1"/>
  <c r="EW12" i="6" l="1"/>
  <c r="M58" i="6" a="1"/>
  <c r="M58" i="6" s="1"/>
  <c r="J60" i="6" a="1"/>
  <c r="J60" i="6" s="1"/>
  <c r="G31" i="6"/>
  <c r="FD15" i="6"/>
  <c r="N29" i="6"/>
  <c r="EV17" i="6"/>
  <c r="B30" i="6"/>
  <c r="EY15" i="6"/>
  <c r="FC17" i="6"/>
  <c r="FE15" i="6"/>
  <c r="N23" i="6"/>
  <c r="EY12" i="6" a="1"/>
  <c r="FA12" i="6" a="1"/>
  <c r="EZ15" i="6" a="1"/>
  <c r="A36" i="6" a="1"/>
  <c r="E32" i="6" a="1"/>
  <c r="J30" i="6" a="1"/>
  <c r="I31" i="6" a="1"/>
  <c r="C32" i="6" a="1"/>
  <c r="FA12" i="6" l="1"/>
  <c r="EY12" i="6"/>
  <c r="L59" i="6"/>
  <c r="M62" i="6"/>
  <c r="J57" i="6"/>
  <c r="L58" i="6" s="1" a="1"/>
  <c r="L58" i="6" s="1"/>
  <c r="K62" i="6"/>
  <c r="J62" i="6"/>
  <c r="K63" i="6" s="1"/>
  <c r="I63" i="6"/>
  <c r="I62" i="6"/>
  <c r="J59" i="6"/>
  <c r="I58" i="6" a="1"/>
  <c r="I58" i="6" s="1"/>
  <c r="N58" i="6"/>
  <c r="C32" i="6"/>
  <c r="I31" i="6"/>
  <c r="J30" i="6"/>
  <c r="E32" i="6"/>
  <c r="A36" i="6"/>
  <c r="EZ15" i="6"/>
  <c r="FC12" i="6" a="1"/>
  <c r="FD12" i="6" a="1"/>
  <c r="EX12" i="6" a="1"/>
  <c r="L60" i="6" a="1"/>
  <c r="EV12" i="6" a="1"/>
  <c r="EZ12" i="6" a="1"/>
  <c r="FE12" i="6" a="1"/>
  <c r="F30" i="6" a="1"/>
  <c r="EX15" i="6" a="1"/>
  <c r="FA17" i="6" a="1"/>
  <c r="FB17" i="6" a="1"/>
  <c r="B36" i="6" a="1"/>
  <c r="EW19" i="6" a="1"/>
  <c r="FE12" i="6" l="1"/>
  <c r="EZ12" i="6"/>
  <c r="EV12" i="6"/>
  <c r="L60" i="6"/>
  <c r="EX12" i="6"/>
  <c r="FD12" i="6"/>
  <c r="FC12" i="6"/>
  <c r="M63" i="6" a="1"/>
  <c r="M63" i="6" s="1"/>
  <c r="N32" i="6" a="1"/>
  <c r="N32" i="6" s="1"/>
  <c r="F30" i="6"/>
  <c r="EX15" i="6"/>
  <c r="FH15" i="6" s="1" a="1"/>
  <c r="FH15" i="6" s="1"/>
  <c r="FG15" i="6" s="1"/>
  <c r="EW19" i="6"/>
  <c r="B36" i="6"/>
  <c r="FB17" i="6"/>
  <c r="FA17" i="6"/>
  <c r="J34" i="6"/>
  <c r="I34" i="6"/>
  <c r="M34" i="6"/>
  <c r="K34" i="6"/>
  <c r="L31" i="6"/>
  <c r="J31" i="6"/>
  <c r="J29" i="6"/>
  <c r="B35" i="6"/>
  <c r="D35" i="6"/>
  <c r="B64" i="6" a="1"/>
  <c r="FB12" i="6" a="1"/>
  <c r="FF12" i="6" a="1"/>
  <c r="E30" i="6" a="1"/>
  <c r="M30" i="6" a="1"/>
  <c r="N31" i="6" a="1"/>
  <c r="EY17" i="6" a="1"/>
  <c r="I30" i="6" a="1"/>
  <c r="EV19" i="6" a="1"/>
  <c r="FD17" i="6" a="1"/>
  <c r="FE17" i="6" a="1"/>
  <c r="FC19" i="6" a="1"/>
  <c r="G36" i="6" a="1"/>
  <c r="FF12" i="6" l="1"/>
  <c r="FB12" i="6"/>
  <c r="B64" i="6"/>
  <c r="E30" i="6"/>
  <c r="M30" i="6"/>
  <c r="N31" i="6"/>
  <c r="M35" i="6" s="1"/>
  <c r="EY17" i="6"/>
  <c r="G30" i="6"/>
  <c r="G36" i="6"/>
  <c r="FC19" i="6"/>
  <c r="FE17" i="6"/>
  <c r="FD17" i="6"/>
  <c r="EV19" i="6"/>
  <c r="I30" i="6"/>
  <c r="C65" i="6" a="1"/>
  <c r="L32" i="6" a="1"/>
  <c r="L30" i="6" a="1"/>
  <c r="EZ17" i="6" a="1"/>
  <c r="EX17" i="6" a="1"/>
  <c r="J32" i="6" a="1"/>
  <c r="FF19" i="6" a="1"/>
  <c r="H36" i="6" a="1"/>
  <c r="B38" i="6" a="1"/>
  <c r="C37" i="6" a="1"/>
  <c r="EY19" i="6" a="1"/>
  <c r="FH12" i="6" l="1" a="1"/>
  <c r="FH12" i="6" s="1"/>
  <c r="FG12" i="6" s="1"/>
  <c r="C65" i="6"/>
  <c r="L32" i="6"/>
  <c r="L30" i="6"/>
  <c r="F35" i="6"/>
  <c r="EX17" i="6"/>
  <c r="EZ17" i="6"/>
  <c r="EY19" i="6"/>
  <c r="C37" i="6"/>
  <c r="B38" i="6"/>
  <c r="H36" i="6"/>
  <c r="FF19" i="6"/>
  <c r="J32" i="6"/>
  <c r="N30" i="6"/>
  <c r="EW14" i="6" a="1"/>
  <c r="FF17" i="6" a="1"/>
  <c r="FB19" i="6" a="1"/>
  <c r="EX19" i="6" a="1"/>
  <c r="FA19" i="6" a="1"/>
  <c r="EW21" i="6" a="1"/>
  <c r="EZ19" i="6" a="1"/>
  <c r="I36" i="6" a="1"/>
  <c r="EW14" i="6" l="1"/>
  <c r="C67" i="6" a="1"/>
  <c r="C67" i="6" s="1"/>
  <c r="F65" i="6" a="1"/>
  <c r="F65" i="6" s="1"/>
  <c r="G39" i="6" a="1"/>
  <c r="G39" i="6" s="1"/>
  <c r="FF17" i="6"/>
  <c r="FH17" i="6" s="1" a="1"/>
  <c r="FH17" i="6" s="1"/>
  <c r="FG17" i="6" s="1"/>
  <c r="I36" i="6"/>
  <c r="EZ19" i="6"/>
  <c r="EW21" i="6"/>
  <c r="FA19" i="6"/>
  <c r="EX19" i="6"/>
  <c r="FB19" i="6"/>
  <c r="C36" i="6"/>
  <c r="E38" i="6"/>
  <c r="F41" i="6"/>
  <c r="B41" i="6"/>
  <c r="D41" i="6"/>
  <c r="C38" i="6"/>
  <c r="C41" i="6"/>
  <c r="K35" i="6"/>
  <c r="I35" i="6"/>
  <c r="FA14" i="6" a="1"/>
  <c r="EY14" i="6" a="1"/>
  <c r="G38" i="6" a="1"/>
  <c r="N36" i="6" a="1"/>
  <c r="FC21" i="6" a="1"/>
  <c r="F37" i="6" a="1"/>
  <c r="EV21" i="6" a="1"/>
  <c r="B37" i="6" a="1"/>
  <c r="FE19" i="6" a="1"/>
  <c r="FD19" i="6" a="1"/>
  <c r="EY14" i="6" l="1"/>
  <c r="FA14" i="6"/>
  <c r="G65" i="6"/>
  <c r="D69" i="6"/>
  <c r="C66" i="6"/>
  <c r="F69" i="6"/>
  <c r="C69" i="6"/>
  <c r="C64" i="6"/>
  <c r="E65" i="6" s="1" a="1"/>
  <c r="E65" i="6" s="1"/>
  <c r="B70" i="6"/>
  <c r="B69" i="6"/>
  <c r="E66" i="6"/>
  <c r="B65" i="6" a="1"/>
  <c r="B65" i="6" s="1"/>
  <c r="G38" i="6"/>
  <c r="F42" i="6" s="1"/>
  <c r="FD19" i="6"/>
  <c r="FE19" i="6"/>
  <c r="B37" i="6"/>
  <c r="EV21" i="6"/>
  <c r="F37" i="6"/>
  <c r="FC21" i="6"/>
  <c r="N36" i="6"/>
  <c r="FC14" i="6" a="1"/>
  <c r="EV14" i="6" a="1"/>
  <c r="EZ14" i="6" a="1"/>
  <c r="FD14" i="6" a="1"/>
  <c r="EX14" i="6" a="1"/>
  <c r="E67" i="6" a="1"/>
  <c r="E37" i="6" a="1"/>
  <c r="EY21" i="6" a="1"/>
  <c r="C39" i="6" a="1"/>
  <c r="FF21" i="6" a="1"/>
  <c r="P1" i="6" a="1"/>
  <c r="E39" i="6" a="1"/>
  <c r="I38" i="6" a="1"/>
  <c r="J37" i="6" a="1"/>
  <c r="E67" i="6" l="1"/>
  <c r="EX14" i="6"/>
  <c r="FD14" i="6"/>
  <c r="EZ14" i="6"/>
  <c r="EV14" i="6"/>
  <c r="FC14" i="6"/>
  <c r="F70" i="6" a="1"/>
  <c r="F70" i="6" s="1"/>
  <c r="D70" i="6"/>
  <c r="E37" i="6"/>
  <c r="FH19" i="6" a="1"/>
  <c r="FH19" i="6" s="1"/>
  <c r="FG19" i="6" s="1"/>
  <c r="J37" i="6"/>
  <c r="I38" i="6"/>
  <c r="E39" i="6"/>
  <c r="P1" i="6"/>
  <c r="FF21" i="6"/>
  <c r="C39" i="6"/>
  <c r="EY21" i="6"/>
  <c r="G37" i="6"/>
  <c r="FB14" i="6" a="1"/>
  <c r="I64" i="6" a="1"/>
  <c r="FE14" i="6" a="1"/>
  <c r="FF14" i="6" a="1"/>
  <c r="L44" i="6" a="1"/>
  <c r="Q1" i="6" a="1"/>
  <c r="FA21" i="6" a="1"/>
  <c r="EZ21" i="6" a="1"/>
  <c r="EW23" i="6" a="1"/>
  <c r="EX21" i="6" a="1"/>
  <c r="FB21" i="6" a="1"/>
  <c r="FF14" i="6" l="1"/>
  <c r="FE14" i="6"/>
  <c r="I64" i="6"/>
  <c r="FB14" i="6"/>
  <c r="L44" i="6"/>
  <c r="Q1" i="6"/>
  <c r="N39" i="6" a="1"/>
  <c r="N39" i="6" s="1"/>
  <c r="FB21" i="6"/>
  <c r="EX21" i="6"/>
  <c r="EW23" i="6"/>
  <c r="EZ21" i="6"/>
  <c r="FA21" i="6"/>
  <c r="J36" i="6"/>
  <c r="J38" i="6"/>
  <c r="M41" i="6"/>
  <c r="K41" i="6"/>
  <c r="L38" i="6"/>
  <c r="I41" i="6"/>
  <c r="J41" i="6"/>
  <c r="D42" i="6"/>
  <c r="B42" i="6"/>
  <c r="EX4" i="6" a="1"/>
  <c r="V1" i="6" a="1"/>
  <c r="N38" i="6" a="1"/>
  <c r="M37" i="6" a="1"/>
  <c r="EV23" i="6" a="1"/>
  <c r="I37" i="6" a="1"/>
  <c r="FC23" i="6" a="1"/>
  <c r="FE21" i="6" a="1"/>
  <c r="FD21" i="6" a="1"/>
  <c r="FH14" i="6" l="1" a="1"/>
  <c r="FH14" i="6" s="1"/>
  <c r="FG14" i="6" s="1"/>
  <c r="EX4" i="6"/>
  <c r="FH4" i="6" s="1" a="1"/>
  <c r="FH4" i="6" s="1"/>
  <c r="FG4" i="6" s="1"/>
  <c r="V1" i="6"/>
  <c r="N38" i="6"/>
  <c r="M42" i="6" s="1"/>
  <c r="FD21" i="6"/>
  <c r="FE21" i="6"/>
  <c r="FC23" i="6"/>
  <c r="I37" i="6"/>
  <c r="EV23" i="6"/>
  <c r="M37" i="6"/>
  <c r="J65" i="6" a="1"/>
  <c r="L39" i="6" a="1"/>
  <c r="L37" i="6" a="1"/>
  <c r="EY23" i="6" a="1"/>
  <c r="J39" i="6" a="1"/>
  <c r="FF23" i="6" a="1"/>
  <c r="J65" i="6" l="1"/>
  <c r="L39" i="6"/>
  <c r="L37" i="6"/>
  <c r="FH21" i="6" a="1"/>
  <c r="FH21" i="6" s="1"/>
  <c r="FG21" i="6" s="1"/>
  <c r="FF23" i="6"/>
  <c r="J39" i="6"/>
  <c r="EY23" i="6"/>
  <c r="N37" i="6"/>
  <c r="EW16" i="6" a="1"/>
  <c r="W1" i="6" a="1"/>
  <c r="Q3" i="6" a="1"/>
  <c r="R2" i="6" a="1"/>
  <c r="EZ23" i="6" a="1"/>
  <c r="FA23" i="6" a="1"/>
  <c r="EX23" i="6" a="1"/>
  <c r="EW16" i="6" l="1"/>
  <c r="J67" i="6" a="1"/>
  <c r="J67" i="6" s="1"/>
  <c r="M65" i="6" a="1"/>
  <c r="M65" i="6" s="1"/>
  <c r="R2" i="6"/>
  <c r="Q3" i="6"/>
  <c r="W1" i="6"/>
  <c r="EX23" i="6"/>
  <c r="FA23" i="6"/>
  <c r="EZ23" i="6"/>
  <c r="K42" i="6"/>
  <c r="I42" i="6"/>
  <c r="EY16" i="6" a="1"/>
  <c r="FA16" i="6" a="1"/>
  <c r="X1" i="6" a="1"/>
  <c r="FE23" i="6" a="1"/>
  <c r="FD23" i="6" a="1"/>
  <c r="U6" i="6" l="1"/>
  <c r="S6" i="6"/>
  <c r="R6" i="6"/>
  <c r="FC25" i="6" s="1"/>
  <c r="Q6" i="6"/>
  <c r="FA16" i="6"/>
  <c r="EY16" i="6"/>
  <c r="I70" i="6"/>
  <c r="I69" i="6"/>
  <c r="J64" i="6"/>
  <c r="M69" i="6"/>
  <c r="K69" i="6"/>
  <c r="J69" i="6"/>
  <c r="L66" i="6"/>
  <c r="J66" i="6"/>
  <c r="I65" i="6" a="1"/>
  <c r="I65" i="6" s="1"/>
  <c r="N65" i="6"/>
  <c r="L65" i="6" a="1"/>
  <c r="L65" i="6" s="1"/>
  <c r="V4" i="6" a="1"/>
  <c r="V4" i="6" s="1"/>
  <c r="X1" i="6"/>
  <c r="R1" i="6"/>
  <c r="T3" i="6"/>
  <c r="R3" i="6"/>
  <c r="EW25" i="6"/>
  <c r="FD23" i="6"/>
  <c r="FE23" i="6"/>
  <c r="EV16" i="6" a="1"/>
  <c r="EZ16" i="6" a="1"/>
  <c r="EX16" i="6" a="1"/>
  <c r="FC16" i="6" a="1"/>
  <c r="FD16" i="6" a="1"/>
  <c r="L67" i="6" a="1"/>
  <c r="AC1" i="6" a="1"/>
  <c r="U2" i="6" a="1"/>
  <c r="L67" i="6" l="1"/>
  <c r="FD16" i="6"/>
  <c r="FC16" i="6"/>
  <c r="EX16" i="6"/>
  <c r="EZ16" i="6"/>
  <c r="EV16" i="6"/>
  <c r="K70" i="6"/>
  <c r="M70" i="6" a="1"/>
  <c r="M70" i="6" s="1"/>
  <c r="U2" i="6"/>
  <c r="AC1" i="6"/>
  <c r="EV25" i="6"/>
  <c r="B71" i="6" a="1"/>
  <c r="FE16" i="6" a="1"/>
  <c r="FF16" i="6" a="1"/>
  <c r="FB16" i="6" a="1"/>
  <c r="R4" i="6" a="1"/>
  <c r="V3" i="6" a="1"/>
  <c r="P8" i="6" a="1"/>
  <c r="FB16" i="6" l="1"/>
  <c r="FF16" i="6"/>
  <c r="FE16" i="6"/>
  <c r="B71" i="6"/>
  <c r="V3" i="6"/>
  <c r="R4" i="6"/>
  <c r="V2" i="6"/>
  <c r="P8" i="6"/>
  <c r="Q8" i="6" a="1"/>
  <c r="C72" i="6" a="1"/>
  <c r="T2" i="6" a="1"/>
  <c r="X3" i="6" a="1"/>
  <c r="Y2" i="6" a="1"/>
  <c r="Q8" i="6" l="1"/>
  <c r="FA25" i="6"/>
  <c r="S7" i="6"/>
  <c r="FE25" i="6" s="1"/>
  <c r="Q7" i="6"/>
  <c r="FD25" i="6" s="1"/>
  <c r="U7" i="6"/>
  <c r="FF25" i="6" s="1"/>
  <c r="FH16" i="6" a="1"/>
  <c r="FH16" i="6" s="1"/>
  <c r="FG16" i="6" s="1"/>
  <c r="C72" i="6"/>
  <c r="Y2" i="6"/>
  <c r="X3" i="6"/>
  <c r="T2" i="6"/>
  <c r="EY25" i="6"/>
  <c r="EZ25" i="6"/>
  <c r="V8" i="6" a="1"/>
  <c r="EW18" i="6" a="1"/>
  <c r="FB23" i="6" a="1"/>
  <c r="Q2" i="6" a="1"/>
  <c r="V8" i="6" l="1"/>
  <c r="Z6" i="6"/>
  <c r="AB6" i="6"/>
  <c r="Y6" i="6"/>
  <c r="FC27" i="6" s="1"/>
  <c r="X6" i="6"/>
  <c r="EW18" i="6"/>
  <c r="C74" i="6" a="1"/>
  <c r="C74" i="6" s="1"/>
  <c r="F72" i="6" a="1"/>
  <c r="F72" i="6" s="1"/>
  <c r="AC4" i="6" a="1"/>
  <c r="AC4" i="6" s="1"/>
  <c r="FB23" i="6"/>
  <c r="FH23" i="6" s="1" a="1"/>
  <c r="FH23" i="6" s="1"/>
  <c r="FG23" i="6" s="1"/>
  <c r="Q2" i="6"/>
  <c r="Y1" i="6"/>
  <c r="Y3" i="6"/>
  <c r="AA3" i="6"/>
  <c r="EW27" i="6"/>
  <c r="EX25" i="6"/>
  <c r="FA18" i="6" a="1"/>
  <c r="EY18" i="6" a="1"/>
  <c r="T4" i="6" a="1"/>
  <c r="EY18" i="6" l="1"/>
  <c r="FA18" i="6"/>
  <c r="G72" i="6"/>
  <c r="C71" i="6"/>
  <c r="E72" i="6" s="1" a="1"/>
  <c r="E72" i="6" s="1"/>
  <c r="F76" i="6"/>
  <c r="E73" i="6"/>
  <c r="D76" i="6"/>
  <c r="C73" i="6"/>
  <c r="C76" i="6"/>
  <c r="B77" i="6"/>
  <c r="B76" i="6"/>
  <c r="B72" i="6" a="1"/>
  <c r="B72" i="6" s="1"/>
  <c r="T4" i="6"/>
  <c r="EV27" i="6"/>
  <c r="Q10" i="6" a="1"/>
  <c r="R9" i="6" a="1"/>
  <c r="W8" i="6" a="1"/>
  <c r="FC18" i="6" a="1"/>
  <c r="EZ18" i="6" a="1"/>
  <c r="FD18" i="6" a="1"/>
  <c r="EV18" i="6" a="1"/>
  <c r="EX18" i="6" a="1"/>
  <c r="E74" i="6" a="1"/>
  <c r="AC3" i="6" a="1"/>
  <c r="Y4" i="6" a="1"/>
  <c r="AB2" i="6" a="1"/>
  <c r="W8" i="6" l="1"/>
  <c r="R9" i="6"/>
  <c r="Q10" i="6"/>
  <c r="V11" i="6" s="1" a="1"/>
  <c r="V11" i="6" s="1"/>
  <c r="E74" i="6"/>
  <c r="EX18" i="6"/>
  <c r="EV18" i="6"/>
  <c r="FD18" i="6"/>
  <c r="EZ18" i="6"/>
  <c r="FC18" i="6"/>
  <c r="F77" i="6" a="1"/>
  <c r="F77" i="6" s="1"/>
  <c r="D77" i="6"/>
  <c r="AB2" i="6"/>
  <c r="Y4" i="6"/>
  <c r="AC3" i="6"/>
  <c r="FB25" i="6"/>
  <c r="FH25" i="6" s="1" a="1"/>
  <c r="FH25" i="6" s="1"/>
  <c r="FG25" i="6" s="1"/>
  <c r="X8" i="6" a="1"/>
  <c r="FB18" i="6" a="1"/>
  <c r="FE18" i="6" a="1"/>
  <c r="I71" i="6" a="1"/>
  <c r="FF18" i="6" a="1"/>
  <c r="EW29" i="6" a="1"/>
  <c r="X8" i="6" l="1"/>
  <c r="AB7" i="6"/>
  <c r="FF27" i="6" s="1"/>
  <c r="FA27" i="6"/>
  <c r="X7" i="6"/>
  <c r="FD27" i="6" s="1"/>
  <c r="Z7" i="6"/>
  <c r="FE27" i="6" s="1"/>
  <c r="U13" i="6"/>
  <c r="S13" i="6"/>
  <c r="R8" i="6"/>
  <c r="R13" i="6"/>
  <c r="T10" i="6"/>
  <c r="Q13" i="6"/>
  <c r="R10" i="6"/>
  <c r="FF18" i="6"/>
  <c r="I71" i="6"/>
  <c r="FE18" i="6"/>
  <c r="FB18" i="6"/>
  <c r="AC2" i="6"/>
  <c r="EZ27" i="6" s="1"/>
  <c r="EY27" i="6"/>
  <c r="EW29" i="6"/>
  <c r="R11" i="6" a="1"/>
  <c r="AC8" i="6" a="1"/>
  <c r="J72" i="6" a="1"/>
  <c r="AA2" i="6" a="1"/>
  <c r="X2" i="6" a="1"/>
  <c r="EV29" i="6" a="1"/>
  <c r="FC29" i="6" a="1"/>
  <c r="AC8" i="6" l="1"/>
  <c r="R11" i="6"/>
  <c r="FH18" i="6" a="1"/>
  <c r="FH18" i="6" s="1"/>
  <c r="FG18" i="6" s="1"/>
  <c r="J72" i="6"/>
  <c r="X2" i="6"/>
  <c r="AA2" i="6"/>
  <c r="EX27" i="6" s="1"/>
  <c r="FC29" i="6"/>
  <c r="EV29" i="6"/>
  <c r="V10" i="6" a="1"/>
  <c r="Q9" i="6" a="1"/>
  <c r="U9" i="6" a="1"/>
  <c r="EW20" i="6" a="1"/>
  <c r="AA4" i="6" a="1"/>
  <c r="P15" i="6" a="1"/>
  <c r="U9" i="6" l="1"/>
  <c r="Q9" i="6"/>
  <c r="V10" i="6"/>
  <c r="U14" i="6" s="1"/>
  <c r="S14" i="6"/>
  <c r="Q14" i="6"/>
  <c r="EW20" i="6"/>
  <c r="J74" i="6" a="1"/>
  <c r="J74" i="6" s="1"/>
  <c r="M72" i="6" a="1"/>
  <c r="M72" i="6" s="1"/>
  <c r="AA4" i="6"/>
  <c r="P15" i="6"/>
  <c r="Q15" i="6" a="1"/>
  <c r="Y9" i="6" a="1"/>
  <c r="T11" i="6" a="1"/>
  <c r="X10" i="6" a="1"/>
  <c r="FA20" i="6" a="1"/>
  <c r="EY20" i="6" a="1"/>
  <c r="EY29" i="6" a="1"/>
  <c r="FF29" i="6" a="1"/>
  <c r="FA29" i="6" a="1"/>
  <c r="X10" i="6" l="1"/>
  <c r="AC11" i="6" s="1" a="1"/>
  <c r="AC11" i="6" s="1"/>
  <c r="T11" i="6"/>
  <c r="Y9" i="6"/>
  <c r="Q15" i="6"/>
  <c r="V9" i="6"/>
  <c r="EY20" i="6"/>
  <c r="FA20" i="6"/>
  <c r="N72" i="6"/>
  <c r="J76" i="6"/>
  <c r="L73" i="6"/>
  <c r="I77" i="6"/>
  <c r="I76" i="6"/>
  <c r="J73" i="6"/>
  <c r="K76" i="6"/>
  <c r="M76" i="6"/>
  <c r="J71" i="6"/>
  <c r="L72" i="6" s="1" a="1"/>
  <c r="L72" i="6" s="1"/>
  <c r="I72" i="6" a="1"/>
  <c r="I72" i="6" s="1"/>
  <c r="EY29" i="6"/>
  <c r="FA29" i="6"/>
  <c r="FF29" i="6"/>
  <c r="FB27" i="6"/>
  <c r="FH27" i="6" s="1" a="1"/>
  <c r="FH27" i="6" s="1"/>
  <c r="FG27" i="6" s="1"/>
  <c r="V15" i="6" a="1"/>
  <c r="T9" i="6" a="1"/>
  <c r="EX20" i="6" a="1"/>
  <c r="EZ20" i="6" a="1"/>
  <c r="L74" i="6" a="1"/>
  <c r="EV20" i="6" a="1"/>
  <c r="FC20" i="6" a="1"/>
  <c r="FD20" i="6" a="1"/>
  <c r="EZ29" i="6" a="1"/>
  <c r="FB29" i="6" a="1"/>
  <c r="EW31" i="6" a="1"/>
  <c r="FD29" i="6" a="1"/>
  <c r="FE29" i="6" a="1"/>
  <c r="T9" i="6" l="1"/>
  <c r="V15" i="6"/>
  <c r="Y13" i="6"/>
  <c r="X13" i="6"/>
  <c r="Y8" i="6"/>
  <c r="AA10" i="6"/>
  <c r="Z13" i="6"/>
  <c r="Y10" i="6"/>
  <c r="AB13" i="6"/>
  <c r="FD20" i="6"/>
  <c r="FC20" i="6"/>
  <c r="EV20" i="6"/>
  <c r="L74" i="6"/>
  <c r="EZ20" i="6"/>
  <c r="EX20" i="6"/>
  <c r="M77" i="6" a="1"/>
  <c r="M77" i="6" s="1"/>
  <c r="K77" i="6"/>
  <c r="EZ29" i="6"/>
  <c r="FE29" i="6"/>
  <c r="FD29" i="6"/>
  <c r="EW31" i="6"/>
  <c r="FB29" i="6"/>
  <c r="AB9" i="6" a="1"/>
  <c r="Y11" i="6" a="1"/>
  <c r="B78" i="6" a="1"/>
  <c r="FB20" i="6" a="1"/>
  <c r="FF20" i="6" a="1"/>
  <c r="FE20" i="6" a="1"/>
  <c r="EX29" i="6" a="1"/>
  <c r="FC31" i="6" a="1"/>
  <c r="EV31" i="6" a="1"/>
  <c r="Y11" i="6" l="1"/>
  <c r="AB9" i="6"/>
  <c r="FE20" i="6"/>
  <c r="FF20" i="6"/>
  <c r="FB20" i="6"/>
  <c r="B78" i="6"/>
  <c r="EX29" i="6"/>
  <c r="FH29" i="6" s="1" a="1"/>
  <c r="FH29" i="6" s="1"/>
  <c r="FG29" i="6" s="1"/>
  <c r="EV31" i="6"/>
  <c r="FC31" i="6"/>
  <c r="W15" i="6" a="1"/>
  <c r="R16" i="6" a="1"/>
  <c r="X9" i="6" a="1"/>
  <c r="AC10" i="6" a="1"/>
  <c r="Q17" i="6" a="1"/>
  <c r="C79" i="6" a="1"/>
  <c r="Q17" i="6" l="1"/>
  <c r="V18" i="6" s="1" a="1"/>
  <c r="V18" i="6" s="1"/>
  <c r="AC10" i="6"/>
  <c r="AB14" i="6" s="1"/>
  <c r="X9" i="6"/>
  <c r="R16" i="6"/>
  <c r="W15" i="6"/>
  <c r="AC9" i="6"/>
  <c r="Z14" i="6"/>
  <c r="X14" i="6"/>
  <c r="FH20" i="6" a="1"/>
  <c r="FH20" i="6" s="1"/>
  <c r="FG20" i="6" s="1"/>
  <c r="C79" i="6"/>
  <c r="AA11" i="6" a="1"/>
  <c r="X15" i="6" a="1"/>
  <c r="AA9" i="6" a="1"/>
  <c r="EW22" i="6" a="1"/>
  <c r="EY31" i="6" a="1"/>
  <c r="EW33" i="6" a="1"/>
  <c r="FA31" i="6" a="1"/>
  <c r="FF31" i="6" a="1"/>
  <c r="AA9" i="6" l="1"/>
  <c r="X15" i="6"/>
  <c r="AA11" i="6"/>
  <c r="Q20" i="6"/>
  <c r="R17" i="6"/>
  <c r="U20" i="6"/>
  <c r="S20" i="6"/>
  <c r="R15" i="6"/>
  <c r="R20" i="6"/>
  <c r="T17" i="6"/>
  <c r="EW22" i="6"/>
  <c r="C81" i="6" a="1"/>
  <c r="C81" i="6" s="1"/>
  <c r="F79" i="6" a="1"/>
  <c r="F79" i="6" s="1"/>
  <c r="EY31" i="6"/>
  <c r="FF31" i="6"/>
  <c r="FA31" i="6"/>
  <c r="EW33" i="6"/>
  <c r="AC15" i="6" a="1"/>
  <c r="R18" i="6" a="1"/>
  <c r="FA22" i="6" a="1"/>
  <c r="EY22" i="6" a="1"/>
  <c r="EZ31" i="6" a="1"/>
  <c r="FE31" i="6" a="1"/>
  <c r="FD31" i="6" a="1"/>
  <c r="FB31" i="6" a="1"/>
  <c r="EV33" i="6" a="1"/>
  <c r="FC33" i="6" a="1"/>
  <c r="R18" i="6" l="1"/>
  <c r="AC15" i="6"/>
  <c r="EY22" i="6"/>
  <c r="FA22" i="6"/>
  <c r="G79" i="6"/>
  <c r="B84" i="6"/>
  <c r="C78" i="6"/>
  <c r="E79" i="6" s="1" a="1"/>
  <c r="E79" i="6" s="1"/>
  <c r="B83" i="6"/>
  <c r="F83" i="6"/>
  <c r="E80" i="6"/>
  <c r="D83" i="6"/>
  <c r="C80" i="6"/>
  <c r="C83" i="6"/>
  <c r="D84" i="6" s="1"/>
  <c r="B79" i="6" a="1"/>
  <c r="B79" i="6" s="1"/>
  <c r="EZ31" i="6"/>
  <c r="FC33" i="6"/>
  <c r="EV33" i="6"/>
  <c r="FB31" i="6"/>
  <c r="FD31" i="6"/>
  <c r="FE31" i="6"/>
  <c r="V17" i="6" a="1"/>
  <c r="U16" i="6" a="1"/>
  <c r="Q16" i="6" a="1"/>
  <c r="EX22" i="6" a="1"/>
  <c r="FD22" i="6" a="1"/>
  <c r="FC22" i="6" a="1"/>
  <c r="EV22" i="6" a="1"/>
  <c r="E81" i="6" a="1"/>
  <c r="FE22" i="6" a="1"/>
  <c r="EZ22" i="6" a="1"/>
  <c r="EX31" i="6" a="1"/>
  <c r="P22" i="6" a="1"/>
  <c r="Q16" i="6" l="1"/>
  <c r="U16" i="6"/>
  <c r="V17" i="6"/>
  <c r="U21" i="6" s="1"/>
  <c r="Q21" i="6"/>
  <c r="S21" i="6"/>
  <c r="EZ22" i="6"/>
  <c r="FE22" i="6"/>
  <c r="E81" i="6"/>
  <c r="EV22" i="6"/>
  <c r="FC22" i="6"/>
  <c r="FD22" i="6"/>
  <c r="EX22" i="6"/>
  <c r="F84" i="6" a="1"/>
  <c r="F84" i="6" s="1"/>
  <c r="EX31" i="6"/>
  <c r="FH31" i="6" s="1" a="1"/>
  <c r="FH31" i="6" s="1"/>
  <c r="FG31" i="6" s="1"/>
  <c r="P22" i="6"/>
  <c r="T18" i="6" a="1"/>
  <c r="Y16" i="6" a="1"/>
  <c r="X17" i="6" a="1"/>
  <c r="Q22" i="6" a="1"/>
  <c r="I78" i="6" a="1"/>
  <c r="FB22" i="6" a="1"/>
  <c r="FF22" i="6" a="1"/>
  <c r="EY33" i="6" a="1"/>
  <c r="FF33" i="6" a="1"/>
  <c r="FA33" i="6" a="1"/>
  <c r="Q22" i="6" l="1"/>
  <c r="X17" i="6"/>
  <c r="AC18" i="6" s="1" a="1"/>
  <c r="AC18" i="6" s="1"/>
  <c r="Y16" i="6"/>
  <c r="T18" i="6"/>
  <c r="V16" i="6"/>
  <c r="FF22" i="6"/>
  <c r="FB22" i="6"/>
  <c r="I78" i="6"/>
  <c r="EY33" i="6"/>
  <c r="FA33" i="6"/>
  <c r="FF33" i="6"/>
  <c r="T16" i="6" a="1"/>
  <c r="V22" i="6" a="1"/>
  <c r="J79" i="6" a="1"/>
  <c r="EZ33" i="6" a="1"/>
  <c r="EW35" i="6" a="1"/>
  <c r="FE33" i="6" a="1"/>
  <c r="FB33" i="6" a="1"/>
  <c r="FD33" i="6" a="1"/>
  <c r="V22" i="6" l="1"/>
  <c r="T16" i="6"/>
  <c r="AB20" i="6"/>
  <c r="AA17" i="6"/>
  <c r="Z20" i="6"/>
  <c r="Y17" i="6"/>
  <c r="Y20" i="6"/>
  <c r="X20" i="6"/>
  <c r="Y15" i="6"/>
  <c r="FH22" i="6" a="1"/>
  <c r="FH22" i="6" s="1"/>
  <c r="FG22" i="6" s="1"/>
  <c r="J79" i="6"/>
  <c r="EZ33" i="6"/>
  <c r="FD33" i="6"/>
  <c r="FB33" i="6"/>
  <c r="FE33" i="6"/>
  <c r="EW35" i="6"/>
  <c r="Y18" i="6" a="1"/>
  <c r="AB16" i="6" a="1"/>
  <c r="EW24" i="6" a="1"/>
  <c r="EX33" i="6" a="1"/>
  <c r="FC35" i="6" a="1"/>
  <c r="EV35" i="6" a="1"/>
  <c r="AB16" i="6" l="1"/>
  <c r="Y18" i="6"/>
  <c r="EW24" i="6"/>
  <c r="M79" i="6" a="1"/>
  <c r="M79" i="6" s="1"/>
  <c r="J81" i="6" a="1"/>
  <c r="J81" i="6" s="1"/>
  <c r="EX33" i="6"/>
  <c r="FH33" i="6" s="1" a="1"/>
  <c r="FH33" i="6" s="1"/>
  <c r="FG33" i="6" s="1"/>
  <c r="EV35" i="6"/>
  <c r="FC35" i="6"/>
  <c r="X16" i="6" a="1"/>
  <c r="AC17" i="6" a="1"/>
  <c r="Q24" i="6" a="1"/>
  <c r="R23" i="6" a="1"/>
  <c r="W22" i="6" a="1"/>
  <c r="EY24" i="6" a="1"/>
  <c r="FA24" i="6" a="1"/>
  <c r="EY35" i="6" a="1"/>
  <c r="W22" i="6" l="1"/>
  <c r="R23" i="6"/>
  <c r="Q24" i="6"/>
  <c r="V25" i="6" s="1" a="1"/>
  <c r="V25" i="6" s="1"/>
  <c r="AC17" i="6"/>
  <c r="AB21" i="6" s="1"/>
  <c r="X16" i="6"/>
  <c r="Z21" i="6"/>
  <c r="X21" i="6"/>
  <c r="AC16" i="6"/>
  <c r="FA24" i="6"/>
  <c r="EY24" i="6"/>
  <c r="M83" i="6"/>
  <c r="J78" i="6"/>
  <c r="L79" i="6" s="1" a="1"/>
  <c r="L79" i="6" s="1"/>
  <c r="K83" i="6"/>
  <c r="J83" i="6"/>
  <c r="L80" i="6"/>
  <c r="I84" i="6"/>
  <c r="I83" i="6"/>
  <c r="J80" i="6"/>
  <c r="I79" i="6" a="1"/>
  <c r="I79" i="6" s="1"/>
  <c r="N79" i="6"/>
  <c r="EY35" i="6"/>
  <c r="AA18" i="6" a="1"/>
  <c r="X22" i="6" a="1"/>
  <c r="AA16" i="6" a="1"/>
  <c r="FD24" i="6" a="1"/>
  <c r="EZ24" i="6" a="1"/>
  <c r="Q43" i="6" a="1"/>
  <c r="EV24" i="6" a="1"/>
  <c r="L81" i="6" a="1"/>
  <c r="FC24" i="6" a="1"/>
  <c r="EX24" i="6" a="1"/>
  <c r="EW37" i="6" a="1"/>
  <c r="FA35" i="6" a="1"/>
  <c r="EZ35" i="6" a="1"/>
  <c r="FF35" i="6" a="1"/>
  <c r="AA16" i="6" l="1"/>
  <c r="X22" i="6"/>
  <c r="AA18" i="6"/>
  <c r="R27" i="6"/>
  <c r="T24" i="6"/>
  <c r="S27" i="6"/>
  <c r="R22" i="6"/>
  <c r="Q27" i="6"/>
  <c r="R24" i="6"/>
  <c r="U27" i="6"/>
  <c r="EX24" i="6"/>
  <c r="FC24" i="6"/>
  <c r="L81" i="6"/>
  <c r="EV24" i="6"/>
  <c r="Q43" i="6"/>
  <c r="EZ24" i="6"/>
  <c r="FD24" i="6"/>
  <c r="K84" i="6"/>
  <c r="M84" i="6" a="1"/>
  <c r="M84" i="6" s="1"/>
  <c r="FF35" i="6"/>
  <c r="EZ35" i="6"/>
  <c r="FA35" i="6"/>
  <c r="EW37" i="6"/>
  <c r="U23" i="6" a="1"/>
  <c r="AC22" i="6" a="1"/>
  <c r="R25" i="6" a="1"/>
  <c r="FF24" i="6" a="1"/>
  <c r="FB24" i="6" a="1"/>
  <c r="FE24" i="6" a="1"/>
  <c r="FB35" i="6" a="1"/>
  <c r="EV37" i="6" a="1"/>
  <c r="FD35" i="6" a="1"/>
  <c r="FE35" i="6" a="1"/>
  <c r="FC37" i="6" a="1"/>
  <c r="EX35" i="6" a="1"/>
  <c r="R25" i="6" l="1"/>
  <c r="AC22" i="6"/>
  <c r="U23" i="6"/>
  <c r="FE24" i="6"/>
  <c r="FB24" i="6"/>
  <c r="FF24" i="6"/>
  <c r="EX35" i="6"/>
  <c r="FC37" i="6"/>
  <c r="FE35" i="6"/>
  <c r="FD35" i="6"/>
  <c r="EV37" i="6"/>
  <c r="FB35" i="6"/>
  <c r="Q23" i="6" a="1"/>
  <c r="V24" i="6" a="1"/>
  <c r="P29" i="6" a="1"/>
  <c r="V24" i="6" l="1"/>
  <c r="U28" i="6" s="1"/>
  <c r="Q23" i="6"/>
  <c r="V23" i="6"/>
  <c r="S28" i="6"/>
  <c r="Q28" i="6"/>
  <c r="FH24" i="6" a="1"/>
  <c r="FH24" i="6" s="1"/>
  <c r="FG24" i="6" s="1"/>
  <c r="P29" i="6"/>
  <c r="FH35" i="6" a="1"/>
  <c r="FH35" i="6" s="1"/>
  <c r="FG35" i="6" s="1"/>
  <c r="T25" i="6" a="1"/>
  <c r="Y23" i="6" a="1"/>
  <c r="Q29" i="6" a="1"/>
  <c r="X24" i="6" a="1"/>
  <c r="T23" i="6" a="1"/>
  <c r="EY37" i="6" a="1"/>
  <c r="FA37" i="6" a="1"/>
  <c r="FF37" i="6" a="1"/>
  <c r="T23" i="6" l="1"/>
  <c r="X24" i="6"/>
  <c r="AC25" i="6" s="1" a="1"/>
  <c r="AC25" i="6" s="1"/>
  <c r="Q29" i="6"/>
  <c r="Y23" i="6"/>
  <c r="T25" i="6"/>
  <c r="EY37" i="6"/>
  <c r="FF37" i="6"/>
  <c r="FA37" i="6"/>
  <c r="V29" i="6" a="1"/>
  <c r="EZ37" i="6" a="1"/>
  <c r="FE37" i="6" a="1"/>
  <c r="EW39" i="6" a="1"/>
  <c r="FD37" i="6" a="1"/>
  <c r="FB37" i="6" a="1"/>
  <c r="V29" i="6" l="1"/>
  <c r="Y22" i="6"/>
  <c r="AB27" i="6"/>
  <c r="AA24" i="6"/>
  <c r="Z27" i="6"/>
  <c r="Y24" i="6"/>
  <c r="Y27" i="6"/>
  <c r="X27" i="6"/>
  <c r="EZ37" i="6"/>
  <c r="FB37" i="6"/>
  <c r="FD37" i="6"/>
  <c r="EW39" i="6"/>
  <c r="FE37" i="6"/>
  <c r="AB23" i="6" a="1"/>
  <c r="Y25" i="6" a="1"/>
  <c r="EX37" i="6" a="1"/>
  <c r="EV39" i="6" a="1"/>
  <c r="FC39" i="6" a="1"/>
  <c r="Y25" i="6" l="1"/>
  <c r="AB23" i="6"/>
  <c r="EX37" i="6"/>
  <c r="FH37" i="6" s="1" a="1"/>
  <c r="FH37" i="6" s="1"/>
  <c r="FG37" i="6" s="1"/>
  <c r="FC39" i="6"/>
  <c r="EV39" i="6"/>
  <c r="AC24" i="6" a="1"/>
  <c r="X23" i="6" a="1"/>
  <c r="Q31" i="6" a="1"/>
  <c r="R30" i="6" a="1"/>
  <c r="W29" i="6" a="1"/>
  <c r="EY39" i="6" a="1"/>
  <c r="FA39" i="6" a="1"/>
  <c r="W29" i="6" l="1"/>
  <c r="R30" i="6"/>
  <c r="Q31" i="6"/>
  <c r="V32" i="6" s="1" a="1"/>
  <c r="V32" i="6" s="1"/>
  <c r="X23" i="6"/>
  <c r="AC24" i="6"/>
  <c r="AB28" i="6" s="1"/>
  <c r="AC23" i="6"/>
  <c r="Z28" i="6"/>
  <c r="X28" i="6"/>
  <c r="FA39" i="6"/>
  <c r="EY39" i="6"/>
  <c r="AA25" i="6" a="1"/>
  <c r="FF39" i="6" a="1"/>
  <c r="X29" i="6" a="1"/>
  <c r="AA23" i="6" a="1"/>
  <c r="EW41" i="6" a="1"/>
  <c r="FE39" i="6" a="1"/>
  <c r="EZ39" i="6" a="1"/>
  <c r="FD39" i="6" a="1"/>
  <c r="EW41" i="6" l="1"/>
  <c r="AA23" i="6"/>
  <c r="X29" i="6"/>
  <c r="FF39" i="6"/>
  <c r="AA25" i="6"/>
  <c r="U34" i="6"/>
  <c r="S34" i="6"/>
  <c r="R29" i="6"/>
  <c r="R34" i="6"/>
  <c r="T31" i="6"/>
  <c r="Q34" i="6"/>
  <c r="R31" i="6"/>
  <c r="FD39" i="6"/>
  <c r="EZ39" i="6"/>
  <c r="FE39" i="6"/>
  <c r="EV41" i="6" a="1"/>
  <c r="R32" i="6" a="1"/>
  <c r="FB39" i="6" a="1"/>
  <c r="U30" i="6" a="1"/>
  <c r="FC41" i="6" a="1"/>
  <c r="AC29" i="6" a="1"/>
  <c r="EX39" i="6" a="1"/>
  <c r="AC29" i="6" l="1"/>
  <c r="FC41" i="6"/>
  <c r="U30" i="6"/>
  <c r="FB39" i="6"/>
  <c r="R32" i="6"/>
  <c r="EV41" i="6"/>
  <c r="EX39" i="6"/>
  <c r="EY41" i="6" a="1"/>
  <c r="V31" i="6" a="1"/>
  <c r="P36" i="6" a="1"/>
  <c r="Q30" i="6" a="1"/>
  <c r="FA41" i="6" a="1"/>
  <c r="FH39" i="6" l="1" a="1"/>
  <c r="FH39" i="6" s="1"/>
  <c r="FG39" i="6" s="1"/>
  <c r="Q30" i="6"/>
  <c r="P36" i="6"/>
  <c r="V31" i="6"/>
  <c r="U35" i="6" s="1"/>
  <c r="EY41" i="6"/>
  <c r="S35" i="6"/>
  <c r="Q35" i="6"/>
  <c r="V30" i="6"/>
  <c r="FA41" i="6"/>
  <c r="Q36" i="6" a="1"/>
  <c r="FF41" i="6" a="1"/>
  <c r="Y30" i="6" a="1"/>
  <c r="T30" i="6" a="1"/>
  <c r="EZ41" i="6" a="1"/>
  <c r="T32" i="6" a="1"/>
  <c r="X31" i="6" a="1"/>
  <c r="FE41" i="6" a="1"/>
  <c r="FD41" i="6" a="1"/>
  <c r="X31" i="6" l="1"/>
  <c r="AC32" i="6" s="1" a="1"/>
  <c r="AC32" i="6" s="1"/>
  <c r="T32" i="6"/>
  <c r="EZ41" i="6"/>
  <c r="T30" i="6"/>
  <c r="Y30" i="6"/>
  <c r="FF41" i="6"/>
  <c r="Q36" i="6"/>
  <c r="FD41" i="6"/>
  <c r="FE41" i="6"/>
  <c r="FB41" i="6" a="1"/>
  <c r="EX41" i="6" a="1"/>
  <c r="EW43" i="6" a="1"/>
  <c r="V36" i="6" a="1"/>
  <c r="V36" i="6" l="1"/>
  <c r="EW43" i="6"/>
  <c r="EX41" i="6"/>
  <c r="FH41" i="6" s="1" a="1"/>
  <c r="FH41" i="6" s="1"/>
  <c r="FG41" i="6" s="1"/>
  <c r="FB41" i="6"/>
  <c r="Y29" i="6"/>
  <c r="AB34" i="6"/>
  <c r="AA31" i="6"/>
  <c r="X34" i="6"/>
  <c r="Z34" i="6"/>
  <c r="Y31" i="6"/>
  <c r="Y34" i="6"/>
  <c r="FC43" i="6" a="1"/>
  <c r="AB30" i="6" a="1"/>
  <c r="Y32" i="6" a="1"/>
  <c r="EV43" i="6" a="1"/>
  <c r="EV43" i="6" l="1"/>
  <c r="Y32" i="6"/>
  <c r="AB30" i="6"/>
  <c r="FC43" i="6"/>
  <c r="R37" i="6" a="1"/>
  <c r="EY43" i="6" a="1"/>
  <c r="W36" i="6" a="1"/>
  <c r="Q38" i="6" a="1"/>
  <c r="AC31" i="6" a="1"/>
  <c r="X30" i="6" a="1"/>
  <c r="FA43" i="6" a="1"/>
  <c r="X30" i="6" l="1"/>
  <c r="AC31" i="6"/>
  <c r="AB35" i="6" s="1"/>
  <c r="Q38" i="6"/>
  <c r="V39" i="6" s="1" a="1"/>
  <c r="V39" i="6" s="1"/>
  <c r="W36" i="6"/>
  <c r="EY43" i="6"/>
  <c r="R37" i="6"/>
  <c r="AC30" i="6"/>
  <c r="X35" i="6"/>
  <c r="Z35" i="6"/>
  <c r="FA43" i="6"/>
  <c r="AA32" i="6" a="1"/>
  <c r="EZ43" i="6" a="1"/>
  <c r="FF43" i="6" a="1"/>
  <c r="X36" i="6" a="1"/>
  <c r="EW45" i="6" a="1"/>
  <c r="AA30" i="6" a="1"/>
  <c r="FD43" i="6" a="1"/>
  <c r="FE43" i="6" a="1"/>
  <c r="AA30" i="6" l="1"/>
  <c r="EW45" i="6"/>
  <c r="X36" i="6"/>
  <c r="FF43" i="6"/>
  <c r="EZ43" i="6"/>
  <c r="AA32" i="6"/>
  <c r="U41" i="6"/>
  <c r="S41" i="6"/>
  <c r="R36" i="6"/>
  <c r="R41" i="6"/>
  <c r="T38" i="6"/>
  <c r="Q41" i="6"/>
  <c r="R38" i="6"/>
  <c r="FE43" i="6"/>
  <c r="FD43" i="6"/>
  <c r="EX43" i="6" a="1"/>
  <c r="FC45" i="6" a="1"/>
  <c r="EV45" i="6" a="1"/>
  <c r="FB43" i="6" a="1"/>
  <c r="AC36" i="6" a="1"/>
  <c r="R39" i="6" a="1"/>
  <c r="R39" i="6" l="1"/>
  <c r="AC36" i="6"/>
  <c r="FB43" i="6"/>
  <c r="EV45" i="6"/>
  <c r="FC45" i="6"/>
  <c r="EX43" i="6"/>
  <c r="FH43" i="6" a="1"/>
  <c r="FH43" i="6" s="1"/>
  <c r="FG43" i="6" s="1"/>
  <c r="U37" i="6" a="1"/>
  <c r="AE1" i="6" a="1"/>
  <c r="Q37" i="6" a="1"/>
  <c r="V38" i="6" a="1"/>
  <c r="FA45" i="6" a="1"/>
  <c r="V38" i="6" l="1"/>
  <c r="U42" i="6" s="1"/>
  <c r="Q37" i="6"/>
  <c r="AE1" i="6"/>
  <c r="U37" i="6"/>
  <c r="S42" i="6"/>
  <c r="Q42" i="6"/>
  <c r="FA45" i="6"/>
  <c r="AF1" i="6" a="1"/>
  <c r="FF45" i="6" a="1"/>
  <c r="T39" i="6" a="1"/>
  <c r="EY45" i="6" a="1"/>
  <c r="X38" i="6" a="1"/>
  <c r="Y37" i="6" a="1"/>
  <c r="FE45" i="6" a="1"/>
  <c r="FD45" i="6" a="1"/>
  <c r="AF1" i="6" l="1"/>
  <c r="Y37" i="6"/>
  <c r="X38" i="6"/>
  <c r="AC39" i="6" s="1" a="1"/>
  <c r="AC39" i="6" s="1"/>
  <c r="EY45" i="6"/>
  <c r="T39" i="6"/>
  <c r="FF45" i="6"/>
  <c r="V37" i="6"/>
  <c r="FD45" i="6"/>
  <c r="FE45" i="6"/>
  <c r="AK1" i="6" a="1"/>
  <c r="EW47" i="6" a="1"/>
  <c r="T37" i="6" a="1"/>
  <c r="FB45" i="6" a="1"/>
  <c r="EZ45" i="6" a="1"/>
  <c r="AK1" i="6" l="1"/>
  <c r="EZ45" i="6"/>
  <c r="FB45" i="6"/>
  <c r="T37" i="6"/>
  <c r="EW47" i="6"/>
  <c r="Y41" i="6"/>
  <c r="X41" i="6"/>
  <c r="Y36" i="6"/>
  <c r="Z41" i="6"/>
  <c r="AB41" i="6"/>
  <c r="AA38" i="6"/>
  <c r="Y38" i="6"/>
  <c r="EV47" i="6" a="1"/>
  <c r="EX45" i="6" a="1"/>
  <c r="FC47" i="6" a="1"/>
  <c r="Y39" i="6" a="1"/>
  <c r="AB37" i="6" a="1"/>
  <c r="AB37" i="6" l="1"/>
  <c r="Y39" i="6"/>
  <c r="FC47" i="6"/>
  <c r="EX45" i="6"/>
  <c r="FH45" i="6" s="1" a="1"/>
  <c r="FH45" i="6" s="1"/>
  <c r="FG45" i="6" s="1"/>
  <c r="EV47" i="6"/>
  <c r="AF3" i="6" a="1"/>
  <c r="AL1" i="6" a="1"/>
  <c r="AG2" i="6" a="1"/>
  <c r="X37" i="6" a="1"/>
  <c r="AC38" i="6" a="1"/>
  <c r="R44" i="6" a="1"/>
  <c r="FA47" i="6" a="1"/>
  <c r="EY47" i="6" a="1"/>
  <c r="AG2" i="6" l="1"/>
  <c r="EW49" i="6" s="1"/>
  <c r="AL1" i="6"/>
  <c r="AF3" i="6"/>
  <c r="AK4" i="6" s="1" a="1"/>
  <c r="AK4" i="6" s="1"/>
  <c r="AC38" i="6"/>
  <c r="AB42" i="6" s="1"/>
  <c r="X37" i="6"/>
  <c r="Z42" i="6"/>
  <c r="X42" i="6"/>
  <c r="AC37" i="6"/>
  <c r="R44" i="6"/>
  <c r="EY47" i="6"/>
  <c r="FA47" i="6"/>
  <c r="AM1" i="6" a="1"/>
  <c r="FF47" i="6" a="1"/>
  <c r="AA37" i="6" a="1"/>
  <c r="AA39" i="6" a="1"/>
  <c r="EW26" i="6" a="1"/>
  <c r="FE47" i="6" a="1"/>
  <c r="EZ47" i="6" a="1"/>
  <c r="FD47" i="6" a="1"/>
  <c r="AM1" i="6" l="1"/>
  <c r="AJ6" i="6"/>
  <c r="AH6" i="6"/>
  <c r="AG1" i="6"/>
  <c r="AG6" i="6"/>
  <c r="FC49" i="6" s="1"/>
  <c r="AI3" i="6"/>
  <c r="AF6" i="6"/>
  <c r="AG3" i="6"/>
  <c r="AA39" i="6"/>
  <c r="AA37" i="6"/>
  <c r="FF47" i="6"/>
  <c r="EW26" i="6"/>
  <c r="R46" i="6" a="1"/>
  <c r="R46" i="6" s="1"/>
  <c r="U44" i="6" a="1"/>
  <c r="U44" i="6" s="1"/>
  <c r="FD47" i="6"/>
  <c r="EZ47" i="6"/>
  <c r="FE47" i="6"/>
  <c r="AR1" i="6" a="1"/>
  <c r="AG4" i="6" a="1"/>
  <c r="AJ2" i="6" a="1"/>
  <c r="AK3" i="6" a="1"/>
  <c r="FB47" i="6" a="1"/>
  <c r="FA26" i="6" a="1"/>
  <c r="EY26" i="6" a="1"/>
  <c r="EX47" i="6" a="1"/>
  <c r="AK3" i="6" l="1"/>
  <c r="AJ7" i="6" s="1"/>
  <c r="FF49" i="6" s="1"/>
  <c r="AJ2" i="6"/>
  <c r="AG4" i="6"/>
  <c r="AR1" i="6"/>
  <c r="EV49" i="6"/>
  <c r="FB47" i="6"/>
  <c r="EY26" i="6"/>
  <c r="FA26" i="6"/>
  <c r="V44" i="6"/>
  <c r="R43" i="6"/>
  <c r="T44" i="6" s="1" a="1"/>
  <c r="T44" i="6" s="1"/>
  <c r="U48" i="6"/>
  <c r="T45" i="6"/>
  <c r="S48" i="6"/>
  <c r="R45" i="6"/>
  <c r="R48" i="6"/>
  <c r="Q49" i="6"/>
  <c r="Q48" i="6"/>
  <c r="Q44" i="6" a="1"/>
  <c r="Q44" i="6" s="1"/>
  <c r="EX47" i="6"/>
  <c r="FA49" i="6"/>
  <c r="AE8" i="6" a="1"/>
  <c r="EX26" i="6" a="1"/>
  <c r="EZ26" i="6" a="1"/>
  <c r="FD26" i="6" a="1"/>
  <c r="FC26" i="6" a="1"/>
  <c r="EV26" i="6" a="1"/>
  <c r="T46" i="6" a="1"/>
  <c r="AE8" i="6" l="1"/>
  <c r="FH47" i="6" a="1"/>
  <c r="FH47" i="6" s="1"/>
  <c r="FG47" i="6" s="1"/>
  <c r="AH7" i="6"/>
  <c r="FE49" i="6" s="1"/>
  <c r="AF7" i="6"/>
  <c r="FD49" i="6" s="1"/>
  <c r="AK2" i="6"/>
  <c r="EZ49" i="6" s="1"/>
  <c r="T46" i="6"/>
  <c r="EV26" i="6"/>
  <c r="FC26" i="6"/>
  <c r="FD26" i="6"/>
  <c r="EZ26" i="6"/>
  <c r="EX26" i="6"/>
  <c r="U49" i="6" a="1"/>
  <c r="U49" i="6" s="1"/>
  <c r="S49" i="6"/>
  <c r="EY49" i="6"/>
  <c r="AF8" i="6" a="1"/>
  <c r="AN2" i="6" a="1"/>
  <c r="AM3" i="6" a="1"/>
  <c r="AF2" i="6" a="1"/>
  <c r="AI2" i="6" a="1"/>
  <c r="FB26" i="6" a="1"/>
  <c r="X43" i="6" a="1"/>
  <c r="FE26" i="6" a="1"/>
  <c r="FF26" i="6" a="1"/>
  <c r="AI2" i="6" l="1"/>
  <c r="EX49" i="6" s="1"/>
  <c r="AF2" i="6"/>
  <c r="AM3" i="6"/>
  <c r="AR4" i="6" s="1" a="1"/>
  <c r="AR4" i="6" s="1"/>
  <c r="AN2" i="6"/>
  <c r="EW51" i="6" s="1"/>
  <c r="AF8" i="6"/>
  <c r="FF26" i="6"/>
  <c r="FE26" i="6"/>
  <c r="X43" i="6"/>
  <c r="FB26" i="6"/>
  <c r="AI4" i="6" a="1"/>
  <c r="AK8" i="6" a="1"/>
  <c r="Y44" i="6" a="1"/>
  <c r="AK8" i="6" l="1"/>
  <c r="AI4" i="6"/>
  <c r="FB49" i="6" s="1"/>
  <c r="FH49" i="6" s="1" a="1"/>
  <c r="FH49" i="6" s="1"/>
  <c r="FG49" i="6" s="1"/>
  <c r="AM6" i="6"/>
  <c r="AN1" i="6"/>
  <c r="EV51" i="6" s="1"/>
  <c r="AP3" i="6"/>
  <c r="AN6" i="6"/>
  <c r="FC51" i="6" s="1"/>
  <c r="AQ6" i="6"/>
  <c r="AO6" i="6"/>
  <c r="AN3" i="6"/>
  <c r="FH26" i="6" a="1"/>
  <c r="FH26" i="6" s="1"/>
  <c r="FG26" i="6" s="1"/>
  <c r="Y44" i="6"/>
  <c r="AN4" i="6" a="1"/>
  <c r="AR3" i="6" a="1"/>
  <c r="EW28" i="6" a="1"/>
  <c r="AR3" i="6" l="1"/>
  <c r="AQ7" i="6" s="1"/>
  <c r="FF51" i="6" s="1"/>
  <c r="AN4" i="6"/>
  <c r="EW28" i="6"/>
  <c r="Y46" i="6" a="1"/>
  <c r="Y46" i="6" s="1"/>
  <c r="AB44" i="6" a="1"/>
  <c r="AB44" i="6" s="1"/>
  <c r="AL8" i="6" a="1"/>
  <c r="AF10" i="6" a="1"/>
  <c r="AQ2" i="6" a="1"/>
  <c r="AG9" i="6" a="1"/>
  <c r="FA28" i="6" a="1"/>
  <c r="EY28" i="6" a="1"/>
  <c r="AG9" i="6" l="1"/>
  <c r="AQ2" i="6"/>
  <c r="AF10" i="6"/>
  <c r="AK11" i="6" s="1" a="1"/>
  <c r="AK11" i="6" s="1"/>
  <c r="AL8" i="6"/>
  <c r="AM7" i="6"/>
  <c r="FD51" i="6" s="1"/>
  <c r="AO7" i="6"/>
  <c r="FE51" i="6" s="1"/>
  <c r="EY28" i="6"/>
  <c r="FA28" i="6"/>
  <c r="AC44" i="6"/>
  <c r="Y48" i="6"/>
  <c r="AA45" i="6"/>
  <c r="X49" i="6"/>
  <c r="X48" i="6"/>
  <c r="Y45" i="6"/>
  <c r="AB48" i="6"/>
  <c r="Y43" i="6"/>
  <c r="AA44" i="6" s="1" a="1"/>
  <c r="AA44" i="6" s="1"/>
  <c r="Z48" i="6"/>
  <c r="X44" i="6" a="1"/>
  <c r="X44" i="6" s="1"/>
  <c r="FA51" i="6"/>
  <c r="EW53" i="6" a="1"/>
  <c r="AM8" i="6" a="1"/>
  <c r="AM2" i="6" a="1"/>
  <c r="EV28" i="6" a="1"/>
  <c r="AA46" i="6" a="1"/>
  <c r="EX28" i="6" a="1"/>
  <c r="EZ28" i="6" a="1"/>
  <c r="FC28" i="6" a="1"/>
  <c r="FD28" i="6" a="1"/>
  <c r="AM2" i="6" l="1"/>
  <c r="AM8" i="6"/>
  <c r="EW53" i="6"/>
  <c r="AR2" i="6"/>
  <c r="EZ51" i="6" s="1"/>
  <c r="EY51" i="6"/>
  <c r="AJ13" i="6"/>
  <c r="AH13" i="6"/>
  <c r="AG8" i="6"/>
  <c r="AG13" i="6"/>
  <c r="AI10" i="6"/>
  <c r="AF13" i="6"/>
  <c r="AG10" i="6"/>
  <c r="FD28" i="6"/>
  <c r="FC28" i="6"/>
  <c r="EZ28" i="6"/>
  <c r="EX28" i="6"/>
  <c r="AA46" i="6"/>
  <c r="EV28" i="6"/>
  <c r="AB49" i="6" a="1"/>
  <c r="AB49" i="6" s="1"/>
  <c r="Z49" i="6"/>
  <c r="AP4" i="6" a="1"/>
  <c r="AJ9" i="6" a="1"/>
  <c r="AR8" i="6" a="1"/>
  <c r="EV53" i="6" a="1"/>
  <c r="FC53" i="6" a="1"/>
  <c r="AP2" i="6" a="1"/>
  <c r="AG11" i="6" a="1"/>
  <c r="Q50" i="6" a="1"/>
  <c r="FE28" i="6" a="1"/>
  <c r="FB28" i="6" a="1"/>
  <c r="FF28" i="6" a="1"/>
  <c r="AG11" i="6" l="1"/>
  <c r="AP2" i="6"/>
  <c r="EX51" i="6" s="1"/>
  <c r="FC53" i="6"/>
  <c r="EV53" i="6"/>
  <c r="AR8" i="6"/>
  <c r="AJ9" i="6"/>
  <c r="AP4" i="6"/>
  <c r="FB51" i="6" s="1"/>
  <c r="FF28" i="6"/>
  <c r="FB28" i="6"/>
  <c r="FE28" i="6"/>
  <c r="Q50" i="6"/>
  <c r="AK10" i="6" a="1"/>
  <c r="AE15" i="6" a="1"/>
  <c r="EY53" i="6" a="1"/>
  <c r="AF9" i="6" a="1"/>
  <c r="R51" i="6" a="1"/>
  <c r="FA53" i="6" a="1"/>
  <c r="FH51" i="6" l="1" a="1"/>
  <c r="FH51" i="6" s="1"/>
  <c r="FG51" i="6" s="1"/>
  <c r="AF9" i="6"/>
  <c r="EY53" i="6"/>
  <c r="AE15" i="6"/>
  <c r="AK10" i="6"/>
  <c r="AJ14" i="6" s="1"/>
  <c r="AK9" i="6"/>
  <c r="AH14" i="6"/>
  <c r="AF14" i="6"/>
  <c r="FH28" i="6" a="1"/>
  <c r="FH28" i="6" s="1"/>
  <c r="FG28" i="6" s="1"/>
  <c r="R51" i="6"/>
  <c r="FA53" i="6"/>
  <c r="AF15" i="6" a="1"/>
  <c r="AN9" i="6" a="1"/>
  <c r="FF53" i="6" a="1"/>
  <c r="EZ53" i="6" a="1"/>
  <c r="AM10" i="6" a="1"/>
  <c r="AI11" i="6" a="1"/>
  <c r="AI9" i="6" a="1"/>
  <c r="EW30" i="6" a="1"/>
  <c r="FD53" i="6" a="1"/>
  <c r="FE53" i="6" a="1"/>
  <c r="AI9" i="6" l="1"/>
  <c r="AI11" i="6"/>
  <c r="AM10" i="6"/>
  <c r="AR11" i="6" s="1" a="1"/>
  <c r="AR11" i="6" s="1"/>
  <c r="EZ53" i="6"/>
  <c r="FF53" i="6"/>
  <c r="AN9" i="6"/>
  <c r="AF15" i="6"/>
  <c r="EW30" i="6"/>
  <c r="R53" i="6" a="1"/>
  <c r="R53" i="6" s="1"/>
  <c r="U51" i="6" a="1"/>
  <c r="U51" i="6" s="1"/>
  <c r="FE53" i="6"/>
  <c r="FD53" i="6"/>
  <c r="EX53" i="6" a="1"/>
  <c r="EW55" i="6" a="1"/>
  <c r="FB53" i="6" a="1"/>
  <c r="AK15" i="6" a="1"/>
  <c r="FA30" i="6" a="1"/>
  <c r="EY30" i="6" a="1"/>
  <c r="AK15" i="6" l="1"/>
  <c r="FB53" i="6"/>
  <c r="EW55" i="6"/>
  <c r="EX53" i="6"/>
  <c r="AN13" i="6"/>
  <c r="AO13" i="6"/>
  <c r="AN10" i="6"/>
  <c r="AM13" i="6"/>
  <c r="AN8" i="6"/>
  <c r="AQ13" i="6"/>
  <c r="AP10" i="6"/>
  <c r="EY30" i="6"/>
  <c r="FA30" i="6"/>
  <c r="V51" i="6"/>
  <c r="R50" i="6"/>
  <c r="T51" i="6" s="1" a="1"/>
  <c r="T51" i="6" s="1"/>
  <c r="Q56" i="6"/>
  <c r="U55" i="6"/>
  <c r="T52" i="6"/>
  <c r="S55" i="6"/>
  <c r="R52" i="6"/>
  <c r="R55" i="6"/>
  <c r="Q55" i="6"/>
  <c r="Q51" i="6" a="1"/>
  <c r="Q51" i="6" s="1"/>
  <c r="FH53" i="6" a="1"/>
  <c r="FH53" i="6" s="1"/>
  <c r="FG53" i="6" s="1"/>
  <c r="AQ9" i="6" a="1"/>
  <c r="EV55" i="6" a="1"/>
  <c r="AN11" i="6" a="1"/>
  <c r="FC55" i="6" a="1"/>
  <c r="EZ30" i="6" a="1"/>
  <c r="FC30" i="6" a="1"/>
  <c r="EV30" i="6" a="1"/>
  <c r="FD30" i="6" a="1"/>
  <c r="T53" i="6" a="1"/>
  <c r="EX30" i="6" a="1"/>
  <c r="FC55" i="6" l="1"/>
  <c r="AN11" i="6"/>
  <c r="EV55" i="6"/>
  <c r="AQ9" i="6"/>
  <c r="EX30" i="6"/>
  <c r="T53" i="6"/>
  <c r="FD30" i="6"/>
  <c r="EV30" i="6"/>
  <c r="FC30" i="6"/>
  <c r="EZ30" i="6"/>
  <c r="U56" i="6" a="1"/>
  <c r="U56" i="6" s="1"/>
  <c r="S56" i="6"/>
  <c r="AM9" i="6" a="1"/>
  <c r="AL15" i="6" a="1"/>
  <c r="AG16" i="6" a="1"/>
  <c r="AR10" i="6" a="1"/>
  <c r="AF17" i="6" a="1"/>
  <c r="X50" i="6" a="1"/>
  <c r="FB30" i="6" a="1"/>
  <c r="FE30" i="6" a="1"/>
  <c r="FF30" i="6" a="1"/>
  <c r="FA55" i="6" a="1"/>
  <c r="EY55" i="6" a="1"/>
  <c r="AF17" i="6" l="1"/>
  <c r="AK18" i="6" s="1" a="1"/>
  <c r="AK18" i="6" s="1"/>
  <c r="AR10" i="6"/>
  <c r="AQ14" i="6" s="1"/>
  <c r="AG16" i="6"/>
  <c r="AL15" i="6"/>
  <c r="AM9" i="6"/>
  <c r="AR9" i="6"/>
  <c r="AO14" i="6"/>
  <c r="AM14" i="6"/>
  <c r="FF30" i="6"/>
  <c r="FE30" i="6"/>
  <c r="FB30" i="6"/>
  <c r="X50" i="6"/>
  <c r="EY55" i="6"/>
  <c r="FA55" i="6"/>
  <c r="FF55" i="6" a="1"/>
  <c r="EW57" i="6" a="1"/>
  <c r="AM15" i="6" a="1"/>
  <c r="AP11" i="6" a="1"/>
  <c r="AP9" i="6" a="1"/>
  <c r="Y51" i="6" a="1"/>
  <c r="EZ55" i="6" a="1"/>
  <c r="FD55" i="6" a="1"/>
  <c r="FE55" i="6" a="1"/>
  <c r="AP9" i="6" l="1"/>
  <c r="AP11" i="6"/>
  <c r="AM15" i="6"/>
  <c r="EW57" i="6"/>
  <c r="FF55" i="6"/>
  <c r="AG17" i="6"/>
  <c r="AJ20" i="6"/>
  <c r="AF20" i="6"/>
  <c r="AH20" i="6"/>
  <c r="AG15" i="6"/>
  <c r="AG20" i="6"/>
  <c r="AI17" i="6"/>
  <c r="FH30" i="6" a="1"/>
  <c r="FH30" i="6" s="1"/>
  <c r="FG30" i="6" s="1"/>
  <c r="Y51" i="6"/>
  <c r="FE55" i="6"/>
  <c r="FD55" i="6"/>
  <c r="EZ55" i="6"/>
  <c r="AR15" i="6" a="1"/>
  <c r="EV57" i="6" a="1"/>
  <c r="FB55" i="6" a="1"/>
  <c r="AJ16" i="6" a="1"/>
  <c r="FC57" i="6" a="1"/>
  <c r="AG18" i="6" a="1"/>
  <c r="EW32" i="6" a="1"/>
  <c r="EX55" i="6" a="1"/>
  <c r="AG18" i="6" l="1"/>
  <c r="FC57" i="6"/>
  <c r="AJ16" i="6"/>
  <c r="FB55" i="6"/>
  <c r="EV57" i="6"/>
  <c r="AR15" i="6"/>
  <c r="EW32" i="6"/>
  <c r="AB51" i="6" a="1"/>
  <c r="AB51" i="6" s="1"/>
  <c r="Y53" i="6" a="1"/>
  <c r="Y53" i="6" s="1"/>
  <c r="EX55" i="6"/>
  <c r="AE22" i="6" a="1"/>
  <c r="AF16" i="6" a="1"/>
  <c r="AK17" i="6" a="1"/>
  <c r="EY32" i="6" a="1"/>
  <c r="FA32" i="6" a="1"/>
  <c r="EY57" i="6" a="1"/>
  <c r="FA57" i="6" a="1"/>
  <c r="FH55" i="6" l="1" a="1"/>
  <c r="FH55" i="6" s="1"/>
  <c r="FG55" i="6" s="1"/>
  <c r="AK17" i="6"/>
  <c r="AJ21" i="6" s="1"/>
  <c r="AF16" i="6"/>
  <c r="AE22" i="6"/>
  <c r="AK16" i="6"/>
  <c r="AF21" i="6"/>
  <c r="AH21" i="6"/>
  <c r="FA32" i="6"/>
  <c r="EY32" i="6"/>
  <c r="AB55" i="6"/>
  <c r="Y50" i="6"/>
  <c r="Z55" i="6"/>
  <c r="Y55" i="6"/>
  <c r="Z56" i="6" s="1"/>
  <c r="Y52" i="6"/>
  <c r="AA52" i="6"/>
  <c r="X56" i="6"/>
  <c r="X55" i="6"/>
  <c r="X51" i="6" a="1"/>
  <c r="X51" i="6" s="1"/>
  <c r="AA51" i="6" a="1"/>
  <c r="AA51" i="6" s="1"/>
  <c r="AC51" i="6"/>
  <c r="EY57" i="6"/>
  <c r="FA57" i="6"/>
  <c r="FF57" i="6" a="1"/>
  <c r="AF22" i="6" a="1"/>
  <c r="AI18" i="6" a="1"/>
  <c r="AI16" i="6" a="1"/>
  <c r="AN16" i="6" a="1"/>
  <c r="AM17" i="6" a="1"/>
  <c r="FD32" i="6" a="1"/>
  <c r="AA53" i="6" a="1"/>
  <c r="EZ32" i="6" a="1"/>
  <c r="EV32" i="6" a="1"/>
  <c r="EX32" i="6" a="1"/>
  <c r="FC32" i="6" a="1"/>
  <c r="FE32" i="6" a="1"/>
  <c r="EZ57" i="6" a="1"/>
  <c r="FE57" i="6" a="1"/>
  <c r="FD57" i="6" a="1"/>
  <c r="AM17" i="6" l="1"/>
  <c r="AR18" i="6" s="1" a="1"/>
  <c r="AR18" i="6" s="1"/>
  <c r="AN16" i="6"/>
  <c r="AI16" i="6"/>
  <c r="AI18" i="6"/>
  <c r="AF22" i="6"/>
  <c r="FF57" i="6"/>
  <c r="FE32" i="6"/>
  <c r="FC32" i="6"/>
  <c r="EX32" i="6"/>
  <c r="EV32" i="6"/>
  <c r="EZ32" i="6"/>
  <c r="AA53" i="6"/>
  <c r="FD32" i="6"/>
  <c r="AB56" i="6" a="1"/>
  <c r="AB56" i="6" s="1"/>
  <c r="EZ57" i="6"/>
  <c r="FD57" i="6"/>
  <c r="FE57" i="6"/>
  <c r="AK22" i="6" a="1"/>
  <c r="EW59" i="6" a="1"/>
  <c r="FB57" i="6" a="1"/>
  <c r="FB32" i="6" a="1"/>
  <c r="Q57" i="6" a="1"/>
  <c r="FF32" i="6" a="1"/>
  <c r="EX57" i="6" a="1"/>
  <c r="FB57" i="6" l="1"/>
  <c r="EW59" i="6"/>
  <c r="AK22" i="6"/>
  <c r="AQ20" i="6"/>
  <c r="AP17" i="6"/>
  <c r="AO20" i="6"/>
  <c r="AN17" i="6"/>
  <c r="AN20" i="6"/>
  <c r="AM20" i="6"/>
  <c r="AN15" i="6"/>
  <c r="FF32" i="6"/>
  <c r="Q57" i="6"/>
  <c r="FB32" i="6"/>
  <c r="EX57" i="6"/>
  <c r="EV59" i="6" a="1"/>
  <c r="AQ16" i="6" a="1"/>
  <c r="AN18" i="6" a="1"/>
  <c r="FC59" i="6" a="1"/>
  <c r="R58" i="6" a="1"/>
  <c r="FH57" i="6" l="1" a="1"/>
  <c r="FH57" i="6" s="1"/>
  <c r="FG57" i="6" s="1"/>
  <c r="FC59" i="6"/>
  <c r="AN18" i="6"/>
  <c r="AQ16" i="6"/>
  <c r="EV59" i="6"/>
  <c r="FH32" i="6" a="1"/>
  <c r="FH32" i="6" s="1"/>
  <c r="FG32" i="6" s="1"/>
  <c r="R58" i="6"/>
  <c r="EY59" i="6" a="1"/>
  <c r="AL22" i="6" a="1"/>
  <c r="AR17" i="6" a="1"/>
  <c r="AG23" i="6" a="1"/>
  <c r="AM16" i="6" a="1"/>
  <c r="AF24" i="6" a="1"/>
  <c r="EW34" i="6" a="1"/>
  <c r="FA59" i="6" a="1"/>
  <c r="AF24" i="6" l="1"/>
  <c r="AK25" i="6" s="1" a="1"/>
  <c r="AK25" i="6" s="1"/>
  <c r="AM16" i="6"/>
  <c r="AG23" i="6"/>
  <c r="AR17" i="6"/>
  <c r="AQ21" i="6" s="1"/>
  <c r="AL22" i="6"/>
  <c r="EY59" i="6"/>
  <c r="AO21" i="6"/>
  <c r="AM21" i="6"/>
  <c r="AR16" i="6"/>
  <c r="EW34" i="6"/>
  <c r="R60" i="6" a="1"/>
  <c r="R60" i="6" s="1"/>
  <c r="U58" i="6" a="1"/>
  <c r="U58" i="6" s="1"/>
  <c r="FA59" i="6"/>
  <c r="EZ59" i="6" a="1"/>
  <c r="EW61" i="6" a="1"/>
  <c r="FF59" i="6" a="1"/>
  <c r="AP18" i="6" a="1"/>
  <c r="AP16" i="6" a="1"/>
  <c r="AM22" i="6" a="1"/>
  <c r="FA34" i="6" a="1"/>
  <c r="EY34" i="6" a="1"/>
  <c r="FD59" i="6" a="1"/>
  <c r="FE59" i="6" a="1"/>
  <c r="AM22" i="6" l="1"/>
  <c r="AP16" i="6"/>
  <c r="AP18" i="6"/>
  <c r="FF59" i="6"/>
  <c r="EW61" i="6"/>
  <c r="EZ59" i="6"/>
  <c r="AG27" i="6"/>
  <c r="AI24" i="6"/>
  <c r="AH27" i="6"/>
  <c r="AF27" i="6"/>
  <c r="AG24" i="6"/>
  <c r="AG22" i="6"/>
  <c r="AJ27" i="6"/>
  <c r="EY34" i="6"/>
  <c r="FA34" i="6"/>
  <c r="V58" i="6"/>
  <c r="R62" i="6"/>
  <c r="R59" i="6"/>
  <c r="Q63" i="6"/>
  <c r="Q62" i="6"/>
  <c r="R57" i="6"/>
  <c r="T58" i="6" s="1" a="1"/>
  <c r="T58" i="6" s="1"/>
  <c r="S62" i="6"/>
  <c r="U62" i="6"/>
  <c r="T59" i="6"/>
  <c r="Q58" i="6" a="1"/>
  <c r="Q58" i="6" s="1"/>
  <c r="FE59" i="6"/>
  <c r="FD59" i="6"/>
  <c r="AR22" i="6" a="1"/>
  <c r="EX59" i="6" a="1"/>
  <c r="FB59" i="6" a="1"/>
  <c r="AJ23" i="6" a="1"/>
  <c r="AG25" i="6" a="1"/>
  <c r="EV61" i="6" a="1"/>
  <c r="FC61" i="6" a="1"/>
  <c r="EV34" i="6" a="1"/>
  <c r="EZ34" i="6" a="1"/>
  <c r="EX34" i="6" a="1"/>
  <c r="FC34" i="6" a="1"/>
  <c r="FD34" i="6" a="1"/>
  <c r="T60" i="6" a="1"/>
  <c r="FC61" i="6" l="1"/>
  <c r="EV61" i="6"/>
  <c r="AG25" i="6"/>
  <c r="AJ23" i="6"/>
  <c r="FB59" i="6"/>
  <c r="EX59" i="6"/>
  <c r="AR22" i="6"/>
  <c r="T60" i="6"/>
  <c r="FD34" i="6"/>
  <c r="FC34" i="6"/>
  <c r="EX34" i="6"/>
  <c r="EZ34" i="6"/>
  <c r="EV34" i="6"/>
  <c r="S63" i="6"/>
  <c r="U63" i="6" a="1"/>
  <c r="U63" i="6" s="1"/>
  <c r="FH59" i="6" a="1"/>
  <c r="FH59" i="6" s="1"/>
  <c r="FG59" i="6" s="1"/>
  <c r="AF23" i="6" a="1"/>
  <c r="AK24" i="6" a="1"/>
  <c r="FB34" i="6" a="1"/>
  <c r="X57" i="6" a="1"/>
  <c r="FF34" i="6" a="1"/>
  <c r="FE34" i="6" a="1"/>
  <c r="EY61" i="6" a="1"/>
  <c r="FA61" i="6" a="1"/>
  <c r="AK24" i="6" l="1"/>
  <c r="AJ28" i="6" s="1"/>
  <c r="AF23" i="6"/>
  <c r="AK23" i="6"/>
  <c r="AH28" i="6"/>
  <c r="AF28" i="6"/>
  <c r="AE29" i="6" a="1"/>
  <c r="AE29" i="6" s="1"/>
  <c r="FE34" i="6"/>
  <c r="FF34" i="6"/>
  <c r="X57" i="6"/>
  <c r="FB34" i="6"/>
  <c r="EY61" i="6"/>
  <c r="FA61" i="6"/>
  <c r="FF61" i="6" a="1"/>
  <c r="AI25" i="6" a="1"/>
  <c r="AF29" i="6" a="1"/>
  <c r="AI23" i="6" a="1"/>
  <c r="AN23" i="6" a="1"/>
  <c r="AM24" i="6" a="1"/>
  <c r="Y58" i="6" a="1"/>
  <c r="EZ61" i="6" a="1"/>
  <c r="FE61" i="6" a="1"/>
  <c r="FD61" i="6" a="1"/>
  <c r="AM24" i="6" l="1"/>
  <c r="AR25" i="6" s="1" a="1"/>
  <c r="AR25" i="6" s="1"/>
  <c r="AN23" i="6"/>
  <c r="AI23" i="6"/>
  <c r="AF29" i="6"/>
  <c r="AI25" i="6"/>
  <c r="FF61" i="6"/>
  <c r="FH34" i="6" a="1"/>
  <c r="FH34" i="6" s="1"/>
  <c r="FG34" i="6" s="1"/>
  <c r="Y58" i="6"/>
  <c r="EZ61" i="6"/>
  <c r="FD61" i="6"/>
  <c r="FE61" i="6"/>
  <c r="AK29" i="6" a="1"/>
  <c r="EW63" i="6" a="1"/>
  <c r="FB61" i="6" a="1"/>
  <c r="EW36" i="6" a="1"/>
  <c r="EX61" i="6" a="1"/>
  <c r="FB61" i="6" l="1"/>
  <c r="EW63" i="6"/>
  <c r="AK29" i="6"/>
  <c r="AN22" i="6"/>
  <c r="AQ27" i="6"/>
  <c r="AP24" i="6"/>
  <c r="AO27" i="6"/>
  <c r="AN24" i="6"/>
  <c r="AN27" i="6"/>
  <c r="AM27" i="6"/>
  <c r="EW36" i="6"/>
  <c r="AB58" i="6" a="1"/>
  <c r="AB58" i="6" s="1"/>
  <c r="Y60" i="6" a="1"/>
  <c r="Y60" i="6" s="1"/>
  <c r="EX61" i="6"/>
  <c r="FC63" i="6" a="1"/>
  <c r="AN25" i="6" a="1"/>
  <c r="AQ23" i="6" a="1"/>
  <c r="EV63" i="6" a="1"/>
  <c r="EY36" i="6" a="1"/>
  <c r="FA36" i="6" a="1"/>
  <c r="FH61" i="6" l="1" a="1"/>
  <c r="FH61" i="6" s="1"/>
  <c r="FG61" i="6" s="1"/>
  <c r="EV63" i="6"/>
  <c r="AQ23" i="6"/>
  <c r="AN25" i="6"/>
  <c r="FC63" i="6"/>
  <c r="AG32" i="6" a="1"/>
  <c r="AG32" i="6" s="1"/>
  <c r="AP25" i="6" a="1"/>
  <c r="AP25" i="6" s="1"/>
  <c r="FA36" i="6"/>
  <c r="EY36" i="6"/>
  <c r="AB62" i="6"/>
  <c r="Y57" i="6"/>
  <c r="Z62" i="6"/>
  <c r="Y62" i="6"/>
  <c r="AA59" i="6"/>
  <c r="X63" i="6"/>
  <c r="X62" i="6"/>
  <c r="Y59" i="6"/>
  <c r="X58" i="6" a="1"/>
  <c r="X58" i="6" s="1"/>
  <c r="AC58" i="6"/>
  <c r="AA58" i="6" a="1"/>
  <c r="AA58" i="6" s="1"/>
  <c r="AG30" i="6" a="1"/>
  <c r="AM23" i="6" a="1"/>
  <c r="AF31" i="6" a="1"/>
  <c r="AL29" i="6" a="1"/>
  <c r="AR24" i="6" a="1"/>
  <c r="FD36" i="6" a="1"/>
  <c r="EV36" i="6" a="1"/>
  <c r="EZ36" i="6" a="1"/>
  <c r="EX36" i="6" a="1"/>
  <c r="AA60" i="6" a="1"/>
  <c r="FC36" i="6" a="1"/>
  <c r="EY63" i="6" a="1"/>
  <c r="FA63" i="6" a="1"/>
  <c r="AR24" i="6" l="1"/>
  <c r="AQ28" i="6" s="1"/>
  <c r="AL29" i="6"/>
  <c r="AF31" i="6"/>
  <c r="AK32" i="6" s="1" a="1"/>
  <c r="AK32" i="6" s="1"/>
  <c r="AM23" i="6"/>
  <c r="AG30" i="6"/>
  <c r="AO28" i="6"/>
  <c r="AM28" i="6"/>
  <c r="AF35" i="6"/>
  <c r="AR23" i="6"/>
  <c r="FC36" i="6"/>
  <c r="AA60" i="6"/>
  <c r="EX36" i="6"/>
  <c r="EZ36" i="6"/>
  <c r="EV36" i="6"/>
  <c r="FD36" i="6"/>
  <c r="Z63" i="6"/>
  <c r="AB63" i="6" a="1"/>
  <c r="AB63" i="6" s="1"/>
  <c r="FA63" i="6"/>
  <c r="EY63" i="6"/>
  <c r="FF63" i="6" a="1"/>
  <c r="AM29" i="6" a="1"/>
  <c r="AP23" i="6" a="1"/>
  <c r="EW65" i="6" a="1"/>
  <c r="Q64" i="6" a="1"/>
  <c r="FB36" i="6" a="1"/>
  <c r="FE36" i="6" a="1"/>
  <c r="FF36" i="6" a="1"/>
  <c r="FB63" i="6" a="1"/>
  <c r="FD63" i="6" a="1"/>
  <c r="FE63" i="6" a="1"/>
  <c r="EZ63" i="6" a="1"/>
  <c r="EW65" i="6" l="1"/>
  <c r="AP23" i="6"/>
  <c r="AM29" i="6"/>
  <c r="FF63" i="6"/>
  <c r="AJ34" i="6"/>
  <c r="AH34" i="6"/>
  <c r="AG29" i="6"/>
  <c r="AG34" i="6"/>
  <c r="AI31" i="6"/>
  <c r="AF34" i="6"/>
  <c r="AG31" i="6"/>
  <c r="FF36" i="6"/>
  <c r="FE36" i="6"/>
  <c r="FB36" i="6"/>
  <c r="Q64" i="6"/>
  <c r="EZ63" i="6"/>
  <c r="FE63" i="6"/>
  <c r="FD63" i="6"/>
  <c r="FB63" i="6"/>
  <c r="FC65" i="6" a="1"/>
  <c r="AR29" i="6" a="1"/>
  <c r="EV65" i="6" a="1"/>
  <c r="AJ30" i="6" a="1"/>
  <c r="R65" i="6" a="1"/>
  <c r="EX63" i="6" a="1"/>
  <c r="AJ30" i="6" l="1"/>
  <c r="EV65" i="6"/>
  <c r="AR29" i="6"/>
  <c r="FC65" i="6"/>
  <c r="AH35" i="6"/>
  <c r="FH36" i="6" a="1"/>
  <c r="FH36" i="6" s="1"/>
  <c r="FG36" i="6" s="1"/>
  <c r="R65" i="6"/>
  <c r="EX63" i="6"/>
  <c r="FH63" i="6" s="1" a="1"/>
  <c r="FH63" i="6" s="1"/>
  <c r="FG63" i="6" s="1"/>
  <c r="AE36" i="6" a="1"/>
  <c r="AK31" i="6" a="1"/>
  <c r="AF30" i="6" a="1"/>
  <c r="EW38" i="6" a="1"/>
  <c r="EY65" i="6" a="1"/>
  <c r="FA65" i="6" a="1"/>
  <c r="AF30" i="6" l="1"/>
  <c r="AK31" i="6"/>
  <c r="AJ35" i="6" s="1"/>
  <c r="AE36" i="6"/>
  <c r="AK30" i="6"/>
  <c r="EW38" i="6"/>
  <c r="FA65" i="6"/>
  <c r="EY65" i="6"/>
  <c r="AM31" i="6" a="1"/>
  <c r="FF65" i="6" a="1"/>
  <c r="AI32" i="6" a="1"/>
  <c r="AF36" i="6" a="1"/>
  <c r="AI30" i="6" a="1"/>
  <c r="AN30" i="6" a="1"/>
  <c r="R67" i="6" a="1"/>
  <c r="FD65" i="6" a="1"/>
  <c r="FE65" i="6" a="1"/>
  <c r="EZ65" i="6" a="1"/>
  <c r="AN30" i="6" l="1"/>
  <c r="AI30" i="6"/>
  <c r="AF36" i="6"/>
  <c r="AI32" i="6"/>
  <c r="FF65" i="6"/>
  <c r="AM31" i="6"/>
  <c r="AR32" i="6" s="1" a="1"/>
  <c r="AR32" i="6" s="1"/>
  <c r="R67" i="6"/>
  <c r="EZ65" i="6"/>
  <c r="FE65" i="6"/>
  <c r="FD65" i="6"/>
  <c r="EW67" i="6" a="1"/>
  <c r="AK36" i="6" a="1"/>
  <c r="FB65" i="6" a="1"/>
  <c r="FA38" i="6" a="1"/>
  <c r="EX65" i="6" a="1"/>
  <c r="FB65" i="6" l="1"/>
  <c r="AK36" i="6"/>
  <c r="EW67" i="6"/>
  <c r="AM34" i="6"/>
  <c r="AN29" i="6"/>
  <c r="AQ34" i="6"/>
  <c r="AP31" i="6"/>
  <c r="AO34" i="6"/>
  <c r="AN31" i="6"/>
  <c r="AN34" i="6"/>
  <c r="FA38" i="6"/>
  <c r="U69" i="6"/>
  <c r="T66" i="6"/>
  <c r="S69" i="6"/>
  <c r="R66" i="6"/>
  <c r="R69" i="6"/>
  <c r="S70" i="6" s="1"/>
  <c r="Q69" i="6"/>
  <c r="R64" i="6"/>
  <c r="EX65" i="6"/>
  <c r="FC67" i="6" a="1"/>
  <c r="AN32" i="6" a="1"/>
  <c r="EV67" i="6" a="1"/>
  <c r="EV38" i="6" a="1"/>
  <c r="Q65" i="6" a="1"/>
  <c r="FC38" i="6" a="1"/>
  <c r="FE38" i="6" a="1"/>
  <c r="FH65" i="6" l="1" a="1"/>
  <c r="FH65" i="6" s="1"/>
  <c r="FG65" i="6" s="1"/>
  <c r="EV67" i="6"/>
  <c r="AN32" i="6"/>
  <c r="FC67" i="6"/>
  <c r="FE38" i="6"/>
  <c r="FC38" i="6"/>
  <c r="Q65" i="6"/>
  <c r="EV38" i="6"/>
  <c r="Q70" i="6"/>
  <c r="AG37" i="6" a="1"/>
  <c r="AL36" i="6" a="1"/>
  <c r="AQ30" i="6" a="1"/>
  <c r="AR31" i="6" a="1"/>
  <c r="AM30" i="6" a="1"/>
  <c r="AF38" i="6" a="1"/>
  <c r="U65" i="6" a="1"/>
  <c r="T67" i="6" a="1"/>
  <c r="FD38" i="6" a="1"/>
  <c r="U70" i="6" a="1"/>
  <c r="X64" i="6" a="1"/>
  <c r="FA67" i="6" a="1"/>
  <c r="AF38" i="6" l="1"/>
  <c r="AK39" i="6" s="1" a="1"/>
  <c r="AK39" i="6" s="1"/>
  <c r="AM30" i="6"/>
  <c r="AR31" i="6"/>
  <c r="AQ35" i="6" s="1"/>
  <c r="AQ30" i="6"/>
  <c r="AL36" i="6"/>
  <c r="AG37" i="6"/>
  <c r="AM35" i="6"/>
  <c r="AO35" i="6"/>
  <c r="X64" i="6"/>
  <c r="U70" i="6"/>
  <c r="FD38" i="6"/>
  <c r="T67" i="6"/>
  <c r="U65" i="6"/>
  <c r="FA67" i="6"/>
  <c r="AP32" i="6" a="1"/>
  <c r="FF67" i="6" a="1"/>
  <c r="EY67" i="6" a="1"/>
  <c r="AM36" i="6" a="1"/>
  <c r="EW69" i="6" a="1"/>
  <c r="FF38" i="6" a="1"/>
  <c r="FB38" i="6" a="1"/>
  <c r="EY38" i="6" a="1"/>
  <c r="FE67" i="6" a="1"/>
  <c r="FD67" i="6" a="1"/>
  <c r="EW69" i="6" l="1"/>
  <c r="AM36" i="6"/>
  <c r="EY67" i="6"/>
  <c r="FF67" i="6"/>
  <c r="AP32" i="6"/>
  <c r="AJ41" i="6"/>
  <c r="AH41" i="6"/>
  <c r="AG36" i="6"/>
  <c r="AG41" i="6"/>
  <c r="AI38" i="6"/>
  <c r="AF41" i="6"/>
  <c r="AG38" i="6"/>
  <c r="AR30" i="6"/>
  <c r="EY38" i="6"/>
  <c r="FB38" i="6"/>
  <c r="FF38" i="6"/>
  <c r="V65" i="6"/>
  <c r="FD67" i="6"/>
  <c r="FE67" i="6"/>
  <c r="EV69" i="6" a="1"/>
  <c r="AR36" i="6" a="1"/>
  <c r="FC69" i="6" a="1"/>
  <c r="FB67" i="6" a="1"/>
  <c r="AG39" i="6" a="1"/>
  <c r="EZ67" i="6" a="1"/>
  <c r="AP30" i="6" a="1"/>
  <c r="AJ37" i="6" a="1"/>
  <c r="EZ38" i="6" a="1"/>
  <c r="T65" i="6" a="1"/>
  <c r="Y65" i="6" a="1"/>
  <c r="AJ37" i="6" l="1"/>
  <c r="AP30" i="6"/>
  <c r="EZ67" i="6"/>
  <c r="AG39" i="6"/>
  <c r="FB67" i="6"/>
  <c r="FC69" i="6"/>
  <c r="AR36" i="6"/>
  <c r="EV69" i="6"/>
  <c r="Y65" i="6"/>
  <c r="T65" i="6"/>
  <c r="EZ38" i="6"/>
  <c r="AF37" i="6" a="1"/>
  <c r="AT1" i="6" a="1"/>
  <c r="AK38" i="6" a="1"/>
  <c r="EX67" i="6" a="1"/>
  <c r="EW40" i="6" a="1"/>
  <c r="EX38" i="6" a="1"/>
  <c r="EY69" i="6" a="1"/>
  <c r="FA69" i="6" a="1"/>
  <c r="EX67" i="6" l="1"/>
  <c r="FH67" i="6" s="1" a="1"/>
  <c r="FH67" i="6" s="1"/>
  <c r="FG67" i="6" s="1"/>
  <c r="AK38" i="6"/>
  <c r="AJ42" i="6" s="1"/>
  <c r="AT1" i="6"/>
  <c r="AF37" i="6"/>
  <c r="AH42" i="6"/>
  <c r="AF42" i="6"/>
  <c r="AK37" i="6"/>
  <c r="EX38" i="6"/>
  <c r="FH38" i="6" s="1" a="1"/>
  <c r="FH38" i="6" s="1"/>
  <c r="FG38" i="6" s="1"/>
  <c r="EW40" i="6"/>
  <c r="EY69" i="6"/>
  <c r="FA69" i="6"/>
  <c r="AU1" i="6" a="1"/>
  <c r="FF69" i="6" a="1"/>
  <c r="AN37" i="6" a="1"/>
  <c r="AI37" i="6" a="1"/>
  <c r="AM38" i="6" a="1"/>
  <c r="AI39" i="6" a="1"/>
  <c r="Y67" i="6" a="1"/>
  <c r="EZ69" i="6" a="1"/>
  <c r="FD69" i="6" a="1"/>
  <c r="FE69" i="6" a="1"/>
  <c r="AU1" i="6" l="1"/>
  <c r="AI39" i="6"/>
  <c r="AM38" i="6"/>
  <c r="AR39" i="6" s="1" a="1"/>
  <c r="AR39" i="6" s="1"/>
  <c r="AI37" i="6"/>
  <c r="AN37" i="6"/>
  <c r="FF69" i="6"/>
  <c r="Y67" i="6"/>
  <c r="EZ69" i="6"/>
  <c r="FE69" i="6"/>
  <c r="FD69" i="6"/>
  <c r="AZ1" i="6" a="1"/>
  <c r="FB69" i="6" a="1"/>
  <c r="EW71" i="6" a="1"/>
  <c r="FA40" i="6" a="1"/>
  <c r="EX69" i="6" a="1"/>
  <c r="AZ1" i="6" l="1"/>
  <c r="EW71" i="6"/>
  <c r="FB69" i="6"/>
  <c r="AN41" i="6"/>
  <c r="AN38" i="6"/>
  <c r="AM41" i="6"/>
  <c r="AQ37" i="6" a="1"/>
  <c r="AQ37" i="6" s="1"/>
  <c r="AO41" i="6"/>
  <c r="AN36" i="6"/>
  <c r="AQ41" i="6"/>
  <c r="AP38" i="6"/>
  <c r="AN39" i="6" a="1"/>
  <c r="AN39" i="6" s="1"/>
  <c r="AP81" i="6" a="1"/>
  <c r="AP81" i="6" s="1"/>
  <c r="FA40" i="6"/>
  <c r="AB69" i="6"/>
  <c r="Y64" i="6"/>
  <c r="X69" i="6"/>
  <c r="Y66" i="6"/>
  <c r="Z69" i="6"/>
  <c r="Y69" i="6"/>
  <c r="AA66" i="6"/>
  <c r="EX69" i="6"/>
  <c r="EV71" i="6" a="1"/>
  <c r="FC71" i="6" a="1"/>
  <c r="FB72" i="6" a="1"/>
  <c r="X65" i="6" a="1"/>
  <c r="EV40" i="6" a="1"/>
  <c r="FC40" i="6" a="1"/>
  <c r="EY71" i="6" a="1"/>
  <c r="FH69" i="6" l="1" a="1"/>
  <c r="FH69" i="6" s="1"/>
  <c r="FG69" i="6" s="1"/>
  <c r="FB72" i="6"/>
  <c r="FC71" i="6"/>
  <c r="EV71" i="6"/>
  <c r="AR37" i="6"/>
  <c r="AP37" i="6" a="1"/>
  <c r="AP37" i="6" s="1"/>
  <c r="AP39" i="6" a="1"/>
  <c r="AP39" i="6" s="1"/>
  <c r="AO42" i="6"/>
  <c r="AM42" i="6"/>
  <c r="AM37" i="6" a="1"/>
  <c r="AM37" i="6" s="1"/>
  <c r="AR38" i="6" a="1"/>
  <c r="AR38" i="6" s="1"/>
  <c r="AQ42" i="6" s="1"/>
  <c r="FC40" i="6"/>
  <c r="EV40" i="6"/>
  <c r="X65" i="6"/>
  <c r="Z70" i="6"/>
  <c r="X70" i="6"/>
  <c r="EY71" i="6"/>
  <c r="AV2" i="6" a="1"/>
  <c r="AU3" i="6" a="1"/>
  <c r="BA1" i="6" a="1"/>
  <c r="FD40" i="6" a="1"/>
  <c r="AA67" i="6" a="1"/>
  <c r="FE40" i="6" a="1"/>
  <c r="AB70" i="6" a="1"/>
  <c r="Q71" i="6" a="1"/>
  <c r="AB65" i="6" a="1"/>
  <c r="EZ71" i="6" a="1"/>
  <c r="EX71" i="6" a="1"/>
  <c r="FA71" i="6" a="1"/>
  <c r="FF71" i="6" a="1"/>
  <c r="AV2" i="6" l="1"/>
  <c r="AW6" i="6" s="1"/>
  <c r="BA1" i="6"/>
  <c r="AU3" i="6"/>
  <c r="AZ4" i="6" s="1" a="1"/>
  <c r="AZ4" i="6" s="1"/>
  <c r="AB65" i="6"/>
  <c r="Q71" i="6"/>
  <c r="AB70" i="6"/>
  <c r="FE40" i="6"/>
  <c r="AA67" i="6"/>
  <c r="FD40" i="6"/>
  <c r="FF71" i="6"/>
  <c r="FA71" i="6"/>
  <c r="EX71" i="6"/>
  <c r="EZ71" i="6"/>
  <c r="BB1" i="6" a="1"/>
  <c r="EY40" i="6" a="1"/>
  <c r="R72" i="6" a="1"/>
  <c r="FF40" i="6" a="1"/>
  <c r="FB40" i="6" a="1"/>
  <c r="FD71" i="6" a="1"/>
  <c r="FE71" i="6" a="1"/>
  <c r="FB71" i="6" a="1"/>
  <c r="AV1" i="6" l="1"/>
  <c r="EV73" i="6" s="1"/>
  <c r="EW73" i="6"/>
  <c r="AV3" i="6"/>
  <c r="AU6" i="6"/>
  <c r="AX3" i="6"/>
  <c r="AX46" i="6" a="1"/>
  <c r="AX46" i="6" s="1"/>
  <c r="AV6" i="6"/>
  <c r="FC73" i="6" s="1"/>
  <c r="AY2" i="6" a="1"/>
  <c r="AY2" i="6" s="1"/>
  <c r="EY73" i="6" s="1"/>
  <c r="AY6" i="6"/>
  <c r="AV4" i="6" a="1"/>
  <c r="AV4" i="6" s="1"/>
  <c r="AZ3" i="6" a="1"/>
  <c r="AZ3" i="6" s="1"/>
  <c r="AY7" i="6" s="1"/>
  <c r="FF73" i="6" s="1"/>
  <c r="BB1" i="6"/>
  <c r="FB40" i="6"/>
  <c r="FF40" i="6"/>
  <c r="R72" i="6"/>
  <c r="EY40" i="6"/>
  <c r="AC65" i="6"/>
  <c r="FB71" i="6"/>
  <c r="FE71" i="6"/>
  <c r="FD71" i="6"/>
  <c r="FH71" i="6" a="1"/>
  <c r="FH71" i="6" s="1"/>
  <c r="FG71" i="6" s="1"/>
  <c r="FB74" i="6" a="1"/>
  <c r="BG1" i="6" a="1"/>
  <c r="EW42" i="6" a="1"/>
  <c r="EZ40" i="6" a="1"/>
  <c r="AA65" i="6" a="1"/>
  <c r="AW7" i="6" l="1"/>
  <c r="FE73" i="6" s="1"/>
  <c r="FB74" i="6"/>
  <c r="AU2" i="6" a="1"/>
  <c r="AU2" i="6" s="1"/>
  <c r="AU7" i="6"/>
  <c r="FD73" i="6" s="1"/>
  <c r="AZ2" i="6"/>
  <c r="EZ73" i="6" s="1"/>
  <c r="AX2" i="6" a="1"/>
  <c r="AX2" i="6" s="1"/>
  <c r="EX73" i="6" s="1"/>
  <c r="BG1" i="6"/>
  <c r="AA65" i="6"/>
  <c r="EZ40" i="6"/>
  <c r="EW42" i="6"/>
  <c r="U72" i="6" a="1"/>
  <c r="U72" i="6" s="1"/>
  <c r="R74" i="6" a="1"/>
  <c r="R74" i="6" s="1"/>
  <c r="FA73" i="6"/>
  <c r="AT8" i="6" a="1"/>
  <c r="EX40" i="6" a="1"/>
  <c r="FA42" i="6" a="1"/>
  <c r="EY42" i="6" a="1"/>
  <c r="FH73" i="6" l="1" a="1"/>
  <c r="FH73" i="6" s="1"/>
  <c r="FG73" i="6" s="1"/>
  <c r="AT8" i="6"/>
  <c r="AX4" i="6" a="1"/>
  <c r="AX4" i="6" s="1"/>
  <c r="FB73" i="6" s="1"/>
  <c r="EY42" i="6"/>
  <c r="FA42" i="6"/>
  <c r="EX40" i="6"/>
  <c r="FH40" i="6" s="1" a="1"/>
  <c r="FH40" i="6" s="1"/>
  <c r="FG40" i="6" s="1"/>
  <c r="V72" i="6"/>
  <c r="R71" i="6"/>
  <c r="T72" i="6" s="1" a="1"/>
  <c r="T72" i="6" s="1"/>
  <c r="U76" i="6"/>
  <c r="T73" i="6"/>
  <c r="S76" i="6"/>
  <c r="R73" i="6"/>
  <c r="R76" i="6"/>
  <c r="Q77" i="6"/>
  <c r="Q76" i="6"/>
  <c r="Q72" i="6" a="1"/>
  <c r="Q72" i="6" s="1"/>
  <c r="AU8" i="6" a="1"/>
  <c r="BC2" i="6" a="1"/>
  <c r="BB3" i="6" a="1"/>
  <c r="EX42" i="6" a="1"/>
  <c r="FC42" i="6" a="1"/>
  <c r="EZ42" i="6" a="1"/>
  <c r="FD42" i="6" a="1"/>
  <c r="EV42" i="6" a="1"/>
  <c r="T74" i="6" a="1"/>
  <c r="BB3" i="6" l="1"/>
  <c r="BC2" i="6"/>
  <c r="EW75" i="6" s="1"/>
  <c r="AU8" i="6"/>
  <c r="T74" i="6"/>
  <c r="EV42" i="6"/>
  <c r="FD42" i="6"/>
  <c r="EZ42" i="6"/>
  <c r="FC42" i="6"/>
  <c r="EX42" i="6"/>
  <c r="U77" i="6" a="1"/>
  <c r="U77" i="6" s="1"/>
  <c r="S77" i="6"/>
  <c r="AZ8" i="6" a="1"/>
  <c r="FB42" i="6" a="1"/>
  <c r="X71" i="6" a="1"/>
  <c r="FE42" i="6" a="1"/>
  <c r="FF42" i="6" a="1"/>
  <c r="AZ8" i="6" l="1"/>
  <c r="BF2" i="6" a="1"/>
  <c r="BF2" i="6" s="1"/>
  <c r="EY75" i="6" s="1"/>
  <c r="BC1" i="6"/>
  <c r="BG3" i="6" s="1" a="1"/>
  <c r="BG3" i="6" s="1"/>
  <c r="BC4" i="6" a="1"/>
  <c r="BC4" i="6" s="1"/>
  <c r="BE3" i="6"/>
  <c r="BF6" i="6"/>
  <c r="BD6" i="6"/>
  <c r="BC3" i="6"/>
  <c r="BC6" i="6"/>
  <c r="FC75" i="6" s="1"/>
  <c r="BB6" i="6"/>
  <c r="BE46" i="6" a="1"/>
  <c r="BE46" i="6" s="1"/>
  <c r="BG4" i="6" a="1"/>
  <c r="BG4" i="6" s="1"/>
  <c r="BB44" i="6" a="1"/>
  <c r="BB44" i="6" s="1"/>
  <c r="FF42" i="6"/>
  <c r="FE42" i="6"/>
  <c r="X71" i="6"/>
  <c r="FB42" i="6"/>
  <c r="FB76" i="6" a="1"/>
  <c r="Y72" i="6" a="1"/>
  <c r="EV75" i="6" l="1"/>
  <c r="FB76" i="6"/>
  <c r="BB7" i="6"/>
  <c r="FD75" i="6" s="1"/>
  <c r="BB2" i="6" a="1"/>
  <c r="BB2" i="6" s="1"/>
  <c r="BD7" i="6"/>
  <c r="FE75" i="6" s="1"/>
  <c r="BE2" i="6" a="1"/>
  <c r="BE2" i="6" s="1"/>
  <c r="EX75" i="6" s="1"/>
  <c r="BG2" i="6"/>
  <c r="EZ75" i="6" s="1"/>
  <c r="BF7" i="6"/>
  <c r="FF75" i="6" s="1"/>
  <c r="BE4" i="6" a="1"/>
  <c r="BE4" i="6" s="1"/>
  <c r="FB75" i="6" s="1"/>
  <c r="FH42" i="6" a="1"/>
  <c r="FH42" i="6" s="1"/>
  <c r="FG42" i="6" s="1"/>
  <c r="Y72" i="6"/>
  <c r="FA75" i="6"/>
  <c r="AU10" i="6" a="1"/>
  <c r="BA8" i="6" a="1"/>
  <c r="AV9" i="6" a="1"/>
  <c r="EW44" i="6" a="1"/>
  <c r="AV9" i="6" l="1"/>
  <c r="BA8" i="6"/>
  <c r="AU10" i="6"/>
  <c r="FH75" i="6" a="1"/>
  <c r="FH75" i="6" s="1"/>
  <c r="FG75" i="6" s="1"/>
  <c r="EW44" i="6"/>
  <c r="Y74" i="6" a="1"/>
  <c r="Y74" i="6" s="1"/>
  <c r="AB72" i="6" a="1"/>
  <c r="AB72" i="6" s="1"/>
  <c r="EW77" i="6" a="1"/>
  <c r="BB8" i="6" a="1"/>
  <c r="FA44" i="6" a="1"/>
  <c r="EY44" i="6" a="1"/>
  <c r="BB8" i="6" l="1"/>
  <c r="EW77" i="6"/>
  <c r="AZ11" i="6" a="1"/>
  <c r="AZ11" i="6" s="1"/>
  <c r="AU51" i="6" a="1"/>
  <c r="AU51" i="6" s="1"/>
  <c r="AY13" i="6"/>
  <c r="AW13" i="6"/>
  <c r="AY9" i="6" a="1"/>
  <c r="AY9" i="6" s="1"/>
  <c r="AV8" i="6"/>
  <c r="AV13" i="6"/>
  <c r="AX10" i="6"/>
  <c r="AU13" i="6"/>
  <c r="AV10" i="6"/>
  <c r="AX53" i="6" a="1"/>
  <c r="AX53" i="6" s="1"/>
  <c r="AV11" i="6" a="1"/>
  <c r="AV11" i="6" s="1"/>
  <c r="EY44" i="6"/>
  <c r="FA44" i="6"/>
  <c r="AC72" i="6"/>
  <c r="Y76" i="6"/>
  <c r="AA73" i="6"/>
  <c r="X77" i="6"/>
  <c r="X76" i="6"/>
  <c r="Y73" i="6"/>
  <c r="AB76" i="6"/>
  <c r="Y71" i="6"/>
  <c r="AA72" i="6" s="1" a="1"/>
  <c r="AA72" i="6" s="1"/>
  <c r="Z76" i="6"/>
  <c r="X72" i="6" a="1"/>
  <c r="X72" i="6" s="1"/>
  <c r="BG8" i="6" a="1"/>
  <c r="FC77" i="6" a="1"/>
  <c r="FB78" i="6" a="1"/>
  <c r="EV77" i="6" a="1"/>
  <c r="EY77" i="6" a="1"/>
  <c r="EX44" i="6" a="1"/>
  <c r="EZ44" i="6" a="1"/>
  <c r="EV44" i="6" a="1"/>
  <c r="AA74" i="6" a="1"/>
  <c r="FC44" i="6" a="1"/>
  <c r="FD44" i="6" a="1"/>
  <c r="FA77" i="6" a="1"/>
  <c r="EY77" i="6" l="1"/>
  <c r="EV77" i="6"/>
  <c r="FB78" i="6"/>
  <c r="FC77" i="6"/>
  <c r="BG8" i="6"/>
  <c r="AX9" i="6" a="1"/>
  <c r="AX9" i="6" s="1"/>
  <c r="AZ9" i="6"/>
  <c r="AZ10" i="6" a="1"/>
  <c r="AZ10" i="6" s="1"/>
  <c r="AY14" i="6" s="1"/>
  <c r="AU9" i="6" a="1"/>
  <c r="AU9" i="6" s="1"/>
  <c r="AW14" i="6"/>
  <c r="AU14" i="6"/>
  <c r="FD44" i="6"/>
  <c r="FC44" i="6"/>
  <c r="AA74" i="6"/>
  <c r="EV44" i="6"/>
  <c r="EZ44" i="6"/>
  <c r="EX44" i="6"/>
  <c r="Z77" i="6"/>
  <c r="AB77" i="6" a="1"/>
  <c r="AB77" i="6" s="1"/>
  <c r="FA77" i="6"/>
  <c r="EZ77" i="6" a="1"/>
  <c r="FF77" i="6" a="1"/>
  <c r="AT15" i="6" a="1"/>
  <c r="EX77" i="6" a="1"/>
  <c r="Q78" i="6" a="1"/>
  <c r="FB44" i="6" a="1"/>
  <c r="FE44" i="6" a="1"/>
  <c r="FF44" i="6" a="1"/>
  <c r="FD77" i="6" a="1"/>
  <c r="FE77" i="6" a="1"/>
  <c r="EX77" i="6" l="1"/>
  <c r="AT15" i="6"/>
  <c r="FF77" i="6"/>
  <c r="EZ77" i="6"/>
  <c r="AX11" i="6" a="1"/>
  <c r="AX11" i="6" s="1"/>
  <c r="FF44" i="6"/>
  <c r="FE44" i="6"/>
  <c r="FB44" i="6"/>
  <c r="Q78" i="6"/>
  <c r="FE77" i="6"/>
  <c r="FD77" i="6"/>
  <c r="FB77" i="6" a="1"/>
  <c r="AU15" i="6" a="1"/>
  <c r="BC9" i="6" a="1"/>
  <c r="BB10" i="6" a="1"/>
  <c r="R79" i="6" a="1"/>
  <c r="FH77" i="6" l="1" a="1"/>
  <c r="FH77" i="6" s="1"/>
  <c r="FG77" i="6" s="1"/>
  <c r="BB10" i="6"/>
  <c r="BC9" i="6"/>
  <c r="AU15" i="6"/>
  <c r="FB77" i="6"/>
  <c r="FH44" i="6" a="1"/>
  <c r="FH44" i="6" s="1"/>
  <c r="FG44" i="6" s="1"/>
  <c r="R79" i="6"/>
  <c r="EW79" i="6" a="1"/>
  <c r="AZ15" i="6" a="1"/>
  <c r="EW46" i="6" a="1"/>
  <c r="AZ15" i="6" l="1"/>
  <c r="EW79" i="6"/>
  <c r="BC13" i="6"/>
  <c r="BF9" i="6" a="1"/>
  <c r="BF9" i="6" s="1"/>
  <c r="BD13" i="6"/>
  <c r="BC8" i="6"/>
  <c r="BB13" i="6"/>
  <c r="BC10" i="6"/>
  <c r="BF13" i="6"/>
  <c r="BE10" i="6"/>
  <c r="BC11" i="6" a="1"/>
  <c r="BC11" i="6" s="1"/>
  <c r="BE53" i="6" a="1"/>
  <c r="BE53" i="6" s="1"/>
  <c r="BG11" i="6" a="1"/>
  <c r="BG11" i="6" s="1"/>
  <c r="BB51" i="6" a="1"/>
  <c r="BB51" i="6" s="1"/>
  <c r="EW46" i="6"/>
  <c r="R81" i="6" a="1"/>
  <c r="R81" i="6" s="1"/>
  <c r="U79" i="6" a="1"/>
  <c r="U79" i="6" s="1"/>
  <c r="FC79" i="6" a="1"/>
  <c r="EY79" i="6" a="1"/>
  <c r="EV79" i="6" a="1"/>
  <c r="FB80" i="6" a="1"/>
  <c r="FA46" i="6" a="1"/>
  <c r="EY46" i="6" a="1"/>
  <c r="FA79" i="6" a="1"/>
  <c r="FB80" i="6" l="1"/>
  <c r="EV79" i="6"/>
  <c r="EY79" i="6"/>
  <c r="FC79" i="6"/>
  <c r="BB9" i="6" a="1"/>
  <c r="BB9" i="6" s="1"/>
  <c r="BG10" i="6" a="1"/>
  <c r="BG10" i="6" s="1"/>
  <c r="BF14" i="6" s="1"/>
  <c r="BG9" i="6"/>
  <c r="BE9" i="6" a="1"/>
  <c r="BE9" i="6" s="1"/>
  <c r="BB14" i="6"/>
  <c r="BD14" i="6"/>
  <c r="BE11" i="6" a="1"/>
  <c r="BE11" i="6" s="1"/>
  <c r="EY46" i="6"/>
  <c r="FA46" i="6"/>
  <c r="V79" i="6"/>
  <c r="R78" i="6"/>
  <c r="T79" i="6" s="1" a="1"/>
  <c r="T79" i="6" s="1"/>
  <c r="U83" i="6"/>
  <c r="T80" i="6"/>
  <c r="S83" i="6"/>
  <c r="R80" i="6"/>
  <c r="R83" i="6"/>
  <c r="S84" i="6" s="1"/>
  <c r="Q84" i="6"/>
  <c r="Q83" i="6"/>
  <c r="Q79" i="6" a="1"/>
  <c r="Q79" i="6" s="1"/>
  <c r="FA79" i="6"/>
  <c r="AV16" i="6" a="1"/>
  <c r="AU17" i="6" a="1"/>
  <c r="FF79" i="6" a="1"/>
  <c r="BA15" i="6" a="1"/>
  <c r="EZ79" i="6" a="1"/>
  <c r="FB79" i="6" a="1"/>
  <c r="EX79" i="6" a="1"/>
  <c r="X78" i="6" a="1"/>
  <c r="FC46" i="6" a="1"/>
  <c r="EX46" i="6" a="1"/>
  <c r="EZ46" i="6" a="1"/>
  <c r="FD46" i="6" a="1"/>
  <c r="EV46" i="6" a="1"/>
  <c r="T81" i="6" a="1"/>
  <c r="FE46" i="6" a="1"/>
  <c r="FD79" i="6" a="1"/>
  <c r="FE79" i="6" a="1"/>
  <c r="EX79" i="6" l="1"/>
  <c r="FB79" i="6"/>
  <c r="EZ79" i="6"/>
  <c r="BA15" i="6"/>
  <c r="FF79" i="6"/>
  <c r="AU17" i="6"/>
  <c r="AV16" i="6"/>
  <c r="X78" i="6"/>
  <c r="FE46" i="6"/>
  <c r="T81" i="6"/>
  <c r="EV46" i="6"/>
  <c r="FD46" i="6"/>
  <c r="EZ46" i="6"/>
  <c r="EX46" i="6"/>
  <c r="FC46" i="6"/>
  <c r="U84" i="6" a="1"/>
  <c r="U84" i="6" s="1"/>
  <c r="FE79" i="6"/>
  <c r="FD79" i="6"/>
  <c r="BB15" i="6" a="1"/>
  <c r="EW81" i="6" a="1"/>
  <c r="FB46" i="6" a="1"/>
  <c r="FF46" i="6" a="1"/>
  <c r="FH79" i="6" l="1" a="1"/>
  <c r="FH79" i="6" s="1"/>
  <c r="FG79" i="6" s="1"/>
  <c r="EW81" i="6"/>
  <c r="BB15" i="6"/>
  <c r="AU20" i="6"/>
  <c r="AV17" i="6"/>
  <c r="AY20" i="6"/>
  <c r="AW20" i="6"/>
  <c r="AY16" i="6" a="1"/>
  <c r="AY16" i="6" s="1"/>
  <c r="AV15" i="6"/>
  <c r="AV20" i="6"/>
  <c r="AX17" i="6"/>
  <c r="AX60" i="6" a="1"/>
  <c r="AX60" i="6" s="1"/>
  <c r="AV18" i="6" a="1"/>
  <c r="AV18" i="6" s="1"/>
  <c r="AZ18" i="6" a="1"/>
  <c r="AZ18" i="6" s="1"/>
  <c r="AU58" i="6" a="1"/>
  <c r="AU58" i="6" s="1"/>
  <c r="FF46" i="6"/>
  <c r="FB46" i="6"/>
  <c r="FC81" i="6" a="1"/>
  <c r="BG15" i="6" a="1"/>
  <c r="FB82" i="6" a="1"/>
  <c r="EY81" i="6" a="1"/>
  <c r="EV81" i="6" a="1"/>
  <c r="Y79" i="6" a="1"/>
  <c r="FA81" i="6" a="1"/>
  <c r="EV81" i="6" l="1"/>
  <c r="EY81" i="6"/>
  <c r="FB82" i="6"/>
  <c r="BG15" i="6"/>
  <c r="FC81" i="6"/>
  <c r="AU21" i="6"/>
  <c r="AW21" i="6"/>
  <c r="AU16" i="6" a="1"/>
  <c r="AU16" i="6" s="1"/>
  <c r="AZ17" i="6" a="1"/>
  <c r="AZ17" i="6" s="1"/>
  <c r="AY21" i="6" s="1"/>
  <c r="AZ16" i="6"/>
  <c r="AX16" i="6" a="1"/>
  <c r="AX16" i="6" s="1"/>
  <c r="FH46" i="6" a="1"/>
  <c r="FH46" i="6" s="1"/>
  <c r="FG46" i="6" s="1"/>
  <c r="Y79" i="6"/>
  <c r="FA81" i="6"/>
  <c r="FF81" i="6" a="1"/>
  <c r="EX81" i="6" a="1"/>
  <c r="EZ81" i="6" a="1"/>
  <c r="AT22" i="6" a="1"/>
  <c r="EW48" i="6" a="1"/>
  <c r="FE81" i="6" a="1"/>
  <c r="FD81" i="6" a="1"/>
  <c r="AT22" i="6" l="1"/>
  <c r="EZ81" i="6"/>
  <c r="EX81" i="6"/>
  <c r="FF81" i="6"/>
  <c r="AX18" i="6" a="1"/>
  <c r="AX18" i="6" s="1"/>
  <c r="EW48" i="6"/>
  <c r="AB79" i="6" a="1"/>
  <c r="AB79" i="6" s="1"/>
  <c r="Y81" i="6" a="1"/>
  <c r="Y81" i="6" s="1"/>
  <c r="FD81" i="6"/>
  <c r="FE81" i="6"/>
  <c r="AU22" i="6" a="1"/>
  <c r="BC16" i="6" a="1"/>
  <c r="FB81" i="6" a="1"/>
  <c r="BB17" i="6" a="1"/>
  <c r="EY48" i="6" a="1"/>
  <c r="FA48" i="6" a="1"/>
  <c r="FH81" i="6" l="1" a="1"/>
  <c r="FH81" i="6" s="1"/>
  <c r="FG81" i="6" s="1"/>
  <c r="BB17" i="6"/>
  <c r="FB81" i="6"/>
  <c r="BC16" i="6"/>
  <c r="AU22" i="6"/>
  <c r="FA48" i="6"/>
  <c r="EY48" i="6"/>
  <c r="AB83" i="6"/>
  <c r="Y78" i="6"/>
  <c r="Z83" i="6"/>
  <c r="Y83" i="6"/>
  <c r="Z84" i="6" s="1"/>
  <c r="AA80" i="6"/>
  <c r="X84" i="6"/>
  <c r="X83" i="6"/>
  <c r="Y80" i="6"/>
  <c r="X79" i="6" a="1"/>
  <c r="X79" i="6" s="1"/>
  <c r="AA79" i="6" a="1"/>
  <c r="AA79" i="6" s="1"/>
  <c r="AC79" i="6"/>
  <c r="EW83" i="6" a="1"/>
  <c r="AZ22" i="6" a="1"/>
  <c r="AF43" i="6" a="1"/>
  <c r="FD48" i="6" a="1"/>
  <c r="AA81" i="6" a="1"/>
  <c r="EV48" i="6" a="1"/>
  <c r="EX48" i="6" a="1"/>
  <c r="EZ48" i="6" a="1"/>
  <c r="FC48" i="6" a="1"/>
  <c r="FE48" i="6" a="1"/>
  <c r="AZ22" i="6" l="1"/>
  <c r="EW83" i="6"/>
  <c r="BF20" i="6"/>
  <c r="BE17" i="6"/>
  <c r="BD20" i="6"/>
  <c r="BC17" i="6"/>
  <c r="BC20" i="6"/>
  <c r="BB20" i="6"/>
  <c r="BF16" i="6" a="1"/>
  <c r="BF16" i="6" s="1"/>
  <c r="BC15" i="6"/>
  <c r="BC18" i="6" a="1"/>
  <c r="BC18" i="6" s="1"/>
  <c r="BE60" i="6" a="1"/>
  <c r="BE60" i="6" s="1"/>
  <c r="BG18" i="6" a="1"/>
  <c r="BG18" i="6" s="1"/>
  <c r="BB58" i="6" a="1"/>
  <c r="BB58" i="6" s="1"/>
  <c r="AF43" i="6"/>
  <c r="FE48" i="6"/>
  <c r="FC48" i="6"/>
  <c r="EZ48" i="6"/>
  <c r="EX48" i="6"/>
  <c r="EV48" i="6"/>
  <c r="AA81" i="6"/>
  <c r="FD48" i="6"/>
  <c r="AB84" i="6" a="1"/>
  <c r="AB84" i="6" s="1"/>
  <c r="EY83" i="6" a="1"/>
  <c r="EV83" i="6" a="1"/>
  <c r="FB84" i="6" a="1"/>
  <c r="FC83" i="6" a="1"/>
  <c r="AG44" i="6" a="1"/>
  <c r="FB48" i="6" a="1"/>
  <c r="FF48" i="6" a="1"/>
  <c r="FA83" i="6" a="1"/>
  <c r="FC83" i="6" l="1"/>
  <c r="FB84" i="6"/>
  <c r="EV83" i="6"/>
  <c r="EY83" i="6"/>
  <c r="BD21" i="6"/>
  <c r="BB21" i="6"/>
  <c r="BB16" i="6" a="1"/>
  <c r="BB16" i="6" s="1"/>
  <c r="BG17" i="6" a="1"/>
  <c r="BG17" i="6" s="1"/>
  <c r="BF21" i="6" s="1"/>
  <c r="BG16" i="6"/>
  <c r="BE16" i="6" a="1"/>
  <c r="BE16" i="6" s="1"/>
  <c r="BE18" i="6" a="1"/>
  <c r="BE18" i="6" s="1"/>
  <c r="AG44" i="6"/>
  <c r="FF48" i="6"/>
  <c r="FB48" i="6"/>
  <c r="FA83" i="6"/>
  <c r="EZ83" i="6" a="1"/>
  <c r="EX83" i="6" a="1"/>
  <c r="BA22" i="6" a="1"/>
  <c r="AU24" i="6" a="1"/>
  <c r="AV23" i="6" a="1"/>
  <c r="FB83" i="6" a="1"/>
  <c r="FF83" i="6" a="1"/>
  <c r="EW50" i="6" a="1"/>
  <c r="FE83" i="6" a="1"/>
  <c r="FD83" i="6" a="1"/>
  <c r="FF83" i="6" l="1"/>
  <c r="FB83" i="6"/>
  <c r="AV23" i="6"/>
  <c r="AU24" i="6"/>
  <c r="BA22" i="6"/>
  <c r="EX83" i="6"/>
  <c r="EZ83" i="6"/>
  <c r="FH48" i="6" a="1"/>
  <c r="FH48" i="6" s="1"/>
  <c r="FG48" i="6" s="1"/>
  <c r="EW50" i="6"/>
  <c r="AG46" i="6" a="1"/>
  <c r="AG46" i="6" s="1"/>
  <c r="AJ44" i="6" a="1"/>
  <c r="AJ44" i="6" s="1"/>
  <c r="FD83" i="6"/>
  <c r="FE83" i="6"/>
  <c r="EW85" i="6" a="1"/>
  <c r="BB22" i="6" a="1"/>
  <c r="FA50" i="6" a="1"/>
  <c r="EY50" i="6" a="1"/>
  <c r="FH83" i="6" l="1" a="1"/>
  <c r="FH83" i="6" s="1"/>
  <c r="FG83" i="6" s="1"/>
  <c r="BB22" i="6"/>
  <c r="EW85" i="6"/>
  <c r="AV27" i="6"/>
  <c r="AX24" i="6"/>
  <c r="AU27" i="6"/>
  <c r="AV24" i="6"/>
  <c r="AY23" i="6" a="1"/>
  <c r="AY23" i="6" s="1"/>
  <c r="AW27" i="6"/>
  <c r="AV22" i="6"/>
  <c r="AY27" i="6"/>
  <c r="AX67" i="6" a="1"/>
  <c r="AX67" i="6" s="1"/>
  <c r="AV25" i="6" a="1"/>
  <c r="AV25" i="6" s="1"/>
  <c r="AZ25" i="6" a="1"/>
  <c r="AZ25" i="6" s="1"/>
  <c r="AU65" i="6" a="1"/>
  <c r="AU65" i="6" s="1"/>
  <c r="EY50" i="6"/>
  <c r="FA50" i="6"/>
  <c r="AK44" i="6"/>
  <c r="AJ48" i="6"/>
  <c r="AG48" i="6"/>
  <c r="AF49" i="6"/>
  <c r="AG43" i="6"/>
  <c r="AI44" i="6" s="1" a="1"/>
  <c r="AI44" i="6" s="1"/>
  <c r="AI45" i="6"/>
  <c r="AF48" i="6"/>
  <c r="AH48" i="6"/>
  <c r="AG45" i="6"/>
  <c r="AF44" i="6" a="1"/>
  <c r="AF44" i="6" s="1"/>
  <c r="BG22" i="6" a="1"/>
  <c r="EV85" i="6" a="1"/>
  <c r="FC85" i="6" a="1"/>
  <c r="FB86" i="6" a="1"/>
  <c r="EY85" i="6" a="1"/>
  <c r="EV50" i="6" a="1"/>
  <c r="FC50" i="6" a="1"/>
  <c r="EX50" i="6" a="1"/>
  <c r="EZ50" i="6" a="1"/>
  <c r="AI46" i="6" a="1"/>
  <c r="FD50" i="6" a="1"/>
  <c r="FA85" i="6" a="1"/>
  <c r="EY85" i="6" l="1"/>
  <c r="FB86" i="6"/>
  <c r="FC85" i="6"/>
  <c r="EV85" i="6"/>
  <c r="BG22" i="6"/>
  <c r="AX23" i="6" a="1"/>
  <c r="AX23" i="6" s="1"/>
  <c r="AZ23" i="6"/>
  <c r="AW28" i="6"/>
  <c r="AU28" i="6"/>
  <c r="AU23" i="6" a="1"/>
  <c r="AU23" i="6" s="1"/>
  <c r="AZ24" i="6" a="1"/>
  <c r="AZ24" i="6" s="1"/>
  <c r="AY28" i="6" s="1"/>
  <c r="FD50" i="6"/>
  <c r="AI46" i="6"/>
  <c r="EZ50" i="6"/>
  <c r="EX50" i="6"/>
  <c r="FC50" i="6"/>
  <c r="EV50" i="6"/>
  <c r="AH49" i="6"/>
  <c r="AJ49" i="6" a="1"/>
  <c r="AJ49" i="6" s="1"/>
  <c r="FA85" i="6"/>
  <c r="AT29" i="6" a="1"/>
  <c r="EX85" i="6" a="1"/>
  <c r="FF85" i="6" a="1"/>
  <c r="EZ85" i="6" a="1"/>
  <c r="FB50" i="6" a="1"/>
  <c r="AM43" i="6" a="1"/>
  <c r="FE50" i="6" a="1"/>
  <c r="FF50" i="6" a="1"/>
  <c r="FD85" i="6" a="1"/>
  <c r="FE85" i="6" a="1"/>
  <c r="EZ85" i="6" l="1"/>
  <c r="FF85" i="6"/>
  <c r="EX85" i="6"/>
  <c r="AT29" i="6"/>
  <c r="AX25" i="6" a="1"/>
  <c r="AX25" i="6" s="1"/>
  <c r="FF50" i="6"/>
  <c r="FE50" i="6"/>
  <c r="AM43" i="6"/>
  <c r="FB50" i="6"/>
  <c r="FE85" i="6"/>
  <c r="FD85" i="6"/>
  <c r="FB85" i="6" a="1"/>
  <c r="AU29" i="6" a="1"/>
  <c r="BB24" i="6" a="1"/>
  <c r="BC23" i="6" a="1"/>
  <c r="AN44" i="6" a="1"/>
  <c r="FH85" i="6" l="1" a="1"/>
  <c r="FH85" i="6" s="1"/>
  <c r="FG85" i="6" s="1"/>
  <c r="BC23" i="6"/>
  <c r="BB24" i="6"/>
  <c r="AU29" i="6"/>
  <c r="FB85" i="6"/>
  <c r="FH50" i="6" a="1"/>
  <c r="FH50" i="6" s="1"/>
  <c r="FG50" i="6" s="1"/>
  <c r="AN44" i="6"/>
  <c r="EW87" i="6" a="1"/>
  <c r="AZ29" i="6" a="1"/>
  <c r="EW52" i="6" a="1"/>
  <c r="AZ29" i="6" l="1"/>
  <c r="EW87" i="6"/>
  <c r="BG25" i="6" a="1"/>
  <c r="BG25" i="6" s="1"/>
  <c r="BB65" i="6" a="1"/>
  <c r="BB65" i="6" s="1"/>
  <c r="BC22" i="6"/>
  <c r="BF27" i="6"/>
  <c r="BE24" i="6"/>
  <c r="BD27" i="6"/>
  <c r="BC24" i="6"/>
  <c r="BC27" i="6"/>
  <c r="BB27" i="6"/>
  <c r="BF23" i="6" a="1"/>
  <c r="BF23" i="6" s="1"/>
  <c r="BE67" i="6" a="1"/>
  <c r="BE67" i="6" s="1"/>
  <c r="BC25" i="6" a="1"/>
  <c r="BC25" i="6" s="1"/>
  <c r="EW52" i="6"/>
  <c r="AN46" i="6" a="1"/>
  <c r="AN46" i="6" s="1"/>
  <c r="AQ44" i="6" a="1"/>
  <c r="AQ44" i="6" s="1"/>
  <c r="FB88" i="6" a="1"/>
  <c r="FC87" i="6" a="1"/>
  <c r="EY87" i="6" a="1"/>
  <c r="EV87" i="6" a="1"/>
  <c r="FA52" i="6" a="1"/>
  <c r="EY52" i="6" a="1"/>
  <c r="FA87" i="6" a="1"/>
  <c r="EV87" i="6" l="1"/>
  <c r="EY87" i="6"/>
  <c r="FC87" i="6"/>
  <c r="FB88" i="6"/>
  <c r="BG24" i="6" a="1"/>
  <c r="BG24" i="6" s="1"/>
  <c r="BF28" i="6" s="1"/>
  <c r="BB23" i="6" a="1"/>
  <c r="BB23" i="6" s="1"/>
  <c r="BD28" i="6"/>
  <c r="BB28" i="6"/>
  <c r="BE23" i="6" a="1"/>
  <c r="BE23" i="6" s="1"/>
  <c r="BG23" i="6"/>
  <c r="BE25" i="6" a="1"/>
  <c r="BE25" i="6" s="1"/>
  <c r="EY52" i="6"/>
  <c r="FA52" i="6"/>
  <c r="AR44" i="6"/>
  <c r="AN48" i="6"/>
  <c r="AP45" i="6"/>
  <c r="AM49" i="6"/>
  <c r="AM48" i="6"/>
  <c r="AN45" i="6"/>
  <c r="AQ48" i="6"/>
  <c r="AN43" i="6"/>
  <c r="AP44" i="6" s="1" a="1"/>
  <c r="AP44" i="6" s="1"/>
  <c r="AO48" i="6"/>
  <c r="AM44" i="6" a="1"/>
  <c r="AM44" i="6" s="1"/>
  <c r="FA87" i="6"/>
  <c r="EX87" i="6" a="1"/>
  <c r="EZ87" i="6" a="1"/>
  <c r="AV30" i="6" a="1"/>
  <c r="AU31" i="6" a="1"/>
  <c r="FF87" i="6" a="1"/>
  <c r="FB87" i="6" a="1"/>
  <c r="BA29" i="6" a="1"/>
  <c r="EV52" i="6" a="1"/>
  <c r="EX52" i="6" a="1"/>
  <c r="EZ52" i="6" a="1"/>
  <c r="FC52" i="6" a="1"/>
  <c r="AP46" i="6" a="1"/>
  <c r="FD52" i="6" a="1"/>
  <c r="FD87" i="6" a="1"/>
  <c r="FE87" i="6" a="1"/>
  <c r="BA29" i="6" l="1"/>
  <c r="FB87" i="6"/>
  <c r="FF87" i="6"/>
  <c r="AU31" i="6"/>
  <c r="AV30" i="6"/>
  <c r="EZ87" i="6"/>
  <c r="EX87" i="6"/>
  <c r="FD52" i="6"/>
  <c r="AP46" i="6"/>
  <c r="FC52" i="6"/>
  <c r="EZ52" i="6"/>
  <c r="EX52" i="6"/>
  <c r="EV52" i="6"/>
  <c r="AO49" i="6"/>
  <c r="AQ49" i="6" a="1"/>
  <c r="AQ49" i="6" s="1"/>
  <c r="FH87" i="6" a="1"/>
  <c r="FH87" i="6" s="1"/>
  <c r="FG87" i="6" s="1"/>
  <c r="FE87" i="6"/>
  <c r="FD87" i="6"/>
  <c r="BB29" i="6" a="1"/>
  <c r="EW89" i="6" a="1"/>
  <c r="FB52" i="6" a="1"/>
  <c r="AF50" i="6" a="1"/>
  <c r="FE52" i="6" a="1"/>
  <c r="FF52" i="6" a="1"/>
  <c r="EW89" i="6" l="1"/>
  <c r="BB29" i="6"/>
  <c r="AY34" i="6"/>
  <c r="AW34" i="6"/>
  <c r="AY30" i="6" a="1"/>
  <c r="AY30" i="6" s="1"/>
  <c r="AV29" i="6"/>
  <c r="AV34" i="6"/>
  <c r="AX31" i="6"/>
  <c r="AU34" i="6"/>
  <c r="AV31" i="6"/>
  <c r="AX74" i="6" a="1"/>
  <c r="AX74" i="6" s="1"/>
  <c r="AV32" i="6" a="1"/>
  <c r="AV32" i="6" s="1"/>
  <c r="AZ32" i="6" a="1"/>
  <c r="AZ32" i="6" s="1"/>
  <c r="AU72" i="6" a="1"/>
  <c r="AU72" i="6" s="1"/>
  <c r="FF52" i="6"/>
  <c r="FE52" i="6"/>
  <c r="AF50" i="6"/>
  <c r="FB52" i="6"/>
  <c r="BG29" i="6" a="1"/>
  <c r="FB90" i="6" a="1"/>
  <c r="EV89" i="6" a="1"/>
  <c r="FC89" i="6" a="1"/>
  <c r="EY89" i="6" a="1"/>
  <c r="AG51" i="6" a="1"/>
  <c r="FA89" i="6" a="1"/>
  <c r="EY89" i="6" l="1"/>
  <c r="FC89" i="6"/>
  <c r="EV89" i="6"/>
  <c r="FB90" i="6"/>
  <c r="BG29" i="6"/>
  <c r="AX30" i="6" a="1"/>
  <c r="AX30" i="6" s="1"/>
  <c r="AZ30" i="6"/>
  <c r="AW35" i="6"/>
  <c r="AU35" i="6"/>
  <c r="AZ31" i="6" a="1"/>
  <c r="AZ31" i="6" s="1"/>
  <c r="AY35" i="6" s="1"/>
  <c r="AU30" i="6" a="1"/>
  <c r="AU30" i="6" s="1"/>
  <c r="FH52" i="6" a="1"/>
  <c r="FH52" i="6" s="1"/>
  <c r="FG52" i="6" s="1"/>
  <c r="AG51" i="6"/>
  <c r="FA89" i="6"/>
  <c r="FF89" i="6" a="1"/>
  <c r="AT36" i="6" a="1"/>
  <c r="EX89" i="6" a="1"/>
  <c r="EZ89" i="6" a="1"/>
  <c r="EW54" i="6" a="1"/>
  <c r="FE89" i="6" a="1"/>
  <c r="FD89" i="6" a="1"/>
  <c r="EZ89" i="6" l="1"/>
  <c r="EX89" i="6"/>
  <c r="AT36" i="6"/>
  <c r="FF89" i="6"/>
  <c r="AX32" i="6" a="1"/>
  <c r="AX32" i="6" s="1"/>
  <c r="EW54" i="6"/>
  <c r="AG53" i="6" a="1"/>
  <c r="AG53" i="6" s="1"/>
  <c r="AJ51" i="6" a="1"/>
  <c r="AJ51" i="6" s="1"/>
  <c r="FD89" i="6"/>
  <c r="FE89" i="6"/>
  <c r="BC30" i="6" a="1"/>
  <c r="AU36" i="6" a="1"/>
  <c r="FB89" i="6" a="1"/>
  <c r="BB31" i="6" a="1"/>
  <c r="FA54" i="6" a="1"/>
  <c r="EY54" i="6" a="1"/>
  <c r="FH89" i="6" l="1" a="1"/>
  <c r="FH89" i="6" s="1"/>
  <c r="FG89" i="6" s="1"/>
  <c r="BB31" i="6"/>
  <c r="FB89" i="6"/>
  <c r="AU36" i="6"/>
  <c r="BC30" i="6"/>
  <c r="EY54" i="6"/>
  <c r="FA54" i="6"/>
  <c r="AK51" i="6"/>
  <c r="AI52" i="6"/>
  <c r="AG52" i="6"/>
  <c r="AJ55" i="6"/>
  <c r="AH55" i="6"/>
  <c r="AG50" i="6"/>
  <c r="AI51" i="6" s="1" a="1"/>
  <c r="AI51" i="6" s="1"/>
  <c r="AG55" i="6"/>
  <c r="AF56" i="6"/>
  <c r="AF55" i="6"/>
  <c r="AF51" i="6" a="1"/>
  <c r="AF51" i="6" s="1"/>
  <c r="AZ36" i="6" a="1"/>
  <c r="EW91" i="6" a="1"/>
  <c r="EV54" i="6" a="1"/>
  <c r="FC54" i="6" a="1"/>
  <c r="FD54" i="6" a="1"/>
  <c r="AI53" i="6" a="1"/>
  <c r="EX54" i="6" a="1"/>
  <c r="EZ54" i="6" a="1"/>
  <c r="EW91" i="6" l="1"/>
  <c r="AZ36" i="6"/>
  <c r="BF30" i="6" a="1"/>
  <c r="BF30" i="6" s="1"/>
  <c r="BC29" i="6"/>
  <c r="BB34" i="6"/>
  <c r="BF34" i="6"/>
  <c r="BE31" i="6"/>
  <c r="BD34" i="6"/>
  <c r="BC31" i="6"/>
  <c r="BC34" i="6"/>
  <c r="BC32" i="6" a="1"/>
  <c r="BC32" i="6" s="1"/>
  <c r="BE74" i="6" a="1"/>
  <c r="BE74" i="6" s="1"/>
  <c r="BG32" i="6" a="1"/>
  <c r="BG32" i="6" s="1"/>
  <c r="BB72" i="6" a="1"/>
  <c r="BB72" i="6" s="1"/>
  <c r="EZ54" i="6"/>
  <c r="EX54" i="6"/>
  <c r="AI53" i="6"/>
  <c r="FD54" i="6"/>
  <c r="FC54" i="6"/>
  <c r="EV54" i="6"/>
  <c r="AH56" i="6"/>
  <c r="AJ56" i="6" a="1"/>
  <c r="AJ56" i="6" s="1"/>
  <c r="FC91" i="6" a="1"/>
  <c r="EY91" i="6" a="1"/>
  <c r="EV91" i="6" a="1"/>
  <c r="FB92" i="6" a="1"/>
  <c r="AM50" i="6" a="1"/>
  <c r="FB54" i="6" a="1"/>
  <c r="FE54" i="6" a="1"/>
  <c r="FF54" i="6" a="1"/>
  <c r="FA91" i="6" a="1"/>
  <c r="FB92" i="6" l="1"/>
  <c r="EV91" i="6"/>
  <c r="EY91" i="6"/>
  <c r="FC91" i="6"/>
  <c r="BB35" i="6"/>
  <c r="BD35" i="6"/>
  <c r="BE32" i="6" a="1"/>
  <c r="BE32" i="6" s="1"/>
  <c r="BG31" i="6" a="1"/>
  <c r="BG31" i="6" s="1"/>
  <c r="BF35" i="6" s="1"/>
  <c r="BB30" i="6" a="1"/>
  <c r="BB30" i="6" s="1"/>
  <c r="BE30" i="6" a="1"/>
  <c r="BE30" i="6" s="1"/>
  <c r="BG30" i="6"/>
  <c r="FF54" i="6"/>
  <c r="FE54" i="6"/>
  <c r="FB54" i="6"/>
  <c r="AM50" i="6"/>
  <c r="FA91" i="6"/>
  <c r="AV37" i="6" a="1"/>
  <c r="BA36" i="6" a="1"/>
  <c r="EX91" i="6" a="1"/>
  <c r="FB91" i="6" a="1"/>
  <c r="FF91" i="6" a="1"/>
  <c r="EZ91" i="6" a="1"/>
  <c r="AU38" i="6" a="1"/>
  <c r="AN51" i="6" a="1"/>
  <c r="FE91" i="6" a="1"/>
  <c r="FD91" i="6" a="1"/>
  <c r="AU38" i="6" l="1"/>
  <c r="EZ91" i="6"/>
  <c r="FF91" i="6"/>
  <c r="FB91" i="6"/>
  <c r="EX91" i="6"/>
  <c r="BA36" i="6"/>
  <c r="AV37" i="6"/>
  <c r="FH54" i="6" a="1"/>
  <c r="FH54" i="6" s="1"/>
  <c r="FG54" i="6" s="1"/>
  <c r="AN51" i="6"/>
  <c r="FD91" i="6"/>
  <c r="FE91" i="6"/>
  <c r="EW93" i="6" a="1"/>
  <c r="BB36" i="6" a="1"/>
  <c r="EW56" i="6" a="1"/>
  <c r="FH91" i="6" l="1" a="1"/>
  <c r="FH91" i="6" s="1"/>
  <c r="FG91" i="6" s="1"/>
  <c r="BB36" i="6"/>
  <c r="EW93" i="6"/>
  <c r="AY41" i="6"/>
  <c r="AW41" i="6"/>
  <c r="AY37" i="6" a="1"/>
  <c r="AY37" i="6" s="1"/>
  <c r="AV36" i="6"/>
  <c r="AV41" i="6"/>
  <c r="AX38" i="6"/>
  <c r="AU41" i="6"/>
  <c r="AV38" i="6"/>
  <c r="AX81" i="6" a="1"/>
  <c r="AX81" i="6" s="1"/>
  <c r="AV39" i="6" a="1"/>
  <c r="AV39" i="6" s="1"/>
  <c r="AZ39" i="6" a="1"/>
  <c r="AZ39" i="6" s="1"/>
  <c r="AU79" i="6" a="1"/>
  <c r="AU79" i="6" s="1"/>
  <c r="EW56" i="6"/>
  <c r="AQ51" i="6" a="1"/>
  <c r="AQ51" i="6" s="1"/>
  <c r="AN53" i="6" a="1"/>
  <c r="AN53" i="6" s="1"/>
  <c r="BG36" i="6" a="1"/>
  <c r="FB94" i="6" a="1"/>
  <c r="EY93" i="6" a="1"/>
  <c r="EV93" i="6" a="1"/>
  <c r="FC93" i="6" a="1"/>
  <c r="EY56" i="6" a="1"/>
  <c r="FA56" i="6" a="1"/>
  <c r="FA93" i="6" a="1"/>
  <c r="FC93" i="6" l="1"/>
  <c r="EV93" i="6"/>
  <c r="EY93" i="6"/>
  <c r="FB94" i="6"/>
  <c r="BG36" i="6"/>
  <c r="AU37" i="6" a="1"/>
  <c r="AU37" i="6" s="1"/>
  <c r="AZ38" i="6" a="1"/>
  <c r="AZ38" i="6" s="1"/>
  <c r="AY42" i="6" s="1"/>
  <c r="AZ37" i="6"/>
  <c r="AX37" i="6" a="1"/>
  <c r="AX37" i="6" s="1"/>
  <c r="AW42" i="6"/>
  <c r="AU42" i="6"/>
  <c r="FA56" i="6"/>
  <c r="EY56" i="6"/>
  <c r="AQ55" i="6"/>
  <c r="AN50" i="6"/>
  <c r="AO55" i="6"/>
  <c r="AN55" i="6"/>
  <c r="AP52" i="6"/>
  <c r="AM56" i="6"/>
  <c r="AM55" i="6"/>
  <c r="AN52" i="6"/>
  <c r="AM51" i="6" a="1"/>
  <c r="AM51" i="6" s="1"/>
  <c r="AP51" i="6" a="1"/>
  <c r="AP51" i="6" s="1"/>
  <c r="AR51" i="6"/>
  <c r="FA93" i="6"/>
  <c r="EX93" i="6" a="1"/>
  <c r="BI1" i="6" a="1"/>
  <c r="FF93" i="6" a="1"/>
  <c r="EZ93" i="6" a="1"/>
  <c r="FD56" i="6" a="1"/>
  <c r="AP53" i="6" a="1"/>
  <c r="EV56" i="6" a="1"/>
  <c r="EX56" i="6" a="1"/>
  <c r="EZ56" i="6" a="1"/>
  <c r="FC56" i="6" a="1"/>
  <c r="FD93" i="6" a="1"/>
  <c r="FE93" i="6" a="1"/>
  <c r="EZ93" i="6" l="1"/>
  <c r="FF93" i="6"/>
  <c r="BI1" i="6"/>
  <c r="EX93" i="6"/>
  <c r="AX39" i="6" a="1"/>
  <c r="AX39" i="6" s="1"/>
  <c r="FC56" i="6"/>
  <c r="EZ56" i="6"/>
  <c r="EX56" i="6"/>
  <c r="EV56" i="6"/>
  <c r="AP53" i="6"/>
  <c r="FD56" i="6"/>
  <c r="AO56" i="6"/>
  <c r="AQ56" i="6" a="1"/>
  <c r="AQ56" i="6" s="1"/>
  <c r="FH93" i="6" a="1"/>
  <c r="FH93" i="6" s="1"/>
  <c r="FG93" i="6" s="1"/>
  <c r="FE93" i="6"/>
  <c r="FD93" i="6"/>
  <c r="BJ1" i="6" a="1"/>
  <c r="FB93" i="6" a="1"/>
  <c r="BB38" i="6" a="1"/>
  <c r="BC37" i="6" a="1"/>
  <c r="AF57" i="6" a="1"/>
  <c r="FB56" i="6" a="1"/>
  <c r="FE56" i="6" a="1"/>
  <c r="FF56" i="6" a="1"/>
  <c r="BJ1" i="6" l="1"/>
  <c r="BC37" i="6"/>
  <c r="BB38" i="6"/>
  <c r="FB93" i="6"/>
  <c r="FF56" i="6"/>
  <c r="FE56" i="6"/>
  <c r="FB56" i="6"/>
  <c r="AF57" i="6"/>
  <c r="BO1" i="6" a="1"/>
  <c r="EW95" i="6" a="1"/>
  <c r="AG58" i="6" a="1"/>
  <c r="BO1" i="6" l="1"/>
  <c r="BE39" i="6" s="1" a="1"/>
  <c r="BE39" i="6" s="1"/>
  <c r="EW95" i="6"/>
  <c r="BG39" i="6" a="1"/>
  <c r="BG39" i="6" s="1"/>
  <c r="BB79" i="6" a="1"/>
  <c r="BB79" i="6" s="1"/>
  <c r="BC41" i="6"/>
  <c r="BB41" i="6"/>
  <c r="BF37" i="6" a="1"/>
  <c r="BF37" i="6" s="1"/>
  <c r="BD41" i="6"/>
  <c r="BC36" i="6"/>
  <c r="AV44" i="6" s="1" a="1"/>
  <c r="AV44" i="6" s="1"/>
  <c r="BF41" i="6"/>
  <c r="BE38" i="6"/>
  <c r="BC38" i="6"/>
  <c r="BE81" i="6" a="1"/>
  <c r="BE81" i="6" s="1"/>
  <c r="BC39" i="6" a="1"/>
  <c r="BC39" i="6" s="1"/>
  <c r="FH56" i="6" a="1"/>
  <c r="FH56" i="6" s="1"/>
  <c r="FG56" i="6" s="1"/>
  <c r="AG58" i="6"/>
  <c r="EV95" i="6" a="1"/>
  <c r="FC95" i="6" a="1"/>
  <c r="FB96" i="6" a="1"/>
  <c r="EY95" i="6" a="1"/>
  <c r="EW74" i="6" a="1"/>
  <c r="EW58" i="6" a="1"/>
  <c r="FB95" i="6" a="1"/>
  <c r="FA95" i="6" a="1"/>
  <c r="EY95" i="6" l="1"/>
  <c r="FB96" i="6"/>
  <c r="FC95" i="6"/>
  <c r="EV95" i="6"/>
  <c r="BG37" i="6"/>
  <c r="BE37" i="6" a="1"/>
  <c r="BE37" i="6" s="1"/>
  <c r="BD42" i="6"/>
  <c r="BB42" i="6"/>
  <c r="BB37" i="6" a="1"/>
  <c r="BB37" i="6" s="1"/>
  <c r="BG38" i="6" a="1"/>
  <c r="BG38" i="6" s="1"/>
  <c r="BF42" i="6" s="1"/>
  <c r="EW74" i="6"/>
  <c r="AV46" i="6" a="1"/>
  <c r="AV46" i="6" s="1"/>
  <c r="AY44" i="6" a="1"/>
  <c r="AY44" i="6" s="1"/>
  <c r="EW58" i="6"/>
  <c r="AG60" i="6" a="1"/>
  <c r="AG60" i="6" s="1"/>
  <c r="AJ58" i="6" a="1"/>
  <c r="AJ58" i="6" s="1"/>
  <c r="FB95" i="6"/>
  <c r="FA95" i="6"/>
  <c r="BJ3" i="6" a="1"/>
  <c r="BK2" i="6" a="1"/>
  <c r="BP1" i="6" a="1"/>
  <c r="FF95" i="6" a="1"/>
  <c r="EZ95" i="6" a="1"/>
  <c r="EX95" i="6" a="1"/>
  <c r="FA74" i="6" a="1"/>
  <c r="EY74" i="6" a="1"/>
  <c r="FA58" i="6" a="1"/>
  <c r="EY58" i="6" a="1"/>
  <c r="FE95" i="6" a="1"/>
  <c r="FD95" i="6" a="1"/>
  <c r="BP1" i="6" l="1"/>
  <c r="BK2" i="6"/>
  <c r="EW97" i="6" s="1"/>
  <c r="BJ3" i="6"/>
  <c r="EX95" i="6"/>
  <c r="EZ95" i="6"/>
  <c r="FF95" i="6"/>
  <c r="EY74" i="6"/>
  <c r="FA74" i="6"/>
  <c r="AZ44" i="6"/>
  <c r="AV43" i="6"/>
  <c r="AY48" i="6"/>
  <c r="AX45" i="6"/>
  <c r="AW48" i="6"/>
  <c r="AV45" i="6"/>
  <c r="AV48" i="6"/>
  <c r="AW49" i="6" s="1"/>
  <c r="AU49" i="6"/>
  <c r="AU48" i="6"/>
  <c r="AU44" i="6" a="1"/>
  <c r="AU44" i="6" s="1"/>
  <c r="EY58" i="6"/>
  <c r="FA58" i="6"/>
  <c r="AK58" i="6"/>
  <c r="AG62" i="6"/>
  <c r="AF63" i="6"/>
  <c r="AF62" i="6"/>
  <c r="AG57" i="6"/>
  <c r="AI58" i="6" s="1" a="1"/>
  <c r="AI58" i="6" s="1"/>
  <c r="AJ62" i="6"/>
  <c r="AI59" i="6"/>
  <c r="AH62" i="6"/>
  <c r="AG59" i="6"/>
  <c r="AF58" i="6" a="1"/>
  <c r="AF58" i="6" s="1"/>
  <c r="FD95" i="6"/>
  <c r="FE95" i="6"/>
  <c r="BQ1" i="6" a="1"/>
  <c r="FC74" i="6" a="1"/>
  <c r="EZ74" i="6" a="1"/>
  <c r="FD74" i="6" a="1"/>
  <c r="EV74" i="6" a="1"/>
  <c r="FE74" i="6" a="1"/>
  <c r="EV58" i="6" a="1"/>
  <c r="FD58" i="6" a="1"/>
  <c r="EZ58" i="6" a="1"/>
  <c r="EX58" i="6" a="1"/>
  <c r="AI60" i="6" a="1"/>
  <c r="FC58" i="6" a="1"/>
  <c r="FH95" i="6" l="1" a="1"/>
  <c r="FH95" i="6" s="1"/>
  <c r="FG95" i="6" s="1"/>
  <c r="BQ1" i="6"/>
  <c r="BN6" i="6"/>
  <c r="BL6" i="6"/>
  <c r="BK4" i="6" a="1"/>
  <c r="BK4" i="6" s="1"/>
  <c r="BN2" i="6" a="1"/>
  <c r="BN2" i="6" s="1"/>
  <c r="EY97" i="6" s="1"/>
  <c r="BK1" i="6"/>
  <c r="BO3" i="6" s="1" a="1"/>
  <c r="BO3" i="6" s="1"/>
  <c r="BK6" i="6"/>
  <c r="FC97" i="6" s="1"/>
  <c r="BM3" i="6"/>
  <c r="BJ6" i="6"/>
  <c r="BK3" i="6"/>
  <c r="BM46" i="6" a="1"/>
  <c r="BM46" i="6" s="1"/>
  <c r="BO4" i="6" a="1"/>
  <c r="BO4" i="6" s="1"/>
  <c r="BJ44" i="6" a="1"/>
  <c r="BJ44" i="6" s="1"/>
  <c r="FE74" i="6"/>
  <c r="EV74" i="6"/>
  <c r="FD74" i="6"/>
  <c r="EZ74" i="6"/>
  <c r="FC74" i="6"/>
  <c r="AY49" i="6" a="1"/>
  <c r="AY49" i="6" s="1"/>
  <c r="BC44" i="6" a="1"/>
  <c r="BC44" i="6" s="1"/>
  <c r="AX44" i="6" a="1"/>
  <c r="AX44" i="6" s="1"/>
  <c r="FC58" i="6"/>
  <c r="AI60" i="6"/>
  <c r="EX58" i="6"/>
  <c r="EZ58" i="6"/>
  <c r="FD58" i="6"/>
  <c r="EV58" i="6"/>
  <c r="AH63" i="6"/>
  <c r="AJ63" i="6" a="1"/>
  <c r="AJ63" i="6" s="1"/>
  <c r="FB98" i="6" a="1"/>
  <c r="BV1" i="6" a="1"/>
  <c r="EX74" i="6" a="1"/>
  <c r="FF74" i="6" a="1"/>
  <c r="EW76" i="6" a="1"/>
  <c r="FB58" i="6" a="1"/>
  <c r="AM57" i="6" a="1"/>
  <c r="FE58" i="6" a="1"/>
  <c r="FF58" i="6" a="1"/>
  <c r="BN7" i="6" l="1"/>
  <c r="FF97" i="6" s="1"/>
  <c r="BV1" i="6"/>
  <c r="FB98" i="6"/>
  <c r="BL7" i="6"/>
  <c r="FE97" i="6" s="1"/>
  <c r="BJ7" i="6"/>
  <c r="FD97" i="6" s="1"/>
  <c r="BJ2" i="6" a="1"/>
  <c r="BJ2" i="6" s="1"/>
  <c r="BM2" i="6" a="1"/>
  <c r="BM2" i="6" s="1"/>
  <c r="EX97" i="6" s="1"/>
  <c r="BO2" i="6"/>
  <c r="EZ97" i="6" s="1"/>
  <c r="EV97" i="6"/>
  <c r="EW76" i="6"/>
  <c r="FF74" i="6"/>
  <c r="EX74" i="6"/>
  <c r="BC46" i="6" a="1"/>
  <c r="BC46" i="6" s="1"/>
  <c r="BF44" i="6" a="1"/>
  <c r="BF44" i="6" s="1"/>
  <c r="FF58" i="6"/>
  <c r="FE58" i="6"/>
  <c r="AM57" i="6"/>
  <c r="FB58" i="6"/>
  <c r="FA97" i="6"/>
  <c r="BI8" i="6" a="1"/>
  <c r="EY76" i="6" a="1"/>
  <c r="FA76" i="6" a="1"/>
  <c r="AN58" i="6" a="1"/>
  <c r="BI8" i="6" l="1"/>
  <c r="FH97" i="6" a="1"/>
  <c r="FH97" i="6" s="1"/>
  <c r="FG97" i="6" s="1"/>
  <c r="FH74" i="6" a="1"/>
  <c r="FH74" i="6" s="1"/>
  <c r="FG74" i="6" s="1"/>
  <c r="BM4" i="6" a="1"/>
  <c r="BM4" i="6" s="1"/>
  <c r="FB97" i="6" s="1"/>
  <c r="FH58" i="6" a="1"/>
  <c r="FH58" i="6" s="1"/>
  <c r="FG58" i="6" s="1"/>
  <c r="FA76" i="6"/>
  <c r="EY76" i="6"/>
  <c r="BC48" i="6"/>
  <c r="BE45" i="6"/>
  <c r="BB49" i="6"/>
  <c r="BB48" i="6"/>
  <c r="BC45" i="6"/>
  <c r="BD48" i="6"/>
  <c r="BF48" i="6"/>
  <c r="BC43" i="6"/>
  <c r="BE44" i="6" a="1"/>
  <c r="BE44" i="6" s="1"/>
  <c r="BG44" i="6"/>
  <c r="AN58" i="6"/>
  <c r="BJ8" i="6" a="1"/>
  <c r="BR2" i="6" a="1"/>
  <c r="BQ3" i="6" a="1"/>
  <c r="FD76" i="6" a="1"/>
  <c r="FC76" i="6" a="1"/>
  <c r="EX76" i="6" a="1"/>
  <c r="EV76" i="6" a="1"/>
  <c r="EZ76" i="6" a="1"/>
  <c r="EW60" i="6" a="1"/>
  <c r="BQ3" i="6" l="1"/>
  <c r="BR2" i="6"/>
  <c r="EW99" i="6" s="1"/>
  <c r="BJ8" i="6"/>
  <c r="EZ76" i="6"/>
  <c r="EV76" i="6"/>
  <c r="EX76" i="6"/>
  <c r="FC76" i="6"/>
  <c r="FD76" i="6"/>
  <c r="BF49" i="6" a="1"/>
  <c r="BF49" i="6" s="1"/>
  <c r="AV51" i="6" a="1"/>
  <c r="AV51" i="6" s="1"/>
  <c r="BD49" i="6"/>
  <c r="EW60" i="6"/>
  <c r="AQ58" i="6" a="1"/>
  <c r="AQ58" i="6" s="1"/>
  <c r="AN60" i="6" a="1"/>
  <c r="AN60" i="6" s="1"/>
  <c r="BO8" i="6" a="1"/>
  <c r="FE76" i="6" a="1"/>
  <c r="FF76" i="6" a="1"/>
  <c r="EW78" i="6" a="1"/>
  <c r="FA60" i="6" a="1"/>
  <c r="EY60" i="6" a="1"/>
  <c r="BO8" i="6" l="1"/>
  <c r="BU2" i="6" a="1"/>
  <c r="BU2" i="6" s="1"/>
  <c r="EY99" i="6" s="1"/>
  <c r="BQ6" i="6"/>
  <c r="BR1" i="6"/>
  <c r="BV3" i="6" s="1" a="1"/>
  <c r="BV3" i="6" s="1"/>
  <c r="BT3" i="6"/>
  <c r="BR4" i="6" a="1"/>
  <c r="BR4" i="6" s="1"/>
  <c r="BU6" i="6"/>
  <c r="BS6" i="6"/>
  <c r="BR3" i="6"/>
  <c r="BR6" i="6"/>
  <c r="FC99" i="6" s="1"/>
  <c r="BT46" i="6" a="1"/>
  <c r="BT46" i="6" s="1"/>
  <c r="BV4" i="6" a="1"/>
  <c r="BV4" i="6" s="1"/>
  <c r="BQ44" i="6" a="1"/>
  <c r="BQ44" i="6" s="1"/>
  <c r="EW78" i="6"/>
  <c r="FF76" i="6"/>
  <c r="FE76" i="6"/>
  <c r="AV53" i="6" a="1"/>
  <c r="AV53" i="6" s="1"/>
  <c r="AY51" i="6" a="1"/>
  <c r="AY51" i="6" s="1"/>
  <c r="EY60" i="6"/>
  <c r="FA60" i="6"/>
  <c r="AR58" i="6"/>
  <c r="AN62" i="6"/>
  <c r="AP59" i="6"/>
  <c r="AM62" i="6"/>
  <c r="AN59" i="6"/>
  <c r="AQ62" i="6"/>
  <c r="AN57" i="6"/>
  <c r="AP58" i="6" s="1" a="1"/>
  <c r="AP58" i="6" s="1"/>
  <c r="AM63" i="6"/>
  <c r="AO62" i="6"/>
  <c r="AM58" i="6" a="1"/>
  <c r="AM58" i="6" s="1"/>
  <c r="FB100" i="6" a="1"/>
  <c r="FA78" i="6" a="1"/>
  <c r="EY78" i="6" a="1"/>
  <c r="EV60" i="6" a="1"/>
  <c r="EZ60" i="6" a="1"/>
  <c r="EX60" i="6" a="1"/>
  <c r="FD60" i="6" a="1"/>
  <c r="FC60" i="6" a="1"/>
  <c r="AP60" i="6" a="1"/>
  <c r="EV99" i="6" l="1"/>
  <c r="FB100" i="6"/>
  <c r="BT2" i="6" a="1"/>
  <c r="BT2" i="6" s="1"/>
  <c r="EX99" i="6" s="1"/>
  <c r="BV2" i="6"/>
  <c r="EZ99" i="6" s="1"/>
  <c r="BT4" i="6" a="1"/>
  <c r="BT4" i="6" s="1"/>
  <c r="FB99" i="6" s="1"/>
  <c r="BU7" i="6"/>
  <c r="FF99" i="6" s="1"/>
  <c r="BQ7" i="6"/>
  <c r="FD99" i="6" s="1"/>
  <c r="BQ2" i="6" a="1"/>
  <c r="BQ2" i="6" s="1"/>
  <c r="BS7" i="6"/>
  <c r="FE99" i="6" s="1"/>
  <c r="FH76" i="6" a="1"/>
  <c r="FH76" i="6" s="1"/>
  <c r="FG76" i="6" s="1"/>
  <c r="EY78" i="6"/>
  <c r="FA78" i="6"/>
  <c r="AZ51" i="6"/>
  <c r="AU56" i="6"/>
  <c r="AV50" i="6"/>
  <c r="AX51" i="6" s="1" a="1"/>
  <c r="AX51" i="6" s="1"/>
  <c r="AY55" i="6"/>
  <c r="AX52" i="6"/>
  <c r="AW55" i="6"/>
  <c r="AV52" i="6"/>
  <c r="AU55" i="6"/>
  <c r="AV55" i="6"/>
  <c r="AP60" i="6"/>
  <c r="FC60" i="6"/>
  <c r="FD60" i="6"/>
  <c r="EX60" i="6"/>
  <c r="EZ60" i="6"/>
  <c r="EV60" i="6"/>
  <c r="AO63" i="6"/>
  <c r="AQ63" i="6" a="1"/>
  <c r="AQ63" i="6" s="1"/>
  <c r="FA99" i="6"/>
  <c r="BK9" i="6" a="1"/>
  <c r="BJ10" i="6" a="1"/>
  <c r="BP8" i="6" a="1"/>
  <c r="FD78" i="6" a="1"/>
  <c r="EV78" i="6" a="1"/>
  <c r="EX78" i="6" a="1"/>
  <c r="EZ78" i="6" a="1"/>
  <c r="FC78" i="6" a="1"/>
  <c r="FB60" i="6" a="1"/>
  <c r="AF64" i="6" a="1"/>
  <c r="FE60" i="6" a="1"/>
  <c r="FF60" i="6" a="1"/>
  <c r="FH99" i="6" l="1" a="1"/>
  <c r="FH99" i="6" s="1"/>
  <c r="FG99" i="6" s="1"/>
  <c r="BP8" i="6"/>
  <c r="BJ10" i="6"/>
  <c r="BK9" i="6"/>
  <c r="FC78" i="6"/>
  <c r="EZ78" i="6"/>
  <c r="EX78" i="6"/>
  <c r="EV78" i="6"/>
  <c r="FD78" i="6"/>
  <c r="AY56" i="6" a="1"/>
  <c r="AY56" i="6" s="1"/>
  <c r="BC51" i="6" a="1"/>
  <c r="BC51" i="6" s="1"/>
  <c r="AW56" i="6"/>
  <c r="FF60" i="6"/>
  <c r="FE60" i="6"/>
  <c r="AF64" i="6"/>
  <c r="FB60" i="6"/>
  <c r="BQ8" i="6" a="1"/>
  <c r="EW101" i="6" a="1"/>
  <c r="FE78" i="6" a="1"/>
  <c r="FF78" i="6" a="1"/>
  <c r="EW80" i="6" a="1"/>
  <c r="AG65" i="6" a="1"/>
  <c r="EW101" i="6" l="1"/>
  <c r="BQ8" i="6"/>
  <c r="BO11" i="6" a="1"/>
  <c r="BO11" i="6" s="1"/>
  <c r="BJ51" i="6" a="1"/>
  <c r="BJ51" i="6" s="1"/>
  <c r="BN13" i="6"/>
  <c r="BJ13" i="6"/>
  <c r="BL13" i="6"/>
  <c r="BN9" i="6" a="1"/>
  <c r="BN9" i="6" s="1"/>
  <c r="BK8" i="6"/>
  <c r="BK10" i="6"/>
  <c r="BK13" i="6"/>
  <c r="BM10" i="6"/>
  <c r="BK11" i="6" a="1"/>
  <c r="BK11" i="6" s="1"/>
  <c r="BM53" i="6" a="1"/>
  <c r="BM53" i="6" s="1"/>
  <c r="FH60" i="6" a="1"/>
  <c r="FH60" i="6" s="1"/>
  <c r="FG60" i="6" s="1"/>
  <c r="EW80" i="6"/>
  <c r="FF78" i="6"/>
  <c r="FE78" i="6"/>
  <c r="BF51" i="6" a="1"/>
  <c r="BF51" i="6" s="1"/>
  <c r="BC53" i="6" a="1"/>
  <c r="BC53" i="6" s="1"/>
  <c r="AG65" i="6"/>
  <c r="EV101" i="6" a="1"/>
  <c r="FC101" i="6" a="1"/>
  <c r="BV8" i="6" a="1"/>
  <c r="EY101" i="6" a="1"/>
  <c r="FB102" i="6" a="1"/>
  <c r="EY80" i="6" a="1"/>
  <c r="FA80" i="6" a="1"/>
  <c r="EW62" i="6" a="1"/>
  <c r="FA101" i="6" a="1"/>
  <c r="FB102" i="6" l="1"/>
  <c r="EY101" i="6"/>
  <c r="BV8" i="6"/>
  <c r="FC101" i="6"/>
  <c r="EV101" i="6"/>
  <c r="BO9" i="6"/>
  <c r="BM9" i="6" a="1"/>
  <c r="BM9" i="6" s="1"/>
  <c r="BJ14" i="6"/>
  <c r="BL14" i="6"/>
  <c r="BJ9" i="6" a="1"/>
  <c r="BJ9" i="6" s="1"/>
  <c r="BO10" i="6" a="1"/>
  <c r="BO10" i="6" s="1"/>
  <c r="BN14" i="6" s="1"/>
  <c r="FH78" i="6" a="1"/>
  <c r="FH78" i="6" s="1"/>
  <c r="FG78" i="6" s="1"/>
  <c r="FA80" i="6"/>
  <c r="EY80" i="6"/>
  <c r="BF55" i="6"/>
  <c r="BC50" i="6"/>
  <c r="BE51" i="6" s="1" a="1"/>
  <c r="BE51" i="6" s="1"/>
  <c r="BD55" i="6"/>
  <c r="BC55" i="6"/>
  <c r="BE52" i="6"/>
  <c r="BB56" i="6"/>
  <c r="BB55" i="6"/>
  <c r="BC52" i="6"/>
  <c r="BG51" i="6"/>
  <c r="EW62" i="6"/>
  <c r="AG67" i="6" a="1"/>
  <c r="AG67" i="6" s="1"/>
  <c r="AJ65" i="6" a="1"/>
  <c r="AJ65" i="6" s="1"/>
  <c r="FA101" i="6"/>
  <c r="EZ101" i="6" a="1"/>
  <c r="EX101" i="6" a="1"/>
  <c r="BI15" i="6" a="1"/>
  <c r="FF101" i="6" a="1"/>
  <c r="FD80" i="6" a="1"/>
  <c r="EX80" i="6" a="1"/>
  <c r="EV80" i="6" a="1"/>
  <c r="EZ80" i="6" a="1"/>
  <c r="FC80" i="6" a="1"/>
  <c r="EY62" i="6" a="1"/>
  <c r="FA62" i="6" a="1"/>
  <c r="FE101" i="6" a="1"/>
  <c r="FD101" i="6" a="1"/>
  <c r="FF101" i="6" l="1"/>
  <c r="BI15" i="6"/>
  <c r="EX101" i="6"/>
  <c r="EZ101" i="6"/>
  <c r="BM11" i="6" a="1"/>
  <c r="BM11" i="6" s="1"/>
  <c r="FC80" i="6"/>
  <c r="EZ80" i="6"/>
  <c r="EV80" i="6"/>
  <c r="EX80" i="6"/>
  <c r="FD80" i="6"/>
  <c r="BD56" i="6"/>
  <c r="BF56" i="6" a="1"/>
  <c r="BF56" i="6" s="1"/>
  <c r="AV58" i="6" a="1"/>
  <c r="AV58" i="6" s="1"/>
  <c r="FA62" i="6"/>
  <c r="EY62" i="6"/>
  <c r="AJ69" i="6"/>
  <c r="AI66" i="6"/>
  <c r="AH69" i="6"/>
  <c r="AG66" i="6"/>
  <c r="AG69" i="6"/>
  <c r="AH70" i="6" s="1"/>
  <c r="AF70" i="6"/>
  <c r="AF69" i="6"/>
  <c r="AG64" i="6"/>
  <c r="AI65" i="6" s="1" a="1"/>
  <c r="AI65" i="6" s="1"/>
  <c r="AF65" i="6" a="1"/>
  <c r="AF65" i="6" s="1"/>
  <c r="AK65" i="6"/>
  <c r="FD101" i="6"/>
  <c r="FE101" i="6"/>
  <c r="BJ15" i="6" a="1"/>
  <c r="BR9" i="6" a="1"/>
  <c r="FB101" i="6" a="1"/>
  <c r="BQ10" i="6" a="1"/>
  <c r="FE80" i="6" a="1"/>
  <c r="FF80" i="6" a="1"/>
  <c r="EW82" i="6" a="1"/>
  <c r="FD62" i="6" a="1"/>
  <c r="AI67" i="6" a="1"/>
  <c r="EV62" i="6" a="1"/>
  <c r="EZ62" i="6" a="1"/>
  <c r="FC62" i="6" a="1"/>
  <c r="EX62" i="6" a="1"/>
  <c r="FE62" i="6" a="1"/>
  <c r="FH101" i="6" l="1" a="1"/>
  <c r="FH101" i="6" s="1"/>
  <c r="FG101" i="6" s="1"/>
  <c r="BQ10" i="6"/>
  <c r="FB101" i="6"/>
  <c r="BR9" i="6"/>
  <c r="BJ15" i="6"/>
  <c r="EW82" i="6"/>
  <c r="FF80" i="6"/>
  <c r="FE80" i="6"/>
  <c r="AV60" i="6" a="1"/>
  <c r="AV60" i="6" s="1"/>
  <c r="AY58" i="6" a="1"/>
  <c r="AY58" i="6" s="1"/>
  <c r="FE62" i="6"/>
  <c r="EX62" i="6"/>
  <c r="FC62" i="6"/>
  <c r="EZ62" i="6"/>
  <c r="EV62" i="6"/>
  <c r="AI67" i="6"/>
  <c r="FD62" i="6"/>
  <c r="AJ70" i="6" a="1"/>
  <c r="AJ70" i="6" s="1"/>
  <c r="EW103" i="6" a="1"/>
  <c r="BO15" i="6" a="1"/>
  <c r="EY82" i="6" a="1"/>
  <c r="FA82" i="6" a="1"/>
  <c r="AM64" i="6" a="1"/>
  <c r="FB62" i="6" a="1"/>
  <c r="FF62" i="6" a="1"/>
  <c r="BO15" i="6" l="1"/>
  <c r="EW103" i="6"/>
  <c r="BR13" i="6"/>
  <c r="BQ13" i="6"/>
  <c r="BU9" i="6" a="1"/>
  <c r="BU9" i="6" s="1"/>
  <c r="BS13" i="6"/>
  <c r="BR8" i="6"/>
  <c r="BU13" i="6"/>
  <c r="BT10" i="6"/>
  <c r="BR10" i="6"/>
  <c r="BR11" i="6" a="1"/>
  <c r="BR11" i="6" s="1"/>
  <c r="BT53" i="6" a="1"/>
  <c r="BT53" i="6" s="1"/>
  <c r="BV11" i="6" a="1"/>
  <c r="BV11" i="6" s="1"/>
  <c r="BQ51" i="6" a="1"/>
  <c r="BQ51" i="6" s="1"/>
  <c r="FH80" i="6" a="1"/>
  <c r="FH80" i="6" s="1"/>
  <c r="FG80" i="6" s="1"/>
  <c r="FA82" i="6"/>
  <c r="EY82" i="6"/>
  <c r="AV62" i="6"/>
  <c r="AU63" i="6"/>
  <c r="AU62" i="6"/>
  <c r="AV59" i="6"/>
  <c r="AV57" i="6"/>
  <c r="AX58" i="6" s="1" a="1"/>
  <c r="AX58" i="6" s="1"/>
  <c r="AY62" i="6"/>
  <c r="AX59" i="6"/>
  <c r="AW62" i="6"/>
  <c r="AZ58" i="6"/>
  <c r="FF62" i="6"/>
  <c r="FB62" i="6"/>
  <c r="AM64" i="6"/>
  <c r="FB104" i="6" a="1"/>
  <c r="FC103" i="6" a="1"/>
  <c r="EY103" i="6" a="1"/>
  <c r="EV103" i="6" a="1"/>
  <c r="FC82" i="6" a="1"/>
  <c r="EZ82" i="6" a="1"/>
  <c r="FD82" i="6" a="1"/>
  <c r="EX82" i="6" a="1"/>
  <c r="EV82" i="6" a="1"/>
  <c r="FA103" i="6" a="1"/>
  <c r="EV103" i="6" l="1"/>
  <c r="EY103" i="6"/>
  <c r="FC103" i="6"/>
  <c r="FB104" i="6"/>
  <c r="BQ9" i="6" a="1"/>
  <c r="BQ9" i="6" s="1"/>
  <c r="BV10" i="6" a="1"/>
  <c r="BV10" i="6" s="1"/>
  <c r="BU14" i="6" s="1"/>
  <c r="BV9" i="6"/>
  <c r="BT9" i="6" a="1"/>
  <c r="BT9" i="6" s="1"/>
  <c r="BS14" i="6"/>
  <c r="BQ14" i="6"/>
  <c r="BT11" i="6" a="1"/>
  <c r="BT11" i="6" s="1"/>
  <c r="EV82" i="6"/>
  <c r="EX82" i="6"/>
  <c r="FD82" i="6"/>
  <c r="EZ82" i="6"/>
  <c r="FC82" i="6"/>
  <c r="AY63" i="6" a="1"/>
  <c r="AY63" i="6" s="1"/>
  <c r="BC58" i="6" a="1"/>
  <c r="BC58" i="6" s="1"/>
  <c r="AW63" i="6"/>
  <c r="FH62" i="6" a="1"/>
  <c r="FH62" i="6" s="1"/>
  <c r="FG62" i="6" s="1"/>
  <c r="FA103" i="6"/>
  <c r="FF103" i="6" a="1"/>
  <c r="FB103" i="6" a="1"/>
  <c r="BJ17" i="6" a="1"/>
  <c r="BK16" i="6" a="1"/>
  <c r="BP15" i="6" a="1"/>
  <c r="EZ103" i="6" a="1"/>
  <c r="EX103" i="6" a="1"/>
  <c r="FE82" i="6" a="1"/>
  <c r="EW84" i="6" a="1"/>
  <c r="FF82" i="6" a="1"/>
  <c r="AN65" i="6" a="1"/>
  <c r="FD103" i="6" a="1"/>
  <c r="FE103" i="6" a="1"/>
  <c r="EX103" i="6" l="1"/>
  <c r="EZ103" i="6"/>
  <c r="BP15" i="6"/>
  <c r="BK16" i="6"/>
  <c r="BJ17" i="6"/>
  <c r="FB103" i="6"/>
  <c r="FF103" i="6"/>
  <c r="FF82" i="6"/>
  <c r="EW84" i="6"/>
  <c r="FE82" i="6"/>
  <c r="BC60" i="6" a="1"/>
  <c r="BC60" i="6" s="1"/>
  <c r="BF58" i="6" a="1"/>
  <c r="BF58" i="6" s="1"/>
  <c r="AN65" i="6"/>
  <c r="FE103" i="6"/>
  <c r="FD103" i="6"/>
  <c r="BQ15" i="6" a="1"/>
  <c r="EW105" i="6" a="1"/>
  <c r="FA84" i="6" a="1"/>
  <c r="EY84" i="6" a="1"/>
  <c r="EW64" i="6" a="1"/>
  <c r="FH103" i="6" l="1" a="1"/>
  <c r="FH103" i="6" s="1"/>
  <c r="FG103" i="6" s="1"/>
  <c r="EW105" i="6"/>
  <c r="BQ15" i="6"/>
  <c r="BO18" i="6" a="1"/>
  <c r="BO18" i="6" s="1"/>
  <c r="BJ58" i="6" a="1"/>
  <c r="BJ58" i="6" s="1"/>
  <c r="BL20" i="6"/>
  <c r="BN16" i="6" a="1"/>
  <c r="BN16" i="6" s="1"/>
  <c r="BN20" i="6"/>
  <c r="BK15" i="6"/>
  <c r="BK17" i="6"/>
  <c r="BK20" i="6"/>
  <c r="BM17" i="6"/>
  <c r="BJ20" i="6"/>
  <c r="BM60" i="6" a="1"/>
  <c r="BM60" i="6" s="1"/>
  <c r="BK18" i="6" a="1"/>
  <c r="BK18" i="6" s="1"/>
  <c r="FH82" i="6" a="1"/>
  <c r="FH82" i="6" s="1"/>
  <c r="FG82" i="6" s="1"/>
  <c r="EY84" i="6"/>
  <c r="FA84" i="6"/>
  <c r="BG58" i="6"/>
  <c r="BC57" i="6"/>
  <c r="BE58" i="6" s="1" a="1"/>
  <c r="BE58" i="6" s="1"/>
  <c r="BF62" i="6"/>
  <c r="BD62" i="6"/>
  <c r="BC62" i="6"/>
  <c r="BD63" i="6" s="1"/>
  <c r="BE59" i="6"/>
  <c r="BB63" i="6"/>
  <c r="BB62" i="6"/>
  <c r="BC59" i="6"/>
  <c r="EW64" i="6"/>
  <c r="BV15" i="6" a="1"/>
  <c r="FC105" i="6" a="1"/>
  <c r="EY105" i="6" a="1"/>
  <c r="FB106" i="6" a="1"/>
  <c r="EV105" i="6" a="1"/>
  <c r="FC84" i="6" a="1"/>
  <c r="FD84" i="6" a="1"/>
  <c r="EZ84" i="6" a="1"/>
  <c r="EX84" i="6" a="1"/>
  <c r="EV84" i="6" a="1"/>
  <c r="FE84" i="6" a="1"/>
  <c r="AN67" i="6" a="1"/>
  <c r="FA105" i="6" a="1"/>
  <c r="EV105" i="6" l="1"/>
  <c r="FB106" i="6"/>
  <c r="EY105" i="6"/>
  <c r="FC105" i="6"/>
  <c r="BV15" i="6"/>
  <c r="BJ16" i="6" a="1"/>
  <c r="BJ16" i="6" s="1"/>
  <c r="BO17" i="6" a="1"/>
  <c r="BO17" i="6" s="1"/>
  <c r="BN21" i="6" s="1"/>
  <c r="BJ21" i="6"/>
  <c r="BL21" i="6"/>
  <c r="BO16" i="6"/>
  <c r="BM16" i="6" a="1"/>
  <c r="BM16" i="6" s="1"/>
  <c r="FE84" i="6"/>
  <c r="EV84" i="6"/>
  <c r="EX84" i="6"/>
  <c r="EZ84" i="6"/>
  <c r="FD84" i="6"/>
  <c r="FC84" i="6"/>
  <c r="BF63" i="6" a="1"/>
  <c r="BF63" i="6" s="1"/>
  <c r="AV65" i="6" a="1"/>
  <c r="AV65" i="6" s="1"/>
  <c r="AN67" i="6"/>
  <c r="FA105" i="6"/>
  <c r="FF105" i="6" a="1"/>
  <c r="EZ105" i="6" a="1"/>
  <c r="EX105" i="6" a="1"/>
  <c r="BI22" i="6" a="1"/>
  <c r="FF84" i="6" a="1"/>
  <c r="EW86" i="6" a="1"/>
  <c r="FA64" i="6" a="1"/>
  <c r="FE105" i="6" a="1"/>
  <c r="FD105" i="6" a="1"/>
  <c r="BI22" i="6" l="1"/>
  <c r="EX105" i="6"/>
  <c r="EZ105" i="6"/>
  <c r="FF105" i="6"/>
  <c r="BM18" i="6" a="1"/>
  <c r="BM18" i="6" s="1"/>
  <c r="EW86" i="6"/>
  <c r="FF84" i="6"/>
  <c r="FH84" i="6" s="1" a="1"/>
  <c r="FH84" i="6" s="1"/>
  <c r="FG84" i="6" s="1"/>
  <c r="AV67" i="6" a="1"/>
  <c r="AV67" i="6" s="1"/>
  <c r="AY65" i="6" a="1"/>
  <c r="AY65" i="6" s="1"/>
  <c r="FA64" i="6"/>
  <c r="AN64" i="6"/>
  <c r="AO69" i="6"/>
  <c r="AQ69" i="6"/>
  <c r="AN69" i="6"/>
  <c r="AM70" i="6" s="1"/>
  <c r="AP66" i="6"/>
  <c r="AM69" i="6"/>
  <c r="AN66" i="6"/>
  <c r="FD105" i="6"/>
  <c r="FE105" i="6"/>
  <c r="BJ22" i="6" a="1"/>
  <c r="FB105" i="6" a="1"/>
  <c r="BR16" i="6" a="1"/>
  <c r="BQ17" i="6" a="1"/>
  <c r="FA86" i="6" a="1"/>
  <c r="EY86" i="6" a="1"/>
  <c r="EV64" i="6" a="1"/>
  <c r="FC64" i="6" a="1"/>
  <c r="AM65" i="6" a="1"/>
  <c r="FD64" i="6" a="1"/>
  <c r="FH105" i="6" l="1" a="1"/>
  <c r="FH105" i="6" s="1"/>
  <c r="FG105" i="6" s="1"/>
  <c r="BQ17" i="6"/>
  <c r="BR16" i="6"/>
  <c r="FB105" i="6"/>
  <c r="BJ22" i="6"/>
  <c r="EY86" i="6"/>
  <c r="FA86" i="6"/>
  <c r="AZ65" i="6"/>
  <c r="AY69" i="6"/>
  <c r="AX66" i="6"/>
  <c r="AV64" i="6"/>
  <c r="AX65" i="6" s="1" a="1"/>
  <c r="AX65" i="6" s="1"/>
  <c r="AW69" i="6"/>
  <c r="AV66" i="6"/>
  <c r="AV69" i="6"/>
  <c r="AW70" i="6" s="1"/>
  <c r="AU70" i="6"/>
  <c r="AU69" i="6"/>
  <c r="FD64" i="6"/>
  <c r="AM65" i="6"/>
  <c r="FC64" i="6"/>
  <c r="EV64" i="6"/>
  <c r="AO70" i="6"/>
  <c r="AG72" i="6" a="1"/>
  <c r="AG72" i="6" s="1"/>
  <c r="BO22" i="6" a="1"/>
  <c r="EW107" i="6" a="1"/>
  <c r="FC86" i="6" a="1"/>
  <c r="EX86" i="6" a="1"/>
  <c r="EZ86" i="6" a="1"/>
  <c r="FD86" i="6" a="1"/>
  <c r="EV86" i="6" a="1"/>
  <c r="FE86" i="6" a="1"/>
  <c r="AQ65" i="6" a="1"/>
  <c r="AP67" i="6" a="1"/>
  <c r="AF71" i="6" a="1"/>
  <c r="FE64" i="6" a="1"/>
  <c r="AQ70" i="6" a="1"/>
  <c r="EW107" i="6" l="1"/>
  <c r="BO22" i="6"/>
  <c r="BU20" i="6"/>
  <c r="BT17" i="6"/>
  <c r="BS20" i="6"/>
  <c r="BR17" i="6"/>
  <c r="BR20" i="6"/>
  <c r="BQ20" i="6"/>
  <c r="BU16" i="6" a="1"/>
  <c r="BU16" i="6" s="1"/>
  <c r="BR15" i="6"/>
  <c r="BR18" i="6" a="1"/>
  <c r="BR18" i="6" s="1"/>
  <c r="BT60" i="6" a="1"/>
  <c r="BT60" i="6" s="1"/>
  <c r="BV18" i="6" a="1"/>
  <c r="BV18" i="6" s="1"/>
  <c r="BQ58" i="6" a="1"/>
  <c r="BQ58" i="6" s="1"/>
  <c r="FE86" i="6"/>
  <c r="EV86" i="6"/>
  <c r="FD86" i="6"/>
  <c r="EZ86" i="6"/>
  <c r="EX86" i="6"/>
  <c r="FC86" i="6"/>
  <c r="AY70" i="6" a="1"/>
  <c r="AY70" i="6" s="1"/>
  <c r="BC65" i="6" a="1"/>
  <c r="BC65" i="6" s="1"/>
  <c r="AQ70" i="6"/>
  <c r="FE64" i="6"/>
  <c r="AF71" i="6"/>
  <c r="AP67" i="6"/>
  <c r="AQ65" i="6"/>
  <c r="AG74" i="6" a="1"/>
  <c r="AG74" i="6" s="1"/>
  <c r="AJ72" i="6" a="1"/>
  <c r="AJ72" i="6" s="1"/>
  <c r="EY107" i="6" a="1"/>
  <c r="FB108" i="6" a="1"/>
  <c r="EV107" i="6" a="1"/>
  <c r="FC107" i="6" a="1"/>
  <c r="FF86" i="6" a="1"/>
  <c r="EW88" i="6" a="1"/>
  <c r="FF64" i="6" a="1"/>
  <c r="FB64" i="6" a="1"/>
  <c r="EY64" i="6" a="1"/>
  <c r="FA107" i="6" a="1"/>
  <c r="FC107" i="6" l="1"/>
  <c r="EV107" i="6"/>
  <c r="FB108" i="6"/>
  <c r="EY107" i="6"/>
  <c r="BS21" i="6"/>
  <c r="BQ21" i="6"/>
  <c r="BV17" i="6" a="1"/>
  <c r="BV17" i="6" s="1"/>
  <c r="BU21" i="6" s="1"/>
  <c r="BQ16" i="6" a="1"/>
  <c r="BQ16" i="6" s="1"/>
  <c r="BT18" i="6" a="1"/>
  <c r="BT18" i="6" s="1"/>
  <c r="BV16" i="6"/>
  <c r="BT16" i="6" a="1"/>
  <c r="BT16" i="6" s="1"/>
  <c r="EW88" i="6"/>
  <c r="FF86" i="6"/>
  <c r="FH86" i="6" s="1" a="1"/>
  <c r="FH86" i="6" s="1"/>
  <c r="FG86" i="6" s="1"/>
  <c r="BC67" i="6" a="1"/>
  <c r="BC67" i="6" s="1"/>
  <c r="BF65" i="6" a="1"/>
  <c r="BF65" i="6" s="1"/>
  <c r="EY64" i="6"/>
  <c r="FB64" i="6"/>
  <c r="FF64" i="6"/>
  <c r="AK72" i="6"/>
  <c r="AG76" i="6"/>
  <c r="AH77" i="6" s="1"/>
  <c r="AF76" i="6"/>
  <c r="AG71" i="6"/>
  <c r="AI72" i="6" s="1" a="1"/>
  <c r="AI72" i="6" s="1"/>
  <c r="AJ76" i="6"/>
  <c r="AI73" i="6"/>
  <c r="AF77" i="6"/>
  <c r="AH76" i="6"/>
  <c r="AG73" i="6"/>
  <c r="AF72" i="6" a="1"/>
  <c r="AF72" i="6" s="1"/>
  <c r="AR65" i="6"/>
  <c r="FA107" i="6"/>
  <c r="BJ24" i="6" a="1"/>
  <c r="BK23" i="6" a="1"/>
  <c r="BP22" i="6" a="1"/>
  <c r="FB107" i="6" a="1"/>
  <c r="FF107" i="6" a="1"/>
  <c r="EZ107" i="6" a="1"/>
  <c r="EX107" i="6" a="1"/>
  <c r="FA88" i="6" a="1"/>
  <c r="EY88" i="6" a="1"/>
  <c r="AP65" i="6" a="1"/>
  <c r="AI74" i="6" a="1"/>
  <c r="EZ64" i="6" a="1"/>
  <c r="FD107" i="6" a="1"/>
  <c r="FE107" i="6" a="1"/>
  <c r="EX107" i="6" l="1"/>
  <c r="EZ107" i="6"/>
  <c r="FF107" i="6"/>
  <c r="FB107" i="6"/>
  <c r="BP22" i="6"/>
  <c r="BK23" i="6"/>
  <c r="BJ24" i="6"/>
  <c r="EY88" i="6"/>
  <c r="FA88" i="6"/>
  <c r="BG65" i="6"/>
  <c r="BB69" i="6"/>
  <c r="BF69" i="6"/>
  <c r="BC64" i="6"/>
  <c r="BE65" i="6" s="1" a="1"/>
  <c r="BE65" i="6" s="1"/>
  <c r="BB70" i="6"/>
  <c r="BD69" i="6"/>
  <c r="BC69" i="6"/>
  <c r="BD70" i="6" s="1"/>
  <c r="BE66" i="6"/>
  <c r="BC66" i="6"/>
  <c r="EZ64" i="6"/>
  <c r="AI74" i="6"/>
  <c r="AP65" i="6"/>
  <c r="AJ77" i="6" a="1"/>
  <c r="AJ77" i="6" s="1"/>
  <c r="FE107" i="6"/>
  <c r="FD107" i="6"/>
  <c r="BQ22" i="6" a="1"/>
  <c r="EW109" i="6" a="1"/>
  <c r="FC88" i="6" a="1"/>
  <c r="EV88" i="6" a="1"/>
  <c r="FD88" i="6" a="1"/>
  <c r="EZ88" i="6" a="1"/>
  <c r="EX88" i="6" a="1"/>
  <c r="FE88" i="6" a="1"/>
  <c r="EX64" i="6" a="1"/>
  <c r="AM71" i="6" a="1"/>
  <c r="FH107" i="6" l="1" a="1"/>
  <c r="FH107" i="6" s="1"/>
  <c r="FG107" i="6" s="1"/>
  <c r="EW109" i="6"/>
  <c r="BQ22" i="6"/>
  <c r="BO25" i="6" a="1"/>
  <c r="BO25" i="6" s="1"/>
  <c r="BJ65" i="6" a="1"/>
  <c r="BJ65" i="6" s="1"/>
  <c r="BK27" i="6"/>
  <c r="BM24" i="6"/>
  <c r="BK22" i="6"/>
  <c r="BJ27" i="6"/>
  <c r="BK24" i="6"/>
  <c r="BN23" i="6" a="1"/>
  <c r="BN23" i="6" s="1"/>
  <c r="BL27" i="6"/>
  <c r="BN27" i="6"/>
  <c r="BM67" i="6" a="1"/>
  <c r="BM67" i="6" s="1"/>
  <c r="BK25" i="6" a="1"/>
  <c r="BK25" i="6" s="1"/>
  <c r="FE88" i="6"/>
  <c r="EX88" i="6"/>
  <c r="EZ88" i="6"/>
  <c r="FD88" i="6"/>
  <c r="EV88" i="6"/>
  <c r="FC88" i="6"/>
  <c r="BF70" i="6" a="1"/>
  <c r="BF70" i="6" s="1"/>
  <c r="AV72" i="6" a="1"/>
  <c r="AV72" i="6" s="1"/>
  <c r="AM71" i="6"/>
  <c r="EX64" i="6"/>
  <c r="FH64" i="6" s="1" a="1"/>
  <c r="FH64" i="6" s="1"/>
  <c r="FG64" i="6" s="1"/>
  <c r="EY109" i="6" a="1"/>
  <c r="FC109" i="6" a="1"/>
  <c r="BV22" i="6" a="1"/>
  <c r="FB110" i="6" a="1"/>
  <c r="EV109" i="6" a="1"/>
  <c r="FF88" i="6" a="1"/>
  <c r="EW90" i="6" a="1"/>
  <c r="AN72" i="6" a="1"/>
  <c r="FA109" i="6" a="1"/>
  <c r="EV109" i="6" l="1"/>
  <c r="FB110" i="6"/>
  <c r="BV22" i="6"/>
  <c r="FC109" i="6"/>
  <c r="EY109" i="6"/>
  <c r="BO24" i="6" a="1"/>
  <c r="BO24" i="6" s="1"/>
  <c r="BN28" i="6" s="1"/>
  <c r="BJ23" i="6" a="1"/>
  <c r="BJ23" i="6" s="1"/>
  <c r="BL28" i="6"/>
  <c r="BJ28" i="6"/>
  <c r="BM23" i="6" a="1"/>
  <c r="BM23" i="6" s="1"/>
  <c r="BO23" i="6"/>
  <c r="EW90" i="6"/>
  <c r="FF88" i="6"/>
  <c r="FH88" i="6" s="1" a="1"/>
  <c r="FH88" i="6" s="1"/>
  <c r="FG88" i="6" s="1"/>
  <c r="AV74" i="6" a="1"/>
  <c r="AV74" i="6" s="1"/>
  <c r="AY72" i="6" a="1"/>
  <c r="AY72" i="6" s="1"/>
  <c r="AN72" i="6"/>
  <c r="FA109" i="6"/>
  <c r="EX109" i="6" a="1"/>
  <c r="BI29" i="6" a="1"/>
  <c r="EZ109" i="6" a="1"/>
  <c r="FF109" i="6" a="1"/>
  <c r="FA90" i="6" a="1"/>
  <c r="EY90" i="6" a="1"/>
  <c r="FE109" i="6" a="1"/>
  <c r="FD109" i="6" a="1"/>
  <c r="FF109" i="6" l="1"/>
  <c r="EZ109" i="6"/>
  <c r="BI29" i="6"/>
  <c r="EX109" i="6"/>
  <c r="BM25" i="6" a="1"/>
  <c r="BM25" i="6" s="1"/>
  <c r="EY90" i="6"/>
  <c r="FA90" i="6"/>
  <c r="AZ72" i="6"/>
  <c r="AV71" i="6"/>
  <c r="AX72" i="6" s="1" a="1"/>
  <c r="AX72" i="6" s="1"/>
  <c r="AY76" i="6"/>
  <c r="AX73" i="6"/>
  <c r="AW76" i="6"/>
  <c r="AV73" i="6"/>
  <c r="AV76" i="6"/>
  <c r="AU77" i="6"/>
  <c r="AU76" i="6"/>
  <c r="AN74" i="6" a="1"/>
  <c r="AN74" i="6" s="1"/>
  <c r="AQ72" i="6" a="1"/>
  <c r="AQ72" i="6" s="1"/>
  <c r="FD109" i="6"/>
  <c r="FE109" i="6"/>
  <c r="BQ24" i="6" a="1"/>
  <c r="BJ29" i="6" a="1"/>
  <c r="FB109" i="6" a="1"/>
  <c r="BR23" i="6" a="1"/>
  <c r="FD90" i="6" a="1"/>
  <c r="FC90" i="6" a="1"/>
  <c r="EX90" i="6" a="1"/>
  <c r="EZ90" i="6" a="1"/>
  <c r="EV90" i="6" a="1"/>
  <c r="FH109" i="6" l="1" a="1"/>
  <c r="FH109" i="6" s="1"/>
  <c r="FG109" i="6" s="1"/>
  <c r="BR23" i="6"/>
  <c r="FB109" i="6"/>
  <c r="BJ29" i="6"/>
  <c r="BQ24" i="6"/>
  <c r="EV90" i="6"/>
  <c r="EZ90" i="6"/>
  <c r="EX90" i="6"/>
  <c r="FC90" i="6"/>
  <c r="FD90" i="6"/>
  <c r="AY77" i="6" a="1"/>
  <c r="AY77" i="6" s="1"/>
  <c r="BC72" i="6" a="1"/>
  <c r="BC72" i="6" s="1"/>
  <c r="AW77" i="6"/>
  <c r="AR72" i="6"/>
  <c r="AN76" i="6"/>
  <c r="AO77" i="6" s="1"/>
  <c r="AP73" i="6"/>
  <c r="AM77" i="6"/>
  <c r="AM76" i="6"/>
  <c r="AN73" i="6"/>
  <c r="AQ76" i="6"/>
  <c r="AN71" i="6"/>
  <c r="AP72" i="6" s="1" a="1"/>
  <c r="AP72" i="6" s="1"/>
  <c r="AO76" i="6"/>
  <c r="AM72" i="6" a="1"/>
  <c r="AM72" i="6" s="1"/>
  <c r="EW111" i="6" a="1"/>
  <c r="BO29" i="6" a="1"/>
  <c r="FE90" i="6" a="1"/>
  <c r="EW92" i="6" a="1"/>
  <c r="FF90" i="6" a="1"/>
  <c r="AP74" i="6" a="1"/>
  <c r="BO29" i="6" l="1"/>
  <c r="EW111" i="6"/>
  <c r="BV25" i="6" a="1"/>
  <c r="BV25" i="6" s="1"/>
  <c r="BQ65" i="6" a="1"/>
  <c r="BQ65" i="6" s="1"/>
  <c r="BR22" i="6"/>
  <c r="BU27" i="6"/>
  <c r="BT24" i="6"/>
  <c r="BS27" i="6"/>
  <c r="BR24" i="6"/>
  <c r="BR27" i="6"/>
  <c r="BQ27" i="6"/>
  <c r="BU23" i="6" a="1"/>
  <c r="BU23" i="6" s="1"/>
  <c r="BT67" i="6" a="1"/>
  <c r="BT67" i="6" s="1"/>
  <c r="BR25" i="6" a="1"/>
  <c r="BR25" i="6" s="1"/>
  <c r="FF90" i="6"/>
  <c r="EW92" i="6"/>
  <c r="FE90" i="6"/>
  <c r="BC74" i="6" a="1"/>
  <c r="BC74" i="6" s="1"/>
  <c r="BF72" i="6" a="1"/>
  <c r="BF72" i="6" s="1"/>
  <c r="AP74" i="6"/>
  <c r="AQ77" i="6" a="1"/>
  <c r="AQ77" i="6" s="1"/>
  <c r="FC111" i="6" a="1"/>
  <c r="EY111" i="6" a="1"/>
  <c r="FB112" i="6" a="1"/>
  <c r="EV111" i="6" a="1"/>
  <c r="EY92" i="6" a="1"/>
  <c r="FA92" i="6" a="1"/>
  <c r="AF78" i="6" a="1"/>
  <c r="FA111" i="6" a="1"/>
  <c r="EV111" i="6" l="1"/>
  <c r="FB112" i="6"/>
  <c r="EY111" i="6"/>
  <c r="FC111" i="6"/>
  <c r="BV24" i="6" a="1"/>
  <c r="BV24" i="6" s="1"/>
  <c r="BU28" i="6" s="1"/>
  <c r="BQ23" i="6" a="1"/>
  <c r="BQ23" i="6" s="1"/>
  <c r="BS28" i="6"/>
  <c r="BQ28" i="6"/>
  <c r="BT23" i="6" a="1"/>
  <c r="BT23" i="6" s="1"/>
  <c r="BV23" i="6"/>
  <c r="BT25" i="6" a="1"/>
  <c r="BT25" i="6" s="1"/>
  <c r="FH90" i="6" a="1"/>
  <c r="FH90" i="6" s="1"/>
  <c r="FG90" i="6" s="1"/>
  <c r="FA92" i="6"/>
  <c r="EY92" i="6"/>
  <c r="BC76" i="6"/>
  <c r="BD77" i="6" s="1"/>
  <c r="BE73" i="6"/>
  <c r="BB77" i="6"/>
  <c r="BB76" i="6"/>
  <c r="BC73" i="6"/>
  <c r="BF76" i="6"/>
  <c r="BC71" i="6"/>
  <c r="BE72" i="6" s="1" a="1"/>
  <c r="BE72" i="6" s="1"/>
  <c r="BD76" i="6"/>
  <c r="BG72" i="6"/>
  <c r="AF78" i="6"/>
  <c r="FA111" i="6"/>
  <c r="EX111" i="6" a="1"/>
  <c r="BP29" i="6" a="1"/>
  <c r="FB111" i="6" a="1"/>
  <c r="EZ111" i="6" a="1"/>
  <c r="BK30" i="6" a="1"/>
  <c r="FF111" i="6" a="1"/>
  <c r="BJ31" i="6" a="1"/>
  <c r="EV92" i="6" a="1"/>
  <c r="FC92" i="6" a="1"/>
  <c r="EZ92" i="6" a="1"/>
  <c r="FD92" i="6" a="1"/>
  <c r="EX92" i="6" a="1"/>
  <c r="FE92" i="6" a="1"/>
  <c r="AG79" i="6" a="1"/>
  <c r="FD111" i="6" a="1"/>
  <c r="FE111" i="6" a="1"/>
  <c r="BJ31" i="6" l="1"/>
  <c r="FF111" i="6"/>
  <c r="BK30" i="6"/>
  <c r="EZ111" i="6"/>
  <c r="FB111" i="6"/>
  <c r="BP29" i="6"/>
  <c r="EX111" i="6"/>
  <c r="FH111" i="6" s="1" a="1"/>
  <c r="FH111" i="6" s="1"/>
  <c r="FG111" i="6" s="1"/>
  <c r="FE92" i="6"/>
  <c r="EX92" i="6"/>
  <c r="FD92" i="6"/>
  <c r="EZ92" i="6"/>
  <c r="FC92" i="6"/>
  <c r="EV92" i="6"/>
  <c r="BF77" i="6" a="1"/>
  <c r="BF77" i="6" s="1"/>
  <c r="AV79" i="6" a="1"/>
  <c r="AV79" i="6" s="1"/>
  <c r="AG79" i="6"/>
  <c r="FE111" i="6"/>
  <c r="FD111" i="6"/>
  <c r="BQ29" i="6" a="1"/>
  <c r="EW113" i="6" a="1"/>
  <c r="FF92" i="6" a="1"/>
  <c r="EW94" i="6" a="1"/>
  <c r="EW113" i="6" l="1"/>
  <c r="BQ29" i="6"/>
  <c r="BN34" i="6"/>
  <c r="BL34" i="6"/>
  <c r="BN30" i="6" a="1"/>
  <c r="BN30" i="6" s="1"/>
  <c r="BK29" i="6"/>
  <c r="BK34" i="6"/>
  <c r="BM31" i="6"/>
  <c r="BJ34" i="6"/>
  <c r="BK31" i="6"/>
  <c r="BK32" i="6" a="1"/>
  <c r="BK32" i="6" s="1"/>
  <c r="BM74" i="6" a="1"/>
  <c r="BM74" i="6" s="1"/>
  <c r="BO32" i="6" a="1"/>
  <c r="BO32" i="6" s="1"/>
  <c r="BJ72" i="6" a="1"/>
  <c r="BJ72" i="6" s="1"/>
  <c r="EW94" i="6"/>
  <c r="FF92" i="6"/>
  <c r="FH92" i="6" s="1" a="1"/>
  <c r="FH92" i="6" s="1"/>
  <c r="FG92" i="6" s="1"/>
  <c r="AV81" i="6" a="1"/>
  <c r="AV81" i="6" s="1"/>
  <c r="AY79" i="6" a="1"/>
  <c r="AY79" i="6" s="1"/>
  <c r="AG81" i="6" a="1"/>
  <c r="AG81" i="6" s="1"/>
  <c r="AJ79" i="6" a="1"/>
  <c r="AJ79" i="6" s="1"/>
  <c r="BV29" i="6" a="1"/>
  <c r="EY113" i="6" a="1"/>
  <c r="FB114" i="6" a="1"/>
  <c r="FC113" i="6" a="1"/>
  <c r="EV113" i="6" a="1"/>
  <c r="EY94" i="6" a="1"/>
  <c r="FA94" i="6" a="1"/>
  <c r="FA113" i="6" a="1"/>
  <c r="EV113" i="6" l="1"/>
  <c r="FC113" i="6"/>
  <c r="FB114" i="6"/>
  <c r="EY113" i="6"/>
  <c r="BV29" i="6"/>
  <c r="BO31" i="6" a="1"/>
  <c r="BO31" i="6" s="1"/>
  <c r="BN35" i="6" s="1"/>
  <c r="BJ30" i="6" a="1"/>
  <c r="BJ30" i="6" s="1"/>
  <c r="BO30" i="6"/>
  <c r="BM30" i="6" a="1"/>
  <c r="BM30" i="6" s="1"/>
  <c r="BL35" i="6"/>
  <c r="BJ35" i="6"/>
  <c r="FA94" i="6"/>
  <c r="EY94" i="6"/>
  <c r="AV78" i="6"/>
  <c r="AX79" i="6" s="1" a="1"/>
  <c r="AX79" i="6" s="1"/>
  <c r="AY83" i="6"/>
  <c r="AX80" i="6"/>
  <c r="AW83" i="6"/>
  <c r="AV80" i="6"/>
  <c r="AV83" i="6"/>
  <c r="AW84" i="6" s="1"/>
  <c r="AU84" i="6"/>
  <c r="AU83" i="6"/>
  <c r="AZ79" i="6"/>
  <c r="AK79" i="6"/>
  <c r="AG80" i="6"/>
  <c r="AH83" i="6"/>
  <c r="AG78" i="6"/>
  <c r="AI79" i="6" s="1" a="1"/>
  <c r="AI79" i="6" s="1"/>
  <c r="AJ83" i="6"/>
  <c r="AI80" i="6"/>
  <c r="AG83" i="6"/>
  <c r="AH84" i="6" s="1"/>
  <c r="AF84" i="6"/>
  <c r="AF83" i="6"/>
  <c r="AF79" i="6" a="1"/>
  <c r="AF79" i="6" s="1"/>
  <c r="FA113" i="6"/>
  <c r="EX113" i="6" a="1"/>
  <c r="BI36" i="6" a="1"/>
  <c r="FF113" i="6" a="1"/>
  <c r="EZ113" i="6" a="1"/>
  <c r="FC94" i="6" a="1"/>
  <c r="FD94" i="6" a="1"/>
  <c r="EV94" i="6" a="1"/>
  <c r="EX94" i="6" a="1"/>
  <c r="EZ94" i="6" a="1"/>
  <c r="FE94" i="6" a="1"/>
  <c r="AI81" i="6" a="1"/>
  <c r="FD113" i="6" a="1"/>
  <c r="FE113" i="6" a="1"/>
  <c r="EZ113" i="6" l="1"/>
  <c r="FF113" i="6"/>
  <c r="BI36" i="6"/>
  <c r="EX113" i="6"/>
  <c r="BM32" i="6" a="1"/>
  <c r="BM32" i="6" s="1"/>
  <c r="FE94" i="6"/>
  <c r="EZ94" i="6"/>
  <c r="EX94" i="6"/>
  <c r="EV94" i="6"/>
  <c r="FD94" i="6"/>
  <c r="FC94" i="6"/>
  <c r="AY84" i="6" a="1"/>
  <c r="AY84" i="6" s="1"/>
  <c r="BC79" i="6" a="1"/>
  <c r="BC79" i="6" s="1"/>
  <c r="AI81" i="6"/>
  <c r="AJ84" i="6" a="1"/>
  <c r="AJ84" i="6" s="1"/>
  <c r="AN79" i="6" a="1"/>
  <c r="AN79" i="6" s="1"/>
  <c r="FE113" i="6"/>
  <c r="FD113" i="6"/>
  <c r="BR30" i="6" a="1"/>
  <c r="BJ36" i="6" a="1"/>
  <c r="FB113" i="6" a="1"/>
  <c r="BQ31" i="6" a="1"/>
  <c r="FF94" i="6" a="1"/>
  <c r="EW96" i="6" a="1"/>
  <c r="AM78" i="6" a="1"/>
  <c r="FH113" i="6" l="1" a="1"/>
  <c r="FH113" i="6" s="1"/>
  <c r="FG113" i="6" s="1"/>
  <c r="BQ31" i="6"/>
  <c r="FB113" i="6"/>
  <c r="BJ36" i="6"/>
  <c r="BR30" i="6"/>
  <c r="EW96" i="6"/>
  <c r="FF94" i="6"/>
  <c r="FH94" i="6" s="1" a="1"/>
  <c r="FH94" i="6" s="1"/>
  <c r="FG94" i="6" s="1"/>
  <c r="BF79" i="6" a="1"/>
  <c r="BF79" i="6" s="1"/>
  <c r="BC81" i="6" a="1"/>
  <c r="BC81" i="6" s="1"/>
  <c r="AM78" i="6"/>
  <c r="AQ79" i="6" a="1"/>
  <c r="AQ79" i="6" s="1"/>
  <c r="AN81" i="6" a="1"/>
  <c r="AN81" i="6" s="1"/>
  <c r="BO36" i="6" a="1"/>
  <c r="EW115" i="6" a="1"/>
  <c r="EY96" i="6" a="1"/>
  <c r="FA96" i="6" a="1"/>
  <c r="EW115" i="6" l="1"/>
  <c r="BO36" i="6"/>
  <c r="BU30" i="6" a="1"/>
  <c r="BU30" i="6" s="1"/>
  <c r="BQ34" i="6"/>
  <c r="BR29" i="6"/>
  <c r="BU34" i="6"/>
  <c r="BT31" i="6"/>
  <c r="BS34" i="6"/>
  <c r="BR31" i="6"/>
  <c r="BR34" i="6"/>
  <c r="BR32" i="6" a="1"/>
  <c r="BR32" i="6" s="1"/>
  <c r="BT74" i="6" a="1"/>
  <c r="BT74" i="6" s="1"/>
  <c r="BV32" i="6" a="1"/>
  <c r="BV32" i="6" s="1"/>
  <c r="BQ72" i="6" a="1"/>
  <c r="BQ72" i="6" s="1"/>
  <c r="FA96" i="6"/>
  <c r="EY96" i="6"/>
  <c r="BF83" i="6"/>
  <c r="BC78" i="6"/>
  <c r="BE79" i="6" s="1" a="1"/>
  <c r="BE79" i="6" s="1"/>
  <c r="BD83" i="6"/>
  <c r="BC83" i="6"/>
  <c r="BE80" i="6"/>
  <c r="BB84" i="6"/>
  <c r="BB83" i="6"/>
  <c r="BC80" i="6"/>
  <c r="BG79" i="6"/>
  <c r="AQ83" i="6"/>
  <c r="AN78" i="6"/>
  <c r="AO83" i="6"/>
  <c r="AN83" i="6"/>
  <c r="AO84" i="6" s="1"/>
  <c r="AP80" i="6"/>
  <c r="AM84" i="6"/>
  <c r="AM83" i="6"/>
  <c r="AN80" i="6"/>
  <c r="AM79" i="6" a="1"/>
  <c r="AM79" i="6" s="1"/>
  <c r="AR79" i="6"/>
  <c r="FC115" i="6" a="1"/>
  <c r="EY115" i="6" a="1"/>
  <c r="FB116" i="6" a="1"/>
  <c r="EV115" i="6" a="1"/>
  <c r="FD96" i="6" a="1"/>
  <c r="EX96" i="6" a="1"/>
  <c r="EV96" i="6" a="1"/>
  <c r="EZ96" i="6" a="1"/>
  <c r="FC96" i="6" a="1"/>
  <c r="FA115" i="6" a="1"/>
  <c r="AQ84" i="6" l="1" a="1"/>
  <c r="AQ84" i="6" s="1"/>
  <c r="EV115" i="6"/>
  <c r="FB116" i="6"/>
  <c r="EY115" i="6"/>
  <c r="FC115" i="6"/>
  <c r="BV31" i="6" a="1"/>
  <c r="BV31" i="6" s="1"/>
  <c r="BU35" i="6" s="1"/>
  <c r="BQ30" i="6" a="1"/>
  <c r="BQ30" i="6" s="1"/>
  <c r="BQ35" i="6"/>
  <c r="BS35" i="6"/>
  <c r="BT30" i="6" a="1"/>
  <c r="BT30" i="6" s="1"/>
  <c r="BV30" i="6"/>
  <c r="BT32" i="6" a="1"/>
  <c r="BT32" i="6" s="1"/>
  <c r="FC96" i="6"/>
  <c r="EZ96" i="6"/>
  <c r="EV96" i="6"/>
  <c r="EX96" i="6"/>
  <c r="FD96" i="6"/>
  <c r="BD84" i="6"/>
  <c r="BF84" i="6" a="1"/>
  <c r="BF84" i="6" s="1"/>
  <c r="AP79" i="6" a="1"/>
  <c r="AP79" i="6" s="1"/>
  <c r="FA115" i="6"/>
  <c r="AU43" i="6" a="1"/>
  <c r="EX115" i="6" a="1"/>
  <c r="EZ115" i="6" a="1"/>
  <c r="BJ38" i="6" a="1"/>
  <c r="FF115" i="6" a="1"/>
  <c r="BK37" i="6" a="1"/>
  <c r="FB115" i="6" a="1"/>
  <c r="BP36" i="6" a="1"/>
  <c r="FE96" i="6" a="1"/>
  <c r="FF96" i="6" a="1"/>
  <c r="FD115" i="6" a="1"/>
  <c r="FE115" i="6" a="1"/>
  <c r="AU43" i="6" l="1"/>
  <c r="BP36" i="6"/>
  <c r="FB115" i="6"/>
  <c r="BK37" i="6"/>
  <c r="FF115" i="6"/>
  <c r="BJ38" i="6"/>
  <c r="EZ115" i="6"/>
  <c r="EX115" i="6"/>
  <c r="FH115" i="6" s="1" a="1"/>
  <c r="FH115" i="6" s="1"/>
  <c r="FG115" i="6" s="1"/>
  <c r="FF96" i="6"/>
  <c r="FE96" i="6"/>
  <c r="FE115" i="6"/>
  <c r="FD115" i="6"/>
  <c r="BB43" i="6" a="1"/>
  <c r="BQ36" i="6" a="1"/>
  <c r="EW117" i="6" a="1"/>
  <c r="BB43" i="6" l="1"/>
  <c r="EW117" i="6"/>
  <c r="BQ36" i="6"/>
  <c r="BO39" i="6" a="1"/>
  <c r="BO39" i="6" s="1"/>
  <c r="BJ79" i="6" a="1"/>
  <c r="BJ79" i="6" s="1"/>
  <c r="BN41" i="6"/>
  <c r="BJ41" i="6"/>
  <c r="BK38" i="6"/>
  <c r="BL41" i="6"/>
  <c r="BN37" i="6" a="1"/>
  <c r="BN37" i="6" s="1"/>
  <c r="BK36" i="6"/>
  <c r="BK41" i="6"/>
  <c r="BM38" i="6"/>
  <c r="BK39" i="6" a="1"/>
  <c r="BK39" i="6" s="1"/>
  <c r="BM81" i="6" a="1"/>
  <c r="BM81" i="6" s="1"/>
  <c r="FH96" i="6" a="1"/>
  <c r="FH96" i="6" s="1"/>
  <c r="FG96" i="6" s="1"/>
  <c r="AU50" i="6" a="1"/>
  <c r="EY117" i="6" a="1"/>
  <c r="FC117" i="6" a="1"/>
  <c r="FB118" i="6" a="1"/>
  <c r="BV36" i="6" a="1"/>
  <c r="EV117" i="6" a="1"/>
  <c r="FA117" i="6" a="1"/>
  <c r="AU50" i="6" l="1"/>
  <c r="EV117" i="6"/>
  <c r="BV36" i="6"/>
  <c r="FB118" i="6"/>
  <c r="FC117" i="6"/>
  <c r="EY117" i="6"/>
  <c r="BJ42" i="6"/>
  <c r="BL42" i="6"/>
  <c r="BJ37" i="6" a="1"/>
  <c r="BJ37" i="6" s="1"/>
  <c r="BO38" i="6" a="1"/>
  <c r="BO38" i="6" s="1"/>
  <c r="BN42" i="6" s="1"/>
  <c r="BO37" i="6"/>
  <c r="BM37" i="6" a="1"/>
  <c r="BM37" i="6" s="1"/>
  <c r="FA117" i="6"/>
  <c r="BB50" i="6" a="1"/>
  <c r="FF117" i="6" a="1"/>
  <c r="BX1" i="6" a="1"/>
  <c r="EZ117" i="6" a="1"/>
  <c r="EX117" i="6" a="1"/>
  <c r="FE117" i="6" a="1"/>
  <c r="FD117" i="6" a="1"/>
  <c r="BB50" i="6" l="1"/>
  <c r="EX117" i="6"/>
  <c r="EZ117" i="6"/>
  <c r="BX1" i="6"/>
  <c r="FF117" i="6"/>
  <c r="BM39" i="6" a="1"/>
  <c r="BM39" i="6" s="1"/>
  <c r="FH117" i="6" a="1"/>
  <c r="FH117" i="6" s="1"/>
  <c r="FG117" i="6" s="1"/>
  <c r="FD117" i="6"/>
  <c r="FE117" i="6"/>
  <c r="AU57" i="6" a="1"/>
  <c r="BY1" i="6" a="1"/>
  <c r="FB117" i="6" a="1"/>
  <c r="BQ38" i="6" a="1"/>
  <c r="BR37" i="6" a="1"/>
  <c r="AU57" i="6" l="1"/>
  <c r="BY1" i="6"/>
  <c r="BR37" i="6"/>
  <c r="BQ38" i="6"/>
  <c r="FB117" i="6"/>
  <c r="BB57" i="6" a="1"/>
  <c r="CD1" i="6" a="1"/>
  <c r="EW119" i="6" a="1"/>
  <c r="BB57" i="6" l="1"/>
  <c r="CD1" i="6"/>
  <c r="BT39" i="6" s="1" a="1"/>
  <c r="BT39" i="6" s="1"/>
  <c r="EW119" i="6"/>
  <c r="BV39" i="6" a="1"/>
  <c r="BV39" i="6" s="1"/>
  <c r="BQ79" i="6" a="1"/>
  <c r="BQ79" i="6" s="1"/>
  <c r="BR41" i="6"/>
  <c r="BQ41" i="6"/>
  <c r="BR38" i="6"/>
  <c r="BU37" i="6" a="1"/>
  <c r="BU37" i="6" s="1"/>
  <c r="BR36" i="6"/>
  <c r="BK44" i="6" s="1" a="1"/>
  <c r="BK44" i="6" s="1"/>
  <c r="BU41" i="6"/>
  <c r="BT38" i="6"/>
  <c r="BS41" i="6"/>
  <c r="BT81" i="6" a="1"/>
  <c r="BT81" i="6" s="1"/>
  <c r="BR39" i="6" a="1"/>
  <c r="BR39" i="6" s="1"/>
  <c r="AU64" i="6" a="1"/>
  <c r="EV119" i="6" a="1"/>
  <c r="EY119" i="6" a="1"/>
  <c r="FB120" i="6" a="1"/>
  <c r="FC119" i="6" a="1"/>
  <c r="EW98" i="6" a="1"/>
  <c r="FB119" i="6" a="1"/>
  <c r="FA119" i="6" a="1"/>
  <c r="AU64" i="6" l="1"/>
  <c r="FC119" i="6"/>
  <c r="FB120" i="6"/>
  <c r="EY119" i="6"/>
  <c r="EV119" i="6"/>
  <c r="BS42" i="6"/>
  <c r="BQ42" i="6"/>
  <c r="BV37" i="6"/>
  <c r="BT37" i="6" a="1"/>
  <c r="BT37" i="6" s="1"/>
  <c r="BQ37" i="6" a="1"/>
  <c r="BQ37" i="6" s="1"/>
  <c r="BV38" i="6" a="1"/>
  <c r="BV38" i="6" s="1"/>
  <c r="BU42" i="6" s="1"/>
  <c r="EW98" i="6"/>
  <c r="BK46" i="6" a="1"/>
  <c r="BK46" i="6" s="1"/>
  <c r="BN44" i="6" a="1"/>
  <c r="BN44" i="6" s="1"/>
  <c r="FB119" i="6"/>
  <c r="FA119" i="6"/>
  <c r="BB64" i="6" a="1"/>
  <c r="BZ2" i="6" a="1"/>
  <c r="BY3" i="6" a="1"/>
  <c r="CE1" i="6" a="1"/>
  <c r="FF119" i="6" a="1"/>
  <c r="EX119" i="6" a="1"/>
  <c r="EZ119" i="6" a="1"/>
  <c r="FA98" i="6" a="1"/>
  <c r="EY98" i="6" a="1"/>
  <c r="FD119" i="6" a="1"/>
  <c r="FE119" i="6" a="1"/>
  <c r="BB64" i="6" l="1"/>
  <c r="CE1" i="6"/>
  <c r="BY3" i="6"/>
  <c r="BZ2" i="6"/>
  <c r="EZ119" i="6"/>
  <c r="EX119" i="6"/>
  <c r="FH119" i="6" s="1" a="1"/>
  <c r="FH119" i="6" s="1"/>
  <c r="FG119" i="6" s="1"/>
  <c r="FF119" i="6"/>
  <c r="EY98" i="6"/>
  <c r="FA98" i="6"/>
  <c r="BO44" i="6"/>
  <c r="BK43" i="6"/>
  <c r="BM44" i="6" s="1" a="1"/>
  <c r="BM44" i="6" s="1"/>
  <c r="BN48" i="6"/>
  <c r="BM45" i="6"/>
  <c r="BL48" i="6"/>
  <c r="BK45" i="6"/>
  <c r="BK48" i="6"/>
  <c r="BJ49" i="6"/>
  <c r="BJ48" i="6"/>
  <c r="FE119" i="6"/>
  <c r="FD119" i="6"/>
  <c r="AU71" i="6" a="1"/>
  <c r="CF1" i="6" a="1"/>
  <c r="EX98" i="6" a="1"/>
  <c r="FD98" i="6" a="1"/>
  <c r="FC98" i="6" a="1"/>
  <c r="EZ98" i="6" a="1"/>
  <c r="EV98" i="6" a="1"/>
  <c r="AU71" i="6" l="1"/>
  <c r="CF1" i="6"/>
  <c r="CD4" i="6" a="1"/>
  <c r="CD4" i="6" s="1"/>
  <c r="BY44" i="6" a="1"/>
  <c r="BY44" i="6" s="1"/>
  <c r="CC6" i="6"/>
  <c r="CB3" i="6"/>
  <c r="CA6" i="6"/>
  <c r="BZ4" i="6" a="1"/>
  <c r="BZ4" i="6" s="1"/>
  <c r="CC2" i="6" a="1"/>
  <c r="CC2" i="6" s="1"/>
  <c r="BZ1" i="6"/>
  <c r="CD3" i="6" s="1" a="1"/>
  <c r="CD3" i="6" s="1"/>
  <c r="BZ6" i="6"/>
  <c r="BY6" i="6"/>
  <c r="BZ3" i="6"/>
  <c r="CB46" i="6" a="1"/>
  <c r="CB46" i="6" s="1"/>
  <c r="EV98" i="6"/>
  <c r="EZ98" i="6"/>
  <c r="FC98" i="6"/>
  <c r="FD98" i="6"/>
  <c r="EX98" i="6"/>
  <c r="BN49" i="6" a="1"/>
  <c r="BN49" i="6" s="1"/>
  <c r="BR44" i="6" a="1"/>
  <c r="BR44" i="6" s="1"/>
  <c r="BL49" i="6"/>
  <c r="BB71" i="6" a="1"/>
  <c r="CK1" i="6" a="1"/>
  <c r="FE98" i="6" a="1"/>
  <c r="FF98" i="6" a="1"/>
  <c r="EW100" i="6" a="1"/>
  <c r="BB71" i="6" l="1"/>
  <c r="CC7" i="6"/>
  <c r="CK1" i="6"/>
  <c r="CB2" i="6" a="1"/>
  <c r="CB2" i="6" s="1"/>
  <c r="CD2" i="6"/>
  <c r="CA7" i="6"/>
  <c r="BY7" i="6"/>
  <c r="BY2" i="6" a="1"/>
  <c r="BY2" i="6" s="1"/>
  <c r="EW100" i="6"/>
  <c r="FF98" i="6"/>
  <c r="FE98" i="6"/>
  <c r="BR46" i="6" a="1"/>
  <c r="BR46" i="6" s="1"/>
  <c r="BU44" i="6" a="1"/>
  <c r="BU44" i="6" s="1"/>
  <c r="AU78" i="6" a="1"/>
  <c r="BX8" i="6" a="1"/>
  <c r="FA100" i="6" a="1"/>
  <c r="EY100" i="6" a="1"/>
  <c r="FH98" i="6" l="1" a="1"/>
  <c r="FH98" i="6" s="1"/>
  <c r="FG98" i="6" s="1"/>
  <c r="AU78" i="6"/>
  <c r="BX8" i="6"/>
  <c r="CB4" i="6" a="1"/>
  <c r="CB4" i="6" s="1"/>
  <c r="EY100" i="6"/>
  <c r="FA100" i="6"/>
  <c r="BV44" i="6"/>
  <c r="BR48" i="6"/>
  <c r="BT45" i="6"/>
  <c r="BQ49" i="6"/>
  <c r="BQ48" i="6"/>
  <c r="BR45" i="6"/>
  <c r="BU48" i="6"/>
  <c r="BR43" i="6"/>
  <c r="BT44" i="6" s="1" a="1"/>
  <c r="BT44" i="6" s="1"/>
  <c r="BS48" i="6"/>
  <c r="BB78" i="6" a="1"/>
  <c r="BY8" i="6" a="1"/>
  <c r="CG2" i="6" a="1"/>
  <c r="CF3" i="6" a="1"/>
  <c r="EX100" i="6" a="1"/>
  <c r="EZ100" i="6" a="1"/>
  <c r="EV100" i="6" a="1"/>
  <c r="FC100" i="6" a="1"/>
  <c r="FD100" i="6" a="1"/>
  <c r="BB78" i="6" l="1"/>
  <c r="CF3" i="6"/>
  <c r="CG2" i="6"/>
  <c r="BY8" i="6"/>
  <c r="FD100" i="6"/>
  <c r="FC100" i="6"/>
  <c r="EV100" i="6"/>
  <c r="EZ100" i="6"/>
  <c r="EX100" i="6"/>
  <c r="BS49" i="6"/>
  <c r="BU49" i="6" a="1"/>
  <c r="BU49" i="6" s="1"/>
  <c r="BK51" i="6" a="1"/>
  <c r="BK51" i="6" s="1"/>
  <c r="BJ43" i="6" a="1"/>
  <c r="CD8" i="6" a="1"/>
  <c r="FF100" i="6" a="1"/>
  <c r="FE100" i="6" a="1"/>
  <c r="EW102" i="6" a="1"/>
  <c r="BJ43" i="6" l="1"/>
  <c r="CD8" i="6"/>
  <c r="CJ2" i="6" a="1"/>
  <c r="CJ2" i="6" s="1"/>
  <c r="CH6" i="6"/>
  <c r="CG3" i="6"/>
  <c r="CG1" i="6"/>
  <c r="CK3" i="6" s="1" a="1"/>
  <c r="CK3" i="6" s="1"/>
  <c r="CG4" i="6" a="1"/>
  <c r="CG4" i="6" s="1"/>
  <c r="CI3" i="6"/>
  <c r="CF6" i="6"/>
  <c r="CJ6" i="6"/>
  <c r="CG6" i="6"/>
  <c r="CI46" i="6" a="1"/>
  <c r="CI46" i="6" s="1"/>
  <c r="CK4" i="6" a="1"/>
  <c r="CK4" i="6" s="1"/>
  <c r="CF44" i="6" a="1"/>
  <c r="CF44" i="6" s="1"/>
  <c r="EW102" i="6"/>
  <c r="FE100" i="6"/>
  <c r="FF100" i="6"/>
  <c r="BK53" i="6" a="1"/>
  <c r="BK53" i="6" s="1"/>
  <c r="BN51" i="6" a="1"/>
  <c r="BN51" i="6" s="1"/>
  <c r="BQ43" i="6" a="1"/>
  <c r="EY102" i="6" a="1"/>
  <c r="FA102" i="6" a="1"/>
  <c r="CJ7" i="6" l="1"/>
  <c r="BQ43" i="6"/>
  <c r="CI2" i="6" a="1"/>
  <c r="CI2" i="6" s="1"/>
  <c r="CK2" i="6"/>
  <c r="CF7" i="6"/>
  <c r="CH7" i="6"/>
  <c r="CF2" i="6" a="1"/>
  <c r="CF2" i="6" s="1"/>
  <c r="CI4" i="6" a="1"/>
  <c r="CI4" i="6" s="1"/>
  <c r="FH100" i="6" a="1"/>
  <c r="FH100" i="6" s="1"/>
  <c r="FG100" i="6" s="1"/>
  <c r="FA102" i="6"/>
  <c r="EY102" i="6"/>
  <c r="BK50" i="6"/>
  <c r="BN55" i="6"/>
  <c r="BM52" i="6"/>
  <c r="BJ56" i="6"/>
  <c r="BL55" i="6"/>
  <c r="BK52" i="6"/>
  <c r="BK55" i="6"/>
  <c r="BJ55" i="6"/>
  <c r="BO51" i="6"/>
  <c r="BM51" i="6" a="1"/>
  <c r="BM51" i="6" s="1"/>
  <c r="BJ50" i="6" a="1"/>
  <c r="CE8" i="6" a="1"/>
  <c r="BY10" i="6" a="1"/>
  <c r="BZ9" i="6" a="1"/>
  <c r="FC102" i="6" a="1"/>
  <c r="EV102" i="6" a="1"/>
  <c r="EX102" i="6" a="1"/>
  <c r="EZ102" i="6" a="1"/>
  <c r="FD102" i="6" a="1"/>
  <c r="BJ50" i="6" l="1"/>
  <c r="BZ9" i="6"/>
  <c r="BY10" i="6"/>
  <c r="CE8" i="6"/>
  <c r="FD102" i="6"/>
  <c r="EZ102" i="6"/>
  <c r="EX102" i="6"/>
  <c r="EV102" i="6"/>
  <c r="FC102" i="6"/>
  <c r="BN56" i="6" a="1"/>
  <c r="BN56" i="6" s="1"/>
  <c r="BR51" i="6" a="1"/>
  <c r="BR51" i="6" s="1"/>
  <c r="BL56" i="6"/>
  <c r="CF8" i="6" a="1"/>
  <c r="FE102" i="6" a="1"/>
  <c r="FF102" i="6" a="1"/>
  <c r="EW104" i="6" a="1"/>
  <c r="BQ50" i="6" a="1"/>
  <c r="CF8" i="6" l="1"/>
  <c r="CD11" i="6" a="1"/>
  <c r="CD11" i="6" s="1"/>
  <c r="BY51" i="6" a="1"/>
  <c r="BY51" i="6" s="1"/>
  <c r="CC13" i="6"/>
  <c r="BY13" i="6"/>
  <c r="BZ10" i="6"/>
  <c r="CA13" i="6"/>
  <c r="CC9" i="6" a="1"/>
  <c r="CC9" i="6" s="1"/>
  <c r="BZ8" i="6"/>
  <c r="BZ13" i="6"/>
  <c r="CB10" i="6"/>
  <c r="BZ11" i="6" a="1"/>
  <c r="BZ11" i="6" s="1"/>
  <c r="CB53" i="6" a="1"/>
  <c r="CB53" i="6" s="1"/>
  <c r="BQ50" i="6"/>
  <c r="EW104" i="6"/>
  <c r="FF102" i="6"/>
  <c r="FE102" i="6"/>
  <c r="BU51" i="6" a="1"/>
  <c r="BU51" i="6" s="1"/>
  <c r="BR53" i="6" a="1"/>
  <c r="BR53" i="6" s="1"/>
  <c r="CK8" i="6" a="1"/>
  <c r="EY104" i="6" a="1"/>
  <c r="FA104" i="6" a="1"/>
  <c r="CK8" i="6" l="1"/>
  <c r="CD9" i="6"/>
  <c r="CB9" i="6" a="1"/>
  <c r="CB9" i="6" s="1"/>
  <c r="BY14" i="6"/>
  <c r="CA14" i="6"/>
  <c r="BY9" i="6" a="1"/>
  <c r="BY9" i="6" s="1"/>
  <c r="CD10" i="6" a="1"/>
  <c r="CD10" i="6" s="1"/>
  <c r="CC14" i="6" s="1"/>
  <c r="FH102" i="6" a="1"/>
  <c r="FH102" i="6" s="1"/>
  <c r="FG102" i="6" s="1"/>
  <c r="FA104" i="6"/>
  <c r="EY104" i="6"/>
  <c r="BU55" i="6"/>
  <c r="BR50" i="6"/>
  <c r="BT51" i="6" s="1" a="1"/>
  <c r="BT51" i="6" s="1"/>
  <c r="BS55" i="6"/>
  <c r="BR55" i="6"/>
  <c r="BS56" i="6" s="1"/>
  <c r="BT52" i="6"/>
  <c r="BQ56" i="6"/>
  <c r="BQ55" i="6"/>
  <c r="BR52" i="6"/>
  <c r="BV51" i="6"/>
  <c r="BX15" i="6" a="1"/>
  <c r="FD104" i="6" a="1"/>
  <c r="EV104" i="6" a="1"/>
  <c r="EX104" i="6" a="1"/>
  <c r="FC104" i="6" a="1"/>
  <c r="EZ104" i="6" a="1"/>
  <c r="FE104" i="6" a="1"/>
  <c r="BX15" i="6" l="1"/>
  <c r="CB11" i="6" a="1"/>
  <c r="CB11" i="6" s="1"/>
  <c r="FE104" i="6"/>
  <c r="EZ104" i="6"/>
  <c r="FC104" i="6"/>
  <c r="EX104" i="6"/>
  <c r="EV104" i="6"/>
  <c r="FD104" i="6"/>
  <c r="BU56" i="6" a="1"/>
  <c r="BU56" i="6" s="1"/>
  <c r="BK58" i="6" a="1"/>
  <c r="BK58" i="6" s="1"/>
  <c r="BY15" i="6" a="1"/>
  <c r="CF10" i="6" a="1"/>
  <c r="CG9" i="6" a="1"/>
  <c r="BJ57" i="6" a="1"/>
  <c r="FF104" i="6" a="1"/>
  <c r="EW106" i="6" a="1"/>
  <c r="CG9" i="6" l="1"/>
  <c r="CF10" i="6"/>
  <c r="BY15" i="6"/>
  <c r="EW106" i="6"/>
  <c r="FF104" i="6"/>
  <c r="FH104" i="6" s="1" a="1"/>
  <c r="FH104" i="6" s="1"/>
  <c r="FG104" i="6" s="1"/>
  <c r="BJ57" i="6"/>
  <c r="BK60" i="6" a="1"/>
  <c r="BK60" i="6" s="1"/>
  <c r="BN58" i="6" a="1"/>
  <c r="BN58" i="6" s="1"/>
  <c r="CD15" i="6" a="1"/>
  <c r="FA106" i="6" a="1"/>
  <c r="EY106" i="6" a="1"/>
  <c r="CD15" i="6" l="1"/>
  <c r="CK11" i="6" a="1"/>
  <c r="CK11" i="6" s="1"/>
  <c r="CF51" i="6" a="1"/>
  <c r="CF51" i="6" s="1"/>
  <c r="CG13" i="6"/>
  <c r="CF13" i="6"/>
  <c r="CJ9" i="6" a="1"/>
  <c r="CJ9" i="6" s="1"/>
  <c r="CH13" i="6"/>
  <c r="CG8" i="6"/>
  <c r="CG10" i="6"/>
  <c r="CJ13" i="6"/>
  <c r="CI10" i="6"/>
  <c r="CI53" i="6" a="1"/>
  <c r="CI53" i="6" s="1"/>
  <c r="CG11" i="6" a="1"/>
  <c r="CG11" i="6" s="1"/>
  <c r="EY106" i="6"/>
  <c r="FA106" i="6"/>
  <c r="BO58" i="6"/>
  <c r="BK62" i="6"/>
  <c r="BJ63" i="6"/>
  <c r="BJ62" i="6"/>
  <c r="BL62" i="6"/>
  <c r="BK57" i="6"/>
  <c r="BM58" i="6" s="1" a="1"/>
  <c r="BM58" i="6" s="1"/>
  <c r="BN62" i="6"/>
  <c r="BM59" i="6"/>
  <c r="BK59" i="6"/>
  <c r="EV106" i="6" a="1"/>
  <c r="EZ106" i="6" a="1"/>
  <c r="EX106" i="6" a="1"/>
  <c r="FC106" i="6" a="1"/>
  <c r="FD106" i="6" a="1"/>
  <c r="CF9" i="6" l="1" a="1"/>
  <c r="CF9" i="6" s="1"/>
  <c r="CK10" i="6" a="1"/>
  <c r="CK10" i="6" s="1"/>
  <c r="CJ14" i="6" s="1"/>
  <c r="CH14" i="6"/>
  <c r="CF14" i="6"/>
  <c r="CK9" i="6"/>
  <c r="CI9" i="6" a="1"/>
  <c r="CI9" i="6" s="1"/>
  <c r="CI11" i="6" a="1"/>
  <c r="CI11" i="6" s="1"/>
  <c r="FD106" i="6"/>
  <c r="FC106" i="6"/>
  <c r="EX106" i="6"/>
  <c r="EZ106" i="6"/>
  <c r="EV106" i="6"/>
  <c r="BL63" i="6"/>
  <c r="BN63" i="6" a="1"/>
  <c r="BN63" i="6" s="1"/>
  <c r="BR58" i="6" a="1"/>
  <c r="BR58" i="6" s="1"/>
  <c r="CE15" i="6" a="1"/>
  <c r="BY17" i="6" a="1"/>
  <c r="BZ16" i="6" a="1"/>
  <c r="BQ57" i="6" a="1"/>
  <c r="FF106" i="6" a="1"/>
  <c r="EW108" i="6" a="1"/>
  <c r="FE106" i="6" a="1"/>
  <c r="BZ16" i="6" l="1"/>
  <c r="BY17" i="6"/>
  <c r="CE15" i="6"/>
  <c r="FE106" i="6"/>
  <c r="EW108" i="6"/>
  <c r="FF106" i="6"/>
  <c r="BQ57" i="6"/>
  <c r="BU58" i="6" a="1"/>
  <c r="BU58" i="6" s="1"/>
  <c r="BR60" i="6" a="1"/>
  <c r="BR60" i="6" s="1"/>
  <c r="CF15" i="6" a="1"/>
  <c r="FA108" i="6" a="1"/>
  <c r="EY108" i="6" a="1"/>
  <c r="CF15" i="6" l="1"/>
  <c r="CD18" i="6" a="1"/>
  <c r="CD18" i="6" s="1"/>
  <c r="BY58" i="6" a="1"/>
  <c r="BY58" i="6" s="1"/>
  <c r="BZ15" i="6"/>
  <c r="CC16" i="6" a="1"/>
  <c r="CC16" i="6" s="1"/>
  <c r="CA20" i="6"/>
  <c r="CC20" i="6"/>
  <c r="BZ20" i="6"/>
  <c r="CB17" i="6"/>
  <c r="BY20" i="6"/>
  <c r="BZ17" i="6"/>
  <c r="BZ18" i="6" a="1"/>
  <c r="BZ18" i="6" s="1"/>
  <c r="CB60" i="6" a="1"/>
  <c r="CB60" i="6" s="1"/>
  <c r="FH106" i="6" a="1"/>
  <c r="FH106" i="6" s="1"/>
  <c r="FG106" i="6" s="1"/>
  <c r="EY108" i="6"/>
  <c r="FA108" i="6"/>
  <c r="BV58" i="6"/>
  <c r="BU62" i="6"/>
  <c r="BR57" i="6"/>
  <c r="BT58" i="6" s="1" a="1"/>
  <c r="BT58" i="6" s="1"/>
  <c r="BS62" i="6"/>
  <c r="BR62" i="6"/>
  <c r="BS63" i="6" s="1"/>
  <c r="BT59" i="6"/>
  <c r="BQ62" i="6"/>
  <c r="BQ63" i="6"/>
  <c r="BR59" i="6"/>
  <c r="CK15" i="6" a="1"/>
  <c r="FC108" i="6" a="1"/>
  <c r="EZ108" i="6" a="1"/>
  <c r="EX108" i="6" a="1"/>
  <c r="FD108" i="6" a="1"/>
  <c r="EV108" i="6" a="1"/>
  <c r="FE108" i="6" a="1"/>
  <c r="CK15" i="6" l="1"/>
  <c r="CD16" i="6"/>
  <c r="CB16" i="6" a="1"/>
  <c r="CB16" i="6" s="1"/>
  <c r="CA21" i="6"/>
  <c r="BY21" i="6"/>
  <c r="BY16" i="6" a="1"/>
  <c r="BY16" i="6" s="1"/>
  <c r="CD17" i="6" a="1"/>
  <c r="CD17" i="6" s="1"/>
  <c r="CC21" i="6" s="1"/>
  <c r="FE108" i="6"/>
  <c r="EV108" i="6"/>
  <c r="FD108" i="6"/>
  <c r="EX108" i="6"/>
  <c r="EZ108" i="6"/>
  <c r="FC108" i="6"/>
  <c r="BU63" i="6" a="1"/>
  <c r="BU63" i="6" s="1"/>
  <c r="BK65" i="6" a="1"/>
  <c r="BK65" i="6" s="1"/>
  <c r="BX22" i="6" a="1"/>
  <c r="BJ64" i="6" a="1"/>
  <c r="FF108" i="6" a="1"/>
  <c r="EW110" i="6" a="1"/>
  <c r="BX22" i="6" l="1"/>
  <c r="CB18" i="6" a="1"/>
  <c r="CB18" i="6" s="1"/>
  <c r="EW110" i="6"/>
  <c r="FF108" i="6"/>
  <c r="BJ64" i="6"/>
  <c r="BK67" i="6" a="1"/>
  <c r="BK67" i="6" s="1"/>
  <c r="BN65" i="6" a="1"/>
  <c r="BN65" i="6" s="1"/>
  <c r="FH108" i="6" a="1"/>
  <c r="FH108" i="6" s="1"/>
  <c r="FG108" i="6" s="1"/>
  <c r="BY22" i="6" a="1"/>
  <c r="CG16" i="6" a="1"/>
  <c r="CF17" i="6" a="1"/>
  <c r="FA110" i="6" a="1"/>
  <c r="EY110" i="6" a="1"/>
  <c r="CF17" i="6" l="1"/>
  <c r="CG16" i="6"/>
  <c r="BY22" i="6"/>
  <c r="EY110" i="6"/>
  <c r="FA110" i="6"/>
  <c r="BO65" i="6"/>
  <c r="BN69" i="6"/>
  <c r="BM66" i="6"/>
  <c r="BL69" i="6"/>
  <c r="BK66" i="6"/>
  <c r="BK69" i="6"/>
  <c r="BJ70" i="6"/>
  <c r="BJ69" i="6"/>
  <c r="BK64" i="6"/>
  <c r="BM65" i="6" s="1" a="1"/>
  <c r="BM65" i="6" s="1"/>
  <c r="CD22" i="6" a="1"/>
  <c r="FD110" i="6" a="1"/>
  <c r="EV110" i="6" a="1"/>
  <c r="FC110" i="6" a="1"/>
  <c r="EX110" i="6" a="1"/>
  <c r="EZ110" i="6" a="1"/>
  <c r="CD22" i="6" l="1"/>
  <c r="CJ20" i="6"/>
  <c r="CI17" i="6"/>
  <c r="CH20" i="6"/>
  <c r="CG17" i="6"/>
  <c r="CG20" i="6"/>
  <c r="CF20" i="6"/>
  <c r="CJ16" i="6" a="1"/>
  <c r="CJ16" i="6" s="1"/>
  <c r="CG15" i="6"/>
  <c r="CG18" i="6" a="1"/>
  <c r="CG18" i="6" s="1"/>
  <c r="CI60" i="6" a="1"/>
  <c r="CI60" i="6" s="1"/>
  <c r="CK18" i="6" a="1"/>
  <c r="CK18" i="6" s="1"/>
  <c r="CF58" i="6" a="1"/>
  <c r="CF58" i="6" s="1"/>
  <c r="EZ110" i="6"/>
  <c r="EX110" i="6"/>
  <c r="FC110" i="6"/>
  <c r="EV110" i="6"/>
  <c r="FD110" i="6"/>
  <c r="BN70" i="6" a="1"/>
  <c r="BN70" i="6" s="1"/>
  <c r="BR65" i="6" a="1"/>
  <c r="BR65" i="6" s="1"/>
  <c r="BL70" i="6"/>
  <c r="FE110" i="6" a="1"/>
  <c r="EW112" i="6" a="1"/>
  <c r="BQ64" i="6" a="1"/>
  <c r="FF110" i="6" a="1"/>
  <c r="CK16" i="6" l="1"/>
  <c r="CI16" i="6" a="1"/>
  <c r="CI16" i="6" s="1"/>
  <c r="CH21" i="6"/>
  <c r="CF21" i="6"/>
  <c r="CF16" i="6" a="1"/>
  <c r="CF16" i="6" s="1"/>
  <c r="CK17" i="6" a="1"/>
  <c r="CK17" i="6" s="1"/>
  <c r="CJ21" i="6" s="1"/>
  <c r="CI18" i="6" a="1"/>
  <c r="CI18" i="6" s="1"/>
  <c r="FF110" i="6"/>
  <c r="BQ64" i="6"/>
  <c r="EW112" i="6"/>
  <c r="FE110" i="6"/>
  <c r="BR67" i="6" a="1"/>
  <c r="BR67" i="6" s="1"/>
  <c r="BU65" i="6" a="1"/>
  <c r="BU65" i="6" s="1"/>
  <c r="BZ23" i="6" a="1"/>
  <c r="CE22" i="6" a="1"/>
  <c r="BY24" i="6" a="1"/>
  <c r="FA112" i="6" a="1"/>
  <c r="EY112" i="6" a="1"/>
  <c r="BY24" i="6" l="1"/>
  <c r="CE22" i="6"/>
  <c r="BZ23" i="6"/>
  <c r="FH110" i="6" a="1"/>
  <c r="FH110" i="6" s="1"/>
  <c r="FG110" i="6" s="1"/>
  <c r="EY112" i="6"/>
  <c r="FA112" i="6"/>
  <c r="BV65" i="6"/>
  <c r="BR66" i="6"/>
  <c r="BU69" i="6"/>
  <c r="BR64" i="6"/>
  <c r="BT65" i="6" s="1" a="1"/>
  <c r="BT65" i="6" s="1"/>
  <c r="BS69" i="6"/>
  <c r="BR69" i="6"/>
  <c r="BT66" i="6"/>
  <c r="BQ70" i="6"/>
  <c r="BQ69" i="6"/>
  <c r="CF22" i="6" a="1"/>
  <c r="FC112" i="6" a="1"/>
  <c r="FD112" i="6" a="1"/>
  <c r="EV112" i="6" a="1"/>
  <c r="EZ112" i="6" a="1"/>
  <c r="EX112" i="6" a="1"/>
  <c r="CF22" i="6" l="1"/>
  <c r="BZ27" i="6"/>
  <c r="CB24" i="6"/>
  <c r="BY27" i="6"/>
  <c r="BZ24" i="6"/>
  <c r="CC27" i="6"/>
  <c r="CA27" i="6"/>
  <c r="CC23" i="6" a="1"/>
  <c r="CC23" i="6" s="1"/>
  <c r="BZ22" i="6"/>
  <c r="CB67" i="6" a="1"/>
  <c r="CB67" i="6" s="1"/>
  <c r="BZ25" i="6" a="1"/>
  <c r="BZ25" i="6" s="1"/>
  <c r="CD25" i="6" a="1"/>
  <c r="CD25" i="6" s="1"/>
  <c r="BY65" i="6" a="1"/>
  <c r="BY65" i="6" s="1"/>
  <c r="EX112" i="6"/>
  <c r="EZ112" i="6"/>
  <c r="EV112" i="6"/>
  <c r="FD112" i="6"/>
  <c r="FC112" i="6"/>
  <c r="BU70" i="6" a="1"/>
  <c r="BU70" i="6" s="1"/>
  <c r="BK72" i="6" a="1"/>
  <c r="BK72" i="6" s="1"/>
  <c r="BS70" i="6"/>
  <c r="CK22" i="6" a="1"/>
  <c r="FE112" i="6" a="1"/>
  <c r="EW114" i="6" a="1"/>
  <c r="FF112" i="6" a="1"/>
  <c r="BJ71" i="6" a="1"/>
  <c r="CK22" i="6" l="1"/>
  <c r="CA28" i="6"/>
  <c r="BY28" i="6"/>
  <c r="CB23" i="6" a="1"/>
  <c r="CB23" i="6" s="1"/>
  <c r="CD23" i="6"/>
  <c r="BY23" i="6" a="1"/>
  <c r="BY23" i="6" s="1"/>
  <c r="CD24" i="6" a="1"/>
  <c r="CD24" i="6" s="1"/>
  <c r="CC28" i="6" s="1"/>
  <c r="BJ71" i="6"/>
  <c r="FF112" i="6"/>
  <c r="EW114" i="6"/>
  <c r="FE112" i="6"/>
  <c r="BN72" i="6" a="1"/>
  <c r="BN72" i="6" s="1"/>
  <c r="BK74" i="6" a="1"/>
  <c r="BK74" i="6" s="1"/>
  <c r="BX29" i="6" a="1"/>
  <c r="EY114" i="6" a="1"/>
  <c r="FA114" i="6" a="1"/>
  <c r="BX29" i="6" l="1"/>
  <c r="CB25" i="6" a="1"/>
  <c r="CB25" i="6" s="1"/>
  <c r="FH112" i="6" a="1"/>
  <c r="FH112" i="6" s="1"/>
  <c r="FG112" i="6" s="1"/>
  <c r="FA114" i="6"/>
  <c r="EY114" i="6"/>
  <c r="BK71" i="6"/>
  <c r="BN76" i="6"/>
  <c r="BM73" i="6"/>
  <c r="BL76" i="6"/>
  <c r="BK73" i="6"/>
  <c r="BK76" i="6"/>
  <c r="BL77" i="6" s="1"/>
  <c r="BJ77" i="6"/>
  <c r="BJ76" i="6"/>
  <c r="BM72" i="6" a="1"/>
  <c r="BM72" i="6" s="1"/>
  <c r="BO72" i="6"/>
  <c r="BY29" i="6" a="1"/>
  <c r="CF24" i="6" a="1"/>
  <c r="CG23" i="6" a="1"/>
  <c r="FC114" i="6" a="1"/>
  <c r="EV114" i="6" a="1"/>
  <c r="EZ114" i="6" a="1"/>
  <c r="FD114" i="6" a="1"/>
  <c r="FE114" i="6" a="1"/>
  <c r="EX114" i="6" a="1"/>
  <c r="CG23" i="6" l="1"/>
  <c r="CF24" i="6"/>
  <c r="BY29" i="6"/>
  <c r="EX114" i="6"/>
  <c r="FE114" i="6"/>
  <c r="FD114" i="6"/>
  <c r="EZ114" i="6"/>
  <c r="EV114" i="6"/>
  <c r="FC114" i="6"/>
  <c r="BN77" i="6" a="1"/>
  <c r="BN77" i="6" s="1"/>
  <c r="BR72" i="6" a="1"/>
  <c r="BR72" i="6" s="1"/>
  <c r="CD29" i="6" a="1"/>
  <c r="BQ71" i="6" a="1"/>
  <c r="FF114" i="6" a="1"/>
  <c r="EW116" i="6" a="1"/>
  <c r="CD29" i="6" l="1"/>
  <c r="CK25" i="6" a="1"/>
  <c r="CK25" i="6" s="1"/>
  <c r="CF65" i="6" a="1"/>
  <c r="CF65" i="6" s="1"/>
  <c r="CG22" i="6"/>
  <c r="CJ27" i="6"/>
  <c r="CI24" i="6"/>
  <c r="CH27" i="6"/>
  <c r="CG24" i="6"/>
  <c r="CF27" i="6"/>
  <c r="CG27" i="6"/>
  <c r="CJ23" i="6" a="1"/>
  <c r="CJ23" i="6" s="1"/>
  <c r="CG25" i="6" a="1"/>
  <c r="CG25" i="6" s="1"/>
  <c r="CI67" i="6" a="1"/>
  <c r="CI67" i="6" s="1"/>
  <c r="EW116" i="6"/>
  <c r="FF114" i="6"/>
  <c r="FH114" i="6" s="1" a="1"/>
  <c r="FH114" i="6" s="1"/>
  <c r="FG114" i="6" s="1"/>
  <c r="BQ71" i="6"/>
  <c r="BR74" i="6" a="1"/>
  <c r="BR74" i="6" s="1"/>
  <c r="BU72" i="6" a="1"/>
  <c r="BU72" i="6" s="1"/>
  <c r="EY116" i="6" a="1"/>
  <c r="FA116" i="6" a="1"/>
  <c r="CK24" i="6" l="1" a="1"/>
  <c r="CK24" i="6" s="1"/>
  <c r="CJ28" i="6" s="1"/>
  <c r="CF23" i="6" a="1"/>
  <c r="CF23" i="6" s="1"/>
  <c r="CI23" i="6" a="1"/>
  <c r="CI23" i="6" s="1"/>
  <c r="CK23" i="6"/>
  <c r="CH28" i="6"/>
  <c r="CF28" i="6"/>
  <c r="CI25" i="6" a="1"/>
  <c r="CI25" i="6" s="1"/>
  <c r="FA116" i="6"/>
  <c r="EY116" i="6"/>
  <c r="BR76" i="6"/>
  <c r="BS77" i="6" s="1"/>
  <c r="BT73" i="6"/>
  <c r="BQ77" i="6"/>
  <c r="BQ76" i="6"/>
  <c r="BR73" i="6"/>
  <c r="BU76" i="6"/>
  <c r="BR71" i="6"/>
  <c r="BT72" i="6" s="1" a="1"/>
  <c r="BT72" i="6" s="1"/>
  <c r="BS76" i="6"/>
  <c r="BV72" i="6"/>
  <c r="CE29" i="6" a="1"/>
  <c r="BY31" i="6" a="1"/>
  <c r="BZ30" i="6" a="1"/>
  <c r="FC116" i="6" a="1"/>
  <c r="FD116" i="6" a="1"/>
  <c r="EV116" i="6" a="1"/>
  <c r="EX116" i="6" a="1"/>
  <c r="EZ116" i="6" a="1"/>
  <c r="FE116" i="6" a="1"/>
  <c r="BZ30" i="6" l="1"/>
  <c r="BY31" i="6"/>
  <c r="CE29" i="6"/>
  <c r="FE116" i="6"/>
  <c r="EZ116" i="6"/>
  <c r="EX116" i="6"/>
  <c r="EV116" i="6"/>
  <c r="FD116" i="6"/>
  <c r="FC116" i="6"/>
  <c r="BU77" i="6" a="1"/>
  <c r="BU77" i="6" s="1"/>
  <c r="BK79" i="6" a="1"/>
  <c r="BK79" i="6" s="1"/>
  <c r="CF29" i="6" a="1"/>
  <c r="BJ78" i="6" a="1"/>
  <c r="FF116" i="6" a="1"/>
  <c r="EW118" i="6" a="1"/>
  <c r="CF29" i="6" l="1"/>
  <c r="CD32" i="6" a="1"/>
  <c r="CD32" i="6" s="1"/>
  <c r="BY72" i="6" a="1"/>
  <c r="BY72" i="6" s="1"/>
  <c r="CC34" i="6"/>
  <c r="CA34" i="6"/>
  <c r="CC30" i="6" a="1"/>
  <c r="CC30" i="6" s="1"/>
  <c r="BZ29" i="6"/>
  <c r="BZ34" i="6"/>
  <c r="CB31" i="6"/>
  <c r="BY34" i="6"/>
  <c r="BZ31" i="6"/>
  <c r="BZ32" i="6" a="1"/>
  <c r="BZ32" i="6" s="1"/>
  <c r="CB74" i="6" a="1"/>
  <c r="CB74" i="6" s="1"/>
  <c r="EW118" i="6"/>
  <c r="FF116" i="6"/>
  <c r="FH116" i="6" s="1" a="1"/>
  <c r="FH116" i="6" s="1"/>
  <c r="FG116" i="6" s="1"/>
  <c r="BJ78" i="6"/>
  <c r="BK81" i="6" a="1"/>
  <c r="BK81" i="6" s="1"/>
  <c r="BN79" i="6" a="1"/>
  <c r="BN79" i="6" s="1"/>
  <c r="CK29" i="6" a="1"/>
  <c r="FA118" i="6" a="1"/>
  <c r="EY118" i="6" a="1"/>
  <c r="CK29" i="6" l="1"/>
  <c r="CD31" i="6" a="1"/>
  <c r="CD31" i="6" s="1"/>
  <c r="CC35" i="6" s="1"/>
  <c r="BY30" i="6" a="1"/>
  <c r="BY30" i="6" s="1"/>
  <c r="CB30" i="6" a="1"/>
  <c r="CB30" i="6" s="1"/>
  <c r="CD30" i="6"/>
  <c r="CA35" i="6"/>
  <c r="BY35" i="6"/>
  <c r="EY118" i="6"/>
  <c r="FA118" i="6"/>
  <c r="BO79" i="6"/>
  <c r="BK78" i="6"/>
  <c r="BM79" i="6" s="1" a="1"/>
  <c r="BM79" i="6" s="1"/>
  <c r="BN83" i="6"/>
  <c r="BM80" i="6"/>
  <c r="BL83" i="6"/>
  <c r="BK80" i="6"/>
  <c r="BK83" i="6"/>
  <c r="BJ84" i="6"/>
  <c r="BJ83" i="6"/>
  <c r="BX36" i="6" a="1"/>
  <c r="EX118" i="6" a="1"/>
  <c r="FC118" i="6" a="1"/>
  <c r="EV118" i="6" a="1"/>
  <c r="EZ118" i="6" a="1"/>
  <c r="FD118" i="6" a="1"/>
  <c r="BX36" i="6" l="1"/>
  <c r="CB32" i="6" a="1"/>
  <c r="CB32" i="6" s="1"/>
  <c r="FD118" i="6"/>
  <c r="EZ118" i="6"/>
  <c r="EV118" i="6"/>
  <c r="FC118" i="6"/>
  <c r="EX118" i="6"/>
  <c r="BN84" i="6" a="1"/>
  <c r="BN84" i="6" s="1"/>
  <c r="BR79" i="6" a="1"/>
  <c r="BR79" i="6" s="1"/>
  <c r="BL84" i="6"/>
  <c r="BY36" i="6" a="1"/>
  <c r="CG30" i="6" a="1"/>
  <c r="CF31" i="6" a="1"/>
  <c r="FE118" i="6" a="1"/>
  <c r="EW120" i="6" a="1"/>
  <c r="FF118" i="6" a="1"/>
  <c r="BQ78" i="6" a="1"/>
  <c r="CF31" i="6" l="1"/>
  <c r="CG30" i="6"/>
  <c r="BY36" i="6"/>
  <c r="BQ78" i="6"/>
  <c r="FF118" i="6"/>
  <c r="EW120" i="6"/>
  <c r="FE118" i="6"/>
  <c r="FH118" i="6" s="1" a="1"/>
  <c r="FH118" i="6" s="1"/>
  <c r="FG118" i="6" s="1"/>
  <c r="BU79" i="6" a="1"/>
  <c r="BU79" i="6" s="1"/>
  <c r="BR81" i="6" a="1"/>
  <c r="BR81" i="6" s="1"/>
  <c r="CD36" i="6" a="1"/>
  <c r="EY120" i="6" a="1"/>
  <c r="FA120" i="6" a="1"/>
  <c r="CD36" i="6" l="1"/>
  <c r="CJ30" i="6" a="1"/>
  <c r="CJ30" i="6" s="1"/>
  <c r="CG31" i="6"/>
  <c r="CG29" i="6"/>
  <c r="CJ34" i="6"/>
  <c r="CI31" i="6"/>
  <c r="CH34" i="6"/>
  <c r="CG34" i="6"/>
  <c r="CF34" i="6"/>
  <c r="CI74" i="6" a="1"/>
  <c r="CI74" i="6" s="1"/>
  <c r="CG32" i="6" a="1"/>
  <c r="CG32" i="6" s="1"/>
  <c r="CK32" i="6" a="1"/>
  <c r="CK32" i="6" s="1"/>
  <c r="CF72" i="6" a="1"/>
  <c r="CF72" i="6" s="1"/>
  <c r="FA120" i="6"/>
  <c r="EY120" i="6"/>
  <c r="BU83" i="6"/>
  <c r="BR78" i="6"/>
  <c r="BT79" i="6" s="1" a="1"/>
  <c r="BT79" i="6" s="1"/>
  <c r="BS83" i="6"/>
  <c r="BR83" i="6"/>
  <c r="BT80" i="6"/>
  <c r="BQ84" i="6"/>
  <c r="BQ83" i="6"/>
  <c r="BR80" i="6"/>
  <c r="BV79" i="6"/>
  <c r="BY43" i="6" a="1"/>
  <c r="FD120" i="6" a="1"/>
  <c r="EV120" i="6" a="1"/>
  <c r="EZ120" i="6" a="1"/>
  <c r="EX120" i="6" a="1"/>
  <c r="FC120" i="6" a="1"/>
  <c r="CK31" i="6" l="1" a="1"/>
  <c r="CK31" i="6" s="1"/>
  <c r="CJ35" i="6" s="1"/>
  <c r="CF30" i="6" a="1"/>
  <c r="CF30" i="6" s="1"/>
  <c r="CF35" i="6"/>
  <c r="CH35" i="6"/>
  <c r="CI30" i="6" a="1"/>
  <c r="CI30" i="6" s="1"/>
  <c r="CK30" i="6"/>
  <c r="CI32" i="6" a="1"/>
  <c r="CI32" i="6" s="1"/>
  <c r="BY43" i="6"/>
  <c r="FC120" i="6"/>
  <c r="EX120" i="6"/>
  <c r="EZ120" i="6"/>
  <c r="EV120" i="6"/>
  <c r="FD120" i="6"/>
  <c r="BS84" i="6"/>
  <c r="BU84" i="6" a="1"/>
  <c r="BU84" i="6" s="1"/>
  <c r="BZ37" i="6" a="1"/>
  <c r="CE36" i="6" a="1"/>
  <c r="BY38" i="6" a="1"/>
  <c r="FF120" i="6" a="1"/>
  <c r="FE120" i="6" a="1"/>
  <c r="BY38" i="6" l="1"/>
  <c r="CE36" i="6"/>
  <c r="BZ37" i="6"/>
  <c r="FE120" i="6"/>
  <c r="FF120" i="6"/>
  <c r="CF36" i="6" a="1"/>
  <c r="CF36" i="6" l="1"/>
  <c r="CC41" i="6"/>
  <c r="CA41" i="6"/>
  <c r="CC37" i="6" a="1"/>
  <c r="CC37" i="6" s="1"/>
  <c r="BZ36" i="6"/>
  <c r="BZ41" i="6"/>
  <c r="CB38" i="6"/>
  <c r="BY41" i="6"/>
  <c r="BZ38" i="6"/>
  <c r="CB81" i="6" a="1"/>
  <c r="CB81" i="6" s="1"/>
  <c r="BZ39" i="6" a="1"/>
  <c r="BZ39" i="6" s="1"/>
  <c r="CD39" i="6" a="1"/>
  <c r="CD39" i="6" s="1"/>
  <c r="BY79" i="6" a="1"/>
  <c r="BY79" i="6" s="1"/>
  <c r="FH120" i="6" a="1"/>
  <c r="FH120" i="6" s="1"/>
  <c r="FG120" i="6" s="1"/>
  <c r="CK36" i="6" a="1"/>
  <c r="CK36" i="6" l="1"/>
  <c r="CD37" i="6"/>
  <c r="CB37" i="6" a="1"/>
  <c r="CB37" i="6" s="1"/>
  <c r="CA42" i="6"/>
  <c r="BY42" i="6"/>
  <c r="BY37" i="6" a="1"/>
  <c r="BY37" i="6" s="1"/>
  <c r="CD38" i="6" a="1"/>
  <c r="CD38" i="6" s="1"/>
  <c r="CC42" i="6" s="1"/>
  <c r="CM1" i="6" a="1"/>
  <c r="CM1" i="6" l="1"/>
  <c r="CB39" i="6" a="1"/>
  <c r="CB39" i="6" s="1"/>
  <c r="CN1" i="6" a="1"/>
  <c r="CG37" i="6" a="1"/>
  <c r="CF38" i="6" a="1"/>
  <c r="CN1" i="6" l="1"/>
  <c r="CF38" i="6"/>
  <c r="CG37" i="6"/>
  <c r="CS1" i="6" a="1"/>
  <c r="CS1" i="6" l="1"/>
  <c r="CI39" i="6" s="1" a="1"/>
  <c r="CI39" i="6" s="1"/>
  <c r="CG41" i="6"/>
  <c r="CF41" i="6"/>
  <c r="CJ37" i="6" a="1"/>
  <c r="CJ37" i="6" s="1"/>
  <c r="CG36" i="6"/>
  <c r="BZ44" i="6" s="1" a="1"/>
  <c r="BZ44" i="6" s="1"/>
  <c r="CJ41" i="6"/>
  <c r="CI38" i="6"/>
  <c r="CH41" i="6"/>
  <c r="CG38" i="6"/>
  <c r="CI81" i="6" a="1"/>
  <c r="CI81" i="6" s="1"/>
  <c r="CG39" i="6" a="1"/>
  <c r="CG39" i="6" s="1"/>
  <c r="CK39" i="6" a="1"/>
  <c r="CK39" i="6" s="1"/>
  <c r="CF79" i="6" a="1"/>
  <c r="CF79" i="6" s="1"/>
  <c r="CH42" i="6" l="1"/>
  <c r="CF42" i="6"/>
  <c r="CF37" i="6" a="1"/>
  <c r="CF37" i="6" s="1"/>
  <c r="CK38" i="6" a="1"/>
  <c r="CK38" i="6" s="1"/>
  <c r="CJ42" i="6" s="1"/>
  <c r="CK37" i="6"/>
  <c r="CI37" i="6" a="1"/>
  <c r="CI37" i="6" s="1"/>
  <c r="CC44" i="6" a="1"/>
  <c r="CC44" i="6" s="1"/>
  <c r="BZ46" i="6" a="1"/>
  <c r="BZ46" i="6" s="1"/>
  <c r="CN3" i="6" a="1"/>
  <c r="CO2" i="6" a="1"/>
  <c r="CT1" i="6" a="1"/>
  <c r="CT1" i="6" l="1"/>
  <c r="CO2" i="6"/>
  <c r="CN3" i="6"/>
  <c r="BZ43" i="6"/>
  <c r="CC48" i="6"/>
  <c r="CB45" i="6"/>
  <c r="BY48" i="6"/>
  <c r="CA48" i="6"/>
  <c r="BZ45" i="6"/>
  <c r="BY49" i="6"/>
  <c r="BZ48" i="6"/>
  <c r="CA49" i="6" s="1"/>
  <c r="CD44" i="6"/>
  <c r="CB44" i="6" a="1"/>
  <c r="CB44" i="6" s="1"/>
  <c r="CU1" i="6" a="1"/>
  <c r="CU1" i="6" l="1"/>
  <c r="CS4" i="6" a="1"/>
  <c r="CS4" i="6" s="1"/>
  <c r="CN44" i="6" a="1"/>
  <c r="CN44" i="6" s="1"/>
  <c r="CR6" i="6"/>
  <c r="CP6" i="6"/>
  <c r="CO4" i="6" a="1"/>
  <c r="CO4" i="6" s="1"/>
  <c r="CR2" i="6" a="1"/>
  <c r="CR2" i="6" s="1"/>
  <c r="CO1" i="6"/>
  <c r="CS3" i="6" s="1" a="1"/>
  <c r="CS3" i="6" s="1"/>
  <c r="CR7" i="6" s="1"/>
  <c r="CO6" i="6"/>
  <c r="CQ3" i="6"/>
  <c r="CN6" i="6"/>
  <c r="CO3" i="6"/>
  <c r="CQ46" i="6" a="1"/>
  <c r="CQ46" i="6" s="1"/>
  <c r="CC49" i="6" a="1"/>
  <c r="CC49" i="6" s="1"/>
  <c r="CG44" i="6" a="1"/>
  <c r="CG44" i="6" s="1"/>
  <c r="CZ1" i="6" a="1"/>
  <c r="CF43" i="6" a="1"/>
  <c r="CZ1" i="6" l="1"/>
  <c r="CQ2" i="6" a="1"/>
  <c r="CQ2" i="6" s="1"/>
  <c r="CS2" i="6"/>
  <c r="CP7" i="6"/>
  <c r="CN7" i="6"/>
  <c r="CN2" i="6" a="1"/>
  <c r="CN2" i="6" s="1"/>
  <c r="CF43" i="6"/>
  <c r="CG46" i="6" a="1"/>
  <c r="CG46" i="6" s="1"/>
  <c r="CJ44" i="6" a="1"/>
  <c r="CJ44" i="6" s="1"/>
  <c r="CM8" i="6" a="1"/>
  <c r="CM8" i="6" l="1"/>
  <c r="CQ4" i="6" a="1"/>
  <c r="CQ4" i="6" s="1"/>
  <c r="CG48" i="6"/>
  <c r="CH49" i="6" s="1"/>
  <c r="CI45" i="6"/>
  <c r="CF49" i="6"/>
  <c r="CF48" i="6"/>
  <c r="CG45" i="6"/>
  <c r="CH48" i="6"/>
  <c r="CJ48" i="6"/>
  <c r="CG43" i="6"/>
  <c r="CI44" i="6" s="1" a="1"/>
  <c r="CI44" i="6" s="1"/>
  <c r="CK44" i="6"/>
  <c r="CN8" i="6" a="1"/>
  <c r="CV2" i="6" a="1"/>
  <c r="CU3" i="6" a="1"/>
  <c r="CU3" i="6" l="1"/>
  <c r="CV2" i="6"/>
  <c r="CN8" i="6"/>
  <c r="CJ49" i="6" a="1"/>
  <c r="CJ49" i="6" s="1"/>
  <c r="BZ51" i="6" a="1"/>
  <c r="BZ51" i="6" s="1"/>
  <c r="CS8" i="6" a="1"/>
  <c r="BY50" i="6" a="1"/>
  <c r="CS8" i="6" l="1"/>
  <c r="CY2" i="6" a="1"/>
  <c r="CY2" i="6" s="1"/>
  <c r="CX3" i="6"/>
  <c r="CV3" i="6"/>
  <c r="CV6" i="6"/>
  <c r="CV1" i="6"/>
  <c r="CZ3" i="6" s="1" a="1"/>
  <c r="CZ3" i="6" s="1"/>
  <c r="CV4" i="6" a="1"/>
  <c r="CV4" i="6" s="1"/>
  <c r="CY6" i="6"/>
  <c r="CU6" i="6"/>
  <c r="CW6" i="6"/>
  <c r="CX46" i="6" a="1"/>
  <c r="CX46" i="6" s="1"/>
  <c r="CZ4" i="6" a="1"/>
  <c r="CZ4" i="6" s="1"/>
  <c r="CU44" i="6" a="1"/>
  <c r="CU44" i="6" s="1"/>
  <c r="BY50" i="6"/>
  <c r="BZ53" i="6" a="1"/>
  <c r="BZ53" i="6" s="1"/>
  <c r="CC51" i="6" a="1"/>
  <c r="CC51" i="6" s="1"/>
  <c r="CY7" i="6" l="1"/>
  <c r="CU7" i="6"/>
  <c r="CU2" i="6" a="1"/>
  <c r="CU2" i="6" s="1"/>
  <c r="CW7" i="6"/>
  <c r="CX2" i="6" a="1"/>
  <c r="CX2" i="6" s="1"/>
  <c r="CZ2" i="6"/>
  <c r="CX4" i="6" a="1"/>
  <c r="CX4" i="6" s="1"/>
  <c r="CD51" i="6"/>
  <c r="BZ52" i="6"/>
  <c r="CA55" i="6"/>
  <c r="BY56" i="6"/>
  <c r="BY55" i="6"/>
  <c r="BZ50" i="6"/>
  <c r="CC55" i="6"/>
  <c r="CB52" i="6"/>
  <c r="BZ55" i="6"/>
  <c r="CA56" i="6" s="1"/>
  <c r="CT8" i="6" a="1"/>
  <c r="CO9" i="6" a="1"/>
  <c r="CN10" i="6" a="1"/>
  <c r="CN10" i="6" l="1"/>
  <c r="CO9" i="6"/>
  <c r="CT8" i="6"/>
  <c r="CC56" i="6" a="1"/>
  <c r="CC56" i="6" s="1"/>
  <c r="CG51" i="6" a="1"/>
  <c r="CG51" i="6" s="1"/>
  <c r="CB51" i="6" a="1"/>
  <c r="CB51" i="6" s="1"/>
  <c r="CU8" i="6" a="1"/>
  <c r="CF50" i="6" a="1"/>
  <c r="CU8" i="6" l="1"/>
  <c r="CR13" i="6"/>
  <c r="CP13" i="6"/>
  <c r="CR9" i="6" a="1"/>
  <c r="CR9" i="6" s="1"/>
  <c r="CO8" i="6"/>
  <c r="CO13" i="6"/>
  <c r="CQ10" i="6"/>
  <c r="CN13" i="6"/>
  <c r="CO10" i="6"/>
  <c r="CO11" i="6" a="1"/>
  <c r="CO11" i="6" s="1"/>
  <c r="CQ53" i="6" a="1"/>
  <c r="CQ53" i="6" s="1"/>
  <c r="CS11" i="6" a="1"/>
  <c r="CS11" i="6" s="1"/>
  <c r="CN51" i="6" a="1"/>
  <c r="CN51" i="6" s="1"/>
  <c r="CF50" i="6"/>
  <c r="CJ51" i="6" a="1"/>
  <c r="CJ51" i="6" s="1"/>
  <c r="CG53" i="6" a="1"/>
  <c r="CG53" i="6" s="1"/>
  <c r="CZ8" i="6" a="1"/>
  <c r="CZ8" i="6" l="1"/>
  <c r="CN9" i="6" a="1"/>
  <c r="CN9" i="6" s="1"/>
  <c r="CS10" i="6" a="1"/>
  <c r="CS10" i="6" s="1"/>
  <c r="CR14" i="6" s="1"/>
  <c r="CS9" i="6"/>
  <c r="CQ9" i="6" a="1"/>
  <c r="CQ9" i="6" s="1"/>
  <c r="CP14" i="6"/>
  <c r="CN14" i="6"/>
  <c r="CJ55" i="6"/>
  <c r="CG50" i="6"/>
  <c r="CI51" i="6" s="1" a="1"/>
  <c r="CI51" i="6" s="1"/>
  <c r="CH55" i="6"/>
  <c r="CG55" i="6"/>
  <c r="CH56" i="6" s="1"/>
  <c r="CI52" i="6"/>
  <c r="CF56" i="6"/>
  <c r="CF55" i="6"/>
  <c r="CG52" i="6"/>
  <c r="CK51" i="6"/>
  <c r="CM15" i="6" a="1"/>
  <c r="CM15" i="6" l="1"/>
  <c r="CQ11" i="6" a="1"/>
  <c r="CQ11" i="6" s="1"/>
  <c r="CJ56" i="6" a="1"/>
  <c r="CJ56" i="6" s="1"/>
  <c r="BZ58" i="6" a="1"/>
  <c r="BZ58" i="6" s="1"/>
  <c r="CN15" i="6" a="1"/>
  <c r="CV9" i="6" a="1"/>
  <c r="CU10" i="6" a="1"/>
  <c r="BY57" i="6" a="1"/>
  <c r="CU10" i="6" l="1"/>
  <c r="CV9" i="6"/>
  <c r="CN15" i="6"/>
  <c r="BY57" i="6"/>
  <c r="BZ60" i="6" a="1"/>
  <c r="BZ60" i="6" s="1"/>
  <c r="CC58" i="6" a="1"/>
  <c r="CC58" i="6" s="1"/>
  <c r="CS15" i="6" a="1"/>
  <c r="CS15" i="6" l="1"/>
  <c r="CV13" i="6"/>
  <c r="CU13" i="6"/>
  <c r="CY9" i="6" a="1"/>
  <c r="CY9" i="6" s="1"/>
  <c r="CV8" i="6"/>
  <c r="CW13" i="6"/>
  <c r="CY13" i="6"/>
  <c r="CX10" i="6"/>
  <c r="CV10" i="6"/>
  <c r="CX53" i="6" a="1"/>
  <c r="CX53" i="6" s="1"/>
  <c r="CV11" i="6" a="1"/>
  <c r="CV11" i="6" s="1"/>
  <c r="CZ11" i="6" a="1"/>
  <c r="CZ11" i="6" s="1"/>
  <c r="CU51" i="6" a="1"/>
  <c r="CU51" i="6" s="1"/>
  <c r="BZ62" i="6"/>
  <c r="CA63" i="6" s="1"/>
  <c r="BZ57" i="6"/>
  <c r="CB58" i="6" s="1" a="1"/>
  <c r="CB58" i="6" s="1"/>
  <c r="BY63" i="6"/>
  <c r="BY62" i="6"/>
  <c r="CC62" i="6"/>
  <c r="CB59" i="6"/>
  <c r="CA62" i="6"/>
  <c r="BZ59" i="6"/>
  <c r="CD58" i="6"/>
  <c r="CU9" i="6" l="1" a="1"/>
  <c r="CU9" i="6" s="1"/>
  <c r="CZ10" i="6" a="1"/>
  <c r="CZ10" i="6" s="1"/>
  <c r="CY14" i="6" s="1"/>
  <c r="CZ9" i="6"/>
  <c r="CX9" i="6" a="1"/>
  <c r="CX9" i="6" s="1"/>
  <c r="CW14" i="6"/>
  <c r="CU14" i="6"/>
  <c r="CX11" i="6" a="1"/>
  <c r="CX11" i="6" s="1"/>
  <c r="CC63" i="6" a="1"/>
  <c r="CC63" i="6" s="1"/>
  <c r="CG58" i="6" a="1"/>
  <c r="CG58" i="6" s="1"/>
  <c r="CT15" i="6" a="1"/>
  <c r="CN17" i="6" a="1"/>
  <c r="CO16" i="6" a="1"/>
  <c r="CF57" i="6" a="1"/>
  <c r="CO16" i="6" l="1"/>
  <c r="CN17" i="6"/>
  <c r="CT15" i="6"/>
  <c r="CF57" i="6"/>
  <c r="CJ58" i="6" a="1"/>
  <c r="CJ58" i="6" s="1"/>
  <c r="CG60" i="6" a="1"/>
  <c r="CG60" i="6" s="1"/>
  <c r="CU15" i="6" a="1"/>
  <c r="CU15" i="6" l="1"/>
  <c r="CS18" i="6" a="1"/>
  <c r="CS18" i="6" s="1"/>
  <c r="CN58" i="6" a="1"/>
  <c r="CN58" i="6" s="1"/>
  <c r="CR20" i="6"/>
  <c r="CO17" i="6"/>
  <c r="CP20" i="6"/>
  <c r="CR16" i="6" a="1"/>
  <c r="CR16" i="6" s="1"/>
  <c r="CO15" i="6"/>
  <c r="CN20" i="6"/>
  <c r="CO20" i="6"/>
  <c r="CQ17" i="6"/>
  <c r="CQ60" i="6" a="1"/>
  <c r="CQ60" i="6" s="1"/>
  <c r="CO18" i="6" a="1"/>
  <c r="CO18" i="6" s="1"/>
  <c r="CF63" i="6"/>
  <c r="CJ62" i="6"/>
  <c r="CG57" i="6"/>
  <c r="CH62" i="6"/>
  <c r="CG62" i="6"/>
  <c r="CH63" i="6" s="1"/>
  <c r="CI59" i="6"/>
  <c r="CF62" i="6"/>
  <c r="CG59" i="6"/>
  <c r="CK58" i="6"/>
  <c r="CI58" i="6" a="1"/>
  <c r="CI58" i="6" s="1"/>
  <c r="CZ15" i="6" a="1"/>
  <c r="CZ15" i="6" l="1"/>
  <c r="CN16" i="6" a="1"/>
  <c r="CN16" i="6" s="1"/>
  <c r="CS17" i="6" a="1"/>
  <c r="CS17" i="6" s="1"/>
  <c r="CR21" i="6" s="1"/>
  <c r="CN21" i="6"/>
  <c r="CP21" i="6"/>
  <c r="CS16" i="6"/>
  <c r="CQ16" i="6" a="1"/>
  <c r="CQ16" i="6" s="1"/>
  <c r="CJ63" i="6" a="1"/>
  <c r="CJ63" i="6" s="1"/>
  <c r="BZ65" i="6" a="1"/>
  <c r="BZ65" i="6" s="1"/>
  <c r="CM22" i="6" a="1"/>
  <c r="BY64" i="6" a="1"/>
  <c r="CM22" i="6" l="1"/>
  <c r="CQ18" i="6" a="1"/>
  <c r="CQ18" i="6" s="1"/>
  <c r="BY64" i="6"/>
  <c r="CC65" i="6" a="1"/>
  <c r="CC65" i="6" s="1"/>
  <c r="BZ67" i="6" a="1"/>
  <c r="BZ67" i="6" s="1"/>
  <c r="CN22" i="6" a="1"/>
  <c r="CV16" i="6" a="1"/>
  <c r="CU17" i="6" a="1"/>
  <c r="CU17" i="6" l="1"/>
  <c r="CV16" i="6"/>
  <c r="CN22" i="6"/>
  <c r="CD65" i="6"/>
  <c r="CC69" i="6"/>
  <c r="CB66" i="6"/>
  <c r="CA69" i="6"/>
  <c r="BZ66" i="6"/>
  <c r="BZ69" i="6"/>
  <c r="CA70" i="6" s="1"/>
  <c r="BY70" i="6"/>
  <c r="BY69" i="6"/>
  <c r="BZ64" i="6"/>
  <c r="CB65" i="6" s="1" a="1"/>
  <c r="CB65" i="6" s="1"/>
  <c r="CS22" i="6" a="1"/>
  <c r="CS22" i="6" l="1"/>
  <c r="CY20" i="6"/>
  <c r="CX17" i="6"/>
  <c r="CW20" i="6"/>
  <c r="CV17" i="6"/>
  <c r="CV20" i="6"/>
  <c r="CU20" i="6"/>
  <c r="CY16" i="6" a="1"/>
  <c r="CY16" i="6" s="1"/>
  <c r="CV15" i="6"/>
  <c r="CV18" i="6" a="1"/>
  <c r="CV18" i="6" s="1"/>
  <c r="CX60" i="6" a="1"/>
  <c r="CX60" i="6" s="1"/>
  <c r="CZ18" i="6" a="1"/>
  <c r="CZ18" i="6" s="1"/>
  <c r="CU58" i="6" a="1"/>
  <c r="CU58" i="6" s="1"/>
  <c r="CC70" i="6" a="1"/>
  <c r="CC70" i="6" s="1"/>
  <c r="CG65" i="6" a="1"/>
  <c r="CG65" i="6" s="1"/>
  <c r="CF64" i="6" a="1"/>
  <c r="CZ16" i="6" l="1"/>
  <c r="CX16" i="6" a="1"/>
  <c r="CX16" i="6" s="1"/>
  <c r="CW21" i="6"/>
  <c r="CU21" i="6"/>
  <c r="CU16" i="6" a="1"/>
  <c r="CU16" i="6" s="1"/>
  <c r="CZ17" i="6" a="1"/>
  <c r="CZ17" i="6" s="1"/>
  <c r="CY21" i="6" s="1"/>
  <c r="CX18" i="6" a="1"/>
  <c r="CX18" i="6" s="1"/>
  <c r="CF64" i="6"/>
  <c r="CG67" i="6" a="1"/>
  <c r="CG67" i="6" s="1"/>
  <c r="CJ65" i="6" a="1"/>
  <c r="CJ65" i="6" s="1"/>
  <c r="CT22" i="6" a="1"/>
  <c r="CN24" i="6" a="1"/>
  <c r="CO23" i="6" a="1"/>
  <c r="CO23" i="6" l="1"/>
  <c r="CN24" i="6"/>
  <c r="CT22" i="6"/>
  <c r="CJ69" i="6"/>
  <c r="CG64" i="6"/>
  <c r="CH69" i="6"/>
  <c r="CG69" i="6"/>
  <c r="CH70" i="6" s="1"/>
  <c r="CI66" i="6"/>
  <c r="CF70" i="6"/>
  <c r="CF69" i="6"/>
  <c r="CG66" i="6"/>
  <c r="CK65" i="6"/>
  <c r="CI65" i="6" a="1"/>
  <c r="CI65" i="6" s="1"/>
  <c r="CU22" i="6" a="1"/>
  <c r="CU22" i="6" l="1"/>
  <c r="CS25" i="6" a="1"/>
  <c r="CS25" i="6" s="1"/>
  <c r="CN65" i="6" a="1"/>
  <c r="CN65" i="6" s="1"/>
  <c r="CO27" i="6"/>
  <c r="CQ24" i="6"/>
  <c r="CN27" i="6"/>
  <c r="CO24" i="6"/>
  <c r="CR27" i="6"/>
  <c r="CP27" i="6"/>
  <c r="CR23" i="6" a="1"/>
  <c r="CR23" i="6" s="1"/>
  <c r="CO22" i="6"/>
  <c r="CQ67" i="6" a="1"/>
  <c r="CQ67" i="6" s="1"/>
  <c r="CO25" i="6" a="1"/>
  <c r="CO25" i="6" s="1"/>
  <c r="CJ70" i="6" a="1"/>
  <c r="CJ70" i="6" s="1"/>
  <c r="BZ72" i="6" a="1"/>
  <c r="BZ72" i="6" s="1"/>
  <c r="CZ22" i="6" a="1"/>
  <c r="BY71" i="6" a="1"/>
  <c r="CZ22" i="6" l="1"/>
  <c r="CN23" i="6" a="1"/>
  <c r="CN23" i="6" s="1"/>
  <c r="CS24" i="6" a="1"/>
  <c r="CS24" i="6" s="1"/>
  <c r="CR28" i="6" s="1"/>
  <c r="CP28" i="6"/>
  <c r="CN28" i="6"/>
  <c r="CQ23" i="6" a="1"/>
  <c r="CQ23" i="6" s="1"/>
  <c r="CS23" i="6"/>
  <c r="BY71" i="6"/>
  <c r="BZ74" i="6" a="1"/>
  <c r="BZ74" i="6" s="1"/>
  <c r="CC72" i="6" a="1"/>
  <c r="CC72" i="6" s="1"/>
  <c r="CM29" i="6" a="1"/>
  <c r="CM29" i="6" l="1"/>
  <c r="CQ25" i="6" a="1"/>
  <c r="CQ25" i="6" s="1"/>
  <c r="CD72" i="6"/>
  <c r="BY77" i="6"/>
  <c r="BZ71" i="6"/>
  <c r="BY76" i="6"/>
  <c r="CC76" i="6"/>
  <c r="CB73" i="6"/>
  <c r="CA76" i="6"/>
  <c r="BZ73" i="6"/>
  <c r="BZ76" i="6"/>
  <c r="CA77" i="6" s="1"/>
  <c r="CN29" i="6" a="1"/>
  <c r="CU24" i="6" a="1"/>
  <c r="CV23" i="6" a="1"/>
  <c r="CV23" i="6" l="1"/>
  <c r="CU24" i="6"/>
  <c r="CN29" i="6"/>
  <c r="CC77" i="6" a="1"/>
  <c r="CC77" i="6" s="1"/>
  <c r="CG72" i="6" a="1"/>
  <c r="CG72" i="6" s="1"/>
  <c r="CB72" i="6" a="1"/>
  <c r="CB72" i="6" s="1"/>
  <c r="CS29" i="6" a="1"/>
  <c r="CF71" i="6" a="1"/>
  <c r="CS29" i="6" l="1"/>
  <c r="CZ25" i="6" a="1"/>
  <c r="CZ25" i="6" s="1"/>
  <c r="CU65" i="6" a="1"/>
  <c r="CU65" i="6" s="1"/>
  <c r="CV22" i="6"/>
  <c r="CY27" i="6"/>
  <c r="CX24" i="6"/>
  <c r="CW27" i="6"/>
  <c r="CV24" i="6"/>
  <c r="CV27" i="6"/>
  <c r="CU27" i="6"/>
  <c r="CY23" i="6" a="1"/>
  <c r="CY23" i="6" s="1"/>
  <c r="CV25" i="6" a="1"/>
  <c r="CV25" i="6" s="1"/>
  <c r="CX67" i="6" a="1"/>
  <c r="CX67" i="6" s="1"/>
  <c r="CF71" i="6"/>
  <c r="CG74" i="6" a="1"/>
  <c r="CG74" i="6" s="1"/>
  <c r="CJ72" i="6" a="1"/>
  <c r="CJ72" i="6" s="1"/>
  <c r="CW28" i="6" l="1"/>
  <c r="CU28" i="6"/>
  <c r="CX23" i="6" a="1"/>
  <c r="CX23" i="6" s="1"/>
  <c r="CZ23" i="6"/>
  <c r="CZ24" i="6" a="1"/>
  <c r="CZ24" i="6" s="1"/>
  <c r="CY28" i="6" s="1"/>
  <c r="CU23" i="6" a="1"/>
  <c r="CU23" i="6" s="1"/>
  <c r="CX25" i="6" a="1"/>
  <c r="CX25" i="6" s="1"/>
  <c r="CK72" i="6"/>
  <c r="CG76" i="6"/>
  <c r="CH77" i="6" s="1"/>
  <c r="CI73" i="6"/>
  <c r="CF77" i="6"/>
  <c r="CF76" i="6"/>
  <c r="CG73" i="6"/>
  <c r="CJ76" i="6"/>
  <c r="CG71" i="6"/>
  <c r="CI72" i="6" s="1" a="1"/>
  <c r="CI72" i="6" s="1"/>
  <c r="CH76" i="6"/>
  <c r="CO30" i="6" a="1"/>
  <c r="CT29" i="6" a="1"/>
  <c r="CN31" i="6" a="1"/>
  <c r="CN31" i="6" l="1"/>
  <c r="CT29" i="6"/>
  <c r="CO30" i="6"/>
  <c r="CJ77" i="6" a="1"/>
  <c r="CJ77" i="6" s="1"/>
  <c r="BZ79" i="6" a="1"/>
  <c r="BZ79" i="6" s="1"/>
  <c r="CU29" i="6" a="1"/>
  <c r="BY78" i="6" a="1"/>
  <c r="CU29" i="6" l="1"/>
  <c r="CR34" i="6"/>
  <c r="CP34" i="6"/>
  <c r="CR30" i="6" a="1"/>
  <c r="CR30" i="6" s="1"/>
  <c r="CO29" i="6"/>
  <c r="CO34" i="6"/>
  <c r="CQ31" i="6"/>
  <c r="CN34" i="6"/>
  <c r="CO31" i="6"/>
  <c r="CO32" i="6" a="1"/>
  <c r="CO32" i="6" s="1"/>
  <c r="CQ74" i="6" a="1"/>
  <c r="CQ74" i="6" s="1"/>
  <c r="CS32" i="6" a="1"/>
  <c r="CS32" i="6" s="1"/>
  <c r="CN72" i="6" a="1"/>
  <c r="CN72" i="6" s="1"/>
  <c r="BY78" i="6"/>
  <c r="BZ81" i="6" a="1"/>
  <c r="BZ81" i="6" s="1"/>
  <c r="CC79" i="6" a="1"/>
  <c r="CC79" i="6" s="1"/>
  <c r="CZ29" i="6" a="1"/>
  <c r="CZ29" i="6" l="1"/>
  <c r="CS31" i="6" a="1"/>
  <c r="CS31" i="6" s="1"/>
  <c r="CR35" i="6" s="1"/>
  <c r="CN30" i="6" a="1"/>
  <c r="CN30" i="6" s="1"/>
  <c r="CS30" i="6"/>
  <c r="CQ30" i="6" a="1"/>
  <c r="CQ30" i="6" s="1"/>
  <c r="CP35" i="6"/>
  <c r="CN35" i="6"/>
  <c r="CD79" i="6"/>
  <c r="CA83" i="6"/>
  <c r="BZ80" i="6"/>
  <c r="BZ78" i="6"/>
  <c r="CC83" i="6"/>
  <c r="CB80" i="6"/>
  <c r="BZ83" i="6"/>
  <c r="CA84" i="6" s="1"/>
  <c r="BY84" i="6"/>
  <c r="BY83" i="6"/>
  <c r="CM36" i="6" a="1"/>
  <c r="CM36" i="6" l="1"/>
  <c r="CQ32" i="6" a="1"/>
  <c r="CQ32" i="6" s="1"/>
  <c r="CC84" i="6" a="1"/>
  <c r="CC84" i="6" s="1"/>
  <c r="CG79" i="6" a="1"/>
  <c r="CG79" i="6" s="1"/>
  <c r="CB79" i="6" a="1"/>
  <c r="CB79" i="6" s="1"/>
  <c r="CN36" i="6" a="1"/>
  <c r="CU31" i="6" a="1"/>
  <c r="CV30" i="6" a="1"/>
  <c r="CF78" i="6" a="1"/>
  <c r="CV30" i="6" l="1"/>
  <c r="CU31" i="6"/>
  <c r="CN36" i="6"/>
  <c r="CF78" i="6"/>
  <c r="CJ79" i="6" a="1"/>
  <c r="CJ79" i="6" s="1"/>
  <c r="CG81" i="6" a="1"/>
  <c r="CG81" i="6" s="1"/>
  <c r="CS36" i="6" a="1"/>
  <c r="CS36" i="6" l="1"/>
  <c r="CZ32" i="6" a="1"/>
  <c r="CZ32" i="6" s="1"/>
  <c r="CU72" i="6" a="1"/>
  <c r="CU72" i="6" s="1"/>
  <c r="CY30" i="6" a="1"/>
  <c r="CY30" i="6" s="1"/>
  <c r="CV29" i="6"/>
  <c r="CY34" i="6"/>
  <c r="CX31" i="6"/>
  <c r="CW34" i="6"/>
  <c r="CV31" i="6"/>
  <c r="CV34" i="6"/>
  <c r="CU34" i="6"/>
  <c r="CV32" i="6" a="1"/>
  <c r="CV32" i="6" s="1"/>
  <c r="CX74" i="6" a="1"/>
  <c r="CX74" i="6" s="1"/>
  <c r="CJ83" i="6"/>
  <c r="CG78" i="6"/>
  <c r="CI79" i="6" s="1" a="1"/>
  <c r="CI79" i="6" s="1"/>
  <c r="CH83" i="6"/>
  <c r="CG83" i="6"/>
  <c r="CH84" i="6" s="1"/>
  <c r="CI80" i="6"/>
  <c r="CF84" i="6"/>
  <c r="CF83" i="6"/>
  <c r="CG80" i="6"/>
  <c r="CK79" i="6"/>
  <c r="CU35" i="6" l="1"/>
  <c r="CW35" i="6"/>
  <c r="CX30" i="6" a="1"/>
  <c r="CX30" i="6" s="1"/>
  <c r="CZ30" i="6"/>
  <c r="CZ31" i="6" a="1"/>
  <c r="CZ31" i="6" s="1"/>
  <c r="CY35" i="6" s="1"/>
  <c r="CU30" i="6" a="1"/>
  <c r="CU30" i="6" s="1"/>
  <c r="CX32" i="6" a="1"/>
  <c r="CX32" i="6" s="1"/>
  <c r="CJ84" i="6" a="1"/>
  <c r="CJ84" i="6" s="1"/>
  <c r="CN38" i="6" a="1"/>
  <c r="CT36" i="6" a="1"/>
  <c r="CO37" i="6" a="1"/>
  <c r="CN43" i="6" a="1"/>
  <c r="CO37" i="6" l="1"/>
  <c r="CT36" i="6"/>
  <c r="CN38" i="6"/>
  <c r="CN43" i="6"/>
  <c r="CU36" i="6" a="1"/>
  <c r="CU36" i="6" l="1"/>
  <c r="CS39" i="6" a="1"/>
  <c r="CS39" i="6" s="1"/>
  <c r="CN79" i="6" a="1"/>
  <c r="CN79" i="6" s="1"/>
  <c r="CR41" i="6"/>
  <c r="CP41" i="6"/>
  <c r="CR37" i="6" a="1"/>
  <c r="CR37" i="6" s="1"/>
  <c r="CO36" i="6"/>
  <c r="CO41" i="6"/>
  <c r="CQ38" i="6"/>
  <c r="CN41" i="6"/>
  <c r="CO38" i="6"/>
  <c r="CO39" i="6" a="1"/>
  <c r="CO39" i="6" s="1"/>
  <c r="CQ81" i="6" a="1"/>
  <c r="CQ81" i="6" s="1"/>
  <c r="CZ36" i="6" a="1"/>
  <c r="CZ36" i="6" l="1"/>
  <c r="CS37" i="6"/>
  <c r="CQ37" i="6" a="1"/>
  <c r="CQ37" i="6" s="1"/>
  <c r="CP42" i="6"/>
  <c r="CN42" i="6"/>
  <c r="CN37" i="6" a="1"/>
  <c r="CN37" i="6" s="1"/>
  <c r="CS38" i="6" a="1"/>
  <c r="CS38" i="6" s="1"/>
  <c r="CR42" i="6" s="1"/>
  <c r="DB1" i="6" a="1"/>
  <c r="DB1" i="6" l="1"/>
  <c r="CQ39" i="6" a="1"/>
  <c r="CQ39" i="6" s="1"/>
  <c r="DC1" i="6" a="1"/>
  <c r="CU38" i="6" a="1"/>
  <c r="CV37" i="6" a="1"/>
  <c r="DC1" i="6" l="1"/>
  <c r="CV37" i="6"/>
  <c r="CU38" i="6"/>
  <c r="DH1" i="6" a="1"/>
  <c r="DH1" i="6" l="1"/>
  <c r="CZ39" i="6" a="1"/>
  <c r="CZ39" i="6" s="1"/>
  <c r="CU79" i="6" a="1"/>
  <c r="CU79" i="6" s="1"/>
  <c r="CV41" i="6"/>
  <c r="CU41" i="6"/>
  <c r="CW41" i="6"/>
  <c r="CY37" i="6" a="1"/>
  <c r="CY37" i="6" s="1"/>
  <c r="CV36" i="6"/>
  <c r="CY41" i="6"/>
  <c r="CX38" i="6"/>
  <c r="CV38" i="6"/>
  <c r="CX81" i="6" a="1"/>
  <c r="CX81" i="6" s="1"/>
  <c r="CV39" i="6" a="1"/>
  <c r="CV39" i="6" s="1"/>
  <c r="CZ37" i="6" l="1"/>
  <c r="CX37" i="6" a="1"/>
  <c r="CX37" i="6" s="1"/>
  <c r="CU37" i="6" a="1"/>
  <c r="CU37" i="6" s="1"/>
  <c r="CZ38" i="6" a="1"/>
  <c r="CZ38" i="6" s="1"/>
  <c r="CY42" i="6" s="1"/>
  <c r="CO44" i="6" a="1"/>
  <c r="CO44" i="6" s="1"/>
  <c r="CW42" i="6"/>
  <c r="CU42" i="6"/>
  <c r="CX39" i="6" a="1"/>
  <c r="CX39" i="6" s="1"/>
  <c r="DC3" i="6" a="1"/>
  <c r="DD2" i="6" a="1"/>
  <c r="DI1" i="6" a="1"/>
  <c r="DI1" i="6" l="1"/>
  <c r="DD2" i="6"/>
  <c r="DC3" i="6"/>
  <c r="CO46" i="6" a="1"/>
  <c r="CO46" i="6" s="1"/>
  <c r="CR44" i="6" a="1"/>
  <c r="CR44" i="6" s="1"/>
  <c r="CS44" i="6" s="1"/>
  <c r="DJ1" i="6" a="1"/>
  <c r="DJ1" i="6" l="1"/>
  <c r="DH4" i="6" a="1"/>
  <c r="DH4" i="6" s="1"/>
  <c r="DC44" i="6" a="1"/>
  <c r="DC44" i="6" s="1"/>
  <c r="DE6" i="6"/>
  <c r="DD4" i="6" a="1"/>
  <c r="DD4" i="6" s="1"/>
  <c r="DG2" i="6" a="1"/>
  <c r="DG2" i="6" s="1"/>
  <c r="DD1" i="6"/>
  <c r="DH3" i="6" s="1" a="1"/>
  <c r="DH3" i="6" s="1"/>
  <c r="DG7" i="6" s="1"/>
  <c r="DD6" i="6"/>
  <c r="DF3" i="6"/>
  <c r="DC6" i="6"/>
  <c r="DD3" i="6"/>
  <c r="DG6" i="6"/>
  <c r="DF46" i="6" a="1"/>
  <c r="DF46" i="6" s="1"/>
  <c r="CN49" i="6"/>
  <c r="CN48" i="6"/>
  <c r="CO48" i="6"/>
  <c r="CP49" i="6" s="1"/>
  <c r="CQ45" i="6"/>
  <c r="CP48" i="6"/>
  <c r="CO43" i="6"/>
  <c r="CR48" i="6"/>
  <c r="CO45" i="6"/>
  <c r="DO1" i="6" a="1"/>
  <c r="CU43" i="6" a="1"/>
  <c r="DO1" i="6" l="1"/>
  <c r="DE7" i="6"/>
  <c r="DC7" i="6"/>
  <c r="DC2" i="6" a="1"/>
  <c r="DC2" i="6" s="1"/>
  <c r="DF2" i="6" a="1"/>
  <c r="DF2" i="6" s="1"/>
  <c r="DH2" i="6"/>
  <c r="CU43" i="6"/>
  <c r="CQ44" i="6" a="1"/>
  <c r="CQ44" i="6" s="1"/>
  <c r="CR49" i="6" a="1"/>
  <c r="CR49" i="6" s="1"/>
  <c r="CV44" i="6" a="1"/>
  <c r="CV44" i="6" s="1"/>
  <c r="DB8" i="6" a="1"/>
  <c r="DB8" i="6" l="1"/>
  <c r="DF4" i="6" a="1"/>
  <c r="DF4" i="6" s="1"/>
  <c r="CV46" i="6" a="1"/>
  <c r="CV46" i="6" s="1"/>
  <c r="CY44" i="6" a="1"/>
  <c r="CY44" i="6" s="1"/>
  <c r="CZ44" i="6" s="1"/>
  <c r="DC8" i="6" a="1"/>
  <c r="DK2" i="6" a="1"/>
  <c r="DJ3" i="6" a="1"/>
  <c r="DJ3" i="6" l="1"/>
  <c r="DK2" i="6"/>
  <c r="DC8" i="6"/>
  <c r="CU49" i="6"/>
  <c r="CU48" i="6"/>
  <c r="CY48" i="6"/>
  <c r="CV45" i="6"/>
  <c r="CW48" i="6"/>
  <c r="CV48" i="6"/>
  <c r="CW49" i="6" s="1"/>
  <c r="CV43" i="6"/>
  <c r="CX45" i="6"/>
  <c r="DH8" i="6" a="1"/>
  <c r="CN50" i="6" a="1"/>
  <c r="DH8" i="6" l="1"/>
  <c r="DK1" i="6"/>
  <c r="DO3" i="6" s="1" a="1"/>
  <c r="DO3" i="6" s="1"/>
  <c r="DK4" i="6" a="1"/>
  <c r="DK4" i="6" s="1"/>
  <c r="DM3" i="6"/>
  <c r="DN6" i="6"/>
  <c r="DL6" i="6"/>
  <c r="DK3" i="6"/>
  <c r="DN2" i="6" a="1"/>
  <c r="DN2" i="6" s="1"/>
  <c r="DK6" i="6"/>
  <c r="DJ6" i="6"/>
  <c r="DM46" i="6" a="1"/>
  <c r="DM46" i="6" s="1"/>
  <c r="DO4" i="6" a="1"/>
  <c r="DO4" i="6" s="1"/>
  <c r="DJ44" i="6" a="1"/>
  <c r="DJ44" i="6" s="1"/>
  <c r="CN50" i="6"/>
  <c r="CX44" i="6" a="1"/>
  <c r="CX44" i="6" s="1"/>
  <c r="CY49" i="6" a="1"/>
  <c r="CY49" i="6" s="1"/>
  <c r="CO51" i="6" a="1"/>
  <c r="CO51" i="6" s="1"/>
  <c r="DJ7" i="6" l="1"/>
  <c r="DJ2" i="6" a="1"/>
  <c r="DJ2" i="6" s="1"/>
  <c r="DL7" i="6"/>
  <c r="DM2" i="6" a="1"/>
  <c r="DM2" i="6" s="1"/>
  <c r="DO2" i="6"/>
  <c r="DN7" i="6"/>
  <c r="DM4" i="6" a="1"/>
  <c r="DM4" i="6" s="1"/>
  <c r="CO53" i="6" a="1"/>
  <c r="CO53" i="6" s="1"/>
  <c r="CR51" i="6" a="1"/>
  <c r="CR51" i="6" s="1"/>
  <c r="CS51" i="6" s="1"/>
  <c r="DD9" i="6" a="1"/>
  <c r="DI8" i="6" a="1"/>
  <c r="DC10" i="6" a="1"/>
  <c r="DC10" i="6" l="1"/>
  <c r="DI8" i="6"/>
  <c r="DD9" i="6"/>
  <c r="CR55" i="6"/>
  <c r="CQ52" i="6"/>
  <c r="CO55" i="6"/>
  <c r="CP56" i="6" s="1"/>
  <c r="CN55" i="6"/>
  <c r="CO52" i="6"/>
  <c r="CN56" i="6"/>
  <c r="CP55" i="6"/>
  <c r="CO50" i="6"/>
  <c r="DJ8" i="6" a="1"/>
  <c r="CU50" i="6" a="1"/>
  <c r="DJ8" i="6" l="1"/>
  <c r="DG13" i="6"/>
  <c r="DE13" i="6"/>
  <c r="DG9" i="6" a="1"/>
  <c r="DG9" i="6" s="1"/>
  <c r="DD8" i="6"/>
  <c r="DD13" i="6"/>
  <c r="DF10" i="6"/>
  <c r="DC13" i="6"/>
  <c r="DD10" i="6"/>
  <c r="DF53" i="6" a="1"/>
  <c r="DF53" i="6" s="1"/>
  <c r="DD11" i="6" a="1"/>
  <c r="DD11" i="6" s="1"/>
  <c r="DH11" i="6" a="1"/>
  <c r="DH11" i="6" s="1"/>
  <c r="DC51" i="6" a="1"/>
  <c r="DC51" i="6" s="1"/>
  <c r="CU50" i="6"/>
  <c r="CQ51" i="6" a="1"/>
  <c r="CQ51" i="6" s="1"/>
  <c r="CR56" i="6" a="1"/>
  <c r="CR56" i="6" s="1"/>
  <c r="CV51" i="6" a="1"/>
  <c r="CV51" i="6" s="1"/>
  <c r="DO8" i="6" a="1"/>
  <c r="DO8" i="6" l="1"/>
  <c r="DH9" i="6"/>
  <c r="DF9" i="6" a="1"/>
  <c r="DF9" i="6" s="1"/>
  <c r="DE14" i="6"/>
  <c r="DC14" i="6"/>
  <c r="DC9" i="6" a="1"/>
  <c r="DC9" i="6" s="1"/>
  <c r="DH10" i="6" a="1"/>
  <c r="DH10" i="6" s="1"/>
  <c r="DG14" i="6" s="1"/>
  <c r="CY51" i="6" a="1"/>
  <c r="CY51" i="6" s="1"/>
  <c r="CV53" i="6" a="1"/>
  <c r="CV53" i="6" s="1"/>
  <c r="DB15" i="6" a="1"/>
  <c r="DB15" i="6" l="1"/>
  <c r="DF11" i="6" a="1"/>
  <c r="DF11" i="6" s="1"/>
  <c r="CV52" i="6"/>
  <c r="CU56" i="6"/>
  <c r="CU55" i="6"/>
  <c r="CX52" i="6"/>
  <c r="CY55" i="6"/>
  <c r="CV50" i="6"/>
  <c r="CX51" i="6" s="1" a="1"/>
  <c r="CX51" i="6" s="1"/>
  <c r="CW55" i="6"/>
  <c r="CV55" i="6"/>
  <c r="CW56" i="6" s="1"/>
  <c r="CZ51" i="6"/>
  <c r="DC15" i="6" a="1"/>
  <c r="DJ10" i="6" a="1"/>
  <c r="DK9" i="6" a="1"/>
  <c r="CN57" i="6" a="1"/>
  <c r="DK9" i="6" l="1"/>
  <c r="DJ10" i="6"/>
  <c r="DC15" i="6"/>
  <c r="CN57" i="6"/>
  <c r="CY56" i="6" a="1"/>
  <c r="CY56" i="6" s="1"/>
  <c r="CO58" i="6" a="1"/>
  <c r="CO58" i="6" s="1"/>
  <c r="DH15" i="6" a="1"/>
  <c r="DH15" i="6" l="1"/>
  <c r="DO11" i="6" a="1"/>
  <c r="DO11" i="6" s="1"/>
  <c r="DJ51" i="6" a="1"/>
  <c r="DJ51" i="6" s="1"/>
  <c r="DJ13" i="6"/>
  <c r="DN9" i="6" a="1"/>
  <c r="DN9" i="6" s="1"/>
  <c r="DK8" i="6"/>
  <c r="DN13" i="6"/>
  <c r="DK13" i="6"/>
  <c r="DL13" i="6"/>
  <c r="DM10" i="6"/>
  <c r="DK10" i="6"/>
  <c r="DM53" i="6" a="1"/>
  <c r="DM53" i="6" s="1"/>
  <c r="DK11" i="6" a="1"/>
  <c r="DK11" i="6" s="1"/>
  <c r="CR58" i="6" a="1"/>
  <c r="CR58" i="6" s="1"/>
  <c r="CS58" i="6" s="1"/>
  <c r="CO60" i="6" a="1"/>
  <c r="CO60" i="6" s="1"/>
  <c r="DL14" i="6" l="1"/>
  <c r="DJ14" i="6"/>
  <c r="DM9" i="6" a="1"/>
  <c r="DM9" i="6" s="1"/>
  <c r="DO9" i="6"/>
  <c r="DO10" i="6" a="1"/>
  <c r="DO10" i="6" s="1"/>
  <c r="DN14" i="6" s="1"/>
  <c r="DJ9" i="6" a="1"/>
  <c r="DJ9" i="6" s="1"/>
  <c r="DM11" i="6" a="1"/>
  <c r="DM11" i="6" s="1"/>
  <c r="CR62" i="6"/>
  <c r="CQ59" i="6"/>
  <c r="CO62" i="6"/>
  <c r="CP63" i="6" s="1"/>
  <c r="CN63" i="6"/>
  <c r="CP62" i="6"/>
  <c r="CO59" i="6"/>
  <c r="CO57" i="6"/>
  <c r="CN62" i="6"/>
  <c r="DC17" i="6" a="1"/>
  <c r="DI15" i="6" a="1"/>
  <c r="DD16" i="6" a="1"/>
  <c r="CU57" i="6" a="1"/>
  <c r="DD16" i="6" l="1"/>
  <c r="DI15" i="6"/>
  <c r="DC17" i="6"/>
  <c r="CU57" i="6"/>
  <c r="CQ58" i="6" a="1"/>
  <c r="CQ58" i="6" s="1"/>
  <c r="CR63" i="6" a="1"/>
  <c r="CR63" i="6" s="1"/>
  <c r="CV58" i="6" a="1"/>
  <c r="CV58" i="6" s="1"/>
  <c r="DJ15" i="6" a="1"/>
  <c r="DJ15" i="6" l="1"/>
  <c r="DH18" i="6" a="1"/>
  <c r="DH18" i="6" s="1"/>
  <c r="DC58" i="6" a="1"/>
  <c r="DC58" i="6" s="1"/>
  <c r="DG20" i="6"/>
  <c r="DD20" i="6"/>
  <c r="DE20" i="6"/>
  <c r="DG16" i="6" a="1"/>
  <c r="DG16" i="6" s="1"/>
  <c r="DD15" i="6"/>
  <c r="DC20" i="6"/>
  <c r="DF17" i="6"/>
  <c r="DD17" i="6"/>
  <c r="DF60" i="6" a="1"/>
  <c r="DF60" i="6" s="1"/>
  <c r="DD18" i="6" a="1"/>
  <c r="DD18" i="6" s="1"/>
  <c r="CY58" i="6" a="1"/>
  <c r="CY58" i="6" s="1"/>
  <c r="CZ58" i="6" s="1"/>
  <c r="CV60" i="6" a="1"/>
  <c r="CV60" i="6" s="1"/>
  <c r="DO15" i="6" a="1"/>
  <c r="DO15" i="6" l="1"/>
  <c r="DC16" i="6" a="1"/>
  <c r="DC16" i="6" s="1"/>
  <c r="DH17" i="6" a="1"/>
  <c r="DH17" i="6" s="1"/>
  <c r="DG21" i="6" s="1"/>
  <c r="DE21" i="6"/>
  <c r="DC21" i="6"/>
  <c r="DH16" i="6"/>
  <c r="DF16" i="6" a="1"/>
  <c r="DF16" i="6" s="1"/>
  <c r="CV62" i="6"/>
  <c r="CW63" i="6" s="1"/>
  <c r="CX59" i="6"/>
  <c r="CU63" i="6"/>
  <c r="CV57" i="6"/>
  <c r="CV59" i="6"/>
  <c r="CY62" i="6"/>
  <c r="CW62" i="6"/>
  <c r="CU62" i="6"/>
  <c r="DB22" i="6" a="1"/>
  <c r="CN64" i="6" a="1"/>
  <c r="DB22" i="6" l="1"/>
  <c r="DF18" i="6" a="1"/>
  <c r="DF18" i="6" s="1"/>
  <c r="CN64" i="6"/>
  <c r="CX58" i="6" a="1"/>
  <c r="CX58" i="6" s="1"/>
  <c r="CO65" i="6" a="1"/>
  <c r="CO65" i="6" s="1"/>
  <c r="CY63" i="6" a="1"/>
  <c r="CY63" i="6" s="1"/>
  <c r="DC22" i="6" a="1"/>
  <c r="DJ17" i="6" a="1"/>
  <c r="DK16" i="6" a="1"/>
  <c r="DK16" i="6" l="1"/>
  <c r="DJ17" i="6"/>
  <c r="DC22" i="6"/>
  <c r="CO67" i="6" a="1"/>
  <c r="CO67" i="6" s="1"/>
  <c r="CR65" i="6" a="1"/>
  <c r="CR65" i="6" s="1"/>
  <c r="CS65" i="6" s="1"/>
  <c r="DH22" i="6" a="1"/>
  <c r="DH22" i="6" l="1"/>
  <c r="DO18" i="6" a="1"/>
  <c r="DO18" i="6" s="1"/>
  <c r="DJ58" i="6" a="1"/>
  <c r="DJ58" i="6" s="1"/>
  <c r="DL20" i="6"/>
  <c r="DK17" i="6"/>
  <c r="DK20" i="6"/>
  <c r="DJ20" i="6"/>
  <c r="DN16" i="6" a="1"/>
  <c r="DN16" i="6" s="1"/>
  <c r="DN20" i="6"/>
  <c r="DM17" i="6"/>
  <c r="DK15" i="6"/>
  <c r="DM60" i="6" a="1"/>
  <c r="DM60" i="6" s="1"/>
  <c r="DK18" i="6" a="1"/>
  <c r="DK18" i="6" s="1"/>
  <c r="CO66" i="6"/>
  <c r="CO69" i="6"/>
  <c r="CP70" i="6" s="1"/>
  <c r="CO64" i="6"/>
  <c r="CP69" i="6"/>
  <c r="CN70" i="6"/>
  <c r="CN69" i="6"/>
  <c r="CR69" i="6"/>
  <c r="CQ66" i="6"/>
  <c r="CU64" i="6" a="1"/>
  <c r="DO16" i="6" l="1"/>
  <c r="DM16" i="6" a="1"/>
  <c r="DM16" i="6" s="1"/>
  <c r="DL21" i="6"/>
  <c r="DJ21" i="6"/>
  <c r="DJ16" i="6" a="1"/>
  <c r="DJ16" i="6" s="1"/>
  <c r="DO17" i="6" a="1"/>
  <c r="DO17" i="6" s="1"/>
  <c r="DN21" i="6" s="1"/>
  <c r="DM18" i="6" a="1"/>
  <c r="DM18" i="6" s="1"/>
  <c r="CU64" i="6"/>
  <c r="CQ65" i="6" a="1"/>
  <c r="CQ65" i="6" s="1"/>
  <c r="CR70" i="6" a="1"/>
  <c r="CR70" i="6" s="1"/>
  <c r="CV65" i="6" a="1"/>
  <c r="CV65" i="6" s="1"/>
  <c r="DI22" i="6" a="1"/>
  <c r="DD23" i="6" a="1"/>
  <c r="DC24" i="6" a="1"/>
  <c r="DC24" i="6" l="1"/>
  <c r="DD23" i="6"/>
  <c r="DI22" i="6"/>
  <c r="CV67" i="6" a="1"/>
  <c r="CV67" i="6" s="1"/>
  <c r="CY65" i="6" a="1"/>
  <c r="CY65" i="6" s="1"/>
  <c r="CZ65" i="6" s="1"/>
  <c r="DJ22" i="6" a="1"/>
  <c r="DJ22" i="6" l="1"/>
  <c r="DC27" i="6"/>
  <c r="DD24" i="6"/>
  <c r="DG27" i="6"/>
  <c r="DG23" i="6" a="1"/>
  <c r="DG23" i="6" s="1"/>
  <c r="DD27" i="6"/>
  <c r="DE27" i="6"/>
  <c r="DF24" i="6"/>
  <c r="DD22" i="6"/>
  <c r="DF67" i="6" a="1"/>
  <c r="DF67" i="6" s="1"/>
  <c r="DD25" i="6" a="1"/>
  <c r="DD25" i="6" s="1"/>
  <c r="DH25" i="6" a="1"/>
  <c r="DH25" i="6" s="1"/>
  <c r="DC65" i="6" a="1"/>
  <c r="DC65" i="6" s="1"/>
  <c r="CV69" i="6"/>
  <c r="CW70" i="6" s="1"/>
  <c r="CX66" i="6"/>
  <c r="CU69" i="6"/>
  <c r="CW69" i="6"/>
  <c r="CY69" i="6"/>
  <c r="CU70" i="6"/>
  <c r="CV66" i="6"/>
  <c r="CV64" i="6"/>
  <c r="DO22" i="6" a="1"/>
  <c r="CN71" i="6" a="1"/>
  <c r="DO22" i="6" l="1"/>
  <c r="DF23" i="6" a="1"/>
  <c r="DF23" i="6" s="1"/>
  <c r="DH23" i="6"/>
  <c r="DC28" i="6"/>
  <c r="DE28" i="6"/>
  <c r="DC23" i="6" a="1"/>
  <c r="DC23" i="6" s="1"/>
  <c r="DH24" i="6" a="1"/>
  <c r="DH24" i="6" s="1"/>
  <c r="DG28" i="6" s="1"/>
  <c r="CN71" i="6"/>
  <c r="CX65" i="6" a="1"/>
  <c r="CX65" i="6" s="1"/>
  <c r="CY70" i="6" a="1"/>
  <c r="CY70" i="6" s="1"/>
  <c r="CO72" i="6" a="1"/>
  <c r="CO72" i="6" s="1"/>
  <c r="DB29" i="6" a="1"/>
  <c r="DB29" i="6" l="1"/>
  <c r="DF25" i="6" a="1"/>
  <c r="DF25" i="6" s="1"/>
  <c r="CO74" i="6" a="1"/>
  <c r="CO74" i="6" s="1"/>
  <c r="CR72" i="6" a="1"/>
  <c r="CR72" i="6" s="1"/>
  <c r="CS72" i="6" s="1"/>
  <c r="DC29" i="6" a="1"/>
  <c r="DK23" i="6" a="1"/>
  <c r="DJ24" i="6" a="1"/>
  <c r="DJ24" i="6" l="1"/>
  <c r="DK23" i="6"/>
  <c r="DC29" i="6"/>
  <c r="CP76" i="6"/>
  <c r="CO73" i="6"/>
  <c r="CR76" i="6"/>
  <c r="CQ73" i="6"/>
  <c r="CO76" i="6"/>
  <c r="CP77" i="6" s="1"/>
  <c r="CN77" i="6"/>
  <c r="CN76" i="6"/>
  <c r="CO71" i="6"/>
  <c r="DH29" i="6" a="1"/>
  <c r="CU71" i="6" a="1"/>
  <c r="DH29" i="6" l="1"/>
  <c r="DN27" i="6"/>
  <c r="DM24" i="6"/>
  <c r="DL27" i="6"/>
  <c r="DK24" i="6"/>
  <c r="DK27" i="6"/>
  <c r="DN23" i="6" a="1"/>
  <c r="DN23" i="6" s="1"/>
  <c r="DJ27" i="6"/>
  <c r="DK22" i="6"/>
  <c r="DM67" i="6" a="1"/>
  <c r="DM67" i="6" s="1"/>
  <c r="DK25" i="6" a="1"/>
  <c r="DK25" i="6" s="1"/>
  <c r="DO25" i="6" a="1"/>
  <c r="DO25" i="6" s="1"/>
  <c r="DJ65" i="6" a="1"/>
  <c r="DJ65" i="6" s="1"/>
  <c r="CU71" i="6"/>
  <c r="CQ72" i="6" a="1"/>
  <c r="CQ72" i="6" s="1"/>
  <c r="CR77" i="6" a="1"/>
  <c r="CR77" i="6" s="1"/>
  <c r="CV72" i="6" a="1"/>
  <c r="CV72" i="6" s="1"/>
  <c r="DJ28" i="6" l="1"/>
  <c r="DL28" i="6"/>
  <c r="DO23" i="6"/>
  <c r="DM23" i="6" a="1"/>
  <c r="DM23" i="6" s="1"/>
  <c r="DO24" i="6" a="1"/>
  <c r="DO24" i="6" s="1"/>
  <c r="DN28" i="6" s="1"/>
  <c r="DJ23" i="6" a="1"/>
  <c r="DJ23" i="6" s="1"/>
  <c r="DM25" i="6" a="1"/>
  <c r="DM25" i="6" s="1"/>
  <c r="CV74" i="6" a="1"/>
  <c r="CV74" i="6" s="1"/>
  <c r="CY72" i="6" a="1"/>
  <c r="CY72" i="6" s="1"/>
  <c r="CZ72" i="6" s="1"/>
  <c r="DI29" i="6" a="1"/>
  <c r="DD30" i="6" a="1"/>
  <c r="DC31" i="6" a="1"/>
  <c r="DC31" i="6" l="1"/>
  <c r="DD30" i="6"/>
  <c r="DI29" i="6"/>
  <c r="CU76" i="6"/>
  <c r="CV73" i="6"/>
  <c r="CV71" i="6"/>
  <c r="CV76" i="6"/>
  <c r="CW77" i="6" s="1"/>
  <c r="CY76" i="6"/>
  <c r="CW76" i="6"/>
  <c r="CX73" i="6"/>
  <c r="CU77" i="6"/>
  <c r="DJ29" i="6" a="1"/>
  <c r="CN78" i="6" a="1"/>
  <c r="DJ29" i="6" l="1"/>
  <c r="DE34" i="6"/>
  <c r="DG30" i="6" a="1"/>
  <c r="DG30" i="6" s="1"/>
  <c r="DD29" i="6"/>
  <c r="DD34" i="6"/>
  <c r="DF31" i="6"/>
  <c r="DC34" i="6"/>
  <c r="DD31" i="6"/>
  <c r="DG34" i="6"/>
  <c r="DF74" i="6" a="1"/>
  <c r="DF74" i="6" s="1"/>
  <c r="DD32" i="6" a="1"/>
  <c r="DD32" i="6" s="1"/>
  <c r="DH32" i="6" a="1"/>
  <c r="DH32" i="6" s="1"/>
  <c r="DC72" i="6" a="1"/>
  <c r="DC72" i="6" s="1"/>
  <c r="CN78" i="6"/>
  <c r="CX72" i="6" a="1"/>
  <c r="CX72" i="6" s="1"/>
  <c r="CO79" i="6" a="1"/>
  <c r="CO79" i="6" s="1"/>
  <c r="CY77" i="6" a="1"/>
  <c r="CY77" i="6" s="1"/>
  <c r="DO29" i="6" a="1"/>
  <c r="DO29" i="6" l="1"/>
  <c r="DH31" i="6" a="1"/>
  <c r="DH31" i="6" s="1"/>
  <c r="DG35" i="6" s="1"/>
  <c r="DC30" i="6" a="1"/>
  <c r="DC30" i="6" s="1"/>
  <c r="DF30" i="6" a="1"/>
  <c r="DF30" i="6" s="1"/>
  <c r="DH30" i="6"/>
  <c r="DE35" i="6"/>
  <c r="DC35" i="6"/>
  <c r="CO81" i="6" a="1"/>
  <c r="CO81" i="6" s="1"/>
  <c r="CR79" i="6" a="1"/>
  <c r="CR79" i="6" s="1"/>
  <c r="CS79" i="6" s="1"/>
  <c r="DB36" i="6" a="1"/>
  <c r="DB36" i="6" l="1"/>
  <c r="DF32" i="6" a="1"/>
  <c r="DF32" i="6" s="1"/>
  <c r="CP83" i="6"/>
  <c r="CO80" i="6"/>
  <c r="CN84" i="6"/>
  <c r="CN83" i="6"/>
  <c r="CO78" i="6"/>
  <c r="CR83" i="6"/>
  <c r="CO83" i="6"/>
  <c r="CP84" i="6" s="1"/>
  <c r="CQ80" i="6"/>
  <c r="DC36" i="6" a="1"/>
  <c r="DK30" i="6" a="1"/>
  <c r="DJ31" i="6" a="1"/>
  <c r="CU78" i="6" a="1"/>
  <c r="DJ31" i="6" l="1"/>
  <c r="DK30" i="6"/>
  <c r="DC36" i="6"/>
  <c r="CU78" i="6"/>
  <c r="CQ79" i="6" a="1"/>
  <c r="CQ79" i="6" s="1"/>
  <c r="CR84" i="6" a="1"/>
  <c r="CR84" i="6" s="1"/>
  <c r="CV79" i="6" a="1"/>
  <c r="CV79" i="6" s="1"/>
  <c r="DH36" i="6" a="1"/>
  <c r="DH36" i="6" l="1"/>
  <c r="DK29" i="6"/>
  <c r="DK34" i="6"/>
  <c r="DN34" i="6"/>
  <c r="DM31" i="6"/>
  <c r="DL34" i="6"/>
  <c r="DK31" i="6"/>
  <c r="DJ34" i="6"/>
  <c r="DN30" i="6" a="1"/>
  <c r="DN30" i="6" s="1"/>
  <c r="DM74" i="6" a="1"/>
  <c r="DM74" i="6" s="1"/>
  <c r="DK32" i="6" a="1"/>
  <c r="DK32" i="6" s="1"/>
  <c r="DO32" i="6" a="1"/>
  <c r="DO32" i="6" s="1"/>
  <c r="DJ72" i="6" a="1"/>
  <c r="DJ72" i="6" s="1"/>
  <c r="CV81" i="6" a="1"/>
  <c r="CV81" i="6" s="1"/>
  <c r="CY79" i="6" a="1"/>
  <c r="CY79" i="6" s="1"/>
  <c r="DO31" i="6" l="1" a="1"/>
  <c r="DO31" i="6" s="1"/>
  <c r="DN35" i="6" s="1"/>
  <c r="DJ30" i="6" a="1"/>
  <c r="DJ30" i="6" s="1"/>
  <c r="DL35" i="6"/>
  <c r="DJ35" i="6"/>
  <c r="DM30" i="6" a="1"/>
  <c r="DM30" i="6" s="1"/>
  <c r="DO30" i="6"/>
  <c r="DM32" i="6" a="1"/>
  <c r="DM32" i="6" s="1"/>
  <c r="CZ79" i="6"/>
  <c r="CX80" i="6"/>
  <c r="CU84" i="6"/>
  <c r="CU83" i="6"/>
  <c r="CV80" i="6"/>
  <c r="CY83" i="6"/>
  <c r="CV78" i="6"/>
  <c r="CW83" i="6"/>
  <c r="CV83" i="6"/>
  <c r="CW84" i="6" s="1"/>
  <c r="DD37" i="6" a="1"/>
  <c r="DI36" i="6" a="1"/>
  <c r="DC38" i="6" a="1"/>
  <c r="DC43" i="6" a="1"/>
  <c r="DC38" i="6" l="1"/>
  <c r="DI36" i="6"/>
  <c r="DD37" i="6"/>
  <c r="DC43" i="6"/>
  <c r="CY84" i="6" a="1"/>
  <c r="CY84" i="6" s="1"/>
  <c r="CX79" i="6" a="1"/>
  <c r="CX79" i="6" s="1"/>
  <c r="DJ36" i="6" a="1"/>
  <c r="DJ36" i="6" l="1"/>
  <c r="DG41" i="6"/>
  <c r="DE41" i="6"/>
  <c r="DG37" i="6" a="1"/>
  <c r="DG37" i="6" s="1"/>
  <c r="DD36" i="6"/>
  <c r="DD41" i="6"/>
  <c r="DF38" i="6"/>
  <c r="DC41" i="6"/>
  <c r="DD38" i="6"/>
  <c r="DF81" i="6" a="1"/>
  <c r="DF81" i="6" s="1"/>
  <c r="DD39" i="6" a="1"/>
  <c r="DD39" i="6" s="1"/>
  <c r="DH39" i="6" a="1"/>
  <c r="DH39" i="6" s="1"/>
  <c r="DC79" i="6" a="1"/>
  <c r="DC79" i="6" s="1"/>
  <c r="DO36" i="6" a="1"/>
  <c r="DO36" i="6" l="1"/>
  <c r="DH37" i="6"/>
  <c r="DF37" i="6" a="1"/>
  <c r="DF37" i="6" s="1"/>
  <c r="DE42" i="6"/>
  <c r="DC42" i="6"/>
  <c r="DC37" i="6" a="1"/>
  <c r="DC37" i="6" s="1"/>
  <c r="DH38" i="6" a="1"/>
  <c r="DH38" i="6" s="1"/>
  <c r="DG42" i="6" s="1"/>
  <c r="DQ1" i="6" a="1"/>
  <c r="DQ1" i="6" l="1"/>
  <c r="DF39" i="6" a="1"/>
  <c r="DF39" i="6" s="1"/>
  <c r="DR1" i="6" a="1"/>
  <c r="DJ38" i="6" a="1"/>
  <c r="DK37" i="6" a="1"/>
  <c r="DR1" i="6" l="1"/>
  <c r="DK37" i="6"/>
  <c r="DJ38" i="6"/>
  <c r="DW1" i="6" a="1"/>
  <c r="DW1" i="6" l="1"/>
  <c r="DO39" i="6" a="1"/>
  <c r="DO39" i="6" s="1"/>
  <c r="DJ79" i="6" a="1"/>
  <c r="DJ79" i="6" s="1"/>
  <c r="DJ41" i="6"/>
  <c r="DN37" i="6" a="1"/>
  <c r="DN37" i="6" s="1"/>
  <c r="DK36" i="6"/>
  <c r="DN41" i="6"/>
  <c r="DM38" i="6"/>
  <c r="DL41" i="6"/>
  <c r="DK41" i="6"/>
  <c r="DK38" i="6"/>
  <c r="DM81" i="6" a="1"/>
  <c r="DM81" i="6" s="1"/>
  <c r="DK39" i="6" a="1"/>
  <c r="DK39" i="6" s="1"/>
  <c r="DO38" i="6" l="1" a="1"/>
  <c r="DO38" i="6" s="1"/>
  <c r="DN42" i="6" s="1"/>
  <c r="DJ37" i="6" a="1"/>
  <c r="DJ37" i="6" s="1"/>
  <c r="DD44" i="6" a="1"/>
  <c r="DD44" i="6" s="1"/>
  <c r="DM37" i="6" a="1"/>
  <c r="DM37" i="6" s="1"/>
  <c r="DO37" i="6"/>
  <c r="DL42" i="6"/>
  <c r="DJ42" i="6"/>
  <c r="DM39" i="6" a="1"/>
  <c r="DM39" i="6" s="1"/>
  <c r="DR3" i="6" a="1"/>
  <c r="DS2" i="6" a="1"/>
  <c r="DX1" i="6" a="1"/>
  <c r="DX1" i="6" l="1"/>
  <c r="DS2" i="6"/>
  <c r="DR3" i="6"/>
  <c r="DG44" i="6" a="1"/>
  <c r="DG44" i="6" s="1"/>
  <c r="DH44" i="6" s="1"/>
  <c r="DD46" i="6" a="1"/>
  <c r="DD46" i="6" s="1"/>
  <c r="DY1" i="6" a="1"/>
  <c r="DY1" i="6" l="1"/>
  <c r="DW4" i="6" a="1"/>
  <c r="DW4" i="6" s="1"/>
  <c r="DR44" i="6" a="1"/>
  <c r="DR44" i="6" s="1"/>
  <c r="DV6" i="6"/>
  <c r="DT6" i="6"/>
  <c r="DS4" i="6" a="1"/>
  <c r="DS4" i="6" s="1"/>
  <c r="DV2" i="6" a="1"/>
  <c r="DV2" i="6" s="1"/>
  <c r="DS1" i="6"/>
  <c r="DW3" i="6" s="1" a="1"/>
  <c r="DW3" i="6" s="1"/>
  <c r="DV7" i="6" s="1"/>
  <c r="DS6" i="6"/>
  <c r="DU3" i="6"/>
  <c r="DR6" i="6"/>
  <c r="DS3" i="6"/>
  <c r="DU46" i="6" a="1"/>
  <c r="DU46" i="6" s="1"/>
  <c r="DD48" i="6"/>
  <c r="DE49" i="6" s="1"/>
  <c r="DF45" i="6"/>
  <c r="DE48" i="6"/>
  <c r="DD45" i="6"/>
  <c r="DC49" i="6"/>
  <c r="DD43" i="6"/>
  <c r="DG48" i="6"/>
  <c r="DC48" i="6"/>
  <c r="ED1" i="6" a="1"/>
  <c r="DJ43" i="6" a="1"/>
  <c r="ED1" i="6" l="1"/>
  <c r="DU2" i="6" a="1"/>
  <c r="DU2" i="6" s="1"/>
  <c r="DW2" i="6"/>
  <c r="DT7" i="6"/>
  <c r="DR7" i="6"/>
  <c r="DR2" i="6" a="1"/>
  <c r="DR2" i="6" s="1"/>
  <c r="DJ43" i="6"/>
  <c r="DF44" i="6" a="1"/>
  <c r="DF44" i="6" s="1"/>
  <c r="DG49" i="6" a="1"/>
  <c r="DG49" i="6" s="1"/>
  <c r="DK44" i="6" a="1"/>
  <c r="DK44" i="6" s="1"/>
  <c r="DQ8" i="6" a="1"/>
  <c r="DQ8" i="6" l="1"/>
  <c r="DU4" i="6" a="1"/>
  <c r="DU4" i="6" s="1"/>
  <c r="DK46" i="6" a="1"/>
  <c r="DK46" i="6" s="1"/>
  <c r="DN44" i="6" a="1"/>
  <c r="DN44" i="6" s="1"/>
  <c r="DO44" i="6" s="1"/>
  <c r="DR8" i="6" a="1"/>
  <c r="DY3" i="6" a="1"/>
  <c r="DZ2" i="6" a="1"/>
  <c r="DZ2" i="6" l="1"/>
  <c r="DY3" i="6"/>
  <c r="DR8" i="6"/>
  <c r="DJ48" i="6"/>
  <c r="DK45" i="6"/>
  <c r="DN48" i="6"/>
  <c r="DJ49" i="6"/>
  <c r="DL48" i="6"/>
  <c r="DK43" i="6"/>
  <c r="DK48" i="6"/>
  <c r="DL49" i="6" s="1"/>
  <c r="DM45" i="6"/>
  <c r="DW8" i="6" a="1"/>
  <c r="DC50" i="6" a="1"/>
  <c r="DW8" i="6" l="1"/>
  <c r="ED4" i="6" a="1"/>
  <c r="ED4" i="6" s="1"/>
  <c r="DY44" i="6" a="1"/>
  <c r="DY44" i="6" s="1"/>
  <c r="EC2" i="6" a="1"/>
  <c r="EC2" i="6" s="1"/>
  <c r="EB3" i="6"/>
  <c r="DZ3" i="6"/>
  <c r="DZ1" i="6"/>
  <c r="ED3" i="6" s="1" a="1"/>
  <c r="ED3" i="6" s="1"/>
  <c r="EC7" i="6" s="1"/>
  <c r="DZ6" i="6"/>
  <c r="DY6" i="6"/>
  <c r="DZ4" i="6" a="1"/>
  <c r="DZ4" i="6" s="1"/>
  <c r="EC6" i="6"/>
  <c r="EA6" i="6"/>
  <c r="EB46" i="6" a="1"/>
  <c r="EB46" i="6" s="1"/>
  <c r="DC50" i="6"/>
  <c r="DM44" i="6" a="1"/>
  <c r="DM44" i="6" s="1"/>
  <c r="DN49" i="6" a="1"/>
  <c r="DN49" i="6" s="1"/>
  <c r="DD51" i="6" a="1"/>
  <c r="DD51" i="6" s="1"/>
  <c r="DY7" i="6" l="1"/>
  <c r="DY2" i="6" a="1"/>
  <c r="DY2" i="6" s="1"/>
  <c r="EA7" i="6"/>
  <c r="EB2" i="6" a="1"/>
  <c r="EB2" i="6" s="1"/>
  <c r="ED2" i="6"/>
  <c r="EB4" i="6" a="1"/>
  <c r="EB4" i="6" s="1"/>
  <c r="DG51" i="6" a="1"/>
  <c r="DG51" i="6" s="1"/>
  <c r="DH51" i="6" s="1"/>
  <c r="DD53" i="6" a="1"/>
  <c r="DD53" i="6" s="1"/>
  <c r="DX8" i="6" a="1"/>
  <c r="DS9" i="6" a="1"/>
  <c r="DR10" i="6" a="1"/>
  <c r="DR10" i="6" l="1"/>
  <c r="DS9" i="6"/>
  <c r="DX8" i="6"/>
  <c r="DC55" i="6"/>
  <c r="DG55" i="6"/>
  <c r="DF52" i="6"/>
  <c r="DD52" i="6"/>
  <c r="DE55" i="6"/>
  <c r="DD55" i="6"/>
  <c r="DE56" i="6" s="1"/>
  <c r="DC56" i="6"/>
  <c r="DD50" i="6"/>
  <c r="DY8" i="6" a="1"/>
  <c r="DJ50" i="6" a="1"/>
  <c r="DY8" i="6" l="1"/>
  <c r="DV13" i="6"/>
  <c r="DT13" i="6"/>
  <c r="DV9" i="6" a="1"/>
  <c r="DV9" i="6" s="1"/>
  <c r="DS8" i="6"/>
  <c r="DS13" i="6"/>
  <c r="DU10" i="6"/>
  <c r="DR13" i="6"/>
  <c r="DS10" i="6"/>
  <c r="DU53" i="6" a="1"/>
  <c r="DU53" i="6" s="1"/>
  <c r="DS11" i="6" a="1"/>
  <c r="DS11" i="6" s="1"/>
  <c r="DW11" i="6" a="1"/>
  <c r="DW11" i="6" s="1"/>
  <c r="DR51" i="6" a="1"/>
  <c r="DR51" i="6" s="1"/>
  <c r="DJ50" i="6"/>
  <c r="DK51" i="6" a="1"/>
  <c r="DK51" i="6" s="1"/>
  <c r="DF51" i="6" a="1"/>
  <c r="DF51" i="6" s="1"/>
  <c r="DG56" i="6" a="1"/>
  <c r="DG56" i="6" s="1"/>
  <c r="ED8" i="6" a="1"/>
  <c r="ED8" i="6" l="1"/>
  <c r="DR9" i="6" a="1"/>
  <c r="DR9" i="6" s="1"/>
  <c r="DW10" i="6" a="1"/>
  <c r="DW10" i="6" s="1"/>
  <c r="DV14" i="6" s="1"/>
  <c r="DT14" i="6"/>
  <c r="DR14" i="6"/>
  <c r="DW9" i="6"/>
  <c r="DU9" i="6" a="1"/>
  <c r="DU9" i="6" s="1"/>
  <c r="DN51" i="6" a="1"/>
  <c r="DN51" i="6" s="1"/>
  <c r="DO51" i="6" s="1"/>
  <c r="DK53" i="6" a="1"/>
  <c r="DK53" i="6" s="1"/>
  <c r="DQ15" i="6" a="1"/>
  <c r="DQ15" i="6" l="1"/>
  <c r="DU11" i="6" a="1"/>
  <c r="DU11" i="6" s="1"/>
  <c r="DK55" i="6"/>
  <c r="DL56" i="6" s="1"/>
  <c r="DM52" i="6"/>
  <c r="DK50" i="6"/>
  <c r="DL55" i="6"/>
  <c r="DJ56" i="6"/>
  <c r="DJ55" i="6"/>
  <c r="DK52" i="6"/>
  <c r="DN55" i="6"/>
  <c r="DR15" i="6" a="1"/>
  <c r="DZ9" i="6" a="1"/>
  <c r="DY10" i="6" a="1"/>
  <c r="DC57" i="6" a="1"/>
  <c r="DY10" i="6" l="1"/>
  <c r="DZ9" i="6"/>
  <c r="DR15" i="6"/>
  <c r="DC57" i="6"/>
  <c r="DM51" i="6" a="1"/>
  <c r="DM51" i="6" s="1"/>
  <c r="DN56" i="6" a="1"/>
  <c r="DN56" i="6" s="1"/>
  <c r="DD58" i="6" a="1"/>
  <c r="DD58" i="6" s="1"/>
  <c r="DW15" i="6" a="1"/>
  <c r="DW15" i="6" l="1"/>
  <c r="DZ13" i="6"/>
  <c r="EA13" i="6"/>
  <c r="DZ10" i="6"/>
  <c r="DY13" i="6"/>
  <c r="EC9" i="6" a="1"/>
  <c r="EC9" i="6" s="1"/>
  <c r="EB10" i="6"/>
  <c r="DZ8" i="6"/>
  <c r="EC13" i="6"/>
  <c r="EB53" i="6" a="1"/>
  <c r="EB53" i="6" s="1"/>
  <c r="DZ11" i="6" a="1"/>
  <c r="DZ11" i="6" s="1"/>
  <c r="ED11" i="6" a="1"/>
  <c r="ED11" i="6" s="1"/>
  <c r="DY51" i="6" a="1"/>
  <c r="DY51" i="6" s="1"/>
  <c r="DD60" i="6" a="1"/>
  <c r="DD60" i="6" s="1"/>
  <c r="DG58" i="6" a="1"/>
  <c r="DG58" i="6" s="1"/>
  <c r="DH58" i="6" s="1"/>
  <c r="DY9" i="6" l="1" a="1"/>
  <c r="DY9" i="6" s="1"/>
  <c r="ED10" i="6" a="1"/>
  <c r="ED10" i="6" s="1"/>
  <c r="EC14" i="6" s="1"/>
  <c r="ED9" i="6"/>
  <c r="EB9" i="6" a="1"/>
  <c r="EB9" i="6" s="1"/>
  <c r="EA14" i="6"/>
  <c r="DY14" i="6"/>
  <c r="EB11" i="6" a="1"/>
  <c r="EB11" i="6" s="1"/>
  <c r="DC63" i="6"/>
  <c r="DC62" i="6"/>
  <c r="DD57" i="6"/>
  <c r="DE62" i="6"/>
  <c r="DG62" i="6"/>
  <c r="DF59" i="6"/>
  <c r="DD62" i="6"/>
  <c r="DE63" i="6" s="1"/>
  <c r="DD59" i="6"/>
  <c r="DX15" i="6" a="1"/>
  <c r="DR17" i="6" a="1"/>
  <c r="DS16" i="6" a="1"/>
  <c r="DJ57" i="6" a="1"/>
  <c r="DS16" i="6" l="1"/>
  <c r="DR17" i="6"/>
  <c r="DX15" i="6"/>
  <c r="DJ57" i="6"/>
  <c r="DF58" i="6" a="1"/>
  <c r="DF58" i="6" s="1"/>
  <c r="DG63" i="6" a="1"/>
  <c r="DG63" i="6" s="1"/>
  <c r="DK58" i="6" a="1"/>
  <c r="DK58" i="6" s="1"/>
  <c r="DY15" i="6" a="1"/>
  <c r="DY15" i="6" l="1"/>
  <c r="DW18" i="6" a="1"/>
  <c r="DW18" i="6" s="1"/>
  <c r="DR58" i="6" a="1"/>
  <c r="DR58" i="6" s="1"/>
  <c r="DS17" i="6"/>
  <c r="DV20" i="6"/>
  <c r="DR20" i="6"/>
  <c r="DT20" i="6"/>
  <c r="DV16" i="6" a="1"/>
  <c r="DV16" i="6" s="1"/>
  <c r="DS15" i="6"/>
  <c r="DS20" i="6"/>
  <c r="DU17" i="6"/>
  <c r="DU60" i="6" a="1"/>
  <c r="DU60" i="6" s="1"/>
  <c r="DS18" i="6" a="1"/>
  <c r="DS18" i="6" s="1"/>
  <c r="DN58" i="6" a="1"/>
  <c r="DN58" i="6" s="1"/>
  <c r="DO58" i="6" s="1"/>
  <c r="DK60" i="6" a="1"/>
  <c r="DK60" i="6" s="1"/>
  <c r="ED15" i="6" a="1"/>
  <c r="ED15" i="6" l="1"/>
  <c r="DW16" i="6"/>
  <c r="DU16" i="6" a="1"/>
  <c r="DU16" i="6" s="1"/>
  <c r="DR21" i="6"/>
  <c r="DT21" i="6"/>
  <c r="DR16" i="6" a="1"/>
  <c r="DR16" i="6" s="1"/>
  <c r="DW17" i="6" a="1"/>
  <c r="DW17" i="6" s="1"/>
  <c r="DV21" i="6" s="1"/>
  <c r="DM59" i="6"/>
  <c r="DJ63" i="6"/>
  <c r="DJ62" i="6"/>
  <c r="DN62" i="6"/>
  <c r="DK59" i="6"/>
  <c r="DK57" i="6"/>
  <c r="DL62" i="6"/>
  <c r="DK62" i="6"/>
  <c r="DL63" i="6" s="1"/>
  <c r="DQ22" i="6" a="1"/>
  <c r="DC64" i="6" a="1"/>
  <c r="DQ22" i="6" l="1"/>
  <c r="DU18" i="6" a="1"/>
  <c r="DU18" i="6" s="1"/>
  <c r="DC64" i="6"/>
  <c r="DM58" i="6" a="1"/>
  <c r="DM58" i="6" s="1"/>
  <c r="DN63" i="6" a="1"/>
  <c r="DN63" i="6" s="1"/>
  <c r="DD65" i="6" a="1"/>
  <c r="DD65" i="6" s="1"/>
  <c r="DR22" i="6" a="1"/>
  <c r="DZ16" i="6" a="1"/>
  <c r="DY17" i="6" a="1"/>
  <c r="DY17" i="6" l="1"/>
  <c r="DZ16" i="6"/>
  <c r="DR22" i="6"/>
  <c r="DD67" i="6" a="1"/>
  <c r="DD67" i="6" s="1"/>
  <c r="DG65" i="6" a="1"/>
  <c r="DG65" i="6" s="1"/>
  <c r="DH65" i="6" s="1"/>
  <c r="DW22" i="6" a="1"/>
  <c r="DW22" i="6" l="1"/>
  <c r="EC20" i="6"/>
  <c r="EB17" i="6"/>
  <c r="EA20" i="6"/>
  <c r="DZ17" i="6"/>
  <c r="DZ20" i="6"/>
  <c r="DY20" i="6"/>
  <c r="EC16" i="6" a="1"/>
  <c r="EC16" i="6" s="1"/>
  <c r="DZ15" i="6"/>
  <c r="EB60" i="6" a="1"/>
  <c r="EB60" i="6" s="1"/>
  <c r="DZ18" i="6" a="1"/>
  <c r="DZ18" i="6" s="1"/>
  <c r="ED18" i="6" a="1"/>
  <c r="ED18" i="6" s="1"/>
  <c r="DY58" i="6" a="1"/>
  <c r="DY58" i="6" s="1"/>
  <c r="DE69" i="6"/>
  <c r="DD66" i="6"/>
  <c r="DC69" i="6"/>
  <c r="DD69" i="6"/>
  <c r="DE70" i="6" s="1"/>
  <c r="DD64" i="6"/>
  <c r="DC70" i="6"/>
  <c r="DG69" i="6"/>
  <c r="DF66" i="6"/>
  <c r="DJ64" i="6" a="1"/>
  <c r="ED16" i="6" l="1"/>
  <c r="EB16" i="6" a="1"/>
  <c r="EB16" i="6" s="1"/>
  <c r="EA21" i="6"/>
  <c r="DY21" i="6"/>
  <c r="DY16" i="6" a="1"/>
  <c r="DY16" i="6" s="1"/>
  <c r="ED17" i="6" a="1"/>
  <c r="ED17" i="6" s="1"/>
  <c r="EC21" i="6" s="1"/>
  <c r="EB18" i="6" a="1"/>
  <c r="EB18" i="6" s="1"/>
  <c r="DJ64" i="6"/>
  <c r="DF65" i="6" a="1"/>
  <c r="DF65" i="6" s="1"/>
  <c r="DG70" i="6" a="1"/>
  <c r="DG70" i="6" s="1"/>
  <c r="DK65" i="6" a="1"/>
  <c r="DK65" i="6" s="1"/>
  <c r="DX22" i="6" a="1"/>
  <c r="DS23" i="6" a="1"/>
  <c r="DR24" i="6" a="1"/>
  <c r="DR24" i="6" l="1"/>
  <c r="DS23" i="6"/>
  <c r="DX22" i="6"/>
  <c r="DK67" i="6" a="1"/>
  <c r="DK67" i="6" s="1"/>
  <c r="DN65" i="6" a="1"/>
  <c r="DN65" i="6" s="1"/>
  <c r="DO65" i="6" s="1"/>
  <c r="DY22" i="6" a="1"/>
  <c r="DY22" i="6" l="1"/>
  <c r="DS27" i="6"/>
  <c r="DU24" i="6"/>
  <c r="DS22" i="6"/>
  <c r="DR27" i="6"/>
  <c r="DS24" i="6"/>
  <c r="DV27" i="6"/>
  <c r="DT27" i="6"/>
  <c r="DV23" i="6" a="1"/>
  <c r="DV23" i="6" s="1"/>
  <c r="DU67" i="6" a="1"/>
  <c r="DU67" i="6" s="1"/>
  <c r="DS25" i="6" a="1"/>
  <c r="DS25" i="6" s="1"/>
  <c r="DW25" i="6" a="1"/>
  <c r="DW25" i="6" s="1"/>
  <c r="DR65" i="6" a="1"/>
  <c r="DR65" i="6" s="1"/>
  <c r="DJ69" i="6"/>
  <c r="DN69" i="6"/>
  <c r="DK64" i="6"/>
  <c r="DM66" i="6"/>
  <c r="DL69" i="6"/>
  <c r="DJ70" i="6"/>
  <c r="DK69" i="6"/>
  <c r="DL70" i="6" s="1"/>
  <c r="DK66" i="6"/>
  <c r="ED22" i="6" a="1"/>
  <c r="DC71" i="6" a="1"/>
  <c r="ED22" i="6" l="1"/>
  <c r="DW24" i="6" a="1"/>
  <c r="DW24" i="6" s="1"/>
  <c r="DV28" i="6" s="1"/>
  <c r="DR23" i="6" a="1"/>
  <c r="DR23" i="6" s="1"/>
  <c r="DT28" i="6"/>
  <c r="DR28" i="6"/>
  <c r="DU23" i="6" a="1"/>
  <c r="DU23" i="6" s="1"/>
  <c r="DW23" i="6"/>
  <c r="DC71" i="6"/>
  <c r="DM65" i="6" a="1"/>
  <c r="DM65" i="6" s="1"/>
  <c r="DN70" i="6" a="1"/>
  <c r="DN70" i="6" s="1"/>
  <c r="DD72" i="6" a="1"/>
  <c r="DD72" i="6" s="1"/>
  <c r="DQ29" i="6" a="1"/>
  <c r="DQ29" i="6" l="1"/>
  <c r="DU25" i="6" a="1"/>
  <c r="DU25" i="6" s="1"/>
  <c r="DD74" i="6" a="1"/>
  <c r="DD74" i="6" s="1"/>
  <c r="DG72" i="6" a="1"/>
  <c r="DG72" i="6" s="1"/>
  <c r="DH72" i="6" s="1"/>
  <c r="DR29" i="6" a="1"/>
  <c r="DY24" i="6" a="1"/>
  <c r="DZ23" i="6" a="1"/>
  <c r="DZ23" i="6" l="1"/>
  <c r="DY24" i="6"/>
  <c r="DR29" i="6"/>
  <c r="DE76" i="6"/>
  <c r="DD73" i="6"/>
  <c r="DD76" i="6"/>
  <c r="DE77" i="6" s="1"/>
  <c r="DC76" i="6"/>
  <c r="DG76" i="6"/>
  <c r="DC77" i="6"/>
  <c r="DD71" i="6"/>
  <c r="DF73" i="6"/>
  <c r="DW29" i="6" a="1"/>
  <c r="DJ71" i="6" a="1"/>
  <c r="DW29" i="6" l="1"/>
  <c r="ED25" i="6" a="1"/>
  <c r="ED25" i="6" s="1"/>
  <c r="DY65" i="6" a="1"/>
  <c r="DY65" i="6" s="1"/>
  <c r="DZ22" i="6"/>
  <c r="EC27" i="6"/>
  <c r="EB24" i="6"/>
  <c r="EA27" i="6"/>
  <c r="DZ24" i="6"/>
  <c r="DZ27" i="6"/>
  <c r="DY27" i="6"/>
  <c r="EC23" i="6" a="1"/>
  <c r="EC23" i="6" s="1"/>
  <c r="EB67" i="6" a="1"/>
  <c r="EB67" i="6" s="1"/>
  <c r="DZ25" i="6" a="1"/>
  <c r="DZ25" i="6" s="1"/>
  <c r="DJ71" i="6"/>
  <c r="DF72" i="6" a="1"/>
  <c r="DF72" i="6" s="1"/>
  <c r="DK72" i="6" a="1"/>
  <c r="DK72" i="6" s="1"/>
  <c r="DG77" i="6" a="1"/>
  <c r="DG77" i="6" s="1"/>
  <c r="ED24" i="6" l="1" a="1"/>
  <c r="ED24" i="6" s="1"/>
  <c r="EC28" i="6" s="1"/>
  <c r="DY23" i="6" a="1"/>
  <c r="DY23" i="6" s="1"/>
  <c r="EA28" i="6"/>
  <c r="DY28" i="6"/>
  <c r="EB23" i="6" a="1"/>
  <c r="EB23" i="6" s="1"/>
  <c r="ED23" i="6"/>
  <c r="EB25" i="6" a="1"/>
  <c r="EB25" i="6" s="1"/>
  <c r="DN72" i="6" a="1"/>
  <c r="DN72" i="6" s="1"/>
  <c r="DK74" i="6" a="1"/>
  <c r="DK74" i="6" s="1"/>
  <c r="DS30" i="6" a="1"/>
  <c r="DX29" i="6" a="1"/>
  <c r="DR31" i="6" a="1"/>
  <c r="DR31" i="6" l="1"/>
  <c r="DX29" i="6"/>
  <c r="DS30" i="6"/>
  <c r="DJ77" i="6"/>
  <c r="DJ76" i="6"/>
  <c r="DK73" i="6"/>
  <c r="DM73" i="6"/>
  <c r="DN76" i="6"/>
  <c r="DL76" i="6"/>
  <c r="DK76" i="6"/>
  <c r="DL77" i="6" s="1"/>
  <c r="DK71" i="6"/>
  <c r="DO72" i="6"/>
  <c r="DY29" i="6" a="1"/>
  <c r="DC78" i="6" a="1"/>
  <c r="DY29" i="6" l="1"/>
  <c r="DV34" i="6"/>
  <c r="DT34" i="6"/>
  <c r="DV30" i="6" a="1"/>
  <c r="DV30" i="6" s="1"/>
  <c r="DS29" i="6"/>
  <c r="DS34" i="6"/>
  <c r="DU31" i="6"/>
  <c r="DR34" i="6"/>
  <c r="DS31" i="6"/>
  <c r="DU74" i="6" a="1"/>
  <c r="DU74" i="6" s="1"/>
  <c r="DS32" i="6" a="1"/>
  <c r="DS32" i="6" s="1"/>
  <c r="DW32" i="6" a="1"/>
  <c r="DW32" i="6" s="1"/>
  <c r="DR72" i="6" a="1"/>
  <c r="DR72" i="6" s="1"/>
  <c r="DC78" i="6"/>
  <c r="DN77" i="6" a="1"/>
  <c r="DN77" i="6" s="1"/>
  <c r="DD79" i="6" a="1"/>
  <c r="DD79" i="6" s="1"/>
  <c r="DM72" i="6" a="1"/>
  <c r="DM72" i="6" s="1"/>
  <c r="ED29" i="6" a="1"/>
  <c r="ED29" i="6" l="1"/>
  <c r="DW31" i="6" a="1"/>
  <c r="DW31" i="6" s="1"/>
  <c r="DV35" i="6" s="1"/>
  <c r="DR30" i="6" a="1"/>
  <c r="DR30" i="6" s="1"/>
  <c r="DU30" i="6" a="1"/>
  <c r="DU30" i="6" s="1"/>
  <c r="DW30" i="6"/>
  <c r="DT35" i="6"/>
  <c r="DR35" i="6"/>
  <c r="DD81" i="6" a="1"/>
  <c r="DD81" i="6" s="1"/>
  <c r="DG79" i="6" a="1"/>
  <c r="DG79" i="6" s="1"/>
  <c r="DH79" i="6" s="1"/>
  <c r="DQ36" i="6" a="1"/>
  <c r="DQ36" i="6" l="1"/>
  <c r="DU32" i="6" a="1"/>
  <c r="DU32" i="6" s="1"/>
  <c r="DC83" i="6"/>
  <c r="DG83" i="6"/>
  <c r="DD78" i="6"/>
  <c r="DF80" i="6"/>
  <c r="DE83" i="6"/>
  <c r="DD80" i="6"/>
  <c r="DD83" i="6"/>
  <c r="DE84" i="6" s="1"/>
  <c r="DC84" i="6"/>
  <c r="DR36" i="6" a="1"/>
  <c r="DZ30" i="6" a="1"/>
  <c r="DY31" i="6" a="1"/>
  <c r="DJ78" i="6" a="1"/>
  <c r="DY31" i="6" l="1"/>
  <c r="DZ30" i="6"/>
  <c r="DR36" i="6"/>
  <c r="DJ78" i="6"/>
  <c r="DF79" i="6" a="1"/>
  <c r="DF79" i="6" s="1"/>
  <c r="DG84" i="6" a="1"/>
  <c r="DG84" i="6" s="1"/>
  <c r="DK79" i="6" a="1"/>
  <c r="DK79" i="6" s="1"/>
  <c r="DW36" i="6" a="1"/>
  <c r="DW36" i="6" l="1"/>
  <c r="EC30" i="6" a="1"/>
  <c r="EC30" i="6" s="1"/>
  <c r="DZ29" i="6"/>
  <c r="EC34" i="6"/>
  <c r="EB31" i="6"/>
  <c r="DY34" i="6"/>
  <c r="EA34" i="6"/>
  <c r="DZ31" i="6"/>
  <c r="DZ34" i="6"/>
  <c r="EB74" i="6" a="1"/>
  <c r="EB74" i="6" s="1"/>
  <c r="DZ32" i="6" a="1"/>
  <c r="DZ32" i="6" s="1"/>
  <c r="ED32" i="6" a="1"/>
  <c r="ED32" i="6" s="1"/>
  <c r="DY72" i="6" a="1"/>
  <c r="DY72" i="6" s="1"/>
  <c r="DK81" i="6" a="1"/>
  <c r="DK81" i="6" s="1"/>
  <c r="DN79" i="6" a="1"/>
  <c r="DN79" i="6" s="1"/>
  <c r="DO79" i="6" s="1"/>
  <c r="DY35" i="6" l="1"/>
  <c r="EA35" i="6"/>
  <c r="EB30" i="6" a="1"/>
  <c r="EB30" i="6" s="1"/>
  <c r="ED30" i="6"/>
  <c r="ED31" i="6" a="1"/>
  <c r="ED31" i="6" s="1"/>
  <c r="EC35" i="6" s="1"/>
  <c r="DY30" i="6" a="1"/>
  <c r="DY30" i="6" s="1"/>
  <c r="EB32" i="6" a="1"/>
  <c r="EB32" i="6" s="1"/>
  <c r="DK83" i="6"/>
  <c r="DL84" i="6" s="1"/>
  <c r="DM80" i="6"/>
  <c r="DJ84" i="6"/>
  <c r="DJ83" i="6"/>
  <c r="DK80" i="6"/>
  <c r="DN83" i="6"/>
  <c r="DK78" i="6"/>
  <c r="DL83" i="6"/>
  <c r="DS37" i="6" a="1"/>
  <c r="DX36" i="6" a="1"/>
  <c r="DR38" i="6" a="1"/>
  <c r="DR43" i="6" a="1"/>
  <c r="DR38" i="6" l="1"/>
  <c r="DX36" i="6"/>
  <c r="DS37" i="6"/>
  <c r="DR43" i="6"/>
  <c r="DN84" i="6" a="1"/>
  <c r="DN84" i="6" s="1"/>
  <c r="DM79" i="6" a="1"/>
  <c r="DM79" i="6" s="1"/>
  <c r="DY36" i="6" a="1"/>
  <c r="DY36" i="6" l="1"/>
  <c r="DV41" i="6"/>
  <c r="DT41" i="6"/>
  <c r="DV37" i="6" a="1"/>
  <c r="DV37" i="6" s="1"/>
  <c r="DS36" i="6"/>
  <c r="DS41" i="6"/>
  <c r="DU38" i="6"/>
  <c r="DR41" i="6"/>
  <c r="DS38" i="6"/>
  <c r="DU81" i="6" a="1"/>
  <c r="DU81" i="6" s="1"/>
  <c r="DS39" i="6" a="1"/>
  <c r="DS39" i="6" s="1"/>
  <c r="DW39" i="6" a="1"/>
  <c r="DW39" i="6" s="1"/>
  <c r="DR79" i="6" a="1"/>
  <c r="DR79" i="6" s="1"/>
  <c r="ED36" i="6" a="1"/>
  <c r="ED36" i="6" l="1"/>
  <c r="DW37" i="6"/>
  <c r="DU37" i="6" a="1"/>
  <c r="DU37" i="6" s="1"/>
  <c r="DT42" i="6"/>
  <c r="DR42" i="6"/>
  <c r="DR37" i="6" a="1"/>
  <c r="DR37" i="6" s="1"/>
  <c r="DW38" i="6" a="1"/>
  <c r="DW38" i="6" s="1"/>
  <c r="DV42" i="6" s="1"/>
  <c r="EF1" i="6" a="1"/>
  <c r="EF1" i="6" l="1"/>
  <c r="DU39" i="6" a="1"/>
  <c r="DU39" i="6" s="1"/>
  <c r="EG1" i="6" a="1"/>
  <c r="DY38" i="6" a="1"/>
  <c r="DZ37" i="6" a="1"/>
  <c r="EG1" i="6" l="1"/>
  <c r="DZ37" i="6"/>
  <c r="DY38" i="6"/>
  <c r="EL1" i="6" a="1"/>
  <c r="EL1" i="6" l="1"/>
  <c r="ED39" i="6" a="1"/>
  <c r="ED39" i="6" s="1"/>
  <c r="DY79" i="6" a="1"/>
  <c r="DY79" i="6" s="1"/>
  <c r="DZ41" i="6"/>
  <c r="DY41" i="6"/>
  <c r="EC37" i="6" a="1"/>
  <c r="EC37" i="6" s="1"/>
  <c r="DZ36" i="6"/>
  <c r="EA41" i="6"/>
  <c r="DZ38" i="6"/>
  <c r="EC41" i="6"/>
  <c r="EB38" i="6"/>
  <c r="EB81" i="6" a="1"/>
  <c r="EB81" i="6" s="1"/>
  <c r="DZ39" i="6" a="1"/>
  <c r="DZ39" i="6" s="1"/>
  <c r="DY37" i="6" l="1" a="1"/>
  <c r="DY37" i="6" s="1"/>
  <c r="ED38" i="6" a="1"/>
  <c r="ED38" i="6" s="1"/>
  <c r="EC42" i="6" s="1"/>
  <c r="DS44" i="6" a="1"/>
  <c r="DS44" i="6" s="1"/>
  <c r="ED37" i="6"/>
  <c r="EB37" i="6" a="1"/>
  <c r="EB37" i="6" s="1"/>
  <c r="EA42" i="6"/>
  <c r="DY42" i="6"/>
  <c r="EB39" i="6" a="1"/>
  <c r="EB39" i="6" s="1"/>
  <c r="EH2" i="6" a="1"/>
  <c r="EM1" i="6" a="1"/>
  <c r="EG3" i="6" a="1"/>
  <c r="EG3" i="6" l="1"/>
  <c r="EM1" i="6"/>
  <c r="EH2" i="6"/>
  <c r="DV44" i="6" a="1"/>
  <c r="DV44" i="6" s="1"/>
  <c r="DW44" i="6" s="1"/>
  <c r="DS46" i="6" a="1"/>
  <c r="DS46" i="6" s="1"/>
  <c r="EN1" i="6" a="1"/>
  <c r="EN1" i="6" l="1"/>
  <c r="EK6" i="6"/>
  <c r="EI6" i="6"/>
  <c r="EH4" i="6" a="1"/>
  <c r="EH4" i="6" s="1"/>
  <c r="EK2" i="6" a="1"/>
  <c r="EK2" i="6" s="1"/>
  <c r="EH1" i="6"/>
  <c r="EL3" i="6" s="1" a="1"/>
  <c r="EL3" i="6" s="1"/>
  <c r="EH6" i="6"/>
  <c r="EJ3" i="6"/>
  <c r="EG6" i="6"/>
  <c r="EH3" i="6"/>
  <c r="EJ46" i="6" a="1"/>
  <c r="EJ46" i="6" s="1"/>
  <c r="EL4" i="6" a="1"/>
  <c r="EL4" i="6" s="1"/>
  <c r="EG44" i="6" a="1"/>
  <c r="EG44" i="6" s="1"/>
  <c r="DT48" i="6"/>
  <c r="DR49" i="6"/>
  <c r="DS45" i="6"/>
  <c r="DS48" i="6"/>
  <c r="DT49" i="6" s="1"/>
  <c r="DR48" i="6"/>
  <c r="DU45" i="6"/>
  <c r="DS43" i="6"/>
  <c r="DV48" i="6"/>
  <c r="ES1" i="6" a="1"/>
  <c r="DY43" i="6" a="1"/>
  <c r="EK7" i="6" l="1"/>
  <c r="ES1" i="6"/>
  <c r="EJ2" i="6" a="1"/>
  <c r="EJ2" i="6" s="1"/>
  <c r="EL2" i="6"/>
  <c r="EI7" i="6"/>
  <c r="EG7" i="6"/>
  <c r="EG2" i="6" a="1"/>
  <c r="EG2" i="6" s="1"/>
  <c r="DY43" i="6"/>
  <c r="DV49" i="6" a="1"/>
  <c r="DV49" i="6" s="1"/>
  <c r="DZ44" i="6" a="1"/>
  <c r="DZ44" i="6" s="1"/>
  <c r="DU44" i="6" a="1"/>
  <c r="DU44" i="6" s="1"/>
  <c r="EF8" i="6" a="1"/>
  <c r="EF8" i="6" l="1"/>
  <c r="EJ4" i="6" a="1"/>
  <c r="EJ4" i="6" s="1"/>
  <c r="EC44" i="6" a="1"/>
  <c r="EC44" i="6" s="1"/>
  <c r="ED44" i="6" s="1"/>
  <c r="DZ46" i="6" a="1"/>
  <c r="DZ46" i="6" s="1"/>
  <c r="EG8" i="6" a="1"/>
  <c r="EO2" i="6" a="1"/>
  <c r="EN3" i="6" a="1"/>
  <c r="EN3" i="6" l="1"/>
  <c r="EO2" i="6"/>
  <c r="EG8" i="6"/>
  <c r="DY49" i="6"/>
  <c r="DY48" i="6"/>
  <c r="EC48" i="6"/>
  <c r="DZ43" i="6"/>
  <c r="DZ48" i="6"/>
  <c r="EA49" i="6" s="1"/>
  <c r="EB45" i="6"/>
  <c r="DZ45" i="6"/>
  <c r="EA48" i="6"/>
  <c r="EL8" i="6" a="1"/>
  <c r="DR50" i="6" a="1"/>
  <c r="EL8" i="6" l="1"/>
  <c r="ER2" i="6" a="1"/>
  <c r="ER2" i="6" s="1"/>
  <c r="EO1" i="6"/>
  <c r="ES3" i="6" s="1" a="1"/>
  <c r="ES3" i="6" s="1"/>
  <c r="EO4" i="6" a="1"/>
  <c r="EO4" i="6" s="1"/>
  <c r="EO3" i="6"/>
  <c r="ER6" i="6"/>
  <c r="EQ3" i="6"/>
  <c r="EO6" i="6"/>
  <c r="EP6" i="6"/>
  <c r="EN6" i="6"/>
  <c r="EQ46" i="6" a="1"/>
  <c r="EQ46" i="6" s="1"/>
  <c r="ES4" i="6" a="1"/>
  <c r="ES4" i="6" s="1"/>
  <c r="EN44" i="6" a="1"/>
  <c r="EN44" i="6" s="1"/>
  <c r="DR50" i="6"/>
  <c r="EB44" i="6" a="1"/>
  <c r="EB44" i="6" s="1"/>
  <c r="EC49" i="6" a="1"/>
  <c r="EC49" i="6" s="1"/>
  <c r="DS51" i="6" a="1"/>
  <c r="DS51" i="6" s="1"/>
  <c r="EN7" i="6" l="1"/>
  <c r="EP7" i="6"/>
  <c r="EN2" i="6" a="1"/>
  <c r="EN2" i="6" s="1"/>
  <c r="ER7" i="6"/>
  <c r="EQ2" i="6" a="1"/>
  <c r="EQ2" i="6" s="1"/>
  <c r="ES2" i="6"/>
  <c r="EQ4" i="6" a="1"/>
  <c r="EQ4" i="6" s="1"/>
  <c r="DV51" i="6" a="1"/>
  <c r="DV51" i="6" s="1"/>
  <c r="DW51" i="6" s="1"/>
  <c r="DS53" i="6" a="1"/>
  <c r="DS53" i="6" s="1"/>
  <c r="EH9" i="6" a="1"/>
  <c r="EM8" i="6" a="1"/>
  <c r="EG10" i="6" a="1"/>
  <c r="EG10" i="6" l="1"/>
  <c r="EM8" i="6"/>
  <c r="EH9" i="6"/>
  <c r="DU52" i="6"/>
  <c r="DT55" i="6"/>
  <c r="DR56" i="6"/>
  <c r="DS55" i="6"/>
  <c r="DT56" i="6" s="1"/>
  <c r="DS50" i="6"/>
  <c r="DV55" i="6"/>
  <c r="DS52" i="6"/>
  <c r="DR55" i="6"/>
  <c r="EN8" i="6" a="1"/>
  <c r="DY50" i="6" a="1"/>
  <c r="EN8" i="6" l="1"/>
  <c r="EK13" i="6"/>
  <c r="EI13" i="6"/>
  <c r="EK9" i="6" a="1"/>
  <c r="EK9" i="6" s="1"/>
  <c r="EH8" i="6"/>
  <c r="EH13" i="6"/>
  <c r="EJ10" i="6"/>
  <c r="EG13" i="6"/>
  <c r="EH10" i="6"/>
  <c r="EJ53" i="6" a="1"/>
  <c r="EJ53" i="6" s="1"/>
  <c r="EH11" i="6" a="1"/>
  <c r="EH11" i="6" s="1"/>
  <c r="EL11" i="6" a="1"/>
  <c r="EL11" i="6" s="1"/>
  <c r="EG51" i="6" a="1"/>
  <c r="EG51" i="6" s="1"/>
  <c r="DY50" i="6"/>
  <c r="DU51" i="6" a="1"/>
  <c r="DU51" i="6" s="1"/>
  <c r="DZ51" i="6" a="1"/>
  <c r="DZ51" i="6" s="1"/>
  <c r="DV56" i="6" a="1"/>
  <c r="DV56" i="6" s="1"/>
  <c r="ES8" i="6" a="1"/>
  <c r="ES8" i="6" l="1"/>
  <c r="EL9" i="6"/>
  <c r="EJ9" i="6" a="1"/>
  <c r="EJ9" i="6" s="1"/>
  <c r="EI14" i="6"/>
  <c r="EG14" i="6"/>
  <c r="EG9" i="6" a="1"/>
  <c r="EG9" i="6" s="1"/>
  <c r="EL10" i="6" a="1"/>
  <c r="EL10" i="6" s="1"/>
  <c r="EK14" i="6" s="1"/>
  <c r="EC51" i="6" a="1"/>
  <c r="EC51" i="6" s="1"/>
  <c r="ED51" i="6" s="1"/>
  <c r="DZ53" i="6" a="1"/>
  <c r="DZ53" i="6" s="1"/>
  <c r="EF15" i="6" a="1"/>
  <c r="EF15" i="6" l="1"/>
  <c r="EJ11" i="6" a="1"/>
  <c r="EJ11" i="6" s="1"/>
  <c r="DZ55" i="6"/>
  <c r="EA56" i="6" s="1"/>
  <c r="DZ52" i="6"/>
  <c r="EA55" i="6"/>
  <c r="EB52" i="6"/>
  <c r="DY56" i="6"/>
  <c r="DY55" i="6"/>
  <c r="EC55" i="6"/>
  <c r="DZ50" i="6"/>
  <c r="EG15" i="6" a="1"/>
  <c r="EN10" i="6" a="1"/>
  <c r="EO9" i="6" a="1"/>
  <c r="DR57" i="6" a="1"/>
  <c r="EO9" i="6" l="1"/>
  <c r="EN10" i="6"/>
  <c r="EG15" i="6"/>
  <c r="DR57" i="6"/>
  <c r="EB51" i="6" a="1"/>
  <c r="EB51" i="6" s="1"/>
  <c r="EC56" i="6" a="1"/>
  <c r="EC56" i="6" s="1"/>
  <c r="DS58" i="6" a="1"/>
  <c r="DS58" i="6" s="1"/>
  <c r="EL15" i="6" a="1"/>
  <c r="EL15" i="6" l="1"/>
  <c r="ES11" i="6" a="1"/>
  <c r="ES11" i="6" s="1"/>
  <c r="EN51" i="6" a="1"/>
  <c r="EN51" i="6" s="1"/>
  <c r="EO13" i="6"/>
  <c r="EN13" i="6"/>
  <c r="ER9" i="6" a="1"/>
  <c r="ER9" i="6" s="1"/>
  <c r="EO10" i="6"/>
  <c r="EO8" i="6"/>
  <c r="EP13" i="6"/>
  <c r="ER13" i="6"/>
  <c r="EQ10" i="6"/>
  <c r="EQ53" i="6" a="1"/>
  <c r="EQ53" i="6" s="1"/>
  <c r="EO11" i="6" a="1"/>
  <c r="EO11" i="6" s="1"/>
  <c r="DS60" i="6" a="1"/>
  <c r="DS60" i="6" s="1"/>
  <c r="DV58" i="6" a="1"/>
  <c r="DV58" i="6" s="1"/>
  <c r="DW58" i="6" s="1"/>
  <c r="EP14" i="6" l="1"/>
  <c r="EN14" i="6"/>
  <c r="EN9" i="6" a="1"/>
  <c r="EN9" i="6" s="1"/>
  <c r="ES10" i="6" a="1"/>
  <c r="ES10" i="6" s="1"/>
  <c r="ER14" i="6" s="1"/>
  <c r="ES9" i="6"/>
  <c r="EQ9" i="6" a="1"/>
  <c r="EQ9" i="6" s="1"/>
  <c r="EQ11" i="6" a="1"/>
  <c r="EQ11" i="6" s="1"/>
  <c r="DS59" i="6"/>
  <c r="DS57" i="6"/>
  <c r="DV62" i="6"/>
  <c r="DU59" i="6"/>
  <c r="DT62" i="6"/>
  <c r="DS62" i="6"/>
  <c r="DT63" i="6" s="1"/>
  <c r="DR62" i="6"/>
  <c r="DR63" i="6"/>
  <c r="EM15" i="6" a="1"/>
  <c r="EH16" i="6" a="1"/>
  <c r="EG17" i="6" a="1"/>
  <c r="DY57" i="6" a="1"/>
  <c r="EG17" i="6" l="1"/>
  <c r="EH16" i="6"/>
  <c r="EM15" i="6"/>
  <c r="DY57" i="6"/>
  <c r="DU58" i="6" a="1"/>
  <c r="DU58" i="6" s="1"/>
  <c r="DV63" i="6" a="1"/>
  <c r="DV63" i="6" s="1"/>
  <c r="DZ58" i="6" a="1"/>
  <c r="DZ58" i="6" s="1"/>
  <c r="EN15" i="6" a="1"/>
  <c r="EN15" i="6" l="1"/>
  <c r="EG20" i="6"/>
  <c r="EH17" i="6"/>
  <c r="EK20" i="6"/>
  <c r="EI20" i="6"/>
  <c r="EK16" i="6" a="1"/>
  <c r="EK16" i="6" s="1"/>
  <c r="EH15" i="6"/>
  <c r="EH20" i="6"/>
  <c r="EJ17" i="6"/>
  <c r="EJ60" i="6" a="1"/>
  <c r="EJ60" i="6" s="1"/>
  <c r="EH18" i="6" a="1"/>
  <c r="EH18" i="6" s="1"/>
  <c r="EL18" i="6" a="1"/>
  <c r="EL18" i="6" s="1"/>
  <c r="EG58" i="6" a="1"/>
  <c r="EG58" i="6" s="1"/>
  <c r="EC58" i="6" a="1"/>
  <c r="EC58" i="6" s="1"/>
  <c r="ED58" i="6" s="1"/>
  <c r="DZ60" i="6" a="1"/>
  <c r="DZ60" i="6" s="1"/>
  <c r="ES15" i="6" a="1"/>
  <c r="ES15" i="6" l="1"/>
  <c r="EG16" i="6" a="1"/>
  <c r="EG16" i="6" s="1"/>
  <c r="EL17" i="6" a="1"/>
  <c r="EL17" i="6" s="1"/>
  <c r="EK21" i="6" s="1"/>
  <c r="EJ16" i="6" a="1"/>
  <c r="EJ16" i="6" s="1"/>
  <c r="EL16" i="6"/>
  <c r="EG21" i="6"/>
  <c r="EI21" i="6"/>
  <c r="DZ62" i="6"/>
  <c r="EA63" i="6" s="1"/>
  <c r="DY63" i="6"/>
  <c r="DY62" i="6"/>
  <c r="EA62" i="6"/>
  <c r="EB59" i="6"/>
  <c r="DZ59" i="6"/>
  <c r="EC62" i="6"/>
  <c r="DZ57" i="6"/>
  <c r="EF22" i="6" a="1"/>
  <c r="DR64" i="6" a="1"/>
  <c r="EF22" i="6" l="1"/>
  <c r="EJ18" i="6" a="1"/>
  <c r="EJ18" i="6" s="1"/>
  <c r="DR64" i="6"/>
  <c r="EB58" i="6" a="1"/>
  <c r="EB58" i="6" s="1"/>
  <c r="EC63" i="6" a="1"/>
  <c r="EC63" i="6" s="1"/>
  <c r="DS65" i="6" a="1"/>
  <c r="DS65" i="6" s="1"/>
  <c r="EG22" i="6" a="1"/>
  <c r="EO16" i="6" a="1"/>
  <c r="EN17" i="6" a="1"/>
  <c r="EN17" i="6" l="1"/>
  <c r="EO16" i="6"/>
  <c r="EG22" i="6"/>
  <c r="DS67" i="6" a="1"/>
  <c r="DS67" i="6" s="1"/>
  <c r="DV65" i="6" a="1"/>
  <c r="DV65" i="6" s="1"/>
  <c r="DW65" i="6" s="1"/>
  <c r="EL22" i="6" a="1"/>
  <c r="EL22" i="6" l="1"/>
  <c r="ER20" i="6"/>
  <c r="EQ17" i="6"/>
  <c r="EP20" i="6"/>
  <c r="EO17" i="6"/>
  <c r="EO20" i="6"/>
  <c r="EN20" i="6"/>
  <c r="ER16" i="6" a="1"/>
  <c r="ER16" i="6" s="1"/>
  <c r="EO15" i="6"/>
  <c r="EQ60" i="6" a="1"/>
  <c r="EQ60" i="6" s="1"/>
  <c r="EO18" i="6" a="1"/>
  <c r="EO18" i="6" s="1"/>
  <c r="ES18" i="6" a="1"/>
  <c r="ES18" i="6" s="1"/>
  <c r="EN58" i="6" a="1"/>
  <c r="EN58" i="6" s="1"/>
  <c r="DS66" i="6"/>
  <c r="DS64" i="6"/>
  <c r="DS69" i="6"/>
  <c r="DT70" i="6" s="1"/>
  <c r="DR70" i="6"/>
  <c r="DR69" i="6"/>
  <c r="DU66" i="6"/>
  <c r="DT69" i="6"/>
  <c r="DV69" i="6"/>
  <c r="DY64" i="6" a="1"/>
  <c r="EP21" i="6" l="1"/>
  <c r="EN21" i="6"/>
  <c r="ES16" i="6"/>
  <c r="EQ16" i="6" a="1"/>
  <c r="EQ16" i="6" s="1"/>
  <c r="EN16" i="6" a="1"/>
  <c r="EN16" i="6" s="1"/>
  <c r="ES17" i="6" a="1"/>
  <c r="ES17" i="6" s="1"/>
  <c r="ER21" i="6" s="1"/>
  <c r="EQ18" i="6" a="1"/>
  <c r="EQ18" i="6" s="1"/>
  <c r="DY64" i="6"/>
  <c r="DU65" i="6" a="1"/>
  <c r="DU65" i="6" s="1"/>
  <c r="DV70" i="6" a="1"/>
  <c r="DV70" i="6" s="1"/>
  <c r="DZ65" i="6" a="1"/>
  <c r="DZ65" i="6" s="1"/>
  <c r="EM22" i="6" a="1"/>
  <c r="EH23" i="6" a="1"/>
  <c r="EG24" i="6" a="1"/>
  <c r="EG24" i="6" l="1"/>
  <c r="EH23" i="6"/>
  <c r="EM22" i="6"/>
  <c r="DZ67" i="6" a="1"/>
  <c r="DZ67" i="6" s="1"/>
  <c r="EC65" i="6" a="1"/>
  <c r="EC65" i="6" s="1"/>
  <c r="ED65" i="6" s="1"/>
  <c r="EN22" i="6" a="1"/>
  <c r="EN22" i="6" l="1"/>
  <c r="EH27" i="6"/>
  <c r="EJ24" i="6"/>
  <c r="EH22" i="6"/>
  <c r="EG27" i="6"/>
  <c r="EH24" i="6"/>
  <c r="EK23" i="6" a="1"/>
  <c r="EK23" i="6" s="1"/>
  <c r="EI27" i="6"/>
  <c r="EK27" i="6"/>
  <c r="EJ67" i="6" a="1"/>
  <c r="EJ67" i="6" s="1"/>
  <c r="EH25" i="6" a="1"/>
  <c r="EH25" i="6" s="1"/>
  <c r="EL25" i="6" a="1"/>
  <c r="EL25" i="6" s="1"/>
  <c r="EG65" i="6" a="1"/>
  <c r="EG65" i="6" s="1"/>
  <c r="EA69" i="6"/>
  <c r="DY69" i="6"/>
  <c r="DZ69" i="6"/>
  <c r="EA70" i="6" s="1"/>
  <c r="EB66" i="6"/>
  <c r="DZ66" i="6"/>
  <c r="DY70" i="6"/>
  <c r="DZ64" i="6"/>
  <c r="EC69" i="6"/>
  <c r="ES22" i="6" a="1"/>
  <c r="DR71" i="6" a="1"/>
  <c r="ES22" i="6" l="1"/>
  <c r="EJ23" i="6" a="1"/>
  <c r="EJ23" i="6" s="1"/>
  <c r="EL23" i="6"/>
  <c r="EG23" i="6" a="1"/>
  <c r="EG23" i="6" s="1"/>
  <c r="EL24" i="6" a="1"/>
  <c r="EL24" i="6" s="1"/>
  <c r="EK28" i="6" s="1"/>
  <c r="EI28" i="6"/>
  <c r="EG28" i="6"/>
  <c r="DR71" i="6"/>
  <c r="EB65" i="6" a="1"/>
  <c r="EB65" i="6" s="1"/>
  <c r="EC70" i="6" a="1"/>
  <c r="EC70" i="6" s="1"/>
  <c r="DS72" i="6" a="1"/>
  <c r="DS72" i="6" s="1"/>
  <c r="EF29" i="6" a="1"/>
  <c r="EF29" i="6" l="1"/>
  <c r="EJ25" i="6" a="1"/>
  <c r="EJ25" i="6" s="1"/>
  <c r="DS74" i="6" a="1"/>
  <c r="DS74" i="6" s="1"/>
  <c r="DV72" i="6" a="1"/>
  <c r="DV72" i="6" s="1"/>
  <c r="DW72" i="6" s="1"/>
  <c r="EG29" i="6" a="1"/>
  <c r="EN24" i="6" a="1"/>
  <c r="EO23" i="6" a="1"/>
  <c r="EO23" i="6" l="1"/>
  <c r="EN24" i="6"/>
  <c r="EG29" i="6"/>
  <c r="DT76" i="6"/>
  <c r="DS73" i="6"/>
  <c r="DS76" i="6"/>
  <c r="DT77" i="6" s="1"/>
  <c r="DR77" i="6"/>
  <c r="DR76" i="6"/>
  <c r="DS71" i="6"/>
  <c r="DU73" i="6"/>
  <c r="DV76" i="6"/>
  <c r="EL29" i="6" a="1"/>
  <c r="DY71" i="6" a="1"/>
  <c r="EL29" i="6" l="1"/>
  <c r="ES25" i="6" a="1"/>
  <c r="ES25" i="6" s="1"/>
  <c r="EN65" i="6" a="1"/>
  <c r="EN65" i="6" s="1"/>
  <c r="EO22" i="6"/>
  <c r="ER27" i="6"/>
  <c r="EQ24" i="6"/>
  <c r="EP27" i="6"/>
  <c r="EO24" i="6"/>
  <c r="EO27" i="6"/>
  <c r="EN27" i="6"/>
  <c r="ER23" i="6" a="1"/>
  <c r="ER23" i="6" s="1"/>
  <c r="EQ67" i="6" a="1"/>
  <c r="EQ67" i="6" s="1"/>
  <c r="EO25" i="6" a="1"/>
  <c r="EO25" i="6" s="1"/>
  <c r="DY71" i="6"/>
  <c r="DU72" i="6" a="1"/>
  <c r="DU72" i="6" s="1"/>
  <c r="DZ72" i="6" a="1"/>
  <c r="DZ72" i="6" s="1"/>
  <c r="DV77" i="6" a="1"/>
  <c r="DV77" i="6" s="1"/>
  <c r="EP28" i="6" l="1"/>
  <c r="EN28" i="6"/>
  <c r="ES24" i="6" a="1"/>
  <c r="ES24" i="6" s="1"/>
  <c r="ER28" i="6" s="1"/>
  <c r="EN23" i="6" a="1"/>
  <c r="EN23" i="6" s="1"/>
  <c r="EQ23" i="6" a="1"/>
  <c r="EQ23" i="6" s="1"/>
  <c r="ES23" i="6"/>
  <c r="EQ25" i="6" a="1"/>
  <c r="EQ25" i="6" s="1"/>
  <c r="DZ74" i="6" a="1"/>
  <c r="DZ74" i="6" s="1"/>
  <c r="EC72" i="6" a="1"/>
  <c r="EC72" i="6" s="1"/>
  <c r="ED72" i="6" s="1"/>
  <c r="EH30" i="6" a="1"/>
  <c r="EG31" i="6" a="1"/>
  <c r="EM29" i="6" a="1"/>
  <c r="EM29" i="6" l="1"/>
  <c r="EG31" i="6"/>
  <c r="EH30" i="6"/>
  <c r="DY76" i="6"/>
  <c r="DZ73" i="6"/>
  <c r="EA76" i="6"/>
  <c r="DZ71" i="6"/>
  <c r="EB72" i="6" s="1" a="1"/>
  <c r="EB72" i="6" s="1"/>
  <c r="EC76" i="6"/>
  <c r="DZ76" i="6"/>
  <c r="EA77" i="6" s="1"/>
  <c r="DY77" i="6"/>
  <c r="EB73" i="6"/>
  <c r="EN29" i="6" a="1"/>
  <c r="DR78" i="6" a="1"/>
  <c r="EN29" i="6" l="1"/>
  <c r="EK34" i="6"/>
  <c r="EI34" i="6"/>
  <c r="EK30" i="6" a="1"/>
  <c r="EK30" i="6" s="1"/>
  <c r="EH29" i="6"/>
  <c r="EH34" i="6"/>
  <c r="EJ31" i="6"/>
  <c r="EG34" i="6"/>
  <c r="EH31" i="6"/>
  <c r="EJ74" i="6" a="1"/>
  <c r="EJ74" i="6" s="1"/>
  <c r="EH32" i="6" a="1"/>
  <c r="EH32" i="6" s="1"/>
  <c r="EL32" i="6" a="1"/>
  <c r="EL32" i="6" s="1"/>
  <c r="EG72" i="6" a="1"/>
  <c r="EG72" i="6" s="1"/>
  <c r="DR78" i="6"/>
  <c r="DS79" i="6" a="1"/>
  <c r="DS79" i="6" s="1"/>
  <c r="EC77" i="6" a="1"/>
  <c r="EC77" i="6" s="1"/>
  <c r="ES29" i="6" a="1"/>
  <c r="ES29" i="6" l="1"/>
  <c r="EJ30" i="6" a="1"/>
  <c r="EJ30" i="6" s="1"/>
  <c r="EL30" i="6"/>
  <c r="EG30" i="6" a="1"/>
  <c r="EG30" i="6" s="1"/>
  <c r="EL31" i="6" a="1"/>
  <c r="EL31" i="6" s="1"/>
  <c r="EK35" i="6" s="1"/>
  <c r="EI35" i="6"/>
  <c r="EG35" i="6"/>
  <c r="DV79" i="6" a="1"/>
  <c r="DV79" i="6" s="1"/>
  <c r="DW79" i="6" s="1"/>
  <c r="DS81" i="6" a="1"/>
  <c r="DS81" i="6" s="1"/>
  <c r="EF36" i="6" a="1"/>
  <c r="EF36" i="6" l="1"/>
  <c r="EJ32" i="6" a="1"/>
  <c r="EJ32" i="6" s="1"/>
  <c r="DS80" i="6"/>
  <c r="DR83" i="6"/>
  <c r="DS78" i="6"/>
  <c r="DV83" i="6"/>
  <c r="DR84" i="6"/>
  <c r="DU80" i="6"/>
  <c r="DS83" i="6"/>
  <c r="DT84" i="6" s="1"/>
  <c r="DT83" i="6"/>
  <c r="EG36" i="6" a="1"/>
  <c r="EN31" i="6" a="1"/>
  <c r="EO30" i="6" a="1"/>
  <c r="DY78" i="6" a="1"/>
  <c r="EO30" i="6" l="1"/>
  <c r="EN31" i="6"/>
  <c r="EG36" i="6"/>
  <c r="DY78" i="6"/>
  <c r="DU79" i="6" a="1"/>
  <c r="DU79" i="6" s="1"/>
  <c r="DV84" i="6" a="1"/>
  <c r="DV84" i="6" s="1"/>
  <c r="DZ79" i="6" a="1"/>
  <c r="DZ79" i="6" s="1"/>
  <c r="EL36" i="6" a="1"/>
  <c r="EL36" i="6" l="1"/>
  <c r="ES32" i="6" a="1"/>
  <c r="ES32" i="6" s="1"/>
  <c r="EN72" i="6" a="1"/>
  <c r="EN72" i="6" s="1"/>
  <c r="ER30" i="6" a="1"/>
  <c r="ER30" i="6" s="1"/>
  <c r="EO29" i="6"/>
  <c r="ER34" i="6"/>
  <c r="EQ31" i="6"/>
  <c r="EP34" i="6"/>
  <c r="EO31" i="6"/>
  <c r="EN34" i="6"/>
  <c r="EO34" i="6"/>
  <c r="EQ74" i="6" a="1"/>
  <c r="EQ74" i="6" s="1"/>
  <c r="EO32" i="6" a="1"/>
  <c r="EO32" i="6" s="1"/>
  <c r="EC79" i="6" a="1"/>
  <c r="EC79" i="6" s="1"/>
  <c r="ED79" i="6" s="1"/>
  <c r="DZ81" i="6" a="1"/>
  <c r="DZ81" i="6" s="1"/>
  <c r="EN35" i="6" l="1"/>
  <c r="EP35" i="6"/>
  <c r="ES31" i="6" a="1"/>
  <c r="ES31" i="6" s="1"/>
  <c r="ER35" i="6" s="1"/>
  <c r="EN30" i="6" a="1"/>
  <c r="EN30" i="6" s="1"/>
  <c r="EQ30" i="6" a="1"/>
  <c r="EQ30" i="6" s="1"/>
  <c r="ES30" i="6"/>
  <c r="EQ32" i="6" a="1"/>
  <c r="EQ32" i="6" s="1"/>
  <c r="EB80" i="6"/>
  <c r="DY83" i="6"/>
  <c r="DZ80" i="6"/>
  <c r="EC83" i="6"/>
  <c r="DZ78" i="6"/>
  <c r="DY84" i="6"/>
  <c r="EA83" i="6"/>
  <c r="DZ83" i="6"/>
  <c r="EA84" i="6" s="1"/>
  <c r="EH37" i="6" a="1"/>
  <c r="EM36" i="6" a="1"/>
  <c r="EG38" i="6" a="1"/>
  <c r="EG43" i="6" a="1"/>
  <c r="EG38" i="6" l="1"/>
  <c r="EM36" i="6"/>
  <c r="EH37" i="6"/>
  <c r="EG43" i="6"/>
  <c r="EB79" i="6" a="1"/>
  <c r="EB79" i="6" s="1"/>
  <c r="EC84" i="6" a="1"/>
  <c r="EC84" i="6" s="1"/>
  <c r="EN36" i="6" a="1"/>
  <c r="EN36" i="6" l="1"/>
  <c r="EK41" i="6"/>
  <c r="EI41" i="6"/>
  <c r="EK37" i="6" a="1"/>
  <c r="EK37" i="6" s="1"/>
  <c r="EH36" i="6"/>
  <c r="EH41" i="6"/>
  <c r="EJ38" i="6"/>
  <c r="EG41" i="6"/>
  <c r="EH38" i="6"/>
  <c r="EJ81" i="6" a="1"/>
  <c r="EJ81" i="6" s="1"/>
  <c r="EH39" i="6" a="1"/>
  <c r="EH39" i="6" s="1"/>
  <c r="EL39" i="6" a="1"/>
  <c r="EL39" i="6" s="1"/>
  <c r="EG79" i="6" a="1"/>
  <c r="EG79" i="6" s="1"/>
  <c r="ES36" i="6" a="1"/>
  <c r="ES36" i="6" l="1"/>
  <c r="EL37" i="6"/>
  <c r="EJ37" i="6" a="1"/>
  <c r="EJ37" i="6" s="1"/>
  <c r="EI42" i="6"/>
  <c r="EG42" i="6"/>
  <c r="EG37" i="6" a="1"/>
  <c r="EG37" i="6" s="1"/>
  <c r="EL38" i="6" a="1"/>
  <c r="EL38" i="6" s="1"/>
  <c r="EK42" i="6" s="1"/>
  <c r="EJ39" i="6" l="1" a="1"/>
  <c r="EJ39" i="6" s="1"/>
  <c r="EN38" i="6" a="1"/>
  <c r="EO37" i="6" a="1"/>
  <c r="EW66" i="6" a="1"/>
  <c r="EO37" i="6" l="1"/>
  <c r="EN38" i="6"/>
  <c r="EW66" i="6"/>
  <c r="FA66" i="6" a="1"/>
  <c r="EV66" i="6" a="1"/>
  <c r="ES39" i="6" l="1" a="1"/>
  <c r="ES39" i="6" s="1"/>
  <c r="EN79" i="6" a="1"/>
  <c r="EN79" i="6" s="1"/>
  <c r="EO41" i="6"/>
  <c r="EN41" i="6"/>
  <c r="ER37" i="6" a="1"/>
  <c r="ER37" i="6" s="1"/>
  <c r="EO36" i="6"/>
  <c r="EP41" i="6"/>
  <c r="ER41" i="6"/>
  <c r="EQ38" i="6"/>
  <c r="EO38" i="6"/>
  <c r="EQ81" i="6" a="1"/>
  <c r="EQ81" i="6" s="1"/>
  <c r="EQ39" i="6" a="1"/>
  <c r="EQ39" i="6" s="1"/>
  <c r="EO39" i="6" a="1"/>
  <c r="EO39" i="6" s="1"/>
  <c r="EV66" i="6"/>
  <c r="FA66" i="6"/>
  <c r="FC66" i="6" a="1"/>
  <c r="EY66" i="6" a="1"/>
  <c r="FF66" i="6" a="1"/>
  <c r="FD66" i="6" a="1"/>
  <c r="FE66" i="6" a="1"/>
  <c r="EP42" i="6" l="1"/>
  <c r="EN42" i="6"/>
  <c r="EN37" i="6" a="1"/>
  <c r="EN37" i="6" s="1"/>
  <c r="ES38" i="6" a="1"/>
  <c r="ES38" i="6" s="1"/>
  <c r="ER42" i="6" s="1"/>
  <c r="EH44" i="6" a="1"/>
  <c r="EH44" i="6" s="1"/>
  <c r="ES37" i="6"/>
  <c r="EQ37" i="6" a="1"/>
  <c r="EQ37" i="6" s="1"/>
  <c r="FE66" i="6"/>
  <c r="FD66" i="6"/>
  <c r="FF66" i="6"/>
  <c r="EY66" i="6"/>
  <c r="FC66" i="6"/>
  <c r="EW68" i="6" a="1"/>
  <c r="FB66" i="6" a="1"/>
  <c r="EX66" i="6" a="1"/>
  <c r="EZ66" i="6" a="1"/>
  <c r="EH46" i="6" l="1" a="1"/>
  <c r="EH46" i="6" s="1"/>
  <c r="EK44" i="6" a="1"/>
  <c r="EK44" i="6" s="1"/>
  <c r="EW68" i="6"/>
  <c r="EZ66" i="6"/>
  <c r="EX66" i="6"/>
  <c r="FB66" i="6"/>
  <c r="EY68" i="6" a="1"/>
  <c r="FA68" i="6" a="1"/>
  <c r="EL44" i="6" l="1"/>
  <c r="EH48" i="6"/>
  <c r="EI49" i="6" s="1"/>
  <c r="EG49" i="6"/>
  <c r="EG48" i="6"/>
  <c r="EH43" i="6"/>
  <c r="EJ44" i="6" s="1" a="1"/>
  <c r="EJ44" i="6" s="1"/>
  <c r="EJ45" i="6"/>
  <c r="EH45" i="6"/>
  <c r="EI48" i="6"/>
  <c r="EK48" i="6"/>
  <c r="FA68" i="6"/>
  <c r="EY68" i="6"/>
  <c r="FH66" i="6" a="1"/>
  <c r="FH66" i="6" s="1"/>
  <c r="FG66" i="6" s="1"/>
  <c r="EN43" i="6" a="1"/>
  <c r="EV68" i="6" a="1"/>
  <c r="FC68" i="6" a="1"/>
  <c r="EZ68" i="6" a="1"/>
  <c r="EX68" i="6" a="1"/>
  <c r="FD68" i="6" a="1"/>
  <c r="EN43" i="6" l="1"/>
  <c r="EK49" i="6" a="1"/>
  <c r="EK49" i="6" s="1"/>
  <c r="EO44" i="6" a="1"/>
  <c r="EO44" i="6" s="1"/>
  <c r="FD68" i="6"/>
  <c r="EX68" i="6"/>
  <c r="EZ68" i="6"/>
  <c r="FC68" i="6"/>
  <c r="EV68" i="6"/>
  <c r="FF68" i="6" a="1"/>
  <c r="FB68" i="6" a="1"/>
  <c r="FE68" i="6" a="1"/>
  <c r="EO46" i="6" l="1" a="1"/>
  <c r="EO46" i="6" s="1"/>
  <c r="ER44" i="6" a="1"/>
  <c r="ER44" i="6" s="1"/>
  <c r="ES44" i="6" s="1"/>
  <c r="FE68" i="6"/>
  <c r="FB68" i="6"/>
  <c r="FF68" i="6"/>
  <c r="EW70" i="6" a="1"/>
  <c r="ER48" i="6" l="1"/>
  <c r="EP48" i="6"/>
  <c r="EO48" i="6"/>
  <c r="EP49" i="6" s="1"/>
  <c r="EN48" i="6"/>
  <c r="EO43" i="6"/>
  <c r="EQ45" i="6"/>
  <c r="EO45" i="6"/>
  <c r="EN49" i="6"/>
  <c r="FH68" i="6" a="1"/>
  <c r="FH68" i="6" s="1"/>
  <c r="FG68" i="6" s="1"/>
  <c r="EW70" i="6"/>
  <c r="EG50" i="6" a="1"/>
  <c r="EY70" i="6" a="1"/>
  <c r="FA70" i="6" a="1"/>
  <c r="EG50" i="6" l="1"/>
  <c r="EQ44" i="6" a="1"/>
  <c r="EQ44" i="6" s="1"/>
  <c r="ER49" i="6" a="1"/>
  <c r="ER49" i="6" s="1"/>
  <c r="EH51" i="6" a="1"/>
  <c r="EH51" i="6" s="1"/>
  <c r="FA70" i="6"/>
  <c r="EY70" i="6"/>
  <c r="FC70" i="6" a="1"/>
  <c r="FD70" i="6" a="1"/>
  <c r="EV70" i="6" a="1"/>
  <c r="EZ70" i="6" a="1"/>
  <c r="EX70" i="6" a="1"/>
  <c r="EH53" i="6" l="1" a="1"/>
  <c r="EH53" i="6" s="1"/>
  <c r="EK51" i="6" a="1"/>
  <c r="EK51" i="6" s="1"/>
  <c r="EX70" i="6"/>
  <c r="EZ70" i="6"/>
  <c r="EV70" i="6"/>
  <c r="FD70" i="6"/>
  <c r="FC70" i="6"/>
  <c r="FE70" i="6" a="1"/>
  <c r="FB70" i="6" a="1"/>
  <c r="FF70" i="6" a="1"/>
  <c r="EL51" i="6" l="1"/>
  <c r="EI55" i="6"/>
  <c r="EG56" i="6"/>
  <c r="EH55" i="6"/>
  <c r="EI56" i="6" s="1"/>
  <c r="EG55" i="6"/>
  <c r="EH50" i="6"/>
  <c r="EJ51" i="6" s="1" a="1"/>
  <c r="EJ51" i="6" s="1"/>
  <c r="EK55" i="6"/>
  <c r="EJ52" i="6"/>
  <c r="EH52" i="6"/>
  <c r="FF70" i="6"/>
  <c r="FB70" i="6"/>
  <c r="FE70" i="6"/>
  <c r="EN50" i="6" a="1"/>
  <c r="EW72" i="6" a="1"/>
  <c r="EN50" i="6" l="1"/>
  <c r="EK56" i="6" a="1"/>
  <c r="EK56" i="6" s="1"/>
  <c r="EO51" i="6" a="1"/>
  <c r="EO51" i="6" s="1"/>
  <c r="FH70" i="6" a="1"/>
  <c r="FH70" i="6" s="1"/>
  <c r="FG70" i="6" s="1"/>
  <c r="EW72" i="6"/>
  <c r="EY72" i="6" a="1"/>
  <c r="FA72" i="6" a="1"/>
  <c r="EO53" i="6" l="1" a="1"/>
  <c r="EO53" i="6" s="1"/>
  <c r="ER51" i="6" a="1"/>
  <c r="ER51" i="6" s="1"/>
  <c r="ES51" i="6" s="1"/>
  <c r="FA72" i="6"/>
  <c r="EY72" i="6"/>
  <c r="FD72" i="6" a="1"/>
  <c r="EZ72" i="6" a="1"/>
  <c r="FC72" i="6" a="1"/>
  <c r="EX72" i="6" a="1"/>
  <c r="EV72" i="6" a="1"/>
  <c r="EN55" i="6" l="1"/>
  <c r="EO52" i="6"/>
  <c r="ER55" i="6"/>
  <c r="EO50" i="6"/>
  <c r="EP55" i="6"/>
  <c r="EO55" i="6"/>
  <c r="EP56" i="6" s="1"/>
  <c r="EN56" i="6"/>
  <c r="EQ52" i="6"/>
  <c r="EV72" i="6"/>
  <c r="EX72" i="6"/>
  <c r="FC72" i="6"/>
  <c r="EZ72" i="6"/>
  <c r="FD72" i="6"/>
  <c r="EG57" i="6" a="1"/>
  <c r="FE72" i="6" a="1"/>
  <c r="FF72" i="6" a="1"/>
  <c r="EG57" i="6" l="1"/>
  <c r="EQ51" i="6" a="1"/>
  <c r="EQ51" i="6" s="1"/>
  <c r="ER56" i="6" a="1"/>
  <c r="ER56" i="6" s="1"/>
  <c r="EH58" i="6" a="1"/>
  <c r="EH58" i="6" s="1"/>
  <c r="FF72" i="6"/>
  <c r="FE72" i="6"/>
  <c r="FH72" i="6" l="1" a="1"/>
  <c r="FH72" i="6" s="1"/>
  <c r="FG72" i="6" s="1"/>
  <c r="FI40" i="6" s="1" a="1"/>
  <c r="FI40" i="6" s="1"/>
  <c r="EH60" i="6" a="1"/>
  <c r="EH60" i="6" s="1"/>
  <c r="EK58" i="6" a="1"/>
  <c r="EK58" i="6" s="1"/>
  <c r="EL58" i="6" s="1"/>
  <c r="FI115" i="6" a="1"/>
  <c r="FI115" i="6" s="1"/>
  <c r="FI1" i="6" a="1"/>
  <c r="FI1" i="6" s="1"/>
  <c r="FI53" i="6" a="1"/>
  <c r="FI53" i="6" s="1"/>
  <c r="FI78" i="6" a="1"/>
  <c r="FI78" i="6" s="1"/>
  <c r="FI54" i="6" a="1"/>
  <c r="FI54" i="6" s="1"/>
  <c r="FI96" i="6" a="1"/>
  <c r="FI96" i="6" s="1"/>
  <c r="FI46" i="6" a="1"/>
  <c r="FI46" i="6" s="1"/>
  <c r="FI7" i="6" a="1"/>
  <c r="FI7" i="6" s="1"/>
  <c r="FI107" i="6" a="1"/>
  <c r="FI107" i="6" s="1"/>
  <c r="FI108" i="6" a="1"/>
  <c r="FI108" i="6" s="1"/>
  <c r="FI31" i="6" a="1"/>
  <c r="FI31" i="6" s="1"/>
  <c r="FI51" i="6" a="1"/>
  <c r="FI51" i="6" s="1"/>
  <c r="FI77" i="6" a="1"/>
  <c r="FI77" i="6" s="1"/>
  <c r="FI45" i="6" a="1"/>
  <c r="FI45" i="6" s="1"/>
  <c r="FI24" i="6" a="1"/>
  <c r="FI24" i="6" s="1"/>
  <c r="FI92" i="6" a="1"/>
  <c r="FI92" i="6" s="1"/>
  <c r="FI93" i="6" a="1"/>
  <c r="FI93" i="6" s="1"/>
  <c r="FI117" i="6" a="1"/>
  <c r="FI117" i="6" s="1"/>
  <c r="FI36" i="6" a="1"/>
  <c r="FI36" i="6" s="1"/>
  <c r="FI49" i="6" a="1"/>
  <c r="FI49" i="6" s="1"/>
  <c r="FI106" i="6" a="1"/>
  <c r="FI106" i="6" s="1"/>
  <c r="FI110" i="6" a="1"/>
  <c r="FI110" i="6" s="1"/>
  <c r="FI29" i="6" a="1"/>
  <c r="FI29" i="6" s="1"/>
  <c r="FI2" i="6" a="1"/>
  <c r="FI2" i="6" s="1"/>
  <c r="FI64" i="6" a="1"/>
  <c r="FI64" i="6" s="1"/>
  <c r="FI17" i="6" a="1"/>
  <c r="FI17" i="6" s="1"/>
  <c r="FI113" i="6" a="1"/>
  <c r="FI113" i="6" s="1"/>
  <c r="FI56" i="6" a="1"/>
  <c r="FI56" i="6" s="1"/>
  <c r="FI10" i="6" a="1"/>
  <c r="FI10" i="6" s="1"/>
  <c r="FI116" i="6" a="1"/>
  <c r="FI116" i="6" s="1"/>
  <c r="FI79" i="6" a="1"/>
  <c r="FI79" i="6" s="1"/>
  <c r="FI50" i="6" a="1"/>
  <c r="FI50" i="6" s="1"/>
  <c r="FI21" i="6" a="1"/>
  <c r="FI21" i="6" s="1"/>
  <c r="FI20" i="6" a="1"/>
  <c r="FI20" i="6" s="1"/>
  <c r="FI38" i="6" a="1"/>
  <c r="FI38" i="6" s="1"/>
  <c r="FI119" i="6" a="1"/>
  <c r="FI119" i="6" s="1"/>
  <c r="FI109" i="6" a="1"/>
  <c r="FI109" i="6" s="1"/>
  <c r="FI47" i="6" a="1"/>
  <c r="FI47" i="6" s="1"/>
  <c r="FI88" i="6" a="1"/>
  <c r="FI88" i="6" s="1"/>
  <c r="FI65" i="6" a="1"/>
  <c r="FI65" i="6" s="1"/>
  <c r="FI75" i="6" a="1"/>
  <c r="FI75" i="6" s="1"/>
  <c r="FI16" i="6" a="1"/>
  <c r="FI16" i="6" s="1"/>
  <c r="FI13" i="6" a="1"/>
  <c r="FI13" i="6" s="1"/>
  <c r="FI32" i="6" a="1"/>
  <c r="FI32" i="6" s="1"/>
  <c r="FI87" i="6" a="1"/>
  <c r="FI87" i="6" s="1"/>
  <c r="FI95" i="6" a="1"/>
  <c r="FI95" i="6" s="1"/>
  <c r="FI120" i="6" a="1"/>
  <c r="FI120" i="6" s="1"/>
  <c r="FI5" i="6" a="1"/>
  <c r="FI5" i="6" s="1"/>
  <c r="FI18" i="6" a="1"/>
  <c r="FI18" i="6" s="1"/>
  <c r="FI98" i="6" a="1"/>
  <c r="FI98" i="6" s="1"/>
  <c r="FI111" i="6" a="1"/>
  <c r="FI111" i="6" s="1"/>
  <c r="FI118" i="6" a="1"/>
  <c r="FI118" i="6" s="1"/>
  <c r="FI80" i="6" a="1"/>
  <c r="FI80" i="6" s="1"/>
  <c r="FI9" i="6" a="1"/>
  <c r="FI9" i="6" s="1"/>
  <c r="FI41" i="6" a="1"/>
  <c r="FI41" i="6" s="1"/>
  <c r="FI99" i="6" a="1"/>
  <c r="FI99" i="6" s="1"/>
  <c r="FI4" i="6" a="1"/>
  <c r="FI4" i="6" s="1"/>
  <c r="FI114" i="6" a="1"/>
  <c r="FI114" i="6" s="1"/>
  <c r="FI90" i="6" a="1"/>
  <c r="FI90" i="6" s="1"/>
  <c r="FI12" i="6" a="1"/>
  <c r="FI12" i="6" s="1"/>
  <c r="FI70" i="6" a="1"/>
  <c r="FI70" i="6" s="1"/>
  <c r="FI82" i="6" a="1"/>
  <c r="FI82" i="6" s="1"/>
  <c r="FI66" i="6" a="1"/>
  <c r="FI66" i="6" s="1"/>
  <c r="FI11" i="6" a="1"/>
  <c r="FI11" i="6" s="1"/>
  <c r="FI34" i="6" a="1"/>
  <c r="FI34" i="6" s="1"/>
  <c r="FI57" i="6" a="1"/>
  <c r="FI57" i="6" s="1"/>
  <c r="FI105" i="6" a="1"/>
  <c r="FI105" i="6" s="1"/>
  <c r="FI61" i="6" a="1"/>
  <c r="FI61" i="6" s="1"/>
  <c r="FI25" i="6" a="1"/>
  <c r="FI25" i="6" s="1"/>
  <c r="FI89" i="6" a="1"/>
  <c r="FI89" i="6" s="1"/>
  <c r="FI68" i="6" a="1"/>
  <c r="FI68" i="6" s="1"/>
  <c r="FI55" i="6" a="1"/>
  <c r="FI55" i="6" s="1"/>
  <c r="FI14" i="6" a="1"/>
  <c r="FI14" i="6" s="1"/>
  <c r="FI97" i="6" a="1"/>
  <c r="FI97" i="6" s="1"/>
  <c r="FI83" i="6" a="1"/>
  <c r="FI83" i="6" s="1"/>
  <c r="FI42" i="6" a="1"/>
  <c r="FI42" i="6" s="1"/>
  <c r="FI84" i="6" a="1"/>
  <c r="FI84" i="6" s="1"/>
  <c r="FI76" i="6" a="1"/>
  <c r="FI76" i="6" s="1"/>
  <c r="FI86" i="6" a="1"/>
  <c r="FI86" i="6" s="1"/>
  <c r="FI8" i="6" a="1"/>
  <c r="FI8" i="6" s="1"/>
  <c r="FI26" i="6" a="1"/>
  <c r="FI26" i="6" s="1"/>
  <c r="FI103" i="6" a="1"/>
  <c r="FI103" i="6" s="1"/>
  <c r="FI81" i="6" a="1"/>
  <c r="FI81" i="6" s="1"/>
  <c r="FI73" i="6" a="1"/>
  <c r="FI73" i="6" s="1"/>
  <c r="FI6" i="6" a="1"/>
  <c r="FI6" i="6" s="1"/>
  <c r="FI94" i="6" a="1"/>
  <c r="FI94" i="6" s="1"/>
  <c r="FI67" i="6" a="1"/>
  <c r="FI67" i="6" s="1"/>
  <c r="FI100" i="6" a="1"/>
  <c r="FI100" i="6" s="1"/>
  <c r="FI15" i="6" a="1"/>
  <c r="FI15" i="6" s="1"/>
  <c r="FI37" i="6" a="1"/>
  <c r="FI37" i="6" s="1"/>
  <c r="FI19" i="6" a="1"/>
  <c r="FI19" i="6" s="1"/>
  <c r="FI72" i="6" a="1"/>
  <c r="FI72" i="6" s="1"/>
  <c r="FI44" i="6" a="1"/>
  <c r="FI44" i="6" s="1"/>
  <c r="FI59" i="6" a="1"/>
  <c r="FI59" i="6" s="1"/>
  <c r="FI112" i="6" a="1"/>
  <c r="FI112" i="6" s="1"/>
  <c r="FI3" i="6" a="1"/>
  <c r="FI3" i="6" s="1"/>
  <c r="FI39" i="6" a="1"/>
  <c r="FI39" i="6" s="1"/>
  <c r="FI43" i="6" a="1"/>
  <c r="FI43" i="6" s="1"/>
  <c r="FI30" i="6" a="1"/>
  <c r="FI30" i="6" s="1"/>
  <c r="FI102" i="6" a="1"/>
  <c r="FI102" i="6" s="1"/>
  <c r="FI91" i="6" a="1"/>
  <c r="FI91" i="6" s="1"/>
  <c r="FI101" i="6" a="1"/>
  <c r="FI101" i="6" s="1"/>
  <c r="FI74" i="6" a="1"/>
  <c r="FI74" i="6" s="1"/>
  <c r="FI48" i="6" a="1"/>
  <c r="FI48" i="6" s="1"/>
  <c r="FI52" i="6" a="1"/>
  <c r="FI52" i="6" s="1"/>
  <c r="FI104" i="6" a="1"/>
  <c r="FI104" i="6" s="1"/>
  <c r="FI28" i="6" a="1"/>
  <c r="FI28" i="6" s="1"/>
  <c r="FI121" i="6" a="1"/>
  <c r="FI121" i="6" s="1"/>
  <c r="FI33" i="6" a="1"/>
  <c r="FI33" i="6" s="1"/>
  <c r="FI69" i="6" a="1"/>
  <c r="FI69" i="6" s="1"/>
  <c r="FI35" i="6" a="1"/>
  <c r="FI35" i="6" s="1"/>
  <c r="FI22" i="6" a="1"/>
  <c r="FI22" i="6" s="1"/>
  <c r="FI62" i="6" a="1"/>
  <c r="FI62" i="6" s="1"/>
  <c r="FI23" i="6" a="1"/>
  <c r="FI23" i="6" s="1"/>
  <c r="FI85" i="6" a="1"/>
  <c r="FI85" i="6" s="1"/>
  <c r="FN49" i="6" a="1"/>
  <c r="FJ31" i="6" a="1"/>
  <c r="FK31" i="6" a="1"/>
  <c r="FQ31" i="6" a="1"/>
  <c r="FS31" i="6" a="1"/>
  <c r="FP31" i="6" a="1"/>
  <c r="FN31" i="6" a="1"/>
  <c r="FO31" i="6" a="1"/>
  <c r="FL31" i="6" a="1"/>
  <c r="FR31" i="6" a="1"/>
  <c r="FQ36" i="6" a="1"/>
  <c r="FP36" i="6" a="1"/>
  <c r="FO36" i="6" a="1"/>
  <c r="FR36" i="6" a="1"/>
  <c r="FL36" i="6" a="1"/>
  <c r="FS36" i="6" a="1"/>
  <c r="FN36" i="6" a="1"/>
  <c r="FK36" i="6" a="1"/>
  <c r="FJ36" i="6" a="1"/>
  <c r="FS38" i="6" a="1"/>
  <c r="FO38" i="6" a="1"/>
  <c r="FQ38" i="6" a="1"/>
  <c r="FK38" i="6" a="1"/>
  <c r="FP38" i="6" a="1"/>
  <c r="FR38" i="6" a="1"/>
  <c r="FN38" i="6" a="1"/>
  <c r="FL38" i="6" a="1"/>
  <c r="FJ38" i="6" a="1"/>
  <c r="FR13" i="6" a="1"/>
  <c r="FP13" i="6" a="1"/>
  <c r="FO13" i="6" a="1"/>
  <c r="FN13" i="6" a="1"/>
  <c r="FJ13" i="6" a="1"/>
  <c r="FQ13" i="6" a="1"/>
  <c r="FL13" i="6" a="1"/>
  <c r="FS13" i="6" a="1"/>
  <c r="FK13" i="6" a="1"/>
  <c r="FO19" i="6" a="1"/>
  <c r="FS19" i="6" a="1"/>
  <c r="FQ19" i="6" a="1"/>
  <c r="FN19" i="6" a="1"/>
  <c r="FL19" i="6" a="1"/>
  <c r="FR19" i="6" a="1"/>
  <c r="FJ19" i="6" a="1"/>
  <c r="FP19" i="6" a="1"/>
  <c r="FK19" i="6" a="1"/>
  <c r="FP30" i="6" a="1"/>
  <c r="FS30" i="6" a="1"/>
  <c r="FO30" i="6" a="1"/>
  <c r="FL30" i="6" a="1"/>
  <c r="FR30" i="6" a="1"/>
  <c r="FJ30" i="6" a="1"/>
  <c r="FN30" i="6" a="1"/>
  <c r="FQ30" i="6" a="1"/>
  <c r="FK30" i="6" a="1"/>
  <c r="FL28" i="6" a="1"/>
  <c r="FK28" i="6" a="1"/>
  <c r="FR28" i="6" a="1"/>
  <c r="FJ28" i="6" a="1"/>
  <c r="FQ28" i="6" a="1"/>
  <c r="FP28" i="6" a="1"/>
  <c r="FS28" i="6" a="1"/>
  <c r="FO28" i="6" a="1"/>
  <c r="FN28" i="6" a="1"/>
  <c r="FS37" i="6" a="1"/>
  <c r="FO37" i="6" a="1"/>
  <c r="FP37" i="6" a="1"/>
  <c r="FL37" i="6" a="1"/>
  <c r="FK37" i="6" a="1"/>
  <c r="FQ37" i="6" a="1"/>
  <c r="FR37" i="6" a="1"/>
  <c r="FN37" i="6" a="1"/>
  <c r="FJ37" i="6" a="1"/>
  <c r="FR49" i="6" a="1"/>
  <c r="FJ49" i="6" a="1"/>
  <c r="FO49" i="6" a="1"/>
  <c r="FP49" i="6" a="1"/>
  <c r="FL49" i="6" a="1"/>
  <c r="FS49" i="6" a="1"/>
  <c r="FQ49" i="6" a="1"/>
  <c r="FK49" i="6" a="1"/>
  <c r="FJ32" i="6" a="1"/>
  <c r="FL32" i="6" a="1"/>
  <c r="FP32" i="6" a="1"/>
  <c r="FS32" i="6" a="1"/>
  <c r="FO32" i="6" a="1"/>
  <c r="FR32" i="6" a="1"/>
  <c r="FQ32" i="6" a="1"/>
  <c r="FN32" i="6" a="1"/>
  <c r="FK32" i="6" a="1"/>
  <c r="FS12" i="6" a="1"/>
  <c r="FN12" i="6" a="1"/>
  <c r="FP12" i="6" a="1"/>
  <c r="FQ12" i="6" a="1"/>
  <c r="FO12" i="6" a="1"/>
  <c r="FL12" i="6" a="1"/>
  <c r="FK12" i="6" a="1"/>
  <c r="FR12" i="6" a="1"/>
  <c r="FJ12" i="6" a="1"/>
  <c r="FN42" i="6" a="1"/>
  <c r="FJ42" i="6" a="1"/>
  <c r="FP42" i="6" a="1"/>
  <c r="FO42" i="6" a="1"/>
  <c r="FK42" i="6" a="1"/>
  <c r="FL42" i="6" a="1"/>
  <c r="FR42" i="6" a="1"/>
  <c r="FS42" i="6" a="1"/>
  <c r="FQ42" i="6" a="1"/>
  <c r="FR10" i="6" a="1"/>
  <c r="FP10" i="6" a="1"/>
  <c r="FK10" i="6" a="1"/>
  <c r="FN10" i="6" a="1"/>
  <c r="FL10" i="6" a="1"/>
  <c r="FJ10" i="6" a="1"/>
  <c r="FS10" i="6" a="1"/>
  <c r="FQ10" i="6" a="1"/>
  <c r="FO10" i="6" a="1"/>
  <c r="FL25" i="6" a="1"/>
  <c r="FN25" i="6" a="1"/>
  <c r="FP25" i="6" a="1"/>
  <c r="FJ25" i="6" a="1"/>
  <c r="FQ25" i="6" a="1"/>
  <c r="FS25" i="6" a="1"/>
  <c r="FR25" i="6" a="1"/>
  <c r="FO25" i="6" a="1"/>
  <c r="FK25" i="6" a="1"/>
  <c r="FN6" i="6" a="1"/>
  <c r="FO6" i="6" a="1"/>
  <c r="FJ6" i="6" a="1"/>
  <c r="FQ6" i="6" a="1"/>
  <c r="FP6" i="6" a="1"/>
  <c r="FL6" i="6" a="1"/>
  <c r="FS6" i="6" a="1"/>
  <c r="FR6" i="6" a="1"/>
  <c r="FK6" i="6" a="1"/>
  <c r="FN44" i="6" a="1"/>
  <c r="FP44" i="6" a="1"/>
  <c r="FK44" i="6" a="1"/>
  <c r="FR44" i="6" a="1"/>
  <c r="FL44" i="6" a="1"/>
  <c r="FQ44" i="6" a="1"/>
  <c r="FO44" i="6" a="1"/>
  <c r="FS44" i="6" a="1"/>
  <c r="FJ44" i="6" a="1"/>
  <c r="FL33" i="6" a="1"/>
  <c r="FK33" i="6" a="1"/>
  <c r="FR33" i="6" a="1"/>
  <c r="FJ33" i="6" a="1"/>
  <c r="FQ33" i="6" a="1"/>
  <c r="FS33" i="6" a="1"/>
  <c r="FN33" i="6" a="1"/>
  <c r="FP33" i="6" a="1"/>
  <c r="FO33" i="6" a="1"/>
  <c r="FK45" i="6" a="1"/>
  <c r="FR45" i="6" a="1"/>
  <c r="FJ45" i="6" a="1"/>
  <c r="FQ45" i="6" a="1"/>
  <c r="FO45" i="6" a="1"/>
  <c r="FL45" i="6" a="1"/>
  <c r="FS45" i="6" a="1"/>
  <c r="FN45" i="6" a="1"/>
  <c r="FP45" i="6" a="1"/>
  <c r="FO47" i="6" a="1"/>
  <c r="FR47" i="6" a="1"/>
  <c r="FN47" i="6" a="1"/>
  <c r="FL47" i="6" a="1"/>
  <c r="FK47" i="6" a="1"/>
  <c r="FP47" i="6" a="1"/>
  <c r="FS47" i="6" a="1"/>
  <c r="FJ47" i="6" a="1"/>
  <c r="FQ47" i="6" a="1"/>
  <c r="FN9" i="6" a="1"/>
  <c r="FP9" i="6" a="1"/>
  <c r="FL9" i="6" a="1"/>
  <c r="FJ9" i="6" a="1"/>
  <c r="FR9" i="6" a="1"/>
  <c r="FS9" i="6" a="1"/>
  <c r="FO9" i="6" a="1"/>
  <c r="FK9" i="6" a="1"/>
  <c r="FQ9" i="6" a="1"/>
  <c r="FS16" i="6" a="1"/>
  <c r="FQ16" i="6" a="1"/>
  <c r="FO16" i="6" a="1"/>
  <c r="FP16" i="6" a="1"/>
  <c r="FR16" i="6" a="1"/>
  <c r="FK16" i="6" a="1"/>
  <c r="FN16" i="6" a="1"/>
  <c r="FJ16" i="6" a="1"/>
  <c r="FL16" i="6" a="1"/>
  <c r="FR46" i="6" a="1"/>
  <c r="FS46" i="6" a="1"/>
  <c r="FO46" i="6" a="1"/>
  <c r="FJ46" i="6" a="1"/>
  <c r="FQ46" i="6" a="1"/>
  <c r="FK46" i="6" a="1"/>
  <c r="FL46" i="6" a="1"/>
  <c r="FN46" i="6" a="1"/>
  <c r="FP46" i="6" a="1"/>
  <c r="FR24" i="6" a="1"/>
  <c r="FN24" i="6" a="1"/>
  <c r="FK24" i="6" a="1"/>
  <c r="FS24" i="6" a="1"/>
  <c r="FJ24" i="6" a="1"/>
  <c r="FQ24" i="6" a="1"/>
  <c r="FP24" i="6" a="1"/>
  <c r="FO24" i="6" a="1"/>
  <c r="FL24" i="6" a="1"/>
  <c r="FR29" i="6" a="1"/>
  <c r="FQ29" i="6" a="1"/>
  <c r="FS29" i="6" a="1"/>
  <c r="FN29" i="6" a="1"/>
  <c r="FP29" i="6" a="1"/>
  <c r="FO29" i="6" a="1"/>
  <c r="FK29" i="6" a="1"/>
  <c r="FL29" i="6" a="1"/>
  <c r="FJ29" i="6" a="1"/>
  <c r="FP41" i="6" a="1"/>
  <c r="FS41" i="6" a="1"/>
  <c r="FO41" i="6" a="1"/>
  <c r="FR41" i="6" a="1"/>
  <c r="FL41" i="6" a="1"/>
  <c r="FN41" i="6" a="1"/>
  <c r="FK41" i="6" a="1"/>
  <c r="FJ41" i="6" a="1"/>
  <c r="FQ41" i="6" a="1"/>
  <c r="FO35" i="6" a="1"/>
  <c r="FP35" i="6" a="1"/>
  <c r="FK35" i="6" a="1"/>
  <c r="FQ35" i="6" a="1"/>
  <c r="FS35" i="6" a="1"/>
  <c r="FR35" i="6" a="1"/>
  <c r="FN35" i="6" a="1"/>
  <c r="FJ35" i="6" a="1"/>
  <c r="FL35" i="6" a="1"/>
  <c r="FS20" i="6" a="1"/>
  <c r="FR20" i="6" a="1"/>
  <c r="FO20" i="6" a="1"/>
  <c r="FP20" i="6" a="1"/>
  <c r="FN20" i="6" a="1"/>
  <c r="FQ20" i="6" a="1"/>
  <c r="FL20" i="6" a="1"/>
  <c r="FK20" i="6" a="1"/>
  <c r="FJ20" i="6" a="1"/>
  <c r="FK1" i="6" a="1"/>
  <c r="FJ1" i="6" a="1"/>
  <c r="FN1" i="6" a="1"/>
  <c r="FP1" i="6" a="1"/>
  <c r="FQ1" i="6" a="1"/>
  <c r="FL1" i="6" a="1"/>
  <c r="FS1" i="6" a="1"/>
  <c r="FO1" i="6" a="1"/>
  <c r="FR1" i="6" a="1"/>
  <c r="FJ7" i="6" a="1"/>
  <c r="FP7" i="6" a="1"/>
  <c r="FQ7" i="6" a="1"/>
  <c r="FL7" i="6" a="1"/>
  <c r="FS7" i="6" a="1"/>
  <c r="FO7" i="6" a="1"/>
  <c r="FK7" i="6" a="1"/>
  <c r="FR7" i="6" a="1"/>
  <c r="FN7" i="6" a="1"/>
  <c r="FO2" i="6" a="1"/>
  <c r="FR2" i="6" a="1"/>
  <c r="FN2" i="6" a="1"/>
  <c r="FS2" i="6" a="1"/>
  <c r="FQ2" i="6" a="1"/>
  <c r="FL2" i="6" a="1"/>
  <c r="FK2" i="6" a="1"/>
  <c r="FP2" i="6" a="1"/>
  <c r="FJ2" i="6" a="1"/>
  <c r="FS5" i="6" a="1"/>
  <c r="FQ5" i="6" a="1"/>
  <c r="FR5" i="6" a="1"/>
  <c r="FK5" i="6" a="1"/>
  <c r="FN5" i="6" a="1"/>
  <c r="FO5" i="6" a="1"/>
  <c r="FJ5" i="6" a="1"/>
  <c r="FP5" i="6" a="1"/>
  <c r="FL5" i="6" a="1"/>
  <c r="FL11" i="6" a="1"/>
  <c r="FJ11" i="6" a="1"/>
  <c r="FQ11" i="6" a="1"/>
  <c r="FN11" i="6" a="1"/>
  <c r="FS11" i="6" a="1"/>
  <c r="FO11" i="6" a="1"/>
  <c r="FP11" i="6" a="1"/>
  <c r="FR11" i="6" a="1"/>
  <c r="FK11" i="6" a="1"/>
  <c r="FQ8" i="6" a="1"/>
  <c r="FJ8" i="6" a="1"/>
  <c r="FP8" i="6" a="1"/>
  <c r="FL8" i="6" a="1"/>
  <c r="FR8" i="6" a="1"/>
  <c r="FS8" i="6" a="1"/>
  <c r="FN8" i="6" a="1"/>
  <c r="FO8" i="6" a="1"/>
  <c r="FK8" i="6" a="1"/>
  <c r="FP3" i="6" a="1"/>
  <c r="FK3" i="6" a="1"/>
  <c r="FO3" i="6" a="1"/>
  <c r="FN3" i="6" a="1"/>
  <c r="FS3" i="6" a="1"/>
  <c r="FR3" i="6" a="1"/>
  <c r="FJ3" i="6" a="1"/>
  <c r="FQ3" i="6" a="1"/>
  <c r="FL3" i="6" a="1"/>
  <c r="FS48" i="6" a="1"/>
  <c r="FR48" i="6" a="1"/>
  <c r="FN48" i="6" a="1"/>
  <c r="FQ48" i="6" a="1"/>
  <c r="FP48" i="6" a="1"/>
  <c r="FJ48" i="6" a="1"/>
  <c r="FO48" i="6" a="1"/>
  <c r="FK48" i="6" a="1"/>
  <c r="FL48" i="6" a="1"/>
  <c r="FO22" i="6" a="1"/>
  <c r="FK22" i="6" a="1"/>
  <c r="FJ22" i="6" a="1"/>
  <c r="FL22" i="6" a="1"/>
  <c r="FS22" i="6" a="1"/>
  <c r="FQ22" i="6" a="1"/>
  <c r="FP22" i="6" a="1"/>
  <c r="FR22" i="6" a="1"/>
  <c r="FN22" i="6" a="1"/>
  <c r="FP17" i="6" a="1"/>
  <c r="FO17" i="6" a="1"/>
  <c r="FJ17" i="6" a="1"/>
  <c r="FQ17" i="6" a="1"/>
  <c r="FS17" i="6" a="1"/>
  <c r="FK17" i="6" a="1"/>
  <c r="FN17" i="6" a="1"/>
  <c r="FR17" i="6" a="1"/>
  <c r="FL17" i="6" a="1"/>
  <c r="FL23" i="6" a="1"/>
  <c r="FK23" i="6" a="1"/>
  <c r="FN23" i="6" a="1"/>
  <c r="FS23" i="6" a="1"/>
  <c r="FJ23" i="6" a="1"/>
  <c r="FQ23" i="6" a="1"/>
  <c r="FR23" i="6" a="1"/>
  <c r="FO23" i="6" a="1"/>
  <c r="FP23" i="6" a="1"/>
  <c r="FL40" i="6" a="1"/>
  <c r="FS40" i="6" a="1"/>
  <c r="FP40" i="6" a="1"/>
  <c r="FN40" i="6" a="1"/>
  <c r="FO40" i="6" a="1"/>
  <c r="FJ40" i="6" a="1"/>
  <c r="FK40" i="6" a="1"/>
  <c r="FR40" i="6" a="1"/>
  <c r="FQ40" i="6" a="1"/>
  <c r="FK21" i="6" a="1"/>
  <c r="FN21" i="6" a="1"/>
  <c r="FR21" i="6" a="1"/>
  <c r="FP21" i="6" a="1"/>
  <c r="FL21" i="6" a="1"/>
  <c r="FJ21" i="6" a="1"/>
  <c r="FS21" i="6" a="1"/>
  <c r="FO21" i="6" a="1"/>
  <c r="FQ21" i="6" a="1"/>
  <c r="FL18" i="6" a="1"/>
  <c r="FR18" i="6" a="1"/>
  <c r="FQ18" i="6" a="1"/>
  <c r="FK18" i="6" a="1"/>
  <c r="FJ18" i="6" a="1"/>
  <c r="FP18" i="6" a="1"/>
  <c r="FO18" i="6" a="1"/>
  <c r="FN18" i="6" a="1"/>
  <c r="FS18" i="6" a="1"/>
  <c r="FP4" i="6" a="1"/>
  <c r="FL4" i="6" a="1"/>
  <c r="FQ4" i="6" a="1"/>
  <c r="FO4" i="6" a="1"/>
  <c r="FS4" i="6" a="1"/>
  <c r="FR4" i="6" a="1"/>
  <c r="FJ4" i="6" a="1"/>
  <c r="FN4" i="6" a="1"/>
  <c r="FK4" i="6" a="1"/>
  <c r="FQ34" i="6" a="1"/>
  <c r="FS34" i="6" a="1"/>
  <c r="FN34" i="6" a="1"/>
  <c r="FP34" i="6" a="1"/>
  <c r="FO34" i="6" a="1"/>
  <c r="FL34" i="6" a="1"/>
  <c r="FK34" i="6" a="1"/>
  <c r="FJ34" i="6" a="1"/>
  <c r="FR34" i="6" a="1"/>
  <c r="FJ14" i="6" a="1"/>
  <c r="FP14" i="6" a="1"/>
  <c r="FQ14" i="6" a="1"/>
  <c r="FR14" i="6" a="1"/>
  <c r="FL14" i="6" a="1"/>
  <c r="FS14" i="6" a="1"/>
  <c r="FO14" i="6" a="1"/>
  <c r="FN14" i="6" a="1"/>
  <c r="FK14" i="6" a="1"/>
  <c r="FO26" i="6" a="1"/>
  <c r="FL26" i="6" a="1"/>
  <c r="FK26" i="6" a="1"/>
  <c r="FP26" i="6" a="1"/>
  <c r="FR26" i="6" a="1"/>
  <c r="FS26" i="6" a="1"/>
  <c r="FJ26" i="6" a="1"/>
  <c r="FN26" i="6" a="1"/>
  <c r="FQ26" i="6" a="1"/>
  <c r="FP15" i="6" a="1"/>
  <c r="FL15" i="6" a="1"/>
  <c r="FO15" i="6" a="1"/>
  <c r="FK15" i="6" a="1"/>
  <c r="FS15" i="6" a="1"/>
  <c r="FR15" i="6" a="1"/>
  <c r="FJ15" i="6" a="1"/>
  <c r="FN15" i="6" a="1"/>
  <c r="FQ15" i="6" a="1"/>
  <c r="FS39" i="6" a="1"/>
  <c r="FL39" i="6" a="1"/>
  <c r="FP39" i="6" a="1"/>
  <c r="FR39" i="6" a="1"/>
  <c r="FO39" i="6" a="1"/>
  <c r="FN39" i="6" a="1"/>
  <c r="FK39" i="6" a="1"/>
  <c r="FJ39" i="6" a="1"/>
  <c r="FQ39" i="6" a="1"/>
  <c r="FP43" i="6" a="1"/>
  <c r="FO43" i="6" a="1"/>
  <c r="FK43" i="6" a="1"/>
  <c r="FJ43" i="6" a="1"/>
  <c r="FR43" i="6" a="1"/>
  <c r="FL43" i="6" a="1"/>
  <c r="FS43" i="6" a="1"/>
  <c r="FN43" i="6" a="1"/>
  <c r="FQ43" i="6" a="1"/>
  <c r="FI60" i="6" l="1" a="1"/>
  <c r="FI60" i="6" s="1"/>
  <c r="FI71" i="6" a="1"/>
  <c r="FI71" i="6" s="1"/>
  <c r="FI58" i="6" a="1"/>
  <c r="FI58" i="6" s="1"/>
  <c r="FI27" i="6" a="1"/>
  <c r="FI27" i="6" s="1"/>
  <c r="FI63" i="6" a="1"/>
  <c r="FI63" i="6" s="1"/>
  <c r="FJ63" i="6" s="1" a="1"/>
  <c r="FJ63" i="6" s="1"/>
  <c r="EH57" i="6"/>
  <c r="EK62" i="6"/>
  <c r="EJ59" i="6"/>
  <c r="EH62" i="6"/>
  <c r="EI63" i="6" s="1"/>
  <c r="EG63" i="6"/>
  <c r="EG62" i="6"/>
  <c r="EI62" i="6"/>
  <c r="EH59" i="6"/>
  <c r="FN49" i="6"/>
  <c r="FQ43" i="6"/>
  <c r="FN43" i="6"/>
  <c r="FS43" i="6"/>
  <c r="FL43" i="6"/>
  <c r="FR43" i="6"/>
  <c r="FJ43" i="6"/>
  <c r="FK43" i="6"/>
  <c r="FO43" i="6"/>
  <c r="FP43" i="6"/>
  <c r="FQ39" i="6"/>
  <c r="FJ39" i="6"/>
  <c r="FK39" i="6"/>
  <c r="FN39" i="6"/>
  <c r="FO39" i="6"/>
  <c r="FR39" i="6"/>
  <c r="FP39" i="6"/>
  <c r="FL39" i="6"/>
  <c r="FS39" i="6"/>
  <c r="FQ15" i="6"/>
  <c r="FN15" i="6"/>
  <c r="FJ15" i="6"/>
  <c r="FR15" i="6"/>
  <c r="FS15" i="6"/>
  <c r="FK15" i="6"/>
  <c r="FO15" i="6"/>
  <c r="FL15" i="6"/>
  <c r="FP15" i="6"/>
  <c r="FQ26" i="6"/>
  <c r="FN26" i="6"/>
  <c r="FJ26" i="6"/>
  <c r="FS26" i="6"/>
  <c r="FR26" i="6"/>
  <c r="FP26" i="6"/>
  <c r="FK26" i="6"/>
  <c r="FL26" i="6"/>
  <c r="FO26" i="6"/>
  <c r="FK14" i="6"/>
  <c r="FN14" i="6"/>
  <c r="FO14" i="6"/>
  <c r="FS14" i="6"/>
  <c r="FL14" i="6"/>
  <c r="FR14" i="6"/>
  <c r="FQ14" i="6"/>
  <c r="FP14" i="6"/>
  <c r="FJ14" i="6"/>
  <c r="FR34" i="6"/>
  <c r="FJ34" i="6"/>
  <c r="FK34" i="6"/>
  <c r="FL34" i="6"/>
  <c r="FO34" i="6"/>
  <c r="FP34" i="6"/>
  <c r="FN34" i="6"/>
  <c r="FS34" i="6"/>
  <c r="FQ34" i="6"/>
  <c r="FK4" i="6"/>
  <c r="FN4" i="6"/>
  <c r="FJ4" i="6"/>
  <c r="FR4" i="6"/>
  <c r="FS4" i="6"/>
  <c r="FO4" i="6"/>
  <c r="FQ4" i="6"/>
  <c r="FL4" i="6"/>
  <c r="FP4" i="6"/>
  <c r="FS18" i="6"/>
  <c r="FN18" i="6"/>
  <c r="FO18" i="6"/>
  <c r="FP18" i="6"/>
  <c r="FJ18" i="6"/>
  <c r="FK18" i="6"/>
  <c r="FQ18" i="6"/>
  <c r="FR18" i="6"/>
  <c r="FL18" i="6"/>
  <c r="FQ21" i="6"/>
  <c r="FO21" i="6"/>
  <c r="FS21" i="6"/>
  <c r="FJ21" i="6"/>
  <c r="FL21" i="6"/>
  <c r="FP21" i="6"/>
  <c r="FR21" i="6"/>
  <c r="FN21" i="6"/>
  <c r="FK21" i="6"/>
  <c r="FQ40" i="6"/>
  <c r="FR40" i="6"/>
  <c r="FK40" i="6"/>
  <c r="FJ40" i="6"/>
  <c r="FO40" i="6"/>
  <c r="FN40" i="6"/>
  <c r="FP40" i="6"/>
  <c r="FS40" i="6"/>
  <c r="FL40" i="6"/>
  <c r="FP23" i="6"/>
  <c r="FO23" i="6"/>
  <c r="FR23" i="6"/>
  <c r="FQ23" i="6"/>
  <c r="FJ23" i="6"/>
  <c r="FS23" i="6"/>
  <c r="FN23" i="6"/>
  <c r="FK23" i="6"/>
  <c r="FL23" i="6"/>
  <c r="FL17" i="6"/>
  <c r="FR17" i="6"/>
  <c r="FN17" i="6"/>
  <c r="FK17" i="6"/>
  <c r="FS17" i="6"/>
  <c r="FQ17" i="6"/>
  <c r="FJ17" i="6"/>
  <c r="FO17" i="6"/>
  <c r="FP17" i="6"/>
  <c r="FN22" i="6"/>
  <c r="FR22" i="6"/>
  <c r="FP22" i="6"/>
  <c r="FQ22" i="6"/>
  <c r="FS22" i="6"/>
  <c r="FL22" i="6"/>
  <c r="FJ22" i="6"/>
  <c r="FK22" i="6"/>
  <c r="FO22" i="6"/>
  <c r="FL48" i="6"/>
  <c r="FK48" i="6"/>
  <c r="FO48" i="6"/>
  <c r="FJ48" i="6"/>
  <c r="FP48" i="6"/>
  <c r="FQ48" i="6"/>
  <c r="FN48" i="6"/>
  <c r="FR48" i="6"/>
  <c r="FS48" i="6"/>
  <c r="FL3" i="6"/>
  <c r="FQ3" i="6"/>
  <c r="FJ3" i="6"/>
  <c r="FR3" i="6"/>
  <c r="FS3" i="6"/>
  <c r="FN3" i="6"/>
  <c r="FO3" i="6"/>
  <c r="FK3" i="6"/>
  <c r="FP3" i="6"/>
  <c r="FK8" i="6"/>
  <c r="FO8" i="6"/>
  <c r="FN8" i="6"/>
  <c r="FS8" i="6"/>
  <c r="FR8" i="6"/>
  <c r="FL8" i="6"/>
  <c r="FP8" i="6"/>
  <c r="FJ8" i="6"/>
  <c r="FQ8" i="6"/>
  <c r="FK11" i="6"/>
  <c r="FR11" i="6"/>
  <c r="FP11" i="6"/>
  <c r="FO11" i="6"/>
  <c r="FS11" i="6"/>
  <c r="FN11" i="6"/>
  <c r="FQ11" i="6"/>
  <c r="FJ11" i="6"/>
  <c r="FL11" i="6"/>
  <c r="FL5" i="6"/>
  <c r="FP5" i="6"/>
  <c r="FJ5" i="6"/>
  <c r="FO5" i="6"/>
  <c r="FN5" i="6"/>
  <c r="FK5" i="6"/>
  <c r="FR5" i="6"/>
  <c r="FQ5" i="6"/>
  <c r="FS5" i="6"/>
  <c r="FJ2" i="6"/>
  <c r="FP2" i="6"/>
  <c r="FK2" i="6"/>
  <c r="FL2" i="6"/>
  <c r="FQ2" i="6"/>
  <c r="FS2" i="6"/>
  <c r="FN2" i="6"/>
  <c r="FR2" i="6"/>
  <c r="FO2" i="6"/>
  <c r="FN7" i="6"/>
  <c r="FR7" i="6"/>
  <c r="FK7" i="6"/>
  <c r="FO7" i="6"/>
  <c r="FS7" i="6"/>
  <c r="FL7" i="6"/>
  <c r="FQ7" i="6"/>
  <c r="FP7" i="6"/>
  <c r="FJ7" i="6"/>
  <c r="FR1" i="6"/>
  <c r="FO1" i="6"/>
  <c r="FS1" i="6"/>
  <c r="FL1" i="6"/>
  <c r="FQ1" i="6"/>
  <c r="FP1" i="6"/>
  <c r="FN1" i="6"/>
  <c r="FJ1" i="6"/>
  <c r="FK1" i="6"/>
  <c r="FJ20" i="6"/>
  <c r="FK20" i="6"/>
  <c r="FL20" i="6"/>
  <c r="FQ20" i="6"/>
  <c r="FN20" i="6"/>
  <c r="FP20" i="6"/>
  <c r="FO20" i="6"/>
  <c r="FR20" i="6"/>
  <c r="FS20" i="6"/>
  <c r="FL35" i="6"/>
  <c r="FJ35" i="6"/>
  <c r="FN35" i="6"/>
  <c r="FR35" i="6"/>
  <c r="FS35" i="6"/>
  <c r="FQ35" i="6"/>
  <c r="FK35" i="6"/>
  <c r="FP35" i="6"/>
  <c r="FO35" i="6"/>
  <c r="FQ41" i="6"/>
  <c r="FJ41" i="6"/>
  <c r="FK41" i="6"/>
  <c r="FN41" i="6"/>
  <c r="FL41" i="6"/>
  <c r="FR41" i="6"/>
  <c r="FO41" i="6"/>
  <c r="FS41" i="6"/>
  <c r="FP41" i="6"/>
  <c r="FJ29" i="6"/>
  <c r="FL29" i="6"/>
  <c r="FK29" i="6"/>
  <c r="FO29" i="6"/>
  <c r="FP29" i="6"/>
  <c r="FN29" i="6"/>
  <c r="FS29" i="6"/>
  <c r="FQ29" i="6"/>
  <c r="FR29" i="6"/>
  <c r="FL24" i="6"/>
  <c r="FO24" i="6"/>
  <c r="FP24" i="6"/>
  <c r="FQ24" i="6"/>
  <c r="FJ24" i="6"/>
  <c r="FS24" i="6"/>
  <c r="FK24" i="6"/>
  <c r="FN24" i="6"/>
  <c r="FR24" i="6"/>
  <c r="FP46" i="6"/>
  <c r="FN46" i="6"/>
  <c r="FL46" i="6"/>
  <c r="FK46" i="6"/>
  <c r="FQ46" i="6"/>
  <c r="FJ46" i="6"/>
  <c r="FO46" i="6"/>
  <c r="FS46" i="6"/>
  <c r="FR46" i="6"/>
  <c r="FL16" i="6"/>
  <c r="FJ16" i="6"/>
  <c r="FN16" i="6"/>
  <c r="FK16" i="6"/>
  <c r="FR16" i="6"/>
  <c r="FP16" i="6"/>
  <c r="FO16" i="6"/>
  <c r="FQ16" i="6"/>
  <c r="FS16" i="6"/>
  <c r="FQ9" i="6"/>
  <c r="FK9" i="6"/>
  <c r="FO9" i="6"/>
  <c r="FS9" i="6"/>
  <c r="FR9" i="6"/>
  <c r="FJ9" i="6"/>
  <c r="FL9" i="6"/>
  <c r="FP9" i="6"/>
  <c r="FN9" i="6"/>
  <c r="FQ47" i="6"/>
  <c r="FJ47" i="6"/>
  <c r="FS47" i="6"/>
  <c r="FP47" i="6"/>
  <c r="FK47" i="6"/>
  <c r="FL47" i="6"/>
  <c r="FN47" i="6"/>
  <c r="FR47" i="6"/>
  <c r="FO47" i="6"/>
  <c r="FP45" i="6"/>
  <c r="FN45" i="6"/>
  <c r="FS45" i="6"/>
  <c r="FL45" i="6"/>
  <c r="FO45" i="6"/>
  <c r="FQ45" i="6"/>
  <c r="FJ45" i="6"/>
  <c r="FR45" i="6"/>
  <c r="FK45" i="6"/>
  <c r="FO33" i="6"/>
  <c r="FP33" i="6"/>
  <c r="FN33" i="6"/>
  <c r="FS33" i="6"/>
  <c r="FQ33" i="6"/>
  <c r="FJ33" i="6"/>
  <c r="FR33" i="6"/>
  <c r="FK33" i="6"/>
  <c r="FL33" i="6"/>
  <c r="FJ44" i="6"/>
  <c r="FS44" i="6"/>
  <c r="FO44" i="6"/>
  <c r="FQ44" i="6"/>
  <c r="FL44" i="6"/>
  <c r="FR44" i="6"/>
  <c r="FK44" i="6"/>
  <c r="FP44" i="6"/>
  <c r="FN44" i="6"/>
  <c r="FK6" i="6"/>
  <c r="FR6" i="6"/>
  <c r="FS6" i="6"/>
  <c r="FL6" i="6"/>
  <c r="FP6" i="6"/>
  <c r="FQ6" i="6"/>
  <c r="FJ6" i="6"/>
  <c r="FO6" i="6"/>
  <c r="FN6" i="6"/>
  <c r="FK25" i="6"/>
  <c r="FO25" i="6"/>
  <c r="FR25" i="6"/>
  <c r="FS25" i="6"/>
  <c r="FQ25" i="6"/>
  <c r="FJ25" i="6"/>
  <c r="FP25" i="6"/>
  <c r="FN25" i="6"/>
  <c r="FL25" i="6"/>
  <c r="FO10" i="6"/>
  <c r="FQ10" i="6"/>
  <c r="FS10" i="6"/>
  <c r="FJ10" i="6"/>
  <c r="FL10" i="6"/>
  <c r="FN10" i="6"/>
  <c r="FK10" i="6"/>
  <c r="FP10" i="6"/>
  <c r="FR10" i="6"/>
  <c r="FQ42" i="6"/>
  <c r="FS42" i="6"/>
  <c r="FR42" i="6"/>
  <c r="FL42" i="6"/>
  <c r="FK42" i="6"/>
  <c r="FO42" i="6"/>
  <c r="FP42" i="6"/>
  <c r="FJ42" i="6"/>
  <c r="FN42" i="6"/>
  <c r="FJ12" i="6"/>
  <c r="FR12" i="6"/>
  <c r="FK12" i="6"/>
  <c r="FL12" i="6"/>
  <c r="FO12" i="6"/>
  <c r="FQ12" i="6"/>
  <c r="FP12" i="6"/>
  <c r="FN12" i="6"/>
  <c r="FS12" i="6"/>
  <c r="FK32" i="6"/>
  <c r="FN32" i="6"/>
  <c r="FQ32" i="6"/>
  <c r="FR32" i="6"/>
  <c r="FO32" i="6"/>
  <c r="FS32" i="6"/>
  <c r="FP32" i="6"/>
  <c r="FL32" i="6"/>
  <c r="FJ32" i="6"/>
  <c r="FK49" i="6"/>
  <c r="FQ49" i="6"/>
  <c r="FS49" i="6"/>
  <c r="FL49" i="6"/>
  <c r="FP49" i="6"/>
  <c r="FO49" i="6"/>
  <c r="FJ49" i="6"/>
  <c r="FR49" i="6"/>
  <c r="FJ37" i="6"/>
  <c r="FN37" i="6"/>
  <c r="FR37" i="6"/>
  <c r="FQ37" i="6"/>
  <c r="FK37" i="6"/>
  <c r="FL37" i="6"/>
  <c r="FP37" i="6"/>
  <c r="FO37" i="6"/>
  <c r="FS37" i="6"/>
  <c r="FN28" i="6"/>
  <c r="FO28" i="6"/>
  <c r="FS28" i="6"/>
  <c r="FP28" i="6"/>
  <c r="FQ28" i="6"/>
  <c r="FJ28" i="6"/>
  <c r="FR28" i="6"/>
  <c r="FK28" i="6"/>
  <c r="FL28" i="6"/>
  <c r="FK30" i="6"/>
  <c r="FQ30" i="6"/>
  <c r="FN30" i="6"/>
  <c r="FJ30" i="6"/>
  <c r="FR30" i="6"/>
  <c r="FL30" i="6"/>
  <c r="FO30" i="6"/>
  <c r="FS30" i="6"/>
  <c r="FP30" i="6"/>
  <c r="FK19" i="6"/>
  <c r="FP19" i="6"/>
  <c r="FJ19" i="6"/>
  <c r="FR19" i="6"/>
  <c r="FL19" i="6"/>
  <c r="FN19" i="6"/>
  <c r="FQ19" i="6"/>
  <c r="FS19" i="6"/>
  <c r="FO19" i="6"/>
  <c r="FK13" i="6"/>
  <c r="FS13" i="6"/>
  <c r="FL13" i="6"/>
  <c r="FQ13" i="6"/>
  <c r="FJ13" i="6"/>
  <c r="FN13" i="6"/>
  <c r="FO13" i="6"/>
  <c r="FP13" i="6"/>
  <c r="FR13" i="6"/>
  <c r="FJ38" i="6"/>
  <c r="FL38" i="6"/>
  <c r="FN38" i="6"/>
  <c r="FR38" i="6"/>
  <c r="FP38" i="6"/>
  <c r="FK38" i="6"/>
  <c r="FQ38" i="6"/>
  <c r="FO38" i="6"/>
  <c r="FS38" i="6"/>
  <c r="FJ36" i="6"/>
  <c r="FK36" i="6"/>
  <c r="FN36" i="6"/>
  <c r="FS36" i="6"/>
  <c r="FL36" i="6"/>
  <c r="FR36" i="6"/>
  <c r="FO36" i="6"/>
  <c r="FP36" i="6"/>
  <c r="FQ36" i="6"/>
  <c r="FR31" i="6"/>
  <c r="FL31" i="6"/>
  <c r="FO31" i="6"/>
  <c r="FN31" i="6"/>
  <c r="FP31" i="6"/>
  <c r="FS31" i="6"/>
  <c r="FQ31" i="6"/>
  <c r="FK31" i="6"/>
  <c r="FJ31" i="6"/>
  <c r="FK98" i="6" a="1"/>
  <c r="FK98" i="6" s="1"/>
  <c r="FN98" i="6" a="1"/>
  <c r="FN98" i="6" s="1"/>
  <c r="FP98" i="6" a="1"/>
  <c r="FP98" i="6" s="1"/>
  <c r="FL98" i="6" a="1"/>
  <c r="FL98" i="6" s="1"/>
  <c r="FQ98" i="6" a="1"/>
  <c r="FQ98" i="6" s="1"/>
  <c r="FM98" i="6" a="1"/>
  <c r="FM98" i="6" s="1"/>
  <c r="FS98" i="6" a="1"/>
  <c r="FS98" i="6" s="1"/>
  <c r="FO98" i="6" a="1"/>
  <c r="FO98" i="6" s="1"/>
  <c r="FJ98" i="6" a="1"/>
  <c r="FJ98" i="6" s="1"/>
  <c r="FR98" i="6" a="1"/>
  <c r="FR98" i="6" s="1"/>
  <c r="FM52" i="6" a="1"/>
  <c r="FM52" i="6" s="1"/>
  <c r="FL52" i="6" a="1"/>
  <c r="FL52" i="6" s="1"/>
  <c r="FJ52" i="6" a="1"/>
  <c r="FJ52" i="6" s="1"/>
  <c r="FK52" i="6" a="1"/>
  <c r="FK52" i="6" s="1"/>
  <c r="FQ52" i="6" a="1"/>
  <c r="FQ52" i="6" s="1"/>
  <c r="FP52" i="6" a="1"/>
  <c r="FP52" i="6" s="1"/>
  <c r="FN52" i="6" a="1"/>
  <c r="FN52" i="6" s="1"/>
  <c r="FR52" i="6" a="1"/>
  <c r="FR52" i="6" s="1"/>
  <c r="FO52" i="6" a="1"/>
  <c r="FO52" i="6" s="1"/>
  <c r="FS52" i="6" a="1"/>
  <c r="FS52" i="6" s="1"/>
  <c r="FN75" i="6" a="1"/>
  <c r="FN75" i="6" s="1"/>
  <c r="FO75" i="6" a="1"/>
  <c r="FO75" i="6" s="1"/>
  <c r="FL75" i="6" a="1"/>
  <c r="FL75" i="6" s="1"/>
  <c r="FQ75" i="6" a="1"/>
  <c r="FQ75" i="6" s="1"/>
  <c r="FM75" i="6" a="1"/>
  <c r="FM75" i="6" s="1"/>
  <c r="FJ75" i="6" a="1"/>
  <c r="FJ75" i="6" s="1"/>
  <c r="FP75" i="6" a="1"/>
  <c r="FP75" i="6" s="1"/>
  <c r="FR75" i="6" a="1"/>
  <c r="FR75" i="6" s="1"/>
  <c r="FS75" i="6" a="1"/>
  <c r="FS75" i="6" s="1"/>
  <c r="FK75" i="6" a="1"/>
  <c r="FK75" i="6" s="1"/>
  <c r="FK64" i="6" a="1"/>
  <c r="FK64" i="6" s="1"/>
  <c r="FN64" i="6" a="1"/>
  <c r="FN64" i="6" s="1"/>
  <c r="FJ64" i="6" a="1"/>
  <c r="FJ64" i="6" s="1"/>
  <c r="FO64" i="6" a="1"/>
  <c r="FO64" i="6" s="1"/>
  <c r="FL64" i="6" a="1"/>
  <c r="FL64" i="6" s="1"/>
  <c r="FM64" i="6" a="1"/>
  <c r="FM64" i="6" s="1"/>
  <c r="FR64" i="6" a="1"/>
  <c r="FR64" i="6" s="1"/>
  <c r="FS64" i="6" a="1"/>
  <c r="FS64" i="6" s="1"/>
  <c r="FP64" i="6" a="1"/>
  <c r="FP64" i="6" s="1"/>
  <c r="FQ64" i="6" a="1"/>
  <c r="FQ64" i="6" s="1"/>
  <c r="FO93" i="6" a="1"/>
  <c r="FO93" i="6" s="1"/>
  <c r="FJ93" i="6" a="1"/>
  <c r="FJ93" i="6" s="1"/>
  <c r="FS93" i="6" a="1"/>
  <c r="FS93" i="6" s="1"/>
  <c r="FR93" i="6" a="1"/>
  <c r="FR93" i="6" s="1"/>
  <c r="FK93" i="6" a="1"/>
  <c r="FK93" i="6" s="1"/>
  <c r="FQ93" i="6" a="1"/>
  <c r="FQ93" i="6" s="1"/>
  <c r="FM93" i="6" a="1"/>
  <c r="FM93" i="6" s="1"/>
  <c r="FP93" i="6" a="1"/>
  <c r="FP93" i="6" s="1"/>
  <c r="FL93" i="6" a="1"/>
  <c r="FL93" i="6" s="1"/>
  <c r="FN93" i="6" a="1"/>
  <c r="FN93" i="6" s="1"/>
  <c r="FN107" i="6" a="1"/>
  <c r="FN107" i="6" s="1"/>
  <c r="FJ107" i="6" a="1"/>
  <c r="FJ107" i="6" s="1"/>
  <c r="FO107" i="6" a="1"/>
  <c r="FO107" i="6" s="1"/>
  <c r="FS107" i="6" a="1"/>
  <c r="FS107" i="6" s="1"/>
  <c r="FQ107" i="6" a="1"/>
  <c r="FQ107" i="6" s="1"/>
  <c r="FL107" i="6" a="1"/>
  <c r="FL107" i="6" s="1"/>
  <c r="FK107" i="6" a="1"/>
  <c r="FK107" i="6" s="1"/>
  <c r="FM107" i="6" a="1"/>
  <c r="FM107" i="6" s="1"/>
  <c r="FR107" i="6" a="1"/>
  <c r="FR107" i="6" s="1"/>
  <c r="FP107" i="6" a="1"/>
  <c r="FP107" i="6" s="1"/>
  <c r="FP114" i="6" a="1"/>
  <c r="FP114" i="6" s="1"/>
  <c r="FM114" i="6" a="1"/>
  <c r="FM114" i="6" s="1"/>
  <c r="FQ114" i="6" a="1"/>
  <c r="FQ114" i="6" s="1"/>
  <c r="FK114" i="6" a="1"/>
  <c r="FK114" i="6" s="1"/>
  <c r="FJ114" i="6" a="1"/>
  <c r="FJ114" i="6" s="1"/>
  <c r="FN114" i="6" a="1"/>
  <c r="FN114" i="6" s="1"/>
  <c r="FS114" i="6" a="1"/>
  <c r="FS114" i="6" s="1"/>
  <c r="FO114" i="6" a="1"/>
  <c r="FO114" i="6" s="1"/>
  <c r="FL114" i="6" a="1"/>
  <c r="FL114" i="6" s="1"/>
  <c r="FR114" i="6" a="1"/>
  <c r="FR114" i="6" s="1"/>
  <c r="FN62" i="6" a="1"/>
  <c r="FN62" i="6" s="1"/>
  <c r="FP62" i="6" a="1"/>
  <c r="FP62" i="6" s="1"/>
  <c r="FR62" i="6" a="1"/>
  <c r="FR62" i="6" s="1"/>
  <c r="FL62" i="6" a="1"/>
  <c r="FL62" i="6" s="1"/>
  <c r="FQ62" i="6" a="1"/>
  <c r="FQ62" i="6" s="1"/>
  <c r="FJ62" i="6" a="1"/>
  <c r="FJ62" i="6" s="1"/>
  <c r="FK62" i="6" a="1"/>
  <c r="FK62" i="6" s="1"/>
  <c r="FO62" i="6" a="1"/>
  <c r="FO62" i="6" s="1"/>
  <c r="FM62" i="6" a="1"/>
  <c r="FM62" i="6" s="1"/>
  <c r="FS62" i="6" a="1"/>
  <c r="FS62" i="6" s="1"/>
  <c r="FL100" i="6" a="1"/>
  <c r="FL100" i="6" s="1"/>
  <c r="FO100" i="6" a="1"/>
  <c r="FO100" i="6" s="1"/>
  <c r="FN100" i="6" a="1"/>
  <c r="FN100" i="6" s="1"/>
  <c r="FS100" i="6" a="1"/>
  <c r="FS100" i="6" s="1"/>
  <c r="FM100" i="6" a="1"/>
  <c r="FM100" i="6" s="1"/>
  <c r="FR100" i="6" a="1"/>
  <c r="FR100" i="6" s="1"/>
  <c r="FJ100" i="6" a="1"/>
  <c r="FJ100" i="6" s="1"/>
  <c r="FP100" i="6" a="1"/>
  <c r="FP100" i="6" s="1"/>
  <c r="FQ100" i="6" a="1"/>
  <c r="FQ100" i="6" s="1"/>
  <c r="FK100" i="6" a="1"/>
  <c r="FK100" i="6" s="1"/>
  <c r="FK55" i="6" a="1"/>
  <c r="FK55" i="6" s="1"/>
  <c r="FR55" i="6" a="1"/>
  <c r="FR55" i="6" s="1"/>
  <c r="FN55" i="6" a="1"/>
  <c r="FN55" i="6" s="1"/>
  <c r="FQ55" i="6" a="1"/>
  <c r="FQ55" i="6" s="1"/>
  <c r="FJ55" i="6" a="1"/>
  <c r="FJ55" i="6" s="1"/>
  <c r="FM55" i="6" a="1"/>
  <c r="FM55" i="6" s="1"/>
  <c r="FP55" i="6" a="1"/>
  <c r="FP55" i="6" s="1"/>
  <c r="FL55" i="6" a="1"/>
  <c r="FL55" i="6" s="1"/>
  <c r="FS55" i="6" a="1"/>
  <c r="FS55" i="6" s="1"/>
  <c r="FO55" i="6" a="1"/>
  <c r="FO55" i="6" s="1"/>
  <c r="FL99" i="6" a="1"/>
  <c r="FL99" i="6" s="1"/>
  <c r="FS99" i="6" a="1"/>
  <c r="FS99" i="6" s="1"/>
  <c r="FO99" i="6" a="1"/>
  <c r="FO99" i="6" s="1"/>
  <c r="FR99" i="6" a="1"/>
  <c r="FR99" i="6" s="1"/>
  <c r="FJ99" i="6" a="1"/>
  <c r="FJ99" i="6" s="1"/>
  <c r="FN99" i="6" a="1"/>
  <c r="FN99" i="6" s="1"/>
  <c r="FQ99" i="6" a="1"/>
  <c r="FQ99" i="6" s="1"/>
  <c r="FP99" i="6" a="1"/>
  <c r="FP99" i="6" s="1"/>
  <c r="FM99" i="6" a="1"/>
  <c r="FM99" i="6" s="1"/>
  <c r="FK99" i="6" a="1"/>
  <c r="FK99" i="6" s="1"/>
  <c r="FS65" i="6" a="1"/>
  <c r="FS65" i="6" s="1"/>
  <c r="FL65" i="6" a="1"/>
  <c r="FL65" i="6" s="1"/>
  <c r="FO65" i="6" a="1"/>
  <c r="FO65" i="6" s="1"/>
  <c r="FM65" i="6" a="1"/>
  <c r="FM65" i="6" s="1"/>
  <c r="FR65" i="6" a="1"/>
  <c r="FR65" i="6" s="1"/>
  <c r="FJ65" i="6" a="1"/>
  <c r="FJ65" i="6" s="1"/>
  <c r="FK65" i="6" a="1"/>
  <c r="FK65" i="6" s="1"/>
  <c r="FP65" i="6" a="1"/>
  <c r="FP65" i="6" s="1"/>
  <c r="FQ65" i="6" a="1"/>
  <c r="FQ65" i="6" s="1"/>
  <c r="FN65" i="6" a="1"/>
  <c r="FN65" i="6" s="1"/>
  <c r="FN92" i="6" a="1"/>
  <c r="FN92" i="6" s="1"/>
  <c r="FM92" i="6" a="1"/>
  <c r="FM92" i="6" s="1"/>
  <c r="FP92" i="6" a="1"/>
  <c r="FP92" i="6" s="1"/>
  <c r="FQ92" i="6" a="1"/>
  <c r="FQ92" i="6" s="1"/>
  <c r="FR92" i="6" a="1"/>
  <c r="FR92" i="6" s="1"/>
  <c r="FK92" i="6" a="1"/>
  <c r="FK92" i="6" s="1"/>
  <c r="FS92" i="6" a="1"/>
  <c r="FS92" i="6" s="1"/>
  <c r="FJ92" i="6" a="1"/>
  <c r="FJ92" i="6" s="1"/>
  <c r="FO92" i="6" a="1"/>
  <c r="FO92" i="6" s="1"/>
  <c r="FL92" i="6" a="1"/>
  <c r="FL92" i="6" s="1"/>
  <c r="FS103" i="6" a="1"/>
  <c r="FS103" i="6" s="1"/>
  <c r="FM103" i="6" a="1"/>
  <c r="FM103" i="6" s="1"/>
  <c r="FQ103" i="6" a="1"/>
  <c r="FQ103" i="6" s="1"/>
  <c r="FN103" i="6" a="1"/>
  <c r="FN103" i="6" s="1"/>
  <c r="FJ103" i="6" a="1"/>
  <c r="FJ103" i="6" s="1"/>
  <c r="FK103" i="6" a="1"/>
  <c r="FK103" i="6" s="1"/>
  <c r="FL103" i="6" a="1"/>
  <c r="FL103" i="6" s="1"/>
  <c r="FO103" i="6" a="1"/>
  <c r="FO103" i="6" s="1"/>
  <c r="FP103" i="6" a="1"/>
  <c r="FP103" i="6" s="1"/>
  <c r="FR103" i="6" a="1"/>
  <c r="FR103" i="6" s="1"/>
  <c r="FO74" i="6" a="1"/>
  <c r="FO74" i="6" s="1"/>
  <c r="FP74" i="6" a="1"/>
  <c r="FP74" i="6" s="1"/>
  <c r="FS74" i="6" a="1"/>
  <c r="FS74" i="6" s="1"/>
  <c r="FQ74" i="6" a="1"/>
  <c r="FQ74" i="6" s="1"/>
  <c r="FK74" i="6" a="1"/>
  <c r="FK74" i="6" s="1"/>
  <c r="FL74" i="6" a="1"/>
  <c r="FL74" i="6" s="1"/>
  <c r="FN74" i="6" a="1"/>
  <c r="FN74" i="6" s="1"/>
  <c r="FR74" i="6" a="1"/>
  <c r="FR74" i="6" s="1"/>
  <c r="FM74" i="6" a="1"/>
  <c r="FM74" i="6" s="1"/>
  <c r="FJ74" i="6" a="1"/>
  <c r="FJ74" i="6" s="1"/>
  <c r="FM112" i="6" a="1"/>
  <c r="FM112" i="6" s="1"/>
  <c r="FL112" i="6" a="1"/>
  <c r="FL112" i="6" s="1"/>
  <c r="FN112" i="6" a="1"/>
  <c r="FN112" i="6" s="1"/>
  <c r="FJ112" i="6" a="1"/>
  <c r="FJ112" i="6" s="1"/>
  <c r="FR112" i="6" a="1"/>
  <c r="FR112" i="6" s="1"/>
  <c r="FP112" i="6" a="1"/>
  <c r="FP112" i="6" s="1"/>
  <c r="FK112" i="6" a="1"/>
  <c r="FK112" i="6" s="1"/>
  <c r="FO112" i="6" a="1"/>
  <c r="FO112" i="6" s="1"/>
  <c r="FQ112" i="6" a="1"/>
  <c r="FQ112" i="6" s="1"/>
  <c r="FS112" i="6" a="1"/>
  <c r="FS112" i="6" s="1"/>
  <c r="FK67" i="6" a="1"/>
  <c r="FK67" i="6" s="1"/>
  <c r="FJ67" i="6" a="1"/>
  <c r="FJ67" i="6" s="1"/>
  <c r="FN67" i="6" a="1"/>
  <c r="FN67" i="6" s="1"/>
  <c r="FO67" i="6" a="1"/>
  <c r="FO67" i="6" s="1"/>
  <c r="FQ67" i="6" a="1"/>
  <c r="FQ67" i="6" s="1"/>
  <c r="FS67" i="6" a="1"/>
  <c r="FS67" i="6" s="1"/>
  <c r="FP67" i="6" a="1"/>
  <c r="FP67" i="6" s="1"/>
  <c r="FL67" i="6" a="1"/>
  <c r="FL67" i="6" s="1"/>
  <c r="FM67" i="6" a="1"/>
  <c r="FM67" i="6" s="1"/>
  <c r="FR67" i="6" a="1"/>
  <c r="FR67" i="6" s="1"/>
  <c r="FR86" i="6" a="1"/>
  <c r="FR86" i="6" s="1"/>
  <c r="FL86" i="6" a="1"/>
  <c r="FL86" i="6" s="1"/>
  <c r="FQ86" i="6" a="1"/>
  <c r="FQ86" i="6" s="1"/>
  <c r="FO86" i="6" a="1"/>
  <c r="FO86" i="6" s="1"/>
  <c r="FS86" i="6" a="1"/>
  <c r="FS86" i="6" s="1"/>
  <c r="FK86" i="6" a="1"/>
  <c r="FK86" i="6" s="1"/>
  <c r="FJ86" i="6" a="1"/>
  <c r="FJ86" i="6" s="1"/>
  <c r="FN86" i="6" a="1"/>
  <c r="FN86" i="6" s="1"/>
  <c r="FP86" i="6" a="1"/>
  <c r="FP86" i="6" s="1"/>
  <c r="FM86" i="6" a="1"/>
  <c r="FM86" i="6" s="1"/>
  <c r="FM68" i="6" a="1"/>
  <c r="FM68" i="6" s="1"/>
  <c r="FQ68" i="6" a="1"/>
  <c r="FQ68" i="6" s="1"/>
  <c r="FO68" i="6" a="1"/>
  <c r="FO68" i="6" s="1"/>
  <c r="FK68" i="6" a="1"/>
  <c r="FK68" i="6" s="1"/>
  <c r="FR68" i="6" a="1"/>
  <c r="FR68" i="6" s="1"/>
  <c r="FJ68" i="6" a="1"/>
  <c r="FJ68" i="6" s="1"/>
  <c r="FS68" i="6" a="1"/>
  <c r="FS68" i="6" s="1"/>
  <c r="FL68" i="6" a="1"/>
  <c r="FL68" i="6" s="1"/>
  <c r="FP68" i="6" a="1"/>
  <c r="FP68" i="6" s="1"/>
  <c r="FN68" i="6" a="1"/>
  <c r="FN68" i="6" s="1"/>
  <c r="FN66" i="6" a="1"/>
  <c r="FN66" i="6" s="1"/>
  <c r="FJ66" i="6" a="1"/>
  <c r="FJ66" i="6" s="1"/>
  <c r="FO66" i="6" a="1"/>
  <c r="FO66" i="6" s="1"/>
  <c r="FS66" i="6" a="1"/>
  <c r="FS66" i="6" s="1"/>
  <c r="FQ66" i="6" a="1"/>
  <c r="FQ66" i="6" s="1"/>
  <c r="FM66" i="6" a="1"/>
  <c r="FM66" i="6" s="1"/>
  <c r="FP66" i="6" a="1"/>
  <c r="FP66" i="6" s="1"/>
  <c r="FR66" i="6" a="1"/>
  <c r="FR66" i="6" s="1"/>
  <c r="FL66" i="6" a="1"/>
  <c r="FL66" i="6" s="1"/>
  <c r="FK66" i="6" a="1"/>
  <c r="FK66" i="6" s="1"/>
  <c r="FJ120" i="6" a="1"/>
  <c r="FJ120" i="6" s="1"/>
  <c r="FK120" i="6" a="1"/>
  <c r="FK120" i="6" s="1"/>
  <c r="FR120" i="6" a="1"/>
  <c r="FR120" i="6" s="1"/>
  <c r="FN120" i="6" a="1"/>
  <c r="FN120" i="6" s="1"/>
  <c r="FS120" i="6" a="1"/>
  <c r="FS120" i="6" s="1"/>
  <c r="FQ120" i="6" a="1"/>
  <c r="FQ120" i="6" s="1"/>
  <c r="FP120" i="6" a="1"/>
  <c r="FP120" i="6" s="1"/>
  <c r="FO120" i="6" a="1"/>
  <c r="FO120" i="6" s="1"/>
  <c r="FL120" i="6" a="1"/>
  <c r="FL120" i="6" s="1"/>
  <c r="FM120" i="6" a="1"/>
  <c r="FM120" i="6" s="1"/>
  <c r="FO88" i="6" a="1"/>
  <c r="FO88" i="6" s="1"/>
  <c r="FP88" i="6" a="1"/>
  <c r="FP88" i="6" s="1"/>
  <c r="FS88" i="6" a="1"/>
  <c r="FS88" i="6" s="1"/>
  <c r="FL88" i="6" a="1"/>
  <c r="FL88" i="6" s="1"/>
  <c r="FQ88" i="6" a="1"/>
  <c r="FQ88" i="6" s="1"/>
  <c r="FK88" i="6" a="1"/>
  <c r="FK88" i="6" s="1"/>
  <c r="FM88" i="6" a="1"/>
  <c r="FM88" i="6" s="1"/>
  <c r="FN88" i="6" a="1"/>
  <c r="FN88" i="6" s="1"/>
  <c r="FR88" i="6" a="1"/>
  <c r="FR88" i="6" s="1"/>
  <c r="FJ88" i="6" a="1"/>
  <c r="FJ88" i="6" s="1"/>
  <c r="FR79" i="6" a="1"/>
  <c r="FR79" i="6" s="1"/>
  <c r="FP79" i="6" a="1"/>
  <c r="FP79" i="6" s="1"/>
  <c r="FL79" i="6" a="1"/>
  <c r="FL79" i="6" s="1"/>
  <c r="FM79" i="6" a="1"/>
  <c r="FM79" i="6" s="1"/>
  <c r="FS79" i="6" a="1"/>
  <c r="FS79" i="6" s="1"/>
  <c r="FJ79" i="6" a="1"/>
  <c r="FJ79" i="6" s="1"/>
  <c r="FO79" i="6" a="1"/>
  <c r="FO79" i="6" s="1"/>
  <c r="FN79" i="6" a="1"/>
  <c r="FN79" i="6" s="1"/>
  <c r="FK79" i="6" a="1"/>
  <c r="FK79" i="6" s="1"/>
  <c r="FQ79" i="6" a="1"/>
  <c r="FQ79" i="6" s="1"/>
  <c r="FM115" i="6" a="1"/>
  <c r="FM115" i="6" s="1"/>
  <c r="FN115" i="6" a="1"/>
  <c r="FN115" i="6" s="1"/>
  <c r="FP115" i="6" a="1"/>
  <c r="FP115" i="6" s="1"/>
  <c r="FR115" i="6" a="1"/>
  <c r="FR115" i="6" s="1"/>
  <c r="FQ115" i="6" a="1"/>
  <c r="FQ115" i="6" s="1"/>
  <c r="FK115" i="6" a="1"/>
  <c r="FK115" i="6" s="1"/>
  <c r="FS115" i="6" a="1"/>
  <c r="FS115" i="6" s="1"/>
  <c r="FO115" i="6" a="1"/>
  <c r="FO115" i="6" s="1"/>
  <c r="FJ115" i="6" a="1"/>
  <c r="FJ115" i="6" s="1"/>
  <c r="FL115" i="6" a="1"/>
  <c r="FL115" i="6" s="1"/>
  <c r="FJ104" i="6" a="1"/>
  <c r="FJ104" i="6" s="1"/>
  <c r="FL104" i="6" a="1"/>
  <c r="FL104" i="6" s="1"/>
  <c r="FQ104" i="6" a="1"/>
  <c r="FQ104" i="6" s="1"/>
  <c r="FR104" i="6" a="1"/>
  <c r="FR104" i="6" s="1"/>
  <c r="FP104" i="6" a="1"/>
  <c r="FP104" i="6" s="1"/>
  <c r="FK104" i="6" a="1"/>
  <c r="FK104" i="6" s="1"/>
  <c r="FO104" i="6" a="1"/>
  <c r="FO104" i="6" s="1"/>
  <c r="FN104" i="6" a="1"/>
  <c r="FN104" i="6" s="1"/>
  <c r="FM104" i="6" a="1"/>
  <c r="FM104" i="6" s="1"/>
  <c r="FS104" i="6" a="1"/>
  <c r="FS104" i="6" s="1"/>
  <c r="FJ69" i="6" a="1"/>
  <c r="FJ69" i="6" s="1"/>
  <c r="FN69" i="6" a="1"/>
  <c r="FN69" i="6" s="1"/>
  <c r="FR69" i="6" a="1"/>
  <c r="FR69" i="6" s="1"/>
  <c r="FQ69" i="6" a="1"/>
  <c r="FQ69" i="6" s="1"/>
  <c r="FK69" i="6" a="1"/>
  <c r="FK69" i="6" s="1"/>
  <c r="FO69" i="6" a="1"/>
  <c r="FO69" i="6" s="1"/>
  <c r="FP69" i="6" a="1"/>
  <c r="FP69" i="6" s="1"/>
  <c r="FM69" i="6" a="1"/>
  <c r="FM69" i="6" s="1"/>
  <c r="FS69" i="6" a="1"/>
  <c r="FS69" i="6" s="1"/>
  <c r="FL69" i="6" a="1"/>
  <c r="FL69" i="6" s="1"/>
  <c r="FL101" i="6" a="1"/>
  <c r="FL101" i="6" s="1"/>
  <c r="FR101" i="6" a="1"/>
  <c r="FR101" i="6" s="1"/>
  <c r="FK101" i="6" a="1"/>
  <c r="FK101" i="6" s="1"/>
  <c r="FP101" i="6" a="1"/>
  <c r="FP101" i="6" s="1"/>
  <c r="FJ101" i="6" a="1"/>
  <c r="FJ101" i="6" s="1"/>
  <c r="FO101" i="6" a="1"/>
  <c r="FO101" i="6" s="1"/>
  <c r="FM101" i="6" a="1"/>
  <c r="FM101" i="6" s="1"/>
  <c r="FN101" i="6" a="1"/>
  <c r="FN101" i="6" s="1"/>
  <c r="FS101" i="6" a="1"/>
  <c r="FS101" i="6" s="1"/>
  <c r="FQ101" i="6" a="1"/>
  <c r="FQ101" i="6" s="1"/>
  <c r="FQ59" i="6" a="1"/>
  <c r="FQ59" i="6" s="1"/>
  <c r="FS59" i="6" a="1"/>
  <c r="FS59" i="6" s="1"/>
  <c r="FL59" i="6" a="1"/>
  <c r="FL59" i="6" s="1"/>
  <c r="FR59" i="6" a="1"/>
  <c r="FR59" i="6" s="1"/>
  <c r="FK59" i="6" a="1"/>
  <c r="FK59" i="6" s="1"/>
  <c r="FM59" i="6" a="1"/>
  <c r="FM59" i="6" s="1"/>
  <c r="FP59" i="6" a="1"/>
  <c r="FP59" i="6" s="1"/>
  <c r="FN59" i="6" a="1"/>
  <c r="FN59" i="6" s="1"/>
  <c r="FJ59" i="6" a="1"/>
  <c r="FJ59" i="6" s="1"/>
  <c r="FO59" i="6" a="1"/>
  <c r="FO59" i="6" s="1"/>
  <c r="FQ94" i="6" a="1"/>
  <c r="FQ94" i="6" s="1"/>
  <c r="FL94" i="6" a="1"/>
  <c r="FL94" i="6" s="1"/>
  <c r="FR94" i="6" a="1"/>
  <c r="FR94" i="6" s="1"/>
  <c r="FM94" i="6" a="1"/>
  <c r="FM94" i="6" s="1"/>
  <c r="FJ94" i="6" a="1"/>
  <c r="FJ94" i="6" s="1"/>
  <c r="FS94" i="6" a="1"/>
  <c r="FS94" i="6" s="1"/>
  <c r="FO94" i="6" a="1"/>
  <c r="FO94" i="6" s="1"/>
  <c r="FP94" i="6" a="1"/>
  <c r="FP94" i="6" s="1"/>
  <c r="FN94" i="6" a="1"/>
  <c r="FN94" i="6" s="1"/>
  <c r="FK94" i="6" a="1"/>
  <c r="FK94" i="6" s="1"/>
  <c r="FQ76" i="6" a="1"/>
  <c r="FQ76" i="6" s="1"/>
  <c r="FK76" i="6" a="1"/>
  <c r="FK76" i="6" s="1"/>
  <c r="FL76" i="6" a="1"/>
  <c r="FL76" i="6" s="1"/>
  <c r="FM76" i="6" a="1"/>
  <c r="FM76" i="6" s="1"/>
  <c r="FP76" i="6" a="1"/>
  <c r="FP76" i="6" s="1"/>
  <c r="FN76" i="6" a="1"/>
  <c r="FN76" i="6" s="1"/>
  <c r="FS76" i="6" a="1"/>
  <c r="FS76" i="6" s="1"/>
  <c r="FR76" i="6" a="1"/>
  <c r="FR76" i="6" s="1"/>
  <c r="FO76" i="6" a="1"/>
  <c r="FO76" i="6" s="1"/>
  <c r="FJ76" i="6" a="1"/>
  <c r="FJ76" i="6" s="1"/>
  <c r="FQ89" i="6" a="1"/>
  <c r="FQ89" i="6" s="1"/>
  <c r="FL89" i="6" a="1"/>
  <c r="FL89" i="6" s="1"/>
  <c r="FS89" i="6" a="1"/>
  <c r="FS89" i="6" s="1"/>
  <c r="FJ89" i="6" a="1"/>
  <c r="FJ89" i="6" s="1"/>
  <c r="FR89" i="6" a="1"/>
  <c r="FR89" i="6" s="1"/>
  <c r="FK89" i="6" a="1"/>
  <c r="FK89" i="6" s="1"/>
  <c r="FO89" i="6" a="1"/>
  <c r="FO89" i="6" s="1"/>
  <c r="FP89" i="6" a="1"/>
  <c r="FP89" i="6" s="1"/>
  <c r="FM89" i="6" a="1"/>
  <c r="FM89" i="6" s="1"/>
  <c r="FN89" i="6" a="1"/>
  <c r="FN89" i="6" s="1"/>
  <c r="FM82" i="6" a="1"/>
  <c r="FM82" i="6" s="1"/>
  <c r="FL82" i="6" a="1"/>
  <c r="FL82" i="6" s="1"/>
  <c r="FK82" i="6" a="1"/>
  <c r="FK82" i="6" s="1"/>
  <c r="FP82" i="6" a="1"/>
  <c r="FP82" i="6" s="1"/>
  <c r="FO82" i="6" a="1"/>
  <c r="FO82" i="6" s="1"/>
  <c r="FS82" i="6" a="1"/>
  <c r="FS82" i="6" s="1"/>
  <c r="FQ82" i="6" a="1"/>
  <c r="FQ82" i="6" s="1"/>
  <c r="FJ82" i="6" a="1"/>
  <c r="FJ82" i="6" s="1"/>
  <c r="FN82" i="6" a="1"/>
  <c r="FN82" i="6" s="1"/>
  <c r="FR82" i="6" a="1"/>
  <c r="FR82" i="6" s="1"/>
  <c r="FL95" i="6" a="1"/>
  <c r="FL95" i="6" s="1"/>
  <c r="FR95" i="6" a="1"/>
  <c r="FR95" i="6" s="1"/>
  <c r="FK95" i="6" a="1"/>
  <c r="FK95" i="6" s="1"/>
  <c r="FJ95" i="6" a="1"/>
  <c r="FJ95" i="6" s="1"/>
  <c r="FP95" i="6" a="1"/>
  <c r="FP95" i="6" s="1"/>
  <c r="FQ95" i="6" a="1"/>
  <c r="FQ95" i="6" s="1"/>
  <c r="FS95" i="6" a="1"/>
  <c r="FS95" i="6" s="1"/>
  <c r="FN95" i="6" a="1"/>
  <c r="FN95" i="6" s="1"/>
  <c r="FM95" i="6" a="1"/>
  <c r="FM95" i="6" s="1"/>
  <c r="FO95" i="6" a="1"/>
  <c r="FO95" i="6" s="1"/>
  <c r="FO116" i="6" a="1"/>
  <c r="FO116" i="6" s="1"/>
  <c r="FS116" i="6" a="1"/>
  <c r="FS116" i="6" s="1"/>
  <c r="FM116" i="6" a="1"/>
  <c r="FM116" i="6" s="1"/>
  <c r="FL116" i="6" a="1"/>
  <c r="FL116" i="6" s="1"/>
  <c r="FR116" i="6" a="1"/>
  <c r="FR116" i="6" s="1"/>
  <c r="FN116" i="6" a="1"/>
  <c r="FN116" i="6" s="1"/>
  <c r="FP116" i="6" a="1"/>
  <c r="FP116" i="6" s="1"/>
  <c r="FJ116" i="6" a="1"/>
  <c r="FJ116" i="6" s="1"/>
  <c r="FQ116" i="6" a="1"/>
  <c r="FQ116" i="6" s="1"/>
  <c r="FK116" i="6" a="1"/>
  <c r="FK116" i="6" s="1"/>
  <c r="FM110" i="6" a="1"/>
  <c r="FM110" i="6" s="1"/>
  <c r="FP110" i="6" a="1"/>
  <c r="FP110" i="6" s="1"/>
  <c r="FL110" i="6" a="1"/>
  <c r="FL110" i="6" s="1"/>
  <c r="FO110" i="6" a="1"/>
  <c r="FO110" i="6" s="1"/>
  <c r="FK110" i="6" a="1"/>
  <c r="FK110" i="6" s="1"/>
  <c r="FN110" i="6" a="1"/>
  <c r="FN110" i="6" s="1"/>
  <c r="FR110" i="6" a="1"/>
  <c r="FR110" i="6" s="1"/>
  <c r="FJ110" i="6" a="1"/>
  <c r="FJ110" i="6" s="1"/>
  <c r="FS110" i="6" a="1"/>
  <c r="FS110" i="6" s="1"/>
  <c r="FQ110" i="6" a="1"/>
  <c r="FQ110" i="6" s="1"/>
  <c r="FO96" i="6" a="1"/>
  <c r="FO96" i="6" s="1"/>
  <c r="FL96" i="6" a="1"/>
  <c r="FL96" i="6" s="1"/>
  <c r="FR96" i="6" a="1"/>
  <c r="FR96" i="6" s="1"/>
  <c r="FK96" i="6" a="1"/>
  <c r="FK96" i="6" s="1"/>
  <c r="FN96" i="6" a="1"/>
  <c r="FN96" i="6" s="1"/>
  <c r="FP96" i="6" a="1"/>
  <c r="FP96" i="6" s="1"/>
  <c r="FJ96" i="6" a="1"/>
  <c r="FJ96" i="6" s="1"/>
  <c r="FM96" i="6" a="1"/>
  <c r="FM96" i="6" s="1"/>
  <c r="FQ96" i="6" a="1"/>
  <c r="FQ96" i="6" s="1"/>
  <c r="FS96" i="6" a="1"/>
  <c r="FS96" i="6" s="1"/>
  <c r="FN60" i="6" a="1"/>
  <c r="FN60" i="6" s="1"/>
  <c r="FM60" i="6" a="1"/>
  <c r="FM60" i="6" s="1"/>
  <c r="FQ60" i="6" a="1"/>
  <c r="FQ60" i="6" s="1"/>
  <c r="FJ60" i="6" a="1"/>
  <c r="FJ60" i="6" s="1"/>
  <c r="FO60" i="6" a="1"/>
  <c r="FO60" i="6" s="1"/>
  <c r="FP60" i="6" a="1"/>
  <c r="FP60" i="6" s="1"/>
  <c r="FS60" i="6" a="1"/>
  <c r="FS60" i="6" s="1"/>
  <c r="FL60" i="6" a="1"/>
  <c r="FL60" i="6" s="1"/>
  <c r="FK60" i="6" a="1"/>
  <c r="FK60" i="6" s="1"/>
  <c r="FR60" i="6" a="1"/>
  <c r="FR60" i="6" s="1"/>
  <c r="FR97" i="6" a="1"/>
  <c r="FR97" i="6" s="1"/>
  <c r="FL97" i="6" a="1"/>
  <c r="FL97" i="6" s="1"/>
  <c r="FN97" i="6" a="1"/>
  <c r="FN97" i="6" s="1"/>
  <c r="FJ97" i="6" a="1"/>
  <c r="FJ97" i="6" s="1"/>
  <c r="FO97" i="6" a="1"/>
  <c r="FO97" i="6" s="1"/>
  <c r="FQ97" i="6" a="1"/>
  <c r="FQ97" i="6" s="1"/>
  <c r="FM97" i="6" a="1"/>
  <c r="FM97" i="6" s="1"/>
  <c r="FS97" i="6" a="1"/>
  <c r="FS97" i="6" s="1"/>
  <c r="FK97" i="6" a="1"/>
  <c r="FK97" i="6" s="1"/>
  <c r="FP97" i="6" a="1"/>
  <c r="FP97" i="6" s="1"/>
  <c r="FP117" i="6" a="1"/>
  <c r="FP117" i="6" s="1"/>
  <c r="FR117" i="6" a="1"/>
  <c r="FR117" i="6" s="1"/>
  <c r="FM117" i="6" a="1"/>
  <c r="FM117" i="6" s="1"/>
  <c r="FJ117" i="6" a="1"/>
  <c r="FJ117" i="6" s="1"/>
  <c r="FK117" i="6" a="1"/>
  <c r="FK117" i="6" s="1"/>
  <c r="FN117" i="6" a="1"/>
  <c r="FN117" i="6" s="1"/>
  <c r="FO117" i="6" a="1"/>
  <c r="FO117" i="6" s="1"/>
  <c r="FQ117" i="6" a="1"/>
  <c r="FQ117" i="6" s="1"/>
  <c r="FL117" i="6" a="1"/>
  <c r="FL117" i="6" s="1"/>
  <c r="FS117" i="6" a="1"/>
  <c r="FS117" i="6" s="1"/>
  <c r="FQ91" i="6" a="1"/>
  <c r="FQ91" i="6" s="1"/>
  <c r="FR91" i="6" a="1"/>
  <c r="FR91" i="6" s="1"/>
  <c r="FK91" i="6" a="1"/>
  <c r="FK91" i="6" s="1"/>
  <c r="FJ91" i="6" a="1"/>
  <c r="FJ91" i="6" s="1"/>
  <c r="FS91" i="6" a="1"/>
  <c r="FS91" i="6" s="1"/>
  <c r="FL91" i="6" a="1"/>
  <c r="FL91" i="6" s="1"/>
  <c r="FO91" i="6" a="1"/>
  <c r="FO91" i="6" s="1"/>
  <c r="FM91" i="6" a="1"/>
  <c r="FM91" i="6" s="1"/>
  <c r="FN91" i="6" a="1"/>
  <c r="FN91" i="6" s="1"/>
  <c r="FP91" i="6" a="1"/>
  <c r="FP91" i="6" s="1"/>
  <c r="FJ84" i="6" a="1"/>
  <c r="FJ84" i="6" s="1"/>
  <c r="FL84" i="6" a="1"/>
  <c r="FL84" i="6" s="1"/>
  <c r="FS84" i="6" a="1"/>
  <c r="FS84" i="6" s="1"/>
  <c r="FN84" i="6" a="1"/>
  <c r="FN84" i="6" s="1"/>
  <c r="FK84" i="6" a="1"/>
  <c r="FK84" i="6" s="1"/>
  <c r="FP84" i="6" a="1"/>
  <c r="FP84" i="6" s="1"/>
  <c r="FR84" i="6" a="1"/>
  <c r="FR84" i="6" s="1"/>
  <c r="FQ84" i="6" a="1"/>
  <c r="FQ84" i="6" s="1"/>
  <c r="FM84" i="6" a="1"/>
  <c r="FM84" i="6" s="1"/>
  <c r="FO84" i="6" a="1"/>
  <c r="FO84" i="6" s="1"/>
  <c r="FS70" i="6" a="1"/>
  <c r="FS70" i="6" s="1"/>
  <c r="FP70" i="6" a="1"/>
  <c r="FP70" i="6" s="1"/>
  <c r="FQ70" i="6" a="1"/>
  <c r="FQ70" i="6" s="1"/>
  <c r="FJ70" i="6" a="1"/>
  <c r="FJ70" i="6" s="1"/>
  <c r="FM70" i="6" a="1"/>
  <c r="FM70" i="6" s="1"/>
  <c r="FN70" i="6" a="1"/>
  <c r="FN70" i="6" s="1"/>
  <c r="FK70" i="6" a="1"/>
  <c r="FK70" i="6" s="1"/>
  <c r="FL70" i="6" a="1"/>
  <c r="FL70" i="6" s="1"/>
  <c r="FO70" i="6" a="1"/>
  <c r="FO70" i="6" s="1"/>
  <c r="FR70" i="6" a="1"/>
  <c r="FR70" i="6" s="1"/>
  <c r="FP80" i="6" a="1"/>
  <c r="FP80" i="6" s="1"/>
  <c r="FQ80" i="6" a="1"/>
  <c r="FQ80" i="6" s="1"/>
  <c r="FS80" i="6" a="1"/>
  <c r="FS80" i="6" s="1"/>
  <c r="FJ80" i="6" a="1"/>
  <c r="FJ80" i="6" s="1"/>
  <c r="FR80" i="6" a="1"/>
  <c r="FR80" i="6" s="1"/>
  <c r="FO80" i="6" a="1"/>
  <c r="FO80" i="6" s="1"/>
  <c r="FN80" i="6" a="1"/>
  <c r="FN80" i="6" s="1"/>
  <c r="FL80" i="6" a="1"/>
  <c r="FL80" i="6" s="1"/>
  <c r="FK80" i="6" a="1"/>
  <c r="FK80" i="6" s="1"/>
  <c r="FM80" i="6" a="1"/>
  <c r="FM80" i="6" s="1"/>
  <c r="FO87" i="6" a="1"/>
  <c r="FO87" i="6" s="1"/>
  <c r="FM87" i="6" a="1"/>
  <c r="FM87" i="6" s="1"/>
  <c r="FL87" i="6" a="1"/>
  <c r="FL87" i="6" s="1"/>
  <c r="FR87" i="6" a="1"/>
  <c r="FR87" i="6" s="1"/>
  <c r="FJ87" i="6" a="1"/>
  <c r="FJ87" i="6" s="1"/>
  <c r="FS87" i="6" a="1"/>
  <c r="FS87" i="6" s="1"/>
  <c r="FQ87" i="6" a="1"/>
  <c r="FQ87" i="6" s="1"/>
  <c r="FK87" i="6" a="1"/>
  <c r="FK87" i="6" s="1"/>
  <c r="FN87" i="6" a="1"/>
  <c r="FN87" i="6" s="1"/>
  <c r="FP87" i="6" a="1"/>
  <c r="FP87" i="6" s="1"/>
  <c r="FQ109" i="6" a="1"/>
  <c r="FQ109" i="6" s="1"/>
  <c r="FP109" i="6" a="1"/>
  <c r="FP109" i="6" s="1"/>
  <c r="FK109" i="6" a="1"/>
  <c r="FK109" i="6" s="1"/>
  <c r="FN109" i="6" a="1"/>
  <c r="FN109" i="6" s="1"/>
  <c r="FR109" i="6" a="1"/>
  <c r="FR109" i="6" s="1"/>
  <c r="FS109" i="6" a="1"/>
  <c r="FS109" i="6" s="1"/>
  <c r="FM109" i="6" a="1"/>
  <c r="FM109" i="6" s="1"/>
  <c r="FJ109" i="6" a="1"/>
  <c r="FJ109" i="6" s="1"/>
  <c r="FL109" i="6" a="1"/>
  <c r="FL109" i="6" s="1"/>
  <c r="FO109" i="6" a="1"/>
  <c r="FO109" i="6" s="1"/>
  <c r="FJ106" i="6" a="1"/>
  <c r="FJ106" i="6" s="1"/>
  <c r="FK106" i="6" a="1"/>
  <c r="FK106" i="6" s="1"/>
  <c r="FL106" i="6" a="1"/>
  <c r="FL106" i="6" s="1"/>
  <c r="FS106" i="6" a="1"/>
  <c r="FS106" i="6" s="1"/>
  <c r="FR106" i="6" a="1"/>
  <c r="FR106" i="6" s="1"/>
  <c r="FO106" i="6" a="1"/>
  <c r="FO106" i="6" s="1"/>
  <c r="FP106" i="6" a="1"/>
  <c r="FP106" i="6" s="1"/>
  <c r="FM106" i="6" a="1"/>
  <c r="FM106" i="6" s="1"/>
  <c r="FN106" i="6" a="1"/>
  <c r="FN106" i="6" s="1"/>
  <c r="FQ106" i="6" a="1"/>
  <c r="FQ106" i="6" s="1"/>
  <c r="FJ77" i="6" a="1"/>
  <c r="FJ77" i="6" s="1"/>
  <c r="FN77" i="6" a="1"/>
  <c r="FN77" i="6" s="1"/>
  <c r="FK77" i="6" a="1"/>
  <c r="FK77" i="6" s="1"/>
  <c r="FS77" i="6" a="1"/>
  <c r="FS77" i="6" s="1"/>
  <c r="FP77" i="6" a="1"/>
  <c r="FP77" i="6" s="1"/>
  <c r="FR77" i="6" a="1"/>
  <c r="FR77" i="6" s="1"/>
  <c r="FL77" i="6" a="1"/>
  <c r="FL77" i="6" s="1"/>
  <c r="FO77" i="6" a="1"/>
  <c r="FO77" i="6" s="1"/>
  <c r="FM77" i="6" a="1"/>
  <c r="FM77" i="6" s="1"/>
  <c r="FQ77" i="6" a="1"/>
  <c r="FQ77" i="6" s="1"/>
  <c r="FJ54" i="6" a="1"/>
  <c r="FJ54" i="6" s="1"/>
  <c r="FO54" i="6" a="1"/>
  <c r="FO54" i="6" s="1"/>
  <c r="FP54" i="6" a="1"/>
  <c r="FP54" i="6" s="1"/>
  <c r="FS54" i="6" a="1"/>
  <c r="FS54" i="6" s="1"/>
  <c r="FN54" i="6" a="1"/>
  <c r="FN54" i="6" s="1"/>
  <c r="FL54" i="6" a="1"/>
  <c r="FL54" i="6" s="1"/>
  <c r="FR54" i="6" a="1"/>
  <c r="FR54" i="6" s="1"/>
  <c r="FM54" i="6" a="1"/>
  <c r="FM54" i="6" s="1"/>
  <c r="FK54" i="6" a="1"/>
  <c r="FK54" i="6" s="1"/>
  <c r="FQ54" i="6" a="1"/>
  <c r="FQ54" i="6" s="1"/>
  <c r="FR71" i="6" a="1"/>
  <c r="FR71" i="6" s="1"/>
  <c r="FQ71" i="6" a="1"/>
  <c r="FQ71" i="6" s="1"/>
  <c r="FO71" i="6" a="1"/>
  <c r="FO71" i="6" s="1"/>
  <c r="FK71" i="6" a="1"/>
  <c r="FK71" i="6" s="1"/>
  <c r="FM71" i="6" a="1"/>
  <c r="FM71" i="6" s="1"/>
  <c r="FP71" i="6" a="1"/>
  <c r="FP71" i="6" s="1"/>
  <c r="FJ71" i="6" a="1"/>
  <c r="FJ71" i="6" s="1"/>
  <c r="FL71" i="6" a="1"/>
  <c r="FL71" i="6" s="1"/>
  <c r="FS71" i="6" a="1"/>
  <c r="FS71" i="6" s="1"/>
  <c r="FN71" i="6" a="1"/>
  <c r="FN71" i="6" s="1"/>
  <c r="FN57" i="6" a="1"/>
  <c r="FN57" i="6" s="1"/>
  <c r="FP57" i="6" a="1"/>
  <c r="FP57" i="6" s="1"/>
  <c r="FQ57" i="6" a="1"/>
  <c r="FQ57" i="6" s="1"/>
  <c r="FJ57" i="6" a="1"/>
  <c r="FJ57" i="6" s="1"/>
  <c r="FR57" i="6" a="1"/>
  <c r="FR57" i="6" s="1"/>
  <c r="FS57" i="6" a="1"/>
  <c r="FS57" i="6" s="1"/>
  <c r="FK57" i="6" a="1"/>
  <c r="FK57" i="6" s="1"/>
  <c r="FM57" i="6" a="1"/>
  <c r="FM57" i="6" s="1"/>
  <c r="FO57" i="6" a="1"/>
  <c r="FO57" i="6" s="1"/>
  <c r="FL57" i="6" a="1"/>
  <c r="FL57" i="6" s="1"/>
  <c r="FJ108" i="6" a="1"/>
  <c r="FJ108" i="6" s="1"/>
  <c r="FM108" i="6" a="1"/>
  <c r="FM108" i="6" s="1"/>
  <c r="FN108" i="6" a="1"/>
  <c r="FN108" i="6" s="1"/>
  <c r="FQ108" i="6" a="1"/>
  <c r="FQ108" i="6" s="1"/>
  <c r="FL108" i="6" a="1"/>
  <c r="FL108" i="6" s="1"/>
  <c r="FS108" i="6" a="1"/>
  <c r="FS108" i="6" s="1"/>
  <c r="FO108" i="6" a="1"/>
  <c r="FO108" i="6" s="1"/>
  <c r="FK108" i="6" a="1"/>
  <c r="FK108" i="6" s="1"/>
  <c r="FR108" i="6" a="1"/>
  <c r="FR108" i="6" s="1"/>
  <c r="FP108" i="6" a="1"/>
  <c r="FP108" i="6" s="1"/>
  <c r="FN121" i="6" a="1"/>
  <c r="FN121" i="6" s="1"/>
  <c r="FJ121" i="6" a="1"/>
  <c r="FJ121" i="6" s="1"/>
  <c r="FS102" i="6" a="1"/>
  <c r="FS102" i="6" s="1"/>
  <c r="FN102" i="6" a="1"/>
  <c r="FN102" i="6" s="1"/>
  <c r="FQ102" i="6" a="1"/>
  <c r="FQ102" i="6" s="1"/>
  <c r="FR102" i="6" a="1"/>
  <c r="FR102" i="6" s="1"/>
  <c r="FO102" i="6" a="1"/>
  <c r="FO102" i="6" s="1"/>
  <c r="FJ102" i="6" a="1"/>
  <c r="FJ102" i="6" s="1"/>
  <c r="FP102" i="6" a="1"/>
  <c r="FP102" i="6" s="1"/>
  <c r="FM102" i="6" a="1"/>
  <c r="FM102" i="6" s="1"/>
  <c r="FK102" i="6" a="1"/>
  <c r="FK102" i="6" s="1"/>
  <c r="FL102" i="6" a="1"/>
  <c r="FL102" i="6" s="1"/>
  <c r="FJ72" i="6" a="1"/>
  <c r="FJ72" i="6" s="1"/>
  <c r="FS72" i="6" a="1"/>
  <c r="FS72" i="6" s="1"/>
  <c r="FN72" i="6" a="1"/>
  <c r="FN72" i="6" s="1"/>
  <c r="FO72" i="6" a="1"/>
  <c r="FO72" i="6" s="1"/>
  <c r="FK72" i="6" a="1"/>
  <c r="FK72" i="6" s="1"/>
  <c r="FP72" i="6" a="1"/>
  <c r="FP72" i="6" s="1"/>
  <c r="FM72" i="6" a="1"/>
  <c r="FM72" i="6" s="1"/>
  <c r="FR72" i="6" a="1"/>
  <c r="FR72" i="6" s="1"/>
  <c r="FQ72" i="6" a="1"/>
  <c r="FQ72" i="6" s="1"/>
  <c r="FL72" i="6" a="1"/>
  <c r="FL72" i="6" s="1"/>
  <c r="FR73" i="6" a="1"/>
  <c r="FR73" i="6" s="1"/>
  <c r="FS73" i="6" a="1"/>
  <c r="FS73" i="6" s="1"/>
  <c r="FO73" i="6" a="1"/>
  <c r="FO73" i="6" s="1"/>
  <c r="FL73" i="6" a="1"/>
  <c r="FL73" i="6" s="1"/>
  <c r="FP73" i="6" a="1"/>
  <c r="FP73" i="6" s="1"/>
  <c r="FJ73" i="6" a="1"/>
  <c r="FJ73" i="6" s="1"/>
  <c r="FQ73" i="6" a="1"/>
  <c r="FQ73" i="6" s="1"/>
  <c r="FN73" i="6" a="1"/>
  <c r="FN73" i="6" s="1"/>
  <c r="FK73" i="6" a="1"/>
  <c r="FK73" i="6" s="1"/>
  <c r="FM73" i="6" a="1"/>
  <c r="FM73" i="6" s="1"/>
  <c r="FO61" i="6" a="1"/>
  <c r="FO61" i="6" s="1"/>
  <c r="FQ61" i="6" a="1"/>
  <c r="FQ61" i="6" s="1"/>
  <c r="FN61" i="6" a="1"/>
  <c r="FN61" i="6" s="1"/>
  <c r="FS61" i="6" a="1"/>
  <c r="FS61" i="6" s="1"/>
  <c r="FK61" i="6" a="1"/>
  <c r="FK61" i="6" s="1"/>
  <c r="FL61" i="6" a="1"/>
  <c r="FL61" i="6" s="1"/>
  <c r="FR61" i="6" a="1"/>
  <c r="FR61" i="6" s="1"/>
  <c r="FP61" i="6" a="1"/>
  <c r="FP61" i="6" s="1"/>
  <c r="FJ61" i="6" a="1"/>
  <c r="FJ61" i="6" s="1"/>
  <c r="FM61" i="6" a="1"/>
  <c r="FM61" i="6" s="1"/>
  <c r="FS118" i="6" a="1"/>
  <c r="FS118" i="6" s="1"/>
  <c r="FP118" i="6" a="1"/>
  <c r="FP118" i="6" s="1"/>
  <c r="FM118" i="6" a="1"/>
  <c r="FM118" i="6" s="1"/>
  <c r="FL118" i="6" a="1"/>
  <c r="FL118" i="6" s="1"/>
  <c r="FQ118" i="6" a="1"/>
  <c r="FQ118" i="6" s="1"/>
  <c r="FN118" i="6" a="1"/>
  <c r="FN118" i="6" s="1"/>
  <c r="FO118" i="6" a="1"/>
  <c r="FO118" i="6" s="1"/>
  <c r="FJ118" i="6" a="1"/>
  <c r="FJ118" i="6" s="1"/>
  <c r="FK118" i="6" a="1"/>
  <c r="FK118" i="6" s="1"/>
  <c r="FR118" i="6" a="1"/>
  <c r="FR118" i="6" s="1"/>
  <c r="FM119" i="6" a="1"/>
  <c r="FM119" i="6" s="1"/>
  <c r="FQ119" i="6" a="1"/>
  <c r="FQ119" i="6" s="1"/>
  <c r="FR119" i="6" a="1"/>
  <c r="FR119" i="6" s="1"/>
  <c r="FO119" i="6" a="1"/>
  <c r="FO119" i="6" s="1"/>
  <c r="FN119" i="6" a="1"/>
  <c r="FN119" i="6" s="1"/>
  <c r="FK119" i="6" a="1"/>
  <c r="FK119" i="6" s="1"/>
  <c r="FP119" i="6" a="1"/>
  <c r="FP119" i="6" s="1"/>
  <c r="FL119" i="6" a="1"/>
  <c r="FL119" i="6" s="1"/>
  <c r="FJ119" i="6" a="1"/>
  <c r="FJ119" i="6" s="1"/>
  <c r="FS119" i="6" a="1"/>
  <c r="FS119" i="6" s="1"/>
  <c r="FQ56" i="6" a="1"/>
  <c r="FQ56" i="6" s="1"/>
  <c r="FK56" i="6" a="1"/>
  <c r="FK56" i="6" s="1"/>
  <c r="FN56" i="6" a="1"/>
  <c r="FN56" i="6" s="1"/>
  <c r="FJ56" i="6" a="1"/>
  <c r="FJ56" i="6" s="1"/>
  <c r="FL56" i="6" a="1"/>
  <c r="FL56" i="6" s="1"/>
  <c r="FP56" i="6" a="1"/>
  <c r="FP56" i="6" s="1"/>
  <c r="FM56" i="6" a="1"/>
  <c r="FM56" i="6" s="1"/>
  <c r="FR56" i="6" a="1"/>
  <c r="FR56" i="6" s="1"/>
  <c r="FO56" i="6" a="1"/>
  <c r="FO56" i="6" s="1"/>
  <c r="FS56" i="6" a="1"/>
  <c r="FS56" i="6" s="1"/>
  <c r="FM78" i="6" a="1"/>
  <c r="FM78" i="6" s="1"/>
  <c r="FJ78" i="6" a="1"/>
  <c r="FJ78" i="6" s="1"/>
  <c r="FN78" i="6" a="1"/>
  <c r="FN78" i="6" s="1"/>
  <c r="FO78" i="6" a="1"/>
  <c r="FO78" i="6" s="1"/>
  <c r="FL78" i="6" a="1"/>
  <c r="FL78" i="6" s="1"/>
  <c r="FS78" i="6" a="1"/>
  <c r="FS78" i="6" s="1"/>
  <c r="FK78" i="6" a="1"/>
  <c r="FK78" i="6" s="1"/>
  <c r="FQ78" i="6" a="1"/>
  <c r="FQ78" i="6" s="1"/>
  <c r="FR78" i="6" a="1"/>
  <c r="FR78" i="6" s="1"/>
  <c r="FP78" i="6" a="1"/>
  <c r="FP78" i="6" s="1"/>
  <c r="FK58" i="6" a="1"/>
  <c r="FK58" i="6" s="1"/>
  <c r="FQ58" i="6" a="1"/>
  <c r="FQ58" i="6" s="1"/>
  <c r="FJ58" i="6" a="1"/>
  <c r="FJ58" i="6" s="1"/>
  <c r="FP58" i="6" a="1"/>
  <c r="FP58" i="6" s="1"/>
  <c r="FM58" i="6" a="1"/>
  <c r="FM58" i="6" s="1"/>
  <c r="FS58" i="6" a="1"/>
  <c r="FS58" i="6" s="1"/>
  <c r="FN58" i="6" a="1"/>
  <c r="FN58" i="6" s="1"/>
  <c r="FO58" i="6" a="1"/>
  <c r="FO58" i="6" s="1"/>
  <c r="FL58" i="6" a="1"/>
  <c r="FL58" i="6" s="1"/>
  <c r="FR58" i="6" a="1"/>
  <c r="FR58" i="6" s="1"/>
  <c r="FM85" i="6" a="1"/>
  <c r="FM85" i="6" s="1"/>
  <c r="FN85" i="6" a="1"/>
  <c r="FN85" i="6" s="1"/>
  <c r="FK85" i="6" a="1"/>
  <c r="FK85" i="6" s="1"/>
  <c r="FS85" i="6" a="1"/>
  <c r="FS85" i="6" s="1"/>
  <c r="FQ85" i="6" a="1"/>
  <c r="FQ85" i="6" s="1"/>
  <c r="FR85" i="6" a="1"/>
  <c r="FR85" i="6" s="1"/>
  <c r="FP85" i="6" a="1"/>
  <c r="FP85" i="6" s="1"/>
  <c r="FO85" i="6" a="1"/>
  <c r="FO85" i="6" s="1"/>
  <c r="FJ85" i="6" a="1"/>
  <c r="FJ85" i="6" s="1"/>
  <c r="FL85" i="6" a="1"/>
  <c r="FL85" i="6" s="1"/>
  <c r="FK81" i="6" a="1"/>
  <c r="FK81" i="6" s="1"/>
  <c r="FR81" i="6" a="1"/>
  <c r="FR81" i="6" s="1"/>
  <c r="FP81" i="6" a="1"/>
  <c r="FP81" i="6" s="1"/>
  <c r="FQ81" i="6" a="1"/>
  <c r="FQ81" i="6" s="1"/>
  <c r="FL81" i="6" a="1"/>
  <c r="FL81" i="6" s="1"/>
  <c r="FS81" i="6" a="1"/>
  <c r="FS81" i="6" s="1"/>
  <c r="FN81" i="6" a="1"/>
  <c r="FN81" i="6" s="1"/>
  <c r="FO81" i="6" a="1"/>
  <c r="FO81" i="6" s="1"/>
  <c r="FJ81" i="6" a="1"/>
  <c r="FJ81" i="6" s="1"/>
  <c r="FM81" i="6" a="1"/>
  <c r="FM81" i="6" s="1"/>
  <c r="FM83" i="6" a="1"/>
  <c r="FM83" i="6" s="1"/>
  <c r="FL83" i="6" a="1"/>
  <c r="FL83" i="6" s="1"/>
  <c r="FK83" i="6" a="1"/>
  <c r="FK83" i="6" s="1"/>
  <c r="FP83" i="6" a="1"/>
  <c r="FP83" i="6" s="1"/>
  <c r="FJ83" i="6" a="1"/>
  <c r="FJ83" i="6" s="1"/>
  <c r="FR83" i="6" a="1"/>
  <c r="FR83" i="6" s="1"/>
  <c r="FS83" i="6" a="1"/>
  <c r="FS83" i="6" s="1"/>
  <c r="FN83" i="6" a="1"/>
  <c r="FN83" i="6" s="1"/>
  <c r="FQ83" i="6" a="1"/>
  <c r="FQ83" i="6" s="1"/>
  <c r="FO83" i="6" a="1"/>
  <c r="FO83" i="6" s="1"/>
  <c r="FO105" i="6" a="1"/>
  <c r="FO105" i="6" s="1"/>
  <c r="FP105" i="6" a="1"/>
  <c r="FP105" i="6" s="1"/>
  <c r="FR105" i="6" a="1"/>
  <c r="FR105" i="6" s="1"/>
  <c r="FK105" i="6" a="1"/>
  <c r="FK105" i="6" s="1"/>
  <c r="FM105" i="6" a="1"/>
  <c r="FM105" i="6" s="1"/>
  <c r="FS105" i="6" a="1"/>
  <c r="FS105" i="6" s="1"/>
  <c r="FJ105" i="6" a="1"/>
  <c r="FJ105" i="6" s="1"/>
  <c r="FN105" i="6" a="1"/>
  <c r="FN105" i="6" s="1"/>
  <c r="FL105" i="6" a="1"/>
  <c r="FL105" i="6" s="1"/>
  <c r="FQ105" i="6" a="1"/>
  <c r="FQ105" i="6" s="1"/>
  <c r="FK90" i="6" a="1"/>
  <c r="FK90" i="6" s="1"/>
  <c r="FM90" i="6" a="1"/>
  <c r="FM90" i="6" s="1"/>
  <c r="FL90" i="6" a="1"/>
  <c r="FL90" i="6" s="1"/>
  <c r="FP90" i="6" a="1"/>
  <c r="FP90" i="6" s="1"/>
  <c r="FQ90" i="6" a="1"/>
  <c r="FQ90" i="6" s="1"/>
  <c r="FN90" i="6" a="1"/>
  <c r="FN90" i="6" s="1"/>
  <c r="FJ90" i="6" a="1"/>
  <c r="FJ90" i="6" s="1"/>
  <c r="FR90" i="6" a="1"/>
  <c r="FR90" i="6" s="1"/>
  <c r="FS90" i="6" a="1"/>
  <c r="FS90" i="6" s="1"/>
  <c r="FO90" i="6" a="1"/>
  <c r="FO90" i="6" s="1"/>
  <c r="FS111" i="6" a="1"/>
  <c r="FS111" i="6" s="1"/>
  <c r="FN111" i="6" a="1"/>
  <c r="FN111" i="6" s="1"/>
  <c r="FR111" i="6" a="1"/>
  <c r="FR111" i="6" s="1"/>
  <c r="FJ111" i="6" a="1"/>
  <c r="FJ111" i="6" s="1"/>
  <c r="FM111" i="6" a="1"/>
  <c r="FM111" i="6" s="1"/>
  <c r="FL111" i="6" a="1"/>
  <c r="FL111" i="6" s="1"/>
  <c r="FQ111" i="6" a="1"/>
  <c r="FQ111" i="6" s="1"/>
  <c r="FO111" i="6" a="1"/>
  <c r="FO111" i="6" s="1"/>
  <c r="FK111" i="6" a="1"/>
  <c r="FK111" i="6" s="1"/>
  <c r="FP111" i="6" a="1"/>
  <c r="FP111" i="6" s="1"/>
  <c r="FK113" i="6" a="1"/>
  <c r="FK113" i="6" s="1"/>
  <c r="FO113" i="6" a="1"/>
  <c r="FO113" i="6" s="1"/>
  <c r="FN113" i="6" a="1"/>
  <c r="FN113" i="6" s="1"/>
  <c r="FR113" i="6" a="1"/>
  <c r="FR113" i="6" s="1"/>
  <c r="FJ113" i="6" a="1"/>
  <c r="FJ113" i="6" s="1"/>
  <c r="FP113" i="6" a="1"/>
  <c r="FP113" i="6" s="1"/>
  <c r="FS113" i="6" a="1"/>
  <c r="FS113" i="6" s="1"/>
  <c r="FQ113" i="6" a="1"/>
  <c r="FQ113" i="6" s="1"/>
  <c r="FL113" i="6" a="1"/>
  <c r="FL113" i="6" s="1"/>
  <c r="FM113" i="6" a="1"/>
  <c r="FM113" i="6" s="1"/>
  <c r="FN53" i="6" a="1"/>
  <c r="FN53" i="6" s="1"/>
  <c r="FK53" i="6" a="1"/>
  <c r="FK53" i="6" s="1"/>
  <c r="FQ53" i="6" a="1"/>
  <c r="FQ53" i="6" s="1"/>
  <c r="FM53" i="6" a="1"/>
  <c r="FM53" i="6" s="1"/>
  <c r="FR53" i="6" a="1"/>
  <c r="FR53" i="6" s="1"/>
  <c r="FL53" i="6" a="1"/>
  <c r="FL53" i="6" s="1"/>
  <c r="FP53" i="6" a="1"/>
  <c r="FP53" i="6" s="1"/>
  <c r="FO53" i="6" a="1"/>
  <c r="FO53" i="6" s="1"/>
  <c r="FS53" i="6" a="1"/>
  <c r="FS53" i="6" s="1"/>
  <c r="FJ53" i="6" a="1"/>
  <c r="FJ53" i="6" s="1"/>
  <c r="FS27" i="6" a="1"/>
  <c r="FL27" i="6" a="1"/>
  <c r="FP27" i="6" a="1"/>
  <c r="FK27" i="6" a="1"/>
  <c r="FJ27" i="6" a="1"/>
  <c r="FO27" i="6" a="1"/>
  <c r="FN27" i="6" a="1"/>
  <c r="FQ27" i="6" a="1"/>
  <c r="FR27" i="6" a="1"/>
  <c r="EN57" i="6" a="1"/>
  <c r="FM49" i="6" a="1"/>
  <c r="FR50" i="6" a="1"/>
  <c r="FS51" i="6" a="1"/>
  <c r="FK51" i="6" a="1"/>
  <c r="FN50" i="6" a="1"/>
  <c r="FL51" i="6" a="1"/>
  <c r="FP50" i="6" a="1"/>
  <c r="FQ51" i="6" a="1"/>
  <c r="FL50" i="6" a="1"/>
  <c r="FR51" i="6" a="1"/>
  <c r="FQ50" i="6" a="1"/>
  <c r="FO50" i="6" a="1"/>
  <c r="FJ51" i="6" a="1"/>
  <c r="FS50" i="6" a="1"/>
  <c r="FJ50" i="6" a="1"/>
  <c r="FP51" i="6" a="1"/>
  <c r="FN51" i="6" a="1"/>
  <c r="FK50" i="6" a="1"/>
  <c r="FO51" i="6" a="1"/>
  <c r="FM39" i="6" a="1"/>
  <c r="FM14" i="6" a="1"/>
  <c r="FM34" i="6" a="1"/>
  <c r="FM11" i="6" a="1"/>
  <c r="FM7" i="6" a="1"/>
  <c r="FM12" i="6" a="1"/>
  <c r="FM30" i="6" a="1"/>
  <c r="FM19" i="6" a="1"/>
  <c r="FM15" i="6" a="1"/>
  <c r="FM40" i="6" a="1"/>
  <c r="FM22" i="6" a="1"/>
  <c r="FM5" i="6" a="1"/>
  <c r="FM29" i="6" a="1"/>
  <c r="FM24" i="6" a="1"/>
  <c r="FM45" i="6" a="1"/>
  <c r="FM31" i="6" a="1"/>
  <c r="FM38" i="6" a="1"/>
  <c r="FM26" i="6" a="1"/>
  <c r="FM23" i="6" a="1"/>
  <c r="B2" i="7"/>
  <c r="FM9" i="6" a="1"/>
  <c r="FM47" i="6" a="1"/>
  <c r="FM25" i="6" a="1"/>
  <c r="FM28" i="6" a="1"/>
  <c r="FM27" i="6" a="1"/>
  <c r="FM33" i="6" a="1"/>
  <c r="FM43" i="6" a="1"/>
  <c r="FM17" i="6" a="1"/>
  <c r="FM41" i="6" a="1"/>
  <c r="FM16" i="6" a="1"/>
  <c r="FM36" i="6" a="1"/>
  <c r="FM20" i="6" a="1"/>
  <c r="FM13" i="6" a="1"/>
  <c r="FM21" i="6" a="1"/>
  <c r="FM8" i="6" a="1"/>
  <c r="FM46" i="6" a="1"/>
  <c r="FM44" i="6" a="1"/>
  <c r="FM6" i="6" a="1"/>
  <c r="FM1" i="6" a="1"/>
  <c r="FM10" i="6" a="1"/>
  <c r="FM4" i="6" a="1"/>
  <c r="FM48" i="6" a="1"/>
  <c r="FM2" i="6" a="1"/>
  <c r="FM32" i="6" a="1"/>
  <c r="FM18" i="6" a="1"/>
  <c r="FM3" i="6" a="1"/>
  <c r="FM35" i="6" a="1"/>
  <c r="FM37" i="6" a="1"/>
  <c r="FM42" i="6" a="1"/>
  <c r="C2" i="7" a="1"/>
  <c r="C1" i="7" a="1"/>
  <c r="C4" i="7" a="1"/>
  <c r="FK63" i="6" l="1" a="1"/>
  <c r="FK63" i="6" s="1"/>
  <c r="FO63" i="6" a="1"/>
  <c r="FO63" i="6" s="1"/>
  <c r="FR63" i="6" a="1"/>
  <c r="FR63" i="6" s="1"/>
  <c r="FS63" i="6" a="1"/>
  <c r="FS63" i="6" s="1"/>
  <c r="FQ63" i="6" a="1"/>
  <c r="FQ63" i="6" s="1"/>
  <c r="FN63" i="6" a="1"/>
  <c r="FN63" i="6" s="1"/>
  <c r="FP63" i="6" a="1"/>
  <c r="FP63" i="6" s="1"/>
  <c r="FL63" i="6" a="1"/>
  <c r="FL63" i="6" s="1"/>
  <c r="FR27" i="6"/>
  <c r="FQ27" i="6"/>
  <c r="FN27" i="6"/>
  <c r="FO27" i="6"/>
  <c r="FJ27" i="6"/>
  <c r="FK27" i="6"/>
  <c r="FP27" i="6"/>
  <c r="FL27" i="6"/>
  <c r="FS27" i="6"/>
  <c r="FM63" i="6" a="1"/>
  <c r="FM63" i="6" s="1"/>
  <c r="EN57" i="6"/>
  <c r="EJ58" i="6" a="1"/>
  <c r="EJ58" i="6" s="1"/>
  <c r="EK63" i="6" a="1"/>
  <c r="EK63" i="6" s="1"/>
  <c r="EO58" i="6" a="1"/>
  <c r="EO58" i="6" s="1"/>
  <c r="FM49" i="6"/>
  <c r="FO51" i="6"/>
  <c r="FK50" i="6"/>
  <c r="FN51" i="6"/>
  <c r="FP51" i="6"/>
  <c r="FJ50" i="6"/>
  <c r="FS50" i="6"/>
  <c r="FJ51" i="6"/>
  <c r="FO50" i="6"/>
  <c r="FQ50" i="6"/>
  <c r="FR51" i="6"/>
  <c r="FL50" i="6"/>
  <c r="FQ51" i="6"/>
  <c r="FP50" i="6"/>
  <c r="FL51" i="6"/>
  <c r="FN50" i="6"/>
  <c r="FK51" i="6"/>
  <c r="FS51" i="6"/>
  <c r="FR50" i="6"/>
  <c r="C4" i="7"/>
  <c r="C1" i="7"/>
  <c r="C2" i="7"/>
  <c r="FM42" i="6"/>
  <c r="FM37" i="6"/>
  <c r="FM35" i="6"/>
  <c r="FM3" i="6"/>
  <c r="FM18" i="6"/>
  <c r="FM32" i="6"/>
  <c r="FM2" i="6"/>
  <c r="FM48" i="6"/>
  <c r="FM4" i="6"/>
  <c r="FM10" i="6"/>
  <c r="FM1" i="6"/>
  <c r="FM6" i="6"/>
  <c r="FM44" i="6"/>
  <c r="FM46" i="6"/>
  <c r="FM8" i="6"/>
  <c r="FM21" i="6"/>
  <c r="FM13" i="6"/>
  <c r="FM20" i="6"/>
  <c r="FM36" i="6"/>
  <c r="FM16" i="6"/>
  <c r="FM41" i="6"/>
  <c r="FM17" i="6"/>
  <c r="FM43" i="6"/>
  <c r="FM33" i="6"/>
  <c r="FM27" i="6"/>
  <c r="FM28" i="6"/>
  <c r="FM25" i="6"/>
  <c r="FM47" i="6"/>
  <c r="FM9" i="6"/>
  <c r="H1" i="7"/>
  <c r="FM23" i="6"/>
  <c r="FM26" i="6"/>
  <c r="FM38" i="6"/>
  <c r="FM31" i="6"/>
  <c r="FM45" i="6"/>
  <c r="FM24" i="6"/>
  <c r="FM29" i="6"/>
  <c r="FM5" i="6"/>
  <c r="FM22" i="6"/>
  <c r="FM40" i="6"/>
  <c r="FM15" i="6"/>
  <c r="FM19" i="6"/>
  <c r="FM30" i="6"/>
  <c r="FM12" i="6"/>
  <c r="FM7" i="6"/>
  <c r="FM11" i="6"/>
  <c r="FM34" i="6"/>
  <c r="FM14" i="6"/>
  <c r="FM39" i="6"/>
  <c r="C3" i="7" a="1"/>
  <c r="FM50" i="6" a="1"/>
  <c r="FM51" i="6" a="1"/>
  <c r="I2" i="7"/>
  <c r="F2" i="7" a="1"/>
  <c r="D6" i="7" a="1"/>
  <c r="C6" i="7" a="1"/>
  <c r="F3" i="7" a="1"/>
  <c r="F7" i="7" a="1"/>
  <c r="B6" i="7" a="1"/>
  <c r="G1" i="7" a="1"/>
  <c r="F4" i="7" a="1"/>
  <c r="F6" i="7" a="1"/>
  <c r="J2" i="7" a="1"/>
  <c r="J1" i="7" a="1"/>
  <c r="J4" i="7" a="1"/>
  <c r="ER58" i="6" l="1" a="1"/>
  <c r="ER58" i="6" s="1"/>
  <c r="ES58" i="6" s="1"/>
  <c r="EO60" i="6" a="1"/>
  <c r="EO60" i="6" s="1"/>
  <c r="C3" i="7"/>
  <c r="FM51" i="6"/>
  <c r="FM50" i="6"/>
  <c r="J4" i="7"/>
  <c r="J1" i="7"/>
  <c r="J2" i="7"/>
  <c r="F6" i="7"/>
  <c r="F4" i="7"/>
  <c r="G1" i="7"/>
  <c r="B6" i="7"/>
  <c r="F7" i="7"/>
  <c r="F3" i="7"/>
  <c r="C6" i="7"/>
  <c r="B7" i="7" s="1"/>
  <c r="D6" i="7"/>
  <c r="F2" i="7"/>
  <c r="A9" i="7"/>
  <c r="B1" i="7"/>
  <c r="J3" i="7" a="1"/>
  <c r="I6" i="7" a="1"/>
  <c r="M2" i="7" a="1"/>
  <c r="M3" i="7" a="1"/>
  <c r="M6" i="7" a="1"/>
  <c r="N1" i="7" a="1"/>
  <c r="M4" i="7" a="1"/>
  <c r="K6" i="7" a="1"/>
  <c r="M7" i="7" a="1"/>
  <c r="J6" i="7" a="1"/>
  <c r="EO59" i="6" l="1"/>
  <c r="EN63" i="6"/>
  <c r="EO57" i="6"/>
  <c r="EN62" i="6"/>
  <c r="ER62" i="6"/>
  <c r="EP62" i="6"/>
  <c r="EO62" i="6"/>
  <c r="EP63" i="6" s="1"/>
  <c r="EQ59" i="6"/>
  <c r="J3" i="7"/>
  <c r="D7" i="7"/>
  <c r="J6" i="7"/>
  <c r="I7" i="7" s="1"/>
  <c r="M7" i="7"/>
  <c r="K6" i="7"/>
  <c r="M4" i="7"/>
  <c r="N1" i="7"/>
  <c r="M6" i="7"/>
  <c r="M3" i="7"/>
  <c r="M2" i="7"/>
  <c r="I6" i="7"/>
  <c r="I1" i="7"/>
  <c r="EG64" i="6" a="1"/>
  <c r="B10" i="7"/>
  <c r="C10" i="7" a="1"/>
  <c r="EG64" i="6" l="1"/>
  <c r="EQ58" i="6" a="1"/>
  <c r="EQ58" i="6" s="1"/>
  <c r="ER63" i="6" a="1"/>
  <c r="ER63" i="6" s="1"/>
  <c r="EH65" i="6" a="1"/>
  <c r="EH65" i="6" s="1"/>
  <c r="C10" i="7"/>
  <c r="H9" i="7"/>
  <c r="K7" i="7"/>
  <c r="C12" i="7" a="1"/>
  <c r="C9" i="7" a="1"/>
  <c r="EH67" i="6" l="1" a="1"/>
  <c r="EH67" i="6" s="1"/>
  <c r="EK65" i="6" a="1"/>
  <c r="EK65" i="6" s="1"/>
  <c r="C9" i="7"/>
  <c r="C12" i="7"/>
  <c r="I10" i="7"/>
  <c r="J10" i="7" a="1"/>
  <c r="EL65" i="6" l="1"/>
  <c r="EI69" i="6"/>
  <c r="EH66" i="6"/>
  <c r="EH69" i="6"/>
  <c r="EI70" i="6" s="1"/>
  <c r="EG70" i="6"/>
  <c r="EK69" i="6"/>
  <c r="EJ66" i="6"/>
  <c r="EG69" i="6"/>
  <c r="EH64" i="6"/>
  <c r="EJ65" i="6" s="1" a="1"/>
  <c r="EJ65" i="6" s="1"/>
  <c r="J10" i="7"/>
  <c r="B9" i="7"/>
  <c r="A17" i="7"/>
  <c r="EN64" i="6" a="1"/>
  <c r="F12" i="7" a="1"/>
  <c r="J9" i="7" a="1"/>
  <c r="F11" i="7" a="1"/>
  <c r="C11" i="7" a="1"/>
  <c r="J12" i="7" a="1"/>
  <c r="F10" i="7" a="1"/>
  <c r="D14" i="7" a="1"/>
  <c r="B14" i="7" a="1"/>
  <c r="F15" i="7" a="1"/>
  <c r="F14" i="7" a="1"/>
  <c r="G9" i="7" a="1"/>
  <c r="C14" i="7" a="1"/>
  <c r="EN64" i="6" l="1"/>
  <c r="EK70" i="6" a="1"/>
  <c r="EK70" i="6" s="1"/>
  <c r="EO65" i="6" a="1"/>
  <c r="EO65" i="6" s="1"/>
  <c r="C14" i="7"/>
  <c r="G9" i="7"/>
  <c r="F14" i="7"/>
  <c r="F15" i="7"/>
  <c r="B14" i="7"/>
  <c r="D14" i="7"/>
  <c r="F10" i="7"/>
  <c r="J12" i="7"/>
  <c r="C11" i="7"/>
  <c r="F11" i="7"/>
  <c r="J9" i="7"/>
  <c r="F12" i="7"/>
  <c r="B18" i="7"/>
  <c r="C18" i="7" a="1"/>
  <c r="EO67" i="6" l="1" a="1"/>
  <c r="EO67" i="6" s="1"/>
  <c r="ER65" i="6" a="1"/>
  <c r="ER65" i="6" s="1"/>
  <c r="ES65" i="6" s="1"/>
  <c r="C18" i="7"/>
  <c r="H17" i="7"/>
  <c r="I9" i="7"/>
  <c r="B15" i="7"/>
  <c r="D15" i="7"/>
  <c r="M11" i="7" a="1"/>
  <c r="C17" i="7" a="1"/>
  <c r="K14" i="7" a="1"/>
  <c r="M15" i="7" a="1"/>
  <c r="M10" i="7" a="1"/>
  <c r="M12" i="7" a="1"/>
  <c r="C20" i="7" a="1"/>
  <c r="N9" i="7" a="1"/>
  <c r="I14" i="7" a="1"/>
  <c r="J11" i="7" a="1"/>
  <c r="J14" i="7" a="1"/>
  <c r="M14" i="7" a="1"/>
  <c r="EO64" i="6" l="1"/>
  <c r="EN69" i="6"/>
  <c r="EP69" i="6"/>
  <c r="EO66" i="6"/>
  <c r="EN70" i="6"/>
  <c r="EO69" i="6"/>
  <c r="EP70" i="6" s="1"/>
  <c r="EQ66" i="6"/>
  <c r="ER69" i="6"/>
  <c r="M14" i="7"/>
  <c r="J14" i="7"/>
  <c r="J11" i="7"/>
  <c r="I14" i="7"/>
  <c r="N9" i="7"/>
  <c r="C20" i="7"/>
  <c r="M12" i="7"/>
  <c r="M10" i="7"/>
  <c r="M15" i="7"/>
  <c r="K14" i="7"/>
  <c r="C17" i="7"/>
  <c r="M11" i="7"/>
  <c r="EG71" i="6" a="1"/>
  <c r="I18" i="7"/>
  <c r="J18" i="7" a="1"/>
  <c r="EG71" i="6" l="1"/>
  <c r="EQ65" i="6" a="1"/>
  <c r="EQ65" i="6" s="1"/>
  <c r="ER70" i="6" a="1"/>
  <c r="ER70" i="6" s="1"/>
  <c r="EH72" i="6" a="1"/>
  <c r="EH72" i="6" s="1"/>
  <c r="J18" i="7"/>
  <c r="I15" i="7"/>
  <c r="K15" i="7"/>
  <c r="B17" i="7"/>
  <c r="A25" i="7"/>
  <c r="G17" i="7" a="1"/>
  <c r="B22" i="7" a="1"/>
  <c r="F18" i="7" a="1"/>
  <c r="C19" i="7" a="1"/>
  <c r="D22" i="7" a="1"/>
  <c r="F19" i="7" a="1"/>
  <c r="J20" i="7" a="1"/>
  <c r="C22" i="7" a="1"/>
  <c r="J17" i="7" a="1"/>
  <c r="F23" i="7" a="1"/>
  <c r="F20" i="7" a="1"/>
  <c r="F22" i="7" a="1"/>
  <c r="EK72" i="6" l="1" a="1"/>
  <c r="EK72" i="6" s="1"/>
  <c r="EH74" i="6" a="1"/>
  <c r="EH74" i="6" s="1"/>
  <c r="F22" i="7"/>
  <c r="F20" i="7"/>
  <c r="F23" i="7"/>
  <c r="J17" i="7"/>
  <c r="C22" i="7"/>
  <c r="J20" i="7"/>
  <c r="F19" i="7"/>
  <c r="D22" i="7"/>
  <c r="C19" i="7"/>
  <c r="F18" i="7"/>
  <c r="B22" i="7"/>
  <c r="G17" i="7"/>
  <c r="B26" i="7"/>
  <c r="C26" i="7" a="1"/>
  <c r="EK76" i="6" l="1"/>
  <c r="EH73" i="6"/>
  <c r="EJ73" i="6"/>
  <c r="EG77" i="6"/>
  <c r="EI76" i="6"/>
  <c r="EH76" i="6"/>
  <c r="EI77" i="6" s="1"/>
  <c r="EG76" i="6"/>
  <c r="EH71" i="6"/>
  <c r="EL72" i="6"/>
  <c r="C26" i="7"/>
  <c r="H25" i="7"/>
  <c r="I17" i="7"/>
  <c r="D23" i="7"/>
  <c r="B23" i="7"/>
  <c r="EN71" i="6" a="1"/>
  <c r="M18" i="7" a="1"/>
  <c r="K22" i="7" a="1"/>
  <c r="C28" i="7" a="1"/>
  <c r="N17" i="7" a="1"/>
  <c r="J19" i="7" a="1"/>
  <c r="J22" i="7" a="1"/>
  <c r="C25" i="7" a="1"/>
  <c r="M23" i="7" a="1"/>
  <c r="M22" i="7" a="1"/>
  <c r="M20" i="7" a="1"/>
  <c r="I22" i="7" a="1"/>
  <c r="M19" i="7" a="1"/>
  <c r="EN71" i="6" l="1"/>
  <c r="EK77" i="6" a="1"/>
  <c r="EK77" i="6" s="1"/>
  <c r="EO72" i="6" a="1"/>
  <c r="EO72" i="6" s="1"/>
  <c r="EJ72" i="6" a="1"/>
  <c r="EJ72" i="6" s="1"/>
  <c r="M19" i="7"/>
  <c r="I22" i="7"/>
  <c r="M20" i="7"/>
  <c r="M22" i="7"/>
  <c r="M23" i="7"/>
  <c r="C25" i="7"/>
  <c r="J22" i="7"/>
  <c r="J19" i="7"/>
  <c r="N17" i="7"/>
  <c r="C28" i="7"/>
  <c r="K22" i="7"/>
  <c r="M18" i="7"/>
  <c r="I26" i="7"/>
  <c r="J26" i="7" a="1"/>
  <c r="EO74" i="6" l="1" a="1"/>
  <c r="EO74" i="6" s="1"/>
  <c r="ER72" i="6" a="1"/>
  <c r="ER72" i="6" s="1"/>
  <c r="ES72" i="6" s="1"/>
  <c r="J26" i="7"/>
  <c r="B25" i="7"/>
  <c r="I23" i="7"/>
  <c r="K23" i="7"/>
  <c r="A33" i="7"/>
  <c r="C30" i="7" a="1"/>
  <c r="J28" i="7" a="1"/>
  <c r="F30" i="7" a="1"/>
  <c r="J25" i="7" a="1"/>
  <c r="G25" i="7" a="1"/>
  <c r="D30" i="7" a="1"/>
  <c r="F26" i="7" a="1"/>
  <c r="F28" i="7" a="1"/>
  <c r="F31" i="7" a="1"/>
  <c r="B30" i="7" a="1"/>
  <c r="C27" i="7" a="1"/>
  <c r="F27" i="7" a="1"/>
  <c r="EQ73" i="6" l="1"/>
  <c r="EN77" i="6"/>
  <c r="EO73" i="6"/>
  <c r="EO71" i="6"/>
  <c r="EP76" i="6"/>
  <c r="EN76" i="6"/>
  <c r="EO76" i="6"/>
  <c r="EP77" i="6" s="1"/>
  <c r="ER76" i="6"/>
  <c r="F27" i="7"/>
  <c r="C27" i="7"/>
  <c r="B30" i="7"/>
  <c r="F31" i="7"/>
  <c r="F28" i="7"/>
  <c r="F26" i="7"/>
  <c r="D30" i="7"/>
  <c r="G25" i="7"/>
  <c r="J25" i="7"/>
  <c r="F30" i="7"/>
  <c r="J28" i="7"/>
  <c r="C30" i="7"/>
  <c r="EG78" i="6" a="1"/>
  <c r="B34" i="7"/>
  <c r="C34" i="7" a="1"/>
  <c r="EG78" i="6" l="1"/>
  <c r="EQ72" i="6" a="1"/>
  <c r="EQ72" i="6" s="1"/>
  <c r="EH79" i="6" a="1"/>
  <c r="EH79" i="6" s="1"/>
  <c r="ER77" i="6" a="1"/>
  <c r="ER77" i="6" s="1"/>
  <c r="C34" i="7"/>
  <c r="H33" i="7"/>
  <c r="D31" i="7"/>
  <c r="B31" i="7"/>
  <c r="I25" i="7"/>
  <c r="M27" i="7" a="1"/>
  <c r="I30" i="7" a="1"/>
  <c r="K30" i="7" a="1"/>
  <c r="C33" i="7" a="1"/>
  <c r="N25" i="7" a="1"/>
  <c r="M26" i="7" a="1"/>
  <c r="J30" i="7" a="1"/>
  <c r="J27" i="7" a="1"/>
  <c r="M31" i="7" a="1"/>
  <c r="M30" i="7" a="1"/>
  <c r="C36" i="7" a="1"/>
  <c r="M28" i="7" a="1"/>
  <c r="EH81" i="6" l="1" a="1"/>
  <c r="EH81" i="6" s="1"/>
  <c r="EK79" i="6" a="1"/>
  <c r="EK79" i="6" s="1"/>
  <c r="EL79" i="6" s="1"/>
  <c r="M28" i="7"/>
  <c r="C36" i="7"/>
  <c r="M30" i="7"/>
  <c r="M31" i="7"/>
  <c r="J27" i="7"/>
  <c r="J30" i="7"/>
  <c r="M26" i="7"/>
  <c r="N25" i="7"/>
  <c r="C33" i="7"/>
  <c r="K30" i="7"/>
  <c r="I30" i="7"/>
  <c r="M27" i="7"/>
  <c r="I34" i="7"/>
  <c r="J34" i="7" a="1"/>
  <c r="EH78" i="6" l="1"/>
  <c r="EK83" i="6"/>
  <c r="EG84" i="6"/>
  <c r="EG83" i="6"/>
  <c r="EJ80" i="6"/>
  <c r="EI83" i="6"/>
  <c r="EH80" i="6"/>
  <c r="EH83" i="6"/>
  <c r="EI84" i="6" s="1"/>
  <c r="J34" i="7"/>
  <c r="I31" i="7"/>
  <c r="K31" i="7"/>
  <c r="B33" i="7"/>
  <c r="A41" i="7"/>
  <c r="EN78" i="6" a="1"/>
  <c r="F38" i="7" a="1"/>
  <c r="C38" i="7" a="1"/>
  <c r="F36" i="7" a="1"/>
  <c r="J36" i="7" a="1"/>
  <c r="F39" i="7" a="1"/>
  <c r="G33" i="7" a="1"/>
  <c r="B38" i="7" a="1"/>
  <c r="C35" i="7" a="1"/>
  <c r="J33" i="7" a="1"/>
  <c r="D38" i="7" a="1"/>
  <c r="F35" i="7" a="1"/>
  <c r="F34" i="7" a="1"/>
  <c r="EN78" i="6" l="1"/>
  <c r="EJ79" i="6" a="1"/>
  <c r="EJ79" i="6" s="1"/>
  <c r="EK84" i="6" a="1"/>
  <c r="EK84" i="6" s="1"/>
  <c r="EO79" i="6" a="1"/>
  <c r="EO79" i="6" s="1"/>
  <c r="F34" i="7"/>
  <c r="F35" i="7"/>
  <c r="D38" i="7"/>
  <c r="J33" i="7"/>
  <c r="C35" i="7"/>
  <c r="B38" i="7"/>
  <c r="G33" i="7"/>
  <c r="F39" i="7"/>
  <c r="J36" i="7"/>
  <c r="F36" i="7"/>
  <c r="C38" i="7"/>
  <c r="F38" i="7"/>
  <c r="B42" i="7"/>
  <c r="C42" i="7" a="1"/>
  <c r="ER79" i="6" l="1" a="1"/>
  <c r="ER79" i="6" s="1"/>
  <c r="EO81" i="6" a="1"/>
  <c r="EO81" i="6" s="1"/>
  <c r="C42" i="7"/>
  <c r="H41" i="7"/>
  <c r="I33" i="7"/>
  <c r="D39" i="7"/>
  <c r="B39" i="7"/>
  <c r="M35" i="7" a="1"/>
  <c r="I38" i="7" a="1"/>
  <c r="M36" i="7" a="1"/>
  <c r="J35" i="7" a="1"/>
  <c r="C41" i="7" a="1"/>
  <c r="M39" i="7" a="1"/>
  <c r="M38" i="7" a="1"/>
  <c r="N33" i="7" a="1"/>
  <c r="C44" i="7" a="1"/>
  <c r="K38" i="7" a="1"/>
  <c r="M34" i="7" a="1"/>
  <c r="J38" i="7" a="1"/>
  <c r="EP83" i="6" l="1"/>
  <c r="EO83" i="6"/>
  <c r="EP84" i="6" s="1"/>
  <c r="EO78" i="6"/>
  <c r="ER84" i="6" s="1" a="1"/>
  <c r="ER84" i="6" s="1"/>
  <c r="EO80" i="6"/>
  <c r="EQ80" i="6"/>
  <c r="EN84" i="6"/>
  <c r="ER83" i="6"/>
  <c r="EN83" i="6"/>
  <c r="ES79" i="6"/>
  <c r="EQ79" i="6" a="1"/>
  <c r="EQ79" i="6" s="1"/>
  <c r="J38" i="7"/>
  <c r="M34" i="7"/>
  <c r="K38" i="7"/>
  <c r="C44" i="7"/>
  <c r="N33" i="7"/>
  <c r="M38" i="7"/>
  <c r="M39" i="7"/>
  <c r="C41" i="7"/>
  <c r="J35" i="7"/>
  <c r="M36" i="7"/>
  <c r="I38" i="7"/>
  <c r="M35" i="7"/>
  <c r="I42" i="7"/>
  <c r="J42" i="7" a="1"/>
  <c r="J42" i="7" l="1"/>
  <c r="P1" i="7"/>
  <c r="B41" i="7"/>
  <c r="K39" i="7"/>
  <c r="I39" i="7"/>
  <c r="F44" i="7" a="1"/>
  <c r="D46" i="7" a="1"/>
  <c r="C46" i="7" a="1"/>
  <c r="B46" i="7" a="1"/>
  <c r="F47" i="7" a="1"/>
  <c r="C43" i="7" a="1"/>
  <c r="F42" i="7" a="1"/>
  <c r="J44" i="7" a="1"/>
  <c r="Q2" i="7"/>
  <c r="F43" i="7" a="1"/>
  <c r="F46" i="7" a="1"/>
  <c r="J41" i="7" a="1"/>
  <c r="G41" i="7" a="1"/>
  <c r="R2" i="7" a="1"/>
  <c r="R1" i="7" a="1"/>
  <c r="R4" i="7" a="1"/>
  <c r="R4" i="7" l="1"/>
  <c r="R1" i="7"/>
  <c r="R2" i="7"/>
  <c r="G41" i="7"/>
  <c r="J41" i="7"/>
  <c r="F46" i="7"/>
  <c r="F43" i="7"/>
  <c r="W1" i="7"/>
  <c r="J44" i="7"/>
  <c r="F42" i="7"/>
  <c r="C43" i="7"/>
  <c r="F47" i="7"/>
  <c r="B46" i="7"/>
  <c r="C46" i="7"/>
  <c r="D46" i="7"/>
  <c r="F44" i="7"/>
  <c r="U7" i="7" a="1"/>
  <c r="U2" i="7" a="1"/>
  <c r="Q6" i="7" a="1"/>
  <c r="R3" i="7" a="1"/>
  <c r="U4" i="7" a="1"/>
  <c r="R6" i="7" a="1"/>
  <c r="S6" i="7" a="1"/>
  <c r="V1" i="7" a="1"/>
  <c r="U3" i="7" a="1"/>
  <c r="U6" i="7" a="1"/>
  <c r="X2" i="7"/>
  <c r="Y2" i="7" a="1"/>
  <c r="Y1" i="7" a="1"/>
  <c r="Y4" i="7" a="1"/>
  <c r="Y4" i="7" l="1"/>
  <c r="Y1" i="7"/>
  <c r="X1" i="7" s="1"/>
  <c r="Y2" i="7"/>
  <c r="P9" i="7"/>
  <c r="U6" i="7"/>
  <c r="U3" i="7"/>
  <c r="V1" i="7"/>
  <c r="S6" i="7"/>
  <c r="R6" i="7"/>
  <c r="S7" i="7" s="1"/>
  <c r="U4" i="7"/>
  <c r="R3" i="7"/>
  <c r="Q6" i="7"/>
  <c r="U2" i="7"/>
  <c r="U7" i="7"/>
  <c r="D47" i="7"/>
  <c r="B47" i="7"/>
  <c r="I41" i="7"/>
  <c r="Q1" i="7"/>
  <c r="M47" i="7" a="1"/>
  <c r="J43" i="7" a="1"/>
  <c r="N41" i="7" a="1"/>
  <c r="I46" i="7" a="1"/>
  <c r="M46" i="7" a="1"/>
  <c r="M43" i="7" a="1"/>
  <c r="M44" i="7" a="1"/>
  <c r="Q10" i="7"/>
  <c r="K46" i="7" a="1"/>
  <c r="M42" i="7" a="1"/>
  <c r="J46" i="7" a="1"/>
  <c r="X6" i="7" a="1"/>
  <c r="Z6" i="7" a="1"/>
  <c r="AB2" i="7" a="1"/>
  <c r="R12" i="7" a="1"/>
  <c r="Y3" i="7" a="1"/>
  <c r="AB7" i="7" a="1"/>
  <c r="Y6" i="7" a="1"/>
  <c r="AB6" i="7" a="1"/>
  <c r="AB3" i="7" a="1"/>
  <c r="AC1" i="7" a="1"/>
  <c r="R9" i="7" a="1"/>
  <c r="AB4" i="7" a="1"/>
  <c r="R10" i="7" a="1"/>
  <c r="Q7" i="7" l="1"/>
  <c r="R10" i="7"/>
  <c r="J46" i="7"/>
  <c r="M42" i="7"/>
  <c r="K46" i="7"/>
  <c r="W9" i="7"/>
  <c r="M44" i="7"/>
  <c r="M43" i="7"/>
  <c r="M46" i="7"/>
  <c r="I46" i="7"/>
  <c r="N41" i="7"/>
  <c r="J43" i="7"/>
  <c r="M47" i="7"/>
  <c r="AB4" i="7"/>
  <c r="R9" i="7"/>
  <c r="AC1" i="7"/>
  <c r="AB3" i="7"/>
  <c r="AB6" i="7"/>
  <c r="Y6" i="7"/>
  <c r="AB7" i="7"/>
  <c r="Y3" i="7"/>
  <c r="R12" i="7"/>
  <c r="AB2" i="7"/>
  <c r="Z6" i="7"/>
  <c r="X6" i="7"/>
  <c r="X10" i="7"/>
  <c r="Y10" i="7" a="1"/>
  <c r="K47" i="7" l="1"/>
  <c r="I47" i="7"/>
  <c r="Y10" i="7"/>
  <c r="P17" i="7"/>
  <c r="X7" i="7"/>
  <c r="Z7" i="7"/>
  <c r="Q9" i="7"/>
  <c r="U15" i="7" a="1"/>
  <c r="S14" i="7" a="1"/>
  <c r="R14" i="7" a="1"/>
  <c r="Y9" i="7" a="1"/>
  <c r="U12" i="7" a="1"/>
  <c r="U11" i="7" a="1"/>
  <c r="R11" i="7" a="1"/>
  <c r="Y12" i="7" a="1"/>
  <c r="U10" i="7" a="1"/>
  <c r="Q14" i="7" a="1"/>
  <c r="U14" i="7" a="1"/>
  <c r="V9" i="7" a="1"/>
  <c r="V9" i="7" l="1"/>
  <c r="U14" i="7"/>
  <c r="Q14" i="7"/>
  <c r="U10" i="7"/>
  <c r="Y12" i="7"/>
  <c r="R11" i="7"/>
  <c r="U11" i="7"/>
  <c r="U12" i="7"/>
  <c r="Y9" i="7"/>
  <c r="R14" i="7"/>
  <c r="S14" i="7"/>
  <c r="U15" i="7"/>
  <c r="Q18" i="7"/>
  <c r="R18" i="7" a="1"/>
  <c r="R18" i="7" l="1"/>
  <c r="W17" i="7"/>
  <c r="S15" i="7"/>
  <c r="Q15" i="7"/>
  <c r="X9" i="7"/>
  <c r="Y14" i="7" a="1"/>
  <c r="AB14" i="7" a="1"/>
  <c r="AB11" i="7" a="1"/>
  <c r="AB12" i="7" a="1"/>
  <c r="R20" i="7" a="1"/>
  <c r="X14" i="7" a="1"/>
  <c r="AB15" i="7" a="1"/>
  <c r="R17" i="7" a="1"/>
  <c r="Y11" i="7" a="1"/>
  <c r="AB10" i="7" a="1"/>
  <c r="AC9" i="7" a="1"/>
  <c r="Z14" i="7" a="1"/>
  <c r="Z14" i="7" l="1"/>
  <c r="AC9" i="7"/>
  <c r="AB10" i="7"/>
  <c r="Y11" i="7"/>
  <c r="R17" i="7"/>
  <c r="AB15" i="7"/>
  <c r="X14" i="7"/>
  <c r="R20" i="7"/>
  <c r="AB12" i="7"/>
  <c r="AB11" i="7"/>
  <c r="AB14" i="7"/>
  <c r="Y14" i="7"/>
  <c r="X18" i="7"/>
  <c r="Y18" i="7" a="1"/>
  <c r="Y18" i="7" l="1"/>
  <c r="P25" i="7"/>
  <c r="Q17" i="7"/>
  <c r="X15" i="7"/>
  <c r="Z15" i="7"/>
  <c r="S22" i="7" a="1"/>
  <c r="R19" i="7" a="1"/>
  <c r="R22" i="7" a="1"/>
  <c r="U19" i="7" a="1"/>
  <c r="V17" i="7" a="1"/>
  <c r="Y20" i="7" a="1"/>
  <c r="U20" i="7" a="1"/>
  <c r="U22" i="7" a="1"/>
  <c r="Y17" i="7" a="1"/>
  <c r="U23" i="7" a="1"/>
  <c r="Q22" i="7" a="1"/>
  <c r="U18" i="7" a="1"/>
  <c r="U18" i="7" l="1"/>
  <c r="Q22" i="7"/>
  <c r="U23" i="7"/>
  <c r="Y17" i="7"/>
  <c r="U22" i="7"/>
  <c r="U20" i="7"/>
  <c r="Y20" i="7"/>
  <c r="V17" i="7"/>
  <c r="U19" i="7"/>
  <c r="R22" i="7"/>
  <c r="R19" i="7"/>
  <c r="S22" i="7"/>
  <c r="Q26" i="7"/>
  <c r="R26" i="7" a="1"/>
  <c r="R26" i="7" l="1"/>
  <c r="W25" i="7"/>
  <c r="X17" i="7"/>
  <c r="Q23" i="7"/>
  <c r="S23" i="7"/>
  <c r="AB20" i="7" a="1"/>
  <c r="X22" i="7" a="1"/>
  <c r="AB19" i="7" a="1"/>
  <c r="AB18" i="7" a="1"/>
  <c r="R25" i="7" a="1"/>
  <c r="Y19" i="7" a="1"/>
  <c r="AB23" i="7" a="1"/>
  <c r="R28" i="7" a="1"/>
  <c r="Y22" i="7" a="1"/>
  <c r="Z22" i="7" a="1"/>
  <c r="AB22" i="7" a="1"/>
  <c r="AC17" i="7" a="1"/>
  <c r="AC17" i="7" l="1"/>
  <c r="AB22" i="7"/>
  <c r="Z22" i="7"/>
  <c r="Y22" i="7"/>
  <c r="R28" i="7"/>
  <c r="AB23" i="7"/>
  <c r="Y19" i="7"/>
  <c r="R25" i="7"/>
  <c r="AB18" i="7"/>
  <c r="AB19" i="7"/>
  <c r="X22" i="7"/>
  <c r="AB20" i="7"/>
  <c r="X26" i="7"/>
  <c r="Y26" i="7" a="1"/>
  <c r="Y26" i="7" l="1"/>
  <c r="P33" i="7"/>
  <c r="Q25" i="7"/>
  <c r="Z23" i="7"/>
  <c r="X23" i="7"/>
  <c r="U31" i="7" a="1"/>
  <c r="U30" i="7" a="1"/>
  <c r="S30" i="7" a="1"/>
  <c r="U26" i="7" a="1"/>
  <c r="R30" i="7" a="1"/>
  <c r="U28" i="7" a="1"/>
  <c r="Y25" i="7" a="1"/>
  <c r="V25" i="7" a="1"/>
  <c r="Y28" i="7" a="1"/>
  <c r="U27" i="7" a="1"/>
  <c r="Q30" i="7" a="1"/>
  <c r="R27" i="7" a="1"/>
  <c r="R27" i="7" l="1"/>
  <c r="Q30" i="7"/>
  <c r="U27" i="7"/>
  <c r="Y28" i="7"/>
  <c r="V25" i="7"/>
  <c r="Y25" i="7"/>
  <c r="U28" i="7"/>
  <c r="R30" i="7"/>
  <c r="U26" i="7"/>
  <c r="S30" i="7"/>
  <c r="U30" i="7"/>
  <c r="U31" i="7"/>
  <c r="Q34" i="7"/>
  <c r="R34" i="7" a="1"/>
  <c r="R34" i="7" l="1"/>
  <c r="W33" i="7"/>
  <c r="X25" i="7"/>
  <c r="Q31" i="7"/>
  <c r="S31" i="7"/>
  <c r="AB28" i="7" a="1"/>
  <c r="AB27" i="7" a="1"/>
  <c r="AB26" i="7" a="1"/>
  <c r="X30" i="7" a="1"/>
  <c r="AC25" i="7" a="1"/>
  <c r="R33" i="7" a="1"/>
  <c r="Y30" i="7" a="1"/>
  <c r="R36" i="7" a="1"/>
  <c r="Z30" i="7" a="1"/>
  <c r="Y27" i="7" a="1"/>
  <c r="AB30" i="7" a="1"/>
  <c r="AB31" i="7" a="1"/>
  <c r="AB31" i="7" l="1"/>
  <c r="AB30" i="7"/>
  <c r="Y27" i="7"/>
  <c r="Z30" i="7"/>
  <c r="R36" i="7"/>
  <c r="Y30" i="7"/>
  <c r="R33" i="7"/>
  <c r="AC25" i="7"/>
  <c r="X30" i="7"/>
  <c r="AB26" i="7"/>
  <c r="AB27" i="7"/>
  <c r="AB28" i="7"/>
  <c r="X34" i="7"/>
  <c r="Y34" i="7" a="1"/>
  <c r="Y34" i="7" l="1"/>
  <c r="P41" i="7"/>
  <c r="Z31" i="7"/>
  <c r="X31" i="7"/>
  <c r="Q33" i="7"/>
  <c r="U39" i="7" a="1"/>
  <c r="V33" i="7" a="1"/>
  <c r="R38" i="7" a="1"/>
  <c r="U36" i="7" a="1"/>
  <c r="U35" i="7" a="1"/>
  <c r="Y36" i="7" a="1"/>
  <c r="Q38" i="7" a="1"/>
  <c r="Y33" i="7" a="1"/>
  <c r="U34" i="7" a="1"/>
  <c r="R35" i="7" a="1"/>
  <c r="S38" i="7" a="1"/>
  <c r="U38" i="7" a="1"/>
  <c r="U38" i="7" l="1"/>
  <c r="S38" i="7"/>
  <c r="R35" i="7"/>
  <c r="U34" i="7"/>
  <c r="Y33" i="7"/>
  <c r="Q38" i="7"/>
  <c r="Y36" i="7"/>
  <c r="U35" i="7"/>
  <c r="U36" i="7"/>
  <c r="R38" i="7"/>
  <c r="V33" i="7"/>
  <c r="U39" i="7"/>
  <c r="Q42" i="7"/>
  <c r="R42" i="7" a="1"/>
  <c r="R42" i="7" l="1"/>
  <c r="W41" i="7"/>
  <c r="X33" i="7"/>
  <c r="S39" i="7"/>
  <c r="Q39" i="7"/>
  <c r="AC33" i="7" a="1"/>
  <c r="AB34" i="7" a="1"/>
  <c r="Y38" i="7" a="1"/>
  <c r="Z38" i="7" a="1"/>
  <c r="R41" i="7" a="1"/>
  <c r="X38" i="7" a="1"/>
  <c r="AB39" i="7" a="1"/>
  <c r="AB36" i="7" a="1"/>
  <c r="R44" i="7" a="1"/>
  <c r="AB38" i="7" a="1"/>
  <c r="Y35" i="7" a="1"/>
  <c r="AB35" i="7" a="1"/>
  <c r="AB35" i="7" l="1"/>
  <c r="Y35" i="7"/>
  <c r="AB38" i="7"/>
  <c r="R44" i="7"/>
  <c r="AB36" i="7"/>
  <c r="AB39" i="7"/>
  <c r="X38" i="7"/>
  <c r="R41" i="7"/>
  <c r="Z38" i="7"/>
  <c r="Y38" i="7"/>
  <c r="AB34" i="7"/>
  <c r="AC33" i="7"/>
  <c r="X42" i="7"/>
  <c r="Y42" i="7" a="1"/>
  <c r="Y42" i="7" l="1"/>
  <c r="AE1" i="7"/>
  <c r="Q41" i="7"/>
  <c r="Z39" i="7"/>
  <c r="X39" i="7"/>
  <c r="R46" i="7" a="1"/>
  <c r="U44" i="7" a="1"/>
  <c r="R43" i="7" a="1"/>
  <c r="U46" i="7" a="1"/>
  <c r="V41" i="7" a="1"/>
  <c r="Y44" i="7" a="1"/>
  <c r="U47" i="7" a="1"/>
  <c r="Q46" i="7" a="1"/>
  <c r="Y41" i="7" a="1"/>
  <c r="AF2" i="7"/>
  <c r="U43" i="7" a="1"/>
  <c r="U42" i="7" a="1"/>
  <c r="S46" i="7" a="1"/>
  <c r="AG2" i="7" a="1"/>
  <c r="AG1" i="7" a="1"/>
  <c r="AG4" i="7" a="1"/>
  <c r="AG4" i="7" l="1"/>
  <c r="AG1" i="7"/>
  <c r="AG2" i="7"/>
  <c r="S46" i="7"/>
  <c r="U42" i="7"/>
  <c r="U43" i="7"/>
  <c r="AL1" i="7"/>
  <c r="Y41" i="7"/>
  <c r="Q46" i="7"/>
  <c r="U47" i="7"/>
  <c r="Y44" i="7"/>
  <c r="V41" i="7"/>
  <c r="U46" i="7"/>
  <c r="R43" i="7"/>
  <c r="U44" i="7"/>
  <c r="R46" i="7"/>
  <c r="AH6" i="7" a="1"/>
  <c r="AG6" i="7" a="1"/>
  <c r="AJ4" i="7" a="1"/>
  <c r="AG3" i="7" a="1"/>
  <c r="AJ7" i="7" a="1"/>
  <c r="AF6" i="7" a="1"/>
  <c r="AK1" i="7" a="1"/>
  <c r="AJ6" i="7" a="1"/>
  <c r="AJ2" i="7" a="1"/>
  <c r="AJ3" i="7" a="1"/>
  <c r="AM2" i="7"/>
  <c r="AN2" i="7" a="1"/>
  <c r="AN4" i="7" a="1"/>
  <c r="AN1" i="7" a="1"/>
  <c r="AN1" i="7" l="1"/>
  <c r="AN4" i="7"/>
  <c r="AN2" i="7"/>
  <c r="AE9" i="7"/>
  <c r="AJ3" i="7"/>
  <c r="AJ2" i="7"/>
  <c r="AJ6" i="7"/>
  <c r="AK1" i="7"/>
  <c r="AF6" i="7"/>
  <c r="AJ7" i="7"/>
  <c r="AG3" i="7"/>
  <c r="AJ4" i="7"/>
  <c r="AG6" i="7"/>
  <c r="AH7" i="7" s="1"/>
  <c r="AH6" i="7"/>
  <c r="S47" i="7"/>
  <c r="Q47" i="7"/>
  <c r="X41" i="7"/>
  <c r="AF1" i="7"/>
  <c r="AM6" i="7" a="1"/>
  <c r="AN3" i="7" a="1"/>
  <c r="AR1" i="7" a="1"/>
  <c r="AN6" i="7" a="1"/>
  <c r="AQ6" i="7" a="1"/>
  <c r="AQ7" i="7" a="1"/>
  <c r="AO6" i="7" a="1"/>
  <c r="AQ2" i="7" a="1"/>
  <c r="AQ3" i="7" a="1"/>
  <c r="AQ4" i="7" a="1"/>
  <c r="AB47" i="7" a="1"/>
  <c r="AC41" i="7" a="1"/>
  <c r="Y46" i="7" a="1"/>
  <c r="AB44" i="7" a="1"/>
  <c r="AB46" i="7" a="1"/>
  <c r="AB43" i="7" a="1"/>
  <c r="AB42" i="7" a="1"/>
  <c r="AF10" i="7"/>
  <c r="X46" i="7" a="1"/>
  <c r="Z46" i="7" a="1"/>
  <c r="Y43" i="7" a="1"/>
  <c r="AG10" i="7" a="1"/>
  <c r="AG9" i="7" a="1"/>
  <c r="AG12" i="7" a="1"/>
  <c r="AF7" i="7" l="1"/>
  <c r="AG12" i="7"/>
  <c r="AG9" i="7"/>
  <c r="AG10" i="7"/>
  <c r="Y43" i="7"/>
  <c r="Z46" i="7"/>
  <c r="X46" i="7"/>
  <c r="AL9" i="7"/>
  <c r="AB42" i="7"/>
  <c r="AB43" i="7"/>
  <c r="AB46" i="7"/>
  <c r="AB44" i="7"/>
  <c r="Y46" i="7"/>
  <c r="AC41" i="7"/>
  <c r="AB47" i="7"/>
  <c r="AQ4" i="7"/>
  <c r="AQ3" i="7"/>
  <c r="AQ2" i="7"/>
  <c r="AO6" i="7"/>
  <c r="AQ7" i="7"/>
  <c r="AQ6" i="7"/>
  <c r="AN6" i="7"/>
  <c r="AM7" i="7" s="1"/>
  <c r="AR1" i="7"/>
  <c r="AN3" i="7"/>
  <c r="AM6" i="7"/>
  <c r="AM1" i="7"/>
  <c r="AF14" i="7" a="1"/>
  <c r="AJ10" i="7" a="1"/>
  <c r="AJ15" i="7" a="1"/>
  <c r="AH14" i="7" a="1"/>
  <c r="AJ14" i="7" a="1"/>
  <c r="AG11" i="7" a="1"/>
  <c r="AJ11" i="7" a="1"/>
  <c r="AJ12" i="7" a="1"/>
  <c r="AK9" i="7" a="1"/>
  <c r="AG14" i="7" a="1"/>
  <c r="AM10" i="7"/>
  <c r="AN10" i="7" a="1"/>
  <c r="AN12" i="7" a="1"/>
  <c r="AN9" i="7" a="1"/>
  <c r="AN9" i="7" l="1"/>
  <c r="AN12" i="7"/>
  <c r="AN10" i="7"/>
  <c r="AE17" i="7"/>
  <c r="AG14" i="7"/>
  <c r="AH15" i="7" s="1"/>
  <c r="AK9" i="7"/>
  <c r="AJ12" i="7"/>
  <c r="AJ11" i="7"/>
  <c r="AG11" i="7"/>
  <c r="AJ14" i="7"/>
  <c r="AH14" i="7"/>
  <c r="AJ15" i="7"/>
  <c r="AJ10" i="7"/>
  <c r="AF14" i="7"/>
  <c r="Z47" i="7"/>
  <c r="X47" i="7"/>
  <c r="AO7" i="7"/>
  <c r="AF9" i="7"/>
  <c r="AM14" i="7" a="1"/>
  <c r="AO14" i="7" a="1"/>
  <c r="AN11" i="7" a="1"/>
  <c r="AR9" i="7" a="1"/>
  <c r="AQ10" i="7" a="1"/>
  <c r="AQ11" i="7" a="1"/>
  <c r="AN14" i="7" a="1"/>
  <c r="AQ12" i="7" a="1"/>
  <c r="AQ14" i="7" a="1"/>
  <c r="AQ15" i="7" a="1"/>
  <c r="AF18" i="7"/>
  <c r="AG18" i="7" a="1"/>
  <c r="AG17" i="7" a="1"/>
  <c r="AG20" i="7" a="1"/>
  <c r="AG20" i="7" l="1"/>
  <c r="AG17" i="7"/>
  <c r="AG18" i="7"/>
  <c r="AL17" i="7"/>
  <c r="AQ15" i="7"/>
  <c r="AQ14" i="7"/>
  <c r="AQ12" i="7"/>
  <c r="AN14" i="7"/>
  <c r="AO15" i="7" s="1"/>
  <c r="AQ11" i="7"/>
  <c r="AQ10" i="7"/>
  <c r="AR9" i="7"/>
  <c r="AN11" i="7"/>
  <c r="AO14" i="7"/>
  <c r="AM14" i="7"/>
  <c r="AF15" i="7"/>
  <c r="AM15" i="7"/>
  <c r="AM9" i="7"/>
  <c r="AJ19" i="7" a="1"/>
  <c r="AK17" i="7" a="1"/>
  <c r="AJ23" i="7" a="1"/>
  <c r="AG22" i="7" a="1"/>
  <c r="AJ22" i="7" a="1"/>
  <c r="AJ20" i="7" a="1"/>
  <c r="AH22" i="7" a="1"/>
  <c r="AF22" i="7" a="1"/>
  <c r="AJ18" i="7" a="1"/>
  <c r="AG19" i="7" a="1"/>
  <c r="AM18" i="7"/>
  <c r="AN18" i="7" a="1"/>
  <c r="AN17" i="7" a="1"/>
  <c r="AN20" i="7" a="1"/>
  <c r="AN20" i="7" l="1"/>
  <c r="AN17" i="7"/>
  <c r="AN18" i="7"/>
  <c r="AE25" i="7"/>
  <c r="AG19" i="7"/>
  <c r="AJ18" i="7"/>
  <c r="AF22" i="7"/>
  <c r="AH22" i="7"/>
  <c r="AJ20" i="7"/>
  <c r="AJ22" i="7"/>
  <c r="AG22" i="7"/>
  <c r="AF23" i="7" s="1"/>
  <c r="AJ23" i="7"/>
  <c r="AK17" i="7"/>
  <c r="AJ19" i="7"/>
  <c r="AF17" i="7"/>
  <c r="AH23" i="7"/>
  <c r="AF26" i="7"/>
  <c r="AM22" i="7" a="1"/>
  <c r="AQ19" i="7" a="1"/>
  <c r="AN22" i="7" a="1"/>
  <c r="AQ23" i="7" a="1"/>
  <c r="AR17" i="7" a="1"/>
  <c r="AQ20" i="7" a="1"/>
  <c r="AQ22" i="7" a="1"/>
  <c r="AN19" i="7" a="1"/>
  <c r="AO22" i="7" a="1"/>
  <c r="AQ18" i="7" a="1"/>
  <c r="AG26" i="7" a="1"/>
  <c r="AG28" i="7" a="1"/>
  <c r="AG25" i="7" a="1"/>
  <c r="AG25" i="7" l="1"/>
  <c r="AG28" i="7"/>
  <c r="AG26" i="7"/>
  <c r="AQ18" i="7"/>
  <c r="AO22" i="7"/>
  <c r="AN19" i="7"/>
  <c r="AQ22" i="7"/>
  <c r="AQ20" i="7"/>
  <c r="AR17" i="7"/>
  <c r="AQ23" i="7"/>
  <c r="AN22" i="7"/>
  <c r="AO23" i="7" s="1"/>
  <c r="AQ19" i="7"/>
  <c r="AM22" i="7"/>
  <c r="AL25" i="7"/>
  <c r="AM17" i="7"/>
  <c r="AM23" i="7"/>
  <c r="AK25" i="7" a="1"/>
  <c r="AJ30" i="7" a="1"/>
  <c r="AJ31" i="7" a="1"/>
  <c r="AJ28" i="7" a="1"/>
  <c r="AH30" i="7" a="1"/>
  <c r="AG27" i="7" a="1"/>
  <c r="AJ27" i="7" a="1"/>
  <c r="AF30" i="7" a="1"/>
  <c r="AG30" i="7" a="1"/>
  <c r="AJ26" i="7" a="1"/>
  <c r="AM26" i="7"/>
  <c r="AN26" i="7" a="1"/>
  <c r="AN28" i="7" a="1"/>
  <c r="AN25" i="7" a="1"/>
  <c r="AN25" i="7" l="1"/>
  <c r="AN28" i="7"/>
  <c r="AN26" i="7"/>
  <c r="AE33" i="7"/>
  <c r="AJ26" i="7"/>
  <c r="AG30" i="7"/>
  <c r="AF30" i="7"/>
  <c r="AJ27" i="7"/>
  <c r="AG27" i="7"/>
  <c r="AH30" i="7"/>
  <c r="AJ28" i="7"/>
  <c r="AJ31" i="7"/>
  <c r="AJ30" i="7"/>
  <c r="AK25" i="7"/>
  <c r="AH31" i="7"/>
  <c r="AF31" i="7"/>
  <c r="AF25" i="7"/>
  <c r="AR25" i="7" a="1"/>
  <c r="AQ31" i="7" a="1"/>
  <c r="AN27" i="7" a="1"/>
  <c r="AO30" i="7" a="1"/>
  <c r="AM30" i="7" a="1"/>
  <c r="AN30" i="7" a="1"/>
  <c r="AQ26" i="7" a="1"/>
  <c r="AQ27" i="7" a="1"/>
  <c r="AQ28" i="7" a="1"/>
  <c r="AQ30" i="7" a="1"/>
  <c r="AF34" i="7"/>
  <c r="AG34" i="7" a="1"/>
  <c r="AG36" i="7" a="1"/>
  <c r="AG33" i="7" a="1"/>
  <c r="AG33" i="7" l="1"/>
  <c r="AG36" i="7"/>
  <c r="AG34" i="7"/>
  <c r="AL33" i="7"/>
  <c r="AQ30" i="7"/>
  <c r="AQ28" i="7"/>
  <c r="AQ27" i="7"/>
  <c r="AQ26" i="7"/>
  <c r="AN30" i="7"/>
  <c r="AM31" i="7" s="1"/>
  <c r="AM30" i="7"/>
  <c r="AO30" i="7"/>
  <c r="AN27" i="7"/>
  <c r="AQ31" i="7"/>
  <c r="AR25" i="7"/>
  <c r="AM25" i="7"/>
  <c r="AK33" i="7" a="1"/>
  <c r="AJ39" i="7" a="1"/>
  <c r="AJ38" i="7" a="1"/>
  <c r="AG35" i="7" a="1"/>
  <c r="AF38" i="7" a="1"/>
  <c r="AH38" i="7" a="1"/>
  <c r="AG38" i="7" a="1"/>
  <c r="AJ34" i="7" a="1"/>
  <c r="AJ35" i="7" a="1"/>
  <c r="AJ36" i="7" a="1"/>
  <c r="AM34" i="7"/>
  <c r="AN34" i="7" a="1"/>
  <c r="AN33" i="7" a="1"/>
  <c r="AN36" i="7" a="1"/>
  <c r="AO31" i="7" l="1"/>
  <c r="AN36" i="7"/>
  <c r="AN33" i="7"/>
  <c r="AN34" i="7"/>
  <c r="AE41" i="7"/>
  <c r="AJ36" i="7"/>
  <c r="AJ35" i="7"/>
  <c r="AJ34" i="7"/>
  <c r="AG38" i="7"/>
  <c r="AH39" i="7" s="1"/>
  <c r="AH38" i="7"/>
  <c r="AF38" i="7"/>
  <c r="AG35" i="7"/>
  <c r="AJ38" i="7"/>
  <c r="AJ39" i="7"/>
  <c r="AK33" i="7"/>
  <c r="AF33" i="7"/>
  <c r="AM38" i="7" a="1"/>
  <c r="AQ39" i="7" a="1"/>
  <c r="AQ34" i="7" a="1"/>
  <c r="AQ38" i="7" a="1"/>
  <c r="AN35" i="7" a="1"/>
  <c r="AO38" i="7" a="1"/>
  <c r="AQ35" i="7" a="1"/>
  <c r="AN38" i="7" a="1"/>
  <c r="AQ36" i="7" a="1"/>
  <c r="AR33" i="7" a="1"/>
  <c r="AF42" i="7"/>
  <c r="AG42" i="7" a="1"/>
  <c r="AG41" i="7" a="1"/>
  <c r="AG44" i="7" a="1"/>
  <c r="AF39" i="7" l="1"/>
  <c r="AG44" i="7"/>
  <c r="AG41" i="7"/>
  <c r="AG42" i="7"/>
  <c r="AL41" i="7"/>
  <c r="AR33" i="7"/>
  <c r="AQ36" i="7"/>
  <c r="AN38" i="7"/>
  <c r="AO39" i="7" s="1"/>
  <c r="AQ35" i="7"/>
  <c r="AO38" i="7"/>
  <c r="AN35" i="7"/>
  <c r="AQ38" i="7"/>
  <c r="AQ34" i="7"/>
  <c r="AQ39" i="7"/>
  <c r="AM38" i="7"/>
  <c r="AM33" i="7"/>
  <c r="AG46" i="7" a="1"/>
  <c r="AJ46" i="7" a="1"/>
  <c r="AJ43" i="7" a="1"/>
  <c r="AJ44" i="7" a="1"/>
  <c r="AJ47" i="7" a="1"/>
  <c r="AK41" i="7" a="1"/>
  <c r="AJ42" i="7" a="1"/>
  <c r="AH46" i="7" a="1"/>
  <c r="AF46" i="7" a="1"/>
  <c r="AG43" i="7" a="1"/>
  <c r="AM42" i="7"/>
  <c r="AN42" i="7" a="1"/>
  <c r="AN41" i="7" a="1"/>
  <c r="AN44" i="7" a="1"/>
  <c r="AM39" i="7" l="1"/>
  <c r="AN44" i="7"/>
  <c r="AM47" i="7" s="1"/>
  <c r="AN41" i="7"/>
  <c r="AN42" i="7"/>
  <c r="AT1" i="7"/>
  <c r="AG43" i="7"/>
  <c r="AF46" i="7"/>
  <c r="AH46" i="7"/>
  <c r="AJ42" i="7"/>
  <c r="AK41" i="7"/>
  <c r="AJ47" i="7"/>
  <c r="AJ44" i="7"/>
  <c r="AJ43" i="7"/>
  <c r="AJ46" i="7"/>
  <c r="AG46" i="7"/>
  <c r="AH47" i="7" s="1"/>
  <c r="AF41" i="7"/>
  <c r="AU2" i="7"/>
  <c r="AQ44" i="7" a="1"/>
  <c r="AR41" i="7" a="1"/>
  <c r="AQ42" i="7" a="1"/>
  <c r="AQ43" i="7" a="1"/>
  <c r="AN46" i="7" a="1"/>
  <c r="AM46" i="7" a="1"/>
  <c r="AQ46" i="7" a="1"/>
  <c r="AQ47" i="7" a="1"/>
  <c r="AO46" i="7" a="1"/>
  <c r="AV2" i="7" a="1"/>
  <c r="AV4" i="7" a="1"/>
  <c r="AV1" i="7" a="1"/>
  <c r="AF47" i="7" l="1"/>
  <c r="AV1" i="7"/>
  <c r="AV4" i="7"/>
  <c r="AV2" i="7"/>
  <c r="AO46" i="7"/>
  <c r="AQ47" i="7"/>
  <c r="AQ46" i="7"/>
  <c r="AM46" i="7"/>
  <c r="AN46" i="7"/>
  <c r="AO47" i="7" s="1"/>
  <c r="AQ43" i="7"/>
  <c r="AQ42" i="7"/>
  <c r="AR41" i="7"/>
  <c r="AQ44" i="7"/>
  <c r="BA1" i="7"/>
  <c r="AN43" i="7" a="1"/>
  <c r="AN43" i="7" s="1"/>
  <c r="AM41" i="7"/>
  <c r="AY6" i="7" a="1"/>
  <c r="AY3" i="7" a="1"/>
  <c r="AZ1" i="7" a="1"/>
  <c r="AV6" i="7" a="1"/>
  <c r="AY2" i="7" a="1"/>
  <c r="AW6" i="7" a="1"/>
  <c r="AU6" i="7" a="1"/>
  <c r="AV3" i="7" a="1"/>
  <c r="AY4" i="7" a="1"/>
  <c r="AY7" i="7" a="1"/>
  <c r="BB2" i="7"/>
  <c r="BC2" i="7" a="1"/>
  <c r="BC4" i="7" a="1"/>
  <c r="BC1" i="7" a="1"/>
  <c r="BC1" i="7" l="1"/>
  <c r="BC4" i="7"/>
  <c r="BC2" i="7"/>
  <c r="AT9" i="7"/>
  <c r="AY7" i="7"/>
  <c r="AY4" i="7"/>
  <c r="AV3" i="7"/>
  <c r="AU6" i="7"/>
  <c r="AW6" i="7"/>
  <c r="AY2" i="7"/>
  <c r="AV6" i="7"/>
  <c r="AW7" i="7" s="1"/>
  <c r="AZ1" i="7"/>
  <c r="AY3" i="7"/>
  <c r="AY6" i="7"/>
  <c r="AU7" i="7"/>
  <c r="AU1" i="7"/>
  <c r="BF7" i="7" a="1"/>
  <c r="BF2" i="7" a="1"/>
  <c r="BD6" i="7" a="1"/>
  <c r="BF3" i="7" a="1"/>
  <c r="BF6" i="7" a="1"/>
  <c r="BF4" i="7" a="1"/>
  <c r="BC3" i="7" a="1"/>
  <c r="BB6" i="7" a="1"/>
  <c r="BG1" i="7" a="1"/>
  <c r="BC6" i="7" a="1"/>
  <c r="AU10" i="7"/>
  <c r="AV10" i="7" a="1"/>
  <c r="AV12" i="7" a="1"/>
  <c r="AV9" i="7" a="1"/>
  <c r="AV9" i="7" l="1"/>
  <c r="AV12" i="7"/>
  <c r="AV10" i="7"/>
  <c r="BA9" i="7"/>
  <c r="BC6" i="7"/>
  <c r="BB7" i="7" s="1"/>
  <c r="BG1" i="7"/>
  <c r="BB6" i="7"/>
  <c r="BC3" i="7"/>
  <c r="BF4" i="7"/>
  <c r="BF6" i="7"/>
  <c r="BF3" i="7"/>
  <c r="BD6" i="7"/>
  <c r="BF2" i="7"/>
  <c r="BF7" i="7"/>
  <c r="BD7" i="7"/>
  <c r="BB1" i="7"/>
  <c r="AV14" i="7" a="1"/>
  <c r="AW14" i="7" a="1"/>
  <c r="AY12" i="7" a="1"/>
  <c r="AY11" i="7" a="1"/>
  <c r="AZ9" i="7" a="1"/>
  <c r="AY10" i="7" a="1"/>
  <c r="AU14" i="7" a="1"/>
  <c r="AV11" i="7" a="1"/>
  <c r="AY14" i="7" a="1"/>
  <c r="AY15" i="7" a="1"/>
  <c r="BB10" i="7"/>
  <c r="BC10" i="7" a="1"/>
  <c r="BC9" i="7" a="1"/>
  <c r="BC12" i="7" a="1"/>
  <c r="BC12" i="7" l="1"/>
  <c r="BC9" i="7"/>
  <c r="BC10" i="7"/>
  <c r="AT17" i="7"/>
  <c r="AY15" i="7"/>
  <c r="AY14" i="7"/>
  <c r="AV11" i="7"/>
  <c r="AU14" i="7"/>
  <c r="AY10" i="7"/>
  <c r="AZ9" i="7"/>
  <c r="AY11" i="7"/>
  <c r="AY12" i="7"/>
  <c r="AW14" i="7"/>
  <c r="AV14" i="7"/>
  <c r="AW15" i="7" s="1"/>
  <c r="AU15" i="7"/>
  <c r="AU9" i="7"/>
  <c r="BD14" i="7" a="1"/>
  <c r="BF12" i="7" a="1"/>
  <c r="BG9" i="7" a="1"/>
  <c r="BF14" i="7" a="1"/>
  <c r="BC14" i="7" a="1"/>
  <c r="BB14" i="7" a="1"/>
  <c r="BF15" i="7" a="1"/>
  <c r="BF11" i="7" a="1"/>
  <c r="BC11" i="7" a="1"/>
  <c r="BF10" i="7" a="1"/>
  <c r="AU18" i="7"/>
  <c r="AV18" i="7" a="1"/>
  <c r="AV17" i="7" a="1"/>
  <c r="AV20" i="7" a="1"/>
  <c r="AV20" i="7" l="1"/>
  <c r="AV17" i="7"/>
  <c r="AV18" i="7"/>
  <c r="BA17" i="7"/>
  <c r="BF10" i="7"/>
  <c r="BC11" i="7"/>
  <c r="BF11" i="7"/>
  <c r="BF15" i="7"/>
  <c r="BB14" i="7"/>
  <c r="BC14" i="7"/>
  <c r="BD15" i="7" s="1"/>
  <c r="BF14" i="7"/>
  <c r="BG9" i="7"/>
  <c r="BF12" i="7"/>
  <c r="BD14" i="7"/>
  <c r="BB9" i="7"/>
  <c r="BB15" i="7"/>
  <c r="BB18" i="7"/>
  <c r="BC18" i="7" s="1" a="1"/>
  <c r="AY23" i="7" a="1"/>
  <c r="AV22" i="7" a="1"/>
  <c r="AY20" i="7" a="1"/>
  <c r="AY19" i="7" a="1"/>
  <c r="AY18" i="7" a="1"/>
  <c r="AU22" i="7" a="1"/>
  <c r="AY22" i="7" a="1"/>
  <c r="AZ17" i="7" a="1"/>
  <c r="AW22" i="7" a="1"/>
  <c r="AV19" i="7" a="1"/>
  <c r="BC20" i="7" a="1"/>
  <c r="BC17" i="7" a="1"/>
  <c r="BC17" i="7" l="1"/>
  <c r="BC20" i="7"/>
  <c r="AV19" i="7"/>
  <c r="AW22" i="7"/>
  <c r="AZ17" i="7"/>
  <c r="AY22" i="7"/>
  <c r="AU22" i="7"/>
  <c r="AY18" i="7"/>
  <c r="AY19" i="7"/>
  <c r="AY20" i="7"/>
  <c r="AV22" i="7"/>
  <c r="AW23" i="7" s="1"/>
  <c r="AY23" i="7"/>
  <c r="AT25" i="7"/>
  <c r="BC18" i="7"/>
  <c r="AU17" i="7"/>
  <c r="AU23" i="7"/>
  <c r="BF20" i="7" a="1"/>
  <c r="BB22" i="7" a="1"/>
  <c r="BF19" i="7" a="1"/>
  <c r="BF18" i="7" a="1"/>
  <c r="BC19" i="7" a="1"/>
  <c r="BF23" i="7" a="1"/>
  <c r="BD22" i="7" a="1"/>
  <c r="BC22" i="7" a="1"/>
  <c r="BG17" i="7" a="1"/>
  <c r="BF22" i="7" a="1"/>
  <c r="AU26" i="7"/>
  <c r="AV26" i="7" s="1" a="1"/>
  <c r="AV28" i="7" a="1"/>
  <c r="AV25" i="7" a="1"/>
  <c r="AV25" i="7" l="1"/>
  <c r="AV28" i="7"/>
  <c r="BA25" i="7"/>
  <c r="AV26" i="7"/>
  <c r="BF22" i="7"/>
  <c r="BG17" i="7"/>
  <c r="BC22" i="7"/>
  <c r="BD23" i="7" s="1"/>
  <c r="BD22" i="7"/>
  <c r="BF23" i="7"/>
  <c r="BC19" i="7"/>
  <c r="BF18" i="7"/>
  <c r="BF19" i="7"/>
  <c r="BB22" i="7"/>
  <c r="BF20" i="7"/>
  <c r="BB23" i="7"/>
  <c r="BB17" i="7"/>
  <c r="AY30" i="7" a="1"/>
  <c r="AV30" i="7" a="1"/>
  <c r="AU30" i="7" a="1"/>
  <c r="AV27" i="7" a="1"/>
  <c r="AZ25" i="7" a="1"/>
  <c r="AY31" i="7" a="1"/>
  <c r="AY27" i="7" a="1"/>
  <c r="AY28" i="7" a="1"/>
  <c r="AW30" i="7" a="1"/>
  <c r="AY26" i="7" a="1"/>
  <c r="BB26" i="7"/>
  <c r="BC26" i="7" s="1" a="1"/>
  <c r="BC25" i="7" a="1"/>
  <c r="BC28" i="7" a="1"/>
  <c r="BC28" i="7" l="1"/>
  <c r="BC25" i="7"/>
  <c r="AT33" i="7"/>
  <c r="BC26" i="7"/>
  <c r="AY26" i="7"/>
  <c r="AW30" i="7"/>
  <c r="AY28" i="7"/>
  <c r="AY27" i="7"/>
  <c r="AY31" i="7"/>
  <c r="AZ25" i="7"/>
  <c r="AV27" i="7"/>
  <c r="AU30" i="7"/>
  <c r="AV30" i="7"/>
  <c r="AW31" i="7" s="1"/>
  <c r="AY30" i="7"/>
  <c r="AU25" i="7"/>
  <c r="BF31" i="7" a="1"/>
  <c r="BC30" i="7" a="1"/>
  <c r="BC27" i="7" a="1"/>
  <c r="BF30" i="7" a="1"/>
  <c r="BF28" i="7" a="1"/>
  <c r="BB30" i="7" a="1"/>
  <c r="BF27" i="7" a="1"/>
  <c r="BD30" i="7" a="1"/>
  <c r="BF26" i="7" a="1"/>
  <c r="BG25" i="7" a="1"/>
  <c r="AU34" i="7"/>
  <c r="AV34" i="7" s="1" a="1"/>
  <c r="AV33" i="7" a="1"/>
  <c r="AV36" i="7" a="1"/>
  <c r="AU31" i="7" l="1"/>
  <c r="AV36" i="7"/>
  <c r="AV33" i="7"/>
  <c r="BA33" i="7"/>
  <c r="AV34" i="7"/>
  <c r="BG25" i="7"/>
  <c r="BF26" i="7"/>
  <c r="BD30" i="7"/>
  <c r="BF27" i="7"/>
  <c r="BB30" i="7"/>
  <c r="BF28" i="7"/>
  <c r="BF30" i="7"/>
  <c r="BC27" i="7"/>
  <c r="BC30" i="7"/>
  <c r="BD31" i="7" s="1"/>
  <c r="BF31" i="7"/>
  <c r="BB25" i="7"/>
  <c r="AY39" i="7" a="1"/>
  <c r="AZ33" i="7" a="1"/>
  <c r="AV38" i="7" a="1"/>
  <c r="AY35" i="7" a="1"/>
  <c r="AU38" i="7" a="1"/>
  <c r="AY38" i="7" a="1"/>
  <c r="AY36" i="7" a="1"/>
  <c r="AY34" i="7" a="1"/>
  <c r="AV35" i="7" a="1"/>
  <c r="AW38" i="7" a="1"/>
  <c r="BB34" i="7"/>
  <c r="BC34" i="7" s="1" a="1"/>
  <c r="BC36" i="7" a="1"/>
  <c r="BC33" i="7" a="1"/>
  <c r="BB31" i="7" l="1"/>
  <c r="BC33" i="7"/>
  <c r="BC36" i="7"/>
  <c r="AT41" i="7"/>
  <c r="BC34" i="7"/>
  <c r="AW38" i="7"/>
  <c r="AV35" i="7"/>
  <c r="AY34" i="7"/>
  <c r="AY36" i="7"/>
  <c r="AY38" i="7"/>
  <c r="AU38" i="7"/>
  <c r="AY35" i="7"/>
  <c r="AV38" i="7"/>
  <c r="AW39" i="7" s="1"/>
  <c r="AZ33" i="7"/>
  <c r="AY39" i="7"/>
  <c r="AU33" i="7"/>
  <c r="BF35" i="7" a="1"/>
  <c r="BC38" i="7" a="1"/>
  <c r="BB38" i="7" a="1"/>
  <c r="BC35" i="7" a="1"/>
  <c r="BF34" i="7" a="1"/>
  <c r="BF39" i="7" a="1"/>
  <c r="BF36" i="7" a="1"/>
  <c r="BG33" i="7" a="1"/>
  <c r="BF38" i="7" a="1"/>
  <c r="BD38" i="7" a="1"/>
  <c r="AU42" i="7"/>
  <c r="AV42" i="7" a="1"/>
  <c r="AV41" i="7" a="1"/>
  <c r="AV44" i="7" a="1"/>
  <c r="AU39" i="7" l="1"/>
  <c r="AV44" i="7"/>
  <c r="AV41" i="7"/>
  <c r="AV42" i="7"/>
  <c r="BA41" i="7"/>
  <c r="BD38" i="7"/>
  <c r="BF38" i="7"/>
  <c r="BG33" i="7"/>
  <c r="BF36" i="7"/>
  <c r="BF39" i="7"/>
  <c r="BF34" i="7"/>
  <c r="BC35" i="7"/>
  <c r="BB38" i="7"/>
  <c r="BC38" i="7"/>
  <c r="BB39" i="7" s="1"/>
  <c r="BF35" i="7"/>
  <c r="BB33" i="7"/>
  <c r="AV43" i="7" a="1"/>
  <c r="AU46" i="7" a="1"/>
  <c r="AW46" i="7" a="1"/>
  <c r="AY47" i="7" a="1"/>
  <c r="AV46" i="7" a="1"/>
  <c r="AY44" i="7" a="1"/>
  <c r="AZ41" i="7" a="1"/>
  <c r="AY42" i="7" a="1"/>
  <c r="AY46" i="7" a="1"/>
  <c r="AY43" i="7" a="1"/>
  <c r="BB42" i="7"/>
  <c r="BC42" i="7" a="1"/>
  <c r="BC44" i="7" a="1"/>
  <c r="BC41" i="7" a="1"/>
  <c r="BD39" i="7" l="1"/>
  <c r="BI1" i="7"/>
  <c r="BC41" i="7"/>
  <c r="BC44" i="7"/>
  <c r="BB47" i="7" s="1"/>
  <c r="BC42" i="7"/>
  <c r="AY43" i="7"/>
  <c r="AY46" i="7"/>
  <c r="AY42" i="7"/>
  <c r="AZ41" i="7"/>
  <c r="AY44" i="7"/>
  <c r="AV46" i="7"/>
  <c r="AW47" i="7" s="1"/>
  <c r="AY47" i="7"/>
  <c r="AW46" i="7"/>
  <c r="AU46" i="7"/>
  <c r="AV43" i="7"/>
  <c r="AU41" i="7"/>
  <c r="BF43" i="7" a="1"/>
  <c r="BF42" i="7" a="1"/>
  <c r="BF44" i="7" a="1"/>
  <c r="BD46" i="7" a="1"/>
  <c r="BG41" i="7" a="1"/>
  <c r="BF47" i="7" a="1"/>
  <c r="BF46" i="7" a="1"/>
  <c r="BB46" i="7" a="1"/>
  <c r="BC46" i="7" a="1"/>
  <c r="BJ2" i="7"/>
  <c r="BK2" i="7" a="1"/>
  <c r="BK4" i="7" a="1"/>
  <c r="BK1" i="7" a="1"/>
  <c r="AU47" i="7" l="1"/>
  <c r="BK1" i="7"/>
  <c r="BK4" i="7"/>
  <c r="BJ7" i="7" s="1"/>
  <c r="BK2" i="7"/>
  <c r="BP1" i="7"/>
  <c r="BC46" i="7"/>
  <c r="BD47" i="7" s="1"/>
  <c r="BB46" i="7"/>
  <c r="BF46" i="7"/>
  <c r="BF47" i="7"/>
  <c r="BG41" i="7"/>
  <c r="BD46" i="7"/>
  <c r="BF44" i="7"/>
  <c r="BF42" i="7"/>
  <c r="BF43" i="7"/>
  <c r="BB41" i="7"/>
  <c r="BC43" i="7" a="1"/>
  <c r="BC43" i="7" s="1"/>
  <c r="BN2" i="7" a="1"/>
  <c r="BN7" i="7" a="1"/>
  <c r="BL6" i="7" a="1"/>
  <c r="BN6" i="7" a="1"/>
  <c r="BJ6" i="7" a="1"/>
  <c r="BN3" i="7" a="1"/>
  <c r="BK6" i="7" a="1"/>
  <c r="BO1" i="7" a="1"/>
  <c r="BN4" i="7" a="1"/>
  <c r="BQ2" i="7"/>
  <c r="BR2" i="7" a="1"/>
  <c r="BR4" i="7" a="1"/>
  <c r="BR1" i="7" a="1"/>
  <c r="BR1" i="7" l="1"/>
  <c r="BR4" i="7"/>
  <c r="BR2" i="7"/>
  <c r="BI9" i="7"/>
  <c r="BN4" i="7"/>
  <c r="BO1" i="7"/>
  <c r="BK6" i="7"/>
  <c r="BL7" i="7" s="1"/>
  <c r="BN3" i="7"/>
  <c r="BJ6" i="7"/>
  <c r="BN6" i="7"/>
  <c r="BL6" i="7"/>
  <c r="BN7" i="7"/>
  <c r="BN2" i="7"/>
  <c r="BJ1" i="7"/>
  <c r="BK3" i="7" a="1"/>
  <c r="BK3" i="7" s="1"/>
  <c r="BV1" i="7" a="1"/>
  <c r="BU2" i="7" a="1"/>
  <c r="BU6" i="7" a="1"/>
  <c r="BU3" i="7" a="1"/>
  <c r="BS6" i="7" a="1"/>
  <c r="BR6" i="7" a="1"/>
  <c r="BU4" i="7" a="1"/>
  <c r="BQ6" i="7" a="1"/>
  <c r="BU7" i="7" a="1"/>
  <c r="BJ10" i="7"/>
  <c r="BK10" i="7" a="1"/>
  <c r="BK9" i="7" a="1"/>
  <c r="BK12" i="7" a="1"/>
  <c r="BV1" i="7" l="1"/>
  <c r="BK12" i="7"/>
  <c r="BJ15" i="7" s="1"/>
  <c r="BK9" i="7"/>
  <c r="BK10" i="7"/>
  <c r="BP9" i="7"/>
  <c r="BU7" i="7"/>
  <c r="BQ6" i="7"/>
  <c r="BU4" i="7"/>
  <c r="BR6" i="7"/>
  <c r="BS7" i="7" s="1"/>
  <c r="BS6" i="7"/>
  <c r="BU3" i="7"/>
  <c r="BU6" i="7"/>
  <c r="BU2" i="7"/>
  <c r="BQ7" i="7"/>
  <c r="BQ1" i="7"/>
  <c r="BR3" i="7" a="1"/>
  <c r="BR3" i="7" s="1"/>
  <c r="BQ10" i="7"/>
  <c r="BR10" i="7" a="1"/>
  <c r="BR9" i="7" a="1"/>
  <c r="BR12" i="7" a="1"/>
  <c r="BR12" i="7" l="1"/>
  <c r="BQ15" i="7" s="1"/>
  <c r="BR9" i="7"/>
  <c r="BR10" i="7"/>
  <c r="BI17" i="7"/>
  <c r="BK11" i="7" a="1"/>
  <c r="BK11" i="7" s="1"/>
  <c r="BN11" i="7" a="1"/>
  <c r="BN11" i="7" s="1"/>
  <c r="BO9" i="7" a="1"/>
  <c r="BO9" i="7" s="1"/>
  <c r="BK14" i="7" a="1"/>
  <c r="BK14" i="7" s="1"/>
  <c r="BL15" i="7" s="1"/>
  <c r="BJ9" i="7"/>
  <c r="BN12" i="7" a="1"/>
  <c r="BN12" i="7" s="1"/>
  <c r="BN14" i="7" a="1"/>
  <c r="BN14" i="7" s="1"/>
  <c r="BL14" i="7" a="1"/>
  <c r="BL14" i="7" s="1"/>
  <c r="BN10" i="7" a="1"/>
  <c r="BN10" i="7" s="1"/>
  <c r="BN15" i="7" a="1"/>
  <c r="BN15" i="7" s="1"/>
  <c r="BJ14" i="7" a="1"/>
  <c r="BJ14" i="7" s="1"/>
  <c r="BJ18" i="7"/>
  <c r="BK18" i="7" a="1"/>
  <c r="BK17" i="7" a="1"/>
  <c r="BK20" i="7" a="1"/>
  <c r="BK20" i="7" l="1"/>
  <c r="BJ23" i="7" s="1"/>
  <c r="BK17" i="7"/>
  <c r="BK18" i="7"/>
  <c r="BP17" i="7"/>
  <c r="BQ14" i="7" a="1"/>
  <c r="BQ14" i="7" s="1"/>
  <c r="BQ9" i="7"/>
  <c r="BU15" i="7" a="1"/>
  <c r="BU15" i="7" s="1"/>
  <c r="BR11" i="7" a="1"/>
  <c r="BR11" i="7" s="1"/>
  <c r="BU11" i="7" a="1"/>
  <c r="BU11" i="7" s="1"/>
  <c r="BS14" i="7" a="1"/>
  <c r="BS14" i="7" s="1"/>
  <c r="BU10" i="7" a="1"/>
  <c r="BU10" i="7" s="1"/>
  <c r="BV9" i="7" a="1"/>
  <c r="BV9" i="7" s="1"/>
  <c r="BU12" i="7" a="1"/>
  <c r="BU12" i="7" s="1"/>
  <c r="BR14" i="7" a="1"/>
  <c r="BR14" i="7" s="1"/>
  <c r="BS15" i="7" s="1"/>
  <c r="BU14" i="7" a="1"/>
  <c r="BU14" i="7" s="1"/>
  <c r="BQ18" i="7"/>
  <c r="BR18" i="7" a="1"/>
  <c r="BR17" i="7" a="1"/>
  <c r="BR20" i="7" a="1"/>
  <c r="BR20" i="7" l="1"/>
  <c r="BQ23" i="7" s="1"/>
  <c r="BR17" i="7"/>
  <c r="BR18" i="7"/>
  <c r="BI25" i="7"/>
  <c r="BN20" i="7" a="1"/>
  <c r="BN20" i="7" s="1"/>
  <c r="BN19" i="7" a="1"/>
  <c r="BN19" i="7" s="1"/>
  <c r="BN18" i="7" a="1"/>
  <c r="BN18" i="7" s="1"/>
  <c r="BL22" i="7" a="1"/>
  <c r="BL22" i="7" s="1"/>
  <c r="BK19" i="7" a="1"/>
  <c r="BK19" i="7" s="1"/>
  <c r="BJ17" i="7"/>
  <c r="BN23" i="7" a="1"/>
  <c r="BN23" i="7" s="1"/>
  <c r="BN22" i="7" a="1"/>
  <c r="BN22" i="7" s="1"/>
  <c r="BJ22" i="7" a="1"/>
  <c r="BJ22" i="7" s="1"/>
  <c r="BO17" i="7" a="1"/>
  <c r="BO17" i="7" s="1"/>
  <c r="BK22" i="7" a="1"/>
  <c r="BK22" i="7" s="1"/>
  <c r="BL23" i="7" s="1"/>
  <c r="BJ26" i="7"/>
  <c r="BK26" i="7" a="1"/>
  <c r="BK28" i="7" a="1"/>
  <c r="BK25" i="7" a="1"/>
  <c r="BK25" i="7" l="1"/>
  <c r="BK28" i="7"/>
  <c r="BJ31" i="7" s="1"/>
  <c r="BK26" i="7"/>
  <c r="BP25" i="7"/>
  <c r="BU22" i="7" a="1"/>
  <c r="BU22" i="7" s="1"/>
  <c r="BU20" i="7" a="1"/>
  <c r="BU20" i="7" s="1"/>
  <c r="BR22" i="7" a="1"/>
  <c r="BR22" i="7" s="1"/>
  <c r="BS23" i="7" s="1"/>
  <c r="BQ22" i="7" a="1"/>
  <c r="BQ22" i="7" s="1"/>
  <c r="BQ17" i="7"/>
  <c r="BU18" i="7" a="1"/>
  <c r="BU18" i="7" s="1"/>
  <c r="BU23" i="7" a="1"/>
  <c r="BU23" i="7" s="1"/>
  <c r="BR19" i="7" a="1"/>
  <c r="BR19" i="7" s="1"/>
  <c r="BS22" i="7" a="1"/>
  <c r="BS22" i="7" s="1"/>
  <c r="BV17" i="7" a="1"/>
  <c r="BV17" i="7" s="1"/>
  <c r="BU19" i="7" a="1"/>
  <c r="BU19" i="7" s="1"/>
  <c r="BQ26" i="7"/>
  <c r="BR26" i="7" a="1"/>
  <c r="BR28" i="7" a="1"/>
  <c r="BR25" i="7" a="1"/>
  <c r="BR25" i="7" l="1"/>
  <c r="BR28" i="7"/>
  <c r="BQ31" i="7" s="1"/>
  <c r="BR26" i="7"/>
  <c r="BI33" i="7"/>
  <c r="BO25" i="7" a="1"/>
  <c r="BO25" i="7" s="1"/>
  <c r="BK30" i="7" a="1"/>
  <c r="BK30" i="7" s="1"/>
  <c r="BL31" i="7" s="1"/>
  <c r="BJ30" i="7" a="1"/>
  <c r="BJ30" i="7" s="1"/>
  <c r="BN30" i="7" a="1"/>
  <c r="BN30" i="7" s="1"/>
  <c r="BN26" i="7" a="1"/>
  <c r="BN26" i="7" s="1"/>
  <c r="BK27" i="7" a="1"/>
  <c r="BK27" i="7" s="1"/>
  <c r="BN28" i="7" a="1"/>
  <c r="BN28" i="7" s="1"/>
  <c r="BN27" i="7" a="1"/>
  <c r="BN27" i="7" s="1"/>
  <c r="BL30" i="7" a="1"/>
  <c r="BL30" i="7" s="1"/>
  <c r="BN31" i="7" a="1"/>
  <c r="BN31" i="7" s="1"/>
  <c r="BJ25" i="7"/>
  <c r="BJ34" i="7"/>
  <c r="BK34" i="7" a="1"/>
  <c r="BK33" i="7" a="1"/>
  <c r="BK36" i="7" a="1"/>
  <c r="BK36" i="7" l="1"/>
  <c r="BJ39" i="7" s="1"/>
  <c r="BK33" i="7"/>
  <c r="BK34" i="7"/>
  <c r="BP33" i="7"/>
  <c r="BU26" i="7" a="1"/>
  <c r="BU26" i="7" s="1"/>
  <c r="BU31" i="7" a="1"/>
  <c r="BU31" i="7" s="1"/>
  <c r="BR30" i="7" a="1"/>
  <c r="BR30" i="7" s="1"/>
  <c r="BS31" i="7" s="1"/>
  <c r="BQ25" i="7"/>
  <c r="BR27" i="7" a="1"/>
  <c r="BR27" i="7" s="1"/>
  <c r="BU27" i="7" a="1"/>
  <c r="BU27" i="7" s="1"/>
  <c r="BU30" i="7" a="1"/>
  <c r="BU30" i="7" s="1"/>
  <c r="BU28" i="7" a="1"/>
  <c r="BU28" i="7" s="1"/>
  <c r="BV25" i="7" a="1"/>
  <c r="BV25" i="7" s="1"/>
  <c r="BQ30" i="7" a="1"/>
  <c r="BQ30" i="7" s="1"/>
  <c r="BS30" i="7" a="1"/>
  <c r="BS30" i="7" s="1"/>
  <c r="BQ34" i="7"/>
  <c r="BR34" i="7" a="1"/>
  <c r="BR36" i="7" a="1"/>
  <c r="BR33" i="7" a="1"/>
  <c r="BR33" i="7" l="1"/>
  <c r="BR36" i="7"/>
  <c r="BQ39" i="7" s="1"/>
  <c r="BR34" i="7"/>
  <c r="BI41" i="7"/>
  <c r="BJ33" i="7"/>
  <c r="BL38" i="7" a="1"/>
  <c r="BL38" i="7" s="1"/>
  <c r="BK38" i="7" a="1"/>
  <c r="BK38" i="7" s="1"/>
  <c r="BL39" i="7" s="1"/>
  <c r="BN36" i="7" a="1"/>
  <c r="BN36" i="7" s="1"/>
  <c r="BO33" i="7" a="1"/>
  <c r="BO33" i="7" s="1"/>
  <c r="BN35" i="7" a="1"/>
  <c r="BN35" i="7" s="1"/>
  <c r="BN38" i="7" a="1"/>
  <c r="BN38" i="7" s="1"/>
  <c r="BN34" i="7" a="1"/>
  <c r="BN34" i="7" s="1"/>
  <c r="BN39" i="7" a="1"/>
  <c r="BN39" i="7" s="1"/>
  <c r="BJ38" i="7" a="1"/>
  <c r="BJ38" i="7" s="1"/>
  <c r="BK35" i="7" a="1"/>
  <c r="BK35" i="7" s="1"/>
  <c r="BJ42" i="7"/>
  <c r="BK42" i="7" a="1"/>
  <c r="BK41" i="7" a="1"/>
  <c r="BK44" i="7" a="1"/>
  <c r="BK44" i="7" l="1"/>
  <c r="BJ47" i="7" s="1"/>
  <c r="BK41" i="7"/>
  <c r="BK42" i="7"/>
  <c r="BP41" i="7"/>
  <c r="BR35" i="7" a="1"/>
  <c r="BR35" i="7" s="1"/>
  <c r="BQ38" i="7" a="1"/>
  <c r="BQ38" i="7" s="1"/>
  <c r="BS38" i="7" a="1"/>
  <c r="BS38" i="7" s="1"/>
  <c r="BU36" i="7" a="1"/>
  <c r="BU36" i="7" s="1"/>
  <c r="BU38" i="7" a="1"/>
  <c r="BU38" i="7" s="1"/>
  <c r="BQ33" i="7"/>
  <c r="BU39" i="7" a="1"/>
  <c r="BU39" i="7" s="1"/>
  <c r="BV33" i="7" a="1"/>
  <c r="BV33" i="7" s="1"/>
  <c r="BU35" i="7" a="1"/>
  <c r="BU35" i="7" s="1"/>
  <c r="BR38" i="7" a="1"/>
  <c r="BR38" i="7" s="1"/>
  <c r="BS39" i="7" s="1"/>
  <c r="BU34" i="7" a="1"/>
  <c r="BU34" i="7" s="1"/>
  <c r="BQ42" i="7"/>
  <c r="BR42" i="7" a="1"/>
  <c r="BR44" i="7" a="1"/>
  <c r="BR41" i="7" a="1"/>
  <c r="BR41" i="7" l="1"/>
  <c r="BR44" i="7"/>
  <c r="BQ47" i="7" s="1"/>
  <c r="BR42" i="7"/>
  <c r="BX1" i="7"/>
  <c r="BO41" i="7" a="1"/>
  <c r="BO41" i="7" s="1"/>
  <c r="BN42" i="7" a="1"/>
  <c r="BN42" i="7" s="1"/>
  <c r="BL46" i="7" a="1"/>
  <c r="BL46" i="7" s="1"/>
  <c r="BK46" i="7" a="1"/>
  <c r="BK46" i="7" s="1"/>
  <c r="BL47" i="7" s="1"/>
  <c r="BN46" i="7" a="1"/>
  <c r="BN46" i="7" s="1"/>
  <c r="BN47" i="7" a="1"/>
  <c r="BN47" i="7" s="1"/>
  <c r="BJ41" i="7"/>
  <c r="BN43" i="7" a="1"/>
  <c r="BN43" i="7" s="1"/>
  <c r="BK43" i="7" a="1"/>
  <c r="BK43" i="7" s="1"/>
  <c r="BJ46" i="7" a="1"/>
  <c r="BJ46" i="7" s="1"/>
  <c r="BN44" i="7" a="1"/>
  <c r="BN44" i="7" s="1"/>
  <c r="BY2" i="7"/>
  <c r="BZ2" i="7" a="1"/>
  <c r="BZ1" i="7" a="1"/>
  <c r="BZ4" i="7" a="1"/>
  <c r="BZ4" i="7" l="1"/>
  <c r="BY7" i="7" s="1"/>
  <c r="BZ1" i="7"/>
  <c r="BZ2" i="7"/>
  <c r="CE1" i="7"/>
  <c r="BU42" i="7" a="1"/>
  <c r="BU42" i="7" s="1"/>
  <c r="BU44" i="7" a="1"/>
  <c r="BU44" i="7" s="1"/>
  <c r="BU46" i="7" a="1"/>
  <c r="BU46" i="7" s="1"/>
  <c r="BV41" i="7" a="1"/>
  <c r="BV41" i="7" s="1"/>
  <c r="BS46" i="7" a="1"/>
  <c r="BS46" i="7" s="1"/>
  <c r="BQ41" i="7"/>
  <c r="BR43" i="7" a="1"/>
  <c r="BR43" i="7" s="1"/>
  <c r="BR46" i="7" a="1"/>
  <c r="BR46" i="7" s="1"/>
  <c r="BS47" i="7" s="1"/>
  <c r="BU43" i="7" a="1"/>
  <c r="BU43" i="7" s="1"/>
  <c r="BU47" i="7" a="1"/>
  <c r="BU47" i="7" s="1"/>
  <c r="BQ46" i="7" a="1"/>
  <c r="BQ46" i="7" s="1"/>
  <c r="CF2" i="7"/>
  <c r="CG2" i="7" a="1"/>
  <c r="CG1" i="7" a="1"/>
  <c r="CG4" i="7" a="1"/>
  <c r="CG4" i="7" l="1"/>
  <c r="CF7" i="7" s="1"/>
  <c r="CG1" i="7"/>
  <c r="CG2" i="7"/>
  <c r="BX9" i="7"/>
  <c r="CC6" i="7" a="1"/>
  <c r="CC6" i="7" s="1"/>
  <c r="BZ3" i="7" a="1"/>
  <c r="BZ3" i="7" s="1"/>
  <c r="CA6" i="7" a="1"/>
  <c r="CA6" i="7" s="1"/>
  <c r="CC2" i="7" a="1"/>
  <c r="CC2" i="7" s="1"/>
  <c r="BZ6" i="7" a="1"/>
  <c r="BZ6" i="7" s="1"/>
  <c r="CA7" i="7" s="1"/>
  <c r="CC4" i="7" a="1"/>
  <c r="CC4" i="7" s="1"/>
  <c r="BY1" i="7"/>
  <c r="BY6" i="7" a="1"/>
  <c r="BY6" i="7" s="1"/>
  <c r="CD1" i="7" a="1"/>
  <c r="CD1" i="7" s="1"/>
  <c r="CC7" i="7" a="1"/>
  <c r="CC7" i="7" s="1"/>
  <c r="CC3" i="7" a="1"/>
  <c r="CC3" i="7" s="1"/>
  <c r="BY10" i="7"/>
  <c r="BZ10" i="7" a="1"/>
  <c r="BZ9" i="7" a="1"/>
  <c r="BZ12" i="7" a="1"/>
  <c r="BZ12" i="7" l="1"/>
  <c r="BY15" i="7" s="1"/>
  <c r="BZ9" i="7"/>
  <c r="BZ10" i="7"/>
  <c r="CE9" i="7"/>
  <c r="CG6" i="7" a="1"/>
  <c r="CG6" i="7" s="1"/>
  <c r="CH7" i="7" s="1"/>
  <c r="CF1" i="7"/>
  <c r="CJ2" i="7" a="1"/>
  <c r="CJ2" i="7" s="1"/>
  <c r="CF6" i="7" a="1"/>
  <c r="CF6" i="7" s="1"/>
  <c r="CJ7" i="7" a="1"/>
  <c r="CJ7" i="7" s="1"/>
  <c r="CK1" i="7" a="1"/>
  <c r="CK1" i="7" s="1"/>
  <c r="CJ4" i="7" a="1"/>
  <c r="CJ4" i="7" s="1"/>
  <c r="CJ6" i="7" a="1"/>
  <c r="CJ6" i="7" s="1"/>
  <c r="CG3" i="7" a="1"/>
  <c r="CG3" i="7" s="1"/>
  <c r="CH6" i="7" a="1"/>
  <c r="CH6" i="7" s="1"/>
  <c r="CJ3" i="7" a="1"/>
  <c r="CJ3" i="7" s="1"/>
  <c r="CF10" i="7"/>
  <c r="CG10" i="7" a="1"/>
  <c r="CG12" i="7" a="1"/>
  <c r="CG9" i="7" a="1"/>
  <c r="CG9" i="7" l="1"/>
  <c r="CG12" i="7"/>
  <c r="CF15" i="7" s="1"/>
  <c r="CG10" i="7"/>
  <c r="BX17" i="7"/>
  <c r="BY9" i="7"/>
  <c r="BZ14" i="7" a="1"/>
  <c r="BZ14" i="7" s="1"/>
  <c r="CA15" i="7" s="1"/>
  <c r="BY14" i="7" a="1"/>
  <c r="BY14" i="7" s="1"/>
  <c r="CC10" i="7" a="1"/>
  <c r="CC10" i="7" s="1"/>
  <c r="BZ11" i="7" a="1"/>
  <c r="BZ11" i="7" s="1"/>
  <c r="CC15" i="7" a="1"/>
  <c r="CC15" i="7" s="1"/>
  <c r="CA14" i="7" a="1"/>
  <c r="CA14" i="7" s="1"/>
  <c r="CC14" i="7" a="1"/>
  <c r="CC14" i="7" s="1"/>
  <c r="CC12" i="7" a="1"/>
  <c r="CC12" i="7" s="1"/>
  <c r="CD9" i="7" a="1"/>
  <c r="CD9" i="7" s="1"/>
  <c r="CC11" i="7" a="1"/>
  <c r="CC11" i="7" s="1"/>
  <c r="BY18" i="7"/>
  <c r="BZ18" i="7" a="1"/>
  <c r="BZ20" i="7" a="1"/>
  <c r="BZ17" i="7" a="1"/>
  <c r="BZ17" i="7" l="1"/>
  <c r="BZ20" i="7"/>
  <c r="BY23" i="7" s="1"/>
  <c r="BZ18" i="7"/>
  <c r="CE17" i="7"/>
  <c r="CJ11" i="7" a="1"/>
  <c r="CJ11" i="7" s="1"/>
  <c r="CG11" i="7" a="1"/>
  <c r="CG11" i="7" s="1"/>
  <c r="CJ14" i="7" a="1"/>
  <c r="CJ14" i="7" s="1"/>
  <c r="CF9" i="7"/>
  <c r="CJ12" i="7" a="1"/>
  <c r="CJ12" i="7" s="1"/>
  <c r="CJ15" i="7" a="1"/>
  <c r="CJ15" i="7" s="1"/>
  <c r="CH14" i="7" a="1"/>
  <c r="CH14" i="7" s="1"/>
  <c r="CK9" i="7" a="1"/>
  <c r="CK9" i="7" s="1"/>
  <c r="CF14" i="7" a="1"/>
  <c r="CF14" i="7" s="1"/>
  <c r="CG14" i="7" a="1"/>
  <c r="CG14" i="7" s="1"/>
  <c r="CH15" i="7" s="1"/>
  <c r="CJ10" i="7" a="1"/>
  <c r="CJ10" i="7" s="1"/>
  <c r="CF18" i="7"/>
  <c r="CG18" i="7" a="1"/>
  <c r="CG17" i="7" a="1"/>
  <c r="CG20" i="7" a="1"/>
  <c r="CG20" i="7" l="1"/>
  <c r="CF23" i="7" s="1"/>
  <c r="CG17" i="7"/>
  <c r="CG18" i="7"/>
  <c r="BX25" i="7"/>
  <c r="CC19" i="7" a="1"/>
  <c r="CC19" i="7" s="1"/>
  <c r="CC20" i="7" a="1"/>
  <c r="CC20" i="7" s="1"/>
  <c r="CA22" i="7" a="1"/>
  <c r="CA22" i="7" s="1"/>
  <c r="CC18" i="7" a="1"/>
  <c r="CC18" i="7" s="1"/>
  <c r="CD17" i="7" a="1"/>
  <c r="CD17" i="7" s="1"/>
  <c r="BY22" i="7" a="1"/>
  <c r="BY22" i="7" s="1"/>
  <c r="CC22" i="7" a="1"/>
  <c r="CC22" i="7" s="1"/>
  <c r="BZ19" i="7" a="1"/>
  <c r="BZ19" i="7" s="1"/>
  <c r="BY17" i="7"/>
  <c r="BZ22" i="7" a="1"/>
  <c r="BZ22" i="7" s="1"/>
  <c r="CA23" i="7" s="1"/>
  <c r="CC23" i="7" a="1"/>
  <c r="CC23" i="7" s="1"/>
  <c r="BY26" i="7"/>
  <c r="BZ26" i="7" a="1"/>
  <c r="BZ25" i="7" a="1"/>
  <c r="BZ28" i="7" a="1"/>
  <c r="BZ28" i="7" l="1"/>
  <c r="BY31" i="7" s="1"/>
  <c r="BZ25" i="7"/>
  <c r="BZ26" i="7"/>
  <c r="CE25" i="7"/>
  <c r="CH22" i="7" a="1"/>
  <c r="CH22" i="7" s="1"/>
  <c r="CJ23" i="7" a="1"/>
  <c r="CJ23" i="7" s="1"/>
  <c r="CG19" i="7" a="1"/>
  <c r="CG19" i="7" s="1"/>
  <c r="CJ20" i="7" a="1"/>
  <c r="CJ20" i="7" s="1"/>
  <c r="CJ22" i="7" a="1"/>
  <c r="CJ22" i="7" s="1"/>
  <c r="CF22" i="7" a="1"/>
  <c r="CF22" i="7" s="1"/>
  <c r="CJ18" i="7" a="1"/>
  <c r="CJ18" i="7" s="1"/>
  <c r="CJ19" i="7" a="1"/>
  <c r="CJ19" i="7" s="1"/>
  <c r="CK17" i="7" a="1"/>
  <c r="CK17" i="7" s="1"/>
  <c r="CF17" i="7"/>
  <c r="CG22" i="7" a="1"/>
  <c r="CG22" i="7" s="1"/>
  <c r="CH23" i="7" s="1"/>
  <c r="CF26" i="7"/>
  <c r="CG26" i="7" a="1"/>
  <c r="CG25" i="7" a="1"/>
  <c r="CG28" i="7" a="1"/>
  <c r="CG28" i="7" l="1"/>
  <c r="CF31" i="7" s="1"/>
  <c r="CG25" i="7"/>
  <c r="CG26" i="7"/>
  <c r="BX33" i="7"/>
  <c r="CD25" i="7" a="1"/>
  <c r="CD25" i="7" s="1"/>
  <c r="CA30" i="7" a="1"/>
  <c r="CA30" i="7" s="1"/>
  <c r="BZ30" i="7" a="1"/>
  <c r="BZ30" i="7" s="1"/>
  <c r="CA31" i="7" s="1"/>
  <c r="CC31" i="7" a="1"/>
  <c r="CC31" i="7" s="1"/>
  <c r="CC30" i="7" a="1"/>
  <c r="CC30" i="7" s="1"/>
  <c r="CC26" i="7" a="1"/>
  <c r="CC26" i="7" s="1"/>
  <c r="BY25" i="7"/>
  <c r="BY30" i="7" a="1"/>
  <c r="BY30" i="7" s="1"/>
  <c r="BZ27" i="7" a="1"/>
  <c r="BZ27" i="7" s="1"/>
  <c r="CC28" i="7" a="1"/>
  <c r="CC28" i="7" s="1"/>
  <c r="CC27" i="7" a="1"/>
  <c r="CC27" i="7" s="1"/>
  <c r="BY34" i="7"/>
  <c r="BZ34" i="7" a="1"/>
  <c r="BZ36" i="7" a="1"/>
  <c r="BZ33" i="7" a="1"/>
  <c r="BZ33" i="7" l="1"/>
  <c r="BZ36" i="7"/>
  <c r="BY39" i="7" s="1"/>
  <c r="BZ34" i="7"/>
  <c r="CE33" i="7"/>
  <c r="CF25" i="7"/>
  <c r="CJ27" i="7" a="1"/>
  <c r="CJ27" i="7" s="1"/>
  <c r="CJ26" i="7" a="1"/>
  <c r="CJ26" i="7" s="1"/>
  <c r="CJ31" i="7" a="1"/>
  <c r="CJ31" i="7" s="1"/>
  <c r="CH30" i="7" a="1"/>
  <c r="CH30" i="7" s="1"/>
  <c r="CJ28" i="7" a="1"/>
  <c r="CJ28" i="7" s="1"/>
  <c r="CJ30" i="7" a="1"/>
  <c r="CJ30" i="7" s="1"/>
  <c r="CG27" i="7" a="1"/>
  <c r="CG27" i="7" s="1"/>
  <c r="CF30" i="7" a="1"/>
  <c r="CF30" i="7" s="1"/>
  <c r="CG30" i="7" a="1"/>
  <c r="CG30" i="7" s="1"/>
  <c r="CH31" i="7" s="1"/>
  <c r="CK25" i="7" a="1"/>
  <c r="CK25" i="7" s="1"/>
  <c r="CF34" i="7"/>
  <c r="CG34" i="7" a="1"/>
  <c r="CG33" i="7" a="1"/>
  <c r="CG36" i="7" a="1"/>
  <c r="CG36" i="7" l="1"/>
  <c r="CF39" i="7" s="1"/>
  <c r="CG33" i="7"/>
  <c r="CG34" i="7"/>
  <c r="BX41" i="7"/>
  <c r="BY33" i="7"/>
  <c r="CC36" i="7" a="1"/>
  <c r="CC36" i="7" s="1"/>
  <c r="BZ38" i="7" a="1"/>
  <c r="BZ38" i="7" s="1"/>
  <c r="CA39" i="7" s="1"/>
  <c r="CC39" i="7" a="1"/>
  <c r="CC39" i="7" s="1"/>
  <c r="CA38" i="7" a="1"/>
  <c r="CA38" i="7" s="1"/>
  <c r="BZ35" i="7" a="1"/>
  <c r="BZ35" i="7" s="1"/>
  <c r="CC38" i="7" a="1"/>
  <c r="CC38" i="7" s="1"/>
  <c r="CC35" i="7" a="1"/>
  <c r="CC35" i="7" s="1"/>
  <c r="CD33" i="7" a="1"/>
  <c r="CD33" i="7" s="1"/>
  <c r="CC34" i="7" a="1"/>
  <c r="CC34" i="7" s="1"/>
  <c r="BY38" i="7" a="1"/>
  <c r="BY38" i="7" s="1"/>
  <c r="BY42" i="7"/>
  <c r="BZ42" i="7" a="1"/>
  <c r="BZ41" i="7" a="1"/>
  <c r="BZ44" i="7" a="1"/>
  <c r="BZ44" i="7" l="1"/>
  <c r="BY47" i="7" s="1"/>
  <c r="BZ41" i="7"/>
  <c r="BZ42" i="7"/>
  <c r="CE41" i="7"/>
  <c r="CJ34" i="7" a="1"/>
  <c r="CJ34" i="7" s="1"/>
  <c r="CJ38" i="7" a="1"/>
  <c r="CJ38" i="7" s="1"/>
  <c r="CF38" i="7" a="1"/>
  <c r="CF38" i="7" s="1"/>
  <c r="CK33" i="7" a="1"/>
  <c r="CK33" i="7" s="1"/>
  <c r="CJ39" i="7" a="1"/>
  <c r="CJ39" i="7" s="1"/>
  <c r="CG38" i="7" a="1"/>
  <c r="CG38" i="7" s="1"/>
  <c r="CH39" i="7" s="1"/>
  <c r="CH38" i="7" a="1"/>
  <c r="CH38" i="7" s="1"/>
  <c r="CG35" i="7" a="1"/>
  <c r="CG35" i="7" s="1"/>
  <c r="CJ35" i="7" a="1"/>
  <c r="CJ35" i="7" s="1"/>
  <c r="CJ36" i="7" a="1"/>
  <c r="CJ36" i="7" s="1"/>
  <c r="CF33" i="7"/>
  <c r="CF42" i="7"/>
  <c r="CG42" i="7" a="1"/>
  <c r="CG41" i="7" a="1"/>
  <c r="CG44" i="7" a="1"/>
  <c r="CG44" i="7" l="1"/>
  <c r="CF47" i="7" s="1"/>
  <c r="CG41" i="7"/>
  <c r="CG42" i="7"/>
  <c r="CM1" i="7"/>
  <c r="BY46" i="7" a="1"/>
  <c r="BY46" i="7" s="1"/>
  <c r="CC47" i="7" a="1"/>
  <c r="CC47" i="7" s="1"/>
  <c r="BZ46" i="7" a="1"/>
  <c r="BZ46" i="7" s="1"/>
  <c r="CA47" i="7" s="1"/>
  <c r="CC43" i="7" a="1"/>
  <c r="CC43" i="7" s="1"/>
  <c r="CC44" i="7" a="1"/>
  <c r="CC44" i="7" s="1"/>
  <c r="CD41" i="7" a="1"/>
  <c r="CD41" i="7" s="1"/>
  <c r="CA46" i="7" a="1"/>
  <c r="CA46" i="7" s="1"/>
  <c r="BZ43" i="7" a="1"/>
  <c r="BZ43" i="7" s="1"/>
  <c r="CC42" i="7" a="1"/>
  <c r="CC42" i="7" s="1"/>
  <c r="CC46" i="7" a="1"/>
  <c r="CC46" i="7" s="1"/>
  <c r="BY41" i="7"/>
  <c r="CN2" i="7"/>
  <c r="CO2" i="7" a="1"/>
  <c r="CO1" i="7" a="1"/>
  <c r="CO4" i="7" a="1"/>
  <c r="CO4" i="7" l="1"/>
  <c r="CN7" i="7" s="1"/>
  <c r="CO1" i="7"/>
  <c r="CO2" i="7"/>
  <c r="CT1" i="7"/>
  <c r="CJ42" i="7" a="1"/>
  <c r="CJ42" i="7" s="1"/>
  <c r="CK41" i="7" a="1"/>
  <c r="CK41" i="7" s="1"/>
  <c r="CF46" i="7" a="1"/>
  <c r="CF46" i="7" s="1"/>
  <c r="CG43" i="7" a="1"/>
  <c r="CG43" i="7" s="1"/>
  <c r="CJ43" i="7" a="1"/>
  <c r="CJ43" i="7" s="1"/>
  <c r="CJ46" i="7" a="1"/>
  <c r="CJ46" i="7" s="1"/>
  <c r="CG46" i="7" a="1"/>
  <c r="CG46" i="7" s="1"/>
  <c r="CH47" i="7" s="1"/>
  <c r="CF41" i="7"/>
  <c r="CH46" i="7" a="1"/>
  <c r="CH46" i="7" s="1"/>
  <c r="CJ44" i="7" a="1"/>
  <c r="CJ44" i="7" s="1"/>
  <c r="CJ47" i="7" a="1"/>
  <c r="CJ47" i="7" s="1"/>
  <c r="CU2" i="7"/>
  <c r="CV2" i="7" a="1"/>
  <c r="CV1" i="7" a="1"/>
  <c r="CV4" i="7" a="1"/>
  <c r="CV4" i="7" l="1"/>
  <c r="CU7" i="7" s="1"/>
  <c r="CV1" i="7"/>
  <c r="CV2" i="7"/>
  <c r="CM9" i="7"/>
  <c r="CR4" i="7" a="1"/>
  <c r="CR4" i="7" s="1"/>
  <c r="CN1" i="7"/>
  <c r="CO3" i="7" a="1"/>
  <c r="CO3" i="7" s="1"/>
  <c r="CR7" i="7" a="1"/>
  <c r="CR7" i="7" s="1"/>
  <c r="CR3" i="7" a="1"/>
  <c r="CR3" i="7" s="1"/>
  <c r="CR6" i="7" a="1"/>
  <c r="CR6" i="7" s="1"/>
  <c r="CS1" i="7" a="1"/>
  <c r="CS1" i="7" s="1"/>
  <c r="CP6" i="7" a="1"/>
  <c r="CP6" i="7" s="1"/>
  <c r="CR2" i="7" a="1"/>
  <c r="CR2" i="7" s="1"/>
  <c r="CN6" i="7" a="1"/>
  <c r="CN6" i="7" s="1"/>
  <c r="CO6" i="7" a="1"/>
  <c r="CO6" i="7" s="1"/>
  <c r="CP7" i="7" s="1"/>
  <c r="CN10" i="7"/>
  <c r="CO10" i="7" a="1"/>
  <c r="CO9" i="7" a="1"/>
  <c r="CO12" i="7" a="1"/>
  <c r="CO12" i="7" l="1"/>
  <c r="CN15" i="7" s="1"/>
  <c r="CO9" i="7"/>
  <c r="CO10" i="7"/>
  <c r="CT9" i="7"/>
  <c r="CY4" i="7" a="1"/>
  <c r="CY4" i="7" s="1"/>
  <c r="CV3" i="7" a="1"/>
  <c r="CV3" i="7" s="1"/>
  <c r="CZ1" i="7" a="1"/>
  <c r="CZ1" i="7" s="1"/>
  <c r="CY6" i="7" a="1"/>
  <c r="CY6" i="7" s="1"/>
  <c r="CW6" i="7" a="1"/>
  <c r="CW6" i="7" s="1"/>
  <c r="CU1" i="7"/>
  <c r="CY3" i="7" a="1"/>
  <c r="CY3" i="7" s="1"/>
  <c r="CY7" i="7" a="1"/>
  <c r="CY7" i="7" s="1"/>
  <c r="CY2" i="7" a="1"/>
  <c r="CY2" i="7" s="1"/>
  <c r="CV6" i="7" a="1"/>
  <c r="CV6" i="7" s="1"/>
  <c r="CW7" i="7" s="1"/>
  <c r="CU6" i="7" a="1"/>
  <c r="CU6" i="7" s="1"/>
  <c r="CU10" i="7"/>
  <c r="CV10" i="7" a="1"/>
  <c r="CV12" i="7" a="1"/>
  <c r="CV9" i="7" a="1"/>
  <c r="CV9" i="7" l="1"/>
  <c r="CV12" i="7"/>
  <c r="CU15" i="7" s="1"/>
  <c r="CV10" i="7"/>
  <c r="CM17" i="7"/>
  <c r="CP14" i="7" a="1"/>
  <c r="CP14" i="7" s="1"/>
  <c r="CR14" i="7" a="1"/>
  <c r="CR14" i="7" s="1"/>
  <c r="CO14" i="7" a="1"/>
  <c r="CO14" i="7" s="1"/>
  <c r="CP15" i="7" s="1"/>
  <c r="CN9" i="7"/>
  <c r="CR10" i="7" a="1"/>
  <c r="CR10" i="7" s="1"/>
  <c r="CR12" i="7" a="1"/>
  <c r="CR12" i="7" s="1"/>
  <c r="CN14" i="7" a="1"/>
  <c r="CN14" i="7" s="1"/>
  <c r="CR15" i="7" a="1"/>
  <c r="CR15" i="7" s="1"/>
  <c r="CR11" i="7" a="1"/>
  <c r="CR11" i="7" s="1"/>
  <c r="CS9" i="7" a="1"/>
  <c r="CS9" i="7" s="1"/>
  <c r="CO11" i="7" a="1"/>
  <c r="CO11" i="7" s="1"/>
  <c r="CN18" i="7"/>
  <c r="CO18" i="7" a="1"/>
  <c r="CO17" i="7" a="1"/>
  <c r="CO20" i="7" a="1"/>
  <c r="CO20" i="7" l="1"/>
  <c r="CN23" i="7" s="1"/>
  <c r="CO17" i="7"/>
  <c r="CO18" i="7"/>
  <c r="CT17" i="7"/>
  <c r="CU14" i="7" a="1"/>
  <c r="CU14" i="7" s="1"/>
  <c r="CV14" i="7" a="1"/>
  <c r="CV14" i="7" s="1"/>
  <c r="CW15" i="7" s="1"/>
  <c r="CY15" i="7" a="1"/>
  <c r="CY15" i="7" s="1"/>
  <c r="CZ9" i="7" a="1"/>
  <c r="CZ9" i="7" s="1"/>
  <c r="CY12" i="7" a="1"/>
  <c r="CY12" i="7" s="1"/>
  <c r="CY11" i="7" a="1"/>
  <c r="CY11" i="7" s="1"/>
  <c r="CY14" i="7" a="1"/>
  <c r="CY14" i="7" s="1"/>
  <c r="CU9" i="7"/>
  <c r="CW14" i="7" a="1"/>
  <c r="CW14" i="7" s="1"/>
  <c r="CV11" i="7" a="1"/>
  <c r="CV11" i="7" s="1"/>
  <c r="CY10" i="7" a="1"/>
  <c r="CY10" i="7" s="1"/>
  <c r="CU18" i="7"/>
  <c r="CV18" i="7" a="1"/>
  <c r="CV20" i="7" a="1"/>
  <c r="CV17" i="7" a="1"/>
  <c r="CV17" i="7" l="1"/>
  <c r="CV20" i="7"/>
  <c r="CU23" i="7" s="1"/>
  <c r="CV18" i="7"/>
  <c r="CM25" i="7"/>
  <c r="CO19" i="7" a="1"/>
  <c r="CO19" i="7" s="1"/>
  <c r="CR19" i="7" a="1"/>
  <c r="CR19" i="7" s="1"/>
  <c r="CR22" i="7" a="1"/>
  <c r="CR22" i="7" s="1"/>
  <c r="CS17" i="7" a="1"/>
  <c r="CS17" i="7" s="1"/>
  <c r="CP22" i="7" a="1"/>
  <c r="CP22" i="7" s="1"/>
  <c r="CN22" i="7" a="1"/>
  <c r="CN22" i="7" s="1"/>
  <c r="CR23" i="7" a="1"/>
  <c r="CR23" i="7" s="1"/>
  <c r="CN17" i="7"/>
  <c r="CR18" i="7" a="1"/>
  <c r="CR18" i="7" s="1"/>
  <c r="CO22" i="7" a="1"/>
  <c r="CO22" i="7" s="1"/>
  <c r="CP23" i="7" s="1"/>
  <c r="CR20" i="7" a="1"/>
  <c r="CR20" i="7" s="1"/>
  <c r="CN26" i="7"/>
  <c r="CO26" i="7" a="1"/>
  <c r="CO28" i="7" a="1"/>
  <c r="CO25" i="7" a="1"/>
  <c r="CO25" i="7" l="1"/>
  <c r="CO28" i="7"/>
  <c r="CN31" i="7" s="1"/>
  <c r="CO26" i="7"/>
  <c r="CT25" i="7"/>
  <c r="CW22" i="7" a="1"/>
  <c r="CW22" i="7" s="1"/>
  <c r="CY22" i="7" a="1"/>
  <c r="CY22" i="7" s="1"/>
  <c r="CY19" i="7" a="1"/>
  <c r="CY19" i="7" s="1"/>
  <c r="CZ17" i="7" a="1"/>
  <c r="CZ17" i="7" s="1"/>
  <c r="CV19" i="7" a="1"/>
  <c r="CV19" i="7" s="1"/>
  <c r="CY20" i="7" a="1"/>
  <c r="CY20" i="7" s="1"/>
  <c r="CU17" i="7"/>
  <c r="CU22" i="7" a="1"/>
  <c r="CU22" i="7" s="1"/>
  <c r="CV22" i="7" a="1"/>
  <c r="CV22" i="7" s="1"/>
  <c r="CW23" i="7" s="1"/>
  <c r="CY23" i="7" a="1"/>
  <c r="CY23" i="7" s="1"/>
  <c r="CY18" i="7" a="1"/>
  <c r="CY18" i="7" s="1"/>
  <c r="CU26" i="7"/>
  <c r="CV26" i="7" a="1"/>
  <c r="CV28" i="7" a="1"/>
  <c r="CV25" i="7" a="1"/>
  <c r="CV25" i="7" l="1"/>
  <c r="CV28" i="7"/>
  <c r="CU31" i="7" s="1"/>
  <c r="CV26" i="7"/>
  <c r="CM33" i="7"/>
  <c r="CR31" i="7" a="1"/>
  <c r="CR31" i="7" s="1"/>
  <c r="CR27" i="7" a="1"/>
  <c r="CR27" i="7" s="1"/>
  <c r="CR30" i="7" a="1"/>
  <c r="CR30" i="7" s="1"/>
  <c r="CS25" i="7" a="1"/>
  <c r="CS25" i="7" s="1"/>
  <c r="CO27" i="7" a="1"/>
  <c r="CO27" i="7" s="1"/>
  <c r="CO30" i="7" a="1"/>
  <c r="CO30" i="7" s="1"/>
  <c r="CP31" i="7" s="1"/>
  <c r="CN30" i="7" a="1"/>
  <c r="CN30" i="7" s="1"/>
  <c r="CP30" i="7" a="1"/>
  <c r="CP30" i="7" s="1"/>
  <c r="CN25" i="7"/>
  <c r="CR26" i="7" a="1"/>
  <c r="CR26" i="7" s="1"/>
  <c r="CR28" i="7" a="1"/>
  <c r="CR28" i="7" s="1"/>
  <c r="CN34" i="7"/>
  <c r="CO34" i="7" a="1"/>
  <c r="CO36" i="7" a="1"/>
  <c r="CO33" i="7" a="1"/>
  <c r="CO33" i="7" l="1"/>
  <c r="CO36" i="7"/>
  <c r="CN39" i="7" s="1"/>
  <c r="CO34" i="7"/>
  <c r="CT33" i="7"/>
  <c r="CU30" i="7" a="1"/>
  <c r="CU30" i="7" s="1"/>
  <c r="CV27" i="7" a="1"/>
  <c r="CV27" i="7" s="1"/>
  <c r="CY30" i="7" a="1"/>
  <c r="CY30" i="7" s="1"/>
  <c r="CY28" i="7" a="1"/>
  <c r="CY28" i="7" s="1"/>
  <c r="CV30" i="7" a="1"/>
  <c r="CV30" i="7" s="1"/>
  <c r="CW31" i="7" s="1"/>
  <c r="CY31" i="7" a="1"/>
  <c r="CY31" i="7" s="1"/>
  <c r="CZ25" i="7" a="1"/>
  <c r="CZ25" i="7" s="1"/>
  <c r="CY27" i="7" a="1"/>
  <c r="CY27" i="7" s="1"/>
  <c r="CY26" i="7" a="1"/>
  <c r="CY26" i="7" s="1"/>
  <c r="CW30" i="7" a="1"/>
  <c r="CW30" i="7" s="1"/>
  <c r="CU25" i="7"/>
  <c r="CU34" i="7"/>
  <c r="CV34" i="7" a="1"/>
  <c r="CV33" i="7" a="1"/>
  <c r="CV36" i="7" a="1"/>
  <c r="CV36" i="7" l="1"/>
  <c r="CU39" i="7" s="1"/>
  <c r="CV33" i="7"/>
  <c r="CV34" i="7"/>
  <c r="CM41" i="7"/>
  <c r="CN38" i="7" a="1"/>
  <c r="CN38" i="7" s="1"/>
  <c r="CP38" i="7" a="1"/>
  <c r="CP38" i="7" s="1"/>
  <c r="CO35" i="7" a="1"/>
  <c r="CO35" i="7" s="1"/>
  <c r="CN33" i="7"/>
  <c r="CR38" i="7" a="1"/>
  <c r="CR38" i="7" s="1"/>
  <c r="CS33" i="7" a="1"/>
  <c r="CS33" i="7" s="1"/>
  <c r="CO38" i="7" a="1"/>
  <c r="CO38" i="7" s="1"/>
  <c r="CP39" i="7" s="1"/>
  <c r="CR34" i="7" a="1"/>
  <c r="CR34" i="7" s="1"/>
  <c r="CR39" i="7" a="1"/>
  <c r="CR39" i="7" s="1"/>
  <c r="CR36" i="7" a="1"/>
  <c r="CR36" i="7" s="1"/>
  <c r="CR35" i="7" a="1"/>
  <c r="CR35" i="7" s="1"/>
  <c r="CN42" i="7"/>
  <c r="CO42" i="7" a="1"/>
  <c r="CO44" i="7" a="1"/>
  <c r="CO41" i="7" a="1"/>
  <c r="CO41" i="7" l="1"/>
  <c r="CO44" i="7"/>
  <c r="CN47" i="7" s="1"/>
  <c r="CO42" i="7"/>
  <c r="CT41" i="7"/>
  <c r="CY39" i="7" a="1"/>
  <c r="CY39" i="7" s="1"/>
  <c r="CY38" i="7" a="1"/>
  <c r="CY38" i="7" s="1"/>
  <c r="CW38" i="7" a="1"/>
  <c r="CW38" i="7" s="1"/>
  <c r="CY36" i="7" a="1"/>
  <c r="CY36" i="7" s="1"/>
  <c r="CY35" i="7" a="1"/>
  <c r="CY35" i="7" s="1"/>
  <c r="CZ33" i="7" a="1"/>
  <c r="CZ33" i="7" s="1"/>
  <c r="CV38" i="7" a="1"/>
  <c r="CV38" i="7" s="1"/>
  <c r="CW39" i="7" s="1"/>
  <c r="CV35" i="7" a="1"/>
  <c r="CV35" i="7" s="1"/>
  <c r="CU38" i="7" a="1"/>
  <c r="CU38" i="7" s="1"/>
  <c r="CY34" i="7" a="1"/>
  <c r="CY34" i="7" s="1"/>
  <c r="CU33" i="7"/>
  <c r="CU42" i="7"/>
  <c r="CV42" i="7" a="1"/>
  <c r="CV41" i="7" a="1"/>
  <c r="CV44" i="7" a="1"/>
  <c r="CV44" i="7" l="1"/>
  <c r="CU47" i="7" s="1"/>
  <c r="CV41" i="7"/>
  <c r="CV42" i="7"/>
  <c r="DB1" i="7"/>
  <c r="CR43" i="7" a="1"/>
  <c r="CR43" i="7" s="1"/>
  <c r="CR44" i="7" a="1"/>
  <c r="CR44" i="7" s="1"/>
  <c r="CR46" i="7" a="1"/>
  <c r="CR46" i="7" s="1"/>
  <c r="CR42" i="7" a="1"/>
  <c r="CR42" i="7" s="1"/>
  <c r="CO46" i="7" a="1"/>
  <c r="CO46" i="7" s="1"/>
  <c r="CP47" i="7" s="1"/>
  <c r="CS41" i="7" a="1"/>
  <c r="CS41" i="7" s="1"/>
  <c r="CN46" i="7" a="1"/>
  <c r="CN46" i="7" s="1"/>
  <c r="CP46" i="7" a="1"/>
  <c r="CP46" i="7" s="1"/>
  <c r="CO43" i="7" a="1"/>
  <c r="CO43" i="7" s="1"/>
  <c r="CN41" i="7"/>
  <c r="CR47" i="7" a="1"/>
  <c r="CR47" i="7" s="1"/>
  <c r="DC2" i="7"/>
  <c r="DD2" i="7" a="1"/>
  <c r="DD4" i="7" a="1"/>
  <c r="DD1" i="7" a="1"/>
  <c r="DD1" i="7" l="1"/>
  <c r="DC1" i="7" s="1"/>
  <c r="DD4" i="7"/>
  <c r="DC7" i="7" s="1"/>
  <c r="DD2" i="7"/>
  <c r="DI1" i="7"/>
  <c r="CV43" i="7" a="1"/>
  <c r="CV43" i="7" s="1"/>
  <c r="CZ41" i="7" a="1"/>
  <c r="CZ41" i="7" s="1"/>
  <c r="CY47" i="7" a="1"/>
  <c r="CY47" i="7" s="1"/>
  <c r="CV46" i="7" a="1"/>
  <c r="CV46" i="7" s="1"/>
  <c r="CW47" i="7" s="1"/>
  <c r="CY46" i="7" a="1"/>
  <c r="CY46" i="7" s="1"/>
  <c r="CU46" i="7" a="1"/>
  <c r="CU46" i="7" s="1"/>
  <c r="CY44" i="7" a="1"/>
  <c r="CY44" i="7" s="1"/>
  <c r="CY42" i="7" a="1"/>
  <c r="CY42" i="7" s="1"/>
  <c r="CU41" i="7"/>
  <c r="CY43" i="7" a="1"/>
  <c r="CY43" i="7" s="1"/>
  <c r="CW46" i="7" a="1"/>
  <c r="CW46" i="7" s="1"/>
  <c r="DG4" i="7" a="1"/>
  <c r="DG4" i="7" s="1"/>
  <c r="DJ2" i="7"/>
  <c r="DK1" i="7" a="1"/>
  <c r="DK4" i="7" a="1"/>
  <c r="DK2" i="7" a="1"/>
  <c r="DD3" i="7" l="1" a="1"/>
  <c r="DD3" i="7" s="1"/>
  <c r="DC6" i="7" a="1"/>
  <c r="DC6" i="7" s="1"/>
  <c r="DG7" i="7" a="1"/>
  <c r="DG7" i="7" s="1"/>
  <c r="DD6" i="7" a="1"/>
  <c r="DD6" i="7" s="1"/>
  <c r="DE7" i="7" s="1"/>
  <c r="DG2" i="7" a="1"/>
  <c r="DG2" i="7" s="1"/>
  <c r="DE6" i="7" a="1"/>
  <c r="DE6" i="7" s="1"/>
  <c r="DH1" i="7" a="1"/>
  <c r="DH1" i="7" s="1"/>
  <c r="DG6" i="7" a="1"/>
  <c r="DG6" i="7" s="1"/>
  <c r="DG3" i="7" a="1"/>
  <c r="DG3" i="7" s="1"/>
  <c r="DK2" i="7"/>
  <c r="DB9" i="7"/>
  <c r="DK4" i="7"/>
  <c r="DK1" i="7"/>
  <c r="DC10" i="7"/>
  <c r="DD10" i="7" a="1"/>
  <c r="DD10" i="7" l="1"/>
  <c r="DI9" i="7"/>
  <c r="DJ6" i="7" a="1"/>
  <c r="DJ6" i="7" s="1"/>
  <c r="DN2" i="7" a="1"/>
  <c r="DN2" i="7" s="1"/>
  <c r="DJ1" i="7"/>
  <c r="DN7" i="7" a="1"/>
  <c r="DN7" i="7" s="1"/>
  <c r="DN6" i="7" a="1"/>
  <c r="DN6" i="7" s="1"/>
  <c r="DN4" i="7" a="1"/>
  <c r="DN4" i="7" s="1"/>
  <c r="DN3" i="7" a="1"/>
  <c r="DN3" i="7" s="1"/>
  <c r="DO1" i="7" a="1"/>
  <c r="DO1" i="7" s="1"/>
  <c r="DL6" i="7" a="1"/>
  <c r="DL6" i="7" s="1"/>
  <c r="DK3" i="7" a="1"/>
  <c r="DK3" i="7" s="1"/>
  <c r="DK6" i="7" a="1"/>
  <c r="DK6" i="7" s="1"/>
  <c r="DL7" i="7" s="1"/>
  <c r="DJ7" i="7"/>
  <c r="DD12" i="7" a="1"/>
  <c r="DD9" i="7" a="1"/>
  <c r="DD9" i="7" l="1"/>
  <c r="DD12" i="7"/>
  <c r="DJ10" i="7"/>
  <c r="DK10" i="7" a="1"/>
  <c r="DK10" i="7" l="1"/>
  <c r="DB17" i="7"/>
  <c r="DC15" i="7"/>
  <c r="DC9" i="7"/>
  <c r="DG15" i="7" a="1"/>
  <c r="DG15" i="7" s="1"/>
  <c r="DD14" i="7" a="1"/>
  <c r="DD14" i="7" s="1"/>
  <c r="DE15" i="7" s="1"/>
  <c r="DG12" i="7" a="1"/>
  <c r="DG12" i="7" s="1"/>
  <c r="DG11" i="7" a="1"/>
  <c r="DG11" i="7" s="1"/>
  <c r="DG10" i="7" a="1"/>
  <c r="DG10" i="7" s="1"/>
  <c r="DC14" i="7" a="1"/>
  <c r="DC14" i="7" s="1"/>
  <c r="DD11" i="7" a="1"/>
  <c r="DD11" i="7" s="1"/>
  <c r="DH9" i="7" a="1"/>
  <c r="DH9" i="7" s="1"/>
  <c r="DE14" i="7" a="1"/>
  <c r="DE14" i="7" s="1"/>
  <c r="DG14" i="7" a="1"/>
  <c r="DG14" i="7" s="1"/>
  <c r="DK9" i="7" a="1"/>
  <c r="DK12" i="7" a="1"/>
  <c r="DK12" i="7" l="1"/>
  <c r="DK9" i="7"/>
  <c r="DC18" i="7"/>
  <c r="DD18" i="7" a="1"/>
  <c r="DD18" i="7" l="1"/>
  <c r="DI17" i="7"/>
  <c r="DK11" i="7" a="1"/>
  <c r="DK11" i="7" s="1"/>
  <c r="DK14" i="7" a="1"/>
  <c r="DK14" i="7" s="1"/>
  <c r="DL15" i="7" s="1"/>
  <c r="DJ9" i="7"/>
  <c r="DJ14" i="7" a="1"/>
  <c r="DJ14" i="7" s="1"/>
  <c r="DO9" i="7" a="1"/>
  <c r="DO9" i="7" s="1"/>
  <c r="DN15" i="7" a="1"/>
  <c r="DN15" i="7" s="1"/>
  <c r="DN14" i="7" a="1"/>
  <c r="DN14" i="7" s="1"/>
  <c r="DN12" i="7" a="1"/>
  <c r="DN12" i="7" s="1"/>
  <c r="DN11" i="7" a="1"/>
  <c r="DN11" i="7" s="1"/>
  <c r="DN10" i="7" a="1"/>
  <c r="DN10" i="7" s="1"/>
  <c r="DL14" i="7" a="1"/>
  <c r="DL14" i="7" s="1"/>
  <c r="DJ15" i="7"/>
  <c r="DD17" i="7" a="1"/>
  <c r="DD20" i="7" a="1"/>
  <c r="DD20" i="7" l="1"/>
  <c r="DD17" i="7"/>
  <c r="DJ18" i="7"/>
  <c r="DK18" i="7" a="1"/>
  <c r="DK18" i="7" l="1"/>
  <c r="DB25" i="7"/>
  <c r="DG22" i="7" a="1"/>
  <c r="DG22" i="7" s="1"/>
  <c r="DH17" i="7" a="1"/>
  <c r="DH17" i="7" s="1"/>
  <c r="DE22" i="7" a="1"/>
  <c r="DE22" i="7" s="1"/>
  <c r="DC17" i="7"/>
  <c r="DG23" i="7" a="1"/>
  <c r="DG23" i="7" s="1"/>
  <c r="DD22" i="7" a="1"/>
  <c r="DD22" i="7" s="1"/>
  <c r="DE23" i="7" s="1"/>
  <c r="DG20" i="7" a="1"/>
  <c r="DG20" i="7" s="1"/>
  <c r="DG19" i="7" a="1"/>
  <c r="DG19" i="7" s="1"/>
  <c r="DG18" i="7" a="1"/>
  <c r="DG18" i="7" s="1"/>
  <c r="DC22" i="7" a="1"/>
  <c r="DC22" i="7" s="1"/>
  <c r="DD19" i="7" a="1"/>
  <c r="DD19" i="7" s="1"/>
  <c r="DC23" i="7"/>
  <c r="DK20" i="7" a="1"/>
  <c r="DK17" i="7" a="1"/>
  <c r="DK17" i="7" l="1"/>
  <c r="DK20" i="7"/>
  <c r="DC26" i="7"/>
  <c r="DD26" i="7" a="1"/>
  <c r="DD26" i="7" l="1"/>
  <c r="DI25" i="7"/>
  <c r="DJ23" i="7"/>
  <c r="DN23" i="7" a="1"/>
  <c r="DN23" i="7" s="1"/>
  <c r="DN22" i="7" a="1"/>
  <c r="DN22" i="7" s="1"/>
  <c r="DN20" i="7" a="1"/>
  <c r="DN20" i="7" s="1"/>
  <c r="DN19" i="7" a="1"/>
  <c r="DN19" i="7" s="1"/>
  <c r="DN18" i="7" a="1"/>
  <c r="DN18" i="7" s="1"/>
  <c r="DL22" i="7" a="1"/>
  <c r="DL22" i="7" s="1"/>
  <c r="DK19" i="7" a="1"/>
  <c r="DK19" i="7" s="1"/>
  <c r="DO17" i="7" a="1"/>
  <c r="DO17" i="7" s="1"/>
  <c r="DK22" i="7" a="1"/>
  <c r="DK22" i="7" s="1"/>
  <c r="DL23" i="7" s="1"/>
  <c r="DJ17" i="7"/>
  <c r="DJ22" i="7" a="1"/>
  <c r="DJ22" i="7" s="1"/>
  <c r="DD25" i="7" a="1"/>
  <c r="DD28" i="7" a="1"/>
  <c r="DD28" i="7" l="1"/>
  <c r="DD25" i="7"/>
  <c r="DJ26" i="7"/>
  <c r="DK26" i="7" a="1"/>
  <c r="DK26" i="7" l="1"/>
  <c r="DB33" i="7"/>
  <c r="DG26" i="7" a="1"/>
  <c r="DG26" i="7" s="1"/>
  <c r="DD30" i="7" a="1"/>
  <c r="DD30" i="7" s="1"/>
  <c r="DE31" i="7" s="1"/>
  <c r="DC30" i="7" a="1"/>
  <c r="DC30" i="7" s="1"/>
  <c r="DD27" i="7" a="1"/>
  <c r="DD27" i="7" s="1"/>
  <c r="DG30" i="7" a="1"/>
  <c r="DG30" i="7" s="1"/>
  <c r="DH25" i="7" a="1"/>
  <c r="DH25" i="7" s="1"/>
  <c r="DG28" i="7" a="1"/>
  <c r="DG28" i="7" s="1"/>
  <c r="DE30" i="7" a="1"/>
  <c r="DE30" i="7" s="1"/>
  <c r="DC25" i="7"/>
  <c r="DG31" i="7" a="1"/>
  <c r="DG31" i="7" s="1"/>
  <c r="DG27" i="7" a="1"/>
  <c r="DG27" i="7" s="1"/>
  <c r="DC31" i="7"/>
  <c r="DK25" i="7" a="1"/>
  <c r="DK28" i="7" a="1"/>
  <c r="DK28" i="7" l="1"/>
  <c r="DK25" i="7"/>
  <c r="DC34" i="7"/>
  <c r="DD34" i="7" a="1"/>
  <c r="DD34" i="7" l="1"/>
  <c r="DI33" i="7"/>
  <c r="DJ25" i="7"/>
  <c r="DJ30" i="7" a="1"/>
  <c r="DJ30" i="7" s="1"/>
  <c r="DN31" i="7" a="1"/>
  <c r="DN31" i="7" s="1"/>
  <c r="DN30" i="7" a="1"/>
  <c r="DN30" i="7" s="1"/>
  <c r="DN28" i="7" a="1"/>
  <c r="DN28" i="7" s="1"/>
  <c r="DN27" i="7" a="1"/>
  <c r="DN27" i="7" s="1"/>
  <c r="DN26" i="7" a="1"/>
  <c r="DN26" i="7" s="1"/>
  <c r="DL30" i="7" a="1"/>
  <c r="DL30" i="7" s="1"/>
  <c r="DK27" i="7" a="1"/>
  <c r="DK27" i="7" s="1"/>
  <c r="DO25" i="7" a="1"/>
  <c r="DO25" i="7" s="1"/>
  <c r="DK30" i="7" a="1"/>
  <c r="DK30" i="7" s="1"/>
  <c r="DL31" i="7" s="1"/>
  <c r="DJ31" i="7"/>
  <c r="DD33" i="7" a="1"/>
  <c r="DD36" i="7" a="1"/>
  <c r="DD36" i="7" l="1"/>
  <c r="DD33" i="7"/>
  <c r="DJ34" i="7"/>
  <c r="DK34" i="7" a="1"/>
  <c r="DK34" i="7" l="1"/>
  <c r="DB41" i="7"/>
  <c r="DE38" i="7" a="1"/>
  <c r="DE38" i="7" s="1"/>
  <c r="DC33" i="7"/>
  <c r="DG39" i="7" a="1"/>
  <c r="DG39" i="7" s="1"/>
  <c r="DD38" i="7" a="1"/>
  <c r="DD38" i="7" s="1"/>
  <c r="DE39" i="7" s="1"/>
  <c r="DG36" i="7" a="1"/>
  <c r="DG36" i="7" s="1"/>
  <c r="DG35" i="7" a="1"/>
  <c r="DG35" i="7" s="1"/>
  <c r="DG34" i="7" a="1"/>
  <c r="DG34" i="7" s="1"/>
  <c r="DC38" i="7" a="1"/>
  <c r="DC38" i="7" s="1"/>
  <c r="DD35" i="7" a="1"/>
  <c r="DD35" i="7" s="1"/>
  <c r="DG38" i="7" a="1"/>
  <c r="DG38" i="7" s="1"/>
  <c r="DH33" i="7" a="1"/>
  <c r="DH33" i="7" s="1"/>
  <c r="DC39" i="7"/>
  <c r="DK36" i="7" a="1"/>
  <c r="DK33" i="7" a="1"/>
  <c r="DK33" i="7" l="1"/>
  <c r="DK36" i="7"/>
  <c r="DC42" i="7"/>
  <c r="DD42" i="7" a="1"/>
  <c r="DD42" i="7" l="1"/>
  <c r="DI41" i="7"/>
  <c r="DJ39" i="7"/>
  <c r="DL38" i="7" a="1"/>
  <c r="DL38" i="7" s="1"/>
  <c r="DK35" i="7" a="1"/>
  <c r="DK35" i="7" s="1"/>
  <c r="DO33" i="7" a="1"/>
  <c r="DO33" i="7" s="1"/>
  <c r="DK38" i="7" a="1"/>
  <c r="DK38" i="7" s="1"/>
  <c r="DL39" i="7" s="1"/>
  <c r="DJ33" i="7"/>
  <c r="DJ38" i="7" a="1"/>
  <c r="DJ38" i="7" s="1"/>
  <c r="DN39" i="7" a="1"/>
  <c r="DN39" i="7" s="1"/>
  <c r="DN38" i="7" a="1"/>
  <c r="DN38" i="7" s="1"/>
  <c r="DN36" i="7" a="1"/>
  <c r="DN36" i="7" s="1"/>
  <c r="DN35" i="7" a="1"/>
  <c r="DN35" i="7" s="1"/>
  <c r="DN34" i="7" a="1"/>
  <c r="DN34" i="7" s="1"/>
  <c r="DD41" i="7" a="1"/>
  <c r="DD44" i="7" a="1"/>
  <c r="DD44" i="7" l="1"/>
  <c r="DD41" i="7"/>
  <c r="DJ42" i="7"/>
  <c r="DK42" i="7" a="1"/>
  <c r="DK42" i="7" l="1"/>
  <c r="DQ1" i="7"/>
  <c r="DG46" i="7" a="1"/>
  <c r="DG46" i="7" s="1"/>
  <c r="DH41" i="7" a="1"/>
  <c r="DH41" i="7" s="1"/>
  <c r="DD43" i="7" a="1"/>
  <c r="DD43" i="7" s="1"/>
  <c r="DE46" i="7" a="1"/>
  <c r="DE46" i="7" s="1"/>
  <c r="DC41" i="7"/>
  <c r="DG47" i="7" a="1"/>
  <c r="DG47" i="7" s="1"/>
  <c r="DD46" i="7" a="1"/>
  <c r="DD46" i="7" s="1"/>
  <c r="DE47" i="7" s="1"/>
  <c r="DG44" i="7" a="1"/>
  <c r="DG44" i="7" s="1"/>
  <c r="DG43" i="7" a="1"/>
  <c r="DG43" i="7" s="1"/>
  <c r="DG42" i="7" a="1"/>
  <c r="DG42" i="7" s="1"/>
  <c r="DC46" i="7" a="1"/>
  <c r="DC46" i="7" s="1"/>
  <c r="DC47" i="7"/>
  <c r="DK44" i="7" a="1"/>
  <c r="DK41" i="7" a="1"/>
  <c r="DK41" i="7" l="1"/>
  <c r="DK44" i="7"/>
  <c r="DR2" i="7"/>
  <c r="DS2" i="7" a="1"/>
  <c r="DS2" i="7" l="1"/>
  <c r="DX1" i="7"/>
  <c r="DJ47" i="7"/>
  <c r="DN47" i="7" a="1"/>
  <c r="DN47" i="7" s="1"/>
  <c r="DN46" i="7" a="1"/>
  <c r="DN46" i="7" s="1"/>
  <c r="DN44" i="7" a="1"/>
  <c r="DN44" i="7" s="1"/>
  <c r="DN43" i="7" a="1"/>
  <c r="DN43" i="7" s="1"/>
  <c r="DN42" i="7" a="1"/>
  <c r="DN42" i="7" s="1"/>
  <c r="DJ46" i="7" a="1"/>
  <c r="DJ46" i="7" s="1"/>
  <c r="DL46" i="7" a="1"/>
  <c r="DL46" i="7" s="1"/>
  <c r="DK43" i="7" a="1"/>
  <c r="DK43" i="7" s="1"/>
  <c r="DO41" i="7" a="1"/>
  <c r="DO41" i="7" s="1"/>
  <c r="DK46" i="7" a="1"/>
  <c r="DK46" i="7" s="1"/>
  <c r="DL47" i="7" s="1"/>
  <c r="DJ41" i="7"/>
  <c r="DS1" i="7" a="1"/>
  <c r="DS4" i="7" a="1"/>
  <c r="DS4" i="7" l="1"/>
  <c r="DS1" i="7"/>
  <c r="DY2" i="7"/>
  <c r="DZ2" i="7" a="1"/>
  <c r="DZ2" i="7" l="1"/>
  <c r="DQ9" i="7"/>
  <c r="DR6" i="7" a="1"/>
  <c r="DR6" i="7" s="1"/>
  <c r="DS3" i="7" a="1"/>
  <c r="DS3" i="7" s="1"/>
  <c r="DT6" i="7" a="1"/>
  <c r="DT6" i="7" s="1"/>
  <c r="DR1" i="7"/>
  <c r="DV6" i="7" a="1"/>
  <c r="DV6" i="7" s="1"/>
  <c r="DW1" i="7" a="1"/>
  <c r="DW1" i="7" s="1"/>
  <c r="DV2" i="7" a="1"/>
  <c r="DV2" i="7" s="1"/>
  <c r="DV7" i="7" a="1"/>
  <c r="DV7" i="7" s="1"/>
  <c r="DS6" i="7" a="1"/>
  <c r="DS6" i="7" s="1"/>
  <c r="DT7" i="7" s="1"/>
  <c r="DV4" i="7" a="1"/>
  <c r="DV4" i="7" s="1"/>
  <c r="DV3" i="7" a="1"/>
  <c r="DV3" i="7" s="1"/>
  <c r="DR7" i="7"/>
  <c r="DZ4" i="7" a="1"/>
  <c r="DZ1" i="7" a="1"/>
  <c r="DZ1" i="7" l="1"/>
  <c r="DZ4" i="7"/>
  <c r="DR10" i="7"/>
  <c r="DS10" i="7" a="1"/>
  <c r="DS10" i="7" l="1"/>
  <c r="DX9" i="7"/>
  <c r="DY7" i="7"/>
  <c r="DY6" i="7" a="1"/>
  <c r="DY6" i="7" s="1"/>
  <c r="DZ3" i="7" a="1"/>
  <c r="DZ3" i="7" s="1"/>
  <c r="ED1" i="7" a="1"/>
  <c r="ED1" i="7" s="1"/>
  <c r="DY1" i="7"/>
  <c r="EC7" i="7" a="1"/>
  <c r="EC7" i="7" s="1"/>
  <c r="EC6" i="7" a="1"/>
  <c r="EC6" i="7" s="1"/>
  <c r="EC4" i="7" a="1"/>
  <c r="EC4" i="7" s="1"/>
  <c r="EC3" i="7" a="1"/>
  <c r="EC3" i="7" s="1"/>
  <c r="EC2" i="7" a="1"/>
  <c r="EC2" i="7" s="1"/>
  <c r="EA6" i="7" a="1"/>
  <c r="EA6" i="7" s="1"/>
  <c r="DZ6" i="7" a="1"/>
  <c r="DZ6" i="7" s="1"/>
  <c r="EA7" i="7" s="1"/>
  <c r="DS9" i="7" a="1"/>
  <c r="DS12" i="7" a="1"/>
  <c r="DS12" i="7" l="1"/>
  <c r="DS9" i="7"/>
  <c r="DY10" i="7"/>
  <c r="DZ10" i="7" a="1"/>
  <c r="DZ10" i="7" l="1"/>
  <c r="DQ17" i="7"/>
  <c r="DR9" i="7"/>
  <c r="DV15" i="7" a="1"/>
  <c r="DV15" i="7" s="1"/>
  <c r="DS14" i="7" a="1"/>
  <c r="DS14" i="7" s="1"/>
  <c r="DT15" i="7" s="1"/>
  <c r="DV12" i="7" a="1"/>
  <c r="DV12" i="7" s="1"/>
  <c r="DV11" i="7" a="1"/>
  <c r="DV11" i="7" s="1"/>
  <c r="DV10" i="7" a="1"/>
  <c r="DV10" i="7" s="1"/>
  <c r="DR14" i="7" a="1"/>
  <c r="DR14" i="7" s="1"/>
  <c r="DS11" i="7" a="1"/>
  <c r="DS11" i="7" s="1"/>
  <c r="DV14" i="7" a="1"/>
  <c r="DV14" i="7" s="1"/>
  <c r="DW9" i="7" a="1"/>
  <c r="DW9" i="7" s="1"/>
  <c r="DT14" i="7" a="1"/>
  <c r="DT14" i="7" s="1"/>
  <c r="DR15" i="7"/>
  <c r="DZ12" i="7" a="1"/>
  <c r="DZ9" i="7" a="1"/>
  <c r="DZ9" i="7" l="1"/>
  <c r="DZ12" i="7"/>
  <c r="DR18" i="7"/>
  <c r="DS18" i="7" a="1"/>
  <c r="DS18" i="7" l="1"/>
  <c r="DX17" i="7"/>
  <c r="DY15" i="7"/>
  <c r="EC12" i="7" a="1"/>
  <c r="EC12" i="7" s="1"/>
  <c r="DZ14" i="7" a="1"/>
  <c r="DZ14" i="7" s="1"/>
  <c r="EA15" i="7" s="1"/>
  <c r="EC15" i="7" a="1"/>
  <c r="EC15" i="7" s="1"/>
  <c r="EC10" i="7" a="1"/>
  <c r="EC10" i="7" s="1"/>
  <c r="DY9" i="7"/>
  <c r="EC14" i="7" a="1"/>
  <c r="EC14" i="7" s="1"/>
  <c r="DY14" i="7" a="1"/>
  <c r="DY14" i="7" s="1"/>
  <c r="DZ11" i="7" a="1"/>
  <c r="DZ11" i="7" s="1"/>
  <c r="EC11" i="7" a="1"/>
  <c r="EC11" i="7" s="1"/>
  <c r="EA14" i="7" a="1"/>
  <c r="EA14" i="7" s="1"/>
  <c r="ED9" i="7" a="1"/>
  <c r="ED9" i="7" s="1"/>
  <c r="DS17" i="7" a="1"/>
  <c r="DS20" i="7" a="1"/>
  <c r="DS20" i="7" l="1"/>
  <c r="DS17" i="7"/>
  <c r="DY18" i="7"/>
  <c r="DZ18" i="7" a="1"/>
  <c r="DZ18" i="7" l="1"/>
  <c r="DQ25" i="7"/>
  <c r="DV22" i="7" a="1"/>
  <c r="DV22" i="7" s="1"/>
  <c r="DW17" i="7" a="1"/>
  <c r="DW17" i="7" s="1"/>
  <c r="DV18" i="7" a="1"/>
  <c r="DV18" i="7" s="1"/>
  <c r="DT22" i="7" a="1"/>
  <c r="DT22" i="7" s="1"/>
  <c r="DR17" i="7"/>
  <c r="DV19" i="7" a="1"/>
  <c r="DV19" i="7" s="1"/>
  <c r="DV23" i="7" a="1"/>
  <c r="DV23" i="7" s="1"/>
  <c r="DS22" i="7" a="1"/>
  <c r="DS22" i="7" s="1"/>
  <c r="DT23" i="7" s="1"/>
  <c r="DV20" i="7" a="1"/>
  <c r="DV20" i="7" s="1"/>
  <c r="DR22" i="7" a="1"/>
  <c r="DR22" i="7" s="1"/>
  <c r="DS19" i="7" a="1"/>
  <c r="DS19" i="7" s="1"/>
  <c r="DR23" i="7"/>
  <c r="DZ17" i="7" a="1"/>
  <c r="DZ20" i="7" a="1"/>
  <c r="DZ20" i="7" l="1"/>
  <c r="DZ17" i="7"/>
  <c r="DR26" i="7"/>
  <c r="DS26" i="7" a="1"/>
  <c r="DS26" i="7" l="1"/>
  <c r="DX25" i="7"/>
  <c r="EC23" i="7" a="1"/>
  <c r="EC23" i="7" s="1"/>
  <c r="EC22" i="7" a="1"/>
  <c r="EC22" i="7" s="1"/>
  <c r="EC20" i="7" a="1"/>
  <c r="EC20" i="7" s="1"/>
  <c r="EC19" i="7" a="1"/>
  <c r="EC19" i="7" s="1"/>
  <c r="EC18" i="7" a="1"/>
  <c r="EC18" i="7" s="1"/>
  <c r="EA22" i="7" a="1"/>
  <c r="EA22" i="7" s="1"/>
  <c r="DZ19" i="7" a="1"/>
  <c r="DZ19" i="7" s="1"/>
  <c r="ED17" i="7" a="1"/>
  <c r="ED17" i="7" s="1"/>
  <c r="DZ22" i="7" a="1"/>
  <c r="DZ22" i="7" s="1"/>
  <c r="EA23" i="7" s="1"/>
  <c r="DY17" i="7"/>
  <c r="DY22" i="7" a="1"/>
  <c r="DY22" i="7" s="1"/>
  <c r="DY23" i="7"/>
  <c r="DS28" i="7" a="1"/>
  <c r="DS25" i="7" a="1"/>
  <c r="DS25" i="7" l="1"/>
  <c r="DS28" i="7"/>
  <c r="DY26" i="7"/>
  <c r="DZ26" i="7" a="1"/>
  <c r="DZ26" i="7" l="1"/>
  <c r="DQ33" i="7"/>
  <c r="DR31" i="7"/>
  <c r="DV26" i="7" a="1"/>
  <c r="DV26" i="7" s="1"/>
  <c r="DV31" i="7" a="1"/>
  <c r="DV31" i="7" s="1"/>
  <c r="DR30" i="7" a="1"/>
  <c r="DR30" i="7" s="1"/>
  <c r="DS27" i="7" a="1"/>
  <c r="DS27" i="7" s="1"/>
  <c r="DV27" i="7" a="1"/>
  <c r="DV27" i="7" s="1"/>
  <c r="DV28" i="7" a="1"/>
  <c r="DV28" i="7" s="1"/>
  <c r="DV30" i="7" a="1"/>
  <c r="DV30" i="7" s="1"/>
  <c r="DW25" i="7" a="1"/>
  <c r="DW25" i="7" s="1"/>
  <c r="DS30" i="7" a="1"/>
  <c r="DS30" i="7" s="1"/>
  <c r="DT31" i="7" s="1"/>
  <c r="DT30" i="7" a="1"/>
  <c r="DT30" i="7" s="1"/>
  <c r="DR25" i="7"/>
  <c r="DZ28" i="7" a="1"/>
  <c r="DZ25" i="7" a="1"/>
  <c r="DZ25" i="7" l="1"/>
  <c r="DZ28" i="7"/>
  <c r="DR34" i="7"/>
  <c r="DS34" i="7" a="1"/>
  <c r="DS34" i="7" l="1"/>
  <c r="DX33" i="7"/>
  <c r="DY31" i="7"/>
  <c r="DY25" i="7"/>
  <c r="ED25" i="7" a="1"/>
  <c r="ED25" i="7" s="1"/>
  <c r="DY30" i="7" a="1"/>
  <c r="DY30" i="7" s="1"/>
  <c r="EA30" i="7" a="1"/>
  <c r="EA30" i="7" s="1"/>
  <c r="EC31" i="7" a="1"/>
  <c r="EC31" i="7" s="1"/>
  <c r="EC30" i="7" a="1"/>
  <c r="EC30" i="7" s="1"/>
  <c r="EC28" i="7" a="1"/>
  <c r="EC28" i="7" s="1"/>
  <c r="EC27" i="7" a="1"/>
  <c r="EC27" i="7" s="1"/>
  <c r="EC26" i="7" a="1"/>
  <c r="EC26" i="7" s="1"/>
  <c r="DZ27" i="7" a="1"/>
  <c r="DZ27" i="7" s="1"/>
  <c r="DZ30" i="7" a="1"/>
  <c r="DZ30" i="7" s="1"/>
  <c r="EA31" i="7" s="1"/>
  <c r="DS33" i="7" a="1"/>
  <c r="DS36" i="7" a="1"/>
  <c r="DS36" i="7" l="1"/>
  <c r="DS33" i="7"/>
  <c r="DY34" i="7"/>
  <c r="DZ34" i="7" a="1"/>
  <c r="DZ34" i="7" l="1"/>
  <c r="DQ41" i="7"/>
  <c r="DT38" i="7" a="1"/>
  <c r="DT38" i="7" s="1"/>
  <c r="DR33" i="7"/>
  <c r="DV39" i="7" a="1"/>
  <c r="DV39" i="7" s="1"/>
  <c r="DS38" i="7" a="1"/>
  <c r="DS38" i="7" s="1"/>
  <c r="DT39" i="7" s="1"/>
  <c r="DV36" i="7" a="1"/>
  <c r="DV36" i="7" s="1"/>
  <c r="DV35" i="7" a="1"/>
  <c r="DV35" i="7" s="1"/>
  <c r="DV34" i="7" a="1"/>
  <c r="DV34" i="7" s="1"/>
  <c r="DR38" i="7" a="1"/>
  <c r="DR38" i="7" s="1"/>
  <c r="DS35" i="7" a="1"/>
  <c r="DS35" i="7" s="1"/>
  <c r="DV38" i="7" a="1"/>
  <c r="DV38" i="7" s="1"/>
  <c r="DW33" i="7" a="1"/>
  <c r="DW33" i="7" s="1"/>
  <c r="DR39" i="7"/>
  <c r="DZ36" i="7" a="1"/>
  <c r="DZ33" i="7" a="1"/>
  <c r="DZ33" i="7" l="1"/>
  <c r="DZ36" i="7"/>
  <c r="DR42" i="7"/>
  <c r="DS42" i="7" a="1"/>
  <c r="DS42" i="7" l="1"/>
  <c r="DX41" i="7"/>
  <c r="DY39" i="7"/>
  <c r="EA38" i="7" a="1"/>
  <c r="EA38" i="7" s="1"/>
  <c r="DZ35" i="7" a="1"/>
  <c r="DZ35" i="7" s="1"/>
  <c r="ED33" i="7" a="1"/>
  <c r="ED33" i="7" s="1"/>
  <c r="DZ38" i="7" a="1"/>
  <c r="DZ38" i="7" s="1"/>
  <c r="EA39" i="7" s="1"/>
  <c r="DY33" i="7"/>
  <c r="DY38" i="7" a="1"/>
  <c r="DY38" i="7" s="1"/>
  <c r="EC39" i="7" a="1"/>
  <c r="EC39" i="7" s="1"/>
  <c r="EC38" i="7" a="1"/>
  <c r="EC38" i="7" s="1"/>
  <c r="EC36" i="7" a="1"/>
  <c r="EC36" i="7" s="1"/>
  <c r="EC35" i="7" a="1"/>
  <c r="EC35" i="7" s="1"/>
  <c r="EC34" i="7" a="1"/>
  <c r="EC34" i="7" s="1"/>
  <c r="DS41" i="7" a="1"/>
  <c r="DS44" i="7" a="1"/>
  <c r="DS44" i="7" l="1"/>
  <c r="DS41" i="7"/>
  <c r="DY42" i="7"/>
  <c r="DZ42" i="7" a="1"/>
  <c r="DZ42" i="7" l="1"/>
  <c r="EF1" i="7"/>
  <c r="DS43" i="7" a="1"/>
  <c r="DS43" i="7" s="1"/>
  <c r="DV46" i="7" a="1"/>
  <c r="DV46" i="7" s="1"/>
  <c r="DW41" i="7" a="1"/>
  <c r="DW41" i="7" s="1"/>
  <c r="DR46" i="7" a="1"/>
  <c r="DR46" i="7" s="1"/>
  <c r="DT46" i="7" a="1"/>
  <c r="DT46" i="7" s="1"/>
  <c r="DR41" i="7"/>
  <c r="DV47" i="7" a="1"/>
  <c r="DV47" i="7" s="1"/>
  <c r="DS46" i="7" a="1"/>
  <c r="DS46" i="7" s="1"/>
  <c r="DV44" i="7" a="1"/>
  <c r="DV44" i="7" s="1"/>
  <c r="DV43" i="7" a="1"/>
  <c r="DV43" i="7" s="1"/>
  <c r="DV42" i="7" a="1"/>
  <c r="DV42" i="7" s="1"/>
  <c r="DT47" i="7"/>
  <c r="DR47" i="7"/>
  <c r="DZ41" i="7" a="1"/>
  <c r="DZ44" i="7" a="1"/>
  <c r="DZ44" i="7" l="1"/>
  <c r="DZ41" i="7"/>
  <c r="EG2" i="7"/>
  <c r="EH2" i="7" a="1"/>
  <c r="EH2" i="7" l="1"/>
  <c r="EM1" i="7"/>
  <c r="EC47" i="7" a="1"/>
  <c r="EC47" i="7" s="1"/>
  <c r="EC46" i="7" a="1"/>
  <c r="EC46" i="7" s="1"/>
  <c r="EC44" i="7" a="1"/>
  <c r="EC44" i="7" s="1"/>
  <c r="EC43" i="7" a="1"/>
  <c r="EC43" i="7" s="1"/>
  <c r="EC42" i="7" a="1"/>
  <c r="EC42" i="7" s="1"/>
  <c r="EA46" i="7" a="1"/>
  <c r="EA46" i="7" s="1"/>
  <c r="DZ43" i="7" a="1"/>
  <c r="DZ43" i="7" s="1"/>
  <c r="ED41" i="7" a="1"/>
  <c r="ED41" i="7" s="1"/>
  <c r="DY46" i="7" a="1"/>
  <c r="DY46" i="7" s="1"/>
  <c r="DZ46" i="7" a="1"/>
  <c r="DZ46" i="7" s="1"/>
  <c r="EA47" i="7" s="1"/>
  <c r="DY41" i="7"/>
  <c r="DY47" i="7"/>
  <c r="EH1" i="7" a="1"/>
  <c r="EH4" i="7" a="1"/>
  <c r="EH4" i="7" l="1"/>
  <c r="EH1" i="7"/>
  <c r="EN2" i="7"/>
  <c r="EO2" i="7" a="1"/>
  <c r="EO2" i="7" l="1"/>
  <c r="EF9" i="7"/>
  <c r="EG6" i="7" a="1"/>
  <c r="EG6" i="7" s="1"/>
  <c r="EH3" i="7" a="1"/>
  <c r="EH3" i="7" s="1"/>
  <c r="EK2" i="7" a="1"/>
  <c r="EK2" i="7" s="1"/>
  <c r="EK6" i="7" a="1"/>
  <c r="EK6" i="7" s="1"/>
  <c r="EL1" i="7" a="1"/>
  <c r="EL1" i="7" s="1"/>
  <c r="EI6" i="7" a="1"/>
  <c r="EI6" i="7" s="1"/>
  <c r="EG1" i="7"/>
  <c r="EK7" i="7" a="1"/>
  <c r="EK7" i="7" s="1"/>
  <c r="EH6" i="7" a="1"/>
  <c r="EH6" i="7" s="1"/>
  <c r="EI7" i="7" s="1"/>
  <c r="EK4" i="7" a="1"/>
  <c r="EK4" i="7" s="1"/>
  <c r="EK3" i="7" a="1"/>
  <c r="EK3" i="7" s="1"/>
  <c r="EG7" i="7"/>
  <c r="EO1" i="7" a="1"/>
  <c r="EO4" i="7" a="1"/>
  <c r="EO4" i="7" l="1"/>
  <c r="EO1" i="7"/>
  <c r="EG10" i="7"/>
  <c r="EH10" i="7" a="1"/>
  <c r="EH10" i="7" l="1"/>
  <c r="EM9" i="7"/>
  <c r="EN7" i="7"/>
  <c r="EN6" i="7" a="1"/>
  <c r="EN6" i="7" s="1"/>
  <c r="ER7" i="7" a="1"/>
  <c r="ER7" i="7" s="1"/>
  <c r="ER6" i="7" a="1"/>
  <c r="ER6" i="7" s="1"/>
  <c r="ER4" i="7" a="1"/>
  <c r="ER4" i="7" s="1"/>
  <c r="ER3" i="7" a="1"/>
  <c r="ER3" i="7" s="1"/>
  <c r="ER2" i="7" a="1"/>
  <c r="ER2" i="7" s="1"/>
  <c r="ES1" i="7" a="1"/>
  <c r="ES1" i="7" s="1"/>
  <c r="EN1" i="7"/>
  <c r="EP6" i="7" a="1"/>
  <c r="EP6" i="7" s="1"/>
  <c r="EO3" i="7" a="1"/>
  <c r="EO3" i="7" s="1"/>
  <c r="EO6" i="7" a="1"/>
  <c r="EO6" i="7" s="1"/>
  <c r="EP7" i="7" s="1"/>
  <c r="EH12" i="7" a="1"/>
  <c r="EH9" i="7" a="1"/>
  <c r="EH9" i="7" l="1"/>
  <c r="EH12" i="7"/>
  <c r="EN10" i="7"/>
  <c r="EO10" i="7" a="1"/>
  <c r="EO10" i="7" l="1"/>
  <c r="EF17" i="7"/>
  <c r="EG9" i="7"/>
  <c r="EH11" i="7" a="1"/>
  <c r="EH11" i="7" s="1"/>
  <c r="EK15" i="7" a="1"/>
  <c r="EK15" i="7" s="1"/>
  <c r="EH14" i="7" a="1"/>
  <c r="EH14" i="7" s="1"/>
  <c r="EI15" i="7" s="1"/>
  <c r="EK12" i="7" a="1"/>
  <c r="EK12" i="7" s="1"/>
  <c r="EK11" i="7" a="1"/>
  <c r="EK11" i="7" s="1"/>
  <c r="EG14" i="7" a="1"/>
  <c r="EG14" i="7" s="1"/>
  <c r="EK10" i="7" a="1"/>
  <c r="EK10" i="7" s="1"/>
  <c r="EL9" i="7" a="1"/>
  <c r="EL9" i="7" s="1"/>
  <c r="EI14" i="7" a="1"/>
  <c r="EI14" i="7" s="1"/>
  <c r="EK14" i="7" a="1"/>
  <c r="EK14" i="7" s="1"/>
  <c r="EG15" i="7"/>
  <c r="EO9" i="7" a="1"/>
  <c r="EO12" i="7" a="1"/>
  <c r="EO12" i="7" l="1"/>
  <c r="EO9" i="7"/>
  <c r="EG18" i="7"/>
  <c r="EH18" i="7" a="1"/>
  <c r="EH18" i="7" l="1"/>
  <c r="EM17" i="7"/>
  <c r="EN15" i="7"/>
  <c r="ER10" i="7" a="1"/>
  <c r="ER10" i="7" s="1"/>
  <c r="EO14" i="7" a="1"/>
  <c r="EO14" i="7" s="1"/>
  <c r="EP15" i="7" s="1"/>
  <c r="EN9" i="7"/>
  <c r="EN14" i="7" a="1"/>
  <c r="EN14" i="7" s="1"/>
  <c r="ES9" i="7" a="1"/>
  <c r="ES9" i="7" s="1"/>
  <c r="EP14" i="7" a="1"/>
  <c r="EP14" i="7" s="1"/>
  <c r="ER15" i="7" a="1"/>
  <c r="ER15" i="7" s="1"/>
  <c r="ER14" i="7" a="1"/>
  <c r="ER14" i="7" s="1"/>
  <c r="ER12" i="7" a="1"/>
  <c r="ER12" i="7" s="1"/>
  <c r="ER11" i="7" a="1"/>
  <c r="ER11" i="7" s="1"/>
  <c r="EO11" i="7" a="1"/>
  <c r="EO11" i="7" s="1"/>
  <c r="EH17" i="7" a="1"/>
  <c r="EH20" i="7" a="1"/>
  <c r="EH20" i="7" l="1"/>
  <c r="EH17" i="7"/>
  <c r="EN18" i="7"/>
  <c r="EO18" i="7" a="1"/>
  <c r="EO18" i="7" l="1"/>
  <c r="EF25" i="7"/>
  <c r="EG23" i="7"/>
  <c r="EK22" i="7" a="1"/>
  <c r="EK22" i="7" s="1"/>
  <c r="EL17" i="7" a="1"/>
  <c r="EL17" i="7" s="1"/>
  <c r="EI22" i="7" a="1"/>
  <c r="EI22" i="7" s="1"/>
  <c r="EG17" i="7"/>
  <c r="EK23" i="7" a="1"/>
  <c r="EK23" i="7" s="1"/>
  <c r="EH22" i="7" a="1"/>
  <c r="EH22" i="7" s="1"/>
  <c r="EI23" i="7" s="1"/>
  <c r="EK20" i="7" a="1"/>
  <c r="EK20" i="7" s="1"/>
  <c r="EK19" i="7" a="1"/>
  <c r="EK19" i="7" s="1"/>
  <c r="EK18" i="7" a="1"/>
  <c r="EK18" i="7" s="1"/>
  <c r="EG22" i="7" a="1"/>
  <c r="EG22" i="7" s="1"/>
  <c r="EH19" i="7" a="1"/>
  <c r="EH19" i="7" s="1"/>
  <c r="EO20" i="7" a="1"/>
  <c r="EO17" i="7" a="1"/>
  <c r="EO17" i="7" l="1"/>
  <c r="EO20" i="7"/>
  <c r="EG26" i="7"/>
  <c r="EH26" i="7" a="1"/>
  <c r="EH26" i="7" l="1"/>
  <c r="EM25" i="7"/>
  <c r="ER23" i="7" a="1"/>
  <c r="ER23" i="7" s="1"/>
  <c r="ER22" i="7" a="1"/>
  <c r="ER22" i="7" s="1"/>
  <c r="ER20" i="7" a="1"/>
  <c r="ER20" i="7" s="1"/>
  <c r="ER19" i="7" a="1"/>
  <c r="ER19" i="7" s="1"/>
  <c r="ER18" i="7" a="1"/>
  <c r="ER18" i="7" s="1"/>
  <c r="EP22" i="7" a="1"/>
  <c r="EP22" i="7" s="1"/>
  <c r="EO19" i="7" a="1"/>
  <c r="EO19" i="7" s="1"/>
  <c r="ES17" i="7" a="1"/>
  <c r="ES17" i="7" s="1"/>
  <c r="EO22" i="7" a="1"/>
  <c r="EO22" i="7" s="1"/>
  <c r="EP23" i="7" s="1"/>
  <c r="EN17" i="7"/>
  <c r="EN22" i="7" a="1"/>
  <c r="EN22" i="7" s="1"/>
  <c r="EN23" i="7"/>
  <c r="EH28" i="7" a="1"/>
  <c r="EH25" i="7" a="1"/>
  <c r="EH25" i="7" l="1"/>
  <c r="EH28" i="7"/>
  <c r="EN26" i="7"/>
  <c r="EO26" i="7" a="1"/>
  <c r="EO26" i="7" l="1"/>
  <c r="EF33" i="7"/>
  <c r="EG31" i="7"/>
  <c r="EK26" i="7" a="1"/>
  <c r="EK26" i="7" s="1"/>
  <c r="EH30" i="7" a="1"/>
  <c r="EH30" i="7" s="1"/>
  <c r="EI31" i="7" s="1"/>
  <c r="EG30" i="7" a="1"/>
  <c r="EG30" i="7" s="1"/>
  <c r="EH27" i="7" a="1"/>
  <c r="EH27" i="7" s="1"/>
  <c r="EK30" i="7" a="1"/>
  <c r="EK30" i="7" s="1"/>
  <c r="EL25" i="7" a="1"/>
  <c r="EL25" i="7" s="1"/>
  <c r="EK28" i="7" a="1"/>
  <c r="EK28" i="7" s="1"/>
  <c r="EK31" i="7" a="1"/>
  <c r="EK31" i="7" s="1"/>
  <c r="EI30" i="7" a="1"/>
  <c r="EI30" i="7" s="1"/>
  <c r="EG25" i="7"/>
  <c r="EK27" i="7" a="1"/>
  <c r="EK27" i="7" s="1"/>
  <c r="EO25" i="7" a="1"/>
  <c r="EO28" i="7" a="1"/>
  <c r="EO28" i="7" l="1"/>
  <c r="EO25" i="7"/>
  <c r="EG34" i="7"/>
  <c r="EH34" i="7" a="1"/>
  <c r="EH34" i="7" l="1"/>
  <c r="EM33" i="7"/>
  <c r="EN25" i="7"/>
  <c r="EN30" i="7" a="1"/>
  <c r="EN30" i="7" s="1"/>
  <c r="ER31" i="7" a="1"/>
  <c r="ER31" i="7" s="1"/>
  <c r="ER30" i="7" a="1"/>
  <c r="ER30" i="7" s="1"/>
  <c r="ER28" i="7" a="1"/>
  <c r="ER28" i="7" s="1"/>
  <c r="ER27" i="7" a="1"/>
  <c r="ER27" i="7" s="1"/>
  <c r="ER26" i="7" a="1"/>
  <c r="ER26" i="7" s="1"/>
  <c r="EP30" i="7" a="1"/>
  <c r="EP30" i="7" s="1"/>
  <c r="EO27" i="7" a="1"/>
  <c r="EO27" i="7" s="1"/>
  <c r="ES25" i="7" a="1"/>
  <c r="ES25" i="7" s="1"/>
  <c r="EO30" i="7" a="1"/>
  <c r="EO30" i="7" s="1"/>
  <c r="EP31" i="7" s="1"/>
  <c r="EN31" i="7"/>
  <c r="EH36" i="7" a="1"/>
  <c r="EH33" i="7" a="1"/>
  <c r="EH33" i="7" l="1"/>
  <c r="EH36" i="7"/>
  <c r="EN34" i="7"/>
  <c r="EO34" i="7" a="1"/>
  <c r="EO34" i="7" l="1"/>
  <c r="EF41" i="7"/>
  <c r="EG39" i="7"/>
  <c r="EI38" i="7" a="1"/>
  <c r="EI38" i="7" s="1"/>
  <c r="EG33" i="7"/>
  <c r="EK39" i="7" a="1"/>
  <c r="EK39" i="7" s="1"/>
  <c r="EH38" i="7" a="1"/>
  <c r="EH38" i="7" s="1"/>
  <c r="EI39" i="7" s="1"/>
  <c r="EK36" i="7" a="1"/>
  <c r="EK36" i="7" s="1"/>
  <c r="EK35" i="7" a="1"/>
  <c r="EK35" i="7" s="1"/>
  <c r="EK34" i="7" a="1"/>
  <c r="EK34" i="7" s="1"/>
  <c r="EG38" i="7" a="1"/>
  <c r="EG38" i="7" s="1"/>
  <c r="EH35" i="7" a="1"/>
  <c r="EH35" i="7" s="1"/>
  <c r="EK38" i="7" a="1"/>
  <c r="EK38" i="7" s="1"/>
  <c r="EL33" i="7" a="1"/>
  <c r="EL33" i="7" s="1"/>
  <c r="EO36" i="7" a="1"/>
  <c r="EO33" i="7" a="1"/>
  <c r="EO33" i="7" l="1"/>
  <c r="EO36" i="7"/>
  <c r="EG42" i="7"/>
  <c r="EH42" i="7" a="1"/>
  <c r="EH42" i="7" l="1"/>
  <c r="EM41" i="7"/>
  <c r="EN39" i="7"/>
  <c r="EP38" i="7" a="1"/>
  <c r="EP38" i="7" s="1"/>
  <c r="EO35" i="7" a="1"/>
  <c r="EO35" i="7" s="1"/>
  <c r="ES33" i="7" a="1"/>
  <c r="ES33" i="7" s="1"/>
  <c r="EO38" i="7" a="1"/>
  <c r="EO38" i="7" s="1"/>
  <c r="EP39" i="7" s="1"/>
  <c r="EN33" i="7"/>
  <c r="EN38" i="7" a="1"/>
  <c r="EN38" i="7" s="1"/>
  <c r="ER39" i="7" a="1"/>
  <c r="ER39" i="7" s="1"/>
  <c r="ER38" i="7" a="1"/>
  <c r="ER38" i="7" s="1"/>
  <c r="ER36" i="7" a="1"/>
  <c r="ER36" i="7" s="1"/>
  <c r="ER35" i="7" a="1"/>
  <c r="ER35" i="7" s="1"/>
  <c r="ER34" i="7" a="1"/>
  <c r="ER34" i="7" s="1"/>
  <c r="EH41" i="7" a="1"/>
  <c r="EH44" i="7" a="1"/>
  <c r="EH44" i="7" l="1"/>
  <c r="EH41" i="7"/>
  <c r="EN42" i="7"/>
  <c r="EO42" i="7" a="1"/>
  <c r="EO42" i="7" l="1"/>
  <c r="EK46" i="7" a="1"/>
  <c r="EK46" i="7" s="1"/>
  <c r="EL41" i="7" a="1"/>
  <c r="EL41" i="7" s="1"/>
  <c r="EH43" i="7" a="1"/>
  <c r="EH43" i="7" s="1"/>
  <c r="EG46" i="7" a="1"/>
  <c r="EG46" i="7" s="1"/>
  <c r="EI46" i="7" a="1"/>
  <c r="EI46" i="7" s="1"/>
  <c r="EG41" i="7"/>
  <c r="EK47" i="7" a="1"/>
  <c r="EK47" i="7" s="1"/>
  <c r="EH46" i="7" a="1"/>
  <c r="EH46" i="7" s="1"/>
  <c r="EI47" i="7" s="1"/>
  <c r="EK44" i="7" a="1"/>
  <c r="EK44" i="7" s="1"/>
  <c r="EK43" i="7" a="1"/>
  <c r="EK43" i="7" s="1"/>
  <c r="EK42" i="7" a="1"/>
  <c r="EK42" i="7" s="1"/>
  <c r="EG47" i="7"/>
  <c r="EO44" i="7" a="1"/>
  <c r="EO41" i="7" a="1"/>
  <c r="EO41" i="7" l="1"/>
  <c r="EO44" i="7"/>
  <c r="EN47" i="7" l="1"/>
  <c r="ER47" i="7" a="1"/>
  <c r="ER47" i="7" s="1"/>
  <c r="ER46" i="7" a="1"/>
  <c r="ER46" i="7" s="1"/>
  <c r="ER44" i="7" a="1"/>
  <c r="ER44" i="7" s="1"/>
  <c r="ER43" i="7" a="1"/>
  <c r="ER43" i="7" s="1"/>
  <c r="ER42" i="7" a="1"/>
  <c r="ER42" i="7" s="1"/>
  <c r="EP46" i="7" a="1"/>
  <c r="EP46" i="7" s="1"/>
  <c r="EO43" i="7" a="1"/>
  <c r="EO43" i="7" s="1"/>
  <c r="ES41" i="7" a="1"/>
  <c r="ES41" i="7" s="1"/>
  <c r="EN46" i="7" a="1"/>
  <c r="EN46" i="7" s="1"/>
  <c r="EO46" i="7" a="1"/>
  <c r="EO46" i="7" s="1"/>
  <c r="EP47" i="7" s="1"/>
  <c r="EN4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<sst xmlns="http://schemas.openxmlformats.org/spreadsheetml/2006/main" count="1700" uniqueCount="586">
  <si>
    <t>＊＊＊</t>
  </si>
  <si>
    <t>数出表</t>
  </si>
  <si>
    <t>上段：園児、下段：先生</t>
  </si>
  <si>
    <t>作成日</t>
  </si>
  <si>
    <t>赤</t>
  </si>
  <si>
    <t>カレー</t>
  </si>
  <si>
    <t>配膳ぶろ</t>
  </si>
  <si>
    <t>おやつ</t>
  </si>
  <si>
    <t>飯あり</t>
  </si>
  <si>
    <t>飯なし</t>
  </si>
  <si>
    <t>おにぎり</t>
  </si>
  <si>
    <t>三角</t>
  </si>
  <si>
    <t>半俵</t>
  </si>
  <si>
    <t>プチコンク</t>
  </si>
  <si>
    <t>キャラ弁（学食）</t>
  </si>
  <si>
    <t>キャラ弁当</t>
  </si>
  <si>
    <t>アレルギーの数を入力してください。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</si>
  <si>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</si>
  <si>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</si>
  <si>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</si>
  <si>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</si>
  <si>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</si>
  <si>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</si>
  <si>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</si>
  <si>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</si>
  <si>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</si>
  <si>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</si>
  <si>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</si>
  <si>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</si>
  <si>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</si>
  <si>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</si>
  <si>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</si>
  <si>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</si>
  <si>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</si>
  <si>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</si>
  <si>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</si>
  <si>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</si>
  <si>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</si>
  <si>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</si>
  <si>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</si>
  <si>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</si>
  <si>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</si>
  <si>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</si>
  <si>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</si>
  <si>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</si>
  <si>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</si>
  <si>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</si>
  <si>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</si>
  <si>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</si>
  <si>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</si>
  <si>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</si>
  <si>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</si>
  <si>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</si>
  <si>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</si>
  <si>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</si>
  <si>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</si>
  <si>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</si>
  <si>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</si>
  <si>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</si>
  <si>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</si>
  <si>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</si>
  <si>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</si>
  <si>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</si>
  <si>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</si>
  <si>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</si>
  <si>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</si>
  <si>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</si>
  <si>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</si>
  <si>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</si>
  <si>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</si>
  <si>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</si>
  <si>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</si>
  <si>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</si>
  <si>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</si>
  <si>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</si>
  <si>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</si>
  <si>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</si>
  <si>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</si>
  <si>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</si>
  <si>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</si>
  <si>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</si>
  <si>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</si>
  <si>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</si>
  <si>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</si>
  <si>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</si>
  <si>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</si>
  <si>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</si>
  <si>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</si>
  <si>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</si>
  <si>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</si>
  <si>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</si>
  <si>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</si>
  <si>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</si>
  <si>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</si>
  <si>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</si>
  <si>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</si>
  <si>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</si>
  <si>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</si>
  <si>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</si>
  <si>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</si>
  <si>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</si>
  <si>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</si>
  <si>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</si>
  <si>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</si>
  <si>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</si>
  <si>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</si>
  <si>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</si>
  <si>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</si>
  <si>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</si>
  <si>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</si>
  <si>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</si>
  <si>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</si>
  <si>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</si>
  <si>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</si>
  <si>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</si>
  <si>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</si>
  <si>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</si>
  <si>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</si>
  <si>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</si>
  <si>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</si>
  <si>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</si>
  <si>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</si>
  <si>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</si>
  <si>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</si>
  <si>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</si>
  <si>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</si>
  <si>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</si>
  <si>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</si>
  <si>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</si>
  <si>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</si>
  <si>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</si>
  <si>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</si>
  <si>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</si>
  <si>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</si>
  <si>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</si>
  <si>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</si>
  <si>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</si>
  <si>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</si>
  <si>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</si>
  <si>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</si>
  <si>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</si>
  <si>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</si>
  <si>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</si>
  <si>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</si>
  <si>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</si>
  <si>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</si>
  <si>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</si>
  <si>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</si>
  <si>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</si>
  <si>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</si>
  <si>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</si>
  <si>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</si>
  <si>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</si>
  <si>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</si>
  <si>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</si>
  <si>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</si>
  <si>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</si>
  <si>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</si>
  <si>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</si>
  <si>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</si>
  <si>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</si>
  <si>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</si>
  <si>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</si>
  <si>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</si>
  <si>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</si>
  <si>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</si>
  <si>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</si>
  <si>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</si>
  <si>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</si>
  <si>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</si>
  <si>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</si>
  <si>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</si>
  <si>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</si>
  <si>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</si>
  <si>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</si>
  <si>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</si>
  <si>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</si>
  <si>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</si>
  <si>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</si>
  <si>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</si>
  <si>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</si>
  <si>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</si>
  <si>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</si>
  <si>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</si>
  <si>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</si>
  <si>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</si>
  <si>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</si>
  <si>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</si>
  <si>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</si>
  <si>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</si>
  <si>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</si>
  <si>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</si>
  <si>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</si>
  <si>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</si>
  <si>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</si>
  <si>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</si>
  <si>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</si>
  <si>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</si>
  <si>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</si>
  <si>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</si>
  <si>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</si>
  <si>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</si>
  <si>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</si>
  <si>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</si>
  <si>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</si>
  <si>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</si>
  <si>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</si>
  <si>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</si>
  <si>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</si>
  <si>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</si>
  <si>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</si>
  <si>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</si>
  <si>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</si>
  <si>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</si>
  <si>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</si>
  <si>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</si>
  <si>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</si>
  <si>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</si>
  <si>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</si>
  <si>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</si>
  <si>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</si>
  <si>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</si>
  <si>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</si>
  <si>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</si>
  <si>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</si>
  <si>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</si>
  <si>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</si>
  <si>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</si>
  <si>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</si>
  <si>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</si>
  <si>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</si>
  <si>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</si>
  <si>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</si>
  <si>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</si>
  <si>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</si>
  <si>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</si>
  <si>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</si>
  <si>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</si>
  <si>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</si>
  <si>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</si>
  <si>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</si>
  <si>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</si>
  <si>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</si>
  <si>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</si>
  <si>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</si>
  <si>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</si>
  <si>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</si>
  <si>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</si>
  <si>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</si>
  <si>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</si>
  <si>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</si>
  <si>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</si>
  <si>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</si>
  <si>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</si>
  <si>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</si>
  <si>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</si>
  <si>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</si>
  <si>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</si>
  <si>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</si>
  <si>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</si>
  <si>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</si>
  <si>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</si>
  <si>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</si>
  <si>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</si>
  <si>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</si>
  <si>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</si>
  <si>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</si>
  <si>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</si>
  <si>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</si>
  <si>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</si>
  <si>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</si>
  <si>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</si>
  <si>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</si>
  <si>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</si>
  <si>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</si>
  <si>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</si>
  <si>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</si>
  <si>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</si>
  <si>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</si>
  <si>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</si>
  <si>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</si>
  <si>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</si>
  <si>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</si>
  <si>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</si>
  <si>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</si>
  <si>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</si>
  <si>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</si>
  <si>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</si>
  <si>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</si>
  <si>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</si>
  <si>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</si>
  <si>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</si>
  <si>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</si>
  <si>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</si>
  <si>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</si>
  <si>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</si>
  <si>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</si>
  <si>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</si>
  <si>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</si>
  <si>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</si>
  <si>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</si>
  <si>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</si>
  <si>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</si>
  <si>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</si>
  <si>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</si>
  <si>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</si>
  <si>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</si>
  <si>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</si>
  <si>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</si>
  <si>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</si>
  <si>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</si>
  <si>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</si>
  <si>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</si>
  <si>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</si>
  <si>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</si>
  <si>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</si>
  <si>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</si>
  <si>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</si>
  <si>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</si>
  <si>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</si>
  <si>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</si>
  <si>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</si>
  <si>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</si>
  <si>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</si>
  <si>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</si>
  <si>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</si>
  <si>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</si>
  <si>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</si>
  <si>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</si>
  <si>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</si>
  <si>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</si>
  <si>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</si>
  <si>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</si>
  <si>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</si>
  <si>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</si>
  <si>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</si>
  <si>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</si>
  <si>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</si>
  <si>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</si>
  <si>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</si>
  <si>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</si>
  <si>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</si>
  <si>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</si>
  <si>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</si>
  <si>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</si>
  <si>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</si>
  <si>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</si>
  <si>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</si>
  <si>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</si>
  <si>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</si>
  <si>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</si>
  <si>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</si>
  <si>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</si>
  <si>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</si>
  <si>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</si>
  <si>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</si>
  <si>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</si>
  <si>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</si>
  <si>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</si>
  <si>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</si>
  <si>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</si>
  <si>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</si>
  <si>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</si>
  <si>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</si>
  <si>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</si>
  <si>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</si>
  <si>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</si>
  <si>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</si>
  <si>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</si>
  <si>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</si>
  <si>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</si>
  <si>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</si>
  <si>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</si>
  <si>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</si>
  <si>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</si>
  <si>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</si>
  <si>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</si>
  <si>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</si>
  <si>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</si>
  <si>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</si>
  <si>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</si>
  <si>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</si>
  <si>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</si>
  <si>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</si>
  <si>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</si>
  <si>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</si>
  <si>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</si>
  <si>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</si>
  <si>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</si>
  <si>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</si>
  <si>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</si>
  <si>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</si>
  <si>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</si>
  <si>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</si>
  <si>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</si>
  <si>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</si>
  <si>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</si>
  <si>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</si>
  <si>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</si>
  <si>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</si>
  <si>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</si>
  <si>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</si>
  <si>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</si>
  <si>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</si>
  <si>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</si>
  <si>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</si>
  <si>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</si>
  <si>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</si>
  <si>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</si>
  <si>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</si>
  <si>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</si>
  <si>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</si>
  <si>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</si>
  <si>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</si>
  <si>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</si>
  <si>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</si>
  <si>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</si>
  <si>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</si>
  <si>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</si>
  <si>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</si>
  <si>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</si>
  <si>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</si>
  <si>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</si>
  <si>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</si>
  <si>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</si>
  <si>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</si>
  <si>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</si>
  <si>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</si>
  <si>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</si>
  <si>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</si>
  <si>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</si>
  <si>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</si>
  <si>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</si>
  <si>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</si>
  <si>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</si>
  <si>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</si>
  <si>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</si>
  <si>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</si>
  <si>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</si>
  <si>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</si>
  <si>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</si>
  <si>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</si>
  <si>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</si>
  <si>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</si>
  <si>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</si>
  <si>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</si>
  <si>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</si>
  <si>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</si>
  <si>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</si>
  <si>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</si>
  <si>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</si>
  <si>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</si>
  <si>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</si>
  <si>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</si>
  <si>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</si>
  <si>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</si>
  <si>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</si>
  <si>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</si>
  <si>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</si>
  <si>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</si>
  <si>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</si>
  <si>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</si>
  <si>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</si>
  <si>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</si>
  <si>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</si>
  <si>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</si>
  <si>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</si>
  <si>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</si>
  <si>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</si>
  <si>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</si>
  <si>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</si>
  <si>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</si>
  <si>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</si>
  <si>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</si>
  <si>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</si>
  <si>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</si>
  <si>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</si>
  <si>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</si>
  <si>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</si>
  <si>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</si>
  <si>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</si>
  <si>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</si>
  <si>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</si>
  <si>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</si>
  <si>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</si>
  <si>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</si>
  <si>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</si>
  <si>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</si>
  <si>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</si>
  <si>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</si>
  <si>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</si>
  <si>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</si>
  <si>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</si>
  <si>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</si>
  <si>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</si>
  <si>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</si>
  <si>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</si>
  <si>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</si>
  <si>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</si>
  <si>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</si>
  <si>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</si>
  <si>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</si>
  <si>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</si>
  <si>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</si>
  <si>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</si>
  <si>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</si>
  <si>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</si>
  <si>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</si>
  <si>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</si>
  <si>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</si>
  <si>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</si>
  <si>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</si>
  <si>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</si>
  <si>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</si>
  <si>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</si>
  <si>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</si>
  <si>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</si>
  <si>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</si>
  <si>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</si>
  <si>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</si>
  <si>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</si>
  <si>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</si>
  <si>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</si>
  <si>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</si>
  <si>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</si>
  <si>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</si>
  <si>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</si>
  <si>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</si>
  <si>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</si>
  <si>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</si>
  <si>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</si>
  <si>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</si>
  <si>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</si>
  <si>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</si>
  <si>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</si>
  <si>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</si>
  <si>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</si>
  <si>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</si>
  <si>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</si>
  <si>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</si>
  <si>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</si>
  <si>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</si>
  <si>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</si>
  <si>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</si>
  <si>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</si>
  <si>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</si>
  <si>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</si>
  <si>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</si>
  <si>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</si>
  <si>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</si>
  <si>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</si>
  <si>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</si>
  <si>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</si>
  <si>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</si>
  <si>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</si>
  <si>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</si>
  <si>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</si>
  <si>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</si>
  <si>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</si>
  <si>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</si>
  <si>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</si>
  <si>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</si>
  <si>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</si>
  <si>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</si>
  <si>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</si>
  <si>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</si>
  <si>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</si>
  <si>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</si>
  <si>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</si>
  <si>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</si>
  <si>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</si>
  <si>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</si>
  <si>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</si>
  <si>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</si>
  <si>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</si>
  <si>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</si>
  <si>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</si>
  <si>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</si>
  <si>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</si>
  <si>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</si>
  <si>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</si>
  <si>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園名</t>
    <phoneticPr fontId="1"/>
  </si>
  <si>
    <t>飯あり</t>
    <phoneticPr fontId="1"/>
  </si>
  <si>
    <t>園名</t>
    <rPh sb="0" eb="2">
      <t>エンメイ</t>
    </rPh>
    <phoneticPr fontId="1"/>
  </si>
  <si>
    <t>.</t>
    <phoneticPr fontId="1"/>
  </si>
  <si>
    <t>IF(COUNTIF(C1,"*①*"),1,
IF(COUNTIF(C1,"*②*"),2,
IF(COUNTIF(C1,"*③*"),3,
IF(COUNTIF(C1,"*④*"),4,
IF(COUNTIF(C1,"*⑤*"),5,
IF(COUNTIF(C1,"*⑥*"),6,
IF(COUNTIF(C1,"*⑦*"),7,
IF(COUNTIF(C1,"*⑧*"),8,
IF(COUNTIF(C1,"*⑨*"),9,0)))))))))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</si>
</sst>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3" fillId="7" borderId="30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35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30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9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32" fillId="0" borderId="0" xfId="0" applyFont="1" applyBorder="1" applyAlignment="1">
      <alignment horizontal="center"/>
    </xf>
    <xf numFmtId="0" fontId="31" fillId="10" borderId="0" xfId="0" applyFont="1" applyFill="1">
      <alignment vertical="center"/>
    </xf>
    <xf numFmtId="0" fontId="31" fillId="10" borderId="0" xfId="0" applyFont="1" applyFill="1" applyAlignment="1"/>
    <xf numFmtId="0" fontId="31" fillId="0" borderId="9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45" zoomScale="60" zoomScaleNormal="60" workbookViewId="0">
      <selection activeCell="A45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L45" sqref="L45"/>
    </sheetView>
  </sheetViews>
  <sheetFormatPr defaultRowHeight="18" x14ac:dyDescent="0.45"/>
  <cols>
    <col min="1" max="1" width="26.69921875" style="60" customWidth="1"/>
    <col min="2" max="11" width="8.796875" style="59" customWidth="1"/>
    <col min="12" max="20" width="11.3984375" style="61" customWidth="1"/>
    <col min="21" max="21" width="11.3984375" style="61" hidden="1" customWidth="1"/>
    <col min="22" max="22" width="32.796875" style="60" customWidth="1"/>
    <col min="23" max="23" width="27.69921875" style="60" customWidth="1"/>
  </cols>
  <sheetData>
    <row r="1" spans="1:23" x14ac:dyDescent="0.45">
      <c r="A1"/>
      <c r="L1" s="59"/>
      <c r="M1" s="59"/>
      <c r="N1" s="59"/>
      <c r="O1" s="59"/>
      <c r="P1" s="59"/>
      <c r="Q1" s="59"/>
      <c r="R1" s="59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9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9"/>
      <c r="U1" s="59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2" t="s">
        <v>14</v>
      </c>
      <c r="C3" s="53" t="s">
        <v>14</v>
      </c>
      <c r="D3" s="52" t="s">
        <v>15</v>
      </c>
      <c r="E3" s="54" t="s">
        <v>15</v>
      </c>
      <c r="F3" s="53" t="s">
        <v>15</v>
      </c>
      <c r="G3" s="52" t="s">
        <v>4</v>
      </c>
      <c r="H3" s="54" t="s">
        <v>4</v>
      </c>
      <c r="I3" s="54" t="s">
        <v>4</v>
      </c>
      <c r="J3" s="54" t="s">
        <v>4</v>
      </c>
      <c r="K3" s="53" t="s">
        <v>4</v>
      </c>
      <c r="L3" s="212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212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212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212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212" t="str" cm="1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212" t="str" cm="1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212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212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82" t="s">
        <v>7</v>
      </c>
      <c r="U3" s="20"/>
      <c r="V3" s="6"/>
      <c r="W3" s="7"/>
    </row>
    <row r="4" spans="1:23" x14ac:dyDescent="0.45">
      <c r="A4" s="2" t="s">
        <v>583</v>
      </c>
      <c r="B4" s="18" t="s">
        <v>8</v>
      </c>
      <c r="C4" s="18" t="s">
        <v>8</v>
      </c>
      <c r="D4" s="18" t="s">
        <v>8</v>
      </c>
      <c r="E4" s="18" t="s">
        <v>10</v>
      </c>
      <c r="F4" s="18" t="s">
        <v>9</v>
      </c>
      <c r="G4" s="18" t="s">
        <v>8</v>
      </c>
      <c r="H4" s="18" t="s">
        <v>8</v>
      </c>
      <c r="I4" s="18" t="s">
        <v>10</v>
      </c>
      <c r="J4" s="18" t="s">
        <v>10</v>
      </c>
      <c r="K4" s="18" t="s">
        <v>9</v>
      </c>
      <c r="L4" s="182"/>
      <c r="M4" s="182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82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82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82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82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82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82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82"/>
      <c r="U4" s="48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11</v>
      </c>
      <c r="F5" s="18"/>
      <c r="G5" s="18">
        <v>120</v>
      </c>
      <c r="H5" s="18">
        <v>100</v>
      </c>
      <c r="I5" s="18" t="s">
        <v>11</v>
      </c>
      <c r="J5" s="18" t="s">
        <v>12</v>
      </c>
      <c r="K5" s="18"/>
      <c r="L5" s="182"/>
      <c r="M5" s="182" t="str">
        <f t="shared" ref="M5:S5" si="0">SUBSTITUTE(SUBSTITUTE(L3,"　","")," ","")</f>
        <v>商品予定名</v>
      </c>
      <c r="N5" s="182" t="str">
        <f t="shared" ca="1" si="0"/>
        <v/>
      </c>
      <c r="O5" s="182" t="str">
        <f t="shared" ca="1" si="0"/>
        <v/>
      </c>
      <c r="P5" s="182" t="str">
        <f t="shared" ca="1" si="0"/>
        <v/>
      </c>
      <c r="Q5" s="182" t="str">
        <f t="shared" ca="1" si="0"/>
        <v/>
      </c>
      <c r="R5" s="182" t="str">
        <f t="shared" ca="1" si="0"/>
        <v/>
      </c>
      <c r="S5" s="182" t="str">
        <f t="shared" ca="1" si="0"/>
        <v/>
      </c>
      <c r="T5" s="182"/>
      <c r="U5" s="49"/>
      <c r="V5" s="21"/>
      <c r="W5" s="1"/>
    </row>
    <row r="6" spans="1:23" x14ac:dyDescent="0.45">
      <c r="A6" s="4" t="e" cm="1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9" t="e">
        <f ca="1">IF(VLOOKUP($A6,貼り付け用!$A$1:$BA$300,COLUMN(),FALSE)=0,"",VLOOKUP($A6,貼り付け用!$A$1:$BA$300,COLUMN(),FALSE))</f>
        <v>#N/A</v>
      </c>
      <c r="C6" s="19" t="e">
        <f ca="1">IF(VLOOKUP($A6,貼り付け用!$A$1:$BA$300,COLUMN(),FALSE)=0,"",VLOOKUP($A6,貼り付け用!$A$1:$BA$300,COLUMN(),FALSE))</f>
        <v>#N/A</v>
      </c>
      <c r="D6" s="19" t="e">
        <f ca="1">IF(VLOOKUP($A6,貼り付け用!$A$1:$BA$300,COLUMN(),FALSE)=0,"",VLOOKUP($A6,貼り付け用!$A$1:$BA$300,COLUMN(),FALSE))</f>
        <v>#N/A</v>
      </c>
      <c r="E6" s="19" t="e">
        <f ca="1">IF(VLOOKUP($A6,貼り付け用!$A$1:$BA$300,COLUMN(),FALSE)=0,"",VLOOKUP($A6,貼り付け用!$A$1:$BA$300,COLUMN(),FALSE))</f>
        <v>#N/A</v>
      </c>
      <c r="F6" s="19" t="e">
        <f ca="1">IF(VLOOKUP($A6,貼り付け用!$A$1:$BA$300,COLUMN(),FALSE)=0,"",VLOOKUP($A6,貼り付け用!$A$1:$BA$300,COLUMN(),FALSE))</f>
        <v>#N/A</v>
      </c>
      <c r="G6" s="19" t="e">
        <f ca="1">IF(VLOOKUP($A6,貼り付け用!$A$1:$BA$300,COLUMN(),FALSE)=0,"",VLOOKUP($A6,貼り付け用!$A$1:$BA$300,COLUMN(),FALSE))</f>
        <v>#N/A</v>
      </c>
      <c r="H6" s="19" t="e">
        <f ca="1">IF(VLOOKUP($A6,貼り付け用!$A$1:$BA$300,COLUMN(),FALSE)=0,"",VLOOKUP($A6,貼り付け用!$A$1:$BA$300,COLUMN(),FALSE))</f>
        <v>#N/A</v>
      </c>
      <c r="I6" s="19" t="e">
        <f ca="1">IF(VLOOKUP($A6,貼り付け用!$A$1:$BA$300,COLUMN(),FALSE)=0,"",VLOOKUP($A6,貼り付け用!$A$1:$BA$300,COLUMN(),FALSE))</f>
        <v>#N/A</v>
      </c>
      <c r="J6" s="19" t="e">
        <f ca="1">IF(VLOOKUP($A6,貼り付け用!$A$1:$BA$300,COLUMN(),FALSE)=0,"",VLOOKUP($A6,貼り付け用!$A$1:$BA$300,COLUMN(),FALSE))</f>
        <v>#N/A</v>
      </c>
      <c r="K6" s="19" t="e">
        <f ca="1">IF(VLOOKUP($A6,貼り付け用!$A$1:$BA$300,COLUMN(),FALSE)=0,"",VLOOKUP($A6,貼り付け用!$A$1:$BA$300,COLUMN(),FALSE))</f>
        <v>#N/A</v>
      </c>
      <c r="L6" s="19" t="e">
        <f ca="1">IF(VLOOKUP($A6,貼り付け用!$A$1:$BA$300,COLUMN(),FALSE)=0,"",VLOOKUP($A6,貼り付け用!$A$1:$BA$300,COLUMN(),FALSE))</f>
        <v>#N/A</v>
      </c>
      <c r="M6" s="19" t="e">
        <f ca="1">IF(VLOOKUP($A6,貼り付け用!$A$1:$BA$300,COLUMN(),FALSE)=0,"",VLOOKUP($A6,貼り付け用!$A$1:$BA$300,COLUMN(),FALSE))</f>
        <v>#N/A</v>
      </c>
      <c r="N6" s="19" t="e">
        <f ca="1">IF(VLOOKUP($A6,貼り付け用!$A$1:$BA$300,COLUMN(),FALSE)=0,"",VLOOKUP($A6,貼り付け用!$A$1:$BA$300,COLUMN(),FALSE))</f>
        <v>#N/A</v>
      </c>
      <c r="O6" s="19" t="e">
        <f ca="1">IF(VLOOKUP($A6,貼り付け用!$A$1:$BA$300,COLUMN(),FALSE)=0,"",VLOOKUP($A6,貼り付け用!$A$1:$BA$300,COLUMN(),FALSE))</f>
        <v>#N/A</v>
      </c>
      <c r="P6" s="19" t="e">
        <f ca="1">IF(VLOOKUP($A6,貼り付け用!$A$1:$BA$300,COLUMN(),FALSE)=0,"",VLOOKUP($A6,貼り付け用!$A$1:$BA$300,COLUMN(),FALSE))</f>
        <v>#N/A</v>
      </c>
      <c r="Q6" s="19" t="e">
        <f ca="1">IF(VLOOKUP($A6,貼り付け用!$A$1:$BA$300,COLUMN(),FALSE)=0,"",VLOOKUP($A6,貼り付け用!$A$1:$BA$300,COLUMN(),FALSE))</f>
        <v>#N/A</v>
      </c>
      <c r="R6" s="19" t="e">
        <f ca="1">IF(VLOOKUP($A6,貼り付け用!$A$1:$BA$300,COLUMN(),FALSE)=0,"",VLOOKUP($A6,貼り付け用!$A$1:$BA$300,COLUMN(),FALSE))</f>
        <v>#N/A</v>
      </c>
      <c r="S6" s="19" t="e">
        <f ca="1">IF(VLOOKUP($A6,貼り付け用!$A$1:$BA$300,COLUMN(),FALSE)=0,"",VLOOKUP($A6,貼り付け用!$A$1:$BA$300,COLUMN(),FALSE))</f>
        <v>#N/A</v>
      </c>
      <c r="T6" s="19" t="e">
        <f ca="1">IF(VLOOKUP($A6,貼り付け用!$A$1:$BA$300,COLUMN(),FALSE)=0,"",VLOOKUP($A6,貼り付け用!$A$1:$BA$300,COLUMN(),FALSE))</f>
        <v>#N/A</v>
      </c>
      <c r="U6" s="16"/>
      <c r="V6" s="19" t="e">
        <f ca="1">IF(A6&lt;&gt;"",
IF(VLOOKUP($A6,貼り付け用!$A$1:$BA$300,COLUMN()-1,FALSE)=0,"",VLOOKUP($A6,貼り付け用!$A$1:$BA$300,COLUMN()-1,FALSE)),"")</f>
        <v>#N/A</v>
      </c>
      <c r="W6" s="19" t="e">
        <f ca="1">IF(A6&lt;&gt;"",
IF(VLOOKUP($A6,貼り付け用!$A$1:$BA$300,COLUMN()-1,FALSE)=0,"",VLOOKUP($A6,貼り付け用!$A$1:$BA$300,COLUMN()-1,FALSE)),"")</f>
        <v>#N/A</v>
      </c>
    </row>
    <row r="7" spans="1:23" x14ac:dyDescent="0.45">
      <c r="A7" s="10" t="e" cm="1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IF(VLOOKUP($A7,貼り付け用!$A$1:$BA$300,COLUMN(),FALSE)=0,"",VLOOKUP($A7,貼り付け用!$A$1:$BA$300,COLUMN(),FALSE))</f>
        <v>#N/A</v>
      </c>
      <c r="M7" s="3" t="e">
        <f ca="1">IF(VLOOKUP($A7,貼り付け用!$A$1:$BA$300,COLUMN(),FALSE)=0,"",VLOOKUP($A7,貼り付け用!$A$1:$BA$300,COLUMN(),FALSE))</f>
        <v>#N/A</v>
      </c>
      <c r="N7" s="3" t="e">
        <f ca="1">IF(VLOOKUP($A7,貼り付け用!$A$1:$BA$300,COLUMN(),FALSE)=0,"",VLOOKUP($A7,貼り付け用!$A$1:$BA$300,COLUMN(),FALSE))</f>
        <v>#N/A</v>
      </c>
      <c r="O7" s="3" t="e">
        <f ca="1">IF(VLOOKUP($A7,貼り付け用!$A$1:$BA$300,COLUMN(),FALSE)=0,"",VLOOKUP($A7,貼り付け用!$A$1:$BA$300,COLUMN(),FALSE))</f>
        <v>#N/A</v>
      </c>
      <c r="P7" s="3" t="e">
        <f ca="1">IF(VLOOKUP($A7,貼り付け用!$A$1:$BA$300,COLUMN(),FALSE)=0,"",VLOOKUP($A7,貼り付け用!$A$1:$BA$300,COLUMN(),FALSE))</f>
        <v>#N/A</v>
      </c>
      <c r="Q7" s="3" t="e">
        <f ca="1">IF(VLOOKUP($A7,貼り付け用!$A$1:$BA$300,COLUMN(),FALSE)=0,"",VLOOKUP($A7,貼り付け用!$A$1:$BA$300,COLUMN(),FALSE))</f>
        <v>#N/A</v>
      </c>
      <c r="R7" s="3" t="e">
        <f ca="1">IF(VLOOKUP($A7,貼り付け用!$A$1:$BA$300,COLUMN(),FALSE)=0,"",VLOOKUP($A7,貼り付け用!$A$1:$BA$300,COLUMN(),FALSE))</f>
        <v>#N/A</v>
      </c>
      <c r="S7" s="3" t="e">
        <f ca="1">IF(VLOOKUP($A7,貼り付け用!$A$1:$BA$300,COLUMN(),FALSE)=0,"",VLOOKUP($A7,貼り付け用!$A$1:$BA$300,COLUMN(),FALSE))</f>
        <v>#N/A</v>
      </c>
      <c r="T7" s="3" t="e">
        <f ca="1">IF(VLOOKUP($A7,貼り付け用!$A$1:$BA$300,COLUMN(),FALSE)=0,"",VLOOKUP($A7,貼り付け用!$A$1:$BA$300,COLUMN(),FALSE))</f>
        <v>#N/A</v>
      </c>
      <c r="U7" s="50"/>
      <c r="V7" s="3" t="e">
        <f ca="1">IF(A7&lt;&gt;"",
IF(VLOOKUP($A7,貼り付け用!$A$1:$BA$300,COLUMN()-1,FALSE)=0,"",VLOOKUP($A7,貼り付け用!$A$1:$BA$300,COLUMN()-1,FALSE)),"")</f>
        <v>#N/A</v>
      </c>
      <c r="W7" s="3" t="e">
        <f ca="1">IF(A7&lt;&gt;"",
IF(VLOOKUP($A7,貼り付け用!$A$1:$BA$300,COLUMN()-1,FALSE)=0,"",VLOOKUP($A7,貼り付け用!$A$1:$BA$300,COLUMN()-1,FALSE)),"")</f>
        <v>#N/A</v>
      </c>
    </row>
    <row r="8" spans="1:23" x14ac:dyDescent="0.45">
      <c r="A8" s="4" t="e" cm="1">
        <f t="array" aca="1" ref="A8" ca="1">IF(OR(COUNTIF(A6,"*合計*"),COUNTIF(A6,"")),"",INDEX(貼り付け用!$A:$A,MATCH(A6,貼り付け用!$A:$A,0)+2,0))</f>
        <v>#N/A</v>
      </c>
      <c r="B8" s="19" t="e">
        <f ca="1">IF(VLOOKUP($A8,貼り付け用!$A$1:$BA$300,COLUMN(),FALSE)=0,"",VLOOKUP($A8,貼り付け用!$A$1:$BA$300,COLUMN(),FALSE))</f>
        <v>#N/A</v>
      </c>
      <c r="C8" s="19" t="e">
        <f ca="1">IF(VLOOKUP($A8,貼り付け用!$A$1:$BA$300,COLUMN(),FALSE)=0,"",VLOOKUP($A8,貼り付け用!$A$1:$BA$300,COLUMN(),FALSE))</f>
        <v>#N/A</v>
      </c>
      <c r="D8" s="19" t="e">
        <f ca="1">IF(VLOOKUP($A8,貼り付け用!$A$1:$BA$300,COLUMN(),FALSE)=0,"",VLOOKUP($A8,貼り付け用!$A$1:$BA$300,COLUMN(),FALSE))</f>
        <v>#N/A</v>
      </c>
      <c r="E8" s="19" t="e">
        <f ca="1">IF(VLOOKUP($A8,貼り付け用!$A$1:$BA$300,COLUMN(),FALSE)=0,"",VLOOKUP($A8,貼り付け用!$A$1:$BA$300,COLUMN(),FALSE))</f>
        <v>#N/A</v>
      </c>
      <c r="F8" s="19" t="e">
        <f ca="1">IF(VLOOKUP($A8,貼り付け用!$A$1:$BA$300,COLUMN(),FALSE)=0,"",VLOOKUP($A8,貼り付け用!$A$1:$BA$300,COLUMN(),FALSE))</f>
        <v>#N/A</v>
      </c>
      <c r="G8" s="19" t="e">
        <f ca="1">IF(VLOOKUP($A8,貼り付け用!$A$1:$BA$300,COLUMN(),FALSE)=0,"",VLOOKUP($A8,貼り付け用!$A$1:$BA$300,COLUMN(),FALSE))</f>
        <v>#N/A</v>
      </c>
      <c r="H8" s="19" t="e">
        <f ca="1">IF(VLOOKUP($A8,貼り付け用!$A$1:$BA$300,COLUMN(),FALSE)=0,"",VLOOKUP($A8,貼り付け用!$A$1:$BA$300,COLUMN(),FALSE))</f>
        <v>#N/A</v>
      </c>
      <c r="I8" s="19" t="e">
        <f ca="1">IF(VLOOKUP($A8,貼り付け用!$A$1:$BA$300,COLUMN(),FALSE)=0,"",VLOOKUP($A8,貼り付け用!$A$1:$BA$300,COLUMN(),FALSE))</f>
        <v>#N/A</v>
      </c>
      <c r="J8" s="19" t="e">
        <f ca="1">IF(VLOOKUP($A8,貼り付け用!$A$1:$BA$300,COLUMN(),FALSE)=0,"",VLOOKUP($A8,貼り付け用!$A$1:$BA$300,COLUMN(),FALSE))</f>
        <v>#N/A</v>
      </c>
      <c r="K8" s="19" t="e">
        <f ca="1">IF(VLOOKUP($A8,貼り付け用!$A$1:$BA$300,COLUMN(),FALSE)=0,"",VLOOKUP($A8,貼り付け用!$A$1:$BA$300,COLUMN(),FALSE))</f>
        <v>#N/A</v>
      </c>
      <c r="L8" s="19" t="e">
        <f ca="1">IF(VLOOKUP($A8,貼り付け用!$A$1:$BA$300,COLUMN(),FALSE)=0,"",VLOOKUP($A8,貼り付け用!$A$1:$BA$300,COLUMN(),FALSE))</f>
        <v>#N/A</v>
      </c>
      <c r="M8" s="19" t="e">
        <f ca="1">IF(VLOOKUP($A8,貼り付け用!$A$1:$BA$300,COLUMN(),FALSE)=0,"",VLOOKUP($A8,貼り付け用!$A$1:$BA$300,COLUMN(),FALSE))</f>
        <v>#N/A</v>
      </c>
      <c r="N8" s="19" t="e">
        <f ca="1">IF(VLOOKUP($A8,貼り付け用!$A$1:$BA$300,COLUMN(),FALSE)=0,"",VLOOKUP($A8,貼り付け用!$A$1:$BA$300,COLUMN(),FALSE))</f>
        <v>#N/A</v>
      </c>
      <c r="O8" s="19" t="e">
        <f ca="1">IF(VLOOKUP($A8,貼り付け用!$A$1:$BA$300,COLUMN(),FALSE)=0,"",VLOOKUP($A8,貼り付け用!$A$1:$BA$300,COLUMN(),FALSE))</f>
        <v>#N/A</v>
      </c>
      <c r="P8" s="19" t="e">
        <f ca="1">IF(VLOOKUP($A8,貼り付け用!$A$1:$BA$300,COLUMN(),FALSE)=0,"",VLOOKUP($A8,貼り付け用!$A$1:$BA$300,COLUMN(),FALSE))</f>
        <v>#N/A</v>
      </c>
      <c r="Q8" s="19" t="e">
        <f ca="1">IF(VLOOKUP($A8,貼り付け用!$A$1:$BA$300,COLUMN(),FALSE)=0,"",VLOOKUP($A8,貼り付け用!$A$1:$BA$300,COLUMN(),FALSE))</f>
        <v>#N/A</v>
      </c>
      <c r="R8" s="19" t="e">
        <f ca="1">IF(VLOOKUP($A8,貼り付け用!$A$1:$BA$300,COLUMN(),FALSE)=0,"",VLOOKUP($A8,貼り付け用!$A$1:$BA$300,COLUMN(),FALSE))</f>
        <v>#N/A</v>
      </c>
      <c r="S8" s="19" t="e">
        <f ca="1">IF(VLOOKUP($A8,貼り付け用!$A$1:$BA$300,COLUMN(),FALSE)=0,"",VLOOKUP($A8,貼り付け用!$A$1:$BA$300,COLUMN(),FALSE))</f>
        <v>#N/A</v>
      </c>
      <c r="T8" s="19" t="e">
        <f ca="1">IF(VLOOKUP($A8,貼り付け用!$A$1:$BA$300,COLUMN(),FALSE)=0,"",VLOOKUP($A8,貼り付け用!$A$1:$BA$300,COLUMN(),FALSE))</f>
        <v>#N/A</v>
      </c>
      <c r="U8" s="16"/>
      <c r="V8" s="19" t="e">
        <f ca="1">IF(A8&lt;&gt;"",
IF(VLOOKUP($A8,貼り付け用!$A$1:$BA$300,COLUMN()-1,FALSE)=0,"",VLOOKUP($A8,貼り付け用!$A$1:$BA$300,COLUMN()-1,FALSE)),"")</f>
        <v>#N/A</v>
      </c>
      <c r="W8" s="19" t="e">
        <f ca="1">IF(A8&lt;&gt;"",
IF(VLOOKUP($A8,貼り付け用!$A$1:$BA$300,COLUMN()-1,FALSE)=0,"",VLOOKUP($A8,貼り付け用!$A$1:$BA$300,COLUMN()-1,FALSE)),"")</f>
        <v>#N/A</v>
      </c>
    </row>
    <row r="9" spans="1:23" x14ac:dyDescent="0.45">
      <c r="A9" s="10" t="e" cm="1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IF(VLOOKUP($A9,貼り付け用!$A$1:$BA$300,COLUMN(),FALSE)=0,"",VLOOKUP($A9,貼り付け用!$A$1:$BA$300,COLUMN(),FALSE))</f>
        <v>#N/A</v>
      </c>
      <c r="M9" s="3" t="e">
        <f ca="1">IF(VLOOKUP($A9,貼り付け用!$A$1:$BA$300,COLUMN(),FALSE)=0,"",VLOOKUP($A9,貼り付け用!$A$1:$BA$300,COLUMN(),FALSE))</f>
        <v>#N/A</v>
      </c>
      <c r="N9" s="3" t="e">
        <f ca="1">IF(VLOOKUP($A9,貼り付け用!$A$1:$BA$300,COLUMN(),FALSE)=0,"",VLOOKUP($A9,貼り付け用!$A$1:$BA$300,COLUMN(),FALSE))</f>
        <v>#N/A</v>
      </c>
      <c r="O9" s="3" t="e">
        <f ca="1">IF(VLOOKUP($A9,貼り付け用!$A$1:$BA$300,COLUMN(),FALSE)=0,"",VLOOKUP($A9,貼り付け用!$A$1:$BA$300,COLUMN(),FALSE))</f>
        <v>#N/A</v>
      </c>
      <c r="P9" s="3" t="e">
        <f ca="1">IF(VLOOKUP($A9,貼り付け用!$A$1:$BA$300,COLUMN(),FALSE)=0,"",VLOOKUP($A9,貼り付け用!$A$1:$BA$300,COLUMN(),FALSE))</f>
        <v>#N/A</v>
      </c>
      <c r="Q9" s="3" t="e">
        <f ca="1">IF(VLOOKUP($A9,貼り付け用!$A$1:$BA$300,COLUMN(),FALSE)=0,"",VLOOKUP($A9,貼り付け用!$A$1:$BA$300,COLUMN(),FALSE))</f>
        <v>#N/A</v>
      </c>
      <c r="R9" s="3" t="e">
        <f ca="1">IF(VLOOKUP($A9,貼り付け用!$A$1:$BA$300,COLUMN(),FALSE)=0,"",VLOOKUP($A9,貼り付け用!$A$1:$BA$300,COLUMN(),FALSE))</f>
        <v>#N/A</v>
      </c>
      <c r="S9" s="3" t="e">
        <f ca="1">IF(VLOOKUP($A9,貼り付け用!$A$1:$BA$300,COLUMN(),FALSE)=0,"",VLOOKUP($A9,貼り付け用!$A$1:$BA$300,COLUMN(),FALSE))</f>
        <v>#N/A</v>
      </c>
      <c r="T9" s="3" t="e">
        <f ca="1">IF(VLOOKUP($A9,貼り付け用!$A$1:$BA$300,COLUMN(),FALSE)=0,"",VLOOKUP($A9,貼り付け用!$A$1:$BA$300,COLUMN(),FALSE))</f>
        <v>#N/A</v>
      </c>
      <c r="U9" s="50"/>
      <c r="V9" s="3" t="e">
        <f ca="1">IF(A9&lt;&gt;"",
IF(VLOOKUP($A9,貼り付け用!$A$1:$BA$300,COLUMN()-1,FALSE)=0,"",VLOOKUP($A9,貼り付け用!$A$1:$BA$300,COLUMN()-1,FALSE)),"")</f>
        <v>#N/A</v>
      </c>
      <c r="W9" s="3" t="e">
        <f ca="1">IF(A9&lt;&gt;"",
IF(VLOOKUP($A9,貼り付け用!$A$1:$BA$300,COLUMN()-1,FALSE)=0,"",VLOOKUP($A9,貼り付け用!$A$1:$BA$300,COLUMN()-1,FALSE)),"")</f>
        <v>#N/A</v>
      </c>
    </row>
    <row r="10" spans="1:23" x14ac:dyDescent="0.45">
      <c r="A10" s="4" t="e" cm="1">
        <f t="array" aca="1" ref="A10" ca="1">IF(OR(COUNTIF(A8,"*合計*"),COUNTIF(A8,"")),"",INDEX(貼り付け用!$A:$A,MATCH(A8,貼り付け用!$A:$A,0)+2,0))</f>
        <v>#N/A</v>
      </c>
      <c r="B10" s="19" t="e">
        <f ca="1">IF(VLOOKUP($A10,貼り付け用!$A$1:$BA$300,COLUMN(),FALSE)=0,"",VLOOKUP($A10,貼り付け用!$A$1:$BA$300,COLUMN(),FALSE))</f>
        <v>#N/A</v>
      </c>
      <c r="C10" s="19" t="e">
        <f ca="1">IF(VLOOKUP($A10,貼り付け用!$A$1:$BA$300,COLUMN(),FALSE)=0,"",VLOOKUP($A10,貼り付け用!$A$1:$BA$300,COLUMN(),FALSE))</f>
        <v>#N/A</v>
      </c>
      <c r="D10" s="19" t="e">
        <f ca="1">IF(VLOOKUP($A10,貼り付け用!$A$1:$BA$300,COLUMN(),FALSE)=0,"",VLOOKUP($A10,貼り付け用!$A$1:$BA$300,COLUMN(),FALSE))</f>
        <v>#N/A</v>
      </c>
      <c r="E10" s="19" t="e">
        <f ca="1">IF(VLOOKUP($A10,貼り付け用!$A$1:$BA$300,COLUMN(),FALSE)=0,"",VLOOKUP($A10,貼り付け用!$A$1:$BA$300,COLUMN(),FALSE))</f>
        <v>#N/A</v>
      </c>
      <c r="F10" s="19" t="e">
        <f ca="1">IF(VLOOKUP($A10,貼り付け用!$A$1:$BA$300,COLUMN(),FALSE)=0,"",VLOOKUP($A10,貼り付け用!$A$1:$BA$300,COLUMN(),FALSE))</f>
        <v>#N/A</v>
      </c>
      <c r="G10" s="19" t="e">
        <f ca="1">IF(VLOOKUP($A10,貼り付け用!$A$1:$BA$300,COLUMN(),FALSE)=0,"",VLOOKUP($A10,貼り付け用!$A$1:$BA$300,COLUMN(),FALSE))</f>
        <v>#N/A</v>
      </c>
      <c r="H10" s="19" t="e">
        <f ca="1">IF(VLOOKUP($A10,貼り付け用!$A$1:$BA$300,COLUMN(),FALSE)=0,"",VLOOKUP($A10,貼り付け用!$A$1:$BA$300,COLUMN(),FALSE))</f>
        <v>#N/A</v>
      </c>
      <c r="I10" s="19" t="e">
        <f ca="1">IF(VLOOKUP($A10,貼り付け用!$A$1:$BA$300,COLUMN(),FALSE)=0,"",VLOOKUP($A10,貼り付け用!$A$1:$BA$300,COLUMN(),FALSE))</f>
        <v>#N/A</v>
      </c>
      <c r="J10" s="19" t="e">
        <f ca="1">IF(VLOOKUP($A10,貼り付け用!$A$1:$BA$300,COLUMN(),FALSE)=0,"",VLOOKUP($A10,貼り付け用!$A$1:$BA$300,COLUMN(),FALSE))</f>
        <v>#N/A</v>
      </c>
      <c r="K10" s="19" t="e">
        <f ca="1">IF(VLOOKUP($A10,貼り付け用!$A$1:$BA$300,COLUMN(),FALSE)=0,"",VLOOKUP($A10,貼り付け用!$A$1:$BA$300,COLUMN(),FALSE))</f>
        <v>#N/A</v>
      </c>
      <c r="L10" s="19" t="e">
        <f ca="1">IF(VLOOKUP($A10,貼り付け用!$A$1:$BA$300,COLUMN(),FALSE)=0,"",VLOOKUP($A10,貼り付け用!$A$1:$BA$300,COLUMN(),FALSE))</f>
        <v>#N/A</v>
      </c>
      <c r="M10" s="19" t="e">
        <f ca="1">IF(VLOOKUP($A10,貼り付け用!$A$1:$BA$300,COLUMN(),FALSE)=0,"",VLOOKUP($A10,貼り付け用!$A$1:$BA$300,COLUMN(),FALSE))</f>
        <v>#N/A</v>
      </c>
      <c r="N10" s="19" t="e">
        <f ca="1">IF(VLOOKUP($A10,貼り付け用!$A$1:$BA$300,COLUMN(),FALSE)=0,"",VLOOKUP($A10,貼り付け用!$A$1:$BA$300,COLUMN(),FALSE))</f>
        <v>#N/A</v>
      </c>
      <c r="O10" s="19" t="e">
        <f ca="1">IF(VLOOKUP($A10,貼り付け用!$A$1:$BA$300,COLUMN(),FALSE)=0,"",VLOOKUP($A10,貼り付け用!$A$1:$BA$300,COLUMN(),FALSE))</f>
        <v>#N/A</v>
      </c>
      <c r="P10" s="19" t="e">
        <f ca="1">IF(VLOOKUP($A10,貼り付け用!$A$1:$BA$300,COLUMN(),FALSE)=0,"",VLOOKUP($A10,貼り付け用!$A$1:$BA$300,COLUMN(),FALSE))</f>
        <v>#N/A</v>
      </c>
      <c r="Q10" s="19" t="e">
        <f ca="1">IF(VLOOKUP($A10,貼り付け用!$A$1:$BA$300,COLUMN(),FALSE)=0,"",VLOOKUP($A10,貼り付け用!$A$1:$BA$300,COLUMN(),FALSE))</f>
        <v>#N/A</v>
      </c>
      <c r="R10" s="19" t="e">
        <f ca="1">IF(VLOOKUP($A10,貼り付け用!$A$1:$BA$300,COLUMN(),FALSE)=0,"",VLOOKUP($A10,貼り付け用!$A$1:$BA$300,COLUMN(),FALSE))</f>
        <v>#N/A</v>
      </c>
      <c r="S10" s="19" t="e">
        <f ca="1">IF(VLOOKUP($A10,貼り付け用!$A$1:$BA$300,COLUMN(),FALSE)=0,"",VLOOKUP($A10,貼り付け用!$A$1:$BA$300,COLUMN(),FALSE))</f>
        <v>#N/A</v>
      </c>
      <c r="T10" s="19" t="e">
        <f ca="1">IF(VLOOKUP($A10,貼り付け用!$A$1:$BA$300,COLUMN(),FALSE)=0,"",VLOOKUP($A10,貼り付け用!$A$1:$BA$300,COLUMN(),FALSE))</f>
        <v>#N/A</v>
      </c>
      <c r="U10" s="16"/>
      <c r="V10" s="19" t="e">
        <f ca="1">IF(A10&lt;&gt;"",
IF(VLOOKUP($A10,貼り付け用!$A$1:$BA$300,COLUMN()-1,FALSE)=0,"",VLOOKUP($A10,貼り付け用!$A$1:$BA$300,COLUMN()-1,FALSE)),"")</f>
        <v>#N/A</v>
      </c>
      <c r="W10" s="19" t="e">
        <f ca="1">IF(A10&lt;&gt;"",
IF(VLOOKUP($A10,貼り付け用!$A$1:$BA$300,COLUMN()-1,FALSE)=0,"",VLOOKUP($A10,貼り付け用!$A$1:$BA$300,COLUMN()-1,FALSE)),"")</f>
        <v>#N/A</v>
      </c>
    </row>
    <row r="11" spans="1:23" x14ac:dyDescent="0.45">
      <c r="A11" s="10" t="e" cm="1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IF(VLOOKUP($A11,貼り付け用!$A$1:$BA$300,COLUMN(),FALSE)=0,"",VLOOKUP($A11,貼り付け用!$A$1:$BA$300,COLUMN(),FALSE))</f>
        <v>#N/A</v>
      </c>
      <c r="M11" s="3" t="e">
        <f ca="1">IF(VLOOKUP($A11,貼り付け用!$A$1:$BA$300,COLUMN(),FALSE)=0,"",VLOOKUP($A11,貼り付け用!$A$1:$BA$300,COLUMN(),FALSE))</f>
        <v>#N/A</v>
      </c>
      <c r="N11" s="3" t="e">
        <f ca="1">IF(VLOOKUP($A11,貼り付け用!$A$1:$BA$300,COLUMN(),FALSE)=0,"",VLOOKUP($A11,貼り付け用!$A$1:$BA$300,COLUMN(),FALSE))</f>
        <v>#N/A</v>
      </c>
      <c r="O11" s="3" t="e">
        <f ca="1">IF(VLOOKUP($A11,貼り付け用!$A$1:$BA$300,COLUMN(),FALSE)=0,"",VLOOKUP($A11,貼り付け用!$A$1:$BA$300,COLUMN(),FALSE))</f>
        <v>#N/A</v>
      </c>
      <c r="P11" s="3" t="e">
        <f ca="1">IF(VLOOKUP($A11,貼り付け用!$A$1:$BA$300,COLUMN(),FALSE)=0,"",VLOOKUP($A11,貼り付け用!$A$1:$BA$300,COLUMN(),FALSE))</f>
        <v>#N/A</v>
      </c>
      <c r="Q11" s="3" t="e">
        <f ca="1">IF(VLOOKUP($A11,貼り付け用!$A$1:$BA$300,COLUMN(),FALSE)=0,"",VLOOKUP($A11,貼り付け用!$A$1:$BA$300,COLUMN(),FALSE))</f>
        <v>#N/A</v>
      </c>
      <c r="R11" s="3" t="e">
        <f ca="1">IF(VLOOKUP($A11,貼り付け用!$A$1:$BA$300,COLUMN(),FALSE)=0,"",VLOOKUP($A11,貼り付け用!$A$1:$BA$300,COLUMN(),FALSE))</f>
        <v>#N/A</v>
      </c>
      <c r="S11" s="3" t="e">
        <f ca="1">IF(VLOOKUP($A11,貼り付け用!$A$1:$BA$300,COLUMN(),FALSE)=0,"",VLOOKUP($A11,貼り付け用!$A$1:$BA$300,COLUMN(),FALSE))</f>
        <v>#N/A</v>
      </c>
      <c r="T11" s="3" t="e">
        <f ca="1">IF(VLOOKUP($A11,貼り付け用!$A$1:$BA$300,COLUMN(),FALSE)=0,"",VLOOKUP($A11,貼り付け用!$A$1:$BA$300,COLUMN(),FALSE))</f>
        <v>#N/A</v>
      </c>
      <c r="U11" s="50"/>
      <c r="V11" s="3" t="e">
        <f ca="1">IF(A11&lt;&gt;"",
IF(VLOOKUP($A11,貼り付け用!$A$1:$BA$300,COLUMN()-1,FALSE)=0,"",VLOOKUP($A11,貼り付け用!$A$1:$BA$300,COLUMN()-1,FALSE)),"")</f>
        <v>#N/A</v>
      </c>
      <c r="W11" s="3" t="e">
        <f ca="1">IF(A11&lt;&gt;"",
IF(VLOOKUP($A11,貼り付け用!$A$1:$BA$300,COLUMN()-1,FALSE)=0,"",VLOOKUP($A11,貼り付け用!$A$1:$BA$300,COLUMN()-1,FALSE)),"")</f>
        <v>#N/A</v>
      </c>
    </row>
    <row r="12" spans="1:23" x14ac:dyDescent="0.45">
      <c r="A12" s="4" t="e" cm="1">
        <f t="array" aca="1" ref="A12" ca="1">IF(OR(COUNTIF(A10,"*合計*"),COUNTIF(A10,"")),"",INDEX(貼り付け用!$A:$A,MATCH(A10,貼り付け用!$A:$A,0)+2,0))</f>
        <v>#N/A</v>
      </c>
      <c r="B12" s="19" t="e">
        <f ca="1">IF(VLOOKUP($A12,貼り付け用!$A$1:$BA$300,COLUMN(),FALSE)=0,"",VLOOKUP($A12,貼り付け用!$A$1:$BA$300,COLUMN(),FALSE))</f>
        <v>#N/A</v>
      </c>
      <c r="C12" s="19" t="e">
        <f ca="1">IF(VLOOKUP($A12,貼り付け用!$A$1:$BA$300,COLUMN(),FALSE)=0,"",VLOOKUP($A12,貼り付け用!$A$1:$BA$300,COLUMN(),FALSE))</f>
        <v>#N/A</v>
      </c>
      <c r="D12" s="19" t="e">
        <f ca="1">IF(VLOOKUP($A12,貼り付け用!$A$1:$BA$300,COLUMN(),FALSE)=0,"",VLOOKUP($A12,貼り付け用!$A$1:$BA$300,COLUMN(),FALSE))</f>
        <v>#N/A</v>
      </c>
      <c r="E12" s="19" t="e">
        <f ca="1">IF(VLOOKUP($A12,貼り付け用!$A$1:$BA$300,COLUMN(),FALSE)=0,"",VLOOKUP($A12,貼り付け用!$A$1:$BA$300,COLUMN(),FALSE))</f>
        <v>#N/A</v>
      </c>
      <c r="F12" s="19" t="e">
        <f ca="1">IF(VLOOKUP($A12,貼り付け用!$A$1:$BA$300,COLUMN(),FALSE)=0,"",VLOOKUP($A12,貼り付け用!$A$1:$BA$300,COLUMN(),FALSE))</f>
        <v>#N/A</v>
      </c>
      <c r="G12" s="19" t="e">
        <f ca="1">IF(VLOOKUP($A12,貼り付け用!$A$1:$BA$300,COLUMN(),FALSE)=0,"",VLOOKUP($A12,貼り付け用!$A$1:$BA$300,COLUMN(),FALSE))</f>
        <v>#N/A</v>
      </c>
      <c r="H12" s="19" t="e">
        <f ca="1">IF(VLOOKUP($A12,貼り付け用!$A$1:$BA$300,COLUMN(),FALSE)=0,"",VLOOKUP($A12,貼り付け用!$A$1:$BA$300,COLUMN(),FALSE))</f>
        <v>#N/A</v>
      </c>
      <c r="I12" s="19" t="e">
        <f ca="1">IF(VLOOKUP($A12,貼り付け用!$A$1:$BA$300,COLUMN(),FALSE)=0,"",VLOOKUP($A12,貼り付け用!$A$1:$BA$300,COLUMN(),FALSE))</f>
        <v>#N/A</v>
      </c>
      <c r="J12" s="19" t="e">
        <f ca="1">IF(VLOOKUP($A12,貼り付け用!$A$1:$BA$300,COLUMN(),FALSE)=0,"",VLOOKUP($A12,貼り付け用!$A$1:$BA$300,COLUMN(),FALSE))</f>
        <v>#N/A</v>
      </c>
      <c r="K12" s="19" t="e">
        <f ca="1">IF(VLOOKUP($A12,貼り付け用!$A$1:$BA$300,COLUMN(),FALSE)=0,"",VLOOKUP($A12,貼り付け用!$A$1:$BA$300,COLUMN(),FALSE))</f>
        <v>#N/A</v>
      </c>
      <c r="L12" s="19" t="e">
        <f ca="1">IF(VLOOKUP($A12,貼り付け用!$A$1:$BA$300,COLUMN(),FALSE)=0,"",VLOOKUP($A12,貼り付け用!$A$1:$BA$300,COLUMN(),FALSE))</f>
        <v>#N/A</v>
      </c>
      <c r="M12" s="19" t="e">
        <f ca="1">IF(VLOOKUP($A12,貼り付け用!$A$1:$BA$300,COLUMN(),FALSE)=0,"",VLOOKUP($A12,貼り付け用!$A$1:$BA$300,COLUMN(),FALSE))</f>
        <v>#N/A</v>
      </c>
      <c r="N12" s="19" t="e">
        <f ca="1">IF(VLOOKUP($A12,貼り付け用!$A$1:$BA$300,COLUMN(),FALSE)=0,"",VLOOKUP($A12,貼り付け用!$A$1:$BA$300,COLUMN(),FALSE))</f>
        <v>#N/A</v>
      </c>
      <c r="O12" s="19" t="e">
        <f ca="1">IF(VLOOKUP($A12,貼り付け用!$A$1:$BA$300,COLUMN(),FALSE)=0,"",VLOOKUP($A12,貼り付け用!$A$1:$BA$300,COLUMN(),FALSE))</f>
        <v>#N/A</v>
      </c>
      <c r="P12" s="19" t="e">
        <f ca="1">IF(VLOOKUP($A12,貼り付け用!$A$1:$BA$300,COLUMN(),FALSE)=0,"",VLOOKUP($A12,貼り付け用!$A$1:$BA$300,COLUMN(),FALSE))</f>
        <v>#N/A</v>
      </c>
      <c r="Q12" s="19" t="e">
        <f ca="1">IF(VLOOKUP($A12,貼り付け用!$A$1:$BA$300,COLUMN(),FALSE)=0,"",VLOOKUP($A12,貼り付け用!$A$1:$BA$300,COLUMN(),FALSE))</f>
        <v>#N/A</v>
      </c>
      <c r="R12" s="19" t="e">
        <f ca="1">IF(VLOOKUP($A12,貼り付け用!$A$1:$BA$300,COLUMN(),FALSE)=0,"",VLOOKUP($A12,貼り付け用!$A$1:$BA$300,COLUMN(),FALSE))</f>
        <v>#N/A</v>
      </c>
      <c r="S12" s="19" t="e">
        <f ca="1">IF(VLOOKUP($A12,貼り付け用!$A$1:$BA$300,COLUMN(),FALSE)=0,"",VLOOKUP($A12,貼り付け用!$A$1:$BA$300,COLUMN(),FALSE))</f>
        <v>#N/A</v>
      </c>
      <c r="T12" s="19" t="e">
        <f ca="1">IF(VLOOKUP($A12,貼り付け用!$A$1:$BA$300,COLUMN(),FALSE)=0,"",VLOOKUP($A12,貼り付け用!$A$1:$BA$300,COLUMN(),FALSE))</f>
        <v>#N/A</v>
      </c>
      <c r="U12" s="16"/>
      <c r="V12" s="19" t="e">
        <f ca="1">IF(A12&lt;&gt;"",
IF(VLOOKUP($A12,貼り付け用!$A$1:$BA$300,COLUMN()-1,FALSE)=0,"",VLOOKUP($A12,貼り付け用!$A$1:$BA$300,COLUMN()-1,FALSE)),"")</f>
        <v>#N/A</v>
      </c>
      <c r="W12" s="19" t="e">
        <f ca="1">IF(A12&lt;&gt;"",
IF(VLOOKUP($A12,貼り付け用!$A$1:$BA$300,COLUMN()-1,FALSE)=0,"",VLOOKUP($A12,貼り付け用!$A$1:$BA$300,COLUMN()-1,FALSE)),"")</f>
        <v>#N/A</v>
      </c>
    </row>
    <row r="13" spans="1:23" x14ac:dyDescent="0.45">
      <c r="A13" s="10" t="e" cm="1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IF(VLOOKUP($A13,貼り付け用!$A$1:$BA$300,COLUMN(),FALSE)=0,"",VLOOKUP($A13,貼り付け用!$A$1:$BA$300,COLUMN(),FALSE))</f>
        <v>#N/A</v>
      </c>
      <c r="M13" s="3" t="e">
        <f ca="1">IF(VLOOKUP($A13,貼り付け用!$A$1:$BA$300,COLUMN(),FALSE)=0,"",VLOOKUP($A13,貼り付け用!$A$1:$BA$300,COLUMN(),FALSE))</f>
        <v>#N/A</v>
      </c>
      <c r="N13" s="3" t="e">
        <f ca="1">IF(VLOOKUP($A13,貼り付け用!$A$1:$BA$300,COLUMN(),FALSE)=0,"",VLOOKUP($A13,貼り付け用!$A$1:$BA$300,COLUMN(),FALSE))</f>
        <v>#N/A</v>
      </c>
      <c r="O13" s="3" t="e">
        <f ca="1">IF(VLOOKUP($A13,貼り付け用!$A$1:$BA$300,COLUMN(),FALSE)=0,"",VLOOKUP($A13,貼り付け用!$A$1:$BA$300,COLUMN(),FALSE))</f>
        <v>#N/A</v>
      </c>
      <c r="P13" s="3" t="e">
        <f ca="1">IF(VLOOKUP($A13,貼り付け用!$A$1:$BA$300,COLUMN(),FALSE)=0,"",VLOOKUP($A13,貼り付け用!$A$1:$BA$300,COLUMN(),FALSE))</f>
        <v>#N/A</v>
      </c>
      <c r="Q13" s="3" t="e">
        <f ca="1">IF(VLOOKUP($A13,貼り付け用!$A$1:$BA$300,COLUMN(),FALSE)=0,"",VLOOKUP($A13,貼り付け用!$A$1:$BA$300,COLUMN(),FALSE))</f>
        <v>#N/A</v>
      </c>
      <c r="R13" s="3" t="e">
        <f ca="1">IF(VLOOKUP($A13,貼り付け用!$A$1:$BA$300,COLUMN(),FALSE)=0,"",VLOOKUP($A13,貼り付け用!$A$1:$BA$300,COLUMN(),FALSE))</f>
        <v>#N/A</v>
      </c>
      <c r="S13" s="3" t="e">
        <f ca="1">IF(VLOOKUP($A13,貼り付け用!$A$1:$BA$300,COLUMN(),FALSE)=0,"",VLOOKUP($A13,貼り付け用!$A$1:$BA$300,COLUMN(),FALSE))</f>
        <v>#N/A</v>
      </c>
      <c r="T13" s="3" t="e">
        <f ca="1">IF(VLOOKUP($A13,貼り付け用!$A$1:$BA$300,COLUMN(),FALSE)=0,"",VLOOKUP($A13,貼り付け用!$A$1:$BA$300,COLUMN(),FALSE))</f>
        <v>#N/A</v>
      </c>
      <c r="U13" s="50"/>
      <c r="V13" s="3" t="e">
        <f ca="1">IF(A13&lt;&gt;"",
IF(VLOOKUP($A13,貼り付け用!$A$1:$BA$300,COLUMN()-1,FALSE)=0,"",VLOOKUP($A13,貼り付け用!$A$1:$BA$300,COLUMN()-1,FALSE)),"")</f>
        <v>#N/A</v>
      </c>
      <c r="W13" s="3" t="e">
        <f ca="1">IF(A13&lt;&gt;"",
IF(VLOOKUP($A13,貼り付け用!$A$1:$BA$300,COLUMN()-1,FALSE)=0,"",VLOOKUP($A13,貼り付け用!$A$1:$BA$300,COLUMN()-1,FALSE)),"")</f>
        <v>#N/A</v>
      </c>
    </row>
    <row r="14" spans="1:23" x14ac:dyDescent="0.45">
      <c r="A14" s="4" t="e" cm="1">
        <f t="array" aca="1" ref="A14" ca="1">IF(OR(COUNTIF(A12,"*合計*"),COUNTIF(A12,"")),"",INDEX(貼り付け用!$A:$A,MATCH(A12,貼り付け用!$A:$A,0)+2,0))</f>
        <v>#N/A</v>
      </c>
      <c r="B14" s="19" t="e">
        <f ca="1">IF(VLOOKUP($A14,貼り付け用!$A$1:$BA$300,COLUMN(),FALSE)=0,"",VLOOKUP($A14,貼り付け用!$A$1:$BA$300,COLUMN(),FALSE))</f>
        <v>#N/A</v>
      </c>
      <c r="C14" s="19" t="e">
        <f ca="1">IF(VLOOKUP($A14,貼り付け用!$A$1:$BA$300,COLUMN(),FALSE)=0,"",VLOOKUP($A14,貼り付け用!$A$1:$BA$300,COLUMN(),FALSE))</f>
        <v>#N/A</v>
      </c>
      <c r="D14" s="19" t="e">
        <f ca="1">IF(VLOOKUP($A14,貼り付け用!$A$1:$BA$300,COLUMN(),FALSE)=0,"",VLOOKUP($A14,貼り付け用!$A$1:$BA$300,COLUMN(),FALSE))</f>
        <v>#N/A</v>
      </c>
      <c r="E14" s="19" t="e">
        <f ca="1">IF(VLOOKUP($A14,貼り付け用!$A$1:$BA$300,COLUMN(),FALSE)=0,"",VLOOKUP($A14,貼り付け用!$A$1:$BA$300,COLUMN(),FALSE))</f>
        <v>#N/A</v>
      </c>
      <c r="F14" s="19" t="e">
        <f ca="1">IF(VLOOKUP($A14,貼り付け用!$A$1:$BA$300,COLUMN(),FALSE)=0,"",VLOOKUP($A14,貼り付け用!$A$1:$BA$300,COLUMN(),FALSE))</f>
        <v>#N/A</v>
      </c>
      <c r="G14" s="19" t="e">
        <f ca="1">IF(VLOOKUP($A14,貼り付け用!$A$1:$BA$300,COLUMN(),FALSE)=0,"",VLOOKUP($A14,貼り付け用!$A$1:$BA$300,COLUMN(),FALSE))</f>
        <v>#N/A</v>
      </c>
      <c r="H14" s="19" t="e">
        <f ca="1">IF(VLOOKUP($A14,貼り付け用!$A$1:$BA$300,COLUMN(),FALSE)=0,"",VLOOKUP($A14,貼り付け用!$A$1:$BA$300,COLUMN(),FALSE))</f>
        <v>#N/A</v>
      </c>
      <c r="I14" s="19" t="e">
        <f ca="1">IF(VLOOKUP($A14,貼り付け用!$A$1:$BA$300,COLUMN(),FALSE)=0,"",VLOOKUP($A14,貼り付け用!$A$1:$BA$300,COLUMN(),FALSE))</f>
        <v>#N/A</v>
      </c>
      <c r="J14" s="19" t="e">
        <f ca="1">IF(VLOOKUP($A14,貼り付け用!$A$1:$BA$300,COLUMN(),FALSE)=0,"",VLOOKUP($A14,貼り付け用!$A$1:$BA$300,COLUMN(),FALSE))</f>
        <v>#N/A</v>
      </c>
      <c r="K14" s="19" t="e">
        <f ca="1">IF(VLOOKUP($A14,貼り付け用!$A$1:$BA$300,COLUMN(),FALSE)=0,"",VLOOKUP($A14,貼り付け用!$A$1:$BA$300,COLUMN(),FALSE))</f>
        <v>#N/A</v>
      </c>
      <c r="L14" s="19" t="e">
        <f ca="1">IF(VLOOKUP($A14,貼り付け用!$A$1:$BA$300,COLUMN(),FALSE)=0,"",VLOOKUP($A14,貼り付け用!$A$1:$BA$300,COLUMN(),FALSE))</f>
        <v>#N/A</v>
      </c>
      <c r="M14" s="19" t="e">
        <f ca="1">IF(VLOOKUP($A14,貼り付け用!$A$1:$BA$300,COLUMN(),FALSE)=0,"",VLOOKUP($A14,貼り付け用!$A$1:$BA$300,COLUMN(),FALSE))</f>
        <v>#N/A</v>
      </c>
      <c r="N14" s="19" t="e">
        <f ca="1">IF(VLOOKUP($A14,貼り付け用!$A$1:$BA$300,COLUMN(),FALSE)=0,"",VLOOKUP($A14,貼り付け用!$A$1:$BA$300,COLUMN(),FALSE))</f>
        <v>#N/A</v>
      </c>
      <c r="O14" s="19" t="e">
        <f ca="1">IF(VLOOKUP($A14,貼り付け用!$A$1:$BA$300,COLUMN(),FALSE)=0,"",VLOOKUP($A14,貼り付け用!$A$1:$BA$300,COLUMN(),FALSE))</f>
        <v>#N/A</v>
      </c>
      <c r="P14" s="19" t="e">
        <f ca="1">IF(VLOOKUP($A14,貼り付け用!$A$1:$BA$300,COLUMN(),FALSE)=0,"",VLOOKUP($A14,貼り付け用!$A$1:$BA$300,COLUMN(),FALSE))</f>
        <v>#N/A</v>
      </c>
      <c r="Q14" s="19" t="e">
        <f ca="1">IF(VLOOKUP($A14,貼り付け用!$A$1:$BA$300,COLUMN(),FALSE)=0,"",VLOOKUP($A14,貼り付け用!$A$1:$BA$300,COLUMN(),FALSE))</f>
        <v>#N/A</v>
      </c>
      <c r="R14" s="19" t="e">
        <f ca="1">IF(VLOOKUP($A14,貼り付け用!$A$1:$BA$300,COLUMN(),FALSE)=0,"",VLOOKUP($A14,貼り付け用!$A$1:$BA$300,COLUMN(),FALSE))</f>
        <v>#N/A</v>
      </c>
      <c r="S14" s="19" t="e">
        <f ca="1">IF(VLOOKUP($A14,貼り付け用!$A$1:$BA$300,COLUMN(),FALSE)=0,"",VLOOKUP($A14,貼り付け用!$A$1:$BA$300,COLUMN(),FALSE))</f>
        <v>#N/A</v>
      </c>
      <c r="T14" s="19" t="e">
        <f ca="1">IF(VLOOKUP($A14,貼り付け用!$A$1:$BA$300,COLUMN(),FALSE)=0,"",VLOOKUP($A14,貼り付け用!$A$1:$BA$300,COLUMN(),FALSE))</f>
        <v>#N/A</v>
      </c>
      <c r="U14" s="16"/>
      <c r="V14" s="19" t="e">
        <f ca="1">IF(A14&lt;&gt;"",
IF(VLOOKUP($A14,貼り付け用!$A$1:$BA$300,COLUMN()-1,FALSE)=0,"",VLOOKUP($A14,貼り付け用!$A$1:$BA$300,COLUMN()-1,FALSE)),"")</f>
        <v>#N/A</v>
      </c>
      <c r="W14" s="19" t="e">
        <f ca="1">IF(A14&lt;&gt;"",
IF(VLOOKUP($A14,貼り付け用!$A$1:$BA$300,COLUMN()-1,FALSE)=0,"",VLOOKUP($A14,貼り付け用!$A$1:$BA$300,COLUMN()-1,FALSE)),"")</f>
        <v>#N/A</v>
      </c>
    </row>
    <row r="15" spans="1:23" x14ac:dyDescent="0.45">
      <c r="A15" s="10" t="e" cm="1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IF(VLOOKUP($A15,貼り付け用!$A$1:$BA$300,COLUMN(),FALSE)=0,"",VLOOKUP($A15,貼り付け用!$A$1:$BA$300,COLUMN(),FALSE))</f>
        <v>#N/A</v>
      </c>
      <c r="M15" s="3" t="e">
        <f ca="1">IF(VLOOKUP($A15,貼り付け用!$A$1:$BA$300,COLUMN(),FALSE)=0,"",VLOOKUP($A15,貼り付け用!$A$1:$BA$300,COLUMN(),FALSE))</f>
        <v>#N/A</v>
      </c>
      <c r="N15" s="3" t="e">
        <f ca="1">IF(VLOOKUP($A15,貼り付け用!$A$1:$BA$300,COLUMN(),FALSE)=0,"",VLOOKUP($A15,貼り付け用!$A$1:$BA$300,COLUMN(),FALSE))</f>
        <v>#N/A</v>
      </c>
      <c r="O15" s="3" t="e">
        <f ca="1">IF(VLOOKUP($A15,貼り付け用!$A$1:$BA$300,COLUMN(),FALSE)=0,"",VLOOKUP($A15,貼り付け用!$A$1:$BA$300,COLUMN(),FALSE))</f>
        <v>#N/A</v>
      </c>
      <c r="P15" s="3" t="e">
        <f ca="1">IF(VLOOKUP($A15,貼り付け用!$A$1:$BA$300,COLUMN(),FALSE)=0,"",VLOOKUP($A15,貼り付け用!$A$1:$BA$300,COLUMN(),FALSE))</f>
        <v>#N/A</v>
      </c>
      <c r="Q15" s="3" t="e">
        <f ca="1">IF(VLOOKUP($A15,貼り付け用!$A$1:$BA$300,COLUMN(),FALSE)=0,"",VLOOKUP($A15,貼り付け用!$A$1:$BA$300,COLUMN(),FALSE))</f>
        <v>#N/A</v>
      </c>
      <c r="R15" s="3" t="e">
        <f ca="1">IF(VLOOKUP($A15,貼り付け用!$A$1:$BA$300,COLUMN(),FALSE)=0,"",VLOOKUP($A15,貼り付け用!$A$1:$BA$300,COLUMN(),FALSE))</f>
        <v>#N/A</v>
      </c>
      <c r="S15" s="3" t="e">
        <f ca="1">IF(VLOOKUP($A15,貼り付け用!$A$1:$BA$300,COLUMN(),FALSE)=0,"",VLOOKUP($A15,貼り付け用!$A$1:$BA$300,COLUMN(),FALSE))</f>
        <v>#N/A</v>
      </c>
      <c r="T15" s="3" t="e">
        <f ca="1">IF(VLOOKUP($A15,貼り付け用!$A$1:$BA$300,COLUMN(),FALSE)=0,"",VLOOKUP($A15,貼り付け用!$A$1:$BA$300,COLUMN(),FALSE))</f>
        <v>#N/A</v>
      </c>
      <c r="U15" s="50"/>
      <c r="V15" s="3" t="e">
        <f ca="1">IF(A15&lt;&gt;"",
IF(VLOOKUP($A15,貼り付け用!$A$1:$BA$300,COLUMN()-1,FALSE)=0,"",VLOOKUP($A15,貼り付け用!$A$1:$BA$300,COLUMN()-1,FALSE)),"")</f>
        <v>#N/A</v>
      </c>
      <c r="W15" s="3" t="e">
        <f ca="1">IF(A15&lt;&gt;"",
IF(VLOOKUP($A15,貼り付け用!$A$1:$BA$300,COLUMN()-1,FALSE)=0,"",VLOOKUP($A15,貼り付け用!$A$1:$BA$300,COLUMN()-1,FALSE)),"")</f>
        <v>#N/A</v>
      </c>
    </row>
    <row r="16" spans="1:23" x14ac:dyDescent="0.45">
      <c r="A16" s="4" t="e" cm="1">
        <f t="array" aca="1" ref="A16" ca="1">IF(OR(COUNTIF(A14,"*合計*"),COUNTIF(A14,"")),"",INDEX(貼り付け用!$A:$A,MATCH(A14,貼り付け用!$A:$A,0)+2,0))</f>
        <v>#N/A</v>
      </c>
      <c r="B16" s="19" t="e">
        <f ca="1">IF(VLOOKUP($A16,貼り付け用!$A$1:$BA$300,COLUMN(),FALSE)=0,"",VLOOKUP($A16,貼り付け用!$A$1:$BA$300,COLUMN(),FALSE))</f>
        <v>#N/A</v>
      </c>
      <c r="C16" s="19" t="e">
        <f ca="1">IF(VLOOKUP($A16,貼り付け用!$A$1:$BA$300,COLUMN(),FALSE)=0,"",VLOOKUP($A16,貼り付け用!$A$1:$BA$300,COLUMN(),FALSE))</f>
        <v>#N/A</v>
      </c>
      <c r="D16" s="19" t="e">
        <f ca="1">IF(VLOOKUP($A16,貼り付け用!$A$1:$BA$300,COLUMN(),FALSE)=0,"",VLOOKUP($A16,貼り付け用!$A$1:$BA$300,COLUMN(),FALSE))</f>
        <v>#N/A</v>
      </c>
      <c r="E16" s="19" t="e">
        <f ca="1">IF(VLOOKUP($A16,貼り付け用!$A$1:$BA$300,COLUMN(),FALSE)=0,"",VLOOKUP($A16,貼り付け用!$A$1:$BA$300,COLUMN(),FALSE))</f>
        <v>#N/A</v>
      </c>
      <c r="F16" s="19" t="e">
        <f ca="1">IF(VLOOKUP($A16,貼り付け用!$A$1:$BA$300,COLUMN(),FALSE)=0,"",VLOOKUP($A16,貼り付け用!$A$1:$BA$300,COLUMN(),FALSE))</f>
        <v>#N/A</v>
      </c>
      <c r="G16" s="19" t="e">
        <f ca="1">IF(VLOOKUP($A16,貼り付け用!$A$1:$BA$300,COLUMN(),FALSE)=0,"",VLOOKUP($A16,貼り付け用!$A$1:$BA$300,COLUMN(),FALSE))</f>
        <v>#N/A</v>
      </c>
      <c r="H16" s="19" t="e">
        <f ca="1">IF(VLOOKUP($A16,貼り付け用!$A$1:$BA$300,COLUMN(),FALSE)=0,"",VLOOKUP($A16,貼り付け用!$A$1:$BA$300,COLUMN(),FALSE))</f>
        <v>#N/A</v>
      </c>
      <c r="I16" s="19" t="e">
        <f ca="1">IF(VLOOKUP($A16,貼り付け用!$A$1:$BA$300,COLUMN(),FALSE)=0,"",VLOOKUP($A16,貼り付け用!$A$1:$BA$300,COLUMN(),FALSE))</f>
        <v>#N/A</v>
      </c>
      <c r="J16" s="19" t="e">
        <f ca="1">IF(VLOOKUP($A16,貼り付け用!$A$1:$BA$300,COLUMN(),FALSE)=0,"",VLOOKUP($A16,貼り付け用!$A$1:$BA$300,COLUMN(),FALSE))</f>
        <v>#N/A</v>
      </c>
      <c r="K16" s="19" t="e">
        <f ca="1">IF(VLOOKUP($A16,貼り付け用!$A$1:$BA$300,COLUMN(),FALSE)=0,"",VLOOKUP($A16,貼り付け用!$A$1:$BA$300,COLUMN(),FALSE))</f>
        <v>#N/A</v>
      </c>
      <c r="L16" s="19" t="e">
        <f ca="1">IF(VLOOKUP($A16,貼り付け用!$A$1:$BA$300,COLUMN(),FALSE)=0,"",VLOOKUP($A16,貼り付け用!$A$1:$BA$300,COLUMN(),FALSE))</f>
        <v>#N/A</v>
      </c>
      <c r="M16" s="19" t="e">
        <f ca="1">IF(VLOOKUP($A16,貼り付け用!$A$1:$BA$300,COLUMN(),FALSE)=0,"",VLOOKUP($A16,貼り付け用!$A$1:$BA$300,COLUMN(),FALSE))</f>
        <v>#N/A</v>
      </c>
      <c r="N16" s="19" t="e">
        <f ca="1">IF(VLOOKUP($A16,貼り付け用!$A$1:$BA$300,COLUMN(),FALSE)=0,"",VLOOKUP($A16,貼り付け用!$A$1:$BA$300,COLUMN(),FALSE))</f>
        <v>#N/A</v>
      </c>
      <c r="O16" s="19" t="e">
        <f ca="1">IF(VLOOKUP($A16,貼り付け用!$A$1:$BA$300,COLUMN(),FALSE)=0,"",VLOOKUP($A16,貼り付け用!$A$1:$BA$300,COLUMN(),FALSE))</f>
        <v>#N/A</v>
      </c>
      <c r="P16" s="19" t="e">
        <f ca="1">IF(VLOOKUP($A16,貼り付け用!$A$1:$BA$300,COLUMN(),FALSE)=0,"",VLOOKUP($A16,貼り付け用!$A$1:$BA$300,COLUMN(),FALSE))</f>
        <v>#N/A</v>
      </c>
      <c r="Q16" s="19" t="e">
        <f ca="1">IF(VLOOKUP($A16,貼り付け用!$A$1:$BA$300,COLUMN(),FALSE)=0,"",VLOOKUP($A16,貼り付け用!$A$1:$BA$300,COLUMN(),FALSE))</f>
        <v>#N/A</v>
      </c>
      <c r="R16" s="19" t="e">
        <f ca="1">IF(VLOOKUP($A16,貼り付け用!$A$1:$BA$300,COLUMN(),FALSE)=0,"",VLOOKUP($A16,貼り付け用!$A$1:$BA$300,COLUMN(),FALSE))</f>
        <v>#N/A</v>
      </c>
      <c r="S16" s="19" t="e">
        <f ca="1">IF(VLOOKUP($A16,貼り付け用!$A$1:$BA$300,COLUMN(),FALSE)=0,"",VLOOKUP($A16,貼り付け用!$A$1:$BA$300,COLUMN(),FALSE))</f>
        <v>#N/A</v>
      </c>
      <c r="T16" s="19" t="e">
        <f ca="1">IF(VLOOKUP($A16,貼り付け用!$A$1:$BA$300,COLUMN(),FALSE)=0,"",VLOOKUP($A16,貼り付け用!$A$1:$BA$300,COLUMN(),FALSE))</f>
        <v>#N/A</v>
      </c>
      <c r="U16" s="16"/>
      <c r="V16" s="19" t="e">
        <f ca="1">IF(A16&lt;&gt;"",
IF(VLOOKUP($A16,貼り付け用!$A$1:$BA$300,COLUMN()-1,FALSE)=0,"",VLOOKUP($A16,貼り付け用!$A$1:$BA$300,COLUMN()-1,FALSE)),"")</f>
        <v>#N/A</v>
      </c>
      <c r="W16" s="19" t="e">
        <f ca="1">IF(A16&lt;&gt;"",
IF(VLOOKUP($A16,貼り付け用!$A$1:$BA$300,COLUMN()-1,FALSE)=0,"",VLOOKUP($A16,貼り付け用!$A$1:$BA$300,COLUMN()-1,FALSE)),"")</f>
        <v>#N/A</v>
      </c>
    </row>
    <row r="17" spans="1:23" x14ac:dyDescent="0.45">
      <c r="A17" s="10" t="e" cm="1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IF(VLOOKUP($A17,貼り付け用!$A$1:$BA$300,COLUMN(),FALSE)=0,"",VLOOKUP($A17,貼り付け用!$A$1:$BA$300,COLUMN(),FALSE))</f>
        <v>#N/A</v>
      </c>
      <c r="M17" s="3" t="e">
        <f ca="1">IF(VLOOKUP($A17,貼り付け用!$A$1:$BA$300,COLUMN(),FALSE)=0,"",VLOOKUP($A17,貼り付け用!$A$1:$BA$300,COLUMN(),FALSE))</f>
        <v>#N/A</v>
      </c>
      <c r="N17" s="3" t="e">
        <f ca="1">IF(VLOOKUP($A17,貼り付け用!$A$1:$BA$300,COLUMN(),FALSE)=0,"",VLOOKUP($A17,貼り付け用!$A$1:$BA$300,COLUMN(),FALSE))</f>
        <v>#N/A</v>
      </c>
      <c r="O17" s="3" t="e">
        <f ca="1">IF(VLOOKUP($A17,貼り付け用!$A$1:$BA$300,COLUMN(),FALSE)=0,"",VLOOKUP($A17,貼り付け用!$A$1:$BA$300,COLUMN(),FALSE))</f>
        <v>#N/A</v>
      </c>
      <c r="P17" s="3" t="e">
        <f ca="1">IF(VLOOKUP($A17,貼り付け用!$A$1:$BA$300,COLUMN(),FALSE)=0,"",VLOOKUP($A17,貼り付け用!$A$1:$BA$300,COLUMN(),FALSE))</f>
        <v>#N/A</v>
      </c>
      <c r="Q17" s="3" t="e">
        <f ca="1">IF(VLOOKUP($A17,貼り付け用!$A$1:$BA$300,COLUMN(),FALSE)=0,"",VLOOKUP($A17,貼り付け用!$A$1:$BA$300,COLUMN(),FALSE))</f>
        <v>#N/A</v>
      </c>
      <c r="R17" s="3" t="e">
        <f ca="1">IF(VLOOKUP($A17,貼り付け用!$A$1:$BA$300,COLUMN(),FALSE)=0,"",VLOOKUP($A17,貼り付け用!$A$1:$BA$300,COLUMN(),FALSE))</f>
        <v>#N/A</v>
      </c>
      <c r="S17" s="3" t="e">
        <f ca="1">IF(VLOOKUP($A17,貼り付け用!$A$1:$BA$300,COLUMN(),FALSE)=0,"",VLOOKUP($A17,貼り付け用!$A$1:$BA$300,COLUMN(),FALSE))</f>
        <v>#N/A</v>
      </c>
      <c r="T17" s="3" t="e">
        <f ca="1">IF(VLOOKUP($A17,貼り付け用!$A$1:$BA$300,COLUMN(),FALSE)=0,"",VLOOKUP($A17,貼り付け用!$A$1:$BA$300,COLUMN(),FALSE))</f>
        <v>#N/A</v>
      </c>
      <c r="U17" s="50"/>
      <c r="V17" s="3" t="e">
        <f ca="1">IF(A17&lt;&gt;"",
IF(VLOOKUP($A17,貼り付け用!$A$1:$BA$300,COLUMN()-1,FALSE)=0,"",VLOOKUP($A17,貼り付け用!$A$1:$BA$300,COLUMN()-1,FALSE)),"")</f>
        <v>#N/A</v>
      </c>
      <c r="W17" s="3" t="e">
        <f ca="1">IF(A17&lt;&gt;"",
IF(VLOOKUP($A17,貼り付け用!$A$1:$BA$300,COLUMN()-1,FALSE)=0,"",VLOOKUP($A17,貼り付け用!$A$1:$BA$300,COLUMN()-1,FALSE)),"")</f>
        <v>#N/A</v>
      </c>
    </row>
    <row r="18" spans="1:23" x14ac:dyDescent="0.45">
      <c r="A18" s="4" t="e" cm="1">
        <f t="array" aca="1" ref="A18" ca="1">IF(OR(COUNTIF(A16,"*合計*"),COUNTIF(A16,"")),"",INDEX(貼り付け用!$A:$A,MATCH(A16,貼り付け用!$A:$A,0)+2,0))</f>
        <v>#N/A</v>
      </c>
      <c r="B18" s="19" t="e">
        <f ca="1">IF(VLOOKUP($A18,貼り付け用!$A$1:$BA$300,COLUMN(),FALSE)=0,"",VLOOKUP($A18,貼り付け用!$A$1:$BA$300,COLUMN(),FALSE))</f>
        <v>#N/A</v>
      </c>
      <c r="C18" s="19" t="e">
        <f ca="1">IF(VLOOKUP($A18,貼り付け用!$A$1:$BA$300,COLUMN(),FALSE)=0,"",VLOOKUP($A18,貼り付け用!$A$1:$BA$300,COLUMN(),FALSE))</f>
        <v>#N/A</v>
      </c>
      <c r="D18" s="19" t="e">
        <f ca="1">IF(VLOOKUP($A18,貼り付け用!$A$1:$BA$300,COLUMN(),FALSE)=0,"",VLOOKUP($A18,貼り付け用!$A$1:$BA$300,COLUMN(),FALSE))</f>
        <v>#N/A</v>
      </c>
      <c r="E18" s="19" t="e">
        <f ca="1">IF(VLOOKUP($A18,貼り付け用!$A$1:$BA$300,COLUMN(),FALSE)=0,"",VLOOKUP($A18,貼り付け用!$A$1:$BA$300,COLUMN(),FALSE))</f>
        <v>#N/A</v>
      </c>
      <c r="F18" s="19" t="e">
        <f ca="1">IF(VLOOKUP($A18,貼り付け用!$A$1:$BA$300,COLUMN(),FALSE)=0,"",VLOOKUP($A18,貼り付け用!$A$1:$BA$300,COLUMN(),FALSE))</f>
        <v>#N/A</v>
      </c>
      <c r="G18" s="19" t="e">
        <f ca="1">IF(VLOOKUP($A18,貼り付け用!$A$1:$BA$300,COLUMN(),FALSE)=0,"",VLOOKUP($A18,貼り付け用!$A$1:$BA$300,COLUMN(),FALSE))</f>
        <v>#N/A</v>
      </c>
      <c r="H18" s="19" t="e">
        <f ca="1">IF(VLOOKUP($A18,貼り付け用!$A$1:$BA$300,COLUMN(),FALSE)=0,"",VLOOKUP($A18,貼り付け用!$A$1:$BA$300,COLUMN(),FALSE))</f>
        <v>#N/A</v>
      </c>
      <c r="I18" s="19" t="e">
        <f ca="1">IF(VLOOKUP($A18,貼り付け用!$A$1:$BA$300,COLUMN(),FALSE)=0,"",VLOOKUP($A18,貼り付け用!$A$1:$BA$300,COLUMN(),FALSE))</f>
        <v>#N/A</v>
      </c>
      <c r="J18" s="19" t="e">
        <f ca="1">IF(VLOOKUP($A18,貼り付け用!$A$1:$BA$300,COLUMN(),FALSE)=0,"",VLOOKUP($A18,貼り付け用!$A$1:$BA$300,COLUMN(),FALSE))</f>
        <v>#N/A</v>
      </c>
      <c r="K18" s="19" t="e">
        <f ca="1">IF(VLOOKUP($A18,貼り付け用!$A$1:$BA$300,COLUMN(),FALSE)=0,"",VLOOKUP($A18,貼り付け用!$A$1:$BA$300,COLUMN(),FALSE))</f>
        <v>#N/A</v>
      </c>
      <c r="L18" s="19" t="e">
        <f ca="1">IF(VLOOKUP($A18,貼り付け用!$A$1:$BA$300,COLUMN(),FALSE)=0,"",VLOOKUP($A18,貼り付け用!$A$1:$BA$300,COLUMN(),FALSE))</f>
        <v>#N/A</v>
      </c>
      <c r="M18" s="19" t="e">
        <f ca="1">IF(VLOOKUP($A18,貼り付け用!$A$1:$BA$300,COLUMN(),FALSE)=0,"",VLOOKUP($A18,貼り付け用!$A$1:$BA$300,COLUMN(),FALSE))</f>
        <v>#N/A</v>
      </c>
      <c r="N18" s="19" t="e">
        <f ca="1">IF(VLOOKUP($A18,貼り付け用!$A$1:$BA$300,COLUMN(),FALSE)=0,"",VLOOKUP($A18,貼り付け用!$A$1:$BA$300,COLUMN(),FALSE))</f>
        <v>#N/A</v>
      </c>
      <c r="O18" s="19" t="e">
        <f ca="1">IF(VLOOKUP($A18,貼り付け用!$A$1:$BA$300,COLUMN(),FALSE)=0,"",VLOOKUP($A18,貼り付け用!$A$1:$BA$300,COLUMN(),FALSE))</f>
        <v>#N/A</v>
      </c>
      <c r="P18" s="19" t="e">
        <f ca="1">IF(VLOOKUP($A18,貼り付け用!$A$1:$BA$300,COLUMN(),FALSE)=0,"",VLOOKUP($A18,貼り付け用!$A$1:$BA$300,COLUMN(),FALSE))</f>
        <v>#N/A</v>
      </c>
      <c r="Q18" s="19" t="e">
        <f ca="1">IF(VLOOKUP($A18,貼り付け用!$A$1:$BA$300,COLUMN(),FALSE)=0,"",VLOOKUP($A18,貼り付け用!$A$1:$BA$300,COLUMN(),FALSE))</f>
        <v>#N/A</v>
      </c>
      <c r="R18" s="19" t="e">
        <f ca="1">IF(VLOOKUP($A18,貼り付け用!$A$1:$BA$300,COLUMN(),FALSE)=0,"",VLOOKUP($A18,貼り付け用!$A$1:$BA$300,COLUMN(),FALSE))</f>
        <v>#N/A</v>
      </c>
      <c r="S18" s="19" t="e">
        <f ca="1">IF(VLOOKUP($A18,貼り付け用!$A$1:$BA$300,COLUMN(),FALSE)=0,"",VLOOKUP($A18,貼り付け用!$A$1:$BA$300,COLUMN(),FALSE))</f>
        <v>#N/A</v>
      </c>
      <c r="T18" s="19" t="e">
        <f ca="1">IF(VLOOKUP($A18,貼り付け用!$A$1:$BA$300,COLUMN(),FALSE)=0,"",VLOOKUP($A18,貼り付け用!$A$1:$BA$300,COLUMN(),FALSE))</f>
        <v>#N/A</v>
      </c>
      <c r="U18" s="16"/>
      <c r="V18" s="19" t="e">
        <f ca="1">IF(A18&lt;&gt;"",
IF(VLOOKUP($A18,貼り付け用!$A$1:$BA$300,COLUMN()-1,FALSE)=0,"",VLOOKUP($A18,貼り付け用!$A$1:$BA$300,COLUMN()-1,FALSE)),"")</f>
        <v>#N/A</v>
      </c>
      <c r="W18" s="19" t="e">
        <f ca="1">IF(A18&lt;&gt;"",
IF(VLOOKUP($A18,貼り付け用!$A$1:$BA$300,COLUMN()-1,FALSE)=0,"",VLOOKUP($A18,貼り付け用!$A$1:$BA$300,COLUMN()-1,FALSE)),"")</f>
        <v>#N/A</v>
      </c>
    </row>
    <row r="19" spans="1:23" x14ac:dyDescent="0.45">
      <c r="A19" s="10" t="e" cm="1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IF(VLOOKUP($A19,貼り付け用!$A$1:$BA$300,COLUMN(),FALSE)=0,"",VLOOKUP($A19,貼り付け用!$A$1:$BA$300,COLUMN(),FALSE))</f>
        <v>#N/A</v>
      </c>
      <c r="M19" s="3" t="e">
        <f ca="1">IF(VLOOKUP($A19,貼り付け用!$A$1:$BA$300,COLUMN(),FALSE)=0,"",VLOOKUP($A19,貼り付け用!$A$1:$BA$300,COLUMN(),FALSE))</f>
        <v>#N/A</v>
      </c>
      <c r="N19" s="3" t="e">
        <f ca="1">IF(VLOOKUP($A19,貼り付け用!$A$1:$BA$300,COLUMN(),FALSE)=0,"",VLOOKUP($A19,貼り付け用!$A$1:$BA$300,COLUMN(),FALSE))</f>
        <v>#N/A</v>
      </c>
      <c r="O19" s="3" t="e">
        <f ca="1">IF(VLOOKUP($A19,貼り付け用!$A$1:$BA$300,COLUMN(),FALSE)=0,"",VLOOKUP($A19,貼り付け用!$A$1:$BA$300,COLUMN(),FALSE))</f>
        <v>#N/A</v>
      </c>
      <c r="P19" s="3" t="e">
        <f ca="1">IF(VLOOKUP($A19,貼り付け用!$A$1:$BA$300,COLUMN(),FALSE)=0,"",VLOOKUP($A19,貼り付け用!$A$1:$BA$300,COLUMN(),FALSE))</f>
        <v>#N/A</v>
      </c>
      <c r="Q19" s="3" t="e">
        <f ca="1">IF(VLOOKUP($A19,貼り付け用!$A$1:$BA$300,COLUMN(),FALSE)=0,"",VLOOKUP($A19,貼り付け用!$A$1:$BA$300,COLUMN(),FALSE))</f>
        <v>#N/A</v>
      </c>
      <c r="R19" s="3" t="e">
        <f ca="1">IF(VLOOKUP($A19,貼り付け用!$A$1:$BA$300,COLUMN(),FALSE)=0,"",VLOOKUP($A19,貼り付け用!$A$1:$BA$300,COLUMN(),FALSE))</f>
        <v>#N/A</v>
      </c>
      <c r="S19" s="3" t="e">
        <f ca="1">IF(VLOOKUP($A19,貼り付け用!$A$1:$BA$300,COLUMN(),FALSE)=0,"",VLOOKUP($A19,貼り付け用!$A$1:$BA$300,COLUMN(),FALSE))</f>
        <v>#N/A</v>
      </c>
      <c r="T19" s="3" t="e">
        <f ca="1">IF(VLOOKUP($A19,貼り付け用!$A$1:$BA$300,COLUMN(),FALSE)=0,"",VLOOKUP($A19,貼り付け用!$A$1:$BA$300,COLUMN(),FALSE))</f>
        <v>#N/A</v>
      </c>
      <c r="U19" s="50"/>
      <c r="V19" s="3" t="e">
        <f ca="1">IF(A19&lt;&gt;"",
IF(VLOOKUP($A19,貼り付け用!$A$1:$BA$300,COLUMN()-1,FALSE)=0,"",VLOOKUP($A19,貼り付け用!$A$1:$BA$300,COLUMN()-1,FALSE)),"")</f>
        <v>#N/A</v>
      </c>
      <c r="W19" s="3" t="e">
        <f ca="1">IF(A19&lt;&gt;"",
IF(VLOOKUP($A19,貼り付け用!$A$1:$BA$300,COLUMN()-1,FALSE)=0,"",VLOOKUP($A19,貼り付け用!$A$1:$BA$300,COLUMN()-1,FALSE)),"")</f>
        <v>#N/A</v>
      </c>
    </row>
    <row r="20" spans="1:23" x14ac:dyDescent="0.45">
      <c r="A20" s="4" t="e" cm="1">
        <f t="array" aca="1" ref="A20" ca="1">IF(OR(COUNTIF(A18,"*合計*"),COUNTIF(A18,"")),"",INDEX(貼り付け用!$A:$A,MATCH(A18,貼り付け用!$A:$A,0)+2,0))</f>
        <v>#N/A</v>
      </c>
      <c r="B20" s="19" t="e">
        <f ca="1">IF(VLOOKUP($A20,貼り付け用!$A$1:$BA$300,COLUMN(),FALSE)=0,"",VLOOKUP($A20,貼り付け用!$A$1:$BA$300,COLUMN(),FALSE))</f>
        <v>#N/A</v>
      </c>
      <c r="C20" s="19" t="e">
        <f ca="1">IF(VLOOKUP($A20,貼り付け用!$A$1:$BA$300,COLUMN(),FALSE)=0,"",VLOOKUP($A20,貼り付け用!$A$1:$BA$300,COLUMN(),FALSE))</f>
        <v>#N/A</v>
      </c>
      <c r="D20" s="19" t="e">
        <f ca="1">IF(VLOOKUP($A20,貼り付け用!$A$1:$BA$300,COLUMN(),FALSE)=0,"",VLOOKUP($A20,貼り付け用!$A$1:$BA$300,COLUMN(),FALSE))</f>
        <v>#N/A</v>
      </c>
      <c r="E20" s="19" t="e">
        <f ca="1">IF(VLOOKUP($A20,貼り付け用!$A$1:$BA$300,COLUMN(),FALSE)=0,"",VLOOKUP($A20,貼り付け用!$A$1:$BA$300,COLUMN(),FALSE))</f>
        <v>#N/A</v>
      </c>
      <c r="F20" s="19" t="e">
        <f ca="1">IF(VLOOKUP($A20,貼り付け用!$A$1:$BA$300,COLUMN(),FALSE)=0,"",VLOOKUP($A20,貼り付け用!$A$1:$BA$300,COLUMN(),FALSE))</f>
        <v>#N/A</v>
      </c>
      <c r="G20" s="19" t="e">
        <f ca="1">IF(VLOOKUP($A20,貼り付け用!$A$1:$BA$300,COLUMN(),FALSE)=0,"",VLOOKUP($A20,貼り付け用!$A$1:$BA$300,COLUMN(),FALSE))</f>
        <v>#N/A</v>
      </c>
      <c r="H20" s="19" t="e">
        <f ca="1">IF(VLOOKUP($A20,貼り付け用!$A$1:$BA$300,COLUMN(),FALSE)=0,"",VLOOKUP($A20,貼り付け用!$A$1:$BA$300,COLUMN(),FALSE))</f>
        <v>#N/A</v>
      </c>
      <c r="I20" s="19" t="e">
        <f ca="1">IF(VLOOKUP($A20,貼り付け用!$A$1:$BA$300,COLUMN(),FALSE)=0,"",VLOOKUP($A20,貼り付け用!$A$1:$BA$300,COLUMN(),FALSE))</f>
        <v>#N/A</v>
      </c>
      <c r="J20" s="19" t="e">
        <f ca="1">IF(VLOOKUP($A20,貼り付け用!$A$1:$BA$300,COLUMN(),FALSE)=0,"",VLOOKUP($A20,貼り付け用!$A$1:$BA$300,COLUMN(),FALSE))</f>
        <v>#N/A</v>
      </c>
      <c r="K20" s="19" t="e">
        <f ca="1">IF(VLOOKUP($A20,貼り付け用!$A$1:$BA$300,COLUMN(),FALSE)=0,"",VLOOKUP($A20,貼り付け用!$A$1:$BA$300,COLUMN(),FALSE))</f>
        <v>#N/A</v>
      </c>
      <c r="L20" s="19" t="e">
        <f ca="1">IF(VLOOKUP($A20,貼り付け用!$A$1:$BA$300,COLUMN(),FALSE)=0,"",VLOOKUP($A20,貼り付け用!$A$1:$BA$300,COLUMN(),FALSE))</f>
        <v>#N/A</v>
      </c>
      <c r="M20" s="19" t="e">
        <f ca="1">IF(VLOOKUP($A20,貼り付け用!$A$1:$BA$300,COLUMN(),FALSE)=0,"",VLOOKUP($A20,貼り付け用!$A$1:$BA$300,COLUMN(),FALSE))</f>
        <v>#N/A</v>
      </c>
      <c r="N20" s="19" t="e">
        <f ca="1">IF(VLOOKUP($A20,貼り付け用!$A$1:$BA$300,COLUMN(),FALSE)=0,"",VLOOKUP($A20,貼り付け用!$A$1:$BA$300,COLUMN(),FALSE))</f>
        <v>#N/A</v>
      </c>
      <c r="O20" s="19" t="e">
        <f ca="1">IF(VLOOKUP($A20,貼り付け用!$A$1:$BA$300,COLUMN(),FALSE)=0,"",VLOOKUP($A20,貼り付け用!$A$1:$BA$300,COLUMN(),FALSE))</f>
        <v>#N/A</v>
      </c>
      <c r="P20" s="19" t="e">
        <f ca="1">IF(VLOOKUP($A20,貼り付け用!$A$1:$BA$300,COLUMN(),FALSE)=0,"",VLOOKUP($A20,貼り付け用!$A$1:$BA$300,COLUMN(),FALSE))</f>
        <v>#N/A</v>
      </c>
      <c r="Q20" s="19" t="e">
        <f ca="1">IF(VLOOKUP($A20,貼り付け用!$A$1:$BA$300,COLUMN(),FALSE)=0,"",VLOOKUP($A20,貼り付け用!$A$1:$BA$300,COLUMN(),FALSE))</f>
        <v>#N/A</v>
      </c>
      <c r="R20" s="19" t="e">
        <f ca="1">IF(VLOOKUP($A20,貼り付け用!$A$1:$BA$300,COLUMN(),FALSE)=0,"",VLOOKUP($A20,貼り付け用!$A$1:$BA$300,COLUMN(),FALSE))</f>
        <v>#N/A</v>
      </c>
      <c r="S20" s="19" t="e">
        <f ca="1">IF(VLOOKUP($A20,貼り付け用!$A$1:$BA$300,COLUMN(),FALSE)=0,"",VLOOKUP($A20,貼り付け用!$A$1:$BA$300,COLUMN(),FALSE))</f>
        <v>#N/A</v>
      </c>
      <c r="T20" s="19" t="e">
        <f ca="1">IF(VLOOKUP($A20,貼り付け用!$A$1:$BA$300,COLUMN(),FALSE)=0,"",VLOOKUP($A20,貼り付け用!$A$1:$BA$300,COLUMN(),FALSE))</f>
        <v>#N/A</v>
      </c>
      <c r="U20" s="16"/>
      <c r="V20" s="19" t="e">
        <f ca="1">IF(A20&lt;&gt;"",
IF(VLOOKUP($A20,貼り付け用!$A$1:$BA$300,COLUMN()-1,FALSE)=0,"",VLOOKUP($A20,貼り付け用!$A$1:$BA$300,COLUMN()-1,FALSE)),"")</f>
        <v>#N/A</v>
      </c>
      <c r="W20" s="19" t="e">
        <f ca="1">IF(A20&lt;&gt;"",
IF(VLOOKUP($A20,貼り付け用!$A$1:$BA$300,COLUMN()-1,FALSE)=0,"",VLOOKUP($A20,貼り付け用!$A$1:$BA$300,COLUMN()-1,FALSE)),"")</f>
        <v>#N/A</v>
      </c>
    </row>
    <row r="21" spans="1:23" x14ac:dyDescent="0.45">
      <c r="A21" s="10" t="e" cm="1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IF(VLOOKUP($A21,貼り付け用!$A$1:$BA$300,COLUMN(),FALSE)=0,"",VLOOKUP($A21,貼り付け用!$A$1:$BA$300,COLUMN(),FALSE))</f>
        <v>#N/A</v>
      </c>
      <c r="M21" s="3" t="e">
        <f ca="1">IF(VLOOKUP($A21,貼り付け用!$A$1:$BA$300,COLUMN(),FALSE)=0,"",VLOOKUP($A21,貼り付け用!$A$1:$BA$300,COLUMN(),FALSE))</f>
        <v>#N/A</v>
      </c>
      <c r="N21" s="3" t="e">
        <f ca="1">IF(VLOOKUP($A21,貼り付け用!$A$1:$BA$300,COLUMN(),FALSE)=0,"",VLOOKUP($A21,貼り付け用!$A$1:$BA$300,COLUMN(),FALSE))</f>
        <v>#N/A</v>
      </c>
      <c r="O21" s="3" t="e">
        <f ca="1">IF(VLOOKUP($A21,貼り付け用!$A$1:$BA$300,COLUMN(),FALSE)=0,"",VLOOKUP($A21,貼り付け用!$A$1:$BA$300,COLUMN(),FALSE))</f>
        <v>#N/A</v>
      </c>
      <c r="P21" s="3" t="e">
        <f ca="1">IF(VLOOKUP($A21,貼り付け用!$A$1:$BA$300,COLUMN(),FALSE)=0,"",VLOOKUP($A21,貼り付け用!$A$1:$BA$300,COLUMN(),FALSE))</f>
        <v>#N/A</v>
      </c>
      <c r="Q21" s="3" t="e">
        <f ca="1">IF(VLOOKUP($A21,貼り付け用!$A$1:$BA$300,COLUMN(),FALSE)=0,"",VLOOKUP($A21,貼り付け用!$A$1:$BA$300,COLUMN(),FALSE))</f>
        <v>#N/A</v>
      </c>
      <c r="R21" s="3" t="e">
        <f ca="1">IF(VLOOKUP($A21,貼り付け用!$A$1:$BA$300,COLUMN(),FALSE)=0,"",VLOOKUP($A21,貼り付け用!$A$1:$BA$300,COLUMN(),FALSE))</f>
        <v>#N/A</v>
      </c>
      <c r="S21" s="3" t="e">
        <f ca="1">IF(VLOOKUP($A21,貼り付け用!$A$1:$BA$300,COLUMN(),FALSE)=0,"",VLOOKUP($A21,貼り付け用!$A$1:$BA$300,COLUMN(),FALSE))</f>
        <v>#N/A</v>
      </c>
      <c r="T21" s="3" t="e">
        <f ca="1">IF(VLOOKUP($A21,貼り付け用!$A$1:$BA$300,COLUMN(),FALSE)=0,"",VLOOKUP($A21,貼り付け用!$A$1:$BA$300,COLUMN(),FALSE))</f>
        <v>#N/A</v>
      </c>
      <c r="U21" s="50"/>
      <c r="V21" s="3" t="e">
        <f ca="1">IF(A21&lt;&gt;"",
IF(VLOOKUP($A21,貼り付け用!$A$1:$BA$300,COLUMN()-1,FALSE)=0,"",VLOOKUP($A21,貼り付け用!$A$1:$BA$300,COLUMN()-1,FALSE)),"")</f>
        <v>#N/A</v>
      </c>
      <c r="W21" s="3" t="e">
        <f ca="1">IF(A21&lt;&gt;"",
IF(VLOOKUP($A21,貼り付け用!$A$1:$BA$300,COLUMN()-1,FALSE)=0,"",VLOOKUP($A21,貼り付け用!$A$1:$BA$300,COLUMN()-1,FALSE)),"")</f>
        <v>#N/A</v>
      </c>
    </row>
    <row r="22" spans="1:23" x14ac:dyDescent="0.45">
      <c r="A22" s="4" t="e" cm="1">
        <f t="array" aca="1" ref="A22" ca="1">IF(OR(COUNTIF(A20,"*合計*"),COUNTIF(A20,"")),"",INDEX(貼り付け用!$A:$A,MATCH(A20,貼り付け用!$A:$A,0)+2,0))</f>
        <v>#N/A</v>
      </c>
      <c r="B22" s="19" t="e">
        <f ca="1">IF(VLOOKUP($A22,貼り付け用!$A$1:$BA$300,COLUMN(),FALSE)=0,"",VLOOKUP($A22,貼り付け用!$A$1:$BA$300,COLUMN(),FALSE))</f>
        <v>#N/A</v>
      </c>
      <c r="C22" s="19" t="e">
        <f ca="1">IF(VLOOKUP($A22,貼り付け用!$A$1:$BA$300,COLUMN(),FALSE)=0,"",VLOOKUP($A22,貼り付け用!$A$1:$BA$300,COLUMN(),FALSE))</f>
        <v>#N/A</v>
      </c>
      <c r="D22" s="19" t="e">
        <f ca="1">IF(VLOOKUP($A22,貼り付け用!$A$1:$BA$300,COLUMN(),FALSE)=0,"",VLOOKUP($A22,貼り付け用!$A$1:$BA$300,COLUMN(),FALSE))</f>
        <v>#N/A</v>
      </c>
      <c r="E22" s="19" t="e">
        <f ca="1">IF(VLOOKUP($A22,貼り付け用!$A$1:$BA$300,COLUMN(),FALSE)=0,"",VLOOKUP($A22,貼り付け用!$A$1:$BA$300,COLUMN(),FALSE))</f>
        <v>#N/A</v>
      </c>
      <c r="F22" s="19" t="e">
        <f ca="1">IF(VLOOKUP($A22,貼り付け用!$A$1:$BA$300,COLUMN(),FALSE)=0,"",VLOOKUP($A22,貼り付け用!$A$1:$BA$300,COLUMN(),FALSE))</f>
        <v>#N/A</v>
      </c>
      <c r="G22" s="19" t="e">
        <f ca="1">IF(VLOOKUP($A22,貼り付け用!$A$1:$BA$300,COLUMN(),FALSE)=0,"",VLOOKUP($A22,貼り付け用!$A$1:$BA$300,COLUMN(),FALSE))</f>
        <v>#N/A</v>
      </c>
      <c r="H22" s="19" t="e">
        <f ca="1">IF(VLOOKUP($A22,貼り付け用!$A$1:$BA$300,COLUMN(),FALSE)=0,"",VLOOKUP($A22,貼り付け用!$A$1:$BA$300,COLUMN(),FALSE))</f>
        <v>#N/A</v>
      </c>
      <c r="I22" s="19" t="e">
        <f ca="1">IF(VLOOKUP($A22,貼り付け用!$A$1:$BA$300,COLUMN(),FALSE)=0,"",VLOOKUP($A22,貼り付け用!$A$1:$BA$300,COLUMN(),FALSE))</f>
        <v>#N/A</v>
      </c>
      <c r="J22" s="19" t="e">
        <f ca="1">IF(VLOOKUP($A22,貼り付け用!$A$1:$BA$300,COLUMN(),FALSE)=0,"",VLOOKUP($A22,貼り付け用!$A$1:$BA$300,COLUMN(),FALSE))</f>
        <v>#N/A</v>
      </c>
      <c r="K22" s="19" t="e">
        <f ca="1">IF(VLOOKUP($A22,貼り付け用!$A$1:$BA$300,COLUMN(),FALSE)=0,"",VLOOKUP($A22,貼り付け用!$A$1:$BA$300,COLUMN(),FALSE))</f>
        <v>#N/A</v>
      </c>
      <c r="L22" s="19" t="e">
        <f ca="1">IF(VLOOKUP($A22,貼り付け用!$A$1:$BA$300,COLUMN(),FALSE)=0,"",VLOOKUP($A22,貼り付け用!$A$1:$BA$300,COLUMN(),FALSE))</f>
        <v>#N/A</v>
      </c>
      <c r="M22" s="19" t="e">
        <f ca="1">IF(VLOOKUP($A22,貼り付け用!$A$1:$BA$300,COLUMN(),FALSE)=0,"",VLOOKUP($A22,貼り付け用!$A$1:$BA$300,COLUMN(),FALSE))</f>
        <v>#N/A</v>
      </c>
      <c r="N22" s="19" t="e">
        <f ca="1">IF(VLOOKUP($A22,貼り付け用!$A$1:$BA$300,COLUMN(),FALSE)=0,"",VLOOKUP($A22,貼り付け用!$A$1:$BA$300,COLUMN(),FALSE))</f>
        <v>#N/A</v>
      </c>
      <c r="O22" s="19" t="e">
        <f ca="1">IF(VLOOKUP($A22,貼り付け用!$A$1:$BA$300,COLUMN(),FALSE)=0,"",VLOOKUP($A22,貼り付け用!$A$1:$BA$300,COLUMN(),FALSE))</f>
        <v>#N/A</v>
      </c>
      <c r="P22" s="19" t="e">
        <f ca="1">IF(VLOOKUP($A22,貼り付け用!$A$1:$BA$300,COLUMN(),FALSE)=0,"",VLOOKUP($A22,貼り付け用!$A$1:$BA$300,COLUMN(),FALSE))</f>
        <v>#N/A</v>
      </c>
      <c r="Q22" s="19" t="e">
        <f ca="1">IF(VLOOKUP($A22,貼り付け用!$A$1:$BA$300,COLUMN(),FALSE)=0,"",VLOOKUP($A22,貼り付け用!$A$1:$BA$300,COLUMN(),FALSE))</f>
        <v>#N/A</v>
      </c>
      <c r="R22" s="19" t="e">
        <f ca="1">IF(VLOOKUP($A22,貼り付け用!$A$1:$BA$300,COLUMN(),FALSE)=0,"",VLOOKUP($A22,貼り付け用!$A$1:$BA$300,COLUMN(),FALSE))</f>
        <v>#N/A</v>
      </c>
      <c r="S22" s="19" t="e">
        <f ca="1">IF(VLOOKUP($A22,貼り付け用!$A$1:$BA$300,COLUMN(),FALSE)=0,"",VLOOKUP($A22,貼り付け用!$A$1:$BA$300,COLUMN(),FALSE))</f>
        <v>#N/A</v>
      </c>
      <c r="T22" s="19" t="e">
        <f ca="1">IF(VLOOKUP($A22,貼り付け用!$A$1:$BA$300,COLUMN(),FALSE)=0,"",VLOOKUP($A22,貼り付け用!$A$1:$BA$300,COLUMN(),FALSE))</f>
        <v>#N/A</v>
      </c>
      <c r="U22" s="16"/>
      <c r="V22" s="19" t="e">
        <f ca="1">IF(A22&lt;&gt;"",
IF(VLOOKUP($A22,貼り付け用!$A$1:$BA$300,COLUMN()-1,FALSE)=0,"",VLOOKUP($A22,貼り付け用!$A$1:$BA$300,COLUMN()-1,FALSE)),"")</f>
        <v>#N/A</v>
      </c>
      <c r="W22" s="19" t="e">
        <f ca="1">IF(A22&lt;&gt;"",
IF(VLOOKUP($A22,貼り付け用!$A$1:$BA$300,COLUMN()-1,FALSE)=0,"",VLOOKUP($A22,貼り付け用!$A$1:$BA$300,COLUMN()-1,FALSE)),"")</f>
        <v>#N/A</v>
      </c>
    </row>
    <row r="23" spans="1:23" x14ac:dyDescent="0.45">
      <c r="A23" s="10" t="e" cm="1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IF(VLOOKUP($A23,貼り付け用!$A$1:$BA$300,COLUMN(),FALSE)=0,"",VLOOKUP($A23,貼り付け用!$A$1:$BA$300,COLUMN(),FALSE))</f>
        <v>#N/A</v>
      </c>
      <c r="M23" s="3" t="e">
        <f ca="1">IF(VLOOKUP($A23,貼り付け用!$A$1:$BA$300,COLUMN(),FALSE)=0,"",VLOOKUP($A23,貼り付け用!$A$1:$BA$300,COLUMN(),FALSE))</f>
        <v>#N/A</v>
      </c>
      <c r="N23" s="3" t="e">
        <f ca="1">IF(VLOOKUP($A23,貼り付け用!$A$1:$BA$300,COLUMN(),FALSE)=0,"",VLOOKUP($A23,貼り付け用!$A$1:$BA$300,COLUMN(),FALSE))</f>
        <v>#N/A</v>
      </c>
      <c r="O23" s="3" t="e">
        <f ca="1">IF(VLOOKUP($A23,貼り付け用!$A$1:$BA$300,COLUMN(),FALSE)=0,"",VLOOKUP($A23,貼り付け用!$A$1:$BA$300,COLUMN(),FALSE))</f>
        <v>#N/A</v>
      </c>
      <c r="P23" s="3" t="e">
        <f ca="1">IF(VLOOKUP($A23,貼り付け用!$A$1:$BA$300,COLUMN(),FALSE)=0,"",VLOOKUP($A23,貼り付け用!$A$1:$BA$300,COLUMN(),FALSE))</f>
        <v>#N/A</v>
      </c>
      <c r="Q23" s="3" t="e">
        <f ca="1">IF(VLOOKUP($A23,貼り付け用!$A$1:$BA$300,COLUMN(),FALSE)=0,"",VLOOKUP($A23,貼り付け用!$A$1:$BA$300,COLUMN(),FALSE))</f>
        <v>#N/A</v>
      </c>
      <c r="R23" s="3" t="e">
        <f ca="1">IF(VLOOKUP($A23,貼り付け用!$A$1:$BA$300,COLUMN(),FALSE)=0,"",VLOOKUP($A23,貼り付け用!$A$1:$BA$300,COLUMN(),FALSE))</f>
        <v>#N/A</v>
      </c>
      <c r="S23" s="3" t="e">
        <f ca="1">IF(VLOOKUP($A23,貼り付け用!$A$1:$BA$300,COLUMN(),FALSE)=0,"",VLOOKUP($A23,貼り付け用!$A$1:$BA$300,COLUMN(),FALSE))</f>
        <v>#N/A</v>
      </c>
      <c r="T23" s="3" t="e">
        <f ca="1">IF(VLOOKUP($A23,貼り付け用!$A$1:$BA$300,COLUMN(),FALSE)=0,"",VLOOKUP($A23,貼り付け用!$A$1:$BA$300,COLUMN(),FALSE))</f>
        <v>#N/A</v>
      </c>
      <c r="U23" s="50"/>
      <c r="V23" s="3" t="e">
        <f ca="1">IF(A23&lt;&gt;"",
IF(VLOOKUP($A23,貼り付け用!$A$1:$BA$300,COLUMN()-1,FALSE)=0,"",VLOOKUP($A23,貼り付け用!$A$1:$BA$300,COLUMN()-1,FALSE)),"")</f>
        <v>#N/A</v>
      </c>
      <c r="W23" s="3" t="e">
        <f ca="1">IF(A23&lt;&gt;"",
IF(VLOOKUP($A23,貼り付け用!$A$1:$BA$300,COLUMN()-1,FALSE)=0,"",VLOOKUP($A23,貼り付け用!$A$1:$BA$300,COLUMN()-1,FALSE)),"")</f>
        <v>#N/A</v>
      </c>
    </row>
    <row r="24" spans="1:23" x14ac:dyDescent="0.45">
      <c r="A24" s="4" t="e" cm="1">
        <f t="array" aca="1" ref="A24" ca="1">IF(OR(COUNTIF(A22,"*合計*"),COUNTIF(A22,"")),"",INDEX(貼り付け用!$A:$A,MATCH(A22,貼り付け用!$A:$A,0)+2,0))</f>
        <v>#N/A</v>
      </c>
      <c r="B24" s="19" t="e">
        <f ca="1">IF(VLOOKUP($A24,貼り付け用!$A$1:$BA$300,COLUMN(),FALSE)=0,"",VLOOKUP($A24,貼り付け用!$A$1:$BA$300,COLUMN(),FALSE))</f>
        <v>#N/A</v>
      </c>
      <c r="C24" s="19" t="e">
        <f ca="1">IF(VLOOKUP($A24,貼り付け用!$A$1:$BA$300,COLUMN(),FALSE)=0,"",VLOOKUP($A24,貼り付け用!$A$1:$BA$300,COLUMN(),FALSE))</f>
        <v>#N/A</v>
      </c>
      <c r="D24" s="19" t="e">
        <f ca="1">IF(VLOOKUP($A24,貼り付け用!$A$1:$BA$300,COLUMN(),FALSE)=0,"",VLOOKUP($A24,貼り付け用!$A$1:$BA$300,COLUMN(),FALSE))</f>
        <v>#N/A</v>
      </c>
      <c r="E24" s="19" t="e">
        <f ca="1">IF(VLOOKUP($A24,貼り付け用!$A$1:$BA$300,COLUMN(),FALSE)=0,"",VLOOKUP($A24,貼り付け用!$A$1:$BA$300,COLUMN(),FALSE))</f>
        <v>#N/A</v>
      </c>
      <c r="F24" s="19" t="e">
        <f ca="1">IF(VLOOKUP($A24,貼り付け用!$A$1:$BA$300,COLUMN(),FALSE)=0,"",VLOOKUP($A24,貼り付け用!$A$1:$BA$300,COLUMN(),FALSE))</f>
        <v>#N/A</v>
      </c>
      <c r="G24" s="19" t="e">
        <f ca="1">IF(VLOOKUP($A24,貼り付け用!$A$1:$BA$300,COLUMN(),FALSE)=0,"",VLOOKUP($A24,貼り付け用!$A$1:$BA$300,COLUMN(),FALSE))</f>
        <v>#N/A</v>
      </c>
      <c r="H24" s="19" t="e">
        <f ca="1">IF(VLOOKUP($A24,貼り付け用!$A$1:$BA$300,COLUMN(),FALSE)=0,"",VLOOKUP($A24,貼り付け用!$A$1:$BA$300,COLUMN(),FALSE))</f>
        <v>#N/A</v>
      </c>
      <c r="I24" s="19" t="e">
        <f ca="1">IF(VLOOKUP($A24,貼り付け用!$A$1:$BA$300,COLUMN(),FALSE)=0,"",VLOOKUP($A24,貼り付け用!$A$1:$BA$300,COLUMN(),FALSE))</f>
        <v>#N/A</v>
      </c>
      <c r="J24" s="19" t="e">
        <f ca="1">IF(VLOOKUP($A24,貼り付け用!$A$1:$BA$300,COLUMN(),FALSE)=0,"",VLOOKUP($A24,貼り付け用!$A$1:$BA$300,COLUMN(),FALSE))</f>
        <v>#N/A</v>
      </c>
      <c r="K24" s="19" t="e">
        <f ca="1">IF(VLOOKUP($A24,貼り付け用!$A$1:$BA$300,COLUMN(),FALSE)=0,"",VLOOKUP($A24,貼り付け用!$A$1:$BA$300,COLUMN(),FALSE))</f>
        <v>#N/A</v>
      </c>
      <c r="L24" s="19" t="e">
        <f ca="1">IF(VLOOKUP($A24,貼り付け用!$A$1:$BA$300,COLUMN(),FALSE)=0,"",VLOOKUP($A24,貼り付け用!$A$1:$BA$300,COLUMN(),FALSE))</f>
        <v>#N/A</v>
      </c>
      <c r="M24" s="19" t="e">
        <f ca="1">IF(VLOOKUP($A24,貼り付け用!$A$1:$BA$300,COLUMN(),FALSE)=0,"",VLOOKUP($A24,貼り付け用!$A$1:$BA$300,COLUMN(),FALSE))</f>
        <v>#N/A</v>
      </c>
      <c r="N24" s="19" t="e">
        <f ca="1">IF(VLOOKUP($A24,貼り付け用!$A$1:$BA$300,COLUMN(),FALSE)=0,"",VLOOKUP($A24,貼り付け用!$A$1:$BA$300,COLUMN(),FALSE))</f>
        <v>#N/A</v>
      </c>
      <c r="O24" s="19" t="e">
        <f ca="1">IF(VLOOKUP($A24,貼り付け用!$A$1:$BA$300,COLUMN(),FALSE)=0,"",VLOOKUP($A24,貼り付け用!$A$1:$BA$300,COLUMN(),FALSE))</f>
        <v>#N/A</v>
      </c>
      <c r="P24" s="19" t="e">
        <f ca="1">IF(VLOOKUP($A24,貼り付け用!$A$1:$BA$300,COLUMN(),FALSE)=0,"",VLOOKUP($A24,貼り付け用!$A$1:$BA$300,COLUMN(),FALSE))</f>
        <v>#N/A</v>
      </c>
      <c r="Q24" s="19" t="e">
        <f ca="1">IF(VLOOKUP($A24,貼り付け用!$A$1:$BA$300,COLUMN(),FALSE)=0,"",VLOOKUP($A24,貼り付け用!$A$1:$BA$300,COLUMN(),FALSE))</f>
        <v>#N/A</v>
      </c>
      <c r="R24" s="19" t="e">
        <f ca="1">IF(VLOOKUP($A24,貼り付け用!$A$1:$BA$300,COLUMN(),FALSE)=0,"",VLOOKUP($A24,貼り付け用!$A$1:$BA$300,COLUMN(),FALSE))</f>
        <v>#N/A</v>
      </c>
      <c r="S24" s="19" t="e">
        <f ca="1">IF(VLOOKUP($A24,貼り付け用!$A$1:$BA$300,COLUMN(),FALSE)=0,"",VLOOKUP($A24,貼り付け用!$A$1:$BA$300,COLUMN(),FALSE))</f>
        <v>#N/A</v>
      </c>
      <c r="T24" s="19" t="e">
        <f ca="1">IF(VLOOKUP($A24,貼り付け用!$A$1:$BA$300,COLUMN(),FALSE)=0,"",VLOOKUP($A24,貼り付け用!$A$1:$BA$300,COLUMN(),FALSE))</f>
        <v>#N/A</v>
      </c>
      <c r="U24" s="16"/>
      <c r="V24" s="19" t="e">
        <f ca="1">IF(A24&lt;&gt;"",
IF(VLOOKUP($A24,貼り付け用!$A$1:$BA$300,COLUMN()-1,FALSE)=0,"",VLOOKUP($A24,貼り付け用!$A$1:$BA$300,COLUMN()-1,FALSE)),"")</f>
        <v>#N/A</v>
      </c>
      <c r="W24" s="19" t="e">
        <f ca="1">IF(A24&lt;&gt;"",
IF(VLOOKUP($A24,貼り付け用!$A$1:$BA$300,COLUMN()-1,FALSE)=0,"",VLOOKUP($A24,貼り付け用!$A$1:$BA$300,COLUMN()-1,FALSE)),"")</f>
        <v>#N/A</v>
      </c>
    </row>
    <row r="25" spans="1:23" x14ac:dyDescent="0.45">
      <c r="A25" s="10" t="e" cm="1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IF(VLOOKUP($A25,貼り付け用!$A$1:$BA$300,COLUMN(),FALSE)=0,"",VLOOKUP($A25,貼り付け用!$A$1:$BA$300,COLUMN(),FALSE))</f>
        <v>#N/A</v>
      </c>
      <c r="M25" s="3" t="e">
        <f ca="1">IF(VLOOKUP($A25,貼り付け用!$A$1:$BA$300,COLUMN(),FALSE)=0,"",VLOOKUP($A25,貼り付け用!$A$1:$BA$300,COLUMN(),FALSE))</f>
        <v>#N/A</v>
      </c>
      <c r="N25" s="3" t="e">
        <f ca="1">IF(VLOOKUP($A25,貼り付け用!$A$1:$BA$300,COLUMN(),FALSE)=0,"",VLOOKUP($A25,貼り付け用!$A$1:$BA$300,COLUMN(),FALSE))</f>
        <v>#N/A</v>
      </c>
      <c r="O25" s="3" t="e">
        <f ca="1">IF(VLOOKUP($A25,貼り付け用!$A$1:$BA$300,COLUMN(),FALSE)=0,"",VLOOKUP($A25,貼り付け用!$A$1:$BA$300,COLUMN(),FALSE))</f>
        <v>#N/A</v>
      </c>
      <c r="P25" s="3" t="e">
        <f ca="1">IF(VLOOKUP($A25,貼り付け用!$A$1:$BA$300,COLUMN(),FALSE)=0,"",VLOOKUP($A25,貼り付け用!$A$1:$BA$300,COLUMN(),FALSE))</f>
        <v>#N/A</v>
      </c>
      <c r="Q25" s="3" t="e">
        <f ca="1">IF(VLOOKUP($A25,貼り付け用!$A$1:$BA$300,COLUMN(),FALSE)=0,"",VLOOKUP($A25,貼り付け用!$A$1:$BA$300,COLUMN(),FALSE))</f>
        <v>#N/A</v>
      </c>
      <c r="R25" s="3" t="e">
        <f ca="1">IF(VLOOKUP($A25,貼り付け用!$A$1:$BA$300,COLUMN(),FALSE)=0,"",VLOOKUP($A25,貼り付け用!$A$1:$BA$300,COLUMN(),FALSE))</f>
        <v>#N/A</v>
      </c>
      <c r="S25" s="3" t="e">
        <f ca="1">IF(VLOOKUP($A25,貼り付け用!$A$1:$BA$300,COLUMN(),FALSE)=0,"",VLOOKUP($A25,貼り付け用!$A$1:$BA$300,COLUMN(),FALSE))</f>
        <v>#N/A</v>
      </c>
      <c r="T25" s="3" t="e">
        <f ca="1">IF(VLOOKUP($A25,貼り付け用!$A$1:$BA$300,COLUMN(),FALSE)=0,"",VLOOKUP($A25,貼り付け用!$A$1:$BA$300,COLUMN(),FALSE))</f>
        <v>#N/A</v>
      </c>
      <c r="U25" s="50"/>
      <c r="V25" s="3" t="e">
        <f ca="1">IF(A25&lt;&gt;"",
IF(VLOOKUP($A25,貼り付け用!$A$1:$BA$300,COLUMN()-1,FALSE)=0,"",VLOOKUP($A25,貼り付け用!$A$1:$BA$300,COLUMN()-1,FALSE)),"")</f>
        <v>#N/A</v>
      </c>
      <c r="W25" s="3" t="e">
        <f ca="1">IF(A25&lt;&gt;"",
IF(VLOOKUP($A25,貼り付け用!$A$1:$BA$300,COLUMN()-1,FALSE)=0,"",VLOOKUP($A25,貼り付け用!$A$1:$BA$300,COLUMN()-1,FALSE)),"")</f>
        <v>#N/A</v>
      </c>
    </row>
    <row r="26" spans="1:23" x14ac:dyDescent="0.45">
      <c r="A26" s="4" t="e" cm="1">
        <f t="array" aca="1" ref="A26" ca="1">IF(OR(COUNTIF(A24,"*合計*"),COUNTIF(A24,"")),"",INDEX(貼り付け用!$A:$A,MATCH(A24,貼り付け用!$A:$A,0)+2,0))</f>
        <v>#N/A</v>
      </c>
      <c r="B26" s="19" t="e">
        <f ca="1">IF(VLOOKUP($A26,貼り付け用!$A$1:$BA$300,COLUMN(),FALSE)=0,"",VLOOKUP($A26,貼り付け用!$A$1:$BA$300,COLUMN(),FALSE))</f>
        <v>#N/A</v>
      </c>
      <c r="C26" s="19" t="e">
        <f ca="1">IF(VLOOKUP($A26,貼り付け用!$A$1:$BA$300,COLUMN(),FALSE)=0,"",VLOOKUP($A26,貼り付け用!$A$1:$BA$300,COLUMN(),FALSE))</f>
        <v>#N/A</v>
      </c>
      <c r="D26" s="19" t="e">
        <f ca="1">IF(VLOOKUP($A26,貼り付け用!$A$1:$BA$300,COLUMN(),FALSE)=0,"",VLOOKUP($A26,貼り付け用!$A$1:$BA$300,COLUMN(),FALSE))</f>
        <v>#N/A</v>
      </c>
      <c r="E26" s="19" t="e">
        <f ca="1">IF(VLOOKUP($A26,貼り付け用!$A$1:$BA$300,COLUMN(),FALSE)=0,"",VLOOKUP($A26,貼り付け用!$A$1:$BA$300,COLUMN(),FALSE))</f>
        <v>#N/A</v>
      </c>
      <c r="F26" s="19" t="e">
        <f ca="1">IF(VLOOKUP($A26,貼り付け用!$A$1:$BA$300,COLUMN(),FALSE)=0,"",VLOOKUP($A26,貼り付け用!$A$1:$BA$300,COLUMN(),FALSE))</f>
        <v>#N/A</v>
      </c>
      <c r="G26" s="19" t="e">
        <f ca="1">IF(VLOOKUP($A26,貼り付け用!$A$1:$BA$300,COLUMN(),FALSE)=0,"",VLOOKUP($A26,貼り付け用!$A$1:$BA$300,COLUMN(),FALSE))</f>
        <v>#N/A</v>
      </c>
      <c r="H26" s="19" t="e">
        <f ca="1">IF(VLOOKUP($A26,貼り付け用!$A$1:$BA$300,COLUMN(),FALSE)=0,"",VLOOKUP($A26,貼り付け用!$A$1:$BA$300,COLUMN(),FALSE))</f>
        <v>#N/A</v>
      </c>
      <c r="I26" s="19" t="e">
        <f ca="1">IF(VLOOKUP($A26,貼り付け用!$A$1:$BA$300,COLUMN(),FALSE)=0,"",VLOOKUP($A26,貼り付け用!$A$1:$BA$300,COLUMN(),FALSE))</f>
        <v>#N/A</v>
      </c>
      <c r="J26" s="19" t="e">
        <f ca="1">IF(VLOOKUP($A26,貼り付け用!$A$1:$BA$300,COLUMN(),FALSE)=0,"",VLOOKUP($A26,貼り付け用!$A$1:$BA$300,COLUMN(),FALSE))</f>
        <v>#N/A</v>
      </c>
      <c r="K26" s="19" t="e">
        <f ca="1">IF(VLOOKUP($A26,貼り付け用!$A$1:$BA$300,COLUMN(),FALSE)=0,"",VLOOKUP($A26,貼り付け用!$A$1:$BA$300,COLUMN(),FALSE))</f>
        <v>#N/A</v>
      </c>
      <c r="L26" s="19" t="e">
        <f ca="1">IF(VLOOKUP($A26,貼り付け用!$A$1:$BA$300,COLUMN(),FALSE)=0,"",VLOOKUP($A26,貼り付け用!$A$1:$BA$300,COLUMN(),FALSE))</f>
        <v>#N/A</v>
      </c>
      <c r="M26" s="19" t="e">
        <f ca="1">IF(VLOOKUP($A26,貼り付け用!$A$1:$BA$300,COLUMN(),FALSE)=0,"",VLOOKUP($A26,貼り付け用!$A$1:$BA$300,COLUMN(),FALSE))</f>
        <v>#N/A</v>
      </c>
      <c r="N26" s="19" t="e">
        <f ca="1">IF(VLOOKUP($A26,貼り付け用!$A$1:$BA$300,COLUMN(),FALSE)=0,"",VLOOKUP($A26,貼り付け用!$A$1:$BA$300,COLUMN(),FALSE))</f>
        <v>#N/A</v>
      </c>
      <c r="O26" s="19" t="e">
        <f ca="1">IF(VLOOKUP($A26,貼り付け用!$A$1:$BA$300,COLUMN(),FALSE)=0,"",VLOOKUP($A26,貼り付け用!$A$1:$BA$300,COLUMN(),FALSE))</f>
        <v>#N/A</v>
      </c>
      <c r="P26" s="19" t="e">
        <f ca="1">IF(VLOOKUP($A26,貼り付け用!$A$1:$BA$300,COLUMN(),FALSE)=0,"",VLOOKUP($A26,貼り付け用!$A$1:$BA$300,COLUMN(),FALSE))</f>
        <v>#N/A</v>
      </c>
      <c r="Q26" s="19" t="e">
        <f ca="1">IF(VLOOKUP($A26,貼り付け用!$A$1:$BA$300,COLUMN(),FALSE)=0,"",VLOOKUP($A26,貼り付け用!$A$1:$BA$300,COLUMN(),FALSE))</f>
        <v>#N/A</v>
      </c>
      <c r="R26" s="19" t="e">
        <f ca="1">IF(VLOOKUP($A26,貼り付け用!$A$1:$BA$300,COLUMN(),FALSE)=0,"",VLOOKUP($A26,貼り付け用!$A$1:$BA$300,COLUMN(),FALSE))</f>
        <v>#N/A</v>
      </c>
      <c r="S26" s="19" t="e">
        <f ca="1">IF(VLOOKUP($A26,貼り付け用!$A$1:$BA$300,COLUMN(),FALSE)=0,"",VLOOKUP($A26,貼り付け用!$A$1:$BA$300,COLUMN(),FALSE))</f>
        <v>#N/A</v>
      </c>
      <c r="T26" s="19" t="e">
        <f ca="1">IF(VLOOKUP($A26,貼り付け用!$A$1:$BA$300,COLUMN(),FALSE)=0,"",VLOOKUP($A26,貼り付け用!$A$1:$BA$300,COLUMN(),FALSE))</f>
        <v>#N/A</v>
      </c>
      <c r="U26" s="16"/>
      <c r="V26" s="19" t="e">
        <f ca="1">IF(A26&lt;&gt;"",
IF(VLOOKUP($A26,貼り付け用!$A$1:$BA$300,COLUMN()-1,FALSE)=0,"",VLOOKUP($A26,貼り付け用!$A$1:$BA$300,COLUMN()-1,FALSE)),"")</f>
        <v>#N/A</v>
      </c>
      <c r="W26" s="19" t="e">
        <f ca="1">IF(A26&lt;&gt;"",
IF(VLOOKUP($A26,貼り付け用!$A$1:$BA$300,COLUMN()-1,FALSE)=0,"",VLOOKUP($A26,貼り付け用!$A$1:$BA$300,COLUMN()-1,FALSE)),"")</f>
        <v>#N/A</v>
      </c>
    </row>
    <row r="27" spans="1:23" x14ac:dyDescent="0.45">
      <c r="A27" s="10" t="e" cm="1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IF(VLOOKUP($A27,貼り付け用!$A$1:$BA$300,COLUMN(),FALSE)=0,"",VLOOKUP($A27,貼り付け用!$A$1:$BA$300,COLUMN(),FALSE))</f>
        <v>#N/A</v>
      </c>
      <c r="M27" s="3" t="e">
        <f ca="1">IF(VLOOKUP($A27,貼り付け用!$A$1:$BA$300,COLUMN(),FALSE)=0,"",VLOOKUP($A27,貼り付け用!$A$1:$BA$300,COLUMN(),FALSE))</f>
        <v>#N/A</v>
      </c>
      <c r="N27" s="3" t="e">
        <f ca="1">IF(VLOOKUP($A27,貼り付け用!$A$1:$BA$300,COLUMN(),FALSE)=0,"",VLOOKUP($A27,貼り付け用!$A$1:$BA$300,COLUMN(),FALSE))</f>
        <v>#N/A</v>
      </c>
      <c r="O27" s="3" t="e">
        <f ca="1">IF(VLOOKUP($A27,貼り付け用!$A$1:$BA$300,COLUMN(),FALSE)=0,"",VLOOKUP($A27,貼り付け用!$A$1:$BA$300,COLUMN(),FALSE))</f>
        <v>#N/A</v>
      </c>
      <c r="P27" s="3" t="e">
        <f ca="1">IF(VLOOKUP($A27,貼り付け用!$A$1:$BA$300,COLUMN(),FALSE)=0,"",VLOOKUP($A27,貼り付け用!$A$1:$BA$300,COLUMN(),FALSE))</f>
        <v>#N/A</v>
      </c>
      <c r="Q27" s="3" t="e">
        <f ca="1">IF(VLOOKUP($A27,貼り付け用!$A$1:$BA$300,COLUMN(),FALSE)=0,"",VLOOKUP($A27,貼り付け用!$A$1:$BA$300,COLUMN(),FALSE))</f>
        <v>#N/A</v>
      </c>
      <c r="R27" s="3" t="e">
        <f ca="1">IF(VLOOKUP($A27,貼り付け用!$A$1:$BA$300,COLUMN(),FALSE)=0,"",VLOOKUP($A27,貼り付け用!$A$1:$BA$300,COLUMN(),FALSE))</f>
        <v>#N/A</v>
      </c>
      <c r="S27" s="3" t="e">
        <f ca="1">IF(VLOOKUP($A27,貼り付け用!$A$1:$BA$300,COLUMN(),FALSE)=0,"",VLOOKUP($A27,貼り付け用!$A$1:$BA$300,COLUMN(),FALSE))</f>
        <v>#N/A</v>
      </c>
      <c r="T27" s="3" t="e">
        <f ca="1">IF(VLOOKUP($A27,貼り付け用!$A$1:$BA$300,COLUMN(),FALSE)=0,"",VLOOKUP($A27,貼り付け用!$A$1:$BA$300,COLUMN(),FALSE))</f>
        <v>#N/A</v>
      </c>
      <c r="U27" s="50"/>
      <c r="V27" s="3" t="e">
        <f ca="1">IF(A27&lt;&gt;"",
IF(VLOOKUP($A27,貼り付け用!$A$1:$BA$300,COLUMN()-1,FALSE)=0,"",VLOOKUP($A27,貼り付け用!$A$1:$BA$300,COLUMN()-1,FALSE)),"")</f>
        <v>#N/A</v>
      </c>
      <c r="W27" s="3" t="e">
        <f ca="1">IF(A27&lt;&gt;"",
IF(VLOOKUP($A27,貼り付け用!$A$1:$BA$300,COLUMN()-1,FALSE)=0,"",VLOOKUP($A27,貼り付け用!$A$1:$BA$300,COLUMN()-1,FALSE)),"")</f>
        <v>#N/A</v>
      </c>
    </row>
    <row r="28" spans="1:23" x14ac:dyDescent="0.45">
      <c r="A28" s="4" t="e" cm="1">
        <f t="array" aca="1" ref="A28" ca="1">IF(OR(COUNTIF(A26,"*合計*"),COUNTIF(A26,"")),"",INDEX(貼り付け用!$A:$A,MATCH(A26,貼り付け用!$A:$A,0)+2,0))</f>
        <v>#N/A</v>
      </c>
      <c r="B28" s="19" t="e">
        <f ca="1">IF(VLOOKUP($A28,貼り付け用!$A$1:$BA$300,COLUMN(),FALSE)=0,"",VLOOKUP($A28,貼り付け用!$A$1:$BA$300,COLUMN(),FALSE))</f>
        <v>#N/A</v>
      </c>
      <c r="C28" s="19" t="e">
        <f ca="1">IF(VLOOKUP($A28,貼り付け用!$A$1:$BA$300,COLUMN(),FALSE)=0,"",VLOOKUP($A28,貼り付け用!$A$1:$BA$300,COLUMN(),FALSE))</f>
        <v>#N/A</v>
      </c>
      <c r="D28" s="19" t="e">
        <f ca="1">IF(VLOOKUP($A28,貼り付け用!$A$1:$BA$300,COLUMN(),FALSE)=0,"",VLOOKUP($A28,貼り付け用!$A$1:$BA$300,COLUMN(),FALSE))</f>
        <v>#N/A</v>
      </c>
      <c r="E28" s="19" t="e">
        <f ca="1">IF(VLOOKUP($A28,貼り付け用!$A$1:$BA$300,COLUMN(),FALSE)=0,"",VLOOKUP($A28,貼り付け用!$A$1:$BA$300,COLUMN(),FALSE))</f>
        <v>#N/A</v>
      </c>
      <c r="F28" s="19" t="e">
        <f ca="1">IF(VLOOKUP($A28,貼り付け用!$A$1:$BA$300,COLUMN(),FALSE)=0,"",VLOOKUP($A28,貼り付け用!$A$1:$BA$300,COLUMN(),FALSE))</f>
        <v>#N/A</v>
      </c>
      <c r="G28" s="19" t="e">
        <f ca="1">IF(VLOOKUP($A28,貼り付け用!$A$1:$BA$300,COLUMN(),FALSE)=0,"",VLOOKUP($A28,貼り付け用!$A$1:$BA$300,COLUMN(),FALSE))</f>
        <v>#N/A</v>
      </c>
      <c r="H28" s="19" t="e">
        <f ca="1">IF(VLOOKUP($A28,貼り付け用!$A$1:$BA$300,COLUMN(),FALSE)=0,"",VLOOKUP($A28,貼り付け用!$A$1:$BA$300,COLUMN(),FALSE))</f>
        <v>#N/A</v>
      </c>
      <c r="I28" s="19" t="e">
        <f ca="1">IF(VLOOKUP($A28,貼り付け用!$A$1:$BA$300,COLUMN(),FALSE)=0,"",VLOOKUP($A28,貼り付け用!$A$1:$BA$300,COLUMN(),FALSE))</f>
        <v>#N/A</v>
      </c>
      <c r="J28" s="19" t="e">
        <f ca="1">IF(VLOOKUP($A28,貼り付け用!$A$1:$BA$300,COLUMN(),FALSE)=0,"",VLOOKUP($A28,貼り付け用!$A$1:$BA$300,COLUMN(),FALSE))</f>
        <v>#N/A</v>
      </c>
      <c r="K28" s="19" t="e">
        <f ca="1">IF(VLOOKUP($A28,貼り付け用!$A$1:$BA$300,COLUMN(),FALSE)=0,"",VLOOKUP($A28,貼り付け用!$A$1:$BA$300,COLUMN(),FALSE))</f>
        <v>#N/A</v>
      </c>
      <c r="L28" s="19" t="e">
        <f ca="1">IF(VLOOKUP($A28,貼り付け用!$A$1:$BA$300,COLUMN(),FALSE)=0,"",VLOOKUP($A28,貼り付け用!$A$1:$BA$300,COLUMN(),FALSE))</f>
        <v>#N/A</v>
      </c>
      <c r="M28" s="19" t="e">
        <f ca="1">IF(VLOOKUP($A28,貼り付け用!$A$1:$BA$300,COLUMN(),FALSE)=0,"",VLOOKUP($A28,貼り付け用!$A$1:$BA$300,COLUMN(),FALSE))</f>
        <v>#N/A</v>
      </c>
      <c r="N28" s="19" t="e">
        <f ca="1">IF(VLOOKUP($A28,貼り付け用!$A$1:$BA$300,COLUMN(),FALSE)=0,"",VLOOKUP($A28,貼り付け用!$A$1:$BA$300,COLUMN(),FALSE))</f>
        <v>#N/A</v>
      </c>
      <c r="O28" s="19" t="e">
        <f ca="1">IF(VLOOKUP($A28,貼り付け用!$A$1:$BA$300,COLUMN(),FALSE)=0,"",VLOOKUP($A28,貼り付け用!$A$1:$BA$300,COLUMN(),FALSE))</f>
        <v>#N/A</v>
      </c>
      <c r="P28" s="19" t="e">
        <f ca="1">IF(VLOOKUP($A28,貼り付け用!$A$1:$BA$300,COLUMN(),FALSE)=0,"",VLOOKUP($A28,貼り付け用!$A$1:$BA$300,COLUMN(),FALSE))</f>
        <v>#N/A</v>
      </c>
      <c r="Q28" s="19" t="e">
        <f ca="1">IF(VLOOKUP($A28,貼り付け用!$A$1:$BA$300,COLUMN(),FALSE)=0,"",VLOOKUP($A28,貼り付け用!$A$1:$BA$300,COLUMN(),FALSE))</f>
        <v>#N/A</v>
      </c>
      <c r="R28" s="19" t="e">
        <f ca="1">IF(VLOOKUP($A28,貼り付け用!$A$1:$BA$300,COLUMN(),FALSE)=0,"",VLOOKUP($A28,貼り付け用!$A$1:$BA$300,COLUMN(),FALSE))</f>
        <v>#N/A</v>
      </c>
      <c r="S28" s="19" t="e">
        <f ca="1">IF(VLOOKUP($A28,貼り付け用!$A$1:$BA$300,COLUMN(),FALSE)=0,"",VLOOKUP($A28,貼り付け用!$A$1:$BA$300,COLUMN(),FALSE))</f>
        <v>#N/A</v>
      </c>
      <c r="T28" s="19" t="e">
        <f ca="1">IF(VLOOKUP($A28,貼り付け用!$A$1:$BA$300,COLUMN(),FALSE)=0,"",VLOOKUP($A28,貼り付け用!$A$1:$BA$300,COLUMN(),FALSE))</f>
        <v>#N/A</v>
      </c>
      <c r="U28" s="16"/>
      <c r="V28" s="19" t="e">
        <f ca="1">IF(A28&lt;&gt;"",
IF(VLOOKUP($A28,貼り付け用!$A$1:$BA$300,COLUMN()-1,FALSE)=0,"",VLOOKUP($A28,貼り付け用!$A$1:$BA$300,COLUMN()-1,FALSE)),"")</f>
        <v>#N/A</v>
      </c>
      <c r="W28" s="19" t="e">
        <f ca="1">IF(A28&lt;&gt;"",
IF(VLOOKUP($A28,貼り付け用!$A$1:$BA$300,COLUMN()-1,FALSE)=0,"",VLOOKUP($A28,貼り付け用!$A$1:$BA$300,COLUMN()-1,FALSE)),"")</f>
        <v>#N/A</v>
      </c>
    </row>
    <row r="29" spans="1:23" x14ac:dyDescent="0.45">
      <c r="A29" s="10" t="e" cm="1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IF(VLOOKUP($A29,貼り付け用!$A$1:$BA$300,COLUMN(),FALSE)=0,"",VLOOKUP($A29,貼り付け用!$A$1:$BA$300,COLUMN(),FALSE))</f>
        <v>#N/A</v>
      </c>
      <c r="M29" s="3" t="e">
        <f ca="1">IF(VLOOKUP($A29,貼り付け用!$A$1:$BA$300,COLUMN(),FALSE)=0,"",VLOOKUP($A29,貼り付け用!$A$1:$BA$300,COLUMN(),FALSE))</f>
        <v>#N/A</v>
      </c>
      <c r="N29" s="3" t="e">
        <f ca="1">IF(VLOOKUP($A29,貼り付け用!$A$1:$BA$300,COLUMN(),FALSE)=0,"",VLOOKUP($A29,貼り付け用!$A$1:$BA$300,COLUMN(),FALSE))</f>
        <v>#N/A</v>
      </c>
      <c r="O29" s="3" t="e">
        <f ca="1">IF(VLOOKUP($A29,貼り付け用!$A$1:$BA$300,COLUMN(),FALSE)=0,"",VLOOKUP($A29,貼り付け用!$A$1:$BA$300,COLUMN(),FALSE))</f>
        <v>#N/A</v>
      </c>
      <c r="P29" s="3" t="e">
        <f ca="1">IF(VLOOKUP($A29,貼り付け用!$A$1:$BA$300,COLUMN(),FALSE)=0,"",VLOOKUP($A29,貼り付け用!$A$1:$BA$300,COLUMN(),FALSE))</f>
        <v>#N/A</v>
      </c>
      <c r="Q29" s="3" t="e">
        <f ca="1">IF(VLOOKUP($A29,貼り付け用!$A$1:$BA$300,COLUMN(),FALSE)=0,"",VLOOKUP($A29,貼り付け用!$A$1:$BA$300,COLUMN(),FALSE))</f>
        <v>#N/A</v>
      </c>
      <c r="R29" s="3" t="e">
        <f ca="1">IF(VLOOKUP($A29,貼り付け用!$A$1:$BA$300,COLUMN(),FALSE)=0,"",VLOOKUP($A29,貼り付け用!$A$1:$BA$300,COLUMN(),FALSE))</f>
        <v>#N/A</v>
      </c>
      <c r="S29" s="3" t="e">
        <f ca="1">IF(VLOOKUP($A29,貼り付け用!$A$1:$BA$300,COLUMN(),FALSE)=0,"",VLOOKUP($A29,貼り付け用!$A$1:$BA$300,COLUMN(),FALSE))</f>
        <v>#N/A</v>
      </c>
      <c r="T29" s="3" t="e">
        <f ca="1">IF(VLOOKUP($A29,貼り付け用!$A$1:$BA$300,COLUMN(),FALSE)=0,"",VLOOKUP($A29,貼り付け用!$A$1:$BA$300,COLUMN(),FALSE))</f>
        <v>#N/A</v>
      </c>
      <c r="U29" s="50"/>
      <c r="V29" s="3" t="e">
        <f ca="1">IF(A29&lt;&gt;"",
IF(VLOOKUP($A29,貼り付け用!$A$1:$BA$300,COLUMN()-1,FALSE)=0,"",VLOOKUP($A29,貼り付け用!$A$1:$BA$300,COLUMN()-1,FALSE)),"")</f>
        <v>#N/A</v>
      </c>
      <c r="W29" s="3" t="e">
        <f ca="1">IF(A29&lt;&gt;"",
IF(VLOOKUP($A29,貼り付け用!$A$1:$BA$300,COLUMN()-1,FALSE)=0,"",VLOOKUP($A29,貼り付け用!$A$1:$BA$300,COLUMN()-1,FALSE)),"")</f>
        <v>#N/A</v>
      </c>
    </row>
    <row r="30" spans="1:23" x14ac:dyDescent="0.45">
      <c r="A30" s="4" t="e" cm="1">
        <f t="array" aca="1" ref="A30" ca="1">IF(OR(COUNTIF(A28,"*合計*"),COUNTIF(A28,"")),"",INDEX(貼り付け用!$A:$A,MATCH(A28,貼り付け用!$A:$A,0)+2,0))</f>
        <v>#N/A</v>
      </c>
      <c r="B30" s="19" t="e">
        <f ca="1">IF(VLOOKUP($A30,貼り付け用!$A$1:$BA$300,COLUMN(),FALSE)=0,"",VLOOKUP($A30,貼り付け用!$A$1:$BA$300,COLUMN(),FALSE))</f>
        <v>#N/A</v>
      </c>
      <c r="C30" s="19" t="e">
        <f ca="1">IF(VLOOKUP($A30,貼り付け用!$A$1:$BA$300,COLUMN(),FALSE)=0,"",VLOOKUP($A30,貼り付け用!$A$1:$BA$300,COLUMN(),FALSE))</f>
        <v>#N/A</v>
      </c>
      <c r="D30" s="19" t="e">
        <f ca="1">IF(VLOOKUP($A30,貼り付け用!$A$1:$BA$300,COLUMN(),FALSE)=0,"",VLOOKUP($A30,貼り付け用!$A$1:$BA$300,COLUMN(),FALSE))</f>
        <v>#N/A</v>
      </c>
      <c r="E30" s="19" t="e">
        <f ca="1">IF(VLOOKUP($A30,貼り付け用!$A$1:$BA$300,COLUMN(),FALSE)=0,"",VLOOKUP($A30,貼り付け用!$A$1:$BA$300,COLUMN(),FALSE))</f>
        <v>#N/A</v>
      </c>
      <c r="F30" s="19" t="e">
        <f ca="1">IF(VLOOKUP($A30,貼り付け用!$A$1:$BA$300,COLUMN(),FALSE)=0,"",VLOOKUP($A30,貼り付け用!$A$1:$BA$300,COLUMN(),FALSE))</f>
        <v>#N/A</v>
      </c>
      <c r="G30" s="19" t="e">
        <f ca="1">IF(VLOOKUP($A30,貼り付け用!$A$1:$BA$300,COLUMN(),FALSE)=0,"",VLOOKUP($A30,貼り付け用!$A$1:$BA$300,COLUMN(),FALSE))</f>
        <v>#N/A</v>
      </c>
      <c r="H30" s="19" t="e">
        <f ca="1">IF(VLOOKUP($A30,貼り付け用!$A$1:$BA$300,COLUMN(),FALSE)=0,"",VLOOKUP($A30,貼り付け用!$A$1:$BA$300,COLUMN(),FALSE))</f>
        <v>#N/A</v>
      </c>
      <c r="I30" s="19" t="e">
        <f ca="1">IF(VLOOKUP($A30,貼り付け用!$A$1:$BA$300,COLUMN(),FALSE)=0,"",VLOOKUP($A30,貼り付け用!$A$1:$BA$300,COLUMN(),FALSE))</f>
        <v>#N/A</v>
      </c>
      <c r="J30" s="19" t="e">
        <f ca="1">IF(VLOOKUP($A30,貼り付け用!$A$1:$BA$300,COLUMN(),FALSE)=0,"",VLOOKUP($A30,貼り付け用!$A$1:$BA$300,COLUMN(),FALSE))</f>
        <v>#N/A</v>
      </c>
      <c r="K30" s="19" t="e">
        <f ca="1">IF(VLOOKUP($A30,貼り付け用!$A$1:$BA$300,COLUMN(),FALSE)=0,"",VLOOKUP($A30,貼り付け用!$A$1:$BA$300,COLUMN(),FALSE))</f>
        <v>#N/A</v>
      </c>
      <c r="L30" s="19" t="e">
        <f ca="1">IF(VLOOKUP($A30,貼り付け用!$A$1:$BA$300,COLUMN(),FALSE)=0,"",VLOOKUP($A30,貼り付け用!$A$1:$BA$300,COLUMN(),FALSE))</f>
        <v>#N/A</v>
      </c>
      <c r="M30" s="19" t="e">
        <f ca="1">IF(VLOOKUP($A30,貼り付け用!$A$1:$BA$300,COLUMN(),FALSE)=0,"",VLOOKUP($A30,貼り付け用!$A$1:$BA$300,COLUMN(),FALSE))</f>
        <v>#N/A</v>
      </c>
      <c r="N30" s="19" t="e">
        <f ca="1">IF(VLOOKUP($A30,貼り付け用!$A$1:$BA$300,COLUMN(),FALSE)=0,"",VLOOKUP($A30,貼り付け用!$A$1:$BA$300,COLUMN(),FALSE))</f>
        <v>#N/A</v>
      </c>
      <c r="O30" s="19" t="e">
        <f ca="1">IF(VLOOKUP($A30,貼り付け用!$A$1:$BA$300,COLUMN(),FALSE)=0,"",VLOOKUP($A30,貼り付け用!$A$1:$BA$300,COLUMN(),FALSE))</f>
        <v>#N/A</v>
      </c>
      <c r="P30" s="19" t="e">
        <f ca="1">IF(VLOOKUP($A30,貼り付け用!$A$1:$BA$300,COLUMN(),FALSE)=0,"",VLOOKUP($A30,貼り付け用!$A$1:$BA$300,COLUMN(),FALSE))</f>
        <v>#N/A</v>
      </c>
      <c r="Q30" s="19" t="e">
        <f ca="1">IF(VLOOKUP($A30,貼り付け用!$A$1:$BA$300,COLUMN(),FALSE)=0,"",VLOOKUP($A30,貼り付け用!$A$1:$BA$300,COLUMN(),FALSE))</f>
        <v>#N/A</v>
      </c>
      <c r="R30" s="19" t="e">
        <f ca="1">IF(VLOOKUP($A30,貼り付け用!$A$1:$BA$300,COLUMN(),FALSE)=0,"",VLOOKUP($A30,貼り付け用!$A$1:$BA$300,COLUMN(),FALSE))</f>
        <v>#N/A</v>
      </c>
      <c r="S30" s="19" t="e">
        <f ca="1">IF(VLOOKUP($A30,貼り付け用!$A$1:$BA$300,COLUMN(),FALSE)=0,"",VLOOKUP($A30,貼り付け用!$A$1:$BA$300,COLUMN(),FALSE))</f>
        <v>#N/A</v>
      </c>
      <c r="T30" s="19" t="e">
        <f ca="1">IF(VLOOKUP($A30,貼り付け用!$A$1:$BA$300,COLUMN(),FALSE)=0,"",VLOOKUP($A30,貼り付け用!$A$1:$BA$300,COLUMN(),FALSE))</f>
        <v>#N/A</v>
      </c>
      <c r="U30" s="16"/>
      <c r="V30" s="19" t="e">
        <f ca="1">IF(A30&lt;&gt;"",
IF(VLOOKUP($A30,貼り付け用!$A$1:$BA$300,COLUMN()-1,FALSE)=0,"",VLOOKUP($A30,貼り付け用!$A$1:$BA$300,COLUMN()-1,FALSE)),"")</f>
        <v>#N/A</v>
      </c>
      <c r="W30" s="19" t="e">
        <f ca="1">IF(A30&lt;&gt;"",
IF(VLOOKUP($A30,貼り付け用!$A$1:$BA$300,COLUMN()-1,FALSE)=0,"",VLOOKUP($A30,貼り付け用!$A$1:$BA$300,COLUMN()-1,FALSE)),"")</f>
        <v>#N/A</v>
      </c>
    </row>
    <row r="31" spans="1:23" x14ac:dyDescent="0.45">
      <c r="A31" s="10" t="e" cm="1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IF(VLOOKUP($A31,貼り付け用!$A$1:$BA$300,COLUMN(),FALSE)=0,"",VLOOKUP($A31,貼り付け用!$A$1:$BA$300,COLUMN(),FALSE))</f>
        <v>#N/A</v>
      </c>
      <c r="M31" s="3" t="e">
        <f ca="1">IF(VLOOKUP($A31,貼り付け用!$A$1:$BA$300,COLUMN(),FALSE)=0,"",VLOOKUP($A31,貼り付け用!$A$1:$BA$300,COLUMN(),FALSE))</f>
        <v>#N/A</v>
      </c>
      <c r="N31" s="3" t="e">
        <f ca="1">IF(VLOOKUP($A31,貼り付け用!$A$1:$BA$300,COLUMN(),FALSE)=0,"",VLOOKUP($A31,貼り付け用!$A$1:$BA$300,COLUMN(),FALSE))</f>
        <v>#N/A</v>
      </c>
      <c r="O31" s="3" t="e">
        <f ca="1">IF(VLOOKUP($A31,貼り付け用!$A$1:$BA$300,COLUMN(),FALSE)=0,"",VLOOKUP($A31,貼り付け用!$A$1:$BA$300,COLUMN(),FALSE))</f>
        <v>#N/A</v>
      </c>
      <c r="P31" s="3" t="e">
        <f ca="1">IF(VLOOKUP($A31,貼り付け用!$A$1:$BA$300,COLUMN(),FALSE)=0,"",VLOOKUP($A31,貼り付け用!$A$1:$BA$300,COLUMN(),FALSE))</f>
        <v>#N/A</v>
      </c>
      <c r="Q31" s="3" t="e">
        <f ca="1">IF(VLOOKUP($A31,貼り付け用!$A$1:$BA$300,COLUMN(),FALSE)=0,"",VLOOKUP($A31,貼り付け用!$A$1:$BA$300,COLUMN(),FALSE))</f>
        <v>#N/A</v>
      </c>
      <c r="R31" s="3" t="e">
        <f ca="1">IF(VLOOKUP($A31,貼り付け用!$A$1:$BA$300,COLUMN(),FALSE)=0,"",VLOOKUP($A31,貼り付け用!$A$1:$BA$300,COLUMN(),FALSE))</f>
        <v>#N/A</v>
      </c>
      <c r="S31" s="3" t="e">
        <f ca="1">IF(VLOOKUP($A31,貼り付け用!$A$1:$BA$300,COLUMN(),FALSE)=0,"",VLOOKUP($A31,貼り付け用!$A$1:$BA$300,COLUMN(),FALSE))</f>
        <v>#N/A</v>
      </c>
      <c r="T31" s="3" t="e">
        <f ca="1">IF(VLOOKUP($A31,貼り付け用!$A$1:$BA$300,COLUMN(),FALSE)=0,"",VLOOKUP($A31,貼り付け用!$A$1:$BA$300,COLUMN(),FALSE))</f>
        <v>#N/A</v>
      </c>
      <c r="U31" s="50"/>
      <c r="V31" s="3" t="e">
        <f ca="1">IF(A31&lt;&gt;"",
IF(VLOOKUP($A31,貼り付け用!$A$1:$BA$300,COLUMN()-1,FALSE)=0,"",VLOOKUP($A31,貼り付け用!$A$1:$BA$300,COLUMN()-1,FALSE)),"")</f>
        <v>#N/A</v>
      </c>
      <c r="W31" s="3" t="e">
        <f ca="1">IF(A31&lt;&gt;"",
IF(VLOOKUP($A31,貼り付け用!$A$1:$BA$300,COLUMN()-1,FALSE)=0,"",VLOOKUP($A31,貼り付け用!$A$1:$BA$300,COLUMN()-1,FALSE)),"")</f>
        <v>#N/A</v>
      </c>
    </row>
    <row r="32" spans="1:23" x14ac:dyDescent="0.45">
      <c r="A32" s="4" t="e" cm="1">
        <f t="array" aca="1" ref="A32" ca="1">IF(OR(COUNTIF(A30,"*合計*"),COUNTIF(A30,"")),"",INDEX(貼り付け用!$A:$A,MATCH(A30,貼り付け用!$A:$A,0)+2,0))</f>
        <v>#N/A</v>
      </c>
      <c r="B32" s="19" t="e">
        <f ca="1">IF(VLOOKUP($A32,貼り付け用!$A$1:$BA$300,COLUMN(),FALSE)=0,"",VLOOKUP($A32,貼り付け用!$A$1:$BA$300,COLUMN(),FALSE))</f>
        <v>#N/A</v>
      </c>
      <c r="C32" s="19" t="e">
        <f ca="1">IF(VLOOKUP($A32,貼り付け用!$A$1:$BA$300,COLUMN(),FALSE)=0,"",VLOOKUP($A32,貼り付け用!$A$1:$BA$300,COLUMN(),FALSE))</f>
        <v>#N/A</v>
      </c>
      <c r="D32" s="19" t="e">
        <f ca="1">IF(VLOOKUP($A32,貼り付け用!$A$1:$BA$300,COLUMN(),FALSE)=0,"",VLOOKUP($A32,貼り付け用!$A$1:$BA$300,COLUMN(),FALSE))</f>
        <v>#N/A</v>
      </c>
      <c r="E32" s="19" t="e">
        <f ca="1">IF(VLOOKUP($A32,貼り付け用!$A$1:$BA$300,COLUMN(),FALSE)=0,"",VLOOKUP($A32,貼り付け用!$A$1:$BA$300,COLUMN(),FALSE))</f>
        <v>#N/A</v>
      </c>
      <c r="F32" s="19" t="e">
        <f ca="1">IF(VLOOKUP($A32,貼り付け用!$A$1:$BA$300,COLUMN(),FALSE)=0,"",VLOOKUP($A32,貼り付け用!$A$1:$BA$300,COLUMN(),FALSE))</f>
        <v>#N/A</v>
      </c>
      <c r="G32" s="19" t="e">
        <f ca="1">IF(VLOOKUP($A32,貼り付け用!$A$1:$BA$300,COLUMN(),FALSE)=0,"",VLOOKUP($A32,貼り付け用!$A$1:$BA$300,COLUMN(),FALSE))</f>
        <v>#N/A</v>
      </c>
      <c r="H32" s="19" t="e">
        <f ca="1">IF(VLOOKUP($A32,貼り付け用!$A$1:$BA$300,COLUMN(),FALSE)=0,"",VLOOKUP($A32,貼り付け用!$A$1:$BA$300,COLUMN(),FALSE))</f>
        <v>#N/A</v>
      </c>
      <c r="I32" s="19" t="e">
        <f ca="1">IF(VLOOKUP($A32,貼り付け用!$A$1:$BA$300,COLUMN(),FALSE)=0,"",VLOOKUP($A32,貼り付け用!$A$1:$BA$300,COLUMN(),FALSE))</f>
        <v>#N/A</v>
      </c>
      <c r="J32" s="19" t="e">
        <f ca="1">IF(VLOOKUP($A32,貼り付け用!$A$1:$BA$300,COLUMN(),FALSE)=0,"",VLOOKUP($A32,貼り付け用!$A$1:$BA$300,COLUMN(),FALSE))</f>
        <v>#N/A</v>
      </c>
      <c r="K32" s="19" t="e">
        <f ca="1">IF(VLOOKUP($A32,貼り付け用!$A$1:$BA$300,COLUMN(),FALSE)=0,"",VLOOKUP($A32,貼り付け用!$A$1:$BA$300,COLUMN(),FALSE))</f>
        <v>#N/A</v>
      </c>
      <c r="L32" s="19" t="e">
        <f ca="1">IF(VLOOKUP($A32,貼り付け用!$A$1:$BA$300,COLUMN(),FALSE)=0,"",VLOOKUP($A32,貼り付け用!$A$1:$BA$300,COLUMN(),FALSE))</f>
        <v>#N/A</v>
      </c>
      <c r="M32" s="19" t="e">
        <f ca="1">IF(VLOOKUP($A32,貼り付け用!$A$1:$BA$300,COLUMN(),FALSE)=0,"",VLOOKUP($A32,貼り付け用!$A$1:$BA$300,COLUMN(),FALSE))</f>
        <v>#N/A</v>
      </c>
      <c r="N32" s="19" t="e">
        <f ca="1">IF(VLOOKUP($A32,貼り付け用!$A$1:$BA$300,COLUMN(),FALSE)=0,"",VLOOKUP($A32,貼り付け用!$A$1:$BA$300,COLUMN(),FALSE))</f>
        <v>#N/A</v>
      </c>
      <c r="O32" s="19" t="e">
        <f ca="1">IF(VLOOKUP($A32,貼り付け用!$A$1:$BA$300,COLUMN(),FALSE)=0,"",VLOOKUP($A32,貼り付け用!$A$1:$BA$300,COLUMN(),FALSE))</f>
        <v>#N/A</v>
      </c>
      <c r="P32" s="19" t="e">
        <f ca="1">IF(VLOOKUP($A32,貼り付け用!$A$1:$BA$300,COLUMN(),FALSE)=0,"",VLOOKUP($A32,貼り付け用!$A$1:$BA$300,COLUMN(),FALSE))</f>
        <v>#N/A</v>
      </c>
      <c r="Q32" s="19" t="e">
        <f ca="1">IF(VLOOKUP($A32,貼り付け用!$A$1:$BA$300,COLUMN(),FALSE)=0,"",VLOOKUP($A32,貼り付け用!$A$1:$BA$300,COLUMN(),FALSE))</f>
        <v>#N/A</v>
      </c>
      <c r="R32" s="19" t="e">
        <f ca="1">IF(VLOOKUP($A32,貼り付け用!$A$1:$BA$300,COLUMN(),FALSE)=0,"",VLOOKUP($A32,貼り付け用!$A$1:$BA$300,COLUMN(),FALSE))</f>
        <v>#N/A</v>
      </c>
      <c r="S32" s="19" t="e">
        <f ca="1">IF(VLOOKUP($A32,貼り付け用!$A$1:$BA$300,COLUMN(),FALSE)=0,"",VLOOKUP($A32,貼り付け用!$A$1:$BA$300,COLUMN(),FALSE))</f>
        <v>#N/A</v>
      </c>
      <c r="T32" s="19" t="e">
        <f ca="1">IF(VLOOKUP($A32,貼り付け用!$A$1:$BA$300,COLUMN(),FALSE)=0,"",VLOOKUP($A32,貼り付け用!$A$1:$BA$300,COLUMN(),FALSE))</f>
        <v>#N/A</v>
      </c>
      <c r="U32" s="16"/>
      <c r="V32" s="19" t="e">
        <f ca="1">IF(A32&lt;&gt;"",
IF(VLOOKUP($A32,貼り付け用!$A$1:$BA$300,COLUMN()-1,FALSE)=0,"",VLOOKUP($A32,貼り付け用!$A$1:$BA$300,COLUMN()-1,FALSE)),"")</f>
        <v>#N/A</v>
      </c>
      <c r="W32" s="19" t="e">
        <f ca="1">IF(A32&lt;&gt;"",
IF(VLOOKUP($A32,貼り付け用!$A$1:$BA$300,COLUMN()-1,FALSE)=0,"",VLOOKUP($A32,貼り付け用!$A$1:$BA$300,COLUMN()-1,FALSE)),"")</f>
        <v>#N/A</v>
      </c>
    </row>
    <row r="33" spans="1:23" x14ac:dyDescent="0.45">
      <c r="A33" s="10" t="e" cm="1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IF(VLOOKUP($A33,貼り付け用!$A$1:$BA$300,COLUMN(),FALSE)=0,"",VLOOKUP($A33,貼り付け用!$A$1:$BA$300,COLUMN(),FALSE))</f>
        <v>#N/A</v>
      </c>
      <c r="M33" s="3" t="e">
        <f ca="1">IF(VLOOKUP($A33,貼り付け用!$A$1:$BA$300,COLUMN(),FALSE)=0,"",VLOOKUP($A33,貼り付け用!$A$1:$BA$300,COLUMN(),FALSE))</f>
        <v>#N/A</v>
      </c>
      <c r="N33" s="3" t="e">
        <f ca="1">IF(VLOOKUP($A33,貼り付け用!$A$1:$BA$300,COLUMN(),FALSE)=0,"",VLOOKUP($A33,貼り付け用!$A$1:$BA$300,COLUMN(),FALSE))</f>
        <v>#N/A</v>
      </c>
      <c r="O33" s="3" t="e">
        <f ca="1">IF(VLOOKUP($A33,貼り付け用!$A$1:$BA$300,COLUMN(),FALSE)=0,"",VLOOKUP($A33,貼り付け用!$A$1:$BA$300,COLUMN(),FALSE))</f>
        <v>#N/A</v>
      </c>
      <c r="P33" s="3" t="e">
        <f ca="1">IF(VLOOKUP($A33,貼り付け用!$A$1:$BA$300,COLUMN(),FALSE)=0,"",VLOOKUP($A33,貼り付け用!$A$1:$BA$300,COLUMN(),FALSE))</f>
        <v>#N/A</v>
      </c>
      <c r="Q33" s="3" t="e">
        <f ca="1">IF(VLOOKUP($A33,貼り付け用!$A$1:$BA$300,COLUMN(),FALSE)=0,"",VLOOKUP($A33,貼り付け用!$A$1:$BA$300,COLUMN(),FALSE))</f>
        <v>#N/A</v>
      </c>
      <c r="R33" s="3" t="e">
        <f ca="1">IF(VLOOKUP($A33,貼り付け用!$A$1:$BA$300,COLUMN(),FALSE)=0,"",VLOOKUP($A33,貼り付け用!$A$1:$BA$300,COLUMN(),FALSE))</f>
        <v>#N/A</v>
      </c>
      <c r="S33" s="3" t="e">
        <f ca="1">IF(VLOOKUP($A33,貼り付け用!$A$1:$BA$300,COLUMN(),FALSE)=0,"",VLOOKUP($A33,貼り付け用!$A$1:$BA$300,COLUMN(),FALSE))</f>
        <v>#N/A</v>
      </c>
      <c r="T33" s="3" t="e">
        <f ca="1">IF(VLOOKUP($A33,貼り付け用!$A$1:$BA$300,COLUMN(),FALSE)=0,"",VLOOKUP($A33,貼り付け用!$A$1:$BA$300,COLUMN(),FALSE))</f>
        <v>#N/A</v>
      </c>
      <c r="U33" s="50"/>
      <c r="V33" s="3" t="e">
        <f ca="1">IF(A33&lt;&gt;"",
IF(VLOOKUP($A33,貼り付け用!$A$1:$BA$300,COLUMN()-1,FALSE)=0,"",VLOOKUP($A33,貼り付け用!$A$1:$BA$300,COLUMN()-1,FALSE)),"")</f>
        <v>#N/A</v>
      </c>
      <c r="W33" s="3" t="e">
        <f ca="1">IF(A33&lt;&gt;"",
IF(VLOOKUP($A33,貼り付け用!$A$1:$BA$300,COLUMN()-1,FALSE)=0,"",VLOOKUP($A33,貼り付け用!$A$1:$BA$300,COLUMN()-1,FALSE)),"")</f>
        <v>#N/A</v>
      </c>
    </row>
    <row r="34" spans="1:23" x14ac:dyDescent="0.45">
      <c r="A34" s="4" t="e" cm="1">
        <f t="array" aca="1" ref="A34" ca="1">IF(OR(COUNTIF(A32,"*合計*"),COUNTIF(A32,"")),"",INDEX(貼り付け用!$A:$A,MATCH(A32,貼り付け用!$A:$A,0)+2,0))</f>
        <v>#N/A</v>
      </c>
      <c r="B34" s="19" t="e">
        <f ca="1">IF(VLOOKUP($A34,貼り付け用!$A$1:$BA$300,COLUMN(),FALSE)=0,"",VLOOKUP($A34,貼り付け用!$A$1:$BA$300,COLUMN(),FALSE))</f>
        <v>#N/A</v>
      </c>
      <c r="C34" s="19" t="e">
        <f ca="1">IF(VLOOKUP($A34,貼り付け用!$A$1:$BA$300,COLUMN(),FALSE)=0,"",VLOOKUP($A34,貼り付け用!$A$1:$BA$300,COLUMN(),FALSE))</f>
        <v>#N/A</v>
      </c>
      <c r="D34" s="19" t="e">
        <f ca="1">IF(VLOOKUP($A34,貼り付け用!$A$1:$BA$300,COLUMN(),FALSE)=0,"",VLOOKUP($A34,貼り付け用!$A$1:$BA$300,COLUMN(),FALSE))</f>
        <v>#N/A</v>
      </c>
      <c r="E34" s="19" t="e">
        <f ca="1">IF(VLOOKUP($A34,貼り付け用!$A$1:$BA$300,COLUMN(),FALSE)=0,"",VLOOKUP($A34,貼り付け用!$A$1:$BA$300,COLUMN(),FALSE))</f>
        <v>#N/A</v>
      </c>
      <c r="F34" s="19" t="e">
        <f ca="1">IF(VLOOKUP($A34,貼り付け用!$A$1:$BA$300,COLUMN(),FALSE)=0,"",VLOOKUP($A34,貼り付け用!$A$1:$BA$300,COLUMN(),FALSE))</f>
        <v>#N/A</v>
      </c>
      <c r="G34" s="19" t="e">
        <f ca="1">IF(VLOOKUP($A34,貼り付け用!$A$1:$BA$300,COLUMN(),FALSE)=0,"",VLOOKUP($A34,貼り付け用!$A$1:$BA$300,COLUMN(),FALSE))</f>
        <v>#N/A</v>
      </c>
      <c r="H34" s="19" t="e">
        <f ca="1">IF(VLOOKUP($A34,貼り付け用!$A$1:$BA$300,COLUMN(),FALSE)=0,"",VLOOKUP($A34,貼り付け用!$A$1:$BA$300,COLUMN(),FALSE))</f>
        <v>#N/A</v>
      </c>
      <c r="I34" s="19" t="e">
        <f ca="1">IF(VLOOKUP($A34,貼り付け用!$A$1:$BA$300,COLUMN(),FALSE)=0,"",VLOOKUP($A34,貼り付け用!$A$1:$BA$300,COLUMN(),FALSE))</f>
        <v>#N/A</v>
      </c>
      <c r="J34" s="19" t="e">
        <f ca="1">IF(VLOOKUP($A34,貼り付け用!$A$1:$BA$300,COLUMN(),FALSE)=0,"",VLOOKUP($A34,貼り付け用!$A$1:$BA$300,COLUMN(),FALSE))</f>
        <v>#N/A</v>
      </c>
      <c r="K34" s="19" t="e">
        <f ca="1">IF(VLOOKUP($A34,貼り付け用!$A$1:$BA$300,COLUMN(),FALSE)=0,"",VLOOKUP($A34,貼り付け用!$A$1:$BA$300,COLUMN(),FALSE))</f>
        <v>#N/A</v>
      </c>
      <c r="L34" s="19" t="e">
        <f ca="1">IF(VLOOKUP($A34,貼り付け用!$A$1:$BA$300,COLUMN(),FALSE)=0,"",VLOOKUP($A34,貼り付け用!$A$1:$BA$300,COLUMN(),FALSE))</f>
        <v>#N/A</v>
      </c>
      <c r="M34" s="19" t="e">
        <f ca="1">IF(VLOOKUP($A34,貼り付け用!$A$1:$BA$300,COLUMN(),FALSE)=0,"",VLOOKUP($A34,貼り付け用!$A$1:$BA$300,COLUMN(),FALSE))</f>
        <v>#N/A</v>
      </c>
      <c r="N34" s="19" t="e">
        <f ca="1">IF(VLOOKUP($A34,貼り付け用!$A$1:$BA$300,COLUMN(),FALSE)=0,"",VLOOKUP($A34,貼り付け用!$A$1:$BA$300,COLUMN(),FALSE))</f>
        <v>#N/A</v>
      </c>
      <c r="O34" s="19" t="e">
        <f ca="1">IF(VLOOKUP($A34,貼り付け用!$A$1:$BA$300,COLUMN(),FALSE)=0,"",VLOOKUP($A34,貼り付け用!$A$1:$BA$300,COLUMN(),FALSE))</f>
        <v>#N/A</v>
      </c>
      <c r="P34" s="19" t="e">
        <f ca="1">IF(VLOOKUP($A34,貼り付け用!$A$1:$BA$300,COLUMN(),FALSE)=0,"",VLOOKUP($A34,貼り付け用!$A$1:$BA$300,COLUMN(),FALSE))</f>
        <v>#N/A</v>
      </c>
      <c r="Q34" s="19" t="e">
        <f ca="1">IF(VLOOKUP($A34,貼り付け用!$A$1:$BA$300,COLUMN(),FALSE)=0,"",VLOOKUP($A34,貼り付け用!$A$1:$BA$300,COLUMN(),FALSE))</f>
        <v>#N/A</v>
      </c>
      <c r="R34" s="19" t="e">
        <f ca="1">IF(VLOOKUP($A34,貼り付け用!$A$1:$BA$300,COLUMN(),FALSE)=0,"",VLOOKUP($A34,貼り付け用!$A$1:$BA$300,COLUMN(),FALSE))</f>
        <v>#N/A</v>
      </c>
      <c r="S34" s="19" t="e">
        <f ca="1">IF(VLOOKUP($A34,貼り付け用!$A$1:$BA$300,COLUMN(),FALSE)=0,"",VLOOKUP($A34,貼り付け用!$A$1:$BA$300,COLUMN(),FALSE))</f>
        <v>#N/A</v>
      </c>
      <c r="T34" s="19" t="e">
        <f ca="1">IF(VLOOKUP($A34,貼り付け用!$A$1:$BA$300,COLUMN(),FALSE)=0,"",VLOOKUP($A34,貼り付け用!$A$1:$BA$300,COLUMN(),FALSE))</f>
        <v>#N/A</v>
      </c>
      <c r="U34" s="16"/>
      <c r="V34" s="19" t="e">
        <f ca="1">IF(A34&lt;&gt;"",
IF(VLOOKUP($A34,貼り付け用!$A$1:$BA$300,COLUMN()-1,FALSE)=0,"",VLOOKUP($A34,貼り付け用!$A$1:$BA$300,COLUMN()-1,FALSE)),"")</f>
        <v>#N/A</v>
      </c>
      <c r="W34" s="19" t="e">
        <f ca="1">IF(A34&lt;&gt;"",
IF(VLOOKUP($A34,貼り付け用!$A$1:$BA$300,COLUMN()-1,FALSE)=0,"",VLOOKUP($A34,貼り付け用!$A$1:$BA$300,COLUMN()-1,FALSE)),"")</f>
        <v>#N/A</v>
      </c>
    </row>
    <row r="35" spans="1:23" x14ac:dyDescent="0.45">
      <c r="A35" s="10" t="e" cm="1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IF(VLOOKUP($A35,貼り付け用!$A$1:$BA$300,COLUMN(),FALSE)=0,"",VLOOKUP($A35,貼り付け用!$A$1:$BA$300,COLUMN(),FALSE))</f>
        <v>#N/A</v>
      </c>
      <c r="M35" s="3" t="e">
        <f ca="1">IF(VLOOKUP($A35,貼り付け用!$A$1:$BA$300,COLUMN(),FALSE)=0,"",VLOOKUP($A35,貼り付け用!$A$1:$BA$300,COLUMN(),FALSE))</f>
        <v>#N/A</v>
      </c>
      <c r="N35" s="3" t="e">
        <f ca="1">IF(VLOOKUP($A35,貼り付け用!$A$1:$BA$300,COLUMN(),FALSE)=0,"",VLOOKUP($A35,貼り付け用!$A$1:$BA$300,COLUMN(),FALSE))</f>
        <v>#N/A</v>
      </c>
      <c r="O35" s="3" t="e">
        <f ca="1">IF(VLOOKUP($A35,貼り付け用!$A$1:$BA$300,COLUMN(),FALSE)=0,"",VLOOKUP($A35,貼り付け用!$A$1:$BA$300,COLUMN(),FALSE))</f>
        <v>#N/A</v>
      </c>
      <c r="P35" s="3" t="e">
        <f ca="1">IF(VLOOKUP($A35,貼り付け用!$A$1:$BA$300,COLUMN(),FALSE)=0,"",VLOOKUP($A35,貼り付け用!$A$1:$BA$300,COLUMN(),FALSE))</f>
        <v>#N/A</v>
      </c>
      <c r="Q35" s="3" t="e">
        <f ca="1">IF(VLOOKUP($A35,貼り付け用!$A$1:$BA$300,COLUMN(),FALSE)=0,"",VLOOKUP($A35,貼り付け用!$A$1:$BA$300,COLUMN(),FALSE))</f>
        <v>#N/A</v>
      </c>
      <c r="R35" s="3" t="e">
        <f ca="1">IF(VLOOKUP($A35,貼り付け用!$A$1:$BA$300,COLUMN(),FALSE)=0,"",VLOOKUP($A35,貼り付け用!$A$1:$BA$300,COLUMN(),FALSE))</f>
        <v>#N/A</v>
      </c>
      <c r="S35" s="3" t="e">
        <f ca="1">IF(VLOOKUP($A35,貼り付け用!$A$1:$BA$300,COLUMN(),FALSE)=0,"",VLOOKUP($A35,貼り付け用!$A$1:$BA$300,COLUMN(),FALSE))</f>
        <v>#N/A</v>
      </c>
      <c r="T35" s="3" t="e">
        <f ca="1">IF(VLOOKUP($A35,貼り付け用!$A$1:$BA$300,COLUMN(),FALSE)=0,"",VLOOKUP($A35,貼り付け用!$A$1:$BA$300,COLUMN(),FALSE))</f>
        <v>#N/A</v>
      </c>
      <c r="U35" s="50"/>
      <c r="V35" s="3" t="e">
        <f ca="1">IF(A35&lt;&gt;"",
IF(VLOOKUP($A35,貼り付け用!$A$1:$BA$300,COLUMN()-1,FALSE)=0,"",VLOOKUP($A35,貼り付け用!$A$1:$BA$300,COLUMN()-1,FALSE)),"")</f>
        <v>#N/A</v>
      </c>
      <c r="W35" s="3" t="e">
        <f ca="1">IF(A35&lt;&gt;"",
IF(VLOOKUP($A35,貼り付け用!$A$1:$BA$300,COLUMN()-1,FALSE)=0,"",VLOOKUP($A35,貼り付け用!$A$1:$BA$300,COLUMN()-1,FALSE)),"")</f>
        <v>#N/A</v>
      </c>
    </row>
    <row r="36" spans="1:23" x14ac:dyDescent="0.45">
      <c r="A36" s="4" t="e" cm="1">
        <f t="array" aca="1" ref="A36" ca="1">IF(OR(COUNTIF(A34,"*合計*"),COUNTIF(A34,"")),"",INDEX(貼り付け用!$A:$A,MATCH(A34,貼り付け用!$A:$A,0)+2,0))</f>
        <v>#N/A</v>
      </c>
      <c r="B36" s="19" t="e">
        <f ca="1">IF(VLOOKUP($A36,貼り付け用!$A$1:$BA$300,COLUMN(),FALSE)=0,"",VLOOKUP($A36,貼り付け用!$A$1:$BA$300,COLUMN(),FALSE))</f>
        <v>#N/A</v>
      </c>
      <c r="C36" s="19" t="e">
        <f ca="1">IF(VLOOKUP($A36,貼り付け用!$A$1:$BA$300,COLUMN(),FALSE)=0,"",VLOOKUP($A36,貼り付け用!$A$1:$BA$300,COLUMN(),FALSE))</f>
        <v>#N/A</v>
      </c>
      <c r="D36" s="19" t="e">
        <f ca="1">IF(VLOOKUP($A36,貼り付け用!$A$1:$BA$300,COLUMN(),FALSE)=0,"",VLOOKUP($A36,貼り付け用!$A$1:$BA$300,COLUMN(),FALSE))</f>
        <v>#N/A</v>
      </c>
      <c r="E36" s="19" t="e">
        <f ca="1">IF(VLOOKUP($A36,貼り付け用!$A$1:$BA$300,COLUMN(),FALSE)=0,"",VLOOKUP($A36,貼り付け用!$A$1:$BA$300,COLUMN(),FALSE))</f>
        <v>#N/A</v>
      </c>
      <c r="F36" s="19" t="e">
        <f ca="1">IF(VLOOKUP($A36,貼り付け用!$A$1:$BA$300,COLUMN(),FALSE)=0,"",VLOOKUP($A36,貼り付け用!$A$1:$BA$300,COLUMN(),FALSE))</f>
        <v>#N/A</v>
      </c>
      <c r="G36" s="19" t="e">
        <f ca="1">IF(VLOOKUP($A36,貼り付け用!$A$1:$BA$300,COLUMN(),FALSE)=0,"",VLOOKUP($A36,貼り付け用!$A$1:$BA$300,COLUMN(),FALSE))</f>
        <v>#N/A</v>
      </c>
      <c r="H36" s="19" t="e">
        <f ca="1">IF(VLOOKUP($A36,貼り付け用!$A$1:$BA$300,COLUMN(),FALSE)=0,"",VLOOKUP($A36,貼り付け用!$A$1:$BA$300,COLUMN(),FALSE))</f>
        <v>#N/A</v>
      </c>
      <c r="I36" s="19" t="e">
        <f ca="1">IF(VLOOKUP($A36,貼り付け用!$A$1:$BA$300,COLUMN(),FALSE)=0,"",VLOOKUP($A36,貼り付け用!$A$1:$BA$300,COLUMN(),FALSE))</f>
        <v>#N/A</v>
      </c>
      <c r="J36" s="19" t="e">
        <f ca="1">IF(VLOOKUP($A36,貼り付け用!$A$1:$BA$300,COLUMN(),FALSE)=0,"",VLOOKUP($A36,貼り付け用!$A$1:$BA$300,COLUMN(),FALSE))</f>
        <v>#N/A</v>
      </c>
      <c r="K36" s="19" t="e">
        <f ca="1">IF(VLOOKUP($A36,貼り付け用!$A$1:$BA$300,COLUMN(),FALSE)=0,"",VLOOKUP($A36,貼り付け用!$A$1:$BA$300,COLUMN(),FALSE))</f>
        <v>#N/A</v>
      </c>
      <c r="L36" s="19" t="e">
        <f ca="1">IF(VLOOKUP($A36,貼り付け用!$A$1:$BA$300,COLUMN(),FALSE)=0,"",VLOOKUP($A36,貼り付け用!$A$1:$BA$300,COLUMN(),FALSE))</f>
        <v>#N/A</v>
      </c>
      <c r="M36" s="19" t="e">
        <f ca="1">IF(VLOOKUP($A36,貼り付け用!$A$1:$BA$300,COLUMN(),FALSE)=0,"",VLOOKUP($A36,貼り付け用!$A$1:$BA$300,COLUMN(),FALSE))</f>
        <v>#N/A</v>
      </c>
      <c r="N36" s="19" t="e">
        <f ca="1">IF(VLOOKUP($A36,貼り付け用!$A$1:$BA$300,COLUMN(),FALSE)=0,"",VLOOKUP($A36,貼り付け用!$A$1:$BA$300,COLUMN(),FALSE))</f>
        <v>#N/A</v>
      </c>
      <c r="O36" s="19" t="e">
        <f ca="1">IF(VLOOKUP($A36,貼り付け用!$A$1:$BA$300,COLUMN(),FALSE)=0,"",VLOOKUP($A36,貼り付け用!$A$1:$BA$300,COLUMN(),FALSE))</f>
        <v>#N/A</v>
      </c>
      <c r="P36" s="19" t="e">
        <f ca="1">IF(VLOOKUP($A36,貼り付け用!$A$1:$BA$300,COLUMN(),FALSE)=0,"",VLOOKUP($A36,貼り付け用!$A$1:$BA$300,COLUMN(),FALSE))</f>
        <v>#N/A</v>
      </c>
      <c r="Q36" s="19" t="e">
        <f ca="1">IF(VLOOKUP($A36,貼り付け用!$A$1:$BA$300,COLUMN(),FALSE)=0,"",VLOOKUP($A36,貼り付け用!$A$1:$BA$300,COLUMN(),FALSE))</f>
        <v>#N/A</v>
      </c>
      <c r="R36" s="19" t="e">
        <f ca="1">IF(VLOOKUP($A36,貼り付け用!$A$1:$BA$300,COLUMN(),FALSE)=0,"",VLOOKUP($A36,貼り付け用!$A$1:$BA$300,COLUMN(),FALSE))</f>
        <v>#N/A</v>
      </c>
      <c r="S36" s="19" t="e">
        <f ca="1">IF(VLOOKUP($A36,貼り付け用!$A$1:$BA$300,COLUMN(),FALSE)=0,"",VLOOKUP($A36,貼り付け用!$A$1:$BA$300,COLUMN(),FALSE))</f>
        <v>#N/A</v>
      </c>
      <c r="T36" s="19" t="e">
        <f ca="1">IF(VLOOKUP($A36,貼り付け用!$A$1:$BA$300,COLUMN(),FALSE)=0,"",VLOOKUP($A36,貼り付け用!$A$1:$BA$300,COLUMN(),FALSE))</f>
        <v>#N/A</v>
      </c>
      <c r="U36" s="16"/>
      <c r="V36" s="19" t="e">
        <f ca="1">IF(A36&lt;&gt;"",
IF(VLOOKUP($A36,貼り付け用!$A$1:$BA$300,COLUMN()-1,FALSE)=0,"",VLOOKUP($A36,貼り付け用!$A$1:$BA$300,COLUMN()-1,FALSE)),"")</f>
        <v>#N/A</v>
      </c>
      <c r="W36" s="19" t="e">
        <f ca="1">IF(A36&lt;&gt;"",
IF(VLOOKUP($A36,貼り付け用!$A$1:$BA$300,COLUMN()-1,FALSE)=0,"",VLOOKUP($A36,貼り付け用!$A$1:$BA$300,COLUMN()-1,FALSE)),"")</f>
        <v>#N/A</v>
      </c>
    </row>
    <row r="37" spans="1:23" x14ac:dyDescent="0.45">
      <c r="A37" s="10" t="e" cm="1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IF(VLOOKUP($A37,貼り付け用!$A$1:$BA$300,COLUMN(),FALSE)=0,"",VLOOKUP($A37,貼り付け用!$A$1:$BA$300,COLUMN(),FALSE))</f>
        <v>#N/A</v>
      </c>
      <c r="M37" s="3" t="e">
        <f ca="1">IF(VLOOKUP($A37,貼り付け用!$A$1:$BA$300,COLUMN(),FALSE)=0,"",VLOOKUP($A37,貼り付け用!$A$1:$BA$300,COLUMN(),FALSE))</f>
        <v>#N/A</v>
      </c>
      <c r="N37" s="3" t="e">
        <f ca="1">IF(VLOOKUP($A37,貼り付け用!$A$1:$BA$300,COLUMN(),FALSE)=0,"",VLOOKUP($A37,貼り付け用!$A$1:$BA$300,COLUMN(),FALSE))</f>
        <v>#N/A</v>
      </c>
      <c r="O37" s="3" t="e">
        <f ca="1">IF(VLOOKUP($A37,貼り付け用!$A$1:$BA$300,COLUMN(),FALSE)=0,"",VLOOKUP($A37,貼り付け用!$A$1:$BA$300,COLUMN(),FALSE))</f>
        <v>#N/A</v>
      </c>
      <c r="P37" s="3" t="e">
        <f ca="1">IF(VLOOKUP($A37,貼り付け用!$A$1:$BA$300,COLUMN(),FALSE)=0,"",VLOOKUP($A37,貼り付け用!$A$1:$BA$300,COLUMN(),FALSE))</f>
        <v>#N/A</v>
      </c>
      <c r="Q37" s="3" t="e">
        <f ca="1">IF(VLOOKUP($A37,貼り付け用!$A$1:$BA$300,COLUMN(),FALSE)=0,"",VLOOKUP($A37,貼り付け用!$A$1:$BA$300,COLUMN(),FALSE))</f>
        <v>#N/A</v>
      </c>
      <c r="R37" s="3" t="e">
        <f ca="1">IF(VLOOKUP($A37,貼り付け用!$A$1:$BA$300,COLUMN(),FALSE)=0,"",VLOOKUP($A37,貼り付け用!$A$1:$BA$300,COLUMN(),FALSE))</f>
        <v>#N/A</v>
      </c>
      <c r="S37" s="3" t="e">
        <f ca="1">IF(VLOOKUP($A37,貼り付け用!$A$1:$BA$300,COLUMN(),FALSE)=0,"",VLOOKUP($A37,貼り付け用!$A$1:$BA$300,COLUMN(),FALSE))</f>
        <v>#N/A</v>
      </c>
      <c r="T37" s="3" t="e">
        <f ca="1">IF(VLOOKUP($A37,貼り付け用!$A$1:$BA$300,COLUMN(),FALSE)=0,"",VLOOKUP($A37,貼り付け用!$A$1:$BA$300,COLUMN(),FALSE))</f>
        <v>#N/A</v>
      </c>
      <c r="U37" s="50"/>
      <c r="V37" s="3" t="e">
        <f ca="1">IF(A37&lt;&gt;"",
IF(VLOOKUP($A37,貼り付け用!$A$1:$BA$300,COLUMN()-1,FALSE)=0,"",VLOOKUP($A37,貼り付け用!$A$1:$BA$300,COLUMN()-1,FALSE)),"")</f>
        <v>#N/A</v>
      </c>
      <c r="W37" s="3" t="e">
        <f ca="1">IF(A37&lt;&gt;"",
IF(VLOOKUP($A37,貼り付け用!$A$1:$BA$300,COLUMN()-1,FALSE)=0,"",VLOOKUP($A37,貼り付け用!$A$1:$BA$300,COLUMN()-1,FALSE)),"")</f>
        <v>#N/A</v>
      </c>
    </row>
    <row r="38" spans="1:23" x14ac:dyDescent="0.45">
      <c r="A38" s="4" t="e" cm="1">
        <f t="array" aca="1" ref="A38" ca="1">IF(OR(COUNTIF(A36,"*合計*"),COUNTIF(A36,"")),"",INDEX(貼り付け用!$A:$A,MATCH(A36,貼り付け用!$A:$A,0)+2,0))</f>
        <v>#N/A</v>
      </c>
      <c r="B38" s="19" t="e">
        <f ca="1">IF(VLOOKUP($A38,貼り付け用!$A$1:$BA$300,COLUMN(),FALSE)=0,"",VLOOKUP($A38,貼り付け用!$A$1:$BA$300,COLUMN(),FALSE))</f>
        <v>#N/A</v>
      </c>
      <c r="C38" s="19" t="e">
        <f ca="1">IF(VLOOKUP($A38,貼り付け用!$A$1:$BA$300,COLUMN(),FALSE)=0,"",VLOOKUP($A38,貼り付け用!$A$1:$BA$300,COLUMN(),FALSE))</f>
        <v>#N/A</v>
      </c>
      <c r="D38" s="19" t="e">
        <f ca="1">IF(VLOOKUP($A38,貼り付け用!$A$1:$BA$300,COLUMN(),FALSE)=0,"",VLOOKUP($A38,貼り付け用!$A$1:$BA$300,COLUMN(),FALSE))</f>
        <v>#N/A</v>
      </c>
      <c r="E38" s="19" t="e">
        <f ca="1">IF(VLOOKUP($A38,貼り付け用!$A$1:$BA$300,COLUMN(),FALSE)=0,"",VLOOKUP($A38,貼り付け用!$A$1:$BA$300,COLUMN(),FALSE))</f>
        <v>#N/A</v>
      </c>
      <c r="F38" s="19" t="e">
        <f ca="1">IF(VLOOKUP($A38,貼り付け用!$A$1:$BA$300,COLUMN(),FALSE)=0,"",VLOOKUP($A38,貼り付け用!$A$1:$BA$300,COLUMN(),FALSE))</f>
        <v>#N/A</v>
      </c>
      <c r="G38" s="19" t="e">
        <f ca="1">IF(VLOOKUP($A38,貼り付け用!$A$1:$BA$300,COLUMN(),FALSE)=0,"",VLOOKUP($A38,貼り付け用!$A$1:$BA$300,COLUMN(),FALSE))</f>
        <v>#N/A</v>
      </c>
      <c r="H38" s="19" t="e">
        <f ca="1">IF(VLOOKUP($A38,貼り付け用!$A$1:$BA$300,COLUMN(),FALSE)=0,"",VLOOKUP($A38,貼り付け用!$A$1:$BA$300,COLUMN(),FALSE))</f>
        <v>#N/A</v>
      </c>
      <c r="I38" s="19" t="e">
        <f ca="1">IF(VLOOKUP($A38,貼り付け用!$A$1:$BA$300,COLUMN(),FALSE)=0,"",VLOOKUP($A38,貼り付け用!$A$1:$BA$300,COLUMN(),FALSE))</f>
        <v>#N/A</v>
      </c>
      <c r="J38" s="19" t="e">
        <f ca="1">IF(VLOOKUP($A38,貼り付け用!$A$1:$BA$300,COLUMN(),FALSE)=0,"",VLOOKUP($A38,貼り付け用!$A$1:$BA$300,COLUMN(),FALSE))</f>
        <v>#N/A</v>
      </c>
      <c r="K38" s="19" t="e">
        <f ca="1">IF(VLOOKUP($A38,貼り付け用!$A$1:$BA$300,COLUMN(),FALSE)=0,"",VLOOKUP($A38,貼り付け用!$A$1:$BA$300,COLUMN(),FALSE))</f>
        <v>#N/A</v>
      </c>
      <c r="L38" s="19" t="e">
        <f ca="1">IF(VLOOKUP($A38,貼り付け用!$A$1:$BA$300,COLUMN(),FALSE)=0,"",VLOOKUP($A38,貼り付け用!$A$1:$BA$300,COLUMN(),FALSE))</f>
        <v>#N/A</v>
      </c>
      <c r="M38" s="19" t="e">
        <f ca="1">IF(VLOOKUP($A38,貼り付け用!$A$1:$BA$300,COLUMN(),FALSE)=0,"",VLOOKUP($A38,貼り付け用!$A$1:$BA$300,COLUMN(),FALSE))</f>
        <v>#N/A</v>
      </c>
      <c r="N38" s="19" t="e">
        <f ca="1">IF(VLOOKUP($A38,貼り付け用!$A$1:$BA$300,COLUMN(),FALSE)=0,"",VLOOKUP($A38,貼り付け用!$A$1:$BA$300,COLUMN(),FALSE))</f>
        <v>#N/A</v>
      </c>
      <c r="O38" s="19" t="e">
        <f ca="1">IF(VLOOKUP($A38,貼り付け用!$A$1:$BA$300,COLUMN(),FALSE)=0,"",VLOOKUP($A38,貼り付け用!$A$1:$BA$300,COLUMN(),FALSE))</f>
        <v>#N/A</v>
      </c>
      <c r="P38" s="19" t="e">
        <f ca="1">IF(VLOOKUP($A38,貼り付け用!$A$1:$BA$300,COLUMN(),FALSE)=0,"",VLOOKUP($A38,貼り付け用!$A$1:$BA$300,COLUMN(),FALSE))</f>
        <v>#N/A</v>
      </c>
      <c r="Q38" s="19" t="e">
        <f ca="1">IF(VLOOKUP($A38,貼り付け用!$A$1:$BA$300,COLUMN(),FALSE)=0,"",VLOOKUP($A38,貼り付け用!$A$1:$BA$300,COLUMN(),FALSE))</f>
        <v>#N/A</v>
      </c>
      <c r="R38" s="19" t="e">
        <f ca="1">IF(VLOOKUP($A38,貼り付け用!$A$1:$BA$300,COLUMN(),FALSE)=0,"",VLOOKUP($A38,貼り付け用!$A$1:$BA$300,COLUMN(),FALSE))</f>
        <v>#N/A</v>
      </c>
      <c r="S38" s="19" t="e">
        <f ca="1">IF(VLOOKUP($A38,貼り付け用!$A$1:$BA$300,COLUMN(),FALSE)=0,"",VLOOKUP($A38,貼り付け用!$A$1:$BA$300,COLUMN(),FALSE))</f>
        <v>#N/A</v>
      </c>
      <c r="T38" s="19" t="e">
        <f ca="1">IF(VLOOKUP($A38,貼り付け用!$A$1:$BA$300,COLUMN(),FALSE)=0,"",VLOOKUP($A38,貼り付け用!$A$1:$BA$300,COLUMN(),FALSE))</f>
        <v>#N/A</v>
      </c>
      <c r="U38" s="16"/>
      <c r="V38" s="19" t="e">
        <f ca="1">IF(A38&lt;&gt;"",
IF(VLOOKUP($A38,貼り付け用!$A$1:$BA$300,COLUMN()-1,FALSE)=0,"",VLOOKUP($A38,貼り付け用!$A$1:$BA$300,COLUMN()-1,FALSE)),"")</f>
        <v>#N/A</v>
      </c>
      <c r="W38" s="19" t="e">
        <f ca="1">IF(A38&lt;&gt;"",
IF(VLOOKUP($A38,貼り付け用!$A$1:$BA$300,COLUMN()-1,FALSE)=0,"",VLOOKUP($A38,貼り付け用!$A$1:$BA$300,COLUMN()-1,FALSE)),"")</f>
        <v>#N/A</v>
      </c>
    </row>
    <row r="39" spans="1:23" x14ac:dyDescent="0.45">
      <c r="A39" s="10" t="e" cm="1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IF(VLOOKUP($A39,貼り付け用!$A$1:$BA$300,COLUMN(),FALSE)=0,"",VLOOKUP($A39,貼り付け用!$A$1:$BA$300,COLUMN(),FALSE))</f>
        <v>#N/A</v>
      </c>
      <c r="M39" s="3" t="e">
        <f ca="1">IF(VLOOKUP($A39,貼り付け用!$A$1:$BA$300,COLUMN(),FALSE)=0,"",VLOOKUP($A39,貼り付け用!$A$1:$BA$300,COLUMN(),FALSE))</f>
        <v>#N/A</v>
      </c>
      <c r="N39" s="3" t="e">
        <f ca="1">IF(VLOOKUP($A39,貼り付け用!$A$1:$BA$300,COLUMN(),FALSE)=0,"",VLOOKUP($A39,貼り付け用!$A$1:$BA$300,COLUMN(),FALSE))</f>
        <v>#N/A</v>
      </c>
      <c r="O39" s="3" t="e">
        <f ca="1">IF(VLOOKUP($A39,貼り付け用!$A$1:$BA$300,COLUMN(),FALSE)=0,"",VLOOKUP($A39,貼り付け用!$A$1:$BA$300,COLUMN(),FALSE))</f>
        <v>#N/A</v>
      </c>
      <c r="P39" s="3" t="e">
        <f ca="1">IF(VLOOKUP($A39,貼り付け用!$A$1:$BA$300,COLUMN(),FALSE)=0,"",VLOOKUP($A39,貼り付け用!$A$1:$BA$300,COLUMN(),FALSE))</f>
        <v>#N/A</v>
      </c>
      <c r="Q39" s="3" t="e">
        <f ca="1">IF(VLOOKUP($A39,貼り付け用!$A$1:$BA$300,COLUMN(),FALSE)=0,"",VLOOKUP($A39,貼り付け用!$A$1:$BA$300,COLUMN(),FALSE))</f>
        <v>#N/A</v>
      </c>
      <c r="R39" s="3" t="e">
        <f ca="1">IF(VLOOKUP($A39,貼り付け用!$A$1:$BA$300,COLUMN(),FALSE)=0,"",VLOOKUP($A39,貼り付け用!$A$1:$BA$300,COLUMN(),FALSE))</f>
        <v>#N/A</v>
      </c>
      <c r="S39" s="3" t="e">
        <f ca="1">IF(VLOOKUP($A39,貼り付け用!$A$1:$BA$300,COLUMN(),FALSE)=0,"",VLOOKUP($A39,貼り付け用!$A$1:$BA$300,COLUMN(),FALSE))</f>
        <v>#N/A</v>
      </c>
      <c r="T39" s="3" t="e">
        <f ca="1">IF(VLOOKUP($A39,貼り付け用!$A$1:$BA$300,COLUMN(),FALSE)=0,"",VLOOKUP($A39,貼り付け用!$A$1:$BA$300,COLUMN(),FALSE))</f>
        <v>#N/A</v>
      </c>
      <c r="U39" s="50"/>
      <c r="V39" s="3" t="e">
        <f ca="1">IF(A39&lt;&gt;"",
IF(VLOOKUP($A39,貼り付け用!$A$1:$BA$300,COLUMN()-1,FALSE)=0,"",VLOOKUP($A39,貼り付け用!$A$1:$BA$300,COLUMN()-1,FALSE)),"")</f>
        <v>#N/A</v>
      </c>
      <c r="W39" s="3" t="e">
        <f ca="1">IF(A39&lt;&gt;"",
IF(VLOOKUP($A39,貼り付け用!$A$1:$BA$300,COLUMN()-1,FALSE)=0,"",VLOOKUP($A39,貼り付け用!$A$1:$BA$300,COLUMN()-1,FALSE)),"")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19" t="e">
        <f>IF(A40&lt;&gt;"",
IF(VLOOKUP($A40,貼り付け用!$A$1:$BA$300,COLUMN()-1,FALSE)=0,"",VLOOKUP($A40,貼り付け用!$A$1:$BA$300,COLUMN()-1,FALSE)),"")</f>
        <v>#N/A</v>
      </c>
      <c r="W40" s="19" t="e">
        <f>IF(A40&lt;&gt;"",
IF(VLOOKUP($A40,貼り付け用!$A$1:$BA$300,COLUMN()-1,FALSE)=0,"",VLOOKUP($A40,貼り付け用!$A$1:$BA$300,COLUMN()-1,FALSE)),"")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0"/>
      <c r="V41" s="3" t="e">
        <f>IF(A41&lt;&gt;"",
IF(VLOOKUP($A41,貼り付け用!$A$1:$BA$300,COLUMN()-1,FALSE)=0,"",VLOOKUP($A41,貼り付け用!$A$1:$BA$300,COLUMN()-1,FALSE)),"")</f>
        <v>#N/A</v>
      </c>
      <c r="W41" s="3" t="e">
        <f>IF(A41&lt;&gt;"",
IF(VLOOKUP($A41,貼り付け用!$A$1:$BA$300,COLUMN()-1,FALSE)=0,"",VLOOKUP($A41,貼り付け用!$A$1:$BA$300,COLUMN()-1,FALSE)),"")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19" t="e">
        <f>IF(A42&lt;&gt;"",
IF(VLOOKUP($A42,貼り付け用!$A$1:$BA$300,COLUMN()-1,FALSE)=0,"",VLOOKUP($A42,貼り付け用!$A$1:$BA$300,COLUMN()-1,FALSE)),"")</f>
        <v>#N/A</v>
      </c>
      <c r="W42" s="19" t="e">
        <f>IF(A42&lt;&gt;"",
IF(VLOOKUP($A42,貼り付け用!$A$1:$BA$300,COLUMN()-1,FALSE)=0,"",VLOOKUP($A42,貼り付け用!$A$1:$BA$300,COLUMN()-1,FALSE)),"")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0"/>
      <c r="V43" s="3" t="e">
        <f>IF(A43&lt;&gt;"",
IF(VLOOKUP($A43,貼り付け用!$A$1:$BA$300,COLUMN()-1,FALSE)=0,"",VLOOKUP($A43,貼り付け用!$A$1:$BA$300,COLUMN()-1,FALSE)),"")</f>
        <v>#N/A</v>
      </c>
      <c r="W43" s="3" t="e">
        <f>IF(A43&lt;&gt;"",
IF(VLOOKUP($A43,貼り付け用!$A$1:$BA$300,COLUMN()-1,FALSE)=0,"",VLOOKUP($A43,貼り付け用!$A$1:$BA$300,COLUMN()-1,FALSE)),"")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19" t="e">
        <f>IF(A44&lt;&gt;"",
IF(VLOOKUP($A44,貼り付け用!$A$1:$BA$300,COLUMN()-1,FALSE)=0,"",VLOOKUP($A44,貼り付け用!$A$1:$BA$300,COLUMN()-1,FALSE)),"")</f>
        <v>#N/A</v>
      </c>
      <c r="W44" s="19" t="e">
        <f>IF(A44&lt;&gt;"",
IF(VLOOKUP($A44,貼り付け用!$A$1:$BA$300,COLUMN()-1,FALSE)=0,"",VLOOKUP($A44,貼り付け用!$A$1:$BA$300,COLUMN()-1,FALSE)),"")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0"/>
      <c r="V45" s="3" t="e">
        <f>IF(A45&lt;&gt;"",
IF(VLOOKUP($A45,貼り付け用!$A$1:$BA$300,COLUMN()-1,FALSE)=0,"",VLOOKUP($A45,貼り付け用!$A$1:$BA$300,COLUMN()-1,FALSE)),"")</f>
        <v>#N/A</v>
      </c>
      <c r="W45" s="3" t="e">
        <f>IF(A45&lt;&gt;"",
IF(VLOOKUP($A45,貼り付け用!$A$1:$BA$300,COLUMN()-1,FALSE)=0,"",VLOOKUP($A45,貼り付け用!$A$1:$BA$300,COLUMN()-1,FALSE)),"")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19" t="e">
        <f>IF(A46&lt;&gt;"",
IF(VLOOKUP($A46,貼り付け用!$A$1:$BA$300,COLUMN()-1,FALSE)=0,"",VLOOKUP($A46,貼り付け用!$A$1:$BA$300,COLUMN()-1,FALSE)),"")</f>
        <v>#N/A</v>
      </c>
      <c r="W46" s="19" t="e">
        <f>IF(A46&lt;&gt;"",
IF(VLOOKUP($A46,貼り付け用!$A$1:$BA$300,COLUMN()-1,FALSE)=0,"",VLOOKUP($A46,貼り付け用!$A$1:$BA$300,COLUMN()-1,FALSE)),"")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0"/>
      <c r="V47" s="3" t="e">
        <f>IF(A47&lt;&gt;"",
IF(VLOOKUP($A47,貼り付け用!$A$1:$BA$300,COLUMN()-1,FALSE)=0,"",VLOOKUP($A47,貼り付け用!$A$1:$BA$300,COLUMN()-1,FALSE)),"")</f>
        <v>#N/A</v>
      </c>
      <c r="W47" s="3" t="e">
        <f>IF(A47&lt;&gt;"",
IF(VLOOKUP($A47,貼り付け用!$A$1:$BA$300,COLUMN()-1,FALSE)=0,"",VLOOKUP($A47,貼り付け用!$A$1:$BA$300,COLUMN()-1,FALSE)),"")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19" t="e">
        <f>IF(A48&lt;&gt;"",
IF(VLOOKUP($A48,貼り付け用!$A$1:$BA$300,COLUMN()-1,FALSE)=0,"",VLOOKUP($A48,貼り付け用!$A$1:$BA$300,COLUMN()-1,FALSE)),"")</f>
        <v>#N/A</v>
      </c>
      <c r="W48" s="19" t="e">
        <f>IF(A48&lt;&gt;"",
IF(VLOOKUP($A48,貼り付け用!$A$1:$BA$300,COLUMN()-1,FALSE)=0,"",VLOOKUP($A48,貼り付け用!$A$1:$BA$300,COLUMN()-1,FALSE)),"")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0"/>
      <c r="V49" s="3" t="e">
        <f>IF(A49&lt;&gt;"",
IF(VLOOKUP($A49,貼り付け用!$A$1:$BA$300,COLUMN()-1,FALSE)=0,"",VLOOKUP($A49,貼り付け用!$A$1:$BA$300,COLUMN()-1,FALSE)),"")</f>
        <v>#N/A</v>
      </c>
      <c r="W49" s="3" t="e">
        <f>IF(A49&lt;&gt;"",
IF(VLOOKUP($A49,貼り付け用!$A$1:$BA$300,COLUMN()-1,FALSE)=0,"",VLOOKUP($A49,貼り付け用!$A$1:$BA$300,COLUMN()-1,FALSE)),"")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19" t="e">
        <f>IF(A50&lt;&gt;"",
IF(VLOOKUP($A50,貼り付け用!$A$1:$BA$300,COLUMN()-1,FALSE)=0,"",VLOOKUP($A50,貼り付け用!$A$1:$BA$300,COLUMN()-1,FALSE)),"")</f>
        <v>#N/A</v>
      </c>
      <c r="W50" s="19" t="e">
        <f>IF(A50&lt;&gt;"",
IF(VLOOKUP($A50,貼り付け用!$A$1:$BA$300,COLUMN()-1,FALSE)=0,"",VLOOKUP($A50,貼り付け用!$A$1:$BA$300,COLUMN()-1,FALSE)),"")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0"/>
      <c r="V51" s="3" t="e">
        <f>IF(A51&lt;&gt;"",
IF(VLOOKUP($A51,貼り付け用!$A$1:$BA$300,COLUMN()-1,FALSE)=0,"",VLOOKUP($A51,貼り付け用!$A$1:$BA$300,COLUMN()-1,FALSE)),"")</f>
        <v>#N/A</v>
      </c>
      <c r="W51" s="3" t="e">
        <f>IF(A51&lt;&gt;"",
IF(VLOOKUP($A51,貼り付け用!$A$1:$BA$300,COLUMN()-1,FALSE)=0,"",VLOOKUP($A51,貼り付け用!$A$1:$BA$300,COLUMN()-1,FALSE)),"")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19" t="e">
        <f>IF(A52&lt;&gt;"",
IF(VLOOKUP($A52,貼り付け用!$A$1:$BA$300,COLUMN()-1,FALSE)=0,"",VLOOKUP($A52,貼り付け用!$A$1:$BA$300,COLUMN()-1,FALSE)),"")</f>
        <v>#N/A</v>
      </c>
      <c r="W52" s="19" t="e">
        <f>IF(A52&lt;&gt;"",
IF(VLOOKUP($A52,貼り付け用!$A$1:$BA$300,COLUMN()-1,FALSE)=0,"",VLOOKUP($A52,貼り付け用!$A$1:$BA$300,COLUMN()-1,FALSE)),"")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0"/>
      <c r="V53" s="3" t="e">
        <f>IF(A53&lt;&gt;"",
IF(VLOOKUP($A53,貼り付け用!$A$1:$BA$300,COLUMN()-1,FALSE)=0,"",VLOOKUP($A53,貼り付け用!$A$1:$BA$300,COLUMN()-1,FALSE)),"")</f>
        <v>#N/A</v>
      </c>
      <c r="W53" s="3" t="e">
        <f>IF(A53&lt;&gt;"",
IF(VLOOKUP($A53,貼り付け用!$A$1:$BA$300,COLUMN()-1,FALSE)=0,"",VLOOKUP($A53,貼り付け用!$A$1:$BA$300,COLUMN()-1,FALSE)),"")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19" t="e">
        <f>IF(A54&lt;&gt;"",
IF(VLOOKUP($A54,貼り付け用!$A$1:$BA$300,COLUMN()-1,FALSE)=0,"",VLOOKUP($A54,貼り付け用!$A$1:$BA$300,COLUMN()-1,FALSE)),"")</f>
        <v>#N/A</v>
      </c>
      <c r="W54" s="19" t="e">
        <f>IF(A54&lt;&gt;"",
IF(VLOOKUP($A54,貼り付け用!$A$1:$BA$300,COLUMN()-1,FALSE)=0,"",VLOOKUP($A54,貼り付け用!$A$1:$BA$300,COLUMN()-1,FALSE)),"")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0"/>
      <c r="V55" s="3" t="e">
        <f>IF(A55&lt;&gt;"",
IF(VLOOKUP($A55,貼り付け用!$A$1:$BA$300,COLUMN()-1,FALSE)=0,"",VLOOKUP($A55,貼り付け用!$A$1:$BA$300,COLUMN()-1,FALSE)),"")</f>
        <v>#N/A</v>
      </c>
      <c r="W55" s="3" t="e">
        <f>IF(A55&lt;&gt;"",
IF(VLOOKUP($A55,貼り付け用!$A$1:$BA$300,COLUMN()-1,FALSE)=0,"",VLOOKUP($A55,貼り付け用!$A$1:$BA$300,COLUMN()-1,FALSE)),"")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19" t="e">
        <f>IF(A56&lt;&gt;"",
IF(VLOOKUP($A56,貼り付け用!$A$1:$BA$300,COLUMN()-1,FALSE)=0,"",VLOOKUP($A56,貼り付け用!$A$1:$BA$300,COLUMN()-1,FALSE)),"")</f>
        <v>#N/A</v>
      </c>
      <c r="W56" s="19" t="e">
        <f>IF(A56&lt;&gt;"",
IF(VLOOKUP($A56,貼り付け用!$A$1:$BA$300,COLUMN()-1,FALSE)=0,"",VLOOKUP($A56,貼り付け用!$A$1:$BA$300,COLUMN()-1,FALSE)),"")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0"/>
      <c r="V57" s="3" t="e">
        <f>IF(A57&lt;&gt;"",
IF(VLOOKUP($A57,貼り付け用!$A$1:$BA$300,COLUMN()-1,FALSE)=0,"",VLOOKUP($A57,貼り付け用!$A$1:$BA$300,COLUMN()-1,FALSE)),"")</f>
        <v>#N/A</v>
      </c>
      <c r="W57" s="3" t="e">
        <f>IF(A57&lt;&gt;"",
IF(VLOOKUP($A57,貼り付け用!$A$1:$BA$300,COLUMN()-1,FALSE)=0,"",VLOOKUP($A57,貼り付け用!$A$1:$BA$300,COLUMN()-1,FALSE)),"")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19" t="e">
        <f>IF(A58&lt;&gt;"",
IF(VLOOKUP($A58,貼り付け用!$A$1:$BA$300,COLUMN()-1,FALSE)=0,"",VLOOKUP($A58,貼り付け用!$A$1:$BA$300,COLUMN()-1,FALSE)),"")</f>
        <v>#N/A</v>
      </c>
      <c r="W58" s="19" t="e">
        <f>IF(A58&lt;&gt;"",
IF(VLOOKUP($A58,貼り付け用!$A$1:$BA$300,COLUMN()-1,FALSE)=0,"",VLOOKUP($A58,貼り付け用!$A$1:$BA$300,COLUMN()-1,FALSE)),"")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0"/>
      <c r="V59" s="3" t="e">
        <f>IF(A59&lt;&gt;"",
IF(VLOOKUP($A59,貼り付け用!$A$1:$BA$300,COLUMN()-1,FALSE)=0,"",VLOOKUP($A59,貼り付け用!$A$1:$BA$300,COLUMN()-1,FALSE)),"")</f>
        <v>#N/A</v>
      </c>
      <c r="W59" s="3" t="e">
        <f>IF(A59&lt;&gt;"",
IF(VLOOKUP($A59,貼り付け用!$A$1:$BA$300,COLUMN()-1,FALSE)=0,"",VLOOKUP($A59,貼り付け用!$A$1:$BA$300,COLUMN()-1,FALSE)),"")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19" t="e">
        <f>IF(A60&lt;&gt;"",
IF(VLOOKUP($A60,貼り付け用!$A$1:$BA$300,COLUMN()-1,FALSE)=0,"",VLOOKUP($A60,貼り付け用!$A$1:$BA$300,COLUMN()-1,FALSE)),"")</f>
        <v>#N/A</v>
      </c>
      <c r="W60" s="19" t="e">
        <f>IF(A60&lt;&gt;"",
IF(VLOOKUP($A60,貼り付け用!$A$1:$BA$300,COLUMN()-1,FALSE)=0,"",VLOOKUP($A60,貼り付け用!$A$1:$BA$300,COLUMN()-1,FALSE)),"")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0"/>
      <c r="V61" s="3" t="e">
        <f>IF(A61&lt;&gt;"",
IF(VLOOKUP($A61,貼り付け用!$A$1:$BA$300,COLUMN()-1,FALSE)=0,"",VLOOKUP($A61,貼り付け用!$A$1:$BA$300,COLUMN()-1,FALSE)),"")</f>
        <v>#N/A</v>
      </c>
      <c r="W61" s="3" t="e">
        <f>IF(A61&lt;&gt;"",
IF(VLOOKUP($A61,貼り付け用!$A$1:$BA$300,COLUMN()-1,FALSE)=0,"",VLOOKUP($A61,貼り付け用!$A$1:$BA$300,COLUMN()-1,FALSE)),"")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19" t="e">
        <f>IF(A62&lt;&gt;"",
IF(VLOOKUP($A62,貼り付け用!$A$1:$BA$300,COLUMN()-1,FALSE)=0,"",VLOOKUP($A62,貼り付け用!$A$1:$BA$300,COLUMN()-1,FALSE)),"")</f>
        <v>#N/A</v>
      </c>
      <c r="W62" s="19" t="e">
        <f>IF(A62&lt;&gt;"",
IF(VLOOKUP($A62,貼り付け用!$A$1:$BA$300,COLUMN()-1,FALSE)=0,"",VLOOKUP($A62,貼り付け用!$A$1:$BA$300,COLUMN()-1,FALSE)),"")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0"/>
      <c r="V63" s="3" t="e">
        <f>IF(A63&lt;&gt;"",
IF(VLOOKUP($A63,貼り付け用!$A$1:$BA$300,COLUMN()-1,FALSE)=0,"",VLOOKUP($A63,貼り付け用!$A$1:$BA$300,COLUMN()-1,FALSE)),"")</f>
        <v>#N/A</v>
      </c>
      <c r="W63" s="3" t="e">
        <f>IF(A63&lt;&gt;"",
IF(VLOOKUP($A63,貼り付け用!$A$1:$BA$300,COLUMN()-1,FALSE)=0,"",VLOOKUP($A63,貼り付け用!$A$1:$BA$300,COLUMN()-1,FALSE)),"")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19" t="e">
        <f>IF(A64&lt;&gt;"",
IF(VLOOKUP($A64,貼り付け用!$A$1:$BA$300,COLUMN()-1,FALSE)=0,"",VLOOKUP($A64,貼り付け用!$A$1:$BA$300,COLUMN()-1,FALSE)),"")</f>
        <v>#N/A</v>
      </c>
      <c r="W64" s="19" t="e">
        <f>IF(A64&lt;&gt;"",
IF(VLOOKUP($A64,貼り付け用!$A$1:$BA$300,COLUMN()-1,FALSE)=0,"",VLOOKUP($A64,貼り付け用!$A$1:$BA$300,COLUMN()-1,FALSE)),"")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0"/>
      <c r="V65" s="3" t="e">
        <f>IF(A65&lt;&gt;"",
IF(VLOOKUP($A65,貼り付け用!$A$1:$BA$300,COLUMN()-1,FALSE)=0,"",VLOOKUP($A65,貼り付け用!$A$1:$BA$300,COLUMN()-1,FALSE)),"")</f>
        <v>#N/A</v>
      </c>
      <c r="W65" s="3" t="e">
        <f>IF(A65&lt;&gt;"",
IF(VLOOKUP($A65,貼り付け用!$A$1:$BA$300,COLUMN()-1,FALSE)=0,"",VLOOKUP($A65,貼り付け用!$A$1:$BA$300,COLUMN()-1,FALSE)),"")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19" t="e">
        <f>IF(A66&lt;&gt;"",
IF(VLOOKUP($A66,貼り付け用!$A$1:$BA$300,COLUMN()-1,FALSE)=0,"",VLOOKUP($A66,貼り付け用!$A$1:$BA$300,COLUMN()-1,FALSE)),"")</f>
        <v>#N/A</v>
      </c>
      <c r="W66" s="19" t="e">
        <f>IF(A66&lt;&gt;"",
IF(VLOOKUP($A66,貼り付け用!$A$1:$BA$300,COLUMN()-1,FALSE)=0,"",VLOOKUP($A66,貼り付け用!$A$1:$BA$300,COLUMN()-1,FALSE)),"")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0"/>
      <c r="V67" s="3" t="e">
        <f>IF(A67&lt;&gt;"",
IF(VLOOKUP($A67,貼り付け用!$A$1:$BA$300,COLUMN()-1,FALSE)=0,"",VLOOKUP($A67,貼り付け用!$A$1:$BA$300,COLUMN()-1,FALSE)),"")</f>
        <v>#N/A</v>
      </c>
      <c r="W67" s="3" t="e">
        <f>IF(A67&lt;&gt;"",
IF(VLOOKUP($A67,貼り付け用!$A$1:$BA$300,COLUMN()-1,FALSE)=0,"",VLOOKUP($A67,貼り付け用!$A$1:$BA$300,COLUMN()-1,FALSE)),"")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19" t="e">
        <f>IF(A68&lt;&gt;"",
IF(VLOOKUP($A68,貼り付け用!$A$1:$BA$300,COLUMN()-1,FALSE)=0,"",VLOOKUP($A68,貼り付け用!$A$1:$BA$300,COLUMN()-1,FALSE)),"")</f>
        <v>#N/A</v>
      </c>
      <c r="W68" s="19" t="e">
        <f>IF(A68&lt;&gt;"",
IF(VLOOKUP($A68,貼り付け用!$A$1:$BA$300,COLUMN()-1,FALSE)=0,"",VLOOKUP($A68,貼り付け用!$A$1:$BA$300,COLUMN()-1,FALSE)),"")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0"/>
      <c r="V69" s="3" t="e">
        <f>IF(A69&lt;&gt;"",
IF(VLOOKUP($A69,貼り付け用!$A$1:$BA$300,COLUMN()-1,FALSE)=0,"",VLOOKUP($A69,貼り付け用!$A$1:$BA$300,COLUMN()-1,FALSE)),"")</f>
        <v>#N/A</v>
      </c>
      <c r="W69" s="3" t="e">
        <f>IF(A69&lt;&gt;"",
IF(VLOOKUP($A69,貼り付け用!$A$1:$BA$300,COLUMN()-1,FALSE)=0,"",VLOOKUP($A69,貼り付け用!$A$1:$BA$300,COLUMN()-1,FALSE)),"")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19" t="e">
        <f>IF(A70&lt;&gt;"",
IF(VLOOKUP($A70,貼り付け用!$A$1:$BA$300,COLUMN()-1,FALSE)=0,"",VLOOKUP($A70,貼り付け用!$A$1:$BA$300,COLUMN()-1,FALSE)),"")</f>
        <v>#N/A</v>
      </c>
      <c r="W70" s="19" t="e">
        <f>IF(A70&lt;&gt;"",
IF(VLOOKUP($A70,貼り付け用!$A$1:$BA$300,COLUMN()-1,FALSE)=0,"",VLOOKUP($A70,貼り付け用!$A$1:$BA$300,COLUMN()-1,FALSE)),"")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0"/>
      <c r="V71" s="3" t="e">
        <f>IF(A71&lt;&gt;"",
IF(VLOOKUP($A71,貼り付け用!$A$1:$BA$300,COLUMN()-1,FALSE)=0,"",VLOOKUP($A71,貼り付け用!$A$1:$BA$300,COLUMN()-1,FALSE)),"")</f>
        <v>#N/A</v>
      </c>
      <c r="W71" s="3" t="e">
        <f>IF(A71&lt;&gt;"",
IF(VLOOKUP($A71,貼り付け用!$A$1:$BA$300,COLUMN()-1,FALSE)=0,"",VLOOKUP($A71,貼り付け用!$A$1:$BA$300,COLUMN()-1,FALSE)),"")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19" t="e">
        <f>IF(A72&lt;&gt;"",
IF(VLOOKUP($A72,貼り付け用!$A$1:$BA$300,COLUMN()-1,FALSE)=0,"",VLOOKUP($A72,貼り付け用!$A$1:$BA$300,COLUMN()-1,FALSE)),"")</f>
        <v>#N/A</v>
      </c>
      <c r="W72" s="19" t="e">
        <f>IF(A72&lt;&gt;"",
IF(VLOOKUP($A72,貼り付け用!$A$1:$BA$300,COLUMN()-1,FALSE)=0,"",VLOOKUP($A72,貼り付け用!$A$1:$BA$300,COLUMN()-1,FALSE)),"")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0"/>
      <c r="V73" s="3" t="e">
        <f>IF(A73&lt;&gt;"",
IF(VLOOKUP($A73,貼り付け用!$A$1:$BA$300,COLUMN()-1,FALSE)=0,"",VLOOKUP($A73,貼り付け用!$A$1:$BA$300,COLUMN()-1,FALSE)),"")</f>
        <v>#N/A</v>
      </c>
      <c r="W73" s="3" t="e">
        <f>IF(A73&lt;&gt;"",
IF(VLOOKUP($A73,貼り付け用!$A$1:$BA$300,COLUMN()-1,FALSE)=0,"",VLOOKUP($A73,貼り付け用!$A$1:$BA$300,COLUMN()-1,FALSE)),"")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19" t="e">
        <f>IF(A74&lt;&gt;"",
IF(VLOOKUP($A74,貼り付け用!$A$1:$BA$300,COLUMN()-1,FALSE)=0,"",VLOOKUP($A74,貼り付け用!$A$1:$BA$300,COLUMN()-1,FALSE)),"")</f>
        <v>#N/A</v>
      </c>
      <c r="W74" s="19" t="e">
        <f>IF(A74&lt;&gt;"",
IF(VLOOKUP($A74,貼り付け用!$A$1:$BA$300,COLUMN()-1,FALSE)=0,"",VLOOKUP($A74,貼り付け用!$A$1:$BA$300,COLUMN()-1,FALSE)),"")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0"/>
      <c r="V75" s="3" t="e">
        <f>IF(A75&lt;&gt;"",
IF(VLOOKUP($A75,貼り付け用!$A$1:$BA$300,COLUMN()-1,FALSE)=0,"",VLOOKUP($A75,貼り付け用!$A$1:$BA$300,COLUMN()-1,FALSE)),"")</f>
        <v>#N/A</v>
      </c>
      <c r="W75" s="3" t="e">
        <f>IF(A75&lt;&gt;"",
IF(VLOOKUP($A75,貼り付け用!$A$1:$BA$300,COLUMN()-1,FALSE)=0,"",VLOOKUP($A75,貼り付け用!$A$1:$BA$300,COLUMN()-1,FALSE)),"")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19" t="e">
        <f>IF(A76&lt;&gt;"",
IF(VLOOKUP($A76,貼り付け用!$A$1:$BA$300,COLUMN()-1,FALSE)=0,"",VLOOKUP($A76,貼り付け用!$A$1:$BA$300,COLUMN()-1,FALSE)),"")</f>
        <v>#N/A</v>
      </c>
      <c r="W76" s="19" t="e">
        <f>IF(A76&lt;&gt;"",
IF(VLOOKUP($A76,貼り付け用!$A$1:$BA$300,COLUMN()-1,FALSE)=0,"",VLOOKUP($A76,貼り付け用!$A$1:$BA$300,COLUMN()-1,FALSE)),"")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0"/>
      <c r="V77" s="3" t="e">
        <f>IF(A77&lt;&gt;"",
IF(VLOOKUP($A77,貼り付け用!$A$1:$BA$300,COLUMN()-1,FALSE)=0,"",VLOOKUP($A77,貼り付け用!$A$1:$BA$300,COLUMN()-1,FALSE)),"")</f>
        <v>#N/A</v>
      </c>
      <c r="W77" s="3" t="e">
        <f>IF(A77&lt;&gt;"",
IF(VLOOKUP($A77,貼り付け用!$A$1:$BA$300,COLUMN()-1,FALSE)=0,"",VLOOKUP($A77,貼り付け用!$A$1:$BA$300,COLUMN()-1,FALSE)),"")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19" t="e">
        <f>IF(A78&lt;&gt;"",
IF(VLOOKUP($A78,貼り付け用!$A$1:$BA$300,COLUMN()-1,FALSE)=0,"",VLOOKUP($A78,貼り付け用!$A$1:$BA$300,COLUMN()-1,FALSE)),"")</f>
        <v>#N/A</v>
      </c>
      <c r="W78" s="19" t="e">
        <f>IF(A78&lt;&gt;"",
IF(VLOOKUP($A78,貼り付け用!$A$1:$BA$300,COLUMN()-1,FALSE)=0,"",VLOOKUP($A78,貼り付け用!$A$1:$BA$300,COLUMN()-1,FALSE)),"")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0"/>
      <c r="V79" s="3" t="e">
        <f>IF(A79&lt;&gt;"",
IF(VLOOKUP($A79,貼り付け用!$A$1:$BA$300,COLUMN()-1,FALSE)=0,"",VLOOKUP($A79,貼り付け用!$A$1:$BA$300,COLUMN()-1,FALSE)),"")</f>
        <v>#N/A</v>
      </c>
      <c r="W79" s="3" t="e">
        <f>IF(A79&lt;&gt;"",
IF(VLOOKUP($A79,貼り付け用!$A$1:$BA$300,COLUMN()-1,FALSE)=0,"",VLOOKUP($A79,貼り付け用!$A$1:$BA$300,COLUMN()-1,FALSE)),"")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19" t="e">
        <f>IF(A80&lt;&gt;"",
IF(VLOOKUP($A80,貼り付け用!$A$1:$BA$300,COLUMN()-1,FALSE)=0,"",VLOOKUP($A80,貼り付け用!$A$1:$BA$300,COLUMN()-1,FALSE)),"")</f>
        <v>#N/A</v>
      </c>
      <c r="W80" s="19" t="e">
        <f>IF(A80&lt;&gt;"",
IF(VLOOKUP($A80,貼り付け用!$A$1:$BA$300,COLUMN()-1,FALSE)=0,"",VLOOKUP($A80,貼り付け用!$A$1:$BA$300,COLUMN()-1,FALSE)),"")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0"/>
      <c r="V81" s="3" t="e">
        <f>IF(A81&lt;&gt;"",
IF(VLOOKUP($A81,貼り付け用!$A$1:$BA$300,COLUMN()-1,FALSE)=0,"",VLOOKUP($A81,貼り付け用!$A$1:$BA$300,COLUMN()-1,FALSE)),"")</f>
        <v>#N/A</v>
      </c>
      <c r="W81" s="3" t="e">
        <f>IF(A81&lt;&gt;"",
IF(VLOOKUP($A81,貼り付け用!$A$1:$BA$300,COLUMN()-1,FALSE)=0,"",VLOOKUP($A81,貼り付け用!$A$1:$BA$300,COLUMN()-1,FALSE)),"")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19" t="e">
        <f>IF(A82&lt;&gt;"",
IF(VLOOKUP($A82,貼り付け用!$A$1:$BA$300,COLUMN()-1,FALSE)=0,"",VLOOKUP($A82,貼り付け用!$A$1:$BA$300,COLUMN()-1,FALSE)),"")</f>
        <v>#N/A</v>
      </c>
      <c r="W82" s="19" t="e">
        <f>IF(A82&lt;&gt;"",
IF(VLOOKUP($A82,貼り付け用!$A$1:$BA$300,COLUMN()-1,FALSE)=0,"",VLOOKUP($A82,貼り付け用!$A$1:$BA$300,COLUMN()-1,FALSE)),"")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0"/>
      <c r="V83" s="3" t="e">
        <f>IF(A83&lt;&gt;"",
IF(VLOOKUP($A83,貼り付け用!$A$1:$BA$300,COLUMN()-1,FALSE)=0,"",VLOOKUP($A83,貼り付け用!$A$1:$BA$300,COLUMN()-1,FALSE)),"")</f>
        <v>#N/A</v>
      </c>
      <c r="W83" s="3" t="e">
        <f>IF(A83&lt;&gt;"",
IF(VLOOKUP($A83,貼り付け用!$A$1:$BA$300,COLUMN()-1,FALSE)=0,"",VLOOKUP($A83,貼り付け用!$A$1:$BA$300,COLUMN()-1,FALSE)),"")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19" t="e">
        <f>IF(A84&lt;&gt;"",
IF(VLOOKUP($A84,貼り付け用!$A$1:$BA$300,COLUMN()-1,FALSE)=0,"",VLOOKUP($A84,貼り付け用!$A$1:$BA$300,COLUMN()-1,FALSE)),"")</f>
        <v>#N/A</v>
      </c>
      <c r="W84" s="19" t="e">
        <f>IF(A84&lt;&gt;"",
IF(VLOOKUP($A84,貼り付け用!$A$1:$BA$300,COLUMN()-1,FALSE)=0,"",VLOOKUP($A84,貼り付け用!$A$1:$BA$300,COLUMN()-1,FALSE)),"")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0"/>
      <c r="V85" s="3" t="e">
        <f>IF(A85&lt;&gt;"",
IF(VLOOKUP($A85,貼り付け用!$A$1:$BA$300,COLUMN()-1,FALSE)=0,"",VLOOKUP($A85,貼り付け用!$A$1:$BA$300,COLUMN()-1,FALSE)),"")</f>
        <v>#N/A</v>
      </c>
      <c r="W85" s="3" t="e">
        <f>IF(A85&lt;&gt;"",
IF(VLOOKUP($A85,貼り付け用!$A$1:$BA$300,COLUMN()-1,FALSE)=0,"",VLOOKUP($A85,貼り付け用!$A$1:$BA$300,COLUMN()-1,FALSE)),"")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19" t="e">
        <f>IF(A86&lt;&gt;"",
IF(VLOOKUP($A86,貼り付け用!$A$1:$BA$300,COLUMN()-1,FALSE)=0,"",VLOOKUP($A86,貼り付け用!$A$1:$BA$300,COLUMN()-1,FALSE)),"")</f>
        <v>#N/A</v>
      </c>
      <c r="W86" s="19" t="e">
        <f>IF(A86&lt;&gt;"",
IF(VLOOKUP($A86,貼り付け用!$A$1:$BA$300,COLUMN()-1,FALSE)=0,"",VLOOKUP($A86,貼り付け用!$A$1:$BA$300,COLUMN()-1,FALSE)),"")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0"/>
      <c r="V87" s="3" t="e">
        <f>IF(A87&lt;&gt;"",
IF(VLOOKUP($A87,貼り付け用!$A$1:$BA$300,COLUMN()-1,FALSE)=0,"",VLOOKUP($A87,貼り付け用!$A$1:$BA$300,COLUMN()-1,FALSE)),"")</f>
        <v>#N/A</v>
      </c>
      <c r="W87" s="3" t="e">
        <f>IF(A87&lt;&gt;"",
IF(VLOOKUP($A87,貼り付け用!$A$1:$BA$300,COLUMN()-1,FALSE)=0,"",VLOOKUP($A87,貼り付け用!$A$1:$BA$300,COLUMN()-1,FALSE)),"")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19" t="e">
        <f>IF(A88&lt;&gt;"",
IF(VLOOKUP($A88,貼り付け用!$A$1:$BA$300,COLUMN()-1,FALSE)=0,"",VLOOKUP($A88,貼り付け用!$A$1:$BA$300,COLUMN()-1,FALSE)),"")</f>
        <v>#N/A</v>
      </c>
      <c r="W88" s="19" t="e">
        <f>IF(A88&lt;&gt;"",
IF(VLOOKUP($A88,貼り付け用!$A$1:$BA$300,COLUMN()-1,FALSE)=0,"",VLOOKUP($A88,貼り付け用!$A$1:$BA$300,COLUMN()-1,FALSE)),"")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0"/>
      <c r="V89" s="3" t="e">
        <f>IF(A89&lt;&gt;"",
IF(VLOOKUP($A89,貼り付け用!$A$1:$BA$300,COLUMN()-1,FALSE)=0,"",VLOOKUP($A89,貼り付け用!$A$1:$BA$300,COLUMN()-1,FALSE)),"")</f>
        <v>#N/A</v>
      </c>
      <c r="W89" s="3" t="e">
        <f>IF(A89&lt;&gt;"",
IF(VLOOKUP($A89,貼り付け用!$A$1:$BA$300,COLUMN()-1,FALSE)=0,"",VLOOKUP($A89,貼り付け用!$A$1:$BA$300,COLUMN()-1,FALSE)),"")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19" t="e">
        <f>IF(A90&lt;&gt;"",
IF(VLOOKUP($A90,貼り付け用!$A$1:$BA$300,COLUMN()-1,FALSE)=0,"",VLOOKUP($A90,貼り付け用!$A$1:$BA$300,COLUMN()-1,FALSE)),"")</f>
        <v>#N/A</v>
      </c>
      <c r="W90" s="19" t="e">
        <f>IF(A90&lt;&gt;"",
IF(VLOOKUP($A90,貼り付け用!$A$1:$BA$300,COLUMN()-1,FALSE)=0,"",VLOOKUP($A90,貼り付け用!$A$1:$BA$300,COLUMN()-1,FALSE)),"")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0"/>
      <c r="V91" s="3" t="e">
        <f>IF(A91&lt;&gt;"",
IF(VLOOKUP($A91,貼り付け用!$A$1:$BA$300,COLUMN()-1,FALSE)=0,"",VLOOKUP($A91,貼り付け用!$A$1:$BA$300,COLUMN()-1,FALSE)),"")</f>
        <v>#N/A</v>
      </c>
      <c r="W91" s="3" t="e">
        <f>IF(A91&lt;&gt;"",
IF(VLOOKUP($A91,貼り付け用!$A$1:$BA$300,COLUMN()-1,FALSE)=0,"",VLOOKUP($A91,貼り付け用!$A$1:$BA$300,COLUMN()-1,FALSE)),"")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19" t="e">
        <f>IF(A92&lt;&gt;"",
IF(VLOOKUP($A92,貼り付け用!$A$1:$BA$300,COLUMN()-1,FALSE)=0,"",VLOOKUP($A92,貼り付け用!$A$1:$BA$300,COLUMN()-1,FALSE)),"")</f>
        <v>#N/A</v>
      </c>
      <c r="W92" s="19" t="e">
        <f>IF(A92&lt;&gt;"",
IF(VLOOKUP($A92,貼り付け用!$A$1:$BA$300,COLUMN()-1,FALSE)=0,"",VLOOKUP($A92,貼り付け用!$A$1:$BA$300,COLUMN()-1,FALSE)),"")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0"/>
      <c r="V93" s="3" t="e">
        <f>IF(A93&lt;&gt;"",
IF(VLOOKUP($A93,貼り付け用!$A$1:$BA$300,COLUMN()-1,FALSE)=0,"",VLOOKUP($A93,貼り付け用!$A$1:$BA$300,COLUMN()-1,FALSE)),"")</f>
        <v>#N/A</v>
      </c>
      <c r="W93" s="3" t="e">
        <f>IF(A93&lt;&gt;"",
IF(VLOOKUP($A93,貼り付け用!$A$1:$BA$300,COLUMN()-1,FALSE)=0,"",VLOOKUP($A93,貼り付け用!$A$1:$BA$300,COLUMN()-1,FALSE)),"")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19" t="e">
        <f>IF(A94&lt;&gt;"",
IF(VLOOKUP($A94,貼り付け用!$A$1:$BA$300,COLUMN()-1,FALSE)=0,"",VLOOKUP($A94,貼り付け用!$A$1:$BA$300,COLUMN()-1,FALSE)),"")</f>
        <v>#N/A</v>
      </c>
      <c r="W94" s="19" t="e">
        <f>IF(A94&lt;&gt;"",
IF(VLOOKUP($A94,貼り付け用!$A$1:$BA$300,COLUMN()-1,FALSE)=0,"",VLOOKUP($A94,貼り付け用!$A$1:$BA$300,COLUMN()-1,FALSE)),"")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0"/>
      <c r="V95" s="3" t="e">
        <f>IF(A95&lt;&gt;"",
IF(VLOOKUP($A95,貼り付け用!$A$1:$BA$300,COLUMN()-1,FALSE)=0,"",VLOOKUP($A95,貼り付け用!$A$1:$BA$300,COLUMN()-1,FALSE)),"")</f>
        <v>#N/A</v>
      </c>
      <c r="W95" s="3" t="e">
        <f>IF(A95&lt;&gt;"",
IF(VLOOKUP($A95,貼り付け用!$A$1:$BA$300,COLUMN()-1,FALSE)=0,"",VLOOKUP($A95,貼り付け用!$A$1:$BA$300,COLUMN()-1,FALSE)),"")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19" t="e">
        <f>IF(A96&lt;&gt;"",
IF(VLOOKUP($A96,貼り付け用!$A$1:$BA$300,COLUMN()-1,FALSE)=0,"",VLOOKUP($A96,貼り付け用!$A$1:$BA$300,COLUMN()-1,FALSE)),"")</f>
        <v>#N/A</v>
      </c>
      <c r="W96" s="19" t="e">
        <f>IF(A96&lt;&gt;"",
IF(VLOOKUP($A96,貼り付け用!$A$1:$BA$300,COLUMN()-1,FALSE)=0,"",VLOOKUP($A96,貼り付け用!$A$1:$BA$300,COLUMN()-1,FALSE)),"")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0"/>
      <c r="V97" s="3" t="e">
        <f>IF(A97&lt;&gt;"",
IF(VLOOKUP($A97,貼り付け用!$A$1:$BA$300,COLUMN()-1,FALSE)=0,"",VLOOKUP($A97,貼り付け用!$A$1:$BA$300,COLUMN()-1,FALSE)),"")</f>
        <v>#N/A</v>
      </c>
      <c r="W97" s="3" t="e">
        <f>IF(A97&lt;&gt;"",
IF(VLOOKUP($A97,貼り付け用!$A$1:$BA$300,COLUMN()-1,FALSE)=0,"",VLOOKUP($A97,貼り付け用!$A$1:$BA$300,COLUMN()-1,FALSE)),"")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19" t="e">
        <f>IF(A98&lt;&gt;"",
IF(VLOOKUP($A98,貼り付け用!$A$1:$BA$300,COLUMN()-1,FALSE)=0,"",VLOOKUP($A98,貼り付け用!$A$1:$BA$300,COLUMN()-1,FALSE)),"")</f>
        <v>#N/A</v>
      </c>
      <c r="W98" s="19" t="e">
        <f>IF(A98&lt;&gt;"",
IF(VLOOKUP($A98,貼り付け用!$A$1:$BA$300,COLUMN()-1,FALSE)=0,"",VLOOKUP($A98,貼り付け用!$A$1:$BA$300,COLUMN()-1,FALSE)),"")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0"/>
      <c r="V99" s="3" t="e">
        <f>IF(A99&lt;&gt;"",
IF(VLOOKUP($A99,貼り付け用!$A$1:$BA$300,COLUMN()-1,FALSE)=0,"",VLOOKUP($A99,貼り付け用!$A$1:$BA$300,COLUMN()-1,FALSE)),"")</f>
        <v>#N/A</v>
      </c>
      <c r="W99" s="3" t="e">
        <f>IF(A99&lt;&gt;"",
IF(VLOOKUP($A99,貼り付け用!$A$1:$BA$300,COLUMN()-1,FALSE)=0,"",VLOOKUP($A99,貼り付け用!$A$1:$BA$300,COLUMN()-1,FALSE)),"")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19" t="e">
        <f>IF(A100&lt;&gt;"",
IF(VLOOKUP($A100,貼り付け用!$A$1:$BA$300,COLUMN()-1,FALSE)=0,"",VLOOKUP($A100,貼り付け用!$A$1:$BA$300,COLUMN()-1,FALSE)),"")</f>
        <v>#N/A</v>
      </c>
      <c r="W100" s="19" t="e">
        <f>IF(A100&lt;&gt;"",
IF(VLOOKUP($A100,貼り付け用!$A$1:$BA$300,COLUMN()-1,FALSE)=0,"",VLOOKUP($A100,貼り付け用!$A$1:$BA$300,COLUMN()-1,FALSE)),"")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0"/>
      <c r="V101" s="3" t="e">
        <f>IF(A101&lt;&gt;"",
IF(VLOOKUP($A101,貼り付け用!$A$1:$BA$300,COLUMN()-1,FALSE)=0,"",VLOOKUP($A101,貼り付け用!$A$1:$BA$300,COLUMN()-1,FALSE)),"")</f>
        <v>#N/A</v>
      </c>
      <c r="W101" s="3" t="e">
        <f>IF(A101&lt;&gt;"",
IF(VLOOKUP($A101,貼り付け用!$A$1:$BA$300,COLUMN()-1,FALSE)=0,"",VLOOKUP($A101,貼り付け用!$A$1:$BA$300,COLUMN()-1,FALSE)),"")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19" t="e">
        <f>IF(A102&lt;&gt;"",
IF(VLOOKUP($A102,貼り付け用!$A$1:$BA$300,COLUMN()-1,FALSE)=0,"",VLOOKUP($A102,貼り付け用!$A$1:$BA$300,COLUMN()-1,FALSE)),"")</f>
        <v>#N/A</v>
      </c>
      <c r="W102" s="19" t="e">
        <f>IF(A102&lt;&gt;"",
IF(VLOOKUP($A102,貼り付け用!$A$1:$BA$300,COLUMN()-1,FALSE)=0,"",VLOOKUP($A102,貼り付け用!$A$1:$BA$300,COLUMN()-1,FALSE)),"")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0"/>
      <c r="V103" s="3" t="e">
        <f>IF(A103&lt;&gt;"",
IF(VLOOKUP($A103,貼り付け用!$A$1:$BA$300,COLUMN()-1,FALSE)=0,"",VLOOKUP($A103,貼り付け用!$A$1:$BA$300,COLUMN()-1,FALSE)),"")</f>
        <v>#N/A</v>
      </c>
      <c r="W103" s="3" t="e">
        <f>IF(A103&lt;&gt;"",
IF(VLOOKUP($A103,貼り付け用!$A$1:$BA$300,COLUMN()-1,FALSE)=0,"",VLOOKUP($A103,貼り付け用!$A$1:$BA$300,COLUMN()-1,FALSE)),"")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19" t="e">
        <f>IF(A104&lt;&gt;"",
IF(VLOOKUP($A104,貼り付け用!$A$1:$BA$300,COLUMN()-1,FALSE)=0,"",VLOOKUP($A104,貼り付け用!$A$1:$BA$300,COLUMN()-1,FALSE)),"")</f>
        <v>#N/A</v>
      </c>
      <c r="W104" s="19" t="e">
        <f>IF(A104&lt;&gt;"",
IF(VLOOKUP($A104,貼り付け用!$A$1:$BA$300,COLUMN()-1,FALSE)=0,"",VLOOKUP($A104,貼り付け用!$A$1:$BA$300,COLUMN()-1,FALSE)),"")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0"/>
      <c r="V105" s="3" t="e">
        <f>IF(A105&lt;&gt;"",
IF(VLOOKUP($A105,貼り付け用!$A$1:$BA$300,COLUMN()-1,FALSE)=0,"",VLOOKUP($A105,貼り付け用!$A$1:$BA$300,COLUMN()-1,FALSE)),"")</f>
        <v>#N/A</v>
      </c>
      <c r="W105" s="3" t="e">
        <f>IF(A105&lt;&gt;"",
IF(VLOOKUP($A105,貼り付け用!$A$1:$BA$300,COLUMN()-1,FALSE)=0,"",VLOOKUP($A105,貼り付け用!$A$1:$BA$300,COLUMN()-1,FALSE)),"")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19" t="e">
        <f>IF(A106&lt;&gt;"",
IF(VLOOKUP($A106,貼り付け用!$A$1:$BA$300,COLUMN()-1,FALSE)=0,"",VLOOKUP($A106,貼り付け用!$A$1:$BA$300,COLUMN()-1,FALSE)),"")</f>
        <v>#N/A</v>
      </c>
      <c r="W106" s="19" t="e">
        <f>IF(A106&lt;&gt;"",
IF(VLOOKUP($A106,貼り付け用!$A$1:$BA$300,COLUMN()-1,FALSE)=0,"",VLOOKUP($A106,貼り付け用!$A$1:$BA$300,COLUMN()-1,FALSE)),"")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0"/>
      <c r="V107" s="3" t="e">
        <f>IF(A107&lt;&gt;"",
IF(VLOOKUP($A107,貼り付け用!$A$1:$BA$300,COLUMN()-1,FALSE)=0,"",VLOOKUP($A107,貼り付け用!$A$1:$BA$300,COLUMN()-1,FALSE)),"")</f>
        <v>#N/A</v>
      </c>
      <c r="W107" s="3" t="e">
        <f>IF(A107&lt;&gt;"",
IF(VLOOKUP($A107,貼り付け用!$A$1:$BA$300,COLUMN()-1,FALSE)=0,"",VLOOKUP($A107,貼り付け用!$A$1:$BA$300,COLUMN()-1,FALSE)),"")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19" t="e">
        <f>IF(A108&lt;&gt;"",
IF(VLOOKUP($A108,貼り付け用!$A$1:$BA$300,COLUMN()-1,FALSE)=0,"",VLOOKUP($A108,貼り付け用!$A$1:$BA$300,COLUMN()-1,FALSE)),"")</f>
        <v>#N/A</v>
      </c>
      <c r="W108" s="19" t="e">
        <f>IF(A108&lt;&gt;"",
IF(VLOOKUP($A108,貼り付け用!$A$1:$BA$300,COLUMN()-1,FALSE)=0,"",VLOOKUP($A108,貼り付け用!$A$1:$BA$300,COLUMN()-1,FALSE)),"")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0"/>
      <c r="V109" s="3" t="e">
        <f>IF(A109&lt;&gt;"",
IF(VLOOKUP($A109,貼り付け用!$A$1:$BA$300,COLUMN()-1,FALSE)=0,"",VLOOKUP($A109,貼り付け用!$A$1:$BA$300,COLUMN()-1,FALSE)),"")</f>
        <v>#N/A</v>
      </c>
      <c r="W109" s="3" t="e">
        <f>IF(A109&lt;&gt;"",
IF(VLOOKUP($A109,貼り付け用!$A$1:$BA$300,COLUMN()-1,FALSE)=0,"",VLOOKUP($A109,貼り付け用!$A$1:$BA$300,COLUMN()-1,FALSE)),"")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19" t="e">
        <f>IF(A110&lt;&gt;"",
IF(VLOOKUP($A110,貼り付け用!$A$1:$BA$300,COLUMN()-1,FALSE)=0,"",VLOOKUP($A110,貼り付け用!$A$1:$BA$300,COLUMN()-1,FALSE)),"")</f>
        <v>#N/A</v>
      </c>
      <c r="W110" s="19" t="e">
        <f>IF(A110&lt;&gt;"",
IF(VLOOKUP($A110,貼り付け用!$A$1:$BA$300,COLUMN()-1,FALSE)=0,"",VLOOKUP($A110,貼り付け用!$A$1:$BA$300,COLUMN()-1,FALSE)),"")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0"/>
      <c r="V111" s="3" t="e">
        <f>IF(A111&lt;&gt;"",
IF(VLOOKUP($A111,貼り付け用!$A$1:$BA$300,COLUMN()-1,FALSE)=0,"",VLOOKUP($A111,貼り付け用!$A$1:$BA$300,COLUMN()-1,FALSE)),"")</f>
        <v>#N/A</v>
      </c>
      <c r="W111" s="3" t="e">
        <f>IF(A111&lt;&gt;"",
IF(VLOOKUP($A111,貼り付け用!$A$1:$BA$300,COLUMN()-1,FALSE)=0,"",VLOOKUP($A111,貼り付け用!$A$1:$BA$300,COLUMN()-1,FALSE)),"")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19" t="e">
        <f>IF(A112&lt;&gt;"",
IF(VLOOKUP($A112,貼り付け用!$A$1:$BA$300,COLUMN()-1,FALSE)=0,"",VLOOKUP($A112,貼り付け用!$A$1:$BA$300,COLUMN()-1,FALSE)),"")</f>
        <v>#N/A</v>
      </c>
      <c r="W112" s="19" t="e">
        <f>IF(A112&lt;&gt;"",
IF(VLOOKUP($A112,貼り付け用!$A$1:$BA$300,COLUMN()-1,FALSE)=0,"",VLOOKUP($A112,貼り付け用!$A$1:$BA$300,COLUMN()-1,FALSE)),"")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0"/>
      <c r="V113" s="3" t="e">
        <f>IF(A113&lt;&gt;"",
IF(VLOOKUP($A113,貼り付け用!$A$1:$BA$300,COLUMN()-1,FALSE)=0,"",VLOOKUP($A113,貼り付け用!$A$1:$BA$300,COLUMN()-1,FALSE)),"")</f>
        <v>#N/A</v>
      </c>
      <c r="W113" s="3" t="e">
        <f>IF(A113&lt;&gt;"",
IF(VLOOKUP($A113,貼り付け用!$A$1:$BA$300,COLUMN()-1,FALSE)=0,"",VLOOKUP($A113,貼り付け用!$A$1:$BA$300,COLUMN()-1,FALSE)),"")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19" t="e">
        <f>IF(A114&lt;&gt;"",
IF(VLOOKUP($A114,貼り付け用!$A$1:$BA$300,COLUMN()-1,FALSE)=0,"",VLOOKUP($A114,貼り付け用!$A$1:$BA$300,COLUMN()-1,FALSE)),"")</f>
        <v>#N/A</v>
      </c>
      <c r="W114" s="19" t="e">
        <f>IF(A114&lt;&gt;"",
IF(VLOOKUP($A114,貼り付け用!$A$1:$BA$300,COLUMN()-1,FALSE)=0,"",VLOOKUP($A114,貼り付け用!$A$1:$BA$300,COLUMN()-1,FALSE)),"")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0"/>
      <c r="V115" s="3" t="e">
        <f>IF(A115&lt;&gt;"",
IF(VLOOKUP($A115,貼り付け用!$A$1:$BA$300,COLUMN()-1,FALSE)=0,"",VLOOKUP($A115,貼り付け用!$A$1:$BA$300,COLUMN()-1,FALSE)),"")</f>
        <v>#N/A</v>
      </c>
      <c r="W115" s="3" t="e">
        <f>IF(A115&lt;&gt;"",
IF(VLOOKUP($A115,貼り付け用!$A$1:$BA$300,COLUMN()-1,FALSE)=0,"",VLOOKUP($A115,貼り付け用!$A$1:$BA$300,COLUMN()-1,FALSE)),"")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19" t="e">
        <f>IF(A116&lt;&gt;"",
IF(VLOOKUP($A116,貼り付け用!$A$1:$BA$300,COLUMN()-1,FALSE)=0,"",VLOOKUP($A116,貼り付け用!$A$1:$BA$300,COLUMN()-1,FALSE)),"")</f>
        <v>#N/A</v>
      </c>
      <c r="W116" s="19" t="e">
        <f>IF(A116&lt;&gt;"",
IF(VLOOKUP($A116,貼り付け用!$A$1:$BA$300,COLUMN()-1,FALSE)=0,"",VLOOKUP($A116,貼り付け用!$A$1:$BA$300,COLUMN()-1,FALSE)),"")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0"/>
      <c r="V117" s="3" t="e">
        <f>IF(A117&lt;&gt;"",
IF(VLOOKUP($A117,貼り付け用!$A$1:$BA$300,COLUMN()-1,FALSE)=0,"",VLOOKUP($A117,貼り付け用!$A$1:$BA$300,COLUMN()-1,FALSE)),"")</f>
        <v>#N/A</v>
      </c>
      <c r="W117" s="3" t="e">
        <f>IF(A117&lt;&gt;"",
IF(VLOOKUP($A117,貼り付け用!$A$1:$BA$300,COLUMN()-1,FALSE)=0,"",VLOOKUP($A117,貼り付け用!$A$1:$BA$300,COLUMN()-1,FALSE)),"")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19" t="e">
        <f>IF(A118&lt;&gt;"",
IF(VLOOKUP($A118,貼り付け用!$A$1:$BA$300,COLUMN()-1,FALSE)=0,"",VLOOKUP($A118,貼り付け用!$A$1:$BA$300,COLUMN()-1,FALSE)),"")</f>
        <v>#N/A</v>
      </c>
      <c r="W118" s="19" t="e">
        <f>IF(A118&lt;&gt;"",
IF(VLOOKUP($A118,貼り付け用!$A$1:$BA$300,COLUMN()-1,FALSE)=0,"",VLOOKUP($A118,貼り付け用!$A$1:$BA$300,COLUMN()-1,FALSE)),"")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0"/>
      <c r="V119" s="3" t="e">
        <f>IF(A119&lt;&gt;"",
IF(VLOOKUP($A119,貼り付け用!$A$1:$BA$300,COLUMN()-1,FALSE)=0,"",VLOOKUP($A119,貼り付け用!$A$1:$BA$300,COLUMN()-1,FALSE)),"")</f>
        <v>#N/A</v>
      </c>
      <c r="W119" s="3" t="e">
        <f>IF(A119&lt;&gt;"",
IF(VLOOKUP($A119,貼り付け用!$A$1:$BA$300,COLUMN()-1,FALSE)=0,"",VLOOKUP($A119,貼り付け用!$A$1:$BA$300,COLUMN()-1,FALSE)),"")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19" t="e">
        <f>IF(A120&lt;&gt;"",
IF(VLOOKUP($A120,貼り付け用!$A$1:$BA$300,COLUMN()-1,FALSE)=0,"",VLOOKUP($A120,貼り付け用!$A$1:$BA$300,COLUMN()-1,FALSE)),"")</f>
        <v>#N/A</v>
      </c>
      <c r="W120" s="19" t="e">
        <f>IF(A120&lt;&gt;"",
IF(VLOOKUP($A120,貼り付け用!$A$1:$BA$300,COLUMN()-1,FALSE)=0,"",VLOOKUP($A120,貼り付け用!$A$1:$BA$300,COLUMN()-1,FALSE)),"")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0"/>
      <c r="V121" s="3" t="e">
        <f>IF(A121&lt;&gt;"",
IF(VLOOKUP($A121,貼り付け用!$A$1:$BA$300,COLUMN()-1,FALSE)=0,"",VLOOKUP($A121,貼り付け用!$A$1:$BA$300,COLUMN()-1,FALSE)),"")</f>
        <v>#N/A</v>
      </c>
      <c r="W121" s="3" t="e">
        <f>IF(A121&lt;&gt;"",
IF(VLOOKUP($A121,貼り付け用!$A$1:$BA$300,COLUMN()-1,FALSE)=0,"",VLOOKUP($A121,貼り付け用!$A$1:$BA$300,COLUMN()-1,FALSE)),"")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19" t="e">
        <f>IF(A122&lt;&gt;"",
IF(VLOOKUP($A122,貼り付け用!$A$1:$BA$300,COLUMN()-1,FALSE)=0,"",VLOOKUP($A122,貼り付け用!$A$1:$BA$300,COLUMN()-1,FALSE)),"")</f>
        <v>#N/A</v>
      </c>
      <c r="W122" s="19" t="e">
        <f>IF(A122&lt;&gt;"",
IF(VLOOKUP($A122,貼り付け用!$A$1:$BA$300,COLUMN()-1,FALSE)=0,"",VLOOKUP($A122,貼り付け用!$A$1:$BA$300,COLUMN()-1,FALSE)),"")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0"/>
      <c r="V123" s="3" t="e">
        <f>IF(A123&lt;&gt;"",
IF(VLOOKUP($A123,貼り付け用!$A$1:$BA$300,COLUMN()-1,FALSE)=0,"",VLOOKUP($A123,貼り付け用!$A$1:$BA$300,COLUMN()-1,FALSE)),"")</f>
        <v>#N/A</v>
      </c>
      <c r="W123" s="3" t="e">
        <f>IF(A123&lt;&gt;"",
IF(VLOOKUP($A123,貼り付け用!$A$1:$BA$300,COLUMN()-1,FALSE)=0,"",VLOOKUP($A123,貼り付け用!$A$1:$BA$300,COLUMN()-1,FALSE)),"")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19" t="e">
        <f>IF(A124&lt;&gt;"",
IF(VLOOKUP($A124,貼り付け用!$A$1:$BA$300,COLUMN()-1,FALSE)=0,"",VLOOKUP($A124,貼り付け用!$A$1:$BA$300,COLUMN()-1,FALSE)),"")</f>
        <v>#N/A</v>
      </c>
      <c r="W124" s="19" t="e">
        <f>IF(A124&lt;&gt;"",
IF(VLOOKUP($A124,貼り付け用!$A$1:$BA$300,COLUMN()-1,FALSE)=0,"",VLOOKUP($A124,貼り付け用!$A$1:$BA$300,COLUMN()-1,FALSE)),"")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0"/>
      <c r="V125" s="3" t="e">
        <f>IF(A125&lt;&gt;"",
IF(VLOOKUP($A125,貼り付け用!$A$1:$BA$300,COLUMN()-1,FALSE)=0,"",VLOOKUP($A125,貼り付け用!$A$1:$BA$300,COLUMN()-1,FALSE)),"")</f>
        <v>#N/A</v>
      </c>
      <c r="W125" s="3" t="e">
        <f>IF(A125&lt;&gt;"",
IF(VLOOKUP($A125,貼り付け用!$A$1:$BA$300,COLUMN()-1,FALSE)=0,"",VLOOKUP($A125,貼り付け用!$A$1:$BA$300,COLUMN()-1,FALSE)),"")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19" t="e">
        <f>IF(A126&lt;&gt;"",
IF(VLOOKUP($A126,貼り付け用!$A$1:$BA$300,COLUMN()-1,FALSE)=0,"",VLOOKUP($A126,貼り付け用!$A$1:$BA$300,COLUMN()-1,FALSE)),"")</f>
        <v>#N/A</v>
      </c>
      <c r="W126" s="19" t="e">
        <f>IF(A126&lt;&gt;"",
IF(VLOOKUP($A126,貼り付け用!$A$1:$BA$300,COLUMN()-1,FALSE)=0,"",VLOOKUP($A126,貼り付け用!$A$1:$BA$300,COLUMN()-1,FALSE)),"")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0"/>
      <c r="V127" s="3" t="e">
        <f>IF(A127&lt;&gt;"",
IF(VLOOKUP($A127,貼り付け用!$A$1:$BA$300,COLUMN()-1,FALSE)=0,"",VLOOKUP($A127,貼り付け用!$A$1:$BA$300,COLUMN()-1,FALSE)),"")</f>
        <v>#N/A</v>
      </c>
      <c r="W127" s="3" t="e">
        <f>IF(A127&lt;&gt;"",
IF(VLOOKUP($A127,貼り付け用!$A$1:$BA$300,COLUMN()-1,FALSE)=0,"",VLOOKUP($A127,貼り付け用!$A$1:$BA$300,COLUMN()-1,FALSE)),"")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19" t="e">
        <f>IF(A128&lt;&gt;"",
IF(VLOOKUP($A128,貼り付け用!$A$1:$BA$300,COLUMN()-1,FALSE)=0,"",VLOOKUP($A128,貼り付け用!$A$1:$BA$300,COLUMN()-1,FALSE)),"")</f>
        <v>#N/A</v>
      </c>
      <c r="W128" s="19" t="e">
        <f>IF(A128&lt;&gt;"",
IF(VLOOKUP($A128,貼り付け用!$A$1:$BA$300,COLUMN()-1,FALSE)=0,"",VLOOKUP($A128,貼り付け用!$A$1:$BA$300,COLUMN()-1,FALSE)),"")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0"/>
      <c r="V129" s="3" t="e">
        <f>IF(A129&lt;&gt;"",
IF(VLOOKUP($A129,貼り付け用!$A$1:$BA$300,COLUMN()-1,FALSE)=0,"",VLOOKUP($A129,貼り付け用!$A$1:$BA$300,COLUMN()-1,FALSE)),"")</f>
        <v>#N/A</v>
      </c>
      <c r="W129" s="3" t="e">
        <f>IF(A129&lt;&gt;"",
IF(VLOOKUP($A129,貼り付け用!$A$1:$BA$300,COLUMN()-1,FALSE)=0,"",VLOOKUP($A129,貼り付け用!$A$1:$BA$300,COLUMN()-1,FALSE)),"")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19" t="e">
        <f>IF(A130&lt;&gt;"",
IF(VLOOKUP($A130,貼り付け用!$A$1:$BA$300,COLUMN()-1,FALSE)=0,"",VLOOKUP($A130,貼り付け用!$A$1:$BA$300,COLUMN()-1,FALSE)),"")</f>
        <v>#N/A</v>
      </c>
      <c r="W130" s="19" t="e">
        <f>IF(A130&lt;&gt;"",
IF(VLOOKUP($A130,貼り付け用!$A$1:$BA$300,COLUMN()-1,FALSE)=0,"",VLOOKUP($A130,貼り付け用!$A$1:$BA$300,COLUMN()-1,FALSE)),"")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0"/>
      <c r="V131" s="3" t="e">
        <f>IF(A131&lt;&gt;"",
IF(VLOOKUP($A131,貼り付け用!$A$1:$BA$300,COLUMN()-1,FALSE)=0,"",VLOOKUP($A131,貼り付け用!$A$1:$BA$300,COLUMN()-1,FALSE)),"")</f>
        <v>#N/A</v>
      </c>
      <c r="W131" s="3" t="e">
        <f>IF(A131&lt;&gt;"",
IF(VLOOKUP($A131,貼り付け用!$A$1:$BA$300,COLUMN()-1,FALSE)=0,"",VLOOKUP($A131,貼り付け用!$A$1:$BA$300,COLUMN()-1,FALSE)),"")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19" t="e">
        <f>IF(A132&lt;&gt;"",
IF(VLOOKUP($A132,貼り付け用!$A$1:$BA$300,COLUMN()-1,FALSE)=0,"",VLOOKUP($A132,貼り付け用!$A$1:$BA$300,COLUMN()-1,FALSE)),"")</f>
        <v>#N/A</v>
      </c>
      <c r="W132" s="19" t="e">
        <f>IF(A132&lt;&gt;"",
IF(VLOOKUP($A132,貼り付け用!$A$1:$BA$300,COLUMN()-1,FALSE)=0,"",VLOOKUP($A132,貼り付け用!$A$1:$BA$300,COLUMN()-1,FALSE)),"")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0"/>
      <c r="V133" s="3" t="e">
        <f>IF(A133&lt;&gt;"",
IF(VLOOKUP($A133,貼り付け用!$A$1:$BA$300,COLUMN()-1,FALSE)=0,"",VLOOKUP($A133,貼り付け用!$A$1:$BA$300,COLUMN()-1,FALSE)),"")</f>
        <v>#N/A</v>
      </c>
      <c r="W133" s="3" t="e">
        <f>IF(A133&lt;&gt;"",
IF(VLOOKUP($A133,貼り付け用!$A$1:$BA$300,COLUMN()-1,FALSE)=0,"",VLOOKUP($A133,貼り付け用!$A$1:$BA$300,COLUMN()-1,FALSE)),"")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19" t="e">
        <f>IF(A134&lt;&gt;"",
IF(VLOOKUP($A134,貼り付け用!$A$1:$BA$300,COLUMN()-1,FALSE)=0,"",VLOOKUP($A134,貼り付け用!$A$1:$BA$300,COLUMN()-1,FALSE)),"")</f>
        <v>#N/A</v>
      </c>
      <c r="W134" s="19" t="e">
        <f>IF(A134&lt;&gt;"",
IF(VLOOKUP($A134,貼り付け用!$A$1:$BA$300,COLUMN()-1,FALSE)=0,"",VLOOKUP($A134,貼り付け用!$A$1:$BA$300,COLUMN()-1,FALSE)),"")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0"/>
      <c r="V135" s="3" t="e">
        <f>IF(A135&lt;&gt;"",
IF(VLOOKUP($A135,貼り付け用!$A$1:$BA$300,COLUMN()-1,FALSE)=0,"",VLOOKUP($A135,貼り付け用!$A$1:$BA$300,COLUMN()-1,FALSE)),"")</f>
        <v>#N/A</v>
      </c>
      <c r="W135" s="3" t="e">
        <f>IF(A135&lt;&gt;"",
IF(VLOOKUP($A135,貼り付け用!$A$1:$BA$300,COLUMN()-1,FALSE)=0,"",VLOOKUP($A135,貼り付け用!$A$1:$BA$300,COLUMN()-1,FALSE)),"")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19" t="e">
        <f>IF(A136&lt;&gt;"",
IF(VLOOKUP($A136,貼り付け用!$A$1:$BA$300,COLUMN()-1,FALSE)=0,"",VLOOKUP($A136,貼り付け用!$A$1:$BA$300,COLUMN()-1,FALSE)),"")</f>
        <v>#N/A</v>
      </c>
      <c r="W136" s="19" t="e">
        <f>IF(A136&lt;&gt;"",
IF(VLOOKUP($A136,貼り付け用!$A$1:$BA$300,COLUMN()-1,FALSE)=0,"",VLOOKUP($A136,貼り付け用!$A$1:$BA$300,COLUMN()-1,FALSE)),"")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0"/>
      <c r="V137" s="3" t="e">
        <f>IF(A137&lt;&gt;"",
IF(VLOOKUP($A137,貼り付け用!$A$1:$BA$300,COLUMN()-1,FALSE)=0,"",VLOOKUP($A137,貼り付け用!$A$1:$BA$300,COLUMN()-1,FALSE)),"")</f>
        <v>#N/A</v>
      </c>
      <c r="W137" s="3" t="e">
        <f>IF(A137&lt;&gt;"",
IF(VLOOKUP($A137,貼り付け用!$A$1:$BA$300,COLUMN()-1,FALSE)=0,"",VLOOKUP($A137,貼り付け用!$A$1:$BA$300,COLUMN()-1,FALSE)),"")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19" t="e">
        <f>IF(A138&lt;&gt;"",
IF(VLOOKUP($A138,貼り付け用!$A$1:$BA$300,COLUMN()-1,FALSE)=0,"",VLOOKUP($A138,貼り付け用!$A$1:$BA$300,COLUMN()-1,FALSE)),"")</f>
        <v>#N/A</v>
      </c>
      <c r="W138" s="19" t="e">
        <f>IF(A138&lt;&gt;"",
IF(VLOOKUP($A138,貼り付け用!$A$1:$BA$300,COLUMN()-1,FALSE)=0,"",VLOOKUP($A138,貼り付け用!$A$1:$BA$300,COLUMN()-1,FALSE)),"")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0"/>
      <c r="V139" s="3" t="e">
        <f>IF(A139&lt;&gt;"",
IF(VLOOKUP($A139,貼り付け用!$A$1:$BA$300,COLUMN()-1,FALSE)=0,"",VLOOKUP($A139,貼り付け用!$A$1:$BA$300,COLUMN()-1,FALSE)),"")</f>
        <v>#N/A</v>
      </c>
      <c r="W139" s="3" t="e">
        <f>IF(A139&lt;&gt;"",
IF(VLOOKUP($A139,貼り付け用!$A$1:$BA$300,COLUMN()-1,FALSE)=0,"",VLOOKUP($A139,貼り付け用!$A$1:$BA$300,COLUMN()-1,FALSE)),"")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19" t="e">
        <f>IF(A140&lt;&gt;"",
IF(VLOOKUP($A140,貼り付け用!$A$1:$BA$300,COLUMN()-1,FALSE)=0,"",VLOOKUP($A140,貼り付け用!$A$1:$BA$300,COLUMN()-1,FALSE)),"")</f>
        <v>#N/A</v>
      </c>
      <c r="W140" s="19" t="e">
        <f>IF(A140&lt;&gt;"",
IF(VLOOKUP($A140,貼り付け用!$A$1:$BA$300,COLUMN()-1,FALSE)=0,"",VLOOKUP($A140,貼り付け用!$A$1:$BA$300,COLUMN()-1,FALSE)),"")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0"/>
      <c r="V141" s="3" t="e">
        <f>IF(A141&lt;&gt;"",
IF(VLOOKUP($A141,貼り付け用!$A$1:$BA$300,COLUMN()-1,FALSE)=0,"",VLOOKUP($A141,貼り付け用!$A$1:$BA$300,COLUMN()-1,FALSE)),"")</f>
        <v>#N/A</v>
      </c>
      <c r="W141" s="3" t="e">
        <f>IF(A141&lt;&gt;"",
IF(VLOOKUP($A141,貼り付け用!$A$1:$BA$300,COLUMN()-1,FALSE)=0,"",VLOOKUP($A141,貼り付け用!$A$1:$BA$300,COLUMN()-1,FALSE)),"")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19" t="e">
        <f>IF(A142&lt;&gt;"",
IF(VLOOKUP($A142,貼り付け用!$A$1:$BA$300,COLUMN()-1,FALSE)=0,"",VLOOKUP($A142,貼り付け用!$A$1:$BA$300,COLUMN()-1,FALSE)),"")</f>
        <v>#N/A</v>
      </c>
      <c r="W142" s="19" t="e">
        <f>IF(A142&lt;&gt;"",
IF(VLOOKUP($A142,貼り付け用!$A$1:$BA$300,COLUMN()-1,FALSE)=0,"",VLOOKUP($A142,貼り付け用!$A$1:$BA$300,COLUMN()-1,FALSE)),"")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0"/>
      <c r="V143" s="3" t="e">
        <f>IF(A143&lt;&gt;"",
IF(VLOOKUP($A143,貼り付け用!$A$1:$BA$300,COLUMN()-1,FALSE)=0,"",VLOOKUP($A143,貼り付け用!$A$1:$BA$300,COLUMN()-1,FALSE)),"")</f>
        <v>#N/A</v>
      </c>
      <c r="W143" s="3" t="e">
        <f>IF(A143&lt;&gt;"",
IF(VLOOKUP($A143,貼り付け用!$A$1:$BA$300,COLUMN()-1,FALSE)=0,"",VLOOKUP($A143,貼り付け用!$A$1:$BA$300,COLUMN()-1,FALSE)),"")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19" t="e">
        <f>IF(A144&lt;&gt;"",
IF(VLOOKUP($A144,貼り付け用!$A$1:$BA$300,COLUMN()-1,FALSE)=0,"",VLOOKUP($A144,貼り付け用!$A$1:$BA$300,COLUMN()-1,FALSE)),"")</f>
        <v>#N/A</v>
      </c>
      <c r="W144" s="19" t="e">
        <f>IF(A144&lt;&gt;"",
IF(VLOOKUP($A144,貼り付け用!$A$1:$BA$300,COLUMN()-1,FALSE)=0,"",VLOOKUP($A144,貼り付け用!$A$1:$BA$300,COLUMN()-1,FALSE)),"")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0"/>
      <c r="V145" s="3" t="e">
        <f>IF(A145&lt;&gt;"",
IF(VLOOKUP($A145,貼り付け用!$A$1:$BA$300,COLUMN()-1,FALSE)=0,"",VLOOKUP($A145,貼り付け用!$A$1:$BA$300,COLUMN()-1,FALSE)),"")</f>
        <v>#N/A</v>
      </c>
      <c r="W145" s="3" t="e">
        <f>IF(A145&lt;&gt;"",
IF(VLOOKUP($A145,貼り付け用!$A$1:$BA$300,COLUMN()-1,FALSE)=0,"",VLOOKUP($A145,貼り付け用!$A$1:$BA$300,COLUMN()-1,FALSE)),"")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8" x14ac:dyDescent="0.45"/>
  <cols>
    <col min="1" max="1" width="26.69921875" style="60" customWidth="1"/>
    <col min="2" max="2" width="8.796875" style="59" customWidth="1"/>
    <col min="3" max="3" width="3.59765625" style="59" customWidth="1"/>
    <col min="4" max="4" width="8.796875" style="59" customWidth="1"/>
    <col min="5" max="5" width="3.59765625" style="59" customWidth="1"/>
    <col min="6" max="6" width="8.796875" style="141" customWidth="1"/>
    <col min="7" max="7" width="3.59765625" style="59" customWidth="1"/>
    <col min="8" max="8" width="8.796875" style="59" customWidth="1"/>
    <col min="9" max="9" width="3.59765625" style="59" customWidth="1"/>
    <col min="10" max="10" width="8.796875" style="59" customWidth="1"/>
    <col min="11" max="11" width="3.59765625" style="59" customWidth="1"/>
    <col min="12" max="12" width="8.796875" style="141" customWidth="1"/>
    <col min="13" max="13" width="3.59765625" style="59" customWidth="1"/>
    <col min="14" max="14" width="8.796875" style="59" customWidth="1"/>
    <col min="15" max="15" width="3.59765625" style="59" customWidth="1"/>
    <col min="16" max="16" width="8.796875" style="59" customWidth="1"/>
    <col min="17" max="17" width="3.59765625" style="59" customWidth="1"/>
    <col min="18" max="18" width="8.796875" style="59" customWidth="1"/>
    <col min="19" max="19" width="3.59765625" style="59" customWidth="1"/>
    <col min="20" max="20" width="8.796875" style="59" customWidth="1"/>
    <col min="21" max="21" width="3.59765625" style="59" customWidth="1"/>
    <col min="22" max="22" width="11.3984375" style="152" customWidth="1"/>
    <col min="23" max="23" width="3.59765625" style="59" customWidth="1"/>
    <col min="24" max="24" width="11.3984375" style="152" customWidth="1"/>
    <col min="25" max="25" width="3.59765625" style="59" customWidth="1"/>
    <col min="26" max="26" width="11.3984375" style="152" customWidth="1"/>
    <col min="27" max="27" width="3.59765625" style="59" customWidth="1"/>
    <col min="28" max="28" width="11.3984375" style="152" customWidth="1"/>
    <col min="29" max="29" width="3.59765625" style="159" customWidth="1"/>
    <col min="30" max="30" width="11.3984375" style="61" customWidth="1"/>
    <col min="31" max="31" width="3.59765625" style="59" customWidth="1"/>
    <col min="32" max="32" width="11.3984375" style="152" customWidth="1"/>
    <col min="33" max="33" width="3.59765625" style="159" customWidth="1"/>
    <col min="34" max="34" width="11.3984375" style="61" customWidth="1"/>
    <col min="35" max="35" width="3.59765625" style="59" customWidth="1"/>
    <col min="36" max="36" width="11.3984375" style="152" customWidth="1"/>
    <col min="37" max="37" width="3.59765625" style="159" customWidth="1"/>
    <col min="38" max="38" width="11.3984375" style="181" customWidth="1"/>
    <col min="39" max="39" width="32.796875" style="60" customWidth="1"/>
    <col min="40" max="40" width="27.69921875" style="60" customWidth="1"/>
  </cols>
  <sheetData>
    <row r="1" spans="1:40" x14ac:dyDescent="0.45">
      <c r="A1"/>
      <c r="V1" s="141"/>
      <c r="X1" s="141"/>
      <c r="Z1" s="141"/>
      <c r="AB1" s="141"/>
      <c r="AD1" s="59"/>
      <c r="AF1" s="141"/>
      <c r="AH1" s="59"/>
      <c r="AJ1" s="141"/>
      <c r="AK1" s="168"/>
      <c r="AL1" s="173"/>
      <c r="AM1" s="169" t="s">
        <v>16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42"/>
      <c r="G2" s="45"/>
      <c r="H2" s="15"/>
      <c r="I2" s="45"/>
      <c r="J2" s="15"/>
      <c r="K2" s="45"/>
      <c r="L2" s="142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149"/>
      <c r="W2" s="45"/>
      <c r="X2" s="149" t="s">
        <v>0</v>
      </c>
      <c r="Y2" s="45"/>
      <c r="Z2" s="142"/>
      <c r="AA2" s="45"/>
      <c r="AB2" s="141" t="s">
        <v>2</v>
      </c>
      <c r="AC2" s="160"/>
      <c r="AD2" s="59"/>
      <c r="AE2" s="45"/>
      <c r="AF2" s="141"/>
      <c r="AG2" s="160"/>
      <c r="AI2" s="45"/>
      <c r="AJ2" s="141"/>
      <c r="AK2" s="160"/>
      <c r="AL2" s="17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6" customFormat="1" ht="13.2" customHeight="1" x14ac:dyDescent="0.45">
      <c r="A3" s="86"/>
      <c r="B3" s="87" t="s">
        <v>14</v>
      </c>
      <c r="C3" s="88"/>
      <c r="D3" s="89" t="s">
        <v>14</v>
      </c>
      <c r="E3" s="139"/>
      <c r="F3" s="143" t="s">
        <v>15</v>
      </c>
      <c r="G3" s="88"/>
      <c r="H3" s="90" t="s">
        <v>15</v>
      </c>
      <c r="I3" s="88"/>
      <c r="J3" s="91" t="s">
        <v>15</v>
      </c>
      <c r="K3" s="139"/>
      <c r="L3" s="143" t="s">
        <v>4</v>
      </c>
      <c r="M3" s="88"/>
      <c r="N3" s="92" t="s">
        <v>4</v>
      </c>
      <c r="O3" s="88"/>
      <c r="P3" s="93" t="s">
        <v>4</v>
      </c>
      <c r="Q3" s="88"/>
      <c r="R3" s="92" t="s">
        <v>4</v>
      </c>
      <c r="S3" s="88"/>
      <c r="T3" s="91" t="s">
        <v>4</v>
      </c>
      <c r="U3" s="139"/>
      <c r="V3" s="150" t="str">
        <f>数出表_Excel!L3</f>
        <v>商品予定名</v>
      </c>
      <c r="W3" s="139"/>
      <c r="X3" s="150" t="str">
        <f ca="1">数出表_Excel!M3</f>
        <v/>
      </c>
      <c r="Y3" s="139"/>
      <c r="Z3" s="150" t="str">
        <f ca="1">数出表_Excel!N3</f>
        <v/>
      </c>
      <c r="AA3" s="139"/>
      <c r="AB3" s="150" t="str">
        <f ca="1">数出表_Excel!O3</f>
        <v/>
      </c>
      <c r="AC3" s="161"/>
      <c r="AD3" s="153" t="str">
        <f ca="1">数出表_Excel!P3</f>
        <v/>
      </c>
      <c r="AE3" s="139"/>
      <c r="AF3" s="150" t="str">
        <f ca="1">数出表_Excel!Q3</f>
        <v/>
      </c>
      <c r="AG3" s="161"/>
      <c r="AH3" s="153" t="str">
        <f ca="1">数出表_Excel!R3</f>
        <v/>
      </c>
      <c r="AI3" s="139"/>
      <c r="AJ3" s="150" t="str">
        <f ca="1">数出表_Excel!S3</f>
        <v/>
      </c>
      <c r="AK3" s="161"/>
      <c r="AL3" s="175" t="s">
        <v>7</v>
      </c>
      <c r="AM3" s="94"/>
      <c r="AN3" s="95"/>
    </row>
    <row r="4" spans="1:40" s="96" customFormat="1" ht="13.2" customHeight="1" x14ac:dyDescent="0.45">
      <c r="A4" s="97" t="s">
        <v>581</v>
      </c>
      <c r="B4" s="98" t="s">
        <v>582</v>
      </c>
      <c r="C4" s="98"/>
      <c r="D4" s="98" t="s">
        <v>8</v>
      </c>
      <c r="E4" s="140"/>
      <c r="F4" s="144" t="s">
        <v>8</v>
      </c>
      <c r="G4" s="98"/>
      <c r="H4" s="98" t="s">
        <v>10</v>
      </c>
      <c r="I4" s="98"/>
      <c r="J4" s="98" t="s">
        <v>9</v>
      </c>
      <c r="K4" s="140"/>
      <c r="L4" s="144" t="s">
        <v>8</v>
      </c>
      <c r="M4" s="98"/>
      <c r="N4" s="98" t="s">
        <v>8</v>
      </c>
      <c r="O4" s="98"/>
      <c r="P4" s="98" t="s">
        <v>10</v>
      </c>
      <c r="Q4" s="98"/>
      <c r="R4" s="98" t="s">
        <v>10</v>
      </c>
      <c r="S4" s="98"/>
      <c r="T4" s="98" t="s">
        <v>9</v>
      </c>
      <c r="U4" s="140"/>
      <c r="V4" s="151"/>
      <c r="W4" s="140"/>
      <c r="X4" s="162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40"/>
      <c r="Z4" s="162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40"/>
      <c r="AB4" s="162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63"/>
      <c r="AD4" s="154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40"/>
      <c r="AF4" s="162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63"/>
      <c r="AH4" s="154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40"/>
      <c r="AJ4" s="162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63"/>
      <c r="AL4" s="176"/>
      <c r="AM4" s="170"/>
      <c r="AN4" s="99"/>
    </row>
    <row r="5" spans="1:40" s="96" customFormat="1" ht="13.2" customHeight="1" x14ac:dyDescent="0.45">
      <c r="A5" s="100"/>
      <c r="B5" s="98">
        <v>100</v>
      </c>
      <c r="C5" s="98"/>
      <c r="D5" s="98">
        <v>150</v>
      </c>
      <c r="E5" s="140"/>
      <c r="F5" s="144">
        <v>120</v>
      </c>
      <c r="G5" s="98"/>
      <c r="H5" s="98" t="s">
        <v>11</v>
      </c>
      <c r="I5" s="98"/>
      <c r="J5" s="98"/>
      <c r="K5" s="140"/>
      <c r="L5" s="144">
        <v>120</v>
      </c>
      <c r="M5" s="98"/>
      <c r="N5" s="98">
        <v>100</v>
      </c>
      <c r="O5" s="98"/>
      <c r="P5" s="98" t="s">
        <v>11</v>
      </c>
      <c r="Q5" s="98"/>
      <c r="R5" s="98" t="s">
        <v>12</v>
      </c>
      <c r="S5" s="98"/>
      <c r="T5" s="98"/>
      <c r="U5" s="140"/>
      <c r="V5" s="144"/>
      <c r="W5" s="140"/>
      <c r="X5" s="144"/>
      <c r="Y5" s="140"/>
      <c r="Z5" s="144"/>
      <c r="AA5" s="140"/>
      <c r="AB5" s="144"/>
      <c r="AC5" s="163"/>
      <c r="AD5" s="98"/>
      <c r="AE5" s="140"/>
      <c r="AF5" s="144"/>
      <c r="AG5" s="163"/>
      <c r="AH5" s="98"/>
      <c r="AI5" s="140"/>
      <c r="AJ5" s="144"/>
      <c r="AK5" s="163"/>
      <c r="AL5" s="175"/>
      <c r="AM5" s="170"/>
      <c r="AN5" s="99"/>
    </row>
    <row r="6" spans="1:40" x14ac:dyDescent="0.45">
      <c r="A6" s="5" t="e" cm="1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6" t="e">
        <f ca="1">IF(VLOOKUP($A6,貼り付け用!$A$1:$BA$300,COLUMN()/2+1,FALSE)=0,"",VLOOKUP($A6,貼り付け用!$A$1:$BA$300,COLUMN()/2+1,FALSE))</f>
        <v>#N/A</v>
      </c>
      <c r="C6" s="58"/>
      <c r="D6" s="16" t="e">
        <f ca="1">IF(VLOOKUP($A6,貼り付け用!$A$1:$BA$300,COLUMN()/2+1,FALSE)=0,"",VLOOKUP($A6,貼り付け用!$A$1:$BA$300,COLUMN()/2+1,FALSE))</f>
        <v>#N/A</v>
      </c>
      <c r="E6" s="58"/>
      <c r="F6" s="16" t="e">
        <f ca="1">IF(VLOOKUP($A6,貼り付け用!$A$1:$BA$300,COLUMN()/2+1,FALSE)=0,"",VLOOKUP($A6,貼り付け用!$A$1:$BA$300,COLUMN()/2+1,FALSE))</f>
        <v>#N/A</v>
      </c>
      <c r="G6" s="58"/>
      <c r="H6" s="16" t="e">
        <f ca="1">IF(VLOOKUP($A6,貼り付け用!$A$1:$BA$300,COLUMN()/2+1,FALSE)=0,"",VLOOKUP($A6,貼り付け用!$A$1:$BA$300,COLUMN()/2+1,FALSE))</f>
        <v>#N/A</v>
      </c>
      <c r="I6" s="58"/>
      <c r="J6" s="16" t="e">
        <f ca="1">IF(VLOOKUP($A6,貼り付け用!$A$1:$BA$300,COLUMN()/2+1,FALSE)=0,"",VLOOKUP($A6,貼り付け用!$A$1:$BA$300,COLUMN()/2+1,FALSE))</f>
        <v>#N/A</v>
      </c>
      <c r="K6" s="58"/>
      <c r="L6" s="16" t="e">
        <f ca="1">IF(VLOOKUP($A6,貼り付け用!$A$1:$BA$300,COLUMN()/2+1,FALSE)=0,"",VLOOKUP($A6,貼り付け用!$A$1:$BA$300,COLUMN()/2+1,FALSE))</f>
        <v>#N/A</v>
      </c>
      <c r="M6" s="58"/>
      <c r="N6" s="16" t="e">
        <f ca="1">IF(VLOOKUP($A6,貼り付け用!$A$1:$BA$300,COLUMN()/2+1,FALSE)=0,"",VLOOKUP($A6,貼り付け用!$A$1:$BA$300,COLUMN()/2+1,FALSE))</f>
        <v>#N/A</v>
      </c>
      <c r="O6" s="58"/>
      <c r="P6" s="16" t="e">
        <f ca="1">IF(VLOOKUP($A6,貼り付け用!$A$1:$BA$300,COLUMN()/2+1,FALSE)=0,"",VLOOKUP($A6,貼り付け用!$A$1:$BA$300,COLUMN()/2+1,FALSE))</f>
        <v>#N/A</v>
      </c>
      <c r="Q6" s="58"/>
      <c r="R6" s="16" t="e">
        <f ca="1">IF(VLOOKUP($A6,貼り付け用!$A$1:$BA$300,COLUMN()/2+1,FALSE)=0,"",VLOOKUP($A6,貼り付け用!$A$1:$BA$300,COLUMN()/2+1,FALSE))</f>
        <v>#N/A</v>
      </c>
      <c r="S6" s="58"/>
      <c r="T6" s="16" t="e">
        <f ca="1">IF(VLOOKUP($A6,貼り付け用!$A$1:$BA$300,COLUMN()/2+1,FALSE)=0,"",VLOOKUP($A6,貼り付け用!$A$1:$BA$300,COLUMN()/2+1,FALSE))</f>
        <v>#N/A</v>
      </c>
      <c r="U6" s="58"/>
      <c r="V6" s="16" t="e">
        <f ca="1">IF(VLOOKUP($A6,貼り付け用!$A$1:$BA$300,COLUMN()/2+1,FALSE)=0,"",VLOOKUP($A6,貼り付け用!$A$1:$BA$300,COLUMN()/2+1,FALSE))</f>
        <v>#N/A</v>
      </c>
      <c r="W6" s="58"/>
      <c r="X6" s="16" t="e">
        <f ca="1">IF(VLOOKUP($A6,貼り付け用!$A$1:$BA$300,COLUMN()/2+1,FALSE)=0,"",VLOOKUP($A6,貼り付け用!$A$1:$BA$300,COLUMN()/2+1,FALSE))</f>
        <v>#N/A</v>
      </c>
      <c r="Y6" s="58"/>
      <c r="Z6" s="16" t="e">
        <f ca="1">IF(VLOOKUP($A6,貼り付け用!$A$1:$BA$300,COLUMN()/2+1,FALSE)=0,"",VLOOKUP($A6,貼り付け用!$A$1:$BA$300,COLUMN()/2+1,FALSE))</f>
        <v>#N/A</v>
      </c>
      <c r="AA6" s="58"/>
      <c r="AB6" s="16" t="e">
        <f ca="1">IF(VLOOKUP($A6,貼り付け用!$A$1:$BA$300,COLUMN()/2+1,FALSE)=0,"",VLOOKUP($A6,貼り付け用!$A$1:$BA$300,COLUMN()/2+1,FALSE))</f>
        <v>#N/A</v>
      </c>
      <c r="AC6" s="58"/>
      <c r="AD6" s="16" t="e">
        <f ca="1">IF(VLOOKUP($A6,貼り付け用!$A$1:$BA$300,COLUMN()/2+1,FALSE)=0,"",VLOOKUP($A6,貼り付け用!$A$1:$BA$300,COLUMN()/2+1,FALSE))</f>
        <v>#N/A</v>
      </c>
      <c r="AE6" s="58"/>
      <c r="AF6" s="16" t="e">
        <f ca="1">IF(VLOOKUP($A6,貼り付け用!$A$1:$BA$300,COLUMN()/2+1,FALSE)=0,"",VLOOKUP($A6,貼り付け用!$A$1:$BA$300,COLUMN()/2+1,FALSE))</f>
        <v>#N/A</v>
      </c>
      <c r="AG6" s="58"/>
      <c r="AH6" s="16" t="e">
        <f ca="1">IF(VLOOKUP($A6,貼り付け用!$A$1:$BA$300,COLUMN()/2+1,FALSE)=0,"",VLOOKUP($A6,貼り付け用!$A$1:$BA$300,COLUMN()/2+1,FALSE))</f>
        <v>#N/A</v>
      </c>
      <c r="AI6" s="58"/>
      <c r="AJ6" s="16" t="e">
        <f ca="1">IF(VLOOKUP($A6,貼り付け用!$A$1:$BA$300,COLUMN()/2+1,FALSE)=0,"",VLOOKUP($A6,貼り付け用!$A$1:$BA$300,COLUMN()/2+1,FALSE))</f>
        <v>#N/A</v>
      </c>
      <c r="AK6" s="58"/>
      <c r="AL6" s="16" t="e">
        <f ca="1">IF(VLOOKUP($A6,貼り付け用!$A$1:$BA$300,COLUMN()/2+1,FALSE)=0,"",VLOOKUP($A6,貼り付け用!$A$1:$BA$300,COLUMN()/2+1,FALSE))</f>
        <v>#N/A</v>
      </c>
      <c r="AM6" s="210" t="e">
        <f ca="1">IF($A6&lt;&gt;"",
IF(VLOOKUP($A6,貼り付け用!$A$1:$BA$300,COLUMN()/2+2,FALSE)=0,"",VLOOKUP($A6,貼り付け用!$A$1:$BA$300,COLUMN()/2+2,FALSE)),"")</f>
        <v>#N/A</v>
      </c>
      <c r="AN6" s="210" t="e">
        <f ca="1">IF($A6&lt;&gt;"",
IF(VLOOKUP($A6,貼り付け用!$A$1:$BA$300,COLUMN()/2+3,FALSE)=0,"",VLOOKUP($A6,貼り付け用!$A$1:$BA$300,COLUMN()/2+3,FALSE)),"")</f>
        <v>#N/A</v>
      </c>
    </row>
    <row r="7" spans="1:40" x14ac:dyDescent="0.45">
      <c r="A7" s="8" t="e" cm="1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46" t="e">
        <f ca="1">IF(VLOOKUP($A7,貼り付け用!$A$1:$BA$300,COLUMN()/2+1,FALSE)=0,"",VLOOKUP($A7,貼り付け用!$A$1:$BA$300,COLUMN()/2+1,FALSE))</f>
        <v>#N/A</v>
      </c>
      <c r="C7" s="46"/>
      <c r="D7" s="46" t="e">
        <f ca="1">IF(VLOOKUP($A7,貼り付け用!$A$1:$BA$300,COLUMN()/2+1,FALSE)=0,"",VLOOKUP($A7,貼り付け用!$A$1:$BA$300,COLUMN()/2+1,FALSE))</f>
        <v>#N/A</v>
      </c>
      <c r="E7" s="46"/>
      <c r="F7" s="46" t="e">
        <f ca="1">IF(VLOOKUP($A7,貼り付け用!$A$1:$BA$300,COLUMN()/2+1,FALSE)=0,"",VLOOKUP($A7,貼り付け用!$A$1:$BA$300,COLUMN()/2+1,FALSE))</f>
        <v>#N/A</v>
      </c>
      <c r="G7" s="46"/>
      <c r="H7" s="46" t="e">
        <f ca="1">IF(VLOOKUP($A7,貼り付け用!$A$1:$BA$300,COLUMN()/2+1,FALSE)=0,"",VLOOKUP($A7,貼り付け用!$A$1:$BA$300,COLUMN()/2+1,FALSE))</f>
        <v>#N/A</v>
      </c>
      <c r="I7" s="46"/>
      <c r="J7" s="46" t="e">
        <f ca="1">IF(VLOOKUP($A7,貼り付け用!$A$1:$BA$300,COLUMN()/2+1,FALSE)=0,"",VLOOKUP($A7,貼り付け用!$A$1:$BA$300,COLUMN()/2+1,FALSE))</f>
        <v>#N/A</v>
      </c>
      <c r="K7" s="46"/>
      <c r="L7" s="46" t="e">
        <f ca="1">IF(VLOOKUP($A7,貼り付け用!$A$1:$BA$300,COLUMN()/2+1,FALSE)=0,"",VLOOKUP($A7,貼り付け用!$A$1:$BA$300,COLUMN()/2+1,FALSE))</f>
        <v>#N/A</v>
      </c>
      <c r="M7" s="46"/>
      <c r="N7" s="46" t="e">
        <f ca="1">IF(VLOOKUP($A7,貼り付け用!$A$1:$BA$300,COLUMN()/2+1,FALSE)=0,"",VLOOKUP($A7,貼り付け用!$A$1:$BA$300,COLUMN()/2+1,FALSE))</f>
        <v>#N/A</v>
      </c>
      <c r="O7" s="46"/>
      <c r="P7" s="46" t="e">
        <f ca="1">IF(VLOOKUP($A7,貼り付け用!$A$1:$BA$300,COLUMN()/2+1,FALSE)=0,"",VLOOKUP($A7,貼り付け用!$A$1:$BA$300,COLUMN()/2+1,FALSE))</f>
        <v>#N/A</v>
      </c>
      <c r="Q7" s="46"/>
      <c r="R7" s="46" t="e">
        <f ca="1">IF(VLOOKUP($A7,貼り付け用!$A$1:$BA$300,COLUMN()/2+1,FALSE)=0,"",VLOOKUP($A7,貼り付け用!$A$1:$BA$300,COLUMN()/2+1,FALSE))</f>
        <v>#N/A</v>
      </c>
      <c r="S7" s="46"/>
      <c r="T7" s="46" t="e">
        <f ca="1">IF(VLOOKUP($A7,貼り付け用!$A$1:$BA$300,COLUMN()/2+1,FALSE)=0,"",VLOOKUP($A7,貼り付け用!$A$1:$BA$300,COLUMN()/2+1,FALSE))</f>
        <v>#N/A</v>
      </c>
      <c r="U7" s="46"/>
      <c r="V7" s="46" t="e">
        <f ca="1">IF(VLOOKUP($A7,貼り付け用!$A$1:$BA$300,COLUMN()/2+1,FALSE)=0,"",VLOOKUP($A7,貼り付け用!$A$1:$BA$300,COLUMN()/2+1,FALSE))</f>
        <v>#N/A</v>
      </c>
      <c r="W7" s="46"/>
      <c r="X7" s="46" t="e">
        <f ca="1">IF(VLOOKUP($A7,貼り付け用!$A$1:$BA$300,COLUMN()/2+1,FALSE)=0,"",VLOOKUP($A7,貼り付け用!$A$1:$BA$300,COLUMN()/2+1,FALSE))</f>
        <v>#N/A</v>
      </c>
      <c r="Y7" s="46"/>
      <c r="Z7" s="46" t="e">
        <f ca="1">IF(VLOOKUP($A7,貼り付け用!$A$1:$BA$300,COLUMN()/2+1,FALSE)=0,"",VLOOKUP($A7,貼り付け用!$A$1:$BA$300,COLUMN()/2+1,FALSE))</f>
        <v>#N/A</v>
      </c>
      <c r="AA7" s="46"/>
      <c r="AB7" s="46" t="e">
        <f ca="1">IF(VLOOKUP($A7,貼り付け用!$A$1:$BA$300,COLUMN()/2+1,FALSE)=0,"",VLOOKUP($A7,貼り付け用!$A$1:$BA$300,COLUMN()/2+1,FALSE))</f>
        <v>#N/A</v>
      </c>
      <c r="AC7" s="46"/>
      <c r="AD7" s="46" t="e">
        <f ca="1">IF(VLOOKUP($A7,貼り付け用!$A$1:$BA$300,COLUMN()/2+1,FALSE)=0,"",VLOOKUP($A7,貼り付け用!$A$1:$BA$300,COLUMN()/2+1,FALSE))</f>
        <v>#N/A</v>
      </c>
      <c r="AE7" s="46"/>
      <c r="AF7" s="46" t="e">
        <f ca="1">IF(VLOOKUP($A7,貼り付け用!$A$1:$BA$300,COLUMN()/2+1,FALSE)=0,"",VLOOKUP($A7,貼り付け用!$A$1:$BA$300,COLUMN()/2+1,FALSE))</f>
        <v>#N/A</v>
      </c>
      <c r="AG7" s="46"/>
      <c r="AH7" s="46" t="e">
        <f ca="1">IF(VLOOKUP($A7,貼り付け用!$A$1:$BA$300,COLUMN()/2+1,FALSE)=0,"",VLOOKUP($A7,貼り付け用!$A$1:$BA$300,COLUMN()/2+1,FALSE))</f>
        <v>#N/A</v>
      </c>
      <c r="AI7" s="46"/>
      <c r="AJ7" s="46" t="e">
        <f ca="1">IF(VLOOKUP($A7,貼り付け用!$A$1:$BA$300,COLUMN()/2+1,FALSE)=0,"",VLOOKUP($A7,貼り付け用!$A$1:$BA$300,COLUMN()/2+1,FALSE))</f>
        <v>#N/A</v>
      </c>
      <c r="AK7" s="46"/>
      <c r="AL7" s="46" t="e">
        <f ca="1">IF(VLOOKUP($A7,貼り付け用!$A$1:$BA$300,COLUMN()/2+1,FALSE)=0,"",VLOOKUP($A7,貼り付け用!$A$1:$BA$300,COLUMN()/2+1,FALSE))</f>
        <v>#N/A</v>
      </c>
      <c r="AM7" s="211" t="e">
        <f ca="1">IF($A7&lt;&gt;"",
IF(VLOOKUP($A7,貼り付け用!$A$1:$BA$300,COLUMN()/2+2,FALSE)=0,"",VLOOKUP($A7,貼り付け用!$A$1:$BA$300,COLUMN()/2+2,FALSE)),"")</f>
        <v>#N/A</v>
      </c>
      <c r="AN7" s="211" t="e">
        <f ca="1">IF($A7&lt;&gt;"",
IF(VLOOKUP($A7,貼り付け用!$A$1:$BA$300,COLUMN()/2+3,FALSE)=0,"",VLOOKUP($A7,貼り付け用!$A$1:$BA$300,COLUMN()/2+3,FALSE)),"")</f>
        <v>#N/A</v>
      </c>
    </row>
    <row r="8" spans="1:40" x14ac:dyDescent="0.45">
      <c r="A8" s="5" t="e" cm="1">
        <f t="array" aca="1" ref="A8" ca="1">IF(OR(COUNTIF(A6,"*合計*"),COUNTIF(A6,"")),"",INDEX(貼り付け用!$A:$A,MATCH(A6,貼り付け用!$A:$A,0)+2,0))</f>
        <v>#N/A</v>
      </c>
      <c r="B8" s="16" t="e">
        <f ca="1">IF($A8&lt;&gt;"",
IF(VLOOKUP($A8,貼り付け用!$A$1:$BA$300,COLUMN()/2+1,FALSE)=0,"",VLOOKUP($A8,貼り付け用!$A$1:$BA$300,COLUMN()/2+1,FALSE)),"")</f>
        <v>#N/A</v>
      </c>
      <c r="C8" s="58"/>
      <c r="D8" s="16" t="e">
        <f ca="1">IF($A8&lt;&gt;"",
IF(VLOOKUP($A8,貼り付け用!$A$1:$BA$300,COLUMN()/2+1,FALSE)=0,"",VLOOKUP($A8,貼り付け用!$A$1:$BA$300,COLUMN()/2+1,FALSE)),"")</f>
        <v>#N/A</v>
      </c>
      <c r="E8" s="58"/>
      <c r="F8" s="16" t="e">
        <f ca="1">IF($A8&lt;&gt;"",
IF(VLOOKUP($A8,貼り付け用!$A$1:$BA$300,COLUMN()/2+1,FALSE)=0,"",VLOOKUP($A8,貼り付け用!$A$1:$BA$300,COLUMN()/2+1,FALSE)),"")</f>
        <v>#N/A</v>
      </c>
      <c r="G8" s="58"/>
      <c r="H8" s="16" t="e">
        <f ca="1">IF($A8&lt;&gt;"",
IF(VLOOKUP($A8,貼り付け用!$A$1:$BA$300,COLUMN()/2+1,FALSE)=0,"",VLOOKUP($A8,貼り付け用!$A$1:$BA$300,COLUMN()/2+1,FALSE)),"")</f>
        <v>#N/A</v>
      </c>
      <c r="I8" s="58"/>
      <c r="J8" s="16" t="e">
        <f ca="1">IF($A8&lt;&gt;"",
IF(VLOOKUP($A8,貼り付け用!$A$1:$BA$300,COLUMN()/2+1,FALSE)=0,"",VLOOKUP($A8,貼り付け用!$A$1:$BA$300,COLUMN()/2+1,FALSE)),"")</f>
        <v>#N/A</v>
      </c>
      <c r="K8" s="58"/>
      <c r="L8" s="16" t="e">
        <f ca="1">IF($A8&lt;&gt;"",
IF(VLOOKUP($A8,貼り付け用!$A$1:$BA$300,COLUMN()/2+1,FALSE)=0,"",VLOOKUP($A8,貼り付け用!$A$1:$BA$300,COLUMN()/2+1,FALSE)),"")</f>
        <v>#N/A</v>
      </c>
      <c r="M8" s="58"/>
      <c r="N8" s="16" t="e">
        <f ca="1">IF($A8&lt;&gt;"",
IF(VLOOKUP($A8,貼り付け用!$A$1:$BA$300,COLUMN()/2+1,FALSE)=0,"",VLOOKUP($A8,貼り付け用!$A$1:$BA$300,COLUMN()/2+1,FALSE)),"")</f>
        <v>#N/A</v>
      </c>
      <c r="O8" s="58"/>
      <c r="P8" s="16" t="e">
        <f ca="1">IF($A8&lt;&gt;"",
IF(VLOOKUP($A8,貼り付け用!$A$1:$BA$300,COLUMN()/2+1,FALSE)=0,"",VLOOKUP($A8,貼り付け用!$A$1:$BA$300,COLUMN()/2+1,FALSE)),"")</f>
        <v>#N/A</v>
      </c>
      <c r="Q8" s="58"/>
      <c r="R8" s="16" t="e">
        <f ca="1">IF($A8&lt;&gt;"",
IF(VLOOKUP($A8,貼り付け用!$A$1:$BA$300,COLUMN()/2+1,FALSE)=0,"",VLOOKUP($A8,貼り付け用!$A$1:$BA$300,COLUMN()/2+1,FALSE)),"")</f>
        <v>#N/A</v>
      </c>
      <c r="S8" s="58"/>
      <c r="T8" s="16" t="e">
        <f ca="1">IF($A8&lt;&gt;"",
IF(VLOOKUP($A8,貼り付け用!$A$1:$BA$300,COLUMN()/2+1,FALSE)=0,"",VLOOKUP($A8,貼り付け用!$A$1:$BA$300,COLUMN()/2+1,FALSE)),"")</f>
        <v>#N/A</v>
      </c>
      <c r="U8" s="58"/>
      <c r="V8" s="16" t="e">
        <f ca="1">IF($A8&lt;&gt;"",
IF(VLOOKUP($A8,貼り付け用!$A$1:$BA$300,COLUMN()/2+1,FALSE)=0,"",VLOOKUP($A8,貼り付け用!$A$1:$BA$300,COLUMN()/2+1,FALSE)),"")</f>
        <v>#N/A</v>
      </c>
      <c r="W8" s="58"/>
      <c r="X8" s="16" t="e">
        <f ca="1">IF($A8&lt;&gt;"",
IF(VLOOKUP($A8,貼り付け用!$A$1:$BA$300,COLUMN()/2+1,FALSE)=0,"",VLOOKUP($A8,貼り付け用!$A$1:$BA$300,COLUMN()/2+1,FALSE)),"")</f>
        <v>#N/A</v>
      </c>
      <c r="Y8" s="58"/>
      <c r="Z8" s="16" t="e">
        <f ca="1">IF($A8&lt;&gt;"",
IF(VLOOKUP($A8,貼り付け用!$A$1:$BA$300,COLUMN()/2+1,FALSE)=0,"",VLOOKUP($A8,貼り付け用!$A$1:$BA$300,COLUMN()/2+1,FALSE)),"")</f>
        <v>#N/A</v>
      </c>
      <c r="AA8" s="58"/>
      <c r="AB8" s="16" t="e">
        <f ca="1">IF($A8&lt;&gt;"",
IF(VLOOKUP($A8,貼り付け用!$A$1:$BA$300,COLUMN()/2+1,FALSE)=0,"",VLOOKUP($A8,貼り付け用!$A$1:$BA$300,COLUMN()/2+1,FALSE)),"")</f>
        <v>#N/A</v>
      </c>
      <c r="AC8" s="58"/>
      <c r="AD8" s="16" t="e">
        <f ca="1">IF($A8&lt;&gt;"",
IF(VLOOKUP($A8,貼り付け用!$A$1:$BA$300,COLUMN()/2+1,FALSE)=0,"",VLOOKUP($A8,貼り付け用!$A$1:$BA$300,COLUMN()/2+1,FALSE)),"")</f>
        <v>#N/A</v>
      </c>
      <c r="AE8" s="58"/>
      <c r="AF8" s="16" t="e">
        <f ca="1">IF($A8&lt;&gt;"",
IF(VLOOKUP($A8,貼り付け用!$A$1:$BA$300,COLUMN()/2+1,FALSE)=0,"",VLOOKUP($A8,貼り付け用!$A$1:$BA$300,COLUMN()/2+1,FALSE)),"")</f>
        <v>#N/A</v>
      </c>
      <c r="AG8" s="58"/>
      <c r="AH8" s="16" t="e">
        <f ca="1">IF($A8&lt;&gt;"",
IF(VLOOKUP($A8,貼り付け用!$A$1:$BA$300,COLUMN()/2+1,FALSE)=0,"",VLOOKUP($A8,貼り付け用!$A$1:$BA$300,COLUMN()/2+1,FALSE)),"")</f>
        <v>#N/A</v>
      </c>
      <c r="AI8" s="58"/>
      <c r="AJ8" s="16" t="e">
        <f ca="1">IF($A8&lt;&gt;"",
IF(VLOOKUP($A8,貼り付け用!$A$1:$BA$300,COLUMN()/2+1,FALSE)=0,"",VLOOKUP($A8,貼り付け用!$A$1:$BA$300,COLUMN()/2+1,FALSE)),"")</f>
        <v>#N/A</v>
      </c>
      <c r="AK8" s="58"/>
      <c r="AL8" s="16" t="e">
        <f ca="1">IF($A8&lt;&gt;"",
IF(VLOOKUP($A8,貼り付け用!$A$1:$BA$300,COLUMN()/2+1,FALSE)=0,"",VLOOKUP($A8,貼り付け用!$A$1:$BA$300,COLUMN()/2+1,FALSE)),"")</f>
        <v>#N/A</v>
      </c>
      <c r="AM8" s="210" t="e">
        <f ca="1">IF($A8&lt;&gt;"",
IF(VLOOKUP($A8,貼り付け用!$A$1:$BA$300,COLUMN()/2+2,FALSE)=0,"",VLOOKUP($A8,貼り付け用!$A$1:$BA$300,COLUMN()/2+2,FALSE)),"")</f>
        <v>#N/A</v>
      </c>
      <c r="AN8" s="210" t="e">
        <f ca="1">IF($A8&lt;&gt;"",
IF(VLOOKUP($A8,貼り付け用!$A$1:$BA$300,COLUMN()/2+3,FALSE)=0,"",VLOOKUP($A8,貼り付け用!$A$1:$BA$300,COLUMN()/2+3,FALSE)),"")</f>
        <v>#N/A</v>
      </c>
    </row>
    <row r="9" spans="1:40" x14ac:dyDescent="0.45">
      <c r="A9" s="8" t="e" cm="1">
        <f t="array" aca="1" ref="A9" ca="1">IF(OR(COUNTIF(A7,"*1000*"),COUNTIF(A7,"")),"",INDEX(貼り付け用!$A:$A,MATCH(A7,貼り付け用!$A:$A,0)+2,0))</f>
        <v>#N/A</v>
      </c>
      <c r="B9" s="46" t="e">
        <f ca="1">IF($A9&lt;&gt;"",
IF(VLOOKUP($A9,貼り付け用!$A$1:$BA$300,COLUMN()/2+1,FALSE)=0,"",VLOOKUP($A9,貼り付け用!$A$1:$BA$300,COLUMN()/2+1,FALSE)),"")</f>
        <v>#N/A</v>
      </c>
      <c r="C9" s="46"/>
      <c r="D9" s="46" t="e">
        <f ca="1">IF($A9&lt;&gt;"",
IF(VLOOKUP($A9,貼り付け用!$A$1:$BA$300,COLUMN()/2+1,FALSE)=0,"",VLOOKUP($A9,貼り付け用!$A$1:$BA$300,COLUMN()/2+1,FALSE)),"")</f>
        <v>#N/A</v>
      </c>
      <c r="E9" s="46"/>
      <c r="F9" s="46" t="e">
        <f ca="1">IF($A9&lt;&gt;"",
IF(VLOOKUP($A9,貼り付け用!$A$1:$BA$300,COLUMN()/2+1,FALSE)=0,"",VLOOKUP($A9,貼り付け用!$A$1:$BA$300,COLUMN()/2+1,FALSE)),"")</f>
        <v>#N/A</v>
      </c>
      <c r="G9" s="46"/>
      <c r="H9" s="46" t="e">
        <f ca="1">IF($A9&lt;&gt;"",
IF(VLOOKUP($A9,貼り付け用!$A$1:$BA$300,COLUMN()/2+1,FALSE)=0,"",VLOOKUP($A9,貼り付け用!$A$1:$BA$300,COLUMN()/2+1,FALSE)),"")</f>
        <v>#N/A</v>
      </c>
      <c r="I9" s="46"/>
      <c r="J9" s="46" t="e">
        <f ca="1">IF($A9&lt;&gt;"",
IF(VLOOKUP($A9,貼り付け用!$A$1:$BA$300,COLUMN()/2+1,FALSE)=0,"",VLOOKUP($A9,貼り付け用!$A$1:$BA$300,COLUMN()/2+1,FALSE)),"")</f>
        <v>#N/A</v>
      </c>
      <c r="K9" s="46"/>
      <c r="L9" s="46" t="e">
        <f ca="1">IF($A9&lt;&gt;"",
IF(VLOOKUP($A9,貼り付け用!$A$1:$BA$300,COLUMN()/2+1,FALSE)=0,"",VLOOKUP($A9,貼り付け用!$A$1:$BA$300,COLUMN()/2+1,FALSE)),"")</f>
        <v>#N/A</v>
      </c>
      <c r="M9" s="46"/>
      <c r="N9" s="46" t="e">
        <f ca="1">IF($A9&lt;&gt;"",
IF(VLOOKUP($A9,貼り付け用!$A$1:$BA$300,COLUMN()/2+1,FALSE)=0,"",VLOOKUP($A9,貼り付け用!$A$1:$BA$300,COLUMN()/2+1,FALSE)),"")</f>
        <v>#N/A</v>
      </c>
      <c r="O9" s="46"/>
      <c r="P9" s="46" t="e">
        <f ca="1">IF($A9&lt;&gt;"",
IF(VLOOKUP($A9,貼り付け用!$A$1:$BA$300,COLUMN()/2+1,FALSE)=0,"",VLOOKUP($A9,貼り付け用!$A$1:$BA$300,COLUMN()/2+1,FALSE)),"")</f>
        <v>#N/A</v>
      </c>
      <c r="Q9" s="46"/>
      <c r="R9" s="46" t="e">
        <f ca="1">IF($A9&lt;&gt;"",
IF(VLOOKUP($A9,貼り付け用!$A$1:$BA$300,COLUMN()/2+1,FALSE)=0,"",VLOOKUP($A9,貼り付け用!$A$1:$BA$300,COLUMN()/2+1,FALSE)),"")</f>
        <v>#N/A</v>
      </c>
      <c r="S9" s="46"/>
      <c r="T9" s="46" t="e">
        <f ca="1">IF($A9&lt;&gt;"",
IF(VLOOKUP($A9,貼り付け用!$A$1:$BA$300,COLUMN()/2+1,FALSE)=0,"",VLOOKUP($A9,貼り付け用!$A$1:$BA$300,COLUMN()/2+1,FALSE)),"")</f>
        <v>#N/A</v>
      </c>
      <c r="U9" s="46"/>
      <c r="V9" s="46" t="e">
        <f ca="1">IF($A9&lt;&gt;"",
IF(VLOOKUP($A9,貼り付け用!$A$1:$BA$300,COLUMN()/2+1,FALSE)=0,"",VLOOKUP($A9,貼り付け用!$A$1:$BA$300,COLUMN()/2+1,FALSE)),"")</f>
        <v>#N/A</v>
      </c>
      <c r="W9" s="46"/>
      <c r="X9" s="46" t="e">
        <f ca="1">IF($A9&lt;&gt;"",
IF(VLOOKUP($A9,貼り付け用!$A$1:$BA$300,COLUMN()/2+1,FALSE)=0,"",VLOOKUP($A9,貼り付け用!$A$1:$BA$300,COLUMN()/2+1,FALSE)),"")</f>
        <v>#N/A</v>
      </c>
      <c r="Y9" s="46"/>
      <c r="Z9" s="46" t="e">
        <f ca="1">IF($A9&lt;&gt;"",
IF(VLOOKUP($A9,貼り付け用!$A$1:$BA$300,COLUMN()/2+1,FALSE)=0,"",VLOOKUP($A9,貼り付け用!$A$1:$BA$300,COLUMN()/2+1,FALSE)),"")</f>
        <v>#N/A</v>
      </c>
      <c r="AA9" s="46"/>
      <c r="AB9" s="46" t="e">
        <f ca="1">IF($A9&lt;&gt;"",
IF(VLOOKUP($A9,貼り付け用!$A$1:$BA$300,COLUMN()/2+1,FALSE)=0,"",VLOOKUP($A9,貼り付け用!$A$1:$BA$300,COLUMN()/2+1,FALSE)),"")</f>
        <v>#N/A</v>
      </c>
      <c r="AC9" s="46"/>
      <c r="AD9" s="46" t="e">
        <f ca="1">IF($A9&lt;&gt;"",
IF(VLOOKUP($A9,貼り付け用!$A$1:$BA$300,COLUMN()/2+1,FALSE)=0,"",VLOOKUP($A9,貼り付け用!$A$1:$BA$300,COLUMN()/2+1,FALSE)),"")</f>
        <v>#N/A</v>
      </c>
      <c r="AE9" s="46"/>
      <c r="AF9" s="46" t="e">
        <f ca="1">IF($A9&lt;&gt;"",
IF(VLOOKUP($A9,貼り付け用!$A$1:$BA$300,COLUMN()/2+1,FALSE)=0,"",VLOOKUP($A9,貼り付け用!$A$1:$BA$300,COLUMN()/2+1,FALSE)),"")</f>
        <v>#N/A</v>
      </c>
      <c r="AG9" s="46"/>
      <c r="AH9" s="46" t="e">
        <f ca="1">IF($A9&lt;&gt;"",
IF(VLOOKUP($A9,貼り付け用!$A$1:$BA$300,COLUMN()/2+1,FALSE)=0,"",VLOOKUP($A9,貼り付け用!$A$1:$BA$300,COLUMN()/2+1,FALSE)),"")</f>
        <v>#N/A</v>
      </c>
      <c r="AI9" s="46"/>
      <c r="AJ9" s="46" t="e">
        <f ca="1">IF($A9&lt;&gt;"",
IF(VLOOKUP($A9,貼り付け用!$A$1:$BA$300,COLUMN()/2+1,FALSE)=0,"",VLOOKUP($A9,貼り付け用!$A$1:$BA$300,COLUMN()/2+1,FALSE)),"")</f>
        <v>#N/A</v>
      </c>
      <c r="AK9" s="46"/>
      <c r="AL9" s="46" t="e">
        <f ca="1">IF($A9&lt;&gt;"",
IF(VLOOKUP($A9,貼り付け用!$A$1:$BA$300,COLUMN()/2+1,FALSE)=0,"",VLOOKUP($A9,貼り付け用!$A$1:$BA$300,COLUMN()/2+1,FALSE)),"")</f>
        <v>#N/A</v>
      </c>
      <c r="AM9" s="211" t="e">
        <f ca="1">IF($A9&lt;&gt;"",
IF(VLOOKUP($A9,貼り付け用!$A$1:$BA$300,COLUMN()/2+2,FALSE)=0,"",VLOOKUP($A9,貼り付け用!$A$1:$BA$300,COLUMN()/2+2,FALSE)),"")</f>
        <v>#N/A</v>
      </c>
      <c r="AN9" s="211" t="e">
        <f ca="1">IF($A9&lt;&gt;"",
IF(VLOOKUP($A9,貼り付け用!$A$1:$BA$300,COLUMN()/2+3,FALSE)=0,"",VLOOKUP($A9,貼り付け用!$A$1:$BA$300,COLUMN()/2+3,FALSE)),"")</f>
        <v>#N/A</v>
      </c>
    </row>
    <row r="10" spans="1:40" x14ac:dyDescent="0.45">
      <c r="A10" s="5" t="e" cm="1">
        <f t="array" aca="1" ref="A10" ca="1">IF(OR(COUNTIF(A8,"*合計*"),COUNTIF(A8,"")),"",INDEX(貼り付け用!$A:$A,MATCH(A8,貼り付け用!$A:$A,0)+2,0))</f>
        <v>#N/A</v>
      </c>
      <c r="B10" s="16" t="e">
        <f ca="1">IF($A10&lt;&gt;"",
IF(VLOOKUP($A10,貼り付け用!$A$1:$BA$300,COLUMN()/2+1,FALSE)=0,"",VLOOKUP($A10,貼り付け用!$A$1:$BA$300,COLUMN()/2+1,FALSE)),"")</f>
        <v>#N/A</v>
      </c>
      <c r="C10" s="58"/>
      <c r="D10" s="16" t="e">
        <f ca="1">IF($A10&lt;&gt;"",
IF(VLOOKUP($A10,貼り付け用!$A$1:$BA$300,COLUMN()/2+1,FALSE)=0,"",VLOOKUP($A10,貼り付け用!$A$1:$BA$300,COLUMN()/2+1,FALSE)),"")</f>
        <v>#N/A</v>
      </c>
      <c r="E10" s="58"/>
      <c r="F10" s="16" t="e">
        <f ca="1">IF($A10&lt;&gt;"",
IF(VLOOKUP($A10,貼り付け用!$A$1:$BA$300,COLUMN()/2+1,FALSE)=0,"",VLOOKUP($A10,貼り付け用!$A$1:$BA$300,COLUMN()/2+1,FALSE)),"")</f>
        <v>#N/A</v>
      </c>
      <c r="G10" s="58"/>
      <c r="H10" s="16" t="e">
        <f ca="1">IF($A10&lt;&gt;"",
IF(VLOOKUP($A10,貼り付け用!$A$1:$BA$300,COLUMN()/2+1,FALSE)=0,"",VLOOKUP($A10,貼り付け用!$A$1:$BA$300,COLUMN()/2+1,FALSE)),"")</f>
        <v>#N/A</v>
      </c>
      <c r="I10" s="58"/>
      <c r="J10" s="16" t="e">
        <f ca="1">IF($A10&lt;&gt;"",
IF(VLOOKUP($A10,貼り付け用!$A$1:$BA$300,COLUMN()/2+1,FALSE)=0,"",VLOOKUP($A10,貼り付け用!$A$1:$BA$300,COLUMN()/2+1,FALSE)),"")</f>
        <v>#N/A</v>
      </c>
      <c r="K10" s="58"/>
      <c r="L10" s="16" t="e">
        <f ca="1">IF($A10&lt;&gt;"",
IF(VLOOKUP($A10,貼り付け用!$A$1:$BA$300,COLUMN()/2+1,FALSE)=0,"",VLOOKUP($A10,貼り付け用!$A$1:$BA$300,COLUMN()/2+1,FALSE)),"")</f>
        <v>#N/A</v>
      </c>
      <c r="M10" s="58"/>
      <c r="N10" s="16" t="e">
        <f ca="1">IF($A10&lt;&gt;"",
IF(VLOOKUP($A10,貼り付け用!$A$1:$BA$300,COLUMN()/2+1,FALSE)=0,"",VLOOKUP($A10,貼り付け用!$A$1:$BA$300,COLUMN()/2+1,FALSE)),"")</f>
        <v>#N/A</v>
      </c>
      <c r="O10" s="58"/>
      <c r="P10" s="16" t="e">
        <f ca="1">IF($A10&lt;&gt;"",
IF(VLOOKUP($A10,貼り付け用!$A$1:$BA$300,COLUMN()/2+1,FALSE)=0,"",VLOOKUP($A10,貼り付け用!$A$1:$BA$300,COLUMN()/2+1,FALSE)),"")</f>
        <v>#N/A</v>
      </c>
      <c r="Q10" s="58"/>
      <c r="R10" s="16" t="e">
        <f ca="1">IF($A10&lt;&gt;"",
IF(VLOOKUP($A10,貼り付け用!$A$1:$BA$300,COLUMN()/2+1,FALSE)=0,"",VLOOKUP($A10,貼り付け用!$A$1:$BA$300,COLUMN()/2+1,FALSE)),"")</f>
        <v>#N/A</v>
      </c>
      <c r="S10" s="58"/>
      <c r="T10" s="16" t="e">
        <f ca="1">IF($A10&lt;&gt;"",
IF(VLOOKUP($A10,貼り付け用!$A$1:$BA$300,COLUMN()/2+1,FALSE)=0,"",VLOOKUP($A10,貼り付け用!$A$1:$BA$300,COLUMN()/2+1,FALSE)),"")</f>
        <v>#N/A</v>
      </c>
      <c r="U10" s="58"/>
      <c r="V10" s="16" t="e">
        <f ca="1">IF($A10&lt;&gt;"",
IF(VLOOKUP($A10,貼り付け用!$A$1:$BA$300,COLUMN()/2+1,FALSE)=0,"",VLOOKUP($A10,貼り付け用!$A$1:$BA$300,COLUMN()/2+1,FALSE)),"")</f>
        <v>#N/A</v>
      </c>
      <c r="W10" s="58"/>
      <c r="X10" s="16" t="e">
        <f ca="1">IF($A10&lt;&gt;"",
IF(VLOOKUP($A10,貼り付け用!$A$1:$BA$300,COLUMN()/2+1,FALSE)=0,"",VLOOKUP($A10,貼り付け用!$A$1:$BA$300,COLUMN()/2+1,FALSE)),"")</f>
        <v>#N/A</v>
      </c>
      <c r="Y10" s="58"/>
      <c r="Z10" s="16" t="e">
        <f ca="1">IF($A10&lt;&gt;"",
IF(VLOOKUP($A10,貼り付け用!$A$1:$BA$300,COLUMN()/2+1,FALSE)=0,"",VLOOKUP($A10,貼り付け用!$A$1:$BA$300,COLUMN()/2+1,FALSE)),"")</f>
        <v>#N/A</v>
      </c>
      <c r="AA10" s="58"/>
      <c r="AB10" s="16" t="e">
        <f ca="1">IF($A10&lt;&gt;"",
IF(VLOOKUP($A10,貼り付け用!$A$1:$BA$300,COLUMN()/2+1,FALSE)=0,"",VLOOKUP($A10,貼り付け用!$A$1:$BA$300,COLUMN()/2+1,FALSE)),"")</f>
        <v>#N/A</v>
      </c>
      <c r="AC10" s="58"/>
      <c r="AD10" s="16" t="e">
        <f ca="1">IF($A10&lt;&gt;"",
IF(VLOOKUP($A10,貼り付け用!$A$1:$BA$300,COLUMN()/2+1,FALSE)=0,"",VLOOKUP($A10,貼り付け用!$A$1:$BA$300,COLUMN()/2+1,FALSE)),"")</f>
        <v>#N/A</v>
      </c>
      <c r="AE10" s="58"/>
      <c r="AF10" s="16" t="e">
        <f ca="1">IF($A10&lt;&gt;"",
IF(VLOOKUP($A10,貼り付け用!$A$1:$BA$300,COLUMN()/2+1,FALSE)=0,"",VLOOKUP($A10,貼り付け用!$A$1:$BA$300,COLUMN()/2+1,FALSE)),"")</f>
        <v>#N/A</v>
      </c>
      <c r="AG10" s="58"/>
      <c r="AH10" s="16" t="e">
        <f ca="1">IF($A10&lt;&gt;"",
IF(VLOOKUP($A10,貼り付け用!$A$1:$BA$300,COLUMN()/2+1,FALSE)=0,"",VLOOKUP($A10,貼り付け用!$A$1:$BA$300,COLUMN()/2+1,FALSE)),"")</f>
        <v>#N/A</v>
      </c>
      <c r="AI10" s="58"/>
      <c r="AJ10" s="16" t="e">
        <f ca="1">IF($A10&lt;&gt;"",
IF(VLOOKUP($A10,貼り付け用!$A$1:$BA$300,COLUMN()/2+1,FALSE)=0,"",VLOOKUP($A10,貼り付け用!$A$1:$BA$300,COLUMN()/2+1,FALSE)),"")</f>
        <v>#N/A</v>
      </c>
      <c r="AK10" s="58"/>
      <c r="AL10" s="16" t="e">
        <f ca="1">IF($A10&lt;&gt;"",
IF(VLOOKUP($A10,貼り付け用!$A$1:$BA$300,COLUMN()/2+1,FALSE)=0,"",VLOOKUP($A10,貼り付け用!$A$1:$BA$300,COLUMN()/2+1,FALSE)),"")</f>
        <v>#N/A</v>
      </c>
      <c r="AM10" s="210" t="e">
        <f ca="1">IF($A10&lt;&gt;"",
IF(VLOOKUP($A10,貼り付け用!$A$1:$BA$300,COLUMN()/2+2,FALSE)=0,"",VLOOKUP($A10,貼り付け用!$A$1:$BA$300,COLUMN()/2+2,FALSE)),"")</f>
        <v>#N/A</v>
      </c>
      <c r="AN10" s="210" t="e">
        <f ca="1">IF($A10&lt;&gt;"",
IF(VLOOKUP($A10,貼り付け用!$A$1:$BA$300,COLUMN()/2+3,FALSE)=0,"",VLOOKUP($A10,貼り付け用!$A$1:$BA$300,COLUMN()/2+3,FALSE)),"")</f>
        <v>#N/A</v>
      </c>
    </row>
    <row r="11" spans="1:40" x14ac:dyDescent="0.45">
      <c r="A11" s="8" t="e" cm="1">
        <f t="array" aca="1" ref="A11" ca="1">IF(OR(COUNTIF(A9,"*1000*"),COUNTIF(A9,"")),"",INDEX(貼り付け用!$A:$A,MATCH(A9,貼り付け用!$A:$A,0)+2,0))</f>
        <v>#N/A</v>
      </c>
      <c r="B11" s="46" t="e">
        <f ca="1">IF($A11&lt;&gt;"",
IF(VLOOKUP($A11,貼り付け用!$A$1:$BA$300,COLUMN()/2+1,FALSE)=0,"",VLOOKUP($A11,貼り付け用!$A$1:$BA$300,COLUMN()/2+1,FALSE)),"")</f>
        <v>#N/A</v>
      </c>
      <c r="C11" s="46"/>
      <c r="D11" s="46" t="e">
        <f ca="1">IF($A11&lt;&gt;"",
IF(VLOOKUP($A11,貼り付け用!$A$1:$BA$300,COLUMN()/2+1,FALSE)=0,"",VLOOKUP($A11,貼り付け用!$A$1:$BA$300,COLUMN()/2+1,FALSE)),"")</f>
        <v>#N/A</v>
      </c>
      <c r="E11" s="46"/>
      <c r="F11" s="46" t="e">
        <f ca="1">IF($A11&lt;&gt;"",
IF(VLOOKUP($A11,貼り付け用!$A$1:$BA$300,COLUMN()/2+1,FALSE)=0,"",VLOOKUP($A11,貼り付け用!$A$1:$BA$300,COLUMN()/2+1,FALSE)),"")</f>
        <v>#N/A</v>
      </c>
      <c r="G11" s="46"/>
      <c r="H11" s="46" t="e">
        <f ca="1">IF($A11&lt;&gt;"",
IF(VLOOKUP($A11,貼り付け用!$A$1:$BA$300,COLUMN()/2+1,FALSE)=0,"",VLOOKUP($A11,貼り付け用!$A$1:$BA$300,COLUMN()/2+1,FALSE)),"")</f>
        <v>#N/A</v>
      </c>
      <c r="I11" s="46"/>
      <c r="J11" s="46" t="e">
        <f ca="1">IF($A11&lt;&gt;"",
IF(VLOOKUP($A11,貼り付け用!$A$1:$BA$300,COLUMN()/2+1,FALSE)=0,"",VLOOKUP($A11,貼り付け用!$A$1:$BA$300,COLUMN()/2+1,FALSE)),"")</f>
        <v>#N/A</v>
      </c>
      <c r="K11" s="46"/>
      <c r="L11" s="46" t="e">
        <f ca="1">IF($A11&lt;&gt;"",
IF(VLOOKUP($A11,貼り付け用!$A$1:$BA$300,COLUMN()/2+1,FALSE)=0,"",VLOOKUP($A11,貼り付け用!$A$1:$BA$300,COLUMN()/2+1,FALSE)),"")</f>
        <v>#N/A</v>
      </c>
      <c r="M11" s="46"/>
      <c r="N11" s="46" t="e">
        <f ca="1">IF($A11&lt;&gt;"",
IF(VLOOKUP($A11,貼り付け用!$A$1:$BA$300,COLUMN()/2+1,FALSE)=0,"",VLOOKUP($A11,貼り付け用!$A$1:$BA$300,COLUMN()/2+1,FALSE)),"")</f>
        <v>#N/A</v>
      </c>
      <c r="O11" s="46"/>
      <c r="P11" s="46" t="e">
        <f ca="1">IF($A11&lt;&gt;"",
IF(VLOOKUP($A11,貼り付け用!$A$1:$BA$300,COLUMN()/2+1,FALSE)=0,"",VLOOKUP($A11,貼り付け用!$A$1:$BA$300,COLUMN()/2+1,FALSE)),"")</f>
        <v>#N/A</v>
      </c>
      <c r="Q11" s="46"/>
      <c r="R11" s="46" t="e">
        <f ca="1">IF($A11&lt;&gt;"",
IF(VLOOKUP($A11,貼り付け用!$A$1:$BA$300,COLUMN()/2+1,FALSE)=0,"",VLOOKUP($A11,貼り付け用!$A$1:$BA$300,COLUMN()/2+1,FALSE)),"")</f>
        <v>#N/A</v>
      </c>
      <c r="S11" s="46"/>
      <c r="T11" s="46" t="e">
        <f ca="1">IF($A11&lt;&gt;"",
IF(VLOOKUP($A11,貼り付け用!$A$1:$BA$300,COLUMN()/2+1,FALSE)=0,"",VLOOKUP($A11,貼り付け用!$A$1:$BA$300,COLUMN()/2+1,FALSE)),"")</f>
        <v>#N/A</v>
      </c>
      <c r="U11" s="46"/>
      <c r="V11" s="46" t="e">
        <f ca="1">IF($A11&lt;&gt;"",
IF(VLOOKUP($A11,貼り付け用!$A$1:$BA$300,COLUMN()/2+1,FALSE)=0,"",VLOOKUP($A11,貼り付け用!$A$1:$BA$300,COLUMN()/2+1,FALSE)),"")</f>
        <v>#N/A</v>
      </c>
      <c r="W11" s="46"/>
      <c r="X11" s="46" t="e">
        <f ca="1">IF($A11&lt;&gt;"",
IF(VLOOKUP($A11,貼り付け用!$A$1:$BA$300,COLUMN()/2+1,FALSE)=0,"",VLOOKUP($A11,貼り付け用!$A$1:$BA$300,COLUMN()/2+1,FALSE)),"")</f>
        <v>#N/A</v>
      </c>
      <c r="Y11" s="46"/>
      <c r="Z11" s="46" t="e">
        <f ca="1">IF($A11&lt;&gt;"",
IF(VLOOKUP($A11,貼り付け用!$A$1:$BA$300,COLUMN()/2+1,FALSE)=0,"",VLOOKUP($A11,貼り付け用!$A$1:$BA$300,COLUMN()/2+1,FALSE)),"")</f>
        <v>#N/A</v>
      </c>
      <c r="AA11" s="46"/>
      <c r="AB11" s="46" t="e">
        <f ca="1">IF($A11&lt;&gt;"",
IF(VLOOKUP($A11,貼り付け用!$A$1:$BA$300,COLUMN()/2+1,FALSE)=0,"",VLOOKUP($A11,貼り付け用!$A$1:$BA$300,COLUMN()/2+1,FALSE)),"")</f>
        <v>#N/A</v>
      </c>
      <c r="AC11" s="46"/>
      <c r="AD11" s="46" t="e">
        <f ca="1">IF($A11&lt;&gt;"",
IF(VLOOKUP($A11,貼り付け用!$A$1:$BA$300,COLUMN()/2+1,FALSE)=0,"",VLOOKUP($A11,貼り付け用!$A$1:$BA$300,COLUMN()/2+1,FALSE)),"")</f>
        <v>#N/A</v>
      </c>
      <c r="AE11" s="46"/>
      <c r="AF11" s="46" t="e">
        <f ca="1">IF($A11&lt;&gt;"",
IF(VLOOKUP($A11,貼り付け用!$A$1:$BA$300,COLUMN()/2+1,FALSE)=0,"",VLOOKUP($A11,貼り付け用!$A$1:$BA$300,COLUMN()/2+1,FALSE)),"")</f>
        <v>#N/A</v>
      </c>
      <c r="AG11" s="46"/>
      <c r="AH11" s="46" t="e">
        <f ca="1">IF($A11&lt;&gt;"",
IF(VLOOKUP($A11,貼り付け用!$A$1:$BA$300,COLUMN()/2+1,FALSE)=0,"",VLOOKUP($A11,貼り付け用!$A$1:$BA$300,COLUMN()/2+1,FALSE)),"")</f>
        <v>#N/A</v>
      </c>
      <c r="AI11" s="46"/>
      <c r="AJ11" s="46" t="e">
        <f ca="1">IF($A11&lt;&gt;"",
IF(VLOOKUP($A11,貼り付け用!$A$1:$BA$300,COLUMN()/2+1,FALSE)=0,"",VLOOKUP($A11,貼り付け用!$A$1:$BA$300,COLUMN()/2+1,FALSE)),"")</f>
        <v>#N/A</v>
      </c>
      <c r="AK11" s="46"/>
      <c r="AL11" s="46" t="e">
        <f ca="1">IF($A11&lt;&gt;"",
IF(VLOOKUP($A11,貼り付け用!$A$1:$BA$300,COLUMN()/2+1,FALSE)=0,"",VLOOKUP($A11,貼り付け用!$A$1:$BA$300,COLUMN()/2+1,FALSE)),"")</f>
        <v>#N/A</v>
      </c>
      <c r="AM11" s="211" t="e">
        <f ca="1">IF($A11&lt;&gt;"",
IF(VLOOKUP($A11,貼り付け用!$A$1:$BA$300,COLUMN()/2+2,FALSE)=0,"",VLOOKUP($A11,貼り付け用!$A$1:$BA$300,COLUMN()/2+2,FALSE)),"")</f>
        <v>#N/A</v>
      </c>
      <c r="AN11" s="211" t="e">
        <f ca="1">IF($A11&lt;&gt;"",
IF(VLOOKUP($A11,貼り付け用!$A$1:$BA$300,COLUMN()/2+3,FALSE)=0,"",VLOOKUP($A11,貼り付け用!$A$1:$BA$300,COLUMN()/2+3,FALSE)),"")</f>
        <v>#N/A</v>
      </c>
    </row>
    <row r="12" spans="1:40" x14ac:dyDescent="0.45">
      <c r="A12" s="5" t="e" cm="1">
        <f t="array" aca="1" ref="A12" ca="1">IF(OR(COUNTIF(A10,"*合計*"),COUNTIF(A10,"")),"",INDEX(貼り付け用!$A:$A,MATCH(A10,貼り付け用!$A:$A,0)+2,0))</f>
        <v>#N/A</v>
      </c>
      <c r="B12" s="16" t="e">
        <f ca="1">IF($A12&lt;&gt;"",
IF(VLOOKUP($A12,貼り付け用!$A$1:$BA$300,COLUMN()/2+1,FALSE)=0,"",VLOOKUP($A12,貼り付け用!$A$1:$BA$300,COLUMN()/2+1,FALSE)),"")</f>
        <v>#N/A</v>
      </c>
      <c r="C12" s="58"/>
      <c r="D12" s="16" t="e">
        <f ca="1">IF($A12&lt;&gt;"",
IF(VLOOKUP($A12,貼り付け用!$A$1:$BA$300,COLUMN()/2+1,FALSE)=0,"",VLOOKUP($A12,貼り付け用!$A$1:$BA$300,COLUMN()/2+1,FALSE)),"")</f>
        <v>#N/A</v>
      </c>
      <c r="E12" s="58"/>
      <c r="F12" s="16" t="e">
        <f ca="1">IF($A12&lt;&gt;"",
IF(VLOOKUP($A12,貼り付け用!$A$1:$BA$300,COLUMN()/2+1,FALSE)=0,"",VLOOKUP($A12,貼り付け用!$A$1:$BA$300,COLUMN()/2+1,FALSE)),"")</f>
        <v>#N/A</v>
      </c>
      <c r="G12" s="58"/>
      <c r="H12" s="16" t="e">
        <f ca="1">IF($A12&lt;&gt;"",
IF(VLOOKUP($A12,貼り付け用!$A$1:$BA$300,COLUMN()/2+1,FALSE)=0,"",VLOOKUP($A12,貼り付け用!$A$1:$BA$300,COLUMN()/2+1,FALSE)),"")</f>
        <v>#N/A</v>
      </c>
      <c r="I12" s="58"/>
      <c r="J12" s="16" t="e">
        <f ca="1">IF($A12&lt;&gt;"",
IF(VLOOKUP($A12,貼り付け用!$A$1:$BA$300,COLUMN()/2+1,FALSE)=0,"",VLOOKUP($A12,貼り付け用!$A$1:$BA$300,COLUMN()/2+1,FALSE)),"")</f>
        <v>#N/A</v>
      </c>
      <c r="K12" s="58"/>
      <c r="L12" s="16" t="e">
        <f ca="1">IF($A12&lt;&gt;"",
IF(VLOOKUP($A12,貼り付け用!$A$1:$BA$300,COLUMN()/2+1,FALSE)=0,"",VLOOKUP($A12,貼り付け用!$A$1:$BA$300,COLUMN()/2+1,FALSE)),"")</f>
        <v>#N/A</v>
      </c>
      <c r="M12" s="58"/>
      <c r="N12" s="16" t="e">
        <f ca="1">IF($A12&lt;&gt;"",
IF(VLOOKUP($A12,貼り付け用!$A$1:$BA$300,COLUMN()/2+1,FALSE)=0,"",VLOOKUP($A12,貼り付け用!$A$1:$BA$300,COLUMN()/2+1,FALSE)),"")</f>
        <v>#N/A</v>
      </c>
      <c r="O12" s="58"/>
      <c r="P12" s="16" t="e">
        <f ca="1">IF($A12&lt;&gt;"",
IF(VLOOKUP($A12,貼り付け用!$A$1:$BA$300,COLUMN()/2+1,FALSE)=0,"",VLOOKUP($A12,貼り付け用!$A$1:$BA$300,COLUMN()/2+1,FALSE)),"")</f>
        <v>#N/A</v>
      </c>
      <c r="Q12" s="58"/>
      <c r="R12" s="16" t="e">
        <f ca="1">IF($A12&lt;&gt;"",
IF(VLOOKUP($A12,貼り付け用!$A$1:$BA$300,COLUMN()/2+1,FALSE)=0,"",VLOOKUP($A12,貼り付け用!$A$1:$BA$300,COLUMN()/2+1,FALSE)),"")</f>
        <v>#N/A</v>
      </c>
      <c r="S12" s="58"/>
      <c r="T12" s="16" t="e">
        <f ca="1">IF($A12&lt;&gt;"",
IF(VLOOKUP($A12,貼り付け用!$A$1:$BA$300,COLUMN()/2+1,FALSE)=0,"",VLOOKUP($A12,貼り付け用!$A$1:$BA$300,COLUMN()/2+1,FALSE)),"")</f>
        <v>#N/A</v>
      </c>
      <c r="U12" s="58"/>
      <c r="V12" s="16" t="e">
        <f ca="1">IF($A12&lt;&gt;"",
IF(VLOOKUP($A12,貼り付け用!$A$1:$BA$300,COLUMN()/2+1,FALSE)=0,"",VLOOKUP($A12,貼り付け用!$A$1:$BA$300,COLUMN()/2+1,FALSE)),"")</f>
        <v>#N/A</v>
      </c>
      <c r="W12" s="58"/>
      <c r="X12" s="16" t="e">
        <f ca="1">IF($A12&lt;&gt;"",
IF(VLOOKUP($A12,貼り付け用!$A$1:$BA$300,COLUMN()/2+1,FALSE)=0,"",VLOOKUP($A12,貼り付け用!$A$1:$BA$300,COLUMN()/2+1,FALSE)),"")</f>
        <v>#N/A</v>
      </c>
      <c r="Y12" s="58"/>
      <c r="Z12" s="16" t="e">
        <f ca="1">IF($A12&lt;&gt;"",
IF(VLOOKUP($A12,貼り付け用!$A$1:$BA$300,COLUMN()/2+1,FALSE)=0,"",VLOOKUP($A12,貼り付け用!$A$1:$BA$300,COLUMN()/2+1,FALSE)),"")</f>
        <v>#N/A</v>
      </c>
      <c r="AA12" s="58"/>
      <c r="AB12" s="16" t="e">
        <f ca="1">IF($A12&lt;&gt;"",
IF(VLOOKUP($A12,貼り付け用!$A$1:$BA$300,COLUMN()/2+1,FALSE)=0,"",VLOOKUP($A12,貼り付け用!$A$1:$BA$300,COLUMN()/2+1,FALSE)),"")</f>
        <v>#N/A</v>
      </c>
      <c r="AC12" s="58"/>
      <c r="AD12" s="16" t="e">
        <f ca="1">IF($A12&lt;&gt;"",
IF(VLOOKUP($A12,貼り付け用!$A$1:$BA$300,COLUMN()/2+1,FALSE)=0,"",VLOOKUP($A12,貼り付け用!$A$1:$BA$300,COLUMN()/2+1,FALSE)),"")</f>
        <v>#N/A</v>
      </c>
      <c r="AE12" s="58"/>
      <c r="AF12" s="16" t="e">
        <f ca="1">IF($A12&lt;&gt;"",
IF(VLOOKUP($A12,貼り付け用!$A$1:$BA$300,COLUMN()/2+1,FALSE)=0,"",VLOOKUP($A12,貼り付け用!$A$1:$BA$300,COLUMN()/2+1,FALSE)),"")</f>
        <v>#N/A</v>
      </c>
      <c r="AG12" s="58"/>
      <c r="AH12" s="16" t="e">
        <f ca="1">IF($A12&lt;&gt;"",
IF(VLOOKUP($A12,貼り付け用!$A$1:$BA$300,COLUMN()/2+1,FALSE)=0,"",VLOOKUP($A12,貼り付け用!$A$1:$BA$300,COLUMN()/2+1,FALSE)),"")</f>
        <v>#N/A</v>
      </c>
      <c r="AI12" s="58"/>
      <c r="AJ12" s="16" t="e">
        <f ca="1">IF($A12&lt;&gt;"",
IF(VLOOKUP($A12,貼り付け用!$A$1:$BA$300,COLUMN()/2+1,FALSE)=0,"",VLOOKUP($A12,貼り付け用!$A$1:$BA$300,COLUMN()/2+1,FALSE)),"")</f>
        <v>#N/A</v>
      </c>
      <c r="AK12" s="58"/>
      <c r="AL12" s="16" t="e">
        <f ca="1">IF($A12&lt;&gt;"",
IF(VLOOKUP($A12,貼り付け用!$A$1:$BA$300,COLUMN()/2+1,FALSE)=0,"",VLOOKUP($A12,貼り付け用!$A$1:$BA$300,COLUMN()/2+1,FALSE)),"")</f>
        <v>#N/A</v>
      </c>
      <c r="AM12" s="210" t="e">
        <f ca="1">IF($A12&lt;&gt;"",
IF(VLOOKUP($A12,貼り付け用!$A$1:$BA$300,COLUMN()/2+2,FALSE)=0,"",VLOOKUP($A12,貼り付け用!$A$1:$BA$300,COLUMN()/2+2,FALSE)),"")</f>
        <v>#N/A</v>
      </c>
      <c r="AN12" s="210" t="e">
        <f ca="1">IF($A12&lt;&gt;"",
IF(VLOOKUP($A12,貼り付け用!$A$1:$BA$300,COLUMN()/2+3,FALSE)=0,"",VLOOKUP($A12,貼り付け用!$A$1:$BA$300,COLUMN()/2+3,FALSE)),"")</f>
        <v>#N/A</v>
      </c>
    </row>
    <row r="13" spans="1:40" x14ac:dyDescent="0.45">
      <c r="A13" s="8" t="e" cm="1">
        <f t="array" aca="1" ref="A13" ca="1">IF(OR(COUNTIF(A11,"*1000*"),COUNTIF(A11,"")),"",INDEX(貼り付け用!$A:$A,MATCH(A11,貼り付け用!$A:$A,0)+2,0))</f>
        <v>#N/A</v>
      </c>
      <c r="B13" s="46" t="e">
        <f ca="1">IF($A13&lt;&gt;"",
IF(VLOOKUP($A13,貼り付け用!$A$1:$BA$300,COLUMN()/2+1,FALSE)=0,"",VLOOKUP($A13,貼り付け用!$A$1:$BA$300,COLUMN()/2+1,FALSE)),"")</f>
        <v>#N/A</v>
      </c>
      <c r="C13" s="46"/>
      <c r="D13" s="46" t="e">
        <f ca="1">IF($A13&lt;&gt;"",
IF(VLOOKUP($A13,貼り付け用!$A$1:$BA$300,COLUMN()/2+1,FALSE)=0,"",VLOOKUP($A13,貼り付け用!$A$1:$BA$300,COLUMN()/2+1,FALSE)),"")</f>
        <v>#N/A</v>
      </c>
      <c r="E13" s="46"/>
      <c r="F13" s="46" t="e">
        <f ca="1">IF($A13&lt;&gt;"",
IF(VLOOKUP($A13,貼り付け用!$A$1:$BA$300,COLUMN()/2+1,FALSE)=0,"",VLOOKUP($A13,貼り付け用!$A$1:$BA$300,COLUMN()/2+1,FALSE)),"")</f>
        <v>#N/A</v>
      </c>
      <c r="G13" s="46"/>
      <c r="H13" s="46" t="e">
        <f ca="1">IF($A13&lt;&gt;"",
IF(VLOOKUP($A13,貼り付け用!$A$1:$BA$300,COLUMN()/2+1,FALSE)=0,"",VLOOKUP($A13,貼り付け用!$A$1:$BA$300,COLUMN()/2+1,FALSE)),"")</f>
        <v>#N/A</v>
      </c>
      <c r="I13" s="46"/>
      <c r="J13" s="46" t="e">
        <f ca="1">IF($A13&lt;&gt;"",
IF(VLOOKUP($A13,貼り付け用!$A$1:$BA$300,COLUMN()/2+1,FALSE)=0,"",VLOOKUP($A13,貼り付け用!$A$1:$BA$300,COLUMN()/2+1,FALSE)),"")</f>
        <v>#N/A</v>
      </c>
      <c r="K13" s="46"/>
      <c r="L13" s="46" t="e">
        <f ca="1">IF($A13&lt;&gt;"",
IF(VLOOKUP($A13,貼り付け用!$A$1:$BA$300,COLUMN()/2+1,FALSE)=0,"",VLOOKUP($A13,貼り付け用!$A$1:$BA$300,COLUMN()/2+1,FALSE)),"")</f>
        <v>#N/A</v>
      </c>
      <c r="M13" s="46"/>
      <c r="N13" s="46" t="e">
        <f ca="1">IF($A13&lt;&gt;"",
IF(VLOOKUP($A13,貼り付け用!$A$1:$BA$300,COLUMN()/2+1,FALSE)=0,"",VLOOKUP($A13,貼り付け用!$A$1:$BA$300,COLUMN()/2+1,FALSE)),"")</f>
        <v>#N/A</v>
      </c>
      <c r="O13" s="46"/>
      <c r="P13" s="46" t="e">
        <f ca="1">IF($A13&lt;&gt;"",
IF(VLOOKUP($A13,貼り付け用!$A$1:$BA$300,COLUMN()/2+1,FALSE)=0,"",VLOOKUP($A13,貼り付け用!$A$1:$BA$300,COLUMN()/2+1,FALSE)),"")</f>
        <v>#N/A</v>
      </c>
      <c r="Q13" s="46"/>
      <c r="R13" s="46" t="e">
        <f ca="1">IF($A13&lt;&gt;"",
IF(VLOOKUP($A13,貼り付け用!$A$1:$BA$300,COLUMN()/2+1,FALSE)=0,"",VLOOKUP($A13,貼り付け用!$A$1:$BA$300,COLUMN()/2+1,FALSE)),"")</f>
        <v>#N/A</v>
      </c>
      <c r="S13" s="46"/>
      <c r="T13" s="46" t="e">
        <f ca="1">IF($A13&lt;&gt;"",
IF(VLOOKUP($A13,貼り付け用!$A$1:$BA$300,COLUMN()/2+1,FALSE)=0,"",VLOOKUP($A13,貼り付け用!$A$1:$BA$300,COLUMN()/2+1,FALSE)),"")</f>
        <v>#N/A</v>
      </c>
      <c r="U13" s="46"/>
      <c r="V13" s="46" t="e">
        <f ca="1">IF($A13&lt;&gt;"",
IF(VLOOKUP($A13,貼り付け用!$A$1:$BA$300,COLUMN()/2+1,FALSE)=0,"",VLOOKUP($A13,貼り付け用!$A$1:$BA$300,COLUMN()/2+1,FALSE)),"")</f>
        <v>#N/A</v>
      </c>
      <c r="W13" s="46"/>
      <c r="X13" s="46" t="e">
        <f ca="1">IF($A13&lt;&gt;"",
IF(VLOOKUP($A13,貼り付け用!$A$1:$BA$300,COLUMN()/2+1,FALSE)=0,"",VLOOKUP($A13,貼り付け用!$A$1:$BA$300,COLUMN()/2+1,FALSE)),"")</f>
        <v>#N/A</v>
      </c>
      <c r="Y13" s="46"/>
      <c r="Z13" s="46" t="e">
        <f ca="1">IF($A13&lt;&gt;"",
IF(VLOOKUP($A13,貼り付け用!$A$1:$BA$300,COLUMN()/2+1,FALSE)=0,"",VLOOKUP($A13,貼り付け用!$A$1:$BA$300,COLUMN()/2+1,FALSE)),"")</f>
        <v>#N/A</v>
      </c>
      <c r="AA13" s="46"/>
      <c r="AB13" s="46" t="e">
        <f ca="1">IF($A13&lt;&gt;"",
IF(VLOOKUP($A13,貼り付け用!$A$1:$BA$300,COLUMN()/2+1,FALSE)=0,"",VLOOKUP($A13,貼り付け用!$A$1:$BA$300,COLUMN()/2+1,FALSE)),"")</f>
        <v>#N/A</v>
      </c>
      <c r="AC13" s="46"/>
      <c r="AD13" s="46" t="e">
        <f ca="1">IF($A13&lt;&gt;"",
IF(VLOOKUP($A13,貼り付け用!$A$1:$BA$300,COLUMN()/2+1,FALSE)=0,"",VLOOKUP($A13,貼り付け用!$A$1:$BA$300,COLUMN()/2+1,FALSE)),"")</f>
        <v>#N/A</v>
      </c>
      <c r="AE13" s="46"/>
      <c r="AF13" s="46" t="e">
        <f ca="1">IF($A13&lt;&gt;"",
IF(VLOOKUP($A13,貼り付け用!$A$1:$BA$300,COLUMN()/2+1,FALSE)=0,"",VLOOKUP($A13,貼り付け用!$A$1:$BA$300,COLUMN()/2+1,FALSE)),"")</f>
        <v>#N/A</v>
      </c>
      <c r="AG13" s="46"/>
      <c r="AH13" s="46" t="e">
        <f ca="1">IF($A13&lt;&gt;"",
IF(VLOOKUP($A13,貼り付け用!$A$1:$BA$300,COLUMN()/2+1,FALSE)=0,"",VLOOKUP($A13,貼り付け用!$A$1:$BA$300,COLUMN()/2+1,FALSE)),"")</f>
        <v>#N/A</v>
      </c>
      <c r="AI13" s="46"/>
      <c r="AJ13" s="46" t="e">
        <f ca="1">IF($A13&lt;&gt;"",
IF(VLOOKUP($A13,貼り付け用!$A$1:$BA$300,COLUMN()/2+1,FALSE)=0,"",VLOOKUP($A13,貼り付け用!$A$1:$BA$300,COLUMN()/2+1,FALSE)),"")</f>
        <v>#N/A</v>
      </c>
      <c r="AK13" s="46"/>
      <c r="AL13" s="46" t="e">
        <f ca="1">IF($A13&lt;&gt;"",
IF(VLOOKUP($A13,貼り付け用!$A$1:$BA$300,COLUMN()/2+1,FALSE)=0,"",VLOOKUP($A13,貼り付け用!$A$1:$BA$300,COLUMN()/2+1,FALSE)),"")</f>
        <v>#N/A</v>
      </c>
      <c r="AM13" s="211" t="e">
        <f ca="1">IF($A13&lt;&gt;"",
IF(VLOOKUP($A13,貼り付け用!$A$1:$BA$300,COLUMN()/2+2,FALSE)=0,"",VLOOKUP($A13,貼り付け用!$A$1:$BA$300,COLUMN()/2+2,FALSE)),"")</f>
        <v>#N/A</v>
      </c>
      <c r="AN13" s="211" t="e">
        <f ca="1">IF($A13&lt;&gt;"",
IF(VLOOKUP($A13,貼り付け用!$A$1:$BA$300,COLUMN()/2+3,FALSE)=0,"",VLOOKUP($A13,貼り付け用!$A$1:$BA$300,COLUMN()/2+3,FALSE)),"")</f>
        <v>#N/A</v>
      </c>
    </row>
    <row r="14" spans="1:40" x14ac:dyDescent="0.45">
      <c r="A14" s="5" t="e" cm="1">
        <f t="array" aca="1" ref="A14" ca="1">IF(OR(COUNTIF(A12,"*合計*"),COUNTIF(A12,"")),"",INDEX(貼り付け用!$A:$A,MATCH(A12,貼り付け用!$A:$A,0)+2,0))</f>
        <v>#N/A</v>
      </c>
      <c r="B14" s="16" t="e">
        <f ca="1">IF($A14&lt;&gt;"",
IF(VLOOKUP($A14,貼り付け用!$A$1:$BA$300,COLUMN()/2+1,FALSE)=0,"",VLOOKUP($A14,貼り付け用!$A$1:$BA$300,COLUMN()/2+1,FALSE)),"")</f>
        <v>#N/A</v>
      </c>
      <c r="C14" s="58"/>
      <c r="D14" s="16" t="e">
        <f ca="1">IF($A14&lt;&gt;"",
IF(VLOOKUP($A14,貼り付け用!$A$1:$BA$300,COLUMN()/2+1,FALSE)=0,"",VLOOKUP($A14,貼り付け用!$A$1:$BA$300,COLUMN()/2+1,FALSE)),"")</f>
        <v>#N/A</v>
      </c>
      <c r="E14" s="58"/>
      <c r="F14" s="16" t="e">
        <f ca="1">IF($A14&lt;&gt;"",
IF(VLOOKUP($A14,貼り付け用!$A$1:$BA$300,COLUMN()/2+1,FALSE)=0,"",VLOOKUP($A14,貼り付け用!$A$1:$BA$300,COLUMN()/2+1,FALSE)),"")</f>
        <v>#N/A</v>
      </c>
      <c r="G14" s="58"/>
      <c r="H14" s="16" t="e">
        <f ca="1">IF($A14&lt;&gt;"",
IF(VLOOKUP($A14,貼り付け用!$A$1:$BA$300,COLUMN()/2+1,FALSE)=0,"",VLOOKUP($A14,貼り付け用!$A$1:$BA$300,COLUMN()/2+1,FALSE)),"")</f>
        <v>#N/A</v>
      </c>
      <c r="I14" s="58"/>
      <c r="J14" s="16" t="e">
        <f ca="1">IF($A14&lt;&gt;"",
IF(VLOOKUP($A14,貼り付け用!$A$1:$BA$300,COLUMN()/2+1,FALSE)=0,"",VLOOKUP($A14,貼り付け用!$A$1:$BA$300,COLUMN()/2+1,FALSE)),"")</f>
        <v>#N/A</v>
      </c>
      <c r="K14" s="58"/>
      <c r="L14" s="16" t="e">
        <f ca="1">IF($A14&lt;&gt;"",
IF(VLOOKUP($A14,貼り付け用!$A$1:$BA$300,COLUMN()/2+1,FALSE)=0,"",VLOOKUP($A14,貼り付け用!$A$1:$BA$300,COLUMN()/2+1,FALSE)),"")</f>
        <v>#N/A</v>
      </c>
      <c r="M14" s="58"/>
      <c r="N14" s="16" t="e">
        <f ca="1">IF($A14&lt;&gt;"",
IF(VLOOKUP($A14,貼り付け用!$A$1:$BA$300,COLUMN()/2+1,FALSE)=0,"",VLOOKUP($A14,貼り付け用!$A$1:$BA$300,COLUMN()/2+1,FALSE)),"")</f>
        <v>#N/A</v>
      </c>
      <c r="O14" s="58"/>
      <c r="P14" s="16" t="e">
        <f ca="1">IF($A14&lt;&gt;"",
IF(VLOOKUP($A14,貼り付け用!$A$1:$BA$300,COLUMN()/2+1,FALSE)=0,"",VLOOKUP($A14,貼り付け用!$A$1:$BA$300,COLUMN()/2+1,FALSE)),"")</f>
        <v>#N/A</v>
      </c>
      <c r="Q14" s="58"/>
      <c r="R14" s="16" t="e">
        <f ca="1">IF($A14&lt;&gt;"",
IF(VLOOKUP($A14,貼り付け用!$A$1:$BA$300,COLUMN()/2+1,FALSE)=0,"",VLOOKUP($A14,貼り付け用!$A$1:$BA$300,COLUMN()/2+1,FALSE)),"")</f>
        <v>#N/A</v>
      </c>
      <c r="S14" s="58"/>
      <c r="T14" s="16" t="e">
        <f ca="1">IF($A14&lt;&gt;"",
IF(VLOOKUP($A14,貼り付け用!$A$1:$BA$300,COLUMN()/2+1,FALSE)=0,"",VLOOKUP($A14,貼り付け用!$A$1:$BA$300,COLUMN()/2+1,FALSE)),"")</f>
        <v>#N/A</v>
      </c>
      <c r="U14" s="58"/>
      <c r="V14" s="16" t="e">
        <f ca="1">IF($A14&lt;&gt;"",
IF(VLOOKUP($A14,貼り付け用!$A$1:$BA$300,COLUMN()/2+1,FALSE)=0,"",VLOOKUP($A14,貼り付け用!$A$1:$BA$300,COLUMN()/2+1,FALSE)),"")</f>
        <v>#N/A</v>
      </c>
      <c r="W14" s="58"/>
      <c r="X14" s="16" t="e">
        <f ca="1">IF($A14&lt;&gt;"",
IF(VLOOKUP($A14,貼り付け用!$A$1:$BA$300,COLUMN()/2+1,FALSE)=0,"",VLOOKUP($A14,貼り付け用!$A$1:$BA$300,COLUMN()/2+1,FALSE)),"")</f>
        <v>#N/A</v>
      </c>
      <c r="Y14" s="58"/>
      <c r="Z14" s="16" t="e">
        <f ca="1">IF($A14&lt;&gt;"",
IF(VLOOKUP($A14,貼り付け用!$A$1:$BA$300,COLUMN()/2+1,FALSE)=0,"",VLOOKUP($A14,貼り付け用!$A$1:$BA$300,COLUMN()/2+1,FALSE)),"")</f>
        <v>#N/A</v>
      </c>
      <c r="AA14" s="58"/>
      <c r="AB14" s="16" t="e">
        <f ca="1">IF($A14&lt;&gt;"",
IF(VLOOKUP($A14,貼り付け用!$A$1:$BA$300,COLUMN()/2+1,FALSE)=0,"",VLOOKUP($A14,貼り付け用!$A$1:$BA$300,COLUMN()/2+1,FALSE)),"")</f>
        <v>#N/A</v>
      </c>
      <c r="AC14" s="58"/>
      <c r="AD14" s="16" t="e">
        <f ca="1">IF($A14&lt;&gt;"",
IF(VLOOKUP($A14,貼り付け用!$A$1:$BA$300,COLUMN()/2+1,FALSE)=0,"",VLOOKUP($A14,貼り付け用!$A$1:$BA$300,COLUMN()/2+1,FALSE)),"")</f>
        <v>#N/A</v>
      </c>
      <c r="AE14" s="58"/>
      <c r="AF14" s="16" t="e">
        <f ca="1">IF($A14&lt;&gt;"",
IF(VLOOKUP($A14,貼り付け用!$A$1:$BA$300,COLUMN()/2+1,FALSE)=0,"",VLOOKUP($A14,貼り付け用!$A$1:$BA$300,COLUMN()/2+1,FALSE)),"")</f>
        <v>#N/A</v>
      </c>
      <c r="AG14" s="58"/>
      <c r="AH14" s="16" t="e">
        <f ca="1">IF($A14&lt;&gt;"",
IF(VLOOKUP($A14,貼り付け用!$A$1:$BA$300,COLUMN()/2+1,FALSE)=0,"",VLOOKUP($A14,貼り付け用!$A$1:$BA$300,COLUMN()/2+1,FALSE)),"")</f>
        <v>#N/A</v>
      </c>
      <c r="AI14" s="58"/>
      <c r="AJ14" s="16" t="e">
        <f ca="1">IF($A14&lt;&gt;"",
IF(VLOOKUP($A14,貼り付け用!$A$1:$BA$300,COLUMN()/2+1,FALSE)=0,"",VLOOKUP($A14,貼り付け用!$A$1:$BA$300,COLUMN()/2+1,FALSE)),"")</f>
        <v>#N/A</v>
      </c>
      <c r="AK14" s="58"/>
      <c r="AL14" s="16" t="e">
        <f ca="1">IF($A14&lt;&gt;"",
IF(VLOOKUP($A14,貼り付け用!$A$1:$BA$300,COLUMN()/2+1,FALSE)=0,"",VLOOKUP($A14,貼り付け用!$A$1:$BA$300,COLUMN()/2+1,FALSE)),"")</f>
        <v>#N/A</v>
      </c>
      <c r="AM14" s="210" t="e">
        <f ca="1">IF($A14&lt;&gt;"",
IF(VLOOKUP($A14,貼り付け用!$A$1:$BA$300,COLUMN()/2+2,FALSE)=0,"",VLOOKUP($A14,貼り付け用!$A$1:$BA$300,COLUMN()/2+2,FALSE)),"")</f>
        <v>#N/A</v>
      </c>
      <c r="AN14" s="210" t="e">
        <f ca="1">IF($A14&lt;&gt;"",
IF(VLOOKUP($A14,貼り付け用!$A$1:$BA$300,COLUMN()/2+3,FALSE)=0,"",VLOOKUP($A14,貼り付け用!$A$1:$BA$300,COLUMN()/2+3,FALSE)),"")</f>
        <v>#N/A</v>
      </c>
    </row>
    <row r="15" spans="1:40" x14ac:dyDescent="0.45">
      <c r="A15" s="8" t="e" cm="1">
        <f t="array" aca="1" ref="A15" ca="1">IF(OR(COUNTIF(A13,"*1000*"),COUNTIF(A13,"")),"",INDEX(貼り付け用!$A:$A,MATCH(A13,貼り付け用!$A:$A,0)+2,0))</f>
        <v>#N/A</v>
      </c>
      <c r="B15" s="46" t="e">
        <f ca="1">IF($A15&lt;&gt;"",
IF(VLOOKUP($A15,貼り付け用!$A$1:$BA$300,COLUMN()/2+1,FALSE)=0,"",VLOOKUP($A15,貼り付け用!$A$1:$BA$300,COLUMN()/2+1,FALSE)),"")</f>
        <v>#N/A</v>
      </c>
      <c r="C15" s="46"/>
      <c r="D15" s="46" t="e">
        <f ca="1">IF($A15&lt;&gt;"",
IF(VLOOKUP($A15,貼り付け用!$A$1:$BA$300,COLUMN()/2+1,FALSE)=0,"",VLOOKUP($A15,貼り付け用!$A$1:$BA$300,COLUMN()/2+1,FALSE)),"")</f>
        <v>#N/A</v>
      </c>
      <c r="E15" s="46"/>
      <c r="F15" s="46" t="e">
        <f ca="1">IF($A15&lt;&gt;"",
IF(VLOOKUP($A15,貼り付け用!$A$1:$BA$300,COLUMN()/2+1,FALSE)=0,"",VLOOKUP($A15,貼り付け用!$A$1:$BA$300,COLUMN()/2+1,FALSE)),"")</f>
        <v>#N/A</v>
      </c>
      <c r="G15" s="46"/>
      <c r="H15" s="46" t="e">
        <f ca="1">IF($A15&lt;&gt;"",
IF(VLOOKUP($A15,貼り付け用!$A$1:$BA$300,COLUMN()/2+1,FALSE)=0,"",VLOOKUP($A15,貼り付け用!$A$1:$BA$300,COLUMN()/2+1,FALSE)),"")</f>
        <v>#N/A</v>
      </c>
      <c r="I15" s="46"/>
      <c r="J15" s="46" t="e">
        <f ca="1">IF($A15&lt;&gt;"",
IF(VLOOKUP($A15,貼り付け用!$A$1:$BA$300,COLUMN()/2+1,FALSE)=0,"",VLOOKUP($A15,貼り付け用!$A$1:$BA$300,COLUMN()/2+1,FALSE)),"")</f>
        <v>#N/A</v>
      </c>
      <c r="K15" s="46"/>
      <c r="L15" s="46" t="e">
        <f ca="1">IF($A15&lt;&gt;"",
IF(VLOOKUP($A15,貼り付け用!$A$1:$BA$300,COLUMN()/2+1,FALSE)=0,"",VLOOKUP($A15,貼り付け用!$A$1:$BA$300,COLUMN()/2+1,FALSE)),"")</f>
        <v>#N/A</v>
      </c>
      <c r="M15" s="46"/>
      <c r="N15" s="46" t="e">
        <f ca="1">IF($A15&lt;&gt;"",
IF(VLOOKUP($A15,貼り付け用!$A$1:$BA$300,COLUMN()/2+1,FALSE)=0,"",VLOOKUP($A15,貼り付け用!$A$1:$BA$300,COLUMN()/2+1,FALSE)),"")</f>
        <v>#N/A</v>
      </c>
      <c r="O15" s="46"/>
      <c r="P15" s="46" t="e">
        <f ca="1">IF($A15&lt;&gt;"",
IF(VLOOKUP($A15,貼り付け用!$A$1:$BA$300,COLUMN()/2+1,FALSE)=0,"",VLOOKUP($A15,貼り付け用!$A$1:$BA$300,COLUMN()/2+1,FALSE)),"")</f>
        <v>#N/A</v>
      </c>
      <c r="Q15" s="46"/>
      <c r="R15" s="46" t="e">
        <f ca="1">IF($A15&lt;&gt;"",
IF(VLOOKUP($A15,貼り付け用!$A$1:$BA$300,COLUMN()/2+1,FALSE)=0,"",VLOOKUP($A15,貼り付け用!$A$1:$BA$300,COLUMN()/2+1,FALSE)),"")</f>
        <v>#N/A</v>
      </c>
      <c r="S15" s="46"/>
      <c r="T15" s="46" t="e">
        <f ca="1">IF($A15&lt;&gt;"",
IF(VLOOKUP($A15,貼り付け用!$A$1:$BA$300,COLUMN()/2+1,FALSE)=0,"",VLOOKUP($A15,貼り付け用!$A$1:$BA$300,COLUMN()/2+1,FALSE)),"")</f>
        <v>#N/A</v>
      </c>
      <c r="U15" s="46"/>
      <c r="V15" s="46" t="e">
        <f ca="1">IF($A15&lt;&gt;"",
IF(VLOOKUP($A15,貼り付け用!$A$1:$BA$300,COLUMN()/2+1,FALSE)=0,"",VLOOKUP($A15,貼り付け用!$A$1:$BA$300,COLUMN()/2+1,FALSE)),"")</f>
        <v>#N/A</v>
      </c>
      <c r="W15" s="46"/>
      <c r="X15" s="46" t="e">
        <f ca="1">IF($A15&lt;&gt;"",
IF(VLOOKUP($A15,貼り付け用!$A$1:$BA$300,COLUMN()/2+1,FALSE)=0,"",VLOOKUP($A15,貼り付け用!$A$1:$BA$300,COLUMN()/2+1,FALSE)),"")</f>
        <v>#N/A</v>
      </c>
      <c r="Y15" s="46"/>
      <c r="Z15" s="46" t="e">
        <f ca="1">IF($A15&lt;&gt;"",
IF(VLOOKUP($A15,貼り付け用!$A$1:$BA$300,COLUMN()/2+1,FALSE)=0,"",VLOOKUP($A15,貼り付け用!$A$1:$BA$300,COLUMN()/2+1,FALSE)),"")</f>
        <v>#N/A</v>
      </c>
      <c r="AA15" s="46"/>
      <c r="AB15" s="46" t="e">
        <f ca="1">IF($A15&lt;&gt;"",
IF(VLOOKUP($A15,貼り付け用!$A$1:$BA$300,COLUMN()/2+1,FALSE)=0,"",VLOOKUP($A15,貼り付け用!$A$1:$BA$300,COLUMN()/2+1,FALSE)),"")</f>
        <v>#N/A</v>
      </c>
      <c r="AC15" s="46"/>
      <c r="AD15" s="46" t="e">
        <f ca="1">IF($A15&lt;&gt;"",
IF(VLOOKUP($A15,貼り付け用!$A$1:$BA$300,COLUMN()/2+1,FALSE)=0,"",VLOOKUP($A15,貼り付け用!$A$1:$BA$300,COLUMN()/2+1,FALSE)),"")</f>
        <v>#N/A</v>
      </c>
      <c r="AE15" s="46"/>
      <c r="AF15" s="46" t="e">
        <f ca="1">IF($A15&lt;&gt;"",
IF(VLOOKUP($A15,貼り付け用!$A$1:$BA$300,COLUMN()/2+1,FALSE)=0,"",VLOOKUP($A15,貼り付け用!$A$1:$BA$300,COLUMN()/2+1,FALSE)),"")</f>
        <v>#N/A</v>
      </c>
      <c r="AG15" s="46"/>
      <c r="AH15" s="46" t="e">
        <f ca="1">IF($A15&lt;&gt;"",
IF(VLOOKUP($A15,貼り付け用!$A$1:$BA$300,COLUMN()/2+1,FALSE)=0,"",VLOOKUP($A15,貼り付け用!$A$1:$BA$300,COLUMN()/2+1,FALSE)),"")</f>
        <v>#N/A</v>
      </c>
      <c r="AI15" s="46"/>
      <c r="AJ15" s="46" t="e">
        <f ca="1">IF($A15&lt;&gt;"",
IF(VLOOKUP($A15,貼り付け用!$A$1:$BA$300,COLUMN()/2+1,FALSE)=0,"",VLOOKUP($A15,貼り付け用!$A$1:$BA$300,COLUMN()/2+1,FALSE)),"")</f>
        <v>#N/A</v>
      </c>
      <c r="AK15" s="46"/>
      <c r="AL15" s="46" t="e">
        <f ca="1">IF($A15&lt;&gt;"",
IF(VLOOKUP($A15,貼り付け用!$A$1:$BA$300,COLUMN()/2+1,FALSE)=0,"",VLOOKUP($A15,貼り付け用!$A$1:$BA$300,COLUMN()/2+1,FALSE)),"")</f>
        <v>#N/A</v>
      </c>
      <c r="AM15" s="211" t="e">
        <f ca="1">IF($A15&lt;&gt;"",
IF(VLOOKUP($A15,貼り付け用!$A$1:$BA$300,COLUMN()/2+2,FALSE)=0,"",VLOOKUP($A15,貼り付け用!$A$1:$BA$300,COLUMN()/2+2,FALSE)),"")</f>
        <v>#N/A</v>
      </c>
      <c r="AN15" s="211" t="e">
        <f ca="1">IF($A15&lt;&gt;"",
IF(VLOOKUP($A15,貼り付け用!$A$1:$BA$300,COLUMN()/2+3,FALSE)=0,"",VLOOKUP($A15,貼り付け用!$A$1:$BA$300,COLUMN()/2+3,FALSE)),"")</f>
        <v>#N/A</v>
      </c>
    </row>
    <row r="16" spans="1:40" x14ac:dyDescent="0.45">
      <c r="A16" s="5" t="e" cm="1">
        <f t="array" aca="1" ref="A16" ca="1">IF(OR(COUNTIF(A14,"*合計*"),COUNTIF(A14,"")),"",INDEX(貼り付け用!$A:$A,MATCH(A14,貼り付け用!$A:$A,0)+2,0))</f>
        <v>#N/A</v>
      </c>
      <c r="B16" s="16" t="e">
        <f ca="1">IF($A16&lt;&gt;"",
IF(VLOOKUP($A16,貼り付け用!$A$1:$BA$300,COLUMN()/2+1,FALSE)=0,"",VLOOKUP($A16,貼り付け用!$A$1:$BA$300,COLUMN()/2+1,FALSE)),"")</f>
        <v>#N/A</v>
      </c>
      <c r="C16" s="58"/>
      <c r="D16" s="16" t="e">
        <f ca="1">IF($A16&lt;&gt;"",
IF(VLOOKUP($A16,貼り付け用!$A$1:$BA$300,COLUMN()/2+1,FALSE)=0,"",VLOOKUP($A16,貼り付け用!$A$1:$BA$300,COLUMN()/2+1,FALSE)),"")</f>
        <v>#N/A</v>
      </c>
      <c r="E16" s="58"/>
      <c r="F16" s="16" t="e">
        <f ca="1">IF($A16&lt;&gt;"",
IF(VLOOKUP($A16,貼り付け用!$A$1:$BA$300,COLUMN()/2+1,FALSE)=0,"",VLOOKUP($A16,貼り付け用!$A$1:$BA$300,COLUMN()/2+1,FALSE)),"")</f>
        <v>#N/A</v>
      </c>
      <c r="G16" s="58"/>
      <c r="H16" s="16" t="e">
        <f ca="1">IF($A16&lt;&gt;"",
IF(VLOOKUP($A16,貼り付け用!$A$1:$BA$300,COLUMN()/2+1,FALSE)=0,"",VLOOKUP($A16,貼り付け用!$A$1:$BA$300,COLUMN()/2+1,FALSE)),"")</f>
        <v>#N/A</v>
      </c>
      <c r="I16" s="58"/>
      <c r="J16" s="16" t="e">
        <f ca="1">IF($A16&lt;&gt;"",
IF(VLOOKUP($A16,貼り付け用!$A$1:$BA$300,COLUMN()/2+1,FALSE)=0,"",VLOOKUP($A16,貼り付け用!$A$1:$BA$300,COLUMN()/2+1,FALSE)),"")</f>
        <v>#N/A</v>
      </c>
      <c r="K16" s="58"/>
      <c r="L16" s="16" t="e">
        <f ca="1">IF($A16&lt;&gt;"",
IF(VLOOKUP($A16,貼り付け用!$A$1:$BA$300,COLUMN()/2+1,FALSE)=0,"",VLOOKUP($A16,貼り付け用!$A$1:$BA$300,COLUMN()/2+1,FALSE)),"")</f>
        <v>#N/A</v>
      </c>
      <c r="M16" s="58"/>
      <c r="N16" s="16" t="e">
        <f ca="1">IF($A16&lt;&gt;"",
IF(VLOOKUP($A16,貼り付け用!$A$1:$BA$300,COLUMN()/2+1,FALSE)=0,"",VLOOKUP($A16,貼り付け用!$A$1:$BA$300,COLUMN()/2+1,FALSE)),"")</f>
        <v>#N/A</v>
      </c>
      <c r="O16" s="58"/>
      <c r="P16" s="16" t="e">
        <f ca="1">IF($A16&lt;&gt;"",
IF(VLOOKUP($A16,貼り付け用!$A$1:$BA$300,COLUMN()/2+1,FALSE)=0,"",VLOOKUP($A16,貼り付け用!$A$1:$BA$300,COLUMN()/2+1,FALSE)),"")</f>
        <v>#N/A</v>
      </c>
      <c r="Q16" s="58"/>
      <c r="R16" s="16" t="e">
        <f ca="1">IF($A16&lt;&gt;"",
IF(VLOOKUP($A16,貼り付け用!$A$1:$BA$300,COLUMN()/2+1,FALSE)=0,"",VLOOKUP($A16,貼り付け用!$A$1:$BA$300,COLUMN()/2+1,FALSE)),"")</f>
        <v>#N/A</v>
      </c>
      <c r="S16" s="58"/>
      <c r="T16" s="16" t="e">
        <f ca="1">IF($A16&lt;&gt;"",
IF(VLOOKUP($A16,貼り付け用!$A$1:$BA$300,COLUMN()/2+1,FALSE)=0,"",VLOOKUP($A16,貼り付け用!$A$1:$BA$300,COLUMN()/2+1,FALSE)),"")</f>
        <v>#N/A</v>
      </c>
      <c r="U16" s="58"/>
      <c r="V16" s="16" t="e">
        <f ca="1">IF($A16&lt;&gt;"",
IF(VLOOKUP($A16,貼り付け用!$A$1:$BA$300,COLUMN()/2+1,FALSE)=0,"",VLOOKUP($A16,貼り付け用!$A$1:$BA$300,COLUMN()/2+1,FALSE)),"")</f>
        <v>#N/A</v>
      </c>
      <c r="W16" s="58"/>
      <c r="X16" s="16" t="e">
        <f ca="1">IF($A16&lt;&gt;"",
IF(VLOOKUP($A16,貼り付け用!$A$1:$BA$300,COLUMN()/2+1,FALSE)=0,"",VLOOKUP($A16,貼り付け用!$A$1:$BA$300,COLUMN()/2+1,FALSE)),"")</f>
        <v>#N/A</v>
      </c>
      <c r="Y16" s="58"/>
      <c r="Z16" s="16" t="e">
        <f ca="1">IF($A16&lt;&gt;"",
IF(VLOOKUP($A16,貼り付け用!$A$1:$BA$300,COLUMN()/2+1,FALSE)=0,"",VLOOKUP($A16,貼り付け用!$A$1:$BA$300,COLUMN()/2+1,FALSE)),"")</f>
        <v>#N/A</v>
      </c>
      <c r="AA16" s="58"/>
      <c r="AB16" s="16" t="e">
        <f ca="1">IF($A16&lt;&gt;"",
IF(VLOOKUP($A16,貼り付け用!$A$1:$BA$300,COLUMN()/2+1,FALSE)=0,"",VLOOKUP($A16,貼り付け用!$A$1:$BA$300,COLUMN()/2+1,FALSE)),"")</f>
        <v>#N/A</v>
      </c>
      <c r="AC16" s="58"/>
      <c r="AD16" s="16" t="e">
        <f ca="1">IF($A16&lt;&gt;"",
IF(VLOOKUP($A16,貼り付け用!$A$1:$BA$300,COLUMN()/2+1,FALSE)=0,"",VLOOKUP($A16,貼り付け用!$A$1:$BA$300,COLUMN()/2+1,FALSE)),"")</f>
        <v>#N/A</v>
      </c>
      <c r="AE16" s="58"/>
      <c r="AF16" s="16" t="e">
        <f ca="1">IF($A16&lt;&gt;"",
IF(VLOOKUP($A16,貼り付け用!$A$1:$BA$300,COLUMN()/2+1,FALSE)=0,"",VLOOKUP($A16,貼り付け用!$A$1:$BA$300,COLUMN()/2+1,FALSE)),"")</f>
        <v>#N/A</v>
      </c>
      <c r="AG16" s="58"/>
      <c r="AH16" s="16" t="e">
        <f ca="1">IF($A16&lt;&gt;"",
IF(VLOOKUP($A16,貼り付け用!$A$1:$BA$300,COLUMN()/2+1,FALSE)=0,"",VLOOKUP($A16,貼り付け用!$A$1:$BA$300,COLUMN()/2+1,FALSE)),"")</f>
        <v>#N/A</v>
      </c>
      <c r="AI16" s="58"/>
      <c r="AJ16" s="16" t="e">
        <f ca="1">IF($A16&lt;&gt;"",
IF(VLOOKUP($A16,貼り付け用!$A$1:$BA$300,COLUMN()/2+1,FALSE)=0,"",VLOOKUP($A16,貼り付け用!$A$1:$BA$300,COLUMN()/2+1,FALSE)),"")</f>
        <v>#N/A</v>
      </c>
      <c r="AK16" s="58"/>
      <c r="AL16" s="16" t="e">
        <f ca="1">IF($A16&lt;&gt;"",
IF(VLOOKUP($A16,貼り付け用!$A$1:$BA$300,COLUMN()/2+1,FALSE)=0,"",VLOOKUP($A16,貼り付け用!$A$1:$BA$300,COLUMN()/2+1,FALSE)),"")</f>
        <v>#N/A</v>
      </c>
      <c r="AM16" s="210" t="e">
        <f ca="1">IF($A16&lt;&gt;"",
IF(VLOOKUP($A16,貼り付け用!$A$1:$BA$300,COLUMN()/2+2,FALSE)=0,"",VLOOKUP($A16,貼り付け用!$A$1:$BA$300,COLUMN()/2+2,FALSE)),"")</f>
        <v>#N/A</v>
      </c>
      <c r="AN16" s="210" t="e">
        <f ca="1">IF($A16&lt;&gt;"",
IF(VLOOKUP($A16,貼り付け用!$A$1:$BA$300,COLUMN()/2+3,FALSE)=0,"",VLOOKUP($A16,貼り付け用!$A$1:$BA$300,COLUMN()/2+3,FALSE)),"")</f>
        <v>#N/A</v>
      </c>
    </row>
    <row r="17" spans="1:40" x14ac:dyDescent="0.45">
      <c r="A17" s="8" t="e" cm="1">
        <f t="array" aca="1" ref="A17" ca="1">IF(OR(COUNTIF(A15,"*1000*"),COUNTIF(A15,"")),"",INDEX(貼り付け用!$A:$A,MATCH(A15,貼り付け用!$A:$A,0)+2,0))</f>
        <v>#N/A</v>
      </c>
      <c r="B17" s="46" t="e">
        <f ca="1">IF($A17&lt;&gt;"",
IF(VLOOKUP($A17,貼り付け用!$A$1:$BA$300,COLUMN()/2+1,FALSE)=0,"",VLOOKUP($A17,貼り付け用!$A$1:$BA$300,COLUMN()/2+1,FALSE)),"")</f>
        <v>#N/A</v>
      </c>
      <c r="C17" s="46"/>
      <c r="D17" s="46" t="e">
        <f ca="1">IF($A17&lt;&gt;"",
IF(VLOOKUP($A17,貼り付け用!$A$1:$BA$300,COLUMN()/2+1,FALSE)=0,"",VLOOKUP($A17,貼り付け用!$A$1:$BA$300,COLUMN()/2+1,FALSE)),"")</f>
        <v>#N/A</v>
      </c>
      <c r="E17" s="46"/>
      <c r="F17" s="46" t="e">
        <f ca="1">IF($A17&lt;&gt;"",
IF(VLOOKUP($A17,貼り付け用!$A$1:$BA$300,COLUMN()/2+1,FALSE)=0,"",VLOOKUP($A17,貼り付け用!$A$1:$BA$300,COLUMN()/2+1,FALSE)),"")</f>
        <v>#N/A</v>
      </c>
      <c r="G17" s="46"/>
      <c r="H17" s="46" t="e">
        <f ca="1">IF($A17&lt;&gt;"",
IF(VLOOKUP($A17,貼り付け用!$A$1:$BA$300,COLUMN()/2+1,FALSE)=0,"",VLOOKUP($A17,貼り付け用!$A$1:$BA$300,COLUMN()/2+1,FALSE)),"")</f>
        <v>#N/A</v>
      </c>
      <c r="I17" s="46"/>
      <c r="J17" s="46" t="e">
        <f ca="1">IF($A17&lt;&gt;"",
IF(VLOOKUP($A17,貼り付け用!$A$1:$BA$300,COLUMN()/2+1,FALSE)=0,"",VLOOKUP($A17,貼り付け用!$A$1:$BA$300,COLUMN()/2+1,FALSE)),"")</f>
        <v>#N/A</v>
      </c>
      <c r="K17" s="46"/>
      <c r="L17" s="46" t="e">
        <f ca="1">IF($A17&lt;&gt;"",
IF(VLOOKUP($A17,貼り付け用!$A$1:$BA$300,COLUMN()/2+1,FALSE)=0,"",VLOOKUP($A17,貼り付け用!$A$1:$BA$300,COLUMN()/2+1,FALSE)),"")</f>
        <v>#N/A</v>
      </c>
      <c r="M17" s="46"/>
      <c r="N17" s="46" t="e">
        <f ca="1">IF($A17&lt;&gt;"",
IF(VLOOKUP($A17,貼り付け用!$A$1:$BA$300,COLUMN()/2+1,FALSE)=0,"",VLOOKUP($A17,貼り付け用!$A$1:$BA$300,COLUMN()/2+1,FALSE)),"")</f>
        <v>#N/A</v>
      </c>
      <c r="O17" s="46"/>
      <c r="P17" s="46" t="e">
        <f ca="1">IF($A17&lt;&gt;"",
IF(VLOOKUP($A17,貼り付け用!$A$1:$BA$300,COLUMN()/2+1,FALSE)=0,"",VLOOKUP($A17,貼り付け用!$A$1:$BA$300,COLUMN()/2+1,FALSE)),"")</f>
        <v>#N/A</v>
      </c>
      <c r="Q17" s="46"/>
      <c r="R17" s="46" t="e">
        <f ca="1">IF($A17&lt;&gt;"",
IF(VLOOKUP($A17,貼り付け用!$A$1:$BA$300,COLUMN()/2+1,FALSE)=0,"",VLOOKUP($A17,貼り付け用!$A$1:$BA$300,COLUMN()/2+1,FALSE)),"")</f>
        <v>#N/A</v>
      </c>
      <c r="S17" s="46"/>
      <c r="T17" s="46" t="e">
        <f ca="1">IF($A17&lt;&gt;"",
IF(VLOOKUP($A17,貼り付け用!$A$1:$BA$300,COLUMN()/2+1,FALSE)=0,"",VLOOKUP($A17,貼り付け用!$A$1:$BA$300,COLUMN()/2+1,FALSE)),"")</f>
        <v>#N/A</v>
      </c>
      <c r="U17" s="46"/>
      <c r="V17" s="46" t="e">
        <f ca="1">IF($A17&lt;&gt;"",
IF(VLOOKUP($A17,貼り付け用!$A$1:$BA$300,COLUMN()/2+1,FALSE)=0,"",VLOOKUP($A17,貼り付け用!$A$1:$BA$300,COLUMN()/2+1,FALSE)),"")</f>
        <v>#N/A</v>
      </c>
      <c r="W17" s="46"/>
      <c r="X17" s="46" t="e">
        <f ca="1">IF($A17&lt;&gt;"",
IF(VLOOKUP($A17,貼り付け用!$A$1:$BA$300,COLUMN()/2+1,FALSE)=0,"",VLOOKUP($A17,貼り付け用!$A$1:$BA$300,COLUMN()/2+1,FALSE)),"")</f>
        <v>#N/A</v>
      </c>
      <c r="Y17" s="46"/>
      <c r="Z17" s="46" t="e">
        <f ca="1">IF($A17&lt;&gt;"",
IF(VLOOKUP($A17,貼り付け用!$A$1:$BA$300,COLUMN()/2+1,FALSE)=0,"",VLOOKUP($A17,貼り付け用!$A$1:$BA$300,COLUMN()/2+1,FALSE)),"")</f>
        <v>#N/A</v>
      </c>
      <c r="AA17" s="46"/>
      <c r="AB17" s="46" t="e">
        <f ca="1">IF($A17&lt;&gt;"",
IF(VLOOKUP($A17,貼り付け用!$A$1:$BA$300,COLUMN()/2+1,FALSE)=0,"",VLOOKUP($A17,貼り付け用!$A$1:$BA$300,COLUMN()/2+1,FALSE)),"")</f>
        <v>#N/A</v>
      </c>
      <c r="AC17" s="46"/>
      <c r="AD17" s="46" t="e">
        <f ca="1">IF($A17&lt;&gt;"",
IF(VLOOKUP($A17,貼り付け用!$A$1:$BA$300,COLUMN()/2+1,FALSE)=0,"",VLOOKUP($A17,貼り付け用!$A$1:$BA$300,COLUMN()/2+1,FALSE)),"")</f>
        <v>#N/A</v>
      </c>
      <c r="AE17" s="46"/>
      <c r="AF17" s="46" t="e">
        <f ca="1">IF($A17&lt;&gt;"",
IF(VLOOKUP($A17,貼り付け用!$A$1:$BA$300,COLUMN()/2+1,FALSE)=0,"",VLOOKUP($A17,貼り付け用!$A$1:$BA$300,COLUMN()/2+1,FALSE)),"")</f>
        <v>#N/A</v>
      </c>
      <c r="AG17" s="46"/>
      <c r="AH17" s="46" t="e">
        <f ca="1">IF($A17&lt;&gt;"",
IF(VLOOKUP($A17,貼り付け用!$A$1:$BA$300,COLUMN()/2+1,FALSE)=0,"",VLOOKUP($A17,貼り付け用!$A$1:$BA$300,COLUMN()/2+1,FALSE)),"")</f>
        <v>#N/A</v>
      </c>
      <c r="AI17" s="46"/>
      <c r="AJ17" s="46" t="e">
        <f ca="1">IF($A17&lt;&gt;"",
IF(VLOOKUP($A17,貼り付け用!$A$1:$BA$300,COLUMN()/2+1,FALSE)=0,"",VLOOKUP($A17,貼り付け用!$A$1:$BA$300,COLUMN()/2+1,FALSE)),"")</f>
        <v>#N/A</v>
      </c>
      <c r="AK17" s="46"/>
      <c r="AL17" s="46" t="e">
        <f ca="1">IF($A17&lt;&gt;"",
IF(VLOOKUP($A17,貼り付け用!$A$1:$BA$300,COLUMN()/2+1,FALSE)=0,"",VLOOKUP($A17,貼り付け用!$A$1:$BA$300,COLUMN()/2+1,FALSE)),"")</f>
        <v>#N/A</v>
      </c>
      <c r="AM17" s="211" t="e">
        <f ca="1">IF($A17&lt;&gt;"",
IF(VLOOKUP($A17,貼り付け用!$A$1:$BA$300,COLUMN()/2+2,FALSE)=0,"",VLOOKUP($A17,貼り付け用!$A$1:$BA$300,COLUMN()/2+2,FALSE)),"")</f>
        <v>#N/A</v>
      </c>
      <c r="AN17" s="211" t="e">
        <f ca="1">IF($A17&lt;&gt;"",
IF(VLOOKUP($A17,貼り付け用!$A$1:$BA$300,COLUMN()/2+3,FALSE)=0,"",VLOOKUP($A17,貼り付け用!$A$1:$BA$300,COLUMN()/2+3,FALSE)),"")</f>
        <v>#N/A</v>
      </c>
    </row>
    <row r="18" spans="1:40" x14ac:dyDescent="0.45">
      <c r="A18" s="5" t="e" cm="1">
        <f t="array" aca="1" ref="A18" ca="1">IF(OR(COUNTIF(A16,"*合計*"),COUNTIF(A16,"")),"",INDEX(貼り付け用!$A:$A,MATCH(A16,貼り付け用!$A:$A,0)+2,0))</f>
        <v>#N/A</v>
      </c>
      <c r="B18" s="16" t="e">
        <f ca="1">IF($A18&lt;&gt;"",
IF(VLOOKUP($A18,貼り付け用!$A$1:$BA$300,COLUMN()/2+1,FALSE)=0,"",VLOOKUP($A18,貼り付け用!$A$1:$BA$300,COLUMN()/2+1,FALSE)),"")</f>
        <v>#N/A</v>
      </c>
      <c r="C18" s="58"/>
      <c r="D18" s="16" t="e">
        <f ca="1">IF($A18&lt;&gt;"",
IF(VLOOKUP($A18,貼り付け用!$A$1:$BA$300,COLUMN()/2+1,FALSE)=0,"",VLOOKUP($A18,貼り付け用!$A$1:$BA$300,COLUMN()/2+1,FALSE)),"")</f>
        <v>#N/A</v>
      </c>
      <c r="E18" s="58"/>
      <c r="F18" s="16" t="e">
        <f ca="1">IF($A18&lt;&gt;"",
IF(VLOOKUP($A18,貼り付け用!$A$1:$BA$300,COLUMN()/2+1,FALSE)=0,"",VLOOKUP($A18,貼り付け用!$A$1:$BA$300,COLUMN()/2+1,FALSE)),"")</f>
        <v>#N/A</v>
      </c>
      <c r="G18" s="58"/>
      <c r="H18" s="16" t="e">
        <f ca="1">IF($A18&lt;&gt;"",
IF(VLOOKUP($A18,貼り付け用!$A$1:$BA$300,COLUMN()/2+1,FALSE)=0,"",VLOOKUP($A18,貼り付け用!$A$1:$BA$300,COLUMN()/2+1,FALSE)),"")</f>
        <v>#N/A</v>
      </c>
      <c r="I18" s="58"/>
      <c r="J18" s="16" t="e">
        <f ca="1">IF($A18&lt;&gt;"",
IF(VLOOKUP($A18,貼り付け用!$A$1:$BA$300,COLUMN()/2+1,FALSE)=0,"",VLOOKUP($A18,貼り付け用!$A$1:$BA$300,COLUMN()/2+1,FALSE)),"")</f>
        <v>#N/A</v>
      </c>
      <c r="K18" s="58"/>
      <c r="L18" s="16" t="e">
        <f ca="1">IF($A18&lt;&gt;"",
IF(VLOOKUP($A18,貼り付け用!$A$1:$BA$300,COLUMN()/2+1,FALSE)=0,"",VLOOKUP($A18,貼り付け用!$A$1:$BA$300,COLUMN()/2+1,FALSE)),"")</f>
        <v>#N/A</v>
      </c>
      <c r="M18" s="58"/>
      <c r="N18" s="16" t="e">
        <f ca="1">IF($A18&lt;&gt;"",
IF(VLOOKUP($A18,貼り付け用!$A$1:$BA$300,COLUMN()/2+1,FALSE)=0,"",VLOOKUP($A18,貼り付け用!$A$1:$BA$300,COLUMN()/2+1,FALSE)),"")</f>
        <v>#N/A</v>
      </c>
      <c r="O18" s="58"/>
      <c r="P18" s="16" t="e">
        <f ca="1">IF($A18&lt;&gt;"",
IF(VLOOKUP($A18,貼り付け用!$A$1:$BA$300,COLUMN()/2+1,FALSE)=0,"",VLOOKUP($A18,貼り付け用!$A$1:$BA$300,COLUMN()/2+1,FALSE)),"")</f>
        <v>#N/A</v>
      </c>
      <c r="Q18" s="58"/>
      <c r="R18" s="16" t="e">
        <f ca="1">IF($A18&lt;&gt;"",
IF(VLOOKUP($A18,貼り付け用!$A$1:$BA$300,COLUMN()/2+1,FALSE)=0,"",VLOOKUP($A18,貼り付け用!$A$1:$BA$300,COLUMN()/2+1,FALSE)),"")</f>
        <v>#N/A</v>
      </c>
      <c r="S18" s="58"/>
      <c r="T18" s="16" t="e">
        <f ca="1">IF($A18&lt;&gt;"",
IF(VLOOKUP($A18,貼り付け用!$A$1:$BA$300,COLUMN()/2+1,FALSE)=0,"",VLOOKUP($A18,貼り付け用!$A$1:$BA$300,COLUMN()/2+1,FALSE)),"")</f>
        <v>#N/A</v>
      </c>
      <c r="U18" s="58"/>
      <c r="V18" s="16" t="e">
        <f ca="1">IF($A18&lt;&gt;"",
IF(VLOOKUP($A18,貼り付け用!$A$1:$BA$300,COLUMN()/2+1,FALSE)=0,"",VLOOKUP($A18,貼り付け用!$A$1:$BA$300,COLUMN()/2+1,FALSE)),"")</f>
        <v>#N/A</v>
      </c>
      <c r="W18" s="58"/>
      <c r="X18" s="16" t="e">
        <f ca="1">IF($A18&lt;&gt;"",
IF(VLOOKUP($A18,貼り付け用!$A$1:$BA$300,COLUMN()/2+1,FALSE)=0,"",VLOOKUP($A18,貼り付け用!$A$1:$BA$300,COLUMN()/2+1,FALSE)),"")</f>
        <v>#N/A</v>
      </c>
      <c r="Y18" s="58"/>
      <c r="Z18" s="16" t="e">
        <f ca="1">IF($A18&lt;&gt;"",
IF(VLOOKUP($A18,貼り付け用!$A$1:$BA$300,COLUMN()/2+1,FALSE)=0,"",VLOOKUP($A18,貼り付け用!$A$1:$BA$300,COLUMN()/2+1,FALSE)),"")</f>
        <v>#N/A</v>
      </c>
      <c r="AA18" s="58"/>
      <c r="AB18" s="16" t="e">
        <f ca="1">IF($A18&lt;&gt;"",
IF(VLOOKUP($A18,貼り付け用!$A$1:$BA$300,COLUMN()/2+1,FALSE)=0,"",VLOOKUP($A18,貼り付け用!$A$1:$BA$300,COLUMN()/2+1,FALSE)),"")</f>
        <v>#N/A</v>
      </c>
      <c r="AC18" s="58"/>
      <c r="AD18" s="16" t="e">
        <f ca="1">IF($A18&lt;&gt;"",
IF(VLOOKUP($A18,貼り付け用!$A$1:$BA$300,COLUMN()/2+1,FALSE)=0,"",VLOOKUP($A18,貼り付け用!$A$1:$BA$300,COLUMN()/2+1,FALSE)),"")</f>
        <v>#N/A</v>
      </c>
      <c r="AE18" s="58"/>
      <c r="AF18" s="16" t="e">
        <f ca="1">IF($A18&lt;&gt;"",
IF(VLOOKUP($A18,貼り付け用!$A$1:$BA$300,COLUMN()/2+1,FALSE)=0,"",VLOOKUP($A18,貼り付け用!$A$1:$BA$300,COLUMN()/2+1,FALSE)),"")</f>
        <v>#N/A</v>
      </c>
      <c r="AG18" s="58"/>
      <c r="AH18" s="16" t="e">
        <f ca="1">IF($A18&lt;&gt;"",
IF(VLOOKUP($A18,貼り付け用!$A$1:$BA$300,COLUMN()/2+1,FALSE)=0,"",VLOOKUP($A18,貼り付け用!$A$1:$BA$300,COLUMN()/2+1,FALSE)),"")</f>
        <v>#N/A</v>
      </c>
      <c r="AI18" s="58"/>
      <c r="AJ18" s="16" t="e">
        <f ca="1">IF($A18&lt;&gt;"",
IF(VLOOKUP($A18,貼り付け用!$A$1:$BA$300,COLUMN()/2+1,FALSE)=0,"",VLOOKUP($A18,貼り付け用!$A$1:$BA$300,COLUMN()/2+1,FALSE)),"")</f>
        <v>#N/A</v>
      </c>
      <c r="AK18" s="58"/>
      <c r="AL18" s="16" t="e">
        <f ca="1">IF($A18&lt;&gt;"",
IF(VLOOKUP($A18,貼り付け用!$A$1:$BA$300,COLUMN()/2+1,FALSE)=0,"",VLOOKUP($A18,貼り付け用!$A$1:$BA$300,COLUMN()/2+1,FALSE)),"")</f>
        <v>#N/A</v>
      </c>
      <c r="AM18" s="210" t="e">
        <f ca="1">IF($A18&lt;&gt;"",
IF(VLOOKUP($A18,貼り付け用!$A$1:$BA$300,COLUMN()/2+2,FALSE)=0,"",VLOOKUP($A18,貼り付け用!$A$1:$BA$300,COLUMN()/2+2,FALSE)),"")</f>
        <v>#N/A</v>
      </c>
      <c r="AN18" s="210" t="e">
        <f ca="1">IF($A18&lt;&gt;"",
IF(VLOOKUP($A18,貼り付け用!$A$1:$BA$300,COLUMN()/2+3,FALSE)=0,"",VLOOKUP($A18,貼り付け用!$A$1:$BA$300,COLUMN()/2+3,FALSE)),"")</f>
        <v>#N/A</v>
      </c>
    </row>
    <row r="19" spans="1:40" x14ac:dyDescent="0.45">
      <c r="A19" s="8" t="e" cm="1">
        <f t="array" aca="1" ref="A19" ca="1">IF(OR(COUNTIF(A17,"*1000*"),COUNTIF(A17,"")),"",INDEX(貼り付け用!$A:$A,MATCH(A17,貼り付け用!$A:$A,0)+2,0))</f>
        <v>#N/A</v>
      </c>
      <c r="B19" s="46" t="e">
        <f ca="1">IF($A19&lt;&gt;"",
IF(VLOOKUP($A19,貼り付け用!$A$1:$BA$300,COLUMN()/2+1,FALSE)=0,"",VLOOKUP($A19,貼り付け用!$A$1:$BA$300,COLUMN()/2+1,FALSE)),"")</f>
        <v>#N/A</v>
      </c>
      <c r="C19" s="46"/>
      <c r="D19" s="46" t="e">
        <f ca="1">IF($A19&lt;&gt;"",
IF(VLOOKUP($A19,貼り付け用!$A$1:$BA$300,COLUMN()/2+1,FALSE)=0,"",VLOOKUP($A19,貼り付け用!$A$1:$BA$300,COLUMN()/2+1,FALSE)),"")</f>
        <v>#N/A</v>
      </c>
      <c r="E19" s="46"/>
      <c r="F19" s="46" t="e">
        <f ca="1">IF($A19&lt;&gt;"",
IF(VLOOKUP($A19,貼り付け用!$A$1:$BA$300,COLUMN()/2+1,FALSE)=0,"",VLOOKUP($A19,貼り付け用!$A$1:$BA$300,COLUMN()/2+1,FALSE)),"")</f>
        <v>#N/A</v>
      </c>
      <c r="G19" s="46"/>
      <c r="H19" s="46" t="e">
        <f ca="1">IF($A19&lt;&gt;"",
IF(VLOOKUP($A19,貼り付け用!$A$1:$BA$300,COLUMN()/2+1,FALSE)=0,"",VLOOKUP($A19,貼り付け用!$A$1:$BA$300,COLUMN()/2+1,FALSE)),"")</f>
        <v>#N/A</v>
      </c>
      <c r="I19" s="46"/>
      <c r="J19" s="46" t="e">
        <f ca="1">IF($A19&lt;&gt;"",
IF(VLOOKUP($A19,貼り付け用!$A$1:$BA$300,COLUMN()/2+1,FALSE)=0,"",VLOOKUP($A19,貼り付け用!$A$1:$BA$300,COLUMN()/2+1,FALSE)),"")</f>
        <v>#N/A</v>
      </c>
      <c r="K19" s="46"/>
      <c r="L19" s="46" t="e">
        <f ca="1">IF($A19&lt;&gt;"",
IF(VLOOKUP($A19,貼り付け用!$A$1:$BA$300,COLUMN()/2+1,FALSE)=0,"",VLOOKUP($A19,貼り付け用!$A$1:$BA$300,COLUMN()/2+1,FALSE)),"")</f>
        <v>#N/A</v>
      </c>
      <c r="M19" s="46"/>
      <c r="N19" s="46" t="e">
        <f ca="1">IF($A19&lt;&gt;"",
IF(VLOOKUP($A19,貼り付け用!$A$1:$BA$300,COLUMN()/2+1,FALSE)=0,"",VLOOKUP($A19,貼り付け用!$A$1:$BA$300,COLUMN()/2+1,FALSE)),"")</f>
        <v>#N/A</v>
      </c>
      <c r="O19" s="46"/>
      <c r="P19" s="46" t="e">
        <f ca="1">IF($A19&lt;&gt;"",
IF(VLOOKUP($A19,貼り付け用!$A$1:$BA$300,COLUMN()/2+1,FALSE)=0,"",VLOOKUP($A19,貼り付け用!$A$1:$BA$300,COLUMN()/2+1,FALSE)),"")</f>
        <v>#N/A</v>
      </c>
      <c r="Q19" s="46"/>
      <c r="R19" s="46" t="e">
        <f ca="1">IF($A19&lt;&gt;"",
IF(VLOOKUP($A19,貼り付け用!$A$1:$BA$300,COLUMN()/2+1,FALSE)=0,"",VLOOKUP($A19,貼り付け用!$A$1:$BA$300,COLUMN()/2+1,FALSE)),"")</f>
        <v>#N/A</v>
      </c>
      <c r="S19" s="46"/>
      <c r="T19" s="46" t="e">
        <f ca="1">IF($A19&lt;&gt;"",
IF(VLOOKUP($A19,貼り付け用!$A$1:$BA$300,COLUMN()/2+1,FALSE)=0,"",VLOOKUP($A19,貼り付け用!$A$1:$BA$300,COLUMN()/2+1,FALSE)),"")</f>
        <v>#N/A</v>
      </c>
      <c r="U19" s="46"/>
      <c r="V19" s="46" t="e">
        <f ca="1">IF($A19&lt;&gt;"",
IF(VLOOKUP($A19,貼り付け用!$A$1:$BA$300,COLUMN()/2+1,FALSE)=0,"",VLOOKUP($A19,貼り付け用!$A$1:$BA$300,COLUMN()/2+1,FALSE)),"")</f>
        <v>#N/A</v>
      </c>
      <c r="W19" s="46"/>
      <c r="X19" s="46" t="e">
        <f ca="1">IF($A19&lt;&gt;"",
IF(VLOOKUP($A19,貼り付け用!$A$1:$BA$300,COLUMN()/2+1,FALSE)=0,"",VLOOKUP($A19,貼り付け用!$A$1:$BA$300,COLUMN()/2+1,FALSE)),"")</f>
        <v>#N/A</v>
      </c>
      <c r="Y19" s="46"/>
      <c r="Z19" s="46" t="e">
        <f ca="1">IF($A19&lt;&gt;"",
IF(VLOOKUP($A19,貼り付け用!$A$1:$BA$300,COLUMN()/2+1,FALSE)=0,"",VLOOKUP($A19,貼り付け用!$A$1:$BA$300,COLUMN()/2+1,FALSE)),"")</f>
        <v>#N/A</v>
      </c>
      <c r="AA19" s="46"/>
      <c r="AB19" s="46" t="e">
        <f ca="1">IF($A19&lt;&gt;"",
IF(VLOOKUP($A19,貼り付け用!$A$1:$BA$300,COLUMN()/2+1,FALSE)=0,"",VLOOKUP($A19,貼り付け用!$A$1:$BA$300,COLUMN()/2+1,FALSE)),"")</f>
        <v>#N/A</v>
      </c>
      <c r="AC19" s="46"/>
      <c r="AD19" s="46" t="e">
        <f ca="1">IF($A19&lt;&gt;"",
IF(VLOOKUP($A19,貼り付け用!$A$1:$BA$300,COLUMN()/2+1,FALSE)=0,"",VLOOKUP($A19,貼り付け用!$A$1:$BA$300,COLUMN()/2+1,FALSE)),"")</f>
        <v>#N/A</v>
      </c>
      <c r="AE19" s="46"/>
      <c r="AF19" s="46" t="e">
        <f ca="1">IF($A19&lt;&gt;"",
IF(VLOOKUP($A19,貼り付け用!$A$1:$BA$300,COLUMN()/2+1,FALSE)=0,"",VLOOKUP($A19,貼り付け用!$A$1:$BA$300,COLUMN()/2+1,FALSE)),"")</f>
        <v>#N/A</v>
      </c>
      <c r="AG19" s="46"/>
      <c r="AH19" s="46" t="e">
        <f ca="1">IF($A19&lt;&gt;"",
IF(VLOOKUP($A19,貼り付け用!$A$1:$BA$300,COLUMN()/2+1,FALSE)=0,"",VLOOKUP($A19,貼り付け用!$A$1:$BA$300,COLUMN()/2+1,FALSE)),"")</f>
        <v>#N/A</v>
      </c>
      <c r="AI19" s="46"/>
      <c r="AJ19" s="46" t="e">
        <f ca="1">IF($A19&lt;&gt;"",
IF(VLOOKUP($A19,貼り付け用!$A$1:$BA$300,COLUMN()/2+1,FALSE)=0,"",VLOOKUP($A19,貼り付け用!$A$1:$BA$300,COLUMN()/2+1,FALSE)),"")</f>
        <v>#N/A</v>
      </c>
      <c r="AK19" s="46"/>
      <c r="AL19" s="46" t="e">
        <f ca="1">IF($A19&lt;&gt;"",
IF(VLOOKUP($A19,貼り付け用!$A$1:$BA$300,COLUMN()/2+1,FALSE)=0,"",VLOOKUP($A19,貼り付け用!$A$1:$BA$300,COLUMN()/2+1,FALSE)),"")</f>
        <v>#N/A</v>
      </c>
      <c r="AM19" s="211" t="e">
        <f ca="1">IF($A19&lt;&gt;"",
IF(VLOOKUP($A19,貼り付け用!$A$1:$BA$300,COLUMN()/2+2,FALSE)=0,"",VLOOKUP($A19,貼り付け用!$A$1:$BA$300,COLUMN()/2+2,FALSE)),"")</f>
        <v>#N/A</v>
      </c>
      <c r="AN19" s="211" t="e">
        <f ca="1">IF($A19&lt;&gt;"",
IF(VLOOKUP($A19,貼り付け用!$A$1:$BA$300,COLUMN()/2+3,FALSE)=0,"",VLOOKUP($A19,貼り付け用!$A$1:$BA$300,COLUMN()/2+3,FALSE)),"")</f>
        <v>#N/A</v>
      </c>
    </row>
    <row r="20" spans="1:40" x14ac:dyDescent="0.45">
      <c r="A20" s="5" t="e" cm="1">
        <f t="array" aca="1" ref="A20" ca="1">IF(OR(COUNTIF(A18,"*合計*"),COUNTIF(A18,"")),"",INDEX(貼り付け用!$A:$A,MATCH(A18,貼り付け用!$A:$A,0)+2,0))</f>
        <v>#N/A</v>
      </c>
      <c r="B20" s="16" t="e">
        <f ca="1">IF($A20&lt;&gt;"",
IF(VLOOKUP($A20,貼り付け用!$A$1:$BA$300,COLUMN()/2+1,FALSE)=0,"",VLOOKUP($A20,貼り付け用!$A$1:$BA$300,COLUMN()/2+1,FALSE)),"")</f>
        <v>#N/A</v>
      </c>
      <c r="C20" s="58"/>
      <c r="D20" s="16" t="e">
        <f ca="1">IF($A20&lt;&gt;"",
IF(VLOOKUP($A20,貼り付け用!$A$1:$BA$300,COLUMN()/2+1,FALSE)=0,"",VLOOKUP($A20,貼り付け用!$A$1:$BA$300,COLUMN()/2+1,FALSE)),"")</f>
        <v>#N/A</v>
      </c>
      <c r="E20" s="58"/>
      <c r="F20" s="16" t="e">
        <f ca="1">IF($A20&lt;&gt;"",
IF(VLOOKUP($A20,貼り付け用!$A$1:$BA$300,COLUMN()/2+1,FALSE)=0,"",VLOOKUP($A20,貼り付け用!$A$1:$BA$300,COLUMN()/2+1,FALSE)),"")</f>
        <v>#N/A</v>
      </c>
      <c r="G20" s="58"/>
      <c r="H20" s="16" t="e">
        <f ca="1">IF($A20&lt;&gt;"",
IF(VLOOKUP($A20,貼り付け用!$A$1:$BA$300,COLUMN()/2+1,FALSE)=0,"",VLOOKUP($A20,貼り付け用!$A$1:$BA$300,COLUMN()/2+1,FALSE)),"")</f>
        <v>#N/A</v>
      </c>
      <c r="I20" s="58"/>
      <c r="J20" s="16" t="e">
        <f ca="1">IF($A20&lt;&gt;"",
IF(VLOOKUP($A20,貼り付け用!$A$1:$BA$300,COLUMN()/2+1,FALSE)=0,"",VLOOKUP($A20,貼り付け用!$A$1:$BA$300,COLUMN()/2+1,FALSE)),"")</f>
        <v>#N/A</v>
      </c>
      <c r="K20" s="58"/>
      <c r="L20" s="16" t="e">
        <f ca="1">IF($A20&lt;&gt;"",
IF(VLOOKUP($A20,貼り付け用!$A$1:$BA$300,COLUMN()/2+1,FALSE)=0,"",VLOOKUP($A20,貼り付け用!$A$1:$BA$300,COLUMN()/2+1,FALSE)),"")</f>
        <v>#N/A</v>
      </c>
      <c r="M20" s="58"/>
      <c r="N20" s="16" t="e">
        <f ca="1">IF($A20&lt;&gt;"",
IF(VLOOKUP($A20,貼り付け用!$A$1:$BA$300,COLUMN()/2+1,FALSE)=0,"",VLOOKUP($A20,貼り付け用!$A$1:$BA$300,COLUMN()/2+1,FALSE)),"")</f>
        <v>#N/A</v>
      </c>
      <c r="O20" s="58"/>
      <c r="P20" s="16" t="e">
        <f ca="1">IF($A20&lt;&gt;"",
IF(VLOOKUP($A20,貼り付け用!$A$1:$BA$300,COLUMN()/2+1,FALSE)=0,"",VLOOKUP($A20,貼り付け用!$A$1:$BA$300,COLUMN()/2+1,FALSE)),"")</f>
        <v>#N/A</v>
      </c>
      <c r="Q20" s="58"/>
      <c r="R20" s="16" t="e">
        <f ca="1">IF($A20&lt;&gt;"",
IF(VLOOKUP($A20,貼り付け用!$A$1:$BA$300,COLUMN()/2+1,FALSE)=0,"",VLOOKUP($A20,貼り付け用!$A$1:$BA$300,COLUMN()/2+1,FALSE)),"")</f>
        <v>#N/A</v>
      </c>
      <c r="S20" s="58"/>
      <c r="T20" s="16" t="e">
        <f ca="1">IF($A20&lt;&gt;"",
IF(VLOOKUP($A20,貼り付け用!$A$1:$BA$300,COLUMN()/2+1,FALSE)=0,"",VLOOKUP($A20,貼り付け用!$A$1:$BA$300,COLUMN()/2+1,FALSE)),"")</f>
        <v>#N/A</v>
      </c>
      <c r="U20" s="58"/>
      <c r="V20" s="16" t="e">
        <f ca="1">IF($A20&lt;&gt;"",
IF(VLOOKUP($A20,貼り付け用!$A$1:$BA$300,COLUMN()/2+1,FALSE)=0,"",VLOOKUP($A20,貼り付け用!$A$1:$BA$300,COLUMN()/2+1,FALSE)),"")</f>
        <v>#N/A</v>
      </c>
      <c r="W20" s="58"/>
      <c r="X20" s="16" t="e">
        <f ca="1">IF($A20&lt;&gt;"",
IF(VLOOKUP($A20,貼り付け用!$A$1:$BA$300,COLUMN()/2+1,FALSE)=0,"",VLOOKUP($A20,貼り付け用!$A$1:$BA$300,COLUMN()/2+1,FALSE)),"")</f>
        <v>#N/A</v>
      </c>
      <c r="Y20" s="58"/>
      <c r="Z20" s="16" t="e">
        <f ca="1">IF($A20&lt;&gt;"",
IF(VLOOKUP($A20,貼り付け用!$A$1:$BA$300,COLUMN()/2+1,FALSE)=0,"",VLOOKUP($A20,貼り付け用!$A$1:$BA$300,COLUMN()/2+1,FALSE)),"")</f>
        <v>#N/A</v>
      </c>
      <c r="AA20" s="58"/>
      <c r="AB20" s="16" t="e">
        <f ca="1">IF($A20&lt;&gt;"",
IF(VLOOKUP($A20,貼り付け用!$A$1:$BA$300,COLUMN()/2+1,FALSE)=0,"",VLOOKUP($A20,貼り付け用!$A$1:$BA$300,COLUMN()/2+1,FALSE)),"")</f>
        <v>#N/A</v>
      </c>
      <c r="AC20" s="58"/>
      <c r="AD20" s="16" t="e">
        <f ca="1">IF($A20&lt;&gt;"",
IF(VLOOKUP($A20,貼り付け用!$A$1:$BA$300,COLUMN()/2+1,FALSE)=0,"",VLOOKUP($A20,貼り付け用!$A$1:$BA$300,COLUMN()/2+1,FALSE)),"")</f>
        <v>#N/A</v>
      </c>
      <c r="AE20" s="58"/>
      <c r="AF20" s="16" t="e">
        <f ca="1">IF($A20&lt;&gt;"",
IF(VLOOKUP($A20,貼り付け用!$A$1:$BA$300,COLUMN()/2+1,FALSE)=0,"",VLOOKUP($A20,貼り付け用!$A$1:$BA$300,COLUMN()/2+1,FALSE)),"")</f>
        <v>#N/A</v>
      </c>
      <c r="AG20" s="58"/>
      <c r="AH20" s="16" t="e">
        <f ca="1">IF($A20&lt;&gt;"",
IF(VLOOKUP($A20,貼り付け用!$A$1:$BA$300,COLUMN()/2+1,FALSE)=0,"",VLOOKUP($A20,貼り付け用!$A$1:$BA$300,COLUMN()/2+1,FALSE)),"")</f>
        <v>#N/A</v>
      </c>
      <c r="AI20" s="58"/>
      <c r="AJ20" s="16" t="e">
        <f ca="1">IF($A20&lt;&gt;"",
IF(VLOOKUP($A20,貼り付け用!$A$1:$BA$300,COLUMN()/2+1,FALSE)=0,"",VLOOKUP($A20,貼り付け用!$A$1:$BA$300,COLUMN()/2+1,FALSE)),"")</f>
        <v>#N/A</v>
      </c>
      <c r="AK20" s="58"/>
      <c r="AL20" s="16" t="e">
        <f ca="1">IF($A20&lt;&gt;"",
IF(VLOOKUP($A20,貼り付け用!$A$1:$BA$300,COLUMN()/2+1,FALSE)=0,"",VLOOKUP($A20,貼り付け用!$A$1:$BA$300,COLUMN()/2+1,FALSE)),"")</f>
        <v>#N/A</v>
      </c>
      <c r="AM20" s="210" t="e">
        <f ca="1">IF($A20&lt;&gt;"",
IF(VLOOKUP($A20,貼り付け用!$A$1:$BA$300,COLUMN()/2+2,FALSE)=0,"",VLOOKUP($A20,貼り付け用!$A$1:$BA$300,COLUMN()/2+2,FALSE)),"")</f>
        <v>#N/A</v>
      </c>
      <c r="AN20" s="210" t="e">
        <f ca="1">IF($A20&lt;&gt;"",
IF(VLOOKUP($A20,貼り付け用!$A$1:$BA$300,COLUMN()/2+3,FALSE)=0,"",VLOOKUP($A20,貼り付け用!$A$1:$BA$300,COLUMN()/2+3,FALSE)),"")</f>
        <v>#N/A</v>
      </c>
    </row>
    <row r="21" spans="1:40" x14ac:dyDescent="0.45">
      <c r="A21" s="8" t="e" cm="1">
        <f t="array" aca="1" ref="A21" ca="1">IF(OR(COUNTIF(A19,"*1000*"),COUNTIF(A19,"")),"",INDEX(貼り付け用!$A:$A,MATCH(A19,貼り付け用!$A:$A,0)+2,0))</f>
        <v>#N/A</v>
      </c>
      <c r="B21" s="46" t="e">
        <f ca="1">IF($A21&lt;&gt;"",
IF(VLOOKUP($A21,貼り付け用!$A$1:$BA$300,COLUMN()/2+1,FALSE)=0,"",VLOOKUP($A21,貼り付け用!$A$1:$BA$300,COLUMN()/2+1,FALSE)),"")</f>
        <v>#N/A</v>
      </c>
      <c r="C21" s="46"/>
      <c r="D21" s="46" t="e">
        <f ca="1">IF($A21&lt;&gt;"",
IF(VLOOKUP($A21,貼り付け用!$A$1:$BA$300,COLUMN()/2+1,FALSE)=0,"",VLOOKUP($A21,貼り付け用!$A$1:$BA$300,COLUMN()/2+1,FALSE)),"")</f>
        <v>#N/A</v>
      </c>
      <c r="E21" s="46"/>
      <c r="F21" s="46" t="e">
        <f ca="1">IF($A21&lt;&gt;"",
IF(VLOOKUP($A21,貼り付け用!$A$1:$BA$300,COLUMN()/2+1,FALSE)=0,"",VLOOKUP($A21,貼り付け用!$A$1:$BA$300,COLUMN()/2+1,FALSE)),"")</f>
        <v>#N/A</v>
      </c>
      <c r="G21" s="46"/>
      <c r="H21" s="46" t="e">
        <f ca="1">IF($A21&lt;&gt;"",
IF(VLOOKUP($A21,貼り付け用!$A$1:$BA$300,COLUMN()/2+1,FALSE)=0,"",VLOOKUP($A21,貼り付け用!$A$1:$BA$300,COLUMN()/2+1,FALSE)),"")</f>
        <v>#N/A</v>
      </c>
      <c r="I21" s="46"/>
      <c r="J21" s="46" t="e">
        <f ca="1">IF($A21&lt;&gt;"",
IF(VLOOKUP($A21,貼り付け用!$A$1:$BA$300,COLUMN()/2+1,FALSE)=0,"",VLOOKUP($A21,貼り付け用!$A$1:$BA$300,COLUMN()/2+1,FALSE)),"")</f>
        <v>#N/A</v>
      </c>
      <c r="K21" s="46"/>
      <c r="L21" s="46" t="e">
        <f ca="1">IF($A21&lt;&gt;"",
IF(VLOOKUP($A21,貼り付け用!$A$1:$BA$300,COLUMN()/2+1,FALSE)=0,"",VLOOKUP($A21,貼り付け用!$A$1:$BA$300,COLUMN()/2+1,FALSE)),"")</f>
        <v>#N/A</v>
      </c>
      <c r="M21" s="46"/>
      <c r="N21" s="46" t="e">
        <f ca="1">IF($A21&lt;&gt;"",
IF(VLOOKUP($A21,貼り付け用!$A$1:$BA$300,COLUMN()/2+1,FALSE)=0,"",VLOOKUP($A21,貼り付け用!$A$1:$BA$300,COLUMN()/2+1,FALSE)),"")</f>
        <v>#N/A</v>
      </c>
      <c r="O21" s="46"/>
      <c r="P21" s="46" t="e">
        <f ca="1">IF($A21&lt;&gt;"",
IF(VLOOKUP($A21,貼り付け用!$A$1:$BA$300,COLUMN()/2+1,FALSE)=0,"",VLOOKUP($A21,貼り付け用!$A$1:$BA$300,COLUMN()/2+1,FALSE)),"")</f>
        <v>#N/A</v>
      </c>
      <c r="Q21" s="46"/>
      <c r="R21" s="46" t="e">
        <f ca="1">IF($A21&lt;&gt;"",
IF(VLOOKUP($A21,貼り付け用!$A$1:$BA$300,COLUMN()/2+1,FALSE)=0,"",VLOOKUP($A21,貼り付け用!$A$1:$BA$300,COLUMN()/2+1,FALSE)),"")</f>
        <v>#N/A</v>
      </c>
      <c r="S21" s="46"/>
      <c r="T21" s="46" t="e">
        <f ca="1">IF($A21&lt;&gt;"",
IF(VLOOKUP($A21,貼り付け用!$A$1:$BA$300,COLUMN()/2+1,FALSE)=0,"",VLOOKUP($A21,貼り付け用!$A$1:$BA$300,COLUMN()/2+1,FALSE)),"")</f>
        <v>#N/A</v>
      </c>
      <c r="U21" s="46"/>
      <c r="V21" s="46" t="e">
        <f ca="1">IF($A21&lt;&gt;"",
IF(VLOOKUP($A21,貼り付け用!$A$1:$BA$300,COLUMN()/2+1,FALSE)=0,"",VLOOKUP($A21,貼り付け用!$A$1:$BA$300,COLUMN()/2+1,FALSE)),"")</f>
        <v>#N/A</v>
      </c>
      <c r="W21" s="46"/>
      <c r="X21" s="46" t="e">
        <f ca="1">IF($A21&lt;&gt;"",
IF(VLOOKUP($A21,貼り付け用!$A$1:$BA$300,COLUMN()/2+1,FALSE)=0,"",VLOOKUP($A21,貼り付け用!$A$1:$BA$300,COLUMN()/2+1,FALSE)),"")</f>
        <v>#N/A</v>
      </c>
      <c r="Y21" s="46"/>
      <c r="Z21" s="46" t="e">
        <f ca="1">IF($A21&lt;&gt;"",
IF(VLOOKUP($A21,貼り付け用!$A$1:$BA$300,COLUMN()/2+1,FALSE)=0,"",VLOOKUP($A21,貼り付け用!$A$1:$BA$300,COLUMN()/2+1,FALSE)),"")</f>
        <v>#N/A</v>
      </c>
      <c r="AA21" s="46"/>
      <c r="AB21" s="46" t="e">
        <f ca="1">IF($A21&lt;&gt;"",
IF(VLOOKUP($A21,貼り付け用!$A$1:$BA$300,COLUMN()/2+1,FALSE)=0,"",VLOOKUP($A21,貼り付け用!$A$1:$BA$300,COLUMN()/2+1,FALSE)),"")</f>
        <v>#N/A</v>
      </c>
      <c r="AC21" s="46"/>
      <c r="AD21" s="46" t="e">
        <f ca="1">IF($A21&lt;&gt;"",
IF(VLOOKUP($A21,貼り付け用!$A$1:$BA$300,COLUMN()/2+1,FALSE)=0,"",VLOOKUP($A21,貼り付け用!$A$1:$BA$300,COLUMN()/2+1,FALSE)),"")</f>
        <v>#N/A</v>
      </c>
      <c r="AE21" s="46"/>
      <c r="AF21" s="46" t="e">
        <f ca="1">IF($A21&lt;&gt;"",
IF(VLOOKUP($A21,貼り付け用!$A$1:$BA$300,COLUMN()/2+1,FALSE)=0,"",VLOOKUP($A21,貼り付け用!$A$1:$BA$300,COLUMN()/2+1,FALSE)),"")</f>
        <v>#N/A</v>
      </c>
      <c r="AG21" s="46"/>
      <c r="AH21" s="46" t="e">
        <f ca="1">IF($A21&lt;&gt;"",
IF(VLOOKUP($A21,貼り付け用!$A$1:$BA$300,COLUMN()/2+1,FALSE)=0,"",VLOOKUP($A21,貼り付け用!$A$1:$BA$300,COLUMN()/2+1,FALSE)),"")</f>
        <v>#N/A</v>
      </c>
      <c r="AI21" s="46"/>
      <c r="AJ21" s="46" t="e">
        <f ca="1">IF($A21&lt;&gt;"",
IF(VLOOKUP($A21,貼り付け用!$A$1:$BA$300,COLUMN()/2+1,FALSE)=0,"",VLOOKUP($A21,貼り付け用!$A$1:$BA$300,COLUMN()/2+1,FALSE)),"")</f>
        <v>#N/A</v>
      </c>
      <c r="AK21" s="46"/>
      <c r="AL21" s="46" t="e">
        <f ca="1">IF($A21&lt;&gt;"",
IF(VLOOKUP($A21,貼り付け用!$A$1:$BA$300,COLUMN()/2+1,FALSE)=0,"",VLOOKUP($A21,貼り付け用!$A$1:$BA$300,COLUMN()/2+1,FALSE)),"")</f>
        <v>#N/A</v>
      </c>
      <c r="AM21" s="211" t="e">
        <f ca="1">IF($A21&lt;&gt;"",
IF(VLOOKUP($A21,貼り付け用!$A$1:$BA$300,COLUMN()/2+2,FALSE)=0,"",VLOOKUP($A21,貼り付け用!$A$1:$BA$300,COLUMN()/2+2,FALSE)),"")</f>
        <v>#N/A</v>
      </c>
      <c r="AN21" s="211" t="e">
        <f ca="1">IF($A21&lt;&gt;"",
IF(VLOOKUP($A21,貼り付け用!$A$1:$BA$300,COLUMN()/2+3,FALSE)=0,"",VLOOKUP($A21,貼り付け用!$A$1:$BA$300,COLUMN()/2+3,FALSE)),"")</f>
        <v>#N/A</v>
      </c>
    </row>
    <row r="22" spans="1:40" x14ac:dyDescent="0.45">
      <c r="A22" s="5" t="e" cm="1">
        <f t="array" aca="1" ref="A22" ca="1">IF(OR(COUNTIF(A20,"*合計*"),COUNTIF(A20,"")),"",INDEX(貼り付け用!$A:$A,MATCH(A20,貼り付け用!$A:$A,0)+2,0))</f>
        <v>#N/A</v>
      </c>
      <c r="B22" s="16" t="e">
        <f ca="1">IF($A22&lt;&gt;"",
IF(VLOOKUP($A22,貼り付け用!$A$1:$BA$300,COLUMN()/2+1,FALSE)=0,"",VLOOKUP($A22,貼り付け用!$A$1:$BA$300,COLUMN()/2+1,FALSE)),"")</f>
        <v>#N/A</v>
      </c>
      <c r="C22" s="58"/>
      <c r="D22" s="16" t="e">
        <f ca="1">IF($A22&lt;&gt;"",
IF(VLOOKUP($A22,貼り付け用!$A$1:$BA$300,COLUMN()/2+1,FALSE)=0,"",VLOOKUP($A22,貼り付け用!$A$1:$BA$300,COLUMN()/2+1,FALSE)),"")</f>
        <v>#N/A</v>
      </c>
      <c r="E22" s="58"/>
      <c r="F22" s="16" t="e">
        <f ca="1">IF($A22&lt;&gt;"",
IF(VLOOKUP($A22,貼り付け用!$A$1:$BA$300,COLUMN()/2+1,FALSE)=0,"",VLOOKUP($A22,貼り付け用!$A$1:$BA$300,COLUMN()/2+1,FALSE)),"")</f>
        <v>#N/A</v>
      </c>
      <c r="G22" s="58"/>
      <c r="H22" s="16" t="e">
        <f ca="1">IF($A22&lt;&gt;"",
IF(VLOOKUP($A22,貼り付け用!$A$1:$BA$300,COLUMN()/2+1,FALSE)=0,"",VLOOKUP($A22,貼り付け用!$A$1:$BA$300,COLUMN()/2+1,FALSE)),"")</f>
        <v>#N/A</v>
      </c>
      <c r="I22" s="58"/>
      <c r="J22" s="16" t="e">
        <f ca="1">IF($A22&lt;&gt;"",
IF(VLOOKUP($A22,貼り付け用!$A$1:$BA$300,COLUMN()/2+1,FALSE)=0,"",VLOOKUP($A22,貼り付け用!$A$1:$BA$300,COLUMN()/2+1,FALSE)),"")</f>
        <v>#N/A</v>
      </c>
      <c r="K22" s="58"/>
      <c r="L22" s="16" t="e">
        <f ca="1">IF($A22&lt;&gt;"",
IF(VLOOKUP($A22,貼り付け用!$A$1:$BA$300,COLUMN()/2+1,FALSE)=0,"",VLOOKUP($A22,貼り付け用!$A$1:$BA$300,COLUMN()/2+1,FALSE)),"")</f>
        <v>#N/A</v>
      </c>
      <c r="M22" s="58"/>
      <c r="N22" s="16" t="e">
        <f ca="1">IF($A22&lt;&gt;"",
IF(VLOOKUP($A22,貼り付け用!$A$1:$BA$300,COLUMN()/2+1,FALSE)=0,"",VLOOKUP($A22,貼り付け用!$A$1:$BA$300,COLUMN()/2+1,FALSE)),"")</f>
        <v>#N/A</v>
      </c>
      <c r="O22" s="58"/>
      <c r="P22" s="16" t="e">
        <f ca="1">IF($A22&lt;&gt;"",
IF(VLOOKUP($A22,貼り付け用!$A$1:$BA$300,COLUMN()/2+1,FALSE)=0,"",VLOOKUP($A22,貼り付け用!$A$1:$BA$300,COLUMN()/2+1,FALSE)),"")</f>
        <v>#N/A</v>
      </c>
      <c r="Q22" s="58"/>
      <c r="R22" s="16" t="e">
        <f ca="1">IF($A22&lt;&gt;"",
IF(VLOOKUP($A22,貼り付け用!$A$1:$BA$300,COLUMN()/2+1,FALSE)=0,"",VLOOKUP($A22,貼り付け用!$A$1:$BA$300,COLUMN()/2+1,FALSE)),"")</f>
        <v>#N/A</v>
      </c>
      <c r="S22" s="58"/>
      <c r="T22" s="16" t="e">
        <f ca="1">IF($A22&lt;&gt;"",
IF(VLOOKUP($A22,貼り付け用!$A$1:$BA$300,COLUMN()/2+1,FALSE)=0,"",VLOOKUP($A22,貼り付け用!$A$1:$BA$300,COLUMN()/2+1,FALSE)),"")</f>
        <v>#N/A</v>
      </c>
      <c r="U22" s="58"/>
      <c r="V22" s="16" t="e">
        <f ca="1">IF($A22&lt;&gt;"",
IF(VLOOKUP($A22,貼り付け用!$A$1:$BA$300,COLUMN()/2+1,FALSE)=0,"",VLOOKUP($A22,貼り付け用!$A$1:$BA$300,COLUMN()/2+1,FALSE)),"")</f>
        <v>#N/A</v>
      </c>
      <c r="W22" s="58"/>
      <c r="X22" s="16" t="e">
        <f ca="1">IF($A22&lt;&gt;"",
IF(VLOOKUP($A22,貼り付け用!$A$1:$BA$300,COLUMN()/2+1,FALSE)=0,"",VLOOKUP($A22,貼り付け用!$A$1:$BA$300,COLUMN()/2+1,FALSE)),"")</f>
        <v>#N/A</v>
      </c>
      <c r="Y22" s="58"/>
      <c r="Z22" s="16" t="e">
        <f ca="1">IF($A22&lt;&gt;"",
IF(VLOOKUP($A22,貼り付け用!$A$1:$BA$300,COLUMN()/2+1,FALSE)=0,"",VLOOKUP($A22,貼り付け用!$A$1:$BA$300,COLUMN()/2+1,FALSE)),"")</f>
        <v>#N/A</v>
      </c>
      <c r="AA22" s="58"/>
      <c r="AB22" s="16" t="e">
        <f ca="1">IF($A22&lt;&gt;"",
IF(VLOOKUP($A22,貼り付け用!$A$1:$BA$300,COLUMN()/2+1,FALSE)=0,"",VLOOKUP($A22,貼り付け用!$A$1:$BA$300,COLUMN()/2+1,FALSE)),"")</f>
        <v>#N/A</v>
      </c>
      <c r="AC22" s="58"/>
      <c r="AD22" s="16" t="e">
        <f ca="1">IF($A22&lt;&gt;"",
IF(VLOOKUP($A22,貼り付け用!$A$1:$BA$300,COLUMN()/2+1,FALSE)=0,"",VLOOKUP($A22,貼り付け用!$A$1:$BA$300,COLUMN()/2+1,FALSE)),"")</f>
        <v>#N/A</v>
      </c>
      <c r="AE22" s="58"/>
      <c r="AF22" s="16" t="e">
        <f ca="1">IF($A22&lt;&gt;"",
IF(VLOOKUP($A22,貼り付け用!$A$1:$BA$300,COLUMN()/2+1,FALSE)=0,"",VLOOKUP($A22,貼り付け用!$A$1:$BA$300,COLUMN()/2+1,FALSE)),"")</f>
        <v>#N/A</v>
      </c>
      <c r="AG22" s="58"/>
      <c r="AH22" s="16" t="e">
        <f ca="1">IF($A22&lt;&gt;"",
IF(VLOOKUP($A22,貼り付け用!$A$1:$BA$300,COLUMN()/2+1,FALSE)=0,"",VLOOKUP($A22,貼り付け用!$A$1:$BA$300,COLUMN()/2+1,FALSE)),"")</f>
        <v>#N/A</v>
      </c>
      <c r="AI22" s="58"/>
      <c r="AJ22" s="16" t="e">
        <f ca="1">IF($A22&lt;&gt;"",
IF(VLOOKUP($A22,貼り付け用!$A$1:$BA$300,COLUMN()/2+1,FALSE)=0,"",VLOOKUP($A22,貼り付け用!$A$1:$BA$300,COLUMN()/2+1,FALSE)),"")</f>
        <v>#N/A</v>
      </c>
      <c r="AK22" s="58"/>
      <c r="AL22" s="16" t="e">
        <f ca="1">IF($A22&lt;&gt;"",
IF(VLOOKUP($A22,貼り付け用!$A$1:$BA$300,COLUMN()/2+1,FALSE)=0,"",VLOOKUP($A22,貼り付け用!$A$1:$BA$300,COLUMN()/2+1,FALSE)),"")</f>
        <v>#N/A</v>
      </c>
      <c r="AM22" s="210" t="e">
        <f ca="1">IF($A22&lt;&gt;"",
IF(VLOOKUP($A22,貼り付け用!$A$1:$BA$300,COLUMN()/2+2,FALSE)=0,"",VLOOKUP($A22,貼り付け用!$A$1:$BA$300,COLUMN()/2+2,FALSE)),"")</f>
        <v>#N/A</v>
      </c>
      <c r="AN22" s="210" t="e">
        <f ca="1">IF($A22&lt;&gt;"",
IF(VLOOKUP($A22,貼り付け用!$A$1:$BA$300,COLUMN()/2+3,FALSE)=0,"",VLOOKUP($A22,貼り付け用!$A$1:$BA$300,COLUMN()/2+3,FALSE)),"")</f>
        <v>#N/A</v>
      </c>
    </row>
    <row r="23" spans="1:40" x14ac:dyDescent="0.45">
      <c r="A23" s="8" t="e" cm="1">
        <f t="array" aca="1" ref="A23" ca="1">IF(OR(COUNTIF(A21,"*1000*"),COUNTIF(A21,"")),"",INDEX(貼り付け用!$A:$A,MATCH(A21,貼り付け用!$A:$A,0)+2,0))</f>
        <v>#N/A</v>
      </c>
      <c r="B23" s="46" t="e">
        <f ca="1">IF($A23&lt;&gt;"",
IF(VLOOKUP($A23,貼り付け用!$A$1:$BA$300,COLUMN()/2+1,FALSE)=0,"",VLOOKUP($A23,貼り付け用!$A$1:$BA$300,COLUMN()/2+1,FALSE)),"")</f>
        <v>#N/A</v>
      </c>
      <c r="C23" s="46"/>
      <c r="D23" s="46" t="e">
        <f ca="1">IF($A23&lt;&gt;"",
IF(VLOOKUP($A23,貼り付け用!$A$1:$BA$300,COLUMN()/2+1,FALSE)=0,"",VLOOKUP($A23,貼り付け用!$A$1:$BA$300,COLUMN()/2+1,FALSE)),"")</f>
        <v>#N/A</v>
      </c>
      <c r="E23" s="46"/>
      <c r="F23" s="46" t="e">
        <f ca="1">IF($A23&lt;&gt;"",
IF(VLOOKUP($A23,貼り付け用!$A$1:$BA$300,COLUMN()/2+1,FALSE)=0,"",VLOOKUP($A23,貼り付け用!$A$1:$BA$300,COLUMN()/2+1,FALSE)),"")</f>
        <v>#N/A</v>
      </c>
      <c r="G23" s="46"/>
      <c r="H23" s="46" t="e">
        <f ca="1">IF($A23&lt;&gt;"",
IF(VLOOKUP($A23,貼り付け用!$A$1:$BA$300,COLUMN()/2+1,FALSE)=0,"",VLOOKUP($A23,貼り付け用!$A$1:$BA$300,COLUMN()/2+1,FALSE)),"")</f>
        <v>#N/A</v>
      </c>
      <c r="I23" s="46"/>
      <c r="J23" s="46" t="e">
        <f ca="1">IF($A23&lt;&gt;"",
IF(VLOOKUP($A23,貼り付け用!$A$1:$BA$300,COLUMN()/2+1,FALSE)=0,"",VLOOKUP($A23,貼り付け用!$A$1:$BA$300,COLUMN()/2+1,FALSE)),"")</f>
        <v>#N/A</v>
      </c>
      <c r="K23" s="46"/>
      <c r="L23" s="46" t="e">
        <f ca="1">IF($A23&lt;&gt;"",
IF(VLOOKUP($A23,貼り付け用!$A$1:$BA$300,COLUMN()/2+1,FALSE)=0,"",VLOOKUP($A23,貼り付け用!$A$1:$BA$300,COLUMN()/2+1,FALSE)),"")</f>
        <v>#N/A</v>
      </c>
      <c r="M23" s="46"/>
      <c r="N23" s="46" t="e">
        <f ca="1">IF($A23&lt;&gt;"",
IF(VLOOKUP($A23,貼り付け用!$A$1:$BA$300,COLUMN()/2+1,FALSE)=0,"",VLOOKUP($A23,貼り付け用!$A$1:$BA$300,COLUMN()/2+1,FALSE)),"")</f>
        <v>#N/A</v>
      </c>
      <c r="O23" s="46"/>
      <c r="P23" s="46" t="e">
        <f ca="1">IF($A23&lt;&gt;"",
IF(VLOOKUP($A23,貼り付け用!$A$1:$BA$300,COLUMN()/2+1,FALSE)=0,"",VLOOKUP($A23,貼り付け用!$A$1:$BA$300,COLUMN()/2+1,FALSE)),"")</f>
        <v>#N/A</v>
      </c>
      <c r="Q23" s="46"/>
      <c r="R23" s="46" t="e">
        <f ca="1">IF($A23&lt;&gt;"",
IF(VLOOKUP($A23,貼り付け用!$A$1:$BA$300,COLUMN()/2+1,FALSE)=0,"",VLOOKUP($A23,貼り付け用!$A$1:$BA$300,COLUMN()/2+1,FALSE)),"")</f>
        <v>#N/A</v>
      </c>
      <c r="S23" s="46"/>
      <c r="T23" s="46" t="e">
        <f ca="1">IF($A23&lt;&gt;"",
IF(VLOOKUP($A23,貼り付け用!$A$1:$BA$300,COLUMN()/2+1,FALSE)=0,"",VLOOKUP($A23,貼り付け用!$A$1:$BA$300,COLUMN()/2+1,FALSE)),"")</f>
        <v>#N/A</v>
      </c>
      <c r="U23" s="46"/>
      <c r="V23" s="46" t="e">
        <f ca="1">IF($A23&lt;&gt;"",
IF(VLOOKUP($A23,貼り付け用!$A$1:$BA$300,COLUMN()/2+1,FALSE)=0,"",VLOOKUP($A23,貼り付け用!$A$1:$BA$300,COLUMN()/2+1,FALSE)),"")</f>
        <v>#N/A</v>
      </c>
      <c r="W23" s="46"/>
      <c r="X23" s="46" t="e">
        <f ca="1">IF($A23&lt;&gt;"",
IF(VLOOKUP($A23,貼り付け用!$A$1:$BA$300,COLUMN()/2+1,FALSE)=0,"",VLOOKUP($A23,貼り付け用!$A$1:$BA$300,COLUMN()/2+1,FALSE)),"")</f>
        <v>#N/A</v>
      </c>
      <c r="Y23" s="46"/>
      <c r="Z23" s="46" t="e">
        <f ca="1">IF($A23&lt;&gt;"",
IF(VLOOKUP($A23,貼り付け用!$A$1:$BA$300,COLUMN()/2+1,FALSE)=0,"",VLOOKUP($A23,貼り付け用!$A$1:$BA$300,COLUMN()/2+1,FALSE)),"")</f>
        <v>#N/A</v>
      </c>
      <c r="AA23" s="46"/>
      <c r="AB23" s="46" t="e">
        <f ca="1">IF($A23&lt;&gt;"",
IF(VLOOKUP($A23,貼り付け用!$A$1:$BA$300,COLUMN()/2+1,FALSE)=0,"",VLOOKUP($A23,貼り付け用!$A$1:$BA$300,COLUMN()/2+1,FALSE)),"")</f>
        <v>#N/A</v>
      </c>
      <c r="AC23" s="46"/>
      <c r="AD23" s="46" t="e">
        <f ca="1">IF($A23&lt;&gt;"",
IF(VLOOKUP($A23,貼り付け用!$A$1:$BA$300,COLUMN()/2+1,FALSE)=0,"",VLOOKUP($A23,貼り付け用!$A$1:$BA$300,COLUMN()/2+1,FALSE)),"")</f>
        <v>#N/A</v>
      </c>
      <c r="AE23" s="46"/>
      <c r="AF23" s="46" t="e">
        <f ca="1">IF($A23&lt;&gt;"",
IF(VLOOKUP($A23,貼り付け用!$A$1:$BA$300,COLUMN()/2+1,FALSE)=0,"",VLOOKUP($A23,貼り付け用!$A$1:$BA$300,COLUMN()/2+1,FALSE)),"")</f>
        <v>#N/A</v>
      </c>
      <c r="AG23" s="46"/>
      <c r="AH23" s="46" t="e">
        <f ca="1">IF($A23&lt;&gt;"",
IF(VLOOKUP($A23,貼り付け用!$A$1:$BA$300,COLUMN()/2+1,FALSE)=0,"",VLOOKUP($A23,貼り付け用!$A$1:$BA$300,COLUMN()/2+1,FALSE)),"")</f>
        <v>#N/A</v>
      </c>
      <c r="AI23" s="46"/>
      <c r="AJ23" s="46" t="e">
        <f ca="1">IF($A23&lt;&gt;"",
IF(VLOOKUP($A23,貼り付け用!$A$1:$BA$300,COLUMN()/2+1,FALSE)=0,"",VLOOKUP($A23,貼り付け用!$A$1:$BA$300,COLUMN()/2+1,FALSE)),"")</f>
        <v>#N/A</v>
      </c>
      <c r="AK23" s="46"/>
      <c r="AL23" s="46" t="e">
        <f ca="1">IF($A23&lt;&gt;"",
IF(VLOOKUP($A23,貼り付け用!$A$1:$BA$300,COLUMN()/2+1,FALSE)=0,"",VLOOKUP($A23,貼り付け用!$A$1:$BA$300,COLUMN()/2+1,FALSE)),"")</f>
        <v>#N/A</v>
      </c>
      <c r="AM23" s="211" t="e">
        <f ca="1">IF($A23&lt;&gt;"",
IF(VLOOKUP($A23,貼り付け用!$A$1:$BA$300,COLUMN()/2+2,FALSE)=0,"",VLOOKUP($A23,貼り付け用!$A$1:$BA$300,COLUMN()/2+2,FALSE)),"")</f>
        <v>#N/A</v>
      </c>
      <c r="AN23" s="211" t="e">
        <f ca="1">IF($A23&lt;&gt;"",
IF(VLOOKUP($A23,貼り付け用!$A$1:$BA$300,COLUMN()/2+3,FALSE)=0,"",VLOOKUP($A23,貼り付け用!$A$1:$BA$300,COLUMN()/2+3,FALSE)),"")</f>
        <v>#N/A</v>
      </c>
    </row>
    <row r="24" spans="1:40" x14ac:dyDescent="0.45">
      <c r="A24" s="5" t="e" cm="1">
        <f t="array" aca="1" ref="A24" ca="1">IF(OR(COUNTIF(A22,"*合計*"),COUNTIF(A22,"")),"",INDEX(貼り付け用!$A:$A,MATCH(A22,貼り付け用!$A:$A,0)+2,0))</f>
        <v>#N/A</v>
      </c>
      <c r="B24" s="16" t="e">
        <f ca="1">IF($A24&lt;&gt;"",
IF(VLOOKUP($A24,貼り付け用!$A$1:$BA$300,COLUMN()/2+1,FALSE)=0,"",VLOOKUP($A24,貼り付け用!$A$1:$BA$300,COLUMN()/2+1,FALSE)),"")</f>
        <v>#N/A</v>
      </c>
      <c r="C24" s="58"/>
      <c r="D24" s="16" t="e">
        <f ca="1">IF($A24&lt;&gt;"",
IF(VLOOKUP($A24,貼り付け用!$A$1:$BA$300,COLUMN()/2+1,FALSE)=0,"",VLOOKUP($A24,貼り付け用!$A$1:$BA$300,COLUMN()/2+1,FALSE)),"")</f>
        <v>#N/A</v>
      </c>
      <c r="E24" s="58"/>
      <c r="F24" s="16" t="e">
        <f ca="1">IF($A24&lt;&gt;"",
IF(VLOOKUP($A24,貼り付け用!$A$1:$BA$300,COLUMN()/2+1,FALSE)=0,"",VLOOKUP($A24,貼り付け用!$A$1:$BA$300,COLUMN()/2+1,FALSE)),"")</f>
        <v>#N/A</v>
      </c>
      <c r="G24" s="58"/>
      <c r="H24" s="16" t="e">
        <f ca="1">IF($A24&lt;&gt;"",
IF(VLOOKUP($A24,貼り付け用!$A$1:$BA$300,COLUMN()/2+1,FALSE)=0,"",VLOOKUP($A24,貼り付け用!$A$1:$BA$300,COLUMN()/2+1,FALSE)),"")</f>
        <v>#N/A</v>
      </c>
      <c r="I24" s="58"/>
      <c r="J24" s="16" t="e">
        <f ca="1">IF($A24&lt;&gt;"",
IF(VLOOKUP($A24,貼り付け用!$A$1:$BA$300,COLUMN()/2+1,FALSE)=0,"",VLOOKUP($A24,貼り付け用!$A$1:$BA$300,COLUMN()/2+1,FALSE)),"")</f>
        <v>#N/A</v>
      </c>
      <c r="K24" s="58"/>
      <c r="L24" s="16" t="e">
        <f ca="1">IF($A24&lt;&gt;"",
IF(VLOOKUP($A24,貼り付け用!$A$1:$BA$300,COLUMN()/2+1,FALSE)=0,"",VLOOKUP($A24,貼り付け用!$A$1:$BA$300,COLUMN()/2+1,FALSE)),"")</f>
        <v>#N/A</v>
      </c>
      <c r="M24" s="58"/>
      <c r="N24" s="16" t="e">
        <f ca="1">IF($A24&lt;&gt;"",
IF(VLOOKUP($A24,貼り付け用!$A$1:$BA$300,COLUMN()/2+1,FALSE)=0,"",VLOOKUP($A24,貼り付け用!$A$1:$BA$300,COLUMN()/2+1,FALSE)),"")</f>
        <v>#N/A</v>
      </c>
      <c r="O24" s="58"/>
      <c r="P24" s="16" t="e">
        <f ca="1">IF($A24&lt;&gt;"",
IF(VLOOKUP($A24,貼り付け用!$A$1:$BA$300,COLUMN()/2+1,FALSE)=0,"",VLOOKUP($A24,貼り付け用!$A$1:$BA$300,COLUMN()/2+1,FALSE)),"")</f>
        <v>#N/A</v>
      </c>
      <c r="Q24" s="58"/>
      <c r="R24" s="16" t="e">
        <f ca="1">IF($A24&lt;&gt;"",
IF(VLOOKUP($A24,貼り付け用!$A$1:$BA$300,COLUMN()/2+1,FALSE)=0,"",VLOOKUP($A24,貼り付け用!$A$1:$BA$300,COLUMN()/2+1,FALSE)),"")</f>
        <v>#N/A</v>
      </c>
      <c r="S24" s="58"/>
      <c r="T24" s="16" t="e">
        <f ca="1">IF($A24&lt;&gt;"",
IF(VLOOKUP($A24,貼り付け用!$A$1:$BA$300,COLUMN()/2+1,FALSE)=0,"",VLOOKUP($A24,貼り付け用!$A$1:$BA$300,COLUMN()/2+1,FALSE)),"")</f>
        <v>#N/A</v>
      </c>
      <c r="U24" s="58"/>
      <c r="V24" s="16" t="e">
        <f ca="1">IF($A24&lt;&gt;"",
IF(VLOOKUP($A24,貼り付け用!$A$1:$BA$300,COLUMN()/2+1,FALSE)=0,"",VLOOKUP($A24,貼り付け用!$A$1:$BA$300,COLUMN()/2+1,FALSE)),"")</f>
        <v>#N/A</v>
      </c>
      <c r="W24" s="58"/>
      <c r="X24" s="16" t="e">
        <f ca="1">IF($A24&lt;&gt;"",
IF(VLOOKUP($A24,貼り付け用!$A$1:$BA$300,COLUMN()/2+1,FALSE)=0,"",VLOOKUP($A24,貼り付け用!$A$1:$BA$300,COLUMN()/2+1,FALSE)),"")</f>
        <v>#N/A</v>
      </c>
      <c r="Y24" s="58"/>
      <c r="Z24" s="16" t="e">
        <f ca="1">IF($A24&lt;&gt;"",
IF(VLOOKUP($A24,貼り付け用!$A$1:$BA$300,COLUMN()/2+1,FALSE)=0,"",VLOOKUP($A24,貼り付け用!$A$1:$BA$300,COLUMN()/2+1,FALSE)),"")</f>
        <v>#N/A</v>
      </c>
      <c r="AA24" s="58"/>
      <c r="AB24" s="16" t="e">
        <f ca="1">IF($A24&lt;&gt;"",
IF(VLOOKUP($A24,貼り付け用!$A$1:$BA$300,COLUMN()/2+1,FALSE)=0,"",VLOOKUP($A24,貼り付け用!$A$1:$BA$300,COLUMN()/2+1,FALSE)),"")</f>
        <v>#N/A</v>
      </c>
      <c r="AC24" s="58"/>
      <c r="AD24" s="16" t="e">
        <f ca="1">IF($A24&lt;&gt;"",
IF(VLOOKUP($A24,貼り付け用!$A$1:$BA$300,COLUMN()/2+1,FALSE)=0,"",VLOOKUP($A24,貼り付け用!$A$1:$BA$300,COLUMN()/2+1,FALSE)),"")</f>
        <v>#N/A</v>
      </c>
      <c r="AE24" s="58"/>
      <c r="AF24" s="16" t="e">
        <f ca="1">IF($A24&lt;&gt;"",
IF(VLOOKUP($A24,貼り付け用!$A$1:$BA$300,COLUMN()/2+1,FALSE)=0,"",VLOOKUP($A24,貼り付け用!$A$1:$BA$300,COLUMN()/2+1,FALSE)),"")</f>
        <v>#N/A</v>
      </c>
      <c r="AG24" s="58"/>
      <c r="AH24" s="16" t="e">
        <f ca="1">IF($A24&lt;&gt;"",
IF(VLOOKUP($A24,貼り付け用!$A$1:$BA$300,COLUMN()/2+1,FALSE)=0,"",VLOOKUP($A24,貼り付け用!$A$1:$BA$300,COLUMN()/2+1,FALSE)),"")</f>
        <v>#N/A</v>
      </c>
      <c r="AI24" s="58"/>
      <c r="AJ24" s="16" t="e">
        <f ca="1">IF($A24&lt;&gt;"",
IF(VLOOKUP($A24,貼り付け用!$A$1:$BA$300,COLUMN()/2+1,FALSE)=0,"",VLOOKUP($A24,貼り付け用!$A$1:$BA$300,COLUMN()/2+1,FALSE)),"")</f>
        <v>#N/A</v>
      </c>
      <c r="AK24" s="58"/>
      <c r="AL24" s="16" t="e">
        <f ca="1">IF($A24&lt;&gt;"",
IF(VLOOKUP($A24,貼り付け用!$A$1:$BA$300,COLUMN()/2+1,FALSE)=0,"",VLOOKUP($A24,貼り付け用!$A$1:$BA$300,COLUMN()/2+1,FALSE)),"")</f>
        <v>#N/A</v>
      </c>
      <c r="AM24" s="210" t="e">
        <f ca="1">IF($A24&lt;&gt;"",
IF(VLOOKUP($A24,貼り付け用!$A$1:$BA$300,COLUMN()/2+2,FALSE)=0,"",VLOOKUP($A24,貼り付け用!$A$1:$BA$300,COLUMN()/2+2,FALSE)),"")</f>
        <v>#N/A</v>
      </c>
      <c r="AN24" s="210" t="e">
        <f ca="1">IF($A24&lt;&gt;"",
IF(VLOOKUP($A24,貼り付け用!$A$1:$BA$300,COLUMN()/2+3,FALSE)=0,"",VLOOKUP($A24,貼り付け用!$A$1:$BA$300,COLUMN()/2+3,FALSE)),"")</f>
        <v>#N/A</v>
      </c>
    </row>
    <row r="25" spans="1:40" x14ac:dyDescent="0.45">
      <c r="A25" s="8" t="e" cm="1">
        <f t="array" aca="1" ref="A25" ca="1">IF(OR(COUNTIF(A23,"*1000*"),COUNTIF(A23,"")),"",INDEX(貼り付け用!$A:$A,MATCH(A23,貼り付け用!$A:$A,0)+2,0))</f>
        <v>#N/A</v>
      </c>
      <c r="B25" s="46" t="e">
        <f ca="1">IF($A25&lt;&gt;"",
IF(VLOOKUP($A25,貼り付け用!$A$1:$BA$300,COLUMN()/2+1,FALSE)=0,"",VLOOKUP($A25,貼り付け用!$A$1:$BA$300,COLUMN()/2+1,FALSE)),"")</f>
        <v>#N/A</v>
      </c>
      <c r="C25" s="46"/>
      <c r="D25" s="46" t="e">
        <f ca="1">IF($A25&lt;&gt;"",
IF(VLOOKUP($A25,貼り付け用!$A$1:$BA$300,COLUMN()/2+1,FALSE)=0,"",VLOOKUP($A25,貼り付け用!$A$1:$BA$300,COLUMN()/2+1,FALSE)),"")</f>
        <v>#N/A</v>
      </c>
      <c r="E25" s="46"/>
      <c r="F25" s="46" t="e">
        <f ca="1">IF($A25&lt;&gt;"",
IF(VLOOKUP($A25,貼り付け用!$A$1:$BA$300,COLUMN()/2+1,FALSE)=0,"",VLOOKUP($A25,貼り付け用!$A$1:$BA$300,COLUMN()/2+1,FALSE)),"")</f>
        <v>#N/A</v>
      </c>
      <c r="G25" s="46"/>
      <c r="H25" s="46" t="e">
        <f ca="1">IF($A25&lt;&gt;"",
IF(VLOOKUP($A25,貼り付け用!$A$1:$BA$300,COLUMN()/2+1,FALSE)=0,"",VLOOKUP($A25,貼り付け用!$A$1:$BA$300,COLUMN()/2+1,FALSE)),"")</f>
        <v>#N/A</v>
      </c>
      <c r="I25" s="46"/>
      <c r="J25" s="46" t="e">
        <f ca="1">IF($A25&lt;&gt;"",
IF(VLOOKUP($A25,貼り付け用!$A$1:$BA$300,COLUMN()/2+1,FALSE)=0,"",VLOOKUP($A25,貼り付け用!$A$1:$BA$300,COLUMN()/2+1,FALSE)),"")</f>
        <v>#N/A</v>
      </c>
      <c r="K25" s="46"/>
      <c r="L25" s="46" t="e">
        <f ca="1">IF($A25&lt;&gt;"",
IF(VLOOKUP($A25,貼り付け用!$A$1:$BA$300,COLUMN()/2+1,FALSE)=0,"",VLOOKUP($A25,貼り付け用!$A$1:$BA$300,COLUMN()/2+1,FALSE)),"")</f>
        <v>#N/A</v>
      </c>
      <c r="M25" s="46"/>
      <c r="N25" s="46" t="e">
        <f ca="1">IF($A25&lt;&gt;"",
IF(VLOOKUP($A25,貼り付け用!$A$1:$BA$300,COLUMN()/2+1,FALSE)=0,"",VLOOKUP($A25,貼り付け用!$A$1:$BA$300,COLUMN()/2+1,FALSE)),"")</f>
        <v>#N/A</v>
      </c>
      <c r="O25" s="46"/>
      <c r="P25" s="46" t="e">
        <f ca="1">IF($A25&lt;&gt;"",
IF(VLOOKUP($A25,貼り付け用!$A$1:$BA$300,COLUMN()/2+1,FALSE)=0,"",VLOOKUP($A25,貼り付け用!$A$1:$BA$300,COLUMN()/2+1,FALSE)),"")</f>
        <v>#N/A</v>
      </c>
      <c r="Q25" s="46"/>
      <c r="R25" s="46" t="e">
        <f ca="1">IF($A25&lt;&gt;"",
IF(VLOOKUP($A25,貼り付け用!$A$1:$BA$300,COLUMN()/2+1,FALSE)=0,"",VLOOKUP($A25,貼り付け用!$A$1:$BA$300,COLUMN()/2+1,FALSE)),"")</f>
        <v>#N/A</v>
      </c>
      <c r="S25" s="46"/>
      <c r="T25" s="46" t="e">
        <f ca="1">IF($A25&lt;&gt;"",
IF(VLOOKUP($A25,貼り付け用!$A$1:$BA$300,COLUMN()/2+1,FALSE)=0,"",VLOOKUP($A25,貼り付け用!$A$1:$BA$300,COLUMN()/2+1,FALSE)),"")</f>
        <v>#N/A</v>
      </c>
      <c r="U25" s="46"/>
      <c r="V25" s="46" t="e">
        <f ca="1">IF($A25&lt;&gt;"",
IF(VLOOKUP($A25,貼り付け用!$A$1:$BA$300,COLUMN()/2+1,FALSE)=0,"",VLOOKUP($A25,貼り付け用!$A$1:$BA$300,COLUMN()/2+1,FALSE)),"")</f>
        <v>#N/A</v>
      </c>
      <c r="W25" s="46"/>
      <c r="X25" s="46" t="e">
        <f ca="1">IF($A25&lt;&gt;"",
IF(VLOOKUP($A25,貼り付け用!$A$1:$BA$300,COLUMN()/2+1,FALSE)=0,"",VLOOKUP($A25,貼り付け用!$A$1:$BA$300,COLUMN()/2+1,FALSE)),"")</f>
        <v>#N/A</v>
      </c>
      <c r="Y25" s="46"/>
      <c r="Z25" s="46" t="e">
        <f ca="1">IF($A25&lt;&gt;"",
IF(VLOOKUP($A25,貼り付け用!$A$1:$BA$300,COLUMN()/2+1,FALSE)=0,"",VLOOKUP($A25,貼り付け用!$A$1:$BA$300,COLUMN()/2+1,FALSE)),"")</f>
        <v>#N/A</v>
      </c>
      <c r="AA25" s="46"/>
      <c r="AB25" s="46" t="e">
        <f ca="1">IF($A25&lt;&gt;"",
IF(VLOOKUP($A25,貼り付け用!$A$1:$BA$300,COLUMN()/2+1,FALSE)=0,"",VLOOKUP($A25,貼り付け用!$A$1:$BA$300,COLUMN()/2+1,FALSE)),"")</f>
        <v>#N/A</v>
      </c>
      <c r="AC25" s="46"/>
      <c r="AD25" s="46" t="e">
        <f ca="1">IF($A25&lt;&gt;"",
IF(VLOOKUP($A25,貼り付け用!$A$1:$BA$300,COLUMN()/2+1,FALSE)=0,"",VLOOKUP($A25,貼り付け用!$A$1:$BA$300,COLUMN()/2+1,FALSE)),"")</f>
        <v>#N/A</v>
      </c>
      <c r="AE25" s="46"/>
      <c r="AF25" s="46" t="e">
        <f ca="1">IF($A25&lt;&gt;"",
IF(VLOOKUP($A25,貼り付け用!$A$1:$BA$300,COLUMN()/2+1,FALSE)=0,"",VLOOKUP($A25,貼り付け用!$A$1:$BA$300,COLUMN()/2+1,FALSE)),"")</f>
        <v>#N/A</v>
      </c>
      <c r="AG25" s="46"/>
      <c r="AH25" s="46" t="e">
        <f ca="1">IF($A25&lt;&gt;"",
IF(VLOOKUP($A25,貼り付け用!$A$1:$BA$300,COLUMN()/2+1,FALSE)=0,"",VLOOKUP($A25,貼り付け用!$A$1:$BA$300,COLUMN()/2+1,FALSE)),"")</f>
        <v>#N/A</v>
      </c>
      <c r="AI25" s="46"/>
      <c r="AJ25" s="46" t="e">
        <f ca="1">IF($A25&lt;&gt;"",
IF(VLOOKUP($A25,貼り付け用!$A$1:$BA$300,COLUMN()/2+1,FALSE)=0,"",VLOOKUP($A25,貼り付け用!$A$1:$BA$300,COLUMN()/2+1,FALSE)),"")</f>
        <v>#N/A</v>
      </c>
      <c r="AK25" s="46"/>
      <c r="AL25" s="46" t="e">
        <f ca="1">IF($A25&lt;&gt;"",
IF(VLOOKUP($A25,貼り付け用!$A$1:$BA$300,COLUMN()/2+1,FALSE)=0,"",VLOOKUP($A25,貼り付け用!$A$1:$BA$300,COLUMN()/2+1,FALSE)),"")</f>
        <v>#N/A</v>
      </c>
      <c r="AM25" s="211" t="e">
        <f ca="1">IF($A25&lt;&gt;"",
IF(VLOOKUP($A25,貼り付け用!$A$1:$BA$300,COLUMN()/2+2,FALSE)=0,"",VLOOKUP($A25,貼り付け用!$A$1:$BA$300,COLUMN()/2+2,FALSE)),"")</f>
        <v>#N/A</v>
      </c>
      <c r="AN25" s="211" t="e">
        <f ca="1">IF($A25&lt;&gt;"",
IF(VLOOKUP($A25,貼り付け用!$A$1:$BA$300,COLUMN()/2+3,FALSE)=0,"",VLOOKUP($A25,貼り付け用!$A$1:$BA$300,COLUMN()/2+3,FALSE)),"")</f>
        <v>#N/A</v>
      </c>
    </row>
    <row r="26" spans="1:40" x14ac:dyDescent="0.45">
      <c r="A26" s="5" t="e" cm="1">
        <f t="array" aca="1" ref="A26" ca="1">IF(OR(COUNTIF(A24,"*合計*"),COUNTIF(A24,"")),"",INDEX(貼り付け用!$A:$A,MATCH(A24,貼り付け用!$A:$A,0)+2,0))</f>
        <v>#N/A</v>
      </c>
      <c r="B26" s="16" t="e">
        <f ca="1">IF($A26&lt;&gt;"",
IF(VLOOKUP($A26,貼り付け用!$A$1:$BA$300,COLUMN()/2+1,FALSE)=0,"",VLOOKUP($A26,貼り付け用!$A$1:$BA$300,COLUMN()/2+1,FALSE)),"")</f>
        <v>#N/A</v>
      </c>
      <c r="C26" s="58"/>
      <c r="D26" s="16" t="e">
        <f ca="1">IF($A26&lt;&gt;"",
IF(VLOOKUP($A26,貼り付け用!$A$1:$BA$300,COLUMN()/2+1,FALSE)=0,"",VLOOKUP($A26,貼り付け用!$A$1:$BA$300,COLUMN()/2+1,FALSE)),"")</f>
        <v>#N/A</v>
      </c>
      <c r="E26" s="58"/>
      <c r="F26" s="16" t="e">
        <f ca="1">IF($A26&lt;&gt;"",
IF(VLOOKUP($A26,貼り付け用!$A$1:$BA$300,COLUMN()/2+1,FALSE)=0,"",VLOOKUP($A26,貼り付け用!$A$1:$BA$300,COLUMN()/2+1,FALSE)),"")</f>
        <v>#N/A</v>
      </c>
      <c r="G26" s="58"/>
      <c r="H26" s="16" t="e">
        <f ca="1">IF($A26&lt;&gt;"",
IF(VLOOKUP($A26,貼り付け用!$A$1:$BA$300,COLUMN()/2+1,FALSE)=0,"",VLOOKUP($A26,貼り付け用!$A$1:$BA$300,COLUMN()/2+1,FALSE)),"")</f>
        <v>#N/A</v>
      </c>
      <c r="I26" s="58"/>
      <c r="J26" s="16" t="e">
        <f ca="1">IF($A26&lt;&gt;"",
IF(VLOOKUP($A26,貼り付け用!$A$1:$BA$300,COLUMN()/2+1,FALSE)=0,"",VLOOKUP($A26,貼り付け用!$A$1:$BA$300,COLUMN()/2+1,FALSE)),"")</f>
        <v>#N/A</v>
      </c>
      <c r="K26" s="58"/>
      <c r="L26" s="16" t="e">
        <f ca="1">IF($A26&lt;&gt;"",
IF(VLOOKUP($A26,貼り付け用!$A$1:$BA$300,COLUMN()/2+1,FALSE)=0,"",VLOOKUP($A26,貼り付け用!$A$1:$BA$300,COLUMN()/2+1,FALSE)),"")</f>
        <v>#N/A</v>
      </c>
      <c r="M26" s="58"/>
      <c r="N26" s="16" t="e">
        <f ca="1">IF($A26&lt;&gt;"",
IF(VLOOKUP($A26,貼り付け用!$A$1:$BA$300,COLUMN()/2+1,FALSE)=0,"",VLOOKUP($A26,貼り付け用!$A$1:$BA$300,COLUMN()/2+1,FALSE)),"")</f>
        <v>#N/A</v>
      </c>
      <c r="O26" s="58"/>
      <c r="P26" s="16" t="e">
        <f ca="1">IF($A26&lt;&gt;"",
IF(VLOOKUP($A26,貼り付け用!$A$1:$BA$300,COLUMN()/2+1,FALSE)=0,"",VLOOKUP($A26,貼り付け用!$A$1:$BA$300,COLUMN()/2+1,FALSE)),"")</f>
        <v>#N/A</v>
      </c>
      <c r="Q26" s="58"/>
      <c r="R26" s="16" t="e">
        <f ca="1">IF($A26&lt;&gt;"",
IF(VLOOKUP($A26,貼り付け用!$A$1:$BA$300,COLUMN()/2+1,FALSE)=0,"",VLOOKUP($A26,貼り付け用!$A$1:$BA$300,COLUMN()/2+1,FALSE)),"")</f>
        <v>#N/A</v>
      </c>
      <c r="S26" s="58"/>
      <c r="T26" s="16" t="e">
        <f ca="1">IF($A26&lt;&gt;"",
IF(VLOOKUP($A26,貼り付け用!$A$1:$BA$300,COLUMN()/2+1,FALSE)=0,"",VLOOKUP($A26,貼り付け用!$A$1:$BA$300,COLUMN()/2+1,FALSE)),"")</f>
        <v>#N/A</v>
      </c>
      <c r="U26" s="58"/>
      <c r="V26" s="16" t="e">
        <f ca="1">IF($A26&lt;&gt;"",
IF(VLOOKUP($A26,貼り付け用!$A$1:$BA$300,COLUMN()/2+1,FALSE)=0,"",VLOOKUP($A26,貼り付け用!$A$1:$BA$300,COLUMN()/2+1,FALSE)),"")</f>
        <v>#N/A</v>
      </c>
      <c r="W26" s="58"/>
      <c r="X26" s="16" t="e">
        <f ca="1">IF($A26&lt;&gt;"",
IF(VLOOKUP($A26,貼り付け用!$A$1:$BA$300,COLUMN()/2+1,FALSE)=0,"",VLOOKUP($A26,貼り付け用!$A$1:$BA$300,COLUMN()/2+1,FALSE)),"")</f>
        <v>#N/A</v>
      </c>
      <c r="Y26" s="58"/>
      <c r="Z26" s="16" t="e">
        <f ca="1">IF($A26&lt;&gt;"",
IF(VLOOKUP($A26,貼り付け用!$A$1:$BA$300,COLUMN()/2+1,FALSE)=0,"",VLOOKUP($A26,貼り付け用!$A$1:$BA$300,COLUMN()/2+1,FALSE)),"")</f>
        <v>#N/A</v>
      </c>
      <c r="AA26" s="58"/>
      <c r="AB26" s="16" t="e">
        <f ca="1">IF($A26&lt;&gt;"",
IF(VLOOKUP($A26,貼り付け用!$A$1:$BA$300,COLUMN()/2+1,FALSE)=0,"",VLOOKUP($A26,貼り付け用!$A$1:$BA$300,COLUMN()/2+1,FALSE)),"")</f>
        <v>#N/A</v>
      </c>
      <c r="AC26" s="58"/>
      <c r="AD26" s="16" t="e">
        <f ca="1">IF($A26&lt;&gt;"",
IF(VLOOKUP($A26,貼り付け用!$A$1:$BA$300,COLUMN()/2+1,FALSE)=0,"",VLOOKUP($A26,貼り付け用!$A$1:$BA$300,COLUMN()/2+1,FALSE)),"")</f>
        <v>#N/A</v>
      </c>
      <c r="AE26" s="58"/>
      <c r="AF26" s="16" t="e">
        <f ca="1">IF($A26&lt;&gt;"",
IF(VLOOKUP($A26,貼り付け用!$A$1:$BA$300,COLUMN()/2+1,FALSE)=0,"",VLOOKUP($A26,貼り付け用!$A$1:$BA$300,COLUMN()/2+1,FALSE)),"")</f>
        <v>#N/A</v>
      </c>
      <c r="AG26" s="58"/>
      <c r="AH26" s="16" t="e">
        <f ca="1">IF($A26&lt;&gt;"",
IF(VLOOKUP($A26,貼り付け用!$A$1:$BA$300,COLUMN()/2+1,FALSE)=0,"",VLOOKUP($A26,貼り付け用!$A$1:$BA$300,COLUMN()/2+1,FALSE)),"")</f>
        <v>#N/A</v>
      </c>
      <c r="AI26" s="58"/>
      <c r="AJ26" s="16" t="e">
        <f ca="1">IF($A26&lt;&gt;"",
IF(VLOOKUP($A26,貼り付け用!$A$1:$BA$300,COLUMN()/2+1,FALSE)=0,"",VLOOKUP($A26,貼り付け用!$A$1:$BA$300,COLUMN()/2+1,FALSE)),"")</f>
        <v>#N/A</v>
      </c>
      <c r="AK26" s="58"/>
      <c r="AL26" s="16" t="e">
        <f ca="1">IF($A26&lt;&gt;"",
IF(VLOOKUP($A26,貼り付け用!$A$1:$BA$300,COLUMN()/2+1,FALSE)=0,"",VLOOKUP($A26,貼り付け用!$A$1:$BA$300,COLUMN()/2+1,FALSE)),"")</f>
        <v>#N/A</v>
      </c>
      <c r="AM26" s="210" t="e">
        <f ca="1">IF($A26&lt;&gt;"",
IF(VLOOKUP($A26,貼り付け用!$A$1:$BA$300,COLUMN()/2+2,FALSE)=0,"",VLOOKUP($A26,貼り付け用!$A$1:$BA$300,COLUMN()/2+2,FALSE)),"")</f>
        <v>#N/A</v>
      </c>
      <c r="AN26" s="210" t="e">
        <f ca="1">IF($A26&lt;&gt;"",
IF(VLOOKUP($A26,貼り付け用!$A$1:$BA$300,COLUMN()/2+3,FALSE)=0,"",VLOOKUP($A26,貼り付け用!$A$1:$BA$300,COLUMN()/2+3,FALSE)),"")</f>
        <v>#N/A</v>
      </c>
    </row>
    <row r="27" spans="1:40" x14ac:dyDescent="0.45">
      <c r="A27" s="8" t="e" cm="1">
        <f t="array" aca="1" ref="A27" ca="1">IF(OR(COUNTIF(A25,"*1000*"),COUNTIF(A25,"")),"",INDEX(貼り付け用!$A:$A,MATCH(A25,貼り付け用!$A:$A,0)+2,0))</f>
        <v>#N/A</v>
      </c>
      <c r="B27" s="46" t="e">
        <f ca="1">IF($A27&lt;&gt;"",
IF(VLOOKUP($A27,貼り付け用!$A$1:$BA$300,COLUMN()/2+1,FALSE)=0,"",VLOOKUP($A27,貼り付け用!$A$1:$BA$300,COLUMN()/2+1,FALSE)),"")</f>
        <v>#N/A</v>
      </c>
      <c r="C27" s="46"/>
      <c r="D27" s="46" t="e">
        <f ca="1">IF($A27&lt;&gt;"",
IF(VLOOKUP($A27,貼り付け用!$A$1:$BA$300,COLUMN()/2+1,FALSE)=0,"",VLOOKUP($A27,貼り付け用!$A$1:$BA$300,COLUMN()/2+1,FALSE)),"")</f>
        <v>#N/A</v>
      </c>
      <c r="E27" s="46"/>
      <c r="F27" s="46" t="e">
        <f ca="1">IF($A27&lt;&gt;"",
IF(VLOOKUP($A27,貼り付け用!$A$1:$BA$300,COLUMN()/2+1,FALSE)=0,"",VLOOKUP($A27,貼り付け用!$A$1:$BA$300,COLUMN()/2+1,FALSE)),"")</f>
        <v>#N/A</v>
      </c>
      <c r="G27" s="46"/>
      <c r="H27" s="46" t="e">
        <f ca="1">IF($A27&lt;&gt;"",
IF(VLOOKUP($A27,貼り付け用!$A$1:$BA$300,COLUMN()/2+1,FALSE)=0,"",VLOOKUP($A27,貼り付け用!$A$1:$BA$300,COLUMN()/2+1,FALSE)),"")</f>
        <v>#N/A</v>
      </c>
      <c r="I27" s="46"/>
      <c r="J27" s="46" t="e">
        <f ca="1">IF($A27&lt;&gt;"",
IF(VLOOKUP($A27,貼り付け用!$A$1:$BA$300,COLUMN()/2+1,FALSE)=0,"",VLOOKUP($A27,貼り付け用!$A$1:$BA$300,COLUMN()/2+1,FALSE)),"")</f>
        <v>#N/A</v>
      </c>
      <c r="K27" s="46"/>
      <c r="L27" s="46" t="e">
        <f ca="1">IF($A27&lt;&gt;"",
IF(VLOOKUP($A27,貼り付け用!$A$1:$BA$300,COLUMN()/2+1,FALSE)=0,"",VLOOKUP($A27,貼り付け用!$A$1:$BA$300,COLUMN()/2+1,FALSE)),"")</f>
        <v>#N/A</v>
      </c>
      <c r="M27" s="46"/>
      <c r="N27" s="46" t="e">
        <f ca="1">IF($A27&lt;&gt;"",
IF(VLOOKUP($A27,貼り付け用!$A$1:$BA$300,COLUMN()/2+1,FALSE)=0,"",VLOOKUP($A27,貼り付け用!$A$1:$BA$300,COLUMN()/2+1,FALSE)),"")</f>
        <v>#N/A</v>
      </c>
      <c r="O27" s="46"/>
      <c r="P27" s="46" t="e">
        <f ca="1">IF($A27&lt;&gt;"",
IF(VLOOKUP($A27,貼り付け用!$A$1:$BA$300,COLUMN()/2+1,FALSE)=0,"",VLOOKUP($A27,貼り付け用!$A$1:$BA$300,COLUMN()/2+1,FALSE)),"")</f>
        <v>#N/A</v>
      </c>
      <c r="Q27" s="46"/>
      <c r="R27" s="46" t="e">
        <f ca="1">IF($A27&lt;&gt;"",
IF(VLOOKUP($A27,貼り付け用!$A$1:$BA$300,COLUMN()/2+1,FALSE)=0,"",VLOOKUP($A27,貼り付け用!$A$1:$BA$300,COLUMN()/2+1,FALSE)),"")</f>
        <v>#N/A</v>
      </c>
      <c r="S27" s="46"/>
      <c r="T27" s="46" t="e">
        <f ca="1">IF($A27&lt;&gt;"",
IF(VLOOKUP($A27,貼り付け用!$A$1:$BA$300,COLUMN()/2+1,FALSE)=0,"",VLOOKUP($A27,貼り付け用!$A$1:$BA$300,COLUMN()/2+1,FALSE)),"")</f>
        <v>#N/A</v>
      </c>
      <c r="U27" s="46"/>
      <c r="V27" s="46" t="e">
        <f ca="1">IF($A27&lt;&gt;"",
IF(VLOOKUP($A27,貼り付け用!$A$1:$BA$300,COLUMN()/2+1,FALSE)=0,"",VLOOKUP($A27,貼り付け用!$A$1:$BA$300,COLUMN()/2+1,FALSE)),"")</f>
        <v>#N/A</v>
      </c>
      <c r="W27" s="46"/>
      <c r="X27" s="46" t="e">
        <f ca="1">IF($A27&lt;&gt;"",
IF(VLOOKUP($A27,貼り付け用!$A$1:$BA$300,COLUMN()/2+1,FALSE)=0,"",VLOOKUP($A27,貼り付け用!$A$1:$BA$300,COLUMN()/2+1,FALSE)),"")</f>
        <v>#N/A</v>
      </c>
      <c r="Y27" s="46"/>
      <c r="Z27" s="46" t="e">
        <f ca="1">IF($A27&lt;&gt;"",
IF(VLOOKUP($A27,貼り付け用!$A$1:$BA$300,COLUMN()/2+1,FALSE)=0,"",VLOOKUP($A27,貼り付け用!$A$1:$BA$300,COLUMN()/2+1,FALSE)),"")</f>
        <v>#N/A</v>
      </c>
      <c r="AA27" s="46"/>
      <c r="AB27" s="46" t="e">
        <f ca="1">IF($A27&lt;&gt;"",
IF(VLOOKUP($A27,貼り付け用!$A$1:$BA$300,COLUMN()/2+1,FALSE)=0,"",VLOOKUP($A27,貼り付け用!$A$1:$BA$300,COLUMN()/2+1,FALSE)),"")</f>
        <v>#N/A</v>
      </c>
      <c r="AC27" s="46"/>
      <c r="AD27" s="46" t="e">
        <f ca="1">IF($A27&lt;&gt;"",
IF(VLOOKUP($A27,貼り付け用!$A$1:$BA$300,COLUMN()/2+1,FALSE)=0,"",VLOOKUP($A27,貼り付け用!$A$1:$BA$300,COLUMN()/2+1,FALSE)),"")</f>
        <v>#N/A</v>
      </c>
      <c r="AE27" s="46"/>
      <c r="AF27" s="46" t="e">
        <f ca="1">IF($A27&lt;&gt;"",
IF(VLOOKUP($A27,貼り付け用!$A$1:$BA$300,COLUMN()/2+1,FALSE)=0,"",VLOOKUP($A27,貼り付け用!$A$1:$BA$300,COLUMN()/2+1,FALSE)),"")</f>
        <v>#N/A</v>
      </c>
      <c r="AG27" s="46"/>
      <c r="AH27" s="46" t="e">
        <f ca="1">IF($A27&lt;&gt;"",
IF(VLOOKUP($A27,貼り付け用!$A$1:$BA$300,COLUMN()/2+1,FALSE)=0,"",VLOOKUP($A27,貼り付け用!$A$1:$BA$300,COLUMN()/2+1,FALSE)),"")</f>
        <v>#N/A</v>
      </c>
      <c r="AI27" s="46"/>
      <c r="AJ27" s="46" t="e">
        <f ca="1">IF($A27&lt;&gt;"",
IF(VLOOKUP($A27,貼り付け用!$A$1:$BA$300,COLUMN()/2+1,FALSE)=0,"",VLOOKUP($A27,貼り付け用!$A$1:$BA$300,COLUMN()/2+1,FALSE)),"")</f>
        <v>#N/A</v>
      </c>
      <c r="AK27" s="46"/>
      <c r="AL27" s="46" t="e">
        <f ca="1">IF($A27&lt;&gt;"",
IF(VLOOKUP($A27,貼り付け用!$A$1:$BA$300,COLUMN()/2+1,FALSE)=0,"",VLOOKUP($A27,貼り付け用!$A$1:$BA$300,COLUMN()/2+1,FALSE)),"")</f>
        <v>#N/A</v>
      </c>
      <c r="AM27" s="211" t="e">
        <f ca="1">IF($A27&lt;&gt;"",
IF(VLOOKUP($A27,貼り付け用!$A$1:$BA$300,COLUMN()/2+2,FALSE)=0,"",VLOOKUP($A27,貼り付け用!$A$1:$BA$300,COLUMN()/2+2,FALSE)),"")</f>
        <v>#N/A</v>
      </c>
      <c r="AN27" s="211" t="e">
        <f ca="1">IF($A27&lt;&gt;"",
IF(VLOOKUP($A27,貼り付け用!$A$1:$BA$300,COLUMN()/2+3,FALSE)=0,"",VLOOKUP($A27,貼り付け用!$A$1:$BA$300,COLUMN()/2+3,FALSE)),"")</f>
        <v>#N/A</v>
      </c>
    </row>
    <row r="28" spans="1:40" x14ac:dyDescent="0.45">
      <c r="A28" s="5" t="e" cm="1">
        <f t="array" aca="1" ref="A28" ca="1">IF(OR(COUNTIF(A26,"*合計*"),COUNTIF(A26,"")),"",INDEX(貼り付け用!$A:$A,MATCH(A26,貼り付け用!$A:$A,0)+2,0))</f>
        <v>#N/A</v>
      </c>
      <c r="B28" s="16" t="e">
        <f ca="1">IF($A28&lt;&gt;"",
IF(VLOOKUP($A28,貼り付け用!$A$1:$BA$300,COLUMN()/2+1,FALSE)=0,"",VLOOKUP($A28,貼り付け用!$A$1:$BA$300,COLUMN()/2+1,FALSE)),"")</f>
        <v>#N/A</v>
      </c>
      <c r="C28" s="58"/>
      <c r="D28" s="16" t="e">
        <f ca="1">IF($A28&lt;&gt;"",
IF(VLOOKUP($A28,貼り付け用!$A$1:$BA$300,COLUMN()/2+1,FALSE)=0,"",VLOOKUP($A28,貼り付け用!$A$1:$BA$300,COLUMN()/2+1,FALSE)),"")</f>
        <v>#N/A</v>
      </c>
      <c r="E28" s="58"/>
      <c r="F28" s="16" t="e">
        <f ca="1">IF($A28&lt;&gt;"",
IF(VLOOKUP($A28,貼り付け用!$A$1:$BA$300,COLUMN()/2+1,FALSE)=0,"",VLOOKUP($A28,貼り付け用!$A$1:$BA$300,COLUMN()/2+1,FALSE)),"")</f>
        <v>#N/A</v>
      </c>
      <c r="G28" s="58"/>
      <c r="H28" s="16" t="e">
        <f ca="1">IF($A28&lt;&gt;"",
IF(VLOOKUP($A28,貼り付け用!$A$1:$BA$300,COLUMN()/2+1,FALSE)=0,"",VLOOKUP($A28,貼り付け用!$A$1:$BA$300,COLUMN()/2+1,FALSE)),"")</f>
        <v>#N/A</v>
      </c>
      <c r="I28" s="58"/>
      <c r="J28" s="16" t="e">
        <f ca="1">IF($A28&lt;&gt;"",
IF(VLOOKUP($A28,貼り付け用!$A$1:$BA$300,COLUMN()/2+1,FALSE)=0,"",VLOOKUP($A28,貼り付け用!$A$1:$BA$300,COLUMN()/2+1,FALSE)),"")</f>
        <v>#N/A</v>
      </c>
      <c r="K28" s="58"/>
      <c r="L28" s="16" t="e">
        <f ca="1">IF($A28&lt;&gt;"",
IF(VLOOKUP($A28,貼り付け用!$A$1:$BA$300,COLUMN()/2+1,FALSE)=0,"",VLOOKUP($A28,貼り付け用!$A$1:$BA$300,COLUMN()/2+1,FALSE)),"")</f>
        <v>#N/A</v>
      </c>
      <c r="M28" s="58"/>
      <c r="N28" s="16" t="e">
        <f ca="1">IF($A28&lt;&gt;"",
IF(VLOOKUP($A28,貼り付け用!$A$1:$BA$300,COLUMN()/2+1,FALSE)=0,"",VLOOKUP($A28,貼り付け用!$A$1:$BA$300,COLUMN()/2+1,FALSE)),"")</f>
        <v>#N/A</v>
      </c>
      <c r="O28" s="58"/>
      <c r="P28" s="16" t="e">
        <f ca="1">IF($A28&lt;&gt;"",
IF(VLOOKUP($A28,貼り付け用!$A$1:$BA$300,COLUMN()/2+1,FALSE)=0,"",VLOOKUP($A28,貼り付け用!$A$1:$BA$300,COLUMN()/2+1,FALSE)),"")</f>
        <v>#N/A</v>
      </c>
      <c r="Q28" s="58"/>
      <c r="R28" s="16" t="e">
        <f ca="1">IF($A28&lt;&gt;"",
IF(VLOOKUP($A28,貼り付け用!$A$1:$BA$300,COLUMN()/2+1,FALSE)=0,"",VLOOKUP($A28,貼り付け用!$A$1:$BA$300,COLUMN()/2+1,FALSE)),"")</f>
        <v>#N/A</v>
      </c>
      <c r="S28" s="58"/>
      <c r="T28" s="16" t="e">
        <f ca="1">IF($A28&lt;&gt;"",
IF(VLOOKUP($A28,貼り付け用!$A$1:$BA$300,COLUMN()/2+1,FALSE)=0,"",VLOOKUP($A28,貼り付け用!$A$1:$BA$300,COLUMN()/2+1,FALSE)),"")</f>
        <v>#N/A</v>
      </c>
      <c r="U28" s="58"/>
      <c r="V28" s="16" t="e">
        <f ca="1">IF($A28&lt;&gt;"",
IF(VLOOKUP($A28,貼り付け用!$A$1:$BA$300,COLUMN()/2+1,FALSE)=0,"",VLOOKUP($A28,貼り付け用!$A$1:$BA$300,COLUMN()/2+1,FALSE)),"")</f>
        <v>#N/A</v>
      </c>
      <c r="W28" s="58"/>
      <c r="X28" s="16" t="e">
        <f ca="1">IF($A28&lt;&gt;"",
IF(VLOOKUP($A28,貼り付け用!$A$1:$BA$300,COLUMN()/2+1,FALSE)=0,"",VLOOKUP($A28,貼り付け用!$A$1:$BA$300,COLUMN()/2+1,FALSE)),"")</f>
        <v>#N/A</v>
      </c>
      <c r="Y28" s="58"/>
      <c r="Z28" s="16" t="e">
        <f ca="1">IF($A28&lt;&gt;"",
IF(VLOOKUP($A28,貼り付け用!$A$1:$BA$300,COLUMN()/2+1,FALSE)=0,"",VLOOKUP($A28,貼り付け用!$A$1:$BA$300,COLUMN()/2+1,FALSE)),"")</f>
        <v>#N/A</v>
      </c>
      <c r="AA28" s="58"/>
      <c r="AB28" s="16" t="e">
        <f ca="1">IF($A28&lt;&gt;"",
IF(VLOOKUP($A28,貼り付け用!$A$1:$BA$300,COLUMN()/2+1,FALSE)=0,"",VLOOKUP($A28,貼り付け用!$A$1:$BA$300,COLUMN()/2+1,FALSE)),"")</f>
        <v>#N/A</v>
      </c>
      <c r="AC28" s="58"/>
      <c r="AD28" s="16" t="e">
        <f ca="1">IF($A28&lt;&gt;"",
IF(VLOOKUP($A28,貼り付け用!$A$1:$BA$300,COLUMN()/2+1,FALSE)=0,"",VLOOKUP($A28,貼り付け用!$A$1:$BA$300,COLUMN()/2+1,FALSE)),"")</f>
        <v>#N/A</v>
      </c>
      <c r="AE28" s="58"/>
      <c r="AF28" s="16" t="e">
        <f ca="1">IF($A28&lt;&gt;"",
IF(VLOOKUP($A28,貼り付け用!$A$1:$BA$300,COLUMN()/2+1,FALSE)=0,"",VLOOKUP($A28,貼り付け用!$A$1:$BA$300,COLUMN()/2+1,FALSE)),"")</f>
        <v>#N/A</v>
      </c>
      <c r="AG28" s="58"/>
      <c r="AH28" s="16" t="e">
        <f ca="1">IF($A28&lt;&gt;"",
IF(VLOOKUP($A28,貼り付け用!$A$1:$BA$300,COLUMN()/2+1,FALSE)=0,"",VLOOKUP($A28,貼り付け用!$A$1:$BA$300,COLUMN()/2+1,FALSE)),"")</f>
        <v>#N/A</v>
      </c>
      <c r="AI28" s="58"/>
      <c r="AJ28" s="16" t="e">
        <f ca="1">IF($A28&lt;&gt;"",
IF(VLOOKUP($A28,貼り付け用!$A$1:$BA$300,COLUMN()/2+1,FALSE)=0,"",VLOOKUP($A28,貼り付け用!$A$1:$BA$300,COLUMN()/2+1,FALSE)),"")</f>
        <v>#N/A</v>
      </c>
      <c r="AK28" s="58"/>
      <c r="AL28" s="16" t="e">
        <f ca="1">IF($A28&lt;&gt;"",
IF(VLOOKUP($A28,貼り付け用!$A$1:$BA$300,COLUMN()/2+1,FALSE)=0,"",VLOOKUP($A28,貼り付け用!$A$1:$BA$300,COLUMN()/2+1,FALSE)),"")</f>
        <v>#N/A</v>
      </c>
      <c r="AM28" s="210" t="e">
        <f ca="1">IF($A28&lt;&gt;"",
IF(VLOOKUP($A28,貼り付け用!$A$1:$BA$300,COLUMN()/2+2,FALSE)=0,"",VLOOKUP($A28,貼り付け用!$A$1:$BA$300,COLUMN()/2+2,FALSE)),"")</f>
        <v>#N/A</v>
      </c>
      <c r="AN28" s="210" t="e">
        <f ca="1">IF($A28&lt;&gt;"",
IF(VLOOKUP($A28,貼り付け用!$A$1:$BA$300,COLUMN()/2+3,FALSE)=0,"",VLOOKUP($A28,貼り付け用!$A$1:$BA$300,COLUMN()/2+3,FALSE)),"")</f>
        <v>#N/A</v>
      </c>
    </row>
    <row r="29" spans="1:40" x14ac:dyDescent="0.45">
      <c r="A29" s="8" t="e" cm="1">
        <f t="array" aca="1" ref="A29" ca="1">IF(OR(COUNTIF(A27,"*1000*"),COUNTIF(A27,"")),"",INDEX(貼り付け用!$A:$A,MATCH(A27,貼り付け用!$A:$A,0)+2,0))</f>
        <v>#N/A</v>
      </c>
      <c r="B29" s="46" t="e">
        <f ca="1">IF($A29&lt;&gt;"",
IF(VLOOKUP($A29,貼り付け用!$A$1:$BA$300,COLUMN()/2+1,FALSE)=0,"",VLOOKUP($A29,貼り付け用!$A$1:$BA$300,COLUMN()/2+1,FALSE)),"")</f>
        <v>#N/A</v>
      </c>
      <c r="C29" s="46"/>
      <c r="D29" s="46" t="e">
        <f ca="1">IF($A29&lt;&gt;"",
IF(VLOOKUP($A29,貼り付け用!$A$1:$BA$300,COLUMN()/2+1,FALSE)=0,"",VLOOKUP($A29,貼り付け用!$A$1:$BA$300,COLUMN()/2+1,FALSE)),"")</f>
        <v>#N/A</v>
      </c>
      <c r="E29" s="46"/>
      <c r="F29" s="46" t="e">
        <f ca="1">IF($A29&lt;&gt;"",
IF(VLOOKUP($A29,貼り付け用!$A$1:$BA$300,COLUMN()/2+1,FALSE)=0,"",VLOOKUP($A29,貼り付け用!$A$1:$BA$300,COLUMN()/2+1,FALSE)),"")</f>
        <v>#N/A</v>
      </c>
      <c r="G29" s="46"/>
      <c r="H29" s="46" t="e">
        <f ca="1">IF($A29&lt;&gt;"",
IF(VLOOKUP($A29,貼り付け用!$A$1:$BA$300,COLUMN()/2+1,FALSE)=0,"",VLOOKUP($A29,貼り付け用!$A$1:$BA$300,COLUMN()/2+1,FALSE)),"")</f>
        <v>#N/A</v>
      </c>
      <c r="I29" s="46"/>
      <c r="J29" s="46" t="e">
        <f ca="1">IF($A29&lt;&gt;"",
IF(VLOOKUP($A29,貼り付け用!$A$1:$BA$300,COLUMN()/2+1,FALSE)=0,"",VLOOKUP($A29,貼り付け用!$A$1:$BA$300,COLUMN()/2+1,FALSE)),"")</f>
        <v>#N/A</v>
      </c>
      <c r="K29" s="46"/>
      <c r="L29" s="46" t="e">
        <f ca="1">IF($A29&lt;&gt;"",
IF(VLOOKUP($A29,貼り付け用!$A$1:$BA$300,COLUMN()/2+1,FALSE)=0,"",VLOOKUP($A29,貼り付け用!$A$1:$BA$300,COLUMN()/2+1,FALSE)),"")</f>
        <v>#N/A</v>
      </c>
      <c r="M29" s="46"/>
      <c r="N29" s="46" t="e">
        <f ca="1">IF($A29&lt;&gt;"",
IF(VLOOKUP($A29,貼り付け用!$A$1:$BA$300,COLUMN()/2+1,FALSE)=0,"",VLOOKUP($A29,貼り付け用!$A$1:$BA$300,COLUMN()/2+1,FALSE)),"")</f>
        <v>#N/A</v>
      </c>
      <c r="O29" s="46"/>
      <c r="P29" s="46" t="e">
        <f ca="1">IF($A29&lt;&gt;"",
IF(VLOOKUP($A29,貼り付け用!$A$1:$BA$300,COLUMN()/2+1,FALSE)=0,"",VLOOKUP($A29,貼り付け用!$A$1:$BA$300,COLUMN()/2+1,FALSE)),"")</f>
        <v>#N/A</v>
      </c>
      <c r="Q29" s="46"/>
      <c r="R29" s="46" t="e">
        <f ca="1">IF($A29&lt;&gt;"",
IF(VLOOKUP($A29,貼り付け用!$A$1:$BA$300,COLUMN()/2+1,FALSE)=0,"",VLOOKUP($A29,貼り付け用!$A$1:$BA$300,COLUMN()/2+1,FALSE)),"")</f>
        <v>#N/A</v>
      </c>
      <c r="S29" s="46"/>
      <c r="T29" s="46" t="e">
        <f ca="1">IF($A29&lt;&gt;"",
IF(VLOOKUP($A29,貼り付け用!$A$1:$BA$300,COLUMN()/2+1,FALSE)=0,"",VLOOKUP($A29,貼り付け用!$A$1:$BA$300,COLUMN()/2+1,FALSE)),"")</f>
        <v>#N/A</v>
      </c>
      <c r="U29" s="46"/>
      <c r="V29" s="46" t="e">
        <f ca="1">IF($A29&lt;&gt;"",
IF(VLOOKUP($A29,貼り付け用!$A$1:$BA$300,COLUMN()/2+1,FALSE)=0,"",VLOOKUP($A29,貼り付け用!$A$1:$BA$300,COLUMN()/2+1,FALSE)),"")</f>
        <v>#N/A</v>
      </c>
      <c r="W29" s="46"/>
      <c r="X29" s="46" t="e">
        <f ca="1">IF($A29&lt;&gt;"",
IF(VLOOKUP($A29,貼り付け用!$A$1:$BA$300,COLUMN()/2+1,FALSE)=0,"",VLOOKUP($A29,貼り付け用!$A$1:$BA$300,COLUMN()/2+1,FALSE)),"")</f>
        <v>#N/A</v>
      </c>
      <c r="Y29" s="46"/>
      <c r="Z29" s="46" t="e">
        <f ca="1">IF($A29&lt;&gt;"",
IF(VLOOKUP($A29,貼り付け用!$A$1:$BA$300,COLUMN()/2+1,FALSE)=0,"",VLOOKUP($A29,貼り付け用!$A$1:$BA$300,COLUMN()/2+1,FALSE)),"")</f>
        <v>#N/A</v>
      </c>
      <c r="AA29" s="46"/>
      <c r="AB29" s="46" t="e">
        <f ca="1">IF($A29&lt;&gt;"",
IF(VLOOKUP($A29,貼り付け用!$A$1:$BA$300,COLUMN()/2+1,FALSE)=0,"",VLOOKUP($A29,貼り付け用!$A$1:$BA$300,COLUMN()/2+1,FALSE)),"")</f>
        <v>#N/A</v>
      </c>
      <c r="AC29" s="46"/>
      <c r="AD29" s="46" t="e">
        <f ca="1">IF($A29&lt;&gt;"",
IF(VLOOKUP($A29,貼り付け用!$A$1:$BA$300,COLUMN()/2+1,FALSE)=0,"",VLOOKUP($A29,貼り付け用!$A$1:$BA$300,COLUMN()/2+1,FALSE)),"")</f>
        <v>#N/A</v>
      </c>
      <c r="AE29" s="46"/>
      <c r="AF29" s="46" t="e">
        <f ca="1">IF($A29&lt;&gt;"",
IF(VLOOKUP($A29,貼り付け用!$A$1:$BA$300,COLUMN()/2+1,FALSE)=0,"",VLOOKUP($A29,貼り付け用!$A$1:$BA$300,COLUMN()/2+1,FALSE)),"")</f>
        <v>#N/A</v>
      </c>
      <c r="AG29" s="46"/>
      <c r="AH29" s="46" t="e">
        <f ca="1">IF($A29&lt;&gt;"",
IF(VLOOKUP($A29,貼り付け用!$A$1:$BA$300,COLUMN()/2+1,FALSE)=0,"",VLOOKUP($A29,貼り付け用!$A$1:$BA$300,COLUMN()/2+1,FALSE)),"")</f>
        <v>#N/A</v>
      </c>
      <c r="AI29" s="46"/>
      <c r="AJ29" s="46" t="e">
        <f ca="1">IF($A29&lt;&gt;"",
IF(VLOOKUP($A29,貼り付け用!$A$1:$BA$300,COLUMN()/2+1,FALSE)=0,"",VLOOKUP($A29,貼り付け用!$A$1:$BA$300,COLUMN()/2+1,FALSE)),"")</f>
        <v>#N/A</v>
      </c>
      <c r="AK29" s="46"/>
      <c r="AL29" s="46" t="e">
        <f ca="1">IF($A29&lt;&gt;"",
IF(VLOOKUP($A29,貼り付け用!$A$1:$BA$300,COLUMN()/2+1,FALSE)=0,"",VLOOKUP($A29,貼り付け用!$A$1:$BA$300,COLUMN()/2+1,FALSE)),"")</f>
        <v>#N/A</v>
      </c>
      <c r="AM29" s="211" t="e">
        <f ca="1">IF($A29&lt;&gt;"",
IF(VLOOKUP($A29,貼り付け用!$A$1:$BA$300,COLUMN()/2+2,FALSE)=0,"",VLOOKUP($A29,貼り付け用!$A$1:$BA$300,COLUMN()/2+2,FALSE)),"")</f>
        <v>#N/A</v>
      </c>
      <c r="AN29" s="211" t="e">
        <f ca="1">IF($A29&lt;&gt;"",
IF(VLOOKUP($A29,貼り付け用!$A$1:$BA$300,COLUMN()/2+3,FALSE)=0,"",VLOOKUP($A29,貼り付け用!$A$1:$BA$300,COLUMN()/2+3,FALSE)),"")</f>
        <v>#N/A</v>
      </c>
    </row>
    <row r="30" spans="1:40" x14ac:dyDescent="0.45">
      <c r="A30" s="5" t="e" cm="1">
        <f t="array" aca="1" ref="A30" ca="1">IF(OR(COUNTIF(A28,"*合計*"),COUNTIF(A28,"")),"",INDEX(貼り付け用!$A:$A,MATCH(A28,貼り付け用!$A:$A,0)+2,0))</f>
        <v>#N/A</v>
      </c>
      <c r="B30" s="16" t="e">
        <f ca="1">IF($A30&lt;&gt;"",
IF(VLOOKUP($A30,貼り付け用!$A$1:$BA$300,COLUMN()/2+1,FALSE)=0,"",VLOOKUP($A30,貼り付け用!$A$1:$BA$300,COLUMN()/2+1,FALSE)),"")</f>
        <v>#N/A</v>
      </c>
      <c r="C30" s="58"/>
      <c r="D30" s="16" t="e">
        <f ca="1">IF($A30&lt;&gt;"",
IF(VLOOKUP($A30,貼り付け用!$A$1:$BA$300,COLUMN()/2+1,FALSE)=0,"",VLOOKUP($A30,貼り付け用!$A$1:$BA$300,COLUMN()/2+1,FALSE)),"")</f>
        <v>#N/A</v>
      </c>
      <c r="E30" s="58"/>
      <c r="F30" s="16" t="e">
        <f ca="1">IF($A30&lt;&gt;"",
IF(VLOOKUP($A30,貼り付け用!$A$1:$BA$300,COLUMN()/2+1,FALSE)=0,"",VLOOKUP($A30,貼り付け用!$A$1:$BA$300,COLUMN()/2+1,FALSE)),"")</f>
        <v>#N/A</v>
      </c>
      <c r="G30" s="58"/>
      <c r="H30" s="16" t="e">
        <f ca="1">IF($A30&lt;&gt;"",
IF(VLOOKUP($A30,貼り付け用!$A$1:$BA$300,COLUMN()/2+1,FALSE)=0,"",VLOOKUP($A30,貼り付け用!$A$1:$BA$300,COLUMN()/2+1,FALSE)),"")</f>
        <v>#N/A</v>
      </c>
      <c r="I30" s="58"/>
      <c r="J30" s="16" t="e">
        <f ca="1">IF($A30&lt;&gt;"",
IF(VLOOKUP($A30,貼り付け用!$A$1:$BA$300,COLUMN()/2+1,FALSE)=0,"",VLOOKUP($A30,貼り付け用!$A$1:$BA$300,COLUMN()/2+1,FALSE)),"")</f>
        <v>#N/A</v>
      </c>
      <c r="K30" s="58"/>
      <c r="L30" s="16" t="e">
        <f ca="1">IF($A30&lt;&gt;"",
IF(VLOOKUP($A30,貼り付け用!$A$1:$BA$300,COLUMN()/2+1,FALSE)=0,"",VLOOKUP($A30,貼り付け用!$A$1:$BA$300,COLUMN()/2+1,FALSE)),"")</f>
        <v>#N/A</v>
      </c>
      <c r="M30" s="58"/>
      <c r="N30" s="16" t="e">
        <f ca="1">IF($A30&lt;&gt;"",
IF(VLOOKUP($A30,貼り付け用!$A$1:$BA$300,COLUMN()/2+1,FALSE)=0,"",VLOOKUP($A30,貼り付け用!$A$1:$BA$300,COLUMN()/2+1,FALSE)),"")</f>
        <v>#N/A</v>
      </c>
      <c r="O30" s="58"/>
      <c r="P30" s="16" t="e">
        <f ca="1">IF($A30&lt;&gt;"",
IF(VLOOKUP($A30,貼り付け用!$A$1:$BA$300,COLUMN()/2+1,FALSE)=0,"",VLOOKUP($A30,貼り付け用!$A$1:$BA$300,COLUMN()/2+1,FALSE)),"")</f>
        <v>#N/A</v>
      </c>
      <c r="Q30" s="58"/>
      <c r="R30" s="16" t="e">
        <f ca="1">IF($A30&lt;&gt;"",
IF(VLOOKUP($A30,貼り付け用!$A$1:$BA$300,COLUMN()/2+1,FALSE)=0,"",VLOOKUP($A30,貼り付け用!$A$1:$BA$300,COLUMN()/2+1,FALSE)),"")</f>
        <v>#N/A</v>
      </c>
      <c r="S30" s="58"/>
      <c r="T30" s="16" t="e">
        <f ca="1">IF($A30&lt;&gt;"",
IF(VLOOKUP($A30,貼り付け用!$A$1:$BA$300,COLUMN()/2+1,FALSE)=0,"",VLOOKUP($A30,貼り付け用!$A$1:$BA$300,COLUMN()/2+1,FALSE)),"")</f>
        <v>#N/A</v>
      </c>
      <c r="U30" s="58"/>
      <c r="V30" s="16" t="e">
        <f ca="1">IF($A30&lt;&gt;"",
IF(VLOOKUP($A30,貼り付け用!$A$1:$BA$300,COLUMN()/2+1,FALSE)=0,"",VLOOKUP($A30,貼り付け用!$A$1:$BA$300,COLUMN()/2+1,FALSE)),"")</f>
        <v>#N/A</v>
      </c>
      <c r="W30" s="58"/>
      <c r="X30" s="16" t="e">
        <f ca="1">IF($A30&lt;&gt;"",
IF(VLOOKUP($A30,貼り付け用!$A$1:$BA$300,COLUMN()/2+1,FALSE)=0,"",VLOOKUP($A30,貼り付け用!$A$1:$BA$300,COLUMN()/2+1,FALSE)),"")</f>
        <v>#N/A</v>
      </c>
      <c r="Y30" s="58"/>
      <c r="Z30" s="16" t="e">
        <f ca="1">IF($A30&lt;&gt;"",
IF(VLOOKUP($A30,貼り付け用!$A$1:$BA$300,COLUMN()/2+1,FALSE)=0,"",VLOOKUP($A30,貼り付け用!$A$1:$BA$300,COLUMN()/2+1,FALSE)),"")</f>
        <v>#N/A</v>
      </c>
      <c r="AA30" s="58"/>
      <c r="AB30" s="16" t="e">
        <f ca="1">IF($A30&lt;&gt;"",
IF(VLOOKUP($A30,貼り付け用!$A$1:$BA$300,COLUMN()/2+1,FALSE)=0,"",VLOOKUP($A30,貼り付け用!$A$1:$BA$300,COLUMN()/2+1,FALSE)),"")</f>
        <v>#N/A</v>
      </c>
      <c r="AC30" s="58"/>
      <c r="AD30" s="16" t="e">
        <f ca="1">IF($A30&lt;&gt;"",
IF(VLOOKUP($A30,貼り付け用!$A$1:$BA$300,COLUMN()/2+1,FALSE)=0,"",VLOOKUP($A30,貼り付け用!$A$1:$BA$300,COLUMN()/2+1,FALSE)),"")</f>
        <v>#N/A</v>
      </c>
      <c r="AE30" s="58"/>
      <c r="AF30" s="16" t="e">
        <f ca="1">IF($A30&lt;&gt;"",
IF(VLOOKUP($A30,貼り付け用!$A$1:$BA$300,COLUMN()/2+1,FALSE)=0,"",VLOOKUP($A30,貼り付け用!$A$1:$BA$300,COLUMN()/2+1,FALSE)),"")</f>
        <v>#N/A</v>
      </c>
      <c r="AG30" s="58"/>
      <c r="AH30" s="16" t="e">
        <f ca="1">IF($A30&lt;&gt;"",
IF(VLOOKUP($A30,貼り付け用!$A$1:$BA$300,COLUMN()/2+1,FALSE)=0,"",VLOOKUP($A30,貼り付け用!$A$1:$BA$300,COLUMN()/2+1,FALSE)),"")</f>
        <v>#N/A</v>
      </c>
      <c r="AI30" s="58"/>
      <c r="AJ30" s="16" t="e">
        <f ca="1">IF($A30&lt;&gt;"",
IF(VLOOKUP($A30,貼り付け用!$A$1:$BA$300,COLUMN()/2+1,FALSE)=0,"",VLOOKUP($A30,貼り付け用!$A$1:$BA$300,COLUMN()/2+1,FALSE)),"")</f>
        <v>#N/A</v>
      </c>
      <c r="AK30" s="58"/>
      <c r="AL30" s="16" t="e">
        <f ca="1">IF($A30&lt;&gt;"",
IF(VLOOKUP($A30,貼り付け用!$A$1:$BA$300,COLUMN()/2+1,FALSE)=0,"",VLOOKUP($A30,貼り付け用!$A$1:$BA$300,COLUMN()/2+1,FALSE)),"")</f>
        <v>#N/A</v>
      </c>
      <c r="AM30" s="210" t="e">
        <f ca="1">IF($A30&lt;&gt;"",
IF(VLOOKUP($A30,貼り付け用!$A$1:$BA$300,COLUMN()/2+2,FALSE)=0,"",VLOOKUP($A30,貼り付け用!$A$1:$BA$300,COLUMN()/2+2,FALSE)),"")</f>
        <v>#N/A</v>
      </c>
      <c r="AN30" s="210" t="e">
        <f ca="1">IF($A30&lt;&gt;"",
IF(VLOOKUP($A30,貼り付け用!$A$1:$BA$300,COLUMN()/2+3,FALSE)=0,"",VLOOKUP($A30,貼り付け用!$A$1:$BA$300,COLUMN()/2+3,FALSE)),"")</f>
        <v>#N/A</v>
      </c>
    </row>
    <row r="31" spans="1:40" x14ac:dyDescent="0.45">
      <c r="A31" s="8" t="e" cm="1">
        <f t="array" aca="1" ref="A31" ca="1">IF(OR(COUNTIF(A29,"*1000*"),COUNTIF(A29,"")),"",INDEX(貼り付け用!$A:$A,MATCH(A29,貼り付け用!$A:$A,0)+2,0))</f>
        <v>#N/A</v>
      </c>
      <c r="B31" s="46" t="e">
        <f ca="1">IF($A31&lt;&gt;"",
IF(VLOOKUP($A31,貼り付け用!$A$1:$BA$300,COLUMN()/2+1,FALSE)=0,"",VLOOKUP($A31,貼り付け用!$A$1:$BA$300,COLUMN()/2+1,FALSE)),"")</f>
        <v>#N/A</v>
      </c>
      <c r="C31" s="46"/>
      <c r="D31" s="46" t="e">
        <f ca="1">IF($A31&lt;&gt;"",
IF(VLOOKUP($A31,貼り付け用!$A$1:$BA$300,COLUMN()/2+1,FALSE)=0,"",VLOOKUP($A31,貼り付け用!$A$1:$BA$300,COLUMN()/2+1,FALSE)),"")</f>
        <v>#N/A</v>
      </c>
      <c r="E31" s="46"/>
      <c r="F31" s="46" t="e">
        <f ca="1">IF($A31&lt;&gt;"",
IF(VLOOKUP($A31,貼り付け用!$A$1:$BA$300,COLUMN()/2+1,FALSE)=0,"",VLOOKUP($A31,貼り付け用!$A$1:$BA$300,COLUMN()/2+1,FALSE)),"")</f>
        <v>#N/A</v>
      </c>
      <c r="G31" s="46"/>
      <c r="H31" s="46" t="e">
        <f ca="1">IF($A31&lt;&gt;"",
IF(VLOOKUP($A31,貼り付け用!$A$1:$BA$300,COLUMN()/2+1,FALSE)=0,"",VLOOKUP($A31,貼り付け用!$A$1:$BA$300,COLUMN()/2+1,FALSE)),"")</f>
        <v>#N/A</v>
      </c>
      <c r="I31" s="46"/>
      <c r="J31" s="46" t="e">
        <f ca="1">IF($A31&lt;&gt;"",
IF(VLOOKUP($A31,貼り付け用!$A$1:$BA$300,COLUMN()/2+1,FALSE)=0,"",VLOOKUP($A31,貼り付け用!$A$1:$BA$300,COLUMN()/2+1,FALSE)),"")</f>
        <v>#N/A</v>
      </c>
      <c r="K31" s="46"/>
      <c r="L31" s="46" t="e">
        <f ca="1">IF($A31&lt;&gt;"",
IF(VLOOKUP($A31,貼り付け用!$A$1:$BA$300,COLUMN()/2+1,FALSE)=0,"",VLOOKUP($A31,貼り付け用!$A$1:$BA$300,COLUMN()/2+1,FALSE)),"")</f>
        <v>#N/A</v>
      </c>
      <c r="M31" s="46"/>
      <c r="N31" s="46" t="e">
        <f ca="1">IF($A31&lt;&gt;"",
IF(VLOOKUP($A31,貼り付け用!$A$1:$BA$300,COLUMN()/2+1,FALSE)=0,"",VLOOKUP($A31,貼り付け用!$A$1:$BA$300,COLUMN()/2+1,FALSE)),"")</f>
        <v>#N/A</v>
      </c>
      <c r="O31" s="46"/>
      <c r="P31" s="46" t="e">
        <f ca="1">IF($A31&lt;&gt;"",
IF(VLOOKUP($A31,貼り付け用!$A$1:$BA$300,COLUMN()/2+1,FALSE)=0,"",VLOOKUP($A31,貼り付け用!$A$1:$BA$300,COLUMN()/2+1,FALSE)),"")</f>
        <v>#N/A</v>
      </c>
      <c r="Q31" s="46"/>
      <c r="R31" s="46" t="e">
        <f ca="1">IF($A31&lt;&gt;"",
IF(VLOOKUP($A31,貼り付け用!$A$1:$BA$300,COLUMN()/2+1,FALSE)=0,"",VLOOKUP($A31,貼り付け用!$A$1:$BA$300,COLUMN()/2+1,FALSE)),"")</f>
        <v>#N/A</v>
      </c>
      <c r="S31" s="46"/>
      <c r="T31" s="46" t="e">
        <f ca="1">IF($A31&lt;&gt;"",
IF(VLOOKUP($A31,貼り付け用!$A$1:$BA$300,COLUMN()/2+1,FALSE)=0,"",VLOOKUP($A31,貼り付け用!$A$1:$BA$300,COLUMN()/2+1,FALSE)),"")</f>
        <v>#N/A</v>
      </c>
      <c r="U31" s="46"/>
      <c r="V31" s="46" t="e">
        <f ca="1">IF($A31&lt;&gt;"",
IF(VLOOKUP($A31,貼り付け用!$A$1:$BA$300,COLUMN()/2+1,FALSE)=0,"",VLOOKUP($A31,貼り付け用!$A$1:$BA$300,COLUMN()/2+1,FALSE)),"")</f>
        <v>#N/A</v>
      </c>
      <c r="W31" s="46"/>
      <c r="X31" s="46" t="e">
        <f ca="1">IF($A31&lt;&gt;"",
IF(VLOOKUP($A31,貼り付け用!$A$1:$BA$300,COLUMN()/2+1,FALSE)=0,"",VLOOKUP($A31,貼り付け用!$A$1:$BA$300,COLUMN()/2+1,FALSE)),"")</f>
        <v>#N/A</v>
      </c>
      <c r="Y31" s="46"/>
      <c r="Z31" s="46" t="e">
        <f ca="1">IF($A31&lt;&gt;"",
IF(VLOOKUP($A31,貼り付け用!$A$1:$BA$300,COLUMN()/2+1,FALSE)=0,"",VLOOKUP($A31,貼り付け用!$A$1:$BA$300,COLUMN()/2+1,FALSE)),"")</f>
        <v>#N/A</v>
      </c>
      <c r="AA31" s="46"/>
      <c r="AB31" s="46" t="e">
        <f ca="1">IF($A31&lt;&gt;"",
IF(VLOOKUP($A31,貼り付け用!$A$1:$BA$300,COLUMN()/2+1,FALSE)=0,"",VLOOKUP($A31,貼り付け用!$A$1:$BA$300,COLUMN()/2+1,FALSE)),"")</f>
        <v>#N/A</v>
      </c>
      <c r="AC31" s="46"/>
      <c r="AD31" s="46" t="e">
        <f ca="1">IF($A31&lt;&gt;"",
IF(VLOOKUP($A31,貼り付け用!$A$1:$BA$300,COLUMN()/2+1,FALSE)=0,"",VLOOKUP($A31,貼り付け用!$A$1:$BA$300,COLUMN()/2+1,FALSE)),"")</f>
        <v>#N/A</v>
      </c>
      <c r="AE31" s="46"/>
      <c r="AF31" s="46" t="e">
        <f ca="1">IF($A31&lt;&gt;"",
IF(VLOOKUP($A31,貼り付け用!$A$1:$BA$300,COLUMN()/2+1,FALSE)=0,"",VLOOKUP($A31,貼り付け用!$A$1:$BA$300,COLUMN()/2+1,FALSE)),"")</f>
        <v>#N/A</v>
      </c>
      <c r="AG31" s="46"/>
      <c r="AH31" s="46" t="e">
        <f ca="1">IF($A31&lt;&gt;"",
IF(VLOOKUP($A31,貼り付け用!$A$1:$BA$300,COLUMN()/2+1,FALSE)=0,"",VLOOKUP($A31,貼り付け用!$A$1:$BA$300,COLUMN()/2+1,FALSE)),"")</f>
        <v>#N/A</v>
      </c>
      <c r="AI31" s="46"/>
      <c r="AJ31" s="46" t="e">
        <f ca="1">IF($A31&lt;&gt;"",
IF(VLOOKUP($A31,貼り付け用!$A$1:$BA$300,COLUMN()/2+1,FALSE)=0,"",VLOOKUP($A31,貼り付け用!$A$1:$BA$300,COLUMN()/2+1,FALSE)),"")</f>
        <v>#N/A</v>
      </c>
      <c r="AK31" s="46"/>
      <c r="AL31" s="46" t="e">
        <f ca="1">IF($A31&lt;&gt;"",
IF(VLOOKUP($A31,貼り付け用!$A$1:$BA$300,COLUMN()/2+1,FALSE)=0,"",VLOOKUP($A31,貼り付け用!$A$1:$BA$300,COLUMN()/2+1,FALSE)),"")</f>
        <v>#N/A</v>
      </c>
      <c r="AM31" s="211" t="e">
        <f ca="1">IF($A31&lt;&gt;"",
IF(VLOOKUP($A31,貼り付け用!$A$1:$BA$300,COLUMN()/2+2,FALSE)=0,"",VLOOKUP($A31,貼り付け用!$A$1:$BA$300,COLUMN()/2+2,FALSE)),"")</f>
        <v>#N/A</v>
      </c>
      <c r="AN31" s="211" t="e">
        <f ca="1">IF($A31&lt;&gt;"",
IF(VLOOKUP($A31,貼り付け用!$A$1:$BA$300,COLUMN()/2+3,FALSE)=0,"",VLOOKUP($A31,貼り付け用!$A$1:$BA$300,COLUMN()/2+3,FALSE)),"")</f>
        <v>#N/A</v>
      </c>
    </row>
    <row r="32" spans="1:40" x14ac:dyDescent="0.45">
      <c r="A32" s="5" t="e" cm="1">
        <f t="array" aca="1" ref="A32" ca="1">IF(OR(COUNTIF(A30,"*合計*"),COUNTIF(A30,"")),"",INDEX(貼り付け用!$A:$A,MATCH(A30,貼り付け用!$A:$A,0)+2,0))</f>
        <v>#N/A</v>
      </c>
      <c r="B32" s="16" t="e">
        <f ca="1">IF($A32&lt;&gt;"",
IF(VLOOKUP($A32,貼り付け用!$A$1:$BA$300,COLUMN()/2+1,FALSE)=0,"",VLOOKUP($A32,貼り付け用!$A$1:$BA$300,COLUMN()/2+1,FALSE)),"")</f>
        <v>#N/A</v>
      </c>
      <c r="C32" s="58"/>
      <c r="D32" s="16" t="e">
        <f ca="1">IF($A32&lt;&gt;"",
IF(VLOOKUP($A32,貼り付け用!$A$1:$BA$300,COLUMN()/2+1,FALSE)=0,"",VLOOKUP($A32,貼り付け用!$A$1:$BA$300,COLUMN()/2+1,FALSE)),"")</f>
        <v>#N/A</v>
      </c>
      <c r="E32" s="58"/>
      <c r="F32" s="16" t="e">
        <f ca="1">IF($A32&lt;&gt;"",
IF(VLOOKUP($A32,貼り付け用!$A$1:$BA$300,COLUMN()/2+1,FALSE)=0,"",VLOOKUP($A32,貼り付け用!$A$1:$BA$300,COLUMN()/2+1,FALSE)),"")</f>
        <v>#N/A</v>
      </c>
      <c r="G32" s="58"/>
      <c r="H32" s="16" t="e">
        <f ca="1">IF($A32&lt;&gt;"",
IF(VLOOKUP($A32,貼り付け用!$A$1:$BA$300,COLUMN()/2+1,FALSE)=0,"",VLOOKUP($A32,貼り付け用!$A$1:$BA$300,COLUMN()/2+1,FALSE)),"")</f>
        <v>#N/A</v>
      </c>
      <c r="I32" s="58"/>
      <c r="J32" s="16" t="e">
        <f ca="1">IF($A32&lt;&gt;"",
IF(VLOOKUP($A32,貼り付け用!$A$1:$BA$300,COLUMN()/2+1,FALSE)=0,"",VLOOKUP($A32,貼り付け用!$A$1:$BA$300,COLUMN()/2+1,FALSE)),"")</f>
        <v>#N/A</v>
      </c>
      <c r="K32" s="58"/>
      <c r="L32" s="16" t="e">
        <f ca="1">IF($A32&lt;&gt;"",
IF(VLOOKUP($A32,貼り付け用!$A$1:$BA$300,COLUMN()/2+1,FALSE)=0,"",VLOOKUP($A32,貼り付け用!$A$1:$BA$300,COLUMN()/2+1,FALSE)),"")</f>
        <v>#N/A</v>
      </c>
      <c r="M32" s="58"/>
      <c r="N32" s="16" t="e">
        <f ca="1">IF($A32&lt;&gt;"",
IF(VLOOKUP($A32,貼り付け用!$A$1:$BA$300,COLUMN()/2+1,FALSE)=0,"",VLOOKUP($A32,貼り付け用!$A$1:$BA$300,COLUMN()/2+1,FALSE)),"")</f>
        <v>#N/A</v>
      </c>
      <c r="O32" s="58"/>
      <c r="P32" s="16" t="e">
        <f ca="1">IF($A32&lt;&gt;"",
IF(VLOOKUP($A32,貼り付け用!$A$1:$BA$300,COLUMN()/2+1,FALSE)=0,"",VLOOKUP($A32,貼り付け用!$A$1:$BA$300,COLUMN()/2+1,FALSE)),"")</f>
        <v>#N/A</v>
      </c>
      <c r="Q32" s="58"/>
      <c r="R32" s="16" t="e">
        <f ca="1">IF($A32&lt;&gt;"",
IF(VLOOKUP($A32,貼り付け用!$A$1:$BA$300,COLUMN()/2+1,FALSE)=0,"",VLOOKUP($A32,貼り付け用!$A$1:$BA$300,COLUMN()/2+1,FALSE)),"")</f>
        <v>#N/A</v>
      </c>
      <c r="S32" s="58"/>
      <c r="T32" s="16" t="e">
        <f ca="1">IF($A32&lt;&gt;"",
IF(VLOOKUP($A32,貼り付け用!$A$1:$BA$300,COLUMN()/2+1,FALSE)=0,"",VLOOKUP($A32,貼り付け用!$A$1:$BA$300,COLUMN()/2+1,FALSE)),"")</f>
        <v>#N/A</v>
      </c>
      <c r="U32" s="58"/>
      <c r="V32" s="16" t="e">
        <f ca="1">IF($A32&lt;&gt;"",
IF(VLOOKUP($A32,貼り付け用!$A$1:$BA$300,COLUMN()/2+1,FALSE)=0,"",VLOOKUP($A32,貼り付け用!$A$1:$BA$300,COLUMN()/2+1,FALSE)),"")</f>
        <v>#N/A</v>
      </c>
      <c r="W32" s="58"/>
      <c r="X32" s="16" t="e">
        <f ca="1">IF($A32&lt;&gt;"",
IF(VLOOKUP($A32,貼り付け用!$A$1:$BA$300,COLUMN()/2+1,FALSE)=0,"",VLOOKUP($A32,貼り付け用!$A$1:$BA$300,COLUMN()/2+1,FALSE)),"")</f>
        <v>#N/A</v>
      </c>
      <c r="Y32" s="58"/>
      <c r="Z32" s="16" t="e">
        <f ca="1">IF($A32&lt;&gt;"",
IF(VLOOKUP($A32,貼り付け用!$A$1:$BA$300,COLUMN()/2+1,FALSE)=0,"",VLOOKUP($A32,貼り付け用!$A$1:$BA$300,COLUMN()/2+1,FALSE)),"")</f>
        <v>#N/A</v>
      </c>
      <c r="AA32" s="58"/>
      <c r="AB32" s="16" t="e">
        <f ca="1">IF($A32&lt;&gt;"",
IF(VLOOKUP($A32,貼り付け用!$A$1:$BA$300,COLUMN()/2+1,FALSE)=0,"",VLOOKUP($A32,貼り付け用!$A$1:$BA$300,COLUMN()/2+1,FALSE)),"")</f>
        <v>#N/A</v>
      </c>
      <c r="AC32" s="58"/>
      <c r="AD32" s="16" t="e">
        <f ca="1">IF($A32&lt;&gt;"",
IF(VLOOKUP($A32,貼り付け用!$A$1:$BA$300,COLUMN()/2+1,FALSE)=0,"",VLOOKUP($A32,貼り付け用!$A$1:$BA$300,COLUMN()/2+1,FALSE)),"")</f>
        <v>#N/A</v>
      </c>
      <c r="AE32" s="58"/>
      <c r="AF32" s="16" t="e">
        <f ca="1">IF($A32&lt;&gt;"",
IF(VLOOKUP($A32,貼り付け用!$A$1:$BA$300,COLUMN()/2+1,FALSE)=0,"",VLOOKUP($A32,貼り付け用!$A$1:$BA$300,COLUMN()/2+1,FALSE)),"")</f>
        <v>#N/A</v>
      </c>
      <c r="AG32" s="58"/>
      <c r="AH32" s="16" t="e">
        <f ca="1">IF($A32&lt;&gt;"",
IF(VLOOKUP($A32,貼り付け用!$A$1:$BA$300,COLUMN()/2+1,FALSE)=0,"",VLOOKUP($A32,貼り付け用!$A$1:$BA$300,COLUMN()/2+1,FALSE)),"")</f>
        <v>#N/A</v>
      </c>
      <c r="AI32" s="58"/>
      <c r="AJ32" s="16" t="e">
        <f ca="1">IF($A32&lt;&gt;"",
IF(VLOOKUP($A32,貼り付け用!$A$1:$BA$300,COLUMN()/2+1,FALSE)=0,"",VLOOKUP($A32,貼り付け用!$A$1:$BA$300,COLUMN()/2+1,FALSE)),"")</f>
        <v>#N/A</v>
      </c>
      <c r="AK32" s="58"/>
      <c r="AL32" s="16" t="e">
        <f ca="1">IF($A32&lt;&gt;"",
IF(VLOOKUP($A32,貼り付け用!$A$1:$BA$300,COLUMN()/2+1,FALSE)=0,"",VLOOKUP($A32,貼り付け用!$A$1:$BA$300,COLUMN()/2+1,FALSE)),"")</f>
        <v>#N/A</v>
      </c>
      <c r="AM32" s="210" t="e">
        <f ca="1">IF($A32&lt;&gt;"",
IF(VLOOKUP($A32,貼り付け用!$A$1:$BA$300,COLUMN()/2+2,FALSE)=0,"",VLOOKUP($A32,貼り付け用!$A$1:$BA$300,COLUMN()/2+2,FALSE)),"")</f>
        <v>#N/A</v>
      </c>
      <c r="AN32" s="210" t="e">
        <f ca="1">IF($A32&lt;&gt;"",
IF(VLOOKUP($A32,貼り付け用!$A$1:$BA$300,COLUMN()/2+3,FALSE)=0,"",VLOOKUP($A32,貼り付け用!$A$1:$BA$300,COLUMN()/2+3,FALSE)),"")</f>
        <v>#N/A</v>
      </c>
    </row>
    <row r="33" spans="1:40" x14ac:dyDescent="0.45">
      <c r="A33" s="8" t="e" cm="1">
        <f t="array" aca="1" ref="A33" ca="1">IF(OR(COUNTIF(A31,"*1000*"),COUNTIF(A31,"")),"",INDEX(貼り付け用!$A:$A,MATCH(A31,貼り付け用!$A:$A,0)+2,0))</f>
        <v>#N/A</v>
      </c>
      <c r="B33" s="46" t="e">
        <f ca="1">IF($A33&lt;&gt;"",
IF(VLOOKUP($A33,貼り付け用!$A$1:$BA$300,COLUMN()/2+1,FALSE)=0,"",VLOOKUP($A33,貼り付け用!$A$1:$BA$300,COLUMN()/2+1,FALSE)),"")</f>
        <v>#N/A</v>
      </c>
      <c r="C33" s="46"/>
      <c r="D33" s="46" t="e">
        <f ca="1">IF($A33&lt;&gt;"",
IF(VLOOKUP($A33,貼り付け用!$A$1:$BA$300,COLUMN()/2+1,FALSE)=0,"",VLOOKUP($A33,貼り付け用!$A$1:$BA$300,COLUMN()/2+1,FALSE)),"")</f>
        <v>#N/A</v>
      </c>
      <c r="E33" s="46"/>
      <c r="F33" s="46" t="e">
        <f ca="1">IF($A33&lt;&gt;"",
IF(VLOOKUP($A33,貼り付け用!$A$1:$BA$300,COLUMN()/2+1,FALSE)=0,"",VLOOKUP($A33,貼り付け用!$A$1:$BA$300,COLUMN()/2+1,FALSE)),"")</f>
        <v>#N/A</v>
      </c>
      <c r="G33" s="46"/>
      <c r="H33" s="46" t="e">
        <f ca="1">IF($A33&lt;&gt;"",
IF(VLOOKUP($A33,貼り付け用!$A$1:$BA$300,COLUMN()/2+1,FALSE)=0,"",VLOOKUP($A33,貼り付け用!$A$1:$BA$300,COLUMN()/2+1,FALSE)),"")</f>
        <v>#N/A</v>
      </c>
      <c r="I33" s="46"/>
      <c r="J33" s="46" t="e">
        <f ca="1">IF($A33&lt;&gt;"",
IF(VLOOKUP($A33,貼り付け用!$A$1:$BA$300,COLUMN()/2+1,FALSE)=0,"",VLOOKUP($A33,貼り付け用!$A$1:$BA$300,COLUMN()/2+1,FALSE)),"")</f>
        <v>#N/A</v>
      </c>
      <c r="K33" s="46"/>
      <c r="L33" s="46" t="e">
        <f ca="1">IF($A33&lt;&gt;"",
IF(VLOOKUP($A33,貼り付け用!$A$1:$BA$300,COLUMN()/2+1,FALSE)=0,"",VLOOKUP($A33,貼り付け用!$A$1:$BA$300,COLUMN()/2+1,FALSE)),"")</f>
        <v>#N/A</v>
      </c>
      <c r="M33" s="46"/>
      <c r="N33" s="46" t="e">
        <f ca="1">IF($A33&lt;&gt;"",
IF(VLOOKUP($A33,貼り付け用!$A$1:$BA$300,COLUMN()/2+1,FALSE)=0,"",VLOOKUP($A33,貼り付け用!$A$1:$BA$300,COLUMN()/2+1,FALSE)),"")</f>
        <v>#N/A</v>
      </c>
      <c r="O33" s="46"/>
      <c r="P33" s="46" t="e">
        <f ca="1">IF($A33&lt;&gt;"",
IF(VLOOKUP($A33,貼り付け用!$A$1:$BA$300,COLUMN()/2+1,FALSE)=0,"",VLOOKUP($A33,貼り付け用!$A$1:$BA$300,COLUMN()/2+1,FALSE)),"")</f>
        <v>#N/A</v>
      </c>
      <c r="Q33" s="46"/>
      <c r="R33" s="46" t="e">
        <f ca="1">IF($A33&lt;&gt;"",
IF(VLOOKUP($A33,貼り付け用!$A$1:$BA$300,COLUMN()/2+1,FALSE)=0,"",VLOOKUP($A33,貼り付け用!$A$1:$BA$300,COLUMN()/2+1,FALSE)),"")</f>
        <v>#N/A</v>
      </c>
      <c r="S33" s="46"/>
      <c r="T33" s="46" t="e">
        <f ca="1">IF($A33&lt;&gt;"",
IF(VLOOKUP($A33,貼り付け用!$A$1:$BA$300,COLUMN()/2+1,FALSE)=0,"",VLOOKUP($A33,貼り付け用!$A$1:$BA$300,COLUMN()/2+1,FALSE)),"")</f>
        <v>#N/A</v>
      </c>
      <c r="U33" s="46"/>
      <c r="V33" s="46" t="e">
        <f ca="1">IF($A33&lt;&gt;"",
IF(VLOOKUP($A33,貼り付け用!$A$1:$BA$300,COLUMN()/2+1,FALSE)=0,"",VLOOKUP($A33,貼り付け用!$A$1:$BA$300,COLUMN()/2+1,FALSE)),"")</f>
        <v>#N/A</v>
      </c>
      <c r="W33" s="46"/>
      <c r="X33" s="46" t="e">
        <f ca="1">IF($A33&lt;&gt;"",
IF(VLOOKUP($A33,貼り付け用!$A$1:$BA$300,COLUMN()/2+1,FALSE)=0,"",VLOOKUP($A33,貼り付け用!$A$1:$BA$300,COLUMN()/2+1,FALSE)),"")</f>
        <v>#N/A</v>
      </c>
      <c r="Y33" s="46"/>
      <c r="Z33" s="46" t="e">
        <f ca="1">IF($A33&lt;&gt;"",
IF(VLOOKUP($A33,貼り付け用!$A$1:$BA$300,COLUMN()/2+1,FALSE)=0,"",VLOOKUP($A33,貼り付け用!$A$1:$BA$300,COLUMN()/2+1,FALSE)),"")</f>
        <v>#N/A</v>
      </c>
      <c r="AA33" s="46"/>
      <c r="AB33" s="46" t="e">
        <f ca="1">IF($A33&lt;&gt;"",
IF(VLOOKUP($A33,貼り付け用!$A$1:$BA$300,COLUMN()/2+1,FALSE)=0,"",VLOOKUP($A33,貼り付け用!$A$1:$BA$300,COLUMN()/2+1,FALSE)),"")</f>
        <v>#N/A</v>
      </c>
      <c r="AC33" s="46"/>
      <c r="AD33" s="46" t="e">
        <f ca="1">IF($A33&lt;&gt;"",
IF(VLOOKUP($A33,貼り付け用!$A$1:$BA$300,COLUMN()/2+1,FALSE)=0,"",VLOOKUP($A33,貼り付け用!$A$1:$BA$300,COLUMN()/2+1,FALSE)),"")</f>
        <v>#N/A</v>
      </c>
      <c r="AE33" s="46"/>
      <c r="AF33" s="46" t="e">
        <f ca="1">IF($A33&lt;&gt;"",
IF(VLOOKUP($A33,貼り付け用!$A$1:$BA$300,COLUMN()/2+1,FALSE)=0,"",VLOOKUP($A33,貼り付け用!$A$1:$BA$300,COLUMN()/2+1,FALSE)),"")</f>
        <v>#N/A</v>
      </c>
      <c r="AG33" s="46"/>
      <c r="AH33" s="46" t="e">
        <f ca="1">IF($A33&lt;&gt;"",
IF(VLOOKUP($A33,貼り付け用!$A$1:$BA$300,COLUMN()/2+1,FALSE)=0,"",VLOOKUP($A33,貼り付け用!$A$1:$BA$300,COLUMN()/2+1,FALSE)),"")</f>
        <v>#N/A</v>
      </c>
      <c r="AI33" s="46"/>
      <c r="AJ33" s="46" t="e">
        <f ca="1">IF($A33&lt;&gt;"",
IF(VLOOKUP($A33,貼り付け用!$A$1:$BA$300,COLUMN()/2+1,FALSE)=0,"",VLOOKUP($A33,貼り付け用!$A$1:$BA$300,COLUMN()/2+1,FALSE)),"")</f>
        <v>#N/A</v>
      </c>
      <c r="AK33" s="46"/>
      <c r="AL33" s="46" t="e">
        <f ca="1">IF($A33&lt;&gt;"",
IF(VLOOKUP($A33,貼り付け用!$A$1:$BA$300,COLUMN()/2+1,FALSE)=0,"",VLOOKUP($A33,貼り付け用!$A$1:$BA$300,COLUMN()/2+1,FALSE)),"")</f>
        <v>#N/A</v>
      </c>
      <c r="AM33" s="211" t="e">
        <f ca="1">IF($A33&lt;&gt;"",
IF(VLOOKUP($A33,貼り付け用!$A$1:$BA$300,COLUMN()/2+2,FALSE)=0,"",VLOOKUP($A33,貼り付け用!$A$1:$BA$300,COLUMN()/2+2,FALSE)),"")</f>
        <v>#N/A</v>
      </c>
      <c r="AN33" s="211" t="e">
        <f ca="1">IF($A33&lt;&gt;"",
IF(VLOOKUP($A33,貼り付け用!$A$1:$BA$300,COLUMN()/2+3,FALSE)=0,"",VLOOKUP($A33,貼り付け用!$A$1:$BA$300,COLUMN()/2+3,FALSE)),"")</f>
        <v>#N/A</v>
      </c>
    </row>
    <row r="34" spans="1:40" x14ac:dyDescent="0.45">
      <c r="A34" s="5" t="e" cm="1">
        <f t="array" aca="1" ref="A34" ca="1">IF(OR(COUNTIF(A32,"*合計*"),COUNTIF(A32,"")),"",INDEX(貼り付け用!$A:$A,MATCH(A32,貼り付け用!$A:$A,0)+2,0))</f>
        <v>#N/A</v>
      </c>
      <c r="B34" s="16" t="e">
        <f ca="1">IF($A34&lt;&gt;"",
IF(VLOOKUP($A34,貼り付け用!$A$1:$BA$300,COLUMN()/2+1,FALSE)=0,"",VLOOKUP($A34,貼り付け用!$A$1:$BA$300,COLUMN()/2+1,FALSE)),"")</f>
        <v>#N/A</v>
      </c>
      <c r="C34" s="58"/>
      <c r="D34" s="16" t="e">
        <f ca="1">IF($A34&lt;&gt;"",
IF(VLOOKUP($A34,貼り付け用!$A$1:$BA$300,COLUMN()/2+1,FALSE)=0,"",VLOOKUP($A34,貼り付け用!$A$1:$BA$300,COLUMN()/2+1,FALSE)),"")</f>
        <v>#N/A</v>
      </c>
      <c r="E34" s="58"/>
      <c r="F34" s="16" t="e">
        <f ca="1">IF($A34&lt;&gt;"",
IF(VLOOKUP($A34,貼り付け用!$A$1:$BA$300,COLUMN()/2+1,FALSE)=0,"",VLOOKUP($A34,貼り付け用!$A$1:$BA$300,COLUMN()/2+1,FALSE)),"")</f>
        <v>#N/A</v>
      </c>
      <c r="G34" s="58"/>
      <c r="H34" s="16" t="e">
        <f ca="1">IF($A34&lt;&gt;"",
IF(VLOOKUP($A34,貼り付け用!$A$1:$BA$300,COLUMN()/2+1,FALSE)=0,"",VLOOKUP($A34,貼り付け用!$A$1:$BA$300,COLUMN()/2+1,FALSE)),"")</f>
        <v>#N/A</v>
      </c>
      <c r="I34" s="58"/>
      <c r="J34" s="16" t="e">
        <f ca="1">IF($A34&lt;&gt;"",
IF(VLOOKUP($A34,貼り付け用!$A$1:$BA$300,COLUMN()/2+1,FALSE)=0,"",VLOOKUP($A34,貼り付け用!$A$1:$BA$300,COLUMN()/2+1,FALSE)),"")</f>
        <v>#N/A</v>
      </c>
      <c r="K34" s="58"/>
      <c r="L34" s="16" t="e">
        <f ca="1">IF($A34&lt;&gt;"",
IF(VLOOKUP($A34,貼り付け用!$A$1:$BA$300,COLUMN()/2+1,FALSE)=0,"",VLOOKUP($A34,貼り付け用!$A$1:$BA$300,COLUMN()/2+1,FALSE)),"")</f>
        <v>#N/A</v>
      </c>
      <c r="M34" s="58"/>
      <c r="N34" s="16" t="e">
        <f ca="1">IF($A34&lt;&gt;"",
IF(VLOOKUP($A34,貼り付け用!$A$1:$BA$300,COLUMN()/2+1,FALSE)=0,"",VLOOKUP($A34,貼り付け用!$A$1:$BA$300,COLUMN()/2+1,FALSE)),"")</f>
        <v>#N/A</v>
      </c>
      <c r="O34" s="58"/>
      <c r="P34" s="16" t="e">
        <f ca="1">IF($A34&lt;&gt;"",
IF(VLOOKUP($A34,貼り付け用!$A$1:$BA$300,COLUMN()/2+1,FALSE)=0,"",VLOOKUP($A34,貼り付け用!$A$1:$BA$300,COLUMN()/2+1,FALSE)),"")</f>
        <v>#N/A</v>
      </c>
      <c r="Q34" s="58"/>
      <c r="R34" s="16" t="e">
        <f ca="1">IF($A34&lt;&gt;"",
IF(VLOOKUP($A34,貼り付け用!$A$1:$BA$300,COLUMN()/2+1,FALSE)=0,"",VLOOKUP($A34,貼り付け用!$A$1:$BA$300,COLUMN()/2+1,FALSE)),"")</f>
        <v>#N/A</v>
      </c>
      <c r="S34" s="58"/>
      <c r="T34" s="16" t="e">
        <f ca="1">IF($A34&lt;&gt;"",
IF(VLOOKUP($A34,貼り付け用!$A$1:$BA$300,COLUMN()/2+1,FALSE)=0,"",VLOOKUP($A34,貼り付け用!$A$1:$BA$300,COLUMN()/2+1,FALSE)),"")</f>
        <v>#N/A</v>
      </c>
      <c r="U34" s="58"/>
      <c r="V34" s="16" t="e">
        <f ca="1">IF($A34&lt;&gt;"",
IF(VLOOKUP($A34,貼り付け用!$A$1:$BA$300,COLUMN()/2+1,FALSE)=0,"",VLOOKUP($A34,貼り付け用!$A$1:$BA$300,COLUMN()/2+1,FALSE)),"")</f>
        <v>#N/A</v>
      </c>
      <c r="W34" s="58"/>
      <c r="X34" s="16" t="e">
        <f ca="1">IF($A34&lt;&gt;"",
IF(VLOOKUP($A34,貼り付け用!$A$1:$BA$300,COLUMN()/2+1,FALSE)=0,"",VLOOKUP($A34,貼り付け用!$A$1:$BA$300,COLUMN()/2+1,FALSE)),"")</f>
        <v>#N/A</v>
      </c>
      <c r="Y34" s="58"/>
      <c r="Z34" s="16" t="e">
        <f ca="1">IF($A34&lt;&gt;"",
IF(VLOOKUP($A34,貼り付け用!$A$1:$BA$300,COLUMN()/2+1,FALSE)=0,"",VLOOKUP($A34,貼り付け用!$A$1:$BA$300,COLUMN()/2+1,FALSE)),"")</f>
        <v>#N/A</v>
      </c>
      <c r="AA34" s="58"/>
      <c r="AB34" s="16" t="e">
        <f ca="1">IF($A34&lt;&gt;"",
IF(VLOOKUP($A34,貼り付け用!$A$1:$BA$300,COLUMN()/2+1,FALSE)=0,"",VLOOKUP($A34,貼り付け用!$A$1:$BA$300,COLUMN()/2+1,FALSE)),"")</f>
        <v>#N/A</v>
      </c>
      <c r="AC34" s="58"/>
      <c r="AD34" s="16" t="e">
        <f ca="1">IF($A34&lt;&gt;"",
IF(VLOOKUP($A34,貼り付け用!$A$1:$BA$300,COLUMN()/2+1,FALSE)=0,"",VLOOKUP($A34,貼り付け用!$A$1:$BA$300,COLUMN()/2+1,FALSE)),"")</f>
        <v>#N/A</v>
      </c>
      <c r="AE34" s="58"/>
      <c r="AF34" s="16" t="e">
        <f ca="1">IF($A34&lt;&gt;"",
IF(VLOOKUP($A34,貼り付け用!$A$1:$BA$300,COLUMN()/2+1,FALSE)=0,"",VLOOKUP($A34,貼り付け用!$A$1:$BA$300,COLUMN()/2+1,FALSE)),"")</f>
        <v>#N/A</v>
      </c>
      <c r="AG34" s="58"/>
      <c r="AH34" s="16" t="e">
        <f ca="1">IF($A34&lt;&gt;"",
IF(VLOOKUP($A34,貼り付け用!$A$1:$BA$300,COLUMN()/2+1,FALSE)=0,"",VLOOKUP($A34,貼り付け用!$A$1:$BA$300,COLUMN()/2+1,FALSE)),"")</f>
        <v>#N/A</v>
      </c>
      <c r="AI34" s="58"/>
      <c r="AJ34" s="16" t="e">
        <f ca="1">IF($A34&lt;&gt;"",
IF(VLOOKUP($A34,貼り付け用!$A$1:$BA$300,COLUMN()/2+1,FALSE)=0,"",VLOOKUP($A34,貼り付け用!$A$1:$BA$300,COLUMN()/2+1,FALSE)),"")</f>
        <v>#N/A</v>
      </c>
      <c r="AK34" s="58"/>
      <c r="AL34" s="16" t="e">
        <f ca="1">IF($A34&lt;&gt;"",
IF(VLOOKUP($A34,貼り付け用!$A$1:$BA$300,COLUMN()/2+1,FALSE)=0,"",VLOOKUP($A34,貼り付け用!$A$1:$BA$300,COLUMN()/2+1,FALSE)),"")</f>
        <v>#N/A</v>
      </c>
      <c r="AM34" s="210" t="e">
        <f ca="1">IF($A34&lt;&gt;"",
IF(VLOOKUP($A34,貼り付け用!$A$1:$BA$300,COLUMN()/2+2,FALSE)=0,"",VLOOKUP($A34,貼り付け用!$A$1:$BA$300,COLUMN()/2+2,FALSE)),"")</f>
        <v>#N/A</v>
      </c>
      <c r="AN34" s="210" t="e">
        <f ca="1">IF($A34&lt;&gt;"",
IF(VLOOKUP($A34,貼り付け用!$A$1:$BA$300,COLUMN()/2+3,FALSE)=0,"",VLOOKUP($A34,貼り付け用!$A$1:$BA$300,COLUMN()/2+3,FALSE)),"")</f>
        <v>#N/A</v>
      </c>
    </row>
    <row r="35" spans="1:40" x14ac:dyDescent="0.45">
      <c r="A35" s="8" t="e" cm="1">
        <f t="array" aca="1" ref="A35" ca="1">IF(OR(COUNTIF(A33,"*1000*"),COUNTIF(A33,"")),"",INDEX(貼り付け用!$A:$A,MATCH(A33,貼り付け用!$A:$A,0)+2,0))</f>
        <v>#N/A</v>
      </c>
      <c r="B35" s="46" t="e">
        <f ca="1">IF($A35&lt;&gt;"",
IF(VLOOKUP($A35,貼り付け用!$A$1:$BA$300,COLUMN()/2+1,FALSE)=0,"",VLOOKUP($A35,貼り付け用!$A$1:$BA$300,COLUMN()/2+1,FALSE)),"")</f>
        <v>#N/A</v>
      </c>
      <c r="C35" s="46"/>
      <c r="D35" s="46" t="e">
        <f ca="1">IF($A35&lt;&gt;"",
IF(VLOOKUP($A35,貼り付け用!$A$1:$BA$300,COLUMN()/2+1,FALSE)=0,"",VLOOKUP($A35,貼り付け用!$A$1:$BA$300,COLUMN()/2+1,FALSE)),"")</f>
        <v>#N/A</v>
      </c>
      <c r="E35" s="46"/>
      <c r="F35" s="46" t="e">
        <f ca="1">IF($A35&lt;&gt;"",
IF(VLOOKUP($A35,貼り付け用!$A$1:$BA$300,COLUMN()/2+1,FALSE)=0,"",VLOOKUP($A35,貼り付け用!$A$1:$BA$300,COLUMN()/2+1,FALSE)),"")</f>
        <v>#N/A</v>
      </c>
      <c r="G35" s="46"/>
      <c r="H35" s="46" t="e">
        <f ca="1">IF($A35&lt;&gt;"",
IF(VLOOKUP($A35,貼り付け用!$A$1:$BA$300,COLUMN()/2+1,FALSE)=0,"",VLOOKUP($A35,貼り付け用!$A$1:$BA$300,COLUMN()/2+1,FALSE)),"")</f>
        <v>#N/A</v>
      </c>
      <c r="I35" s="46"/>
      <c r="J35" s="46" t="e">
        <f ca="1">IF($A35&lt;&gt;"",
IF(VLOOKUP($A35,貼り付け用!$A$1:$BA$300,COLUMN()/2+1,FALSE)=0,"",VLOOKUP($A35,貼り付け用!$A$1:$BA$300,COLUMN()/2+1,FALSE)),"")</f>
        <v>#N/A</v>
      </c>
      <c r="K35" s="46"/>
      <c r="L35" s="46" t="e">
        <f ca="1">IF($A35&lt;&gt;"",
IF(VLOOKUP($A35,貼り付け用!$A$1:$BA$300,COLUMN()/2+1,FALSE)=0,"",VLOOKUP($A35,貼り付け用!$A$1:$BA$300,COLUMN()/2+1,FALSE)),"")</f>
        <v>#N/A</v>
      </c>
      <c r="M35" s="46"/>
      <c r="N35" s="46" t="e">
        <f ca="1">IF($A35&lt;&gt;"",
IF(VLOOKUP($A35,貼り付け用!$A$1:$BA$300,COLUMN()/2+1,FALSE)=0,"",VLOOKUP($A35,貼り付け用!$A$1:$BA$300,COLUMN()/2+1,FALSE)),"")</f>
        <v>#N/A</v>
      </c>
      <c r="O35" s="46"/>
      <c r="P35" s="46" t="e">
        <f ca="1">IF($A35&lt;&gt;"",
IF(VLOOKUP($A35,貼り付け用!$A$1:$BA$300,COLUMN()/2+1,FALSE)=0,"",VLOOKUP($A35,貼り付け用!$A$1:$BA$300,COLUMN()/2+1,FALSE)),"")</f>
        <v>#N/A</v>
      </c>
      <c r="Q35" s="46"/>
      <c r="R35" s="46" t="e">
        <f ca="1">IF($A35&lt;&gt;"",
IF(VLOOKUP($A35,貼り付け用!$A$1:$BA$300,COLUMN()/2+1,FALSE)=0,"",VLOOKUP($A35,貼り付け用!$A$1:$BA$300,COLUMN()/2+1,FALSE)),"")</f>
        <v>#N/A</v>
      </c>
      <c r="S35" s="46"/>
      <c r="T35" s="46" t="e">
        <f ca="1">IF($A35&lt;&gt;"",
IF(VLOOKUP($A35,貼り付け用!$A$1:$BA$300,COLUMN()/2+1,FALSE)=0,"",VLOOKUP($A35,貼り付け用!$A$1:$BA$300,COLUMN()/2+1,FALSE)),"")</f>
        <v>#N/A</v>
      </c>
      <c r="U35" s="46"/>
      <c r="V35" s="46" t="e">
        <f ca="1">IF($A35&lt;&gt;"",
IF(VLOOKUP($A35,貼り付け用!$A$1:$BA$300,COLUMN()/2+1,FALSE)=0,"",VLOOKUP($A35,貼り付け用!$A$1:$BA$300,COLUMN()/2+1,FALSE)),"")</f>
        <v>#N/A</v>
      </c>
      <c r="W35" s="46"/>
      <c r="X35" s="46" t="e">
        <f ca="1">IF($A35&lt;&gt;"",
IF(VLOOKUP($A35,貼り付け用!$A$1:$BA$300,COLUMN()/2+1,FALSE)=0,"",VLOOKUP($A35,貼り付け用!$A$1:$BA$300,COLUMN()/2+1,FALSE)),"")</f>
        <v>#N/A</v>
      </c>
      <c r="Y35" s="46"/>
      <c r="Z35" s="46" t="e">
        <f ca="1">IF($A35&lt;&gt;"",
IF(VLOOKUP($A35,貼り付け用!$A$1:$BA$300,COLUMN()/2+1,FALSE)=0,"",VLOOKUP($A35,貼り付け用!$A$1:$BA$300,COLUMN()/2+1,FALSE)),"")</f>
        <v>#N/A</v>
      </c>
      <c r="AA35" s="46"/>
      <c r="AB35" s="46" t="e">
        <f ca="1">IF($A35&lt;&gt;"",
IF(VLOOKUP($A35,貼り付け用!$A$1:$BA$300,COLUMN()/2+1,FALSE)=0,"",VLOOKUP($A35,貼り付け用!$A$1:$BA$300,COLUMN()/2+1,FALSE)),"")</f>
        <v>#N/A</v>
      </c>
      <c r="AC35" s="46"/>
      <c r="AD35" s="46" t="e">
        <f ca="1">IF($A35&lt;&gt;"",
IF(VLOOKUP($A35,貼り付け用!$A$1:$BA$300,COLUMN()/2+1,FALSE)=0,"",VLOOKUP($A35,貼り付け用!$A$1:$BA$300,COLUMN()/2+1,FALSE)),"")</f>
        <v>#N/A</v>
      </c>
      <c r="AE35" s="46"/>
      <c r="AF35" s="46" t="e">
        <f ca="1">IF($A35&lt;&gt;"",
IF(VLOOKUP($A35,貼り付け用!$A$1:$BA$300,COLUMN()/2+1,FALSE)=0,"",VLOOKUP($A35,貼り付け用!$A$1:$BA$300,COLUMN()/2+1,FALSE)),"")</f>
        <v>#N/A</v>
      </c>
      <c r="AG35" s="46"/>
      <c r="AH35" s="46" t="e">
        <f ca="1">IF($A35&lt;&gt;"",
IF(VLOOKUP($A35,貼り付け用!$A$1:$BA$300,COLUMN()/2+1,FALSE)=0,"",VLOOKUP($A35,貼り付け用!$A$1:$BA$300,COLUMN()/2+1,FALSE)),"")</f>
        <v>#N/A</v>
      </c>
      <c r="AI35" s="46"/>
      <c r="AJ35" s="46" t="e">
        <f ca="1">IF($A35&lt;&gt;"",
IF(VLOOKUP($A35,貼り付け用!$A$1:$BA$300,COLUMN()/2+1,FALSE)=0,"",VLOOKUP($A35,貼り付け用!$A$1:$BA$300,COLUMN()/2+1,FALSE)),"")</f>
        <v>#N/A</v>
      </c>
      <c r="AK35" s="46"/>
      <c r="AL35" s="46" t="e">
        <f ca="1">IF($A35&lt;&gt;"",
IF(VLOOKUP($A35,貼り付け用!$A$1:$BA$300,COLUMN()/2+1,FALSE)=0,"",VLOOKUP($A35,貼り付け用!$A$1:$BA$300,COLUMN()/2+1,FALSE)),"")</f>
        <v>#N/A</v>
      </c>
      <c r="AM35" s="211" t="e">
        <f ca="1">IF($A35&lt;&gt;"",
IF(VLOOKUP($A35,貼り付け用!$A$1:$BA$300,COLUMN()/2+2,FALSE)=0,"",VLOOKUP($A35,貼り付け用!$A$1:$BA$300,COLUMN()/2+2,FALSE)),"")</f>
        <v>#N/A</v>
      </c>
      <c r="AN35" s="211" t="e">
        <f ca="1">IF($A35&lt;&gt;"",
IF(VLOOKUP($A35,貼り付け用!$A$1:$BA$300,COLUMN()/2+3,FALSE)=0,"",VLOOKUP($A35,貼り付け用!$A$1:$BA$300,COLUMN()/2+3,FALSE)),"")</f>
        <v>#N/A</v>
      </c>
    </row>
    <row r="36" spans="1:40" x14ac:dyDescent="0.45">
      <c r="A36" s="5" t="e" cm="1">
        <f t="array" aca="1" ref="A36" ca="1">IF(OR(COUNTIF(A34,"*合計*"),COUNTIF(A34,"")),"",INDEX(貼り付け用!$A:$A,MATCH(A34,貼り付け用!$A:$A,0)+2,0))</f>
        <v>#N/A</v>
      </c>
      <c r="B36" s="16" t="e">
        <f ca="1">IF($A36&lt;&gt;"",
IF(VLOOKUP($A36,貼り付け用!$A$1:$BA$300,COLUMN()/2+1,FALSE)=0,"",VLOOKUP($A36,貼り付け用!$A$1:$BA$300,COLUMN()/2+1,FALSE)),"")</f>
        <v>#N/A</v>
      </c>
      <c r="C36" s="58"/>
      <c r="D36" s="16" t="e">
        <f ca="1">IF($A36&lt;&gt;"",
IF(VLOOKUP($A36,貼り付け用!$A$1:$BA$300,COLUMN()/2+1,FALSE)=0,"",VLOOKUP($A36,貼り付け用!$A$1:$BA$300,COLUMN()/2+1,FALSE)),"")</f>
        <v>#N/A</v>
      </c>
      <c r="E36" s="58"/>
      <c r="F36" s="16" t="e">
        <f ca="1">IF($A36&lt;&gt;"",
IF(VLOOKUP($A36,貼り付け用!$A$1:$BA$300,COLUMN()/2+1,FALSE)=0,"",VLOOKUP($A36,貼り付け用!$A$1:$BA$300,COLUMN()/2+1,FALSE)),"")</f>
        <v>#N/A</v>
      </c>
      <c r="G36" s="58"/>
      <c r="H36" s="16" t="e">
        <f ca="1">IF($A36&lt;&gt;"",
IF(VLOOKUP($A36,貼り付け用!$A$1:$BA$300,COLUMN()/2+1,FALSE)=0,"",VLOOKUP($A36,貼り付け用!$A$1:$BA$300,COLUMN()/2+1,FALSE)),"")</f>
        <v>#N/A</v>
      </c>
      <c r="I36" s="58"/>
      <c r="J36" s="16" t="e">
        <f ca="1">IF($A36&lt;&gt;"",
IF(VLOOKUP($A36,貼り付け用!$A$1:$BA$300,COLUMN()/2+1,FALSE)=0,"",VLOOKUP($A36,貼り付け用!$A$1:$BA$300,COLUMN()/2+1,FALSE)),"")</f>
        <v>#N/A</v>
      </c>
      <c r="K36" s="58"/>
      <c r="L36" s="16" t="e">
        <f ca="1">IF($A36&lt;&gt;"",
IF(VLOOKUP($A36,貼り付け用!$A$1:$BA$300,COLUMN()/2+1,FALSE)=0,"",VLOOKUP($A36,貼り付け用!$A$1:$BA$300,COLUMN()/2+1,FALSE)),"")</f>
        <v>#N/A</v>
      </c>
      <c r="M36" s="58"/>
      <c r="N36" s="16" t="e">
        <f ca="1">IF($A36&lt;&gt;"",
IF(VLOOKUP($A36,貼り付け用!$A$1:$BA$300,COLUMN()/2+1,FALSE)=0,"",VLOOKUP($A36,貼り付け用!$A$1:$BA$300,COLUMN()/2+1,FALSE)),"")</f>
        <v>#N/A</v>
      </c>
      <c r="O36" s="58"/>
      <c r="P36" s="16" t="e">
        <f ca="1">IF($A36&lt;&gt;"",
IF(VLOOKUP($A36,貼り付け用!$A$1:$BA$300,COLUMN()/2+1,FALSE)=0,"",VLOOKUP($A36,貼り付け用!$A$1:$BA$300,COLUMN()/2+1,FALSE)),"")</f>
        <v>#N/A</v>
      </c>
      <c r="Q36" s="58"/>
      <c r="R36" s="16" t="e">
        <f ca="1">IF($A36&lt;&gt;"",
IF(VLOOKUP($A36,貼り付け用!$A$1:$BA$300,COLUMN()/2+1,FALSE)=0,"",VLOOKUP($A36,貼り付け用!$A$1:$BA$300,COLUMN()/2+1,FALSE)),"")</f>
        <v>#N/A</v>
      </c>
      <c r="S36" s="58"/>
      <c r="T36" s="16" t="e">
        <f ca="1">IF($A36&lt;&gt;"",
IF(VLOOKUP($A36,貼り付け用!$A$1:$BA$300,COLUMN()/2+1,FALSE)=0,"",VLOOKUP($A36,貼り付け用!$A$1:$BA$300,COLUMN()/2+1,FALSE)),"")</f>
        <v>#N/A</v>
      </c>
      <c r="U36" s="58"/>
      <c r="V36" s="16" t="e">
        <f ca="1">IF($A36&lt;&gt;"",
IF(VLOOKUP($A36,貼り付け用!$A$1:$BA$300,COLUMN()/2+1,FALSE)=0,"",VLOOKUP($A36,貼り付け用!$A$1:$BA$300,COLUMN()/2+1,FALSE)),"")</f>
        <v>#N/A</v>
      </c>
      <c r="W36" s="58"/>
      <c r="X36" s="16" t="e">
        <f ca="1">IF($A36&lt;&gt;"",
IF(VLOOKUP($A36,貼り付け用!$A$1:$BA$300,COLUMN()/2+1,FALSE)=0,"",VLOOKUP($A36,貼り付け用!$A$1:$BA$300,COLUMN()/2+1,FALSE)),"")</f>
        <v>#N/A</v>
      </c>
      <c r="Y36" s="58"/>
      <c r="Z36" s="16" t="e">
        <f ca="1">IF($A36&lt;&gt;"",
IF(VLOOKUP($A36,貼り付け用!$A$1:$BA$300,COLUMN()/2+1,FALSE)=0,"",VLOOKUP($A36,貼り付け用!$A$1:$BA$300,COLUMN()/2+1,FALSE)),"")</f>
        <v>#N/A</v>
      </c>
      <c r="AA36" s="58"/>
      <c r="AB36" s="16" t="e">
        <f ca="1">IF($A36&lt;&gt;"",
IF(VLOOKUP($A36,貼り付け用!$A$1:$BA$300,COLUMN()/2+1,FALSE)=0,"",VLOOKUP($A36,貼り付け用!$A$1:$BA$300,COLUMN()/2+1,FALSE)),"")</f>
        <v>#N/A</v>
      </c>
      <c r="AC36" s="58"/>
      <c r="AD36" s="16" t="e">
        <f ca="1">IF($A36&lt;&gt;"",
IF(VLOOKUP($A36,貼り付け用!$A$1:$BA$300,COLUMN()/2+1,FALSE)=0,"",VLOOKUP($A36,貼り付け用!$A$1:$BA$300,COLUMN()/2+1,FALSE)),"")</f>
        <v>#N/A</v>
      </c>
      <c r="AE36" s="58"/>
      <c r="AF36" s="16" t="e">
        <f ca="1">IF($A36&lt;&gt;"",
IF(VLOOKUP($A36,貼り付け用!$A$1:$BA$300,COLUMN()/2+1,FALSE)=0,"",VLOOKUP($A36,貼り付け用!$A$1:$BA$300,COLUMN()/2+1,FALSE)),"")</f>
        <v>#N/A</v>
      </c>
      <c r="AG36" s="58"/>
      <c r="AH36" s="16" t="e">
        <f ca="1">IF($A36&lt;&gt;"",
IF(VLOOKUP($A36,貼り付け用!$A$1:$BA$300,COLUMN()/2+1,FALSE)=0,"",VLOOKUP($A36,貼り付け用!$A$1:$BA$300,COLUMN()/2+1,FALSE)),"")</f>
        <v>#N/A</v>
      </c>
      <c r="AI36" s="58"/>
      <c r="AJ36" s="16" t="e">
        <f ca="1">IF($A36&lt;&gt;"",
IF(VLOOKUP($A36,貼り付け用!$A$1:$BA$300,COLUMN()/2+1,FALSE)=0,"",VLOOKUP($A36,貼り付け用!$A$1:$BA$300,COLUMN()/2+1,FALSE)),"")</f>
        <v>#N/A</v>
      </c>
      <c r="AK36" s="58"/>
      <c r="AL36" s="16" t="e">
        <f ca="1">IF($A36&lt;&gt;"",
IF(VLOOKUP($A36,貼り付け用!$A$1:$BA$300,COLUMN()/2+1,FALSE)=0,"",VLOOKUP($A36,貼り付け用!$A$1:$BA$300,COLUMN()/2+1,FALSE)),"")</f>
        <v>#N/A</v>
      </c>
      <c r="AM36" s="210" t="e">
        <f ca="1">IF($A36&lt;&gt;"",
IF(VLOOKUP($A36,貼り付け用!$A$1:$BA$300,COLUMN()/2+2,FALSE)=0,"",VLOOKUP($A36,貼り付け用!$A$1:$BA$300,COLUMN()/2+2,FALSE)),"")</f>
        <v>#N/A</v>
      </c>
      <c r="AN36" s="210" t="e">
        <f ca="1">IF($A36&lt;&gt;"",
IF(VLOOKUP($A36,貼り付け用!$A$1:$BA$300,COLUMN()/2+3,FALSE)=0,"",VLOOKUP($A36,貼り付け用!$A$1:$BA$300,COLUMN()/2+3,FALSE)),"")</f>
        <v>#N/A</v>
      </c>
    </row>
    <row r="37" spans="1:40" x14ac:dyDescent="0.45">
      <c r="A37" s="8" t="e" cm="1">
        <f t="array" aca="1" ref="A37" ca="1">IF(OR(COUNTIF(A35,"*1000*"),COUNTIF(A35,"")),"",INDEX(貼り付け用!$A:$A,MATCH(A35,貼り付け用!$A:$A,0)+2,0))</f>
        <v>#N/A</v>
      </c>
      <c r="B37" s="46" t="e">
        <f ca="1">IF($A37&lt;&gt;"",
IF(VLOOKUP($A37,貼り付け用!$A$1:$BA$300,COLUMN()/2+1,FALSE)=0,"",VLOOKUP($A37,貼り付け用!$A$1:$BA$300,COLUMN()/2+1,FALSE)),"")</f>
        <v>#N/A</v>
      </c>
      <c r="C37" s="46"/>
      <c r="D37" s="46" t="e">
        <f ca="1">IF($A37&lt;&gt;"",
IF(VLOOKUP($A37,貼り付け用!$A$1:$BA$300,COLUMN()/2+1,FALSE)=0,"",VLOOKUP($A37,貼り付け用!$A$1:$BA$300,COLUMN()/2+1,FALSE)),"")</f>
        <v>#N/A</v>
      </c>
      <c r="E37" s="46"/>
      <c r="F37" s="46" t="e">
        <f ca="1">IF($A37&lt;&gt;"",
IF(VLOOKUP($A37,貼り付け用!$A$1:$BA$300,COLUMN()/2+1,FALSE)=0,"",VLOOKUP($A37,貼り付け用!$A$1:$BA$300,COLUMN()/2+1,FALSE)),"")</f>
        <v>#N/A</v>
      </c>
      <c r="G37" s="46"/>
      <c r="H37" s="46" t="e">
        <f ca="1">IF($A37&lt;&gt;"",
IF(VLOOKUP($A37,貼り付け用!$A$1:$BA$300,COLUMN()/2+1,FALSE)=0,"",VLOOKUP($A37,貼り付け用!$A$1:$BA$300,COLUMN()/2+1,FALSE)),"")</f>
        <v>#N/A</v>
      </c>
      <c r="I37" s="46"/>
      <c r="J37" s="46" t="e">
        <f ca="1">IF($A37&lt;&gt;"",
IF(VLOOKUP($A37,貼り付け用!$A$1:$BA$300,COLUMN()/2+1,FALSE)=0,"",VLOOKUP($A37,貼り付け用!$A$1:$BA$300,COLUMN()/2+1,FALSE)),"")</f>
        <v>#N/A</v>
      </c>
      <c r="K37" s="46"/>
      <c r="L37" s="46" t="e">
        <f ca="1">IF($A37&lt;&gt;"",
IF(VLOOKUP($A37,貼り付け用!$A$1:$BA$300,COLUMN()/2+1,FALSE)=0,"",VLOOKUP($A37,貼り付け用!$A$1:$BA$300,COLUMN()/2+1,FALSE)),"")</f>
        <v>#N/A</v>
      </c>
      <c r="M37" s="46"/>
      <c r="N37" s="46" t="e">
        <f ca="1">IF($A37&lt;&gt;"",
IF(VLOOKUP($A37,貼り付け用!$A$1:$BA$300,COLUMN()/2+1,FALSE)=0,"",VLOOKUP($A37,貼り付け用!$A$1:$BA$300,COLUMN()/2+1,FALSE)),"")</f>
        <v>#N/A</v>
      </c>
      <c r="O37" s="46"/>
      <c r="P37" s="46" t="e">
        <f ca="1">IF($A37&lt;&gt;"",
IF(VLOOKUP($A37,貼り付け用!$A$1:$BA$300,COLUMN()/2+1,FALSE)=0,"",VLOOKUP($A37,貼り付け用!$A$1:$BA$300,COLUMN()/2+1,FALSE)),"")</f>
        <v>#N/A</v>
      </c>
      <c r="Q37" s="46"/>
      <c r="R37" s="46" t="e">
        <f ca="1">IF($A37&lt;&gt;"",
IF(VLOOKUP($A37,貼り付け用!$A$1:$BA$300,COLUMN()/2+1,FALSE)=0,"",VLOOKUP($A37,貼り付け用!$A$1:$BA$300,COLUMN()/2+1,FALSE)),"")</f>
        <v>#N/A</v>
      </c>
      <c r="S37" s="46"/>
      <c r="T37" s="46" t="e">
        <f ca="1">IF($A37&lt;&gt;"",
IF(VLOOKUP($A37,貼り付け用!$A$1:$BA$300,COLUMN()/2+1,FALSE)=0,"",VLOOKUP($A37,貼り付け用!$A$1:$BA$300,COLUMN()/2+1,FALSE)),"")</f>
        <v>#N/A</v>
      </c>
      <c r="U37" s="46"/>
      <c r="V37" s="46" t="e">
        <f ca="1">IF($A37&lt;&gt;"",
IF(VLOOKUP($A37,貼り付け用!$A$1:$BA$300,COLUMN()/2+1,FALSE)=0,"",VLOOKUP($A37,貼り付け用!$A$1:$BA$300,COLUMN()/2+1,FALSE)),"")</f>
        <v>#N/A</v>
      </c>
      <c r="W37" s="46"/>
      <c r="X37" s="46" t="e">
        <f ca="1">IF($A37&lt;&gt;"",
IF(VLOOKUP($A37,貼り付け用!$A$1:$BA$300,COLUMN()/2+1,FALSE)=0,"",VLOOKUP($A37,貼り付け用!$A$1:$BA$300,COLUMN()/2+1,FALSE)),"")</f>
        <v>#N/A</v>
      </c>
      <c r="Y37" s="46"/>
      <c r="Z37" s="46" t="e">
        <f ca="1">IF($A37&lt;&gt;"",
IF(VLOOKUP($A37,貼り付け用!$A$1:$BA$300,COLUMN()/2+1,FALSE)=0,"",VLOOKUP($A37,貼り付け用!$A$1:$BA$300,COLUMN()/2+1,FALSE)),"")</f>
        <v>#N/A</v>
      </c>
      <c r="AA37" s="46"/>
      <c r="AB37" s="46" t="e">
        <f ca="1">IF($A37&lt;&gt;"",
IF(VLOOKUP($A37,貼り付け用!$A$1:$BA$300,COLUMN()/2+1,FALSE)=0,"",VLOOKUP($A37,貼り付け用!$A$1:$BA$300,COLUMN()/2+1,FALSE)),"")</f>
        <v>#N/A</v>
      </c>
      <c r="AC37" s="46"/>
      <c r="AD37" s="46" t="e">
        <f ca="1">IF($A37&lt;&gt;"",
IF(VLOOKUP($A37,貼り付け用!$A$1:$BA$300,COLUMN()/2+1,FALSE)=0,"",VLOOKUP($A37,貼り付け用!$A$1:$BA$300,COLUMN()/2+1,FALSE)),"")</f>
        <v>#N/A</v>
      </c>
      <c r="AE37" s="46"/>
      <c r="AF37" s="46" t="e">
        <f ca="1">IF($A37&lt;&gt;"",
IF(VLOOKUP($A37,貼り付け用!$A$1:$BA$300,COLUMN()/2+1,FALSE)=0,"",VLOOKUP($A37,貼り付け用!$A$1:$BA$300,COLUMN()/2+1,FALSE)),"")</f>
        <v>#N/A</v>
      </c>
      <c r="AG37" s="46"/>
      <c r="AH37" s="46" t="e">
        <f ca="1">IF($A37&lt;&gt;"",
IF(VLOOKUP($A37,貼り付け用!$A$1:$BA$300,COLUMN()/2+1,FALSE)=0,"",VLOOKUP($A37,貼り付け用!$A$1:$BA$300,COLUMN()/2+1,FALSE)),"")</f>
        <v>#N/A</v>
      </c>
      <c r="AI37" s="46"/>
      <c r="AJ37" s="46" t="e">
        <f ca="1">IF($A37&lt;&gt;"",
IF(VLOOKUP($A37,貼り付け用!$A$1:$BA$300,COLUMN()/2+1,FALSE)=0,"",VLOOKUP($A37,貼り付け用!$A$1:$BA$300,COLUMN()/2+1,FALSE)),"")</f>
        <v>#N/A</v>
      </c>
      <c r="AK37" s="46"/>
      <c r="AL37" s="46" t="e">
        <f ca="1">IF($A37&lt;&gt;"",
IF(VLOOKUP($A37,貼り付け用!$A$1:$BA$300,COLUMN()/2+1,FALSE)=0,"",VLOOKUP($A37,貼り付け用!$A$1:$BA$300,COLUMN()/2+1,FALSE)),"")</f>
        <v>#N/A</v>
      </c>
      <c r="AM37" s="211" t="e">
        <f ca="1">IF($A37&lt;&gt;"",
IF(VLOOKUP($A37,貼り付け用!$A$1:$BA$300,COLUMN()/2+2,FALSE)=0,"",VLOOKUP($A37,貼り付け用!$A$1:$BA$300,COLUMN()/2+2,FALSE)),"")</f>
        <v>#N/A</v>
      </c>
      <c r="AN37" s="211" t="e">
        <f ca="1">IF($A37&lt;&gt;"",
IF(VLOOKUP($A37,貼り付け用!$A$1:$BA$300,COLUMN()/2+3,FALSE)=0,"",VLOOKUP($A37,貼り付け用!$A$1:$BA$300,COLUMN()/2+3,FALSE)),"")</f>
        <v>#N/A</v>
      </c>
    </row>
    <row r="38" spans="1:40" x14ac:dyDescent="0.45">
      <c r="A38" s="5" t="e" cm="1">
        <f t="array" aca="1" ref="A38" ca="1">IF(OR(COUNTIF(A36,"*合計*"),COUNTIF(A36,"")),"",INDEX(貼り付け用!$A:$A,MATCH(A36,貼り付け用!$A:$A,0)+2,0))</f>
        <v>#N/A</v>
      </c>
      <c r="B38" s="16" t="e">
        <f ca="1">IF($A38&lt;&gt;"",
IF(VLOOKUP($A38,貼り付け用!$A$1:$BA$300,COLUMN()/2+1,FALSE)=0,"",VLOOKUP($A38,貼り付け用!$A$1:$BA$300,COLUMN()/2+1,FALSE)),"")</f>
        <v>#N/A</v>
      </c>
      <c r="C38" s="58"/>
      <c r="D38" s="16" t="e">
        <f ca="1">IF($A38&lt;&gt;"",
IF(VLOOKUP($A38,貼り付け用!$A$1:$BA$300,COLUMN()/2+1,FALSE)=0,"",VLOOKUP($A38,貼り付け用!$A$1:$BA$300,COLUMN()/2+1,FALSE)),"")</f>
        <v>#N/A</v>
      </c>
      <c r="E38" s="58"/>
      <c r="F38" s="16" t="e">
        <f ca="1">IF($A38&lt;&gt;"",
IF(VLOOKUP($A38,貼り付け用!$A$1:$BA$300,COLUMN()/2+1,FALSE)=0,"",VLOOKUP($A38,貼り付け用!$A$1:$BA$300,COLUMN()/2+1,FALSE)),"")</f>
        <v>#N/A</v>
      </c>
      <c r="G38" s="58"/>
      <c r="H38" s="16" t="e">
        <f ca="1">IF($A38&lt;&gt;"",
IF(VLOOKUP($A38,貼り付け用!$A$1:$BA$300,COLUMN()/2+1,FALSE)=0,"",VLOOKUP($A38,貼り付け用!$A$1:$BA$300,COLUMN()/2+1,FALSE)),"")</f>
        <v>#N/A</v>
      </c>
      <c r="I38" s="58"/>
      <c r="J38" s="16" t="e">
        <f ca="1">IF($A38&lt;&gt;"",
IF(VLOOKUP($A38,貼り付け用!$A$1:$BA$300,COLUMN()/2+1,FALSE)=0,"",VLOOKUP($A38,貼り付け用!$A$1:$BA$300,COLUMN()/2+1,FALSE)),"")</f>
        <v>#N/A</v>
      </c>
      <c r="K38" s="58"/>
      <c r="L38" s="16" t="e">
        <f ca="1">IF($A38&lt;&gt;"",
IF(VLOOKUP($A38,貼り付け用!$A$1:$BA$300,COLUMN()/2+1,FALSE)=0,"",VLOOKUP($A38,貼り付け用!$A$1:$BA$300,COLUMN()/2+1,FALSE)),"")</f>
        <v>#N/A</v>
      </c>
      <c r="M38" s="58"/>
      <c r="N38" s="16" t="e">
        <f ca="1">IF($A38&lt;&gt;"",
IF(VLOOKUP($A38,貼り付け用!$A$1:$BA$300,COLUMN()/2+1,FALSE)=0,"",VLOOKUP($A38,貼り付け用!$A$1:$BA$300,COLUMN()/2+1,FALSE)),"")</f>
        <v>#N/A</v>
      </c>
      <c r="O38" s="58"/>
      <c r="P38" s="16" t="e">
        <f ca="1">IF($A38&lt;&gt;"",
IF(VLOOKUP($A38,貼り付け用!$A$1:$BA$300,COLUMN()/2+1,FALSE)=0,"",VLOOKUP($A38,貼り付け用!$A$1:$BA$300,COLUMN()/2+1,FALSE)),"")</f>
        <v>#N/A</v>
      </c>
      <c r="Q38" s="58"/>
      <c r="R38" s="16" t="e">
        <f ca="1">IF($A38&lt;&gt;"",
IF(VLOOKUP($A38,貼り付け用!$A$1:$BA$300,COLUMN()/2+1,FALSE)=0,"",VLOOKUP($A38,貼り付け用!$A$1:$BA$300,COLUMN()/2+1,FALSE)),"")</f>
        <v>#N/A</v>
      </c>
      <c r="S38" s="58"/>
      <c r="T38" s="16" t="e">
        <f ca="1">IF($A38&lt;&gt;"",
IF(VLOOKUP($A38,貼り付け用!$A$1:$BA$300,COLUMN()/2+1,FALSE)=0,"",VLOOKUP($A38,貼り付け用!$A$1:$BA$300,COLUMN()/2+1,FALSE)),"")</f>
        <v>#N/A</v>
      </c>
      <c r="U38" s="58"/>
      <c r="V38" s="16" t="e">
        <f ca="1">IF($A38&lt;&gt;"",
IF(VLOOKUP($A38,貼り付け用!$A$1:$BA$300,COLUMN()/2+1,FALSE)=0,"",VLOOKUP($A38,貼り付け用!$A$1:$BA$300,COLUMN()/2+1,FALSE)),"")</f>
        <v>#N/A</v>
      </c>
      <c r="W38" s="58"/>
      <c r="X38" s="16" t="e">
        <f ca="1">IF($A38&lt;&gt;"",
IF(VLOOKUP($A38,貼り付け用!$A$1:$BA$300,COLUMN()/2+1,FALSE)=0,"",VLOOKUP($A38,貼り付け用!$A$1:$BA$300,COLUMN()/2+1,FALSE)),"")</f>
        <v>#N/A</v>
      </c>
      <c r="Y38" s="58"/>
      <c r="Z38" s="16" t="e">
        <f ca="1">IF($A38&lt;&gt;"",
IF(VLOOKUP($A38,貼り付け用!$A$1:$BA$300,COLUMN()/2+1,FALSE)=0,"",VLOOKUP($A38,貼り付け用!$A$1:$BA$300,COLUMN()/2+1,FALSE)),"")</f>
        <v>#N/A</v>
      </c>
      <c r="AA38" s="58"/>
      <c r="AB38" s="16" t="e">
        <f ca="1">IF($A38&lt;&gt;"",
IF(VLOOKUP($A38,貼り付け用!$A$1:$BA$300,COLUMN()/2+1,FALSE)=0,"",VLOOKUP($A38,貼り付け用!$A$1:$BA$300,COLUMN()/2+1,FALSE)),"")</f>
        <v>#N/A</v>
      </c>
      <c r="AC38" s="58"/>
      <c r="AD38" s="16" t="e">
        <f ca="1">IF($A38&lt;&gt;"",
IF(VLOOKUP($A38,貼り付け用!$A$1:$BA$300,COLUMN()/2+1,FALSE)=0,"",VLOOKUP($A38,貼り付け用!$A$1:$BA$300,COLUMN()/2+1,FALSE)),"")</f>
        <v>#N/A</v>
      </c>
      <c r="AE38" s="58"/>
      <c r="AF38" s="16" t="e">
        <f ca="1">IF($A38&lt;&gt;"",
IF(VLOOKUP($A38,貼り付け用!$A$1:$BA$300,COLUMN()/2+1,FALSE)=0,"",VLOOKUP($A38,貼り付け用!$A$1:$BA$300,COLUMN()/2+1,FALSE)),"")</f>
        <v>#N/A</v>
      </c>
      <c r="AG38" s="58"/>
      <c r="AH38" s="16" t="e">
        <f ca="1">IF($A38&lt;&gt;"",
IF(VLOOKUP($A38,貼り付け用!$A$1:$BA$300,COLUMN()/2+1,FALSE)=0,"",VLOOKUP($A38,貼り付け用!$A$1:$BA$300,COLUMN()/2+1,FALSE)),"")</f>
        <v>#N/A</v>
      </c>
      <c r="AI38" s="58"/>
      <c r="AJ38" s="16" t="e">
        <f ca="1">IF($A38&lt;&gt;"",
IF(VLOOKUP($A38,貼り付け用!$A$1:$BA$300,COLUMN()/2+1,FALSE)=0,"",VLOOKUP($A38,貼り付け用!$A$1:$BA$300,COLUMN()/2+1,FALSE)),"")</f>
        <v>#N/A</v>
      </c>
      <c r="AK38" s="58"/>
      <c r="AL38" s="16" t="e">
        <f ca="1">IF($A38&lt;&gt;"",
IF(VLOOKUP($A38,貼り付け用!$A$1:$BA$300,COLUMN()/2+1,FALSE)=0,"",VLOOKUP($A38,貼り付け用!$A$1:$BA$300,COLUMN()/2+1,FALSE)),"")</f>
        <v>#N/A</v>
      </c>
      <c r="AM38" s="210" t="e">
        <f ca="1">IF($A38&lt;&gt;"",
IF(VLOOKUP($A38,貼り付け用!$A$1:$BA$300,COLUMN()/2+2,FALSE)=0,"",VLOOKUP($A38,貼り付け用!$A$1:$BA$300,COLUMN()/2+2,FALSE)),"")</f>
        <v>#N/A</v>
      </c>
      <c r="AN38" s="210" t="e">
        <f ca="1">IF($A38&lt;&gt;"",
IF(VLOOKUP($A38,貼り付け用!$A$1:$BA$300,COLUMN()/2+3,FALSE)=0,"",VLOOKUP($A38,貼り付け用!$A$1:$BA$300,COLUMN()/2+3,FALSE)),"")</f>
        <v>#N/A</v>
      </c>
    </row>
    <row r="39" spans="1:40" x14ac:dyDescent="0.45">
      <c r="A39" s="8" t="e" cm="1">
        <f t="array" aca="1" ref="A39" ca="1">IF(OR(COUNTIF(A37,"*1000*"),COUNTIF(A37,"")),"",INDEX(貼り付け用!$A:$A,MATCH(A37,貼り付け用!$A:$A,0)+2,0))</f>
        <v>#N/A</v>
      </c>
      <c r="B39" s="46" t="e">
        <f ca="1">IF($A39&lt;&gt;"",
IF(VLOOKUP($A39,貼り付け用!$A$1:$BA$300,COLUMN()/2+1,FALSE)=0,"",VLOOKUP($A39,貼り付け用!$A$1:$BA$300,COLUMN()/2+1,FALSE)),"")</f>
        <v>#N/A</v>
      </c>
      <c r="C39" s="46"/>
      <c r="D39" s="46" t="e">
        <f ca="1">IF($A39&lt;&gt;"",
IF(VLOOKUP($A39,貼り付け用!$A$1:$BA$300,COLUMN()/2+1,FALSE)=0,"",VLOOKUP($A39,貼り付け用!$A$1:$BA$300,COLUMN()/2+1,FALSE)),"")</f>
        <v>#N/A</v>
      </c>
      <c r="E39" s="46"/>
      <c r="F39" s="46" t="e">
        <f ca="1">IF($A39&lt;&gt;"",
IF(VLOOKUP($A39,貼り付け用!$A$1:$BA$300,COLUMN()/2+1,FALSE)=0,"",VLOOKUP($A39,貼り付け用!$A$1:$BA$300,COLUMN()/2+1,FALSE)),"")</f>
        <v>#N/A</v>
      </c>
      <c r="G39" s="46"/>
      <c r="H39" s="46" t="e">
        <f ca="1">IF($A39&lt;&gt;"",
IF(VLOOKUP($A39,貼り付け用!$A$1:$BA$300,COLUMN()/2+1,FALSE)=0,"",VLOOKUP($A39,貼り付け用!$A$1:$BA$300,COLUMN()/2+1,FALSE)),"")</f>
        <v>#N/A</v>
      </c>
      <c r="I39" s="46"/>
      <c r="J39" s="46" t="e">
        <f ca="1">IF($A39&lt;&gt;"",
IF(VLOOKUP($A39,貼り付け用!$A$1:$BA$300,COLUMN()/2+1,FALSE)=0,"",VLOOKUP($A39,貼り付け用!$A$1:$BA$300,COLUMN()/2+1,FALSE)),"")</f>
        <v>#N/A</v>
      </c>
      <c r="K39" s="46"/>
      <c r="L39" s="46" t="e">
        <f ca="1">IF($A39&lt;&gt;"",
IF(VLOOKUP($A39,貼り付け用!$A$1:$BA$300,COLUMN()/2+1,FALSE)=0,"",VLOOKUP($A39,貼り付け用!$A$1:$BA$300,COLUMN()/2+1,FALSE)),"")</f>
        <v>#N/A</v>
      </c>
      <c r="M39" s="46"/>
      <c r="N39" s="46" t="e">
        <f ca="1">IF($A39&lt;&gt;"",
IF(VLOOKUP($A39,貼り付け用!$A$1:$BA$300,COLUMN()/2+1,FALSE)=0,"",VLOOKUP($A39,貼り付け用!$A$1:$BA$300,COLUMN()/2+1,FALSE)),"")</f>
        <v>#N/A</v>
      </c>
      <c r="O39" s="46"/>
      <c r="P39" s="46" t="e">
        <f ca="1">IF($A39&lt;&gt;"",
IF(VLOOKUP($A39,貼り付け用!$A$1:$BA$300,COLUMN()/2+1,FALSE)=0,"",VLOOKUP($A39,貼り付け用!$A$1:$BA$300,COLUMN()/2+1,FALSE)),"")</f>
        <v>#N/A</v>
      </c>
      <c r="Q39" s="46"/>
      <c r="R39" s="46" t="e">
        <f ca="1">IF($A39&lt;&gt;"",
IF(VLOOKUP($A39,貼り付け用!$A$1:$BA$300,COLUMN()/2+1,FALSE)=0,"",VLOOKUP($A39,貼り付け用!$A$1:$BA$300,COLUMN()/2+1,FALSE)),"")</f>
        <v>#N/A</v>
      </c>
      <c r="S39" s="46"/>
      <c r="T39" s="46" t="e">
        <f ca="1">IF($A39&lt;&gt;"",
IF(VLOOKUP($A39,貼り付け用!$A$1:$BA$300,COLUMN()/2+1,FALSE)=0,"",VLOOKUP($A39,貼り付け用!$A$1:$BA$300,COLUMN()/2+1,FALSE)),"")</f>
        <v>#N/A</v>
      </c>
      <c r="U39" s="46"/>
      <c r="V39" s="46" t="e">
        <f ca="1">IF($A39&lt;&gt;"",
IF(VLOOKUP($A39,貼り付け用!$A$1:$BA$300,COLUMN()/2+1,FALSE)=0,"",VLOOKUP($A39,貼り付け用!$A$1:$BA$300,COLUMN()/2+1,FALSE)),"")</f>
        <v>#N/A</v>
      </c>
      <c r="W39" s="46"/>
      <c r="X39" s="46" t="e">
        <f ca="1">IF($A39&lt;&gt;"",
IF(VLOOKUP($A39,貼り付け用!$A$1:$BA$300,COLUMN()/2+1,FALSE)=0,"",VLOOKUP($A39,貼り付け用!$A$1:$BA$300,COLUMN()/2+1,FALSE)),"")</f>
        <v>#N/A</v>
      </c>
      <c r="Y39" s="46"/>
      <c r="Z39" s="46" t="e">
        <f ca="1">IF($A39&lt;&gt;"",
IF(VLOOKUP($A39,貼り付け用!$A$1:$BA$300,COLUMN()/2+1,FALSE)=0,"",VLOOKUP($A39,貼り付け用!$A$1:$BA$300,COLUMN()/2+1,FALSE)),"")</f>
        <v>#N/A</v>
      </c>
      <c r="AA39" s="46"/>
      <c r="AB39" s="46" t="e">
        <f ca="1">IF($A39&lt;&gt;"",
IF(VLOOKUP($A39,貼り付け用!$A$1:$BA$300,COLUMN()/2+1,FALSE)=0,"",VLOOKUP($A39,貼り付け用!$A$1:$BA$300,COLUMN()/2+1,FALSE)),"")</f>
        <v>#N/A</v>
      </c>
      <c r="AC39" s="46"/>
      <c r="AD39" s="46" t="e">
        <f ca="1">IF($A39&lt;&gt;"",
IF(VLOOKUP($A39,貼り付け用!$A$1:$BA$300,COLUMN()/2+1,FALSE)=0,"",VLOOKUP($A39,貼り付け用!$A$1:$BA$300,COLUMN()/2+1,FALSE)),"")</f>
        <v>#N/A</v>
      </c>
      <c r="AE39" s="46"/>
      <c r="AF39" s="46" t="e">
        <f ca="1">IF($A39&lt;&gt;"",
IF(VLOOKUP($A39,貼り付け用!$A$1:$BA$300,COLUMN()/2+1,FALSE)=0,"",VLOOKUP($A39,貼り付け用!$A$1:$BA$300,COLUMN()/2+1,FALSE)),"")</f>
        <v>#N/A</v>
      </c>
      <c r="AG39" s="46"/>
      <c r="AH39" s="46" t="e">
        <f ca="1">IF($A39&lt;&gt;"",
IF(VLOOKUP($A39,貼り付け用!$A$1:$BA$300,COLUMN()/2+1,FALSE)=0,"",VLOOKUP($A39,貼り付け用!$A$1:$BA$300,COLUMN()/2+1,FALSE)),"")</f>
        <v>#N/A</v>
      </c>
      <c r="AI39" s="46"/>
      <c r="AJ39" s="46" t="e">
        <f ca="1">IF($A39&lt;&gt;"",
IF(VLOOKUP($A39,貼り付け用!$A$1:$BA$300,COLUMN()/2+1,FALSE)=0,"",VLOOKUP($A39,貼り付け用!$A$1:$BA$300,COLUMN()/2+1,FALSE)),"")</f>
        <v>#N/A</v>
      </c>
      <c r="AK39" s="46"/>
      <c r="AL39" s="46" t="e">
        <f ca="1">IF($A39&lt;&gt;"",
IF(VLOOKUP($A39,貼り付け用!$A$1:$BA$300,COLUMN()/2+1,FALSE)=0,"",VLOOKUP($A39,貼り付け用!$A$1:$BA$300,COLUMN()/2+1,FALSE)),"")</f>
        <v>#N/A</v>
      </c>
      <c r="AM39" s="211" t="e">
        <f ca="1">IF($A39&lt;&gt;"",
IF(VLOOKUP($A39,貼り付け用!$A$1:$BA$300,COLUMN()/2+2,FALSE)=0,"",VLOOKUP($A39,貼り付け用!$A$1:$BA$300,COLUMN()/2+2,FALSE)),"")</f>
        <v>#N/A</v>
      </c>
      <c r="AN39" s="211" t="e">
        <f ca="1">IF($A39&lt;&gt;"",
IF(VLOOKUP($A39,貼り付け用!$A$1:$BA$300,COLUMN()/2+3,FALSE)=0,"",VLOOKUP($A39,貼り付け用!$A$1:$BA$300,COLUMN()/2+3,FALSE)),"")</f>
        <v>#N/A</v>
      </c>
    </row>
    <row r="40" spans="1:40" x14ac:dyDescent="0.45">
      <c r="A40" s="5" t="e" cm="1">
        <f t="array" aca="1" ref="A40" ca="1">IF(OR(COUNTIF(A38,"*合計*"),COUNTIF(A38,"")),"",INDEX(貼り付け用!$A:$A,MATCH(A38,貼り付け用!$A:$A,0)+2,0))</f>
        <v>#N/A</v>
      </c>
      <c r="B40" s="16" t="e">
        <f ca="1">IF($A40&lt;&gt;"",
IF(VLOOKUP($A40,貼り付け用!$A$1:$BA$300,COLUMN()/2+1,FALSE)=0,"",VLOOKUP($A40,貼り付け用!$A$1:$BA$300,COLUMN()/2+1,FALSE)),"")</f>
        <v>#N/A</v>
      </c>
      <c r="C40" s="58"/>
      <c r="D40" s="16" t="e">
        <f ca="1">IF($A40&lt;&gt;"",
IF(VLOOKUP($A40,貼り付け用!$A$1:$BA$300,COLUMN()/2+1,FALSE)=0,"",VLOOKUP($A40,貼り付け用!$A$1:$BA$300,COLUMN()/2+1,FALSE)),"")</f>
        <v>#N/A</v>
      </c>
      <c r="E40" s="58"/>
      <c r="F40" s="16" t="e">
        <f ca="1">IF($A40&lt;&gt;"",
IF(VLOOKUP($A40,貼り付け用!$A$1:$BA$300,COLUMN()/2+1,FALSE)=0,"",VLOOKUP($A40,貼り付け用!$A$1:$BA$300,COLUMN()/2+1,FALSE)),"")</f>
        <v>#N/A</v>
      </c>
      <c r="G40" s="58"/>
      <c r="H40" s="16" t="e">
        <f ca="1">IF($A40&lt;&gt;"",
IF(VLOOKUP($A40,貼り付け用!$A$1:$BA$300,COLUMN()/2+1,FALSE)=0,"",VLOOKUP($A40,貼り付け用!$A$1:$BA$300,COLUMN()/2+1,FALSE)),"")</f>
        <v>#N/A</v>
      </c>
      <c r="I40" s="58"/>
      <c r="J40" s="16" t="e">
        <f ca="1">IF($A40&lt;&gt;"",
IF(VLOOKUP($A40,貼り付け用!$A$1:$BA$300,COLUMN()/2+1,FALSE)=0,"",VLOOKUP($A40,貼り付け用!$A$1:$BA$300,COLUMN()/2+1,FALSE)),"")</f>
        <v>#N/A</v>
      </c>
      <c r="K40" s="58"/>
      <c r="L40" s="16" t="e">
        <f ca="1">IF($A40&lt;&gt;"",
IF(VLOOKUP($A40,貼り付け用!$A$1:$BA$300,COLUMN()/2+1,FALSE)=0,"",VLOOKUP($A40,貼り付け用!$A$1:$BA$300,COLUMN()/2+1,FALSE)),"")</f>
        <v>#N/A</v>
      </c>
      <c r="M40" s="58"/>
      <c r="N40" s="16" t="e">
        <f ca="1">IF($A40&lt;&gt;"",
IF(VLOOKUP($A40,貼り付け用!$A$1:$BA$300,COLUMN()/2+1,FALSE)=0,"",VLOOKUP($A40,貼り付け用!$A$1:$BA$300,COLUMN()/2+1,FALSE)),"")</f>
        <v>#N/A</v>
      </c>
      <c r="O40" s="58"/>
      <c r="P40" s="16" t="e">
        <f ca="1">IF($A40&lt;&gt;"",
IF(VLOOKUP($A40,貼り付け用!$A$1:$BA$300,COLUMN()/2+1,FALSE)=0,"",VLOOKUP($A40,貼り付け用!$A$1:$BA$300,COLUMN()/2+1,FALSE)),"")</f>
        <v>#N/A</v>
      </c>
      <c r="Q40" s="58"/>
      <c r="R40" s="16" t="e">
        <f ca="1">IF($A40&lt;&gt;"",
IF(VLOOKUP($A40,貼り付け用!$A$1:$BA$300,COLUMN()/2+1,FALSE)=0,"",VLOOKUP($A40,貼り付け用!$A$1:$BA$300,COLUMN()/2+1,FALSE)),"")</f>
        <v>#N/A</v>
      </c>
      <c r="S40" s="58"/>
      <c r="T40" s="16" t="e">
        <f ca="1">IF($A40&lt;&gt;"",
IF(VLOOKUP($A40,貼り付け用!$A$1:$BA$300,COLUMN()/2+1,FALSE)=0,"",VLOOKUP($A40,貼り付け用!$A$1:$BA$300,COLUMN()/2+1,FALSE)),"")</f>
        <v>#N/A</v>
      </c>
      <c r="U40" s="58"/>
      <c r="V40" s="16" t="e">
        <f ca="1">IF($A40&lt;&gt;"",
IF(VLOOKUP($A40,貼り付け用!$A$1:$BA$300,COLUMN()/2+1,FALSE)=0,"",VLOOKUP($A40,貼り付け用!$A$1:$BA$300,COLUMN()/2+1,FALSE)),"")</f>
        <v>#N/A</v>
      </c>
      <c r="W40" s="58"/>
      <c r="X40" s="16" t="e">
        <f ca="1">IF($A40&lt;&gt;"",
IF(VLOOKUP($A40,貼り付け用!$A$1:$BA$300,COLUMN()/2+1,FALSE)=0,"",VLOOKUP($A40,貼り付け用!$A$1:$BA$300,COLUMN()/2+1,FALSE)),"")</f>
        <v>#N/A</v>
      </c>
      <c r="Y40" s="58"/>
      <c r="Z40" s="16" t="e">
        <f ca="1">IF($A40&lt;&gt;"",
IF(VLOOKUP($A40,貼り付け用!$A$1:$BA$300,COLUMN()/2+1,FALSE)=0,"",VLOOKUP($A40,貼り付け用!$A$1:$BA$300,COLUMN()/2+1,FALSE)),"")</f>
        <v>#N/A</v>
      </c>
      <c r="AA40" s="58"/>
      <c r="AB40" s="16" t="e">
        <f ca="1">IF($A40&lt;&gt;"",
IF(VLOOKUP($A40,貼り付け用!$A$1:$BA$300,COLUMN()/2+1,FALSE)=0,"",VLOOKUP($A40,貼り付け用!$A$1:$BA$300,COLUMN()/2+1,FALSE)),"")</f>
        <v>#N/A</v>
      </c>
      <c r="AC40" s="58"/>
      <c r="AD40" s="16" t="e">
        <f ca="1">IF($A40&lt;&gt;"",
IF(VLOOKUP($A40,貼り付け用!$A$1:$BA$300,COLUMN()/2+1,FALSE)=0,"",VLOOKUP($A40,貼り付け用!$A$1:$BA$300,COLUMN()/2+1,FALSE)),"")</f>
        <v>#N/A</v>
      </c>
      <c r="AE40" s="58"/>
      <c r="AF40" s="16" t="e">
        <f ca="1">IF($A40&lt;&gt;"",
IF(VLOOKUP($A40,貼り付け用!$A$1:$BA$300,COLUMN()/2+1,FALSE)=0,"",VLOOKUP($A40,貼り付け用!$A$1:$BA$300,COLUMN()/2+1,FALSE)),"")</f>
        <v>#N/A</v>
      </c>
      <c r="AG40" s="58"/>
      <c r="AH40" s="16" t="e">
        <f ca="1">IF($A40&lt;&gt;"",
IF(VLOOKUP($A40,貼り付け用!$A$1:$BA$300,COLUMN()/2+1,FALSE)=0,"",VLOOKUP($A40,貼り付け用!$A$1:$BA$300,COLUMN()/2+1,FALSE)),"")</f>
        <v>#N/A</v>
      </c>
      <c r="AI40" s="58"/>
      <c r="AJ40" s="16" t="e">
        <f ca="1">IF($A40&lt;&gt;"",
IF(VLOOKUP($A40,貼り付け用!$A$1:$BA$300,COLUMN()/2+1,FALSE)=0,"",VLOOKUP($A40,貼り付け用!$A$1:$BA$300,COLUMN()/2+1,FALSE)),"")</f>
        <v>#N/A</v>
      </c>
      <c r="AK40" s="58"/>
      <c r="AL40" s="16" t="e">
        <f ca="1">IF($A40&lt;&gt;"",
IF(VLOOKUP($A40,貼り付け用!$A$1:$BA$300,COLUMN()/2+1,FALSE)=0,"",VLOOKUP($A40,貼り付け用!$A$1:$BA$300,COLUMN()/2+1,FALSE)),"")</f>
        <v>#N/A</v>
      </c>
      <c r="AM40" s="210" t="e">
        <f ca="1">IF($A40&lt;&gt;"",
IF(VLOOKUP($A40,貼り付け用!$A$1:$BA$300,COLUMN()/2+2,FALSE)=0,"",VLOOKUP($A40,貼り付け用!$A$1:$BA$300,COLUMN()/2+2,FALSE)),"")</f>
        <v>#N/A</v>
      </c>
      <c r="AN40" s="210" t="e">
        <f ca="1">IF($A40&lt;&gt;"",
IF(VLOOKUP($A40,貼り付け用!$A$1:$BA$300,COLUMN()/2+3,FALSE)=0,"",VLOOKUP($A40,貼り付け用!$A$1:$BA$300,COLUMN()/2+3,FALSE)),"")</f>
        <v>#N/A</v>
      </c>
    </row>
    <row r="41" spans="1:40" x14ac:dyDescent="0.45">
      <c r="A41" s="8" t="e" cm="1">
        <f t="array" aca="1" ref="A41" ca="1">IF(OR(COUNTIF(A39,"*1000*"),COUNTIF(A39,"")),"",INDEX(貼り付け用!$A:$A,MATCH(A39,貼り付け用!$A:$A,0)+2,0))</f>
        <v>#N/A</v>
      </c>
      <c r="B41" s="46" t="e">
        <f ca="1">IF($A41&lt;&gt;"",
IF(VLOOKUP($A41,貼り付け用!$A$1:$BA$300,COLUMN()/2+1,FALSE)=0,"",VLOOKUP($A41,貼り付け用!$A$1:$BA$300,COLUMN()/2+1,FALSE)),"")</f>
        <v>#N/A</v>
      </c>
      <c r="C41" s="46"/>
      <c r="D41" s="46" t="e">
        <f ca="1">IF($A41&lt;&gt;"",
IF(VLOOKUP($A41,貼り付け用!$A$1:$BA$300,COLUMN()/2+1,FALSE)=0,"",VLOOKUP($A41,貼り付け用!$A$1:$BA$300,COLUMN()/2+1,FALSE)),"")</f>
        <v>#N/A</v>
      </c>
      <c r="E41" s="46"/>
      <c r="F41" s="46" t="e">
        <f ca="1">IF($A41&lt;&gt;"",
IF(VLOOKUP($A41,貼り付け用!$A$1:$BA$300,COLUMN()/2+1,FALSE)=0,"",VLOOKUP($A41,貼り付け用!$A$1:$BA$300,COLUMN()/2+1,FALSE)),"")</f>
        <v>#N/A</v>
      </c>
      <c r="G41" s="46"/>
      <c r="H41" s="46" t="e">
        <f ca="1">IF($A41&lt;&gt;"",
IF(VLOOKUP($A41,貼り付け用!$A$1:$BA$300,COLUMN()/2+1,FALSE)=0,"",VLOOKUP($A41,貼り付け用!$A$1:$BA$300,COLUMN()/2+1,FALSE)),"")</f>
        <v>#N/A</v>
      </c>
      <c r="I41" s="46"/>
      <c r="J41" s="46" t="e">
        <f ca="1">IF($A41&lt;&gt;"",
IF(VLOOKUP($A41,貼り付け用!$A$1:$BA$300,COLUMN()/2+1,FALSE)=0,"",VLOOKUP($A41,貼り付け用!$A$1:$BA$300,COLUMN()/2+1,FALSE)),"")</f>
        <v>#N/A</v>
      </c>
      <c r="K41" s="46"/>
      <c r="L41" s="46" t="e">
        <f ca="1">IF($A41&lt;&gt;"",
IF(VLOOKUP($A41,貼り付け用!$A$1:$BA$300,COLUMN()/2+1,FALSE)=0,"",VLOOKUP($A41,貼り付け用!$A$1:$BA$300,COLUMN()/2+1,FALSE)),"")</f>
        <v>#N/A</v>
      </c>
      <c r="M41" s="46"/>
      <c r="N41" s="46" t="e">
        <f ca="1">IF($A41&lt;&gt;"",
IF(VLOOKUP($A41,貼り付け用!$A$1:$BA$300,COLUMN()/2+1,FALSE)=0,"",VLOOKUP($A41,貼り付け用!$A$1:$BA$300,COLUMN()/2+1,FALSE)),"")</f>
        <v>#N/A</v>
      </c>
      <c r="O41" s="46"/>
      <c r="P41" s="46" t="e">
        <f ca="1">IF($A41&lt;&gt;"",
IF(VLOOKUP($A41,貼り付け用!$A$1:$BA$300,COLUMN()/2+1,FALSE)=0,"",VLOOKUP($A41,貼り付け用!$A$1:$BA$300,COLUMN()/2+1,FALSE)),"")</f>
        <v>#N/A</v>
      </c>
      <c r="Q41" s="46"/>
      <c r="R41" s="46" t="e">
        <f ca="1">IF($A41&lt;&gt;"",
IF(VLOOKUP($A41,貼り付け用!$A$1:$BA$300,COLUMN()/2+1,FALSE)=0,"",VLOOKUP($A41,貼り付け用!$A$1:$BA$300,COLUMN()/2+1,FALSE)),"")</f>
        <v>#N/A</v>
      </c>
      <c r="S41" s="46"/>
      <c r="T41" s="46" t="e">
        <f ca="1">IF($A41&lt;&gt;"",
IF(VLOOKUP($A41,貼り付け用!$A$1:$BA$300,COLUMN()/2+1,FALSE)=0,"",VLOOKUP($A41,貼り付け用!$A$1:$BA$300,COLUMN()/2+1,FALSE)),"")</f>
        <v>#N/A</v>
      </c>
      <c r="U41" s="46"/>
      <c r="V41" s="46" t="e">
        <f ca="1">IF($A41&lt;&gt;"",
IF(VLOOKUP($A41,貼り付け用!$A$1:$BA$300,COLUMN()/2+1,FALSE)=0,"",VLOOKUP($A41,貼り付け用!$A$1:$BA$300,COLUMN()/2+1,FALSE)),"")</f>
        <v>#N/A</v>
      </c>
      <c r="W41" s="46"/>
      <c r="X41" s="46" t="e">
        <f ca="1">IF($A41&lt;&gt;"",
IF(VLOOKUP($A41,貼り付け用!$A$1:$BA$300,COLUMN()/2+1,FALSE)=0,"",VLOOKUP($A41,貼り付け用!$A$1:$BA$300,COLUMN()/2+1,FALSE)),"")</f>
        <v>#N/A</v>
      </c>
      <c r="Y41" s="46"/>
      <c r="Z41" s="46" t="e">
        <f ca="1">IF($A41&lt;&gt;"",
IF(VLOOKUP($A41,貼り付け用!$A$1:$BA$300,COLUMN()/2+1,FALSE)=0,"",VLOOKUP($A41,貼り付け用!$A$1:$BA$300,COLUMN()/2+1,FALSE)),"")</f>
        <v>#N/A</v>
      </c>
      <c r="AA41" s="46"/>
      <c r="AB41" s="46" t="e">
        <f ca="1">IF($A41&lt;&gt;"",
IF(VLOOKUP($A41,貼り付け用!$A$1:$BA$300,COLUMN()/2+1,FALSE)=0,"",VLOOKUP($A41,貼り付け用!$A$1:$BA$300,COLUMN()/2+1,FALSE)),"")</f>
        <v>#N/A</v>
      </c>
      <c r="AC41" s="46"/>
      <c r="AD41" s="46" t="e">
        <f ca="1">IF($A41&lt;&gt;"",
IF(VLOOKUP($A41,貼り付け用!$A$1:$BA$300,COLUMN()/2+1,FALSE)=0,"",VLOOKUP($A41,貼り付け用!$A$1:$BA$300,COLUMN()/2+1,FALSE)),"")</f>
        <v>#N/A</v>
      </c>
      <c r="AE41" s="46"/>
      <c r="AF41" s="46" t="e">
        <f ca="1">IF($A41&lt;&gt;"",
IF(VLOOKUP($A41,貼り付け用!$A$1:$BA$300,COLUMN()/2+1,FALSE)=0,"",VLOOKUP($A41,貼り付け用!$A$1:$BA$300,COLUMN()/2+1,FALSE)),"")</f>
        <v>#N/A</v>
      </c>
      <c r="AG41" s="46"/>
      <c r="AH41" s="46" t="e">
        <f ca="1">IF($A41&lt;&gt;"",
IF(VLOOKUP($A41,貼り付け用!$A$1:$BA$300,COLUMN()/2+1,FALSE)=0,"",VLOOKUP($A41,貼り付け用!$A$1:$BA$300,COLUMN()/2+1,FALSE)),"")</f>
        <v>#N/A</v>
      </c>
      <c r="AI41" s="46"/>
      <c r="AJ41" s="46" t="e">
        <f ca="1">IF($A41&lt;&gt;"",
IF(VLOOKUP($A41,貼り付け用!$A$1:$BA$300,COLUMN()/2+1,FALSE)=0,"",VLOOKUP($A41,貼り付け用!$A$1:$BA$300,COLUMN()/2+1,FALSE)),"")</f>
        <v>#N/A</v>
      </c>
      <c r="AK41" s="46"/>
      <c r="AL41" s="46" t="e">
        <f ca="1">IF($A41&lt;&gt;"",
IF(VLOOKUP($A41,貼り付け用!$A$1:$BA$300,COLUMN()/2+1,FALSE)=0,"",VLOOKUP($A41,貼り付け用!$A$1:$BA$300,COLUMN()/2+1,FALSE)),"")</f>
        <v>#N/A</v>
      </c>
      <c r="AM41" s="211" t="e">
        <f ca="1">IF($A41&lt;&gt;"",
IF(VLOOKUP($A41,貼り付け用!$A$1:$BA$300,COLUMN()/2+2,FALSE)=0,"",VLOOKUP($A41,貼り付け用!$A$1:$BA$300,COLUMN()/2+2,FALSE)),"")</f>
        <v>#N/A</v>
      </c>
      <c r="AN41" s="211" t="e">
        <f ca="1">IF($A41&lt;&gt;"",
IF(VLOOKUP($A41,貼り付け用!$A$1:$BA$300,COLUMN()/2+3,FALSE)=0,"",VLOOKUP($A41,貼り付け用!$A$1:$BA$300,COLUMN()/2+3,FALSE)),"")</f>
        <v>#N/A</v>
      </c>
    </row>
    <row r="42" spans="1:40" x14ac:dyDescent="0.45">
      <c r="A42" s="5" t="e" cm="1">
        <f t="array" aca="1" ref="A42" ca="1">IF(OR(COUNTIF(A40,"*合計*"),COUNTIF(A40,"")),"",INDEX(貼り付け用!$A:$A,MATCH(A40,貼り付け用!$A:$A,0)+2,0))</f>
        <v>#N/A</v>
      </c>
      <c r="B42" s="16" t="e">
        <f ca="1">IF($A42&lt;&gt;"",
IF(VLOOKUP($A42,貼り付け用!$A$1:$BA$300,COLUMN()/2+1,FALSE)=0,"",VLOOKUP($A42,貼り付け用!$A$1:$BA$300,COLUMN()/2+1,FALSE)),"")</f>
        <v>#N/A</v>
      </c>
      <c r="C42" s="58"/>
      <c r="D42" s="16" t="e">
        <f ca="1">IF($A42&lt;&gt;"",
IF(VLOOKUP($A42,貼り付け用!$A$1:$BA$300,COLUMN()/2+1,FALSE)=0,"",VLOOKUP($A42,貼り付け用!$A$1:$BA$300,COLUMN()/2+1,FALSE)),"")</f>
        <v>#N/A</v>
      </c>
      <c r="E42" s="58"/>
      <c r="F42" s="16" t="e">
        <f ca="1">IF($A42&lt;&gt;"",
IF(VLOOKUP($A42,貼り付け用!$A$1:$BA$300,COLUMN()/2+1,FALSE)=0,"",VLOOKUP($A42,貼り付け用!$A$1:$BA$300,COLUMN()/2+1,FALSE)),"")</f>
        <v>#N/A</v>
      </c>
      <c r="G42" s="58"/>
      <c r="H42" s="16" t="e">
        <f ca="1">IF($A42&lt;&gt;"",
IF(VLOOKUP($A42,貼り付け用!$A$1:$BA$300,COLUMN()/2+1,FALSE)=0,"",VLOOKUP($A42,貼り付け用!$A$1:$BA$300,COLUMN()/2+1,FALSE)),"")</f>
        <v>#N/A</v>
      </c>
      <c r="I42" s="58"/>
      <c r="J42" s="16" t="e">
        <f ca="1">IF($A42&lt;&gt;"",
IF(VLOOKUP($A42,貼り付け用!$A$1:$BA$300,COLUMN()/2+1,FALSE)=0,"",VLOOKUP($A42,貼り付け用!$A$1:$BA$300,COLUMN()/2+1,FALSE)),"")</f>
        <v>#N/A</v>
      </c>
      <c r="K42" s="58"/>
      <c r="L42" s="16" t="e">
        <f ca="1">IF($A42&lt;&gt;"",
IF(VLOOKUP($A42,貼り付け用!$A$1:$BA$300,COLUMN()/2+1,FALSE)=0,"",VLOOKUP($A42,貼り付け用!$A$1:$BA$300,COLUMN()/2+1,FALSE)),"")</f>
        <v>#N/A</v>
      </c>
      <c r="M42" s="58"/>
      <c r="N42" s="16" t="e">
        <f ca="1">IF($A42&lt;&gt;"",
IF(VLOOKUP($A42,貼り付け用!$A$1:$BA$300,COLUMN()/2+1,FALSE)=0,"",VLOOKUP($A42,貼り付け用!$A$1:$BA$300,COLUMN()/2+1,FALSE)),"")</f>
        <v>#N/A</v>
      </c>
      <c r="O42" s="58"/>
      <c r="P42" s="16" t="e">
        <f ca="1">IF($A42&lt;&gt;"",
IF(VLOOKUP($A42,貼り付け用!$A$1:$BA$300,COLUMN()/2+1,FALSE)=0,"",VLOOKUP($A42,貼り付け用!$A$1:$BA$300,COLUMN()/2+1,FALSE)),"")</f>
        <v>#N/A</v>
      </c>
      <c r="Q42" s="58"/>
      <c r="R42" s="16" t="e">
        <f ca="1">IF($A42&lt;&gt;"",
IF(VLOOKUP($A42,貼り付け用!$A$1:$BA$300,COLUMN()/2+1,FALSE)=0,"",VLOOKUP($A42,貼り付け用!$A$1:$BA$300,COLUMN()/2+1,FALSE)),"")</f>
        <v>#N/A</v>
      </c>
      <c r="S42" s="58"/>
      <c r="T42" s="16" t="e">
        <f ca="1">IF($A42&lt;&gt;"",
IF(VLOOKUP($A42,貼り付け用!$A$1:$BA$300,COLUMN()/2+1,FALSE)=0,"",VLOOKUP($A42,貼り付け用!$A$1:$BA$300,COLUMN()/2+1,FALSE)),"")</f>
        <v>#N/A</v>
      </c>
      <c r="U42" s="58"/>
      <c r="V42" s="16" t="e">
        <f ca="1">IF($A42&lt;&gt;"",
IF(VLOOKUP($A42,貼り付け用!$A$1:$BA$300,COLUMN()/2+1,FALSE)=0,"",VLOOKUP($A42,貼り付け用!$A$1:$BA$300,COLUMN()/2+1,FALSE)),"")</f>
        <v>#N/A</v>
      </c>
      <c r="W42" s="58"/>
      <c r="X42" s="16" t="e">
        <f ca="1">IF($A42&lt;&gt;"",
IF(VLOOKUP($A42,貼り付け用!$A$1:$BA$300,COLUMN()/2+1,FALSE)=0,"",VLOOKUP($A42,貼り付け用!$A$1:$BA$300,COLUMN()/2+1,FALSE)),"")</f>
        <v>#N/A</v>
      </c>
      <c r="Y42" s="58"/>
      <c r="Z42" s="16" t="e">
        <f ca="1">IF($A42&lt;&gt;"",
IF(VLOOKUP($A42,貼り付け用!$A$1:$BA$300,COLUMN()/2+1,FALSE)=0,"",VLOOKUP($A42,貼り付け用!$A$1:$BA$300,COLUMN()/2+1,FALSE)),"")</f>
        <v>#N/A</v>
      </c>
      <c r="AA42" s="58"/>
      <c r="AB42" s="16" t="e">
        <f ca="1">IF($A42&lt;&gt;"",
IF(VLOOKUP($A42,貼り付け用!$A$1:$BA$300,COLUMN()/2+1,FALSE)=0,"",VLOOKUP($A42,貼り付け用!$A$1:$BA$300,COLUMN()/2+1,FALSE)),"")</f>
        <v>#N/A</v>
      </c>
      <c r="AC42" s="58"/>
      <c r="AD42" s="16" t="e">
        <f ca="1">IF($A42&lt;&gt;"",
IF(VLOOKUP($A42,貼り付け用!$A$1:$BA$300,COLUMN()/2+1,FALSE)=0,"",VLOOKUP($A42,貼り付け用!$A$1:$BA$300,COLUMN()/2+1,FALSE)),"")</f>
        <v>#N/A</v>
      </c>
      <c r="AE42" s="58"/>
      <c r="AF42" s="16" t="e">
        <f ca="1">IF($A42&lt;&gt;"",
IF(VLOOKUP($A42,貼り付け用!$A$1:$BA$300,COLUMN()/2+1,FALSE)=0,"",VLOOKUP($A42,貼り付け用!$A$1:$BA$300,COLUMN()/2+1,FALSE)),"")</f>
        <v>#N/A</v>
      </c>
      <c r="AG42" s="58"/>
      <c r="AH42" s="16" t="e">
        <f ca="1">IF($A42&lt;&gt;"",
IF(VLOOKUP($A42,貼り付け用!$A$1:$BA$300,COLUMN()/2+1,FALSE)=0,"",VLOOKUP($A42,貼り付け用!$A$1:$BA$300,COLUMN()/2+1,FALSE)),"")</f>
        <v>#N/A</v>
      </c>
      <c r="AI42" s="58"/>
      <c r="AJ42" s="16" t="e">
        <f ca="1">IF($A42&lt;&gt;"",
IF(VLOOKUP($A42,貼り付け用!$A$1:$BA$300,COLUMN()/2+1,FALSE)=0,"",VLOOKUP($A42,貼り付け用!$A$1:$BA$300,COLUMN()/2+1,FALSE)),"")</f>
        <v>#N/A</v>
      </c>
      <c r="AK42" s="58"/>
      <c r="AL42" s="16" t="e">
        <f ca="1">IF($A42&lt;&gt;"",
IF(VLOOKUP($A42,貼り付け用!$A$1:$BA$300,COLUMN()/2+1,FALSE)=0,"",VLOOKUP($A42,貼り付け用!$A$1:$BA$300,COLUMN()/2+1,FALSE)),"")</f>
        <v>#N/A</v>
      </c>
      <c r="AM42" s="210" t="e">
        <f ca="1">IF($A42&lt;&gt;"",
IF(VLOOKUP($A42,貼り付け用!$A$1:$BA$300,COLUMN()/2+2,FALSE)=0,"",VLOOKUP($A42,貼り付け用!$A$1:$BA$300,COLUMN()/2+2,FALSE)),"")</f>
        <v>#N/A</v>
      </c>
      <c r="AN42" s="210" t="e">
        <f ca="1">IF($A42&lt;&gt;"",
IF(VLOOKUP($A42,貼り付け用!$A$1:$BA$300,COLUMN()/2+3,FALSE)=0,"",VLOOKUP($A42,貼り付け用!$A$1:$BA$300,COLUMN()/2+3,FALSE)),"")</f>
        <v>#N/A</v>
      </c>
    </row>
    <row r="43" spans="1:40" x14ac:dyDescent="0.45">
      <c r="A43" s="8" t="e" cm="1">
        <f t="array" aca="1" ref="A43" ca="1">IF(OR(COUNTIF(A41,"*1000*"),COUNTIF(A41,"")),"",INDEX(貼り付け用!$A:$A,MATCH(A41,貼り付け用!$A:$A,0)+2,0))</f>
        <v>#N/A</v>
      </c>
      <c r="B43" s="46" t="e">
        <f ca="1">IF($A43&lt;&gt;"",
IF(VLOOKUP($A43,貼り付け用!$A$1:$BA$300,COLUMN()/2+1,FALSE)=0,"",VLOOKUP($A43,貼り付け用!$A$1:$BA$300,COLUMN()/2+1,FALSE)),"")</f>
        <v>#N/A</v>
      </c>
      <c r="C43" s="46"/>
      <c r="D43" s="46" t="e">
        <f ca="1">IF($A43&lt;&gt;"",
IF(VLOOKUP($A43,貼り付け用!$A$1:$BA$300,COLUMN()/2+1,FALSE)=0,"",VLOOKUP($A43,貼り付け用!$A$1:$BA$300,COLUMN()/2+1,FALSE)),"")</f>
        <v>#N/A</v>
      </c>
      <c r="E43" s="46"/>
      <c r="F43" s="46" t="e">
        <f ca="1">IF($A43&lt;&gt;"",
IF(VLOOKUP($A43,貼り付け用!$A$1:$BA$300,COLUMN()/2+1,FALSE)=0,"",VLOOKUP($A43,貼り付け用!$A$1:$BA$300,COLUMN()/2+1,FALSE)),"")</f>
        <v>#N/A</v>
      </c>
      <c r="G43" s="46"/>
      <c r="H43" s="46" t="e">
        <f ca="1">IF($A43&lt;&gt;"",
IF(VLOOKUP($A43,貼り付け用!$A$1:$BA$300,COLUMN()/2+1,FALSE)=0,"",VLOOKUP($A43,貼り付け用!$A$1:$BA$300,COLUMN()/2+1,FALSE)),"")</f>
        <v>#N/A</v>
      </c>
      <c r="I43" s="46"/>
      <c r="J43" s="46" t="e">
        <f ca="1">IF($A43&lt;&gt;"",
IF(VLOOKUP($A43,貼り付け用!$A$1:$BA$300,COLUMN()/2+1,FALSE)=0,"",VLOOKUP($A43,貼り付け用!$A$1:$BA$300,COLUMN()/2+1,FALSE)),"")</f>
        <v>#N/A</v>
      </c>
      <c r="K43" s="46"/>
      <c r="L43" s="46" t="e">
        <f ca="1">IF($A43&lt;&gt;"",
IF(VLOOKUP($A43,貼り付け用!$A$1:$BA$300,COLUMN()/2+1,FALSE)=0,"",VLOOKUP($A43,貼り付け用!$A$1:$BA$300,COLUMN()/2+1,FALSE)),"")</f>
        <v>#N/A</v>
      </c>
      <c r="M43" s="46"/>
      <c r="N43" s="46" t="e">
        <f ca="1">IF($A43&lt;&gt;"",
IF(VLOOKUP($A43,貼り付け用!$A$1:$BA$300,COLUMN()/2+1,FALSE)=0,"",VLOOKUP($A43,貼り付け用!$A$1:$BA$300,COLUMN()/2+1,FALSE)),"")</f>
        <v>#N/A</v>
      </c>
      <c r="O43" s="46"/>
      <c r="P43" s="46" t="e">
        <f ca="1">IF($A43&lt;&gt;"",
IF(VLOOKUP($A43,貼り付け用!$A$1:$BA$300,COLUMN()/2+1,FALSE)=0,"",VLOOKUP($A43,貼り付け用!$A$1:$BA$300,COLUMN()/2+1,FALSE)),"")</f>
        <v>#N/A</v>
      </c>
      <c r="Q43" s="46"/>
      <c r="R43" s="46" t="e">
        <f ca="1">IF($A43&lt;&gt;"",
IF(VLOOKUP($A43,貼り付け用!$A$1:$BA$300,COLUMN()/2+1,FALSE)=0,"",VLOOKUP($A43,貼り付け用!$A$1:$BA$300,COLUMN()/2+1,FALSE)),"")</f>
        <v>#N/A</v>
      </c>
      <c r="S43" s="46"/>
      <c r="T43" s="46" t="e">
        <f ca="1">IF($A43&lt;&gt;"",
IF(VLOOKUP($A43,貼り付け用!$A$1:$BA$300,COLUMN()/2+1,FALSE)=0,"",VLOOKUP($A43,貼り付け用!$A$1:$BA$300,COLUMN()/2+1,FALSE)),"")</f>
        <v>#N/A</v>
      </c>
      <c r="U43" s="46"/>
      <c r="V43" s="46" t="e">
        <f ca="1">IF($A43&lt;&gt;"",
IF(VLOOKUP($A43,貼り付け用!$A$1:$BA$300,COLUMN()/2+1,FALSE)=0,"",VLOOKUP($A43,貼り付け用!$A$1:$BA$300,COLUMN()/2+1,FALSE)),"")</f>
        <v>#N/A</v>
      </c>
      <c r="W43" s="46"/>
      <c r="X43" s="46" t="e">
        <f ca="1">IF($A43&lt;&gt;"",
IF(VLOOKUP($A43,貼り付け用!$A$1:$BA$300,COLUMN()/2+1,FALSE)=0,"",VLOOKUP($A43,貼り付け用!$A$1:$BA$300,COLUMN()/2+1,FALSE)),"")</f>
        <v>#N/A</v>
      </c>
      <c r="Y43" s="46"/>
      <c r="Z43" s="46" t="e">
        <f ca="1">IF($A43&lt;&gt;"",
IF(VLOOKUP($A43,貼り付け用!$A$1:$BA$300,COLUMN()/2+1,FALSE)=0,"",VLOOKUP($A43,貼り付け用!$A$1:$BA$300,COLUMN()/2+1,FALSE)),"")</f>
        <v>#N/A</v>
      </c>
      <c r="AA43" s="46"/>
      <c r="AB43" s="46" t="e">
        <f ca="1">IF($A43&lt;&gt;"",
IF(VLOOKUP($A43,貼り付け用!$A$1:$BA$300,COLUMN()/2+1,FALSE)=0,"",VLOOKUP($A43,貼り付け用!$A$1:$BA$300,COLUMN()/2+1,FALSE)),"")</f>
        <v>#N/A</v>
      </c>
      <c r="AC43" s="46"/>
      <c r="AD43" s="46" t="e">
        <f ca="1">IF($A43&lt;&gt;"",
IF(VLOOKUP($A43,貼り付け用!$A$1:$BA$300,COLUMN()/2+1,FALSE)=0,"",VLOOKUP($A43,貼り付け用!$A$1:$BA$300,COLUMN()/2+1,FALSE)),"")</f>
        <v>#N/A</v>
      </c>
      <c r="AE43" s="46"/>
      <c r="AF43" s="46" t="e">
        <f ca="1">IF($A43&lt;&gt;"",
IF(VLOOKUP($A43,貼り付け用!$A$1:$BA$300,COLUMN()/2+1,FALSE)=0,"",VLOOKUP($A43,貼り付け用!$A$1:$BA$300,COLUMN()/2+1,FALSE)),"")</f>
        <v>#N/A</v>
      </c>
      <c r="AG43" s="46"/>
      <c r="AH43" s="46" t="e">
        <f ca="1">IF($A43&lt;&gt;"",
IF(VLOOKUP($A43,貼り付け用!$A$1:$BA$300,COLUMN()/2+1,FALSE)=0,"",VLOOKUP($A43,貼り付け用!$A$1:$BA$300,COLUMN()/2+1,FALSE)),"")</f>
        <v>#N/A</v>
      </c>
      <c r="AI43" s="46"/>
      <c r="AJ43" s="46" t="e">
        <f ca="1">IF($A43&lt;&gt;"",
IF(VLOOKUP($A43,貼り付け用!$A$1:$BA$300,COLUMN()/2+1,FALSE)=0,"",VLOOKUP($A43,貼り付け用!$A$1:$BA$300,COLUMN()/2+1,FALSE)),"")</f>
        <v>#N/A</v>
      </c>
      <c r="AK43" s="46"/>
      <c r="AL43" s="46" t="e">
        <f ca="1">IF($A43&lt;&gt;"",
IF(VLOOKUP($A43,貼り付け用!$A$1:$BA$300,COLUMN()/2+1,FALSE)=0,"",VLOOKUP($A43,貼り付け用!$A$1:$BA$300,COLUMN()/2+1,FALSE)),"")</f>
        <v>#N/A</v>
      </c>
      <c r="AM43" s="211" t="e">
        <f ca="1">IF($A43&lt;&gt;"",
IF(VLOOKUP($A43,貼り付け用!$A$1:$BA$300,COLUMN()/2+2,FALSE)=0,"",VLOOKUP($A43,貼り付け用!$A$1:$BA$300,COLUMN()/2+2,FALSE)),"")</f>
        <v>#N/A</v>
      </c>
      <c r="AN43" s="211" t="e">
        <f ca="1">IF($A43&lt;&gt;"",
IF(VLOOKUP($A43,貼り付け用!$A$1:$BA$300,COLUMN()/2+3,FALSE)=0,"",VLOOKUP($A43,貼り付け用!$A$1:$BA$300,COLUMN()/2+3,FALSE)),"")</f>
        <v>#N/A</v>
      </c>
    </row>
    <row r="44" spans="1:40" x14ac:dyDescent="0.45">
      <c r="A44" s="5" t="e" cm="1">
        <f t="array" aca="1" ref="A44" ca="1">IF(OR(COUNTIF(A42,"*合計*"),COUNTIF(A42,"")),"",INDEX(貼り付け用!$A:$A,MATCH(A42,貼り付け用!$A:$A,0)+2,0))</f>
        <v>#N/A</v>
      </c>
      <c r="B44" s="16" t="e">
        <f ca="1">IF($A44&lt;&gt;"",
IF(VLOOKUP($A44,貼り付け用!$A$1:$BA$300,COLUMN()/2+1,FALSE)=0,"",VLOOKUP($A44,貼り付け用!$A$1:$BA$300,COLUMN()/2+1,FALSE)),"")</f>
        <v>#N/A</v>
      </c>
      <c r="C44" s="58"/>
      <c r="D44" s="16" t="e">
        <f ca="1">IF($A44&lt;&gt;"",
IF(VLOOKUP($A44,貼り付け用!$A$1:$BA$300,COLUMN()/2+1,FALSE)=0,"",VLOOKUP($A44,貼り付け用!$A$1:$BA$300,COLUMN()/2+1,FALSE)),"")</f>
        <v>#N/A</v>
      </c>
      <c r="E44" s="58"/>
      <c r="F44" s="16" t="e">
        <f ca="1">IF($A44&lt;&gt;"",
IF(VLOOKUP($A44,貼り付け用!$A$1:$BA$300,COLUMN()/2+1,FALSE)=0,"",VLOOKUP($A44,貼り付け用!$A$1:$BA$300,COLUMN()/2+1,FALSE)),"")</f>
        <v>#N/A</v>
      </c>
      <c r="G44" s="58"/>
      <c r="H44" s="16" t="e">
        <f ca="1">IF($A44&lt;&gt;"",
IF(VLOOKUP($A44,貼り付け用!$A$1:$BA$300,COLUMN()/2+1,FALSE)=0,"",VLOOKUP($A44,貼り付け用!$A$1:$BA$300,COLUMN()/2+1,FALSE)),"")</f>
        <v>#N/A</v>
      </c>
      <c r="I44" s="58"/>
      <c r="J44" s="16" t="e">
        <f ca="1">IF($A44&lt;&gt;"",
IF(VLOOKUP($A44,貼り付け用!$A$1:$BA$300,COLUMN()/2+1,FALSE)=0,"",VLOOKUP($A44,貼り付け用!$A$1:$BA$300,COLUMN()/2+1,FALSE)),"")</f>
        <v>#N/A</v>
      </c>
      <c r="K44" s="58"/>
      <c r="L44" s="16" t="e">
        <f ca="1">IF($A44&lt;&gt;"",
IF(VLOOKUP($A44,貼り付け用!$A$1:$BA$300,COLUMN()/2+1,FALSE)=0,"",VLOOKUP($A44,貼り付け用!$A$1:$BA$300,COLUMN()/2+1,FALSE)),"")</f>
        <v>#N/A</v>
      </c>
      <c r="M44" s="58"/>
      <c r="N44" s="16" t="e">
        <f ca="1">IF($A44&lt;&gt;"",
IF(VLOOKUP($A44,貼り付け用!$A$1:$BA$300,COLUMN()/2+1,FALSE)=0,"",VLOOKUP($A44,貼り付け用!$A$1:$BA$300,COLUMN()/2+1,FALSE)),"")</f>
        <v>#N/A</v>
      </c>
      <c r="O44" s="58"/>
      <c r="P44" s="16" t="e">
        <f ca="1">IF($A44&lt;&gt;"",
IF(VLOOKUP($A44,貼り付け用!$A$1:$BA$300,COLUMN()/2+1,FALSE)=0,"",VLOOKUP($A44,貼り付け用!$A$1:$BA$300,COLUMN()/2+1,FALSE)),"")</f>
        <v>#N/A</v>
      </c>
      <c r="Q44" s="58"/>
      <c r="R44" s="16" t="e">
        <f ca="1">IF($A44&lt;&gt;"",
IF(VLOOKUP($A44,貼り付け用!$A$1:$BA$300,COLUMN()/2+1,FALSE)=0,"",VLOOKUP($A44,貼り付け用!$A$1:$BA$300,COLUMN()/2+1,FALSE)),"")</f>
        <v>#N/A</v>
      </c>
      <c r="S44" s="58"/>
      <c r="T44" s="16" t="e">
        <f ca="1">IF($A44&lt;&gt;"",
IF(VLOOKUP($A44,貼り付け用!$A$1:$BA$300,COLUMN()/2+1,FALSE)=0,"",VLOOKUP($A44,貼り付け用!$A$1:$BA$300,COLUMN()/2+1,FALSE)),"")</f>
        <v>#N/A</v>
      </c>
      <c r="U44" s="58"/>
      <c r="V44" s="16" t="e">
        <f ca="1">IF($A44&lt;&gt;"",
IF(VLOOKUP($A44,貼り付け用!$A$1:$BA$300,COLUMN()/2+1,FALSE)=0,"",VLOOKUP($A44,貼り付け用!$A$1:$BA$300,COLUMN()/2+1,FALSE)),"")</f>
        <v>#N/A</v>
      </c>
      <c r="W44" s="58"/>
      <c r="X44" s="16" t="e">
        <f ca="1">IF($A44&lt;&gt;"",
IF(VLOOKUP($A44,貼り付け用!$A$1:$BA$300,COLUMN()/2+1,FALSE)=0,"",VLOOKUP($A44,貼り付け用!$A$1:$BA$300,COLUMN()/2+1,FALSE)),"")</f>
        <v>#N/A</v>
      </c>
      <c r="Y44" s="58"/>
      <c r="Z44" s="16" t="e">
        <f ca="1">IF($A44&lt;&gt;"",
IF(VLOOKUP($A44,貼り付け用!$A$1:$BA$300,COLUMN()/2+1,FALSE)=0,"",VLOOKUP($A44,貼り付け用!$A$1:$BA$300,COLUMN()/2+1,FALSE)),"")</f>
        <v>#N/A</v>
      </c>
      <c r="AA44" s="58"/>
      <c r="AB44" s="16" t="e">
        <f ca="1">IF($A44&lt;&gt;"",
IF(VLOOKUP($A44,貼り付け用!$A$1:$BA$300,COLUMN()/2+1,FALSE)=0,"",VLOOKUP($A44,貼り付け用!$A$1:$BA$300,COLUMN()/2+1,FALSE)),"")</f>
        <v>#N/A</v>
      </c>
      <c r="AC44" s="58"/>
      <c r="AD44" s="16" t="e">
        <f ca="1">IF($A44&lt;&gt;"",
IF(VLOOKUP($A44,貼り付け用!$A$1:$BA$300,COLUMN()/2+1,FALSE)=0,"",VLOOKUP($A44,貼り付け用!$A$1:$BA$300,COLUMN()/2+1,FALSE)),"")</f>
        <v>#N/A</v>
      </c>
      <c r="AE44" s="58"/>
      <c r="AF44" s="16" t="e">
        <f ca="1">IF($A44&lt;&gt;"",
IF(VLOOKUP($A44,貼り付け用!$A$1:$BA$300,COLUMN()/2+1,FALSE)=0,"",VLOOKUP($A44,貼り付け用!$A$1:$BA$300,COLUMN()/2+1,FALSE)),"")</f>
        <v>#N/A</v>
      </c>
      <c r="AG44" s="58"/>
      <c r="AH44" s="16" t="e">
        <f ca="1">IF($A44&lt;&gt;"",
IF(VLOOKUP($A44,貼り付け用!$A$1:$BA$300,COLUMN()/2+1,FALSE)=0,"",VLOOKUP($A44,貼り付け用!$A$1:$BA$300,COLUMN()/2+1,FALSE)),"")</f>
        <v>#N/A</v>
      </c>
      <c r="AI44" s="58"/>
      <c r="AJ44" s="16" t="e">
        <f ca="1">IF($A44&lt;&gt;"",
IF(VLOOKUP($A44,貼り付け用!$A$1:$BA$300,COLUMN()/2+1,FALSE)=0,"",VLOOKUP($A44,貼り付け用!$A$1:$BA$300,COLUMN()/2+1,FALSE)),"")</f>
        <v>#N/A</v>
      </c>
      <c r="AK44" s="58"/>
      <c r="AL44" s="16" t="e">
        <f ca="1">IF($A44&lt;&gt;"",
IF(VLOOKUP($A44,貼り付け用!$A$1:$BA$300,COLUMN()/2+1,FALSE)=0,"",VLOOKUP($A44,貼り付け用!$A$1:$BA$300,COLUMN()/2+1,FALSE)),"")</f>
        <v>#N/A</v>
      </c>
      <c r="AM44" s="210" t="e">
        <f ca="1">IF($A44&lt;&gt;"",
IF(VLOOKUP($A44,貼り付け用!$A$1:$BA$300,COLUMN()/2+2,FALSE)=0,"",VLOOKUP($A44,貼り付け用!$A$1:$BA$300,COLUMN()/2+2,FALSE)),"")</f>
        <v>#N/A</v>
      </c>
      <c r="AN44" s="210" t="e">
        <f ca="1">IF($A44&lt;&gt;"",
IF(VLOOKUP($A44,貼り付け用!$A$1:$BA$300,COLUMN()/2+3,FALSE)=0,"",VLOOKUP($A44,貼り付け用!$A$1:$BA$300,COLUMN()/2+3,FALSE)),"")</f>
        <v>#N/A</v>
      </c>
    </row>
    <row r="45" spans="1:40" x14ac:dyDescent="0.45">
      <c r="A45" s="8" t="e" cm="1">
        <f t="array" aca="1" ref="A45" ca="1">IF(OR(COUNTIF(A43,"*1000*"),COUNTIF(A43,"")),"",INDEX(貼り付け用!$A:$A,MATCH(A43,貼り付け用!$A:$A,0)+2,0))</f>
        <v>#N/A</v>
      </c>
      <c r="B45" s="46" t="e">
        <f ca="1">IF($A45&lt;&gt;"",
IF(VLOOKUP($A45,貼り付け用!$A$1:$BA$300,COLUMN()/2+1,FALSE)=0,"",VLOOKUP($A45,貼り付け用!$A$1:$BA$300,COLUMN()/2+1,FALSE)),"")</f>
        <v>#N/A</v>
      </c>
      <c r="C45" s="46"/>
      <c r="D45" s="46" t="e">
        <f ca="1">IF($A45&lt;&gt;"",
IF(VLOOKUP($A45,貼り付け用!$A$1:$BA$300,COLUMN()/2+1,FALSE)=0,"",VLOOKUP($A45,貼り付け用!$A$1:$BA$300,COLUMN()/2+1,FALSE)),"")</f>
        <v>#N/A</v>
      </c>
      <c r="E45" s="46"/>
      <c r="F45" s="46" t="e">
        <f ca="1">IF($A45&lt;&gt;"",
IF(VLOOKUP($A45,貼り付け用!$A$1:$BA$300,COLUMN()/2+1,FALSE)=0,"",VLOOKUP($A45,貼り付け用!$A$1:$BA$300,COLUMN()/2+1,FALSE)),"")</f>
        <v>#N/A</v>
      </c>
      <c r="G45" s="46"/>
      <c r="H45" s="46" t="e">
        <f ca="1">IF($A45&lt;&gt;"",
IF(VLOOKUP($A45,貼り付け用!$A$1:$BA$300,COLUMN()/2+1,FALSE)=0,"",VLOOKUP($A45,貼り付け用!$A$1:$BA$300,COLUMN()/2+1,FALSE)),"")</f>
        <v>#N/A</v>
      </c>
      <c r="I45" s="46"/>
      <c r="J45" s="46" t="e">
        <f ca="1">IF($A45&lt;&gt;"",
IF(VLOOKUP($A45,貼り付け用!$A$1:$BA$300,COLUMN()/2+1,FALSE)=0,"",VLOOKUP($A45,貼り付け用!$A$1:$BA$300,COLUMN()/2+1,FALSE)),"")</f>
        <v>#N/A</v>
      </c>
      <c r="K45" s="46"/>
      <c r="L45" s="46" t="e">
        <f ca="1">IF($A45&lt;&gt;"",
IF(VLOOKUP($A45,貼り付け用!$A$1:$BA$300,COLUMN()/2+1,FALSE)=0,"",VLOOKUP($A45,貼り付け用!$A$1:$BA$300,COLUMN()/2+1,FALSE)),"")</f>
        <v>#N/A</v>
      </c>
      <c r="M45" s="46"/>
      <c r="N45" s="46" t="e">
        <f ca="1">IF($A45&lt;&gt;"",
IF(VLOOKUP($A45,貼り付け用!$A$1:$BA$300,COLUMN()/2+1,FALSE)=0,"",VLOOKUP($A45,貼り付け用!$A$1:$BA$300,COLUMN()/2+1,FALSE)),"")</f>
        <v>#N/A</v>
      </c>
      <c r="O45" s="46"/>
      <c r="P45" s="46" t="e">
        <f ca="1">IF($A45&lt;&gt;"",
IF(VLOOKUP($A45,貼り付け用!$A$1:$BA$300,COLUMN()/2+1,FALSE)=0,"",VLOOKUP($A45,貼り付け用!$A$1:$BA$300,COLUMN()/2+1,FALSE)),"")</f>
        <v>#N/A</v>
      </c>
      <c r="Q45" s="46"/>
      <c r="R45" s="46" t="e">
        <f ca="1">IF($A45&lt;&gt;"",
IF(VLOOKUP($A45,貼り付け用!$A$1:$BA$300,COLUMN()/2+1,FALSE)=0,"",VLOOKUP($A45,貼り付け用!$A$1:$BA$300,COLUMN()/2+1,FALSE)),"")</f>
        <v>#N/A</v>
      </c>
      <c r="S45" s="46"/>
      <c r="T45" s="46" t="e">
        <f ca="1">IF($A45&lt;&gt;"",
IF(VLOOKUP($A45,貼り付け用!$A$1:$BA$300,COLUMN()/2+1,FALSE)=0,"",VLOOKUP($A45,貼り付け用!$A$1:$BA$300,COLUMN()/2+1,FALSE)),"")</f>
        <v>#N/A</v>
      </c>
      <c r="U45" s="46"/>
      <c r="V45" s="46" t="e">
        <f ca="1">IF($A45&lt;&gt;"",
IF(VLOOKUP($A45,貼り付け用!$A$1:$BA$300,COLUMN()/2+1,FALSE)=0,"",VLOOKUP($A45,貼り付け用!$A$1:$BA$300,COLUMN()/2+1,FALSE)),"")</f>
        <v>#N/A</v>
      </c>
      <c r="W45" s="46"/>
      <c r="X45" s="46" t="e">
        <f ca="1">IF($A45&lt;&gt;"",
IF(VLOOKUP($A45,貼り付け用!$A$1:$BA$300,COLUMN()/2+1,FALSE)=0,"",VLOOKUP($A45,貼り付け用!$A$1:$BA$300,COLUMN()/2+1,FALSE)),"")</f>
        <v>#N/A</v>
      </c>
      <c r="Y45" s="46"/>
      <c r="Z45" s="46" t="e">
        <f ca="1">IF($A45&lt;&gt;"",
IF(VLOOKUP($A45,貼り付け用!$A$1:$BA$300,COLUMN()/2+1,FALSE)=0,"",VLOOKUP($A45,貼り付け用!$A$1:$BA$300,COLUMN()/2+1,FALSE)),"")</f>
        <v>#N/A</v>
      </c>
      <c r="AA45" s="46"/>
      <c r="AB45" s="46" t="e">
        <f ca="1">IF($A45&lt;&gt;"",
IF(VLOOKUP($A45,貼り付け用!$A$1:$BA$300,COLUMN()/2+1,FALSE)=0,"",VLOOKUP($A45,貼り付け用!$A$1:$BA$300,COLUMN()/2+1,FALSE)),"")</f>
        <v>#N/A</v>
      </c>
      <c r="AC45" s="46"/>
      <c r="AD45" s="46" t="e">
        <f ca="1">IF($A45&lt;&gt;"",
IF(VLOOKUP($A45,貼り付け用!$A$1:$BA$300,COLUMN()/2+1,FALSE)=0,"",VLOOKUP($A45,貼り付け用!$A$1:$BA$300,COLUMN()/2+1,FALSE)),"")</f>
        <v>#N/A</v>
      </c>
      <c r="AE45" s="46"/>
      <c r="AF45" s="46" t="e">
        <f ca="1">IF($A45&lt;&gt;"",
IF(VLOOKUP($A45,貼り付け用!$A$1:$BA$300,COLUMN()/2+1,FALSE)=0,"",VLOOKUP($A45,貼り付け用!$A$1:$BA$300,COLUMN()/2+1,FALSE)),"")</f>
        <v>#N/A</v>
      </c>
      <c r="AG45" s="46"/>
      <c r="AH45" s="46" t="e">
        <f ca="1">IF($A45&lt;&gt;"",
IF(VLOOKUP($A45,貼り付け用!$A$1:$BA$300,COLUMN()/2+1,FALSE)=0,"",VLOOKUP($A45,貼り付け用!$A$1:$BA$300,COLUMN()/2+1,FALSE)),"")</f>
        <v>#N/A</v>
      </c>
      <c r="AI45" s="46"/>
      <c r="AJ45" s="46" t="e">
        <f ca="1">IF($A45&lt;&gt;"",
IF(VLOOKUP($A45,貼り付け用!$A$1:$BA$300,COLUMN()/2+1,FALSE)=0,"",VLOOKUP($A45,貼り付け用!$A$1:$BA$300,COLUMN()/2+1,FALSE)),"")</f>
        <v>#N/A</v>
      </c>
      <c r="AK45" s="46"/>
      <c r="AL45" s="46" t="e">
        <f ca="1">IF($A45&lt;&gt;"",
IF(VLOOKUP($A45,貼り付け用!$A$1:$BA$300,COLUMN()/2+1,FALSE)=0,"",VLOOKUP($A45,貼り付け用!$A$1:$BA$300,COLUMN()/2+1,FALSE)),"")</f>
        <v>#N/A</v>
      </c>
      <c r="AM45" s="211" t="e">
        <f ca="1">IF($A45&lt;&gt;"",
IF(VLOOKUP($A45,貼り付け用!$A$1:$BA$300,COLUMN()/2+2,FALSE)=0,"",VLOOKUP($A45,貼り付け用!$A$1:$BA$300,COLUMN()/2+2,FALSE)),"")</f>
        <v>#N/A</v>
      </c>
      <c r="AN45" s="211" t="e">
        <f ca="1">IF($A45&lt;&gt;"",
IF(VLOOKUP($A45,貼り付け用!$A$1:$BA$300,COLUMN()/2+3,FALSE)=0,"",VLOOKUP($A45,貼り付け用!$A$1:$BA$300,COLUMN()/2+3,FALSE)),"")</f>
        <v>#N/A</v>
      </c>
    </row>
    <row r="46" spans="1:40" x14ac:dyDescent="0.45">
      <c r="A46" s="5" t="e" cm="1">
        <f t="array" aca="1" ref="A46" ca="1">IF(OR(COUNTIF(A44,"*合計*"),COUNTIF(A44,"")),"",INDEX(貼り付け用!$A:$A,MATCH(A44,貼り付け用!$A:$A,0)+2,0))</f>
        <v>#N/A</v>
      </c>
      <c r="B46" s="16" t="e">
        <f ca="1">IF($A46&lt;&gt;"",
IF(VLOOKUP($A46,貼り付け用!$A$1:$BA$300,COLUMN()/2+1,FALSE)=0,"",VLOOKUP($A46,貼り付け用!$A$1:$BA$300,COLUMN()/2+1,FALSE)),"")</f>
        <v>#N/A</v>
      </c>
      <c r="C46" s="58"/>
      <c r="D46" s="16" t="e">
        <f ca="1">IF($A46&lt;&gt;"",
IF(VLOOKUP($A46,貼り付け用!$A$1:$BA$300,COLUMN()/2+1,FALSE)=0,"",VLOOKUP($A46,貼り付け用!$A$1:$BA$300,COLUMN()/2+1,FALSE)),"")</f>
        <v>#N/A</v>
      </c>
      <c r="E46" s="58"/>
      <c r="F46" s="16" t="e">
        <f ca="1">IF($A46&lt;&gt;"",
IF(VLOOKUP($A46,貼り付け用!$A$1:$BA$300,COLUMN()/2+1,FALSE)=0,"",VLOOKUP($A46,貼り付け用!$A$1:$BA$300,COLUMN()/2+1,FALSE)),"")</f>
        <v>#N/A</v>
      </c>
      <c r="G46" s="58"/>
      <c r="H46" s="16" t="e">
        <f ca="1">IF($A46&lt;&gt;"",
IF(VLOOKUP($A46,貼り付け用!$A$1:$BA$300,COLUMN()/2+1,FALSE)=0,"",VLOOKUP($A46,貼り付け用!$A$1:$BA$300,COLUMN()/2+1,FALSE)),"")</f>
        <v>#N/A</v>
      </c>
      <c r="I46" s="58"/>
      <c r="J46" s="16" t="e">
        <f ca="1">IF($A46&lt;&gt;"",
IF(VLOOKUP($A46,貼り付け用!$A$1:$BA$300,COLUMN()/2+1,FALSE)=0,"",VLOOKUP($A46,貼り付け用!$A$1:$BA$300,COLUMN()/2+1,FALSE)),"")</f>
        <v>#N/A</v>
      </c>
      <c r="K46" s="58"/>
      <c r="L46" s="16" t="e">
        <f ca="1">IF($A46&lt;&gt;"",
IF(VLOOKUP($A46,貼り付け用!$A$1:$BA$300,COLUMN()/2+1,FALSE)=0,"",VLOOKUP($A46,貼り付け用!$A$1:$BA$300,COLUMN()/2+1,FALSE)),"")</f>
        <v>#N/A</v>
      </c>
      <c r="M46" s="58"/>
      <c r="N46" s="16" t="e">
        <f ca="1">IF($A46&lt;&gt;"",
IF(VLOOKUP($A46,貼り付け用!$A$1:$BA$300,COLUMN()/2+1,FALSE)=0,"",VLOOKUP($A46,貼り付け用!$A$1:$BA$300,COLUMN()/2+1,FALSE)),"")</f>
        <v>#N/A</v>
      </c>
      <c r="O46" s="58"/>
      <c r="P46" s="16" t="e">
        <f ca="1">IF($A46&lt;&gt;"",
IF(VLOOKUP($A46,貼り付け用!$A$1:$BA$300,COLUMN()/2+1,FALSE)=0,"",VLOOKUP($A46,貼り付け用!$A$1:$BA$300,COLUMN()/2+1,FALSE)),"")</f>
        <v>#N/A</v>
      </c>
      <c r="Q46" s="58"/>
      <c r="R46" s="16" t="e">
        <f ca="1">IF($A46&lt;&gt;"",
IF(VLOOKUP($A46,貼り付け用!$A$1:$BA$300,COLUMN()/2+1,FALSE)=0,"",VLOOKUP($A46,貼り付け用!$A$1:$BA$300,COLUMN()/2+1,FALSE)),"")</f>
        <v>#N/A</v>
      </c>
      <c r="S46" s="58"/>
      <c r="T46" s="16" t="e">
        <f ca="1">IF($A46&lt;&gt;"",
IF(VLOOKUP($A46,貼り付け用!$A$1:$BA$300,COLUMN()/2+1,FALSE)=0,"",VLOOKUP($A46,貼り付け用!$A$1:$BA$300,COLUMN()/2+1,FALSE)),"")</f>
        <v>#N/A</v>
      </c>
      <c r="U46" s="58"/>
      <c r="V46" s="16" t="e">
        <f ca="1">IF($A46&lt;&gt;"",
IF(VLOOKUP($A46,貼り付け用!$A$1:$BA$300,COLUMN()/2+1,FALSE)=0,"",VLOOKUP($A46,貼り付け用!$A$1:$BA$300,COLUMN()/2+1,FALSE)),"")</f>
        <v>#N/A</v>
      </c>
      <c r="W46" s="58"/>
      <c r="X46" s="16" t="e">
        <f ca="1">IF($A46&lt;&gt;"",
IF(VLOOKUP($A46,貼り付け用!$A$1:$BA$300,COLUMN()/2+1,FALSE)=0,"",VLOOKUP($A46,貼り付け用!$A$1:$BA$300,COLUMN()/2+1,FALSE)),"")</f>
        <v>#N/A</v>
      </c>
      <c r="Y46" s="58"/>
      <c r="Z46" s="16" t="e">
        <f ca="1">IF($A46&lt;&gt;"",
IF(VLOOKUP($A46,貼り付け用!$A$1:$BA$300,COLUMN()/2+1,FALSE)=0,"",VLOOKUP($A46,貼り付け用!$A$1:$BA$300,COLUMN()/2+1,FALSE)),"")</f>
        <v>#N/A</v>
      </c>
      <c r="AA46" s="58"/>
      <c r="AB46" s="16" t="e">
        <f ca="1">IF($A46&lt;&gt;"",
IF(VLOOKUP($A46,貼り付け用!$A$1:$BA$300,COLUMN()/2+1,FALSE)=0,"",VLOOKUP($A46,貼り付け用!$A$1:$BA$300,COLUMN()/2+1,FALSE)),"")</f>
        <v>#N/A</v>
      </c>
      <c r="AC46" s="58"/>
      <c r="AD46" s="16" t="e">
        <f ca="1">IF($A46&lt;&gt;"",
IF(VLOOKUP($A46,貼り付け用!$A$1:$BA$300,COLUMN()/2+1,FALSE)=0,"",VLOOKUP($A46,貼り付け用!$A$1:$BA$300,COLUMN()/2+1,FALSE)),"")</f>
        <v>#N/A</v>
      </c>
      <c r="AE46" s="58"/>
      <c r="AF46" s="16" t="e">
        <f ca="1">IF($A46&lt;&gt;"",
IF(VLOOKUP($A46,貼り付け用!$A$1:$BA$300,COLUMN()/2+1,FALSE)=0,"",VLOOKUP($A46,貼り付け用!$A$1:$BA$300,COLUMN()/2+1,FALSE)),"")</f>
        <v>#N/A</v>
      </c>
      <c r="AG46" s="58"/>
      <c r="AH46" s="16" t="e">
        <f ca="1">IF($A46&lt;&gt;"",
IF(VLOOKUP($A46,貼り付け用!$A$1:$BA$300,COLUMN()/2+1,FALSE)=0,"",VLOOKUP($A46,貼り付け用!$A$1:$BA$300,COLUMN()/2+1,FALSE)),"")</f>
        <v>#N/A</v>
      </c>
      <c r="AI46" s="58"/>
      <c r="AJ46" s="16" t="e">
        <f ca="1">IF($A46&lt;&gt;"",
IF(VLOOKUP($A46,貼り付け用!$A$1:$BA$300,COLUMN()/2+1,FALSE)=0,"",VLOOKUP($A46,貼り付け用!$A$1:$BA$300,COLUMN()/2+1,FALSE)),"")</f>
        <v>#N/A</v>
      </c>
      <c r="AK46" s="58"/>
      <c r="AL46" s="16" t="e">
        <f ca="1">IF($A46&lt;&gt;"",
IF(VLOOKUP($A46,貼り付け用!$A$1:$BA$300,COLUMN()/2+1,FALSE)=0,"",VLOOKUP($A46,貼り付け用!$A$1:$BA$300,COLUMN()/2+1,FALSE)),"")</f>
        <v>#N/A</v>
      </c>
      <c r="AM46" s="210" t="e">
        <f ca="1">IF($A46&lt;&gt;"",
IF(VLOOKUP($A46,貼り付け用!$A$1:$BA$300,COLUMN()/2+2,FALSE)=0,"",VLOOKUP($A46,貼り付け用!$A$1:$BA$300,COLUMN()/2+2,FALSE)),"")</f>
        <v>#N/A</v>
      </c>
      <c r="AN46" s="210" t="e">
        <f ca="1">IF($A46&lt;&gt;"",
IF(VLOOKUP($A46,貼り付け用!$A$1:$BA$300,COLUMN()/2+3,FALSE)=0,"",VLOOKUP($A46,貼り付け用!$A$1:$BA$300,COLUMN()/2+3,FALSE)),"")</f>
        <v>#N/A</v>
      </c>
    </row>
    <row r="47" spans="1:40" x14ac:dyDescent="0.45">
      <c r="A47" s="8" t="e" cm="1">
        <f t="array" aca="1" ref="A47" ca="1">IF(OR(COUNTIF(A45,"*1000*"),COUNTIF(A45,"")),"",INDEX(貼り付け用!$A:$A,MATCH(A45,貼り付け用!$A:$A,0)+2,0))</f>
        <v>#N/A</v>
      </c>
      <c r="B47" s="46" t="e">
        <f ca="1">IF($A47&lt;&gt;"",
IF(VLOOKUP($A47,貼り付け用!$A$1:$BA$300,COLUMN()/2+1,FALSE)=0,"",VLOOKUP($A47,貼り付け用!$A$1:$BA$300,COLUMN()/2+1,FALSE)),"")</f>
        <v>#N/A</v>
      </c>
      <c r="C47" s="46"/>
      <c r="D47" s="46" t="e">
        <f ca="1">IF($A47&lt;&gt;"",
IF(VLOOKUP($A47,貼り付け用!$A$1:$BA$300,COLUMN()/2+1,FALSE)=0,"",VLOOKUP($A47,貼り付け用!$A$1:$BA$300,COLUMN()/2+1,FALSE)),"")</f>
        <v>#N/A</v>
      </c>
      <c r="E47" s="46"/>
      <c r="F47" s="46" t="e">
        <f ca="1">IF($A47&lt;&gt;"",
IF(VLOOKUP($A47,貼り付け用!$A$1:$BA$300,COLUMN()/2+1,FALSE)=0,"",VLOOKUP($A47,貼り付け用!$A$1:$BA$300,COLUMN()/2+1,FALSE)),"")</f>
        <v>#N/A</v>
      </c>
      <c r="G47" s="46"/>
      <c r="H47" s="46" t="e">
        <f ca="1">IF($A47&lt;&gt;"",
IF(VLOOKUP($A47,貼り付け用!$A$1:$BA$300,COLUMN()/2+1,FALSE)=0,"",VLOOKUP($A47,貼り付け用!$A$1:$BA$300,COLUMN()/2+1,FALSE)),"")</f>
        <v>#N/A</v>
      </c>
      <c r="I47" s="46"/>
      <c r="J47" s="46" t="e">
        <f ca="1">IF($A47&lt;&gt;"",
IF(VLOOKUP($A47,貼り付け用!$A$1:$BA$300,COLUMN()/2+1,FALSE)=0,"",VLOOKUP($A47,貼り付け用!$A$1:$BA$300,COLUMN()/2+1,FALSE)),"")</f>
        <v>#N/A</v>
      </c>
      <c r="K47" s="46"/>
      <c r="L47" s="46" t="e">
        <f ca="1">IF($A47&lt;&gt;"",
IF(VLOOKUP($A47,貼り付け用!$A$1:$BA$300,COLUMN()/2+1,FALSE)=0,"",VLOOKUP($A47,貼り付け用!$A$1:$BA$300,COLUMN()/2+1,FALSE)),"")</f>
        <v>#N/A</v>
      </c>
      <c r="M47" s="46"/>
      <c r="N47" s="46" t="e">
        <f ca="1">IF($A47&lt;&gt;"",
IF(VLOOKUP($A47,貼り付け用!$A$1:$BA$300,COLUMN()/2+1,FALSE)=0,"",VLOOKUP($A47,貼り付け用!$A$1:$BA$300,COLUMN()/2+1,FALSE)),"")</f>
        <v>#N/A</v>
      </c>
      <c r="O47" s="46"/>
      <c r="P47" s="46" t="e">
        <f ca="1">IF($A47&lt;&gt;"",
IF(VLOOKUP($A47,貼り付け用!$A$1:$BA$300,COLUMN()/2+1,FALSE)=0,"",VLOOKUP($A47,貼り付け用!$A$1:$BA$300,COLUMN()/2+1,FALSE)),"")</f>
        <v>#N/A</v>
      </c>
      <c r="Q47" s="46"/>
      <c r="R47" s="46" t="e">
        <f ca="1">IF($A47&lt;&gt;"",
IF(VLOOKUP($A47,貼り付け用!$A$1:$BA$300,COLUMN()/2+1,FALSE)=0,"",VLOOKUP($A47,貼り付け用!$A$1:$BA$300,COLUMN()/2+1,FALSE)),"")</f>
        <v>#N/A</v>
      </c>
      <c r="S47" s="46"/>
      <c r="T47" s="46" t="e">
        <f ca="1">IF($A47&lt;&gt;"",
IF(VLOOKUP($A47,貼り付け用!$A$1:$BA$300,COLUMN()/2+1,FALSE)=0,"",VLOOKUP($A47,貼り付け用!$A$1:$BA$300,COLUMN()/2+1,FALSE)),"")</f>
        <v>#N/A</v>
      </c>
      <c r="U47" s="46"/>
      <c r="V47" s="46" t="e">
        <f ca="1">IF($A47&lt;&gt;"",
IF(VLOOKUP($A47,貼り付け用!$A$1:$BA$300,COLUMN()/2+1,FALSE)=0,"",VLOOKUP($A47,貼り付け用!$A$1:$BA$300,COLUMN()/2+1,FALSE)),"")</f>
        <v>#N/A</v>
      </c>
      <c r="W47" s="46"/>
      <c r="X47" s="46" t="e">
        <f ca="1">IF($A47&lt;&gt;"",
IF(VLOOKUP($A47,貼り付け用!$A$1:$BA$300,COLUMN()/2+1,FALSE)=0,"",VLOOKUP($A47,貼り付け用!$A$1:$BA$300,COLUMN()/2+1,FALSE)),"")</f>
        <v>#N/A</v>
      </c>
      <c r="Y47" s="46"/>
      <c r="Z47" s="46" t="e">
        <f ca="1">IF($A47&lt;&gt;"",
IF(VLOOKUP($A47,貼り付け用!$A$1:$BA$300,COLUMN()/2+1,FALSE)=0,"",VLOOKUP($A47,貼り付け用!$A$1:$BA$300,COLUMN()/2+1,FALSE)),"")</f>
        <v>#N/A</v>
      </c>
      <c r="AA47" s="46"/>
      <c r="AB47" s="46" t="e">
        <f ca="1">IF($A47&lt;&gt;"",
IF(VLOOKUP($A47,貼り付け用!$A$1:$BA$300,COLUMN()/2+1,FALSE)=0,"",VLOOKUP($A47,貼り付け用!$A$1:$BA$300,COLUMN()/2+1,FALSE)),"")</f>
        <v>#N/A</v>
      </c>
      <c r="AC47" s="46"/>
      <c r="AD47" s="46" t="e">
        <f ca="1">IF($A47&lt;&gt;"",
IF(VLOOKUP($A47,貼り付け用!$A$1:$BA$300,COLUMN()/2+1,FALSE)=0,"",VLOOKUP($A47,貼り付け用!$A$1:$BA$300,COLUMN()/2+1,FALSE)),"")</f>
        <v>#N/A</v>
      </c>
      <c r="AE47" s="46"/>
      <c r="AF47" s="46" t="e">
        <f ca="1">IF($A47&lt;&gt;"",
IF(VLOOKUP($A47,貼り付け用!$A$1:$BA$300,COLUMN()/2+1,FALSE)=0,"",VLOOKUP($A47,貼り付け用!$A$1:$BA$300,COLUMN()/2+1,FALSE)),"")</f>
        <v>#N/A</v>
      </c>
      <c r="AG47" s="46"/>
      <c r="AH47" s="46" t="e">
        <f ca="1">IF($A47&lt;&gt;"",
IF(VLOOKUP($A47,貼り付け用!$A$1:$BA$300,COLUMN()/2+1,FALSE)=0,"",VLOOKUP($A47,貼り付け用!$A$1:$BA$300,COLUMN()/2+1,FALSE)),"")</f>
        <v>#N/A</v>
      </c>
      <c r="AI47" s="46"/>
      <c r="AJ47" s="46" t="e">
        <f ca="1">IF($A47&lt;&gt;"",
IF(VLOOKUP($A47,貼り付け用!$A$1:$BA$300,COLUMN()/2+1,FALSE)=0,"",VLOOKUP($A47,貼り付け用!$A$1:$BA$300,COLUMN()/2+1,FALSE)),"")</f>
        <v>#N/A</v>
      </c>
      <c r="AK47" s="46"/>
      <c r="AL47" s="46" t="e">
        <f ca="1">IF($A47&lt;&gt;"",
IF(VLOOKUP($A47,貼り付け用!$A$1:$BA$300,COLUMN()/2+1,FALSE)=0,"",VLOOKUP($A47,貼り付け用!$A$1:$BA$300,COLUMN()/2+1,FALSE)),"")</f>
        <v>#N/A</v>
      </c>
      <c r="AM47" s="211" t="e">
        <f ca="1">IF($A47&lt;&gt;"",
IF(VLOOKUP($A47,貼り付け用!$A$1:$BA$300,COLUMN()/2+2,FALSE)=0,"",VLOOKUP($A47,貼り付け用!$A$1:$BA$300,COLUMN()/2+2,FALSE)),"")</f>
        <v>#N/A</v>
      </c>
      <c r="AN47" s="211" t="e">
        <f ca="1">IF($A47&lt;&gt;"",
IF(VLOOKUP($A47,貼り付け用!$A$1:$BA$300,COLUMN()/2+3,FALSE)=0,"",VLOOKUP($A47,貼り付け用!$A$1:$BA$300,COLUMN()/2+3,FALSE)),"")</f>
        <v>#N/A</v>
      </c>
    </row>
    <row r="48" spans="1:40" x14ac:dyDescent="0.45">
      <c r="A48" s="5" t="e" cm="1">
        <f t="array" aca="1" ref="A48" ca="1">IF(OR(COUNTIF(A46,"*合計*"),COUNTIF(A46,"")),"",INDEX(貼り付け用!$A:$A,MATCH(A46,貼り付け用!$A:$A,0)+2,0))</f>
        <v>#N/A</v>
      </c>
      <c r="B48" s="16" t="e">
        <f ca="1">IF($A48&lt;&gt;"",
IF(VLOOKUP($A48,貼り付け用!$A$1:$BA$300,COLUMN()/2+1,FALSE)=0,"",VLOOKUP($A48,貼り付け用!$A$1:$BA$300,COLUMN()/2+1,FALSE)),"")</f>
        <v>#N/A</v>
      </c>
      <c r="C48" s="58"/>
      <c r="D48" s="16" t="e">
        <f ca="1">IF($A48&lt;&gt;"",
IF(VLOOKUP($A48,貼り付け用!$A$1:$BA$300,COLUMN()/2+1,FALSE)=0,"",VLOOKUP($A48,貼り付け用!$A$1:$BA$300,COLUMN()/2+1,FALSE)),"")</f>
        <v>#N/A</v>
      </c>
      <c r="E48" s="58"/>
      <c r="F48" s="16" t="e">
        <f ca="1">IF($A48&lt;&gt;"",
IF(VLOOKUP($A48,貼り付け用!$A$1:$BA$300,COLUMN()/2+1,FALSE)=0,"",VLOOKUP($A48,貼り付け用!$A$1:$BA$300,COLUMN()/2+1,FALSE)),"")</f>
        <v>#N/A</v>
      </c>
      <c r="G48" s="58"/>
      <c r="H48" s="16" t="e">
        <f ca="1">IF($A48&lt;&gt;"",
IF(VLOOKUP($A48,貼り付け用!$A$1:$BA$300,COLUMN()/2+1,FALSE)=0,"",VLOOKUP($A48,貼り付け用!$A$1:$BA$300,COLUMN()/2+1,FALSE)),"")</f>
        <v>#N/A</v>
      </c>
      <c r="I48" s="58"/>
      <c r="J48" s="16" t="e">
        <f ca="1">IF($A48&lt;&gt;"",
IF(VLOOKUP($A48,貼り付け用!$A$1:$BA$300,COLUMN()/2+1,FALSE)=0,"",VLOOKUP($A48,貼り付け用!$A$1:$BA$300,COLUMN()/2+1,FALSE)),"")</f>
        <v>#N/A</v>
      </c>
      <c r="K48" s="58"/>
      <c r="L48" s="16" t="e">
        <f ca="1">IF($A48&lt;&gt;"",
IF(VLOOKUP($A48,貼り付け用!$A$1:$BA$300,COLUMN()/2+1,FALSE)=0,"",VLOOKUP($A48,貼り付け用!$A$1:$BA$300,COLUMN()/2+1,FALSE)),"")</f>
        <v>#N/A</v>
      </c>
      <c r="M48" s="58"/>
      <c r="N48" s="16" t="e">
        <f ca="1">IF($A48&lt;&gt;"",
IF(VLOOKUP($A48,貼り付け用!$A$1:$BA$300,COLUMN()/2+1,FALSE)=0,"",VLOOKUP($A48,貼り付け用!$A$1:$BA$300,COLUMN()/2+1,FALSE)),"")</f>
        <v>#N/A</v>
      </c>
      <c r="O48" s="58"/>
      <c r="P48" s="16" t="e">
        <f ca="1">IF($A48&lt;&gt;"",
IF(VLOOKUP($A48,貼り付け用!$A$1:$BA$300,COLUMN()/2+1,FALSE)=0,"",VLOOKUP($A48,貼り付け用!$A$1:$BA$300,COLUMN()/2+1,FALSE)),"")</f>
        <v>#N/A</v>
      </c>
      <c r="Q48" s="58"/>
      <c r="R48" s="16" t="e">
        <f ca="1">IF($A48&lt;&gt;"",
IF(VLOOKUP($A48,貼り付け用!$A$1:$BA$300,COLUMN()/2+1,FALSE)=0,"",VLOOKUP($A48,貼り付け用!$A$1:$BA$300,COLUMN()/2+1,FALSE)),"")</f>
        <v>#N/A</v>
      </c>
      <c r="S48" s="58"/>
      <c r="T48" s="16" t="e">
        <f ca="1">IF($A48&lt;&gt;"",
IF(VLOOKUP($A48,貼り付け用!$A$1:$BA$300,COLUMN()/2+1,FALSE)=0,"",VLOOKUP($A48,貼り付け用!$A$1:$BA$300,COLUMN()/2+1,FALSE)),"")</f>
        <v>#N/A</v>
      </c>
      <c r="U48" s="58"/>
      <c r="V48" s="16" t="e">
        <f ca="1">IF($A48&lt;&gt;"",
IF(VLOOKUP($A48,貼り付け用!$A$1:$BA$300,COLUMN()/2+1,FALSE)=0,"",VLOOKUP($A48,貼り付け用!$A$1:$BA$300,COLUMN()/2+1,FALSE)),"")</f>
        <v>#N/A</v>
      </c>
      <c r="W48" s="58"/>
      <c r="X48" s="16" t="e">
        <f ca="1">IF($A48&lt;&gt;"",
IF(VLOOKUP($A48,貼り付け用!$A$1:$BA$300,COLUMN()/2+1,FALSE)=0,"",VLOOKUP($A48,貼り付け用!$A$1:$BA$300,COLUMN()/2+1,FALSE)),"")</f>
        <v>#N/A</v>
      </c>
      <c r="Y48" s="58"/>
      <c r="Z48" s="16" t="e">
        <f ca="1">IF($A48&lt;&gt;"",
IF(VLOOKUP($A48,貼り付け用!$A$1:$BA$300,COLUMN()/2+1,FALSE)=0,"",VLOOKUP($A48,貼り付け用!$A$1:$BA$300,COLUMN()/2+1,FALSE)),"")</f>
        <v>#N/A</v>
      </c>
      <c r="AA48" s="58"/>
      <c r="AB48" s="16" t="e">
        <f ca="1">IF($A48&lt;&gt;"",
IF(VLOOKUP($A48,貼り付け用!$A$1:$BA$300,COLUMN()/2+1,FALSE)=0,"",VLOOKUP($A48,貼り付け用!$A$1:$BA$300,COLUMN()/2+1,FALSE)),"")</f>
        <v>#N/A</v>
      </c>
      <c r="AC48" s="58"/>
      <c r="AD48" s="16" t="e">
        <f ca="1">IF($A48&lt;&gt;"",
IF(VLOOKUP($A48,貼り付け用!$A$1:$BA$300,COLUMN()/2+1,FALSE)=0,"",VLOOKUP($A48,貼り付け用!$A$1:$BA$300,COLUMN()/2+1,FALSE)),"")</f>
        <v>#N/A</v>
      </c>
      <c r="AE48" s="58"/>
      <c r="AF48" s="16" t="e">
        <f ca="1">IF($A48&lt;&gt;"",
IF(VLOOKUP($A48,貼り付け用!$A$1:$BA$300,COLUMN()/2+1,FALSE)=0,"",VLOOKUP($A48,貼り付け用!$A$1:$BA$300,COLUMN()/2+1,FALSE)),"")</f>
        <v>#N/A</v>
      </c>
      <c r="AG48" s="58"/>
      <c r="AH48" s="16" t="e">
        <f ca="1">IF($A48&lt;&gt;"",
IF(VLOOKUP($A48,貼り付け用!$A$1:$BA$300,COLUMN()/2+1,FALSE)=0,"",VLOOKUP($A48,貼り付け用!$A$1:$BA$300,COLUMN()/2+1,FALSE)),"")</f>
        <v>#N/A</v>
      </c>
      <c r="AI48" s="58"/>
      <c r="AJ48" s="16" t="e">
        <f ca="1">IF($A48&lt;&gt;"",
IF(VLOOKUP($A48,貼り付け用!$A$1:$BA$300,COLUMN()/2+1,FALSE)=0,"",VLOOKUP($A48,貼り付け用!$A$1:$BA$300,COLUMN()/2+1,FALSE)),"")</f>
        <v>#N/A</v>
      </c>
      <c r="AK48" s="58"/>
      <c r="AL48" s="16" t="e">
        <f ca="1">IF($A48&lt;&gt;"",
IF(VLOOKUP($A48,貼り付け用!$A$1:$BA$300,COLUMN()/2+1,FALSE)=0,"",VLOOKUP($A48,貼り付け用!$A$1:$BA$300,COLUMN()/2+1,FALSE)),"")</f>
        <v>#N/A</v>
      </c>
      <c r="AM48" s="210" t="e">
        <f ca="1">IF($A48&lt;&gt;"",
IF(VLOOKUP($A48,貼り付け用!$A$1:$BA$300,COLUMN()/2+2,FALSE)=0,"",VLOOKUP($A48,貼り付け用!$A$1:$BA$300,COLUMN()/2+2,FALSE)),"")</f>
        <v>#N/A</v>
      </c>
      <c r="AN48" s="210" t="e">
        <f ca="1">IF($A48&lt;&gt;"",
IF(VLOOKUP($A48,貼り付け用!$A$1:$BA$300,COLUMN()/2+3,FALSE)=0,"",VLOOKUP($A48,貼り付け用!$A$1:$BA$300,COLUMN()/2+3,FALSE)),"")</f>
        <v>#N/A</v>
      </c>
    </row>
    <row r="49" spans="1:40" x14ac:dyDescent="0.45">
      <c r="A49" s="8" t="e" cm="1">
        <f t="array" aca="1" ref="A49" ca="1">IF(OR(COUNTIF(A47,"*1000*"),COUNTIF(A47,"")),"",INDEX(貼り付け用!$A:$A,MATCH(A47,貼り付け用!$A:$A,0)+2,0))</f>
        <v>#N/A</v>
      </c>
      <c r="B49" s="46" t="e">
        <f ca="1">IF($A49&lt;&gt;"",
IF(VLOOKUP($A49,貼り付け用!$A$1:$BA$300,COLUMN()/2+1,FALSE)=0,"",VLOOKUP($A49,貼り付け用!$A$1:$BA$300,COLUMN()/2+1,FALSE)),"")</f>
        <v>#N/A</v>
      </c>
      <c r="C49" s="46"/>
      <c r="D49" s="46" t="e">
        <f ca="1">IF($A49&lt;&gt;"",
IF(VLOOKUP($A49,貼り付け用!$A$1:$BA$300,COLUMN()/2+1,FALSE)=0,"",VLOOKUP($A49,貼り付け用!$A$1:$BA$300,COLUMN()/2+1,FALSE)),"")</f>
        <v>#N/A</v>
      </c>
      <c r="E49" s="46"/>
      <c r="F49" s="46" t="e">
        <f ca="1">IF($A49&lt;&gt;"",
IF(VLOOKUP($A49,貼り付け用!$A$1:$BA$300,COLUMN()/2+1,FALSE)=0,"",VLOOKUP($A49,貼り付け用!$A$1:$BA$300,COLUMN()/2+1,FALSE)),"")</f>
        <v>#N/A</v>
      </c>
      <c r="G49" s="46"/>
      <c r="H49" s="46" t="e">
        <f ca="1">IF($A49&lt;&gt;"",
IF(VLOOKUP($A49,貼り付け用!$A$1:$BA$300,COLUMN()/2+1,FALSE)=0,"",VLOOKUP($A49,貼り付け用!$A$1:$BA$300,COLUMN()/2+1,FALSE)),"")</f>
        <v>#N/A</v>
      </c>
      <c r="I49" s="46"/>
      <c r="J49" s="46" t="e">
        <f ca="1">IF($A49&lt;&gt;"",
IF(VLOOKUP($A49,貼り付け用!$A$1:$BA$300,COLUMN()/2+1,FALSE)=0,"",VLOOKUP($A49,貼り付け用!$A$1:$BA$300,COLUMN()/2+1,FALSE)),"")</f>
        <v>#N/A</v>
      </c>
      <c r="K49" s="46"/>
      <c r="L49" s="46" t="e">
        <f ca="1">IF($A49&lt;&gt;"",
IF(VLOOKUP($A49,貼り付け用!$A$1:$BA$300,COLUMN()/2+1,FALSE)=0,"",VLOOKUP($A49,貼り付け用!$A$1:$BA$300,COLUMN()/2+1,FALSE)),"")</f>
        <v>#N/A</v>
      </c>
      <c r="M49" s="46"/>
      <c r="N49" s="46" t="e">
        <f ca="1">IF($A49&lt;&gt;"",
IF(VLOOKUP($A49,貼り付け用!$A$1:$BA$300,COLUMN()/2+1,FALSE)=0,"",VLOOKUP($A49,貼り付け用!$A$1:$BA$300,COLUMN()/2+1,FALSE)),"")</f>
        <v>#N/A</v>
      </c>
      <c r="O49" s="46"/>
      <c r="P49" s="46" t="e">
        <f ca="1">IF($A49&lt;&gt;"",
IF(VLOOKUP($A49,貼り付け用!$A$1:$BA$300,COLUMN()/2+1,FALSE)=0,"",VLOOKUP($A49,貼り付け用!$A$1:$BA$300,COLUMN()/2+1,FALSE)),"")</f>
        <v>#N/A</v>
      </c>
      <c r="Q49" s="46"/>
      <c r="R49" s="46" t="e">
        <f ca="1">IF($A49&lt;&gt;"",
IF(VLOOKUP($A49,貼り付け用!$A$1:$BA$300,COLUMN()/2+1,FALSE)=0,"",VLOOKUP($A49,貼り付け用!$A$1:$BA$300,COLUMN()/2+1,FALSE)),"")</f>
        <v>#N/A</v>
      </c>
      <c r="S49" s="46"/>
      <c r="T49" s="46" t="e">
        <f ca="1">IF($A49&lt;&gt;"",
IF(VLOOKUP($A49,貼り付け用!$A$1:$BA$300,COLUMN()/2+1,FALSE)=0,"",VLOOKUP($A49,貼り付け用!$A$1:$BA$300,COLUMN()/2+1,FALSE)),"")</f>
        <v>#N/A</v>
      </c>
      <c r="U49" s="46"/>
      <c r="V49" s="46" t="e">
        <f ca="1">IF($A49&lt;&gt;"",
IF(VLOOKUP($A49,貼り付け用!$A$1:$BA$300,COLUMN()/2+1,FALSE)=0,"",VLOOKUP($A49,貼り付け用!$A$1:$BA$300,COLUMN()/2+1,FALSE)),"")</f>
        <v>#N/A</v>
      </c>
      <c r="W49" s="46"/>
      <c r="X49" s="46" t="e">
        <f ca="1">IF($A49&lt;&gt;"",
IF(VLOOKUP($A49,貼り付け用!$A$1:$BA$300,COLUMN()/2+1,FALSE)=0,"",VLOOKUP($A49,貼り付け用!$A$1:$BA$300,COLUMN()/2+1,FALSE)),"")</f>
        <v>#N/A</v>
      </c>
      <c r="Y49" s="46"/>
      <c r="Z49" s="46" t="e">
        <f ca="1">IF($A49&lt;&gt;"",
IF(VLOOKUP($A49,貼り付け用!$A$1:$BA$300,COLUMN()/2+1,FALSE)=0,"",VLOOKUP($A49,貼り付け用!$A$1:$BA$300,COLUMN()/2+1,FALSE)),"")</f>
        <v>#N/A</v>
      </c>
      <c r="AA49" s="46"/>
      <c r="AB49" s="46" t="e">
        <f ca="1">IF($A49&lt;&gt;"",
IF(VLOOKUP($A49,貼り付け用!$A$1:$BA$300,COLUMN()/2+1,FALSE)=0,"",VLOOKUP($A49,貼り付け用!$A$1:$BA$300,COLUMN()/2+1,FALSE)),"")</f>
        <v>#N/A</v>
      </c>
      <c r="AC49" s="46"/>
      <c r="AD49" s="46" t="e">
        <f ca="1">IF($A49&lt;&gt;"",
IF(VLOOKUP($A49,貼り付け用!$A$1:$BA$300,COLUMN()/2+1,FALSE)=0,"",VLOOKUP($A49,貼り付け用!$A$1:$BA$300,COLUMN()/2+1,FALSE)),"")</f>
        <v>#N/A</v>
      </c>
      <c r="AE49" s="46"/>
      <c r="AF49" s="46" t="e">
        <f ca="1">IF($A49&lt;&gt;"",
IF(VLOOKUP($A49,貼り付け用!$A$1:$BA$300,COLUMN()/2+1,FALSE)=0,"",VLOOKUP($A49,貼り付け用!$A$1:$BA$300,COLUMN()/2+1,FALSE)),"")</f>
        <v>#N/A</v>
      </c>
      <c r="AG49" s="46"/>
      <c r="AH49" s="46" t="e">
        <f ca="1">IF($A49&lt;&gt;"",
IF(VLOOKUP($A49,貼り付け用!$A$1:$BA$300,COLUMN()/2+1,FALSE)=0,"",VLOOKUP($A49,貼り付け用!$A$1:$BA$300,COLUMN()/2+1,FALSE)),"")</f>
        <v>#N/A</v>
      </c>
      <c r="AI49" s="46"/>
      <c r="AJ49" s="46" t="e">
        <f ca="1">IF($A49&lt;&gt;"",
IF(VLOOKUP($A49,貼り付け用!$A$1:$BA$300,COLUMN()/2+1,FALSE)=0,"",VLOOKUP($A49,貼り付け用!$A$1:$BA$300,COLUMN()/2+1,FALSE)),"")</f>
        <v>#N/A</v>
      </c>
      <c r="AK49" s="46"/>
      <c r="AL49" s="46" t="e">
        <f ca="1">IF($A49&lt;&gt;"",
IF(VLOOKUP($A49,貼り付け用!$A$1:$BA$300,COLUMN()/2+1,FALSE)=0,"",VLOOKUP($A49,貼り付け用!$A$1:$BA$300,COLUMN()/2+1,FALSE)),"")</f>
        <v>#N/A</v>
      </c>
      <c r="AM49" s="211" t="e">
        <f ca="1">IF($A49&lt;&gt;"",
IF(VLOOKUP($A49,貼り付け用!$A$1:$BA$300,COLUMN()/2+2,FALSE)=0,"",VLOOKUP($A49,貼り付け用!$A$1:$BA$300,COLUMN()/2+2,FALSE)),"")</f>
        <v>#N/A</v>
      </c>
      <c r="AN49" s="211" t="e">
        <f ca="1">IF($A49&lt;&gt;"",
IF(VLOOKUP($A49,貼り付け用!$A$1:$BA$300,COLUMN()/2+3,FALSE)=0,"",VLOOKUP($A49,貼り付け用!$A$1:$BA$300,COLUMN()/2+3,FALSE)),"")</f>
        <v>#N/A</v>
      </c>
    </row>
    <row r="50" spans="1:40" x14ac:dyDescent="0.45">
      <c r="A50" s="5" t="e" cm="1">
        <f t="array" aca="1" ref="A50" ca="1">IF(OR(COUNTIF(A48,"*合計*"),COUNTIF(A48,"")),"",INDEX(貼り付け用!$A:$A,MATCH(A48,貼り付け用!$A:$A,0)+2,0))</f>
        <v>#N/A</v>
      </c>
      <c r="B50" s="16" t="e">
        <f ca="1">IF($A50&lt;&gt;"",
IF(VLOOKUP($A50,貼り付け用!$A$1:$BA$300,COLUMN()/2+1,FALSE)=0,"",VLOOKUP($A50,貼り付け用!$A$1:$BA$300,COLUMN()/2+1,FALSE)),"")</f>
        <v>#N/A</v>
      </c>
      <c r="C50" s="58"/>
      <c r="D50" s="16" t="e">
        <f ca="1">IF($A50&lt;&gt;"",
IF(VLOOKUP($A50,貼り付け用!$A$1:$BA$300,COLUMN()/2+1,FALSE)=0,"",VLOOKUP($A50,貼り付け用!$A$1:$BA$300,COLUMN()/2+1,FALSE)),"")</f>
        <v>#N/A</v>
      </c>
      <c r="E50" s="58"/>
      <c r="F50" s="16" t="e">
        <f ca="1">IF($A50&lt;&gt;"",
IF(VLOOKUP($A50,貼り付け用!$A$1:$BA$300,COLUMN()/2+1,FALSE)=0,"",VLOOKUP($A50,貼り付け用!$A$1:$BA$300,COLUMN()/2+1,FALSE)),"")</f>
        <v>#N/A</v>
      </c>
      <c r="G50" s="58"/>
      <c r="H50" s="16" t="e">
        <f ca="1">IF($A50&lt;&gt;"",
IF(VLOOKUP($A50,貼り付け用!$A$1:$BA$300,COLUMN()/2+1,FALSE)=0,"",VLOOKUP($A50,貼り付け用!$A$1:$BA$300,COLUMN()/2+1,FALSE)),"")</f>
        <v>#N/A</v>
      </c>
      <c r="I50" s="58"/>
      <c r="J50" s="16" t="e">
        <f ca="1">IF($A50&lt;&gt;"",
IF(VLOOKUP($A50,貼り付け用!$A$1:$BA$300,COLUMN()/2+1,FALSE)=0,"",VLOOKUP($A50,貼り付け用!$A$1:$BA$300,COLUMN()/2+1,FALSE)),"")</f>
        <v>#N/A</v>
      </c>
      <c r="K50" s="58"/>
      <c r="L50" s="16" t="e">
        <f ca="1">IF($A50&lt;&gt;"",
IF(VLOOKUP($A50,貼り付け用!$A$1:$BA$300,COLUMN()/2+1,FALSE)=0,"",VLOOKUP($A50,貼り付け用!$A$1:$BA$300,COLUMN()/2+1,FALSE)),"")</f>
        <v>#N/A</v>
      </c>
      <c r="M50" s="58"/>
      <c r="N50" s="16" t="e">
        <f ca="1">IF($A50&lt;&gt;"",
IF(VLOOKUP($A50,貼り付け用!$A$1:$BA$300,COLUMN()/2+1,FALSE)=0,"",VLOOKUP($A50,貼り付け用!$A$1:$BA$300,COLUMN()/2+1,FALSE)),"")</f>
        <v>#N/A</v>
      </c>
      <c r="O50" s="58"/>
      <c r="P50" s="16" t="e">
        <f ca="1">IF($A50&lt;&gt;"",
IF(VLOOKUP($A50,貼り付け用!$A$1:$BA$300,COLUMN()/2+1,FALSE)=0,"",VLOOKUP($A50,貼り付け用!$A$1:$BA$300,COLUMN()/2+1,FALSE)),"")</f>
        <v>#N/A</v>
      </c>
      <c r="Q50" s="58"/>
      <c r="R50" s="16" t="e">
        <f ca="1">IF($A50&lt;&gt;"",
IF(VLOOKUP($A50,貼り付け用!$A$1:$BA$300,COLUMN()/2+1,FALSE)=0,"",VLOOKUP($A50,貼り付け用!$A$1:$BA$300,COLUMN()/2+1,FALSE)),"")</f>
        <v>#N/A</v>
      </c>
      <c r="S50" s="58"/>
      <c r="T50" s="16" t="e">
        <f ca="1">IF($A50&lt;&gt;"",
IF(VLOOKUP($A50,貼り付け用!$A$1:$BA$300,COLUMN()/2+1,FALSE)=0,"",VLOOKUP($A50,貼り付け用!$A$1:$BA$300,COLUMN()/2+1,FALSE)),"")</f>
        <v>#N/A</v>
      </c>
      <c r="U50" s="58"/>
      <c r="V50" s="16" t="e">
        <f ca="1">IF($A50&lt;&gt;"",
IF(VLOOKUP($A50,貼り付け用!$A$1:$BA$300,COLUMN()/2+1,FALSE)=0,"",VLOOKUP($A50,貼り付け用!$A$1:$BA$300,COLUMN()/2+1,FALSE)),"")</f>
        <v>#N/A</v>
      </c>
      <c r="W50" s="58"/>
      <c r="X50" s="16" t="e">
        <f ca="1">IF($A50&lt;&gt;"",
IF(VLOOKUP($A50,貼り付け用!$A$1:$BA$300,COLUMN()/2+1,FALSE)=0,"",VLOOKUP($A50,貼り付け用!$A$1:$BA$300,COLUMN()/2+1,FALSE)),"")</f>
        <v>#N/A</v>
      </c>
      <c r="Y50" s="58"/>
      <c r="Z50" s="16" t="e">
        <f ca="1">IF($A50&lt;&gt;"",
IF(VLOOKUP($A50,貼り付け用!$A$1:$BA$300,COLUMN()/2+1,FALSE)=0,"",VLOOKUP($A50,貼り付け用!$A$1:$BA$300,COLUMN()/2+1,FALSE)),"")</f>
        <v>#N/A</v>
      </c>
      <c r="AA50" s="58"/>
      <c r="AB50" s="16" t="e">
        <f ca="1">IF($A50&lt;&gt;"",
IF(VLOOKUP($A50,貼り付け用!$A$1:$BA$300,COLUMN()/2+1,FALSE)=0,"",VLOOKUP($A50,貼り付け用!$A$1:$BA$300,COLUMN()/2+1,FALSE)),"")</f>
        <v>#N/A</v>
      </c>
      <c r="AC50" s="58"/>
      <c r="AD50" s="16" t="e">
        <f ca="1">IF($A50&lt;&gt;"",
IF(VLOOKUP($A50,貼り付け用!$A$1:$BA$300,COLUMN()/2+1,FALSE)=0,"",VLOOKUP($A50,貼り付け用!$A$1:$BA$300,COLUMN()/2+1,FALSE)),"")</f>
        <v>#N/A</v>
      </c>
      <c r="AE50" s="58"/>
      <c r="AF50" s="16" t="e">
        <f ca="1">IF($A50&lt;&gt;"",
IF(VLOOKUP($A50,貼り付け用!$A$1:$BA$300,COLUMN()/2+1,FALSE)=0,"",VLOOKUP($A50,貼り付け用!$A$1:$BA$300,COLUMN()/2+1,FALSE)),"")</f>
        <v>#N/A</v>
      </c>
      <c r="AG50" s="58"/>
      <c r="AH50" s="16" t="e">
        <f ca="1">IF($A50&lt;&gt;"",
IF(VLOOKUP($A50,貼り付け用!$A$1:$BA$300,COLUMN()/2+1,FALSE)=0,"",VLOOKUP($A50,貼り付け用!$A$1:$BA$300,COLUMN()/2+1,FALSE)),"")</f>
        <v>#N/A</v>
      </c>
      <c r="AI50" s="58"/>
      <c r="AJ50" s="16" t="e">
        <f ca="1">IF($A50&lt;&gt;"",
IF(VLOOKUP($A50,貼り付け用!$A$1:$BA$300,COLUMN()/2+1,FALSE)=0,"",VLOOKUP($A50,貼り付け用!$A$1:$BA$300,COLUMN()/2+1,FALSE)),"")</f>
        <v>#N/A</v>
      </c>
      <c r="AK50" s="58"/>
      <c r="AL50" s="16" t="e">
        <f ca="1">IF($A50&lt;&gt;"",
IF(VLOOKUP($A50,貼り付け用!$A$1:$BA$300,COLUMN()/2+1,FALSE)=0,"",VLOOKUP($A50,貼り付け用!$A$1:$BA$300,COLUMN()/2+1,FALSE)),"")</f>
        <v>#N/A</v>
      </c>
      <c r="AM50" s="210" t="e">
        <f ca="1">IF($A50&lt;&gt;"",
IF(VLOOKUP($A50,貼り付け用!$A$1:$BA$300,COLUMN()/2+2,FALSE)=0,"",VLOOKUP($A50,貼り付け用!$A$1:$BA$300,COLUMN()/2+2,FALSE)),"")</f>
        <v>#N/A</v>
      </c>
      <c r="AN50" s="210" t="e">
        <f ca="1">IF($A50&lt;&gt;"",
IF(VLOOKUP($A50,貼り付け用!$A$1:$BA$300,COLUMN()/2+3,FALSE)=0,"",VLOOKUP($A50,貼り付け用!$A$1:$BA$300,COLUMN()/2+3,FALSE)),"")</f>
        <v>#N/A</v>
      </c>
    </row>
    <row r="51" spans="1:40" x14ac:dyDescent="0.45">
      <c r="A51" s="8" t="e" cm="1">
        <f t="array" aca="1" ref="A51" ca="1">IF(OR(COUNTIF(A49,"*1000*"),COUNTIF(A49,"")),"",INDEX(貼り付け用!$A:$A,MATCH(A49,貼り付け用!$A:$A,0)+2,0))</f>
        <v>#N/A</v>
      </c>
      <c r="B51" s="46" t="e">
        <f ca="1">IF($A51&lt;&gt;"",
IF(VLOOKUP($A51,貼り付け用!$A$1:$BA$300,COLUMN()/2+1,FALSE)=0,"",VLOOKUP($A51,貼り付け用!$A$1:$BA$300,COLUMN()/2+1,FALSE)),"")</f>
        <v>#N/A</v>
      </c>
      <c r="C51" s="46"/>
      <c r="D51" s="46" t="e">
        <f ca="1">IF($A51&lt;&gt;"",
IF(VLOOKUP($A51,貼り付け用!$A$1:$BA$300,COLUMN()/2+1,FALSE)=0,"",VLOOKUP($A51,貼り付け用!$A$1:$BA$300,COLUMN()/2+1,FALSE)),"")</f>
        <v>#N/A</v>
      </c>
      <c r="E51" s="46"/>
      <c r="F51" s="46" t="e">
        <f ca="1">IF($A51&lt;&gt;"",
IF(VLOOKUP($A51,貼り付け用!$A$1:$BA$300,COLUMN()/2+1,FALSE)=0,"",VLOOKUP($A51,貼り付け用!$A$1:$BA$300,COLUMN()/2+1,FALSE)),"")</f>
        <v>#N/A</v>
      </c>
      <c r="G51" s="46"/>
      <c r="H51" s="46" t="e">
        <f ca="1">IF($A51&lt;&gt;"",
IF(VLOOKUP($A51,貼り付け用!$A$1:$BA$300,COLUMN()/2+1,FALSE)=0,"",VLOOKUP($A51,貼り付け用!$A$1:$BA$300,COLUMN()/2+1,FALSE)),"")</f>
        <v>#N/A</v>
      </c>
      <c r="I51" s="46"/>
      <c r="J51" s="46" t="e">
        <f ca="1">IF($A51&lt;&gt;"",
IF(VLOOKUP($A51,貼り付け用!$A$1:$BA$300,COLUMN()/2+1,FALSE)=0,"",VLOOKUP($A51,貼り付け用!$A$1:$BA$300,COLUMN()/2+1,FALSE)),"")</f>
        <v>#N/A</v>
      </c>
      <c r="K51" s="46"/>
      <c r="L51" s="46" t="e">
        <f ca="1">IF($A51&lt;&gt;"",
IF(VLOOKUP($A51,貼り付け用!$A$1:$BA$300,COLUMN()/2+1,FALSE)=0,"",VLOOKUP($A51,貼り付け用!$A$1:$BA$300,COLUMN()/2+1,FALSE)),"")</f>
        <v>#N/A</v>
      </c>
      <c r="M51" s="46"/>
      <c r="N51" s="46" t="e">
        <f ca="1">IF($A51&lt;&gt;"",
IF(VLOOKUP($A51,貼り付け用!$A$1:$BA$300,COLUMN()/2+1,FALSE)=0,"",VLOOKUP($A51,貼り付け用!$A$1:$BA$300,COLUMN()/2+1,FALSE)),"")</f>
        <v>#N/A</v>
      </c>
      <c r="O51" s="46"/>
      <c r="P51" s="46" t="e">
        <f ca="1">IF($A51&lt;&gt;"",
IF(VLOOKUP($A51,貼り付け用!$A$1:$BA$300,COLUMN()/2+1,FALSE)=0,"",VLOOKUP($A51,貼り付け用!$A$1:$BA$300,COLUMN()/2+1,FALSE)),"")</f>
        <v>#N/A</v>
      </c>
      <c r="Q51" s="46"/>
      <c r="R51" s="46" t="e">
        <f ca="1">IF($A51&lt;&gt;"",
IF(VLOOKUP($A51,貼り付け用!$A$1:$BA$300,COLUMN()/2+1,FALSE)=0,"",VLOOKUP($A51,貼り付け用!$A$1:$BA$300,COLUMN()/2+1,FALSE)),"")</f>
        <v>#N/A</v>
      </c>
      <c r="S51" s="46"/>
      <c r="T51" s="46" t="e">
        <f ca="1">IF($A51&lt;&gt;"",
IF(VLOOKUP($A51,貼り付け用!$A$1:$BA$300,COLUMN()/2+1,FALSE)=0,"",VLOOKUP($A51,貼り付け用!$A$1:$BA$300,COLUMN()/2+1,FALSE)),"")</f>
        <v>#N/A</v>
      </c>
      <c r="U51" s="46"/>
      <c r="V51" s="46" t="e">
        <f ca="1">IF($A51&lt;&gt;"",
IF(VLOOKUP($A51,貼り付け用!$A$1:$BA$300,COLUMN()/2+1,FALSE)=0,"",VLOOKUP($A51,貼り付け用!$A$1:$BA$300,COLUMN()/2+1,FALSE)),"")</f>
        <v>#N/A</v>
      </c>
      <c r="W51" s="46"/>
      <c r="X51" s="46" t="e">
        <f ca="1">IF($A51&lt;&gt;"",
IF(VLOOKUP($A51,貼り付け用!$A$1:$BA$300,COLUMN()/2+1,FALSE)=0,"",VLOOKUP($A51,貼り付け用!$A$1:$BA$300,COLUMN()/2+1,FALSE)),"")</f>
        <v>#N/A</v>
      </c>
      <c r="Y51" s="46"/>
      <c r="Z51" s="46" t="e">
        <f ca="1">IF($A51&lt;&gt;"",
IF(VLOOKUP($A51,貼り付け用!$A$1:$BA$300,COLUMN()/2+1,FALSE)=0,"",VLOOKUP($A51,貼り付け用!$A$1:$BA$300,COLUMN()/2+1,FALSE)),"")</f>
        <v>#N/A</v>
      </c>
      <c r="AA51" s="46"/>
      <c r="AB51" s="46" t="e">
        <f ca="1">IF($A51&lt;&gt;"",
IF(VLOOKUP($A51,貼り付け用!$A$1:$BA$300,COLUMN()/2+1,FALSE)=0,"",VLOOKUP($A51,貼り付け用!$A$1:$BA$300,COLUMN()/2+1,FALSE)),"")</f>
        <v>#N/A</v>
      </c>
      <c r="AC51" s="46"/>
      <c r="AD51" s="46" t="e">
        <f ca="1">IF($A51&lt;&gt;"",
IF(VLOOKUP($A51,貼り付け用!$A$1:$BA$300,COLUMN()/2+1,FALSE)=0,"",VLOOKUP($A51,貼り付け用!$A$1:$BA$300,COLUMN()/2+1,FALSE)),"")</f>
        <v>#N/A</v>
      </c>
      <c r="AE51" s="46"/>
      <c r="AF51" s="46" t="e">
        <f ca="1">IF($A51&lt;&gt;"",
IF(VLOOKUP($A51,貼り付け用!$A$1:$BA$300,COLUMN()/2+1,FALSE)=0,"",VLOOKUP($A51,貼り付け用!$A$1:$BA$300,COLUMN()/2+1,FALSE)),"")</f>
        <v>#N/A</v>
      </c>
      <c r="AG51" s="46"/>
      <c r="AH51" s="46" t="e">
        <f ca="1">IF($A51&lt;&gt;"",
IF(VLOOKUP($A51,貼り付け用!$A$1:$BA$300,COLUMN()/2+1,FALSE)=0,"",VLOOKUP($A51,貼り付け用!$A$1:$BA$300,COLUMN()/2+1,FALSE)),"")</f>
        <v>#N/A</v>
      </c>
      <c r="AI51" s="46"/>
      <c r="AJ51" s="46" t="e">
        <f ca="1">IF($A51&lt;&gt;"",
IF(VLOOKUP($A51,貼り付け用!$A$1:$BA$300,COLUMN()/2+1,FALSE)=0,"",VLOOKUP($A51,貼り付け用!$A$1:$BA$300,COLUMN()/2+1,FALSE)),"")</f>
        <v>#N/A</v>
      </c>
      <c r="AK51" s="46"/>
      <c r="AL51" s="46" t="e">
        <f ca="1">IF($A51&lt;&gt;"",
IF(VLOOKUP($A51,貼り付け用!$A$1:$BA$300,COLUMN()/2+1,FALSE)=0,"",VLOOKUP($A51,貼り付け用!$A$1:$BA$300,COLUMN()/2+1,FALSE)),"")</f>
        <v>#N/A</v>
      </c>
      <c r="AM51" s="211" t="e">
        <f ca="1">IF($A51&lt;&gt;"",
IF(VLOOKUP($A51,貼り付け用!$A$1:$BA$300,COLUMN()/2+2,FALSE)=0,"",VLOOKUP($A51,貼り付け用!$A$1:$BA$300,COLUMN()/2+2,FALSE)),"")</f>
        <v>#N/A</v>
      </c>
      <c r="AN51" s="211" t="e">
        <f ca="1">IF($A51&lt;&gt;"",
IF(VLOOKUP($A51,貼り付け用!$A$1:$BA$300,COLUMN()/2+3,FALSE)=0,"",VLOOKUP($A51,貼り付け用!$A$1:$BA$300,COLUMN()/2+3,FALSE)),"")</f>
        <v>#N/A</v>
      </c>
    </row>
    <row r="52" spans="1:40" x14ac:dyDescent="0.45">
      <c r="A52" s="5" t="e" cm="1">
        <f t="array" aca="1" ref="A52" ca="1">IF(OR(COUNTIF(A50,"*合計*"),COUNTIF(A50,"")),"",INDEX(貼り付け用!$A:$A,MATCH(A50,貼り付け用!$A:$A,0)+2,0))</f>
        <v>#N/A</v>
      </c>
      <c r="B52" s="16" t="e">
        <f ca="1">IF($A52&lt;&gt;"",
IF(VLOOKUP($A52,貼り付け用!$A$1:$BA$300,COLUMN()/2+1,FALSE)=0,"",VLOOKUP($A52,貼り付け用!$A$1:$BA$300,COLUMN()/2+1,FALSE)),"")</f>
        <v>#N/A</v>
      </c>
      <c r="C52" s="58"/>
      <c r="D52" s="16" t="e">
        <f ca="1">IF($A52&lt;&gt;"",
IF(VLOOKUP($A52,貼り付け用!$A$1:$BA$300,COLUMN()/2+1,FALSE)=0,"",VLOOKUP($A52,貼り付け用!$A$1:$BA$300,COLUMN()/2+1,FALSE)),"")</f>
        <v>#N/A</v>
      </c>
      <c r="E52" s="58"/>
      <c r="F52" s="16" t="e">
        <f ca="1">IF($A52&lt;&gt;"",
IF(VLOOKUP($A52,貼り付け用!$A$1:$BA$300,COLUMN()/2+1,FALSE)=0,"",VLOOKUP($A52,貼り付け用!$A$1:$BA$300,COLUMN()/2+1,FALSE)),"")</f>
        <v>#N/A</v>
      </c>
      <c r="G52" s="58"/>
      <c r="H52" s="16" t="e">
        <f ca="1">IF($A52&lt;&gt;"",
IF(VLOOKUP($A52,貼り付け用!$A$1:$BA$300,COLUMN()/2+1,FALSE)=0,"",VLOOKUP($A52,貼り付け用!$A$1:$BA$300,COLUMN()/2+1,FALSE)),"")</f>
        <v>#N/A</v>
      </c>
      <c r="I52" s="58"/>
      <c r="J52" s="16" t="e">
        <f ca="1">IF($A52&lt;&gt;"",
IF(VLOOKUP($A52,貼り付け用!$A$1:$BA$300,COLUMN()/2+1,FALSE)=0,"",VLOOKUP($A52,貼り付け用!$A$1:$BA$300,COLUMN()/2+1,FALSE)),"")</f>
        <v>#N/A</v>
      </c>
      <c r="K52" s="58"/>
      <c r="L52" s="16" t="e">
        <f ca="1">IF($A52&lt;&gt;"",
IF(VLOOKUP($A52,貼り付け用!$A$1:$BA$300,COLUMN()/2+1,FALSE)=0,"",VLOOKUP($A52,貼り付け用!$A$1:$BA$300,COLUMN()/2+1,FALSE)),"")</f>
        <v>#N/A</v>
      </c>
      <c r="M52" s="58"/>
      <c r="N52" s="16" t="e">
        <f ca="1">IF($A52&lt;&gt;"",
IF(VLOOKUP($A52,貼り付け用!$A$1:$BA$300,COLUMN()/2+1,FALSE)=0,"",VLOOKUP($A52,貼り付け用!$A$1:$BA$300,COLUMN()/2+1,FALSE)),"")</f>
        <v>#N/A</v>
      </c>
      <c r="O52" s="58"/>
      <c r="P52" s="16" t="e">
        <f ca="1">IF($A52&lt;&gt;"",
IF(VLOOKUP($A52,貼り付け用!$A$1:$BA$300,COLUMN()/2+1,FALSE)=0,"",VLOOKUP($A52,貼り付け用!$A$1:$BA$300,COLUMN()/2+1,FALSE)),"")</f>
        <v>#N/A</v>
      </c>
      <c r="Q52" s="58"/>
      <c r="R52" s="16" t="e">
        <f ca="1">IF($A52&lt;&gt;"",
IF(VLOOKUP($A52,貼り付け用!$A$1:$BA$300,COLUMN()/2+1,FALSE)=0,"",VLOOKUP($A52,貼り付け用!$A$1:$BA$300,COLUMN()/2+1,FALSE)),"")</f>
        <v>#N/A</v>
      </c>
      <c r="S52" s="58"/>
      <c r="T52" s="16" t="e">
        <f ca="1">IF($A52&lt;&gt;"",
IF(VLOOKUP($A52,貼り付け用!$A$1:$BA$300,COLUMN()/2+1,FALSE)=0,"",VLOOKUP($A52,貼り付け用!$A$1:$BA$300,COLUMN()/2+1,FALSE)),"")</f>
        <v>#N/A</v>
      </c>
      <c r="U52" s="58"/>
      <c r="V52" s="16" t="e">
        <f ca="1">IF($A52&lt;&gt;"",
IF(VLOOKUP($A52,貼り付け用!$A$1:$BA$300,COLUMN()/2+1,FALSE)=0,"",VLOOKUP($A52,貼り付け用!$A$1:$BA$300,COLUMN()/2+1,FALSE)),"")</f>
        <v>#N/A</v>
      </c>
      <c r="W52" s="58"/>
      <c r="X52" s="16" t="e">
        <f ca="1">IF($A52&lt;&gt;"",
IF(VLOOKUP($A52,貼り付け用!$A$1:$BA$300,COLUMN()/2+1,FALSE)=0,"",VLOOKUP($A52,貼り付け用!$A$1:$BA$300,COLUMN()/2+1,FALSE)),"")</f>
        <v>#N/A</v>
      </c>
      <c r="Y52" s="58"/>
      <c r="Z52" s="16" t="e">
        <f ca="1">IF($A52&lt;&gt;"",
IF(VLOOKUP($A52,貼り付け用!$A$1:$BA$300,COLUMN()/2+1,FALSE)=0,"",VLOOKUP($A52,貼り付け用!$A$1:$BA$300,COLUMN()/2+1,FALSE)),"")</f>
        <v>#N/A</v>
      </c>
      <c r="AA52" s="58"/>
      <c r="AB52" s="16" t="e">
        <f ca="1">IF($A52&lt;&gt;"",
IF(VLOOKUP($A52,貼り付け用!$A$1:$BA$300,COLUMN()/2+1,FALSE)=0,"",VLOOKUP($A52,貼り付け用!$A$1:$BA$300,COLUMN()/2+1,FALSE)),"")</f>
        <v>#N/A</v>
      </c>
      <c r="AC52" s="58"/>
      <c r="AD52" s="16" t="e">
        <f ca="1">IF($A52&lt;&gt;"",
IF(VLOOKUP($A52,貼り付け用!$A$1:$BA$300,COLUMN()/2+1,FALSE)=0,"",VLOOKUP($A52,貼り付け用!$A$1:$BA$300,COLUMN()/2+1,FALSE)),"")</f>
        <v>#N/A</v>
      </c>
      <c r="AE52" s="58"/>
      <c r="AF52" s="16" t="e">
        <f ca="1">IF($A52&lt;&gt;"",
IF(VLOOKUP($A52,貼り付け用!$A$1:$BA$300,COLUMN()/2+1,FALSE)=0,"",VLOOKUP($A52,貼り付け用!$A$1:$BA$300,COLUMN()/2+1,FALSE)),"")</f>
        <v>#N/A</v>
      </c>
      <c r="AG52" s="58"/>
      <c r="AH52" s="16" t="e">
        <f ca="1">IF($A52&lt;&gt;"",
IF(VLOOKUP($A52,貼り付け用!$A$1:$BA$300,COLUMN()/2+1,FALSE)=0,"",VLOOKUP($A52,貼り付け用!$A$1:$BA$300,COLUMN()/2+1,FALSE)),"")</f>
        <v>#N/A</v>
      </c>
      <c r="AI52" s="58"/>
      <c r="AJ52" s="16" t="e">
        <f ca="1">IF($A52&lt;&gt;"",
IF(VLOOKUP($A52,貼り付け用!$A$1:$BA$300,COLUMN()/2+1,FALSE)=0,"",VLOOKUP($A52,貼り付け用!$A$1:$BA$300,COLUMN()/2+1,FALSE)),"")</f>
        <v>#N/A</v>
      </c>
      <c r="AK52" s="58"/>
      <c r="AL52" s="16" t="e">
        <f ca="1">IF($A52&lt;&gt;"",
IF(VLOOKUP($A52,貼り付け用!$A$1:$BA$300,COLUMN()/2+1,FALSE)=0,"",VLOOKUP($A52,貼り付け用!$A$1:$BA$300,COLUMN()/2+1,FALSE)),"")</f>
        <v>#N/A</v>
      </c>
      <c r="AM52" s="210" t="e">
        <f ca="1">IF($A52&lt;&gt;"",
IF(VLOOKUP($A52,貼り付け用!$A$1:$BA$300,COLUMN()/2+2,FALSE)=0,"",VLOOKUP($A52,貼り付け用!$A$1:$BA$300,COLUMN()/2+2,FALSE)),"")</f>
        <v>#N/A</v>
      </c>
      <c r="AN52" s="210" t="e">
        <f ca="1">IF($A52&lt;&gt;"",
IF(VLOOKUP($A52,貼り付け用!$A$1:$BA$300,COLUMN()/2+3,FALSE)=0,"",VLOOKUP($A52,貼り付け用!$A$1:$BA$300,COLUMN()/2+3,FALSE)),"")</f>
        <v>#N/A</v>
      </c>
    </row>
    <row r="53" spans="1:40" x14ac:dyDescent="0.45">
      <c r="A53" s="8" t="e" cm="1">
        <f t="array" aca="1" ref="A53" ca="1">IF(OR(COUNTIF(A51,"*1000*"),COUNTIF(A51,"")),"",INDEX(貼り付け用!$A:$A,MATCH(A51,貼り付け用!$A:$A,0)+2,0))</f>
        <v>#N/A</v>
      </c>
      <c r="B53" s="46" t="e">
        <f ca="1">IF($A53&lt;&gt;"",
IF(VLOOKUP($A53,貼り付け用!$A$1:$BA$300,COLUMN()/2+1,FALSE)=0,"",VLOOKUP($A53,貼り付け用!$A$1:$BA$300,COLUMN()/2+1,FALSE)),"")</f>
        <v>#N/A</v>
      </c>
      <c r="C53" s="46"/>
      <c r="D53" s="46" t="e">
        <f ca="1">IF($A53&lt;&gt;"",
IF(VLOOKUP($A53,貼り付け用!$A$1:$BA$300,COLUMN()/2+1,FALSE)=0,"",VLOOKUP($A53,貼り付け用!$A$1:$BA$300,COLUMN()/2+1,FALSE)),"")</f>
        <v>#N/A</v>
      </c>
      <c r="E53" s="46"/>
      <c r="F53" s="46" t="e">
        <f ca="1">IF($A53&lt;&gt;"",
IF(VLOOKUP($A53,貼り付け用!$A$1:$BA$300,COLUMN()/2+1,FALSE)=0,"",VLOOKUP($A53,貼り付け用!$A$1:$BA$300,COLUMN()/2+1,FALSE)),"")</f>
        <v>#N/A</v>
      </c>
      <c r="G53" s="46"/>
      <c r="H53" s="46" t="e">
        <f ca="1">IF($A53&lt;&gt;"",
IF(VLOOKUP($A53,貼り付け用!$A$1:$BA$300,COLUMN()/2+1,FALSE)=0,"",VLOOKUP($A53,貼り付け用!$A$1:$BA$300,COLUMN()/2+1,FALSE)),"")</f>
        <v>#N/A</v>
      </c>
      <c r="I53" s="46"/>
      <c r="J53" s="46" t="e">
        <f ca="1">IF($A53&lt;&gt;"",
IF(VLOOKUP($A53,貼り付け用!$A$1:$BA$300,COLUMN()/2+1,FALSE)=0,"",VLOOKUP($A53,貼り付け用!$A$1:$BA$300,COLUMN()/2+1,FALSE)),"")</f>
        <v>#N/A</v>
      </c>
      <c r="K53" s="46"/>
      <c r="L53" s="46" t="e">
        <f ca="1">IF($A53&lt;&gt;"",
IF(VLOOKUP($A53,貼り付け用!$A$1:$BA$300,COLUMN()/2+1,FALSE)=0,"",VLOOKUP($A53,貼り付け用!$A$1:$BA$300,COLUMN()/2+1,FALSE)),"")</f>
        <v>#N/A</v>
      </c>
      <c r="M53" s="46"/>
      <c r="N53" s="46" t="e">
        <f ca="1">IF($A53&lt;&gt;"",
IF(VLOOKUP($A53,貼り付け用!$A$1:$BA$300,COLUMN()/2+1,FALSE)=0,"",VLOOKUP($A53,貼り付け用!$A$1:$BA$300,COLUMN()/2+1,FALSE)),"")</f>
        <v>#N/A</v>
      </c>
      <c r="O53" s="46"/>
      <c r="P53" s="46" t="e">
        <f ca="1">IF($A53&lt;&gt;"",
IF(VLOOKUP($A53,貼り付け用!$A$1:$BA$300,COLUMN()/2+1,FALSE)=0,"",VLOOKUP($A53,貼り付け用!$A$1:$BA$300,COLUMN()/2+1,FALSE)),"")</f>
        <v>#N/A</v>
      </c>
      <c r="Q53" s="46"/>
      <c r="R53" s="46" t="e">
        <f ca="1">IF($A53&lt;&gt;"",
IF(VLOOKUP($A53,貼り付け用!$A$1:$BA$300,COLUMN()/2+1,FALSE)=0,"",VLOOKUP($A53,貼り付け用!$A$1:$BA$300,COLUMN()/2+1,FALSE)),"")</f>
        <v>#N/A</v>
      </c>
      <c r="S53" s="46"/>
      <c r="T53" s="46" t="e">
        <f ca="1">IF($A53&lt;&gt;"",
IF(VLOOKUP($A53,貼り付け用!$A$1:$BA$300,COLUMN()/2+1,FALSE)=0,"",VLOOKUP($A53,貼り付け用!$A$1:$BA$300,COLUMN()/2+1,FALSE)),"")</f>
        <v>#N/A</v>
      </c>
      <c r="U53" s="46"/>
      <c r="V53" s="46" t="e">
        <f ca="1">IF($A53&lt;&gt;"",
IF(VLOOKUP($A53,貼り付け用!$A$1:$BA$300,COLUMN()/2+1,FALSE)=0,"",VLOOKUP($A53,貼り付け用!$A$1:$BA$300,COLUMN()/2+1,FALSE)),"")</f>
        <v>#N/A</v>
      </c>
      <c r="W53" s="46"/>
      <c r="X53" s="46" t="e">
        <f ca="1">IF($A53&lt;&gt;"",
IF(VLOOKUP($A53,貼り付け用!$A$1:$BA$300,COLUMN()/2+1,FALSE)=0,"",VLOOKUP($A53,貼り付け用!$A$1:$BA$300,COLUMN()/2+1,FALSE)),"")</f>
        <v>#N/A</v>
      </c>
      <c r="Y53" s="46"/>
      <c r="Z53" s="46" t="e">
        <f ca="1">IF($A53&lt;&gt;"",
IF(VLOOKUP($A53,貼り付け用!$A$1:$BA$300,COLUMN()/2+1,FALSE)=0,"",VLOOKUP($A53,貼り付け用!$A$1:$BA$300,COLUMN()/2+1,FALSE)),"")</f>
        <v>#N/A</v>
      </c>
      <c r="AA53" s="46"/>
      <c r="AB53" s="46" t="e">
        <f ca="1">IF($A53&lt;&gt;"",
IF(VLOOKUP($A53,貼り付け用!$A$1:$BA$300,COLUMN()/2+1,FALSE)=0,"",VLOOKUP($A53,貼り付け用!$A$1:$BA$300,COLUMN()/2+1,FALSE)),"")</f>
        <v>#N/A</v>
      </c>
      <c r="AC53" s="46"/>
      <c r="AD53" s="46" t="e">
        <f ca="1">IF($A53&lt;&gt;"",
IF(VLOOKUP($A53,貼り付け用!$A$1:$BA$300,COLUMN()/2+1,FALSE)=0,"",VLOOKUP($A53,貼り付け用!$A$1:$BA$300,COLUMN()/2+1,FALSE)),"")</f>
        <v>#N/A</v>
      </c>
      <c r="AE53" s="46"/>
      <c r="AF53" s="46" t="e">
        <f ca="1">IF($A53&lt;&gt;"",
IF(VLOOKUP($A53,貼り付け用!$A$1:$BA$300,COLUMN()/2+1,FALSE)=0,"",VLOOKUP($A53,貼り付け用!$A$1:$BA$300,COLUMN()/2+1,FALSE)),"")</f>
        <v>#N/A</v>
      </c>
      <c r="AG53" s="46"/>
      <c r="AH53" s="46" t="e">
        <f ca="1">IF($A53&lt;&gt;"",
IF(VLOOKUP($A53,貼り付け用!$A$1:$BA$300,COLUMN()/2+1,FALSE)=0,"",VLOOKUP($A53,貼り付け用!$A$1:$BA$300,COLUMN()/2+1,FALSE)),"")</f>
        <v>#N/A</v>
      </c>
      <c r="AI53" s="46"/>
      <c r="AJ53" s="46" t="e">
        <f ca="1">IF($A53&lt;&gt;"",
IF(VLOOKUP($A53,貼り付け用!$A$1:$BA$300,COLUMN()/2+1,FALSE)=0,"",VLOOKUP($A53,貼り付け用!$A$1:$BA$300,COLUMN()/2+1,FALSE)),"")</f>
        <v>#N/A</v>
      </c>
      <c r="AK53" s="46"/>
      <c r="AL53" s="46" t="e">
        <f ca="1">IF($A53&lt;&gt;"",
IF(VLOOKUP($A53,貼り付け用!$A$1:$BA$300,COLUMN()/2+1,FALSE)=0,"",VLOOKUP($A53,貼り付け用!$A$1:$BA$300,COLUMN()/2+1,FALSE)),"")</f>
        <v>#N/A</v>
      </c>
      <c r="AM53" s="211" t="e">
        <f ca="1">IF($A53&lt;&gt;"",
IF(VLOOKUP($A53,貼り付け用!$A$1:$BA$300,COLUMN()/2+2,FALSE)=0,"",VLOOKUP($A53,貼り付け用!$A$1:$BA$300,COLUMN()/2+2,FALSE)),"")</f>
        <v>#N/A</v>
      </c>
      <c r="AN53" s="211" t="e">
        <f ca="1">IF($A53&lt;&gt;"",
IF(VLOOKUP($A53,貼り付け用!$A$1:$BA$300,COLUMN()/2+3,FALSE)=0,"",VLOOKUP($A53,貼り付け用!$A$1:$BA$300,COLUMN()/2+3,FALSE)),"")</f>
        <v>#N/A</v>
      </c>
    </row>
    <row r="54" spans="1:40" x14ac:dyDescent="0.45">
      <c r="A54" s="5" t="e" cm="1">
        <f t="array" aca="1" ref="A54" ca="1">IF(OR(COUNTIF(A52,"*合計*"),COUNTIF(A52,"")),"",INDEX(貼り付け用!$A:$A,MATCH(A52,貼り付け用!$A:$A,0)+2,0))</f>
        <v>#N/A</v>
      </c>
      <c r="B54" s="16" t="e">
        <f ca="1">IF($A54&lt;&gt;"",
IF(VLOOKUP($A54,貼り付け用!$A$1:$BA$300,COLUMN()/2+1,FALSE)=0,"",VLOOKUP($A54,貼り付け用!$A$1:$BA$300,COLUMN()/2+1,FALSE)),"")</f>
        <v>#N/A</v>
      </c>
      <c r="C54" s="58"/>
      <c r="D54" s="16" t="e">
        <f ca="1">IF($A54&lt;&gt;"",
IF(VLOOKUP($A54,貼り付け用!$A$1:$BA$300,COLUMN()/2+1,FALSE)=0,"",VLOOKUP($A54,貼り付け用!$A$1:$BA$300,COLUMN()/2+1,FALSE)),"")</f>
        <v>#N/A</v>
      </c>
      <c r="E54" s="58"/>
      <c r="F54" s="16" t="e">
        <f ca="1">IF($A54&lt;&gt;"",
IF(VLOOKUP($A54,貼り付け用!$A$1:$BA$300,COLUMN()/2+1,FALSE)=0,"",VLOOKUP($A54,貼り付け用!$A$1:$BA$300,COLUMN()/2+1,FALSE)),"")</f>
        <v>#N/A</v>
      </c>
      <c r="G54" s="58"/>
      <c r="H54" s="16" t="e">
        <f ca="1">IF($A54&lt;&gt;"",
IF(VLOOKUP($A54,貼り付け用!$A$1:$BA$300,COLUMN()/2+1,FALSE)=0,"",VLOOKUP($A54,貼り付け用!$A$1:$BA$300,COLUMN()/2+1,FALSE)),"")</f>
        <v>#N/A</v>
      </c>
      <c r="I54" s="58"/>
      <c r="J54" s="16" t="e">
        <f ca="1">IF($A54&lt;&gt;"",
IF(VLOOKUP($A54,貼り付け用!$A$1:$BA$300,COLUMN()/2+1,FALSE)=0,"",VLOOKUP($A54,貼り付け用!$A$1:$BA$300,COLUMN()/2+1,FALSE)),"")</f>
        <v>#N/A</v>
      </c>
      <c r="K54" s="58"/>
      <c r="L54" s="16" t="e">
        <f ca="1">IF($A54&lt;&gt;"",
IF(VLOOKUP($A54,貼り付け用!$A$1:$BA$300,COLUMN()/2+1,FALSE)=0,"",VLOOKUP($A54,貼り付け用!$A$1:$BA$300,COLUMN()/2+1,FALSE)),"")</f>
        <v>#N/A</v>
      </c>
      <c r="M54" s="58"/>
      <c r="N54" s="16" t="e">
        <f ca="1">IF($A54&lt;&gt;"",
IF(VLOOKUP($A54,貼り付け用!$A$1:$BA$300,COLUMN()/2+1,FALSE)=0,"",VLOOKUP($A54,貼り付け用!$A$1:$BA$300,COLUMN()/2+1,FALSE)),"")</f>
        <v>#N/A</v>
      </c>
      <c r="O54" s="58"/>
      <c r="P54" s="16" t="e">
        <f ca="1">IF($A54&lt;&gt;"",
IF(VLOOKUP($A54,貼り付け用!$A$1:$BA$300,COLUMN()/2+1,FALSE)=0,"",VLOOKUP($A54,貼り付け用!$A$1:$BA$300,COLUMN()/2+1,FALSE)),"")</f>
        <v>#N/A</v>
      </c>
      <c r="Q54" s="58"/>
      <c r="R54" s="16" t="e">
        <f ca="1">IF($A54&lt;&gt;"",
IF(VLOOKUP($A54,貼り付け用!$A$1:$BA$300,COLUMN()/2+1,FALSE)=0,"",VLOOKUP($A54,貼り付け用!$A$1:$BA$300,COLUMN()/2+1,FALSE)),"")</f>
        <v>#N/A</v>
      </c>
      <c r="S54" s="58"/>
      <c r="T54" s="16" t="e">
        <f ca="1">IF($A54&lt;&gt;"",
IF(VLOOKUP($A54,貼り付け用!$A$1:$BA$300,COLUMN()/2+1,FALSE)=0,"",VLOOKUP($A54,貼り付け用!$A$1:$BA$300,COLUMN()/2+1,FALSE)),"")</f>
        <v>#N/A</v>
      </c>
      <c r="U54" s="58"/>
      <c r="V54" s="16" t="e">
        <f ca="1">IF($A54&lt;&gt;"",
IF(VLOOKUP($A54,貼り付け用!$A$1:$BA$300,COLUMN()/2+1,FALSE)=0,"",VLOOKUP($A54,貼り付け用!$A$1:$BA$300,COLUMN()/2+1,FALSE)),"")</f>
        <v>#N/A</v>
      </c>
      <c r="W54" s="58"/>
      <c r="X54" s="16" t="e">
        <f ca="1">IF($A54&lt;&gt;"",
IF(VLOOKUP($A54,貼り付け用!$A$1:$BA$300,COLUMN()/2+1,FALSE)=0,"",VLOOKUP($A54,貼り付け用!$A$1:$BA$300,COLUMN()/2+1,FALSE)),"")</f>
        <v>#N/A</v>
      </c>
      <c r="Y54" s="58"/>
      <c r="Z54" s="16" t="e">
        <f ca="1">IF($A54&lt;&gt;"",
IF(VLOOKUP($A54,貼り付け用!$A$1:$BA$300,COLUMN()/2+1,FALSE)=0,"",VLOOKUP($A54,貼り付け用!$A$1:$BA$300,COLUMN()/2+1,FALSE)),"")</f>
        <v>#N/A</v>
      </c>
      <c r="AA54" s="58"/>
      <c r="AB54" s="16" t="e">
        <f ca="1">IF($A54&lt;&gt;"",
IF(VLOOKUP($A54,貼り付け用!$A$1:$BA$300,COLUMN()/2+1,FALSE)=0,"",VLOOKUP($A54,貼り付け用!$A$1:$BA$300,COLUMN()/2+1,FALSE)),"")</f>
        <v>#N/A</v>
      </c>
      <c r="AC54" s="58"/>
      <c r="AD54" s="16" t="e">
        <f ca="1">IF($A54&lt;&gt;"",
IF(VLOOKUP($A54,貼り付け用!$A$1:$BA$300,COLUMN()/2+1,FALSE)=0,"",VLOOKUP($A54,貼り付け用!$A$1:$BA$300,COLUMN()/2+1,FALSE)),"")</f>
        <v>#N/A</v>
      </c>
      <c r="AE54" s="58"/>
      <c r="AF54" s="16" t="e">
        <f ca="1">IF($A54&lt;&gt;"",
IF(VLOOKUP($A54,貼り付け用!$A$1:$BA$300,COLUMN()/2+1,FALSE)=0,"",VLOOKUP($A54,貼り付け用!$A$1:$BA$300,COLUMN()/2+1,FALSE)),"")</f>
        <v>#N/A</v>
      </c>
      <c r="AG54" s="58"/>
      <c r="AH54" s="16" t="e">
        <f ca="1">IF($A54&lt;&gt;"",
IF(VLOOKUP($A54,貼り付け用!$A$1:$BA$300,COLUMN()/2+1,FALSE)=0,"",VLOOKUP($A54,貼り付け用!$A$1:$BA$300,COLUMN()/2+1,FALSE)),"")</f>
        <v>#N/A</v>
      </c>
      <c r="AI54" s="58"/>
      <c r="AJ54" s="16" t="e">
        <f ca="1">IF($A54&lt;&gt;"",
IF(VLOOKUP($A54,貼り付け用!$A$1:$BA$300,COLUMN()/2+1,FALSE)=0,"",VLOOKUP($A54,貼り付け用!$A$1:$BA$300,COLUMN()/2+1,FALSE)),"")</f>
        <v>#N/A</v>
      </c>
      <c r="AK54" s="58"/>
      <c r="AL54" s="16" t="e">
        <f ca="1">IF($A54&lt;&gt;"",
IF(VLOOKUP($A54,貼り付け用!$A$1:$BA$300,COLUMN()/2+1,FALSE)=0,"",VLOOKUP($A54,貼り付け用!$A$1:$BA$300,COLUMN()/2+1,FALSE)),"")</f>
        <v>#N/A</v>
      </c>
      <c r="AM54" s="210" t="e">
        <f ca="1">IF($A54&lt;&gt;"",
IF(VLOOKUP($A54,貼り付け用!$A$1:$BA$300,COLUMN()/2+2,FALSE)=0,"",VLOOKUP($A54,貼り付け用!$A$1:$BA$300,COLUMN()/2+2,FALSE)),"")</f>
        <v>#N/A</v>
      </c>
      <c r="AN54" s="210" t="e">
        <f ca="1">IF($A54&lt;&gt;"",
IF(VLOOKUP($A54,貼り付け用!$A$1:$BA$300,COLUMN()/2+3,FALSE)=0,"",VLOOKUP($A54,貼り付け用!$A$1:$BA$300,COLUMN()/2+3,FALSE)),"")</f>
        <v>#N/A</v>
      </c>
    </row>
    <row r="55" spans="1:40" x14ac:dyDescent="0.45">
      <c r="A55" s="8" t="e" cm="1">
        <f t="array" aca="1" ref="A55" ca="1">IF(OR(COUNTIF(A53,"*1000*"),COUNTIF(A53,"")),"",INDEX(貼り付け用!$A:$A,MATCH(A53,貼り付け用!$A:$A,0)+2,0))</f>
        <v>#N/A</v>
      </c>
      <c r="B55" s="46" t="e">
        <f ca="1">IF($A55&lt;&gt;"",
IF(VLOOKUP($A55,貼り付け用!$A$1:$BA$300,COLUMN()/2+1,FALSE)=0,"",VLOOKUP($A55,貼り付け用!$A$1:$BA$300,COLUMN()/2+1,FALSE)),"")</f>
        <v>#N/A</v>
      </c>
      <c r="C55" s="46"/>
      <c r="D55" s="46" t="e">
        <f ca="1">IF($A55&lt;&gt;"",
IF(VLOOKUP($A55,貼り付け用!$A$1:$BA$300,COLUMN()/2+1,FALSE)=0,"",VLOOKUP($A55,貼り付け用!$A$1:$BA$300,COLUMN()/2+1,FALSE)),"")</f>
        <v>#N/A</v>
      </c>
      <c r="E55" s="46"/>
      <c r="F55" s="46" t="e">
        <f ca="1">IF($A55&lt;&gt;"",
IF(VLOOKUP($A55,貼り付け用!$A$1:$BA$300,COLUMN()/2+1,FALSE)=0,"",VLOOKUP($A55,貼り付け用!$A$1:$BA$300,COLUMN()/2+1,FALSE)),"")</f>
        <v>#N/A</v>
      </c>
      <c r="G55" s="46"/>
      <c r="H55" s="46" t="e">
        <f ca="1">IF($A55&lt;&gt;"",
IF(VLOOKUP($A55,貼り付け用!$A$1:$BA$300,COLUMN()/2+1,FALSE)=0,"",VLOOKUP($A55,貼り付け用!$A$1:$BA$300,COLUMN()/2+1,FALSE)),"")</f>
        <v>#N/A</v>
      </c>
      <c r="I55" s="46"/>
      <c r="J55" s="46" t="e">
        <f ca="1">IF($A55&lt;&gt;"",
IF(VLOOKUP($A55,貼り付け用!$A$1:$BA$300,COLUMN()/2+1,FALSE)=0,"",VLOOKUP($A55,貼り付け用!$A$1:$BA$300,COLUMN()/2+1,FALSE)),"")</f>
        <v>#N/A</v>
      </c>
      <c r="K55" s="46"/>
      <c r="L55" s="46" t="e">
        <f ca="1">IF($A55&lt;&gt;"",
IF(VLOOKUP($A55,貼り付け用!$A$1:$BA$300,COLUMN()/2+1,FALSE)=0,"",VLOOKUP($A55,貼り付け用!$A$1:$BA$300,COLUMN()/2+1,FALSE)),"")</f>
        <v>#N/A</v>
      </c>
      <c r="M55" s="46"/>
      <c r="N55" s="46" t="e">
        <f ca="1">IF($A55&lt;&gt;"",
IF(VLOOKUP($A55,貼り付け用!$A$1:$BA$300,COLUMN()/2+1,FALSE)=0,"",VLOOKUP($A55,貼り付け用!$A$1:$BA$300,COLUMN()/2+1,FALSE)),"")</f>
        <v>#N/A</v>
      </c>
      <c r="O55" s="46"/>
      <c r="P55" s="46" t="e">
        <f ca="1">IF($A55&lt;&gt;"",
IF(VLOOKUP($A55,貼り付け用!$A$1:$BA$300,COLUMN()/2+1,FALSE)=0,"",VLOOKUP($A55,貼り付け用!$A$1:$BA$300,COLUMN()/2+1,FALSE)),"")</f>
        <v>#N/A</v>
      </c>
      <c r="Q55" s="46"/>
      <c r="R55" s="46" t="e">
        <f ca="1">IF($A55&lt;&gt;"",
IF(VLOOKUP($A55,貼り付け用!$A$1:$BA$300,COLUMN()/2+1,FALSE)=0,"",VLOOKUP($A55,貼り付け用!$A$1:$BA$300,COLUMN()/2+1,FALSE)),"")</f>
        <v>#N/A</v>
      </c>
      <c r="S55" s="46"/>
      <c r="T55" s="46" t="e">
        <f ca="1">IF($A55&lt;&gt;"",
IF(VLOOKUP($A55,貼り付け用!$A$1:$BA$300,COLUMN()/2+1,FALSE)=0,"",VLOOKUP($A55,貼り付け用!$A$1:$BA$300,COLUMN()/2+1,FALSE)),"")</f>
        <v>#N/A</v>
      </c>
      <c r="U55" s="46"/>
      <c r="V55" s="46" t="e">
        <f ca="1">IF($A55&lt;&gt;"",
IF(VLOOKUP($A55,貼り付け用!$A$1:$BA$300,COLUMN()/2+1,FALSE)=0,"",VLOOKUP($A55,貼り付け用!$A$1:$BA$300,COLUMN()/2+1,FALSE)),"")</f>
        <v>#N/A</v>
      </c>
      <c r="W55" s="46"/>
      <c r="X55" s="46" t="e">
        <f ca="1">IF($A55&lt;&gt;"",
IF(VLOOKUP($A55,貼り付け用!$A$1:$BA$300,COLUMN()/2+1,FALSE)=0,"",VLOOKUP($A55,貼り付け用!$A$1:$BA$300,COLUMN()/2+1,FALSE)),"")</f>
        <v>#N/A</v>
      </c>
      <c r="Y55" s="46"/>
      <c r="Z55" s="46" t="e">
        <f ca="1">IF($A55&lt;&gt;"",
IF(VLOOKUP($A55,貼り付け用!$A$1:$BA$300,COLUMN()/2+1,FALSE)=0,"",VLOOKUP($A55,貼り付け用!$A$1:$BA$300,COLUMN()/2+1,FALSE)),"")</f>
        <v>#N/A</v>
      </c>
      <c r="AA55" s="46"/>
      <c r="AB55" s="46" t="e">
        <f ca="1">IF($A55&lt;&gt;"",
IF(VLOOKUP($A55,貼り付け用!$A$1:$BA$300,COLUMN()/2+1,FALSE)=0,"",VLOOKUP($A55,貼り付け用!$A$1:$BA$300,COLUMN()/2+1,FALSE)),"")</f>
        <v>#N/A</v>
      </c>
      <c r="AC55" s="46"/>
      <c r="AD55" s="46" t="e">
        <f ca="1">IF($A55&lt;&gt;"",
IF(VLOOKUP($A55,貼り付け用!$A$1:$BA$300,COLUMN()/2+1,FALSE)=0,"",VLOOKUP($A55,貼り付け用!$A$1:$BA$300,COLUMN()/2+1,FALSE)),"")</f>
        <v>#N/A</v>
      </c>
      <c r="AE55" s="46"/>
      <c r="AF55" s="46" t="e">
        <f ca="1">IF($A55&lt;&gt;"",
IF(VLOOKUP($A55,貼り付け用!$A$1:$BA$300,COLUMN()/2+1,FALSE)=0,"",VLOOKUP($A55,貼り付け用!$A$1:$BA$300,COLUMN()/2+1,FALSE)),"")</f>
        <v>#N/A</v>
      </c>
      <c r="AG55" s="46"/>
      <c r="AH55" s="46" t="e">
        <f ca="1">IF($A55&lt;&gt;"",
IF(VLOOKUP($A55,貼り付け用!$A$1:$BA$300,COLUMN()/2+1,FALSE)=0,"",VLOOKUP($A55,貼り付け用!$A$1:$BA$300,COLUMN()/2+1,FALSE)),"")</f>
        <v>#N/A</v>
      </c>
      <c r="AI55" s="46"/>
      <c r="AJ55" s="46" t="e">
        <f ca="1">IF($A55&lt;&gt;"",
IF(VLOOKUP($A55,貼り付け用!$A$1:$BA$300,COLUMN()/2+1,FALSE)=0,"",VLOOKUP($A55,貼り付け用!$A$1:$BA$300,COLUMN()/2+1,FALSE)),"")</f>
        <v>#N/A</v>
      </c>
      <c r="AK55" s="46"/>
      <c r="AL55" s="46" t="e">
        <f ca="1">IF($A55&lt;&gt;"",
IF(VLOOKUP($A55,貼り付け用!$A$1:$BA$300,COLUMN()/2+1,FALSE)=0,"",VLOOKUP($A55,貼り付け用!$A$1:$BA$300,COLUMN()/2+1,FALSE)),"")</f>
        <v>#N/A</v>
      </c>
      <c r="AM55" s="211" t="e">
        <f ca="1">IF($A55&lt;&gt;"",
IF(VLOOKUP($A55,貼り付け用!$A$1:$BA$300,COLUMN()/2+2,FALSE)=0,"",VLOOKUP($A55,貼り付け用!$A$1:$BA$300,COLUMN()/2+2,FALSE)),"")</f>
        <v>#N/A</v>
      </c>
      <c r="AN55" s="211" t="e">
        <f ca="1">IF($A55&lt;&gt;"",
IF(VLOOKUP($A55,貼り付け用!$A$1:$BA$300,COLUMN()/2+3,FALSE)=0,"",VLOOKUP($A55,貼り付け用!$A$1:$BA$300,COLUMN()/2+3,FALSE)),"")</f>
        <v>#N/A</v>
      </c>
    </row>
    <row r="56" spans="1:40" x14ac:dyDescent="0.45">
      <c r="A56" s="5" t="e" cm="1">
        <f t="array" aca="1" ref="A56" ca="1">IF(OR(COUNTIF(A54,"*合計*"),COUNTIF(A54,"")),"",INDEX(貼り付け用!$A:$A,MATCH(A54,貼り付け用!$A:$A,0)+2,0))</f>
        <v>#N/A</v>
      </c>
      <c r="B56" s="16" t="e">
        <f ca="1">IF($A56&lt;&gt;"",
IF(VLOOKUP($A56,貼り付け用!$A$1:$BA$300,COLUMN()/2+1,FALSE)=0,"",VLOOKUP($A56,貼り付け用!$A$1:$BA$300,COLUMN()/2+1,FALSE)),"")</f>
        <v>#N/A</v>
      </c>
      <c r="C56" s="58"/>
      <c r="D56" s="16" t="e">
        <f ca="1">IF($A56&lt;&gt;"",
IF(VLOOKUP($A56,貼り付け用!$A$1:$BA$300,COLUMN()/2+1,FALSE)=0,"",VLOOKUP($A56,貼り付け用!$A$1:$BA$300,COLUMN()/2+1,FALSE)),"")</f>
        <v>#N/A</v>
      </c>
      <c r="E56" s="58"/>
      <c r="F56" s="16" t="e">
        <f ca="1">IF($A56&lt;&gt;"",
IF(VLOOKUP($A56,貼り付け用!$A$1:$BA$300,COLUMN()/2+1,FALSE)=0,"",VLOOKUP($A56,貼り付け用!$A$1:$BA$300,COLUMN()/2+1,FALSE)),"")</f>
        <v>#N/A</v>
      </c>
      <c r="G56" s="58"/>
      <c r="H56" s="16" t="e">
        <f ca="1">IF($A56&lt;&gt;"",
IF(VLOOKUP($A56,貼り付け用!$A$1:$BA$300,COLUMN()/2+1,FALSE)=0,"",VLOOKUP($A56,貼り付け用!$A$1:$BA$300,COLUMN()/2+1,FALSE)),"")</f>
        <v>#N/A</v>
      </c>
      <c r="I56" s="58"/>
      <c r="J56" s="16" t="e">
        <f ca="1">IF($A56&lt;&gt;"",
IF(VLOOKUP($A56,貼り付け用!$A$1:$BA$300,COLUMN()/2+1,FALSE)=0,"",VLOOKUP($A56,貼り付け用!$A$1:$BA$300,COLUMN()/2+1,FALSE)),"")</f>
        <v>#N/A</v>
      </c>
      <c r="K56" s="58"/>
      <c r="L56" s="16" t="e">
        <f ca="1">IF($A56&lt;&gt;"",
IF(VLOOKUP($A56,貼り付け用!$A$1:$BA$300,COLUMN()/2+1,FALSE)=0,"",VLOOKUP($A56,貼り付け用!$A$1:$BA$300,COLUMN()/2+1,FALSE)),"")</f>
        <v>#N/A</v>
      </c>
      <c r="M56" s="58"/>
      <c r="N56" s="16" t="e">
        <f ca="1">IF($A56&lt;&gt;"",
IF(VLOOKUP($A56,貼り付け用!$A$1:$BA$300,COLUMN()/2+1,FALSE)=0,"",VLOOKUP($A56,貼り付け用!$A$1:$BA$300,COLUMN()/2+1,FALSE)),"")</f>
        <v>#N/A</v>
      </c>
      <c r="O56" s="58"/>
      <c r="P56" s="16" t="e">
        <f ca="1">IF($A56&lt;&gt;"",
IF(VLOOKUP($A56,貼り付け用!$A$1:$BA$300,COLUMN()/2+1,FALSE)=0,"",VLOOKUP($A56,貼り付け用!$A$1:$BA$300,COLUMN()/2+1,FALSE)),"")</f>
        <v>#N/A</v>
      </c>
      <c r="Q56" s="58"/>
      <c r="R56" s="16" t="e">
        <f ca="1">IF($A56&lt;&gt;"",
IF(VLOOKUP($A56,貼り付け用!$A$1:$BA$300,COLUMN()/2+1,FALSE)=0,"",VLOOKUP($A56,貼り付け用!$A$1:$BA$300,COLUMN()/2+1,FALSE)),"")</f>
        <v>#N/A</v>
      </c>
      <c r="S56" s="58"/>
      <c r="T56" s="16" t="e">
        <f ca="1">IF($A56&lt;&gt;"",
IF(VLOOKUP($A56,貼り付け用!$A$1:$BA$300,COLUMN()/2+1,FALSE)=0,"",VLOOKUP($A56,貼り付け用!$A$1:$BA$300,COLUMN()/2+1,FALSE)),"")</f>
        <v>#N/A</v>
      </c>
      <c r="U56" s="58"/>
      <c r="V56" s="16" t="e">
        <f ca="1">IF($A56&lt;&gt;"",
IF(VLOOKUP($A56,貼り付け用!$A$1:$BA$300,COLUMN()/2+1,FALSE)=0,"",VLOOKUP($A56,貼り付け用!$A$1:$BA$300,COLUMN()/2+1,FALSE)),"")</f>
        <v>#N/A</v>
      </c>
      <c r="W56" s="58"/>
      <c r="X56" s="16" t="e">
        <f ca="1">IF($A56&lt;&gt;"",
IF(VLOOKUP($A56,貼り付け用!$A$1:$BA$300,COLUMN()/2+1,FALSE)=0,"",VLOOKUP($A56,貼り付け用!$A$1:$BA$300,COLUMN()/2+1,FALSE)),"")</f>
        <v>#N/A</v>
      </c>
      <c r="Y56" s="58"/>
      <c r="Z56" s="16" t="e">
        <f ca="1">IF($A56&lt;&gt;"",
IF(VLOOKUP($A56,貼り付け用!$A$1:$BA$300,COLUMN()/2+1,FALSE)=0,"",VLOOKUP($A56,貼り付け用!$A$1:$BA$300,COLUMN()/2+1,FALSE)),"")</f>
        <v>#N/A</v>
      </c>
      <c r="AA56" s="58"/>
      <c r="AB56" s="16" t="e">
        <f ca="1">IF($A56&lt;&gt;"",
IF(VLOOKUP($A56,貼り付け用!$A$1:$BA$300,COLUMN()/2+1,FALSE)=0,"",VLOOKUP($A56,貼り付け用!$A$1:$BA$300,COLUMN()/2+1,FALSE)),"")</f>
        <v>#N/A</v>
      </c>
      <c r="AC56" s="58"/>
      <c r="AD56" s="16" t="e">
        <f ca="1">IF($A56&lt;&gt;"",
IF(VLOOKUP($A56,貼り付け用!$A$1:$BA$300,COLUMN()/2+1,FALSE)=0,"",VLOOKUP($A56,貼り付け用!$A$1:$BA$300,COLUMN()/2+1,FALSE)),"")</f>
        <v>#N/A</v>
      </c>
      <c r="AE56" s="58"/>
      <c r="AF56" s="16" t="e">
        <f ca="1">IF($A56&lt;&gt;"",
IF(VLOOKUP($A56,貼り付け用!$A$1:$BA$300,COLUMN()/2+1,FALSE)=0,"",VLOOKUP($A56,貼り付け用!$A$1:$BA$300,COLUMN()/2+1,FALSE)),"")</f>
        <v>#N/A</v>
      </c>
      <c r="AG56" s="58"/>
      <c r="AH56" s="16" t="e">
        <f ca="1">IF($A56&lt;&gt;"",
IF(VLOOKUP($A56,貼り付け用!$A$1:$BA$300,COLUMN()/2+1,FALSE)=0,"",VLOOKUP($A56,貼り付け用!$A$1:$BA$300,COLUMN()/2+1,FALSE)),"")</f>
        <v>#N/A</v>
      </c>
      <c r="AI56" s="58"/>
      <c r="AJ56" s="16" t="e">
        <f ca="1">IF($A56&lt;&gt;"",
IF(VLOOKUP($A56,貼り付け用!$A$1:$BA$300,COLUMN()/2+1,FALSE)=0,"",VLOOKUP($A56,貼り付け用!$A$1:$BA$300,COLUMN()/2+1,FALSE)),"")</f>
        <v>#N/A</v>
      </c>
      <c r="AK56" s="58"/>
      <c r="AL56" s="16" t="e">
        <f ca="1">IF($A56&lt;&gt;"",
IF(VLOOKUP($A56,貼り付け用!$A$1:$BA$300,COLUMN()/2+1,FALSE)=0,"",VLOOKUP($A56,貼り付け用!$A$1:$BA$300,COLUMN()/2+1,FALSE)),"")</f>
        <v>#N/A</v>
      </c>
      <c r="AM56" s="210" t="e">
        <f ca="1">IF($A56&lt;&gt;"",
IF(VLOOKUP($A56,貼り付け用!$A$1:$BA$300,COLUMN()/2+2,FALSE)=0,"",VLOOKUP($A56,貼り付け用!$A$1:$BA$300,COLUMN()/2+2,FALSE)),"")</f>
        <v>#N/A</v>
      </c>
      <c r="AN56" s="210" t="e">
        <f ca="1">IF($A56&lt;&gt;"",
IF(VLOOKUP($A56,貼り付け用!$A$1:$BA$300,COLUMN()/2+3,FALSE)=0,"",VLOOKUP($A56,貼り付け用!$A$1:$BA$300,COLUMN()/2+3,FALSE)),"")</f>
        <v>#N/A</v>
      </c>
    </row>
    <row r="57" spans="1:40" x14ac:dyDescent="0.45">
      <c r="A57" s="8" t="e" cm="1">
        <f t="array" aca="1" ref="A57" ca="1">IF(OR(COUNTIF(A55,"*1000*"),COUNTIF(A55,"")),"",INDEX(貼り付け用!$A:$A,MATCH(A55,貼り付け用!$A:$A,0)+2,0))</f>
        <v>#N/A</v>
      </c>
      <c r="B57" s="46" t="e">
        <f ca="1">IF($A57&lt;&gt;"",
IF(VLOOKUP($A57,貼り付け用!$A$1:$BA$300,COLUMN()/2+1,FALSE)=0,"",VLOOKUP($A57,貼り付け用!$A$1:$BA$300,COLUMN()/2+1,FALSE)),"")</f>
        <v>#N/A</v>
      </c>
      <c r="C57" s="46"/>
      <c r="D57" s="46" t="e">
        <f ca="1">IF($A57&lt;&gt;"",
IF(VLOOKUP($A57,貼り付け用!$A$1:$BA$300,COLUMN()/2+1,FALSE)=0,"",VLOOKUP($A57,貼り付け用!$A$1:$BA$300,COLUMN()/2+1,FALSE)),"")</f>
        <v>#N/A</v>
      </c>
      <c r="E57" s="46"/>
      <c r="F57" s="46" t="e">
        <f ca="1">IF($A57&lt;&gt;"",
IF(VLOOKUP($A57,貼り付け用!$A$1:$BA$300,COLUMN()/2+1,FALSE)=0,"",VLOOKUP($A57,貼り付け用!$A$1:$BA$300,COLUMN()/2+1,FALSE)),"")</f>
        <v>#N/A</v>
      </c>
      <c r="G57" s="46"/>
      <c r="H57" s="46" t="e">
        <f ca="1">IF($A57&lt;&gt;"",
IF(VLOOKUP($A57,貼り付け用!$A$1:$BA$300,COLUMN()/2+1,FALSE)=0,"",VLOOKUP($A57,貼り付け用!$A$1:$BA$300,COLUMN()/2+1,FALSE)),"")</f>
        <v>#N/A</v>
      </c>
      <c r="I57" s="46"/>
      <c r="J57" s="46" t="e">
        <f ca="1">IF($A57&lt;&gt;"",
IF(VLOOKUP($A57,貼り付け用!$A$1:$BA$300,COLUMN()/2+1,FALSE)=0,"",VLOOKUP($A57,貼り付け用!$A$1:$BA$300,COLUMN()/2+1,FALSE)),"")</f>
        <v>#N/A</v>
      </c>
      <c r="K57" s="46"/>
      <c r="L57" s="46" t="e">
        <f ca="1">IF($A57&lt;&gt;"",
IF(VLOOKUP($A57,貼り付け用!$A$1:$BA$300,COLUMN()/2+1,FALSE)=0,"",VLOOKUP($A57,貼り付け用!$A$1:$BA$300,COLUMN()/2+1,FALSE)),"")</f>
        <v>#N/A</v>
      </c>
      <c r="M57" s="46"/>
      <c r="N57" s="46" t="e">
        <f ca="1">IF($A57&lt;&gt;"",
IF(VLOOKUP($A57,貼り付け用!$A$1:$BA$300,COLUMN()/2+1,FALSE)=0,"",VLOOKUP($A57,貼り付け用!$A$1:$BA$300,COLUMN()/2+1,FALSE)),"")</f>
        <v>#N/A</v>
      </c>
      <c r="O57" s="46"/>
      <c r="P57" s="46" t="e">
        <f ca="1">IF($A57&lt;&gt;"",
IF(VLOOKUP($A57,貼り付け用!$A$1:$BA$300,COLUMN()/2+1,FALSE)=0,"",VLOOKUP($A57,貼り付け用!$A$1:$BA$300,COLUMN()/2+1,FALSE)),"")</f>
        <v>#N/A</v>
      </c>
      <c r="Q57" s="46"/>
      <c r="R57" s="46" t="e">
        <f ca="1">IF($A57&lt;&gt;"",
IF(VLOOKUP($A57,貼り付け用!$A$1:$BA$300,COLUMN()/2+1,FALSE)=0,"",VLOOKUP($A57,貼り付け用!$A$1:$BA$300,COLUMN()/2+1,FALSE)),"")</f>
        <v>#N/A</v>
      </c>
      <c r="S57" s="46"/>
      <c r="T57" s="46" t="e">
        <f ca="1">IF($A57&lt;&gt;"",
IF(VLOOKUP($A57,貼り付け用!$A$1:$BA$300,COLUMN()/2+1,FALSE)=0,"",VLOOKUP($A57,貼り付け用!$A$1:$BA$300,COLUMN()/2+1,FALSE)),"")</f>
        <v>#N/A</v>
      </c>
      <c r="U57" s="46"/>
      <c r="V57" s="46" t="e">
        <f ca="1">IF($A57&lt;&gt;"",
IF(VLOOKUP($A57,貼り付け用!$A$1:$BA$300,COLUMN()/2+1,FALSE)=0,"",VLOOKUP($A57,貼り付け用!$A$1:$BA$300,COLUMN()/2+1,FALSE)),"")</f>
        <v>#N/A</v>
      </c>
      <c r="W57" s="46"/>
      <c r="X57" s="46" t="e">
        <f ca="1">IF($A57&lt;&gt;"",
IF(VLOOKUP($A57,貼り付け用!$A$1:$BA$300,COLUMN()/2+1,FALSE)=0,"",VLOOKUP($A57,貼り付け用!$A$1:$BA$300,COLUMN()/2+1,FALSE)),"")</f>
        <v>#N/A</v>
      </c>
      <c r="Y57" s="46"/>
      <c r="Z57" s="46" t="e">
        <f ca="1">IF($A57&lt;&gt;"",
IF(VLOOKUP($A57,貼り付け用!$A$1:$BA$300,COLUMN()/2+1,FALSE)=0,"",VLOOKUP($A57,貼り付け用!$A$1:$BA$300,COLUMN()/2+1,FALSE)),"")</f>
        <v>#N/A</v>
      </c>
      <c r="AA57" s="46"/>
      <c r="AB57" s="46" t="e">
        <f ca="1">IF($A57&lt;&gt;"",
IF(VLOOKUP($A57,貼り付け用!$A$1:$BA$300,COLUMN()/2+1,FALSE)=0,"",VLOOKUP($A57,貼り付け用!$A$1:$BA$300,COLUMN()/2+1,FALSE)),"")</f>
        <v>#N/A</v>
      </c>
      <c r="AC57" s="46"/>
      <c r="AD57" s="46" t="e">
        <f ca="1">IF($A57&lt;&gt;"",
IF(VLOOKUP($A57,貼り付け用!$A$1:$BA$300,COLUMN()/2+1,FALSE)=0,"",VLOOKUP($A57,貼り付け用!$A$1:$BA$300,COLUMN()/2+1,FALSE)),"")</f>
        <v>#N/A</v>
      </c>
      <c r="AE57" s="46"/>
      <c r="AF57" s="46" t="e">
        <f ca="1">IF($A57&lt;&gt;"",
IF(VLOOKUP($A57,貼り付け用!$A$1:$BA$300,COLUMN()/2+1,FALSE)=0,"",VLOOKUP($A57,貼り付け用!$A$1:$BA$300,COLUMN()/2+1,FALSE)),"")</f>
        <v>#N/A</v>
      </c>
      <c r="AG57" s="46"/>
      <c r="AH57" s="46" t="e">
        <f ca="1">IF($A57&lt;&gt;"",
IF(VLOOKUP($A57,貼り付け用!$A$1:$BA$300,COLUMN()/2+1,FALSE)=0,"",VLOOKUP($A57,貼り付け用!$A$1:$BA$300,COLUMN()/2+1,FALSE)),"")</f>
        <v>#N/A</v>
      </c>
      <c r="AI57" s="46"/>
      <c r="AJ57" s="46" t="e">
        <f ca="1">IF($A57&lt;&gt;"",
IF(VLOOKUP($A57,貼り付け用!$A$1:$BA$300,COLUMN()/2+1,FALSE)=0,"",VLOOKUP($A57,貼り付け用!$A$1:$BA$300,COLUMN()/2+1,FALSE)),"")</f>
        <v>#N/A</v>
      </c>
      <c r="AK57" s="46"/>
      <c r="AL57" s="46" t="e">
        <f ca="1">IF($A57&lt;&gt;"",
IF(VLOOKUP($A57,貼り付け用!$A$1:$BA$300,COLUMN()/2+1,FALSE)=0,"",VLOOKUP($A57,貼り付け用!$A$1:$BA$300,COLUMN()/2+1,FALSE)),"")</f>
        <v>#N/A</v>
      </c>
      <c r="AM57" s="211" t="e">
        <f ca="1">IF($A57&lt;&gt;"",
IF(VLOOKUP($A57,貼り付け用!$A$1:$BA$300,COLUMN()/2+2,FALSE)=0,"",VLOOKUP($A57,貼り付け用!$A$1:$BA$300,COLUMN()/2+2,FALSE)),"")</f>
        <v>#N/A</v>
      </c>
      <c r="AN57" s="211" t="e">
        <f ca="1">IF($A57&lt;&gt;"",
IF(VLOOKUP($A57,貼り付け用!$A$1:$BA$300,COLUMN()/2+3,FALSE)=0,"",VLOOKUP($A57,貼り付け用!$A$1:$BA$300,COLUMN()/2+3,FALSE)),"")</f>
        <v>#N/A</v>
      </c>
    </row>
    <row r="58" spans="1:40" x14ac:dyDescent="0.45">
      <c r="A58" s="5" t="e" cm="1">
        <f t="array" aca="1" ref="A58" ca="1">IF(OR(COUNTIF(A56,"*合計*"),COUNTIF(A56,"")),"",INDEX(貼り付け用!$A:$A,MATCH(A56,貼り付け用!$A:$A,0)+2,0))</f>
        <v>#N/A</v>
      </c>
      <c r="B58" s="16" t="e">
        <f ca="1">IF($A58&lt;&gt;"",
IF(VLOOKUP($A58,貼り付け用!$A$1:$BA$300,COLUMN()/2+1,FALSE)=0,"",VLOOKUP($A58,貼り付け用!$A$1:$BA$300,COLUMN()/2+1,FALSE)),"")</f>
        <v>#N/A</v>
      </c>
      <c r="C58" s="58"/>
      <c r="D58" s="16" t="e">
        <f ca="1">IF($A58&lt;&gt;"",
IF(VLOOKUP($A58,貼り付け用!$A$1:$BA$300,COLUMN()/2+1,FALSE)=0,"",VLOOKUP($A58,貼り付け用!$A$1:$BA$300,COLUMN()/2+1,FALSE)),"")</f>
        <v>#N/A</v>
      </c>
      <c r="E58" s="58"/>
      <c r="F58" s="16" t="e">
        <f ca="1">IF($A58&lt;&gt;"",
IF(VLOOKUP($A58,貼り付け用!$A$1:$BA$300,COLUMN()/2+1,FALSE)=0,"",VLOOKUP($A58,貼り付け用!$A$1:$BA$300,COLUMN()/2+1,FALSE)),"")</f>
        <v>#N/A</v>
      </c>
      <c r="G58" s="58"/>
      <c r="H58" s="16" t="e">
        <f ca="1">IF($A58&lt;&gt;"",
IF(VLOOKUP($A58,貼り付け用!$A$1:$BA$300,COLUMN()/2+1,FALSE)=0,"",VLOOKUP($A58,貼り付け用!$A$1:$BA$300,COLUMN()/2+1,FALSE)),"")</f>
        <v>#N/A</v>
      </c>
      <c r="I58" s="58"/>
      <c r="J58" s="16" t="e">
        <f ca="1">IF($A58&lt;&gt;"",
IF(VLOOKUP($A58,貼り付け用!$A$1:$BA$300,COLUMN()/2+1,FALSE)=0,"",VLOOKUP($A58,貼り付け用!$A$1:$BA$300,COLUMN()/2+1,FALSE)),"")</f>
        <v>#N/A</v>
      </c>
      <c r="K58" s="58"/>
      <c r="L58" s="16" t="e">
        <f ca="1">IF($A58&lt;&gt;"",
IF(VLOOKUP($A58,貼り付け用!$A$1:$BA$300,COLUMN()/2+1,FALSE)=0,"",VLOOKUP($A58,貼り付け用!$A$1:$BA$300,COLUMN()/2+1,FALSE)),"")</f>
        <v>#N/A</v>
      </c>
      <c r="M58" s="58"/>
      <c r="N58" s="16" t="e">
        <f ca="1">IF($A58&lt;&gt;"",
IF(VLOOKUP($A58,貼り付け用!$A$1:$BA$300,COLUMN()/2+1,FALSE)=0,"",VLOOKUP($A58,貼り付け用!$A$1:$BA$300,COLUMN()/2+1,FALSE)),"")</f>
        <v>#N/A</v>
      </c>
      <c r="O58" s="58"/>
      <c r="P58" s="16" t="e">
        <f ca="1">IF($A58&lt;&gt;"",
IF(VLOOKUP($A58,貼り付け用!$A$1:$BA$300,COLUMN()/2+1,FALSE)=0,"",VLOOKUP($A58,貼り付け用!$A$1:$BA$300,COLUMN()/2+1,FALSE)),"")</f>
        <v>#N/A</v>
      </c>
      <c r="Q58" s="58"/>
      <c r="R58" s="16" t="e">
        <f ca="1">IF($A58&lt;&gt;"",
IF(VLOOKUP($A58,貼り付け用!$A$1:$BA$300,COLUMN()/2+1,FALSE)=0,"",VLOOKUP($A58,貼り付け用!$A$1:$BA$300,COLUMN()/2+1,FALSE)),"")</f>
        <v>#N/A</v>
      </c>
      <c r="S58" s="58"/>
      <c r="T58" s="16" t="e">
        <f ca="1">IF($A58&lt;&gt;"",
IF(VLOOKUP($A58,貼り付け用!$A$1:$BA$300,COLUMN()/2+1,FALSE)=0,"",VLOOKUP($A58,貼り付け用!$A$1:$BA$300,COLUMN()/2+1,FALSE)),"")</f>
        <v>#N/A</v>
      </c>
      <c r="U58" s="58"/>
      <c r="V58" s="16" t="e">
        <f ca="1">IF($A58&lt;&gt;"",
IF(VLOOKUP($A58,貼り付け用!$A$1:$BA$300,COLUMN()/2+1,FALSE)=0,"",VLOOKUP($A58,貼り付け用!$A$1:$BA$300,COLUMN()/2+1,FALSE)),"")</f>
        <v>#N/A</v>
      </c>
      <c r="W58" s="58"/>
      <c r="X58" s="16" t="e">
        <f ca="1">IF($A58&lt;&gt;"",
IF(VLOOKUP($A58,貼り付け用!$A$1:$BA$300,COLUMN()/2+1,FALSE)=0,"",VLOOKUP($A58,貼り付け用!$A$1:$BA$300,COLUMN()/2+1,FALSE)),"")</f>
        <v>#N/A</v>
      </c>
      <c r="Y58" s="58"/>
      <c r="Z58" s="16" t="e">
        <f ca="1">IF($A58&lt;&gt;"",
IF(VLOOKUP($A58,貼り付け用!$A$1:$BA$300,COLUMN()/2+1,FALSE)=0,"",VLOOKUP($A58,貼り付け用!$A$1:$BA$300,COLUMN()/2+1,FALSE)),"")</f>
        <v>#N/A</v>
      </c>
      <c r="AA58" s="58"/>
      <c r="AB58" s="16" t="e">
        <f ca="1">IF($A58&lt;&gt;"",
IF(VLOOKUP($A58,貼り付け用!$A$1:$BA$300,COLUMN()/2+1,FALSE)=0,"",VLOOKUP($A58,貼り付け用!$A$1:$BA$300,COLUMN()/2+1,FALSE)),"")</f>
        <v>#N/A</v>
      </c>
      <c r="AC58" s="58"/>
      <c r="AD58" s="16" t="e">
        <f ca="1">IF($A58&lt;&gt;"",
IF(VLOOKUP($A58,貼り付け用!$A$1:$BA$300,COLUMN()/2+1,FALSE)=0,"",VLOOKUP($A58,貼り付け用!$A$1:$BA$300,COLUMN()/2+1,FALSE)),"")</f>
        <v>#N/A</v>
      </c>
      <c r="AE58" s="58"/>
      <c r="AF58" s="16" t="e">
        <f ca="1">IF($A58&lt;&gt;"",
IF(VLOOKUP($A58,貼り付け用!$A$1:$BA$300,COLUMN()/2+1,FALSE)=0,"",VLOOKUP($A58,貼り付け用!$A$1:$BA$300,COLUMN()/2+1,FALSE)),"")</f>
        <v>#N/A</v>
      </c>
      <c r="AG58" s="58"/>
      <c r="AH58" s="16" t="e">
        <f ca="1">IF($A58&lt;&gt;"",
IF(VLOOKUP($A58,貼り付け用!$A$1:$BA$300,COLUMN()/2+1,FALSE)=0,"",VLOOKUP($A58,貼り付け用!$A$1:$BA$300,COLUMN()/2+1,FALSE)),"")</f>
        <v>#N/A</v>
      </c>
      <c r="AI58" s="58"/>
      <c r="AJ58" s="16" t="e">
        <f ca="1">IF($A58&lt;&gt;"",
IF(VLOOKUP($A58,貼り付け用!$A$1:$BA$300,COLUMN()/2+1,FALSE)=0,"",VLOOKUP($A58,貼り付け用!$A$1:$BA$300,COLUMN()/2+1,FALSE)),"")</f>
        <v>#N/A</v>
      </c>
      <c r="AK58" s="58"/>
      <c r="AL58" s="16" t="e">
        <f ca="1">IF($A58&lt;&gt;"",
IF(VLOOKUP($A58,貼り付け用!$A$1:$BA$300,COLUMN()/2+1,FALSE)=0,"",VLOOKUP($A58,貼り付け用!$A$1:$BA$300,COLUMN()/2+1,FALSE)),"")</f>
        <v>#N/A</v>
      </c>
      <c r="AM58" s="210" t="e">
        <f ca="1">IF($A58&lt;&gt;"",
IF(VLOOKUP($A58,貼り付け用!$A$1:$BA$300,COLUMN()/2+2,FALSE)=0,"",VLOOKUP($A58,貼り付け用!$A$1:$BA$300,COLUMN()/2+2,FALSE)),"")</f>
        <v>#N/A</v>
      </c>
      <c r="AN58" s="210" t="e">
        <f ca="1">IF($A58&lt;&gt;"",
IF(VLOOKUP($A58,貼り付け用!$A$1:$BA$300,COLUMN()/2+3,FALSE)=0,"",VLOOKUP($A58,貼り付け用!$A$1:$BA$300,COLUMN()/2+3,FALSE)),"")</f>
        <v>#N/A</v>
      </c>
    </row>
    <row r="59" spans="1:40" x14ac:dyDescent="0.45">
      <c r="A59" s="8" t="e" cm="1">
        <f t="array" aca="1" ref="A59" ca="1">IF(OR(COUNTIF(A57,"*1000*"),COUNTIF(A57,"")),"",INDEX(貼り付け用!$A:$A,MATCH(A57,貼り付け用!$A:$A,0)+2,0))</f>
        <v>#N/A</v>
      </c>
      <c r="B59" s="46" t="e">
        <f ca="1">IF($A59&lt;&gt;"",
IF(VLOOKUP($A59,貼り付け用!$A$1:$BA$300,COLUMN()/2+1,FALSE)=0,"",VLOOKUP($A59,貼り付け用!$A$1:$BA$300,COLUMN()/2+1,FALSE)),"")</f>
        <v>#N/A</v>
      </c>
      <c r="C59" s="46"/>
      <c r="D59" s="46" t="e">
        <f ca="1">IF($A59&lt;&gt;"",
IF(VLOOKUP($A59,貼り付け用!$A$1:$BA$300,COLUMN()/2+1,FALSE)=0,"",VLOOKUP($A59,貼り付け用!$A$1:$BA$300,COLUMN()/2+1,FALSE)),"")</f>
        <v>#N/A</v>
      </c>
      <c r="E59" s="46"/>
      <c r="F59" s="46" t="e">
        <f ca="1">IF($A59&lt;&gt;"",
IF(VLOOKUP($A59,貼り付け用!$A$1:$BA$300,COLUMN()/2+1,FALSE)=0,"",VLOOKUP($A59,貼り付け用!$A$1:$BA$300,COLUMN()/2+1,FALSE)),"")</f>
        <v>#N/A</v>
      </c>
      <c r="G59" s="46"/>
      <c r="H59" s="46" t="e">
        <f ca="1">IF($A59&lt;&gt;"",
IF(VLOOKUP($A59,貼り付け用!$A$1:$BA$300,COLUMN()/2+1,FALSE)=0,"",VLOOKUP($A59,貼り付け用!$A$1:$BA$300,COLUMN()/2+1,FALSE)),"")</f>
        <v>#N/A</v>
      </c>
      <c r="I59" s="46"/>
      <c r="J59" s="46" t="e">
        <f ca="1">IF($A59&lt;&gt;"",
IF(VLOOKUP($A59,貼り付け用!$A$1:$BA$300,COLUMN()/2+1,FALSE)=0,"",VLOOKUP($A59,貼り付け用!$A$1:$BA$300,COLUMN()/2+1,FALSE)),"")</f>
        <v>#N/A</v>
      </c>
      <c r="K59" s="46"/>
      <c r="L59" s="46" t="e">
        <f ca="1">IF($A59&lt;&gt;"",
IF(VLOOKUP($A59,貼り付け用!$A$1:$BA$300,COLUMN()/2+1,FALSE)=0,"",VLOOKUP($A59,貼り付け用!$A$1:$BA$300,COLUMN()/2+1,FALSE)),"")</f>
        <v>#N/A</v>
      </c>
      <c r="M59" s="46"/>
      <c r="N59" s="46" t="e">
        <f ca="1">IF($A59&lt;&gt;"",
IF(VLOOKUP($A59,貼り付け用!$A$1:$BA$300,COLUMN()/2+1,FALSE)=0,"",VLOOKUP($A59,貼り付け用!$A$1:$BA$300,COLUMN()/2+1,FALSE)),"")</f>
        <v>#N/A</v>
      </c>
      <c r="O59" s="46"/>
      <c r="P59" s="46" t="e">
        <f ca="1">IF($A59&lt;&gt;"",
IF(VLOOKUP($A59,貼り付け用!$A$1:$BA$300,COLUMN()/2+1,FALSE)=0,"",VLOOKUP($A59,貼り付け用!$A$1:$BA$300,COLUMN()/2+1,FALSE)),"")</f>
        <v>#N/A</v>
      </c>
      <c r="Q59" s="46"/>
      <c r="R59" s="46" t="e">
        <f ca="1">IF($A59&lt;&gt;"",
IF(VLOOKUP($A59,貼り付け用!$A$1:$BA$300,COLUMN()/2+1,FALSE)=0,"",VLOOKUP($A59,貼り付け用!$A$1:$BA$300,COLUMN()/2+1,FALSE)),"")</f>
        <v>#N/A</v>
      </c>
      <c r="S59" s="46"/>
      <c r="T59" s="46" t="e">
        <f ca="1">IF($A59&lt;&gt;"",
IF(VLOOKUP($A59,貼り付け用!$A$1:$BA$300,COLUMN()/2+1,FALSE)=0,"",VLOOKUP($A59,貼り付け用!$A$1:$BA$300,COLUMN()/2+1,FALSE)),"")</f>
        <v>#N/A</v>
      </c>
      <c r="U59" s="46"/>
      <c r="V59" s="46" t="e">
        <f ca="1">IF($A59&lt;&gt;"",
IF(VLOOKUP($A59,貼り付け用!$A$1:$BA$300,COLUMN()/2+1,FALSE)=0,"",VLOOKUP($A59,貼り付け用!$A$1:$BA$300,COLUMN()/2+1,FALSE)),"")</f>
        <v>#N/A</v>
      </c>
      <c r="W59" s="46"/>
      <c r="X59" s="46" t="e">
        <f ca="1">IF($A59&lt;&gt;"",
IF(VLOOKUP($A59,貼り付け用!$A$1:$BA$300,COLUMN()/2+1,FALSE)=0,"",VLOOKUP($A59,貼り付け用!$A$1:$BA$300,COLUMN()/2+1,FALSE)),"")</f>
        <v>#N/A</v>
      </c>
      <c r="Y59" s="46"/>
      <c r="Z59" s="46" t="e">
        <f ca="1">IF($A59&lt;&gt;"",
IF(VLOOKUP($A59,貼り付け用!$A$1:$BA$300,COLUMN()/2+1,FALSE)=0,"",VLOOKUP($A59,貼り付け用!$A$1:$BA$300,COLUMN()/2+1,FALSE)),"")</f>
        <v>#N/A</v>
      </c>
      <c r="AA59" s="46"/>
      <c r="AB59" s="46" t="e">
        <f ca="1">IF($A59&lt;&gt;"",
IF(VLOOKUP($A59,貼り付け用!$A$1:$BA$300,COLUMN()/2+1,FALSE)=0,"",VLOOKUP($A59,貼り付け用!$A$1:$BA$300,COLUMN()/2+1,FALSE)),"")</f>
        <v>#N/A</v>
      </c>
      <c r="AC59" s="46"/>
      <c r="AD59" s="46" t="e">
        <f ca="1">IF($A59&lt;&gt;"",
IF(VLOOKUP($A59,貼り付け用!$A$1:$BA$300,COLUMN()/2+1,FALSE)=0,"",VLOOKUP($A59,貼り付け用!$A$1:$BA$300,COLUMN()/2+1,FALSE)),"")</f>
        <v>#N/A</v>
      </c>
      <c r="AE59" s="46"/>
      <c r="AF59" s="46" t="e">
        <f ca="1">IF($A59&lt;&gt;"",
IF(VLOOKUP($A59,貼り付け用!$A$1:$BA$300,COLUMN()/2+1,FALSE)=0,"",VLOOKUP($A59,貼り付け用!$A$1:$BA$300,COLUMN()/2+1,FALSE)),"")</f>
        <v>#N/A</v>
      </c>
      <c r="AG59" s="46"/>
      <c r="AH59" s="46" t="e">
        <f ca="1">IF($A59&lt;&gt;"",
IF(VLOOKUP($A59,貼り付け用!$A$1:$BA$300,COLUMN()/2+1,FALSE)=0,"",VLOOKUP($A59,貼り付け用!$A$1:$BA$300,COLUMN()/2+1,FALSE)),"")</f>
        <v>#N/A</v>
      </c>
      <c r="AI59" s="46"/>
      <c r="AJ59" s="46" t="e">
        <f ca="1">IF($A59&lt;&gt;"",
IF(VLOOKUP($A59,貼り付け用!$A$1:$BA$300,COLUMN()/2+1,FALSE)=0,"",VLOOKUP($A59,貼り付け用!$A$1:$BA$300,COLUMN()/2+1,FALSE)),"")</f>
        <v>#N/A</v>
      </c>
      <c r="AK59" s="46"/>
      <c r="AL59" s="46" t="e">
        <f ca="1">IF($A59&lt;&gt;"",
IF(VLOOKUP($A59,貼り付け用!$A$1:$BA$300,COLUMN()/2+1,FALSE)=0,"",VLOOKUP($A59,貼り付け用!$A$1:$BA$300,COLUMN()/2+1,FALSE)),"")</f>
        <v>#N/A</v>
      </c>
      <c r="AM59" s="211" t="e">
        <f ca="1">IF($A59&lt;&gt;"",
IF(VLOOKUP($A59,貼り付け用!$A$1:$BA$300,COLUMN()/2+2,FALSE)=0,"",VLOOKUP($A59,貼り付け用!$A$1:$BA$300,COLUMN()/2+2,FALSE)),"")</f>
        <v>#N/A</v>
      </c>
      <c r="AN59" s="211" t="e">
        <f ca="1">IF($A59&lt;&gt;"",
IF(VLOOKUP($A59,貼り付け用!$A$1:$BA$300,COLUMN()/2+3,FALSE)=0,"",VLOOKUP($A59,貼り付け用!$A$1:$BA$300,COLUMN()/2+3,FALSE)),"")</f>
        <v>#N/A</v>
      </c>
    </row>
    <row r="60" spans="1:40" x14ac:dyDescent="0.45">
      <c r="A60" s="5" t="e" cm="1">
        <f t="array" aca="1" ref="A60" ca="1">IF(OR(COUNTIF(A58,"*合計*"),COUNTIF(A58,"")),"",INDEX(貼り付け用!$A:$A,MATCH(A58,貼り付け用!$A:$A,0)+2,0))</f>
        <v>#N/A</v>
      </c>
      <c r="B60" s="16" t="e">
        <f ca="1">IF($A60&lt;&gt;"",
IF(VLOOKUP($A60,貼り付け用!$A$1:$BA$300,COLUMN()/2+1,FALSE)=0,"",VLOOKUP($A60,貼り付け用!$A$1:$BA$300,COLUMN()/2+1,FALSE)),"")</f>
        <v>#N/A</v>
      </c>
      <c r="C60" s="58"/>
      <c r="D60" s="16" t="e">
        <f ca="1">IF($A60&lt;&gt;"",
IF(VLOOKUP($A60,貼り付け用!$A$1:$BA$300,COLUMN()/2+1,FALSE)=0,"",VLOOKUP($A60,貼り付け用!$A$1:$BA$300,COLUMN()/2+1,FALSE)),"")</f>
        <v>#N/A</v>
      </c>
      <c r="E60" s="58"/>
      <c r="F60" s="16" t="e">
        <f ca="1">IF($A60&lt;&gt;"",
IF(VLOOKUP($A60,貼り付け用!$A$1:$BA$300,COLUMN()/2+1,FALSE)=0,"",VLOOKUP($A60,貼り付け用!$A$1:$BA$300,COLUMN()/2+1,FALSE)),"")</f>
        <v>#N/A</v>
      </c>
      <c r="G60" s="58"/>
      <c r="H60" s="16" t="e">
        <f ca="1">IF($A60&lt;&gt;"",
IF(VLOOKUP($A60,貼り付け用!$A$1:$BA$300,COLUMN()/2+1,FALSE)=0,"",VLOOKUP($A60,貼り付け用!$A$1:$BA$300,COLUMN()/2+1,FALSE)),"")</f>
        <v>#N/A</v>
      </c>
      <c r="I60" s="58"/>
      <c r="J60" s="16" t="e">
        <f ca="1">IF($A60&lt;&gt;"",
IF(VLOOKUP($A60,貼り付け用!$A$1:$BA$300,COLUMN()/2+1,FALSE)=0,"",VLOOKUP($A60,貼り付け用!$A$1:$BA$300,COLUMN()/2+1,FALSE)),"")</f>
        <v>#N/A</v>
      </c>
      <c r="K60" s="58"/>
      <c r="L60" s="16" t="e">
        <f ca="1">IF($A60&lt;&gt;"",
IF(VLOOKUP($A60,貼り付け用!$A$1:$BA$300,COLUMN()/2+1,FALSE)=0,"",VLOOKUP($A60,貼り付け用!$A$1:$BA$300,COLUMN()/2+1,FALSE)),"")</f>
        <v>#N/A</v>
      </c>
      <c r="M60" s="58"/>
      <c r="N60" s="16" t="e">
        <f ca="1">IF($A60&lt;&gt;"",
IF(VLOOKUP($A60,貼り付け用!$A$1:$BA$300,COLUMN()/2+1,FALSE)=0,"",VLOOKUP($A60,貼り付け用!$A$1:$BA$300,COLUMN()/2+1,FALSE)),"")</f>
        <v>#N/A</v>
      </c>
      <c r="O60" s="58"/>
      <c r="P60" s="16" t="e">
        <f ca="1">IF($A60&lt;&gt;"",
IF(VLOOKUP($A60,貼り付け用!$A$1:$BA$300,COLUMN()/2+1,FALSE)=0,"",VLOOKUP($A60,貼り付け用!$A$1:$BA$300,COLUMN()/2+1,FALSE)),"")</f>
        <v>#N/A</v>
      </c>
      <c r="Q60" s="58"/>
      <c r="R60" s="16" t="e">
        <f ca="1">IF($A60&lt;&gt;"",
IF(VLOOKUP($A60,貼り付け用!$A$1:$BA$300,COLUMN()/2+1,FALSE)=0,"",VLOOKUP($A60,貼り付け用!$A$1:$BA$300,COLUMN()/2+1,FALSE)),"")</f>
        <v>#N/A</v>
      </c>
      <c r="S60" s="58"/>
      <c r="T60" s="16" t="e">
        <f ca="1">IF($A60&lt;&gt;"",
IF(VLOOKUP($A60,貼り付け用!$A$1:$BA$300,COLUMN()/2+1,FALSE)=0,"",VLOOKUP($A60,貼り付け用!$A$1:$BA$300,COLUMN()/2+1,FALSE)),"")</f>
        <v>#N/A</v>
      </c>
      <c r="U60" s="58"/>
      <c r="V60" s="16" t="e">
        <f ca="1">IF($A60&lt;&gt;"",
IF(VLOOKUP($A60,貼り付け用!$A$1:$BA$300,COLUMN()/2+1,FALSE)=0,"",VLOOKUP($A60,貼り付け用!$A$1:$BA$300,COLUMN()/2+1,FALSE)),"")</f>
        <v>#N/A</v>
      </c>
      <c r="W60" s="58"/>
      <c r="X60" s="16" t="e">
        <f ca="1">IF($A60&lt;&gt;"",
IF(VLOOKUP($A60,貼り付け用!$A$1:$BA$300,COLUMN()/2+1,FALSE)=0,"",VLOOKUP($A60,貼り付け用!$A$1:$BA$300,COLUMN()/2+1,FALSE)),"")</f>
        <v>#N/A</v>
      </c>
      <c r="Y60" s="58"/>
      <c r="Z60" s="16" t="e">
        <f ca="1">IF($A60&lt;&gt;"",
IF(VLOOKUP($A60,貼り付け用!$A$1:$BA$300,COLUMN()/2+1,FALSE)=0,"",VLOOKUP($A60,貼り付け用!$A$1:$BA$300,COLUMN()/2+1,FALSE)),"")</f>
        <v>#N/A</v>
      </c>
      <c r="AA60" s="58"/>
      <c r="AB60" s="16" t="e">
        <f ca="1">IF($A60&lt;&gt;"",
IF(VLOOKUP($A60,貼り付け用!$A$1:$BA$300,COLUMN()/2+1,FALSE)=0,"",VLOOKUP($A60,貼り付け用!$A$1:$BA$300,COLUMN()/2+1,FALSE)),"")</f>
        <v>#N/A</v>
      </c>
      <c r="AC60" s="58"/>
      <c r="AD60" s="16" t="e">
        <f ca="1">IF($A60&lt;&gt;"",
IF(VLOOKUP($A60,貼り付け用!$A$1:$BA$300,COLUMN()/2+1,FALSE)=0,"",VLOOKUP($A60,貼り付け用!$A$1:$BA$300,COLUMN()/2+1,FALSE)),"")</f>
        <v>#N/A</v>
      </c>
      <c r="AE60" s="58"/>
      <c r="AF60" s="16" t="e">
        <f ca="1">IF($A60&lt;&gt;"",
IF(VLOOKUP($A60,貼り付け用!$A$1:$BA$300,COLUMN()/2+1,FALSE)=0,"",VLOOKUP($A60,貼り付け用!$A$1:$BA$300,COLUMN()/2+1,FALSE)),"")</f>
        <v>#N/A</v>
      </c>
      <c r="AG60" s="58"/>
      <c r="AH60" s="16" t="e">
        <f ca="1">IF($A60&lt;&gt;"",
IF(VLOOKUP($A60,貼り付け用!$A$1:$BA$300,COLUMN()/2+1,FALSE)=0,"",VLOOKUP($A60,貼り付け用!$A$1:$BA$300,COLUMN()/2+1,FALSE)),"")</f>
        <v>#N/A</v>
      </c>
      <c r="AI60" s="58"/>
      <c r="AJ60" s="16" t="e">
        <f ca="1">IF($A60&lt;&gt;"",
IF(VLOOKUP($A60,貼り付け用!$A$1:$BA$300,COLUMN()/2+1,FALSE)=0,"",VLOOKUP($A60,貼り付け用!$A$1:$BA$300,COLUMN()/2+1,FALSE)),"")</f>
        <v>#N/A</v>
      </c>
      <c r="AK60" s="58"/>
      <c r="AL60" s="16" t="e">
        <f ca="1">IF($A60&lt;&gt;"",
IF(VLOOKUP($A60,貼り付け用!$A$1:$BA$300,COLUMN()/2+1,FALSE)=0,"",VLOOKUP($A60,貼り付け用!$A$1:$BA$300,COLUMN()/2+1,FALSE)),"")</f>
        <v>#N/A</v>
      </c>
      <c r="AM60" s="210" t="e">
        <f ca="1">IF($A60&lt;&gt;"",
IF(VLOOKUP($A60,貼り付け用!$A$1:$BA$300,COLUMN()/2+2,FALSE)=0,"",VLOOKUP($A60,貼り付け用!$A$1:$BA$300,COLUMN()/2+2,FALSE)),"")</f>
        <v>#N/A</v>
      </c>
      <c r="AN60" s="210" t="e">
        <f ca="1">IF($A60&lt;&gt;"",
IF(VLOOKUP($A60,貼り付け用!$A$1:$BA$300,COLUMN()/2+3,FALSE)=0,"",VLOOKUP($A60,貼り付け用!$A$1:$BA$300,COLUMN()/2+3,FALSE)),"")</f>
        <v>#N/A</v>
      </c>
    </row>
    <row r="61" spans="1:40" x14ac:dyDescent="0.45">
      <c r="A61" s="8" t="e" cm="1">
        <f t="array" aca="1" ref="A61" ca="1">IF(OR(COUNTIF(A59,"*1000*"),COUNTIF(A59,"")),"",INDEX(貼り付け用!$A:$A,MATCH(A59,貼り付け用!$A:$A,0)+2,0))</f>
        <v>#N/A</v>
      </c>
      <c r="B61" s="46" t="e">
        <f ca="1">IF($A61&lt;&gt;"",
IF(VLOOKUP($A61,貼り付け用!$A$1:$BA$300,COLUMN()/2+1,FALSE)=0,"",VLOOKUP($A61,貼り付け用!$A$1:$BA$300,COLUMN()/2+1,FALSE)),"")</f>
        <v>#N/A</v>
      </c>
      <c r="C61" s="46"/>
      <c r="D61" s="46" t="e">
        <f ca="1">IF($A61&lt;&gt;"",
IF(VLOOKUP($A61,貼り付け用!$A$1:$BA$300,COLUMN()/2+1,FALSE)=0,"",VLOOKUP($A61,貼り付け用!$A$1:$BA$300,COLUMN()/2+1,FALSE)),"")</f>
        <v>#N/A</v>
      </c>
      <c r="E61" s="46"/>
      <c r="F61" s="46" t="e">
        <f ca="1">IF($A61&lt;&gt;"",
IF(VLOOKUP($A61,貼り付け用!$A$1:$BA$300,COLUMN()/2+1,FALSE)=0,"",VLOOKUP($A61,貼り付け用!$A$1:$BA$300,COLUMN()/2+1,FALSE)),"")</f>
        <v>#N/A</v>
      </c>
      <c r="G61" s="46"/>
      <c r="H61" s="46" t="e">
        <f ca="1">IF($A61&lt;&gt;"",
IF(VLOOKUP($A61,貼り付け用!$A$1:$BA$300,COLUMN()/2+1,FALSE)=0,"",VLOOKUP($A61,貼り付け用!$A$1:$BA$300,COLUMN()/2+1,FALSE)),"")</f>
        <v>#N/A</v>
      </c>
      <c r="I61" s="46"/>
      <c r="J61" s="46" t="e">
        <f ca="1">IF($A61&lt;&gt;"",
IF(VLOOKUP($A61,貼り付け用!$A$1:$BA$300,COLUMN()/2+1,FALSE)=0,"",VLOOKUP($A61,貼り付け用!$A$1:$BA$300,COLUMN()/2+1,FALSE)),"")</f>
        <v>#N/A</v>
      </c>
      <c r="K61" s="46"/>
      <c r="L61" s="46" t="e">
        <f ca="1">IF($A61&lt;&gt;"",
IF(VLOOKUP($A61,貼り付け用!$A$1:$BA$300,COLUMN()/2+1,FALSE)=0,"",VLOOKUP($A61,貼り付け用!$A$1:$BA$300,COLUMN()/2+1,FALSE)),"")</f>
        <v>#N/A</v>
      </c>
      <c r="M61" s="46"/>
      <c r="N61" s="46" t="e">
        <f ca="1">IF($A61&lt;&gt;"",
IF(VLOOKUP($A61,貼り付け用!$A$1:$BA$300,COLUMN()/2+1,FALSE)=0,"",VLOOKUP($A61,貼り付け用!$A$1:$BA$300,COLUMN()/2+1,FALSE)),"")</f>
        <v>#N/A</v>
      </c>
      <c r="O61" s="46"/>
      <c r="P61" s="46" t="e">
        <f ca="1">IF($A61&lt;&gt;"",
IF(VLOOKUP($A61,貼り付け用!$A$1:$BA$300,COLUMN()/2+1,FALSE)=0,"",VLOOKUP($A61,貼り付け用!$A$1:$BA$300,COLUMN()/2+1,FALSE)),"")</f>
        <v>#N/A</v>
      </c>
      <c r="Q61" s="46"/>
      <c r="R61" s="46" t="e">
        <f ca="1">IF($A61&lt;&gt;"",
IF(VLOOKUP($A61,貼り付け用!$A$1:$BA$300,COLUMN()/2+1,FALSE)=0,"",VLOOKUP($A61,貼り付け用!$A$1:$BA$300,COLUMN()/2+1,FALSE)),"")</f>
        <v>#N/A</v>
      </c>
      <c r="S61" s="46"/>
      <c r="T61" s="46" t="e">
        <f ca="1">IF($A61&lt;&gt;"",
IF(VLOOKUP($A61,貼り付け用!$A$1:$BA$300,COLUMN()/2+1,FALSE)=0,"",VLOOKUP($A61,貼り付け用!$A$1:$BA$300,COLUMN()/2+1,FALSE)),"")</f>
        <v>#N/A</v>
      </c>
      <c r="U61" s="46"/>
      <c r="V61" s="46" t="e">
        <f ca="1">IF($A61&lt;&gt;"",
IF(VLOOKUP($A61,貼り付け用!$A$1:$BA$300,COLUMN()/2+1,FALSE)=0,"",VLOOKUP($A61,貼り付け用!$A$1:$BA$300,COLUMN()/2+1,FALSE)),"")</f>
        <v>#N/A</v>
      </c>
      <c r="W61" s="46"/>
      <c r="X61" s="46" t="e">
        <f ca="1">IF($A61&lt;&gt;"",
IF(VLOOKUP($A61,貼り付け用!$A$1:$BA$300,COLUMN()/2+1,FALSE)=0,"",VLOOKUP($A61,貼り付け用!$A$1:$BA$300,COLUMN()/2+1,FALSE)),"")</f>
        <v>#N/A</v>
      </c>
      <c r="Y61" s="46"/>
      <c r="Z61" s="46" t="e">
        <f ca="1">IF($A61&lt;&gt;"",
IF(VLOOKUP($A61,貼り付け用!$A$1:$BA$300,COLUMN()/2+1,FALSE)=0,"",VLOOKUP($A61,貼り付け用!$A$1:$BA$300,COLUMN()/2+1,FALSE)),"")</f>
        <v>#N/A</v>
      </c>
      <c r="AA61" s="46"/>
      <c r="AB61" s="46" t="e">
        <f ca="1">IF($A61&lt;&gt;"",
IF(VLOOKUP($A61,貼り付け用!$A$1:$BA$300,COLUMN()/2+1,FALSE)=0,"",VLOOKUP($A61,貼り付け用!$A$1:$BA$300,COLUMN()/2+1,FALSE)),"")</f>
        <v>#N/A</v>
      </c>
      <c r="AC61" s="46"/>
      <c r="AD61" s="46" t="e">
        <f ca="1">IF($A61&lt;&gt;"",
IF(VLOOKUP($A61,貼り付け用!$A$1:$BA$300,COLUMN()/2+1,FALSE)=0,"",VLOOKUP($A61,貼り付け用!$A$1:$BA$300,COLUMN()/2+1,FALSE)),"")</f>
        <v>#N/A</v>
      </c>
      <c r="AE61" s="46"/>
      <c r="AF61" s="46" t="e">
        <f ca="1">IF($A61&lt;&gt;"",
IF(VLOOKUP($A61,貼り付け用!$A$1:$BA$300,COLUMN()/2+1,FALSE)=0,"",VLOOKUP($A61,貼り付け用!$A$1:$BA$300,COLUMN()/2+1,FALSE)),"")</f>
        <v>#N/A</v>
      </c>
      <c r="AG61" s="46"/>
      <c r="AH61" s="46" t="e">
        <f ca="1">IF($A61&lt;&gt;"",
IF(VLOOKUP($A61,貼り付け用!$A$1:$BA$300,COLUMN()/2+1,FALSE)=0,"",VLOOKUP($A61,貼り付け用!$A$1:$BA$300,COLUMN()/2+1,FALSE)),"")</f>
        <v>#N/A</v>
      </c>
      <c r="AI61" s="46"/>
      <c r="AJ61" s="46" t="e">
        <f ca="1">IF($A61&lt;&gt;"",
IF(VLOOKUP($A61,貼り付け用!$A$1:$BA$300,COLUMN()/2+1,FALSE)=0,"",VLOOKUP($A61,貼り付け用!$A$1:$BA$300,COLUMN()/2+1,FALSE)),"")</f>
        <v>#N/A</v>
      </c>
      <c r="AK61" s="46"/>
      <c r="AL61" s="46" t="e">
        <f ca="1">IF($A61&lt;&gt;"",
IF(VLOOKUP($A61,貼り付け用!$A$1:$BA$300,COLUMN()/2+1,FALSE)=0,"",VLOOKUP($A61,貼り付け用!$A$1:$BA$300,COLUMN()/2+1,FALSE)),"")</f>
        <v>#N/A</v>
      </c>
      <c r="AM61" s="211" t="e">
        <f ca="1">IF($A61&lt;&gt;"",
IF(VLOOKUP($A61,貼り付け用!$A$1:$BA$300,COLUMN()/2+2,FALSE)=0,"",VLOOKUP($A61,貼り付け用!$A$1:$BA$300,COLUMN()/2+2,FALSE)),"")</f>
        <v>#N/A</v>
      </c>
      <c r="AN61" s="211" t="e">
        <f ca="1">IF($A61&lt;&gt;"",
IF(VLOOKUP($A61,貼り付け用!$A$1:$BA$300,COLUMN()/2+3,FALSE)=0,"",VLOOKUP($A61,貼り付け用!$A$1:$BA$300,COLUMN()/2+3,FALSE)),"")</f>
        <v>#N/A</v>
      </c>
    </row>
    <row r="62" spans="1:40" x14ac:dyDescent="0.45">
      <c r="A62" s="5" t="e" cm="1">
        <f t="array" aca="1" ref="A62" ca="1">IF(OR(COUNTIF(A60,"*合計*"),COUNTIF(A60,"")),"",INDEX(貼り付け用!$A:$A,MATCH(A60,貼り付け用!$A:$A,0)+2,0))</f>
        <v>#N/A</v>
      </c>
      <c r="B62" s="16" t="e">
        <f ca="1">IF($A62&lt;&gt;"",
IF(VLOOKUP($A62,貼り付け用!$A$1:$BA$300,COLUMN()/2+1,FALSE)=0,"",VLOOKUP($A62,貼り付け用!$A$1:$BA$300,COLUMN()/2+1,FALSE)),"")</f>
        <v>#N/A</v>
      </c>
      <c r="C62" s="58"/>
      <c r="D62" s="16" t="e">
        <f ca="1">IF($A62&lt;&gt;"",
IF(VLOOKUP($A62,貼り付け用!$A$1:$BA$300,COLUMN()/2+1,FALSE)=0,"",VLOOKUP($A62,貼り付け用!$A$1:$BA$300,COLUMN()/2+1,FALSE)),"")</f>
        <v>#N/A</v>
      </c>
      <c r="E62" s="58"/>
      <c r="F62" s="16" t="e">
        <f ca="1">IF($A62&lt;&gt;"",
IF(VLOOKUP($A62,貼り付け用!$A$1:$BA$300,COLUMN()/2+1,FALSE)=0,"",VLOOKUP($A62,貼り付け用!$A$1:$BA$300,COLUMN()/2+1,FALSE)),"")</f>
        <v>#N/A</v>
      </c>
      <c r="G62" s="58"/>
      <c r="H62" s="16" t="e">
        <f ca="1">IF($A62&lt;&gt;"",
IF(VLOOKUP($A62,貼り付け用!$A$1:$BA$300,COLUMN()/2+1,FALSE)=0,"",VLOOKUP($A62,貼り付け用!$A$1:$BA$300,COLUMN()/2+1,FALSE)),"")</f>
        <v>#N/A</v>
      </c>
      <c r="I62" s="58"/>
      <c r="J62" s="16" t="e">
        <f ca="1">IF($A62&lt;&gt;"",
IF(VLOOKUP($A62,貼り付け用!$A$1:$BA$300,COLUMN()/2+1,FALSE)=0,"",VLOOKUP($A62,貼り付け用!$A$1:$BA$300,COLUMN()/2+1,FALSE)),"")</f>
        <v>#N/A</v>
      </c>
      <c r="K62" s="58"/>
      <c r="L62" s="16" t="e">
        <f ca="1">IF($A62&lt;&gt;"",
IF(VLOOKUP($A62,貼り付け用!$A$1:$BA$300,COLUMN()/2+1,FALSE)=0,"",VLOOKUP($A62,貼り付け用!$A$1:$BA$300,COLUMN()/2+1,FALSE)),"")</f>
        <v>#N/A</v>
      </c>
      <c r="M62" s="58"/>
      <c r="N62" s="16" t="e">
        <f ca="1">IF($A62&lt;&gt;"",
IF(VLOOKUP($A62,貼り付け用!$A$1:$BA$300,COLUMN()/2+1,FALSE)=0,"",VLOOKUP($A62,貼り付け用!$A$1:$BA$300,COLUMN()/2+1,FALSE)),"")</f>
        <v>#N/A</v>
      </c>
      <c r="O62" s="58"/>
      <c r="P62" s="16" t="e">
        <f ca="1">IF($A62&lt;&gt;"",
IF(VLOOKUP($A62,貼り付け用!$A$1:$BA$300,COLUMN()/2+1,FALSE)=0,"",VLOOKUP($A62,貼り付け用!$A$1:$BA$300,COLUMN()/2+1,FALSE)),"")</f>
        <v>#N/A</v>
      </c>
      <c r="Q62" s="58"/>
      <c r="R62" s="16" t="e">
        <f ca="1">IF($A62&lt;&gt;"",
IF(VLOOKUP($A62,貼り付け用!$A$1:$BA$300,COLUMN()/2+1,FALSE)=0,"",VLOOKUP($A62,貼り付け用!$A$1:$BA$300,COLUMN()/2+1,FALSE)),"")</f>
        <v>#N/A</v>
      </c>
      <c r="S62" s="58"/>
      <c r="T62" s="16" t="e">
        <f ca="1">IF($A62&lt;&gt;"",
IF(VLOOKUP($A62,貼り付け用!$A$1:$BA$300,COLUMN()/2+1,FALSE)=0,"",VLOOKUP($A62,貼り付け用!$A$1:$BA$300,COLUMN()/2+1,FALSE)),"")</f>
        <v>#N/A</v>
      </c>
      <c r="U62" s="58"/>
      <c r="V62" s="16" t="e">
        <f ca="1">IF($A62&lt;&gt;"",
IF(VLOOKUP($A62,貼り付け用!$A$1:$BA$300,COLUMN()/2+1,FALSE)=0,"",VLOOKUP($A62,貼り付け用!$A$1:$BA$300,COLUMN()/2+1,FALSE)),"")</f>
        <v>#N/A</v>
      </c>
      <c r="W62" s="58"/>
      <c r="X62" s="16" t="e">
        <f ca="1">IF($A62&lt;&gt;"",
IF(VLOOKUP($A62,貼り付け用!$A$1:$BA$300,COLUMN()/2+1,FALSE)=0,"",VLOOKUP($A62,貼り付け用!$A$1:$BA$300,COLUMN()/2+1,FALSE)),"")</f>
        <v>#N/A</v>
      </c>
      <c r="Y62" s="58"/>
      <c r="Z62" s="16" t="e">
        <f ca="1">IF($A62&lt;&gt;"",
IF(VLOOKUP($A62,貼り付け用!$A$1:$BA$300,COLUMN()/2+1,FALSE)=0,"",VLOOKUP($A62,貼り付け用!$A$1:$BA$300,COLUMN()/2+1,FALSE)),"")</f>
        <v>#N/A</v>
      </c>
      <c r="AA62" s="58"/>
      <c r="AB62" s="16" t="e">
        <f ca="1">IF($A62&lt;&gt;"",
IF(VLOOKUP($A62,貼り付け用!$A$1:$BA$300,COLUMN()/2+1,FALSE)=0,"",VLOOKUP($A62,貼り付け用!$A$1:$BA$300,COLUMN()/2+1,FALSE)),"")</f>
        <v>#N/A</v>
      </c>
      <c r="AC62" s="58"/>
      <c r="AD62" s="16" t="e">
        <f ca="1">IF($A62&lt;&gt;"",
IF(VLOOKUP($A62,貼り付け用!$A$1:$BA$300,COLUMN()/2+1,FALSE)=0,"",VLOOKUP($A62,貼り付け用!$A$1:$BA$300,COLUMN()/2+1,FALSE)),"")</f>
        <v>#N/A</v>
      </c>
      <c r="AE62" s="58"/>
      <c r="AF62" s="16" t="e">
        <f ca="1">IF($A62&lt;&gt;"",
IF(VLOOKUP($A62,貼り付け用!$A$1:$BA$300,COLUMN()/2+1,FALSE)=0,"",VLOOKUP($A62,貼り付け用!$A$1:$BA$300,COLUMN()/2+1,FALSE)),"")</f>
        <v>#N/A</v>
      </c>
      <c r="AG62" s="58"/>
      <c r="AH62" s="16" t="e">
        <f ca="1">IF($A62&lt;&gt;"",
IF(VLOOKUP($A62,貼り付け用!$A$1:$BA$300,COLUMN()/2+1,FALSE)=0,"",VLOOKUP($A62,貼り付け用!$A$1:$BA$300,COLUMN()/2+1,FALSE)),"")</f>
        <v>#N/A</v>
      </c>
      <c r="AI62" s="58"/>
      <c r="AJ62" s="16" t="e">
        <f ca="1">IF($A62&lt;&gt;"",
IF(VLOOKUP($A62,貼り付け用!$A$1:$BA$300,COLUMN()/2+1,FALSE)=0,"",VLOOKUP($A62,貼り付け用!$A$1:$BA$300,COLUMN()/2+1,FALSE)),"")</f>
        <v>#N/A</v>
      </c>
      <c r="AK62" s="58"/>
      <c r="AL62" s="16" t="e">
        <f ca="1">IF($A62&lt;&gt;"",
IF(VLOOKUP($A62,貼り付け用!$A$1:$BA$300,COLUMN()/2+1,FALSE)=0,"",VLOOKUP($A62,貼り付け用!$A$1:$BA$300,COLUMN()/2+1,FALSE)),"")</f>
        <v>#N/A</v>
      </c>
      <c r="AM62" s="210" t="e">
        <f ca="1">IF($A62&lt;&gt;"",
IF(VLOOKUP($A62,貼り付け用!$A$1:$BA$300,COLUMN()/2+2,FALSE)=0,"",VLOOKUP($A62,貼り付け用!$A$1:$BA$300,COLUMN()/2+2,FALSE)),"")</f>
        <v>#N/A</v>
      </c>
      <c r="AN62" s="210" t="e">
        <f ca="1">IF($A62&lt;&gt;"",
IF(VLOOKUP($A62,貼り付け用!$A$1:$BA$300,COLUMN()/2+3,FALSE)=0,"",VLOOKUP($A62,貼り付け用!$A$1:$BA$300,COLUMN()/2+3,FALSE)),"")</f>
        <v>#N/A</v>
      </c>
    </row>
    <row r="63" spans="1:40" x14ac:dyDescent="0.45">
      <c r="A63" s="8" t="e" cm="1">
        <f t="array" aca="1" ref="A63" ca="1">IF(OR(COUNTIF(A61,"*1000*"),COUNTIF(A61,"")),"",INDEX(貼り付け用!$A:$A,MATCH(A61,貼り付け用!$A:$A,0)+2,0))</f>
        <v>#N/A</v>
      </c>
      <c r="B63" s="46" t="e">
        <f ca="1">IF($A63&lt;&gt;"",
IF(VLOOKUP($A63,貼り付け用!$A$1:$BA$300,COLUMN()/2+1,FALSE)=0,"",VLOOKUP($A63,貼り付け用!$A$1:$BA$300,COLUMN()/2+1,FALSE)),"")</f>
        <v>#N/A</v>
      </c>
      <c r="C63" s="46"/>
      <c r="D63" s="46" t="e">
        <f ca="1">IF($A63&lt;&gt;"",
IF(VLOOKUP($A63,貼り付け用!$A$1:$BA$300,COLUMN()/2+1,FALSE)=0,"",VLOOKUP($A63,貼り付け用!$A$1:$BA$300,COLUMN()/2+1,FALSE)),"")</f>
        <v>#N/A</v>
      </c>
      <c r="E63" s="46"/>
      <c r="F63" s="46" t="e">
        <f ca="1">IF($A63&lt;&gt;"",
IF(VLOOKUP($A63,貼り付け用!$A$1:$BA$300,COLUMN()/2+1,FALSE)=0,"",VLOOKUP($A63,貼り付け用!$A$1:$BA$300,COLUMN()/2+1,FALSE)),"")</f>
        <v>#N/A</v>
      </c>
      <c r="G63" s="46"/>
      <c r="H63" s="46" t="e">
        <f ca="1">IF($A63&lt;&gt;"",
IF(VLOOKUP($A63,貼り付け用!$A$1:$BA$300,COLUMN()/2+1,FALSE)=0,"",VLOOKUP($A63,貼り付け用!$A$1:$BA$300,COLUMN()/2+1,FALSE)),"")</f>
        <v>#N/A</v>
      </c>
      <c r="I63" s="46"/>
      <c r="J63" s="46" t="e">
        <f ca="1">IF($A63&lt;&gt;"",
IF(VLOOKUP($A63,貼り付け用!$A$1:$BA$300,COLUMN()/2+1,FALSE)=0,"",VLOOKUP($A63,貼り付け用!$A$1:$BA$300,COLUMN()/2+1,FALSE)),"")</f>
        <v>#N/A</v>
      </c>
      <c r="K63" s="46"/>
      <c r="L63" s="46" t="e">
        <f ca="1">IF($A63&lt;&gt;"",
IF(VLOOKUP($A63,貼り付け用!$A$1:$BA$300,COLUMN()/2+1,FALSE)=0,"",VLOOKUP($A63,貼り付け用!$A$1:$BA$300,COLUMN()/2+1,FALSE)),"")</f>
        <v>#N/A</v>
      </c>
      <c r="M63" s="46"/>
      <c r="N63" s="46" t="e">
        <f ca="1">IF($A63&lt;&gt;"",
IF(VLOOKUP($A63,貼り付け用!$A$1:$BA$300,COLUMN()/2+1,FALSE)=0,"",VLOOKUP($A63,貼り付け用!$A$1:$BA$300,COLUMN()/2+1,FALSE)),"")</f>
        <v>#N/A</v>
      </c>
      <c r="O63" s="46"/>
      <c r="P63" s="46" t="e">
        <f ca="1">IF($A63&lt;&gt;"",
IF(VLOOKUP($A63,貼り付け用!$A$1:$BA$300,COLUMN()/2+1,FALSE)=0,"",VLOOKUP($A63,貼り付け用!$A$1:$BA$300,COLUMN()/2+1,FALSE)),"")</f>
        <v>#N/A</v>
      </c>
      <c r="Q63" s="46"/>
      <c r="R63" s="46" t="e">
        <f ca="1">IF($A63&lt;&gt;"",
IF(VLOOKUP($A63,貼り付け用!$A$1:$BA$300,COLUMN()/2+1,FALSE)=0,"",VLOOKUP($A63,貼り付け用!$A$1:$BA$300,COLUMN()/2+1,FALSE)),"")</f>
        <v>#N/A</v>
      </c>
      <c r="S63" s="46"/>
      <c r="T63" s="46" t="e">
        <f ca="1">IF($A63&lt;&gt;"",
IF(VLOOKUP($A63,貼り付け用!$A$1:$BA$300,COLUMN()/2+1,FALSE)=0,"",VLOOKUP($A63,貼り付け用!$A$1:$BA$300,COLUMN()/2+1,FALSE)),"")</f>
        <v>#N/A</v>
      </c>
      <c r="U63" s="46"/>
      <c r="V63" s="46" t="e">
        <f ca="1">IF($A63&lt;&gt;"",
IF(VLOOKUP($A63,貼り付け用!$A$1:$BA$300,COLUMN()/2+1,FALSE)=0,"",VLOOKUP($A63,貼り付け用!$A$1:$BA$300,COLUMN()/2+1,FALSE)),"")</f>
        <v>#N/A</v>
      </c>
      <c r="W63" s="46"/>
      <c r="X63" s="46" t="e">
        <f ca="1">IF($A63&lt;&gt;"",
IF(VLOOKUP($A63,貼り付け用!$A$1:$BA$300,COLUMN()/2+1,FALSE)=0,"",VLOOKUP($A63,貼り付け用!$A$1:$BA$300,COLUMN()/2+1,FALSE)),"")</f>
        <v>#N/A</v>
      </c>
      <c r="Y63" s="46"/>
      <c r="Z63" s="46" t="e">
        <f ca="1">IF($A63&lt;&gt;"",
IF(VLOOKUP($A63,貼り付け用!$A$1:$BA$300,COLUMN()/2+1,FALSE)=0,"",VLOOKUP($A63,貼り付け用!$A$1:$BA$300,COLUMN()/2+1,FALSE)),"")</f>
        <v>#N/A</v>
      </c>
      <c r="AA63" s="46"/>
      <c r="AB63" s="46" t="e">
        <f ca="1">IF($A63&lt;&gt;"",
IF(VLOOKUP($A63,貼り付け用!$A$1:$BA$300,COLUMN()/2+1,FALSE)=0,"",VLOOKUP($A63,貼り付け用!$A$1:$BA$300,COLUMN()/2+1,FALSE)),"")</f>
        <v>#N/A</v>
      </c>
      <c r="AC63" s="46"/>
      <c r="AD63" s="46" t="e">
        <f ca="1">IF($A63&lt;&gt;"",
IF(VLOOKUP($A63,貼り付け用!$A$1:$BA$300,COLUMN()/2+1,FALSE)=0,"",VLOOKUP($A63,貼り付け用!$A$1:$BA$300,COLUMN()/2+1,FALSE)),"")</f>
        <v>#N/A</v>
      </c>
      <c r="AE63" s="46"/>
      <c r="AF63" s="46" t="e">
        <f ca="1">IF($A63&lt;&gt;"",
IF(VLOOKUP($A63,貼り付け用!$A$1:$BA$300,COLUMN()/2+1,FALSE)=0,"",VLOOKUP($A63,貼り付け用!$A$1:$BA$300,COLUMN()/2+1,FALSE)),"")</f>
        <v>#N/A</v>
      </c>
      <c r="AG63" s="46"/>
      <c r="AH63" s="46" t="e">
        <f ca="1">IF($A63&lt;&gt;"",
IF(VLOOKUP($A63,貼り付け用!$A$1:$BA$300,COLUMN()/2+1,FALSE)=0,"",VLOOKUP($A63,貼り付け用!$A$1:$BA$300,COLUMN()/2+1,FALSE)),"")</f>
        <v>#N/A</v>
      </c>
      <c r="AI63" s="46"/>
      <c r="AJ63" s="46" t="e">
        <f ca="1">IF($A63&lt;&gt;"",
IF(VLOOKUP($A63,貼り付け用!$A$1:$BA$300,COLUMN()/2+1,FALSE)=0,"",VLOOKUP($A63,貼り付け用!$A$1:$BA$300,COLUMN()/2+1,FALSE)),"")</f>
        <v>#N/A</v>
      </c>
      <c r="AK63" s="46"/>
      <c r="AL63" s="46" t="e">
        <f ca="1">IF($A63&lt;&gt;"",
IF(VLOOKUP($A63,貼り付け用!$A$1:$BA$300,COLUMN()/2+1,FALSE)=0,"",VLOOKUP($A63,貼り付け用!$A$1:$BA$300,COLUMN()/2+1,FALSE)),"")</f>
        <v>#N/A</v>
      </c>
      <c r="AM63" s="211" t="e">
        <f ca="1">IF($A63&lt;&gt;"",
IF(VLOOKUP($A63,貼り付け用!$A$1:$BA$300,COLUMN()/2+2,FALSE)=0,"",VLOOKUP($A63,貼り付け用!$A$1:$BA$300,COLUMN()/2+2,FALSE)),"")</f>
        <v>#N/A</v>
      </c>
      <c r="AN63" s="211" t="e">
        <f ca="1">IF($A63&lt;&gt;"",
IF(VLOOKUP($A63,貼り付け用!$A$1:$BA$300,COLUMN()/2+3,FALSE)=0,"",VLOOKUP($A63,貼り付け用!$A$1:$BA$300,COLUMN()/2+3,FALSE)),"")</f>
        <v>#N/A</v>
      </c>
    </row>
    <row r="64" spans="1:40" x14ac:dyDescent="0.45">
      <c r="A64" s="5" t="e" cm="1">
        <f t="array" aca="1" ref="A64" ca="1">IF(OR(COUNTIF(A62,"*合計*"),COUNTIF(A62,"")),"",INDEX(貼り付け用!$A:$A,MATCH(A62,貼り付け用!$A:$A,0)+2,0))</f>
        <v>#N/A</v>
      </c>
      <c r="B64" s="16" t="e">
        <f ca="1">IF($A64&lt;&gt;"",
IF(VLOOKUP($A64,貼り付け用!$A$1:$BA$300,COLUMN()/2+1,FALSE)=0,"",VLOOKUP($A64,貼り付け用!$A$1:$BA$300,COLUMN()/2+1,FALSE)),"")</f>
        <v>#N/A</v>
      </c>
      <c r="C64" s="58"/>
      <c r="D64" s="16" t="e">
        <f ca="1">IF($A64&lt;&gt;"",
IF(VLOOKUP($A64,貼り付け用!$A$1:$BA$300,COLUMN()/2+1,FALSE)=0,"",VLOOKUP($A64,貼り付け用!$A$1:$BA$300,COLUMN()/2+1,FALSE)),"")</f>
        <v>#N/A</v>
      </c>
      <c r="E64" s="58"/>
      <c r="F64" s="16" t="e">
        <f ca="1">IF($A64&lt;&gt;"",
IF(VLOOKUP($A64,貼り付け用!$A$1:$BA$300,COLUMN()/2+1,FALSE)=0,"",VLOOKUP($A64,貼り付け用!$A$1:$BA$300,COLUMN()/2+1,FALSE)),"")</f>
        <v>#N/A</v>
      </c>
      <c r="G64" s="58"/>
      <c r="H64" s="16" t="e">
        <f ca="1">IF($A64&lt;&gt;"",
IF(VLOOKUP($A64,貼り付け用!$A$1:$BA$300,COLUMN()/2+1,FALSE)=0,"",VLOOKUP($A64,貼り付け用!$A$1:$BA$300,COLUMN()/2+1,FALSE)),"")</f>
        <v>#N/A</v>
      </c>
      <c r="I64" s="58"/>
      <c r="J64" s="16" t="e">
        <f ca="1">IF($A64&lt;&gt;"",
IF(VLOOKUP($A64,貼り付け用!$A$1:$BA$300,COLUMN()/2+1,FALSE)=0,"",VLOOKUP($A64,貼り付け用!$A$1:$BA$300,COLUMN()/2+1,FALSE)),"")</f>
        <v>#N/A</v>
      </c>
      <c r="K64" s="58"/>
      <c r="L64" s="16" t="e">
        <f ca="1">IF($A64&lt;&gt;"",
IF(VLOOKUP($A64,貼り付け用!$A$1:$BA$300,COLUMN()/2+1,FALSE)=0,"",VLOOKUP($A64,貼り付け用!$A$1:$BA$300,COLUMN()/2+1,FALSE)),"")</f>
        <v>#N/A</v>
      </c>
      <c r="M64" s="58"/>
      <c r="N64" s="16" t="e">
        <f ca="1">IF($A64&lt;&gt;"",
IF(VLOOKUP($A64,貼り付け用!$A$1:$BA$300,COLUMN()/2+1,FALSE)=0,"",VLOOKUP($A64,貼り付け用!$A$1:$BA$300,COLUMN()/2+1,FALSE)),"")</f>
        <v>#N/A</v>
      </c>
      <c r="O64" s="58"/>
      <c r="P64" s="16" t="e">
        <f ca="1">IF($A64&lt;&gt;"",
IF(VLOOKUP($A64,貼り付け用!$A$1:$BA$300,COLUMN()/2+1,FALSE)=0,"",VLOOKUP($A64,貼り付け用!$A$1:$BA$300,COLUMN()/2+1,FALSE)),"")</f>
        <v>#N/A</v>
      </c>
      <c r="Q64" s="58"/>
      <c r="R64" s="16" t="e">
        <f ca="1">IF($A64&lt;&gt;"",
IF(VLOOKUP($A64,貼り付け用!$A$1:$BA$300,COLUMN()/2+1,FALSE)=0,"",VLOOKUP($A64,貼り付け用!$A$1:$BA$300,COLUMN()/2+1,FALSE)),"")</f>
        <v>#N/A</v>
      </c>
      <c r="S64" s="58"/>
      <c r="T64" s="16" t="e">
        <f ca="1">IF($A64&lt;&gt;"",
IF(VLOOKUP($A64,貼り付け用!$A$1:$BA$300,COLUMN()/2+1,FALSE)=0,"",VLOOKUP($A64,貼り付け用!$A$1:$BA$300,COLUMN()/2+1,FALSE)),"")</f>
        <v>#N/A</v>
      </c>
      <c r="U64" s="58"/>
      <c r="V64" s="16" t="e">
        <f ca="1">IF($A64&lt;&gt;"",
IF(VLOOKUP($A64,貼り付け用!$A$1:$BA$300,COLUMN()/2+1,FALSE)=0,"",VLOOKUP($A64,貼り付け用!$A$1:$BA$300,COLUMN()/2+1,FALSE)),"")</f>
        <v>#N/A</v>
      </c>
      <c r="W64" s="58"/>
      <c r="X64" s="16" t="e">
        <f ca="1">IF($A64&lt;&gt;"",
IF(VLOOKUP($A64,貼り付け用!$A$1:$BA$300,COLUMN()/2+1,FALSE)=0,"",VLOOKUP($A64,貼り付け用!$A$1:$BA$300,COLUMN()/2+1,FALSE)),"")</f>
        <v>#N/A</v>
      </c>
      <c r="Y64" s="58"/>
      <c r="Z64" s="16" t="e">
        <f ca="1">IF($A64&lt;&gt;"",
IF(VLOOKUP($A64,貼り付け用!$A$1:$BA$300,COLUMN()/2+1,FALSE)=0,"",VLOOKUP($A64,貼り付け用!$A$1:$BA$300,COLUMN()/2+1,FALSE)),"")</f>
        <v>#N/A</v>
      </c>
      <c r="AA64" s="58"/>
      <c r="AB64" s="16" t="e">
        <f ca="1">IF($A64&lt;&gt;"",
IF(VLOOKUP($A64,貼り付け用!$A$1:$BA$300,COLUMN()/2+1,FALSE)=0,"",VLOOKUP($A64,貼り付け用!$A$1:$BA$300,COLUMN()/2+1,FALSE)),"")</f>
        <v>#N/A</v>
      </c>
      <c r="AC64" s="58"/>
      <c r="AD64" s="16" t="e">
        <f ca="1">IF($A64&lt;&gt;"",
IF(VLOOKUP($A64,貼り付け用!$A$1:$BA$300,COLUMN()/2+1,FALSE)=0,"",VLOOKUP($A64,貼り付け用!$A$1:$BA$300,COLUMN()/2+1,FALSE)),"")</f>
        <v>#N/A</v>
      </c>
      <c r="AE64" s="58"/>
      <c r="AF64" s="16" t="e">
        <f ca="1">IF($A64&lt;&gt;"",
IF(VLOOKUP($A64,貼り付け用!$A$1:$BA$300,COLUMN()/2+1,FALSE)=0,"",VLOOKUP($A64,貼り付け用!$A$1:$BA$300,COLUMN()/2+1,FALSE)),"")</f>
        <v>#N/A</v>
      </c>
      <c r="AG64" s="58"/>
      <c r="AH64" s="16" t="e">
        <f ca="1">IF($A64&lt;&gt;"",
IF(VLOOKUP($A64,貼り付け用!$A$1:$BA$300,COLUMN()/2+1,FALSE)=0,"",VLOOKUP($A64,貼り付け用!$A$1:$BA$300,COLUMN()/2+1,FALSE)),"")</f>
        <v>#N/A</v>
      </c>
      <c r="AI64" s="58"/>
      <c r="AJ64" s="16" t="e">
        <f ca="1">IF($A64&lt;&gt;"",
IF(VLOOKUP($A64,貼り付け用!$A$1:$BA$300,COLUMN()/2+1,FALSE)=0,"",VLOOKUP($A64,貼り付け用!$A$1:$BA$300,COLUMN()/2+1,FALSE)),"")</f>
        <v>#N/A</v>
      </c>
      <c r="AK64" s="58"/>
      <c r="AL64" s="16" t="e">
        <f ca="1">IF($A64&lt;&gt;"",
IF(VLOOKUP($A64,貼り付け用!$A$1:$BA$300,COLUMN()/2+1,FALSE)=0,"",VLOOKUP($A64,貼り付け用!$A$1:$BA$300,COLUMN()/2+1,FALSE)),"")</f>
        <v>#N/A</v>
      </c>
      <c r="AM64" s="210" t="e">
        <f ca="1">IF($A64&lt;&gt;"",
IF(VLOOKUP($A64,貼り付け用!$A$1:$BA$300,COLUMN()/2+2,FALSE)=0,"",VLOOKUP($A64,貼り付け用!$A$1:$BA$300,COLUMN()/2+2,FALSE)),"")</f>
        <v>#N/A</v>
      </c>
      <c r="AN64" s="210" t="e">
        <f ca="1">IF($A64&lt;&gt;"",
IF(VLOOKUP($A64,貼り付け用!$A$1:$BA$300,COLUMN()/2+3,FALSE)=0,"",VLOOKUP($A64,貼り付け用!$A$1:$BA$300,COLUMN()/2+3,FALSE)),"")</f>
        <v>#N/A</v>
      </c>
    </row>
    <row r="65" spans="1:40" x14ac:dyDescent="0.45">
      <c r="A65" s="8" t="e" cm="1">
        <f t="array" aca="1" ref="A65" ca="1">IF(OR(COUNTIF(A63,"*1000*"),COUNTIF(A63,"")),"",INDEX(貼り付け用!$A:$A,MATCH(A63,貼り付け用!$A:$A,0)+2,0))</f>
        <v>#N/A</v>
      </c>
      <c r="B65" s="46" t="e">
        <f ca="1">IF($A65&lt;&gt;"",
IF(VLOOKUP($A65,貼り付け用!$A$1:$BA$300,COLUMN()/2+1,FALSE)=0,"",VLOOKUP($A65,貼り付け用!$A$1:$BA$300,COLUMN()/2+1,FALSE)),"")</f>
        <v>#N/A</v>
      </c>
      <c r="C65" s="46"/>
      <c r="D65" s="46" t="e">
        <f ca="1">IF($A65&lt;&gt;"",
IF(VLOOKUP($A65,貼り付け用!$A$1:$BA$300,COLUMN()/2+1,FALSE)=0,"",VLOOKUP($A65,貼り付け用!$A$1:$BA$300,COLUMN()/2+1,FALSE)),"")</f>
        <v>#N/A</v>
      </c>
      <c r="E65" s="46"/>
      <c r="F65" s="46" t="e">
        <f ca="1">IF($A65&lt;&gt;"",
IF(VLOOKUP($A65,貼り付け用!$A$1:$BA$300,COLUMN()/2+1,FALSE)=0,"",VLOOKUP($A65,貼り付け用!$A$1:$BA$300,COLUMN()/2+1,FALSE)),"")</f>
        <v>#N/A</v>
      </c>
      <c r="G65" s="46"/>
      <c r="H65" s="46" t="e">
        <f ca="1">IF($A65&lt;&gt;"",
IF(VLOOKUP($A65,貼り付け用!$A$1:$BA$300,COLUMN()/2+1,FALSE)=0,"",VLOOKUP($A65,貼り付け用!$A$1:$BA$300,COLUMN()/2+1,FALSE)),"")</f>
        <v>#N/A</v>
      </c>
      <c r="I65" s="46"/>
      <c r="J65" s="46" t="e">
        <f ca="1">IF($A65&lt;&gt;"",
IF(VLOOKUP($A65,貼り付け用!$A$1:$BA$300,COLUMN()/2+1,FALSE)=0,"",VLOOKUP($A65,貼り付け用!$A$1:$BA$300,COLUMN()/2+1,FALSE)),"")</f>
        <v>#N/A</v>
      </c>
      <c r="K65" s="46"/>
      <c r="L65" s="46" t="e">
        <f ca="1">IF($A65&lt;&gt;"",
IF(VLOOKUP($A65,貼り付け用!$A$1:$BA$300,COLUMN()/2+1,FALSE)=0,"",VLOOKUP($A65,貼り付け用!$A$1:$BA$300,COLUMN()/2+1,FALSE)),"")</f>
        <v>#N/A</v>
      </c>
      <c r="M65" s="46"/>
      <c r="N65" s="46" t="e">
        <f ca="1">IF($A65&lt;&gt;"",
IF(VLOOKUP($A65,貼り付け用!$A$1:$BA$300,COLUMN()/2+1,FALSE)=0,"",VLOOKUP($A65,貼り付け用!$A$1:$BA$300,COLUMN()/2+1,FALSE)),"")</f>
        <v>#N/A</v>
      </c>
      <c r="O65" s="46"/>
      <c r="P65" s="46" t="e">
        <f ca="1">IF($A65&lt;&gt;"",
IF(VLOOKUP($A65,貼り付け用!$A$1:$BA$300,COLUMN()/2+1,FALSE)=0,"",VLOOKUP($A65,貼り付け用!$A$1:$BA$300,COLUMN()/2+1,FALSE)),"")</f>
        <v>#N/A</v>
      </c>
      <c r="Q65" s="46"/>
      <c r="R65" s="46" t="e">
        <f ca="1">IF($A65&lt;&gt;"",
IF(VLOOKUP($A65,貼り付け用!$A$1:$BA$300,COLUMN()/2+1,FALSE)=0,"",VLOOKUP($A65,貼り付け用!$A$1:$BA$300,COLUMN()/2+1,FALSE)),"")</f>
        <v>#N/A</v>
      </c>
      <c r="S65" s="46"/>
      <c r="T65" s="46" t="e">
        <f ca="1">IF($A65&lt;&gt;"",
IF(VLOOKUP($A65,貼り付け用!$A$1:$BA$300,COLUMN()/2+1,FALSE)=0,"",VLOOKUP($A65,貼り付け用!$A$1:$BA$300,COLUMN()/2+1,FALSE)),"")</f>
        <v>#N/A</v>
      </c>
      <c r="U65" s="46"/>
      <c r="V65" s="46" t="e">
        <f ca="1">IF($A65&lt;&gt;"",
IF(VLOOKUP($A65,貼り付け用!$A$1:$BA$300,COLUMN()/2+1,FALSE)=0,"",VLOOKUP($A65,貼り付け用!$A$1:$BA$300,COLUMN()/2+1,FALSE)),"")</f>
        <v>#N/A</v>
      </c>
      <c r="W65" s="46"/>
      <c r="X65" s="46" t="e">
        <f ca="1">IF($A65&lt;&gt;"",
IF(VLOOKUP($A65,貼り付け用!$A$1:$BA$300,COLUMN()/2+1,FALSE)=0,"",VLOOKUP($A65,貼り付け用!$A$1:$BA$300,COLUMN()/2+1,FALSE)),"")</f>
        <v>#N/A</v>
      </c>
      <c r="Y65" s="46"/>
      <c r="Z65" s="46" t="e">
        <f ca="1">IF($A65&lt;&gt;"",
IF(VLOOKUP($A65,貼り付け用!$A$1:$BA$300,COLUMN()/2+1,FALSE)=0,"",VLOOKUP($A65,貼り付け用!$A$1:$BA$300,COLUMN()/2+1,FALSE)),"")</f>
        <v>#N/A</v>
      </c>
      <c r="AA65" s="46"/>
      <c r="AB65" s="46" t="e">
        <f ca="1">IF($A65&lt;&gt;"",
IF(VLOOKUP($A65,貼り付け用!$A$1:$BA$300,COLUMN()/2+1,FALSE)=0,"",VLOOKUP($A65,貼り付け用!$A$1:$BA$300,COLUMN()/2+1,FALSE)),"")</f>
        <v>#N/A</v>
      </c>
      <c r="AC65" s="46"/>
      <c r="AD65" s="46" t="e">
        <f ca="1">IF($A65&lt;&gt;"",
IF(VLOOKUP($A65,貼り付け用!$A$1:$BA$300,COLUMN()/2+1,FALSE)=0,"",VLOOKUP($A65,貼り付け用!$A$1:$BA$300,COLUMN()/2+1,FALSE)),"")</f>
        <v>#N/A</v>
      </c>
      <c r="AE65" s="46"/>
      <c r="AF65" s="46" t="e">
        <f ca="1">IF($A65&lt;&gt;"",
IF(VLOOKUP($A65,貼り付け用!$A$1:$BA$300,COLUMN()/2+1,FALSE)=0,"",VLOOKUP($A65,貼り付け用!$A$1:$BA$300,COLUMN()/2+1,FALSE)),"")</f>
        <v>#N/A</v>
      </c>
      <c r="AG65" s="46"/>
      <c r="AH65" s="46" t="e">
        <f ca="1">IF($A65&lt;&gt;"",
IF(VLOOKUP($A65,貼り付け用!$A$1:$BA$300,COLUMN()/2+1,FALSE)=0,"",VLOOKUP($A65,貼り付け用!$A$1:$BA$300,COLUMN()/2+1,FALSE)),"")</f>
        <v>#N/A</v>
      </c>
      <c r="AI65" s="46"/>
      <c r="AJ65" s="46" t="e">
        <f ca="1">IF($A65&lt;&gt;"",
IF(VLOOKUP($A65,貼り付け用!$A$1:$BA$300,COLUMN()/2+1,FALSE)=0,"",VLOOKUP($A65,貼り付け用!$A$1:$BA$300,COLUMN()/2+1,FALSE)),"")</f>
        <v>#N/A</v>
      </c>
      <c r="AK65" s="46"/>
      <c r="AL65" s="46" t="e">
        <f ca="1">IF($A65&lt;&gt;"",
IF(VLOOKUP($A65,貼り付け用!$A$1:$BA$300,COLUMN()/2+1,FALSE)=0,"",VLOOKUP($A65,貼り付け用!$A$1:$BA$300,COLUMN()/2+1,FALSE)),"")</f>
        <v>#N/A</v>
      </c>
      <c r="AM65" s="211" t="e">
        <f ca="1">IF($A65&lt;&gt;"",
IF(VLOOKUP($A65,貼り付け用!$A$1:$BA$300,COLUMN()/2+2,FALSE)=0,"",VLOOKUP($A65,貼り付け用!$A$1:$BA$300,COLUMN()/2+2,FALSE)),"")</f>
        <v>#N/A</v>
      </c>
      <c r="AN65" s="211" t="e">
        <f ca="1">IF($A65&lt;&gt;"",
IF(VLOOKUP($A65,貼り付け用!$A$1:$BA$300,COLUMN()/2+3,FALSE)=0,"",VLOOKUP($A65,貼り付け用!$A$1:$BA$300,COLUMN()/2+3,FALSE)),"")</f>
        <v>#N/A</v>
      </c>
    </row>
    <row r="66" spans="1:40" x14ac:dyDescent="0.45">
      <c r="A66" s="5" t="e" cm="1">
        <f t="array" aca="1" ref="A66" ca="1">IF(OR(COUNTIF(A64,"*合計*"),COUNTIF(A64,"")),"",INDEX(貼り付け用!$A:$A,MATCH(A64,貼り付け用!$A:$A,0)+2,0))</f>
        <v>#N/A</v>
      </c>
      <c r="B66" s="16" t="e">
        <f ca="1">IF($A66&lt;&gt;"",
IF(VLOOKUP($A66,貼り付け用!$A$1:$BA$300,COLUMN()/2+1,FALSE)=0,"",VLOOKUP($A66,貼り付け用!$A$1:$BA$300,COLUMN()/2+1,FALSE)),"")</f>
        <v>#N/A</v>
      </c>
      <c r="C66" s="58"/>
      <c r="D66" s="16" t="e">
        <f ca="1">IF($A66&lt;&gt;"",
IF(VLOOKUP($A66,貼り付け用!$A$1:$BA$300,COLUMN()/2+1,FALSE)=0,"",VLOOKUP($A66,貼り付け用!$A$1:$BA$300,COLUMN()/2+1,FALSE)),"")</f>
        <v>#N/A</v>
      </c>
      <c r="E66" s="58"/>
      <c r="F66" s="16" t="e">
        <f ca="1">IF($A66&lt;&gt;"",
IF(VLOOKUP($A66,貼り付け用!$A$1:$BA$300,COLUMN()/2+1,FALSE)=0,"",VLOOKUP($A66,貼り付け用!$A$1:$BA$300,COLUMN()/2+1,FALSE)),"")</f>
        <v>#N/A</v>
      </c>
      <c r="G66" s="58"/>
      <c r="H66" s="16" t="e">
        <f ca="1">IF($A66&lt;&gt;"",
IF(VLOOKUP($A66,貼り付け用!$A$1:$BA$300,COLUMN()/2+1,FALSE)=0,"",VLOOKUP($A66,貼り付け用!$A$1:$BA$300,COLUMN()/2+1,FALSE)),"")</f>
        <v>#N/A</v>
      </c>
      <c r="I66" s="58"/>
      <c r="J66" s="16" t="e">
        <f ca="1">IF($A66&lt;&gt;"",
IF(VLOOKUP($A66,貼り付け用!$A$1:$BA$300,COLUMN()/2+1,FALSE)=0,"",VLOOKUP($A66,貼り付け用!$A$1:$BA$300,COLUMN()/2+1,FALSE)),"")</f>
        <v>#N/A</v>
      </c>
      <c r="K66" s="58"/>
      <c r="L66" s="16" t="e">
        <f ca="1">IF($A66&lt;&gt;"",
IF(VLOOKUP($A66,貼り付け用!$A$1:$BA$300,COLUMN()/2+1,FALSE)=0,"",VLOOKUP($A66,貼り付け用!$A$1:$BA$300,COLUMN()/2+1,FALSE)),"")</f>
        <v>#N/A</v>
      </c>
      <c r="M66" s="58"/>
      <c r="N66" s="16" t="e">
        <f ca="1">IF($A66&lt;&gt;"",
IF(VLOOKUP($A66,貼り付け用!$A$1:$BA$300,COLUMN()/2+1,FALSE)=0,"",VLOOKUP($A66,貼り付け用!$A$1:$BA$300,COLUMN()/2+1,FALSE)),"")</f>
        <v>#N/A</v>
      </c>
      <c r="O66" s="58"/>
      <c r="P66" s="16" t="e">
        <f ca="1">IF($A66&lt;&gt;"",
IF(VLOOKUP($A66,貼り付け用!$A$1:$BA$300,COLUMN()/2+1,FALSE)=0,"",VLOOKUP($A66,貼り付け用!$A$1:$BA$300,COLUMN()/2+1,FALSE)),"")</f>
        <v>#N/A</v>
      </c>
      <c r="Q66" s="58"/>
      <c r="R66" s="16" t="e">
        <f ca="1">IF($A66&lt;&gt;"",
IF(VLOOKUP($A66,貼り付け用!$A$1:$BA$300,COLUMN()/2+1,FALSE)=0,"",VLOOKUP($A66,貼り付け用!$A$1:$BA$300,COLUMN()/2+1,FALSE)),"")</f>
        <v>#N/A</v>
      </c>
      <c r="S66" s="58"/>
      <c r="T66" s="16" t="e">
        <f ca="1">IF($A66&lt;&gt;"",
IF(VLOOKUP($A66,貼り付け用!$A$1:$BA$300,COLUMN()/2+1,FALSE)=0,"",VLOOKUP($A66,貼り付け用!$A$1:$BA$300,COLUMN()/2+1,FALSE)),"")</f>
        <v>#N/A</v>
      </c>
      <c r="U66" s="58"/>
      <c r="V66" s="16" t="e">
        <f ca="1">IF($A66&lt;&gt;"",
IF(VLOOKUP($A66,貼り付け用!$A$1:$BA$300,COLUMN()/2+1,FALSE)=0,"",VLOOKUP($A66,貼り付け用!$A$1:$BA$300,COLUMN()/2+1,FALSE)),"")</f>
        <v>#N/A</v>
      </c>
      <c r="W66" s="58"/>
      <c r="X66" s="16" t="e">
        <f ca="1">IF($A66&lt;&gt;"",
IF(VLOOKUP($A66,貼り付け用!$A$1:$BA$300,COLUMN()/2+1,FALSE)=0,"",VLOOKUP($A66,貼り付け用!$A$1:$BA$300,COLUMN()/2+1,FALSE)),"")</f>
        <v>#N/A</v>
      </c>
      <c r="Y66" s="58"/>
      <c r="Z66" s="16" t="e">
        <f ca="1">IF($A66&lt;&gt;"",
IF(VLOOKUP($A66,貼り付け用!$A$1:$BA$300,COLUMN()/2+1,FALSE)=0,"",VLOOKUP($A66,貼り付け用!$A$1:$BA$300,COLUMN()/2+1,FALSE)),"")</f>
        <v>#N/A</v>
      </c>
      <c r="AA66" s="58"/>
      <c r="AB66" s="16" t="e">
        <f ca="1">IF($A66&lt;&gt;"",
IF(VLOOKUP($A66,貼り付け用!$A$1:$BA$300,COLUMN()/2+1,FALSE)=0,"",VLOOKUP($A66,貼り付け用!$A$1:$BA$300,COLUMN()/2+1,FALSE)),"")</f>
        <v>#N/A</v>
      </c>
      <c r="AC66" s="58"/>
      <c r="AD66" s="16" t="e">
        <f ca="1">IF($A66&lt;&gt;"",
IF(VLOOKUP($A66,貼り付け用!$A$1:$BA$300,COLUMN()/2+1,FALSE)=0,"",VLOOKUP($A66,貼り付け用!$A$1:$BA$300,COLUMN()/2+1,FALSE)),"")</f>
        <v>#N/A</v>
      </c>
      <c r="AE66" s="58"/>
      <c r="AF66" s="16" t="e">
        <f ca="1">IF($A66&lt;&gt;"",
IF(VLOOKUP($A66,貼り付け用!$A$1:$BA$300,COLUMN()/2+1,FALSE)=0,"",VLOOKUP($A66,貼り付け用!$A$1:$BA$300,COLUMN()/2+1,FALSE)),"")</f>
        <v>#N/A</v>
      </c>
      <c r="AG66" s="58"/>
      <c r="AH66" s="16" t="e">
        <f ca="1">IF($A66&lt;&gt;"",
IF(VLOOKUP($A66,貼り付け用!$A$1:$BA$300,COLUMN()/2+1,FALSE)=0,"",VLOOKUP($A66,貼り付け用!$A$1:$BA$300,COLUMN()/2+1,FALSE)),"")</f>
        <v>#N/A</v>
      </c>
      <c r="AI66" s="58"/>
      <c r="AJ66" s="16" t="e">
        <f ca="1">IF($A66&lt;&gt;"",
IF(VLOOKUP($A66,貼り付け用!$A$1:$BA$300,COLUMN()/2+1,FALSE)=0,"",VLOOKUP($A66,貼り付け用!$A$1:$BA$300,COLUMN()/2+1,FALSE)),"")</f>
        <v>#N/A</v>
      </c>
      <c r="AK66" s="58"/>
      <c r="AL66" s="16" t="e">
        <f ca="1">IF($A66&lt;&gt;"",
IF(VLOOKUP($A66,貼り付け用!$A$1:$BA$300,COLUMN()/2+1,FALSE)=0,"",VLOOKUP($A66,貼り付け用!$A$1:$BA$300,COLUMN()/2+1,FALSE)),"")</f>
        <v>#N/A</v>
      </c>
      <c r="AM66" s="210" t="e">
        <f ca="1">IF($A66&lt;&gt;"",
IF(VLOOKUP($A66,貼り付け用!$A$1:$BA$300,COLUMN()/2+2,FALSE)=0,"",VLOOKUP($A66,貼り付け用!$A$1:$BA$300,COLUMN()/2+2,FALSE)),"")</f>
        <v>#N/A</v>
      </c>
      <c r="AN66" s="210" t="e">
        <f ca="1">IF($A66&lt;&gt;"",
IF(VLOOKUP($A66,貼り付け用!$A$1:$BA$300,COLUMN()/2+3,FALSE)=0,"",VLOOKUP($A66,貼り付け用!$A$1:$BA$300,COLUMN()/2+3,FALSE)),"")</f>
        <v>#N/A</v>
      </c>
    </row>
    <row r="67" spans="1:40" x14ac:dyDescent="0.45">
      <c r="A67" s="8" t="e" cm="1">
        <f t="array" aca="1" ref="A67" ca="1">IF(OR(COUNTIF(A65,"*1000*"),COUNTIF(A65,"")),"",INDEX(貼り付け用!$A:$A,MATCH(A65,貼り付け用!$A:$A,0)+2,0))</f>
        <v>#N/A</v>
      </c>
      <c r="B67" s="46" t="e">
        <f ca="1">IF($A67&lt;&gt;"",
IF(VLOOKUP($A67,貼り付け用!$A$1:$BA$300,COLUMN()/2+1,FALSE)=0,"",VLOOKUP($A67,貼り付け用!$A$1:$BA$300,COLUMN()/2+1,FALSE)),"")</f>
        <v>#N/A</v>
      </c>
      <c r="C67" s="46"/>
      <c r="D67" s="46" t="e">
        <f ca="1">IF($A67&lt;&gt;"",
IF(VLOOKUP($A67,貼り付け用!$A$1:$BA$300,COLUMN()/2+1,FALSE)=0,"",VLOOKUP($A67,貼り付け用!$A$1:$BA$300,COLUMN()/2+1,FALSE)),"")</f>
        <v>#N/A</v>
      </c>
      <c r="E67" s="46"/>
      <c r="F67" s="46" t="e">
        <f ca="1">IF($A67&lt;&gt;"",
IF(VLOOKUP($A67,貼り付け用!$A$1:$BA$300,COLUMN()/2+1,FALSE)=0,"",VLOOKUP($A67,貼り付け用!$A$1:$BA$300,COLUMN()/2+1,FALSE)),"")</f>
        <v>#N/A</v>
      </c>
      <c r="G67" s="46"/>
      <c r="H67" s="46" t="e">
        <f ca="1">IF($A67&lt;&gt;"",
IF(VLOOKUP($A67,貼り付け用!$A$1:$BA$300,COLUMN()/2+1,FALSE)=0,"",VLOOKUP($A67,貼り付け用!$A$1:$BA$300,COLUMN()/2+1,FALSE)),"")</f>
        <v>#N/A</v>
      </c>
      <c r="I67" s="46"/>
      <c r="J67" s="46" t="e">
        <f ca="1">IF($A67&lt;&gt;"",
IF(VLOOKUP($A67,貼り付け用!$A$1:$BA$300,COLUMN()/2+1,FALSE)=0,"",VLOOKUP($A67,貼り付け用!$A$1:$BA$300,COLUMN()/2+1,FALSE)),"")</f>
        <v>#N/A</v>
      </c>
      <c r="K67" s="46"/>
      <c r="L67" s="46" t="e">
        <f ca="1">IF($A67&lt;&gt;"",
IF(VLOOKUP($A67,貼り付け用!$A$1:$BA$300,COLUMN()/2+1,FALSE)=0,"",VLOOKUP($A67,貼り付け用!$A$1:$BA$300,COLUMN()/2+1,FALSE)),"")</f>
        <v>#N/A</v>
      </c>
      <c r="M67" s="46"/>
      <c r="N67" s="46" t="e">
        <f ca="1">IF($A67&lt;&gt;"",
IF(VLOOKUP($A67,貼り付け用!$A$1:$BA$300,COLUMN()/2+1,FALSE)=0,"",VLOOKUP($A67,貼り付け用!$A$1:$BA$300,COLUMN()/2+1,FALSE)),"")</f>
        <v>#N/A</v>
      </c>
      <c r="O67" s="46"/>
      <c r="P67" s="46" t="e">
        <f ca="1">IF($A67&lt;&gt;"",
IF(VLOOKUP($A67,貼り付け用!$A$1:$BA$300,COLUMN()/2+1,FALSE)=0,"",VLOOKUP($A67,貼り付け用!$A$1:$BA$300,COLUMN()/2+1,FALSE)),"")</f>
        <v>#N/A</v>
      </c>
      <c r="Q67" s="46"/>
      <c r="R67" s="46" t="e">
        <f ca="1">IF($A67&lt;&gt;"",
IF(VLOOKUP($A67,貼り付け用!$A$1:$BA$300,COLUMN()/2+1,FALSE)=0,"",VLOOKUP($A67,貼り付け用!$A$1:$BA$300,COLUMN()/2+1,FALSE)),"")</f>
        <v>#N/A</v>
      </c>
      <c r="S67" s="46"/>
      <c r="T67" s="46" t="e">
        <f ca="1">IF($A67&lt;&gt;"",
IF(VLOOKUP($A67,貼り付け用!$A$1:$BA$300,COLUMN()/2+1,FALSE)=0,"",VLOOKUP($A67,貼り付け用!$A$1:$BA$300,COLUMN()/2+1,FALSE)),"")</f>
        <v>#N/A</v>
      </c>
      <c r="U67" s="46"/>
      <c r="V67" s="46" t="e">
        <f ca="1">IF($A67&lt;&gt;"",
IF(VLOOKUP($A67,貼り付け用!$A$1:$BA$300,COLUMN()/2+1,FALSE)=0,"",VLOOKUP($A67,貼り付け用!$A$1:$BA$300,COLUMN()/2+1,FALSE)),"")</f>
        <v>#N/A</v>
      </c>
      <c r="W67" s="46"/>
      <c r="X67" s="46" t="e">
        <f ca="1">IF($A67&lt;&gt;"",
IF(VLOOKUP($A67,貼り付け用!$A$1:$BA$300,COLUMN()/2+1,FALSE)=0,"",VLOOKUP($A67,貼り付け用!$A$1:$BA$300,COLUMN()/2+1,FALSE)),"")</f>
        <v>#N/A</v>
      </c>
      <c r="Y67" s="46"/>
      <c r="Z67" s="46" t="e">
        <f ca="1">IF($A67&lt;&gt;"",
IF(VLOOKUP($A67,貼り付け用!$A$1:$BA$300,COLUMN()/2+1,FALSE)=0,"",VLOOKUP($A67,貼り付け用!$A$1:$BA$300,COLUMN()/2+1,FALSE)),"")</f>
        <v>#N/A</v>
      </c>
      <c r="AA67" s="46"/>
      <c r="AB67" s="46" t="e">
        <f ca="1">IF($A67&lt;&gt;"",
IF(VLOOKUP($A67,貼り付け用!$A$1:$BA$300,COLUMN()/2+1,FALSE)=0,"",VLOOKUP($A67,貼り付け用!$A$1:$BA$300,COLUMN()/2+1,FALSE)),"")</f>
        <v>#N/A</v>
      </c>
      <c r="AC67" s="46"/>
      <c r="AD67" s="46" t="e">
        <f ca="1">IF($A67&lt;&gt;"",
IF(VLOOKUP($A67,貼り付け用!$A$1:$BA$300,COLUMN()/2+1,FALSE)=0,"",VLOOKUP($A67,貼り付け用!$A$1:$BA$300,COLUMN()/2+1,FALSE)),"")</f>
        <v>#N/A</v>
      </c>
      <c r="AE67" s="46"/>
      <c r="AF67" s="46" t="e">
        <f ca="1">IF($A67&lt;&gt;"",
IF(VLOOKUP($A67,貼り付け用!$A$1:$BA$300,COLUMN()/2+1,FALSE)=0,"",VLOOKUP($A67,貼り付け用!$A$1:$BA$300,COLUMN()/2+1,FALSE)),"")</f>
        <v>#N/A</v>
      </c>
      <c r="AG67" s="46"/>
      <c r="AH67" s="46" t="e">
        <f ca="1">IF($A67&lt;&gt;"",
IF(VLOOKUP($A67,貼り付け用!$A$1:$BA$300,COLUMN()/2+1,FALSE)=0,"",VLOOKUP($A67,貼り付け用!$A$1:$BA$300,COLUMN()/2+1,FALSE)),"")</f>
        <v>#N/A</v>
      </c>
      <c r="AI67" s="46"/>
      <c r="AJ67" s="46" t="e">
        <f ca="1">IF($A67&lt;&gt;"",
IF(VLOOKUP($A67,貼り付け用!$A$1:$BA$300,COLUMN()/2+1,FALSE)=0,"",VLOOKUP($A67,貼り付け用!$A$1:$BA$300,COLUMN()/2+1,FALSE)),"")</f>
        <v>#N/A</v>
      </c>
      <c r="AK67" s="46"/>
      <c r="AL67" s="46" t="e">
        <f ca="1">IF($A67&lt;&gt;"",
IF(VLOOKUP($A67,貼り付け用!$A$1:$BA$300,COLUMN()/2+1,FALSE)=0,"",VLOOKUP($A67,貼り付け用!$A$1:$BA$300,COLUMN()/2+1,FALSE)),"")</f>
        <v>#N/A</v>
      </c>
      <c r="AM67" s="211" t="e">
        <f ca="1">IF($A67&lt;&gt;"",
IF(VLOOKUP($A67,貼り付け用!$A$1:$BA$300,COLUMN()/2+2,FALSE)=0,"",VLOOKUP($A67,貼り付け用!$A$1:$BA$300,COLUMN()/2+2,FALSE)),"")</f>
        <v>#N/A</v>
      </c>
      <c r="AN67" s="211" t="e">
        <f ca="1">IF($A67&lt;&gt;"",
IF(VLOOKUP($A67,貼り付け用!$A$1:$BA$300,COLUMN()/2+3,FALSE)=0,"",VLOOKUP($A67,貼り付け用!$A$1:$BA$300,COLUMN()/2+3,FALSE)),"")</f>
        <v>#N/A</v>
      </c>
    </row>
    <row r="68" spans="1:40" x14ac:dyDescent="0.45">
      <c r="A68" s="5" t="e" cm="1">
        <f t="array" aca="1" ref="A68" ca="1">IF(OR(COUNTIF(A66,"*合計*"),COUNTIF(A66,"")),"",INDEX(貼り付け用!$A:$A,MATCH(A66,貼り付け用!$A:$A,0)+2,0))</f>
        <v>#N/A</v>
      </c>
      <c r="B68" s="16" t="e">
        <f ca="1">IF($A68&lt;&gt;"",
IF(VLOOKUP($A68,貼り付け用!$A$1:$BA$300,COLUMN()/2+1,FALSE)=0,"",VLOOKUP($A68,貼り付け用!$A$1:$BA$300,COLUMN()/2+1,FALSE)),"")</f>
        <v>#N/A</v>
      </c>
      <c r="C68" s="58"/>
      <c r="D68" s="16" t="e">
        <f ca="1">IF($A68&lt;&gt;"",
IF(VLOOKUP($A68,貼り付け用!$A$1:$BA$300,COLUMN()/2+1,FALSE)=0,"",VLOOKUP($A68,貼り付け用!$A$1:$BA$300,COLUMN()/2+1,FALSE)),"")</f>
        <v>#N/A</v>
      </c>
      <c r="E68" s="58"/>
      <c r="F68" s="16" t="e">
        <f ca="1">IF($A68&lt;&gt;"",
IF(VLOOKUP($A68,貼り付け用!$A$1:$BA$300,COLUMN()/2+1,FALSE)=0,"",VLOOKUP($A68,貼り付け用!$A$1:$BA$300,COLUMN()/2+1,FALSE)),"")</f>
        <v>#N/A</v>
      </c>
      <c r="G68" s="58"/>
      <c r="H68" s="16" t="e">
        <f ca="1">IF($A68&lt;&gt;"",
IF(VLOOKUP($A68,貼り付け用!$A$1:$BA$300,COLUMN()/2+1,FALSE)=0,"",VLOOKUP($A68,貼り付け用!$A$1:$BA$300,COLUMN()/2+1,FALSE)),"")</f>
        <v>#N/A</v>
      </c>
      <c r="I68" s="58"/>
      <c r="J68" s="16" t="e">
        <f ca="1">IF($A68&lt;&gt;"",
IF(VLOOKUP($A68,貼り付け用!$A$1:$BA$300,COLUMN()/2+1,FALSE)=0,"",VLOOKUP($A68,貼り付け用!$A$1:$BA$300,COLUMN()/2+1,FALSE)),"")</f>
        <v>#N/A</v>
      </c>
      <c r="K68" s="58"/>
      <c r="L68" s="16" t="e">
        <f ca="1">IF($A68&lt;&gt;"",
IF(VLOOKUP($A68,貼り付け用!$A$1:$BA$300,COLUMN()/2+1,FALSE)=0,"",VLOOKUP($A68,貼り付け用!$A$1:$BA$300,COLUMN()/2+1,FALSE)),"")</f>
        <v>#N/A</v>
      </c>
      <c r="M68" s="58"/>
      <c r="N68" s="16" t="e">
        <f ca="1">IF($A68&lt;&gt;"",
IF(VLOOKUP($A68,貼り付け用!$A$1:$BA$300,COLUMN()/2+1,FALSE)=0,"",VLOOKUP($A68,貼り付け用!$A$1:$BA$300,COLUMN()/2+1,FALSE)),"")</f>
        <v>#N/A</v>
      </c>
      <c r="O68" s="58"/>
      <c r="P68" s="16" t="e">
        <f ca="1">IF($A68&lt;&gt;"",
IF(VLOOKUP($A68,貼り付け用!$A$1:$BA$300,COLUMN()/2+1,FALSE)=0,"",VLOOKUP($A68,貼り付け用!$A$1:$BA$300,COLUMN()/2+1,FALSE)),"")</f>
        <v>#N/A</v>
      </c>
      <c r="Q68" s="58"/>
      <c r="R68" s="16" t="e">
        <f ca="1">IF($A68&lt;&gt;"",
IF(VLOOKUP($A68,貼り付け用!$A$1:$BA$300,COLUMN()/2+1,FALSE)=0,"",VLOOKUP($A68,貼り付け用!$A$1:$BA$300,COLUMN()/2+1,FALSE)),"")</f>
        <v>#N/A</v>
      </c>
      <c r="S68" s="58"/>
      <c r="T68" s="16" t="e">
        <f ca="1">IF($A68&lt;&gt;"",
IF(VLOOKUP($A68,貼り付け用!$A$1:$BA$300,COLUMN()/2+1,FALSE)=0,"",VLOOKUP($A68,貼り付け用!$A$1:$BA$300,COLUMN()/2+1,FALSE)),"")</f>
        <v>#N/A</v>
      </c>
      <c r="U68" s="58"/>
      <c r="V68" s="16" t="e">
        <f ca="1">IF($A68&lt;&gt;"",
IF(VLOOKUP($A68,貼り付け用!$A$1:$BA$300,COLUMN()/2+1,FALSE)=0,"",VLOOKUP($A68,貼り付け用!$A$1:$BA$300,COLUMN()/2+1,FALSE)),"")</f>
        <v>#N/A</v>
      </c>
      <c r="W68" s="58"/>
      <c r="X68" s="16" t="e">
        <f ca="1">IF($A68&lt;&gt;"",
IF(VLOOKUP($A68,貼り付け用!$A$1:$BA$300,COLUMN()/2+1,FALSE)=0,"",VLOOKUP($A68,貼り付け用!$A$1:$BA$300,COLUMN()/2+1,FALSE)),"")</f>
        <v>#N/A</v>
      </c>
      <c r="Y68" s="58"/>
      <c r="Z68" s="16" t="e">
        <f ca="1">IF($A68&lt;&gt;"",
IF(VLOOKUP($A68,貼り付け用!$A$1:$BA$300,COLUMN()/2+1,FALSE)=0,"",VLOOKUP($A68,貼り付け用!$A$1:$BA$300,COLUMN()/2+1,FALSE)),"")</f>
        <v>#N/A</v>
      </c>
      <c r="AA68" s="58"/>
      <c r="AB68" s="16" t="e">
        <f ca="1">IF($A68&lt;&gt;"",
IF(VLOOKUP($A68,貼り付け用!$A$1:$BA$300,COLUMN()/2+1,FALSE)=0,"",VLOOKUP($A68,貼り付け用!$A$1:$BA$300,COLUMN()/2+1,FALSE)),"")</f>
        <v>#N/A</v>
      </c>
      <c r="AC68" s="58"/>
      <c r="AD68" s="16" t="e">
        <f ca="1">IF($A68&lt;&gt;"",
IF(VLOOKUP($A68,貼り付け用!$A$1:$BA$300,COLUMN()/2+1,FALSE)=0,"",VLOOKUP($A68,貼り付け用!$A$1:$BA$300,COLUMN()/2+1,FALSE)),"")</f>
        <v>#N/A</v>
      </c>
      <c r="AE68" s="58"/>
      <c r="AF68" s="16" t="e">
        <f ca="1">IF($A68&lt;&gt;"",
IF(VLOOKUP($A68,貼り付け用!$A$1:$BA$300,COLUMN()/2+1,FALSE)=0,"",VLOOKUP($A68,貼り付け用!$A$1:$BA$300,COLUMN()/2+1,FALSE)),"")</f>
        <v>#N/A</v>
      </c>
      <c r="AG68" s="58"/>
      <c r="AH68" s="16" t="e">
        <f ca="1">IF($A68&lt;&gt;"",
IF(VLOOKUP($A68,貼り付け用!$A$1:$BA$300,COLUMN()/2+1,FALSE)=0,"",VLOOKUP($A68,貼り付け用!$A$1:$BA$300,COLUMN()/2+1,FALSE)),"")</f>
        <v>#N/A</v>
      </c>
      <c r="AI68" s="58"/>
      <c r="AJ68" s="16" t="e">
        <f ca="1">IF($A68&lt;&gt;"",
IF(VLOOKUP($A68,貼り付け用!$A$1:$BA$300,COLUMN()/2+1,FALSE)=0,"",VLOOKUP($A68,貼り付け用!$A$1:$BA$300,COLUMN()/2+1,FALSE)),"")</f>
        <v>#N/A</v>
      </c>
      <c r="AK68" s="58"/>
      <c r="AL68" s="16" t="e">
        <f ca="1">IF($A68&lt;&gt;"",
IF(VLOOKUP($A68,貼り付け用!$A$1:$BA$300,COLUMN()/2+1,FALSE)=0,"",VLOOKUP($A68,貼り付け用!$A$1:$BA$300,COLUMN()/2+1,FALSE)),"")</f>
        <v>#N/A</v>
      </c>
      <c r="AM68" s="210" t="e">
        <f ca="1">IF($A68&lt;&gt;"",
IF(VLOOKUP($A68,貼り付け用!$A$1:$BA$300,COLUMN()/2+2,FALSE)=0,"",VLOOKUP($A68,貼り付け用!$A$1:$BA$300,COLUMN()/2+2,FALSE)),"")</f>
        <v>#N/A</v>
      </c>
      <c r="AN68" s="210" t="e">
        <f ca="1">IF($A68&lt;&gt;"",
IF(VLOOKUP($A68,貼り付け用!$A$1:$BA$300,COLUMN()/2+3,FALSE)=0,"",VLOOKUP($A68,貼り付け用!$A$1:$BA$300,COLUMN()/2+3,FALSE)),"")</f>
        <v>#N/A</v>
      </c>
    </row>
    <row r="69" spans="1:40" x14ac:dyDescent="0.45">
      <c r="A69" s="8" t="e" cm="1">
        <f t="array" aca="1" ref="A69" ca="1">IF(OR(COUNTIF(A67,"*1000*"),COUNTIF(A67,"")),"",INDEX(貼り付け用!$A:$A,MATCH(A67,貼り付け用!$A:$A,0)+2,0))</f>
        <v>#N/A</v>
      </c>
      <c r="B69" s="46" t="e">
        <f ca="1">IF($A69&lt;&gt;"",
IF(VLOOKUP($A69,貼り付け用!$A$1:$BA$300,COLUMN()/2+1,FALSE)=0,"",VLOOKUP($A69,貼り付け用!$A$1:$BA$300,COLUMN()/2+1,FALSE)),"")</f>
        <v>#N/A</v>
      </c>
      <c r="C69" s="46"/>
      <c r="D69" s="46" t="e">
        <f ca="1">IF($A69&lt;&gt;"",
IF(VLOOKUP($A69,貼り付け用!$A$1:$BA$300,COLUMN()/2+1,FALSE)=0,"",VLOOKUP($A69,貼り付け用!$A$1:$BA$300,COLUMN()/2+1,FALSE)),"")</f>
        <v>#N/A</v>
      </c>
      <c r="E69" s="46"/>
      <c r="F69" s="46" t="e">
        <f ca="1">IF($A69&lt;&gt;"",
IF(VLOOKUP($A69,貼り付け用!$A$1:$BA$300,COLUMN()/2+1,FALSE)=0,"",VLOOKUP($A69,貼り付け用!$A$1:$BA$300,COLUMN()/2+1,FALSE)),"")</f>
        <v>#N/A</v>
      </c>
      <c r="G69" s="46"/>
      <c r="H69" s="46" t="e">
        <f ca="1">IF($A69&lt;&gt;"",
IF(VLOOKUP($A69,貼り付け用!$A$1:$BA$300,COLUMN()/2+1,FALSE)=0,"",VLOOKUP($A69,貼り付け用!$A$1:$BA$300,COLUMN()/2+1,FALSE)),"")</f>
        <v>#N/A</v>
      </c>
      <c r="I69" s="46"/>
      <c r="J69" s="46" t="e">
        <f ca="1">IF($A69&lt;&gt;"",
IF(VLOOKUP($A69,貼り付け用!$A$1:$BA$300,COLUMN()/2+1,FALSE)=0,"",VLOOKUP($A69,貼り付け用!$A$1:$BA$300,COLUMN()/2+1,FALSE)),"")</f>
        <v>#N/A</v>
      </c>
      <c r="K69" s="46"/>
      <c r="L69" s="46" t="e">
        <f ca="1">IF($A69&lt;&gt;"",
IF(VLOOKUP($A69,貼り付け用!$A$1:$BA$300,COLUMN()/2+1,FALSE)=0,"",VLOOKUP($A69,貼り付け用!$A$1:$BA$300,COLUMN()/2+1,FALSE)),"")</f>
        <v>#N/A</v>
      </c>
      <c r="M69" s="46"/>
      <c r="N69" s="46" t="e">
        <f ca="1">IF($A69&lt;&gt;"",
IF(VLOOKUP($A69,貼り付け用!$A$1:$BA$300,COLUMN()/2+1,FALSE)=0,"",VLOOKUP($A69,貼り付け用!$A$1:$BA$300,COLUMN()/2+1,FALSE)),"")</f>
        <v>#N/A</v>
      </c>
      <c r="O69" s="46"/>
      <c r="P69" s="46" t="e">
        <f ca="1">IF($A69&lt;&gt;"",
IF(VLOOKUP($A69,貼り付け用!$A$1:$BA$300,COLUMN()/2+1,FALSE)=0,"",VLOOKUP($A69,貼り付け用!$A$1:$BA$300,COLUMN()/2+1,FALSE)),"")</f>
        <v>#N/A</v>
      </c>
      <c r="Q69" s="46"/>
      <c r="R69" s="46" t="e">
        <f ca="1">IF($A69&lt;&gt;"",
IF(VLOOKUP($A69,貼り付け用!$A$1:$BA$300,COLUMN()/2+1,FALSE)=0,"",VLOOKUP($A69,貼り付け用!$A$1:$BA$300,COLUMN()/2+1,FALSE)),"")</f>
        <v>#N/A</v>
      </c>
      <c r="S69" s="46"/>
      <c r="T69" s="46" t="e">
        <f ca="1">IF($A69&lt;&gt;"",
IF(VLOOKUP($A69,貼り付け用!$A$1:$BA$300,COLUMN()/2+1,FALSE)=0,"",VLOOKUP($A69,貼り付け用!$A$1:$BA$300,COLUMN()/2+1,FALSE)),"")</f>
        <v>#N/A</v>
      </c>
      <c r="U69" s="46"/>
      <c r="V69" s="46" t="e">
        <f ca="1">IF($A69&lt;&gt;"",
IF(VLOOKUP($A69,貼り付け用!$A$1:$BA$300,COLUMN()/2+1,FALSE)=0,"",VLOOKUP($A69,貼り付け用!$A$1:$BA$300,COLUMN()/2+1,FALSE)),"")</f>
        <v>#N/A</v>
      </c>
      <c r="W69" s="46"/>
      <c r="X69" s="46" t="e">
        <f ca="1">IF($A69&lt;&gt;"",
IF(VLOOKUP($A69,貼り付け用!$A$1:$BA$300,COLUMN()/2+1,FALSE)=0,"",VLOOKUP($A69,貼り付け用!$A$1:$BA$300,COLUMN()/2+1,FALSE)),"")</f>
        <v>#N/A</v>
      </c>
      <c r="Y69" s="46"/>
      <c r="Z69" s="46" t="e">
        <f ca="1">IF($A69&lt;&gt;"",
IF(VLOOKUP($A69,貼り付け用!$A$1:$BA$300,COLUMN()/2+1,FALSE)=0,"",VLOOKUP($A69,貼り付け用!$A$1:$BA$300,COLUMN()/2+1,FALSE)),"")</f>
        <v>#N/A</v>
      </c>
      <c r="AA69" s="46"/>
      <c r="AB69" s="46" t="e">
        <f ca="1">IF($A69&lt;&gt;"",
IF(VLOOKUP($A69,貼り付け用!$A$1:$BA$300,COLUMN()/2+1,FALSE)=0,"",VLOOKUP($A69,貼り付け用!$A$1:$BA$300,COLUMN()/2+1,FALSE)),"")</f>
        <v>#N/A</v>
      </c>
      <c r="AC69" s="46"/>
      <c r="AD69" s="46" t="e">
        <f ca="1">IF($A69&lt;&gt;"",
IF(VLOOKUP($A69,貼り付け用!$A$1:$BA$300,COLUMN()/2+1,FALSE)=0,"",VLOOKUP($A69,貼り付け用!$A$1:$BA$300,COLUMN()/2+1,FALSE)),"")</f>
        <v>#N/A</v>
      </c>
      <c r="AE69" s="46"/>
      <c r="AF69" s="46" t="e">
        <f ca="1">IF($A69&lt;&gt;"",
IF(VLOOKUP($A69,貼り付け用!$A$1:$BA$300,COLUMN()/2+1,FALSE)=0,"",VLOOKUP($A69,貼り付け用!$A$1:$BA$300,COLUMN()/2+1,FALSE)),"")</f>
        <v>#N/A</v>
      </c>
      <c r="AG69" s="46"/>
      <c r="AH69" s="46" t="e">
        <f ca="1">IF($A69&lt;&gt;"",
IF(VLOOKUP($A69,貼り付け用!$A$1:$BA$300,COLUMN()/2+1,FALSE)=0,"",VLOOKUP($A69,貼り付け用!$A$1:$BA$300,COLUMN()/2+1,FALSE)),"")</f>
        <v>#N/A</v>
      </c>
      <c r="AI69" s="46"/>
      <c r="AJ69" s="46" t="e">
        <f ca="1">IF($A69&lt;&gt;"",
IF(VLOOKUP($A69,貼り付け用!$A$1:$BA$300,COLUMN()/2+1,FALSE)=0,"",VLOOKUP($A69,貼り付け用!$A$1:$BA$300,COLUMN()/2+1,FALSE)),"")</f>
        <v>#N/A</v>
      </c>
      <c r="AK69" s="46"/>
      <c r="AL69" s="46" t="e">
        <f ca="1">IF($A69&lt;&gt;"",
IF(VLOOKUP($A69,貼り付け用!$A$1:$BA$300,COLUMN()/2+1,FALSE)=0,"",VLOOKUP($A69,貼り付け用!$A$1:$BA$300,COLUMN()/2+1,FALSE)),"")</f>
        <v>#N/A</v>
      </c>
      <c r="AM69" s="211" t="e">
        <f ca="1">IF($A69&lt;&gt;"",
IF(VLOOKUP($A69,貼り付け用!$A$1:$BA$300,COLUMN()/2+2,FALSE)=0,"",VLOOKUP($A69,貼り付け用!$A$1:$BA$300,COLUMN()/2+2,FALSE)),"")</f>
        <v>#N/A</v>
      </c>
      <c r="AN69" s="211" t="e">
        <f ca="1">IF($A69&lt;&gt;"",
IF(VLOOKUP($A69,貼り付け用!$A$1:$BA$300,COLUMN()/2+3,FALSE)=0,"",VLOOKUP($A69,貼り付け用!$A$1:$BA$300,COLUMN()/2+3,FALSE)),"")</f>
        <v>#N/A</v>
      </c>
    </row>
    <row r="70" spans="1:40" x14ac:dyDescent="0.45">
      <c r="A70" s="5" t="e" cm="1">
        <f t="array" aca="1" ref="A70" ca="1">IF(OR(COUNTIF(A68,"*合計*"),COUNTIF(A68,"")),"",INDEX(貼り付け用!$A:$A,MATCH(A68,貼り付け用!$A:$A,0)+2,0))</f>
        <v>#N/A</v>
      </c>
      <c r="B70" s="16" t="e">
        <f ca="1">IF($A70&lt;&gt;"",
IF(VLOOKUP($A70,貼り付け用!$A$1:$BA$300,COLUMN()/2+1,FALSE)=0,"",VLOOKUP($A70,貼り付け用!$A$1:$BA$300,COLUMN()/2+1,FALSE)),"")</f>
        <v>#N/A</v>
      </c>
      <c r="C70" s="58"/>
      <c r="D70" s="16" t="e">
        <f ca="1">IF($A70&lt;&gt;"",
IF(VLOOKUP($A70,貼り付け用!$A$1:$BA$300,COLUMN()/2+1,FALSE)=0,"",VLOOKUP($A70,貼り付け用!$A$1:$BA$300,COLUMN()/2+1,FALSE)),"")</f>
        <v>#N/A</v>
      </c>
      <c r="E70" s="58"/>
      <c r="F70" s="16" t="e">
        <f ca="1">IF($A70&lt;&gt;"",
IF(VLOOKUP($A70,貼り付け用!$A$1:$BA$300,COLUMN()/2+1,FALSE)=0,"",VLOOKUP($A70,貼り付け用!$A$1:$BA$300,COLUMN()/2+1,FALSE)),"")</f>
        <v>#N/A</v>
      </c>
      <c r="G70" s="58"/>
      <c r="H70" s="16" t="e">
        <f ca="1">IF($A70&lt;&gt;"",
IF(VLOOKUP($A70,貼り付け用!$A$1:$BA$300,COLUMN()/2+1,FALSE)=0,"",VLOOKUP($A70,貼り付け用!$A$1:$BA$300,COLUMN()/2+1,FALSE)),"")</f>
        <v>#N/A</v>
      </c>
      <c r="I70" s="58"/>
      <c r="J70" s="16" t="e">
        <f ca="1">IF($A70&lt;&gt;"",
IF(VLOOKUP($A70,貼り付け用!$A$1:$BA$300,COLUMN()/2+1,FALSE)=0,"",VLOOKUP($A70,貼り付け用!$A$1:$BA$300,COLUMN()/2+1,FALSE)),"")</f>
        <v>#N/A</v>
      </c>
      <c r="K70" s="58"/>
      <c r="L70" s="16" t="e">
        <f ca="1">IF($A70&lt;&gt;"",
IF(VLOOKUP($A70,貼り付け用!$A$1:$BA$300,COLUMN()/2+1,FALSE)=0,"",VLOOKUP($A70,貼り付け用!$A$1:$BA$300,COLUMN()/2+1,FALSE)),"")</f>
        <v>#N/A</v>
      </c>
      <c r="M70" s="58"/>
      <c r="N70" s="16" t="e">
        <f ca="1">IF($A70&lt;&gt;"",
IF(VLOOKUP($A70,貼り付け用!$A$1:$BA$300,COLUMN()/2+1,FALSE)=0,"",VLOOKUP($A70,貼り付け用!$A$1:$BA$300,COLUMN()/2+1,FALSE)),"")</f>
        <v>#N/A</v>
      </c>
      <c r="O70" s="58"/>
      <c r="P70" s="16" t="e">
        <f ca="1">IF($A70&lt;&gt;"",
IF(VLOOKUP($A70,貼り付け用!$A$1:$BA$300,COLUMN()/2+1,FALSE)=0,"",VLOOKUP($A70,貼り付け用!$A$1:$BA$300,COLUMN()/2+1,FALSE)),"")</f>
        <v>#N/A</v>
      </c>
      <c r="Q70" s="58"/>
      <c r="R70" s="16" t="e">
        <f ca="1">IF($A70&lt;&gt;"",
IF(VLOOKUP($A70,貼り付け用!$A$1:$BA$300,COLUMN()/2+1,FALSE)=0,"",VLOOKUP($A70,貼り付け用!$A$1:$BA$300,COLUMN()/2+1,FALSE)),"")</f>
        <v>#N/A</v>
      </c>
      <c r="S70" s="58"/>
      <c r="T70" s="16" t="e">
        <f ca="1">IF($A70&lt;&gt;"",
IF(VLOOKUP($A70,貼り付け用!$A$1:$BA$300,COLUMN()/2+1,FALSE)=0,"",VLOOKUP($A70,貼り付け用!$A$1:$BA$300,COLUMN()/2+1,FALSE)),"")</f>
        <v>#N/A</v>
      </c>
      <c r="U70" s="58"/>
      <c r="V70" s="16" t="e">
        <f ca="1">IF($A70&lt;&gt;"",
IF(VLOOKUP($A70,貼り付け用!$A$1:$BA$300,COLUMN()/2+1,FALSE)=0,"",VLOOKUP($A70,貼り付け用!$A$1:$BA$300,COLUMN()/2+1,FALSE)),"")</f>
        <v>#N/A</v>
      </c>
      <c r="W70" s="58"/>
      <c r="X70" s="16" t="e">
        <f ca="1">IF($A70&lt;&gt;"",
IF(VLOOKUP($A70,貼り付け用!$A$1:$BA$300,COLUMN()/2+1,FALSE)=0,"",VLOOKUP($A70,貼り付け用!$A$1:$BA$300,COLUMN()/2+1,FALSE)),"")</f>
        <v>#N/A</v>
      </c>
      <c r="Y70" s="58"/>
      <c r="Z70" s="16" t="e">
        <f ca="1">IF($A70&lt;&gt;"",
IF(VLOOKUP($A70,貼り付け用!$A$1:$BA$300,COLUMN()/2+1,FALSE)=0,"",VLOOKUP($A70,貼り付け用!$A$1:$BA$300,COLUMN()/2+1,FALSE)),"")</f>
        <v>#N/A</v>
      </c>
      <c r="AA70" s="58"/>
      <c r="AB70" s="16" t="e">
        <f ca="1">IF($A70&lt;&gt;"",
IF(VLOOKUP($A70,貼り付け用!$A$1:$BA$300,COLUMN()/2+1,FALSE)=0,"",VLOOKUP($A70,貼り付け用!$A$1:$BA$300,COLUMN()/2+1,FALSE)),"")</f>
        <v>#N/A</v>
      </c>
      <c r="AC70" s="58"/>
      <c r="AD70" s="16" t="e">
        <f ca="1">IF($A70&lt;&gt;"",
IF(VLOOKUP($A70,貼り付け用!$A$1:$BA$300,COLUMN()/2+1,FALSE)=0,"",VLOOKUP($A70,貼り付け用!$A$1:$BA$300,COLUMN()/2+1,FALSE)),"")</f>
        <v>#N/A</v>
      </c>
      <c r="AE70" s="58"/>
      <c r="AF70" s="16" t="e">
        <f ca="1">IF($A70&lt;&gt;"",
IF(VLOOKUP($A70,貼り付け用!$A$1:$BA$300,COLUMN()/2+1,FALSE)=0,"",VLOOKUP($A70,貼り付け用!$A$1:$BA$300,COLUMN()/2+1,FALSE)),"")</f>
        <v>#N/A</v>
      </c>
      <c r="AG70" s="58"/>
      <c r="AH70" s="16" t="e">
        <f ca="1">IF($A70&lt;&gt;"",
IF(VLOOKUP($A70,貼り付け用!$A$1:$BA$300,COLUMN()/2+1,FALSE)=0,"",VLOOKUP($A70,貼り付け用!$A$1:$BA$300,COLUMN()/2+1,FALSE)),"")</f>
        <v>#N/A</v>
      </c>
      <c r="AI70" s="58"/>
      <c r="AJ70" s="16" t="e">
        <f ca="1">IF($A70&lt;&gt;"",
IF(VLOOKUP($A70,貼り付け用!$A$1:$BA$300,COLUMN()/2+1,FALSE)=0,"",VLOOKUP($A70,貼り付け用!$A$1:$BA$300,COLUMN()/2+1,FALSE)),"")</f>
        <v>#N/A</v>
      </c>
      <c r="AK70" s="58"/>
      <c r="AL70" s="16" t="e">
        <f ca="1">IF($A70&lt;&gt;"",
IF(VLOOKUP($A70,貼り付け用!$A$1:$BA$300,COLUMN()/2+1,FALSE)=0,"",VLOOKUP($A70,貼り付け用!$A$1:$BA$300,COLUMN()/2+1,FALSE)),"")</f>
        <v>#N/A</v>
      </c>
      <c r="AM70" s="210" t="e">
        <f ca="1">IF($A70&lt;&gt;"",
IF(VLOOKUP($A70,貼り付け用!$A$1:$BA$300,COLUMN()/2+2,FALSE)=0,"",VLOOKUP($A70,貼り付け用!$A$1:$BA$300,COLUMN()/2+2,FALSE)),"")</f>
        <v>#N/A</v>
      </c>
      <c r="AN70" s="210" t="e">
        <f ca="1">IF($A70&lt;&gt;"",
IF(VLOOKUP($A70,貼り付け用!$A$1:$BA$300,COLUMN()/2+3,FALSE)=0,"",VLOOKUP($A70,貼り付け用!$A$1:$BA$300,COLUMN()/2+3,FALSE)),"")</f>
        <v>#N/A</v>
      </c>
    </row>
    <row r="71" spans="1:40" x14ac:dyDescent="0.45">
      <c r="A71" s="8" t="e" cm="1">
        <f t="array" aca="1" ref="A71" ca="1">IF(OR(COUNTIF(A69,"*1000*"),COUNTIF(A69,"")),"",INDEX(貼り付け用!$A:$A,MATCH(A69,貼り付け用!$A:$A,0)+2,0))</f>
        <v>#N/A</v>
      </c>
      <c r="B71" s="46" t="e">
        <f ca="1">IF($A71&lt;&gt;"",
IF(VLOOKUP($A71,貼り付け用!$A$1:$BA$300,COLUMN()/2+1,FALSE)=0,"",VLOOKUP($A71,貼り付け用!$A$1:$BA$300,COLUMN()/2+1,FALSE)),"")</f>
        <v>#N/A</v>
      </c>
      <c r="C71" s="46"/>
      <c r="D71" s="46" t="e">
        <f ca="1">IF($A71&lt;&gt;"",
IF(VLOOKUP($A71,貼り付け用!$A$1:$BA$300,COLUMN()/2+1,FALSE)=0,"",VLOOKUP($A71,貼り付け用!$A$1:$BA$300,COLUMN()/2+1,FALSE)),"")</f>
        <v>#N/A</v>
      </c>
      <c r="E71" s="46"/>
      <c r="F71" s="46" t="e">
        <f ca="1">IF($A71&lt;&gt;"",
IF(VLOOKUP($A71,貼り付け用!$A$1:$BA$300,COLUMN()/2+1,FALSE)=0,"",VLOOKUP($A71,貼り付け用!$A$1:$BA$300,COLUMN()/2+1,FALSE)),"")</f>
        <v>#N/A</v>
      </c>
      <c r="G71" s="46"/>
      <c r="H71" s="46" t="e">
        <f ca="1">IF($A71&lt;&gt;"",
IF(VLOOKUP($A71,貼り付け用!$A$1:$BA$300,COLUMN()/2+1,FALSE)=0,"",VLOOKUP($A71,貼り付け用!$A$1:$BA$300,COLUMN()/2+1,FALSE)),"")</f>
        <v>#N/A</v>
      </c>
      <c r="I71" s="46"/>
      <c r="J71" s="46" t="e">
        <f ca="1">IF($A71&lt;&gt;"",
IF(VLOOKUP($A71,貼り付け用!$A$1:$BA$300,COLUMN()/2+1,FALSE)=0,"",VLOOKUP($A71,貼り付け用!$A$1:$BA$300,COLUMN()/2+1,FALSE)),"")</f>
        <v>#N/A</v>
      </c>
      <c r="K71" s="46"/>
      <c r="L71" s="46" t="e">
        <f ca="1">IF($A71&lt;&gt;"",
IF(VLOOKUP($A71,貼り付け用!$A$1:$BA$300,COLUMN()/2+1,FALSE)=0,"",VLOOKUP($A71,貼り付け用!$A$1:$BA$300,COLUMN()/2+1,FALSE)),"")</f>
        <v>#N/A</v>
      </c>
      <c r="M71" s="46"/>
      <c r="N71" s="46" t="e">
        <f ca="1">IF($A71&lt;&gt;"",
IF(VLOOKUP($A71,貼り付け用!$A$1:$BA$300,COLUMN()/2+1,FALSE)=0,"",VLOOKUP($A71,貼り付け用!$A$1:$BA$300,COLUMN()/2+1,FALSE)),"")</f>
        <v>#N/A</v>
      </c>
      <c r="O71" s="46"/>
      <c r="P71" s="46" t="e">
        <f ca="1">IF($A71&lt;&gt;"",
IF(VLOOKUP($A71,貼り付け用!$A$1:$BA$300,COLUMN()/2+1,FALSE)=0,"",VLOOKUP($A71,貼り付け用!$A$1:$BA$300,COLUMN()/2+1,FALSE)),"")</f>
        <v>#N/A</v>
      </c>
      <c r="Q71" s="46"/>
      <c r="R71" s="46" t="e">
        <f ca="1">IF($A71&lt;&gt;"",
IF(VLOOKUP($A71,貼り付け用!$A$1:$BA$300,COLUMN()/2+1,FALSE)=0,"",VLOOKUP($A71,貼り付け用!$A$1:$BA$300,COLUMN()/2+1,FALSE)),"")</f>
        <v>#N/A</v>
      </c>
      <c r="S71" s="46"/>
      <c r="T71" s="46" t="e">
        <f ca="1">IF($A71&lt;&gt;"",
IF(VLOOKUP($A71,貼り付け用!$A$1:$BA$300,COLUMN()/2+1,FALSE)=0,"",VLOOKUP($A71,貼り付け用!$A$1:$BA$300,COLUMN()/2+1,FALSE)),"")</f>
        <v>#N/A</v>
      </c>
      <c r="U71" s="46"/>
      <c r="V71" s="46" t="e">
        <f ca="1">IF($A71&lt;&gt;"",
IF(VLOOKUP($A71,貼り付け用!$A$1:$BA$300,COLUMN()/2+1,FALSE)=0,"",VLOOKUP($A71,貼り付け用!$A$1:$BA$300,COLUMN()/2+1,FALSE)),"")</f>
        <v>#N/A</v>
      </c>
      <c r="W71" s="46"/>
      <c r="X71" s="46" t="e">
        <f ca="1">IF($A71&lt;&gt;"",
IF(VLOOKUP($A71,貼り付け用!$A$1:$BA$300,COLUMN()/2+1,FALSE)=0,"",VLOOKUP($A71,貼り付け用!$A$1:$BA$300,COLUMN()/2+1,FALSE)),"")</f>
        <v>#N/A</v>
      </c>
      <c r="Y71" s="46"/>
      <c r="Z71" s="46" t="e">
        <f ca="1">IF($A71&lt;&gt;"",
IF(VLOOKUP($A71,貼り付け用!$A$1:$BA$300,COLUMN()/2+1,FALSE)=0,"",VLOOKUP($A71,貼り付け用!$A$1:$BA$300,COLUMN()/2+1,FALSE)),"")</f>
        <v>#N/A</v>
      </c>
      <c r="AA71" s="46"/>
      <c r="AB71" s="46" t="e">
        <f ca="1">IF($A71&lt;&gt;"",
IF(VLOOKUP($A71,貼り付け用!$A$1:$BA$300,COLUMN()/2+1,FALSE)=0,"",VLOOKUP($A71,貼り付け用!$A$1:$BA$300,COLUMN()/2+1,FALSE)),"")</f>
        <v>#N/A</v>
      </c>
      <c r="AC71" s="46"/>
      <c r="AD71" s="46" t="e">
        <f ca="1">IF($A71&lt;&gt;"",
IF(VLOOKUP($A71,貼り付け用!$A$1:$BA$300,COLUMN()/2+1,FALSE)=0,"",VLOOKUP($A71,貼り付け用!$A$1:$BA$300,COLUMN()/2+1,FALSE)),"")</f>
        <v>#N/A</v>
      </c>
      <c r="AE71" s="46"/>
      <c r="AF71" s="46" t="e">
        <f ca="1">IF($A71&lt;&gt;"",
IF(VLOOKUP($A71,貼り付け用!$A$1:$BA$300,COLUMN()/2+1,FALSE)=0,"",VLOOKUP($A71,貼り付け用!$A$1:$BA$300,COLUMN()/2+1,FALSE)),"")</f>
        <v>#N/A</v>
      </c>
      <c r="AG71" s="46"/>
      <c r="AH71" s="46" t="e">
        <f ca="1">IF($A71&lt;&gt;"",
IF(VLOOKUP($A71,貼り付け用!$A$1:$BA$300,COLUMN()/2+1,FALSE)=0,"",VLOOKUP($A71,貼り付け用!$A$1:$BA$300,COLUMN()/2+1,FALSE)),"")</f>
        <v>#N/A</v>
      </c>
      <c r="AI71" s="46"/>
      <c r="AJ71" s="46" t="e">
        <f ca="1">IF($A71&lt;&gt;"",
IF(VLOOKUP($A71,貼り付け用!$A$1:$BA$300,COLUMN()/2+1,FALSE)=0,"",VLOOKUP($A71,貼り付け用!$A$1:$BA$300,COLUMN()/2+1,FALSE)),"")</f>
        <v>#N/A</v>
      </c>
      <c r="AK71" s="46"/>
      <c r="AL71" s="46" t="e">
        <f ca="1">IF($A71&lt;&gt;"",
IF(VLOOKUP($A71,貼り付け用!$A$1:$BA$300,COLUMN()/2+1,FALSE)=0,"",VLOOKUP($A71,貼り付け用!$A$1:$BA$300,COLUMN()/2+1,FALSE)),"")</f>
        <v>#N/A</v>
      </c>
      <c r="AM71" s="211" t="e">
        <f ca="1">IF($A71&lt;&gt;"",
IF(VLOOKUP($A71,貼り付け用!$A$1:$BA$300,COLUMN()/2+2,FALSE)=0,"",VLOOKUP($A71,貼り付け用!$A$1:$BA$300,COLUMN()/2+2,FALSE)),"")</f>
        <v>#N/A</v>
      </c>
      <c r="AN71" s="211" t="e">
        <f ca="1">IF($A71&lt;&gt;"",
IF(VLOOKUP($A71,貼り付け用!$A$1:$BA$300,COLUMN()/2+3,FALSE)=0,"",VLOOKUP($A71,貼り付け用!$A$1:$BA$300,COLUMN()/2+3,FALSE)),"")</f>
        <v>#N/A</v>
      </c>
    </row>
    <row r="72" spans="1:40" x14ac:dyDescent="0.45">
      <c r="A72" s="5" t="e" cm="1">
        <f t="array" aca="1" ref="A72" ca="1">IF(OR(COUNTIF(A70,"*合計*"),COUNTIF(A70,"")),"",INDEX(貼り付け用!$A:$A,MATCH(A70,貼り付け用!$A:$A,0)+2,0))</f>
        <v>#N/A</v>
      </c>
      <c r="B72" s="16" t="e">
        <f ca="1">IF($A72&lt;&gt;"",
IF(VLOOKUP($A72,貼り付け用!$A$1:$BA$300,COLUMN()/2+1,FALSE)=0,"",VLOOKUP($A72,貼り付け用!$A$1:$BA$300,COLUMN()/2+1,FALSE)),"")</f>
        <v>#N/A</v>
      </c>
      <c r="C72" s="58"/>
      <c r="D72" s="16" t="e">
        <f ca="1">IF($A72&lt;&gt;"",
IF(VLOOKUP($A72,貼り付け用!$A$1:$BA$300,COLUMN()/2+1,FALSE)=0,"",VLOOKUP($A72,貼り付け用!$A$1:$BA$300,COLUMN()/2+1,FALSE)),"")</f>
        <v>#N/A</v>
      </c>
      <c r="E72" s="58"/>
      <c r="F72" s="16" t="e">
        <f ca="1">IF($A72&lt;&gt;"",
IF(VLOOKUP($A72,貼り付け用!$A$1:$BA$300,COLUMN()/2+1,FALSE)=0,"",VLOOKUP($A72,貼り付け用!$A$1:$BA$300,COLUMN()/2+1,FALSE)),"")</f>
        <v>#N/A</v>
      </c>
      <c r="G72" s="58"/>
      <c r="H72" s="16" t="e">
        <f ca="1">IF($A72&lt;&gt;"",
IF(VLOOKUP($A72,貼り付け用!$A$1:$BA$300,COLUMN()/2+1,FALSE)=0,"",VLOOKUP($A72,貼り付け用!$A$1:$BA$300,COLUMN()/2+1,FALSE)),"")</f>
        <v>#N/A</v>
      </c>
      <c r="I72" s="58"/>
      <c r="J72" s="16" t="e">
        <f ca="1">IF($A72&lt;&gt;"",
IF(VLOOKUP($A72,貼り付け用!$A$1:$BA$300,COLUMN()/2+1,FALSE)=0,"",VLOOKUP($A72,貼り付け用!$A$1:$BA$300,COLUMN()/2+1,FALSE)),"")</f>
        <v>#N/A</v>
      </c>
      <c r="K72" s="58"/>
      <c r="L72" s="16" t="e">
        <f ca="1">IF($A72&lt;&gt;"",
IF(VLOOKUP($A72,貼り付け用!$A$1:$BA$300,COLUMN()/2+1,FALSE)=0,"",VLOOKUP($A72,貼り付け用!$A$1:$BA$300,COLUMN()/2+1,FALSE)),"")</f>
        <v>#N/A</v>
      </c>
      <c r="M72" s="58"/>
      <c r="N72" s="16" t="e">
        <f ca="1">IF($A72&lt;&gt;"",
IF(VLOOKUP($A72,貼り付け用!$A$1:$BA$300,COLUMN()/2+1,FALSE)=0,"",VLOOKUP($A72,貼り付け用!$A$1:$BA$300,COLUMN()/2+1,FALSE)),"")</f>
        <v>#N/A</v>
      </c>
      <c r="O72" s="58"/>
      <c r="P72" s="16" t="e">
        <f ca="1">IF($A72&lt;&gt;"",
IF(VLOOKUP($A72,貼り付け用!$A$1:$BA$300,COLUMN()/2+1,FALSE)=0,"",VLOOKUP($A72,貼り付け用!$A$1:$BA$300,COLUMN()/2+1,FALSE)),"")</f>
        <v>#N/A</v>
      </c>
      <c r="Q72" s="58"/>
      <c r="R72" s="16" t="e">
        <f ca="1">IF($A72&lt;&gt;"",
IF(VLOOKUP($A72,貼り付け用!$A$1:$BA$300,COLUMN()/2+1,FALSE)=0,"",VLOOKUP($A72,貼り付け用!$A$1:$BA$300,COLUMN()/2+1,FALSE)),"")</f>
        <v>#N/A</v>
      </c>
      <c r="S72" s="58"/>
      <c r="T72" s="16" t="e">
        <f ca="1">IF($A72&lt;&gt;"",
IF(VLOOKUP($A72,貼り付け用!$A$1:$BA$300,COLUMN()/2+1,FALSE)=0,"",VLOOKUP($A72,貼り付け用!$A$1:$BA$300,COLUMN()/2+1,FALSE)),"")</f>
        <v>#N/A</v>
      </c>
      <c r="U72" s="58"/>
      <c r="V72" s="16" t="e">
        <f ca="1">IF($A72&lt;&gt;"",
IF(VLOOKUP($A72,貼り付け用!$A$1:$BA$300,COLUMN()/2+1,FALSE)=0,"",VLOOKUP($A72,貼り付け用!$A$1:$BA$300,COLUMN()/2+1,FALSE)),"")</f>
        <v>#N/A</v>
      </c>
      <c r="W72" s="58"/>
      <c r="X72" s="16" t="e">
        <f ca="1">IF($A72&lt;&gt;"",
IF(VLOOKUP($A72,貼り付け用!$A$1:$BA$300,COLUMN()/2+1,FALSE)=0,"",VLOOKUP($A72,貼り付け用!$A$1:$BA$300,COLUMN()/2+1,FALSE)),"")</f>
        <v>#N/A</v>
      </c>
      <c r="Y72" s="58"/>
      <c r="Z72" s="16" t="e">
        <f ca="1">IF($A72&lt;&gt;"",
IF(VLOOKUP($A72,貼り付け用!$A$1:$BA$300,COLUMN()/2+1,FALSE)=0,"",VLOOKUP($A72,貼り付け用!$A$1:$BA$300,COLUMN()/2+1,FALSE)),"")</f>
        <v>#N/A</v>
      </c>
      <c r="AA72" s="58"/>
      <c r="AB72" s="16" t="e">
        <f ca="1">IF($A72&lt;&gt;"",
IF(VLOOKUP($A72,貼り付け用!$A$1:$BA$300,COLUMN()/2+1,FALSE)=0,"",VLOOKUP($A72,貼り付け用!$A$1:$BA$300,COLUMN()/2+1,FALSE)),"")</f>
        <v>#N/A</v>
      </c>
      <c r="AC72" s="58"/>
      <c r="AD72" s="16" t="e">
        <f ca="1">IF($A72&lt;&gt;"",
IF(VLOOKUP($A72,貼り付け用!$A$1:$BA$300,COLUMN()/2+1,FALSE)=0,"",VLOOKUP($A72,貼り付け用!$A$1:$BA$300,COLUMN()/2+1,FALSE)),"")</f>
        <v>#N/A</v>
      </c>
      <c r="AE72" s="58"/>
      <c r="AF72" s="16" t="e">
        <f ca="1">IF($A72&lt;&gt;"",
IF(VLOOKUP($A72,貼り付け用!$A$1:$BA$300,COLUMN()/2+1,FALSE)=0,"",VLOOKUP($A72,貼り付け用!$A$1:$BA$300,COLUMN()/2+1,FALSE)),"")</f>
        <v>#N/A</v>
      </c>
      <c r="AG72" s="58"/>
      <c r="AH72" s="16" t="e">
        <f ca="1">IF($A72&lt;&gt;"",
IF(VLOOKUP($A72,貼り付け用!$A$1:$BA$300,COLUMN()/2+1,FALSE)=0,"",VLOOKUP($A72,貼り付け用!$A$1:$BA$300,COLUMN()/2+1,FALSE)),"")</f>
        <v>#N/A</v>
      </c>
      <c r="AI72" s="58"/>
      <c r="AJ72" s="16" t="e">
        <f ca="1">IF($A72&lt;&gt;"",
IF(VLOOKUP($A72,貼り付け用!$A$1:$BA$300,COLUMN()/2+1,FALSE)=0,"",VLOOKUP($A72,貼り付け用!$A$1:$BA$300,COLUMN()/2+1,FALSE)),"")</f>
        <v>#N/A</v>
      </c>
      <c r="AK72" s="58"/>
      <c r="AL72" s="16" t="e">
        <f ca="1">IF($A72&lt;&gt;"",
IF(VLOOKUP($A72,貼り付け用!$A$1:$BA$300,COLUMN()/2+1,FALSE)=0,"",VLOOKUP($A72,貼り付け用!$A$1:$BA$300,COLUMN()/2+1,FALSE)),"")</f>
        <v>#N/A</v>
      </c>
      <c r="AM72" s="210" t="e">
        <f ca="1">IF($A72&lt;&gt;"",
IF(VLOOKUP($A72,貼り付け用!$A$1:$BA$300,COLUMN()/2+2,FALSE)=0,"",VLOOKUP($A72,貼り付け用!$A$1:$BA$300,COLUMN()/2+2,FALSE)),"")</f>
        <v>#N/A</v>
      </c>
      <c r="AN72" s="210" t="e">
        <f ca="1">IF($A72&lt;&gt;"",
IF(VLOOKUP($A72,貼り付け用!$A$1:$BA$300,COLUMN()/2+3,FALSE)=0,"",VLOOKUP($A72,貼り付け用!$A$1:$BA$300,COLUMN()/2+3,FALSE)),"")</f>
        <v>#N/A</v>
      </c>
    </row>
    <row r="73" spans="1:40" x14ac:dyDescent="0.45">
      <c r="A73" s="8" t="e" cm="1">
        <f t="array" aca="1" ref="A73" ca="1">IF(OR(COUNTIF(A71,"*1000*"),COUNTIF(A71,"")),"",INDEX(貼り付け用!$A:$A,MATCH(A71,貼り付け用!$A:$A,0)+2,0))</f>
        <v>#N/A</v>
      </c>
      <c r="B73" s="46" t="e">
        <f ca="1">IF($A73&lt;&gt;"",
IF(VLOOKUP($A73,貼り付け用!$A$1:$BA$300,COLUMN()/2+1,FALSE)=0,"",VLOOKUP($A73,貼り付け用!$A$1:$BA$300,COLUMN()/2+1,FALSE)),"")</f>
        <v>#N/A</v>
      </c>
      <c r="C73" s="46"/>
      <c r="D73" s="46" t="e">
        <f ca="1">IF($A73&lt;&gt;"",
IF(VLOOKUP($A73,貼り付け用!$A$1:$BA$300,COLUMN()/2+1,FALSE)=0,"",VLOOKUP($A73,貼り付け用!$A$1:$BA$300,COLUMN()/2+1,FALSE)),"")</f>
        <v>#N/A</v>
      </c>
      <c r="E73" s="46"/>
      <c r="F73" s="46" t="e">
        <f ca="1">IF($A73&lt;&gt;"",
IF(VLOOKUP($A73,貼り付け用!$A$1:$BA$300,COLUMN()/2+1,FALSE)=0,"",VLOOKUP($A73,貼り付け用!$A$1:$BA$300,COLUMN()/2+1,FALSE)),"")</f>
        <v>#N/A</v>
      </c>
      <c r="G73" s="46"/>
      <c r="H73" s="46" t="e">
        <f ca="1">IF($A73&lt;&gt;"",
IF(VLOOKUP($A73,貼り付け用!$A$1:$BA$300,COLUMN()/2+1,FALSE)=0,"",VLOOKUP($A73,貼り付け用!$A$1:$BA$300,COLUMN()/2+1,FALSE)),"")</f>
        <v>#N/A</v>
      </c>
      <c r="I73" s="46"/>
      <c r="J73" s="46" t="e">
        <f ca="1">IF($A73&lt;&gt;"",
IF(VLOOKUP($A73,貼り付け用!$A$1:$BA$300,COLUMN()/2+1,FALSE)=0,"",VLOOKUP($A73,貼り付け用!$A$1:$BA$300,COLUMN()/2+1,FALSE)),"")</f>
        <v>#N/A</v>
      </c>
      <c r="K73" s="46"/>
      <c r="L73" s="46" t="e">
        <f ca="1">IF($A73&lt;&gt;"",
IF(VLOOKUP($A73,貼り付け用!$A$1:$BA$300,COLUMN()/2+1,FALSE)=0,"",VLOOKUP($A73,貼り付け用!$A$1:$BA$300,COLUMN()/2+1,FALSE)),"")</f>
        <v>#N/A</v>
      </c>
      <c r="M73" s="46"/>
      <c r="N73" s="46" t="e">
        <f ca="1">IF($A73&lt;&gt;"",
IF(VLOOKUP($A73,貼り付け用!$A$1:$BA$300,COLUMN()/2+1,FALSE)=0,"",VLOOKUP($A73,貼り付け用!$A$1:$BA$300,COLUMN()/2+1,FALSE)),"")</f>
        <v>#N/A</v>
      </c>
      <c r="O73" s="46"/>
      <c r="P73" s="46" t="e">
        <f ca="1">IF($A73&lt;&gt;"",
IF(VLOOKUP($A73,貼り付け用!$A$1:$BA$300,COLUMN()/2+1,FALSE)=0,"",VLOOKUP($A73,貼り付け用!$A$1:$BA$300,COLUMN()/2+1,FALSE)),"")</f>
        <v>#N/A</v>
      </c>
      <c r="Q73" s="46"/>
      <c r="R73" s="46" t="e">
        <f ca="1">IF($A73&lt;&gt;"",
IF(VLOOKUP($A73,貼り付け用!$A$1:$BA$300,COLUMN()/2+1,FALSE)=0,"",VLOOKUP($A73,貼り付け用!$A$1:$BA$300,COLUMN()/2+1,FALSE)),"")</f>
        <v>#N/A</v>
      </c>
      <c r="S73" s="46"/>
      <c r="T73" s="46" t="e">
        <f ca="1">IF($A73&lt;&gt;"",
IF(VLOOKUP($A73,貼り付け用!$A$1:$BA$300,COLUMN()/2+1,FALSE)=0,"",VLOOKUP($A73,貼り付け用!$A$1:$BA$300,COLUMN()/2+1,FALSE)),"")</f>
        <v>#N/A</v>
      </c>
      <c r="U73" s="46"/>
      <c r="V73" s="46" t="e">
        <f ca="1">IF($A73&lt;&gt;"",
IF(VLOOKUP($A73,貼り付け用!$A$1:$BA$300,COLUMN()/2+1,FALSE)=0,"",VLOOKUP($A73,貼り付け用!$A$1:$BA$300,COLUMN()/2+1,FALSE)),"")</f>
        <v>#N/A</v>
      </c>
      <c r="W73" s="46"/>
      <c r="X73" s="46" t="e">
        <f ca="1">IF($A73&lt;&gt;"",
IF(VLOOKUP($A73,貼り付け用!$A$1:$BA$300,COLUMN()/2+1,FALSE)=0,"",VLOOKUP($A73,貼り付け用!$A$1:$BA$300,COLUMN()/2+1,FALSE)),"")</f>
        <v>#N/A</v>
      </c>
      <c r="Y73" s="46"/>
      <c r="Z73" s="46" t="e">
        <f ca="1">IF($A73&lt;&gt;"",
IF(VLOOKUP($A73,貼り付け用!$A$1:$BA$300,COLUMN()/2+1,FALSE)=0,"",VLOOKUP($A73,貼り付け用!$A$1:$BA$300,COLUMN()/2+1,FALSE)),"")</f>
        <v>#N/A</v>
      </c>
      <c r="AA73" s="46"/>
      <c r="AB73" s="46" t="e">
        <f ca="1">IF($A73&lt;&gt;"",
IF(VLOOKUP($A73,貼り付け用!$A$1:$BA$300,COLUMN()/2+1,FALSE)=0,"",VLOOKUP($A73,貼り付け用!$A$1:$BA$300,COLUMN()/2+1,FALSE)),"")</f>
        <v>#N/A</v>
      </c>
      <c r="AC73" s="46"/>
      <c r="AD73" s="46" t="e">
        <f ca="1">IF($A73&lt;&gt;"",
IF(VLOOKUP($A73,貼り付け用!$A$1:$BA$300,COLUMN()/2+1,FALSE)=0,"",VLOOKUP($A73,貼り付け用!$A$1:$BA$300,COLUMN()/2+1,FALSE)),"")</f>
        <v>#N/A</v>
      </c>
      <c r="AE73" s="46"/>
      <c r="AF73" s="46" t="e">
        <f ca="1">IF($A73&lt;&gt;"",
IF(VLOOKUP($A73,貼り付け用!$A$1:$BA$300,COLUMN()/2+1,FALSE)=0,"",VLOOKUP($A73,貼り付け用!$A$1:$BA$300,COLUMN()/2+1,FALSE)),"")</f>
        <v>#N/A</v>
      </c>
      <c r="AG73" s="46"/>
      <c r="AH73" s="46" t="e">
        <f ca="1">IF($A73&lt;&gt;"",
IF(VLOOKUP($A73,貼り付け用!$A$1:$BA$300,COLUMN()/2+1,FALSE)=0,"",VLOOKUP($A73,貼り付け用!$A$1:$BA$300,COLUMN()/2+1,FALSE)),"")</f>
        <v>#N/A</v>
      </c>
      <c r="AI73" s="46"/>
      <c r="AJ73" s="46" t="e">
        <f ca="1">IF($A73&lt;&gt;"",
IF(VLOOKUP($A73,貼り付け用!$A$1:$BA$300,COLUMN()/2+1,FALSE)=0,"",VLOOKUP($A73,貼り付け用!$A$1:$BA$300,COLUMN()/2+1,FALSE)),"")</f>
        <v>#N/A</v>
      </c>
      <c r="AK73" s="46"/>
      <c r="AL73" s="46" t="e">
        <f ca="1">IF($A73&lt;&gt;"",
IF(VLOOKUP($A73,貼り付け用!$A$1:$BA$300,COLUMN()/2+1,FALSE)=0,"",VLOOKUP($A73,貼り付け用!$A$1:$BA$300,COLUMN()/2+1,FALSE)),"")</f>
        <v>#N/A</v>
      </c>
      <c r="AM73" s="211" t="e">
        <f ca="1">IF($A73&lt;&gt;"",
IF(VLOOKUP($A73,貼り付け用!$A$1:$BA$300,COLUMN()/2+2,FALSE)=0,"",VLOOKUP($A73,貼り付け用!$A$1:$BA$300,COLUMN()/2+2,FALSE)),"")</f>
        <v>#N/A</v>
      </c>
      <c r="AN73" s="211" t="e">
        <f ca="1">IF($A73&lt;&gt;"",
IF(VLOOKUP($A73,貼り付け用!$A$1:$BA$300,COLUMN()/2+3,FALSE)=0,"",VLOOKUP($A73,貼り付け用!$A$1:$BA$300,COLUMN()/2+3,FALSE)),"")</f>
        <v>#N/A</v>
      </c>
    </row>
    <row r="74" spans="1:40" x14ac:dyDescent="0.45">
      <c r="A74" s="5" t="e" cm="1">
        <f t="array" aca="1" ref="A74" ca="1">IF(OR(COUNTIF(A72,"*合計*"),COUNTIF(A72,"")),"",INDEX(貼り付け用!$A:$A,MATCH(A72,貼り付け用!$A:$A,0)+2,0))</f>
        <v>#N/A</v>
      </c>
      <c r="B74" s="16" t="e">
        <f ca="1">IF($A74&lt;&gt;"",
IF(VLOOKUP($A74,貼り付け用!$A$1:$BA$300,COLUMN()/2+1,FALSE)=0,"",VLOOKUP($A74,貼り付け用!$A$1:$BA$300,COLUMN()/2+1,FALSE)),"")</f>
        <v>#N/A</v>
      </c>
      <c r="C74" s="58"/>
      <c r="D74" s="16" t="e">
        <f ca="1">IF($A74&lt;&gt;"",
IF(VLOOKUP($A74,貼り付け用!$A$1:$BA$300,COLUMN()/2+1,FALSE)=0,"",VLOOKUP($A74,貼り付け用!$A$1:$BA$300,COLUMN()/2+1,FALSE)),"")</f>
        <v>#N/A</v>
      </c>
      <c r="E74" s="58"/>
      <c r="F74" s="16" t="e">
        <f ca="1">IF($A74&lt;&gt;"",
IF(VLOOKUP($A74,貼り付け用!$A$1:$BA$300,COLUMN()/2+1,FALSE)=0,"",VLOOKUP($A74,貼り付け用!$A$1:$BA$300,COLUMN()/2+1,FALSE)),"")</f>
        <v>#N/A</v>
      </c>
      <c r="G74" s="58"/>
      <c r="H74" s="16" t="e">
        <f ca="1">IF($A74&lt;&gt;"",
IF(VLOOKUP($A74,貼り付け用!$A$1:$BA$300,COLUMN()/2+1,FALSE)=0,"",VLOOKUP($A74,貼り付け用!$A$1:$BA$300,COLUMN()/2+1,FALSE)),"")</f>
        <v>#N/A</v>
      </c>
      <c r="I74" s="58"/>
      <c r="J74" s="16" t="e">
        <f ca="1">IF($A74&lt;&gt;"",
IF(VLOOKUP($A74,貼り付け用!$A$1:$BA$300,COLUMN()/2+1,FALSE)=0,"",VLOOKUP($A74,貼り付け用!$A$1:$BA$300,COLUMN()/2+1,FALSE)),"")</f>
        <v>#N/A</v>
      </c>
      <c r="K74" s="58"/>
      <c r="L74" s="16" t="e">
        <f ca="1">IF($A74&lt;&gt;"",
IF(VLOOKUP($A74,貼り付け用!$A$1:$BA$300,COLUMN()/2+1,FALSE)=0,"",VLOOKUP($A74,貼り付け用!$A$1:$BA$300,COLUMN()/2+1,FALSE)),"")</f>
        <v>#N/A</v>
      </c>
      <c r="M74" s="58"/>
      <c r="N74" s="16" t="e">
        <f ca="1">IF($A74&lt;&gt;"",
IF(VLOOKUP($A74,貼り付け用!$A$1:$BA$300,COLUMN()/2+1,FALSE)=0,"",VLOOKUP($A74,貼り付け用!$A$1:$BA$300,COLUMN()/2+1,FALSE)),"")</f>
        <v>#N/A</v>
      </c>
      <c r="O74" s="58"/>
      <c r="P74" s="16" t="e">
        <f ca="1">IF($A74&lt;&gt;"",
IF(VLOOKUP($A74,貼り付け用!$A$1:$BA$300,COLUMN()/2+1,FALSE)=0,"",VLOOKUP($A74,貼り付け用!$A$1:$BA$300,COLUMN()/2+1,FALSE)),"")</f>
        <v>#N/A</v>
      </c>
      <c r="Q74" s="58"/>
      <c r="R74" s="16" t="e">
        <f ca="1">IF($A74&lt;&gt;"",
IF(VLOOKUP($A74,貼り付け用!$A$1:$BA$300,COLUMN()/2+1,FALSE)=0,"",VLOOKUP($A74,貼り付け用!$A$1:$BA$300,COLUMN()/2+1,FALSE)),"")</f>
        <v>#N/A</v>
      </c>
      <c r="S74" s="58"/>
      <c r="T74" s="16" t="e">
        <f ca="1">IF($A74&lt;&gt;"",
IF(VLOOKUP($A74,貼り付け用!$A$1:$BA$300,COLUMN()/2+1,FALSE)=0,"",VLOOKUP($A74,貼り付け用!$A$1:$BA$300,COLUMN()/2+1,FALSE)),"")</f>
        <v>#N/A</v>
      </c>
      <c r="U74" s="58"/>
      <c r="V74" s="16" t="e">
        <f ca="1">IF($A74&lt;&gt;"",
IF(VLOOKUP($A74,貼り付け用!$A$1:$BA$300,COLUMN()/2+1,FALSE)=0,"",VLOOKUP($A74,貼り付け用!$A$1:$BA$300,COLUMN()/2+1,FALSE)),"")</f>
        <v>#N/A</v>
      </c>
      <c r="W74" s="58"/>
      <c r="X74" s="16" t="e">
        <f ca="1">IF($A74&lt;&gt;"",
IF(VLOOKUP($A74,貼り付け用!$A$1:$BA$300,COLUMN()/2+1,FALSE)=0,"",VLOOKUP($A74,貼り付け用!$A$1:$BA$300,COLUMN()/2+1,FALSE)),"")</f>
        <v>#N/A</v>
      </c>
      <c r="Y74" s="58"/>
      <c r="Z74" s="16" t="e">
        <f ca="1">IF($A74&lt;&gt;"",
IF(VLOOKUP($A74,貼り付け用!$A$1:$BA$300,COLUMN()/2+1,FALSE)=0,"",VLOOKUP($A74,貼り付け用!$A$1:$BA$300,COLUMN()/2+1,FALSE)),"")</f>
        <v>#N/A</v>
      </c>
      <c r="AA74" s="58"/>
      <c r="AB74" s="16" t="e">
        <f ca="1">IF($A74&lt;&gt;"",
IF(VLOOKUP($A74,貼り付け用!$A$1:$BA$300,COLUMN()/2+1,FALSE)=0,"",VLOOKUP($A74,貼り付け用!$A$1:$BA$300,COLUMN()/2+1,FALSE)),"")</f>
        <v>#N/A</v>
      </c>
      <c r="AC74" s="58"/>
      <c r="AD74" s="16" t="e">
        <f ca="1">IF($A74&lt;&gt;"",
IF(VLOOKUP($A74,貼り付け用!$A$1:$BA$300,COLUMN()/2+1,FALSE)=0,"",VLOOKUP($A74,貼り付け用!$A$1:$BA$300,COLUMN()/2+1,FALSE)),"")</f>
        <v>#N/A</v>
      </c>
      <c r="AE74" s="58"/>
      <c r="AF74" s="16" t="e">
        <f ca="1">IF($A74&lt;&gt;"",
IF(VLOOKUP($A74,貼り付け用!$A$1:$BA$300,COLUMN()/2+1,FALSE)=0,"",VLOOKUP($A74,貼り付け用!$A$1:$BA$300,COLUMN()/2+1,FALSE)),"")</f>
        <v>#N/A</v>
      </c>
      <c r="AG74" s="58"/>
      <c r="AH74" s="16" t="e">
        <f ca="1">IF($A74&lt;&gt;"",
IF(VLOOKUP($A74,貼り付け用!$A$1:$BA$300,COLUMN()/2+1,FALSE)=0,"",VLOOKUP($A74,貼り付け用!$A$1:$BA$300,COLUMN()/2+1,FALSE)),"")</f>
        <v>#N/A</v>
      </c>
      <c r="AI74" s="58"/>
      <c r="AJ74" s="16" t="e">
        <f ca="1">IF($A74&lt;&gt;"",
IF(VLOOKUP($A74,貼り付け用!$A$1:$BA$300,COLUMN()/2+1,FALSE)=0,"",VLOOKUP($A74,貼り付け用!$A$1:$BA$300,COLUMN()/2+1,FALSE)),"")</f>
        <v>#N/A</v>
      </c>
      <c r="AK74" s="58"/>
      <c r="AL74" s="16" t="e">
        <f ca="1">IF($A74&lt;&gt;"",
IF(VLOOKUP($A74,貼り付け用!$A$1:$BA$300,COLUMN()/2+1,FALSE)=0,"",VLOOKUP($A74,貼り付け用!$A$1:$BA$300,COLUMN()/2+1,FALSE)),"")</f>
        <v>#N/A</v>
      </c>
      <c r="AM74" s="210" t="e">
        <f ca="1">IF($A74&lt;&gt;"",
IF(VLOOKUP($A74,貼り付け用!$A$1:$BA$300,COLUMN()/2+2,FALSE)=0,"",VLOOKUP($A74,貼り付け用!$A$1:$BA$300,COLUMN()/2+2,FALSE)),"")</f>
        <v>#N/A</v>
      </c>
      <c r="AN74" s="210" t="e">
        <f ca="1">IF($A74&lt;&gt;"",
IF(VLOOKUP($A74,貼り付け用!$A$1:$BA$300,COLUMN()/2+3,FALSE)=0,"",VLOOKUP($A74,貼り付け用!$A$1:$BA$300,COLUMN()/2+3,FALSE)),"")</f>
        <v>#N/A</v>
      </c>
    </row>
    <row r="75" spans="1:40" x14ac:dyDescent="0.45">
      <c r="A75" s="8" t="e" cm="1">
        <f t="array" aca="1" ref="A75" ca="1">IF(OR(COUNTIF(A73,"*1000*"),COUNTIF(A73,"")),"",INDEX(貼り付け用!$A:$A,MATCH(A73,貼り付け用!$A:$A,0)+2,0))</f>
        <v>#N/A</v>
      </c>
      <c r="B75" s="46" t="e">
        <f ca="1">IF($A75&lt;&gt;"",
IF(VLOOKUP($A75,貼り付け用!$A$1:$BA$300,COLUMN()/2+1,FALSE)=0,"",VLOOKUP($A75,貼り付け用!$A$1:$BA$300,COLUMN()/2+1,FALSE)),"")</f>
        <v>#N/A</v>
      </c>
      <c r="C75" s="46"/>
      <c r="D75" s="46" t="e">
        <f ca="1">IF($A75&lt;&gt;"",
IF(VLOOKUP($A75,貼り付け用!$A$1:$BA$300,COLUMN()/2+1,FALSE)=0,"",VLOOKUP($A75,貼り付け用!$A$1:$BA$300,COLUMN()/2+1,FALSE)),"")</f>
        <v>#N/A</v>
      </c>
      <c r="E75" s="46"/>
      <c r="F75" s="46" t="e">
        <f ca="1">IF($A75&lt;&gt;"",
IF(VLOOKUP($A75,貼り付け用!$A$1:$BA$300,COLUMN()/2+1,FALSE)=0,"",VLOOKUP($A75,貼り付け用!$A$1:$BA$300,COLUMN()/2+1,FALSE)),"")</f>
        <v>#N/A</v>
      </c>
      <c r="G75" s="46"/>
      <c r="H75" s="46" t="e">
        <f ca="1">IF($A75&lt;&gt;"",
IF(VLOOKUP($A75,貼り付け用!$A$1:$BA$300,COLUMN()/2+1,FALSE)=0,"",VLOOKUP($A75,貼り付け用!$A$1:$BA$300,COLUMN()/2+1,FALSE)),"")</f>
        <v>#N/A</v>
      </c>
      <c r="I75" s="46"/>
      <c r="J75" s="46" t="e">
        <f ca="1">IF($A75&lt;&gt;"",
IF(VLOOKUP($A75,貼り付け用!$A$1:$BA$300,COLUMN()/2+1,FALSE)=0,"",VLOOKUP($A75,貼り付け用!$A$1:$BA$300,COLUMN()/2+1,FALSE)),"")</f>
        <v>#N/A</v>
      </c>
      <c r="K75" s="46"/>
      <c r="L75" s="46" t="e">
        <f ca="1">IF($A75&lt;&gt;"",
IF(VLOOKUP($A75,貼り付け用!$A$1:$BA$300,COLUMN()/2+1,FALSE)=0,"",VLOOKUP($A75,貼り付け用!$A$1:$BA$300,COLUMN()/2+1,FALSE)),"")</f>
        <v>#N/A</v>
      </c>
      <c r="M75" s="46"/>
      <c r="N75" s="46" t="e">
        <f ca="1">IF($A75&lt;&gt;"",
IF(VLOOKUP($A75,貼り付け用!$A$1:$BA$300,COLUMN()/2+1,FALSE)=0,"",VLOOKUP($A75,貼り付け用!$A$1:$BA$300,COLUMN()/2+1,FALSE)),"")</f>
        <v>#N/A</v>
      </c>
      <c r="O75" s="46"/>
      <c r="P75" s="46" t="e">
        <f ca="1">IF($A75&lt;&gt;"",
IF(VLOOKUP($A75,貼り付け用!$A$1:$BA$300,COLUMN()/2+1,FALSE)=0,"",VLOOKUP($A75,貼り付け用!$A$1:$BA$300,COLUMN()/2+1,FALSE)),"")</f>
        <v>#N/A</v>
      </c>
      <c r="Q75" s="46"/>
      <c r="R75" s="46" t="e">
        <f ca="1">IF($A75&lt;&gt;"",
IF(VLOOKUP($A75,貼り付け用!$A$1:$BA$300,COLUMN()/2+1,FALSE)=0,"",VLOOKUP($A75,貼り付け用!$A$1:$BA$300,COLUMN()/2+1,FALSE)),"")</f>
        <v>#N/A</v>
      </c>
      <c r="S75" s="46"/>
      <c r="T75" s="46" t="e">
        <f ca="1">IF($A75&lt;&gt;"",
IF(VLOOKUP($A75,貼り付け用!$A$1:$BA$300,COLUMN()/2+1,FALSE)=0,"",VLOOKUP($A75,貼り付け用!$A$1:$BA$300,COLUMN()/2+1,FALSE)),"")</f>
        <v>#N/A</v>
      </c>
      <c r="U75" s="46"/>
      <c r="V75" s="46" t="e">
        <f ca="1">IF($A75&lt;&gt;"",
IF(VLOOKUP($A75,貼り付け用!$A$1:$BA$300,COLUMN()/2+1,FALSE)=0,"",VLOOKUP($A75,貼り付け用!$A$1:$BA$300,COLUMN()/2+1,FALSE)),"")</f>
        <v>#N/A</v>
      </c>
      <c r="W75" s="46"/>
      <c r="X75" s="46" t="e">
        <f ca="1">IF($A75&lt;&gt;"",
IF(VLOOKUP($A75,貼り付け用!$A$1:$BA$300,COLUMN()/2+1,FALSE)=0,"",VLOOKUP($A75,貼り付け用!$A$1:$BA$300,COLUMN()/2+1,FALSE)),"")</f>
        <v>#N/A</v>
      </c>
      <c r="Y75" s="46"/>
      <c r="Z75" s="46" t="e">
        <f ca="1">IF($A75&lt;&gt;"",
IF(VLOOKUP($A75,貼り付け用!$A$1:$BA$300,COLUMN()/2+1,FALSE)=0,"",VLOOKUP($A75,貼り付け用!$A$1:$BA$300,COLUMN()/2+1,FALSE)),"")</f>
        <v>#N/A</v>
      </c>
      <c r="AA75" s="46"/>
      <c r="AB75" s="46" t="e">
        <f ca="1">IF($A75&lt;&gt;"",
IF(VLOOKUP($A75,貼り付け用!$A$1:$BA$300,COLUMN()/2+1,FALSE)=0,"",VLOOKUP($A75,貼り付け用!$A$1:$BA$300,COLUMN()/2+1,FALSE)),"")</f>
        <v>#N/A</v>
      </c>
      <c r="AC75" s="46"/>
      <c r="AD75" s="46" t="e">
        <f ca="1">IF($A75&lt;&gt;"",
IF(VLOOKUP($A75,貼り付け用!$A$1:$BA$300,COLUMN()/2+1,FALSE)=0,"",VLOOKUP($A75,貼り付け用!$A$1:$BA$300,COLUMN()/2+1,FALSE)),"")</f>
        <v>#N/A</v>
      </c>
      <c r="AE75" s="46"/>
      <c r="AF75" s="46" t="e">
        <f ca="1">IF($A75&lt;&gt;"",
IF(VLOOKUP($A75,貼り付け用!$A$1:$BA$300,COLUMN()/2+1,FALSE)=0,"",VLOOKUP($A75,貼り付け用!$A$1:$BA$300,COLUMN()/2+1,FALSE)),"")</f>
        <v>#N/A</v>
      </c>
      <c r="AG75" s="46"/>
      <c r="AH75" s="46" t="e">
        <f ca="1">IF($A75&lt;&gt;"",
IF(VLOOKUP($A75,貼り付け用!$A$1:$BA$300,COLUMN()/2+1,FALSE)=0,"",VLOOKUP($A75,貼り付け用!$A$1:$BA$300,COLUMN()/2+1,FALSE)),"")</f>
        <v>#N/A</v>
      </c>
      <c r="AI75" s="46"/>
      <c r="AJ75" s="46" t="e">
        <f ca="1">IF($A75&lt;&gt;"",
IF(VLOOKUP($A75,貼り付け用!$A$1:$BA$300,COLUMN()/2+1,FALSE)=0,"",VLOOKUP($A75,貼り付け用!$A$1:$BA$300,COLUMN()/2+1,FALSE)),"")</f>
        <v>#N/A</v>
      </c>
      <c r="AK75" s="46"/>
      <c r="AL75" s="46" t="e">
        <f ca="1">IF($A75&lt;&gt;"",
IF(VLOOKUP($A75,貼り付け用!$A$1:$BA$300,COLUMN()/2+1,FALSE)=0,"",VLOOKUP($A75,貼り付け用!$A$1:$BA$300,COLUMN()/2+1,FALSE)),"")</f>
        <v>#N/A</v>
      </c>
      <c r="AM75" s="211" t="e">
        <f ca="1">IF($A75&lt;&gt;"",
IF(VLOOKUP($A75,貼り付け用!$A$1:$BA$300,COLUMN()/2+2,FALSE)=0,"",VLOOKUP($A75,貼り付け用!$A$1:$BA$300,COLUMN()/2+2,FALSE)),"")</f>
        <v>#N/A</v>
      </c>
      <c r="AN75" s="211" t="e">
        <f ca="1">IF($A75&lt;&gt;"",
IF(VLOOKUP($A75,貼り付け用!$A$1:$BA$300,COLUMN()/2+3,FALSE)=0,"",VLOOKUP($A75,貼り付け用!$A$1:$BA$300,COLUMN()/2+3,FALSE)),"")</f>
        <v>#N/A</v>
      </c>
    </row>
    <row r="76" spans="1:40" x14ac:dyDescent="0.45">
      <c r="A76" s="5" t="e" cm="1">
        <f t="array" aca="1" ref="A76" ca="1">IF(OR(COUNTIF(A74,"*合計*"),COUNTIF(A74,"")),"",INDEX(貼り付け用!$A:$A,MATCH(A74,貼り付け用!$A:$A,0)+2,0))</f>
        <v>#N/A</v>
      </c>
      <c r="B76" s="16" t="e">
        <f ca="1">IF($A76&lt;&gt;"",
IF(VLOOKUP($A76,貼り付け用!$A$1:$BA$300,COLUMN()/2+1,FALSE)=0,"",VLOOKUP($A76,貼り付け用!$A$1:$BA$300,COLUMN()/2+1,FALSE)),"")</f>
        <v>#N/A</v>
      </c>
      <c r="C76" s="58"/>
      <c r="D76" s="16" t="e">
        <f ca="1">IF($A76&lt;&gt;"",
IF(VLOOKUP($A76,貼り付け用!$A$1:$BA$300,COLUMN()/2+1,FALSE)=0,"",VLOOKUP($A76,貼り付け用!$A$1:$BA$300,COLUMN()/2+1,FALSE)),"")</f>
        <v>#N/A</v>
      </c>
      <c r="E76" s="58"/>
      <c r="F76" s="16" t="e">
        <f ca="1">IF($A76&lt;&gt;"",
IF(VLOOKUP($A76,貼り付け用!$A$1:$BA$300,COLUMN()/2+1,FALSE)=0,"",VLOOKUP($A76,貼り付け用!$A$1:$BA$300,COLUMN()/2+1,FALSE)),"")</f>
        <v>#N/A</v>
      </c>
      <c r="G76" s="58"/>
      <c r="H76" s="16" t="e">
        <f ca="1">IF($A76&lt;&gt;"",
IF(VLOOKUP($A76,貼り付け用!$A$1:$BA$300,COLUMN()/2+1,FALSE)=0,"",VLOOKUP($A76,貼り付け用!$A$1:$BA$300,COLUMN()/2+1,FALSE)),"")</f>
        <v>#N/A</v>
      </c>
      <c r="I76" s="58"/>
      <c r="J76" s="16" t="e">
        <f ca="1">IF($A76&lt;&gt;"",
IF(VLOOKUP($A76,貼り付け用!$A$1:$BA$300,COLUMN()/2+1,FALSE)=0,"",VLOOKUP($A76,貼り付け用!$A$1:$BA$300,COLUMN()/2+1,FALSE)),"")</f>
        <v>#N/A</v>
      </c>
      <c r="K76" s="58"/>
      <c r="L76" s="16" t="e">
        <f ca="1">IF($A76&lt;&gt;"",
IF(VLOOKUP($A76,貼り付け用!$A$1:$BA$300,COLUMN()/2+1,FALSE)=0,"",VLOOKUP($A76,貼り付け用!$A$1:$BA$300,COLUMN()/2+1,FALSE)),"")</f>
        <v>#N/A</v>
      </c>
      <c r="M76" s="58"/>
      <c r="N76" s="16" t="e">
        <f ca="1">IF($A76&lt;&gt;"",
IF(VLOOKUP($A76,貼り付け用!$A$1:$BA$300,COLUMN()/2+1,FALSE)=0,"",VLOOKUP($A76,貼り付け用!$A$1:$BA$300,COLUMN()/2+1,FALSE)),"")</f>
        <v>#N/A</v>
      </c>
      <c r="O76" s="58"/>
      <c r="P76" s="16" t="e">
        <f ca="1">IF($A76&lt;&gt;"",
IF(VLOOKUP($A76,貼り付け用!$A$1:$BA$300,COLUMN()/2+1,FALSE)=0,"",VLOOKUP($A76,貼り付け用!$A$1:$BA$300,COLUMN()/2+1,FALSE)),"")</f>
        <v>#N/A</v>
      </c>
      <c r="Q76" s="58"/>
      <c r="R76" s="16" t="e">
        <f ca="1">IF($A76&lt;&gt;"",
IF(VLOOKUP($A76,貼り付け用!$A$1:$BA$300,COLUMN()/2+1,FALSE)=0,"",VLOOKUP($A76,貼り付け用!$A$1:$BA$300,COLUMN()/2+1,FALSE)),"")</f>
        <v>#N/A</v>
      </c>
      <c r="S76" s="58"/>
      <c r="T76" s="16" t="e">
        <f ca="1">IF($A76&lt;&gt;"",
IF(VLOOKUP($A76,貼り付け用!$A$1:$BA$300,COLUMN()/2+1,FALSE)=0,"",VLOOKUP($A76,貼り付け用!$A$1:$BA$300,COLUMN()/2+1,FALSE)),"")</f>
        <v>#N/A</v>
      </c>
      <c r="U76" s="58"/>
      <c r="V76" s="16" t="e">
        <f ca="1">IF($A76&lt;&gt;"",
IF(VLOOKUP($A76,貼り付け用!$A$1:$BA$300,COLUMN()/2+1,FALSE)=0,"",VLOOKUP($A76,貼り付け用!$A$1:$BA$300,COLUMN()/2+1,FALSE)),"")</f>
        <v>#N/A</v>
      </c>
      <c r="W76" s="58"/>
      <c r="X76" s="16" t="e">
        <f ca="1">IF($A76&lt;&gt;"",
IF(VLOOKUP($A76,貼り付け用!$A$1:$BA$300,COLUMN()/2+1,FALSE)=0,"",VLOOKUP($A76,貼り付け用!$A$1:$BA$300,COLUMN()/2+1,FALSE)),"")</f>
        <v>#N/A</v>
      </c>
      <c r="Y76" s="58"/>
      <c r="Z76" s="16" t="e">
        <f ca="1">IF($A76&lt;&gt;"",
IF(VLOOKUP($A76,貼り付け用!$A$1:$BA$300,COLUMN()/2+1,FALSE)=0,"",VLOOKUP($A76,貼り付け用!$A$1:$BA$300,COLUMN()/2+1,FALSE)),"")</f>
        <v>#N/A</v>
      </c>
      <c r="AA76" s="58"/>
      <c r="AB76" s="16" t="e">
        <f ca="1">IF($A76&lt;&gt;"",
IF(VLOOKUP($A76,貼り付け用!$A$1:$BA$300,COLUMN()/2+1,FALSE)=0,"",VLOOKUP($A76,貼り付け用!$A$1:$BA$300,COLUMN()/2+1,FALSE)),"")</f>
        <v>#N/A</v>
      </c>
      <c r="AC76" s="58"/>
      <c r="AD76" s="16" t="e">
        <f ca="1">IF($A76&lt;&gt;"",
IF(VLOOKUP($A76,貼り付け用!$A$1:$BA$300,COLUMN()/2+1,FALSE)=0,"",VLOOKUP($A76,貼り付け用!$A$1:$BA$300,COLUMN()/2+1,FALSE)),"")</f>
        <v>#N/A</v>
      </c>
      <c r="AE76" s="58"/>
      <c r="AF76" s="16" t="e">
        <f ca="1">IF($A76&lt;&gt;"",
IF(VLOOKUP($A76,貼り付け用!$A$1:$BA$300,COLUMN()/2+1,FALSE)=0,"",VLOOKUP($A76,貼り付け用!$A$1:$BA$300,COLUMN()/2+1,FALSE)),"")</f>
        <v>#N/A</v>
      </c>
      <c r="AG76" s="58"/>
      <c r="AH76" s="16" t="e">
        <f ca="1">IF($A76&lt;&gt;"",
IF(VLOOKUP($A76,貼り付け用!$A$1:$BA$300,COLUMN()/2+1,FALSE)=0,"",VLOOKUP($A76,貼り付け用!$A$1:$BA$300,COLUMN()/2+1,FALSE)),"")</f>
        <v>#N/A</v>
      </c>
      <c r="AI76" s="58"/>
      <c r="AJ76" s="16" t="e">
        <f ca="1">IF($A76&lt;&gt;"",
IF(VLOOKUP($A76,貼り付け用!$A$1:$BA$300,COLUMN()/2+1,FALSE)=0,"",VLOOKUP($A76,貼り付け用!$A$1:$BA$300,COLUMN()/2+1,FALSE)),"")</f>
        <v>#N/A</v>
      </c>
      <c r="AK76" s="58"/>
      <c r="AL76" s="16" t="e">
        <f ca="1">IF($A76&lt;&gt;"",
IF(VLOOKUP($A76,貼り付け用!$A$1:$BA$300,COLUMN()/2+1,FALSE)=0,"",VLOOKUP($A76,貼り付け用!$A$1:$BA$300,COLUMN()/2+1,FALSE)),"")</f>
        <v>#N/A</v>
      </c>
      <c r="AM76" s="210" t="e">
        <f ca="1">IF($A76&lt;&gt;"",
IF(VLOOKUP($A76,貼り付け用!$A$1:$BA$300,COLUMN()/2+2,FALSE)=0,"",VLOOKUP($A76,貼り付け用!$A$1:$BA$300,COLUMN()/2+2,FALSE)),"")</f>
        <v>#N/A</v>
      </c>
      <c r="AN76" s="210" t="e">
        <f ca="1">IF($A76&lt;&gt;"",
IF(VLOOKUP($A76,貼り付け用!$A$1:$BA$300,COLUMN()/2+3,FALSE)=0,"",VLOOKUP($A76,貼り付け用!$A$1:$BA$300,COLUMN()/2+3,FALSE)),"")</f>
        <v>#N/A</v>
      </c>
    </row>
    <row r="77" spans="1:40" x14ac:dyDescent="0.45">
      <c r="A77" s="8" t="e" cm="1">
        <f t="array" aca="1" ref="A77" ca="1">IF(OR(COUNTIF(A75,"*1000*"),COUNTIF(A75,"")),"",INDEX(貼り付け用!$A:$A,MATCH(A75,貼り付け用!$A:$A,0)+2,0))</f>
        <v>#N/A</v>
      </c>
      <c r="B77" s="46" t="e">
        <f ca="1">IF($A77&lt;&gt;"",
IF(VLOOKUP($A77,貼り付け用!$A$1:$BA$300,COLUMN()/2+1,FALSE)=0,"",VLOOKUP($A77,貼り付け用!$A$1:$BA$300,COLUMN()/2+1,FALSE)),"")</f>
        <v>#N/A</v>
      </c>
      <c r="C77" s="46"/>
      <c r="D77" s="46" t="e">
        <f ca="1">IF($A77&lt;&gt;"",
IF(VLOOKUP($A77,貼り付け用!$A$1:$BA$300,COLUMN()/2+1,FALSE)=0,"",VLOOKUP($A77,貼り付け用!$A$1:$BA$300,COLUMN()/2+1,FALSE)),"")</f>
        <v>#N/A</v>
      </c>
      <c r="E77" s="46"/>
      <c r="F77" s="46" t="e">
        <f ca="1">IF($A77&lt;&gt;"",
IF(VLOOKUP($A77,貼り付け用!$A$1:$BA$300,COLUMN()/2+1,FALSE)=0,"",VLOOKUP($A77,貼り付け用!$A$1:$BA$300,COLUMN()/2+1,FALSE)),"")</f>
        <v>#N/A</v>
      </c>
      <c r="G77" s="46"/>
      <c r="H77" s="46" t="e">
        <f ca="1">IF($A77&lt;&gt;"",
IF(VLOOKUP($A77,貼り付け用!$A$1:$BA$300,COLUMN()/2+1,FALSE)=0,"",VLOOKUP($A77,貼り付け用!$A$1:$BA$300,COLUMN()/2+1,FALSE)),"")</f>
        <v>#N/A</v>
      </c>
      <c r="I77" s="46"/>
      <c r="J77" s="46" t="e">
        <f ca="1">IF($A77&lt;&gt;"",
IF(VLOOKUP($A77,貼り付け用!$A$1:$BA$300,COLUMN()/2+1,FALSE)=0,"",VLOOKUP($A77,貼り付け用!$A$1:$BA$300,COLUMN()/2+1,FALSE)),"")</f>
        <v>#N/A</v>
      </c>
      <c r="K77" s="46"/>
      <c r="L77" s="46" t="e">
        <f ca="1">IF($A77&lt;&gt;"",
IF(VLOOKUP($A77,貼り付け用!$A$1:$BA$300,COLUMN()/2+1,FALSE)=0,"",VLOOKUP($A77,貼り付け用!$A$1:$BA$300,COLUMN()/2+1,FALSE)),"")</f>
        <v>#N/A</v>
      </c>
      <c r="M77" s="46"/>
      <c r="N77" s="46" t="e">
        <f ca="1">IF($A77&lt;&gt;"",
IF(VLOOKUP($A77,貼り付け用!$A$1:$BA$300,COLUMN()/2+1,FALSE)=0,"",VLOOKUP($A77,貼り付け用!$A$1:$BA$300,COLUMN()/2+1,FALSE)),"")</f>
        <v>#N/A</v>
      </c>
      <c r="O77" s="46"/>
      <c r="P77" s="46" t="e">
        <f ca="1">IF($A77&lt;&gt;"",
IF(VLOOKUP($A77,貼り付け用!$A$1:$BA$300,COLUMN()/2+1,FALSE)=0,"",VLOOKUP($A77,貼り付け用!$A$1:$BA$300,COLUMN()/2+1,FALSE)),"")</f>
        <v>#N/A</v>
      </c>
      <c r="Q77" s="46"/>
      <c r="R77" s="46" t="e">
        <f ca="1">IF($A77&lt;&gt;"",
IF(VLOOKUP($A77,貼り付け用!$A$1:$BA$300,COLUMN()/2+1,FALSE)=0,"",VLOOKUP($A77,貼り付け用!$A$1:$BA$300,COLUMN()/2+1,FALSE)),"")</f>
        <v>#N/A</v>
      </c>
      <c r="S77" s="46"/>
      <c r="T77" s="46" t="e">
        <f ca="1">IF($A77&lt;&gt;"",
IF(VLOOKUP($A77,貼り付け用!$A$1:$BA$300,COLUMN()/2+1,FALSE)=0,"",VLOOKUP($A77,貼り付け用!$A$1:$BA$300,COLUMN()/2+1,FALSE)),"")</f>
        <v>#N/A</v>
      </c>
      <c r="U77" s="46"/>
      <c r="V77" s="46" t="e">
        <f ca="1">IF($A77&lt;&gt;"",
IF(VLOOKUP($A77,貼り付け用!$A$1:$BA$300,COLUMN()/2+1,FALSE)=0,"",VLOOKUP($A77,貼り付け用!$A$1:$BA$300,COLUMN()/2+1,FALSE)),"")</f>
        <v>#N/A</v>
      </c>
      <c r="W77" s="46"/>
      <c r="X77" s="46" t="e">
        <f ca="1">IF($A77&lt;&gt;"",
IF(VLOOKUP($A77,貼り付け用!$A$1:$BA$300,COLUMN()/2+1,FALSE)=0,"",VLOOKUP($A77,貼り付け用!$A$1:$BA$300,COLUMN()/2+1,FALSE)),"")</f>
        <v>#N/A</v>
      </c>
      <c r="Y77" s="46"/>
      <c r="Z77" s="46" t="e">
        <f ca="1">IF($A77&lt;&gt;"",
IF(VLOOKUP($A77,貼り付け用!$A$1:$BA$300,COLUMN()/2+1,FALSE)=0,"",VLOOKUP($A77,貼り付け用!$A$1:$BA$300,COLUMN()/2+1,FALSE)),"")</f>
        <v>#N/A</v>
      </c>
      <c r="AA77" s="46"/>
      <c r="AB77" s="46" t="e">
        <f ca="1">IF($A77&lt;&gt;"",
IF(VLOOKUP($A77,貼り付け用!$A$1:$BA$300,COLUMN()/2+1,FALSE)=0,"",VLOOKUP($A77,貼り付け用!$A$1:$BA$300,COLUMN()/2+1,FALSE)),"")</f>
        <v>#N/A</v>
      </c>
      <c r="AC77" s="46"/>
      <c r="AD77" s="46" t="e">
        <f ca="1">IF($A77&lt;&gt;"",
IF(VLOOKUP($A77,貼り付け用!$A$1:$BA$300,COLUMN()/2+1,FALSE)=0,"",VLOOKUP($A77,貼り付け用!$A$1:$BA$300,COLUMN()/2+1,FALSE)),"")</f>
        <v>#N/A</v>
      </c>
      <c r="AE77" s="46"/>
      <c r="AF77" s="46" t="e">
        <f ca="1">IF($A77&lt;&gt;"",
IF(VLOOKUP($A77,貼り付け用!$A$1:$BA$300,COLUMN()/2+1,FALSE)=0,"",VLOOKUP($A77,貼り付け用!$A$1:$BA$300,COLUMN()/2+1,FALSE)),"")</f>
        <v>#N/A</v>
      </c>
      <c r="AG77" s="46"/>
      <c r="AH77" s="46" t="e">
        <f ca="1">IF($A77&lt;&gt;"",
IF(VLOOKUP($A77,貼り付け用!$A$1:$BA$300,COLUMN()/2+1,FALSE)=0,"",VLOOKUP($A77,貼り付け用!$A$1:$BA$300,COLUMN()/2+1,FALSE)),"")</f>
        <v>#N/A</v>
      </c>
      <c r="AI77" s="46"/>
      <c r="AJ77" s="46" t="e">
        <f ca="1">IF($A77&lt;&gt;"",
IF(VLOOKUP($A77,貼り付け用!$A$1:$BA$300,COLUMN()/2+1,FALSE)=0,"",VLOOKUP($A77,貼り付け用!$A$1:$BA$300,COLUMN()/2+1,FALSE)),"")</f>
        <v>#N/A</v>
      </c>
      <c r="AK77" s="46"/>
      <c r="AL77" s="46" t="e">
        <f ca="1">IF($A77&lt;&gt;"",
IF(VLOOKUP($A77,貼り付け用!$A$1:$BA$300,COLUMN()/2+1,FALSE)=0,"",VLOOKUP($A77,貼り付け用!$A$1:$BA$300,COLUMN()/2+1,FALSE)),"")</f>
        <v>#N/A</v>
      </c>
      <c r="AM77" s="211" t="e">
        <f ca="1">IF($A77&lt;&gt;"",
IF(VLOOKUP($A77,貼り付け用!$A$1:$BA$300,COLUMN()/2+2,FALSE)=0,"",VLOOKUP($A77,貼り付け用!$A$1:$BA$300,COLUMN()/2+2,FALSE)),"")</f>
        <v>#N/A</v>
      </c>
      <c r="AN77" s="211" t="e">
        <f ca="1">IF($A77&lt;&gt;"",
IF(VLOOKUP($A77,貼り付け用!$A$1:$BA$300,COLUMN()/2+3,FALSE)=0,"",VLOOKUP($A77,貼り付け用!$A$1:$BA$300,COLUMN()/2+3,FALSE)),"")</f>
        <v>#N/A</v>
      </c>
    </row>
    <row r="78" spans="1:40" x14ac:dyDescent="0.45">
      <c r="A78" s="5" t="e" cm="1">
        <f t="array" aca="1" ref="A78" ca="1">IF(OR(COUNTIF(A76,"*合計*"),COUNTIF(A76,"")),"",INDEX(貼り付け用!$A:$A,MATCH(A76,貼り付け用!$A:$A,0)+2,0))</f>
        <v>#N/A</v>
      </c>
      <c r="B78" s="16" t="e">
        <f ca="1">IF($A78&lt;&gt;"",
IF(VLOOKUP($A78,貼り付け用!$A$1:$BA$300,COLUMN()/2+1,FALSE)=0,"",VLOOKUP($A78,貼り付け用!$A$1:$BA$300,COLUMN()/2+1,FALSE)),"")</f>
        <v>#N/A</v>
      </c>
      <c r="C78" s="58"/>
      <c r="D78" s="16" t="e">
        <f ca="1">IF($A78&lt;&gt;"",
IF(VLOOKUP($A78,貼り付け用!$A$1:$BA$300,COLUMN()/2+1,FALSE)=0,"",VLOOKUP($A78,貼り付け用!$A$1:$BA$300,COLUMN()/2+1,FALSE)),"")</f>
        <v>#N/A</v>
      </c>
      <c r="E78" s="58"/>
      <c r="F78" s="16" t="e">
        <f ca="1">IF($A78&lt;&gt;"",
IF(VLOOKUP($A78,貼り付け用!$A$1:$BA$300,COLUMN()/2+1,FALSE)=0,"",VLOOKUP($A78,貼り付け用!$A$1:$BA$300,COLUMN()/2+1,FALSE)),"")</f>
        <v>#N/A</v>
      </c>
      <c r="G78" s="58"/>
      <c r="H78" s="16" t="e">
        <f ca="1">IF($A78&lt;&gt;"",
IF(VLOOKUP($A78,貼り付け用!$A$1:$BA$300,COLUMN()/2+1,FALSE)=0,"",VLOOKUP($A78,貼り付け用!$A$1:$BA$300,COLUMN()/2+1,FALSE)),"")</f>
        <v>#N/A</v>
      </c>
      <c r="I78" s="58"/>
      <c r="J78" s="16" t="e">
        <f ca="1">IF($A78&lt;&gt;"",
IF(VLOOKUP($A78,貼り付け用!$A$1:$BA$300,COLUMN()/2+1,FALSE)=0,"",VLOOKUP($A78,貼り付け用!$A$1:$BA$300,COLUMN()/2+1,FALSE)),"")</f>
        <v>#N/A</v>
      </c>
      <c r="K78" s="58"/>
      <c r="L78" s="16" t="e">
        <f ca="1">IF($A78&lt;&gt;"",
IF(VLOOKUP($A78,貼り付け用!$A$1:$BA$300,COLUMN()/2+1,FALSE)=0,"",VLOOKUP($A78,貼り付け用!$A$1:$BA$300,COLUMN()/2+1,FALSE)),"")</f>
        <v>#N/A</v>
      </c>
      <c r="M78" s="58"/>
      <c r="N78" s="16" t="e">
        <f ca="1">IF($A78&lt;&gt;"",
IF(VLOOKUP($A78,貼り付け用!$A$1:$BA$300,COLUMN()/2+1,FALSE)=0,"",VLOOKUP($A78,貼り付け用!$A$1:$BA$300,COLUMN()/2+1,FALSE)),"")</f>
        <v>#N/A</v>
      </c>
      <c r="O78" s="58"/>
      <c r="P78" s="16" t="e">
        <f ca="1">IF($A78&lt;&gt;"",
IF(VLOOKUP($A78,貼り付け用!$A$1:$BA$300,COLUMN()/2+1,FALSE)=0,"",VLOOKUP($A78,貼り付け用!$A$1:$BA$300,COLUMN()/2+1,FALSE)),"")</f>
        <v>#N/A</v>
      </c>
      <c r="Q78" s="58"/>
      <c r="R78" s="16" t="e">
        <f ca="1">IF($A78&lt;&gt;"",
IF(VLOOKUP($A78,貼り付け用!$A$1:$BA$300,COLUMN()/2+1,FALSE)=0,"",VLOOKUP($A78,貼り付け用!$A$1:$BA$300,COLUMN()/2+1,FALSE)),"")</f>
        <v>#N/A</v>
      </c>
      <c r="S78" s="58"/>
      <c r="T78" s="16" t="e">
        <f ca="1">IF($A78&lt;&gt;"",
IF(VLOOKUP($A78,貼り付け用!$A$1:$BA$300,COLUMN()/2+1,FALSE)=0,"",VLOOKUP($A78,貼り付け用!$A$1:$BA$300,COLUMN()/2+1,FALSE)),"")</f>
        <v>#N/A</v>
      </c>
      <c r="U78" s="58"/>
      <c r="V78" s="16" t="e">
        <f ca="1">IF($A78&lt;&gt;"",
IF(VLOOKUP($A78,貼り付け用!$A$1:$BA$300,COLUMN()/2+1,FALSE)=0,"",VLOOKUP($A78,貼り付け用!$A$1:$BA$300,COLUMN()/2+1,FALSE)),"")</f>
        <v>#N/A</v>
      </c>
      <c r="W78" s="58"/>
      <c r="X78" s="16" t="e">
        <f ca="1">IF($A78&lt;&gt;"",
IF(VLOOKUP($A78,貼り付け用!$A$1:$BA$300,COLUMN()/2+1,FALSE)=0,"",VLOOKUP($A78,貼り付け用!$A$1:$BA$300,COLUMN()/2+1,FALSE)),"")</f>
        <v>#N/A</v>
      </c>
      <c r="Y78" s="58"/>
      <c r="Z78" s="16" t="e">
        <f ca="1">IF($A78&lt;&gt;"",
IF(VLOOKUP($A78,貼り付け用!$A$1:$BA$300,COLUMN()/2+1,FALSE)=0,"",VLOOKUP($A78,貼り付け用!$A$1:$BA$300,COLUMN()/2+1,FALSE)),"")</f>
        <v>#N/A</v>
      </c>
      <c r="AA78" s="58"/>
      <c r="AB78" s="16" t="e">
        <f ca="1">IF($A78&lt;&gt;"",
IF(VLOOKUP($A78,貼り付け用!$A$1:$BA$300,COLUMN()/2+1,FALSE)=0,"",VLOOKUP($A78,貼り付け用!$A$1:$BA$300,COLUMN()/2+1,FALSE)),"")</f>
        <v>#N/A</v>
      </c>
      <c r="AC78" s="58"/>
      <c r="AD78" s="16" t="e">
        <f ca="1">IF($A78&lt;&gt;"",
IF(VLOOKUP($A78,貼り付け用!$A$1:$BA$300,COLUMN()/2+1,FALSE)=0,"",VLOOKUP($A78,貼り付け用!$A$1:$BA$300,COLUMN()/2+1,FALSE)),"")</f>
        <v>#N/A</v>
      </c>
      <c r="AE78" s="58"/>
      <c r="AF78" s="16" t="e">
        <f ca="1">IF($A78&lt;&gt;"",
IF(VLOOKUP($A78,貼り付け用!$A$1:$BA$300,COLUMN()/2+1,FALSE)=0,"",VLOOKUP($A78,貼り付け用!$A$1:$BA$300,COLUMN()/2+1,FALSE)),"")</f>
        <v>#N/A</v>
      </c>
      <c r="AG78" s="58"/>
      <c r="AH78" s="16" t="e">
        <f ca="1">IF($A78&lt;&gt;"",
IF(VLOOKUP($A78,貼り付け用!$A$1:$BA$300,COLUMN()/2+1,FALSE)=0,"",VLOOKUP($A78,貼り付け用!$A$1:$BA$300,COLUMN()/2+1,FALSE)),"")</f>
        <v>#N/A</v>
      </c>
      <c r="AI78" s="58"/>
      <c r="AJ78" s="16" t="e">
        <f ca="1">IF($A78&lt;&gt;"",
IF(VLOOKUP($A78,貼り付け用!$A$1:$BA$300,COLUMN()/2+1,FALSE)=0,"",VLOOKUP($A78,貼り付け用!$A$1:$BA$300,COLUMN()/2+1,FALSE)),"")</f>
        <v>#N/A</v>
      </c>
      <c r="AK78" s="58"/>
      <c r="AL78" s="16" t="e">
        <f ca="1">IF($A78&lt;&gt;"",
IF(VLOOKUP($A78,貼り付け用!$A$1:$BA$300,COLUMN()/2+1,FALSE)=0,"",VLOOKUP($A78,貼り付け用!$A$1:$BA$300,COLUMN()/2+1,FALSE)),"")</f>
        <v>#N/A</v>
      </c>
      <c r="AM78" s="210" t="e">
        <f ca="1">IF($A78&lt;&gt;"",
IF(VLOOKUP($A78,貼り付け用!$A$1:$BA$300,COLUMN()/2+2,FALSE)=0,"",VLOOKUP($A78,貼り付け用!$A$1:$BA$300,COLUMN()/2+2,FALSE)),"")</f>
        <v>#N/A</v>
      </c>
      <c r="AN78" s="210" t="e">
        <f ca="1">IF($A78&lt;&gt;"",
IF(VLOOKUP($A78,貼り付け用!$A$1:$BA$300,COLUMN()/2+3,FALSE)=0,"",VLOOKUP($A78,貼り付け用!$A$1:$BA$300,COLUMN()/2+3,FALSE)),"")</f>
        <v>#N/A</v>
      </c>
    </row>
    <row r="79" spans="1:40" x14ac:dyDescent="0.45">
      <c r="A79" s="8" t="e" cm="1">
        <f t="array" aca="1" ref="A79" ca="1">IF(OR(COUNTIF(A77,"*1000*"),COUNTIF(A77,"")),"",INDEX(貼り付け用!$A:$A,MATCH(A77,貼り付け用!$A:$A,0)+2,0))</f>
        <v>#N/A</v>
      </c>
      <c r="B79" s="46" t="e">
        <f ca="1">IF($A79&lt;&gt;"",
IF(VLOOKUP($A79,貼り付け用!$A$1:$BA$300,COLUMN()/2+1,FALSE)=0,"",VLOOKUP($A79,貼り付け用!$A$1:$BA$300,COLUMN()/2+1,FALSE)),"")</f>
        <v>#N/A</v>
      </c>
      <c r="C79" s="46"/>
      <c r="D79" s="46" t="e">
        <f ca="1">IF($A79&lt;&gt;"",
IF(VLOOKUP($A79,貼り付け用!$A$1:$BA$300,COLUMN()/2+1,FALSE)=0,"",VLOOKUP($A79,貼り付け用!$A$1:$BA$300,COLUMN()/2+1,FALSE)),"")</f>
        <v>#N/A</v>
      </c>
      <c r="E79" s="46"/>
      <c r="F79" s="46" t="e">
        <f ca="1">IF($A79&lt;&gt;"",
IF(VLOOKUP($A79,貼り付け用!$A$1:$BA$300,COLUMN()/2+1,FALSE)=0,"",VLOOKUP($A79,貼り付け用!$A$1:$BA$300,COLUMN()/2+1,FALSE)),"")</f>
        <v>#N/A</v>
      </c>
      <c r="G79" s="46"/>
      <c r="H79" s="46" t="e">
        <f ca="1">IF($A79&lt;&gt;"",
IF(VLOOKUP($A79,貼り付け用!$A$1:$BA$300,COLUMN()/2+1,FALSE)=0,"",VLOOKUP($A79,貼り付け用!$A$1:$BA$300,COLUMN()/2+1,FALSE)),"")</f>
        <v>#N/A</v>
      </c>
      <c r="I79" s="46"/>
      <c r="J79" s="46" t="e">
        <f ca="1">IF($A79&lt;&gt;"",
IF(VLOOKUP($A79,貼り付け用!$A$1:$BA$300,COLUMN()/2+1,FALSE)=0,"",VLOOKUP($A79,貼り付け用!$A$1:$BA$300,COLUMN()/2+1,FALSE)),"")</f>
        <v>#N/A</v>
      </c>
      <c r="K79" s="46"/>
      <c r="L79" s="46" t="e">
        <f ca="1">IF($A79&lt;&gt;"",
IF(VLOOKUP($A79,貼り付け用!$A$1:$BA$300,COLUMN()/2+1,FALSE)=0,"",VLOOKUP($A79,貼り付け用!$A$1:$BA$300,COLUMN()/2+1,FALSE)),"")</f>
        <v>#N/A</v>
      </c>
      <c r="M79" s="46"/>
      <c r="N79" s="46" t="e">
        <f ca="1">IF($A79&lt;&gt;"",
IF(VLOOKUP($A79,貼り付け用!$A$1:$BA$300,COLUMN()/2+1,FALSE)=0,"",VLOOKUP($A79,貼り付け用!$A$1:$BA$300,COLUMN()/2+1,FALSE)),"")</f>
        <v>#N/A</v>
      </c>
      <c r="O79" s="46"/>
      <c r="P79" s="46" t="e">
        <f ca="1">IF($A79&lt;&gt;"",
IF(VLOOKUP($A79,貼り付け用!$A$1:$BA$300,COLUMN()/2+1,FALSE)=0,"",VLOOKUP($A79,貼り付け用!$A$1:$BA$300,COLUMN()/2+1,FALSE)),"")</f>
        <v>#N/A</v>
      </c>
      <c r="Q79" s="46"/>
      <c r="R79" s="46" t="e">
        <f ca="1">IF($A79&lt;&gt;"",
IF(VLOOKUP($A79,貼り付け用!$A$1:$BA$300,COLUMN()/2+1,FALSE)=0,"",VLOOKUP($A79,貼り付け用!$A$1:$BA$300,COLUMN()/2+1,FALSE)),"")</f>
        <v>#N/A</v>
      </c>
      <c r="S79" s="46"/>
      <c r="T79" s="46" t="e">
        <f ca="1">IF($A79&lt;&gt;"",
IF(VLOOKUP($A79,貼り付け用!$A$1:$BA$300,COLUMN()/2+1,FALSE)=0,"",VLOOKUP($A79,貼り付け用!$A$1:$BA$300,COLUMN()/2+1,FALSE)),"")</f>
        <v>#N/A</v>
      </c>
      <c r="U79" s="46"/>
      <c r="V79" s="46" t="e">
        <f ca="1">IF($A79&lt;&gt;"",
IF(VLOOKUP($A79,貼り付け用!$A$1:$BA$300,COLUMN()/2+1,FALSE)=0,"",VLOOKUP($A79,貼り付け用!$A$1:$BA$300,COLUMN()/2+1,FALSE)),"")</f>
        <v>#N/A</v>
      </c>
      <c r="W79" s="46"/>
      <c r="X79" s="46" t="e">
        <f ca="1">IF($A79&lt;&gt;"",
IF(VLOOKUP($A79,貼り付け用!$A$1:$BA$300,COLUMN()/2+1,FALSE)=0,"",VLOOKUP($A79,貼り付け用!$A$1:$BA$300,COLUMN()/2+1,FALSE)),"")</f>
        <v>#N/A</v>
      </c>
      <c r="Y79" s="46"/>
      <c r="Z79" s="46" t="e">
        <f ca="1">IF($A79&lt;&gt;"",
IF(VLOOKUP($A79,貼り付け用!$A$1:$BA$300,COLUMN()/2+1,FALSE)=0,"",VLOOKUP($A79,貼り付け用!$A$1:$BA$300,COLUMN()/2+1,FALSE)),"")</f>
        <v>#N/A</v>
      </c>
      <c r="AA79" s="46"/>
      <c r="AB79" s="46" t="e">
        <f ca="1">IF($A79&lt;&gt;"",
IF(VLOOKUP($A79,貼り付け用!$A$1:$BA$300,COLUMN()/2+1,FALSE)=0,"",VLOOKUP($A79,貼り付け用!$A$1:$BA$300,COLUMN()/2+1,FALSE)),"")</f>
        <v>#N/A</v>
      </c>
      <c r="AC79" s="46"/>
      <c r="AD79" s="46" t="e">
        <f ca="1">IF($A79&lt;&gt;"",
IF(VLOOKUP($A79,貼り付け用!$A$1:$BA$300,COLUMN()/2+1,FALSE)=0,"",VLOOKUP($A79,貼り付け用!$A$1:$BA$300,COLUMN()/2+1,FALSE)),"")</f>
        <v>#N/A</v>
      </c>
      <c r="AE79" s="46"/>
      <c r="AF79" s="46" t="e">
        <f ca="1">IF($A79&lt;&gt;"",
IF(VLOOKUP($A79,貼り付け用!$A$1:$BA$300,COLUMN()/2+1,FALSE)=0,"",VLOOKUP($A79,貼り付け用!$A$1:$BA$300,COLUMN()/2+1,FALSE)),"")</f>
        <v>#N/A</v>
      </c>
      <c r="AG79" s="46"/>
      <c r="AH79" s="46" t="e">
        <f ca="1">IF($A79&lt;&gt;"",
IF(VLOOKUP($A79,貼り付け用!$A$1:$BA$300,COLUMN()/2+1,FALSE)=0,"",VLOOKUP($A79,貼り付け用!$A$1:$BA$300,COLUMN()/2+1,FALSE)),"")</f>
        <v>#N/A</v>
      </c>
      <c r="AI79" s="46"/>
      <c r="AJ79" s="46" t="e">
        <f ca="1">IF($A79&lt;&gt;"",
IF(VLOOKUP($A79,貼り付け用!$A$1:$BA$300,COLUMN()/2+1,FALSE)=0,"",VLOOKUP($A79,貼り付け用!$A$1:$BA$300,COLUMN()/2+1,FALSE)),"")</f>
        <v>#N/A</v>
      </c>
      <c r="AK79" s="46"/>
      <c r="AL79" s="46" t="e">
        <f ca="1">IF($A79&lt;&gt;"",
IF(VLOOKUP($A79,貼り付け用!$A$1:$BA$300,COLUMN()/2+1,FALSE)=0,"",VLOOKUP($A79,貼り付け用!$A$1:$BA$300,COLUMN()/2+1,FALSE)),"")</f>
        <v>#N/A</v>
      </c>
      <c r="AM79" s="211" t="e">
        <f ca="1">IF($A79&lt;&gt;"",
IF(VLOOKUP($A79,貼り付け用!$A$1:$BA$300,COLUMN()/2+2,FALSE)=0,"",VLOOKUP($A79,貼り付け用!$A$1:$BA$300,COLUMN()/2+2,FALSE)),"")</f>
        <v>#N/A</v>
      </c>
      <c r="AN79" s="211" t="e">
        <f ca="1">IF($A79&lt;&gt;"",
IF(VLOOKUP($A79,貼り付け用!$A$1:$BA$300,COLUMN()/2+3,FALSE)=0,"",VLOOKUP($A79,貼り付け用!$A$1:$BA$300,COLUMN()/2+3,FALSE)),"")</f>
        <v>#N/A</v>
      </c>
    </row>
    <row r="80" spans="1:40" x14ac:dyDescent="0.45">
      <c r="A80" s="5" t="e" cm="1">
        <f t="array" aca="1" ref="A80" ca="1">IF(OR(COUNTIF(A78,"*合計*"),COUNTIF(A78,"")),"",INDEX(貼り付け用!$A:$A,MATCH(A78,貼り付け用!$A:$A,0)+2,0))</f>
        <v>#N/A</v>
      </c>
      <c r="B80" s="16" t="e">
        <f ca="1">IF($A80&lt;&gt;"",
IF(VLOOKUP($A80,貼り付け用!$A$1:$BA$300,COLUMN()/2+1,FALSE)=0,"",VLOOKUP($A80,貼り付け用!$A$1:$BA$300,COLUMN()/2+1,FALSE)),"")</f>
        <v>#N/A</v>
      </c>
      <c r="C80" s="58"/>
      <c r="D80" s="16" t="e">
        <f ca="1">IF($A80&lt;&gt;"",
IF(VLOOKUP($A80,貼り付け用!$A$1:$BA$300,COLUMN()/2+1,FALSE)=0,"",VLOOKUP($A80,貼り付け用!$A$1:$BA$300,COLUMN()/2+1,FALSE)),"")</f>
        <v>#N/A</v>
      </c>
      <c r="E80" s="58"/>
      <c r="F80" s="16" t="e">
        <f ca="1">IF($A80&lt;&gt;"",
IF(VLOOKUP($A80,貼り付け用!$A$1:$BA$300,COLUMN()/2+1,FALSE)=0,"",VLOOKUP($A80,貼り付け用!$A$1:$BA$300,COLUMN()/2+1,FALSE)),"")</f>
        <v>#N/A</v>
      </c>
      <c r="G80" s="58"/>
      <c r="H80" s="16" t="e">
        <f ca="1">IF($A80&lt;&gt;"",
IF(VLOOKUP($A80,貼り付け用!$A$1:$BA$300,COLUMN()/2+1,FALSE)=0,"",VLOOKUP($A80,貼り付け用!$A$1:$BA$300,COLUMN()/2+1,FALSE)),"")</f>
        <v>#N/A</v>
      </c>
      <c r="I80" s="58"/>
      <c r="J80" s="16" t="e">
        <f ca="1">IF($A80&lt;&gt;"",
IF(VLOOKUP($A80,貼り付け用!$A$1:$BA$300,COLUMN()/2+1,FALSE)=0,"",VLOOKUP($A80,貼り付け用!$A$1:$BA$300,COLUMN()/2+1,FALSE)),"")</f>
        <v>#N/A</v>
      </c>
      <c r="K80" s="58"/>
      <c r="L80" s="16" t="e">
        <f ca="1">IF($A80&lt;&gt;"",
IF(VLOOKUP($A80,貼り付け用!$A$1:$BA$300,COLUMN()/2+1,FALSE)=0,"",VLOOKUP($A80,貼り付け用!$A$1:$BA$300,COLUMN()/2+1,FALSE)),"")</f>
        <v>#N/A</v>
      </c>
      <c r="M80" s="58"/>
      <c r="N80" s="16" t="e">
        <f ca="1">IF($A80&lt;&gt;"",
IF(VLOOKUP($A80,貼り付け用!$A$1:$BA$300,COLUMN()/2+1,FALSE)=0,"",VLOOKUP($A80,貼り付け用!$A$1:$BA$300,COLUMN()/2+1,FALSE)),"")</f>
        <v>#N/A</v>
      </c>
      <c r="O80" s="58"/>
      <c r="P80" s="16" t="e">
        <f ca="1">IF($A80&lt;&gt;"",
IF(VLOOKUP($A80,貼り付け用!$A$1:$BA$300,COLUMN()/2+1,FALSE)=0,"",VLOOKUP($A80,貼り付け用!$A$1:$BA$300,COLUMN()/2+1,FALSE)),"")</f>
        <v>#N/A</v>
      </c>
      <c r="Q80" s="58"/>
      <c r="R80" s="16" t="e">
        <f ca="1">IF($A80&lt;&gt;"",
IF(VLOOKUP($A80,貼り付け用!$A$1:$BA$300,COLUMN()/2+1,FALSE)=0,"",VLOOKUP($A80,貼り付け用!$A$1:$BA$300,COLUMN()/2+1,FALSE)),"")</f>
        <v>#N/A</v>
      </c>
      <c r="S80" s="58"/>
      <c r="T80" s="16" t="e">
        <f ca="1">IF($A80&lt;&gt;"",
IF(VLOOKUP($A80,貼り付け用!$A$1:$BA$300,COLUMN()/2+1,FALSE)=0,"",VLOOKUP($A80,貼り付け用!$A$1:$BA$300,COLUMN()/2+1,FALSE)),"")</f>
        <v>#N/A</v>
      </c>
      <c r="U80" s="58"/>
      <c r="V80" s="16" t="e">
        <f ca="1">IF($A80&lt;&gt;"",
IF(VLOOKUP($A80,貼り付け用!$A$1:$BA$300,COLUMN()/2+1,FALSE)=0,"",VLOOKUP($A80,貼り付け用!$A$1:$BA$300,COLUMN()/2+1,FALSE)),"")</f>
        <v>#N/A</v>
      </c>
      <c r="W80" s="58"/>
      <c r="X80" s="16" t="e">
        <f ca="1">IF($A80&lt;&gt;"",
IF(VLOOKUP($A80,貼り付け用!$A$1:$BA$300,COLUMN()/2+1,FALSE)=0,"",VLOOKUP($A80,貼り付け用!$A$1:$BA$300,COLUMN()/2+1,FALSE)),"")</f>
        <v>#N/A</v>
      </c>
      <c r="Y80" s="58"/>
      <c r="Z80" s="16" t="e">
        <f ca="1">IF($A80&lt;&gt;"",
IF(VLOOKUP($A80,貼り付け用!$A$1:$BA$300,COLUMN()/2+1,FALSE)=0,"",VLOOKUP($A80,貼り付け用!$A$1:$BA$300,COLUMN()/2+1,FALSE)),"")</f>
        <v>#N/A</v>
      </c>
      <c r="AA80" s="58"/>
      <c r="AB80" s="16" t="e">
        <f ca="1">IF($A80&lt;&gt;"",
IF(VLOOKUP($A80,貼り付け用!$A$1:$BA$300,COLUMN()/2+1,FALSE)=0,"",VLOOKUP($A80,貼り付け用!$A$1:$BA$300,COLUMN()/2+1,FALSE)),"")</f>
        <v>#N/A</v>
      </c>
      <c r="AC80" s="58"/>
      <c r="AD80" s="16" t="e">
        <f ca="1">IF($A80&lt;&gt;"",
IF(VLOOKUP($A80,貼り付け用!$A$1:$BA$300,COLUMN()/2+1,FALSE)=0,"",VLOOKUP($A80,貼り付け用!$A$1:$BA$300,COLUMN()/2+1,FALSE)),"")</f>
        <v>#N/A</v>
      </c>
      <c r="AE80" s="58"/>
      <c r="AF80" s="16" t="e">
        <f ca="1">IF($A80&lt;&gt;"",
IF(VLOOKUP($A80,貼り付け用!$A$1:$BA$300,COLUMN()/2+1,FALSE)=0,"",VLOOKUP($A80,貼り付け用!$A$1:$BA$300,COLUMN()/2+1,FALSE)),"")</f>
        <v>#N/A</v>
      </c>
      <c r="AG80" s="58"/>
      <c r="AH80" s="16" t="e">
        <f ca="1">IF($A80&lt;&gt;"",
IF(VLOOKUP($A80,貼り付け用!$A$1:$BA$300,COLUMN()/2+1,FALSE)=0,"",VLOOKUP($A80,貼り付け用!$A$1:$BA$300,COLUMN()/2+1,FALSE)),"")</f>
        <v>#N/A</v>
      </c>
      <c r="AI80" s="58"/>
      <c r="AJ80" s="16" t="e">
        <f ca="1">IF($A80&lt;&gt;"",
IF(VLOOKUP($A80,貼り付け用!$A$1:$BA$300,COLUMN()/2+1,FALSE)=0,"",VLOOKUP($A80,貼り付け用!$A$1:$BA$300,COLUMN()/2+1,FALSE)),"")</f>
        <v>#N/A</v>
      </c>
      <c r="AK80" s="58"/>
      <c r="AL80" s="16" t="e">
        <f ca="1">IF($A80&lt;&gt;"",
IF(VLOOKUP($A80,貼り付け用!$A$1:$BA$300,COLUMN()/2+1,FALSE)=0,"",VLOOKUP($A80,貼り付け用!$A$1:$BA$300,COLUMN()/2+1,FALSE)),"")</f>
        <v>#N/A</v>
      </c>
      <c r="AM80" s="210" t="e">
        <f ca="1">IF($A80&lt;&gt;"",
IF(VLOOKUP($A80,貼り付け用!$A$1:$BA$300,COLUMN()/2+2,FALSE)=0,"",VLOOKUP($A80,貼り付け用!$A$1:$BA$300,COLUMN()/2+2,FALSE)),"")</f>
        <v>#N/A</v>
      </c>
      <c r="AN80" s="210" t="e">
        <f ca="1">IF($A80&lt;&gt;"",
IF(VLOOKUP($A80,貼り付け用!$A$1:$BA$300,COLUMN()/2+3,FALSE)=0,"",VLOOKUP($A80,貼り付け用!$A$1:$BA$300,COLUMN()/2+3,FALSE)),"")</f>
        <v>#N/A</v>
      </c>
    </row>
    <row r="81" spans="1:40" x14ac:dyDescent="0.45">
      <c r="A81" s="8" t="e" cm="1">
        <f t="array" aca="1" ref="A81" ca="1">IF(OR(COUNTIF(A79,"*1000*"),COUNTIF(A79,"")),"",INDEX(貼り付け用!$A:$A,MATCH(A79,貼り付け用!$A:$A,0)+2,0))</f>
        <v>#N/A</v>
      </c>
      <c r="B81" s="46" t="e">
        <f ca="1">IF($A81&lt;&gt;"",
IF(VLOOKUP($A81,貼り付け用!$A$1:$BA$300,COLUMN()/2+1,FALSE)=0,"",VLOOKUP($A81,貼り付け用!$A$1:$BA$300,COLUMN()/2+1,FALSE)),"")</f>
        <v>#N/A</v>
      </c>
      <c r="C81" s="46"/>
      <c r="D81" s="46" t="e">
        <f ca="1">IF($A81&lt;&gt;"",
IF(VLOOKUP($A81,貼り付け用!$A$1:$BA$300,COLUMN()/2+1,FALSE)=0,"",VLOOKUP($A81,貼り付け用!$A$1:$BA$300,COLUMN()/2+1,FALSE)),"")</f>
        <v>#N/A</v>
      </c>
      <c r="E81" s="46"/>
      <c r="F81" s="46" t="e">
        <f ca="1">IF($A81&lt;&gt;"",
IF(VLOOKUP($A81,貼り付け用!$A$1:$BA$300,COLUMN()/2+1,FALSE)=0,"",VLOOKUP($A81,貼り付け用!$A$1:$BA$300,COLUMN()/2+1,FALSE)),"")</f>
        <v>#N/A</v>
      </c>
      <c r="G81" s="46"/>
      <c r="H81" s="46" t="e">
        <f ca="1">IF($A81&lt;&gt;"",
IF(VLOOKUP($A81,貼り付け用!$A$1:$BA$300,COLUMN()/2+1,FALSE)=0,"",VLOOKUP($A81,貼り付け用!$A$1:$BA$300,COLUMN()/2+1,FALSE)),"")</f>
        <v>#N/A</v>
      </c>
      <c r="I81" s="46"/>
      <c r="J81" s="46" t="e">
        <f ca="1">IF($A81&lt;&gt;"",
IF(VLOOKUP($A81,貼り付け用!$A$1:$BA$300,COLUMN()/2+1,FALSE)=0,"",VLOOKUP($A81,貼り付け用!$A$1:$BA$300,COLUMN()/2+1,FALSE)),"")</f>
        <v>#N/A</v>
      </c>
      <c r="K81" s="46"/>
      <c r="L81" s="46" t="e">
        <f ca="1">IF($A81&lt;&gt;"",
IF(VLOOKUP($A81,貼り付け用!$A$1:$BA$300,COLUMN()/2+1,FALSE)=0,"",VLOOKUP($A81,貼り付け用!$A$1:$BA$300,COLUMN()/2+1,FALSE)),"")</f>
        <v>#N/A</v>
      </c>
      <c r="M81" s="46"/>
      <c r="N81" s="46" t="e">
        <f ca="1">IF($A81&lt;&gt;"",
IF(VLOOKUP($A81,貼り付け用!$A$1:$BA$300,COLUMN()/2+1,FALSE)=0,"",VLOOKUP($A81,貼り付け用!$A$1:$BA$300,COLUMN()/2+1,FALSE)),"")</f>
        <v>#N/A</v>
      </c>
      <c r="O81" s="46"/>
      <c r="P81" s="46" t="e">
        <f ca="1">IF($A81&lt;&gt;"",
IF(VLOOKUP($A81,貼り付け用!$A$1:$BA$300,COLUMN()/2+1,FALSE)=0,"",VLOOKUP($A81,貼り付け用!$A$1:$BA$300,COLUMN()/2+1,FALSE)),"")</f>
        <v>#N/A</v>
      </c>
      <c r="Q81" s="46"/>
      <c r="R81" s="46" t="e">
        <f ca="1">IF($A81&lt;&gt;"",
IF(VLOOKUP($A81,貼り付け用!$A$1:$BA$300,COLUMN()/2+1,FALSE)=0,"",VLOOKUP($A81,貼り付け用!$A$1:$BA$300,COLUMN()/2+1,FALSE)),"")</f>
        <v>#N/A</v>
      </c>
      <c r="S81" s="46"/>
      <c r="T81" s="46" t="e">
        <f ca="1">IF($A81&lt;&gt;"",
IF(VLOOKUP($A81,貼り付け用!$A$1:$BA$300,COLUMN()/2+1,FALSE)=0,"",VLOOKUP($A81,貼り付け用!$A$1:$BA$300,COLUMN()/2+1,FALSE)),"")</f>
        <v>#N/A</v>
      </c>
      <c r="U81" s="46"/>
      <c r="V81" s="46" t="e">
        <f ca="1">IF($A81&lt;&gt;"",
IF(VLOOKUP($A81,貼り付け用!$A$1:$BA$300,COLUMN()/2+1,FALSE)=0,"",VLOOKUP($A81,貼り付け用!$A$1:$BA$300,COLUMN()/2+1,FALSE)),"")</f>
        <v>#N/A</v>
      </c>
      <c r="W81" s="46"/>
      <c r="X81" s="46" t="e">
        <f ca="1">IF($A81&lt;&gt;"",
IF(VLOOKUP($A81,貼り付け用!$A$1:$BA$300,COLUMN()/2+1,FALSE)=0,"",VLOOKUP($A81,貼り付け用!$A$1:$BA$300,COLUMN()/2+1,FALSE)),"")</f>
        <v>#N/A</v>
      </c>
      <c r="Y81" s="46"/>
      <c r="Z81" s="46" t="e">
        <f ca="1">IF($A81&lt;&gt;"",
IF(VLOOKUP($A81,貼り付け用!$A$1:$BA$300,COLUMN()/2+1,FALSE)=0,"",VLOOKUP($A81,貼り付け用!$A$1:$BA$300,COLUMN()/2+1,FALSE)),"")</f>
        <v>#N/A</v>
      </c>
      <c r="AA81" s="46"/>
      <c r="AB81" s="46" t="e">
        <f ca="1">IF($A81&lt;&gt;"",
IF(VLOOKUP($A81,貼り付け用!$A$1:$BA$300,COLUMN()/2+1,FALSE)=0,"",VLOOKUP($A81,貼り付け用!$A$1:$BA$300,COLUMN()/2+1,FALSE)),"")</f>
        <v>#N/A</v>
      </c>
      <c r="AC81" s="46"/>
      <c r="AD81" s="46" t="e">
        <f ca="1">IF($A81&lt;&gt;"",
IF(VLOOKUP($A81,貼り付け用!$A$1:$BA$300,COLUMN()/2+1,FALSE)=0,"",VLOOKUP($A81,貼り付け用!$A$1:$BA$300,COLUMN()/2+1,FALSE)),"")</f>
        <v>#N/A</v>
      </c>
      <c r="AE81" s="46"/>
      <c r="AF81" s="46" t="e">
        <f ca="1">IF($A81&lt;&gt;"",
IF(VLOOKUP($A81,貼り付け用!$A$1:$BA$300,COLUMN()/2+1,FALSE)=0,"",VLOOKUP($A81,貼り付け用!$A$1:$BA$300,COLUMN()/2+1,FALSE)),"")</f>
        <v>#N/A</v>
      </c>
      <c r="AG81" s="46"/>
      <c r="AH81" s="46" t="e">
        <f ca="1">IF($A81&lt;&gt;"",
IF(VLOOKUP($A81,貼り付け用!$A$1:$BA$300,COLUMN()/2+1,FALSE)=0,"",VLOOKUP($A81,貼り付け用!$A$1:$BA$300,COLUMN()/2+1,FALSE)),"")</f>
        <v>#N/A</v>
      </c>
      <c r="AI81" s="46"/>
      <c r="AJ81" s="46" t="e">
        <f ca="1">IF($A81&lt;&gt;"",
IF(VLOOKUP($A81,貼り付け用!$A$1:$BA$300,COLUMN()/2+1,FALSE)=0,"",VLOOKUP($A81,貼り付け用!$A$1:$BA$300,COLUMN()/2+1,FALSE)),"")</f>
        <v>#N/A</v>
      </c>
      <c r="AK81" s="46"/>
      <c r="AL81" s="46" t="e">
        <f ca="1">IF($A81&lt;&gt;"",
IF(VLOOKUP($A81,貼り付け用!$A$1:$BA$300,COLUMN()/2+1,FALSE)=0,"",VLOOKUP($A81,貼り付け用!$A$1:$BA$300,COLUMN()/2+1,FALSE)),"")</f>
        <v>#N/A</v>
      </c>
      <c r="AM81" s="211" t="e">
        <f ca="1">IF($A81&lt;&gt;"",
IF(VLOOKUP($A81,貼り付け用!$A$1:$BA$300,COLUMN()/2+2,FALSE)=0,"",VLOOKUP($A81,貼り付け用!$A$1:$BA$300,COLUMN()/2+2,FALSE)),"")</f>
        <v>#N/A</v>
      </c>
      <c r="AN81" s="211" t="e">
        <f ca="1">IF($A81&lt;&gt;"",
IF(VLOOKUP($A81,貼り付け用!$A$1:$BA$300,COLUMN()/2+3,FALSE)=0,"",VLOOKUP($A81,貼り付け用!$A$1:$BA$300,COLUMN()/2+3,FALSE)),"")</f>
        <v>#N/A</v>
      </c>
    </row>
    <row r="82" spans="1:40" x14ac:dyDescent="0.45">
      <c r="A82" s="5" t="e" cm="1">
        <f t="array" aca="1" ref="A82" ca="1">IF(OR(COUNTIF(A80,"*合計*"),COUNTIF(A80,"")),"",INDEX(貼り付け用!$A:$A,MATCH(A80,貼り付け用!$A:$A,0)+2,0))</f>
        <v>#N/A</v>
      </c>
      <c r="B82" s="16" t="e">
        <f ca="1">IF($A82&lt;&gt;"",
IF(VLOOKUP($A82,貼り付け用!$A$1:$BA$300,COLUMN()/2+1,FALSE)=0,"",VLOOKUP($A82,貼り付け用!$A$1:$BA$300,COLUMN()/2+1,FALSE)),"")</f>
        <v>#N/A</v>
      </c>
      <c r="C82" s="58"/>
      <c r="D82" s="16" t="e">
        <f ca="1">IF($A82&lt;&gt;"",
IF(VLOOKUP($A82,貼り付け用!$A$1:$BA$300,COLUMN()/2+1,FALSE)=0,"",VLOOKUP($A82,貼り付け用!$A$1:$BA$300,COLUMN()/2+1,FALSE)),"")</f>
        <v>#N/A</v>
      </c>
      <c r="E82" s="58"/>
      <c r="F82" s="16" t="e">
        <f ca="1">IF($A82&lt;&gt;"",
IF(VLOOKUP($A82,貼り付け用!$A$1:$BA$300,COLUMN()/2+1,FALSE)=0,"",VLOOKUP($A82,貼り付け用!$A$1:$BA$300,COLUMN()/2+1,FALSE)),"")</f>
        <v>#N/A</v>
      </c>
      <c r="G82" s="58"/>
      <c r="H82" s="16" t="e">
        <f ca="1">IF($A82&lt;&gt;"",
IF(VLOOKUP($A82,貼り付け用!$A$1:$BA$300,COLUMN()/2+1,FALSE)=0,"",VLOOKUP($A82,貼り付け用!$A$1:$BA$300,COLUMN()/2+1,FALSE)),"")</f>
        <v>#N/A</v>
      </c>
      <c r="I82" s="58"/>
      <c r="J82" s="16" t="e">
        <f ca="1">IF($A82&lt;&gt;"",
IF(VLOOKUP($A82,貼り付け用!$A$1:$BA$300,COLUMN()/2+1,FALSE)=0,"",VLOOKUP($A82,貼り付け用!$A$1:$BA$300,COLUMN()/2+1,FALSE)),"")</f>
        <v>#N/A</v>
      </c>
      <c r="K82" s="58"/>
      <c r="L82" s="16" t="e">
        <f ca="1">IF($A82&lt;&gt;"",
IF(VLOOKUP($A82,貼り付け用!$A$1:$BA$300,COLUMN()/2+1,FALSE)=0,"",VLOOKUP($A82,貼り付け用!$A$1:$BA$300,COLUMN()/2+1,FALSE)),"")</f>
        <v>#N/A</v>
      </c>
      <c r="M82" s="58"/>
      <c r="N82" s="16" t="e">
        <f ca="1">IF($A82&lt;&gt;"",
IF(VLOOKUP($A82,貼り付け用!$A$1:$BA$300,COLUMN()/2+1,FALSE)=0,"",VLOOKUP($A82,貼り付け用!$A$1:$BA$300,COLUMN()/2+1,FALSE)),"")</f>
        <v>#N/A</v>
      </c>
      <c r="O82" s="58"/>
      <c r="P82" s="16" t="e">
        <f ca="1">IF($A82&lt;&gt;"",
IF(VLOOKUP($A82,貼り付け用!$A$1:$BA$300,COLUMN()/2+1,FALSE)=0,"",VLOOKUP($A82,貼り付け用!$A$1:$BA$300,COLUMN()/2+1,FALSE)),"")</f>
        <v>#N/A</v>
      </c>
      <c r="Q82" s="58"/>
      <c r="R82" s="16" t="e">
        <f ca="1">IF($A82&lt;&gt;"",
IF(VLOOKUP($A82,貼り付け用!$A$1:$BA$300,COLUMN()/2+1,FALSE)=0,"",VLOOKUP($A82,貼り付け用!$A$1:$BA$300,COLUMN()/2+1,FALSE)),"")</f>
        <v>#N/A</v>
      </c>
      <c r="S82" s="58"/>
      <c r="T82" s="16" t="e">
        <f ca="1">IF($A82&lt;&gt;"",
IF(VLOOKUP($A82,貼り付け用!$A$1:$BA$300,COLUMN()/2+1,FALSE)=0,"",VLOOKUP($A82,貼り付け用!$A$1:$BA$300,COLUMN()/2+1,FALSE)),"")</f>
        <v>#N/A</v>
      </c>
      <c r="U82" s="58"/>
      <c r="V82" s="16" t="e">
        <f ca="1">IF($A82&lt;&gt;"",
IF(VLOOKUP($A82,貼り付け用!$A$1:$BA$300,COLUMN()/2+1,FALSE)=0,"",VLOOKUP($A82,貼り付け用!$A$1:$BA$300,COLUMN()/2+1,FALSE)),"")</f>
        <v>#N/A</v>
      </c>
      <c r="W82" s="58"/>
      <c r="X82" s="16" t="e">
        <f ca="1">IF($A82&lt;&gt;"",
IF(VLOOKUP($A82,貼り付け用!$A$1:$BA$300,COLUMN()/2+1,FALSE)=0,"",VLOOKUP($A82,貼り付け用!$A$1:$BA$300,COLUMN()/2+1,FALSE)),"")</f>
        <v>#N/A</v>
      </c>
      <c r="Y82" s="58"/>
      <c r="Z82" s="16" t="e">
        <f ca="1">IF($A82&lt;&gt;"",
IF(VLOOKUP($A82,貼り付け用!$A$1:$BA$300,COLUMN()/2+1,FALSE)=0,"",VLOOKUP($A82,貼り付け用!$A$1:$BA$300,COLUMN()/2+1,FALSE)),"")</f>
        <v>#N/A</v>
      </c>
      <c r="AA82" s="58"/>
      <c r="AB82" s="16" t="e">
        <f ca="1">IF($A82&lt;&gt;"",
IF(VLOOKUP($A82,貼り付け用!$A$1:$BA$300,COLUMN()/2+1,FALSE)=0,"",VLOOKUP($A82,貼り付け用!$A$1:$BA$300,COLUMN()/2+1,FALSE)),"")</f>
        <v>#N/A</v>
      </c>
      <c r="AC82" s="58"/>
      <c r="AD82" s="16" t="e">
        <f ca="1">IF($A82&lt;&gt;"",
IF(VLOOKUP($A82,貼り付け用!$A$1:$BA$300,COLUMN()/2+1,FALSE)=0,"",VLOOKUP($A82,貼り付け用!$A$1:$BA$300,COLUMN()/2+1,FALSE)),"")</f>
        <v>#N/A</v>
      </c>
      <c r="AE82" s="58"/>
      <c r="AF82" s="16" t="e">
        <f ca="1">IF($A82&lt;&gt;"",
IF(VLOOKUP($A82,貼り付け用!$A$1:$BA$300,COLUMN()/2+1,FALSE)=0,"",VLOOKUP($A82,貼り付け用!$A$1:$BA$300,COLUMN()/2+1,FALSE)),"")</f>
        <v>#N/A</v>
      </c>
      <c r="AG82" s="58"/>
      <c r="AH82" s="16" t="e">
        <f ca="1">IF($A82&lt;&gt;"",
IF(VLOOKUP($A82,貼り付け用!$A$1:$BA$300,COLUMN()/2+1,FALSE)=0,"",VLOOKUP($A82,貼り付け用!$A$1:$BA$300,COLUMN()/2+1,FALSE)),"")</f>
        <v>#N/A</v>
      </c>
      <c r="AI82" s="58"/>
      <c r="AJ82" s="16" t="e">
        <f ca="1">IF($A82&lt;&gt;"",
IF(VLOOKUP($A82,貼り付け用!$A$1:$BA$300,COLUMN()/2+1,FALSE)=0,"",VLOOKUP($A82,貼り付け用!$A$1:$BA$300,COLUMN()/2+1,FALSE)),"")</f>
        <v>#N/A</v>
      </c>
      <c r="AK82" s="58"/>
      <c r="AL82" s="16" t="e">
        <f ca="1">IF($A82&lt;&gt;"",
IF(VLOOKUP($A82,貼り付け用!$A$1:$BA$300,COLUMN()/2+1,FALSE)=0,"",VLOOKUP($A82,貼り付け用!$A$1:$BA$300,COLUMN()/2+1,FALSE)),"")</f>
        <v>#N/A</v>
      </c>
      <c r="AM82" s="210" t="e">
        <f ca="1">IF($A82&lt;&gt;"",
IF(VLOOKUP($A82,貼り付け用!$A$1:$BA$300,COLUMN()/2+2,FALSE)=0,"",VLOOKUP($A82,貼り付け用!$A$1:$BA$300,COLUMN()/2+2,FALSE)),"")</f>
        <v>#N/A</v>
      </c>
      <c r="AN82" s="210" t="e">
        <f ca="1">IF($A82&lt;&gt;"",
IF(VLOOKUP($A82,貼り付け用!$A$1:$BA$300,COLUMN()/2+3,FALSE)=0,"",VLOOKUP($A82,貼り付け用!$A$1:$BA$300,COLUMN()/2+3,FALSE)),"")</f>
        <v>#N/A</v>
      </c>
    </row>
    <row r="83" spans="1:40" x14ac:dyDescent="0.45">
      <c r="A83" s="8" t="e" cm="1">
        <f t="array" aca="1" ref="A83" ca="1">IF(OR(COUNTIF(A81,"*1000*"),COUNTIF(A81,"")),"",INDEX(貼り付け用!$A:$A,MATCH(A81,貼り付け用!$A:$A,0)+2,0))</f>
        <v>#N/A</v>
      </c>
      <c r="B83" s="46" t="e">
        <f ca="1">IF($A83&lt;&gt;"",
IF(VLOOKUP($A83,貼り付け用!$A$1:$BA$300,COLUMN()/2+1,FALSE)=0,"",VLOOKUP($A83,貼り付け用!$A$1:$BA$300,COLUMN()/2+1,FALSE)),"")</f>
        <v>#N/A</v>
      </c>
      <c r="C83" s="46"/>
      <c r="D83" s="46" t="e">
        <f ca="1">IF($A83&lt;&gt;"",
IF(VLOOKUP($A83,貼り付け用!$A$1:$BA$300,COLUMN()/2+1,FALSE)=0,"",VLOOKUP($A83,貼り付け用!$A$1:$BA$300,COLUMN()/2+1,FALSE)),"")</f>
        <v>#N/A</v>
      </c>
      <c r="E83" s="46"/>
      <c r="F83" s="46" t="e">
        <f ca="1">IF($A83&lt;&gt;"",
IF(VLOOKUP($A83,貼り付け用!$A$1:$BA$300,COLUMN()/2+1,FALSE)=0,"",VLOOKUP($A83,貼り付け用!$A$1:$BA$300,COLUMN()/2+1,FALSE)),"")</f>
        <v>#N/A</v>
      </c>
      <c r="G83" s="46"/>
      <c r="H83" s="46" t="e">
        <f ca="1">IF($A83&lt;&gt;"",
IF(VLOOKUP($A83,貼り付け用!$A$1:$BA$300,COLUMN()/2+1,FALSE)=0,"",VLOOKUP($A83,貼り付け用!$A$1:$BA$300,COLUMN()/2+1,FALSE)),"")</f>
        <v>#N/A</v>
      </c>
      <c r="I83" s="46"/>
      <c r="J83" s="46" t="e">
        <f ca="1">IF($A83&lt;&gt;"",
IF(VLOOKUP($A83,貼り付け用!$A$1:$BA$300,COLUMN()/2+1,FALSE)=0,"",VLOOKUP($A83,貼り付け用!$A$1:$BA$300,COLUMN()/2+1,FALSE)),"")</f>
        <v>#N/A</v>
      </c>
      <c r="K83" s="46"/>
      <c r="L83" s="46" t="e">
        <f ca="1">IF($A83&lt;&gt;"",
IF(VLOOKUP($A83,貼り付け用!$A$1:$BA$300,COLUMN()/2+1,FALSE)=0,"",VLOOKUP($A83,貼り付け用!$A$1:$BA$300,COLUMN()/2+1,FALSE)),"")</f>
        <v>#N/A</v>
      </c>
      <c r="M83" s="46"/>
      <c r="N83" s="46" t="e">
        <f ca="1">IF($A83&lt;&gt;"",
IF(VLOOKUP($A83,貼り付け用!$A$1:$BA$300,COLUMN()/2+1,FALSE)=0,"",VLOOKUP($A83,貼り付け用!$A$1:$BA$300,COLUMN()/2+1,FALSE)),"")</f>
        <v>#N/A</v>
      </c>
      <c r="O83" s="46"/>
      <c r="P83" s="46" t="e">
        <f ca="1">IF($A83&lt;&gt;"",
IF(VLOOKUP($A83,貼り付け用!$A$1:$BA$300,COLUMN()/2+1,FALSE)=0,"",VLOOKUP($A83,貼り付け用!$A$1:$BA$300,COLUMN()/2+1,FALSE)),"")</f>
        <v>#N/A</v>
      </c>
      <c r="Q83" s="46"/>
      <c r="R83" s="46" t="e">
        <f ca="1">IF($A83&lt;&gt;"",
IF(VLOOKUP($A83,貼り付け用!$A$1:$BA$300,COLUMN()/2+1,FALSE)=0,"",VLOOKUP($A83,貼り付け用!$A$1:$BA$300,COLUMN()/2+1,FALSE)),"")</f>
        <v>#N/A</v>
      </c>
      <c r="S83" s="46"/>
      <c r="T83" s="46" t="e">
        <f ca="1">IF($A83&lt;&gt;"",
IF(VLOOKUP($A83,貼り付け用!$A$1:$BA$300,COLUMN()/2+1,FALSE)=0,"",VLOOKUP($A83,貼り付け用!$A$1:$BA$300,COLUMN()/2+1,FALSE)),"")</f>
        <v>#N/A</v>
      </c>
      <c r="U83" s="46"/>
      <c r="V83" s="46" t="e">
        <f ca="1">IF($A83&lt;&gt;"",
IF(VLOOKUP($A83,貼り付け用!$A$1:$BA$300,COLUMN()/2+1,FALSE)=0,"",VLOOKUP($A83,貼り付け用!$A$1:$BA$300,COLUMN()/2+1,FALSE)),"")</f>
        <v>#N/A</v>
      </c>
      <c r="W83" s="46"/>
      <c r="X83" s="46" t="e">
        <f ca="1">IF($A83&lt;&gt;"",
IF(VLOOKUP($A83,貼り付け用!$A$1:$BA$300,COLUMN()/2+1,FALSE)=0,"",VLOOKUP($A83,貼り付け用!$A$1:$BA$300,COLUMN()/2+1,FALSE)),"")</f>
        <v>#N/A</v>
      </c>
      <c r="Y83" s="46"/>
      <c r="Z83" s="46" t="e">
        <f ca="1">IF($A83&lt;&gt;"",
IF(VLOOKUP($A83,貼り付け用!$A$1:$BA$300,COLUMN()/2+1,FALSE)=0,"",VLOOKUP($A83,貼り付け用!$A$1:$BA$300,COLUMN()/2+1,FALSE)),"")</f>
        <v>#N/A</v>
      </c>
      <c r="AA83" s="46"/>
      <c r="AB83" s="46" t="e">
        <f ca="1">IF($A83&lt;&gt;"",
IF(VLOOKUP($A83,貼り付け用!$A$1:$BA$300,COLUMN()/2+1,FALSE)=0,"",VLOOKUP($A83,貼り付け用!$A$1:$BA$300,COLUMN()/2+1,FALSE)),"")</f>
        <v>#N/A</v>
      </c>
      <c r="AC83" s="46"/>
      <c r="AD83" s="46" t="e">
        <f ca="1">IF($A83&lt;&gt;"",
IF(VLOOKUP($A83,貼り付け用!$A$1:$BA$300,COLUMN()/2+1,FALSE)=0,"",VLOOKUP($A83,貼り付け用!$A$1:$BA$300,COLUMN()/2+1,FALSE)),"")</f>
        <v>#N/A</v>
      </c>
      <c r="AE83" s="46"/>
      <c r="AF83" s="46" t="e">
        <f ca="1">IF($A83&lt;&gt;"",
IF(VLOOKUP($A83,貼り付け用!$A$1:$BA$300,COLUMN()/2+1,FALSE)=0,"",VLOOKUP($A83,貼り付け用!$A$1:$BA$300,COLUMN()/2+1,FALSE)),"")</f>
        <v>#N/A</v>
      </c>
      <c r="AG83" s="46"/>
      <c r="AH83" s="46" t="e">
        <f ca="1">IF($A83&lt;&gt;"",
IF(VLOOKUP($A83,貼り付け用!$A$1:$BA$300,COLUMN()/2+1,FALSE)=0,"",VLOOKUP($A83,貼り付け用!$A$1:$BA$300,COLUMN()/2+1,FALSE)),"")</f>
        <v>#N/A</v>
      </c>
      <c r="AI83" s="46"/>
      <c r="AJ83" s="46" t="e">
        <f ca="1">IF($A83&lt;&gt;"",
IF(VLOOKUP($A83,貼り付け用!$A$1:$BA$300,COLUMN()/2+1,FALSE)=0,"",VLOOKUP($A83,貼り付け用!$A$1:$BA$300,COLUMN()/2+1,FALSE)),"")</f>
        <v>#N/A</v>
      </c>
      <c r="AK83" s="46"/>
      <c r="AL83" s="46" t="e">
        <f ca="1">IF($A83&lt;&gt;"",
IF(VLOOKUP($A83,貼り付け用!$A$1:$BA$300,COLUMN()/2+1,FALSE)=0,"",VLOOKUP($A83,貼り付け用!$A$1:$BA$300,COLUMN()/2+1,FALSE)),"")</f>
        <v>#N/A</v>
      </c>
      <c r="AM83" s="211" t="e">
        <f ca="1">IF($A83&lt;&gt;"",
IF(VLOOKUP($A83,貼り付け用!$A$1:$BA$300,COLUMN()/2+2,FALSE)=0,"",VLOOKUP($A83,貼り付け用!$A$1:$BA$300,COLUMN()/2+2,FALSE)),"")</f>
        <v>#N/A</v>
      </c>
      <c r="AN83" s="211" t="e">
        <f ca="1">IF($A83&lt;&gt;"",
IF(VLOOKUP($A83,貼り付け用!$A$1:$BA$300,COLUMN()/2+3,FALSE)=0,"",VLOOKUP($A83,貼り付け用!$A$1:$BA$300,COLUMN()/2+3,FALSE)),"")</f>
        <v>#N/A</v>
      </c>
    </row>
    <row r="84" spans="1:40" x14ac:dyDescent="0.45">
      <c r="A84" s="5" t="e" cm="1">
        <f t="array" aca="1" ref="A84" ca="1">IF(OR(COUNTIF(A82,"*合計*"),COUNTIF(A82,"")),"",INDEX(貼り付け用!$A:$A,MATCH(A82,貼り付け用!$A:$A,0)+2,0))</f>
        <v>#N/A</v>
      </c>
      <c r="B84" s="16" t="e">
        <f ca="1">IF($A84&lt;&gt;"",
IF(VLOOKUP($A84,貼り付け用!$A$1:$BA$300,COLUMN()/2+1,FALSE)=0,"",VLOOKUP($A84,貼り付け用!$A$1:$BA$300,COLUMN()/2+1,FALSE)),"")</f>
        <v>#N/A</v>
      </c>
      <c r="C84" s="58"/>
      <c r="D84" s="16" t="e">
        <f ca="1">IF($A84&lt;&gt;"",
IF(VLOOKUP($A84,貼り付け用!$A$1:$BA$300,COLUMN()/2+1,FALSE)=0,"",VLOOKUP($A84,貼り付け用!$A$1:$BA$300,COLUMN()/2+1,FALSE)),"")</f>
        <v>#N/A</v>
      </c>
      <c r="E84" s="58"/>
      <c r="F84" s="16" t="e">
        <f ca="1">IF($A84&lt;&gt;"",
IF(VLOOKUP($A84,貼り付け用!$A$1:$BA$300,COLUMN()/2+1,FALSE)=0,"",VLOOKUP($A84,貼り付け用!$A$1:$BA$300,COLUMN()/2+1,FALSE)),"")</f>
        <v>#N/A</v>
      </c>
      <c r="G84" s="58"/>
      <c r="H84" s="16" t="e">
        <f ca="1">IF($A84&lt;&gt;"",
IF(VLOOKUP($A84,貼り付け用!$A$1:$BA$300,COLUMN()/2+1,FALSE)=0,"",VLOOKUP($A84,貼り付け用!$A$1:$BA$300,COLUMN()/2+1,FALSE)),"")</f>
        <v>#N/A</v>
      </c>
      <c r="I84" s="58"/>
      <c r="J84" s="16" t="e">
        <f ca="1">IF($A84&lt;&gt;"",
IF(VLOOKUP($A84,貼り付け用!$A$1:$BA$300,COLUMN()/2+1,FALSE)=0,"",VLOOKUP($A84,貼り付け用!$A$1:$BA$300,COLUMN()/2+1,FALSE)),"")</f>
        <v>#N/A</v>
      </c>
      <c r="K84" s="58"/>
      <c r="L84" s="16" t="e">
        <f ca="1">IF($A84&lt;&gt;"",
IF(VLOOKUP($A84,貼り付け用!$A$1:$BA$300,COLUMN()/2+1,FALSE)=0,"",VLOOKUP($A84,貼り付け用!$A$1:$BA$300,COLUMN()/2+1,FALSE)),"")</f>
        <v>#N/A</v>
      </c>
      <c r="M84" s="58"/>
      <c r="N84" s="16" t="e">
        <f ca="1">IF($A84&lt;&gt;"",
IF(VLOOKUP($A84,貼り付け用!$A$1:$BA$300,COLUMN()/2+1,FALSE)=0,"",VLOOKUP($A84,貼り付け用!$A$1:$BA$300,COLUMN()/2+1,FALSE)),"")</f>
        <v>#N/A</v>
      </c>
      <c r="O84" s="58"/>
      <c r="P84" s="16" t="e">
        <f ca="1">IF($A84&lt;&gt;"",
IF(VLOOKUP($A84,貼り付け用!$A$1:$BA$300,COLUMN()/2+1,FALSE)=0,"",VLOOKUP($A84,貼り付け用!$A$1:$BA$300,COLUMN()/2+1,FALSE)),"")</f>
        <v>#N/A</v>
      </c>
      <c r="Q84" s="58"/>
      <c r="R84" s="16" t="e">
        <f ca="1">IF($A84&lt;&gt;"",
IF(VLOOKUP($A84,貼り付け用!$A$1:$BA$300,COLUMN()/2+1,FALSE)=0,"",VLOOKUP($A84,貼り付け用!$A$1:$BA$300,COLUMN()/2+1,FALSE)),"")</f>
        <v>#N/A</v>
      </c>
      <c r="S84" s="58"/>
      <c r="T84" s="16" t="e">
        <f ca="1">IF($A84&lt;&gt;"",
IF(VLOOKUP($A84,貼り付け用!$A$1:$BA$300,COLUMN()/2+1,FALSE)=0,"",VLOOKUP($A84,貼り付け用!$A$1:$BA$300,COLUMN()/2+1,FALSE)),"")</f>
        <v>#N/A</v>
      </c>
      <c r="U84" s="58"/>
      <c r="V84" s="16" t="e">
        <f ca="1">IF($A84&lt;&gt;"",
IF(VLOOKUP($A84,貼り付け用!$A$1:$BA$300,COLUMN()/2+1,FALSE)=0,"",VLOOKUP($A84,貼り付け用!$A$1:$BA$300,COLUMN()/2+1,FALSE)),"")</f>
        <v>#N/A</v>
      </c>
      <c r="W84" s="58"/>
      <c r="X84" s="16" t="e">
        <f ca="1">IF($A84&lt;&gt;"",
IF(VLOOKUP($A84,貼り付け用!$A$1:$BA$300,COLUMN()/2+1,FALSE)=0,"",VLOOKUP($A84,貼り付け用!$A$1:$BA$300,COLUMN()/2+1,FALSE)),"")</f>
        <v>#N/A</v>
      </c>
      <c r="Y84" s="58"/>
      <c r="Z84" s="16" t="e">
        <f ca="1">IF($A84&lt;&gt;"",
IF(VLOOKUP($A84,貼り付け用!$A$1:$BA$300,COLUMN()/2+1,FALSE)=0,"",VLOOKUP($A84,貼り付け用!$A$1:$BA$300,COLUMN()/2+1,FALSE)),"")</f>
        <v>#N/A</v>
      </c>
      <c r="AA84" s="58"/>
      <c r="AB84" s="16" t="e">
        <f ca="1">IF($A84&lt;&gt;"",
IF(VLOOKUP($A84,貼り付け用!$A$1:$BA$300,COLUMN()/2+1,FALSE)=0,"",VLOOKUP($A84,貼り付け用!$A$1:$BA$300,COLUMN()/2+1,FALSE)),"")</f>
        <v>#N/A</v>
      </c>
      <c r="AC84" s="58"/>
      <c r="AD84" s="16" t="e">
        <f ca="1">IF($A84&lt;&gt;"",
IF(VLOOKUP($A84,貼り付け用!$A$1:$BA$300,COLUMN()/2+1,FALSE)=0,"",VLOOKUP($A84,貼り付け用!$A$1:$BA$300,COLUMN()/2+1,FALSE)),"")</f>
        <v>#N/A</v>
      </c>
      <c r="AE84" s="58"/>
      <c r="AF84" s="16" t="e">
        <f ca="1">IF($A84&lt;&gt;"",
IF(VLOOKUP($A84,貼り付け用!$A$1:$BA$300,COLUMN()/2+1,FALSE)=0,"",VLOOKUP($A84,貼り付け用!$A$1:$BA$300,COLUMN()/2+1,FALSE)),"")</f>
        <v>#N/A</v>
      </c>
      <c r="AG84" s="58"/>
      <c r="AH84" s="16" t="e">
        <f ca="1">IF($A84&lt;&gt;"",
IF(VLOOKUP($A84,貼り付け用!$A$1:$BA$300,COLUMN()/2+1,FALSE)=0,"",VLOOKUP($A84,貼り付け用!$A$1:$BA$300,COLUMN()/2+1,FALSE)),"")</f>
        <v>#N/A</v>
      </c>
      <c r="AI84" s="58"/>
      <c r="AJ84" s="16" t="e">
        <f ca="1">IF($A84&lt;&gt;"",
IF(VLOOKUP($A84,貼り付け用!$A$1:$BA$300,COLUMN()/2+1,FALSE)=0,"",VLOOKUP($A84,貼り付け用!$A$1:$BA$300,COLUMN()/2+1,FALSE)),"")</f>
        <v>#N/A</v>
      </c>
      <c r="AK84" s="58"/>
      <c r="AL84" s="16" t="e">
        <f ca="1">IF($A84&lt;&gt;"",
IF(VLOOKUP($A84,貼り付け用!$A$1:$BA$300,COLUMN()/2+1,FALSE)=0,"",VLOOKUP($A84,貼り付け用!$A$1:$BA$300,COLUMN()/2+1,FALSE)),"")</f>
        <v>#N/A</v>
      </c>
      <c r="AM84" s="210" t="e">
        <f ca="1">IF($A84&lt;&gt;"",
IF(VLOOKUP($A84,貼り付け用!$A$1:$BA$300,COLUMN()/2+2,FALSE)=0,"",VLOOKUP($A84,貼り付け用!$A$1:$BA$300,COLUMN()/2+2,FALSE)),"")</f>
        <v>#N/A</v>
      </c>
      <c r="AN84" s="210" t="e">
        <f ca="1">IF($A84&lt;&gt;"",
IF(VLOOKUP($A84,貼り付け用!$A$1:$BA$300,COLUMN()/2+3,FALSE)=0,"",VLOOKUP($A84,貼り付け用!$A$1:$BA$300,COLUMN()/2+3,FALSE)),"")</f>
        <v>#N/A</v>
      </c>
    </row>
    <row r="85" spans="1:40" x14ac:dyDescent="0.45">
      <c r="A85" s="8" t="e" cm="1">
        <f t="array" aca="1" ref="A85" ca="1">IF(OR(COUNTIF(A83,"*1000*"),COUNTIF(A83,"")),"",INDEX(貼り付け用!$A:$A,MATCH(A83,貼り付け用!$A:$A,0)+2,0))</f>
        <v>#N/A</v>
      </c>
      <c r="B85" s="46" t="e">
        <f ca="1">IF($A85&lt;&gt;"",
IF(VLOOKUP($A85,貼り付け用!$A$1:$BA$300,COLUMN()/2+1,FALSE)=0,"",VLOOKUP($A85,貼り付け用!$A$1:$BA$300,COLUMN()/2+1,FALSE)),"")</f>
        <v>#N/A</v>
      </c>
      <c r="C85" s="46"/>
      <c r="D85" s="46" t="e">
        <f ca="1">IF($A85&lt;&gt;"",
IF(VLOOKUP($A85,貼り付け用!$A$1:$BA$300,COLUMN()/2+1,FALSE)=0,"",VLOOKUP($A85,貼り付け用!$A$1:$BA$300,COLUMN()/2+1,FALSE)),"")</f>
        <v>#N/A</v>
      </c>
      <c r="E85" s="46"/>
      <c r="F85" s="46" t="e">
        <f ca="1">IF($A85&lt;&gt;"",
IF(VLOOKUP($A85,貼り付け用!$A$1:$BA$300,COLUMN()/2+1,FALSE)=0,"",VLOOKUP($A85,貼り付け用!$A$1:$BA$300,COLUMN()/2+1,FALSE)),"")</f>
        <v>#N/A</v>
      </c>
      <c r="G85" s="46"/>
      <c r="H85" s="46" t="e">
        <f ca="1">IF($A85&lt;&gt;"",
IF(VLOOKUP($A85,貼り付け用!$A$1:$BA$300,COLUMN()/2+1,FALSE)=0,"",VLOOKUP($A85,貼り付け用!$A$1:$BA$300,COLUMN()/2+1,FALSE)),"")</f>
        <v>#N/A</v>
      </c>
      <c r="I85" s="46"/>
      <c r="J85" s="46" t="e">
        <f ca="1">IF($A85&lt;&gt;"",
IF(VLOOKUP($A85,貼り付け用!$A$1:$BA$300,COLUMN()/2+1,FALSE)=0,"",VLOOKUP($A85,貼り付け用!$A$1:$BA$300,COLUMN()/2+1,FALSE)),"")</f>
        <v>#N/A</v>
      </c>
      <c r="K85" s="46"/>
      <c r="L85" s="46" t="e">
        <f ca="1">IF($A85&lt;&gt;"",
IF(VLOOKUP($A85,貼り付け用!$A$1:$BA$300,COLUMN()/2+1,FALSE)=0,"",VLOOKUP($A85,貼り付け用!$A$1:$BA$300,COLUMN()/2+1,FALSE)),"")</f>
        <v>#N/A</v>
      </c>
      <c r="M85" s="46"/>
      <c r="N85" s="46" t="e">
        <f ca="1">IF($A85&lt;&gt;"",
IF(VLOOKUP($A85,貼り付け用!$A$1:$BA$300,COLUMN()/2+1,FALSE)=0,"",VLOOKUP($A85,貼り付け用!$A$1:$BA$300,COLUMN()/2+1,FALSE)),"")</f>
        <v>#N/A</v>
      </c>
      <c r="O85" s="46"/>
      <c r="P85" s="46" t="e">
        <f ca="1">IF($A85&lt;&gt;"",
IF(VLOOKUP($A85,貼り付け用!$A$1:$BA$300,COLUMN()/2+1,FALSE)=0,"",VLOOKUP($A85,貼り付け用!$A$1:$BA$300,COLUMN()/2+1,FALSE)),"")</f>
        <v>#N/A</v>
      </c>
      <c r="Q85" s="46"/>
      <c r="R85" s="46" t="e">
        <f ca="1">IF($A85&lt;&gt;"",
IF(VLOOKUP($A85,貼り付け用!$A$1:$BA$300,COLUMN()/2+1,FALSE)=0,"",VLOOKUP($A85,貼り付け用!$A$1:$BA$300,COLUMN()/2+1,FALSE)),"")</f>
        <v>#N/A</v>
      </c>
      <c r="S85" s="46"/>
      <c r="T85" s="46" t="e">
        <f ca="1">IF($A85&lt;&gt;"",
IF(VLOOKUP($A85,貼り付け用!$A$1:$BA$300,COLUMN()/2+1,FALSE)=0,"",VLOOKUP($A85,貼り付け用!$A$1:$BA$300,COLUMN()/2+1,FALSE)),"")</f>
        <v>#N/A</v>
      </c>
      <c r="U85" s="46"/>
      <c r="V85" s="46" t="e">
        <f ca="1">IF($A85&lt;&gt;"",
IF(VLOOKUP($A85,貼り付け用!$A$1:$BA$300,COLUMN()/2+1,FALSE)=0,"",VLOOKUP($A85,貼り付け用!$A$1:$BA$300,COLUMN()/2+1,FALSE)),"")</f>
        <v>#N/A</v>
      </c>
      <c r="W85" s="46"/>
      <c r="X85" s="46" t="e">
        <f ca="1">IF($A85&lt;&gt;"",
IF(VLOOKUP($A85,貼り付け用!$A$1:$BA$300,COLUMN()/2+1,FALSE)=0,"",VLOOKUP($A85,貼り付け用!$A$1:$BA$300,COLUMN()/2+1,FALSE)),"")</f>
        <v>#N/A</v>
      </c>
      <c r="Y85" s="46"/>
      <c r="Z85" s="46" t="e">
        <f ca="1">IF($A85&lt;&gt;"",
IF(VLOOKUP($A85,貼り付け用!$A$1:$BA$300,COLUMN()/2+1,FALSE)=0,"",VLOOKUP($A85,貼り付け用!$A$1:$BA$300,COLUMN()/2+1,FALSE)),"")</f>
        <v>#N/A</v>
      </c>
      <c r="AA85" s="46"/>
      <c r="AB85" s="46" t="e">
        <f ca="1">IF($A85&lt;&gt;"",
IF(VLOOKUP($A85,貼り付け用!$A$1:$BA$300,COLUMN()/2+1,FALSE)=0,"",VLOOKUP($A85,貼り付け用!$A$1:$BA$300,COLUMN()/2+1,FALSE)),"")</f>
        <v>#N/A</v>
      </c>
      <c r="AC85" s="46"/>
      <c r="AD85" s="46" t="e">
        <f ca="1">IF($A85&lt;&gt;"",
IF(VLOOKUP($A85,貼り付け用!$A$1:$BA$300,COLUMN()/2+1,FALSE)=0,"",VLOOKUP($A85,貼り付け用!$A$1:$BA$300,COLUMN()/2+1,FALSE)),"")</f>
        <v>#N/A</v>
      </c>
      <c r="AE85" s="46"/>
      <c r="AF85" s="46" t="e">
        <f ca="1">IF($A85&lt;&gt;"",
IF(VLOOKUP($A85,貼り付け用!$A$1:$BA$300,COLUMN()/2+1,FALSE)=0,"",VLOOKUP($A85,貼り付け用!$A$1:$BA$300,COLUMN()/2+1,FALSE)),"")</f>
        <v>#N/A</v>
      </c>
      <c r="AG85" s="46"/>
      <c r="AH85" s="46" t="e">
        <f ca="1">IF($A85&lt;&gt;"",
IF(VLOOKUP($A85,貼り付け用!$A$1:$BA$300,COLUMN()/2+1,FALSE)=0,"",VLOOKUP($A85,貼り付け用!$A$1:$BA$300,COLUMN()/2+1,FALSE)),"")</f>
        <v>#N/A</v>
      </c>
      <c r="AI85" s="46"/>
      <c r="AJ85" s="46" t="e">
        <f ca="1">IF($A85&lt;&gt;"",
IF(VLOOKUP($A85,貼り付け用!$A$1:$BA$300,COLUMN()/2+1,FALSE)=0,"",VLOOKUP($A85,貼り付け用!$A$1:$BA$300,COLUMN()/2+1,FALSE)),"")</f>
        <v>#N/A</v>
      </c>
      <c r="AK85" s="46"/>
      <c r="AL85" s="46" t="e">
        <f ca="1">IF($A85&lt;&gt;"",
IF(VLOOKUP($A85,貼り付け用!$A$1:$BA$300,COLUMN()/2+1,FALSE)=0,"",VLOOKUP($A85,貼り付け用!$A$1:$BA$300,COLUMN()/2+1,FALSE)),"")</f>
        <v>#N/A</v>
      </c>
      <c r="AM85" s="211" t="e">
        <f ca="1">IF($A85&lt;&gt;"",
IF(VLOOKUP($A85,貼り付け用!$A$1:$BA$300,COLUMN()/2+2,FALSE)=0,"",VLOOKUP($A85,貼り付け用!$A$1:$BA$300,COLUMN()/2+2,FALSE)),"")</f>
        <v>#N/A</v>
      </c>
      <c r="AN85" s="211" t="e">
        <f ca="1">IF($A85&lt;&gt;"",
IF(VLOOKUP($A85,貼り付け用!$A$1:$BA$300,COLUMN()/2+3,FALSE)=0,"",VLOOKUP($A85,貼り付け用!$A$1:$BA$300,COLUMN()/2+3,FALSE)),"")</f>
        <v>#N/A</v>
      </c>
    </row>
    <row r="86" spans="1:40" x14ac:dyDescent="0.45">
      <c r="A86" s="5" t="e" cm="1">
        <f t="array" aca="1" ref="A86" ca="1">IF(OR(COUNTIF(A84,"*合計*"),COUNTIF(A84,"")),"",INDEX(貼り付け用!$A:$A,MATCH(A84,貼り付け用!$A:$A,0)+2,0))</f>
        <v>#N/A</v>
      </c>
      <c r="B86" s="16" t="e">
        <f ca="1">IF($A86&lt;&gt;"",
IF(VLOOKUP($A86,貼り付け用!$A$1:$BA$300,COLUMN()/2+1,FALSE)=0,"",VLOOKUP($A86,貼り付け用!$A$1:$BA$300,COLUMN()/2+1,FALSE)),"")</f>
        <v>#N/A</v>
      </c>
      <c r="C86" s="58"/>
      <c r="D86" s="16" t="e">
        <f ca="1">IF($A86&lt;&gt;"",
IF(VLOOKUP($A86,貼り付け用!$A$1:$BA$300,COLUMN()/2+1,FALSE)=0,"",VLOOKUP($A86,貼り付け用!$A$1:$BA$300,COLUMN()/2+1,FALSE)),"")</f>
        <v>#N/A</v>
      </c>
      <c r="E86" s="58"/>
      <c r="F86" s="16" t="e">
        <f ca="1">IF($A86&lt;&gt;"",
IF(VLOOKUP($A86,貼り付け用!$A$1:$BA$300,COLUMN()/2+1,FALSE)=0,"",VLOOKUP($A86,貼り付け用!$A$1:$BA$300,COLUMN()/2+1,FALSE)),"")</f>
        <v>#N/A</v>
      </c>
      <c r="G86" s="58"/>
      <c r="H86" s="16" t="e">
        <f ca="1">IF($A86&lt;&gt;"",
IF(VLOOKUP($A86,貼り付け用!$A$1:$BA$300,COLUMN()/2+1,FALSE)=0,"",VLOOKUP($A86,貼り付け用!$A$1:$BA$300,COLUMN()/2+1,FALSE)),"")</f>
        <v>#N/A</v>
      </c>
      <c r="I86" s="58"/>
      <c r="J86" s="16" t="e">
        <f ca="1">IF($A86&lt;&gt;"",
IF(VLOOKUP($A86,貼り付け用!$A$1:$BA$300,COLUMN()/2+1,FALSE)=0,"",VLOOKUP($A86,貼り付け用!$A$1:$BA$300,COLUMN()/2+1,FALSE)),"")</f>
        <v>#N/A</v>
      </c>
      <c r="K86" s="58"/>
      <c r="L86" s="16" t="e">
        <f ca="1">IF($A86&lt;&gt;"",
IF(VLOOKUP($A86,貼り付け用!$A$1:$BA$300,COLUMN()/2+1,FALSE)=0,"",VLOOKUP($A86,貼り付け用!$A$1:$BA$300,COLUMN()/2+1,FALSE)),"")</f>
        <v>#N/A</v>
      </c>
      <c r="M86" s="58"/>
      <c r="N86" s="16" t="e">
        <f ca="1">IF($A86&lt;&gt;"",
IF(VLOOKUP($A86,貼り付け用!$A$1:$BA$300,COLUMN()/2+1,FALSE)=0,"",VLOOKUP($A86,貼り付け用!$A$1:$BA$300,COLUMN()/2+1,FALSE)),"")</f>
        <v>#N/A</v>
      </c>
      <c r="O86" s="58"/>
      <c r="P86" s="16" t="e">
        <f ca="1">IF($A86&lt;&gt;"",
IF(VLOOKUP($A86,貼り付け用!$A$1:$BA$300,COLUMN()/2+1,FALSE)=0,"",VLOOKUP($A86,貼り付け用!$A$1:$BA$300,COLUMN()/2+1,FALSE)),"")</f>
        <v>#N/A</v>
      </c>
      <c r="Q86" s="58"/>
      <c r="R86" s="16" t="e">
        <f ca="1">IF($A86&lt;&gt;"",
IF(VLOOKUP($A86,貼り付け用!$A$1:$BA$300,COLUMN()/2+1,FALSE)=0,"",VLOOKUP($A86,貼り付け用!$A$1:$BA$300,COLUMN()/2+1,FALSE)),"")</f>
        <v>#N/A</v>
      </c>
      <c r="S86" s="58"/>
      <c r="T86" s="16" t="e">
        <f ca="1">IF($A86&lt;&gt;"",
IF(VLOOKUP($A86,貼り付け用!$A$1:$BA$300,COLUMN()/2+1,FALSE)=0,"",VLOOKUP($A86,貼り付け用!$A$1:$BA$300,COLUMN()/2+1,FALSE)),"")</f>
        <v>#N/A</v>
      </c>
      <c r="U86" s="58"/>
      <c r="V86" s="16" t="e">
        <f ca="1">IF($A86&lt;&gt;"",
IF(VLOOKUP($A86,貼り付け用!$A$1:$BA$300,COLUMN()/2+1,FALSE)=0,"",VLOOKUP($A86,貼り付け用!$A$1:$BA$300,COLUMN()/2+1,FALSE)),"")</f>
        <v>#N/A</v>
      </c>
      <c r="W86" s="58"/>
      <c r="X86" s="16" t="e">
        <f ca="1">IF($A86&lt;&gt;"",
IF(VLOOKUP($A86,貼り付け用!$A$1:$BA$300,COLUMN()/2+1,FALSE)=0,"",VLOOKUP($A86,貼り付け用!$A$1:$BA$300,COLUMN()/2+1,FALSE)),"")</f>
        <v>#N/A</v>
      </c>
      <c r="Y86" s="58"/>
      <c r="Z86" s="16" t="e">
        <f ca="1">IF($A86&lt;&gt;"",
IF(VLOOKUP($A86,貼り付け用!$A$1:$BA$300,COLUMN()/2+1,FALSE)=0,"",VLOOKUP($A86,貼り付け用!$A$1:$BA$300,COLUMN()/2+1,FALSE)),"")</f>
        <v>#N/A</v>
      </c>
      <c r="AA86" s="58"/>
      <c r="AB86" s="16" t="e">
        <f ca="1">IF($A86&lt;&gt;"",
IF(VLOOKUP($A86,貼り付け用!$A$1:$BA$300,COLUMN()/2+1,FALSE)=0,"",VLOOKUP($A86,貼り付け用!$A$1:$BA$300,COLUMN()/2+1,FALSE)),"")</f>
        <v>#N/A</v>
      </c>
      <c r="AC86" s="58"/>
      <c r="AD86" s="16" t="e">
        <f ca="1">IF($A86&lt;&gt;"",
IF(VLOOKUP($A86,貼り付け用!$A$1:$BA$300,COLUMN()/2+1,FALSE)=0,"",VLOOKUP($A86,貼り付け用!$A$1:$BA$300,COLUMN()/2+1,FALSE)),"")</f>
        <v>#N/A</v>
      </c>
      <c r="AE86" s="58"/>
      <c r="AF86" s="16" t="e">
        <f ca="1">IF($A86&lt;&gt;"",
IF(VLOOKUP($A86,貼り付け用!$A$1:$BA$300,COLUMN()/2+1,FALSE)=0,"",VLOOKUP($A86,貼り付け用!$A$1:$BA$300,COLUMN()/2+1,FALSE)),"")</f>
        <v>#N/A</v>
      </c>
      <c r="AG86" s="58"/>
      <c r="AH86" s="16" t="e">
        <f ca="1">IF($A86&lt;&gt;"",
IF(VLOOKUP($A86,貼り付け用!$A$1:$BA$300,COLUMN()/2+1,FALSE)=0,"",VLOOKUP($A86,貼り付け用!$A$1:$BA$300,COLUMN()/2+1,FALSE)),"")</f>
        <v>#N/A</v>
      </c>
      <c r="AI86" s="58"/>
      <c r="AJ86" s="16" t="e">
        <f ca="1">IF($A86&lt;&gt;"",
IF(VLOOKUP($A86,貼り付け用!$A$1:$BA$300,COLUMN()/2+1,FALSE)=0,"",VLOOKUP($A86,貼り付け用!$A$1:$BA$300,COLUMN()/2+1,FALSE)),"")</f>
        <v>#N/A</v>
      </c>
      <c r="AK86" s="58"/>
      <c r="AL86" s="16" t="e">
        <f ca="1">IF($A86&lt;&gt;"",
IF(VLOOKUP($A86,貼り付け用!$A$1:$BA$300,COLUMN()/2+1,FALSE)=0,"",VLOOKUP($A86,貼り付け用!$A$1:$BA$300,COLUMN()/2+1,FALSE)),"")</f>
        <v>#N/A</v>
      </c>
      <c r="AM86" s="210" t="e">
        <f ca="1">IF($A86&lt;&gt;"",
IF(VLOOKUP($A86,貼り付け用!$A$1:$BA$300,COLUMN()/2+2,FALSE)=0,"",VLOOKUP($A86,貼り付け用!$A$1:$BA$300,COLUMN()/2+2,FALSE)),"")</f>
        <v>#N/A</v>
      </c>
      <c r="AN86" s="210" t="e">
        <f ca="1">IF($A86&lt;&gt;"",
IF(VLOOKUP($A86,貼り付け用!$A$1:$BA$300,COLUMN()/2+3,FALSE)=0,"",VLOOKUP($A86,貼り付け用!$A$1:$BA$300,COLUMN()/2+3,FALSE)),"")</f>
        <v>#N/A</v>
      </c>
    </row>
    <row r="87" spans="1:40" x14ac:dyDescent="0.45">
      <c r="A87" s="8" t="e" cm="1">
        <f t="array" aca="1" ref="A87" ca="1">IF(OR(COUNTIF(A85,"*1000*"),COUNTIF(A85,"")),"",INDEX(貼り付け用!$A:$A,MATCH(A85,貼り付け用!$A:$A,0)+2,0))</f>
        <v>#N/A</v>
      </c>
      <c r="B87" s="46" t="e">
        <f ca="1">IF($A87&lt;&gt;"",
IF(VLOOKUP($A87,貼り付け用!$A$1:$BA$300,COLUMN()/2+1,FALSE)=0,"",VLOOKUP($A87,貼り付け用!$A$1:$BA$300,COLUMN()/2+1,FALSE)),"")</f>
        <v>#N/A</v>
      </c>
      <c r="C87" s="46"/>
      <c r="D87" s="46" t="e">
        <f ca="1">IF($A87&lt;&gt;"",
IF(VLOOKUP($A87,貼り付け用!$A$1:$BA$300,COLUMN()/2+1,FALSE)=0,"",VLOOKUP($A87,貼り付け用!$A$1:$BA$300,COLUMN()/2+1,FALSE)),"")</f>
        <v>#N/A</v>
      </c>
      <c r="E87" s="46"/>
      <c r="F87" s="46" t="e">
        <f ca="1">IF($A87&lt;&gt;"",
IF(VLOOKUP($A87,貼り付け用!$A$1:$BA$300,COLUMN()/2+1,FALSE)=0,"",VLOOKUP($A87,貼り付け用!$A$1:$BA$300,COLUMN()/2+1,FALSE)),"")</f>
        <v>#N/A</v>
      </c>
      <c r="G87" s="46"/>
      <c r="H87" s="46" t="e">
        <f ca="1">IF($A87&lt;&gt;"",
IF(VLOOKUP($A87,貼り付け用!$A$1:$BA$300,COLUMN()/2+1,FALSE)=0,"",VLOOKUP($A87,貼り付け用!$A$1:$BA$300,COLUMN()/2+1,FALSE)),"")</f>
        <v>#N/A</v>
      </c>
      <c r="I87" s="46"/>
      <c r="J87" s="46" t="e">
        <f ca="1">IF($A87&lt;&gt;"",
IF(VLOOKUP($A87,貼り付け用!$A$1:$BA$300,COLUMN()/2+1,FALSE)=0,"",VLOOKUP($A87,貼り付け用!$A$1:$BA$300,COLUMN()/2+1,FALSE)),"")</f>
        <v>#N/A</v>
      </c>
      <c r="K87" s="46"/>
      <c r="L87" s="46" t="e">
        <f ca="1">IF($A87&lt;&gt;"",
IF(VLOOKUP($A87,貼り付け用!$A$1:$BA$300,COLUMN()/2+1,FALSE)=0,"",VLOOKUP($A87,貼り付け用!$A$1:$BA$300,COLUMN()/2+1,FALSE)),"")</f>
        <v>#N/A</v>
      </c>
      <c r="M87" s="46"/>
      <c r="N87" s="46" t="e">
        <f ca="1">IF($A87&lt;&gt;"",
IF(VLOOKUP($A87,貼り付け用!$A$1:$BA$300,COLUMN()/2+1,FALSE)=0,"",VLOOKUP($A87,貼り付け用!$A$1:$BA$300,COLUMN()/2+1,FALSE)),"")</f>
        <v>#N/A</v>
      </c>
      <c r="O87" s="46"/>
      <c r="P87" s="46" t="e">
        <f ca="1">IF($A87&lt;&gt;"",
IF(VLOOKUP($A87,貼り付け用!$A$1:$BA$300,COLUMN()/2+1,FALSE)=0,"",VLOOKUP($A87,貼り付け用!$A$1:$BA$300,COLUMN()/2+1,FALSE)),"")</f>
        <v>#N/A</v>
      </c>
      <c r="Q87" s="46"/>
      <c r="R87" s="46" t="e">
        <f ca="1">IF($A87&lt;&gt;"",
IF(VLOOKUP($A87,貼り付け用!$A$1:$BA$300,COLUMN()/2+1,FALSE)=0,"",VLOOKUP($A87,貼り付け用!$A$1:$BA$300,COLUMN()/2+1,FALSE)),"")</f>
        <v>#N/A</v>
      </c>
      <c r="S87" s="46"/>
      <c r="T87" s="46" t="e">
        <f ca="1">IF($A87&lt;&gt;"",
IF(VLOOKUP($A87,貼り付け用!$A$1:$BA$300,COLUMN()/2+1,FALSE)=0,"",VLOOKUP($A87,貼り付け用!$A$1:$BA$300,COLUMN()/2+1,FALSE)),"")</f>
        <v>#N/A</v>
      </c>
      <c r="U87" s="46"/>
      <c r="V87" s="46" t="e">
        <f ca="1">IF($A87&lt;&gt;"",
IF(VLOOKUP($A87,貼り付け用!$A$1:$BA$300,COLUMN()/2+1,FALSE)=0,"",VLOOKUP($A87,貼り付け用!$A$1:$BA$300,COLUMN()/2+1,FALSE)),"")</f>
        <v>#N/A</v>
      </c>
      <c r="W87" s="46"/>
      <c r="X87" s="46" t="e">
        <f ca="1">IF($A87&lt;&gt;"",
IF(VLOOKUP($A87,貼り付け用!$A$1:$BA$300,COLUMN()/2+1,FALSE)=0,"",VLOOKUP($A87,貼り付け用!$A$1:$BA$300,COLUMN()/2+1,FALSE)),"")</f>
        <v>#N/A</v>
      </c>
      <c r="Y87" s="46"/>
      <c r="Z87" s="46" t="e">
        <f ca="1">IF($A87&lt;&gt;"",
IF(VLOOKUP($A87,貼り付け用!$A$1:$BA$300,COLUMN()/2+1,FALSE)=0,"",VLOOKUP($A87,貼り付け用!$A$1:$BA$300,COLUMN()/2+1,FALSE)),"")</f>
        <v>#N/A</v>
      </c>
      <c r="AA87" s="46"/>
      <c r="AB87" s="46" t="e">
        <f ca="1">IF($A87&lt;&gt;"",
IF(VLOOKUP($A87,貼り付け用!$A$1:$BA$300,COLUMN()/2+1,FALSE)=0,"",VLOOKUP($A87,貼り付け用!$A$1:$BA$300,COLUMN()/2+1,FALSE)),"")</f>
        <v>#N/A</v>
      </c>
      <c r="AC87" s="46"/>
      <c r="AD87" s="46" t="e">
        <f ca="1">IF($A87&lt;&gt;"",
IF(VLOOKUP($A87,貼り付け用!$A$1:$BA$300,COLUMN()/2+1,FALSE)=0,"",VLOOKUP($A87,貼り付け用!$A$1:$BA$300,COLUMN()/2+1,FALSE)),"")</f>
        <v>#N/A</v>
      </c>
      <c r="AE87" s="46"/>
      <c r="AF87" s="46" t="e">
        <f ca="1">IF($A87&lt;&gt;"",
IF(VLOOKUP($A87,貼り付け用!$A$1:$BA$300,COLUMN()/2+1,FALSE)=0,"",VLOOKUP($A87,貼り付け用!$A$1:$BA$300,COLUMN()/2+1,FALSE)),"")</f>
        <v>#N/A</v>
      </c>
      <c r="AG87" s="46"/>
      <c r="AH87" s="46" t="e">
        <f ca="1">IF($A87&lt;&gt;"",
IF(VLOOKUP($A87,貼り付け用!$A$1:$BA$300,COLUMN()/2+1,FALSE)=0,"",VLOOKUP($A87,貼り付け用!$A$1:$BA$300,COLUMN()/2+1,FALSE)),"")</f>
        <v>#N/A</v>
      </c>
      <c r="AI87" s="46"/>
      <c r="AJ87" s="46" t="e">
        <f ca="1">IF($A87&lt;&gt;"",
IF(VLOOKUP($A87,貼り付け用!$A$1:$BA$300,COLUMN()/2+1,FALSE)=0,"",VLOOKUP($A87,貼り付け用!$A$1:$BA$300,COLUMN()/2+1,FALSE)),"")</f>
        <v>#N/A</v>
      </c>
      <c r="AK87" s="46"/>
      <c r="AL87" s="46" t="e">
        <f ca="1">IF($A87&lt;&gt;"",
IF(VLOOKUP($A87,貼り付け用!$A$1:$BA$300,COLUMN()/2+1,FALSE)=0,"",VLOOKUP($A87,貼り付け用!$A$1:$BA$300,COLUMN()/2+1,FALSE)),"")</f>
        <v>#N/A</v>
      </c>
      <c r="AM87" s="211" t="e">
        <f ca="1">IF($A87&lt;&gt;"",
IF(VLOOKUP($A87,貼り付け用!$A$1:$BA$300,COLUMN()/2+2,FALSE)=0,"",VLOOKUP($A87,貼り付け用!$A$1:$BA$300,COLUMN()/2+2,FALSE)),"")</f>
        <v>#N/A</v>
      </c>
      <c r="AN87" s="211" t="e">
        <f ca="1">IF($A87&lt;&gt;"",
IF(VLOOKUP($A87,貼り付け用!$A$1:$BA$300,COLUMN()/2+3,FALSE)=0,"",VLOOKUP($A87,貼り付け用!$A$1:$BA$300,COLUMN()/2+3,FALSE)),"")</f>
        <v>#N/A</v>
      </c>
    </row>
    <row r="88" spans="1:40" x14ac:dyDescent="0.45">
      <c r="A88" s="5" t="e" cm="1">
        <f t="array" aca="1" ref="A88" ca="1">IF(OR(COUNTIF(A86,"*合計*"),COUNTIF(A86,"")),"",INDEX(貼り付け用!$A:$A,MATCH(A86,貼り付け用!$A:$A,0)+2,0))</f>
        <v>#N/A</v>
      </c>
      <c r="B88" s="16" t="e">
        <f ca="1">IF($A88&lt;&gt;"",
IF(VLOOKUP($A88,貼り付け用!$A$1:$BA$300,COLUMN()/2+1,FALSE)=0,"",VLOOKUP($A88,貼り付け用!$A$1:$BA$300,COLUMN()/2+1,FALSE)),"")</f>
        <v>#N/A</v>
      </c>
      <c r="C88" s="58"/>
      <c r="D88" s="16" t="e">
        <f ca="1">IF($A88&lt;&gt;"",
IF(VLOOKUP($A88,貼り付け用!$A$1:$BA$300,COLUMN()/2+1,FALSE)=0,"",VLOOKUP($A88,貼り付け用!$A$1:$BA$300,COLUMN()/2+1,FALSE)),"")</f>
        <v>#N/A</v>
      </c>
      <c r="E88" s="58"/>
      <c r="F88" s="16" t="e">
        <f ca="1">IF($A88&lt;&gt;"",
IF(VLOOKUP($A88,貼り付け用!$A$1:$BA$300,COLUMN()/2+1,FALSE)=0,"",VLOOKUP($A88,貼り付け用!$A$1:$BA$300,COLUMN()/2+1,FALSE)),"")</f>
        <v>#N/A</v>
      </c>
      <c r="G88" s="58"/>
      <c r="H88" s="16" t="e">
        <f ca="1">IF($A88&lt;&gt;"",
IF(VLOOKUP($A88,貼り付け用!$A$1:$BA$300,COLUMN()/2+1,FALSE)=0,"",VLOOKUP($A88,貼り付け用!$A$1:$BA$300,COLUMN()/2+1,FALSE)),"")</f>
        <v>#N/A</v>
      </c>
      <c r="I88" s="58"/>
      <c r="J88" s="16" t="e">
        <f ca="1">IF($A88&lt;&gt;"",
IF(VLOOKUP($A88,貼り付け用!$A$1:$BA$300,COLUMN()/2+1,FALSE)=0,"",VLOOKUP($A88,貼り付け用!$A$1:$BA$300,COLUMN()/2+1,FALSE)),"")</f>
        <v>#N/A</v>
      </c>
      <c r="K88" s="58"/>
      <c r="L88" s="16" t="e">
        <f ca="1">IF($A88&lt;&gt;"",
IF(VLOOKUP($A88,貼り付け用!$A$1:$BA$300,COLUMN()/2+1,FALSE)=0,"",VLOOKUP($A88,貼り付け用!$A$1:$BA$300,COLUMN()/2+1,FALSE)),"")</f>
        <v>#N/A</v>
      </c>
      <c r="M88" s="58"/>
      <c r="N88" s="16" t="e">
        <f ca="1">IF($A88&lt;&gt;"",
IF(VLOOKUP($A88,貼り付け用!$A$1:$BA$300,COLUMN()/2+1,FALSE)=0,"",VLOOKUP($A88,貼り付け用!$A$1:$BA$300,COLUMN()/2+1,FALSE)),"")</f>
        <v>#N/A</v>
      </c>
      <c r="O88" s="58"/>
      <c r="P88" s="16" t="e">
        <f ca="1">IF($A88&lt;&gt;"",
IF(VLOOKUP($A88,貼り付け用!$A$1:$BA$300,COLUMN()/2+1,FALSE)=0,"",VLOOKUP($A88,貼り付け用!$A$1:$BA$300,COLUMN()/2+1,FALSE)),"")</f>
        <v>#N/A</v>
      </c>
      <c r="Q88" s="58"/>
      <c r="R88" s="16" t="e">
        <f ca="1">IF($A88&lt;&gt;"",
IF(VLOOKUP($A88,貼り付け用!$A$1:$BA$300,COLUMN()/2+1,FALSE)=0,"",VLOOKUP($A88,貼り付け用!$A$1:$BA$300,COLUMN()/2+1,FALSE)),"")</f>
        <v>#N/A</v>
      </c>
      <c r="S88" s="58"/>
      <c r="T88" s="16" t="e">
        <f ca="1">IF($A88&lt;&gt;"",
IF(VLOOKUP($A88,貼り付け用!$A$1:$BA$300,COLUMN()/2+1,FALSE)=0,"",VLOOKUP($A88,貼り付け用!$A$1:$BA$300,COLUMN()/2+1,FALSE)),"")</f>
        <v>#N/A</v>
      </c>
      <c r="U88" s="58"/>
      <c r="V88" s="16" t="e">
        <f ca="1">IF($A88&lt;&gt;"",
IF(VLOOKUP($A88,貼り付け用!$A$1:$BA$300,COLUMN()/2+1,FALSE)=0,"",VLOOKUP($A88,貼り付け用!$A$1:$BA$300,COLUMN()/2+1,FALSE)),"")</f>
        <v>#N/A</v>
      </c>
      <c r="W88" s="58"/>
      <c r="X88" s="16" t="e">
        <f ca="1">IF($A88&lt;&gt;"",
IF(VLOOKUP($A88,貼り付け用!$A$1:$BA$300,COLUMN()/2+1,FALSE)=0,"",VLOOKUP($A88,貼り付け用!$A$1:$BA$300,COLUMN()/2+1,FALSE)),"")</f>
        <v>#N/A</v>
      </c>
      <c r="Y88" s="58"/>
      <c r="Z88" s="16" t="e">
        <f ca="1">IF($A88&lt;&gt;"",
IF(VLOOKUP($A88,貼り付け用!$A$1:$BA$300,COLUMN()/2+1,FALSE)=0,"",VLOOKUP($A88,貼り付け用!$A$1:$BA$300,COLUMN()/2+1,FALSE)),"")</f>
        <v>#N/A</v>
      </c>
      <c r="AA88" s="58"/>
      <c r="AB88" s="16" t="e">
        <f ca="1">IF($A88&lt;&gt;"",
IF(VLOOKUP($A88,貼り付け用!$A$1:$BA$300,COLUMN()/2+1,FALSE)=0,"",VLOOKUP($A88,貼り付け用!$A$1:$BA$300,COLUMN()/2+1,FALSE)),"")</f>
        <v>#N/A</v>
      </c>
      <c r="AC88" s="58"/>
      <c r="AD88" s="16" t="e">
        <f ca="1">IF($A88&lt;&gt;"",
IF(VLOOKUP($A88,貼り付け用!$A$1:$BA$300,COLUMN()/2+1,FALSE)=0,"",VLOOKUP($A88,貼り付け用!$A$1:$BA$300,COLUMN()/2+1,FALSE)),"")</f>
        <v>#N/A</v>
      </c>
      <c r="AE88" s="58"/>
      <c r="AF88" s="16" t="e">
        <f ca="1">IF($A88&lt;&gt;"",
IF(VLOOKUP($A88,貼り付け用!$A$1:$BA$300,COLUMN()/2+1,FALSE)=0,"",VLOOKUP($A88,貼り付け用!$A$1:$BA$300,COLUMN()/2+1,FALSE)),"")</f>
        <v>#N/A</v>
      </c>
      <c r="AG88" s="58"/>
      <c r="AH88" s="16" t="e">
        <f ca="1">IF($A88&lt;&gt;"",
IF(VLOOKUP($A88,貼り付け用!$A$1:$BA$300,COLUMN()/2+1,FALSE)=0,"",VLOOKUP($A88,貼り付け用!$A$1:$BA$300,COLUMN()/2+1,FALSE)),"")</f>
        <v>#N/A</v>
      </c>
      <c r="AI88" s="58"/>
      <c r="AJ88" s="16" t="e">
        <f ca="1">IF($A88&lt;&gt;"",
IF(VLOOKUP($A88,貼り付け用!$A$1:$BA$300,COLUMN()/2+1,FALSE)=0,"",VLOOKUP($A88,貼り付け用!$A$1:$BA$300,COLUMN()/2+1,FALSE)),"")</f>
        <v>#N/A</v>
      </c>
      <c r="AK88" s="58"/>
      <c r="AL88" s="16" t="e">
        <f ca="1">IF($A88&lt;&gt;"",
IF(VLOOKUP($A88,貼り付け用!$A$1:$BA$300,COLUMN()/2+1,FALSE)=0,"",VLOOKUP($A88,貼り付け用!$A$1:$BA$300,COLUMN()/2+1,FALSE)),"")</f>
        <v>#N/A</v>
      </c>
      <c r="AM88" s="210" t="e">
        <f ca="1">IF($A88&lt;&gt;"",
IF(VLOOKUP($A88,貼り付け用!$A$1:$BA$300,COLUMN()/2+2,FALSE)=0,"",VLOOKUP($A88,貼り付け用!$A$1:$BA$300,COLUMN()/2+2,FALSE)),"")</f>
        <v>#N/A</v>
      </c>
      <c r="AN88" s="210" t="e">
        <f ca="1">IF($A88&lt;&gt;"",
IF(VLOOKUP($A88,貼り付け用!$A$1:$BA$300,COLUMN()/2+3,FALSE)=0,"",VLOOKUP($A88,貼り付け用!$A$1:$BA$300,COLUMN()/2+3,FALSE)),"")</f>
        <v>#N/A</v>
      </c>
    </row>
    <row r="89" spans="1:40" x14ac:dyDescent="0.45">
      <c r="A89" s="8" t="e" cm="1">
        <f t="array" aca="1" ref="A89" ca="1">IF(OR(COUNTIF(A87,"*1000*"),COUNTIF(A87,"")),"",INDEX(貼り付け用!$A:$A,MATCH(A87,貼り付け用!$A:$A,0)+2,0))</f>
        <v>#N/A</v>
      </c>
      <c r="B89" s="46" t="e">
        <f ca="1">IF($A89&lt;&gt;"",
IF(VLOOKUP($A89,貼り付け用!$A$1:$BA$300,COLUMN()/2+1,FALSE)=0,"",VLOOKUP($A89,貼り付け用!$A$1:$BA$300,COLUMN()/2+1,FALSE)),"")</f>
        <v>#N/A</v>
      </c>
      <c r="C89" s="46"/>
      <c r="D89" s="46" t="e">
        <f ca="1">IF($A89&lt;&gt;"",
IF(VLOOKUP($A89,貼り付け用!$A$1:$BA$300,COLUMN()/2+1,FALSE)=0,"",VLOOKUP($A89,貼り付け用!$A$1:$BA$300,COLUMN()/2+1,FALSE)),"")</f>
        <v>#N/A</v>
      </c>
      <c r="E89" s="46"/>
      <c r="F89" s="46" t="e">
        <f ca="1">IF($A89&lt;&gt;"",
IF(VLOOKUP($A89,貼り付け用!$A$1:$BA$300,COLUMN()/2+1,FALSE)=0,"",VLOOKUP($A89,貼り付け用!$A$1:$BA$300,COLUMN()/2+1,FALSE)),"")</f>
        <v>#N/A</v>
      </c>
      <c r="G89" s="46"/>
      <c r="H89" s="46" t="e">
        <f ca="1">IF($A89&lt;&gt;"",
IF(VLOOKUP($A89,貼り付け用!$A$1:$BA$300,COLUMN()/2+1,FALSE)=0,"",VLOOKUP($A89,貼り付け用!$A$1:$BA$300,COLUMN()/2+1,FALSE)),"")</f>
        <v>#N/A</v>
      </c>
      <c r="I89" s="46"/>
      <c r="J89" s="46" t="e">
        <f ca="1">IF($A89&lt;&gt;"",
IF(VLOOKUP($A89,貼り付け用!$A$1:$BA$300,COLUMN()/2+1,FALSE)=0,"",VLOOKUP($A89,貼り付け用!$A$1:$BA$300,COLUMN()/2+1,FALSE)),"")</f>
        <v>#N/A</v>
      </c>
      <c r="K89" s="46"/>
      <c r="L89" s="46" t="e">
        <f ca="1">IF($A89&lt;&gt;"",
IF(VLOOKUP($A89,貼り付け用!$A$1:$BA$300,COLUMN()/2+1,FALSE)=0,"",VLOOKUP($A89,貼り付け用!$A$1:$BA$300,COLUMN()/2+1,FALSE)),"")</f>
        <v>#N/A</v>
      </c>
      <c r="M89" s="46"/>
      <c r="N89" s="46" t="e">
        <f ca="1">IF($A89&lt;&gt;"",
IF(VLOOKUP($A89,貼り付け用!$A$1:$BA$300,COLUMN()/2+1,FALSE)=0,"",VLOOKUP($A89,貼り付け用!$A$1:$BA$300,COLUMN()/2+1,FALSE)),"")</f>
        <v>#N/A</v>
      </c>
      <c r="O89" s="46"/>
      <c r="P89" s="46" t="e">
        <f ca="1">IF($A89&lt;&gt;"",
IF(VLOOKUP($A89,貼り付け用!$A$1:$BA$300,COLUMN()/2+1,FALSE)=0,"",VLOOKUP($A89,貼り付け用!$A$1:$BA$300,COLUMN()/2+1,FALSE)),"")</f>
        <v>#N/A</v>
      </c>
      <c r="Q89" s="46"/>
      <c r="R89" s="46" t="e">
        <f ca="1">IF($A89&lt;&gt;"",
IF(VLOOKUP($A89,貼り付け用!$A$1:$BA$300,COLUMN()/2+1,FALSE)=0,"",VLOOKUP($A89,貼り付け用!$A$1:$BA$300,COLUMN()/2+1,FALSE)),"")</f>
        <v>#N/A</v>
      </c>
      <c r="S89" s="46"/>
      <c r="T89" s="46" t="e">
        <f ca="1">IF($A89&lt;&gt;"",
IF(VLOOKUP($A89,貼り付け用!$A$1:$BA$300,COLUMN()/2+1,FALSE)=0,"",VLOOKUP($A89,貼り付け用!$A$1:$BA$300,COLUMN()/2+1,FALSE)),"")</f>
        <v>#N/A</v>
      </c>
      <c r="U89" s="46"/>
      <c r="V89" s="46" t="e">
        <f ca="1">IF($A89&lt;&gt;"",
IF(VLOOKUP($A89,貼り付け用!$A$1:$BA$300,COLUMN()/2+1,FALSE)=0,"",VLOOKUP($A89,貼り付け用!$A$1:$BA$300,COLUMN()/2+1,FALSE)),"")</f>
        <v>#N/A</v>
      </c>
      <c r="W89" s="46"/>
      <c r="X89" s="46" t="e">
        <f ca="1">IF($A89&lt;&gt;"",
IF(VLOOKUP($A89,貼り付け用!$A$1:$BA$300,COLUMN()/2+1,FALSE)=0,"",VLOOKUP($A89,貼り付け用!$A$1:$BA$300,COLUMN()/2+1,FALSE)),"")</f>
        <v>#N/A</v>
      </c>
      <c r="Y89" s="46"/>
      <c r="Z89" s="46" t="e">
        <f ca="1">IF($A89&lt;&gt;"",
IF(VLOOKUP($A89,貼り付け用!$A$1:$BA$300,COLUMN()/2+1,FALSE)=0,"",VLOOKUP($A89,貼り付け用!$A$1:$BA$300,COLUMN()/2+1,FALSE)),"")</f>
        <v>#N/A</v>
      </c>
      <c r="AA89" s="46"/>
      <c r="AB89" s="46" t="e">
        <f ca="1">IF($A89&lt;&gt;"",
IF(VLOOKUP($A89,貼り付け用!$A$1:$BA$300,COLUMN()/2+1,FALSE)=0,"",VLOOKUP($A89,貼り付け用!$A$1:$BA$300,COLUMN()/2+1,FALSE)),"")</f>
        <v>#N/A</v>
      </c>
      <c r="AC89" s="46"/>
      <c r="AD89" s="46" t="e">
        <f ca="1">IF($A89&lt;&gt;"",
IF(VLOOKUP($A89,貼り付け用!$A$1:$BA$300,COLUMN()/2+1,FALSE)=0,"",VLOOKUP($A89,貼り付け用!$A$1:$BA$300,COLUMN()/2+1,FALSE)),"")</f>
        <v>#N/A</v>
      </c>
      <c r="AE89" s="46"/>
      <c r="AF89" s="46" t="e">
        <f ca="1">IF($A89&lt;&gt;"",
IF(VLOOKUP($A89,貼り付け用!$A$1:$BA$300,COLUMN()/2+1,FALSE)=0,"",VLOOKUP($A89,貼り付け用!$A$1:$BA$300,COLUMN()/2+1,FALSE)),"")</f>
        <v>#N/A</v>
      </c>
      <c r="AG89" s="46"/>
      <c r="AH89" s="46" t="e">
        <f ca="1">IF($A89&lt;&gt;"",
IF(VLOOKUP($A89,貼り付け用!$A$1:$BA$300,COLUMN()/2+1,FALSE)=0,"",VLOOKUP($A89,貼り付け用!$A$1:$BA$300,COLUMN()/2+1,FALSE)),"")</f>
        <v>#N/A</v>
      </c>
      <c r="AI89" s="46"/>
      <c r="AJ89" s="46" t="e">
        <f ca="1">IF($A89&lt;&gt;"",
IF(VLOOKUP($A89,貼り付け用!$A$1:$BA$300,COLUMN()/2+1,FALSE)=0,"",VLOOKUP($A89,貼り付け用!$A$1:$BA$300,COLUMN()/2+1,FALSE)),"")</f>
        <v>#N/A</v>
      </c>
      <c r="AK89" s="46"/>
      <c r="AL89" s="46" t="e">
        <f ca="1">IF($A89&lt;&gt;"",
IF(VLOOKUP($A89,貼り付け用!$A$1:$BA$300,COLUMN()/2+1,FALSE)=0,"",VLOOKUP($A89,貼り付け用!$A$1:$BA$300,COLUMN()/2+1,FALSE)),"")</f>
        <v>#N/A</v>
      </c>
      <c r="AM89" s="211" t="e">
        <f ca="1">IF($A89&lt;&gt;"",
IF(VLOOKUP($A89,貼り付け用!$A$1:$BA$300,COLUMN()/2+2,FALSE)=0,"",VLOOKUP($A89,貼り付け用!$A$1:$BA$300,COLUMN()/2+2,FALSE)),"")</f>
        <v>#N/A</v>
      </c>
      <c r="AN89" s="211" t="e">
        <f ca="1">IF($A89&lt;&gt;"",
IF(VLOOKUP($A89,貼り付け用!$A$1:$BA$300,COLUMN()/2+3,FALSE)=0,"",VLOOKUP($A89,貼り付け用!$A$1:$BA$300,COLUMN()/2+3,FALSE)),"")</f>
        <v>#N/A</v>
      </c>
    </row>
    <row r="90" spans="1:40" x14ac:dyDescent="0.45">
      <c r="A90" s="5" t="e" cm="1">
        <f t="array" aca="1" ref="A90" ca="1">IF(OR(COUNTIF(A88,"*合計*"),COUNTIF(A88,"")),"",INDEX(貼り付け用!$A:$A,MATCH(A88,貼り付け用!$A:$A,0)+2,0))</f>
        <v>#N/A</v>
      </c>
      <c r="B90" s="16" t="e">
        <f ca="1">IF($A90&lt;&gt;"",
IF(VLOOKUP($A90,貼り付け用!$A$1:$BA$300,COLUMN()/2+1,FALSE)=0,"",VLOOKUP($A90,貼り付け用!$A$1:$BA$300,COLUMN()/2+1,FALSE)),"")</f>
        <v>#N/A</v>
      </c>
      <c r="C90" s="58"/>
      <c r="D90" s="16" t="e">
        <f ca="1">IF($A90&lt;&gt;"",
IF(VLOOKUP($A90,貼り付け用!$A$1:$BA$300,COLUMN()/2+1,FALSE)=0,"",VLOOKUP($A90,貼り付け用!$A$1:$BA$300,COLUMN()/2+1,FALSE)),"")</f>
        <v>#N/A</v>
      </c>
      <c r="E90" s="58"/>
      <c r="F90" s="16" t="e">
        <f ca="1">IF($A90&lt;&gt;"",
IF(VLOOKUP($A90,貼り付け用!$A$1:$BA$300,COLUMN()/2+1,FALSE)=0,"",VLOOKUP($A90,貼り付け用!$A$1:$BA$300,COLUMN()/2+1,FALSE)),"")</f>
        <v>#N/A</v>
      </c>
      <c r="G90" s="58"/>
      <c r="H90" s="16" t="e">
        <f ca="1">IF($A90&lt;&gt;"",
IF(VLOOKUP($A90,貼り付け用!$A$1:$BA$300,COLUMN()/2+1,FALSE)=0,"",VLOOKUP($A90,貼り付け用!$A$1:$BA$300,COLUMN()/2+1,FALSE)),"")</f>
        <v>#N/A</v>
      </c>
      <c r="I90" s="58"/>
      <c r="J90" s="16" t="e">
        <f ca="1">IF($A90&lt;&gt;"",
IF(VLOOKUP($A90,貼り付け用!$A$1:$BA$300,COLUMN()/2+1,FALSE)=0,"",VLOOKUP($A90,貼り付け用!$A$1:$BA$300,COLUMN()/2+1,FALSE)),"")</f>
        <v>#N/A</v>
      </c>
      <c r="K90" s="58"/>
      <c r="L90" s="16" t="e">
        <f ca="1">IF($A90&lt;&gt;"",
IF(VLOOKUP($A90,貼り付け用!$A$1:$BA$300,COLUMN()/2+1,FALSE)=0,"",VLOOKUP($A90,貼り付け用!$A$1:$BA$300,COLUMN()/2+1,FALSE)),"")</f>
        <v>#N/A</v>
      </c>
      <c r="M90" s="58"/>
      <c r="N90" s="16" t="e">
        <f ca="1">IF($A90&lt;&gt;"",
IF(VLOOKUP($A90,貼り付け用!$A$1:$BA$300,COLUMN()/2+1,FALSE)=0,"",VLOOKUP($A90,貼り付け用!$A$1:$BA$300,COLUMN()/2+1,FALSE)),"")</f>
        <v>#N/A</v>
      </c>
      <c r="O90" s="58"/>
      <c r="P90" s="16" t="e">
        <f ca="1">IF($A90&lt;&gt;"",
IF(VLOOKUP($A90,貼り付け用!$A$1:$BA$300,COLUMN()/2+1,FALSE)=0,"",VLOOKUP($A90,貼り付け用!$A$1:$BA$300,COLUMN()/2+1,FALSE)),"")</f>
        <v>#N/A</v>
      </c>
      <c r="Q90" s="58"/>
      <c r="R90" s="16" t="e">
        <f ca="1">IF($A90&lt;&gt;"",
IF(VLOOKUP($A90,貼り付け用!$A$1:$BA$300,COLUMN()/2+1,FALSE)=0,"",VLOOKUP($A90,貼り付け用!$A$1:$BA$300,COLUMN()/2+1,FALSE)),"")</f>
        <v>#N/A</v>
      </c>
      <c r="S90" s="58"/>
      <c r="T90" s="16" t="e">
        <f ca="1">IF($A90&lt;&gt;"",
IF(VLOOKUP($A90,貼り付け用!$A$1:$BA$300,COLUMN()/2+1,FALSE)=0,"",VLOOKUP($A90,貼り付け用!$A$1:$BA$300,COLUMN()/2+1,FALSE)),"")</f>
        <v>#N/A</v>
      </c>
      <c r="U90" s="58"/>
      <c r="V90" s="16" t="e">
        <f ca="1">IF($A90&lt;&gt;"",
IF(VLOOKUP($A90,貼り付け用!$A$1:$BA$300,COLUMN()/2+1,FALSE)=0,"",VLOOKUP($A90,貼り付け用!$A$1:$BA$300,COLUMN()/2+1,FALSE)),"")</f>
        <v>#N/A</v>
      </c>
      <c r="W90" s="58"/>
      <c r="X90" s="16" t="e">
        <f ca="1">IF($A90&lt;&gt;"",
IF(VLOOKUP($A90,貼り付け用!$A$1:$BA$300,COLUMN()/2+1,FALSE)=0,"",VLOOKUP($A90,貼り付け用!$A$1:$BA$300,COLUMN()/2+1,FALSE)),"")</f>
        <v>#N/A</v>
      </c>
      <c r="Y90" s="58"/>
      <c r="Z90" s="16" t="e">
        <f ca="1">IF($A90&lt;&gt;"",
IF(VLOOKUP($A90,貼り付け用!$A$1:$BA$300,COLUMN()/2+1,FALSE)=0,"",VLOOKUP($A90,貼り付け用!$A$1:$BA$300,COLUMN()/2+1,FALSE)),"")</f>
        <v>#N/A</v>
      </c>
      <c r="AA90" s="58"/>
      <c r="AB90" s="16" t="e">
        <f ca="1">IF($A90&lt;&gt;"",
IF(VLOOKUP($A90,貼り付け用!$A$1:$BA$300,COLUMN()/2+1,FALSE)=0,"",VLOOKUP($A90,貼り付け用!$A$1:$BA$300,COLUMN()/2+1,FALSE)),"")</f>
        <v>#N/A</v>
      </c>
      <c r="AC90" s="58"/>
      <c r="AD90" s="16" t="e">
        <f ca="1">IF($A90&lt;&gt;"",
IF(VLOOKUP($A90,貼り付け用!$A$1:$BA$300,COLUMN()/2+1,FALSE)=0,"",VLOOKUP($A90,貼り付け用!$A$1:$BA$300,COLUMN()/2+1,FALSE)),"")</f>
        <v>#N/A</v>
      </c>
      <c r="AE90" s="58"/>
      <c r="AF90" s="16" t="e">
        <f ca="1">IF($A90&lt;&gt;"",
IF(VLOOKUP($A90,貼り付け用!$A$1:$BA$300,COLUMN()/2+1,FALSE)=0,"",VLOOKUP($A90,貼り付け用!$A$1:$BA$300,COLUMN()/2+1,FALSE)),"")</f>
        <v>#N/A</v>
      </c>
      <c r="AG90" s="58"/>
      <c r="AH90" s="16" t="e">
        <f ca="1">IF($A90&lt;&gt;"",
IF(VLOOKUP($A90,貼り付け用!$A$1:$BA$300,COLUMN()/2+1,FALSE)=0,"",VLOOKUP($A90,貼り付け用!$A$1:$BA$300,COLUMN()/2+1,FALSE)),"")</f>
        <v>#N/A</v>
      </c>
      <c r="AI90" s="58"/>
      <c r="AJ90" s="16" t="e">
        <f ca="1">IF($A90&lt;&gt;"",
IF(VLOOKUP($A90,貼り付け用!$A$1:$BA$300,COLUMN()/2+1,FALSE)=0,"",VLOOKUP($A90,貼り付け用!$A$1:$BA$300,COLUMN()/2+1,FALSE)),"")</f>
        <v>#N/A</v>
      </c>
      <c r="AK90" s="58"/>
      <c r="AL90" s="16" t="e">
        <f ca="1">IF($A90&lt;&gt;"",
IF(VLOOKUP($A90,貼り付け用!$A$1:$BA$300,COLUMN()/2+1,FALSE)=0,"",VLOOKUP($A90,貼り付け用!$A$1:$BA$300,COLUMN()/2+1,FALSE)),"")</f>
        <v>#N/A</v>
      </c>
      <c r="AM90" s="210" t="e">
        <f ca="1">IF($A90&lt;&gt;"",
IF(VLOOKUP($A90,貼り付け用!$A$1:$BA$300,COLUMN()/2+2,FALSE)=0,"",VLOOKUP($A90,貼り付け用!$A$1:$BA$300,COLUMN()/2+2,FALSE)),"")</f>
        <v>#N/A</v>
      </c>
      <c r="AN90" s="210" t="e">
        <f ca="1">IF($A90&lt;&gt;"",
IF(VLOOKUP($A90,貼り付け用!$A$1:$BA$300,COLUMN()/2+3,FALSE)=0,"",VLOOKUP($A90,貼り付け用!$A$1:$BA$300,COLUMN()/2+3,FALSE)),"")</f>
        <v>#N/A</v>
      </c>
    </row>
    <row r="91" spans="1:40" x14ac:dyDescent="0.45">
      <c r="A91" s="8" t="e" cm="1">
        <f t="array" aca="1" ref="A91" ca="1">IF(OR(COUNTIF(A89,"*1000*"),COUNTIF(A89,"")),"",INDEX(貼り付け用!$A:$A,MATCH(A89,貼り付け用!$A:$A,0)+2,0))</f>
        <v>#N/A</v>
      </c>
      <c r="B91" s="46" t="e">
        <f ca="1">IF($A91&lt;&gt;"",
IF(VLOOKUP($A91,貼り付け用!$A$1:$BA$300,COLUMN()/2+1,FALSE)=0,"",VLOOKUP($A91,貼り付け用!$A$1:$BA$300,COLUMN()/2+1,FALSE)),"")</f>
        <v>#N/A</v>
      </c>
      <c r="C91" s="46"/>
      <c r="D91" s="46" t="e">
        <f ca="1">IF($A91&lt;&gt;"",
IF(VLOOKUP($A91,貼り付け用!$A$1:$BA$300,COLUMN()/2+1,FALSE)=0,"",VLOOKUP($A91,貼り付け用!$A$1:$BA$300,COLUMN()/2+1,FALSE)),"")</f>
        <v>#N/A</v>
      </c>
      <c r="E91" s="46"/>
      <c r="F91" s="46" t="e">
        <f ca="1">IF($A91&lt;&gt;"",
IF(VLOOKUP($A91,貼り付け用!$A$1:$BA$300,COLUMN()/2+1,FALSE)=0,"",VLOOKUP($A91,貼り付け用!$A$1:$BA$300,COLUMN()/2+1,FALSE)),"")</f>
        <v>#N/A</v>
      </c>
      <c r="G91" s="46"/>
      <c r="H91" s="46" t="e">
        <f ca="1">IF($A91&lt;&gt;"",
IF(VLOOKUP($A91,貼り付け用!$A$1:$BA$300,COLUMN()/2+1,FALSE)=0,"",VLOOKUP($A91,貼り付け用!$A$1:$BA$300,COLUMN()/2+1,FALSE)),"")</f>
        <v>#N/A</v>
      </c>
      <c r="I91" s="46"/>
      <c r="J91" s="46" t="e">
        <f ca="1">IF($A91&lt;&gt;"",
IF(VLOOKUP($A91,貼り付け用!$A$1:$BA$300,COLUMN()/2+1,FALSE)=0,"",VLOOKUP($A91,貼り付け用!$A$1:$BA$300,COLUMN()/2+1,FALSE)),"")</f>
        <v>#N/A</v>
      </c>
      <c r="K91" s="46"/>
      <c r="L91" s="46" t="e">
        <f ca="1">IF($A91&lt;&gt;"",
IF(VLOOKUP($A91,貼り付け用!$A$1:$BA$300,COLUMN()/2+1,FALSE)=0,"",VLOOKUP($A91,貼り付け用!$A$1:$BA$300,COLUMN()/2+1,FALSE)),"")</f>
        <v>#N/A</v>
      </c>
      <c r="M91" s="46"/>
      <c r="N91" s="46" t="e">
        <f ca="1">IF($A91&lt;&gt;"",
IF(VLOOKUP($A91,貼り付け用!$A$1:$BA$300,COLUMN()/2+1,FALSE)=0,"",VLOOKUP($A91,貼り付け用!$A$1:$BA$300,COLUMN()/2+1,FALSE)),"")</f>
        <v>#N/A</v>
      </c>
      <c r="O91" s="46"/>
      <c r="P91" s="46" t="e">
        <f ca="1">IF($A91&lt;&gt;"",
IF(VLOOKUP($A91,貼り付け用!$A$1:$BA$300,COLUMN()/2+1,FALSE)=0,"",VLOOKUP($A91,貼り付け用!$A$1:$BA$300,COLUMN()/2+1,FALSE)),"")</f>
        <v>#N/A</v>
      </c>
      <c r="Q91" s="46"/>
      <c r="R91" s="46" t="e">
        <f ca="1">IF($A91&lt;&gt;"",
IF(VLOOKUP($A91,貼り付け用!$A$1:$BA$300,COLUMN()/2+1,FALSE)=0,"",VLOOKUP($A91,貼り付け用!$A$1:$BA$300,COLUMN()/2+1,FALSE)),"")</f>
        <v>#N/A</v>
      </c>
      <c r="S91" s="46"/>
      <c r="T91" s="46" t="e">
        <f ca="1">IF($A91&lt;&gt;"",
IF(VLOOKUP($A91,貼り付け用!$A$1:$BA$300,COLUMN()/2+1,FALSE)=0,"",VLOOKUP($A91,貼り付け用!$A$1:$BA$300,COLUMN()/2+1,FALSE)),"")</f>
        <v>#N/A</v>
      </c>
      <c r="U91" s="46"/>
      <c r="V91" s="46" t="e">
        <f ca="1">IF($A91&lt;&gt;"",
IF(VLOOKUP($A91,貼り付け用!$A$1:$BA$300,COLUMN()/2+1,FALSE)=0,"",VLOOKUP($A91,貼り付け用!$A$1:$BA$300,COLUMN()/2+1,FALSE)),"")</f>
        <v>#N/A</v>
      </c>
      <c r="W91" s="46"/>
      <c r="X91" s="46" t="e">
        <f ca="1">IF($A91&lt;&gt;"",
IF(VLOOKUP($A91,貼り付け用!$A$1:$BA$300,COLUMN()/2+1,FALSE)=0,"",VLOOKUP($A91,貼り付け用!$A$1:$BA$300,COLUMN()/2+1,FALSE)),"")</f>
        <v>#N/A</v>
      </c>
      <c r="Y91" s="46"/>
      <c r="Z91" s="46" t="e">
        <f ca="1">IF($A91&lt;&gt;"",
IF(VLOOKUP($A91,貼り付け用!$A$1:$BA$300,COLUMN()/2+1,FALSE)=0,"",VLOOKUP($A91,貼り付け用!$A$1:$BA$300,COLUMN()/2+1,FALSE)),"")</f>
        <v>#N/A</v>
      </c>
      <c r="AA91" s="46"/>
      <c r="AB91" s="46" t="e">
        <f ca="1">IF($A91&lt;&gt;"",
IF(VLOOKUP($A91,貼り付け用!$A$1:$BA$300,COLUMN()/2+1,FALSE)=0,"",VLOOKUP($A91,貼り付け用!$A$1:$BA$300,COLUMN()/2+1,FALSE)),"")</f>
        <v>#N/A</v>
      </c>
      <c r="AC91" s="46"/>
      <c r="AD91" s="46" t="e">
        <f ca="1">IF($A91&lt;&gt;"",
IF(VLOOKUP($A91,貼り付け用!$A$1:$BA$300,COLUMN()/2+1,FALSE)=0,"",VLOOKUP($A91,貼り付け用!$A$1:$BA$300,COLUMN()/2+1,FALSE)),"")</f>
        <v>#N/A</v>
      </c>
      <c r="AE91" s="46"/>
      <c r="AF91" s="46" t="e">
        <f ca="1">IF($A91&lt;&gt;"",
IF(VLOOKUP($A91,貼り付け用!$A$1:$BA$300,COLUMN()/2+1,FALSE)=0,"",VLOOKUP($A91,貼り付け用!$A$1:$BA$300,COLUMN()/2+1,FALSE)),"")</f>
        <v>#N/A</v>
      </c>
      <c r="AG91" s="46"/>
      <c r="AH91" s="46" t="e">
        <f ca="1">IF($A91&lt;&gt;"",
IF(VLOOKUP($A91,貼り付け用!$A$1:$BA$300,COLUMN()/2+1,FALSE)=0,"",VLOOKUP($A91,貼り付け用!$A$1:$BA$300,COLUMN()/2+1,FALSE)),"")</f>
        <v>#N/A</v>
      </c>
      <c r="AI91" s="46"/>
      <c r="AJ91" s="46" t="e">
        <f ca="1">IF($A91&lt;&gt;"",
IF(VLOOKUP($A91,貼り付け用!$A$1:$BA$300,COLUMN()/2+1,FALSE)=0,"",VLOOKUP($A91,貼り付け用!$A$1:$BA$300,COLUMN()/2+1,FALSE)),"")</f>
        <v>#N/A</v>
      </c>
      <c r="AK91" s="46"/>
      <c r="AL91" s="46" t="e">
        <f ca="1">IF($A91&lt;&gt;"",
IF(VLOOKUP($A91,貼り付け用!$A$1:$BA$300,COLUMN()/2+1,FALSE)=0,"",VLOOKUP($A91,貼り付け用!$A$1:$BA$300,COLUMN()/2+1,FALSE)),"")</f>
        <v>#N/A</v>
      </c>
      <c r="AM91" s="211" t="e">
        <f ca="1">IF($A91&lt;&gt;"",
IF(VLOOKUP($A91,貼り付け用!$A$1:$BA$300,COLUMN()/2+2,FALSE)=0,"",VLOOKUP($A91,貼り付け用!$A$1:$BA$300,COLUMN()/2+2,FALSE)),"")</f>
        <v>#N/A</v>
      </c>
      <c r="AN91" s="211" t="e">
        <f ca="1">IF($A91&lt;&gt;"",
IF(VLOOKUP($A91,貼り付け用!$A$1:$BA$300,COLUMN()/2+3,FALSE)=0,"",VLOOKUP($A91,貼り付け用!$A$1:$BA$300,COLUMN()/2+3,FALSE)),"")</f>
        <v>#N/A</v>
      </c>
    </row>
    <row r="92" spans="1:40" x14ac:dyDescent="0.45">
      <c r="A92" s="5" t="e" cm="1">
        <f t="array" aca="1" ref="A92" ca="1">IF(OR(COUNTIF(A90,"*合計*"),COUNTIF(A90,"")),"",INDEX(貼り付け用!$A:$A,MATCH(A90,貼り付け用!$A:$A,0)+2,0))</f>
        <v>#N/A</v>
      </c>
      <c r="B92" s="16" t="e">
        <f ca="1">IF($A92&lt;&gt;"",
IF(VLOOKUP($A92,貼り付け用!$A$1:$BA$300,COLUMN()/2+1,FALSE)=0,"",VLOOKUP($A92,貼り付け用!$A$1:$BA$300,COLUMN()/2+1,FALSE)),"")</f>
        <v>#N/A</v>
      </c>
      <c r="C92" s="58"/>
      <c r="D92" s="16" t="e">
        <f ca="1">IF($A92&lt;&gt;"",
IF(VLOOKUP($A92,貼り付け用!$A$1:$BA$300,COLUMN()/2+1,FALSE)=0,"",VLOOKUP($A92,貼り付け用!$A$1:$BA$300,COLUMN()/2+1,FALSE)),"")</f>
        <v>#N/A</v>
      </c>
      <c r="E92" s="58"/>
      <c r="F92" s="16" t="e">
        <f ca="1">IF($A92&lt;&gt;"",
IF(VLOOKUP($A92,貼り付け用!$A$1:$BA$300,COLUMN()/2+1,FALSE)=0,"",VLOOKUP($A92,貼り付け用!$A$1:$BA$300,COLUMN()/2+1,FALSE)),"")</f>
        <v>#N/A</v>
      </c>
      <c r="G92" s="58"/>
      <c r="H92" s="16" t="e">
        <f ca="1">IF($A92&lt;&gt;"",
IF(VLOOKUP($A92,貼り付け用!$A$1:$BA$300,COLUMN()/2+1,FALSE)=0,"",VLOOKUP($A92,貼り付け用!$A$1:$BA$300,COLUMN()/2+1,FALSE)),"")</f>
        <v>#N/A</v>
      </c>
      <c r="I92" s="58"/>
      <c r="J92" s="16" t="e">
        <f ca="1">IF($A92&lt;&gt;"",
IF(VLOOKUP($A92,貼り付け用!$A$1:$BA$300,COLUMN()/2+1,FALSE)=0,"",VLOOKUP($A92,貼り付け用!$A$1:$BA$300,COLUMN()/2+1,FALSE)),"")</f>
        <v>#N/A</v>
      </c>
      <c r="K92" s="58"/>
      <c r="L92" s="16" t="e">
        <f ca="1">IF($A92&lt;&gt;"",
IF(VLOOKUP($A92,貼り付け用!$A$1:$BA$300,COLUMN()/2+1,FALSE)=0,"",VLOOKUP($A92,貼り付け用!$A$1:$BA$300,COLUMN()/2+1,FALSE)),"")</f>
        <v>#N/A</v>
      </c>
      <c r="M92" s="58"/>
      <c r="N92" s="16" t="e">
        <f ca="1">IF($A92&lt;&gt;"",
IF(VLOOKUP($A92,貼り付け用!$A$1:$BA$300,COLUMN()/2+1,FALSE)=0,"",VLOOKUP($A92,貼り付け用!$A$1:$BA$300,COLUMN()/2+1,FALSE)),"")</f>
        <v>#N/A</v>
      </c>
      <c r="O92" s="58"/>
      <c r="P92" s="16" t="e">
        <f ca="1">IF($A92&lt;&gt;"",
IF(VLOOKUP($A92,貼り付け用!$A$1:$BA$300,COLUMN()/2+1,FALSE)=0,"",VLOOKUP($A92,貼り付け用!$A$1:$BA$300,COLUMN()/2+1,FALSE)),"")</f>
        <v>#N/A</v>
      </c>
      <c r="Q92" s="58"/>
      <c r="R92" s="16" t="e">
        <f ca="1">IF($A92&lt;&gt;"",
IF(VLOOKUP($A92,貼り付け用!$A$1:$BA$300,COLUMN()/2+1,FALSE)=0,"",VLOOKUP($A92,貼り付け用!$A$1:$BA$300,COLUMN()/2+1,FALSE)),"")</f>
        <v>#N/A</v>
      </c>
      <c r="S92" s="58"/>
      <c r="T92" s="16" t="e">
        <f ca="1">IF($A92&lt;&gt;"",
IF(VLOOKUP($A92,貼り付け用!$A$1:$BA$300,COLUMN()/2+1,FALSE)=0,"",VLOOKUP($A92,貼り付け用!$A$1:$BA$300,COLUMN()/2+1,FALSE)),"")</f>
        <v>#N/A</v>
      </c>
      <c r="U92" s="58"/>
      <c r="V92" s="16" t="e">
        <f ca="1">IF($A92&lt;&gt;"",
IF(VLOOKUP($A92,貼り付け用!$A$1:$BA$300,COLUMN()/2+1,FALSE)=0,"",VLOOKUP($A92,貼り付け用!$A$1:$BA$300,COLUMN()/2+1,FALSE)),"")</f>
        <v>#N/A</v>
      </c>
      <c r="W92" s="58"/>
      <c r="X92" s="16" t="e">
        <f ca="1">IF($A92&lt;&gt;"",
IF(VLOOKUP($A92,貼り付け用!$A$1:$BA$300,COLUMN()/2+1,FALSE)=0,"",VLOOKUP($A92,貼り付け用!$A$1:$BA$300,COLUMN()/2+1,FALSE)),"")</f>
        <v>#N/A</v>
      </c>
      <c r="Y92" s="58"/>
      <c r="Z92" s="16" t="e">
        <f ca="1">IF($A92&lt;&gt;"",
IF(VLOOKUP($A92,貼り付け用!$A$1:$BA$300,COLUMN()/2+1,FALSE)=0,"",VLOOKUP($A92,貼り付け用!$A$1:$BA$300,COLUMN()/2+1,FALSE)),"")</f>
        <v>#N/A</v>
      </c>
      <c r="AA92" s="58"/>
      <c r="AB92" s="16" t="e">
        <f ca="1">IF($A92&lt;&gt;"",
IF(VLOOKUP($A92,貼り付け用!$A$1:$BA$300,COLUMN()/2+1,FALSE)=0,"",VLOOKUP($A92,貼り付け用!$A$1:$BA$300,COLUMN()/2+1,FALSE)),"")</f>
        <v>#N/A</v>
      </c>
      <c r="AC92" s="58"/>
      <c r="AD92" s="16" t="e">
        <f ca="1">IF($A92&lt;&gt;"",
IF(VLOOKUP($A92,貼り付け用!$A$1:$BA$300,COLUMN()/2+1,FALSE)=0,"",VLOOKUP($A92,貼り付け用!$A$1:$BA$300,COLUMN()/2+1,FALSE)),"")</f>
        <v>#N/A</v>
      </c>
      <c r="AE92" s="58"/>
      <c r="AF92" s="16" t="e">
        <f ca="1">IF($A92&lt;&gt;"",
IF(VLOOKUP($A92,貼り付け用!$A$1:$BA$300,COLUMN()/2+1,FALSE)=0,"",VLOOKUP($A92,貼り付け用!$A$1:$BA$300,COLUMN()/2+1,FALSE)),"")</f>
        <v>#N/A</v>
      </c>
      <c r="AG92" s="58"/>
      <c r="AH92" s="16" t="e">
        <f ca="1">IF($A92&lt;&gt;"",
IF(VLOOKUP($A92,貼り付け用!$A$1:$BA$300,COLUMN()/2+1,FALSE)=0,"",VLOOKUP($A92,貼り付け用!$A$1:$BA$300,COLUMN()/2+1,FALSE)),"")</f>
        <v>#N/A</v>
      </c>
      <c r="AI92" s="58"/>
      <c r="AJ92" s="16" t="e">
        <f ca="1">IF($A92&lt;&gt;"",
IF(VLOOKUP($A92,貼り付け用!$A$1:$BA$300,COLUMN()/2+1,FALSE)=0,"",VLOOKUP($A92,貼り付け用!$A$1:$BA$300,COLUMN()/2+1,FALSE)),"")</f>
        <v>#N/A</v>
      </c>
      <c r="AK92" s="58"/>
      <c r="AL92" s="16" t="e">
        <f ca="1">IF($A92&lt;&gt;"",
IF(VLOOKUP($A92,貼り付け用!$A$1:$BA$300,COLUMN()/2+1,FALSE)=0,"",VLOOKUP($A92,貼り付け用!$A$1:$BA$300,COLUMN()/2+1,FALSE)),"")</f>
        <v>#N/A</v>
      </c>
      <c r="AM92" s="210" t="e">
        <f ca="1">IF($A92&lt;&gt;"",
IF(VLOOKUP($A92,貼り付け用!$A$1:$BA$300,COLUMN()/2+2,FALSE)=0,"",VLOOKUP($A92,貼り付け用!$A$1:$BA$300,COLUMN()/2+2,FALSE)),"")</f>
        <v>#N/A</v>
      </c>
      <c r="AN92" s="210" t="e">
        <f ca="1">IF($A92&lt;&gt;"",
IF(VLOOKUP($A92,貼り付け用!$A$1:$BA$300,COLUMN()/2+3,FALSE)=0,"",VLOOKUP($A92,貼り付け用!$A$1:$BA$300,COLUMN()/2+3,FALSE)),"")</f>
        <v>#N/A</v>
      </c>
    </row>
    <row r="93" spans="1:40" x14ac:dyDescent="0.45">
      <c r="A93" s="8" t="e" cm="1">
        <f t="array" aca="1" ref="A93" ca="1">IF(OR(COUNTIF(A91,"*1000*"),COUNTIF(A91,"")),"",INDEX(貼り付け用!$A:$A,MATCH(A91,貼り付け用!$A:$A,0)+2,0))</f>
        <v>#N/A</v>
      </c>
      <c r="B93" s="46" t="e">
        <f ca="1">IF($A93&lt;&gt;"",
IF(VLOOKUP($A93,貼り付け用!$A$1:$BA$300,COLUMN()/2+1,FALSE)=0,"",VLOOKUP($A93,貼り付け用!$A$1:$BA$300,COLUMN()/2+1,FALSE)),"")</f>
        <v>#N/A</v>
      </c>
      <c r="C93" s="46"/>
      <c r="D93" s="46" t="e">
        <f ca="1">IF($A93&lt;&gt;"",
IF(VLOOKUP($A93,貼り付け用!$A$1:$BA$300,COLUMN()/2+1,FALSE)=0,"",VLOOKUP($A93,貼り付け用!$A$1:$BA$300,COLUMN()/2+1,FALSE)),"")</f>
        <v>#N/A</v>
      </c>
      <c r="E93" s="46"/>
      <c r="F93" s="46" t="e">
        <f ca="1">IF($A93&lt;&gt;"",
IF(VLOOKUP($A93,貼り付け用!$A$1:$BA$300,COLUMN()/2+1,FALSE)=0,"",VLOOKUP($A93,貼り付け用!$A$1:$BA$300,COLUMN()/2+1,FALSE)),"")</f>
        <v>#N/A</v>
      </c>
      <c r="G93" s="46"/>
      <c r="H93" s="46" t="e">
        <f ca="1">IF($A93&lt;&gt;"",
IF(VLOOKUP($A93,貼り付け用!$A$1:$BA$300,COLUMN()/2+1,FALSE)=0,"",VLOOKUP($A93,貼り付け用!$A$1:$BA$300,COLUMN()/2+1,FALSE)),"")</f>
        <v>#N/A</v>
      </c>
      <c r="I93" s="46"/>
      <c r="J93" s="46" t="e">
        <f ca="1">IF($A93&lt;&gt;"",
IF(VLOOKUP($A93,貼り付け用!$A$1:$BA$300,COLUMN()/2+1,FALSE)=0,"",VLOOKUP($A93,貼り付け用!$A$1:$BA$300,COLUMN()/2+1,FALSE)),"")</f>
        <v>#N/A</v>
      </c>
      <c r="K93" s="46"/>
      <c r="L93" s="46" t="e">
        <f ca="1">IF($A93&lt;&gt;"",
IF(VLOOKUP($A93,貼り付け用!$A$1:$BA$300,COLUMN()/2+1,FALSE)=0,"",VLOOKUP($A93,貼り付け用!$A$1:$BA$300,COLUMN()/2+1,FALSE)),"")</f>
        <v>#N/A</v>
      </c>
      <c r="M93" s="46"/>
      <c r="N93" s="46" t="e">
        <f ca="1">IF($A93&lt;&gt;"",
IF(VLOOKUP($A93,貼り付け用!$A$1:$BA$300,COLUMN()/2+1,FALSE)=0,"",VLOOKUP($A93,貼り付け用!$A$1:$BA$300,COLUMN()/2+1,FALSE)),"")</f>
        <v>#N/A</v>
      </c>
      <c r="O93" s="46"/>
      <c r="P93" s="46" t="e">
        <f ca="1">IF($A93&lt;&gt;"",
IF(VLOOKUP($A93,貼り付け用!$A$1:$BA$300,COLUMN()/2+1,FALSE)=0,"",VLOOKUP($A93,貼り付け用!$A$1:$BA$300,COLUMN()/2+1,FALSE)),"")</f>
        <v>#N/A</v>
      </c>
      <c r="Q93" s="46"/>
      <c r="R93" s="46" t="e">
        <f ca="1">IF($A93&lt;&gt;"",
IF(VLOOKUP($A93,貼り付け用!$A$1:$BA$300,COLUMN()/2+1,FALSE)=0,"",VLOOKUP($A93,貼り付け用!$A$1:$BA$300,COLUMN()/2+1,FALSE)),"")</f>
        <v>#N/A</v>
      </c>
      <c r="S93" s="46"/>
      <c r="T93" s="46" t="e">
        <f ca="1">IF($A93&lt;&gt;"",
IF(VLOOKUP($A93,貼り付け用!$A$1:$BA$300,COLUMN()/2+1,FALSE)=0,"",VLOOKUP($A93,貼り付け用!$A$1:$BA$300,COLUMN()/2+1,FALSE)),"")</f>
        <v>#N/A</v>
      </c>
      <c r="U93" s="46"/>
      <c r="V93" s="46" t="e">
        <f ca="1">IF($A93&lt;&gt;"",
IF(VLOOKUP($A93,貼り付け用!$A$1:$BA$300,COLUMN()/2+1,FALSE)=0,"",VLOOKUP($A93,貼り付け用!$A$1:$BA$300,COLUMN()/2+1,FALSE)),"")</f>
        <v>#N/A</v>
      </c>
      <c r="W93" s="46"/>
      <c r="X93" s="46" t="e">
        <f ca="1">IF($A93&lt;&gt;"",
IF(VLOOKUP($A93,貼り付け用!$A$1:$BA$300,COLUMN()/2+1,FALSE)=0,"",VLOOKUP($A93,貼り付け用!$A$1:$BA$300,COLUMN()/2+1,FALSE)),"")</f>
        <v>#N/A</v>
      </c>
      <c r="Y93" s="46"/>
      <c r="Z93" s="46" t="e">
        <f ca="1">IF($A93&lt;&gt;"",
IF(VLOOKUP($A93,貼り付け用!$A$1:$BA$300,COLUMN()/2+1,FALSE)=0,"",VLOOKUP($A93,貼り付け用!$A$1:$BA$300,COLUMN()/2+1,FALSE)),"")</f>
        <v>#N/A</v>
      </c>
      <c r="AA93" s="46"/>
      <c r="AB93" s="46" t="e">
        <f ca="1">IF($A93&lt;&gt;"",
IF(VLOOKUP($A93,貼り付け用!$A$1:$BA$300,COLUMN()/2+1,FALSE)=0,"",VLOOKUP($A93,貼り付け用!$A$1:$BA$300,COLUMN()/2+1,FALSE)),"")</f>
        <v>#N/A</v>
      </c>
      <c r="AC93" s="46"/>
      <c r="AD93" s="46" t="e">
        <f ca="1">IF($A93&lt;&gt;"",
IF(VLOOKUP($A93,貼り付け用!$A$1:$BA$300,COLUMN()/2+1,FALSE)=0,"",VLOOKUP($A93,貼り付け用!$A$1:$BA$300,COLUMN()/2+1,FALSE)),"")</f>
        <v>#N/A</v>
      </c>
      <c r="AE93" s="46"/>
      <c r="AF93" s="46" t="e">
        <f ca="1">IF($A93&lt;&gt;"",
IF(VLOOKUP($A93,貼り付け用!$A$1:$BA$300,COLUMN()/2+1,FALSE)=0,"",VLOOKUP($A93,貼り付け用!$A$1:$BA$300,COLUMN()/2+1,FALSE)),"")</f>
        <v>#N/A</v>
      </c>
      <c r="AG93" s="46"/>
      <c r="AH93" s="46" t="e">
        <f ca="1">IF($A93&lt;&gt;"",
IF(VLOOKUP($A93,貼り付け用!$A$1:$BA$300,COLUMN()/2+1,FALSE)=0,"",VLOOKUP($A93,貼り付け用!$A$1:$BA$300,COLUMN()/2+1,FALSE)),"")</f>
        <v>#N/A</v>
      </c>
      <c r="AI93" s="46"/>
      <c r="AJ93" s="46" t="e">
        <f ca="1">IF($A93&lt;&gt;"",
IF(VLOOKUP($A93,貼り付け用!$A$1:$BA$300,COLUMN()/2+1,FALSE)=0,"",VLOOKUP($A93,貼り付け用!$A$1:$BA$300,COLUMN()/2+1,FALSE)),"")</f>
        <v>#N/A</v>
      </c>
      <c r="AK93" s="46"/>
      <c r="AL93" s="46" t="e">
        <f ca="1">IF($A93&lt;&gt;"",
IF(VLOOKUP($A93,貼り付け用!$A$1:$BA$300,COLUMN()/2+1,FALSE)=0,"",VLOOKUP($A93,貼り付け用!$A$1:$BA$300,COLUMN()/2+1,FALSE)),"")</f>
        <v>#N/A</v>
      </c>
      <c r="AM93" s="211" t="e">
        <f ca="1">IF($A93&lt;&gt;"",
IF(VLOOKUP($A93,貼り付け用!$A$1:$BA$300,COLUMN()/2+2,FALSE)=0,"",VLOOKUP($A93,貼り付け用!$A$1:$BA$300,COLUMN()/2+2,FALSE)),"")</f>
        <v>#N/A</v>
      </c>
      <c r="AN93" s="211" t="e">
        <f ca="1">IF($A93&lt;&gt;"",
IF(VLOOKUP($A93,貼り付け用!$A$1:$BA$300,COLUMN()/2+3,FALSE)=0,"",VLOOKUP($A93,貼り付け用!$A$1:$BA$300,COLUMN()/2+3,FALSE)),"")</f>
        <v>#N/A</v>
      </c>
    </row>
    <row r="94" spans="1:40" x14ac:dyDescent="0.45">
      <c r="A94" s="5" t="e" cm="1">
        <f t="array" aca="1" ref="A94" ca="1">IF(OR(COUNTIF(A92,"*合計*"),COUNTIF(A92,"")),"",INDEX(貼り付け用!$A:$A,MATCH(A92,貼り付け用!$A:$A,0)+2,0))</f>
        <v>#N/A</v>
      </c>
      <c r="B94" s="16" t="e">
        <f ca="1">IF($A94&lt;&gt;"",
IF(VLOOKUP($A94,貼り付け用!$A$1:$BA$300,COLUMN()/2+1,FALSE)=0,"",VLOOKUP($A94,貼り付け用!$A$1:$BA$300,COLUMN()/2+1,FALSE)),"")</f>
        <v>#N/A</v>
      </c>
      <c r="C94" s="58"/>
      <c r="D94" s="16" t="e">
        <f ca="1">IF($A94&lt;&gt;"",
IF(VLOOKUP($A94,貼り付け用!$A$1:$BA$300,COLUMN()/2+1,FALSE)=0,"",VLOOKUP($A94,貼り付け用!$A$1:$BA$300,COLUMN()/2+1,FALSE)),"")</f>
        <v>#N/A</v>
      </c>
      <c r="E94" s="58"/>
      <c r="F94" s="16" t="e">
        <f ca="1">IF($A94&lt;&gt;"",
IF(VLOOKUP($A94,貼り付け用!$A$1:$BA$300,COLUMN()/2+1,FALSE)=0,"",VLOOKUP($A94,貼り付け用!$A$1:$BA$300,COLUMN()/2+1,FALSE)),"")</f>
        <v>#N/A</v>
      </c>
      <c r="G94" s="58"/>
      <c r="H94" s="16" t="e">
        <f ca="1">IF($A94&lt;&gt;"",
IF(VLOOKUP($A94,貼り付け用!$A$1:$BA$300,COLUMN()/2+1,FALSE)=0,"",VLOOKUP($A94,貼り付け用!$A$1:$BA$300,COLUMN()/2+1,FALSE)),"")</f>
        <v>#N/A</v>
      </c>
      <c r="I94" s="58"/>
      <c r="J94" s="16" t="e">
        <f ca="1">IF($A94&lt;&gt;"",
IF(VLOOKUP($A94,貼り付け用!$A$1:$BA$300,COLUMN()/2+1,FALSE)=0,"",VLOOKUP($A94,貼り付け用!$A$1:$BA$300,COLUMN()/2+1,FALSE)),"")</f>
        <v>#N/A</v>
      </c>
      <c r="K94" s="58"/>
      <c r="L94" s="16" t="e">
        <f ca="1">IF($A94&lt;&gt;"",
IF(VLOOKUP($A94,貼り付け用!$A$1:$BA$300,COLUMN()/2+1,FALSE)=0,"",VLOOKUP($A94,貼り付け用!$A$1:$BA$300,COLUMN()/2+1,FALSE)),"")</f>
        <v>#N/A</v>
      </c>
      <c r="M94" s="58"/>
      <c r="N94" s="16" t="e">
        <f ca="1">IF($A94&lt;&gt;"",
IF(VLOOKUP($A94,貼り付け用!$A$1:$BA$300,COLUMN()/2+1,FALSE)=0,"",VLOOKUP($A94,貼り付け用!$A$1:$BA$300,COLUMN()/2+1,FALSE)),"")</f>
        <v>#N/A</v>
      </c>
      <c r="O94" s="58"/>
      <c r="P94" s="16" t="e">
        <f ca="1">IF($A94&lt;&gt;"",
IF(VLOOKUP($A94,貼り付け用!$A$1:$BA$300,COLUMN()/2+1,FALSE)=0,"",VLOOKUP($A94,貼り付け用!$A$1:$BA$300,COLUMN()/2+1,FALSE)),"")</f>
        <v>#N/A</v>
      </c>
      <c r="Q94" s="58"/>
      <c r="R94" s="16" t="e">
        <f ca="1">IF($A94&lt;&gt;"",
IF(VLOOKUP($A94,貼り付け用!$A$1:$BA$300,COLUMN()/2+1,FALSE)=0,"",VLOOKUP($A94,貼り付け用!$A$1:$BA$300,COLUMN()/2+1,FALSE)),"")</f>
        <v>#N/A</v>
      </c>
      <c r="S94" s="58"/>
      <c r="T94" s="16" t="e">
        <f ca="1">IF($A94&lt;&gt;"",
IF(VLOOKUP($A94,貼り付け用!$A$1:$BA$300,COLUMN()/2+1,FALSE)=0,"",VLOOKUP($A94,貼り付け用!$A$1:$BA$300,COLUMN()/2+1,FALSE)),"")</f>
        <v>#N/A</v>
      </c>
      <c r="U94" s="58"/>
      <c r="V94" s="16" t="e">
        <f ca="1">IF($A94&lt;&gt;"",
IF(VLOOKUP($A94,貼り付け用!$A$1:$BA$300,COLUMN()/2+1,FALSE)=0,"",VLOOKUP($A94,貼り付け用!$A$1:$BA$300,COLUMN()/2+1,FALSE)),"")</f>
        <v>#N/A</v>
      </c>
      <c r="W94" s="58"/>
      <c r="X94" s="16" t="e">
        <f ca="1">IF($A94&lt;&gt;"",
IF(VLOOKUP($A94,貼り付け用!$A$1:$BA$300,COLUMN()/2+1,FALSE)=0,"",VLOOKUP($A94,貼り付け用!$A$1:$BA$300,COLUMN()/2+1,FALSE)),"")</f>
        <v>#N/A</v>
      </c>
      <c r="Y94" s="58"/>
      <c r="Z94" s="16" t="e">
        <f ca="1">IF($A94&lt;&gt;"",
IF(VLOOKUP($A94,貼り付け用!$A$1:$BA$300,COLUMN()/2+1,FALSE)=0,"",VLOOKUP($A94,貼り付け用!$A$1:$BA$300,COLUMN()/2+1,FALSE)),"")</f>
        <v>#N/A</v>
      </c>
      <c r="AA94" s="58"/>
      <c r="AB94" s="16" t="e">
        <f ca="1">IF($A94&lt;&gt;"",
IF(VLOOKUP($A94,貼り付け用!$A$1:$BA$300,COLUMN()/2+1,FALSE)=0,"",VLOOKUP($A94,貼り付け用!$A$1:$BA$300,COLUMN()/2+1,FALSE)),"")</f>
        <v>#N/A</v>
      </c>
      <c r="AC94" s="58"/>
      <c r="AD94" s="16" t="e">
        <f ca="1">IF($A94&lt;&gt;"",
IF(VLOOKUP($A94,貼り付け用!$A$1:$BA$300,COLUMN()/2+1,FALSE)=0,"",VLOOKUP($A94,貼り付け用!$A$1:$BA$300,COLUMN()/2+1,FALSE)),"")</f>
        <v>#N/A</v>
      </c>
      <c r="AE94" s="58"/>
      <c r="AF94" s="16" t="e">
        <f ca="1">IF($A94&lt;&gt;"",
IF(VLOOKUP($A94,貼り付け用!$A$1:$BA$300,COLUMN()/2+1,FALSE)=0,"",VLOOKUP($A94,貼り付け用!$A$1:$BA$300,COLUMN()/2+1,FALSE)),"")</f>
        <v>#N/A</v>
      </c>
      <c r="AG94" s="58"/>
      <c r="AH94" s="16" t="e">
        <f ca="1">IF($A94&lt;&gt;"",
IF(VLOOKUP($A94,貼り付け用!$A$1:$BA$300,COLUMN()/2+1,FALSE)=0,"",VLOOKUP($A94,貼り付け用!$A$1:$BA$300,COLUMN()/2+1,FALSE)),"")</f>
        <v>#N/A</v>
      </c>
      <c r="AI94" s="58"/>
      <c r="AJ94" s="16" t="e">
        <f ca="1">IF($A94&lt;&gt;"",
IF(VLOOKUP($A94,貼り付け用!$A$1:$BA$300,COLUMN()/2+1,FALSE)=0,"",VLOOKUP($A94,貼り付け用!$A$1:$BA$300,COLUMN()/2+1,FALSE)),"")</f>
        <v>#N/A</v>
      </c>
      <c r="AK94" s="58"/>
      <c r="AL94" s="16" t="e">
        <f ca="1">IF($A94&lt;&gt;"",
IF(VLOOKUP($A94,貼り付け用!$A$1:$BA$300,COLUMN()/2+1,FALSE)=0,"",VLOOKUP($A94,貼り付け用!$A$1:$BA$300,COLUMN()/2+1,FALSE)),"")</f>
        <v>#N/A</v>
      </c>
      <c r="AM94" s="210" t="e">
        <f ca="1">IF($A94&lt;&gt;"",
IF(VLOOKUP($A94,貼り付け用!$A$1:$BA$300,COLUMN()/2+2,FALSE)=0,"",VLOOKUP($A94,貼り付け用!$A$1:$BA$300,COLUMN()/2+2,FALSE)),"")</f>
        <v>#N/A</v>
      </c>
      <c r="AN94" s="210" t="e">
        <f ca="1">IF($A94&lt;&gt;"",
IF(VLOOKUP($A94,貼り付け用!$A$1:$BA$300,COLUMN()/2+3,FALSE)=0,"",VLOOKUP($A94,貼り付け用!$A$1:$BA$300,COLUMN()/2+3,FALSE)),"")</f>
        <v>#N/A</v>
      </c>
    </row>
    <row r="95" spans="1:40" x14ac:dyDescent="0.45">
      <c r="A95" s="8" t="e" cm="1">
        <f t="array" aca="1" ref="A95" ca="1">IF(OR(COUNTIF(A93,"*1000*"),COUNTIF(A93,"")),"",INDEX(貼り付け用!$A:$A,MATCH(A93,貼り付け用!$A:$A,0)+2,0))</f>
        <v>#N/A</v>
      </c>
      <c r="B95" s="46" t="e">
        <f ca="1">IF($A95&lt;&gt;"",
IF(VLOOKUP($A95,貼り付け用!$A$1:$BA$300,COLUMN()/2+1,FALSE)=0,"",VLOOKUP($A95,貼り付け用!$A$1:$BA$300,COLUMN()/2+1,FALSE)),"")</f>
        <v>#N/A</v>
      </c>
      <c r="C95" s="46"/>
      <c r="D95" s="46" t="e">
        <f ca="1">IF($A95&lt;&gt;"",
IF(VLOOKUP($A95,貼り付け用!$A$1:$BA$300,COLUMN()/2+1,FALSE)=0,"",VLOOKUP($A95,貼り付け用!$A$1:$BA$300,COLUMN()/2+1,FALSE)),"")</f>
        <v>#N/A</v>
      </c>
      <c r="E95" s="46"/>
      <c r="F95" s="46" t="e">
        <f ca="1">IF($A95&lt;&gt;"",
IF(VLOOKUP($A95,貼り付け用!$A$1:$BA$300,COLUMN()/2+1,FALSE)=0,"",VLOOKUP($A95,貼り付け用!$A$1:$BA$300,COLUMN()/2+1,FALSE)),"")</f>
        <v>#N/A</v>
      </c>
      <c r="G95" s="46"/>
      <c r="H95" s="46" t="e">
        <f ca="1">IF($A95&lt;&gt;"",
IF(VLOOKUP($A95,貼り付け用!$A$1:$BA$300,COLUMN()/2+1,FALSE)=0,"",VLOOKUP($A95,貼り付け用!$A$1:$BA$300,COLUMN()/2+1,FALSE)),"")</f>
        <v>#N/A</v>
      </c>
      <c r="I95" s="46"/>
      <c r="J95" s="46" t="e">
        <f ca="1">IF($A95&lt;&gt;"",
IF(VLOOKUP($A95,貼り付け用!$A$1:$BA$300,COLUMN()/2+1,FALSE)=0,"",VLOOKUP($A95,貼り付け用!$A$1:$BA$300,COLUMN()/2+1,FALSE)),"")</f>
        <v>#N/A</v>
      </c>
      <c r="K95" s="46"/>
      <c r="L95" s="46" t="e">
        <f ca="1">IF($A95&lt;&gt;"",
IF(VLOOKUP($A95,貼り付け用!$A$1:$BA$300,COLUMN()/2+1,FALSE)=0,"",VLOOKUP($A95,貼り付け用!$A$1:$BA$300,COLUMN()/2+1,FALSE)),"")</f>
        <v>#N/A</v>
      </c>
      <c r="M95" s="46"/>
      <c r="N95" s="46" t="e">
        <f ca="1">IF($A95&lt;&gt;"",
IF(VLOOKUP($A95,貼り付け用!$A$1:$BA$300,COLUMN()/2+1,FALSE)=0,"",VLOOKUP($A95,貼り付け用!$A$1:$BA$300,COLUMN()/2+1,FALSE)),"")</f>
        <v>#N/A</v>
      </c>
      <c r="O95" s="46"/>
      <c r="P95" s="46" t="e">
        <f ca="1">IF($A95&lt;&gt;"",
IF(VLOOKUP($A95,貼り付け用!$A$1:$BA$300,COLUMN()/2+1,FALSE)=0,"",VLOOKUP($A95,貼り付け用!$A$1:$BA$300,COLUMN()/2+1,FALSE)),"")</f>
        <v>#N/A</v>
      </c>
      <c r="Q95" s="46"/>
      <c r="R95" s="46" t="e">
        <f ca="1">IF($A95&lt;&gt;"",
IF(VLOOKUP($A95,貼り付け用!$A$1:$BA$300,COLUMN()/2+1,FALSE)=0,"",VLOOKUP($A95,貼り付け用!$A$1:$BA$300,COLUMN()/2+1,FALSE)),"")</f>
        <v>#N/A</v>
      </c>
      <c r="S95" s="46"/>
      <c r="T95" s="46" t="e">
        <f ca="1">IF($A95&lt;&gt;"",
IF(VLOOKUP($A95,貼り付け用!$A$1:$BA$300,COLUMN()/2+1,FALSE)=0,"",VLOOKUP($A95,貼り付け用!$A$1:$BA$300,COLUMN()/2+1,FALSE)),"")</f>
        <v>#N/A</v>
      </c>
      <c r="U95" s="46"/>
      <c r="V95" s="46" t="e">
        <f ca="1">IF($A95&lt;&gt;"",
IF(VLOOKUP($A95,貼り付け用!$A$1:$BA$300,COLUMN()/2+1,FALSE)=0,"",VLOOKUP($A95,貼り付け用!$A$1:$BA$300,COLUMN()/2+1,FALSE)),"")</f>
        <v>#N/A</v>
      </c>
      <c r="W95" s="46"/>
      <c r="X95" s="46" t="e">
        <f ca="1">IF($A95&lt;&gt;"",
IF(VLOOKUP($A95,貼り付け用!$A$1:$BA$300,COLUMN()/2+1,FALSE)=0,"",VLOOKUP($A95,貼り付け用!$A$1:$BA$300,COLUMN()/2+1,FALSE)),"")</f>
        <v>#N/A</v>
      </c>
      <c r="Y95" s="46"/>
      <c r="Z95" s="46" t="e">
        <f ca="1">IF($A95&lt;&gt;"",
IF(VLOOKUP($A95,貼り付け用!$A$1:$BA$300,COLUMN()/2+1,FALSE)=0,"",VLOOKUP($A95,貼り付け用!$A$1:$BA$300,COLUMN()/2+1,FALSE)),"")</f>
        <v>#N/A</v>
      </c>
      <c r="AA95" s="46"/>
      <c r="AB95" s="46" t="e">
        <f ca="1">IF($A95&lt;&gt;"",
IF(VLOOKUP($A95,貼り付け用!$A$1:$BA$300,COLUMN()/2+1,FALSE)=0,"",VLOOKUP($A95,貼り付け用!$A$1:$BA$300,COLUMN()/2+1,FALSE)),"")</f>
        <v>#N/A</v>
      </c>
      <c r="AC95" s="46"/>
      <c r="AD95" s="46" t="e">
        <f ca="1">IF($A95&lt;&gt;"",
IF(VLOOKUP($A95,貼り付け用!$A$1:$BA$300,COLUMN()/2+1,FALSE)=0,"",VLOOKUP($A95,貼り付け用!$A$1:$BA$300,COLUMN()/2+1,FALSE)),"")</f>
        <v>#N/A</v>
      </c>
      <c r="AE95" s="46"/>
      <c r="AF95" s="46" t="e">
        <f ca="1">IF($A95&lt;&gt;"",
IF(VLOOKUP($A95,貼り付け用!$A$1:$BA$300,COLUMN()/2+1,FALSE)=0,"",VLOOKUP($A95,貼り付け用!$A$1:$BA$300,COLUMN()/2+1,FALSE)),"")</f>
        <v>#N/A</v>
      </c>
      <c r="AG95" s="46"/>
      <c r="AH95" s="46" t="e">
        <f ca="1">IF($A95&lt;&gt;"",
IF(VLOOKUP($A95,貼り付け用!$A$1:$BA$300,COLUMN()/2+1,FALSE)=0,"",VLOOKUP($A95,貼り付け用!$A$1:$BA$300,COLUMN()/2+1,FALSE)),"")</f>
        <v>#N/A</v>
      </c>
      <c r="AI95" s="46"/>
      <c r="AJ95" s="46" t="e">
        <f ca="1">IF($A95&lt;&gt;"",
IF(VLOOKUP($A95,貼り付け用!$A$1:$BA$300,COLUMN()/2+1,FALSE)=0,"",VLOOKUP($A95,貼り付け用!$A$1:$BA$300,COLUMN()/2+1,FALSE)),"")</f>
        <v>#N/A</v>
      </c>
      <c r="AK95" s="46"/>
      <c r="AL95" s="46" t="e">
        <f ca="1">IF($A95&lt;&gt;"",
IF(VLOOKUP($A95,貼り付け用!$A$1:$BA$300,COLUMN()/2+1,FALSE)=0,"",VLOOKUP($A95,貼り付け用!$A$1:$BA$300,COLUMN()/2+1,FALSE)),"")</f>
        <v>#N/A</v>
      </c>
      <c r="AM95" s="211" t="e">
        <f ca="1">IF($A95&lt;&gt;"",
IF(VLOOKUP($A95,貼り付け用!$A$1:$BA$300,COLUMN()/2+2,FALSE)=0,"",VLOOKUP($A95,貼り付け用!$A$1:$BA$300,COLUMN()/2+2,FALSE)),"")</f>
        <v>#N/A</v>
      </c>
      <c r="AN95" s="211" t="e">
        <f ca="1">IF($A95&lt;&gt;"",
IF(VLOOKUP($A95,貼り付け用!$A$1:$BA$300,COLUMN()/2+3,FALSE)=0,"",VLOOKUP($A95,貼り付け用!$A$1:$BA$300,COLUMN()/2+3,FALSE)),"")</f>
        <v>#N/A</v>
      </c>
    </row>
    <row r="96" spans="1:40" x14ac:dyDescent="0.45">
      <c r="A96" s="5" t="e" cm="1">
        <f t="array" aca="1" ref="A96" ca="1">IF(OR(COUNTIF(A94,"*合計*"),COUNTIF(A94,"")),"",INDEX(貼り付け用!$A:$A,MATCH(A94,貼り付け用!$A:$A,0)+2,0))</f>
        <v>#N/A</v>
      </c>
      <c r="B96" s="16" t="e">
        <f ca="1">IF($A96&lt;&gt;"",
IF(VLOOKUP($A96,貼り付け用!$A$1:$BA$300,COLUMN()/2+1,FALSE)=0,"",VLOOKUP($A96,貼り付け用!$A$1:$BA$300,COLUMN()/2+1,FALSE)),"")</f>
        <v>#N/A</v>
      </c>
      <c r="C96" s="58"/>
      <c r="D96" s="16" t="e">
        <f ca="1">IF($A96&lt;&gt;"",
IF(VLOOKUP($A96,貼り付け用!$A$1:$BA$300,COLUMN()/2+1,FALSE)=0,"",VLOOKUP($A96,貼り付け用!$A$1:$BA$300,COLUMN()/2+1,FALSE)),"")</f>
        <v>#N/A</v>
      </c>
      <c r="E96" s="58"/>
      <c r="F96" s="16" t="e">
        <f ca="1">IF($A96&lt;&gt;"",
IF(VLOOKUP($A96,貼り付け用!$A$1:$BA$300,COLUMN()/2+1,FALSE)=0,"",VLOOKUP($A96,貼り付け用!$A$1:$BA$300,COLUMN()/2+1,FALSE)),"")</f>
        <v>#N/A</v>
      </c>
      <c r="G96" s="58"/>
      <c r="H96" s="16" t="e">
        <f ca="1">IF($A96&lt;&gt;"",
IF(VLOOKUP($A96,貼り付け用!$A$1:$BA$300,COLUMN()/2+1,FALSE)=0,"",VLOOKUP($A96,貼り付け用!$A$1:$BA$300,COLUMN()/2+1,FALSE)),"")</f>
        <v>#N/A</v>
      </c>
      <c r="I96" s="58"/>
      <c r="J96" s="16" t="e">
        <f ca="1">IF($A96&lt;&gt;"",
IF(VLOOKUP($A96,貼り付け用!$A$1:$BA$300,COLUMN()/2+1,FALSE)=0,"",VLOOKUP($A96,貼り付け用!$A$1:$BA$300,COLUMN()/2+1,FALSE)),"")</f>
        <v>#N/A</v>
      </c>
      <c r="K96" s="58"/>
      <c r="L96" s="16" t="e">
        <f ca="1">IF($A96&lt;&gt;"",
IF(VLOOKUP($A96,貼り付け用!$A$1:$BA$300,COLUMN()/2+1,FALSE)=0,"",VLOOKUP($A96,貼り付け用!$A$1:$BA$300,COLUMN()/2+1,FALSE)),"")</f>
        <v>#N/A</v>
      </c>
      <c r="M96" s="58"/>
      <c r="N96" s="16" t="e">
        <f ca="1">IF($A96&lt;&gt;"",
IF(VLOOKUP($A96,貼り付け用!$A$1:$BA$300,COLUMN()/2+1,FALSE)=0,"",VLOOKUP($A96,貼り付け用!$A$1:$BA$300,COLUMN()/2+1,FALSE)),"")</f>
        <v>#N/A</v>
      </c>
      <c r="O96" s="58"/>
      <c r="P96" s="16" t="e">
        <f ca="1">IF($A96&lt;&gt;"",
IF(VLOOKUP($A96,貼り付け用!$A$1:$BA$300,COLUMN()/2+1,FALSE)=0,"",VLOOKUP($A96,貼り付け用!$A$1:$BA$300,COLUMN()/2+1,FALSE)),"")</f>
        <v>#N/A</v>
      </c>
      <c r="Q96" s="58"/>
      <c r="R96" s="16" t="e">
        <f ca="1">IF($A96&lt;&gt;"",
IF(VLOOKUP($A96,貼り付け用!$A$1:$BA$300,COLUMN()/2+1,FALSE)=0,"",VLOOKUP($A96,貼り付け用!$A$1:$BA$300,COLUMN()/2+1,FALSE)),"")</f>
        <v>#N/A</v>
      </c>
      <c r="S96" s="58"/>
      <c r="T96" s="16" t="e">
        <f ca="1">IF($A96&lt;&gt;"",
IF(VLOOKUP($A96,貼り付け用!$A$1:$BA$300,COLUMN()/2+1,FALSE)=0,"",VLOOKUP($A96,貼り付け用!$A$1:$BA$300,COLUMN()/2+1,FALSE)),"")</f>
        <v>#N/A</v>
      </c>
      <c r="U96" s="58"/>
      <c r="V96" s="16" t="e">
        <f ca="1">IF($A96&lt;&gt;"",
IF(VLOOKUP($A96,貼り付け用!$A$1:$BA$300,COLUMN()/2+1,FALSE)=0,"",VLOOKUP($A96,貼り付け用!$A$1:$BA$300,COLUMN()/2+1,FALSE)),"")</f>
        <v>#N/A</v>
      </c>
      <c r="W96" s="58"/>
      <c r="X96" s="16" t="e">
        <f ca="1">IF($A96&lt;&gt;"",
IF(VLOOKUP($A96,貼り付け用!$A$1:$BA$300,COLUMN()/2+1,FALSE)=0,"",VLOOKUP($A96,貼り付け用!$A$1:$BA$300,COLUMN()/2+1,FALSE)),"")</f>
        <v>#N/A</v>
      </c>
      <c r="Y96" s="58"/>
      <c r="Z96" s="16" t="e">
        <f ca="1">IF($A96&lt;&gt;"",
IF(VLOOKUP($A96,貼り付け用!$A$1:$BA$300,COLUMN()/2+1,FALSE)=0,"",VLOOKUP($A96,貼り付け用!$A$1:$BA$300,COLUMN()/2+1,FALSE)),"")</f>
        <v>#N/A</v>
      </c>
      <c r="AA96" s="58"/>
      <c r="AB96" s="16" t="e">
        <f ca="1">IF($A96&lt;&gt;"",
IF(VLOOKUP($A96,貼り付け用!$A$1:$BA$300,COLUMN()/2+1,FALSE)=0,"",VLOOKUP($A96,貼り付け用!$A$1:$BA$300,COLUMN()/2+1,FALSE)),"")</f>
        <v>#N/A</v>
      </c>
      <c r="AC96" s="58"/>
      <c r="AD96" s="16" t="e">
        <f ca="1">IF($A96&lt;&gt;"",
IF(VLOOKUP($A96,貼り付け用!$A$1:$BA$300,COLUMN()/2+1,FALSE)=0,"",VLOOKUP($A96,貼り付け用!$A$1:$BA$300,COLUMN()/2+1,FALSE)),"")</f>
        <v>#N/A</v>
      </c>
      <c r="AE96" s="58"/>
      <c r="AF96" s="16" t="e">
        <f ca="1">IF($A96&lt;&gt;"",
IF(VLOOKUP($A96,貼り付け用!$A$1:$BA$300,COLUMN()/2+1,FALSE)=0,"",VLOOKUP($A96,貼り付け用!$A$1:$BA$300,COLUMN()/2+1,FALSE)),"")</f>
        <v>#N/A</v>
      </c>
      <c r="AG96" s="58"/>
      <c r="AH96" s="16" t="e">
        <f ca="1">IF($A96&lt;&gt;"",
IF(VLOOKUP($A96,貼り付け用!$A$1:$BA$300,COLUMN()/2+1,FALSE)=0,"",VLOOKUP($A96,貼り付け用!$A$1:$BA$300,COLUMN()/2+1,FALSE)),"")</f>
        <v>#N/A</v>
      </c>
      <c r="AI96" s="58"/>
      <c r="AJ96" s="16" t="e">
        <f ca="1">IF($A96&lt;&gt;"",
IF(VLOOKUP($A96,貼り付け用!$A$1:$BA$300,COLUMN()/2+1,FALSE)=0,"",VLOOKUP($A96,貼り付け用!$A$1:$BA$300,COLUMN()/2+1,FALSE)),"")</f>
        <v>#N/A</v>
      </c>
      <c r="AK96" s="58"/>
      <c r="AL96" s="16" t="e">
        <f ca="1">IF($A96&lt;&gt;"",
IF(VLOOKUP($A96,貼り付け用!$A$1:$BA$300,COLUMN()/2+1,FALSE)=0,"",VLOOKUP($A96,貼り付け用!$A$1:$BA$300,COLUMN()/2+1,FALSE)),"")</f>
        <v>#N/A</v>
      </c>
      <c r="AM96" s="210" t="e">
        <f ca="1">IF($A96&lt;&gt;"",
IF(VLOOKUP($A96,貼り付け用!$A$1:$BA$300,COLUMN()/2+2,FALSE)=0,"",VLOOKUP($A96,貼り付け用!$A$1:$BA$300,COLUMN()/2+2,FALSE)),"")</f>
        <v>#N/A</v>
      </c>
      <c r="AN96" s="210" t="e">
        <f ca="1">IF($A96&lt;&gt;"",
IF(VLOOKUP($A96,貼り付け用!$A$1:$BA$300,COLUMN()/2+3,FALSE)=0,"",VLOOKUP($A96,貼り付け用!$A$1:$BA$300,COLUMN()/2+3,FALSE)),"")</f>
        <v>#N/A</v>
      </c>
    </row>
    <row r="97" spans="1:40" x14ac:dyDescent="0.45">
      <c r="A97" s="8" t="e" cm="1">
        <f t="array" aca="1" ref="A97" ca="1">IF(OR(COUNTIF(A95,"*1000*"),COUNTIF(A95,"")),"",INDEX(貼り付け用!$A:$A,MATCH(A95,貼り付け用!$A:$A,0)+2,0))</f>
        <v>#N/A</v>
      </c>
      <c r="B97" s="46" t="e">
        <f ca="1">IF($A97&lt;&gt;"",
IF(VLOOKUP($A97,貼り付け用!$A$1:$BA$300,COLUMN()/2+1,FALSE)=0,"",VLOOKUP($A97,貼り付け用!$A$1:$BA$300,COLUMN()/2+1,FALSE)),"")</f>
        <v>#N/A</v>
      </c>
      <c r="C97" s="46"/>
      <c r="D97" s="46" t="e">
        <f ca="1">IF($A97&lt;&gt;"",
IF(VLOOKUP($A97,貼り付け用!$A$1:$BA$300,COLUMN()/2+1,FALSE)=0,"",VLOOKUP($A97,貼り付け用!$A$1:$BA$300,COLUMN()/2+1,FALSE)),"")</f>
        <v>#N/A</v>
      </c>
      <c r="E97" s="46"/>
      <c r="F97" s="46" t="e">
        <f ca="1">IF($A97&lt;&gt;"",
IF(VLOOKUP($A97,貼り付け用!$A$1:$BA$300,COLUMN()/2+1,FALSE)=0,"",VLOOKUP($A97,貼り付け用!$A$1:$BA$300,COLUMN()/2+1,FALSE)),"")</f>
        <v>#N/A</v>
      </c>
      <c r="G97" s="46"/>
      <c r="H97" s="46" t="e">
        <f ca="1">IF($A97&lt;&gt;"",
IF(VLOOKUP($A97,貼り付け用!$A$1:$BA$300,COLUMN()/2+1,FALSE)=0,"",VLOOKUP($A97,貼り付け用!$A$1:$BA$300,COLUMN()/2+1,FALSE)),"")</f>
        <v>#N/A</v>
      </c>
      <c r="I97" s="46"/>
      <c r="J97" s="46" t="e">
        <f ca="1">IF($A97&lt;&gt;"",
IF(VLOOKUP($A97,貼り付け用!$A$1:$BA$300,COLUMN()/2+1,FALSE)=0,"",VLOOKUP($A97,貼り付け用!$A$1:$BA$300,COLUMN()/2+1,FALSE)),"")</f>
        <v>#N/A</v>
      </c>
      <c r="K97" s="46"/>
      <c r="L97" s="46" t="e">
        <f ca="1">IF($A97&lt;&gt;"",
IF(VLOOKUP($A97,貼り付け用!$A$1:$BA$300,COLUMN()/2+1,FALSE)=0,"",VLOOKUP($A97,貼り付け用!$A$1:$BA$300,COLUMN()/2+1,FALSE)),"")</f>
        <v>#N/A</v>
      </c>
      <c r="M97" s="46"/>
      <c r="N97" s="46" t="e">
        <f ca="1">IF($A97&lt;&gt;"",
IF(VLOOKUP($A97,貼り付け用!$A$1:$BA$300,COLUMN()/2+1,FALSE)=0,"",VLOOKUP($A97,貼り付け用!$A$1:$BA$300,COLUMN()/2+1,FALSE)),"")</f>
        <v>#N/A</v>
      </c>
      <c r="O97" s="46"/>
      <c r="P97" s="46" t="e">
        <f ca="1">IF($A97&lt;&gt;"",
IF(VLOOKUP($A97,貼り付け用!$A$1:$BA$300,COLUMN()/2+1,FALSE)=0,"",VLOOKUP($A97,貼り付け用!$A$1:$BA$300,COLUMN()/2+1,FALSE)),"")</f>
        <v>#N/A</v>
      </c>
      <c r="Q97" s="46"/>
      <c r="R97" s="46" t="e">
        <f ca="1">IF($A97&lt;&gt;"",
IF(VLOOKUP($A97,貼り付け用!$A$1:$BA$300,COLUMN()/2+1,FALSE)=0,"",VLOOKUP($A97,貼り付け用!$A$1:$BA$300,COLUMN()/2+1,FALSE)),"")</f>
        <v>#N/A</v>
      </c>
      <c r="S97" s="46"/>
      <c r="T97" s="46" t="e">
        <f ca="1">IF($A97&lt;&gt;"",
IF(VLOOKUP($A97,貼り付け用!$A$1:$BA$300,COLUMN()/2+1,FALSE)=0,"",VLOOKUP($A97,貼り付け用!$A$1:$BA$300,COLUMN()/2+1,FALSE)),"")</f>
        <v>#N/A</v>
      </c>
      <c r="U97" s="46"/>
      <c r="V97" s="46" t="e">
        <f ca="1">IF($A97&lt;&gt;"",
IF(VLOOKUP($A97,貼り付け用!$A$1:$BA$300,COLUMN()/2+1,FALSE)=0,"",VLOOKUP($A97,貼り付け用!$A$1:$BA$300,COLUMN()/2+1,FALSE)),"")</f>
        <v>#N/A</v>
      </c>
      <c r="W97" s="46"/>
      <c r="X97" s="46" t="e">
        <f ca="1">IF($A97&lt;&gt;"",
IF(VLOOKUP($A97,貼り付け用!$A$1:$BA$300,COLUMN()/2+1,FALSE)=0,"",VLOOKUP($A97,貼り付け用!$A$1:$BA$300,COLUMN()/2+1,FALSE)),"")</f>
        <v>#N/A</v>
      </c>
      <c r="Y97" s="46"/>
      <c r="Z97" s="46" t="e">
        <f ca="1">IF($A97&lt;&gt;"",
IF(VLOOKUP($A97,貼り付け用!$A$1:$BA$300,COLUMN()/2+1,FALSE)=0,"",VLOOKUP($A97,貼り付け用!$A$1:$BA$300,COLUMN()/2+1,FALSE)),"")</f>
        <v>#N/A</v>
      </c>
      <c r="AA97" s="46"/>
      <c r="AB97" s="46" t="e">
        <f ca="1">IF($A97&lt;&gt;"",
IF(VLOOKUP($A97,貼り付け用!$A$1:$BA$300,COLUMN()/2+1,FALSE)=0,"",VLOOKUP($A97,貼り付け用!$A$1:$BA$300,COLUMN()/2+1,FALSE)),"")</f>
        <v>#N/A</v>
      </c>
      <c r="AC97" s="46"/>
      <c r="AD97" s="46" t="e">
        <f ca="1">IF($A97&lt;&gt;"",
IF(VLOOKUP($A97,貼り付け用!$A$1:$BA$300,COLUMN()/2+1,FALSE)=0,"",VLOOKUP($A97,貼り付け用!$A$1:$BA$300,COLUMN()/2+1,FALSE)),"")</f>
        <v>#N/A</v>
      </c>
      <c r="AE97" s="46"/>
      <c r="AF97" s="46" t="e">
        <f ca="1">IF($A97&lt;&gt;"",
IF(VLOOKUP($A97,貼り付け用!$A$1:$BA$300,COLUMN()/2+1,FALSE)=0,"",VLOOKUP($A97,貼り付け用!$A$1:$BA$300,COLUMN()/2+1,FALSE)),"")</f>
        <v>#N/A</v>
      </c>
      <c r="AG97" s="46"/>
      <c r="AH97" s="46" t="e">
        <f ca="1">IF($A97&lt;&gt;"",
IF(VLOOKUP($A97,貼り付け用!$A$1:$BA$300,COLUMN()/2+1,FALSE)=0,"",VLOOKUP($A97,貼り付け用!$A$1:$BA$300,COLUMN()/2+1,FALSE)),"")</f>
        <v>#N/A</v>
      </c>
      <c r="AI97" s="46"/>
      <c r="AJ97" s="46" t="e">
        <f ca="1">IF($A97&lt;&gt;"",
IF(VLOOKUP($A97,貼り付け用!$A$1:$BA$300,COLUMN()/2+1,FALSE)=0,"",VLOOKUP($A97,貼り付け用!$A$1:$BA$300,COLUMN()/2+1,FALSE)),"")</f>
        <v>#N/A</v>
      </c>
      <c r="AK97" s="46"/>
      <c r="AL97" s="46" t="e">
        <f ca="1">IF($A97&lt;&gt;"",
IF(VLOOKUP($A97,貼り付け用!$A$1:$BA$300,COLUMN()/2+1,FALSE)=0,"",VLOOKUP($A97,貼り付け用!$A$1:$BA$300,COLUMN()/2+1,FALSE)),"")</f>
        <v>#N/A</v>
      </c>
      <c r="AM97" s="211" t="e">
        <f ca="1">IF($A97&lt;&gt;"",
IF(VLOOKUP($A97,貼り付け用!$A$1:$BA$300,COLUMN()/2+2,FALSE)=0,"",VLOOKUP($A97,貼り付け用!$A$1:$BA$300,COLUMN()/2+2,FALSE)),"")</f>
        <v>#N/A</v>
      </c>
      <c r="AN97" s="211" t="e">
        <f ca="1">IF($A97&lt;&gt;"",
IF(VLOOKUP($A97,貼り付け用!$A$1:$BA$300,COLUMN()/2+3,FALSE)=0,"",VLOOKUP($A97,貼り付け用!$A$1:$BA$300,COLUMN()/2+3,FALSE)),"")</f>
        <v>#N/A</v>
      </c>
    </row>
    <row r="98" spans="1:40" x14ac:dyDescent="0.45">
      <c r="A98" s="5" t="e" cm="1">
        <f t="array" aca="1" ref="A98" ca="1">IF(OR(COUNTIF(A96,"*合計*"),COUNTIF(A96,"")),"",INDEX(貼り付け用!$A:$A,MATCH(A96,貼り付け用!$A:$A,0)+2,0))</f>
        <v>#N/A</v>
      </c>
      <c r="B98" s="16" t="e">
        <f ca="1">IF($A98&lt;&gt;"",
IF(VLOOKUP($A98,貼り付け用!$A$1:$BA$300,COLUMN()/2+1,FALSE)=0,"",VLOOKUP($A98,貼り付け用!$A$1:$BA$300,COLUMN()/2+1,FALSE)),"")</f>
        <v>#N/A</v>
      </c>
      <c r="C98" s="58"/>
      <c r="D98" s="16" t="e">
        <f ca="1">IF($A98&lt;&gt;"",
IF(VLOOKUP($A98,貼り付け用!$A$1:$BA$300,COLUMN()/2+1,FALSE)=0,"",VLOOKUP($A98,貼り付け用!$A$1:$BA$300,COLUMN()/2+1,FALSE)),"")</f>
        <v>#N/A</v>
      </c>
      <c r="E98" s="58"/>
      <c r="F98" s="16" t="e">
        <f ca="1">IF($A98&lt;&gt;"",
IF(VLOOKUP($A98,貼り付け用!$A$1:$BA$300,COLUMN()/2+1,FALSE)=0,"",VLOOKUP($A98,貼り付け用!$A$1:$BA$300,COLUMN()/2+1,FALSE)),"")</f>
        <v>#N/A</v>
      </c>
      <c r="G98" s="58"/>
      <c r="H98" s="16" t="e">
        <f ca="1">IF($A98&lt;&gt;"",
IF(VLOOKUP($A98,貼り付け用!$A$1:$BA$300,COLUMN()/2+1,FALSE)=0,"",VLOOKUP($A98,貼り付け用!$A$1:$BA$300,COLUMN()/2+1,FALSE)),"")</f>
        <v>#N/A</v>
      </c>
      <c r="I98" s="58"/>
      <c r="J98" s="16" t="e">
        <f ca="1">IF($A98&lt;&gt;"",
IF(VLOOKUP($A98,貼り付け用!$A$1:$BA$300,COLUMN()/2+1,FALSE)=0,"",VLOOKUP($A98,貼り付け用!$A$1:$BA$300,COLUMN()/2+1,FALSE)),"")</f>
        <v>#N/A</v>
      </c>
      <c r="K98" s="58"/>
      <c r="L98" s="16" t="e">
        <f ca="1">IF($A98&lt;&gt;"",
IF(VLOOKUP($A98,貼り付け用!$A$1:$BA$300,COLUMN()/2+1,FALSE)=0,"",VLOOKUP($A98,貼り付け用!$A$1:$BA$300,COLUMN()/2+1,FALSE)),"")</f>
        <v>#N/A</v>
      </c>
      <c r="M98" s="58"/>
      <c r="N98" s="16" t="e">
        <f ca="1">IF($A98&lt;&gt;"",
IF(VLOOKUP($A98,貼り付け用!$A$1:$BA$300,COLUMN()/2+1,FALSE)=0,"",VLOOKUP($A98,貼り付け用!$A$1:$BA$300,COLUMN()/2+1,FALSE)),"")</f>
        <v>#N/A</v>
      </c>
      <c r="O98" s="58"/>
      <c r="P98" s="16" t="e">
        <f ca="1">IF($A98&lt;&gt;"",
IF(VLOOKUP($A98,貼り付け用!$A$1:$BA$300,COLUMN()/2+1,FALSE)=0,"",VLOOKUP($A98,貼り付け用!$A$1:$BA$300,COLUMN()/2+1,FALSE)),"")</f>
        <v>#N/A</v>
      </c>
      <c r="Q98" s="58"/>
      <c r="R98" s="16" t="e">
        <f ca="1">IF($A98&lt;&gt;"",
IF(VLOOKUP($A98,貼り付け用!$A$1:$BA$300,COLUMN()/2+1,FALSE)=0,"",VLOOKUP($A98,貼り付け用!$A$1:$BA$300,COLUMN()/2+1,FALSE)),"")</f>
        <v>#N/A</v>
      </c>
      <c r="S98" s="58"/>
      <c r="T98" s="16" t="e">
        <f ca="1">IF($A98&lt;&gt;"",
IF(VLOOKUP($A98,貼り付け用!$A$1:$BA$300,COLUMN()/2+1,FALSE)=0,"",VLOOKUP($A98,貼り付け用!$A$1:$BA$300,COLUMN()/2+1,FALSE)),"")</f>
        <v>#N/A</v>
      </c>
      <c r="U98" s="58"/>
      <c r="V98" s="16" t="e">
        <f ca="1">IF($A98&lt;&gt;"",
IF(VLOOKUP($A98,貼り付け用!$A$1:$BA$300,COLUMN()/2+1,FALSE)=0,"",VLOOKUP($A98,貼り付け用!$A$1:$BA$300,COLUMN()/2+1,FALSE)),"")</f>
        <v>#N/A</v>
      </c>
      <c r="W98" s="58"/>
      <c r="X98" s="16" t="e">
        <f ca="1">IF($A98&lt;&gt;"",
IF(VLOOKUP($A98,貼り付け用!$A$1:$BA$300,COLUMN()/2+1,FALSE)=0,"",VLOOKUP($A98,貼り付け用!$A$1:$BA$300,COLUMN()/2+1,FALSE)),"")</f>
        <v>#N/A</v>
      </c>
      <c r="Y98" s="58"/>
      <c r="Z98" s="16" t="e">
        <f ca="1">IF($A98&lt;&gt;"",
IF(VLOOKUP($A98,貼り付け用!$A$1:$BA$300,COLUMN()/2+1,FALSE)=0,"",VLOOKUP($A98,貼り付け用!$A$1:$BA$300,COLUMN()/2+1,FALSE)),"")</f>
        <v>#N/A</v>
      </c>
      <c r="AA98" s="58"/>
      <c r="AB98" s="16" t="e">
        <f ca="1">IF($A98&lt;&gt;"",
IF(VLOOKUP($A98,貼り付け用!$A$1:$BA$300,COLUMN()/2+1,FALSE)=0,"",VLOOKUP($A98,貼り付け用!$A$1:$BA$300,COLUMN()/2+1,FALSE)),"")</f>
        <v>#N/A</v>
      </c>
      <c r="AC98" s="58"/>
      <c r="AD98" s="16" t="e">
        <f ca="1">IF($A98&lt;&gt;"",
IF(VLOOKUP($A98,貼り付け用!$A$1:$BA$300,COLUMN()/2+1,FALSE)=0,"",VLOOKUP($A98,貼り付け用!$A$1:$BA$300,COLUMN()/2+1,FALSE)),"")</f>
        <v>#N/A</v>
      </c>
      <c r="AE98" s="58"/>
      <c r="AF98" s="16" t="e">
        <f ca="1">IF($A98&lt;&gt;"",
IF(VLOOKUP($A98,貼り付け用!$A$1:$BA$300,COLUMN()/2+1,FALSE)=0,"",VLOOKUP($A98,貼り付け用!$A$1:$BA$300,COLUMN()/2+1,FALSE)),"")</f>
        <v>#N/A</v>
      </c>
      <c r="AG98" s="58"/>
      <c r="AH98" s="16" t="e">
        <f ca="1">IF($A98&lt;&gt;"",
IF(VLOOKUP($A98,貼り付け用!$A$1:$BA$300,COLUMN()/2+1,FALSE)=0,"",VLOOKUP($A98,貼り付け用!$A$1:$BA$300,COLUMN()/2+1,FALSE)),"")</f>
        <v>#N/A</v>
      </c>
      <c r="AI98" s="58"/>
      <c r="AJ98" s="16" t="e">
        <f ca="1">IF($A98&lt;&gt;"",
IF(VLOOKUP($A98,貼り付け用!$A$1:$BA$300,COLUMN()/2+1,FALSE)=0,"",VLOOKUP($A98,貼り付け用!$A$1:$BA$300,COLUMN()/2+1,FALSE)),"")</f>
        <v>#N/A</v>
      </c>
      <c r="AK98" s="58"/>
      <c r="AL98" s="16" t="e">
        <f ca="1">IF($A98&lt;&gt;"",
IF(VLOOKUP($A98,貼り付け用!$A$1:$BA$300,COLUMN()/2+1,FALSE)=0,"",VLOOKUP($A98,貼り付け用!$A$1:$BA$300,COLUMN()/2+1,FALSE)),"")</f>
        <v>#N/A</v>
      </c>
      <c r="AM98" s="210" t="e">
        <f ca="1">IF($A98&lt;&gt;"",
IF(VLOOKUP($A98,貼り付け用!$A$1:$BA$300,COLUMN()/2+2,FALSE)=0,"",VLOOKUP($A98,貼り付け用!$A$1:$BA$300,COLUMN()/2+2,FALSE)),"")</f>
        <v>#N/A</v>
      </c>
      <c r="AN98" s="210" t="e">
        <f ca="1">IF($A98&lt;&gt;"",
IF(VLOOKUP($A98,貼り付け用!$A$1:$BA$300,COLUMN()/2+3,FALSE)=0,"",VLOOKUP($A98,貼り付け用!$A$1:$BA$300,COLUMN()/2+3,FALSE)),"")</f>
        <v>#N/A</v>
      </c>
    </row>
    <row r="99" spans="1:40" x14ac:dyDescent="0.45">
      <c r="A99" s="8" t="e" cm="1">
        <f t="array" aca="1" ref="A99" ca="1">IF(OR(COUNTIF(A97,"*1000*"),COUNTIF(A97,"")),"",INDEX(貼り付け用!$A:$A,MATCH(A97,貼り付け用!$A:$A,0)+2,0))</f>
        <v>#N/A</v>
      </c>
      <c r="B99" s="46" t="e">
        <f ca="1">IF($A99&lt;&gt;"",
IF(VLOOKUP($A99,貼り付け用!$A$1:$BA$300,COLUMN()/2+1,FALSE)=0,"",VLOOKUP($A99,貼り付け用!$A$1:$BA$300,COLUMN()/2+1,FALSE)),"")</f>
        <v>#N/A</v>
      </c>
      <c r="C99" s="46"/>
      <c r="D99" s="46" t="e">
        <f ca="1">IF($A99&lt;&gt;"",
IF(VLOOKUP($A99,貼り付け用!$A$1:$BA$300,COLUMN()/2+1,FALSE)=0,"",VLOOKUP($A99,貼り付け用!$A$1:$BA$300,COLUMN()/2+1,FALSE)),"")</f>
        <v>#N/A</v>
      </c>
      <c r="E99" s="46"/>
      <c r="F99" s="46" t="e">
        <f ca="1">IF($A99&lt;&gt;"",
IF(VLOOKUP($A99,貼り付け用!$A$1:$BA$300,COLUMN()/2+1,FALSE)=0,"",VLOOKUP($A99,貼り付け用!$A$1:$BA$300,COLUMN()/2+1,FALSE)),"")</f>
        <v>#N/A</v>
      </c>
      <c r="G99" s="46"/>
      <c r="H99" s="46" t="e">
        <f ca="1">IF($A99&lt;&gt;"",
IF(VLOOKUP($A99,貼り付け用!$A$1:$BA$300,COLUMN()/2+1,FALSE)=0,"",VLOOKUP($A99,貼り付け用!$A$1:$BA$300,COLUMN()/2+1,FALSE)),"")</f>
        <v>#N/A</v>
      </c>
      <c r="I99" s="46"/>
      <c r="J99" s="46" t="e">
        <f ca="1">IF($A99&lt;&gt;"",
IF(VLOOKUP($A99,貼り付け用!$A$1:$BA$300,COLUMN()/2+1,FALSE)=0,"",VLOOKUP($A99,貼り付け用!$A$1:$BA$300,COLUMN()/2+1,FALSE)),"")</f>
        <v>#N/A</v>
      </c>
      <c r="K99" s="46"/>
      <c r="L99" s="46" t="e">
        <f ca="1">IF($A99&lt;&gt;"",
IF(VLOOKUP($A99,貼り付け用!$A$1:$BA$300,COLUMN()/2+1,FALSE)=0,"",VLOOKUP($A99,貼り付け用!$A$1:$BA$300,COLUMN()/2+1,FALSE)),"")</f>
        <v>#N/A</v>
      </c>
      <c r="M99" s="46"/>
      <c r="N99" s="46" t="e">
        <f ca="1">IF($A99&lt;&gt;"",
IF(VLOOKUP($A99,貼り付け用!$A$1:$BA$300,COLUMN()/2+1,FALSE)=0,"",VLOOKUP($A99,貼り付け用!$A$1:$BA$300,COLUMN()/2+1,FALSE)),"")</f>
        <v>#N/A</v>
      </c>
      <c r="O99" s="46"/>
      <c r="P99" s="46" t="e">
        <f ca="1">IF($A99&lt;&gt;"",
IF(VLOOKUP($A99,貼り付け用!$A$1:$BA$300,COLUMN()/2+1,FALSE)=0,"",VLOOKUP($A99,貼り付け用!$A$1:$BA$300,COLUMN()/2+1,FALSE)),"")</f>
        <v>#N/A</v>
      </c>
      <c r="Q99" s="46"/>
      <c r="R99" s="46" t="e">
        <f ca="1">IF($A99&lt;&gt;"",
IF(VLOOKUP($A99,貼り付け用!$A$1:$BA$300,COLUMN()/2+1,FALSE)=0,"",VLOOKUP($A99,貼り付け用!$A$1:$BA$300,COLUMN()/2+1,FALSE)),"")</f>
        <v>#N/A</v>
      </c>
      <c r="S99" s="46"/>
      <c r="T99" s="46" t="e">
        <f ca="1">IF($A99&lt;&gt;"",
IF(VLOOKUP($A99,貼り付け用!$A$1:$BA$300,COLUMN()/2+1,FALSE)=0,"",VLOOKUP($A99,貼り付け用!$A$1:$BA$300,COLUMN()/2+1,FALSE)),"")</f>
        <v>#N/A</v>
      </c>
      <c r="U99" s="46"/>
      <c r="V99" s="46" t="e">
        <f ca="1">IF($A99&lt;&gt;"",
IF(VLOOKUP($A99,貼り付け用!$A$1:$BA$300,COLUMN()/2+1,FALSE)=0,"",VLOOKUP($A99,貼り付け用!$A$1:$BA$300,COLUMN()/2+1,FALSE)),"")</f>
        <v>#N/A</v>
      </c>
      <c r="W99" s="46"/>
      <c r="X99" s="46" t="e">
        <f ca="1">IF($A99&lt;&gt;"",
IF(VLOOKUP($A99,貼り付け用!$A$1:$BA$300,COLUMN()/2+1,FALSE)=0,"",VLOOKUP($A99,貼り付け用!$A$1:$BA$300,COLUMN()/2+1,FALSE)),"")</f>
        <v>#N/A</v>
      </c>
      <c r="Y99" s="46"/>
      <c r="Z99" s="46" t="e">
        <f ca="1">IF($A99&lt;&gt;"",
IF(VLOOKUP($A99,貼り付け用!$A$1:$BA$300,COLUMN()/2+1,FALSE)=0,"",VLOOKUP($A99,貼り付け用!$A$1:$BA$300,COLUMN()/2+1,FALSE)),"")</f>
        <v>#N/A</v>
      </c>
      <c r="AA99" s="46"/>
      <c r="AB99" s="46" t="e">
        <f ca="1">IF($A99&lt;&gt;"",
IF(VLOOKUP($A99,貼り付け用!$A$1:$BA$300,COLUMN()/2+1,FALSE)=0,"",VLOOKUP($A99,貼り付け用!$A$1:$BA$300,COLUMN()/2+1,FALSE)),"")</f>
        <v>#N/A</v>
      </c>
      <c r="AC99" s="46"/>
      <c r="AD99" s="46" t="e">
        <f ca="1">IF($A99&lt;&gt;"",
IF(VLOOKUP($A99,貼り付け用!$A$1:$BA$300,COLUMN()/2+1,FALSE)=0,"",VLOOKUP($A99,貼り付け用!$A$1:$BA$300,COLUMN()/2+1,FALSE)),"")</f>
        <v>#N/A</v>
      </c>
      <c r="AE99" s="46"/>
      <c r="AF99" s="46" t="e">
        <f ca="1">IF($A99&lt;&gt;"",
IF(VLOOKUP($A99,貼り付け用!$A$1:$BA$300,COLUMN()/2+1,FALSE)=0,"",VLOOKUP($A99,貼り付け用!$A$1:$BA$300,COLUMN()/2+1,FALSE)),"")</f>
        <v>#N/A</v>
      </c>
      <c r="AG99" s="46"/>
      <c r="AH99" s="46" t="e">
        <f ca="1">IF($A99&lt;&gt;"",
IF(VLOOKUP($A99,貼り付け用!$A$1:$BA$300,COLUMN()/2+1,FALSE)=0,"",VLOOKUP($A99,貼り付け用!$A$1:$BA$300,COLUMN()/2+1,FALSE)),"")</f>
        <v>#N/A</v>
      </c>
      <c r="AI99" s="46"/>
      <c r="AJ99" s="46" t="e">
        <f ca="1">IF($A99&lt;&gt;"",
IF(VLOOKUP($A99,貼り付け用!$A$1:$BA$300,COLUMN()/2+1,FALSE)=0,"",VLOOKUP($A99,貼り付け用!$A$1:$BA$300,COLUMN()/2+1,FALSE)),"")</f>
        <v>#N/A</v>
      </c>
      <c r="AK99" s="46"/>
      <c r="AL99" s="46" t="e">
        <f ca="1">IF($A99&lt;&gt;"",
IF(VLOOKUP($A99,貼り付け用!$A$1:$BA$300,COLUMN()/2+1,FALSE)=0,"",VLOOKUP($A99,貼り付け用!$A$1:$BA$300,COLUMN()/2+1,FALSE)),"")</f>
        <v>#N/A</v>
      </c>
      <c r="AM99" s="211" t="e">
        <f ca="1">IF($A99&lt;&gt;"",
IF(VLOOKUP($A99,貼り付け用!$A$1:$BA$300,COLUMN()/2+2,FALSE)=0,"",VLOOKUP($A99,貼り付け用!$A$1:$BA$300,COLUMN()/2+2,FALSE)),"")</f>
        <v>#N/A</v>
      </c>
      <c r="AN99" s="211" t="e">
        <f ca="1">IF($A99&lt;&gt;"",
IF(VLOOKUP($A99,貼り付け用!$A$1:$BA$300,COLUMN()/2+3,FALSE)=0,"",VLOOKUP($A99,貼り付け用!$A$1:$BA$300,COLUMN()/2+3,FALSE)),"")</f>
        <v>#N/A</v>
      </c>
    </row>
    <row r="100" spans="1:40" x14ac:dyDescent="0.45">
      <c r="A100" s="5" t="e" cm="1">
        <f t="array" aca="1" ref="A100" ca="1">IF(OR(COUNTIF(A98,"*合計*"),COUNTIF(A98,"")),"",INDEX(貼り付け用!$A:$A,MATCH(A98,貼り付け用!$A:$A,0)+2,0))</f>
        <v>#N/A</v>
      </c>
      <c r="B100" s="16" t="e">
        <f ca="1">IF($A100&lt;&gt;"",
IF(VLOOKUP($A100,貼り付け用!$A$1:$BA$300,COLUMN()/2+1,FALSE)=0,"",VLOOKUP($A100,貼り付け用!$A$1:$BA$300,COLUMN()/2+1,FALSE)),"")</f>
        <v>#N/A</v>
      </c>
      <c r="C100" s="58"/>
      <c r="D100" s="16" t="e">
        <f ca="1">IF($A100&lt;&gt;"",
IF(VLOOKUP($A100,貼り付け用!$A$1:$BA$300,COLUMN()/2+1,FALSE)=0,"",VLOOKUP($A100,貼り付け用!$A$1:$BA$300,COLUMN()/2+1,FALSE)),"")</f>
        <v>#N/A</v>
      </c>
      <c r="E100" s="58"/>
      <c r="F100" s="16" t="e">
        <f ca="1">IF($A100&lt;&gt;"",
IF(VLOOKUP($A100,貼り付け用!$A$1:$BA$300,COLUMN()/2+1,FALSE)=0,"",VLOOKUP($A100,貼り付け用!$A$1:$BA$300,COLUMN()/2+1,FALSE)),"")</f>
        <v>#N/A</v>
      </c>
      <c r="G100" s="58"/>
      <c r="H100" s="16" t="e">
        <f ca="1">IF($A100&lt;&gt;"",
IF(VLOOKUP($A100,貼り付け用!$A$1:$BA$300,COLUMN()/2+1,FALSE)=0,"",VLOOKUP($A100,貼り付け用!$A$1:$BA$300,COLUMN()/2+1,FALSE)),"")</f>
        <v>#N/A</v>
      </c>
      <c r="I100" s="58"/>
      <c r="J100" s="16" t="e">
        <f ca="1">IF($A100&lt;&gt;"",
IF(VLOOKUP($A100,貼り付け用!$A$1:$BA$300,COLUMN()/2+1,FALSE)=0,"",VLOOKUP($A100,貼り付け用!$A$1:$BA$300,COLUMN()/2+1,FALSE)),"")</f>
        <v>#N/A</v>
      </c>
      <c r="K100" s="58"/>
      <c r="L100" s="16" t="e">
        <f ca="1">IF($A100&lt;&gt;"",
IF(VLOOKUP($A100,貼り付け用!$A$1:$BA$300,COLUMN()/2+1,FALSE)=0,"",VLOOKUP($A100,貼り付け用!$A$1:$BA$300,COLUMN()/2+1,FALSE)),"")</f>
        <v>#N/A</v>
      </c>
      <c r="M100" s="58"/>
      <c r="N100" s="16" t="e">
        <f ca="1">IF($A100&lt;&gt;"",
IF(VLOOKUP($A100,貼り付け用!$A$1:$BA$300,COLUMN()/2+1,FALSE)=0,"",VLOOKUP($A100,貼り付け用!$A$1:$BA$300,COLUMN()/2+1,FALSE)),"")</f>
        <v>#N/A</v>
      </c>
      <c r="O100" s="58"/>
      <c r="P100" s="16" t="e">
        <f ca="1">IF($A100&lt;&gt;"",
IF(VLOOKUP($A100,貼り付け用!$A$1:$BA$300,COLUMN()/2+1,FALSE)=0,"",VLOOKUP($A100,貼り付け用!$A$1:$BA$300,COLUMN()/2+1,FALSE)),"")</f>
        <v>#N/A</v>
      </c>
      <c r="Q100" s="58"/>
      <c r="R100" s="16" t="e">
        <f ca="1">IF($A100&lt;&gt;"",
IF(VLOOKUP($A100,貼り付け用!$A$1:$BA$300,COLUMN()/2+1,FALSE)=0,"",VLOOKUP($A100,貼り付け用!$A$1:$BA$300,COLUMN()/2+1,FALSE)),"")</f>
        <v>#N/A</v>
      </c>
      <c r="S100" s="58"/>
      <c r="T100" s="16" t="e">
        <f ca="1">IF($A100&lt;&gt;"",
IF(VLOOKUP($A100,貼り付け用!$A$1:$BA$300,COLUMN()/2+1,FALSE)=0,"",VLOOKUP($A100,貼り付け用!$A$1:$BA$300,COLUMN()/2+1,FALSE)),"")</f>
        <v>#N/A</v>
      </c>
      <c r="U100" s="58"/>
      <c r="V100" s="16" t="e">
        <f ca="1">IF($A100&lt;&gt;"",
IF(VLOOKUP($A100,貼り付け用!$A$1:$BA$300,COLUMN()/2+1,FALSE)=0,"",VLOOKUP($A100,貼り付け用!$A$1:$BA$300,COLUMN()/2+1,FALSE)),"")</f>
        <v>#N/A</v>
      </c>
      <c r="W100" s="58"/>
      <c r="X100" s="16" t="e">
        <f ca="1">IF($A100&lt;&gt;"",
IF(VLOOKUP($A100,貼り付け用!$A$1:$BA$300,COLUMN()/2+1,FALSE)=0,"",VLOOKUP($A100,貼り付け用!$A$1:$BA$300,COLUMN()/2+1,FALSE)),"")</f>
        <v>#N/A</v>
      </c>
      <c r="Y100" s="58"/>
      <c r="Z100" s="16" t="e">
        <f ca="1">IF($A100&lt;&gt;"",
IF(VLOOKUP($A100,貼り付け用!$A$1:$BA$300,COLUMN()/2+1,FALSE)=0,"",VLOOKUP($A100,貼り付け用!$A$1:$BA$300,COLUMN()/2+1,FALSE)),"")</f>
        <v>#N/A</v>
      </c>
      <c r="AA100" s="58"/>
      <c r="AB100" s="16" t="e">
        <f ca="1">IF($A100&lt;&gt;"",
IF(VLOOKUP($A100,貼り付け用!$A$1:$BA$300,COLUMN()/2+1,FALSE)=0,"",VLOOKUP($A100,貼り付け用!$A$1:$BA$300,COLUMN()/2+1,FALSE)),"")</f>
        <v>#N/A</v>
      </c>
      <c r="AC100" s="58"/>
      <c r="AD100" s="16" t="e">
        <f ca="1">IF($A100&lt;&gt;"",
IF(VLOOKUP($A100,貼り付け用!$A$1:$BA$300,COLUMN()/2+1,FALSE)=0,"",VLOOKUP($A100,貼り付け用!$A$1:$BA$300,COLUMN()/2+1,FALSE)),"")</f>
        <v>#N/A</v>
      </c>
      <c r="AE100" s="58"/>
      <c r="AF100" s="16" t="e">
        <f ca="1">IF($A100&lt;&gt;"",
IF(VLOOKUP($A100,貼り付け用!$A$1:$BA$300,COLUMN()/2+1,FALSE)=0,"",VLOOKUP($A100,貼り付け用!$A$1:$BA$300,COLUMN()/2+1,FALSE)),"")</f>
        <v>#N/A</v>
      </c>
      <c r="AG100" s="58"/>
      <c r="AH100" s="16" t="e">
        <f ca="1">IF($A100&lt;&gt;"",
IF(VLOOKUP($A100,貼り付け用!$A$1:$BA$300,COLUMN()/2+1,FALSE)=0,"",VLOOKUP($A100,貼り付け用!$A$1:$BA$300,COLUMN()/2+1,FALSE)),"")</f>
        <v>#N/A</v>
      </c>
      <c r="AI100" s="58"/>
      <c r="AJ100" s="16" t="e">
        <f ca="1">IF($A100&lt;&gt;"",
IF(VLOOKUP($A100,貼り付け用!$A$1:$BA$300,COLUMN()/2+1,FALSE)=0,"",VLOOKUP($A100,貼り付け用!$A$1:$BA$300,COLUMN()/2+1,FALSE)),"")</f>
        <v>#N/A</v>
      </c>
      <c r="AK100" s="58"/>
      <c r="AL100" s="16" t="e">
        <f ca="1">IF($A100&lt;&gt;"",
IF(VLOOKUP($A100,貼り付け用!$A$1:$BA$300,COLUMN()/2+1,FALSE)=0,"",VLOOKUP($A100,貼り付け用!$A$1:$BA$300,COLUMN()/2+1,FALSE)),"")</f>
        <v>#N/A</v>
      </c>
      <c r="AM100" s="210" t="e">
        <f ca="1">IF($A100&lt;&gt;"",
IF(VLOOKUP($A100,貼り付け用!$A$1:$BA$300,COLUMN()/2+2,FALSE)=0,"",VLOOKUP($A100,貼り付け用!$A$1:$BA$300,COLUMN()/2+2,FALSE)),"")</f>
        <v>#N/A</v>
      </c>
      <c r="AN100" s="210" t="e">
        <f ca="1">IF($A100&lt;&gt;"",
IF(VLOOKUP($A100,貼り付け用!$A$1:$BA$300,COLUMN()/2+3,FALSE)=0,"",VLOOKUP($A100,貼り付け用!$A$1:$BA$300,COLUMN()/2+3,FALSE)),"")</f>
        <v>#N/A</v>
      </c>
    </row>
    <row r="101" spans="1:40" x14ac:dyDescent="0.45">
      <c r="A101" s="8" t="e" cm="1">
        <f t="array" aca="1" ref="A101" ca="1">IF(OR(COUNTIF(A99,"*1000*"),COUNTIF(A99,"")),"",INDEX(貼り付け用!$A:$A,MATCH(A99,貼り付け用!$A:$A,0)+2,0))</f>
        <v>#N/A</v>
      </c>
      <c r="B101" s="46" t="e">
        <f ca="1">IF($A101&lt;&gt;"",
IF(VLOOKUP($A101,貼り付け用!$A$1:$BA$300,COLUMN()/2+1,FALSE)=0,"",VLOOKUP($A101,貼り付け用!$A$1:$BA$300,COLUMN()/2+1,FALSE)),"")</f>
        <v>#N/A</v>
      </c>
      <c r="C101" s="46"/>
      <c r="D101" s="46" t="e">
        <f ca="1">IF($A101&lt;&gt;"",
IF(VLOOKUP($A101,貼り付け用!$A$1:$BA$300,COLUMN()/2+1,FALSE)=0,"",VLOOKUP($A101,貼り付け用!$A$1:$BA$300,COLUMN()/2+1,FALSE)),"")</f>
        <v>#N/A</v>
      </c>
      <c r="E101" s="46"/>
      <c r="F101" s="46" t="e">
        <f ca="1">IF($A101&lt;&gt;"",
IF(VLOOKUP($A101,貼り付け用!$A$1:$BA$300,COLUMN()/2+1,FALSE)=0,"",VLOOKUP($A101,貼り付け用!$A$1:$BA$300,COLUMN()/2+1,FALSE)),"")</f>
        <v>#N/A</v>
      </c>
      <c r="G101" s="46"/>
      <c r="H101" s="46" t="e">
        <f ca="1">IF($A101&lt;&gt;"",
IF(VLOOKUP($A101,貼り付け用!$A$1:$BA$300,COLUMN()/2+1,FALSE)=0,"",VLOOKUP($A101,貼り付け用!$A$1:$BA$300,COLUMN()/2+1,FALSE)),"")</f>
        <v>#N/A</v>
      </c>
      <c r="I101" s="46"/>
      <c r="J101" s="46" t="e">
        <f ca="1">IF($A101&lt;&gt;"",
IF(VLOOKUP($A101,貼り付け用!$A$1:$BA$300,COLUMN()/2+1,FALSE)=0,"",VLOOKUP($A101,貼り付け用!$A$1:$BA$300,COLUMN()/2+1,FALSE)),"")</f>
        <v>#N/A</v>
      </c>
      <c r="K101" s="46"/>
      <c r="L101" s="46" t="e">
        <f ca="1">IF($A101&lt;&gt;"",
IF(VLOOKUP($A101,貼り付け用!$A$1:$BA$300,COLUMN()/2+1,FALSE)=0,"",VLOOKUP($A101,貼り付け用!$A$1:$BA$300,COLUMN()/2+1,FALSE)),"")</f>
        <v>#N/A</v>
      </c>
      <c r="M101" s="46"/>
      <c r="N101" s="46" t="e">
        <f ca="1">IF($A101&lt;&gt;"",
IF(VLOOKUP($A101,貼り付け用!$A$1:$BA$300,COLUMN()/2+1,FALSE)=0,"",VLOOKUP($A101,貼り付け用!$A$1:$BA$300,COLUMN()/2+1,FALSE)),"")</f>
        <v>#N/A</v>
      </c>
      <c r="O101" s="46"/>
      <c r="P101" s="46" t="e">
        <f ca="1">IF($A101&lt;&gt;"",
IF(VLOOKUP($A101,貼り付け用!$A$1:$BA$300,COLUMN()/2+1,FALSE)=0,"",VLOOKUP($A101,貼り付け用!$A$1:$BA$300,COLUMN()/2+1,FALSE)),"")</f>
        <v>#N/A</v>
      </c>
      <c r="Q101" s="46"/>
      <c r="R101" s="46" t="e">
        <f ca="1">IF($A101&lt;&gt;"",
IF(VLOOKUP($A101,貼り付け用!$A$1:$BA$300,COLUMN()/2+1,FALSE)=0,"",VLOOKUP($A101,貼り付け用!$A$1:$BA$300,COLUMN()/2+1,FALSE)),"")</f>
        <v>#N/A</v>
      </c>
      <c r="S101" s="46"/>
      <c r="T101" s="46" t="e">
        <f ca="1">IF($A101&lt;&gt;"",
IF(VLOOKUP($A101,貼り付け用!$A$1:$BA$300,COLUMN()/2+1,FALSE)=0,"",VLOOKUP($A101,貼り付け用!$A$1:$BA$300,COLUMN()/2+1,FALSE)),"")</f>
        <v>#N/A</v>
      </c>
      <c r="U101" s="46"/>
      <c r="V101" s="46" t="e">
        <f ca="1">IF($A101&lt;&gt;"",
IF(VLOOKUP($A101,貼り付け用!$A$1:$BA$300,COLUMN()/2+1,FALSE)=0,"",VLOOKUP($A101,貼り付け用!$A$1:$BA$300,COLUMN()/2+1,FALSE)),"")</f>
        <v>#N/A</v>
      </c>
      <c r="W101" s="46"/>
      <c r="X101" s="46" t="e">
        <f ca="1">IF($A101&lt;&gt;"",
IF(VLOOKUP($A101,貼り付け用!$A$1:$BA$300,COLUMN()/2+1,FALSE)=0,"",VLOOKUP($A101,貼り付け用!$A$1:$BA$300,COLUMN()/2+1,FALSE)),"")</f>
        <v>#N/A</v>
      </c>
      <c r="Y101" s="46"/>
      <c r="Z101" s="46" t="e">
        <f ca="1">IF($A101&lt;&gt;"",
IF(VLOOKUP($A101,貼り付け用!$A$1:$BA$300,COLUMN()/2+1,FALSE)=0,"",VLOOKUP($A101,貼り付け用!$A$1:$BA$300,COLUMN()/2+1,FALSE)),"")</f>
        <v>#N/A</v>
      </c>
      <c r="AA101" s="46"/>
      <c r="AB101" s="46" t="e">
        <f ca="1">IF($A101&lt;&gt;"",
IF(VLOOKUP($A101,貼り付け用!$A$1:$BA$300,COLUMN()/2+1,FALSE)=0,"",VLOOKUP($A101,貼り付け用!$A$1:$BA$300,COLUMN()/2+1,FALSE)),"")</f>
        <v>#N/A</v>
      </c>
      <c r="AC101" s="46"/>
      <c r="AD101" s="46" t="e">
        <f ca="1">IF($A101&lt;&gt;"",
IF(VLOOKUP($A101,貼り付け用!$A$1:$BA$300,COLUMN()/2+1,FALSE)=0,"",VLOOKUP($A101,貼り付け用!$A$1:$BA$300,COLUMN()/2+1,FALSE)),"")</f>
        <v>#N/A</v>
      </c>
      <c r="AE101" s="46"/>
      <c r="AF101" s="46" t="e">
        <f ca="1">IF($A101&lt;&gt;"",
IF(VLOOKUP($A101,貼り付け用!$A$1:$BA$300,COLUMN()/2+1,FALSE)=0,"",VLOOKUP($A101,貼り付け用!$A$1:$BA$300,COLUMN()/2+1,FALSE)),"")</f>
        <v>#N/A</v>
      </c>
      <c r="AG101" s="46"/>
      <c r="AH101" s="46" t="e">
        <f ca="1">IF($A101&lt;&gt;"",
IF(VLOOKUP($A101,貼り付け用!$A$1:$BA$300,COLUMN()/2+1,FALSE)=0,"",VLOOKUP($A101,貼り付け用!$A$1:$BA$300,COLUMN()/2+1,FALSE)),"")</f>
        <v>#N/A</v>
      </c>
      <c r="AI101" s="46"/>
      <c r="AJ101" s="46" t="e">
        <f ca="1">IF($A101&lt;&gt;"",
IF(VLOOKUP($A101,貼り付け用!$A$1:$BA$300,COLUMN()/2+1,FALSE)=0,"",VLOOKUP($A101,貼り付け用!$A$1:$BA$300,COLUMN()/2+1,FALSE)),"")</f>
        <v>#N/A</v>
      </c>
      <c r="AK101" s="46"/>
      <c r="AL101" s="46" t="e">
        <f ca="1">IF($A101&lt;&gt;"",
IF(VLOOKUP($A101,貼り付け用!$A$1:$BA$300,COLUMN()/2+1,FALSE)=0,"",VLOOKUP($A101,貼り付け用!$A$1:$BA$300,COLUMN()/2+1,FALSE)),"")</f>
        <v>#N/A</v>
      </c>
      <c r="AM101" s="211" t="e">
        <f ca="1">IF($A101&lt;&gt;"",
IF(VLOOKUP($A101,貼り付け用!$A$1:$BA$300,COLUMN()/2+2,FALSE)=0,"",VLOOKUP($A101,貼り付け用!$A$1:$BA$300,COLUMN()/2+2,FALSE)),"")</f>
        <v>#N/A</v>
      </c>
      <c r="AN101" s="211" t="e">
        <f ca="1">IF($A101&lt;&gt;"",
IF(VLOOKUP($A101,貼り付け用!$A$1:$BA$300,COLUMN()/2+3,FALSE)=0,"",VLOOKUP($A101,貼り付け用!$A$1:$BA$300,COLUMN()/2+3,FALSE)),"")</f>
        <v>#N/A</v>
      </c>
    </row>
    <row r="102" spans="1:40" x14ac:dyDescent="0.45">
      <c r="A102" s="5" t="e" cm="1">
        <f t="array" aca="1" ref="A102" ca="1">IF(OR(COUNTIF(A100,"*合計*"),COUNTIF(A100,"")),"",INDEX(貼り付け用!$A:$A,MATCH(A100,貼り付け用!$A:$A,0)+2,0))</f>
        <v>#N/A</v>
      </c>
      <c r="B102" s="16" t="e">
        <f ca="1">IF($A102&lt;&gt;"",
IF(VLOOKUP($A102,貼り付け用!$A$1:$BA$300,COLUMN()/2+1,FALSE)=0,"",VLOOKUP($A102,貼り付け用!$A$1:$BA$300,COLUMN()/2+1,FALSE)),"")</f>
        <v>#N/A</v>
      </c>
      <c r="C102" s="58"/>
      <c r="D102" s="16" t="e">
        <f ca="1">IF($A102&lt;&gt;"",
IF(VLOOKUP($A102,貼り付け用!$A$1:$BA$300,COLUMN()/2+1,FALSE)=0,"",VLOOKUP($A102,貼り付け用!$A$1:$BA$300,COLUMN()/2+1,FALSE)),"")</f>
        <v>#N/A</v>
      </c>
      <c r="E102" s="58"/>
      <c r="F102" s="16" t="e">
        <f ca="1">IF($A102&lt;&gt;"",
IF(VLOOKUP($A102,貼り付け用!$A$1:$BA$300,COLUMN()/2+1,FALSE)=0,"",VLOOKUP($A102,貼り付け用!$A$1:$BA$300,COLUMN()/2+1,FALSE)),"")</f>
        <v>#N/A</v>
      </c>
      <c r="G102" s="58"/>
      <c r="H102" s="16" t="e">
        <f ca="1">IF($A102&lt;&gt;"",
IF(VLOOKUP($A102,貼り付け用!$A$1:$BA$300,COLUMN()/2+1,FALSE)=0,"",VLOOKUP($A102,貼り付け用!$A$1:$BA$300,COLUMN()/2+1,FALSE)),"")</f>
        <v>#N/A</v>
      </c>
      <c r="I102" s="58"/>
      <c r="J102" s="16" t="e">
        <f ca="1">IF($A102&lt;&gt;"",
IF(VLOOKUP($A102,貼り付け用!$A$1:$BA$300,COLUMN()/2+1,FALSE)=0,"",VLOOKUP($A102,貼り付け用!$A$1:$BA$300,COLUMN()/2+1,FALSE)),"")</f>
        <v>#N/A</v>
      </c>
      <c r="K102" s="58"/>
      <c r="L102" s="16" t="e">
        <f ca="1">IF($A102&lt;&gt;"",
IF(VLOOKUP($A102,貼り付け用!$A$1:$BA$300,COLUMN()/2+1,FALSE)=0,"",VLOOKUP($A102,貼り付け用!$A$1:$BA$300,COLUMN()/2+1,FALSE)),"")</f>
        <v>#N/A</v>
      </c>
      <c r="M102" s="58"/>
      <c r="N102" s="16" t="e">
        <f ca="1">IF($A102&lt;&gt;"",
IF(VLOOKUP($A102,貼り付け用!$A$1:$BA$300,COLUMN()/2+1,FALSE)=0,"",VLOOKUP($A102,貼り付け用!$A$1:$BA$300,COLUMN()/2+1,FALSE)),"")</f>
        <v>#N/A</v>
      </c>
      <c r="O102" s="58"/>
      <c r="P102" s="16" t="e">
        <f ca="1">IF($A102&lt;&gt;"",
IF(VLOOKUP($A102,貼り付け用!$A$1:$BA$300,COLUMN()/2+1,FALSE)=0,"",VLOOKUP($A102,貼り付け用!$A$1:$BA$300,COLUMN()/2+1,FALSE)),"")</f>
        <v>#N/A</v>
      </c>
      <c r="Q102" s="58"/>
      <c r="R102" s="16" t="e">
        <f ca="1">IF($A102&lt;&gt;"",
IF(VLOOKUP($A102,貼り付け用!$A$1:$BA$300,COLUMN()/2+1,FALSE)=0,"",VLOOKUP($A102,貼り付け用!$A$1:$BA$300,COLUMN()/2+1,FALSE)),"")</f>
        <v>#N/A</v>
      </c>
      <c r="S102" s="58"/>
      <c r="T102" s="16" t="e">
        <f ca="1">IF($A102&lt;&gt;"",
IF(VLOOKUP($A102,貼り付け用!$A$1:$BA$300,COLUMN()/2+1,FALSE)=0,"",VLOOKUP($A102,貼り付け用!$A$1:$BA$300,COLUMN()/2+1,FALSE)),"")</f>
        <v>#N/A</v>
      </c>
      <c r="U102" s="58"/>
      <c r="V102" s="16" t="e">
        <f ca="1">IF($A102&lt;&gt;"",
IF(VLOOKUP($A102,貼り付け用!$A$1:$BA$300,COLUMN()/2+1,FALSE)=0,"",VLOOKUP($A102,貼り付け用!$A$1:$BA$300,COLUMN()/2+1,FALSE)),"")</f>
        <v>#N/A</v>
      </c>
      <c r="W102" s="58"/>
      <c r="X102" s="16" t="e">
        <f ca="1">IF($A102&lt;&gt;"",
IF(VLOOKUP($A102,貼り付け用!$A$1:$BA$300,COLUMN()/2+1,FALSE)=0,"",VLOOKUP($A102,貼り付け用!$A$1:$BA$300,COLUMN()/2+1,FALSE)),"")</f>
        <v>#N/A</v>
      </c>
      <c r="Y102" s="58"/>
      <c r="Z102" s="16" t="e">
        <f ca="1">IF($A102&lt;&gt;"",
IF(VLOOKUP($A102,貼り付け用!$A$1:$BA$300,COLUMN()/2+1,FALSE)=0,"",VLOOKUP($A102,貼り付け用!$A$1:$BA$300,COLUMN()/2+1,FALSE)),"")</f>
        <v>#N/A</v>
      </c>
      <c r="AA102" s="58"/>
      <c r="AB102" s="16" t="e">
        <f ca="1">IF($A102&lt;&gt;"",
IF(VLOOKUP($A102,貼り付け用!$A$1:$BA$300,COLUMN()/2+1,FALSE)=0,"",VLOOKUP($A102,貼り付け用!$A$1:$BA$300,COLUMN()/2+1,FALSE)),"")</f>
        <v>#N/A</v>
      </c>
      <c r="AC102" s="58"/>
      <c r="AD102" s="16" t="e">
        <f ca="1">IF($A102&lt;&gt;"",
IF(VLOOKUP($A102,貼り付け用!$A$1:$BA$300,COLUMN()/2+1,FALSE)=0,"",VLOOKUP($A102,貼り付け用!$A$1:$BA$300,COLUMN()/2+1,FALSE)),"")</f>
        <v>#N/A</v>
      </c>
      <c r="AE102" s="58"/>
      <c r="AF102" s="16" t="e">
        <f ca="1">IF($A102&lt;&gt;"",
IF(VLOOKUP($A102,貼り付け用!$A$1:$BA$300,COLUMN()/2+1,FALSE)=0,"",VLOOKUP($A102,貼り付け用!$A$1:$BA$300,COLUMN()/2+1,FALSE)),"")</f>
        <v>#N/A</v>
      </c>
      <c r="AG102" s="58"/>
      <c r="AH102" s="16" t="e">
        <f ca="1">IF($A102&lt;&gt;"",
IF(VLOOKUP($A102,貼り付け用!$A$1:$BA$300,COLUMN()/2+1,FALSE)=0,"",VLOOKUP($A102,貼り付け用!$A$1:$BA$300,COLUMN()/2+1,FALSE)),"")</f>
        <v>#N/A</v>
      </c>
      <c r="AI102" s="58"/>
      <c r="AJ102" s="16" t="e">
        <f ca="1">IF($A102&lt;&gt;"",
IF(VLOOKUP($A102,貼り付け用!$A$1:$BA$300,COLUMN()/2+1,FALSE)=0,"",VLOOKUP($A102,貼り付け用!$A$1:$BA$300,COLUMN()/2+1,FALSE)),"")</f>
        <v>#N/A</v>
      </c>
      <c r="AK102" s="58"/>
      <c r="AL102" s="16" t="e">
        <f ca="1">IF($A102&lt;&gt;"",
IF(VLOOKUP($A102,貼り付け用!$A$1:$BA$300,COLUMN()/2+1,FALSE)=0,"",VLOOKUP($A102,貼り付け用!$A$1:$BA$300,COLUMN()/2+1,FALSE)),"")</f>
        <v>#N/A</v>
      </c>
      <c r="AM102" s="210" t="e">
        <f ca="1">IF($A102&lt;&gt;"",
IF(VLOOKUP($A102,貼り付け用!$A$1:$BA$300,COLUMN()/2+2,FALSE)=0,"",VLOOKUP($A102,貼り付け用!$A$1:$BA$300,COLUMN()/2+2,FALSE)),"")</f>
        <v>#N/A</v>
      </c>
      <c r="AN102" s="210" t="e">
        <f ca="1">IF($A102&lt;&gt;"",
IF(VLOOKUP($A102,貼り付け用!$A$1:$BA$300,COLUMN()/2+3,FALSE)=0,"",VLOOKUP($A102,貼り付け用!$A$1:$BA$300,COLUMN()/2+3,FALSE)),"")</f>
        <v>#N/A</v>
      </c>
    </row>
    <row r="103" spans="1:40" x14ac:dyDescent="0.45">
      <c r="A103" s="8" t="e" cm="1">
        <f t="array" aca="1" ref="A103" ca="1">IF(OR(COUNTIF(A101,"*1000*"),COUNTIF(A101,"")),"",INDEX(貼り付け用!$A:$A,MATCH(A101,貼り付け用!$A:$A,0)+2,0))</f>
        <v>#N/A</v>
      </c>
      <c r="B103" s="46" t="e">
        <f ca="1">IF($A103&lt;&gt;"",
IF(VLOOKUP($A103,貼り付け用!$A$1:$BA$300,COLUMN()/2+1,FALSE)=0,"",VLOOKUP($A103,貼り付け用!$A$1:$BA$300,COLUMN()/2+1,FALSE)),"")</f>
        <v>#N/A</v>
      </c>
      <c r="C103" s="46"/>
      <c r="D103" s="46" t="e">
        <f ca="1">IF($A103&lt;&gt;"",
IF(VLOOKUP($A103,貼り付け用!$A$1:$BA$300,COLUMN()/2+1,FALSE)=0,"",VLOOKUP($A103,貼り付け用!$A$1:$BA$300,COLUMN()/2+1,FALSE)),"")</f>
        <v>#N/A</v>
      </c>
      <c r="E103" s="46"/>
      <c r="F103" s="46" t="e">
        <f ca="1">IF($A103&lt;&gt;"",
IF(VLOOKUP($A103,貼り付け用!$A$1:$BA$300,COLUMN()/2+1,FALSE)=0,"",VLOOKUP($A103,貼り付け用!$A$1:$BA$300,COLUMN()/2+1,FALSE)),"")</f>
        <v>#N/A</v>
      </c>
      <c r="G103" s="46"/>
      <c r="H103" s="46" t="e">
        <f ca="1">IF($A103&lt;&gt;"",
IF(VLOOKUP($A103,貼り付け用!$A$1:$BA$300,COLUMN()/2+1,FALSE)=0,"",VLOOKUP($A103,貼り付け用!$A$1:$BA$300,COLUMN()/2+1,FALSE)),"")</f>
        <v>#N/A</v>
      </c>
      <c r="I103" s="46"/>
      <c r="J103" s="46" t="e">
        <f ca="1">IF($A103&lt;&gt;"",
IF(VLOOKUP($A103,貼り付け用!$A$1:$BA$300,COLUMN()/2+1,FALSE)=0,"",VLOOKUP($A103,貼り付け用!$A$1:$BA$300,COLUMN()/2+1,FALSE)),"")</f>
        <v>#N/A</v>
      </c>
      <c r="K103" s="46"/>
      <c r="L103" s="46" t="e">
        <f ca="1">IF($A103&lt;&gt;"",
IF(VLOOKUP($A103,貼り付け用!$A$1:$BA$300,COLUMN()/2+1,FALSE)=0,"",VLOOKUP($A103,貼り付け用!$A$1:$BA$300,COLUMN()/2+1,FALSE)),"")</f>
        <v>#N/A</v>
      </c>
      <c r="M103" s="46"/>
      <c r="N103" s="46" t="e">
        <f ca="1">IF($A103&lt;&gt;"",
IF(VLOOKUP($A103,貼り付け用!$A$1:$BA$300,COLUMN()/2+1,FALSE)=0,"",VLOOKUP($A103,貼り付け用!$A$1:$BA$300,COLUMN()/2+1,FALSE)),"")</f>
        <v>#N/A</v>
      </c>
      <c r="O103" s="46"/>
      <c r="P103" s="46" t="e">
        <f ca="1">IF($A103&lt;&gt;"",
IF(VLOOKUP($A103,貼り付け用!$A$1:$BA$300,COLUMN()/2+1,FALSE)=0,"",VLOOKUP($A103,貼り付け用!$A$1:$BA$300,COLUMN()/2+1,FALSE)),"")</f>
        <v>#N/A</v>
      </c>
      <c r="Q103" s="46"/>
      <c r="R103" s="46" t="e">
        <f ca="1">IF($A103&lt;&gt;"",
IF(VLOOKUP($A103,貼り付け用!$A$1:$BA$300,COLUMN()/2+1,FALSE)=0,"",VLOOKUP($A103,貼り付け用!$A$1:$BA$300,COLUMN()/2+1,FALSE)),"")</f>
        <v>#N/A</v>
      </c>
      <c r="S103" s="46"/>
      <c r="T103" s="46" t="e">
        <f ca="1">IF($A103&lt;&gt;"",
IF(VLOOKUP($A103,貼り付け用!$A$1:$BA$300,COLUMN()/2+1,FALSE)=0,"",VLOOKUP($A103,貼り付け用!$A$1:$BA$300,COLUMN()/2+1,FALSE)),"")</f>
        <v>#N/A</v>
      </c>
      <c r="U103" s="46"/>
      <c r="V103" s="46" t="e">
        <f ca="1">IF($A103&lt;&gt;"",
IF(VLOOKUP($A103,貼り付け用!$A$1:$BA$300,COLUMN()/2+1,FALSE)=0,"",VLOOKUP($A103,貼り付け用!$A$1:$BA$300,COLUMN()/2+1,FALSE)),"")</f>
        <v>#N/A</v>
      </c>
      <c r="W103" s="46"/>
      <c r="X103" s="46" t="e">
        <f ca="1">IF($A103&lt;&gt;"",
IF(VLOOKUP($A103,貼り付け用!$A$1:$BA$300,COLUMN()/2+1,FALSE)=0,"",VLOOKUP($A103,貼り付け用!$A$1:$BA$300,COLUMN()/2+1,FALSE)),"")</f>
        <v>#N/A</v>
      </c>
      <c r="Y103" s="46"/>
      <c r="Z103" s="46" t="e">
        <f ca="1">IF($A103&lt;&gt;"",
IF(VLOOKUP($A103,貼り付け用!$A$1:$BA$300,COLUMN()/2+1,FALSE)=0,"",VLOOKUP($A103,貼り付け用!$A$1:$BA$300,COLUMN()/2+1,FALSE)),"")</f>
        <v>#N/A</v>
      </c>
      <c r="AA103" s="46"/>
      <c r="AB103" s="46" t="e">
        <f ca="1">IF($A103&lt;&gt;"",
IF(VLOOKUP($A103,貼り付け用!$A$1:$BA$300,COLUMN()/2+1,FALSE)=0,"",VLOOKUP($A103,貼り付け用!$A$1:$BA$300,COLUMN()/2+1,FALSE)),"")</f>
        <v>#N/A</v>
      </c>
      <c r="AC103" s="46"/>
      <c r="AD103" s="46" t="e">
        <f ca="1">IF($A103&lt;&gt;"",
IF(VLOOKUP($A103,貼り付け用!$A$1:$BA$300,COLUMN()/2+1,FALSE)=0,"",VLOOKUP($A103,貼り付け用!$A$1:$BA$300,COLUMN()/2+1,FALSE)),"")</f>
        <v>#N/A</v>
      </c>
      <c r="AE103" s="46"/>
      <c r="AF103" s="46" t="e">
        <f ca="1">IF($A103&lt;&gt;"",
IF(VLOOKUP($A103,貼り付け用!$A$1:$BA$300,COLUMN()/2+1,FALSE)=0,"",VLOOKUP($A103,貼り付け用!$A$1:$BA$300,COLUMN()/2+1,FALSE)),"")</f>
        <v>#N/A</v>
      </c>
      <c r="AG103" s="46"/>
      <c r="AH103" s="46" t="e">
        <f ca="1">IF($A103&lt;&gt;"",
IF(VLOOKUP($A103,貼り付け用!$A$1:$BA$300,COLUMN()/2+1,FALSE)=0,"",VLOOKUP($A103,貼り付け用!$A$1:$BA$300,COLUMN()/2+1,FALSE)),"")</f>
        <v>#N/A</v>
      </c>
      <c r="AI103" s="46"/>
      <c r="AJ103" s="46" t="e">
        <f ca="1">IF($A103&lt;&gt;"",
IF(VLOOKUP($A103,貼り付け用!$A$1:$BA$300,COLUMN()/2+1,FALSE)=0,"",VLOOKUP($A103,貼り付け用!$A$1:$BA$300,COLUMN()/2+1,FALSE)),"")</f>
        <v>#N/A</v>
      </c>
      <c r="AK103" s="46"/>
      <c r="AL103" s="46" t="e">
        <f ca="1">IF($A103&lt;&gt;"",
IF(VLOOKUP($A103,貼り付け用!$A$1:$BA$300,COLUMN()/2+1,FALSE)=0,"",VLOOKUP($A103,貼り付け用!$A$1:$BA$300,COLUMN()/2+1,FALSE)),"")</f>
        <v>#N/A</v>
      </c>
      <c r="AM103" s="211" t="e">
        <f ca="1">IF($A103&lt;&gt;"",
IF(VLOOKUP($A103,貼り付け用!$A$1:$BA$300,COLUMN()/2+2,FALSE)=0,"",VLOOKUP($A103,貼り付け用!$A$1:$BA$300,COLUMN()/2+2,FALSE)),"")</f>
        <v>#N/A</v>
      </c>
      <c r="AN103" s="211" t="e">
        <f ca="1">IF($A103&lt;&gt;"",
IF(VLOOKUP($A103,貼り付け用!$A$1:$BA$300,COLUMN()/2+3,FALSE)=0,"",VLOOKUP($A103,貼り付け用!$A$1:$BA$300,COLUMN()/2+3,FALSE)),"")</f>
        <v>#N/A</v>
      </c>
    </row>
    <row r="104" spans="1:40" x14ac:dyDescent="0.45">
      <c r="A104" s="5" t="e" cm="1">
        <f t="array" aca="1" ref="A104" ca="1">IF(OR(COUNTIF(A102,"*合計*"),COUNTIF(A102,"")),"",INDEX(貼り付け用!$A:$A,MATCH(A102,貼り付け用!$A:$A,0)+2,0))</f>
        <v>#N/A</v>
      </c>
      <c r="B104" s="16" t="e">
        <f ca="1">IF($A104&lt;&gt;"",
IF(VLOOKUP($A104,貼り付け用!$A$1:$BA$300,COLUMN()/2+1,FALSE)=0,"",VLOOKUP($A104,貼り付け用!$A$1:$BA$300,COLUMN()/2+1,FALSE)),"")</f>
        <v>#N/A</v>
      </c>
      <c r="C104" s="58"/>
      <c r="D104" s="16" t="e">
        <f ca="1">IF($A104&lt;&gt;"",
IF(VLOOKUP($A104,貼り付け用!$A$1:$BA$300,COLUMN()/2+1,FALSE)=0,"",VLOOKUP($A104,貼り付け用!$A$1:$BA$300,COLUMN()/2+1,FALSE)),"")</f>
        <v>#N/A</v>
      </c>
      <c r="E104" s="58"/>
      <c r="F104" s="16" t="e">
        <f ca="1">IF($A104&lt;&gt;"",
IF(VLOOKUP($A104,貼り付け用!$A$1:$BA$300,COLUMN()/2+1,FALSE)=0,"",VLOOKUP($A104,貼り付け用!$A$1:$BA$300,COLUMN()/2+1,FALSE)),"")</f>
        <v>#N/A</v>
      </c>
      <c r="G104" s="58"/>
      <c r="H104" s="16" t="e">
        <f ca="1">IF($A104&lt;&gt;"",
IF(VLOOKUP($A104,貼り付け用!$A$1:$BA$300,COLUMN()/2+1,FALSE)=0,"",VLOOKUP($A104,貼り付け用!$A$1:$BA$300,COLUMN()/2+1,FALSE)),"")</f>
        <v>#N/A</v>
      </c>
      <c r="I104" s="58"/>
      <c r="J104" s="16" t="e">
        <f ca="1">IF($A104&lt;&gt;"",
IF(VLOOKUP($A104,貼り付け用!$A$1:$BA$300,COLUMN()/2+1,FALSE)=0,"",VLOOKUP($A104,貼り付け用!$A$1:$BA$300,COLUMN()/2+1,FALSE)),"")</f>
        <v>#N/A</v>
      </c>
      <c r="K104" s="58"/>
      <c r="L104" s="16" t="e">
        <f ca="1">IF($A104&lt;&gt;"",
IF(VLOOKUP($A104,貼り付け用!$A$1:$BA$300,COLUMN()/2+1,FALSE)=0,"",VLOOKUP($A104,貼り付け用!$A$1:$BA$300,COLUMN()/2+1,FALSE)),"")</f>
        <v>#N/A</v>
      </c>
      <c r="M104" s="58"/>
      <c r="N104" s="16" t="e">
        <f ca="1">IF($A104&lt;&gt;"",
IF(VLOOKUP($A104,貼り付け用!$A$1:$BA$300,COLUMN()/2+1,FALSE)=0,"",VLOOKUP($A104,貼り付け用!$A$1:$BA$300,COLUMN()/2+1,FALSE)),"")</f>
        <v>#N/A</v>
      </c>
      <c r="O104" s="58"/>
      <c r="P104" s="16" t="e">
        <f ca="1">IF($A104&lt;&gt;"",
IF(VLOOKUP($A104,貼り付け用!$A$1:$BA$300,COLUMN()/2+1,FALSE)=0,"",VLOOKUP($A104,貼り付け用!$A$1:$BA$300,COLUMN()/2+1,FALSE)),"")</f>
        <v>#N/A</v>
      </c>
      <c r="Q104" s="58"/>
      <c r="R104" s="16" t="e">
        <f ca="1">IF($A104&lt;&gt;"",
IF(VLOOKUP($A104,貼り付け用!$A$1:$BA$300,COLUMN()/2+1,FALSE)=0,"",VLOOKUP($A104,貼り付け用!$A$1:$BA$300,COLUMN()/2+1,FALSE)),"")</f>
        <v>#N/A</v>
      </c>
      <c r="S104" s="58"/>
      <c r="T104" s="16" t="e">
        <f ca="1">IF($A104&lt;&gt;"",
IF(VLOOKUP($A104,貼り付け用!$A$1:$BA$300,COLUMN()/2+1,FALSE)=0,"",VLOOKUP($A104,貼り付け用!$A$1:$BA$300,COLUMN()/2+1,FALSE)),"")</f>
        <v>#N/A</v>
      </c>
      <c r="U104" s="58"/>
      <c r="V104" s="16" t="e">
        <f ca="1">IF($A104&lt;&gt;"",
IF(VLOOKUP($A104,貼り付け用!$A$1:$BA$300,COLUMN()/2+1,FALSE)=0,"",VLOOKUP($A104,貼り付け用!$A$1:$BA$300,COLUMN()/2+1,FALSE)),"")</f>
        <v>#N/A</v>
      </c>
      <c r="W104" s="58"/>
      <c r="X104" s="16" t="e">
        <f ca="1">IF($A104&lt;&gt;"",
IF(VLOOKUP($A104,貼り付け用!$A$1:$BA$300,COLUMN()/2+1,FALSE)=0,"",VLOOKUP($A104,貼り付け用!$A$1:$BA$300,COLUMN()/2+1,FALSE)),"")</f>
        <v>#N/A</v>
      </c>
      <c r="Y104" s="58"/>
      <c r="Z104" s="16" t="e">
        <f ca="1">IF($A104&lt;&gt;"",
IF(VLOOKUP($A104,貼り付け用!$A$1:$BA$300,COLUMN()/2+1,FALSE)=0,"",VLOOKUP($A104,貼り付け用!$A$1:$BA$300,COLUMN()/2+1,FALSE)),"")</f>
        <v>#N/A</v>
      </c>
      <c r="AA104" s="58"/>
      <c r="AB104" s="16" t="e">
        <f ca="1">IF($A104&lt;&gt;"",
IF(VLOOKUP($A104,貼り付け用!$A$1:$BA$300,COLUMN()/2+1,FALSE)=0,"",VLOOKUP($A104,貼り付け用!$A$1:$BA$300,COLUMN()/2+1,FALSE)),"")</f>
        <v>#N/A</v>
      </c>
      <c r="AC104" s="58"/>
      <c r="AD104" s="16" t="e">
        <f ca="1">IF($A104&lt;&gt;"",
IF(VLOOKUP($A104,貼り付け用!$A$1:$BA$300,COLUMN()/2+1,FALSE)=0,"",VLOOKUP($A104,貼り付け用!$A$1:$BA$300,COLUMN()/2+1,FALSE)),"")</f>
        <v>#N/A</v>
      </c>
      <c r="AE104" s="58"/>
      <c r="AF104" s="16" t="e">
        <f ca="1">IF($A104&lt;&gt;"",
IF(VLOOKUP($A104,貼り付け用!$A$1:$BA$300,COLUMN()/2+1,FALSE)=0,"",VLOOKUP($A104,貼り付け用!$A$1:$BA$300,COLUMN()/2+1,FALSE)),"")</f>
        <v>#N/A</v>
      </c>
      <c r="AG104" s="58"/>
      <c r="AH104" s="16" t="e">
        <f ca="1">IF($A104&lt;&gt;"",
IF(VLOOKUP($A104,貼り付け用!$A$1:$BA$300,COLUMN()/2+1,FALSE)=0,"",VLOOKUP($A104,貼り付け用!$A$1:$BA$300,COLUMN()/2+1,FALSE)),"")</f>
        <v>#N/A</v>
      </c>
      <c r="AI104" s="58"/>
      <c r="AJ104" s="16" t="e">
        <f ca="1">IF($A104&lt;&gt;"",
IF(VLOOKUP($A104,貼り付け用!$A$1:$BA$300,COLUMN()/2+1,FALSE)=0,"",VLOOKUP($A104,貼り付け用!$A$1:$BA$300,COLUMN()/2+1,FALSE)),"")</f>
        <v>#N/A</v>
      </c>
      <c r="AK104" s="58"/>
      <c r="AL104" s="16" t="e">
        <f ca="1">IF($A104&lt;&gt;"",
IF(VLOOKUP($A104,貼り付け用!$A$1:$BA$300,COLUMN()/2+1,FALSE)=0,"",VLOOKUP($A104,貼り付け用!$A$1:$BA$300,COLUMN()/2+1,FALSE)),"")</f>
        <v>#N/A</v>
      </c>
      <c r="AM104" s="210" t="e">
        <f ca="1">IF($A104&lt;&gt;"",
IF(VLOOKUP($A104,貼り付け用!$A$1:$BA$300,COLUMN()/2+2,FALSE)=0,"",VLOOKUP($A104,貼り付け用!$A$1:$BA$300,COLUMN()/2+2,FALSE)),"")</f>
        <v>#N/A</v>
      </c>
      <c r="AN104" s="210" t="e">
        <f ca="1">IF($A104&lt;&gt;"",
IF(VLOOKUP($A104,貼り付け用!$A$1:$BA$300,COLUMN()/2+3,FALSE)=0,"",VLOOKUP($A104,貼り付け用!$A$1:$BA$300,COLUMN()/2+3,FALSE)),"")</f>
        <v>#N/A</v>
      </c>
    </row>
    <row r="105" spans="1:40" x14ac:dyDescent="0.45">
      <c r="A105" s="8" t="e" cm="1">
        <f t="array" aca="1" ref="A105" ca="1">IF(OR(COUNTIF(A103,"*1000*"),COUNTIF(A103,"")),"",INDEX(貼り付け用!$A:$A,MATCH(A103,貼り付け用!$A:$A,0)+2,0))</f>
        <v>#N/A</v>
      </c>
      <c r="B105" s="46" t="e">
        <f ca="1">IF($A105&lt;&gt;"",
IF(VLOOKUP($A105,貼り付け用!$A$1:$BA$300,COLUMN()/2+1,FALSE)=0,"",VLOOKUP($A105,貼り付け用!$A$1:$BA$300,COLUMN()/2+1,FALSE)),"")</f>
        <v>#N/A</v>
      </c>
      <c r="C105" s="46"/>
      <c r="D105" s="46" t="e">
        <f ca="1">IF($A105&lt;&gt;"",
IF(VLOOKUP($A105,貼り付け用!$A$1:$BA$300,COLUMN()/2+1,FALSE)=0,"",VLOOKUP($A105,貼り付け用!$A$1:$BA$300,COLUMN()/2+1,FALSE)),"")</f>
        <v>#N/A</v>
      </c>
      <c r="E105" s="46"/>
      <c r="F105" s="46" t="e">
        <f ca="1">IF($A105&lt;&gt;"",
IF(VLOOKUP($A105,貼り付け用!$A$1:$BA$300,COLUMN()/2+1,FALSE)=0,"",VLOOKUP($A105,貼り付け用!$A$1:$BA$300,COLUMN()/2+1,FALSE)),"")</f>
        <v>#N/A</v>
      </c>
      <c r="G105" s="46"/>
      <c r="H105" s="46" t="e">
        <f ca="1">IF($A105&lt;&gt;"",
IF(VLOOKUP($A105,貼り付け用!$A$1:$BA$300,COLUMN()/2+1,FALSE)=0,"",VLOOKUP($A105,貼り付け用!$A$1:$BA$300,COLUMN()/2+1,FALSE)),"")</f>
        <v>#N/A</v>
      </c>
      <c r="I105" s="46"/>
      <c r="J105" s="46" t="e">
        <f ca="1">IF($A105&lt;&gt;"",
IF(VLOOKUP($A105,貼り付け用!$A$1:$BA$300,COLUMN()/2+1,FALSE)=0,"",VLOOKUP($A105,貼り付け用!$A$1:$BA$300,COLUMN()/2+1,FALSE)),"")</f>
        <v>#N/A</v>
      </c>
      <c r="K105" s="46"/>
      <c r="L105" s="46" t="e">
        <f ca="1">IF($A105&lt;&gt;"",
IF(VLOOKUP($A105,貼り付け用!$A$1:$BA$300,COLUMN()/2+1,FALSE)=0,"",VLOOKUP($A105,貼り付け用!$A$1:$BA$300,COLUMN()/2+1,FALSE)),"")</f>
        <v>#N/A</v>
      </c>
      <c r="M105" s="46"/>
      <c r="N105" s="46" t="e">
        <f ca="1">IF($A105&lt;&gt;"",
IF(VLOOKUP($A105,貼り付け用!$A$1:$BA$300,COLUMN()/2+1,FALSE)=0,"",VLOOKUP($A105,貼り付け用!$A$1:$BA$300,COLUMN()/2+1,FALSE)),"")</f>
        <v>#N/A</v>
      </c>
      <c r="O105" s="46"/>
      <c r="P105" s="46" t="e">
        <f ca="1">IF($A105&lt;&gt;"",
IF(VLOOKUP($A105,貼り付け用!$A$1:$BA$300,COLUMN()/2+1,FALSE)=0,"",VLOOKUP($A105,貼り付け用!$A$1:$BA$300,COLUMN()/2+1,FALSE)),"")</f>
        <v>#N/A</v>
      </c>
      <c r="Q105" s="46"/>
      <c r="R105" s="46" t="e">
        <f ca="1">IF($A105&lt;&gt;"",
IF(VLOOKUP($A105,貼り付け用!$A$1:$BA$300,COLUMN()/2+1,FALSE)=0,"",VLOOKUP($A105,貼り付け用!$A$1:$BA$300,COLUMN()/2+1,FALSE)),"")</f>
        <v>#N/A</v>
      </c>
      <c r="S105" s="46"/>
      <c r="T105" s="46" t="e">
        <f ca="1">IF($A105&lt;&gt;"",
IF(VLOOKUP($A105,貼り付け用!$A$1:$BA$300,COLUMN()/2+1,FALSE)=0,"",VLOOKUP($A105,貼り付け用!$A$1:$BA$300,COLUMN()/2+1,FALSE)),"")</f>
        <v>#N/A</v>
      </c>
      <c r="U105" s="46"/>
      <c r="V105" s="46" t="e">
        <f ca="1">IF($A105&lt;&gt;"",
IF(VLOOKUP($A105,貼り付け用!$A$1:$BA$300,COLUMN()/2+1,FALSE)=0,"",VLOOKUP($A105,貼り付け用!$A$1:$BA$300,COLUMN()/2+1,FALSE)),"")</f>
        <v>#N/A</v>
      </c>
      <c r="W105" s="46"/>
      <c r="X105" s="46" t="e">
        <f ca="1">IF($A105&lt;&gt;"",
IF(VLOOKUP($A105,貼り付け用!$A$1:$BA$300,COLUMN()/2+1,FALSE)=0,"",VLOOKUP($A105,貼り付け用!$A$1:$BA$300,COLUMN()/2+1,FALSE)),"")</f>
        <v>#N/A</v>
      </c>
      <c r="Y105" s="46"/>
      <c r="Z105" s="46" t="e">
        <f ca="1">IF($A105&lt;&gt;"",
IF(VLOOKUP($A105,貼り付け用!$A$1:$BA$300,COLUMN()/2+1,FALSE)=0,"",VLOOKUP($A105,貼り付け用!$A$1:$BA$300,COLUMN()/2+1,FALSE)),"")</f>
        <v>#N/A</v>
      </c>
      <c r="AA105" s="46"/>
      <c r="AB105" s="46" t="e">
        <f ca="1">IF($A105&lt;&gt;"",
IF(VLOOKUP($A105,貼り付け用!$A$1:$BA$300,COLUMN()/2+1,FALSE)=0,"",VLOOKUP($A105,貼り付け用!$A$1:$BA$300,COLUMN()/2+1,FALSE)),"")</f>
        <v>#N/A</v>
      </c>
      <c r="AC105" s="46"/>
      <c r="AD105" s="46" t="e">
        <f ca="1">IF($A105&lt;&gt;"",
IF(VLOOKUP($A105,貼り付け用!$A$1:$BA$300,COLUMN()/2+1,FALSE)=0,"",VLOOKUP($A105,貼り付け用!$A$1:$BA$300,COLUMN()/2+1,FALSE)),"")</f>
        <v>#N/A</v>
      </c>
      <c r="AE105" s="46"/>
      <c r="AF105" s="46" t="e">
        <f ca="1">IF($A105&lt;&gt;"",
IF(VLOOKUP($A105,貼り付け用!$A$1:$BA$300,COLUMN()/2+1,FALSE)=0,"",VLOOKUP($A105,貼り付け用!$A$1:$BA$300,COLUMN()/2+1,FALSE)),"")</f>
        <v>#N/A</v>
      </c>
      <c r="AG105" s="46"/>
      <c r="AH105" s="46" t="e">
        <f ca="1">IF($A105&lt;&gt;"",
IF(VLOOKUP($A105,貼り付け用!$A$1:$BA$300,COLUMN()/2+1,FALSE)=0,"",VLOOKUP($A105,貼り付け用!$A$1:$BA$300,COLUMN()/2+1,FALSE)),"")</f>
        <v>#N/A</v>
      </c>
      <c r="AI105" s="46"/>
      <c r="AJ105" s="46" t="e">
        <f ca="1">IF($A105&lt;&gt;"",
IF(VLOOKUP($A105,貼り付け用!$A$1:$BA$300,COLUMN()/2+1,FALSE)=0,"",VLOOKUP($A105,貼り付け用!$A$1:$BA$300,COLUMN()/2+1,FALSE)),"")</f>
        <v>#N/A</v>
      </c>
      <c r="AK105" s="46"/>
      <c r="AL105" s="46" t="e">
        <f ca="1">IF($A105&lt;&gt;"",
IF(VLOOKUP($A105,貼り付け用!$A$1:$BA$300,COLUMN()/2+1,FALSE)=0,"",VLOOKUP($A105,貼り付け用!$A$1:$BA$300,COLUMN()/2+1,FALSE)),"")</f>
        <v>#N/A</v>
      </c>
      <c r="AM105" s="211" t="e">
        <f ca="1">IF($A105&lt;&gt;"",
IF(VLOOKUP($A105,貼り付け用!$A$1:$BA$300,COLUMN()/2+2,FALSE)=0,"",VLOOKUP($A105,貼り付け用!$A$1:$BA$300,COLUMN()/2+2,FALSE)),"")</f>
        <v>#N/A</v>
      </c>
      <c r="AN105" s="211" t="e">
        <f ca="1">IF($A105&lt;&gt;"",
IF(VLOOKUP($A105,貼り付け用!$A$1:$BA$300,COLUMN()/2+3,FALSE)=0,"",VLOOKUP($A105,貼り付け用!$A$1:$BA$300,COLUMN()/2+3,FALSE)),"")</f>
        <v>#N/A</v>
      </c>
    </row>
    <row r="106" spans="1:40" x14ac:dyDescent="0.45">
      <c r="A106" s="5" t="e" cm="1">
        <f t="array" aca="1" ref="A106" ca="1">IF(OR(COUNTIF(A104,"*合計*"),COUNTIF(A104,"")),"",INDEX(貼り付け用!$A:$A,MATCH(A104,貼り付け用!$A:$A,0)+2,0))</f>
        <v>#N/A</v>
      </c>
      <c r="B106" s="16" t="e">
        <f ca="1">IF($A106&lt;&gt;"",
IF(VLOOKUP($A106,貼り付け用!$A$1:$BA$300,COLUMN()/2+1,FALSE)=0,"",VLOOKUP($A106,貼り付け用!$A$1:$BA$300,COLUMN()/2+1,FALSE)),"")</f>
        <v>#N/A</v>
      </c>
      <c r="C106" s="58"/>
      <c r="D106" s="16" t="e">
        <f ca="1">IF($A106&lt;&gt;"",
IF(VLOOKUP($A106,貼り付け用!$A$1:$BA$300,COLUMN()/2+1,FALSE)=0,"",VLOOKUP($A106,貼り付け用!$A$1:$BA$300,COLUMN()/2+1,FALSE)),"")</f>
        <v>#N/A</v>
      </c>
      <c r="E106" s="58"/>
      <c r="F106" s="16" t="e">
        <f ca="1">IF($A106&lt;&gt;"",
IF(VLOOKUP($A106,貼り付け用!$A$1:$BA$300,COLUMN()/2+1,FALSE)=0,"",VLOOKUP($A106,貼り付け用!$A$1:$BA$300,COLUMN()/2+1,FALSE)),"")</f>
        <v>#N/A</v>
      </c>
      <c r="G106" s="58"/>
      <c r="H106" s="16" t="e">
        <f ca="1">IF($A106&lt;&gt;"",
IF(VLOOKUP($A106,貼り付け用!$A$1:$BA$300,COLUMN()/2+1,FALSE)=0,"",VLOOKUP($A106,貼り付け用!$A$1:$BA$300,COLUMN()/2+1,FALSE)),"")</f>
        <v>#N/A</v>
      </c>
      <c r="I106" s="58"/>
      <c r="J106" s="16" t="e">
        <f ca="1">IF($A106&lt;&gt;"",
IF(VLOOKUP($A106,貼り付け用!$A$1:$BA$300,COLUMN()/2+1,FALSE)=0,"",VLOOKUP($A106,貼り付け用!$A$1:$BA$300,COLUMN()/2+1,FALSE)),"")</f>
        <v>#N/A</v>
      </c>
      <c r="K106" s="58"/>
      <c r="L106" s="16" t="e">
        <f ca="1">IF($A106&lt;&gt;"",
IF(VLOOKUP($A106,貼り付け用!$A$1:$BA$300,COLUMN()/2+1,FALSE)=0,"",VLOOKUP($A106,貼り付け用!$A$1:$BA$300,COLUMN()/2+1,FALSE)),"")</f>
        <v>#N/A</v>
      </c>
      <c r="M106" s="58"/>
      <c r="N106" s="16" t="e">
        <f ca="1">IF($A106&lt;&gt;"",
IF(VLOOKUP($A106,貼り付け用!$A$1:$BA$300,COLUMN()/2+1,FALSE)=0,"",VLOOKUP($A106,貼り付け用!$A$1:$BA$300,COLUMN()/2+1,FALSE)),"")</f>
        <v>#N/A</v>
      </c>
      <c r="O106" s="58"/>
      <c r="P106" s="16" t="e">
        <f ca="1">IF($A106&lt;&gt;"",
IF(VLOOKUP($A106,貼り付け用!$A$1:$BA$300,COLUMN()/2+1,FALSE)=0,"",VLOOKUP($A106,貼り付け用!$A$1:$BA$300,COLUMN()/2+1,FALSE)),"")</f>
        <v>#N/A</v>
      </c>
      <c r="Q106" s="58"/>
      <c r="R106" s="16" t="e">
        <f ca="1">IF($A106&lt;&gt;"",
IF(VLOOKUP($A106,貼り付け用!$A$1:$BA$300,COLUMN()/2+1,FALSE)=0,"",VLOOKUP($A106,貼り付け用!$A$1:$BA$300,COLUMN()/2+1,FALSE)),"")</f>
        <v>#N/A</v>
      </c>
      <c r="S106" s="58"/>
      <c r="T106" s="16" t="e">
        <f ca="1">IF($A106&lt;&gt;"",
IF(VLOOKUP($A106,貼り付け用!$A$1:$BA$300,COLUMN()/2+1,FALSE)=0,"",VLOOKUP($A106,貼り付け用!$A$1:$BA$300,COLUMN()/2+1,FALSE)),"")</f>
        <v>#N/A</v>
      </c>
      <c r="U106" s="58"/>
      <c r="V106" s="16" t="e">
        <f ca="1">IF($A106&lt;&gt;"",
IF(VLOOKUP($A106,貼り付け用!$A$1:$BA$300,COLUMN()/2+1,FALSE)=0,"",VLOOKUP($A106,貼り付け用!$A$1:$BA$300,COLUMN()/2+1,FALSE)),"")</f>
        <v>#N/A</v>
      </c>
      <c r="W106" s="58"/>
      <c r="X106" s="16" t="e">
        <f ca="1">IF($A106&lt;&gt;"",
IF(VLOOKUP($A106,貼り付け用!$A$1:$BA$300,COLUMN()/2+1,FALSE)=0,"",VLOOKUP($A106,貼り付け用!$A$1:$BA$300,COLUMN()/2+1,FALSE)),"")</f>
        <v>#N/A</v>
      </c>
      <c r="Y106" s="58"/>
      <c r="Z106" s="16" t="e">
        <f ca="1">IF($A106&lt;&gt;"",
IF(VLOOKUP($A106,貼り付け用!$A$1:$BA$300,COLUMN()/2+1,FALSE)=0,"",VLOOKUP($A106,貼り付け用!$A$1:$BA$300,COLUMN()/2+1,FALSE)),"")</f>
        <v>#N/A</v>
      </c>
      <c r="AA106" s="58"/>
      <c r="AB106" s="16" t="e">
        <f ca="1">IF($A106&lt;&gt;"",
IF(VLOOKUP($A106,貼り付け用!$A$1:$BA$300,COLUMN()/2+1,FALSE)=0,"",VLOOKUP($A106,貼り付け用!$A$1:$BA$300,COLUMN()/2+1,FALSE)),"")</f>
        <v>#N/A</v>
      </c>
      <c r="AC106" s="58"/>
      <c r="AD106" s="16" t="e">
        <f ca="1">IF($A106&lt;&gt;"",
IF(VLOOKUP($A106,貼り付け用!$A$1:$BA$300,COLUMN()/2+1,FALSE)=0,"",VLOOKUP($A106,貼り付け用!$A$1:$BA$300,COLUMN()/2+1,FALSE)),"")</f>
        <v>#N/A</v>
      </c>
      <c r="AE106" s="58"/>
      <c r="AF106" s="16" t="e">
        <f ca="1">IF($A106&lt;&gt;"",
IF(VLOOKUP($A106,貼り付け用!$A$1:$BA$300,COLUMN()/2+1,FALSE)=0,"",VLOOKUP($A106,貼り付け用!$A$1:$BA$300,COLUMN()/2+1,FALSE)),"")</f>
        <v>#N/A</v>
      </c>
      <c r="AG106" s="58"/>
      <c r="AH106" s="16" t="e">
        <f ca="1">IF($A106&lt;&gt;"",
IF(VLOOKUP($A106,貼り付け用!$A$1:$BA$300,COLUMN()/2+1,FALSE)=0,"",VLOOKUP($A106,貼り付け用!$A$1:$BA$300,COLUMN()/2+1,FALSE)),"")</f>
        <v>#N/A</v>
      </c>
      <c r="AI106" s="58"/>
      <c r="AJ106" s="16" t="e">
        <f ca="1">IF($A106&lt;&gt;"",
IF(VLOOKUP($A106,貼り付け用!$A$1:$BA$300,COLUMN()/2+1,FALSE)=0,"",VLOOKUP($A106,貼り付け用!$A$1:$BA$300,COLUMN()/2+1,FALSE)),"")</f>
        <v>#N/A</v>
      </c>
      <c r="AK106" s="58"/>
      <c r="AL106" s="16" t="e">
        <f ca="1">IF($A106&lt;&gt;"",
IF(VLOOKUP($A106,貼り付け用!$A$1:$BA$300,COLUMN()/2+1,FALSE)=0,"",VLOOKUP($A106,貼り付け用!$A$1:$BA$300,COLUMN()/2+1,FALSE)),"")</f>
        <v>#N/A</v>
      </c>
      <c r="AM106" s="210" t="e">
        <f ca="1">IF($A106&lt;&gt;"",
IF(VLOOKUP($A106,貼り付け用!$A$1:$BA$300,COLUMN()/2+2,FALSE)=0,"",VLOOKUP($A106,貼り付け用!$A$1:$BA$300,COLUMN()/2+2,FALSE)),"")</f>
        <v>#N/A</v>
      </c>
      <c r="AN106" s="210" t="e">
        <f ca="1">IF($A106&lt;&gt;"",
IF(VLOOKUP($A106,貼り付け用!$A$1:$BA$300,COLUMN()/2+3,FALSE)=0,"",VLOOKUP($A106,貼り付け用!$A$1:$BA$300,COLUMN()/2+3,FALSE)),"")</f>
        <v>#N/A</v>
      </c>
    </row>
    <row r="107" spans="1:40" x14ac:dyDescent="0.45">
      <c r="A107" s="8" t="e" cm="1">
        <f t="array" aca="1" ref="A107" ca="1">IF(OR(COUNTIF(A105,"*1000*"),COUNTIF(A105,"")),"",INDEX(貼り付け用!$A:$A,MATCH(A105,貼り付け用!$A:$A,0)+2,0))</f>
        <v>#N/A</v>
      </c>
      <c r="B107" s="46" t="e">
        <f ca="1">IF($A107&lt;&gt;"",
IF(VLOOKUP($A107,貼り付け用!$A$1:$BA$300,COLUMN()/2+1,FALSE)=0,"",VLOOKUP($A107,貼り付け用!$A$1:$BA$300,COLUMN()/2+1,FALSE)),"")</f>
        <v>#N/A</v>
      </c>
      <c r="C107" s="46"/>
      <c r="D107" s="46" t="e">
        <f ca="1">IF($A107&lt;&gt;"",
IF(VLOOKUP($A107,貼り付け用!$A$1:$BA$300,COLUMN()/2+1,FALSE)=0,"",VLOOKUP($A107,貼り付け用!$A$1:$BA$300,COLUMN()/2+1,FALSE)),"")</f>
        <v>#N/A</v>
      </c>
      <c r="E107" s="46"/>
      <c r="F107" s="46" t="e">
        <f ca="1">IF($A107&lt;&gt;"",
IF(VLOOKUP($A107,貼り付け用!$A$1:$BA$300,COLUMN()/2+1,FALSE)=0,"",VLOOKUP($A107,貼り付け用!$A$1:$BA$300,COLUMN()/2+1,FALSE)),"")</f>
        <v>#N/A</v>
      </c>
      <c r="G107" s="46"/>
      <c r="H107" s="46" t="e">
        <f ca="1">IF($A107&lt;&gt;"",
IF(VLOOKUP($A107,貼り付け用!$A$1:$BA$300,COLUMN()/2+1,FALSE)=0,"",VLOOKUP($A107,貼り付け用!$A$1:$BA$300,COLUMN()/2+1,FALSE)),"")</f>
        <v>#N/A</v>
      </c>
      <c r="I107" s="46"/>
      <c r="J107" s="46" t="e">
        <f ca="1">IF($A107&lt;&gt;"",
IF(VLOOKUP($A107,貼り付け用!$A$1:$BA$300,COLUMN()/2+1,FALSE)=0,"",VLOOKUP($A107,貼り付け用!$A$1:$BA$300,COLUMN()/2+1,FALSE)),"")</f>
        <v>#N/A</v>
      </c>
      <c r="K107" s="46"/>
      <c r="L107" s="46" t="e">
        <f ca="1">IF($A107&lt;&gt;"",
IF(VLOOKUP($A107,貼り付け用!$A$1:$BA$300,COLUMN()/2+1,FALSE)=0,"",VLOOKUP($A107,貼り付け用!$A$1:$BA$300,COLUMN()/2+1,FALSE)),"")</f>
        <v>#N/A</v>
      </c>
      <c r="M107" s="46"/>
      <c r="N107" s="46" t="e">
        <f ca="1">IF($A107&lt;&gt;"",
IF(VLOOKUP($A107,貼り付け用!$A$1:$BA$300,COLUMN()/2+1,FALSE)=0,"",VLOOKUP($A107,貼り付け用!$A$1:$BA$300,COLUMN()/2+1,FALSE)),"")</f>
        <v>#N/A</v>
      </c>
      <c r="O107" s="46"/>
      <c r="P107" s="46" t="e">
        <f ca="1">IF($A107&lt;&gt;"",
IF(VLOOKUP($A107,貼り付け用!$A$1:$BA$300,COLUMN()/2+1,FALSE)=0,"",VLOOKUP($A107,貼り付け用!$A$1:$BA$300,COLUMN()/2+1,FALSE)),"")</f>
        <v>#N/A</v>
      </c>
      <c r="Q107" s="46"/>
      <c r="R107" s="46" t="e">
        <f ca="1">IF($A107&lt;&gt;"",
IF(VLOOKUP($A107,貼り付け用!$A$1:$BA$300,COLUMN()/2+1,FALSE)=0,"",VLOOKUP($A107,貼り付け用!$A$1:$BA$300,COLUMN()/2+1,FALSE)),"")</f>
        <v>#N/A</v>
      </c>
      <c r="S107" s="46"/>
      <c r="T107" s="46" t="e">
        <f ca="1">IF($A107&lt;&gt;"",
IF(VLOOKUP($A107,貼り付け用!$A$1:$BA$300,COLUMN()/2+1,FALSE)=0,"",VLOOKUP($A107,貼り付け用!$A$1:$BA$300,COLUMN()/2+1,FALSE)),"")</f>
        <v>#N/A</v>
      </c>
      <c r="U107" s="46"/>
      <c r="V107" s="46" t="e">
        <f ca="1">IF($A107&lt;&gt;"",
IF(VLOOKUP($A107,貼り付け用!$A$1:$BA$300,COLUMN()/2+1,FALSE)=0,"",VLOOKUP($A107,貼り付け用!$A$1:$BA$300,COLUMN()/2+1,FALSE)),"")</f>
        <v>#N/A</v>
      </c>
      <c r="W107" s="46"/>
      <c r="X107" s="46" t="e">
        <f ca="1">IF($A107&lt;&gt;"",
IF(VLOOKUP($A107,貼り付け用!$A$1:$BA$300,COLUMN()/2+1,FALSE)=0,"",VLOOKUP($A107,貼り付け用!$A$1:$BA$300,COLUMN()/2+1,FALSE)),"")</f>
        <v>#N/A</v>
      </c>
      <c r="Y107" s="46"/>
      <c r="Z107" s="46" t="e">
        <f ca="1">IF($A107&lt;&gt;"",
IF(VLOOKUP($A107,貼り付け用!$A$1:$BA$300,COLUMN()/2+1,FALSE)=0,"",VLOOKUP($A107,貼り付け用!$A$1:$BA$300,COLUMN()/2+1,FALSE)),"")</f>
        <v>#N/A</v>
      </c>
      <c r="AA107" s="46"/>
      <c r="AB107" s="46" t="e">
        <f ca="1">IF($A107&lt;&gt;"",
IF(VLOOKUP($A107,貼り付け用!$A$1:$BA$300,COLUMN()/2+1,FALSE)=0,"",VLOOKUP($A107,貼り付け用!$A$1:$BA$300,COLUMN()/2+1,FALSE)),"")</f>
        <v>#N/A</v>
      </c>
      <c r="AC107" s="46"/>
      <c r="AD107" s="46" t="e">
        <f ca="1">IF($A107&lt;&gt;"",
IF(VLOOKUP($A107,貼り付け用!$A$1:$BA$300,COLUMN()/2+1,FALSE)=0,"",VLOOKUP($A107,貼り付け用!$A$1:$BA$300,COLUMN()/2+1,FALSE)),"")</f>
        <v>#N/A</v>
      </c>
      <c r="AE107" s="46"/>
      <c r="AF107" s="46" t="e">
        <f ca="1">IF($A107&lt;&gt;"",
IF(VLOOKUP($A107,貼り付け用!$A$1:$BA$300,COLUMN()/2+1,FALSE)=0,"",VLOOKUP($A107,貼り付け用!$A$1:$BA$300,COLUMN()/2+1,FALSE)),"")</f>
        <v>#N/A</v>
      </c>
      <c r="AG107" s="46"/>
      <c r="AH107" s="46" t="e">
        <f ca="1">IF($A107&lt;&gt;"",
IF(VLOOKUP($A107,貼り付け用!$A$1:$BA$300,COLUMN()/2+1,FALSE)=0,"",VLOOKUP($A107,貼り付け用!$A$1:$BA$300,COLUMN()/2+1,FALSE)),"")</f>
        <v>#N/A</v>
      </c>
      <c r="AI107" s="46"/>
      <c r="AJ107" s="46" t="e">
        <f ca="1">IF($A107&lt;&gt;"",
IF(VLOOKUP($A107,貼り付け用!$A$1:$BA$300,COLUMN()/2+1,FALSE)=0,"",VLOOKUP($A107,貼り付け用!$A$1:$BA$300,COLUMN()/2+1,FALSE)),"")</f>
        <v>#N/A</v>
      </c>
      <c r="AK107" s="46"/>
      <c r="AL107" s="46" t="e">
        <f ca="1">IF($A107&lt;&gt;"",
IF(VLOOKUP($A107,貼り付け用!$A$1:$BA$300,COLUMN()/2+1,FALSE)=0,"",VLOOKUP($A107,貼り付け用!$A$1:$BA$300,COLUMN()/2+1,FALSE)),"")</f>
        <v>#N/A</v>
      </c>
      <c r="AM107" s="211" t="e">
        <f ca="1">IF($A107&lt;&gt;"",
IF(VLOOKUP($A107,貼り付け用!$A$1:$BA$300,COLUMN()/2+2,FALSE)=0,"",VLOOKUP($A107,貼り付け用!$A$1:$BA$300,COLUMN()/2+2,FALSE)),"")</f>
        <v>#N/A</v>
      </c>
      <c r="AN107" s="211" t="e">
        <f ca="1">IF($A107&lt;&gt;"",
IF(VLOOKUP($A107,貼り付け用!$A$1:$BA$300,COLUMN()/2+3,FALSE)=0,"",VLOOKUP($A107,貼り付け用!$A$1:$BA$300,COLUMN()/2+3,FALSE)),"")</f>
        <v>#N/A</v>
      </c>
    </row>
    <row r="108" spans="1:40" x14ac:dyDescent="0.45">
      <c r="A108" s="5" t="e" cm="1">
        <f t="array" aca="1" ref="A108" ca="1">IF(OR(COUNTIF(A106,"*合計*"),COUNTIF(A106,"")),"",INDEX(貼り付け用!$A:$A,MATCH(A106,貼り付け用!$A:$A,0)+2,0))</f>
        <v>#N/A</v>
      </c>
      <c r="B108" s="16" t="e">
        <f ca="1">IF($A108&lt;&gt;"",
IF(VLOOKUP($A108,貼り付け用!$A$1:$BA$300,COLUMN()/2+1,FALSE)=0,"",VLOOKUP($A108,貼り付け用!$A$1:$BA$300,COLUMN()/2+1,FALSE)),"")</f>
        <v>#N/A</v>
      </c>
      <c r="C108" s="58"/>
      <c r="D108" s="16" t="e">
        <f ca="1">IF($A108&lt;&gt;"",
IF(VLOOKUP($A108,貼り付け用!$A$1:$BA$300,COLUMN()/2+1,FALSE)=0,"",VLOOKUP($A108,貼り付け用!$A$1:$BA$300,COLUMN()/2+1,FALSE)),"")</f>
        <v>#N/A</v>
      </c>
      <c r="E108" s="58"/>
      <c r="F108" s="16" t="e">
        <f ca="1">IF($A108&lt;&gt;"",
IF(VLOOKUP($A108,貼り付け用!$A$1:$BA$300,COLUMN()/2+1,FALSE)=0,"",VLOOKUP($A108,貼り付け用!$A$1:$BA$300,COLUMN()/2+1,FALSE)),"")</f>
        <v>#N/A</v>
      </c>
      <c r="G108" s="58"/>
      <c r="H108" s="16" t="e">
        <f ca="1">IF($A108&lt;&gt;"",
IF(VLOOKUP($A108,貼り付け用!$A$1:$BA$300,COLUMN()/2+1,FALSE)=0,"",VLOOKUP($A108,貼り付け用!$A$1:$BA$300,COLUMN()/2+1,FALSE)),"")</f>
        <v>#N/A</v>
      </c>
      <c r="I108" s="58"/>
      <c r="J108" s="16" t="e">
        <f ca="1">IF($A108&lt;&gt;"",
IF(VLOOKUP($A108,貼り付け用!$A$1:$BA$300,COLUMN()/2+1,FALSE)=0,"",VLOOKUP($A108,貼り付け用!$A$1:$BA$300,COLUMN()/2+1,FALSE)),"")</f>
        <v>#N/A</v>
      </c>
      <c r="K108" s="58"/>
      <c r="L108" s="16" t="e">
        <f ca="1">IF($A108&lt;&gt;"",
IF(VLOOKUP($A108,貼り付け用!$A$1:$BA$300,COLUMN()/2+1,FALSE)=0,"",VLOOKUP($A108,貼り付け用!$A$1:$BA$300,COLUMN()/2+1,FALSE)),"")</f>
        <v>#N/A</v>
      </c>
      <c r="M108" s="58"/>
      <c r="N108" s="16" t="e">
        <f ca="1">IF($A108&lt;&gt;"",
IF(VLOOKUP($A108,貼り付け用!$A$1:$BA$300,COLUMN()/2+1,FALSE)=0,"",VLOOKUP($A108,貼り付け用!$A$1:$BA$300,COLUMN()/2+1,FALSE)),"")</f>
        <v>#N/A</v>
      </c>
      <c r="O108" s="58"/>
      <c r="P108" s="16" t="e">
        <f ca="1">IF($A108&lt;&gt;"",
IF(VLOOKUP($A108,貼り付け用!$A$1:$BA$300,COLUMN()/2+1,FALSE)=0,"",VLOOKUP($A108,貼り付け用!$A$1:$BA$300,COLUMN()/2+1,FALSE)),"")</f>
        <v>#N/A</v>
      </c>
      <c r="Q108" s="58"/>
      <c r="R108" s="16" t="e">
        <f ca="1">IF($A108&lt;&gt;"",
IF(VLOOKUP($A108,貼り付け用!$A$1:$BA$300,COLUMN()/2+1,FALSE)=0,"",VLOOKUP($A108,貼り付け用!$A$1:$BA$300,COLUMN()/2+1,FALSE)),"")</f>
        <v>#N/A</v>
      </c>
      <c r="S108" s="58"/>
      <c r="T108" s="16" t="e">
        <f ca="1">IF($A108&lt;&gt;"",
IF(VLOOKUP($A108,貼り付け用!$A$1:$BA$300,COLUMN()/2+1,FALSE)=0,"",VLOOKUP($A108,貼り付け用!$A$1:$BA$300,COLUMN()/2+1,FALSE)),"")</f>
        <v>#N/A</v>
      </c>
      <c r="U108" s="58"/>
      <c r="V108" s="16" t="e">
        <f ca="1">IF($A108&lt;&gt;"",
IF(VLOOKUP($A108,貼り付け用!$A$1:$BA$300,COLUMN()/2+1,FALSE)=0,"",VLOOKUP($A108,貼り付け用!$A$1:$BA$300,COLUMN()/2+1,FALSE)),"")</f>
        <v>#N/A</v>
      </c>
      <c r="W108" s="58"/>
      <c r="X108" s="16" t="e">
        <f ca="1">IF($A108&lt;&gt;"",
IF(VLOOKUP($A108,貼り付け用!$A$1:$BA$300,COLUMN()/2+1,FALSE)=0,"",VLOOKUP($A108,貼り付け用!$A$1:$BA$300,COLUMN()/2+1,FALSE)),"")</f>
        <v>#N/A</v>
      </c>
      <c r="Y108" s="58"/>
      <c r="Z108" s="16" t="e">
        <f ca="1">IF($A108&lt;&gt;"",
IF(VLOOKUP($A108,貼り付け用!$A$1:$BA$300,COLUMN()/2+1,FALSE)=0,"",VLOOKUP($A108,貼り付け用!$A$1:$BA$300,COLUMN()/2+1,FALSE)),"")</f>
        <v>#N/A</v>
      </c>
      <c r="AA108" s="58"/>
      <c r="AB108" s="16" t="e">
        <f ca="1">IF($A108&lt;&gt;"",
IF(VLOOKUP($A108,貼り付け用!$A$1:$BA$300,COLUMN()/2+1,FALSE)=0,"",VLOOKUP($A108,貼り付け用!$A$1:$BA$300,COLUMN()/2+1,FALSE)),"")</f>
        <v>#N/A</v>
      </c>
      <c r="AC108" s="58"/>
      <c r="AD108" s="16" t="e">
        <f ca="1">IF($A108&lt;&gt;"",
IF(VLOOKUP($A108,貼り付け用!$A$1:$BA$300,COLUMN()/2+1,FALSE)=0,"",VLOOKUP($A108,貼り付け用!$A$1:$BA$300,COLUMN()/2+1,FALSE)),"")</f>
        <v>#N/A</v>
      </c>
      <c r="AE108" s="58"/>
      <c r="AF108" s="16" t="e">
        <f ca="1">IF($A108&lt;&gt;"",
IF(VLOOKUP($A108,貼り付け用!$A$1:$BA$300,COLUMN()/2+1,FALSE)=0,"",VLOOKUP($A108,貼り付け用!$A$1:$BA$300,COLUMN()/2+1,FALSE)),"")</f>
        <v>#N/A</v>
      </c>
      <c r="AG108" s="58"/>
      <c r="AH108" s="16" t="e">
        <f ca="1">IF($A108&lt;&gt;"",
IF(VLOOKUP($A108,貼り付け用!$A$1:$BA$300,COLUMN()/2+1,FALSE)=0,"",VLOOKUP($A108,貼り付け用!$A$1:$BA$300,COLUMN()/2+1,FALSE)),"")</f>
        <v>#N/A</v>
      </c>
      <c r="AI108" s="58"/>
      <c r="AJ108" s="16" t="e">
        <f ca="1">IF($A108&lt;&gt;"",
IF(VLOOKUP($A108,貼り付け用!$A$1:$BA$300,COLUMN()/2+1,FALSE)=0,"",VLOOKUP($A108,貼り付け用!$A$1:$BA$300,COLUMN()/2+1,FALSE)),"")</f>
        <v>#N/A</v>
      </c>
      <c r="AK108" s="58"/>
      <c r="AL108" s="16" t="e">
        <f ca="1">IF($A108&lt;&gt;"",
IF(VLOOKUP($A108,貼り付け用!$A$1:$BA$300,COLUMN()/2+1,FALSE)=0,"",VLOOKUP($A108,貼り付け用!$A$1:$BA$300,COLUMN()/2+1,FALSE)),"")</f>
        <v>#N/A</v>
      </c>
      <c r="AM108" s="210" t="e">
        <f ca="1">IF($A108&lt;&gt;"",
IF(VLOOKUP($A108,貼り付け用!$A$1:$BA$300,COLUMN()/2+2,FALSE)=0,"",VLOOKUP($A108,貼り付け用!$A$1:$BA$300,COLUMN()/2+2,FALSE)),"")</f>
        <v>#N/A</v>
      </c>
      <c r="AN108" s="210" t="e">
        <f ca="1">IF($A108&lt;&gt;"",
IF(VLOOKUP($A108,貼り付け用!$A$1:$BA$300,COLUMN()/2+3,FALSE)=0,"",VLOOKUP($A108,貼り付け用!$A$1:$BA$300,COLUMN()/2+3,FALSE)),"")</f>
        <v>#N/A</v>
      </c>
    </row>
    <row r="109" spans="1:40" x14ac:dyDescent="0.45">
      <c r="A109" s="8" t="e" cm="1">
        <f t="array" aca="1" ref="A109" ca="1">IF(OR(COUNTIF(A107,"*1000*"),COUNTIF(A107,"")),"",INDEX(貼り付け用!$A:$A,MATCH(A107,貼り付け用!$A:$A,0)+2,0))</f>
        <v>#N/A</v>
      </c>
      <c r="B109" s="46" t="e">
        <f ca="1">IF($A109&lt;&gt;"",
IF(VLOOKUP($A109,貼り付け用!$A$1:$BA$300,COLUMN()/2+1,FALSE)=0,"",VLOOKUP($A109,貼り付け用!$A$1:$BA$300,COLUMN()/2+1,FALSE)),"")</f>
        <v>#N/A</v>
      </c>
      <c r="C109" s="46"/>
      <c r="D109" s="46" t="e">
        <f ca="1">IF($A109&lt;&gt;"",
IF(VLOOKUP($A109,貼り付け用!$A$1:$BA$300,COLUMN()/2+1,FALSE)=0,"",VLOOKUP($A109,貼り付け用!$A$1:$BA$300,COLUMN()/2+1,FALSE)),"")</f>
        <v>#N/A</v>
      </c>
      <c r="E109" s="46"/>
      <c r="F109" s="46" t="e">
        <f ca="1">IF($A109&lt;&gt;"",
IF(VLOOKUP($A109,貼り付け用!$A$1:$BA$300,COLUMN()/2+1,FALSE)=0,"",VLOOKUP($A109,貼り付け用!$A$1:$BA$300,COLUMN()/2+1,FALSE)),"")</f>
        <v>#N/A</v>
      </c>
      <c r="G109" s="46"/>
      <c r="H109" s="46" t="e">
        <f ca="1">IF($A109&lt;&gt;"",
IF(VLOOKUP($A109,貼り付け用!$A$1:$BA$300,COLUMN()/2+1,FALSE)=0,"",VLOOKUP($A109,貼り付け用!$A$1:$BA$300,COLUMN()/2+1,FALSE)),"")</f>
        <v>#N/A</v>
      </c>
      <c r="I109" s="46"/>
      <c r="J109" s="46" t="e">
        <f ca="1">IF($A109&lt;&gt;"",
IF(VLOOKUP($A109,貼り付け用!$A$1:$BA$300,COLUMN()/2+1,FALSE)=0,"",VLOOKUP($A109,貼り付け用!$A$1:$BA$300,COLUMN()/2+1,FALSE)),"")</f>
        <v>#N/A</v>
      </c>
      <c r="K109" s="46"/>
      <c r="L109" s="46" t="e">
        <f ca="1">IF($A109&lt;&gt;"",
IF(VLOOKUP($A109,貼り付け用!$A$1:$BA$300,COLUMN()/2+1,FALSE)=0,"",VLOOKUP($A109,貼り付け用!$A$1:$BA$300,COLUMN()/2+1,FALSE)),"")</f>
        <v>#N/A</v>
      </c>
      <c r="M109" s="46"/>
      <c r="N109" s="46" t="e">
        <f ca="1">IF($A109&lt;&gt;"",
IF(VLOOKUP($A109,貼り付け用!$A$1:$BA$300,COLUMN()/2+1,FALSE)=0,"",VLOOKUP($A109,貼り付け用!$A$1:$BA$300,COLUMN()/2+1,FALSE)),"")</f>
        <v>#N/A</v>
      </c>
      <c r="O109" s="46"/>
      <c r="P109" s="46" t="e">
        <f ca="1">IF($A109&lt;&gt;"",
IF(VLOOKUP($A109,貼り付け用!$A$1:$BA$300,COLUMN()/2+1,FALSE)=0,"",VLOOKUP($A109,貼り付け用!$A$1:$BA$300,COLUMN()/2+1,FALSE)),"")</f>
        <v>#N/A</v>
      </c>
      <c r="Q109" s="46"/>
      <c r="R109" s="46" t="e">
        <f ca="1">IF($A109&lt;&gt;"",
IF(VLOOKUP($A109,貼り付け用!$A$1:$BA$300,COLUMN()/2+1,FALSE)=0,"",VLOOKUP($A109,貼り付け用!$A$1:$BA$300,COLUMN()/2+1,FALSE)),"")</f>
        <v>#N/A</v>
      </c>
      <c r="S109" s="46"/>
      <c r="T109" s="46" t="e">
        <f ca="1">IF($A109&lt;&gt;"",
IF(VLOOKUP($A109,貼り付け用!$A$1:$BA$300,COLUMN()/2+1,FALSE)=0,"",VLOOKUP($A109,貼り付け用!$A$1:$BA$300,COLUMN()/2+1,FALSE)),"")</f>
        <v>#N/A</v>
      </c>
      <c r="U109" s="46"/>
      <c r="V109" s="46" t="e">
        <f ca="1">IF($A109&lt;&gt;"",
IF(VLOOKUP($A109,貼り付け用!$A$1:$BA$300,COLUMN()/2+1,FALSE)=0,"",VLOOKUP($A109,貼り付け用!$A$1:$BA$300,COLUMN()/2+1,FALSE)),"")</f>
        <v>#N/A</v>
      </c>
      <c r="W109" s="46"/>
      <c r="X109" s="46" t="e">
        <f ca="1">IF($A109&lt;&gt;"",
IF(VLOOKUP($A109,貼り付け用!$A$1:$BA$300,COLUMN()/2+1,FALSE)=0,"",VLOOKUP($A109,貼り付け用!$A$1:$BA$300,COLUMN()/2+1,FALSE)),"")</f>
        <v>#N/A</v>
      </c>
      <c r="Y109" s="46"/>
      <c r="Z109" s="46" t="e">
        <f ca="1">IF($A109&lt;&gt;"",
IF(VLOOKUP($A109,貼り付け用!$A$1:$BA$300,COLUMN()/2+1,FALSE)=0,"",VLOOKUP($A109,貼り付け用!$A$1:$BA$300,COLUMN()/2+1,FALSE)),"")</f>
        <v>#N/A</v>
      </c>
      <c r="AA109" s="46"/>
      <c r="AB109" s="46" t="e">
        <f ca="1">IF($A109&lt;&gt;"",
IF(VLOOKUP($A109,貼り付け用!$A$1:$BA$300,COLUMN()/2+1,FALSE)=0,"",VLOOKUP($A109,貼り付け用!$A$1:$BA$300,COLUMN()/2+1,FALSE)),"")</f>
        <v>#N/A</v>
      </c>
      <c r="AC109" s="46"/>
      <c r="AD109" s="46" t="e">
        <f ca="1">IF($A109&lt;&gt;"",
IF(VLOOKUP($A109,貼り付け用!$A$1:$BA$300,COLUMN()/2+1,FALSE)=0,"",VLOOKUP($A109,貼り付け用!$A$1:$BA$300,COLUMN()/2+1,FALSE)),"")</f>
        <v>#N/A</v>
      </c>
      <c r="AE109" s="46"/>
      <c r="AF109" s="46" t="e">
        <f ca="1">IF($A109&lt;&gt;"",
IF(VLOOKUP($A109,貼り付け用!$A$1:$BA$300,COLUMN()/2+1,FALSE)=0,"",VLOOKUP($A109,貼り付け用!$A$1:$BA$300,COLUMN()/2+1,FALSE)),"")</f>
        <v>#N/A</v>
      </c>
      <c r="AG109" s="46"/>
      <c r="AH109" s="46" t="e">
        <f ca="1">IF($A109&lt;&gt;"",
IF(VLOOKUP($A109,貼り付け用!$A$1:$BA$300,COLUMN()/2+1,FALSE)=0,"",VLOOKUP($A109,貼り付け用!$A$1:$BA$300,COLUMN()/2+1,FALSE)),"")</f>
        <v>#N/A</v>
      </c>
      <c r="AI109" s="46"/>
      <c r="AJ109" s="46" t="e">
        <f ca="1">IF($A109&lt;&gt;"",
IF(VLOOKUP($A109,貼り付け用!$A$1:$BA$300,COLUMN()/2+1,FALSE)=0,"",VLOOKUP($A109,貼り付け用!$A$1:$BA$300,COLUMN()/2+1,FALSE)),"")</f>
        <v>#N/A</v>
      </c>
      <c r="AK109" s="46"/>
      <c r="AL109" s="46" t="e">
        <f ca="1">IF($A109&lt;&gt;"",
IF(VLOOKUP($A109,貼り付け用!$A$1:$BA$300,COLUMN()/2+1,FALSE)=0,"",VLOOKUP($A109,貼り付け用!$A$1:$BA$300,COLUMN()/2+1,FALSE)),"")</f>
        <v>#N/A</v>
      </c>
      <c r="AM109" s="211" t="e">
        <f ca="1">IF($A109&lt;&gt;"",
IF(VLOOKUP($A109,貼り付け用!$A$1:$BA$300,COLUMN()/2+2,FALSE)=0,"",VLOOKUP($A109,貼り付け用!$A$1:$BA$300,COLUMN()/2+2,FALSE)),"")</f>
        <v>#N/A</v>
      </c>
      <c r="AN109" s="211" t="e">
        <f ca="1">IF($A109&lt;&gt;"",
IF(VLOOKUP($A109,貼り付け用!$A$1:$BA$300,COLUMN()/2+3,FALSE)=0,"",VLOOKUP($A109,貼り付け用!$A$1:$BA$300,COLUMN()/2+3,FALSE)),"")</f>
        <v>#N/A</v>
      </c>
    </row>
    <row r="110" spans="1:40" x14ac:dyDescent="0.45">
      <c r="A110" s="5" t="e" cm="1">
        <f t="array" aca="1" ref="A110" ca="1">IF(OR(COUNTIF(A108,"*合計*"),COUNTIF(A108,"")),"",INDEX(貼り付け用!$A:$A,MATCH(A108,貼り付け用!$A:$A,0)+2,0))</f>
        <v>#N/A</v>
      </c>
      <c r="B110" s="16" t="e">
        <f ca="1">IF($A110&lt;&gt;"",
IF(VLOOKUP($A110,貼り付け用!$A$1:$BA$300,COLUMN()/2+1,FALSE)=0,"",VLOOKUP($A110,貼り付け用!$A$1:$BA$300,COLUMN()/2+1,FALSE)),"")</f>
        <v>#N/A</v>
      </c>
      <c r="C110" s="58"/>
      <c r="D110" s="16" t="e">
        <f ca="1">IF($A110&lt;&gt;"",
IF(VLOOKUP($A110,貼り付け用!$A$1:$BA$300,COLUMN()/2+1,FALSE)=0,"",VLOOKUP($A110,貼り付け用!$A$1:$BA$300,COLUMN()/2+1,FALSE)),"")</f>
        <v>#N/A</v>
      </c>
      <c r="E110" s="58"/>
      <c r="F110" s="16" t="e">
        <f ca="1">IF($A110&lt;&gt;"",
IF(VLOOKUP($A110,貼り付け用!$A$1:$BA$300,COLUMN()/2+1,FALSE)=0,"",VLOOKUP($A110,貼り付け用!$A$1:$BA$300,COLUMN()/2+1,FALSE)),"")</f>
        <v>#N/A</v>
      </c>
      <c r="G110" s="58"/>
      <c r="H110" s="16" t="e">
        <f ca="1">IF($A110&lt;&gt;"",
IF(VLOOKUP($A110,貼り付け用!$A$1:$BA$300,COLUMN()/2+1,FALSE)=0,"",VLOOKUP($A110,貼り付け用!$A$1:$BA$300,COLUMN()/2+1,FALSE)),"")</f>
        <v>#N/A</v>
      </c>
      <c r="I110" s="58"/>
      <c r="J110" s="16" t="e">
        <f ca="1">IF($A110&lt;&gt;"",
IF(VLOOKUP($A110,貼り付け用!$A$1:$BA$300,COLUMN()/2+1,FALSE)=0,"",VLOOKUP($A110,貼り付け用!$A$1:$BA$300,COLUMN()/2+1,FALSE)),"")</f>
        <v>#N/A</v>
      </c>
      <c r="K110" s="58"/>
      <c r="L110" s="16" t="e">
        <f ca="1">IF($A110&lt;&gt;"",
IF(VLOOKUP($A110,貼り付け用!$A$1:$BA$300,COLUMN()/2+1,FALSE)=0,"",VLOOKUP($A110,貼り付け用!$A$1:$BA$300,COLUMN()/2+1,FALSE)),"")</f>
        <v>#N/A</v>
      </c>
      <c r="M110" s="58"/>
      <c r="N110" s="16" t="e">
        <f ca="1">IF($A110&lt;&gt;"",
IF(VLOOKUP($A110,貼り付け用!$A$1:$BA$300,COLUMN()/2+1,FALSE)=0,"",VLOOKUP($A110,貼り付け用!$A$1:$BA$300,COLUMN()/2+1,FALSE)),"")</f>
        <v>#N/A</v>
      </c>
      <c r="O110" s="58"/>
      <c r="P110" s="16" t="e">
        <f ca="1">IF($A110&lt;&gt;"",
IF(VLOOKUP($A110,貼り付け用!$A$1:$BA$300,COLUMN()/2+1,FALSE)=0,"",VLOOKUP($A110,貼り付け用!$A$1:$BA$300,COLUMN()/2+1,FALSE)),"")</f>
        <v>#N/A</v>
      </c>
      <c r="Q110" s="58"/>
      <c r="R110" s="16" t="e">
        <f ca="1">IF($A110&lt;&gt;"",
IF(VLOOKUP($A110,貼り付け用!$A$1:$BA$300,COLUMN()/2+1,FALSE)=0,"",VLOOKUP($A110,貼り付け用!$A$1:$BA$300,COLUMN()/2+1,FALSE)),"")</f>
        <v>#N/A</v>
      </c>
      <c r="S110" s="58"/>
      <c r="T110" s="16" t="e">
        <f ca="1">IF($A110&lt;&gt;"",
IF(VLOOKUP($A110,貼り付け用!$A$1:$BA$300,COLUMN()/2+1,FALSE)=0,"",VLOOKUP($A110,貼り付け用!$A$1:$BA$300,COLUMN()/2+1,FALSE)),"")</f>
        <v>#N/A</v>
      </c>
      <c r="U110" s="58"/>
      <c r="V110" s="16" t="e">
        <f ca="1">IF($A110&lt;&gt;"",
IF(VLOOKUP($A110,貼り付け用!$A$1:$BA$300,COLUMN()/2+1,FALSE)=0,"",VLOOKUP($A110,貼り付け用!$A$1:$BA$300,COLUMN()/2+1,FALSE)),"")</f>
        <v>#N/A</v>
      </c>
      <c r="W110" s="58"/>
      <c r="X110" s="16" t="e">
        <f ca="1">IF($A110&lt;&gt;"",
IF(VLOOKUP($A110,貼り付け用!$A$1:$BA$300,COLUMN()/2+1,FALSE)=0,"",VLOOKUP($A110,貼り付け用!$A$1:$BA$300,COLUMN()/2+1,FALSE)),"")</f>
        <v>#N/A</v>
      </c>
      <c r="Y110" s="58"/>
      <c r="Z110" s="16" t="e">
        <f ca="1">IF($A110&lt;&gt;"",
IF(VLOOKUP($A110,貼り付け用!$A$1:$BA$300,COLUMN()/2+1,FALSE)=0,"",VLOOKUP($A110,貼り付け用!$A$1:$BA$300,COLUMN()/2+1,FALSE)),"")</f>
        <v>#N/A</v>
      </c>
      <c r="AA110" s="58"/>
      <c r="AB110" s="16" t="e">
        <f ca="1">IF($A110&lt;&gt;"",
IF(VLOOKUP($A110,貼り付け用!$A$1:$BA$300,COLUMN()/2+1,FALSE)=0,"",VLOOKUP($A110,貼り付け用!$A$1:$BA$300,COLUMN()/2+1,FALSE)),"")</f>
        <v>#N/A</v>
      </c>
      <c r="AC110" s="58"/>
      <c r="AD110" s="16" t="e">
        <f ca="1">IF($A110&lt;&gt;"",
IF(VLOOKUP($A110,貼り付け用!$A$1:$BA$300,COLUMN()/2+1,FALSE)=0,"",VLOOKUP($A110,貼り付け用!$A$1:$BA$300,COLUMN()/2+1,FALSE)),"")</f>
        <v>#N/A</v>
      </c>
      <c r="AE110" s="58"/>
      <c r="AF110" s="16" t="e">
        <f ca="1">IF($A110&lt;&gt;"",
IF(VLOOKUP($A110,貼り付け用!$A$1:$BA$300,COLUMN()/2+1,FALSE)=0,"",VLOOKUP($A110,貼り付け用!$A$1:$BA$300,COLUMN()/2+1,FALSE)),"")</f>
        <v>#N/A</v>
      </c>
      <c r="AG110" s="58"/>
      <c r="AH110" s="16" t="e">
        <f ca="1">IF($A110&lt;&gt;"",
IF(VLOOKUP($A110,貼り付け用!$A$1:$BA$300,COLUMN()/2+1,FALSE)=0,"",VLOOKUP($A110,貼り付け用!$A$1:$BA$300,COLUMN()/2+1,FALSE)),"")</f>
        <v>#N/A</v>
      </c>
      <c r="AI110" s="58"/>
      <c r="AJ110" s="16" t="e">
        <f ca="1">IF($A110&lt;&gt;"",
IF(VLOOKUP($A110,貼り付け用!$A$1:$BA$300,COLUMN()/2+1,FALSE)=0,"",VLOOKUP($A110,貼り付け用!$A$1:$BA$300,COLUMN()/2+1,FALSE)),"")</f>
        <v>#N/A</v>
      </c>
      <c r="AK110" s="58"/>
      <c r="AL110" s="16" t="e">
        <f ca="1">IF($A110&lt;&gt;"",
IF(VLOOKUP($A110,貼り付け用!$A$1:$BA$300,COLUMN()/2+1,FALSE)=0,"",VLOOKUP($A110,貼り付け用!$A$1:$BA$300,COLUMN()/2+1,FALSE)),"")</f>
        <v>#N/A</v>
      </c>
      <c r="AM110" s="210" t="e">
        <f ca="1">IF($A110&lt;&gt;"",
IF(VLOOKUP($A110,貼り付け用!$A$1:$BA$300,COLUMN()/2+2,FALSE)=0,"",VLOOKUP($A110,貼り付け用!$A$1:$BA$300,COLUMN()/2+2,FALSE)),"")</f>
        <v>#N/A</v>
      </c>
      <c r="AN110" s="210" t="e">
        <f ca="1">IF($A110&lt;&gt;"",
IF(VLOOKUP($A110,貼り付け用!$A$1:$BA$300,COLUMN()/2+3,FALSE)=0,"",VLOOKUP($A110,貼り付け用!$A$1:$BA$300,COLUMN()/2+3,FALSE)),"")</f>
        <v>#N/A</v>
      </c>
    </row>
    <row r="111" spans="1:40" x14ac:dyDescent="0.45">
      <c r="A111" s="8" t="e" cm="1">
        <f t="array" aca="1" ref="A111" ca="1">IF(OR(COUNTIF(A109,"*1000*"),COUNTIF(A109,"")),"",INDEX(貼り付け用!$A:$A,MATCH(A109,貼り付け用!$A:$A,0)+2,0))</f>
        <v>#N/A</v>
      </c>
      <c r="B111" s="46" t="e">
        <f ca="1">IF($A111&lt;&gt;"",
IF(VLOOKUP($A111,貼り付け用!$A$1:$BA$300,COLUMN()/2+1,FALSE)=0,"",VLOOKUP($A111,貼り付け用!$A$1:$BA$300,COLUMN()/2+1,FALSE)),"")</f>
        <v>#N/A</v>
      </c>
      <c r="C111" s="46"/>
      <c r="D111" s="46" t="e">
        <f ca="1">IF($A111&lt;&gt;"",
IF(VLOOKUP($A111,貼り付け用!$A$1:$BA$300,COLUMN()/2+1,FALSE)=0,"",VLOOKUP($A111,貼り付け用!$A$1:$BA$300,COLUMN()/2+1,FALSE)),"")</f>
        <v>#N/A</v>
      </c>
      <c r="E111" s="46"/>
      <c r="F111" s="46" t="e">
        <f ca="1">IF($A111&lt;&gt;"",
IF(VLOOKUP($A111,貼り付け用!$A$1:$BA$300,COLUMN()/2+1,FALSE)=0,"",VLOOKUP($A111,貼り付け用!$A$1:$BA$300,COLUMN()/2+1,FALSE)),"")</f>
        <v>#N/A</v>
      </c>
      <c r="G111" s="46"/>
      <c r="H111" s="46" t="e">
        <f ca="1">IF($A111&lt;&gt;"",
IF(VLOOKUP($A111,貼り付け用!$A$1:$BA$300,COLUMN()/2+1,FALSE)=0,"",VLOOKUP($A111,貼り付け用!$A$1:$BA$300,COLUMN()/2+1,FALSE)),"")</f>
        <v>#N/A</v>
      </c>
      <c r="I111" s="46"/>
      <c r="J111" s="46" t="e">
        <f ca="1">IF($A111&lt;&gt;"",
IF(VLOOKUP($A111,貼り付け用!$A$1:$BA$300,COLUMN()/2+1,FALSE)=0,"",VLOOKUP($A111,貼り付け用!$A$1:$BA$300,COLUMN()/2+1,FALSE)),"")</f>
        <v>#N/A</v>
      </c>
      <c r="K111" s="46"/>
      <c r="L111" s="46" t="e">
        <f ca="1">IF($A111&lt;&gt;"",
IF(VLOOKUP($A111,貼り付け用!$A$1:$BA$300,COLUMN()/2+1,FALSE)=0,"",VLOOKUP($A111,貼り付け用!$A$1:$BA$300,COLUMN()/2+1,FALSE)),"")</f>
        <v>#N/A</v>
      </c>
      <c r="M111" s="46"/>
      <c r="N111" s="46" t="e">
        <f ca="1">IF($A111&lt;&gt;"",
IF(VLOOKUP($A111,貼り付け用!$A$1:$BA$300,COLUMN()/2+1,FALSE)=0,"",VLOOKUP($A111,貼り付け用!$A$1:$BA$300,COLUMN()/2+1,FALSE)),"")</f>
        <v>#N/A</v>
      </c>
      <c r="O111" s="46"/>
      <c r="P111" s="46" t="e">
        <f ca="1">IF($A111&lt;&gt;"",
IF(VLOOKUP($A111,貼り付け用!$A$1:$BA$300,COLUMN()/2+1,FALSE)=0,"",VLOOKUP($A111,貼り付け用!$A$1:$BA$300,COLUMN()/2+1,FALSE)),"")</f>
        <v>#N/A</v>
      </c>
      <c r="Q111" s="46"/>
      <c r="R111" s="46" t="e">
        <f ca="1">IF($A111&lt;&gt;"",
IF(VLOOKUP($A111,貼り付け用!$A$1:$BA$300,COLUMN()/2+1,FALSE)=0,"",VLOOKUP($A111,貼り付け用!$A$1:$BA$300,COLUMN()/2+1,FALSE)),"")</f>
        <v>#N/A</v>
      </c>
      <c r="S111" s="46"/>
      <c r="T111" s="46" t="e">
        <f ca="1">IF($A111&lt;&gt;"",
IF(VLOOKUP($A111,貼り付け用!$A$1:$BA$300,COLUMN()/2+1,FALSE)=0,"",VLOOKUP($A111,貼り付け用!$A$1:$BA$300,COLUMN()/2+1,FALSE)),"")</f>
        <v>#N/A</v>
      </c>
      <c r="U111" s="46"/>
      <c r="V111" s="46" t="e">
        <f ca="1">IF($A111&lt;&gt;"",
IF(VLOOKUP($A111,貼り付け用!$A$1:$BA$300,COLUMN()/2+1,FALSE)=0,"",VLOOKUP($A111,貼り付け用!$A$1:$BA$300,COLUMN()/2+1,FALSE)),"")</f>
        <v>#N/A</v>
      </c>
      <c r="W111" s="46"/>
      <c r="X111" s="46" t="e">
        <f ca="1">IF($A111&lt;&gt;"",
IF(VLOOKUP($A111,貼り付け用!$A$1:$BA$300,COLUMN()/2+1,FALSE)=0,"",VLOOKUP($A111,貼り付け用!$A$1:$BA$300,COLUMN()/2+1,FALSE)),"")</f>
        <v>#N/A</v>
      </c>
      <c r="Y111" s="46"/>
      <c r="Z111" s="46" t="e">
        <f ca="1">IF($A111&lt;&gt;"",
IF(VLOOKUP($A111,貼り付け用!$A$1:$BA$300,COLUMN()/2+1,FALSE)=0,"",VLOOKUP($A111,貼り付け用!$A$1:$BA$300,COLUMN()/2+1,FALSE)),"")</f>
        <v>#N/A</v>
      </c>
      <c r="AA111" s="46"/>
      <c r="AB111" s="46" t="e">
        <f ca="1">IF($A111&lt;&gt;"",
IF(VLOOKUP($A111,貼り付け用!$A$1:$BA$300,COLUMN()/2+1,FALSE)=0,"",VLOOKUP($A111,貼り付け用!$A$1:$BA$300,COLUMN()/2+1,FALSE)),"")</f>
        <v>#N/A</v>
      </c>
      <c r="AC111" s="46"/>
      <c r="AD111" s="46" t="e">
        <f ca="1">IF($A111&lt;&gt;"",
IF(VLOOKUP($A111,貼り付け用!$A$1:$BA$300,COLUMN()/2+1,FALSE)=0,"",VLOOKUP($A111,貼り付け用!$A$1:$BA$300,COLUMN()/2+1,FALSE)),"")</f>
        <v>#N/A</v>
      </c>
      <c r="AE111" s="46"/>
      <c r="AF111" s="46" t="e">
        <f ca="1">IF($A111&lt;&gt;"",
IF(VLOOKUP($A111,貼り付け用!$A$1:$BA$300,COLUMN()/2+1,FALSE)=0,"",VLOOKUP($A111,貼り付け用!$A$1:$BA$300,COLUMN()/2+1,FALSE)),"")</f>
        <v>#N/A</v>
      </c>
      <c r="AG111" s="46"/>
      <c r="AH111" s="46" t="e">
        <f ca="1">IF($A111&lt;&gt;"",
IF(VLOOKUP($A111,貼り付け用!$A$1:$BA$300,COLUMN()/2+1,FALSE)=0,"",VLOOKUP($A111,貼り付け用!$A$1:$BA$300,COLUMN()/2+1,FALSE)),"")</f>
        <v>#N/A</v>
      </c>
      <c r="AI111" s="46"/>
      <c r="AJ111" s="46" t="e">
        <f ca="1">IF($A111&lt;&gt;"",
IF(VLOOKUP($A111,貼り付け用!$A$1:$BA$300,COLUMN()/2+1,FALSE)=0,"",VLOOKUP($A111,貼り付け用!$A$1:$BA$300,COLUMN()/2+1,FALSE)),"")</f>
        <v>#N/A</v>
      </c>
      <c r="AK111" s="46"/>
      <c r="AL111" s="46" t="e">
        <f ca="1">IF($A111&lt;&gt;"",
IF(VLOOKUP($A111,貼り付け用!$A$1:$BA$300,COLUMN()/2+1,FALSE)=0,"",VLOOKUP($A111,貼り付け用!$A$1:$BA$300,COLUMN()/2+1,FALSE)),"")</f>
        <v>#N/A</v>
      </c>
      <c r="AM111" s="211" t="e">
        <f ca="1">IF($A111&lt;&gt;"",
IF(VLOOKUP($A111,貼り付け用!$A$1:$BA$300,COLUMN()/2+2,FALSE)=0,"",VLOOKUP($A111,貼り付け用!$A$1:$BA$300,COLUMN()/2+2,FALSE)),"")</f>
        <v>#N/A</v>
      </c>
      <c r="AN111" s="211" t="e">
        <f ca="1">IF($A111&lt;&gt;"",
IF(VLOOKUP($A111,貼り付け用!$A$1:$BA$300,COLUMN()/2+3,FALSE)=0,"",VLOOKUP($A111,貼り付け用!$A$1:$BA$300,COLUMN()/2+3,FALSE)),"")</f>
        <v>#N/A</v>
      </c>
    </row>
    <row r="112" spans="1:40" x14ac:dyDescent="0.45">
      <c r="A112" s="5" t="e" cm="1">
        <f t="array" aca="1" ref="A112" ca="1">IF(OR(COUNTIF(A110,"*合計*"),COUNTIF(A110,"")),"",INDEX(貼り付け用!$A:$A,MATCH(A110,貼り付け用!$A:$A,0)+2,0))</f>
        <v>#N/A</v>
      </c>
      <c r="B112" s="16" t="e">
        <f ca="1">IF($A112&lt;&gt;"",
IF(VLOOKUP($A112,貼り付け用!$A$1:$BA$300,COLUMN()/2+1,FALSE)=0,"",VLOOKUP($A112,貼り付け用!$A$1:$BA$300,COLUMN()/2+1,FALSE)),"")</f>
        <v>#N/A</v>
      </c>
      <c r="C112" s="58"/>
      <c r="D112" s="16" t="e">
        <f ca="1">IF($A112&lt;&gt;"",
IF(VLOOKUP($A112,貼り付け用!$A$1:$BA$300,COLUMN()/2+1,FALSE)=0,"",VLOOKUP($A112,貼り付け用!$A$1:$BA$300,COLUMN()/2+1,FALSE)),"")</f>
        <v>#N/A</v>
      </c>
      <c r="E112" s="58"/>
      <c r="F112" s="16" t="e">
        <f ca="1">IF($A112&lt;&gt;"",
IF(VLOOKUP($A112,貼り付け用!$A$1:$BA$300,COLUMN()/2+1,FALSE)=0,"",VLOOKUP($A112,貼り付け用!$A$1:$BA$300,COLUMN()/2+1,FALSE)),"")</f>
        <v>#N/A</v>
      </c>
      <c r="G112" s="58"/>
      <c r="H112" s="16" t="e">
        <f ca="1">IF($A112&lt;&gt;"",
IF(VLOOKUP($A112,貼り付け用!$A$1:$BA$300,COLUMN()/2+1,FALSE)=0,"",VLOOKUP($A112,貼り付け用!$A$1:$BA$300,COLUMN()/2+1,FALSE)),"")</f>
        <v>#N/A</v>
      </c>
      <c r="I112" s="58"/>
      <c r="J112" s="16" t="e">
        <f ca="1">IF($A112&lt;&gt;"",
IF(VLOOKUP($A112,貼り付け用!$A$1:$BA$300,COLUMN()/2+1,FALSE)=0,"",VLOOKUP($A112,貼り付け用!$A$1:$BA$300,COLUMN()/2+1,FALSE)),"")</f>
        <v>#N/A</v>
      </c>
      <c r="K112" s="58"/>
      <c r="L112" s="16" t="e">
        <f ca="1">IF($A112&lt;&gt;"",
IF(VLOOKUP($A112,貼り付け用!$A$1:$BA$300,COLUMN()/2+1,FALSE)=0,"",VLOOKUP($A112,貼り付け用!$A$1:$BA$300,COLUMN()/2+1,FALSE)),"")</f>
        <v>#N/A</v>
      </c>
      <c r="M112" s="58"/>
      <c r="N112" s="16" t="e">
        <f ca="1">IF($A112&lt;&gt;"",
IF(VLOOKUP($A112,貼り付け用!$A$1:$BA$300,COLUMN()/2+1,FALSE)=0,"",VLOOKUP($A112,貼り付け用!$A$1:$BA$300,COLUMN()/2+1,FALSE)),"")</f>
        <v>#N/A</v>
      </c>
      <c r="O112" s="58"/>
      <c r="P112" s="16" t="e">
        <f ca="1">IF($A112&lt;&gt;"",
IF(VLOOKUP($A112,貼り付け用!$A$1:$BA$300,COLUMN()/2+1,FALSE)=0,"",VLOOKUP($A112,貼り付け用!$A$1:$BA$300,COLUMN()/2+1,FALSE)),"")</f>
        <v>#N/A</v>
      </c>
      <c r="Q112" s="58"/>
      <c r="R112" s="16" t="e">
        <f ca="1">IF($A112&lt;&gt;"",
IF(VLOOKUP($A112,貼り付け用!$A$1:$BA$300,COLUMN()/2+1,FALSE)=0,"",VLOOKUP($A112,貼り付け用!$A$1:$BA$300,COLUMN()/2+1,FALSE)),"")</f>
        <v>#N/A</v>
      </c>
      <c r="S112" s="58"/>
      <c r="T112" s="16" t="e">
        <f ca="1">IF($A112&lt;&gt;"",
IF(VLOOKUP($A112,貼り付け用!$A$1:$BA$300,COLUMN()/2+1,FALSE)=0,"",VLOOKUP($A112,貼り付け用!$A$1:$BA$300,COLUMN()/2+1,FALSE)),"")</f>
        <v>#N/A</v>
      </c>
      <c r="U112" s="58"/>
      <c r="V112" s="16" t="e">
        <f ca="1">IF($A112&lt;&gt;"",
IF(VLOOKUP($A112,貼り付け用!$A$1:$BA$300,COLUMN()/2+1,FALSE)=0,"",VLOOKUP($A112,貼り付け用!$A$1:$BA$300,COLUMN()/2+1,FALSE)),"")</f>
        <v>#N/A</v>
      </c>
      <c r="W112" s="58"/>
      <c r="X112" s="16" t="e">
        <f ca="1">IF($A112&lt;&gt;"",
IF(VLOOKUP($A112,貼り付け用!$A$1:$BA$300,COLUMN()/2+1,FALSE)=0,"",VLOOKUP($A112,貼り付け用!$A$1:$BA$300,COLUMN()/2+1,FALSE)),"")</f>
        <v>#N/A</v>
      </c>
      <c r="Y112" s="58"/>
      <c r="Z112" s="16" t="e">
        <f ca="1">IF($A112&lt;&gt;"",
IF(VLOOKUP($A112,貼り付け用!$A$1:$BA$300,COLUMN()/2+1,FALSE)=0,"",VLOOKUP($A112,貼り付け用!$A$1:$BA$300,COLUMN()/2+1,FALSE)),"")</f>
        <v>#N/A</v>
      </c>
      <c r="AA112" s="58"/>
      <c r="AB112" s="16" t="e">
        <f ca="1">IF($A112&lt;&gt;"",
IF(VLOOKUP($A112,貼り付け用!$A$1:$BA$300,COLUMN()/2+1,FALSE)=0,"",VLOOKUP($A112,貼り付け用!$A$1:$BA$300,COLUMN()/2+1,FALSE)),"")</f>
        <v>#N/A</v>
      </c>
      <c r="AC112" s="58"/>
      <c r="AD112" s="16" t="e">
        <f ca="1">IF($A112&lt;&gt;"",
IF(VLOOKUP($A112,貼り付け用!$A$1:$BA$300,COLUMN()/2+1,FALSE)=0,"",VLOOKUP($A112,貼り付け用!$A$1:$BA$300,COLUMN()/2+1,FALSE)),"")</f>
        <v>#N/A</v>
      </c>
      <c r="AE112" s="58"/>
      <c r="AF112" s="16" t="e">
        <f ca="1">IF($A112&lt;&gt;"",
IF(VLOOKUP($A112,貼り付け用!$A$1:$BA$300,COLUMN()/2+1,FALSE)=0,"",VLOOKUP($A112,貼り付け用!$A$1:$BA$300,COLUMN()/2+1,FALSE)),"")</f>
        <v>#N/A</v>
      </c>
      <c r="AG112" s="58"/>
      <c r="AH112" s="16" t="e">
        <f ca="1">IF($A112&lt;&gt;"",
IF(VLOOKUP($A112,貼り付け用!$A$1:$BA$300,COLUMN()/2+1,FALSE)=0,"",VLOOKUP($A112,貼り付け用!$A$1:$BA$300,COLUMN()/2+1,FALSE)),"")</f>
        <v>#N/A</v>
      </c>
      <c r="AI112" s="58"/>
      <c r="AJ112" s="16" t="e">
        <f ca="1">IF($A112&lt;&gt;"",
IF(VLOOKUP($A112,貼り付け用!$A$1:$BA$300,COLUMN()/2+1,FALSE)=0,"",VLOOKUP($A112,貼り付け用!$A$1:$BA$300,COLUMN()/2+1,FALSE)),"")</f>
        <v>#N/A</v>
      </c>
      <c r="AK112" s="58"/>
      <c r="AL112" s="16" t="e">
        <f ca="1">IF($A112&lt;&gt;"",
IF(VLOOKUP($A112,貼り付け用!$A$1:$BA$300,COLUMN()/2+1,FALSE)=0,"",VLOOKUP($A112,貼り付け用!$A$1:$BA$300,COLUMN()/2+1,FALSE)),"")</f>
        <v>#N/A</v>
      </c>
      <c r="AM112" s="210" t="e">
        <f ca="1">IF($A112&lt;&gt;"",
IF(VLOOKUP($A112,貼り付け用!$A$1:$BA$300,COLUMN()/2+2,FALSE)=0,"",VLOOKUP($A112,貼り付け用!$A$1:$BA$300,COLUMN()/2+2,FALSE)),"")</f>
        <v>#N/A</v>
      </c>
      <c r="AN112" s="210" t="e">
        <f ca="1">IF($A112&lt;&gt;"",
IF(VLOOKUP($A112,貼り付け用!$A$1:$BA$300,COLUMN()/2+3,FALSE)=0,"",VLOOKUP($A112,貼り付け用!$A$1:$BA$300,COLUMN()/2+3,FALSE)),"")</f>
        <v>#N/A</v>
      </c>
    </row>
    <row r="113" spans="1:40" x14ac:dyDescent="0.45">
      <c r="A113" s="8" t="e" cm="1">
        <f t="array" aca="1" ref="A113" ca="1">IF(OR(COUNTIF(A111,"*1000*"),COUNTIF(A111,"")),"",INDEX(貼り付け用!$A:$A,MATCH(A111,貼り付け用!$A:$A,0)+2,0))</f>
        <v>#N/A</v>
      </c>
      <c r="B113" s="46" t="e">
        <f ca="1">IF($A113&lt;&gt;"",
IF(VLOOKUP($A113,貼り付け用!$A$1:$BA$300,COLUMN()/2+1,FALSE)=0,"",VLOOKUP($A113,貼り付け用!$A$1:$BA$300,COLUMN()/2+1,FALSE)),"")</f>
        <v>#N/A</v>
      </c>
      <c r="C113" s="46"/>
      <c r="D113" s="46" t="e">
        <f ca="1">IF($A113&lt;&gt;"",
IF(VLOOKUP($A113,貼り付け用!$A$1:$BA$300,COLUMN()/2+1,FALSE)=0,"",VLOOKUP($A113,貼り付け用!$A$1:$BA$300,COLUMN()/2+1,FALSE)),"")</f>
        <v>#N/A</v>
      </c>
      <c r="E113" s="46"/>
      <c r="F113" s="46" t="e">
        <f ca="1">IF($A113&lt;&gt;"",
IF(VLOOKUP($A113,貼り付け用!$A$1:$BA$300,COLUMN()/2+1,FALSE)=0,"",VLOOKUP($A113,貼り付け用!$A$1:$BA$300,COLUMN()/2+1,FALSE)),"")</f>
        <v>#N/A</v>
      </c>
      <c r="G113" s="46"/>
      <c r="H113" s="46" t="e">
        <f ca="1">IF($A113&lt;&gt;"",
IF(VLOOKUP($A113,貼り付け用!$A$1:$BA$300,COLUMN()/2+1,FALSE)=0,"",VLOOKUP($A113,貼り付け用!$A$1:$BA$300,COLUMN()/2+1,FALSE)),"")</f>
        <v>#N/A</v>
      </c>
      <c r="I113" s="46"/>
      <c r="J113" s="46" t="e">
        <f ca="1">IF($A113&lt;&gt;"",
IF(VLOOKUP($A113,貼り付け用!$A$1:$BA$300,COLUMN()/2+1,FALSE)=0,"",VLOOKUP($A113,貼り付け用!$A$1:$BA$300,COLUMN()/2+1,FALSE)),"")</f>
        <v>#N/A</v>
      </c>
      <c r="K113" s="46"/>
      <c r="L113" s="46" t="e">
        <f ca="1">IF($A113&lt;&gt;"",
IF(VLOOKUP($A113,貼り付け用!$A$1:$BA$300,COLUMN()/2+1,FALSE)=0,"",VLOOKUP($A113,貼り付け用!$A$1:$BA$300,COLUMN()/2+1,FALSE)),"")</f>
        <v>#N/A</v>
      </c>
      <c r="M113" s="46"/>
      <c r="N113" s="46" t="e">
        <f ca="1">IF($A113&lt;&gt;"",
IF(VLOOKUP($A113,貼り付け用!$A$1:$BA$300,COLUMN()/2+1,FALSE)=0,"",VLOOKUP($A113,貼り付け用!$A$1:$BA$300,COLUMN()/2+1,FALSE)),"")</f>
        <v>#N/A</v>
      </c>
      <c r="O113" s="46"/>
      <c r="P113" s="46" t="e">
        <f ca="1">IF($A113&lt;&gt;"",
IF(VLOOKUP($A113,貼り付け用!$A$1:$BA$300,COLUMN()/2+1,FALSE)=0,"",VLOOKUP($A113,貼り付け用!$A$1:$BA$300,COLUMN()/2+1,FALSE)),"")</f>
        <v>#N/A</v>
      </c>
      <c r="Q113" s="46"/>
      <c r="R113" s="46" t="e">
        <f ca="1">IF($A113&lt;&gt;"",
IF(VLOOKUP($A113,貼り付け用!$A$1:$BA$300,COLUMN()/2+1,FALSE)=0,"",VLOOKUP($A113,貼り付け用!$A$1:$BA$300,COLUMN()/2+1,FALSE)),"")</f>
        <v>#N/A</v>
      </c>
      <c r="S113" s="46"/>
      <c r="T113" s="46" t="e">
        <f ca="1">IF($A113&lt;&gt;"",
IF(VLOOKUP($A113,貼り付け用!$A$1:$BA$300,COLUMN()/2+1,FALSE)=0,"",VLOOKUP($A113,貼り付け用!$A$1:$BA$300,COLUMN()/2+1,FALSE)),"")</f>
        <v>#N/A</v>
      </c>
      <c r="U113" s="46"/>
      <c r="V113" s="46" t="e">
        <f ca="1">IF($A113&lt;&gt;"",
IF(VLOOKUP($A113,貼り付け用!$A$1:$BA$300,COLUMN()/2+1,FALSE)=0,"",VLOOKUP($A113,貼り付け用!$A$1:$BA$300,COLUMN()/2+1,FALSE)),"")</f>
        <v>#N/A</v>
      </c>
      <c r="W113" s="46"/>
      <c r="X113" s="46" t="e">
        <f ca="1">IF($A113&lt;&gt;"",
IF(VLOOKUP($A113,貼り付け用!$A$1:$BA$300,COLUMN()/2+1,FALSE)=0,"",VLOOKUP($A113,貼り付け用!$A$1:$BA$300,COLUMN()/2+1,FALSE)),"")</f>
        <v>#N/A</v>
      </c>
      <c r="Y113" s="46"/>
      <c r="Z113" s="46" t="e">
        <f ca="1">IF($A113&lt;&gt;"",
IF(VLOOKUP($A113,貼り付け用!$A$1:$BA$300,COLUMN()/2+1,FALSE)=0,"",VLOOKUP($A113,貼り付け用!$A$1:$BA$300,COLUMN()/2+1,FALSE)),"")</f>
        <v>#N/A</v>
      </c>
      <c r="AA113" s="46"/>
      <c r="AB113" s="46" t="e">
        <f ca="1">IF($A113&lt;&gt;"",
IF(VLOOKUP($A113,貼り付け用!$A$1:$BA$300,COLUMN()/2+1,FALSE)=0,"",VLOOKUP($A113,貼り付け用!$A$1:$BA$300,COLUMN()/2+1,FALSE)),"")</f>
        <v>#N/A</v>
      </c>
      <c r="AC113" s="46"/>
      <c r="AD113" s="46" t="e">
        <f ca="1">IF($A113&lt;&gt;"",
IF(VLOOKUP($A113,貼り付け用!$A$1:$BA$300,COLUMN()/2+1,FALSE)=0,"",VLOOKUP($A113,貼り付け用!$A$1:$BA$300,COLUMN()/2+1,FALSE)),"")</f>
        <v>#N/A</v>
      </c>
      <c r="AE113" s="46"/>
      <c r="AF113" s="46" t="e">
        <f ca="1">IF($A113&lt;&gt;"",
IF(VLOOKUP($A113,貼り付け用!$A$1:$BA$300,COLUMN()/2+1,FALSE)=0,"",VLOOKUP($A113,貼り付け用!$A$1:$BA$300,COLUMN()/2+1,FALSE)),"")</f>
        <v>#N/A</v>
      </c>
      <c r="AG113" s="46"/>
      <c r="AH113" s="46" t="e">
        <f ca="1">IF($A113&lt;&gt;"",
IF(VLOOKUP($A113,貼り付け用!$A$1:$BA$300,COLUMN()/2+1,FALSE)=0,"",VLOOKUP($A113,貼り付け用!$A$1:$BA$300,COLUMN()/2+1,FALSE)),"")</f>
        <v>#N/A</v>
      </c>
      <c r="AI113" s="46"/>
      <c r="AJ113" s="46" t="e">
        <f ca="1">IF($A113&lt;&gt;"",
IF(VLOOKUP($A113,貼り付け用!$A$1:$BA$300,COLUMN()/2+1,FALSE)=0,"",VLOOKUP($A113,貼り付け用!$A$1:$BA$300,COLUMN()/2+1,FALSE)),"")</f>
        <v>#N/A</v>
      </c>
      <c r="AK113" s="46"/>
      <c r="AL113" s="46" t="e">
        <f ca="1">IF($A113&lt;&gt;"",
IF(VLOOKUP($A113,貼り付け用!$A$1:$BA$300,COLUMN()/2+1,FALSE)=0,"",VLOOKUP($A113,貼り付け用!$A$1:$BA$300,COLUMN()/2+1,FALSE)),"")</f>
        <v>#N/A</v>
      </c>
      <c r="AM113" s="211" t="e">
        <f ca="1">IF($A113&lt;&gt;"",
IF(VLOOKUP($A113,貼り付け用!$A$1:$BA$300,COLUMN()/2+2,FALSE)=0,"",VLOOKUP($A113,貼り付け用!$A$1:$BA$300,COLUMN()/2+2,FALSE)),"")</f>
        <v>#N/A</v>
      </c>
      <c r="AN113" s="211" t="e">
        <f ca="1">IF($A113&lt;&gt;"",
IF(VLOOKUP($A113,貼り付け用!$A$1:$BA$300,COLUMN()/2+3,FALSE)=0,"",VLOOKUP($A113,貼り付け用!$A$1:$BA$300,COLUMN()/2+3,FALSE)),"")</f>
        <v>#N/A</v>
      </c>
    </row>
    <row r="114" spans="1:40" x14ac:dyDescent="0.45">
      <c r="A114" s="5" t="e" cm="1">
        <f t="array" aca="1" ref="A114" ca="1">IF(OR(COUNTIF(A112,"*合計*"),COUNTIF(A112,"")),"",INDEX(貼り付け用!$A:$A,MATCH(A112,貼り付け用!$A:$A,0)+2,0))</f>
        <v>#N/A</v>
      </c>
      <c r="B114" s="16" t="e">
        <f ca="1">IF($A114&lt;&gt;"",
IF(VLOOKUP($A114,貼り付け用!$A$1:$BA$300,COLUMN()/2+1,FALSE)=0,"",VLOOKUP($A114,貼り付け用!$A$1:$BA$300,COLUMN()/2+1,FALSE)),"")</f>
        <v>#N/A</v>
      </c>
      <c r="C114" s="58"/>
      <c r="D114" s="16" t="e">
        <f ca="1">IF($A114&lt;&gt;"",
IF(VLOOKUP($A114,貼り付け用!$A$1:$BA$300,COLUMN()/2+1,FALSE)=0,"",VLOOKUP($A114,貼り付け用!$A$1:$BA$300,COLUMN()/2+1,FALSE)),"")</f>
        <v>#N/A</v>
      </c>
      <c r="E114" s="58"/>
      <c r="F114" s="16" t="e">
        <f ca="1">IF($A114&lt;&gt;"",
IF(VLOOKUP($A114,貼り付け用!$A$1:$BA$300,COLUMN()/2+1,FALSE)=0,"",VLOOKUP($A114,貼り付け用!$A$1:$BA$300,COLUMN()/2+1,FALSE)),"")</f>
        <v>#N/A</v>
      </c>
      <c r="G114" s="58"/>
      <c r="H114" s="16" t="e">
        <f ca="1">IF($A114&lt;&gt;"",
IF(VLOOKUP($A114,貼り付け用!$A$1:$BA$300,COLUMN()/2+1,FALSE)=0,"",VLOOKUP($A114,貼り付け用!$A$1:$BA$300,COLUMN()/2+1,FALSE)),"")</f>
        <v>#N/A</v>
      </c>
      <c r="I114" s="58"/>
      <c r="J114" s="16" t="e">
        <f ca="1">IF($A114&lt;&gt;"",
IF(VLOOKUP($A114,貼り付け用!$A$1:$BA$300,COLUMN()/2+1,FALSE)=0,"",VLOOKUP($A114,貼り付け用!$A$1:$BA$300,COLUMN()/2+1,FALSE)),"")</f>
        <v>#N/A</v>
      </c>
      <c r="K114" s="58"/>
      <c r="L114" s="16" t="e">
        <f ca="1">IF($A114&lt;&gt;"",
IF(VLOOKUP($A114,貼り付け用!$A$1:$BA$300,COLUMN()/2+1,FALSE)=0,"",VLOOKUP($A114,貼り付け用!$A$1:$BA$300,COLUMN()/2+1,FALSE)),"")</f>
        <v>#N/A</v>
      </c>
      <c r="M114" s="58"/>
      <c r="N114" s="16" t="e">
        <f ca="1">IF($A114&lt;&gt;"",
IF(VLOOKUP($A114,貼り付け用!$A$1:$BA$300,COLUMN()/2+1,FALSE)=0,"",VLOOKUP($A114,貼り付け用!$A$1:$BA$300,COLUMN()/2+1,FALSE)),"")</f>
        <v>#N/A</v>
      </c>
      <c r="O114" s="58"/>
      <c r="P114" s="16" t="e">
        <f ca="1">IF($A114&lt;&gt;"",
IF(VLOOKUP($A114,貼り付け用!$A$1:$BA$300,COLUMN()/2+1,FALSE)=0,"",VLOOKUP($A114,貼り付け用!$A$1:$BA$300,COLUMN()/2+1,FALSE)),"")</f>
        <v>#N/A</v>
      </c>
      <c r="Q114" s="58"/>
      <c r="R114" s="16" t="e">
        <f ca="1">IF($A114&lt;&gt;"",
IF(VLOOKUP($A114,貼り付け用!$A$1:$BA$300,COLUMN()/2+1,FALSE)=0,"",VLOOKUP($A114,貼り付け用!$A$1:$BA$300,COLUMN()/2+1,FALSE)),"")</f>
        <v>#N/A</v>
      </c>
      <c r="S114" s="58"/>
      <c r="T114" s="16" t="e">
        <f ca="1">IF($A114&lt;&gt;"",
IF(VLOOKUP($A114,貼り付け用!$A$1:$BA$300,COLUMN()/2+1,FALSE)=0,"",VLOOKUP($A114,貼り付け用!$A$1:$BA$300,COLUMN()/2+1,FALSE)),"")</f>
        <v>#N/A</v>
      </c>
      <c r="U114" s="58"/>
      <c r="V114" s="16" t="e">
        <f ca="1">IF($A114&lt;&gt;"",
IF(VLOOKUP($A114,貼り付け用!$A$1:$BA$300,COLUMN()/2+1,FALSE)=0,"",VLOOKUP($A114,貼り付け用!$A$1:$BA$300,COLUMN()/2+1,FALSE)),"")</f>
        <v>#N/A</v>
      </c>
      <c r="W114" s="58"/>
      <c r="X114" s="16" t="e">
        <f ca="1">IF($A114&lt;&gt;"",
IF(VLOOKUP($A114,貼り付け用!$A$1:$BA$300,COLUMN()/2+1,FALSE)=0,"",VLOOKUP($A114,貼り付け用!$A$1:$BA$300,COLUMN()/2+1,FALSE)),"")</f>
        <v>#N/A</v>
      </c>
      <c r="Y114" s="58"/>
      <c r="Z114" s="16" t="e">
        <f ca="1">IF($A114&lt;&gt;"",
IF(VLOOKUP($A114,貼り付け用!$A$1:$BA$300,COLUMN()/2+1,FALSE)=0,"",VLOOKUP($A114,貼り付け用!$A$1:$BA$300,COLUMN()/2+1,FALSE)),"")</f>
        <v>#N/A</v>
      </c>
      <c r="AA114" s="58"/>
      <c r="AB114" s="16" t="e">
        <f ca="1">IF($A114&lt;&gt;"",
IF(VLOOKUP($A114,貼り付け用!$A$1:$BA$300,COLUMN()/2+1,FALSE)=0,"",VLOOKUP($A114,貼り付け用!$A$1:$BA$300,COLUMN()/2+1,FALSE)),"")</f>
        <v>#N/A</v>
      </c>
      <c r="AC114" s="58"/>
      <c r="AD114" s="16" t="e">
        <f ca="1">IF($A114&lt;&gt;"",
IF(VLOOKUP($A114,貼り付け用!$A$1:$BA$300,COLUMN()/2+1,FALSE)=0,"",VLOOKUP($A114,貼り付け用!$A$1:$BA$300,COLUMN()/2+1,FALSE)),"")</f>
        <v>#N/A</v>
      </c>
      <c r="AE114" s="58"/>
      <c r="AF114" s="16" t="e">
        <f ca="1">IF($A114&lt;&gt;"",
IF(VLOOKUP($A114,貼り付け用!$A$1:$BA$300,COLUMN()/2+1,FALSE)=0,"",VLOOKUP($A114,貼り付け用!$A$1:$BA$300,COLUMN()/2+1,FALSE)),"")</f>
        <v>#N/A</v>
      </c>
      <c r="AG114" s="58"/>
      <c r="AH114" s="16" t="e">
        <f ca="1">IF($A114&lt;&gt;"",
IF(VLOOKUP($A114,貼り付け用!$A$1:$BA$300,COLUMN()/2+1,FALSE)=0,"",VLOOKUP($A114,貼り付け用!$A$1:$BA$300,COLUMN()/2+1,FALSE)),"")</f>
        <v>#N/A</v>
      </c>
      <c r="AI114" s="58"/>
      <c r="AJ114" s="16" t="e">
        <f ca="1">IF($A114&lt;&gt;"",
IF(VLOOKUP($A114,貼り付け用!$A$1:$BA$300,COLUMN()/2+1,FALSE)=0,"",VLOOKUP($A114,貼り付け用!$A$1:$BA$300,COLUMN()/2+1,FALSE)),"")</f>
        <v>#N/A</v>
      </c>
      <c r="AK114" s="58"/>
      <c r="AL114" s="16" t="e">
        <f ca="1">IF($A114&lt;&gt;"",
IF(VLOOKUP($A114,貼り付け用!$A$1:$BA$300,COLUMN()/2+1,FALSE)=0,"",VLOOKUP($A114,貼り付け用!$A$1:$BA$300,COLUMN()/2+1,FALSE)),"")</f>
        <v>#N/A</v>
      </c>
      <c r="AM114" s="210" t="e">
        <f ca="1">IF($A114&lt;&gt;"",
IF(VLOOKUP($A114,貼り付け用!$A$1:$BA$300,COLUMN()/2+2,FALSE)=0,"",VLOOKUP($A114,貼り付け用!$A$1:$BA$300,COLUMN()/2+2,FALSE)),"")</f>
        <v>#N/A</v>
      </c>
      <c r="AN114" s="210" t="e">
        <f ca="1">IF($A114&lt;&gt;"",
IF(VLOOKUP($A114,貼り付け用!$A$1:$BA$300,COLUMN()/2+3,FALSE)=0,"",VLOOKUP($A114,貼り付け用!$A$1:$BA$300,COLUMN()/2+3,FALSE)),"")</f>
        <v>#N/A</v>
      </c>
    </row>
    <row r="115" spans="1:40" x14ac:dyDescent="0.45">
      <c r="A115" s="8" t="e" cm="1">
        <f t="array" aca="1" ref="A115" ca="1">IF(OR(COUNTIF(A113,"*1000*"),COUNTIF(A113,"")),"",INDEX(貼り付け用!$A:$A,MATCH(A113,貼り付け用!$A:$A,0)+2,0))</f>
        <v>#N/A</v>
      </c>
      <c r="B115" s="46" t="e">
        <f ca="1">IF($A115&lt;&gt;"",
IF(VLOOKUP($A115,貼り付け用!$A$1:$BA$300,COLUMN()/2+1,FALSE)=0,"",VLOOKUP($A115,貼り付け用!$A$1:$BA$300,COLUMN()/2+1,FALSE)),"")</f>
        <v>#N/A</v>
      </c>
      <c r="C115" s="46"/>
      <c r="D115" s="46" t="e">
        <f ca="1">IF($A115&lt;&gt;"",
IF(VLOOKUP($A115,貼り付け用!$A$1:$BA$300,COLUMN()/2+1,FALSE)=0,"",VLOOKUP($A115,貼り付け用!$A$1:$BA$300,COLUMN()/2+1,FALSE)),"")</f>
        <v>#N/A</v>
      </c>
      <c r="E115" s="46"/>
      <c r="F115" s="46" t="e">
        <f ca="1">IF($A115&lt;&gt;"",
IF(VLOOKUP($A115,貼り付け用!$A$1:$BA$300,COLUMN()/2+1,FALSE)=0,"",VLOOKUP($A115,貼り付け用!$A$1:$BA$300,COLUMN()/2+1,FALSE)),"")</f>
        <v>#N/A</v>
      </c>
      <c r="G115" s="46"/>
      <c r="H115" s="46" t="e">
        <f ca="1">IF($A115&lt;&gt;"",
IF(VLOOKUP($A115,貼り付け用!$A$1:$BA$300,COLUMN()/2+1,FALSE)=0,"",VLOOKUP($A115,貼り付け用!$A$1:$BA$300,COLUMN()/2+1,FALSE)),"")</f>
        <v>#N/A</v>
      </c>
      <c r="I115" s="46"/>
      <c r="J115" s="46" t="e">
        <f ca="1">IF($A115&lt;&gt;"",
IF(VLOOKUP($A115,貼り付け用!$A$1:$BA$300,COLUMN()/2+1,FALSE)=0,"",VLOOKUP($A115,貼り付け用!$A$1:$BA$300,COLUMN()/2+1,FALSE)),"")</f>
        <v>#N/A</v>
      </c>
      <c r="K115" s="46"/>
      <c r="L115" s="46" t="e">
        <f ca="1">IF($A115&lt;&gt;"",
IF(VLOOKUP($A115,貼り付け用!$A$1:$BA$300,COLUMN()/2+1,FALSE)=0,"",VLOOKUP($A115,貼り付け用!$A$1:$BA$300,COLUMN()/2+1,FALSE)),"")</f>
        <v>#N/A</v>
      </c>
      <c r="M115" s="46"/>
      <c r="N115" s="46" t="e">
        <f ca="1">IF($A115&lt;&gt;"",
IF(VLOOKUP($A115,貼り付け用!$A$1:$BA$300,COLUMN()/2+1,FALSE)=0,"",VLOOKUP($A115,貼り付け用!$A$1:$BA$300,COLUMN()/2+1,FALSE)),"")</f>
        <v>#N/A</v>
      </c>
      <c r="O115" s="46"/>
      <c r="P115" s="46" t="e">
        <f ca="1">IF($A115&lt;&gt;"",
IF(VLOOKUP($A115,貼り付け用!$A$1:$BA$300,COLUMN()/2+1,FALSE)=0,"",VLOOKUP($A115,貼り付け用!$A$1:$BA$300,COLUMN()/2+1,FALSE)),"")</f>
        <v>#N/A</v>
      </c>
      <c r="Q115" s="46"/>
      <c r="R115" s="46" t="e">
        <f ca="1">IF($A115&lt;&gt;"",
IF(VLOOKUP($A115,貼り付け用!$A$1:$BA$300,COLUMN()/2+1,FALSE)=0,"",VLOOKUP($A115,貼り付け用!$A$1:$BA$300,COLUMN()/2+1,FALSE)),"")</f>
        <v>#N/A</v>
      </c>
      <c r="S115" s="46"/>
      <c r="T115" s="46" t="e">
        <f ca="1">IF($A115&lt;&gt;"",
IF(VLOOKUP($A115,貼り付け用!$A$1:$BA$300,COLUMN()/2+1,FALSE)=0,"",VLOOKUP($A115,貼り付け用!$A$1:$BA$300,COLUMN()/2+1,FALSE)),"")</f>
        <v>#N/A</v>
      </c>
      <c r="U115" s="46"/>
      <c r="V115" s="46" t="e">
        <f ca="1">IF($A115&lt;&gt;"",
IF(VLOOKUP($A115,貼り付け用!$A$1:$BA$300,COLUMN()/2+1,FALSE)=0,"",VLOOKUP($A115,貼り付け用!$A$1:$BA$300,COLUMN()/2+1,FALSE)),"")</f>
        <v>#N/A</v>
      </c>
      <c r="W115" s="46"/>
      <c r="X115" s="46" t="e">
        <f ca="1">IF($A115&lt;&gt;"",
IF(VLOOKUP($A115,貼り付け用!$A$1:$BA$300,COLUMN()/2+1,FALSE)=0,"",VLOOKUP($A115,貼り付け用!$A$1:$BA$300,COLUMN()/2+1,FALSE)),"")</f>
        <v>#N/A</v>
      </c>
      <c r="Y115" s="46"/>
      <c r="Z115" s="46" t="e">
        <f ca="1">IF($A115&lt;&gt;"",
IF(VLOOKUP($A115,貼り付け用!$A$1:$BA$300,COLUMN()/2+1,FALSE)=0,"",VLOOKUP($A115,貼り付け用!$A$1:$BA$300,COLUMN()/2+1,FALSE)),"")</f>
        <v>#N/A</v>
      </c>
      <c r="AA115" s="46"/>
      <c r="AB115" s="46" t="e">
        <f ca="1">IF($A115&lt;&gt;"",
IF(VLOOKUP($A115,貼り付け用!$A$1:$BA$300,COLUMN()/2+1,FALSE)=0,"",VLOOKUP($A115,貼り付け用!$A$1:$BA$300,COLUMN()/2+1,FALSE)),"")</f>
        <v>#N/A</v>
      </c>
      <c r="AC115" s="46"/>
      <c r="AD115" s="46" t="e">
        <f ca="1">IF($A115&lt;&gt;"",
IF(VLOOKUP($A115,貼り付け用!$A$1:$BA$300,COLUMN()/2+1,FALSE)=0,"",VLOOKUP($A115,貼り付け用!$A$1:$BA$300,COLUMN()/2+1,FALSE)),"")</f>
        <v>#N/A</v>
      </c>
      <c r="AE115" s="46"/>
      <c r="AF115" s="46" t="e">
        <f ca="1">IF($A115&lt;&gt;"",
IF(VLOOKUP($A115,貼り付け用!$A$1:$BA$300,COLUMN()/2+1,FALSE)=0,"",VLOOKUP($A115,貼り付け用!$A$1:$BA$300,COLUMN()/2+1,FALSE)),"")</f>
        <v>#N/A</v>
      </c>
      <c r="AG115" s="46"/>
      <c r="AH115" s="46" t="e">
        <f ca="1">IF($A115&lt;&gt;"",
IF(VLOOKUP($A115,貼り付け用!$A$1:$BA$300,COLUMN()/2+1,FALSE)=0,"",VLOOKUP($A115,貼り付け用!$A$1:$BA$300,COLUMN()/2+1,FALSE)),"")</f>
        <v>#N/A</v>
      </c>
      <c r="AI115" s="46"/>
      <c r="AJ115" s="46" t="e">
        <f ca="1">IF($A115&lt;&gt;"",
IF(VLOOKUP($A115,貼り付け用!$A$1:$BA$300,COLUMN()/2+1,FALSE)=0,"",VLOOKUP($A115,貼り付け用!$A$1:$BA$300,COLUMN()/2+1,FALSE)),"")</f>
        <v>#N/A</v>
      </c>
      <c r="AK115" s="46"/>
      <c r="AL115" s="46" t="e">
        <f ca="1">IF($A115&lt;&gt;"",
IF(VLOOKUP($A115,貼り付け用!$A$1:$BA$300,COLUMN()/2+1,FALSE)=0,"",VLOOKUP($A115,貼り付け用!$A$1:$BA$300,COLUMN()/2+1,FALSE)),"")</f>
        <v>#N/A</v>
      </c>
      <c r="AM115" s="211" t="e">
        <f ca="1">IF($A115&lt;&gt;"",
IF(VLOOKUP($A115,貼り付け用!$A$1:$BA$300,COLUMN()/2+2,FALSE)=0,"",VLOOKUP($A115,貼り付け用!$A$1:$BA$300,COLUMN()/2+2,FALSE)),"")</f>
        <v>#N/A</v>
      </c>
      <c r="AN115" s="211" t="e">
        <f ca="1">IF($A115&lt;&gt;"",
IF(VLOOKUP($A115,貼り付け用!$A$1:$BA$300,COLUMN()/2+3,FALSE)=0,"",VLOOKUP($A115,貼り付け用!$A$1:$BA$300,COLUMN()/2+3,FALSE)),"")</f>
        <v>#N/A</v>
      </c>
    </row>
    <row r="116" spans="1:40" x14ac:dyDescent="0.45">
      <c r="A116" s="5" t="e" cm="1">
        <f t="array" aca="1" ref="A116" ca="1">IF(OR(COUNTIF(A114,"*合計*"),COUNTIF(A114,"")),"",INDEX(貼り付け用!$A:$A,MATCH(A114,貼り付け用!$A:$A,0)+2,0))</f>
        <v>#N/A</v>
      </c>
      <c r="B116" s="16" t="e">
        <f ca="1">IF($A116&lt;&gt;"",
IF(VLOOKUP($A116,貼り付け用!$A$1:$BA$300,COLUMN()/2+1,FALSE)=0,"",VLOOKUP($A116,貼り付け用!$A$1:$BA$300,COLUMN()/2+1,FALSE)),"")</f>
        <v>#N/A</v>
      </c>
      <c r="C116" s="58"/>
      <c r="D116" s="16" t="e">
        <f ca="1">IF($A116&lt;&gt;"",
IF(VLOOKUP($A116,貼り付け用!$A$1:$BA$300,COLUMN()/2+1,FALSE)=0,"",VLOOKUP($A116,貼り付け用!$A$1:$BA$300,COLUMN()/2+1,FALSE)),"")</f>
        <v>#N/A</v>
      </c>
      <c r="E116" s="58"/>
      <c r="F116" s="16" t="e">
        <f ca="1">IF($A116&lt;&gt;"",
IF(VLOOKUP($A116,貼り付け用!$A$1:$BA$300,COLUMN()/2+1,FALSE)=0,"",VLOOKUP($A116,貼り付け用!$A$1:$BA$300,COLUMN()/2+1,FALSE)),"")</f>
        <v>#N/A</v>
      </c>
      <c r="G116" s="58"/>
      <c r="H116" s="16" t="e">
        <f ca="1">IF($A116&lt;&gt;"",
IF(VLOOKUP($A116,貼り付け用!$A$1:$BA$300,COLUMN()/2+1,FALSE)=0,"",VLOOKUP($A116,貼り付け用!$A$1:$BA$300,COLUMN()/2+1,FALSE)),"")</f>
        <v>#N/A</v>
      </c>
      <c r="I116" s="58"/>
      <c r="J116" s="16" t="e">
        <f ca="1">IF($A116&lt;&gt;"",
IF(VLOOKUP($A116,貼り付け用!$A$1:$BA$300,COLUMN()/2+1,FALSE)=0,"",VLOOKUP($A116,貼り付け用!$A$1:$BA$300,COLUMN()/2+1,FALSE)),"")</f>
        <v>#N/A</v>
      </c>
      <c r="K116" s="58"/>
      <c r="L116" s="16" t="e">
        <f ca="1">IF($A116&lt;&gt;"",
IF(VLOOKUP($A116,貼り付け用!$A$1:$BA$300,COLUMN()/2+1,FALSE)=0,"",VLOOKUP($A116,貼り付け用!$A$1:$BA$300,COLUMN()/2+1,FALSE)),"")</f>
        <v>#N/A</v>
      </c>
      <c r="M116" s="58"/>
      <c r="N116" s="16" t="e">
        <f ca="1">IF($A116&lt;&gt;"",
IF(VLOOKUP($A116,貼り付け用!$A$1:$BA$300,COLUMN()/2+1,FALSE)=0,"",VLOOKUP($A116,貼り付け用!$A$1:$BA$300,COLUMN()/2+1,FALSE)),"")</f>
        <v>#N/A</v>
      </c>
      <c r="O116" s="58"/>
      <c r="P116" s="16" t="e">
        <f ca="1">IF($A116&lt;&gt;"",
IF(VLOOKUP($A116,貼り付け用!$A$1:$BA$300,COLUMN()/2+1,FALSE)=0,"",VLOOKUP($A116,貼り付け用!$A$1:$BA$300,COLUMN()/2+1,FALSE)),"")</f>
        <v>#N/A</v>
      </c>
      <c r="Q116" s="58"/>
      <c r="R116" s="16" t="e">
        <f ca="1">IF($A116&lt;&gt;"",
IF(VLOOKUP($A116,貼り付け用!$A$1:$BA$300,COLUMN()/2+1,FALSE)=0,"",VLOOKUP($A116,貼り付け用!$A$1:$BA$300,COLUMN()/2+1,FALSE)),"")</f>
        <v>#N/A</v>
      </c>
      <c r="S116" s="58"/>
      <c r="T116" s="16" t="e">
        <f ca="1">IF($A116&lt;&gt;"",
IF(VLOOKUP($A116,貼り付け用!$A$1:$BA$300,COLUMN()/2+1,FALSE)=0,"",VLOOKUP($A116,貼り付け用!$A$1:$BA$300,COLUMN()/2+1,FALSE)),"")</f>
        <v>#N/A</v>
      </c>
      <c r="U116" s="58"/>
      <c r="V116" s="16" t="e">
        <f ca="1">IF($A116&lt;&gt;"",
IF(VLOOKUP($A116,貼り付け用!$A$1:$BA$300,COLUMN()/2+1,FALSE)=0,"",VLOOKUP($A116,貼り付け用!$A$1:$BA$300,COLUMN()/2+1,FALSE)),"")</f>
        <v>#N/A</v>
      </c>
      <c r="W116" s="58"/>
      <c r="X116" s="16" t="e">
        <f ca="1">IF($A116&lt;&gt;"",
IF(VLOOKUP($A116,貼り付け用!$A$1:$BA$300,COLUMN()/2+1,FALSE)=0,"",VLOOKUP($A116,貼り付け用!$A$1:$BA$300,COLUMN()/2+1,FALSE)),"")</f>
        <v>#N/A</v>
      </c>
      <c r="Y116" s="58"/>
      <c r="Z116" s="16" t="e">
        <f ca="1">IF($A116&lt;&gt;"",
IF(VLOOKUP($A116,貼り付け用!$A$1:$BA$300,COLUMN()/2+1,FALSE)=0,"",VLOOKUP($A116,貼り付け用!$A$1:$BA$300,COLUMN()/2+1,FALSE)),"")</f>
        <v>#N/A</v>
      </c>
      <c r="AA116" s="58"/>
      <c r="AB116" s="16" t="e">
        <f ca="1">IF($A116&lt;&gt;"",
IF(VLOOKUP($A116,貼り付け用!$A$1:$BA$300,COLUMN()/2+1,FALSE)=0,"",VLOOKUP($A116,貼り付け用!$A$1:$BA$300,COLUMN()/2+1,FALSE)),"")</f>
        <v>#N/A</v>
      </c>
      <c r="AC116" s="58"/>
      <c r="AD116" s="16" t="e">
        <f ca="1">IF($A116&lt;&gt;"",
IF(VLOOKUP($A116,貼り付け用!$A$1:$BA$300,COLUMN()/2+1,FALSE)=0,"",VLOOKUP($A116,貼り付け用!$A$1:$BA$300,COLUMN()/2+1,FALSE)),"")</f>
        <v>#N/A</v>
      </c>
      <c r="AE116" s="58"/>
      <c r="AF116" s="16" t="e">
        <f ca="1">IF($A116&lt;&gt;"",
IF(VLOOKUP($A116,貼り付け用!$A$1:$BA$300,COLUMN()/2+1,FALSE)=0,"",VLOOKUP($A116,貼り付け用!$A$1:$BA$300,COLUMN()/2+1,FALSE)),"")</f>
        <v>#N/A</v>
      </c>
      <c r="AG116" s="58"/>
      <c r="AH116" s="16" t="e">
        <f ca="1">IF($A116&lt;&gt;"",
IF(VLOOKUP($A116,貼り付け用!$A$1:$BA$300,COLUMN()/2+1,FALSE)=0,"",VLOOKUP($A116,貼り付け用!$A$1:$BA$300,COLUMN()/2+1,FALSE)),"")</f>
        <v>#N/A</v>
      </c>
      <c r="AI116" s="58"/>
      <c r="AJ116" s="16" t="e">
        <f ca="1">IF($A116&lt;&gt;"",
IF(VLOOKUP($A116,貼り付け用!$A$1:$BA$300,COLUMN()/2+1,FALSE)=0,"",VLOOKUP($A116,貼り付け用!$A$1:$BA$300,COLUMN()/2+1,FALSE)),"")</f>
        <v>#N/A</v>
      </c>
      <c r="AK116" s="58"/>
      <c r="AL116" s="16" t="e">
        <f ca="1">IF($A116&lt;&gt;"",
IF(VLOOKUP($A116,貼り付け用!$A$1:$BA$300,COLUMN()/2+1,FALSE)=0,"",VLOOKUP($A116,貼り付け用!$A$1:$BA$300,COLUMN()/2+1,FALSE)),"")</f>
        <v>#N/A</v>
      </c>
      <c r="AM116" s="210" t="e">
        <f ca="1">IF($A116&lt;&gt;"",
IF(VLOOKUP($A116,貼り付け用!$A$1:$BA$300,COLUMN()/2+2,FALSE)=0,"",VLOOKUP($A116,貼り付け用!$A$1:$BA$300,COLUMN()/2+2,FALSE)),"")</f>
        <v>#N/A</v>
      </c>
      <c r="AN116" s="210" t="e">
        <f ca="1">IF($A116&lt;&gt;"",
IF(VLOOKUP($A116,貼り付け用!$A$1:$BA$300,COLUMN()/2+3,FALSE)=0,"",VLOOKUP($A116,貼り付け用!$A$1:$BA$300,COLUMN()/2+3,FALSE)),"")</f>
        <v>#N/A</v>
      </c>
    </row>
    <row r="117" spans="1:40" x14ac:dyDescent="0.45">
      <c r="A117" s="8" t="e" cm="1">
        <f t="array" aca="1" ref="A117" ca="1">IF(OR(COUNTIF(A115,"*1000*"),COUNTIF(A115,"")),"",INDEX(貼り付け用!$A:$A,MATCH(A115,貼り付け用!$A:$A,0)+2,0))</f>
        <v>#N/A</v>
      </c>
      <c r="B117" s="46" t="e">
        <f ca="1">IF($A117&lt;&gt;"",
IF(VLOOKUP($A117,貼り付け用!$A$1:$BA$300,COLUMN()/2+1,FALSE)=0,"",VLOOKUP($A117,貼り付け用!$A$1:$BA$300,COLUMN()/2+1,FALSE)),"")</f>
        <v>#N/A</v>
      </c>
      <c r="C117" s="46"/>
      <c r="D117" s="46" t="e">
        <f ca="1">IF($A117&lt;&gt;"",
IF(VLOOKUP($A117,貼り付け用!$A$1:$BA$300,COLUMN()/2+1,FALSE)=0,"",VLOOKUP($A117,貼り付け用!$A$1:$BA$300,COLUMN()/2+1,FALSE)),"")</f>
        <v>#N/A</v>
      </c>
      <c r="E117" s="46"/>
      <c r="F117" s="46" t="e">
        <f ca="1">IF($A117&lt;&gt;"",
IF(VLOOKUP($A117,貼り付け用!$A$1:$BA$300,COLUMN()/2+1,FALSE)=0,"",VLOOKUP($A117,貼り付け用!$A$1:$BA$300,COLUMN()/2+1,FALSE)),"")</f>
        <v>#N/A</v>
      </c>
      <c r="G117" s="46"/>
      <c r="H117" s="46" t="e">
        <f ca="1">IF($A117&lt;&gt;"",
IF(VLOOKUP($A117,貼り付け用!$A$1:$BA$300,COLUMN()/2+1,FALSE)=0,"",VLOOKUP($A117,貼り付け用!$A$1:$BA$300,COLUMN()/2+1,FALSE)),"")</f>
        <v>#N/A</v>
      </c>
      <c r="I117" s="46"/>
      <c r="J117" s="46" t="e">
        <f ca="1">IF($A117&lt;&gt;"",
IF(VLOOKUP($A117,貼り付け用!$A$1:$BA$300,COLUMN()/2+1,FALSE)=0,"",VLOOKUP($A117,貼り付け用!$A$1:$BA$300,COLUMN()/2+1,FALSE)),"")</f>
        <v>#N/A</v>
      </c>
      <c r="K117" s="46"/>
      <c r="L117" s="46" t="e">
        <f ca="1">IF($A117&lt;&gt;"",
IF(VLOOKUP($A117,貼り付け用!$A$1:$BA$300,COLUMN()/2+1,FALSE)=0,"",VLOOKUP($A117,貼り付け用!$A$1:$BA$300,COLUMN()/2+1,FALSE)),"")</f>
        <v>#N/A</v>
      </c>
      <c r="M117" s="46"/>
      <c r="N117" s="46" t="e">
        <f ca="1">IF($A117&lt;&gt;"",
IF(VLOOKUP($A117,貼り付け用!$A$1:$BA$300,COLUMN()/2+1,FALSE)=0,"",VLOOKUP($A117,貼り付け用!$A$1:$BA$300,COLUMN()/2+1,FALSE)),"")</f>
        <v>#N/A</v>
      </c>
      <c r="O117" s="46"/>
      <c r="P117" s="46" t="e">
        <f ca="1">IF($A117&lt;&gt;"",
IF(VLOOKUP($A117,貼り付け用!$A$1:$BA$300,COLUMN()/2+1,FALSE)=0,"",VLOOKUP($A117,貼り付け用!$A$1:$BA$300,COLUMN()/2+1,FALSE)),"")</f>
        <v>#N/A</v>
      </c>
      <c r="Q117" s="46"/>
      <c r="R117" s="46" t="e">
        <f ca="1">IF($A117&lt;&gt;"",
IF(VLOOKUP($A117,貼り付け用!$A$1:$BA$300,COLUMN()/2+1,FALSE)=0,"",VLOOKUP($A117,貼り付け用!$A$1:$BA$300,COLUMN()/2+1,FALSE)),"")</f>
        <v>#N/A</v>
      </c>
      <c r="S117" s="46"/>
      <c r="T117" s="46" t="e">
        <f ca="1">IF($A117&lt;&gt;"",
IF(VLOOKUP($A117,貼り付け用!$A$1:$BA$300,COLUMN()/2+1,FALSE)=0,"",VLOOKUP($A117,貼り付け用!$A$1:$BA$300,COLUMN()/2+1,FALSE)),"")</f>
        <v>#N/A</v>
      </c>
      <c r="U117" s="46"/>
      <c r="V117" s="46" t="e">
        <f ca="1">IF($A117&lt;&gt;"",
IF(VLOOKUP($A117,貼り付け用!$A$1:$BA$300,COLUMN()/2+1,FALSE)=0,"",VLOOKUP($A117,貼り付け用!$A$1:$BA$300,COLUMN()/2+1,FALSE)),"")</f>
        <v>#N/A</v>
      </c>
      <c r="W117" s="46"/>
      <c r="X117" s="46" t="e">
        <f ca="1">IF($A117&lt;&gt;"",
IF(VLOOKUP($A117,貼り付け用!$A$1:$BA$300,COLUMN()/2+1,FALSE)=0,"",VLOOKUP($A117,貼り付け用!$A$1:$BA$300,COLUMN()/2+1,FALSE)),"")</f>
        <v>#N/A</v>
      </c>
      <c r="Y117" s="46"/>
      <c r="Z117" s="46" t="e">
        <f ca="1">IF($A117&lt;&gt;"",
IF(VLOOKUP($A117,貼り付け用!$A$1:$BA$300,COLUMN()/2+1,FALSE)=0,"",VLOOKUP($A117,貼り付け用!$A$1:$BA$300,COLUMN()/2+1,FALSE)),"")</f>
        <v>#N/A</v>
      </c>
      <c r="AA117" s="46"/>
      <c r="AB117" s="46" t="e">
        <f ca="1">IF($A117&lt;&gt;"",
IF(VLOOKUP($A117,貼り付け用!$A$1:$BA$300,COLUMN()/2+1,FALSE)=0,"",VLOOKUP($A117,貼り付け用!$A$1:$BA$300,COLUMN()/2+1,FALSE)),"")</f>
        <v>#N/A</v>
      </c>
      <c r="AC117" s="46"/>
      <c r="AD117" s="46" t="e">
        <f ca="1">IF($A117&lt;&gt;"",
IF(VLOOKUP($A117,貼り付け用!$A$1:$BA$300,COLUMN()/2+1,FALSE)=0,"",VLOOKUP($A117,貼り付け用!$A$1:$BA$300,COLUMN()/2+1,FALSE)),"")</f>
        <v>#N/A</v>
      </c>
      <c r="AE117" s="46"/>
      <c r="AF117" s="46" t="e">
        <f ca="1">IF($A117&lt;&gt;"",
IF(VLOOKUP($A117,貼り付け用!$A$1:$BA$300,COLUMN()/2+1,FALSE)=0,"",VLOOKUP($A117,貼り付け用!$A$1:$BA$300,COLUMN()/2+1,FALSE)),"")</f>
        <v>#N/A</v>
      </c>
      <c r="AG117" s="46"/>
      <c r="AH117" s="46" t="e">
        <f ca="1">IF($A117&lt;&gt;"",
IF(VLOOKUP($A117,貼り付け用!$A$1:$BA$300,COLUMN()/2+1,FALSE)=0,"",VLOOKUP($A117,貼り付け用!$A$1:$BA$300,COLUMN()/2+1,FALSE)),"")</f>
        <v>#N/A</v>
      </c>
      <c r="AI117" s="46"/>
      <c r="AJ117" s="46" t="e">
        <f ca="1">IF($A117&lt;&gt;"",
IF(VLOOKUP($A117,貼り付け用!$A$1:$BA$300,COLUMN()/2+1,FALSE)=0,"",VLOOKUP($A117,貼り付け用!$A$1:$BA$300,COLUMN()/2+1,FALSE)),"")</f>
        <v>#N/A</v>
      </c>
      <c r="AK117" s="46"/>
      <c r="AL117" s="46" t="e">
        <f ca="1">IF($A117&lt;&gt;"",
IF(VLOOKUP($A117,貼り付け用!$A$1:$BA$300,COLUMN()/2+1,FALSE)=0,"",VLOOKUP($A117,貼り付け用!$A$1:$BA$300,COLUMN()/2+1,FALSE)),"")</f>
        <v>#N/A</v>
      </c>
      <c r="AM117" s="211" t="e">
        <f ca="1">IF($A117&lt;&gt;"",
IF(VLOOKUP($A117,貼り付け用!$A$1:$BA$300,COLUMN()/2+2,FALSE)=0,"",VLOOKUP($A117,貼り付け用!$A$1:$BA$300,COLUMN()/2+2,FALSE)),"")</f>
        <v>#N/A</v>
      </c>
      <c r="AN117" s="211" t="e">
        <f ca="1">IF($A117&lt;&gt;"",
IF(VLOOKUP($A117,貼り付け用!$A$1:$BA$300,COLUMN()/2+3,FALSE)=0,"",VLOOKUP($A117,貼り付け用!$A$1:$BA$300,COLUMN()/2+3,FALSE)),"")</f>
        <v>#N/A</v>
      </c>
    </row>
    <row r="118" spans="1:40" x14ac:dyDescent="0.45">
      <c r="A118" s="5" t="e" cm="1">
        <f t="array" aca="1" ref="A118" ca="1">IF(OR(COUNTIF(A116,"*合計*"),COUNTIF(A116,"")),"",INDEX(貼り付け用!$A:$A,MATCH(A116,貼り付け用!$A:$A,0)+2,0))</f>
        <v>#N/A</v>
      </c>
      <c r="B118" s="16" t="e">
        <f ca="1">IF($A118&lt;&gt;"",
IF(VLOOKUP($A118,貼り付け用!$A$1:$BA$300,COLUMN()/2+1,FALSE)=0,"",VLOOKUP($A118,貼り付け用!$A$1:$BA$300,COLUMN()/2+1,FALSE)),"")</f>
        <v>#N/A</v>
      </c>
      <c r="C118" s="58"/>
      <c r="D118" s="16" t="e">
        <f ca="1">IF($A118&lt;&gt;"",
IF(VLOOKUP($A118,貼り付け用!$A$1:$BA$300,COLUMN()/2+1,FALSE)=0,"",VLOOKUP($A118,貼り付け用!$A$1:$BA$300,COLUMN()/2+1,FALSE)),"")</f>
        <v>#N/A</v>
      </c>
      <c r="E118" s="58"/>
      <c r="F118" s="16" t="e">
        <f ca="1">IF($A118&lt;&gt;"",
IF(VLOOKUP($A118,貼り付け用!$A$1:$BA$300,COLUMN()/2+1,FALSE)=0,"",VLOOKUP($A118,貼り付け用!$A$1:$BA$300,COLUMN()/2+1,FALSE)),"")</f>
        <v>#N/A</v>
      </c>
      <c r="G118" s="58"/>
      <c r="H118" s="16" t="e">
        <f ca="1">IF($A118&lt;&gt;"",
IF(VLOOKUP($A118,貼り付け用!$A$1:$BA$300,COLUMN()/2+1,FALSE)=0,"",VLOOKUP($A118,貼り付け用!$A$1:$BA$300,COLUMN()/2+1,FALSE)),"")</f>
        <v>#N/A</v>
      </c>
      <c r="I118" s="58"/>
      <c r="J118" s="16" t="e">
        <f ca="1">IF($A118&lt;&gt;"",
IF(VLOOKUP($A118,貼り付け用!$A$1:$BA$300,COLUMN()/2+1,FALSE)=0,"",VLOOKUP($A118,貼り付け用!$A$1:$BA$300,COLUMN()/2+1,FALSE)),"")</f>
        <v>#N/A</v>
      </c>
      <c r="K118" s="58"/>
      <c r="L118" s="16" t="e">
        <f ca="1">IF($A118&lt;&gt;"",
IF(VLOOKUP($A118,貼り付け用!$A$1:$BA$300,COLUMN()/2+1,FALSE)=0,"",VLOOKUP($A118,貼り付け用!$A$1:$BA$300,COLUMN()/2+1,FALSE)),"")</f>
        <v>#N/A</v>
      </c>
      <c r="M118" s="58"/>
      <c r="N118" s="16" t="e">
        <f ca="1">IF($A118&lt;&gt;"",
IF(VLOOKUP($A118,貼り付け用!$A$1:$BA$300,COLUMN()/2+1,FALSE)=0,"",VLOOKUP($A118,貼り付け用!$A$1:$BA$300,COLUMN()/2+1,FALSE)),"")</f>
        <v>#N/A</v>
      </c>
      <c r="O118" s="58"/>
      <c r="P118" s="16" t="e">
        <f ca="1">IF($A118&lt;&gt;"",
IF(VLOOKUP($A118,貼り付け用!$A$1:$BA$300,COLUMN()/2+1,FALSE)=0,"",VLOOKUP($A118,貼り付け用!$A$1:$BA$300,COLUMN()/2+1,FALSE)),"")</f>
        <v>#N/A</v>
      </c>
      <c r="Q118" s="58"/>
      <c r="R118" s="16" t="e">
        <f ca="1">IF($A118&lt;&gt;"",
IF(VLOOKUP($A118,貼り付け用!$A$1:$BA$300,COLUMN()/2+1,FALSE)=0,"",VLOOKUP($A118,貼り付け用!$A$1:$BA$300,COLUMN()/2+1,FALSE)),"")</f>
        <v>#N/A</v>
      </c>
      <c r="S118" s="58"/>
      <c r="T118" s="16" t="e">
        <f ca="1">IF($A118&lt;&gt;"",
IF(VLOOKUP($A118,貼り付け用!$A$1:$BA$300,COLUMN()/2+1,FALSE)=0,"",VLOOKUP($A118,貼り付け用!$A$1:$BA$300,COLUMN()/2+1,FALSE)),"")</f>
        <v>#N/A</v>
      </c>
      <c r="U118" s="58"/>
      <c r="V118" s="16" t="e">
        <f ca="1">IF($A118&lt;&gt;"",
IF(VLOOKUP($A118,貼り付け用!$A$1:$BA$300,COLUMN()/2+1,FALSE)=0,"",VLOOKUP($A118,貼り付け用!$A$1:$BA$300,COLUMN()/2+1,FALSE)),"")</f>
        <v>#N/A</v>
      </c>
      <c r="W118" s="58"/>
      <c r="X118" s="16" t="e">
        <f ca="1">IF($A118&lt;&gt;"",
IF(VLOOKUP($A118,貼り付け用!$A$1:$BA$300,COLUMN()/2+1,FALSE)=0,"",VLOOKUP($A118,貼り付け用!$A$1:$BA$300,COLUMN()/2+1,FALSE)),"")</f>
        <v>#N/A</v>
      </c>
      <c r="Y118" s="58"/>
      <c r="Z118" s="16" t="e">
        <f ca="1">IF($A118&lt;&gt;"",
IF(VLOOKUP($A118,貼り付け用!$A$1:$BA$300,COLUMN()/2+1,FALSE)=0,"",VLOOKUP($A118,貼り付け用!$A$1:$BA$300,COLUMN()/2+1,FALSE)),"")</f>
        <v>#N/A</v>
      </c>
      <c r="AA118" s="58"/>
      <c r="AB118" s="16" t="e">
        <f ca="1">IF($A118&lt;&gt;"",
IF(VLOOKUP($A118,貼り付け用!$A$1:$BA$300,COLUMN()/2+1,FALSE)=0,"",VLOOKUP($A118,貼り付け用!$A$1:$BA$300,COLUMN()/2+1,FALSE)),"")</f>
        <v>#N/A</v>
      </c>
      <c r="AC118" s="58"/>
      <c r="AD118" s="16" t="e">
        <f ca="1">IF($A118&lt;&gt;"",
IF(VLOOKUP($A118,貼り付け用!$A$1:$BA$300,COLUMN()/2+1,FALSE)=0,"",VLOOKUP($A118,貼り付け用!$A$1:$BA$300,COLUMN()/2+1,FALSE)),"")</f>
        <v>#N/A</v>
      </c>
      <c r="AE118" s="58"/>
      <c r="AF118" s="16" t="e">
        <f ca="1">IF($A118&lt;&gt;"",
IF(VLOOKUP($A118,貼り付け用!$A$1:$BA$300,COLUMN()/2+1,FALSE)=0,"",VLOOKUP($A118,貼り付け用!$A$1:$BA$300,COLUMN()/2+1,FALSE)),"")</f>
        <v>#N/A</v>
      </c>
      <c r="AG118" s="58"/>
      <c r="AH118" s="16" t="e">
        <f ca="1">IF($A118&lt;&gt;"",
IF(VLOOKUP($A118,貼り付け用!$A$1:$BA$300,COLUMN()/2+1,FALSE)=0,"",VLOOKUP($A118,貼り付け用!$A$1:$BA$300,COLUMN()/2+1,FALSE)),"")</f>
        <v>#N/A</v>
      </c>
      <c r="AI118" s="58"/>
      <c r="AJ118" s="16" t="e">
        <f ca="1">IF($A118&lt;&gt;"",
IF(VLOOKUP($A118,貼り付け用!$A$1:$BA$300,COLUMN()/2+1,FALSE)=0,"",VLOOKUP($A118,貼り付け用!$A$1:$BA$300,COLUMN()/2+1,FALSE)),"")</f>
        <v>#N/A</v>
      </c>
      <c r="AK118" s="58"/>
      <c r="AL118" s="16" t="e">
        <f ca="1">IF($A118&lt;&gt;"",
IF(VLOOKUP($A118,貼り付け用!$A$1:$BA$300,COLUMN()/2+1,FALSE)=0,"",VLOOKUP($A118,貼り付け用!$A$1:$BA$300,COLUMN()/2+1,FALSE)),"")</f>
        <v>#N/A</v>
      </c>
      <c r="AM118" s="210" t="e">
        <f ca="1">IF($A118&lt;&gt;"",
IF(VLOOKUP($A118,貼り付け用!$A$1:$BA$300,COLUMN()/2+2,FALSE)=0,"",VLOOKUP($A118,貼り付け用!$A$1:$BA$300,COLUMN()/2+2,FALSE)),"")</f>
        <v>#N/A</v>
      </c>
      <c r="AN118" s="210" t="e">
        <f ca="1">IF($A118&lt;&gt;"",
IF(VLOOKUP($A118,貼り付け用!$A$1:$BA$300,COLUMN()/2+3,FALSE)=0,"",VLOOKUP($A118,貼り付け用!$A$1:$BA$300,COLUMN()/2+3,FALSE)),"")</f>
        <v>#N/A</v>
      </c>
    </row>
    <row r="119" spans="1:40" x14ac:dyDescent="0.45">
      <c r="A119" s="8" t="e" cm="1">
        <f t="array" aca="1" ref="A119" ca="1">IF(OR(COUNTIF(A117,"*1000*"),COUNTIF(A117,"")),"",INDEX(貼り付け用!$A:$A,MATCH(A117,貼り付け用!$A:$A,0)+2,0))</f>
        <v>#N/A</v>
      </c>
      <c r="B119" s="46" t="e">
        <f ca="1">IF($A119&lt;&gt;"",
IF(VLOOKUP($A119,貼り付け用!$A$1:$BA$300,COLUMN()/2+1,FALSE)=0,"",VLOOKUP($A119,貼り付け用!$A$1:$BA$300,COLUMN()/2+1,FALSE)),"")</f>
        <v>#N/A</v>
      </c>
      <c r="C119" s="46"/>
      <c r="D119" s="46" t="e">
        <f ca="1">IF($A119&lt;&gt;"",
IF(VLOOKUP($A119,貼り付け用!$A$1:$BA$300,COLUMN()/2+1,FALSE)=0,"",VLOOKUP($A119,貼り付け用!$A$1:$BA$300,COLUMN()/2+1,FALSE)),"")</f>
        <v>#N/A</v>
      </c>
      <c r="E119" s="46"/>
      <c r="F119" s="46" t="e">
        <f ca="1">IF($A119&lt;&gt;"",
IF(VLOOKUP($A119,貼り付け用!$A$1:$BA$300,COLUMN()/2+1,FALSE)=0,"",VLOOKUP($A119,貼り付け用!$A$1:$BA$300,COLUMN()/2+1,FALSE)),"")</f>
        <v>#N/A</v>
      </c>
      <c r="G119" s="46"/>
      <c r="H119" s="46" t="e">
        <f ca="1">IF($A119&lt;&gt;"",
IF(VLOOKUP($A119,貼り付け用!$A$1:$BA$300,COLUMN()/2+1,FALSE)=0,"",VLOOKUP($A119,貼り付け用!$A$1:$BA$300,COLUMN()/2+1,FALSE)),"")</f>
        <v>#N/A</v>
      </c>
      <c r="I119" s="46"/>
      <c r="J119" s="46" t="e">
        <f ca="1">IF($A119&lt;&gt;"",
IF(VLOOKUP($A119,貼り付け用!$A$1:$BA$300,COLUMN()/2+1,FALSE)=0,"",VLOOKUP($A119,貼り付け用!$A$1:$BA$300,COLUMN()/2+1,FALSE)),"")</f>
        <v>#N/A</v>
      </c>
      <c r="K119" s="46"/>
      <c r="L119" s="46" t="e">
        <f ca="1">IF($A119&lt;&gt;"",
IF(VLOOKUP($A119,貼り付け用!$A$1:$BA$300,COLUMN()/2+1,FALSE)=0,"",VLOOKUP($A119,貼り付け用!$A$1:$BA$300,COLUMN()/2+1,FALSE)),"")</f>
        <v>#N/A</v>
      </c>
      <c r="M119" s="46"/>
      <c r="N119" s="46" t="e">
        <f ca="1">IF($A119&lt;&gt;"",
IF(VLOOKUP($A119,貼り付け用!$A$1:$BA$300,COLUMN()/2+1,FALSE)=0,"",VLOOKUP($A119,貼り付け用!$A$1:$BA$300,COLUMN()/2+1,FALSE)),"")</f>
        <v>#N/A</v>
      </c>
      <c r="O119" s="46"/>
      <c r="P119" s="46" t="e">
        <f ca="1">IF($A119&lt;&gt;"",
IF(VLOOKUP($A119,貼り付け用!$A$1:$BA$300,COLUMN()/2+1,FALSE)=0,"",VLOOKUP($A119,貼り付け用!$A$1:$BA$300,COLUMN()/2+1,FALSE)),"")</f>
        <v>#N/A</v>
      </c>
      <c r="Q119" s="46"/>
      <c r="R119" s="46" t="e">
        <f ca="1">IF($A119&lt;&gt;"",
IF(VLOOKUP($A119,貼り付け用!$A$1:$BA$300,COLUMN()/2+1,FALSE)=0,"",VLOOKUP($A119,貼り付け用!$A$1:$BA$300,COLUMN()/2+1,FALSE)),"")</f>
        <v>#N/A</v>
      </c>
      <c r="S119" s="46"/>
      <c r="T119" s="46" t="e">
        <f ca="1">IF($A119&lt;&gt;"",
IF(VLOOKUP($A119,貼り付け用!$A$1:$BA$300,COLUMN()/2+1,FALSE)=0,"",VLOOKUP($A119,貼り付け用!$A$1:$BA$300,COLUMN()/2+1,FALSE)),"")</f>
        <v>#N/A</v>
      </c>
      <c r="U119" s="46"/>
      <c r="V119" s="46" t="e">
        <f ca="1">IF($A119&lt;&gt;"",
IF(VLOOKUP($A119,貼り付け用!$A$1:$BA$300,COLUMN()/2+1,FALSE)=0,"",VLOOKUP($A119,貼り付け用!$A$1:$BA$300,COLUMN()/2+1,FALSE)),"")</f>
        <v>#N/A</v>
      </c>
      <c r="W119" s="46"/>
      <c r="X119" s="46" t="e">
        <f ca="1">IF($A119&lt;&gt;"",
IF(VLOOKUP($A119,貼り付け用!$A$1:$BA$300,COLUMN()/2+1,FALSE)=0,"",VLOOKUP($A119,貼り付け用!$A$1:$BA$300,COLUMN()/2+1,FALSE)),"")</f>
        <v>#N/A</v>
      </c>
      <c r="Y119" s="46"/>
      <c r="Z119" s="46" t="e">
        <f ca="1">IF($A119&lt;&gt;"",
IF(VLOOKUP($A119,貼り付け用!$A$1:$BA$300,COLUMN()/2+1,FALSE)=0,"",VLOOKUP($A119,貼り付け用!$A$1:$BA$300,COLUMN()/2+1,FALSE)),"")</f>
        <v>#N/A</v>
      </c>
      <c r="AA119" s="46"/>
      <c r="AB119" s="46" t="e">
        <f ca="1">IF($A119&lt;&gt;"",
IF(VLOOKUP($A119,貼り付け用!$A$1:$BA$300,COLUMN()/2+1,FALSE)=0,"",VLOOKUP($A119,貼り付け用!$A$1:$BA$300,COLUMN()/2+1,FALSE)),"")</f>
        <v>#N/A</v>
      </c>
      <c r="AC119" s="46"/>
      <c r="AD119" s="46" t="e">
        <f ca="1">IF($A119&lt;&gt;"",
IF(VLOOKUP($A119,貼り付け用!$A$1:$BA$300,COLUMN()/2+1,FALSE)=0,"",VLOOKUP($A119,貼り付け用!$A$1:$BA$300,COLUMN()/2+1,FALSE)),"")</f>
        <v>#N/A</v>
      </c>
      <c r="AE119" s="46"/>
      <c r="AF119" s="46" t="e">
        <f ca="1">IF($A119&lt;&gt;"",
IF(VLOOKUP($A119,貼り付け用!$A$1:$BA$300,COLUMN()/2+1,FALSE)=0,"",VLOOKUP($A119,貼り付け用!$A$1:$BA$300,COLUMN()/2+1,FALSE)),"")</f>
        <v>#N/A</v>
      </c>
      <c r="AG119" s="46"/>
      <c r="AH119" s="46" t="e">
        <f ca="1">IF($A119&lt;&gt;"",
IF(VLOOKUP($A119,貼り付け用!$A$1:$BA$300,COLUMN()/2+1,FALSE)=0,"",VLOOKUP($A119,貼り付け用!$A$1:$BA$300,COLUMN()/2+1,FALSE)),"")</f>
        <v>#N/A</v>
      </c>
      <c r="AI119" s="46"/>
      <c r="AJ119" s="46" t="e">
        <f ca="1">IF($A119&lt;&gt;"",
IF(VLOOKUP($A119,貼り付け用!$A$1:$BA$300,COLUMN()/2+1,FALSE)=0,"",VLOOKUP($A119,貼り付け用!$A$1:$BA$300,COLUMN()/2+1,FALSE)),"")</f>
        <v>#N/A</v>
      </c>
      <c r="AK119" s="46"/>
      <c r="AL119" s="46" t="e">
        <f ca="1">IF($A119&lt;&gt;"",
IF(VLOOKUP($A119,貼り付け用!$A$1:$BA$300,COLUMN()/2+1,FALSE)=0,"",VLOOKUP($A119,貼り付け用!$A$1:$BA$300,COLUMN()/2+1,FALSE)),"")</f>
        <v>#N/A</v>
      </c>
      <c r="AM119" s="211" t="e">
        <f ca="1">IF($A119&lt;&gt;"",
IF(VLOOKUP($A119,貼り付け用!$A$1:$BA$300,COLUMN()/2+2,FALSE)=0,"",VLOOKUP($A119,貼り付け用!$A$1:$BA$300,COLUMN()/2+2,FALSE)),"")</f>
        <v>#N/A</v>
      </c>
      <c r="AN119" s="211" t="e">
        <f ca="1">IF($A119&lt;&gt;"",
IF(VLOOKUP($A119,貼り付け用!$A$1:$BA$300,COLUMN()/2+3,FALSE)=0,"",VLOOKUP($A119,貼り付け用!$A$1:$BA$300,COLUMN()/2+3,FALSE)),"")</f>
        <v>#N/A</v>
      </c>
    </row>
    <row r="120" spans="1:40" x14ac:dyDescent="0.45">
      <c r="A120" s="5" t="e" cm="1">
        <f t="array" aca="1" ref="A120" ca="1">IF(OR(COUNTIF(A118,"*合計*"),COUNTIF(A118,"")),"",INDEX(貼り付け用!$A:$A,MATCH(A118,貼り付け用!$A:$A,0)+2,0))</f>
        <v>#N/A</v>
      </c>
      <c r="B120" s="16" t="e">
        <f ca="1">IF($A120&lt;&gt;"",
IF(VLOOKUP($A120,貼り付け用!$A$1:$BA$300,COLUMN()/2+1,FALSE)=0,"",VLOOKUP($A120,貼り付け用!$A$1:$BA$300,COLUMN()/2+1,FALSE)),"")</f>
        <v>#N/A</v>
      </c>
      <c r="C120" s="58"/>
      <c r="D120" s="16" t="e">
        <f ca="1">IF($A120&lt;&gt;"",
IF(VLOOKUP($A120,貼り付け用!$A$1:$BA$300,COLUMN()/2+1,FALSE)=0,"",VLOOKUP($A120,貼り付け用!$A$1:$BA$300,COLUMN()/2+1,FALSE)),"")</f>
        <v>#N/A</v>
      </c>
      <c r="E120" s="58"/>
      <c r="F120" s="16" t="e">
        <f ca="1">IF($A120&lt;&gt;"",
IF(VLOOKUP($A120,貼り付け用!$A$1:$BA$300,COLUMN()/2+1,FALSE)=0,"",VLOOKUP($A120,貼り付け用!$A$1:$BA$300,COLUMN()/2+1,FALSE)),"")</f>
        <v>#N/A</v>
      </c>
      <c r="G120" s="58"/>
      <c r="H120" s="16" t="e">
        <f ca="1">IF($A120&lt;&gt;"",
IF(VLOOKUP($A120,貼り付け用!$A$1:$BA$300,COLUMN()/2+1,FALSE)=0,"",VLOOKUP($A120,貼り付け用!$A$1:$BA$300,COLUMN()/2+1,FALSE)),"")</f>
        <v>#N/A</v>
      </c>
      <c r="I120" s="58"/>
      <c r="J120" s="16" t="e">
        <f ca="1">IF($A120&lt;&gt;"",
IF(VLOOKUP($A120,貼り付け用!$A$1:$BA$300,COLUMN()/2+1,FALSE)=0,"",VLOOKUP($A120,貼り付け用!$A$1:$BA$300,COLUMN()/2+1,FALSE)),"")</f>
        <v>#N/A</v>
      </c>
      <c r="K120" s="58"/>
      <c r="L120" s="16" t="e">
        <f ca="1">IF($A120&lt;&gt;"",
IF(VLOOKUP($A120,貼り付け用!$A$1:$BA$300,COLUMN()/2+1,FALSE)=0,"",VLOOKUP($A120,貼り付け用!$A$1:$BA$300,COLUMN()/2+1,FALSE)),"")</f>
        <v>#N/A</v>
      </c>
      <c r="M120" s="58"/>
      <c r="N120" s="16" t="e">
        <f ca="1">IF($A120&lt;&gt;"",
IF(VLOOKUP($A120,貼り付け用!$A$1:$BA$300,COLUMN()/2+1,FALSE)=0,"",VLOOKUP($A120,貼り付け用!$A$1:$BA$300,COLUMN()/2+1,FALSE)),"")</f>
        <v>#N/A</v>
      </c>
      <c r="O120" s="58"/>
      <c r="P120" s="16" t="e">
        <f ca="1">IF($A120&lt;&gt;"",
IF(VLOOKUP($A120,貼り付け用!$A$1:$BA$300,COLUMN()/2+1,FALSE)=0,"",VLOOKUP($A120,貼り付け用!$A$1:$BA$300,COLUMN()/2+1,FALSE)),"")</f>
        <v>#N/A</v>
      </c>
      <c r="Q120" s="58"/>
      <c r="R120" s="16" t="e">
        <f ca="1">IF($A120&lt;&gt;"",
IF(VLOOKUP($A120,貼り付け用!$A$1:$BA$300,COLUMN()/2+1,FALSE)=0,"",VLOOKUP($A120,貼り付け用!$A$1:$BA$300,COLUMN()/2+1,FALSE)),"")</f>
        <v>#N/A</v>
      </c>
      <c r="S120" s="58"/>
      <c r="T120" s="16" t="e">
        <f ca="1">IF($A120&lt;&gt;"",
IF(VLOOKUP($A120,貼り付け用!$A$1:$BA$300,COLUMN()/2+1,FALSE)=0,"",VLOOKUP($A120,貼り付け用!$A$1:$BA$300,COLUMN()/2+1,FALSE)),"")</f>
        <v>#N/A</v>
      </c>
      <c r="U120" s="58"/>
      <c r="V120" s="16" t="e">
        <f ca="1">IF($A120&lt;&gt;"",
IF(VLOOKUP($A120,貼り付け用!$A$1:$BA$300,COLUMN()/2+1,FALSE)=0,"",VLOOKUP($A120,貼り付け用!$A$1:$BA$300,COLUMN()/2+1,FALSE)),"")</f>
        <v>#N/A</v>
      </c>
      <c r="W120" s="58"/>
      <c r="X120" s="16" t="e">
        <f ca="1">IF($A120&lt;&gt;"",
IF(VLOOKUP($A120,貼り付け用!$A$1:$BA$300,COLUMN()/2+1,FALSE)=0,"",VLOOKUP($A120,貼り付け用!$A$1:$BA$300,COLUMN()/2+1,FALSE)),"")</f>
        <v>#N/A</v>
      </c>
      <c r="Y120" s="58"/>
      <c r="Z120" s="16" t="e">
        <f ca="1">IF($A120&lt;&gt;"",
IF(VLOOKUP($A120,貼り付け用!$A$1:$BA$300,COLUMN()/2+1,FALSE)=0,"",VLOOKUP($A120,貼り付け用!$A$1:$BA$300,COLUMN()/2+1,FALSE)),"")</f>
        <v>#N/A</v>
      </c>
      <c r="AA120" s="58"/>
      <c r="AB120" s="16" t="e">
        <f ca="1">IF($A120&lt;&gt;"",
IF(VLOOKUP($A120,貼り付け用!$A$1:$BA$300,COLUMN()/2+1,FALSE)=0,"",VLOOKUP($A120,貼り付け用!$A$1:$BA$300,COLUMN()/2+1,FALSE)),"")</f>
        <v>#N/A</v>
      </c>
      <c r="AC120" s="58"/>
      <c r="AD120" s="16" t="e">
        <f ca="1">IF($A120&lt;&gt;"",
IF(VLOOKUP($A120,貼り付け用!$A$1:$BA$300,COLUMN()/2+1,FALSE)=0,"",VLOOKUP($A120,貼り付け用!$A$1:$BA$300,COLUMN()/2+1,FALSE)),"")</f>
        <v>#N/A</v>
      </c>
      <c r="AE120" s="58"/>
      <c r="AF120" s="16" t="e">
        <f ca="1">IF($A120&lt;&gt;"",
IF(VLOOKUP($A120,貼り付け用!$A$1:$BA$300,COLUMN()/2+1,FALSE)=0,"",VLOOKUP($A120,貼り付け用!$A$1:$BA$300,COLUMN()/2+1,FALSE)),"")</f>
        <v>#N/A</v>
      </c>
      <c r="AG120" s="58"/>
      <c r="AH120" s="16" t="e">
        <f ca="1">IF($A120&lt;&gt;"",
IF(VLOOKUP($A120,貼り付け用!$A$1:$BA$300,COLUMN()/2+1,FALSE)=0,"",VLOOKUP($A120,貼り付け用!$A$1:$BA$300,COLUMN()/2+1,FALSE)),"")</f>
        <v>#N/A</v>
      </c>
      <c r="AI120" s="58"/>
      <c r="AJ120" s="16" t="e">
        <f ca="1">IF($A120&lt;&gt;"",
IF(VLOOKUP($A120,貼り付け用!$A$1:$BA$300,COLUMN()/2+1,FALSE)=0,"",VLOOKUP($A120,貼り付け用!$A$1:$BA$300,COLUMN()/2+1,FALSE)),"")</f>
        <v>#N/A</v>
      </c>
      <c r="AK120" s="58"/>
      <c r="AL120" s="16" t="e">
        <f ca="1">IF($A120&lt;&gt;"",
IF(VLOOKUP($A120,貼り付け用!$A$1:$BA$300,COLUMN()/2+1,FALSE)=0,"",VLOOKUP($A120,貼り付け用!$A$1:$BA$300,COLUMN()/2+1,FALSE)),"")</f>
        <v>#N/A</v>
      </c>
      <c r="AM120" s="210" t="e">
        <f ca="1">IF($A120&lt;&gt;"",
IF(VLOOKUP($A120,貼り付け用!$A$1:$BA$300,COLUMN()/2+2,FALSE)=0,"",VLOOKUP($A120,貼り付け用!$A$1:$BA$300,COLUMN()/2+2,FALSE)),"")</f>
        <v>#N/A</v>
      </c>
      <c r="AN120" s="210" t="e">
        <f ca="1">IF($A120&lt;&gt;"",
IF(VLOOKUP($A120,貼り付け用!$A$1:$BA$300,COLUMN()/2+3,FALSE)=0,"",VLOOKUP($A120,貼り付け用!$A$1:$BA$300,COLUMN()/2+3,FALSE)),"")</f>
        <v>#N/A</v>
      </c>
    </row>
    <row r="121" spans="1:40" x14ac:dyDescent="0.45">
      <c r="A121" s="8" t="e" cm="1">
        <f t="array" aca="1" ref="A121" ca="1">IF(OR(COUNTIF(A119,"*1000*"),COUNTIF(A119,"")),"",INDEX(貼り付け用!$A:$A,MATCH(A119,貼り付け用!$A:$A,0)+2,0))</f>
        <v>#N/A</v>
      </c>
      <c r="B121" s="46" t="e">
        <f ca="1">IF($A121&lt;&gt;"",
IF(VLOOKUP($A121,貼り付け用!$A$1:$BA$300,COLUMN()/2+1,FALSE)=0,"",VLOOKUP($A121,貼り付け用!$A$1:$BA$300,COLUMN()/2+1,FALSE)),"")</f>
        <v>#N/A</v>
      </c>
      <c r="C121" s="46"/>
      <c r="D121" s="46" t="e">
        <f ca="1">IF($A121&lt;&gt;"",
IF(VLOOKUP($A121,貼り付け用!$A$1:$BA$300,COLUMN()/2+1,FALSE)=0,"",VLOOKUP($A121,貼り付け用!$A$1:$BA$300,COLUMN()/2+1,FALSE)),"")</f>
        <v>#N/A</v>
      </c>
      <c r="E121" s="46"/>
      <c r="F121" s="46" t="e">
        <f ca="1">IF($A121&lt;&gt;"",
IF(VLOOKUP($A121,貼り付け用!$A$1:$BA$300,COLUMN()/2+1,FALSE)=0,"",VLOOKUP($A121,貼り付け用!$A$1:$BA$300,COLUMN()/2+1,FALSE)),"")</f>
        <v>#N/A</v>
      </c>
      <c r="G121" s="46"/>
      <c r="H121" s="46" t="e">
        <f ca="1">IF($A121&lt;&gt;"",
IF(VLOOKUP($A121,貼り付け用!$A$1:$BA$300,COLUMN()/2+1,FALSE)=0,"",VLOOKUP($A121,貼り付け用!$A$1:$BA$300,COLUMN()/2+1,FALSE)),"")</f>
        <v>#N/A</v>
      </c>
      <c r="I121" s="46"/>
      <c r="J121" s="46" t="e">
        <f ca="1">IF($A121&lt;&gt;"",
IF(VLOOKUP($A121,貼り付け用!$A$1:$BA$300,COLUMN()/2+1,FALSE)=0,"",VLOOKUP($A121,貼り付け用!$A$1:$BA$300,COLUMN()/2+1,FALSE)),"")</f>
        <v>#N/A</v>
      </c>
      <c r="K121" s="46"/>
      <c r="L121" s="46" t="e">
        <f ca="1">IF($A121&lt;&gt;"",
IF(VLOOKUP($A121,貼り付け用!$A$1:$BA$300,COLUMN()/2+1,FALSE)=0,"",VLOOKUP($A121,貼り付け用!$A$1:$BA$300,COLUMN()/2+1,FALSE)),"")</f>
        <v>#N/A</v>
      </c>
      <c r="M121" s="46"/>
      <c r="N121" s="46" t="e">
        <f ca="1">IF($A121&lt;&gt;"",
IF(VLOOKUP($A121,貼り付け用!$A$1:$BA$300,COLUMN()/2+1,FALSE)=0,"",VLOOKUP($A121,貼り付け用!$A$1:$BA$300,COLUMN()/2+1,FALSE)),"")</f>
        <v>#N/A</v>
      </c>
      <c r="O121" s="46"/>
      <c r="P121" s="46" t="e">
        <f ca="1">IF($A121&lt;&gt;"",
IF(VLOOKUP($A121,貼り付け用!$A$1:$BA$300,COLUMN()/2+1,FALSE)=0,"",VLOOKUP($A121,貼り付け用!$A$1:$BA$300,COLUMN()/2+1,FALSE)),"")</f>
        <v>#N/A</v>
      </c>
      <c r="Q121" s="46"/>
      <c r="R121" s="46" t="e">
        <f ca="1">IF($A121&lt;&gt;"",
IF(VLOOKUP($A121,貼り付け用!$A$1:$BA$300,COLUMN()/2+1,FALSE)=0,"",VLOOKUP($A121,貼り付け用!$A$1:$BA$300,COLUMN()/2+1,FALSE)),"")</f>
        <v>#N/A</v>
      </c>
      <c r="S121" s="46"/>
      <c r="T121" s="46" t="e">
        <f ca="1">IF($A121&lt;&gt;"",
IF(VLOOKUP($A121,貼り付け用!$A$1:$BA$300,COLUMN()/2+1,FALSE)=0,"",VLOOKUP($A121,貼り付け用!$A$1:$BA$300,COLUMN()/2+1,FALSE)),"")</f>
        <v>#N/A</v>
      </c>
      <c r="U121" s="46"/>
      <c r="V121" s="46" t="e">
        <f ca="1">IF($A121&lt;&gt;"",
IF(VLOOKUP($A121,貼り付け用!$A$1:$BA$300,COLUMN()/2+1,FALSE)=0,"",VLOOKUP($A121,貼り付け用!$A$1:$BA$300,COLUMN()/2+1,FALSE)),"")</f>
        <v>#N/A</v>
      </c>
      <c r="W121" s="46"/>
      <c r="X121" s="46" t="e">
        <f ca="1">IF($A121&lt;&gt;"",
IF(VLOOKUP($A121,貼り付け用!$A$1:$BA$300,COLUMN()/2+1,FALSE)=0,"",VLOOKUP($A121,貼り付け用!$A$1:$BA$300,COLUMN()/2+1,FALSE)),"")</f>
        <v>#N/A</v>
      </c>
      <c r="Y121" s="46"/>
      <c r="Z121" s="46" t="e">
        <f ca="1">IF($A121&lt;&gt;"",
IF(VLOOKUP($A121,貼り付け用!$A$1:$BA$300,COLUMN()/2+1,FALSE)=0,"",VLOOKUP($A121,貼り付け用!$A$1:$BA$300,COLUMN()/2+1,FALSE)),"")</f>
        <v>#N/A</v>
      </c>
      <c r="AA121" s="46"/>
      <c r="AB121" s="46" t="e">
        <f ca="1">IF($A121&lt;&gt;"",
IF(VLOOKUP($A121,貼り付け用!$A$1:$BA$300,COLUMN()/2+1,FALSE)=0,"",VLOOKUP($A121,貼り付け用!$A$1:$BA$300,COLUMN()/2+1,FALSE)),"")</f>
        <v>#N/A</v>
      </c>
      <c r="AC121" s="46"/>
      <c r="AD121" s="46" t="e">
        <f ca="1">IF($A121&lt;&gt;"",
IF(VLOOKUP($A121,貼り付け用!$A$1:$BA$300,COLUMN()/2+1,FALSE)=0,"",VLOOKUP($A121,貼り付け用!$A$1:$BA$300,COLUMN()/2+1,FALSE)),"")</f>
        <v>#N/A</v>
      </c>
      <c r="AE121" s="46"/>
      <c r="AF121" s="46" t="e">
        <f ca="1">IF($A121&lt;&gt;"",
IF(VLOOKUP($A121,貼り付け用!$A$1:$BA$300,COLUMN()/2+1,FALSE)=0,"",VLOOKUP($A121,貼り付け用!$A$1:$BA$300,COLUMN()/2+1,FALSE)),"")</f>
        <v>#N/A</v>
      </c>
      <c r="AG121" s="46"/>
      <c r="AH121" s="46" t="e">
        <f ca="1">IF($A121&lt;&gt;"",
IF(VLOOKUP($A121,貼り付け用!$A$1:$BA$300,COLUMN()/2+1,FALSE)=0,"",VLOOKUP($A121,貼り付け用!$A$1:$BA$300,COLUMN()/2+1,FALSE)),"")</f>
        <v>#N/A</v>
      </c>
      <c r="AI121" s="46"/>
      <c r="AJ121" s="46" t="e">
        <f ca="1">IF($A121&lt;&gt;"",
IF(VLOOKUP($A121,貼り付け用!$A$1:$BA$300,COLUMN()/2+1,FALSE)=0,"",VLOOKUP($A121,貼り付け用!$A$1:$BA$300,COLUMN()/2+1,FALSE)),"")</f>
        <v>#N/A</v>
      </c>
      <c r="AK121" s="46"/>
      <c r="AL121" s="46" t="e">
        <f ca="1">IF($A121&lt;&gt;"",
IF(VLOOKUP($A121,貼り付け用!$A$1:$BA$300,COLUMN()/2+1,FALSE)=0,"",VLOOKUP($A121,貼り付け用!$A$1:$BA$300,COLUMN()/2+1,FALSE)),"")</f>
        <v>#N/A</v>
      </c>
      <c r="AM121" s="211" t="e">
        <f ca="1">IF($A121&lt;&gt;"",
IF(VLOOKUP($A121,貼り付け用!$A$1:$BA$300,COLUMN()/2+2,FALSE)=0,"",VLOOKUP($A121,貼り付け用!$A$1:$BA$300,COLUMN()/2+2,FALSE)),"")</f>
        <v>#N/A</v>
      </c>
      <c r="AN121" s="211" t="e">
        <f ca="1">IF($A121&lt;&gt;"",
IF(VLOOKUP($A121,貼り付け用!$A$1:$BA$300,COLUMN()/2+3,FALSE)=0,"",VLOOKUP($A121,貼り付け用!$A$1:$BA$300,COLUMN()/2+3,FALSE)),"")</f>
        <v>#N/A</v>
      </c>
    </row>
    <row r="122" spans="1:40" x14ac:dyDescent="0.45">
      <c r="A122" s="5" t="e" cm="1">
        <f t="array" aca="1" ref="A122" ca="1">IF(OR(COUNTIF(A120,"*合計*"),COUNTIF(A120,"")),"",INDEX(貼り付け用!$A:$A,MATCH(A120,貼り付け用!$A:$A,0)+2,0))</f>
        <v>#N/A</v>
      </c>
      <c r="B122" s="16" t="e">
        <f ca="1">IF($A122&lt;&gt;"",
IF(VLOOKUP($A122,貼り付け用!$A$1:$BA$300,COLUMN()/2+1,FALSE)=0,"",VLOOKUP($A122,貼り付け用!$A$1:$BA$300,COLUMN()/2+1,FALSE)),"")</f>
        <v>#N/A</v>
      </c>
      <c r="C122" s="58"/>
      <c r="D122" s="16" t="e">
        <f ca="1">IF($A122&lt;&gt;"",
IF(VLOOKUP($A122,貼り付け用!$A$1:$BA$300,COLUMN()/2+1,FALSE)=0,"",VLOOKUP($A122,貼り付け用!$A$1:$BA$300,COLUMN()/2+1,FALSE)),"")</f>
        <v>#N/A</v>
      </c>
      <c r="E122" s="58"/>
      <c r="F122" s="16" t="e">
        <f ca="1">IF($A122&lt;&gt;"",
IF(VLOOKUP($A122,貼り付け用!$A$1:$BA$300,COLUMN()/2+1,FALSE)=0,"",VLOOKUP($A122,貼り付け用!$A$1:$BA$300,COLUMN()/2+1,FALSE)),"")</f>
        <v>#N/A</v>
      </c>
      <c r="G122" s="58"/>
      <c r="H122" s="16" t="e">
        <f ca="1">IF($A122&lt;&gt;"",
IF(VLOOKUP($A122,貼り付け用!$A$1:$BA$300,COLUMN()/2+1,FALSE)=0,"",VLOOKUP($A122,貼り付け用!$A$1:$BA$300,COLUMN()/2+1,FALSE)),"")</f>
        <v>#N/A</v>
      </c>
      <c r="I122" s="58"/>
      <c r="J122" s="16" t="e">
        <f ca="1">IF($A122&lt;&gt;"",
IF(VLOOKUP($A122,貼り付け用!$A$1:$BA$300,COLUMN()/2+1,FALSE)=0,"",VLOOKUP($A122,貼り付け用!$A$1:$BA$300,COLUMN()/2+1,FALSE)),"")</f>
        <v>#N/A</v>
      </c>
      <c r="K122" s="58"/>
      <c r="L122" s="16" t="e">
        <f ca="1">IF($A122&lt;&gt;"",
IF(VLOOKUP($A122,貼り付け用!$A$1:$BA$300,COLUMN()/2+1,FALSE)=0,"",VLOOKUP($A122,貼り付け用!$A$1:$BA$300,COLUMN()/2+1,FALSE)),"")</f>
        <v>#N/A</v>
      </c>
      <c r="M122" s="58"/>
      <c r="N122" s="16" t="e">
        <f ca="1">IF($A122&lt;&gt;"",
IF(VLOOKUP($A122,貼り付け用!$A$1:$BA$300,COLUMN()/2+1,FALSE)=0,"",VLOOKUP($A122,貼り付け用!$A$1:$BA$300,COLUMN()/2+1,FALSE)),"")</f>
        <v>#N/A</v>
      </c>
      <c r="O122" s="58"/>
      <c r="P122" s="16" t="e">
        <f ca="1">IF($A122&lt;&gt;"",
IF(VLOOKUP($A122,貼り付け用!$A$1:$BA$300,COLUMN()/2+1,FALSE)=0,"",VLOOKUP($A122,貼り付け用!$A$1:$BA$300,COLUMN()/2+1,FALSE)),"")</f>
        <v>#N/A</v>
      </c>
      <c r="Q122" s="58"/>
      <c r="R122" s="16" t="e">
        <f ca="1">IF($A122&lt;&gt;"",
IF(VLOOKUP($A122,貼り付け用!$A$1:$BA$300,COLUMN()/2+1,FALSE)=0,"",VLOOKUP($A122,貼り付け用!$A$1:$BA$300,COLUMN()/2+1,FALSE)),"")</f>
        <v>#N/A</v>
      </c>
      <c r="S122" s="58"/>
      <c r="T122" s="16" t="e">
        <f ca="1">IF($A122&lt;&gt;"",
IF(VLOOKUP($A122,貼り付け用!$A$1:$BA$300,COLUMN()/2+1,FALSE)=0,"",VLOOKUP($A122,貼り付け用!$A$1:$BA$300,COLUMN()/2+1,FALSE)),"")</f>
        <v>#N/A</v>
      </c>
      <c r="U122" s="58"/>
      <c r="V122" s="16" t="e">
        <f ca="1">IF($A122&lt;&gt;"",
IF(VLOOKUP($A122,貼り付け用!$A$1:$BA$300,COLUMN()/2+1,FALSE)=0,"",VLOOKUP($A122,貼り付け用!$A$1:$BA$300,COLUMN()/2+1,FALSE)),"")</f>
        <v>#N/A</v>
      </c>
      <c r="W122" s="58"/>
      <c r="X122" s="16" t="e">
        <f ca="1">IF($A122&lt;&gt;"",
IF(VLOOKUP($A122,貼り付け用!$A$1:$BA$300,COLUMN()/2+1,FALSE)=0,"",VLOOKUP($A122,貼り付け用!$A$1:$BA$300,COLUMN()/2+1,FALSE)),"")</f>
        <v>#N/A</v>
      </c>
      <c r="Y122" s="58"/>
      <c r="Z122" s="16" t="e">
        <f ca="1">IF($A122&lt;&gt;"",
IF(VLOOKUP($A122,貼り付け用!$A$1:$BA$300,COLUMN()/2+1,FALSE)=0,"",VLOOKUP($A122,貼り付け用!$A$1:$BA$300,COLUMN()/2+1,FALSE)),"")</f>
        <v>#N/A</v>
      </c>
      <c r="AA122" s="58"/>
      <c r="AB122" s="16" t="e">
        <f ca="1">IF($A122&lt;&gt;"",
IF(VLOOKUP($A122,貼り付け用!$A$1:$BA$300,COLUMN()/2+1,FALSE)=0,"",VLOOKUP($A122,貼り付け用!$A$1:$BA$300,COLUMN()/2+1,FALSE)),"")</f>
        <v>#N/A</v>
      </c>
      <c r="AC122" s="58"/>
      <c r="AD122" s="16" t="e">
        <f ca="1">IF($A122&lt;&gt;"",
IF(VLOOKUP($A122,貼り付け用!$A$1:$BA$300,COLUMN()/2+1,FALSE)=0,"",VLOOKUP($A122,貼り付け用!$A$1:$BA$300,COLUMN()/2+1,FALSE)),"")</f>
        <v>#N/A</v>
      </c>
      <c r="AE122" s="58"/>
      <c r="AF122" s="16" t="e">
        <f ca="1">IF($A122&lt;&gt;"",
IF(VLOOKUP($A122,貼り付け用!$A$1:$BA$300,COLUMN()/2+1,FALSE)=0,"",VLOOKUP($A122,貼り付け用!$A$1:$BA$300,COLUMN()/2+1,FALSE)),"")</f>
        <v>#N/A</v>
      </c>
      <c r="AG122" s="58"/>
      <c r="AH122" s="16" t="e">
        <f ca="1">IF($A122&lt;&gt;"",
IF(VLOOKUP($A122,貼り付け用!$A$1:$BA$300,COLUMN()/2+1,FALSE)=0,"",VLOOKUP($A122,貼り付け用!$A$1:$BA$300,COLUMN()/2+1,FALSE)),"")</f>
        <v>#N/A</v>
      </c>
      <c r="AI122" s="58"/>
      <c r="AJ122" s="16" t="e">
        <f ca="1">IF($A122&lt;&gt;"",
IF(VLOOKUP($A122,貼り付け用!$A$1:$BA$300,COLUMN()/2+1,FALSE)=0,"",VLOOKUP($A122,貼り付け用!$A$1:$BA$300,COLUMN()/2+1,FALSE)),"")</f>
        <v>#N/A</v>
      </c>
      <c r="AK122" s="58"/>
      <c r="AL122" s="16" t="e">
        <f ca="1">IF($A122&lt;&gt;"",
IF(VLOOKUP($A122,貼り付け用!$A$1:$BA$300,COLUMN()/2+1,FALSE)=0,"",VLOOKUP($A122,貼り付け用!$A$1:$BA$300,COLUMN()/2+1,FALSE)),"")</f>
        <v>#N/A</v>
      </c>
      <c r="AM122" s="210" t="e">
        <f ca="1">IF($A122&lt;&gt;"",
IF(VLOOKUP($A122,貼り付け用!$A$1:$BA$300,COLUMN()/2+2,FALSE)=0,"",VLOOKUP($A122,貼り付け用!$A$1:$BA$300,COLUMN()/2+2,FALSE)),"")</f>
        <v>#N/A</v>
      </c>
      <c r="AN122" s="210" t="e">
        <f ca="1">IF($A122&lt;&gt;"",
IF(VLOOKUP($A122,貼り付け用!$A$1:$BA$300,COLUMN()/2+3,FALSE)=0,"",VLOOKUP($A122,貼り付け用!$A$1:$BA$300,COLUMN()/2+3,FALSE)),"")</f>
        <v>#N/A</v>
      </c>
    </row>
    <row r="123" spans="1:40" x14ac:dyDescent="0.45">
      <c r="A123" s="8" t="e" cm="1">
        <f t="array" aca="1" ref="A123" ca="1">IF(OR(COUNTIF(A121,"*1000*"),COUNTIF(A121,"")),"",INDEX(貼り付け用!$A:$A,MATCH(A121,貼り付け用!$A:$A,0)+2,0))</f>
        <v>#N/A</v>
      </c>
      <c r="B123" s="46" t="e">
        <f ca="1">IF($A123&lt;&gt;"",
IF(VLOOKUP($A123,貼り付け用!$A$1:$BA$300,COLUMN()/2+1,FALSE)=0,"",VLOOKUP($A123,貼り付け用!$A$1:$BA$300,COLUMN()/2+1,FALSE)),"")</f>
        <v>#N/A</v>
      </c>
      <c r="C123" s="46"/>
      <c r="D123" s="46" t="e">
        <f ca="1">IF($A123&lt;&gt;"",
IF(VLOOKUP($A123,貼り付け用!$A$1:$BA$300,COLUMN()/2+1,FALSE)=0,"",VLOOKUP($A123,貼り付け用!$A$1:$BA$300,COLUMN()/2+1,FALSE)),"")</f>
        <v>#N/A</v>
      </c>
      <c r="E123" s="46"/>
      <c r="F123" s="46" t="e">
        <f ca="1">IF($A123&lt;&gt;"",
IF(VLOOKUP($A123,貼り付け用!$A$1:$BA$300,COLUMN()/2+1,FALSE)=0,"",VLOOKUP($A123,貼り付け用!$A$1:$BA$300,COLUMN()/2+1,FALSE)),"")</f>
        <v>#N/A</v>
      </c>
      <c r="G123" s="46"/>
      <c r="H123" s="46" t="e">
        <f ca="1">IF($A123&lt;&gt;"",
IF(VLOOKUP($A123,貼り付け用!$A$1:$BA$300,COLUMN()/2+1,FALSE)=0,"",VLOOKUP($A123,貼り付け用!$A$1:$BA$300,COLUMN()/2+1,FALSE)),"")</f>
        <v>#N/A</v>
      </c>
      <c r="I123" s="46"/>
      <c r="J123" s="46" t="e">
        <f ca="1">IF($A123&lt;&gt;"",
IF(VLOOKUP($A123,貼り付け用!$A$1:$BA$300,COLUMN()/2+1,FALSE)=0,"",VLOOKUP($A123,貼り付け用!$A$1:$BA$300,COLUMN()/2+1,FALSE)),"")</f>
        <v>#N/A</v>
      </c>
      <c r="K123" s="46"/>
      <c r="L123" s="46" t="e">
        <f ca="1">IF($A123&lt;&gt;"",
IF(VLOOKUP($A123,貼り付け用!$A$1:$BA$300,COLUMN()/2+1,FALSE)=0,"",VLOOKUP($A123,貼り付け用!$A$1:$BA$300,COLUMN()/2+1,FALSE)),"")</f>
        <v>#N/A</v>
      </c>
      <c r="M123" s="46"/>
      <c r="N123" s="46" t="e">
        <f ca="1">IF($A123&lt;&gt;"",
IF(VLOOKUP($A123,貼り付け用!$A$1:$BA$300,COLUMN()/2+1,FALSE)=0,"",VLOOKUP($A123,貼り付け用!$A$1:$BA$300,COLUMN()/2+1,FALSE)),"")</f>
        <v>#N/A</v>
      </c>
      <c r="O123" s="46"/>
      <c r="P123" s="46" t="e">
        <f ca="1">IF($A123&lt;&gt;"",
IF(VLOOKUP($A123,貼り付け用!$A$1:$BA$300,COLUMN()/2+1,FALSE)=0,"",VLOOKUP($A123,貼り付け用!$A$1:$BA$300,COLUMN()/2+1,FALSE)),"")</f>
        <v>#N/A</v>
      </c>
      <c r="Q123" s="46"/>
      <c r="R123" s="46" t="e">
        <f ca="1">IF($A123&lt;&gt;"",
IF(VLOOKUP($A123,貼り付け用!$A$1:$BA$300,COLUMN()/2+1,FALSE)=0,"",VLOOKUP($A123,貼り付け用!$A$1:$BA$300,COLUMN()/2+1,FALSE)),"")</f>
        <v>#N/A</v>
      </c>
      <c r="S123" s="46"/>
      <c r="T123" s="46" t="e">
        <f ca="1">IF($A123&lt;&gt;"",
IF(VLOOKUP($A123,貼り付け用!$A$1:$BA$300,COLUMN()/2+1,FALSE)=0,"",VLOOKUP($A123,貼り付け用!$A$1:$BA$300,COLUMN()/2+1,FALSE)),"")</f>
        <v>#N/A</v>
      </c>
      <c r="U123" s="46"/>
      <c r="V123" s="46" t="e">
        <f ca="1">IF($A123&lt;&gt;"",
IF(VLOOKUP($A123,貼り付け用!$A$1:$BA$300,COLUMN()/2+1,FALSE)=0,"",VLOOKUP($A123,貼り付け用!$A$1:$BA$300,COLUMN()/2+1,FALSE)),"")</f>
        <v>#N/A</v>
      </c>
      <c r="W123" s="46"/>
      <c r="X123" s="46" t="e">
        <f ca="1">IF($A123&lt;&gt;"",
IF(VLOOKUP($A123,貼り付け用!$A$1:$BA$300,COLUMN()/2+1,FALSE)=0,"",VLOOKUP($A123,貼り付け用!$A$1:$BA$300,COLUMN()/2+1,FALSE)),"")</f>
        <v>#N/A</v>
      </c>
      <c r="Y123" s="46"/>
      <c r="Z123" s="46" t="e">
        <f ca="1">IF($A123&lt;&gt;"",
IF(VLOOKUP($A123,貼り付け用!$A$1:$BA$300,COLUMN()/2+1,FALSE)=0,"",VLOOKUP($A123,貼り付け用!$A$1:$BA$300,COLUMN()/2+1,FALSE)),"")</f>
        <v>#N/A</v>
      </c>
      <c r="AA123" s="46"/>
      <c r="AB123" s="46" t="e">
        <f ca="1">IF($A123&lt;&gt;"",
IF(VLOOKUP($A123,貼り付け用!$A$1:$BA$300,COLUMN()/2+1,FALSE)=0,"",VLOOKUP($A123,貼り付け用!$A$1:$BA$300,COLUMN()/2+1,FALSE)),"")</f>
        <v>#N/A</v>
      </c>
      <c r="AC123" s="46"/>
      <c r="AD123" s="46" t="e">
        <f ca="1">IF($A123&lt;&gt;"",
IF(VLOOKUP($A123,貼り付け用!$A$1:$BA$300,COLUMN()/2+1,FALSE)=0,"",VLOOKUP($A123,貼り付け用!$A$1:$BA$300,COLUMN()/2+1,FALSE)),"")</f>
        <v>#N/A</v>
      </c>
      <c r="AE123" s="46"/>
      <c r="AF123" s="46" t="e">
        <f ca="1">IF($A123&lt;&gt;"",
IF(VLOOKUP($A123,貼り付け用!$A$1:$BA$300,COLUMN()/2+1,FALSE)=0,"",VLOOKUP($A123,貼り付け用!$A$1:$BA$300,COLUMN()/2+1,FALSE)),"")</f>
        <v>#N/A</v>
      </c>
      <c r="AG123" s="46"/>
      <c r="AH123" s="46" t="e">
        <f ca="1">IF($A123&lt;&gt;"",
IF(VLOOKUP($A123,貼り付け用!$A$1:$BA$300,COLUMN()/2+1,FALSE)=0,"",VLOOKUP($A123,貼り付け用!$A$1:$BA$300,COLUMN()/2+1,FALSE)),"")</f>
        <v>#N/A</v>
      </c>
      <c r="AI123" s="46"/>
      <c r="AJ123" s="46" t="e">
        <f ca="1">IF($A123&lt;&gt;"",
IF(VLOOKUP($A123,貼り付け用!$A$1:$BA$300,COLUMN()/2+1,FALSE)=0,"",VLOOKUP($A123,貼り付け用!$A$1:$BA$300,COLUMN()/2+1,FALSE)),"")</f>
        <v>#N/A</v>
      </c>
      <c r="AK123" s="46"/>
      <c r="AL123" s="46" t="e">
        <f ca="1">IF($A123&lt;&gt;"",
IF(VLOOKUP($A123,貼り付け用!$A$1:$BA$300,COLUMN()/2+1,FALSE)=0,"",VLOOKUP($A123,貼り付け用!$A$1:$BA$300,COLUMN()/2+1,FALSE)),"")</f>
        <v>#N/A</v>
      </c>
      <c r="AM123" s="211" t="e">
        <f ca="1">IF($A123&lt;&gt;"",
IF(VLOOKUP($A123,貼り付け用!$A$1:$BA$300,COLUMN()/2+2,FALSE)=0,"",VLOOKUP($A123,貼り付け用!$A$1:$BA$300,COLUMN()/2+2,FALSE)),"")</f>
        <v>#N/A</v>
      </c>
      <c r="AN123" s="211" t="e">
        <f ca="1">IF($A123&lt;&gt;"",
IF(VLOOKUP($A123,貼り付け用!$A$1:$BA$300,COLUMN()/2+3,FALSE)=0,"",VLOOKUP($A123,貼り付け用!$A$1:$BA$300,COLUMN()/2+3,FALSE)),"")</f>
        <v>#N/A</v>
      </c>
    </row>
    <row r="124" spans="1:40" x14ac:dyDescent="0.45">
      <c r="A124" s="5" t="e" cm="1">
        <f t="array" aca="1" ref="A124" ca="1">IF(OR(COUNTIF(A122,"*合計*"),COUNTIF(A122,"")),"",INDEX(貼り付け用!$A:$A,MATCH(A122,貼り付け用!$A:$A,0)+2,0))</f>
        <v>#N/A</v>
      </c>
      <c r="B124" s="16" t="e">
        <f ca="1">IF($A124&lt;&gt;"",
IF(VLOOKUP($A124,貼り付け用!$A$1:$BA$300,COLUMN()/2+1,FALSE)=0,"",VLOOKUP($A124,貼り付け用!$A$1:$BA$300,COLUMN()/2+1,FALSE)),"")</f>
        <v>#N/A</v>
      </c>
      <c r="C124" s="58"/>
      <c r="D124" s="16" t="e">
        <f ca="1">IF($A124&lt;&gt;"",
IF(VLOOKUP($A124,貼り付け用!$A$1:$BA$300,COLUMN()/2+1,FALSE)=0,"",VLOOKUP($A124,貼り付け用!$A$1:$BA$300,COLUMN()/2+1,FALSE)),"")</f>
        <v>#N/A</v>
      </c>
      <c r="E124" s="58"/>
      <c r="F124" s="16" t="e">
        <f ca="1">IF($A124&lt;&gt;"",
IF(VLOOKUP($A124,貼り付け用!$A$1:$BA$300,COLUMN()/2+1,FALSE)=0,"",VLOOKUP($A124,貼り付け用!$A$1:$BA$300,COLUMN()/2+1,FALSE)),"")</f>
        <v>#N/A</v>
      </c>
      <c r="G124" s="58"/>
      <c r="H124" s="16" t="e">
        <f ca="1">IF($A124&lt;&gt;"",
IF(VLOOKUP($A124,貼り付け用!$A$1:$BA$300,COLUMN()/2+1,FALSE)=0,"",VLOOKUP($A124,貼り付け用!$A$1:$BA$300,COLUMN()/2+1,FALSE)),"")</f>
        <v>#N/A</v>
      </c>
      <c r="I124" s="58"/>
      <c r="J124" s="16" t="e">
        <f ca="1">IF($A124&lt;&gt;"",
IF(VLOOKUP($A124,貼り付け用!$A$1:$BA$300,COLUMN()/2+1,FALSE)=0,"",VLOOKUP($A124,貼り付け用!$A$1:$BA$300,COLUMN()/2+1,FALSE)),"")</f>
        <v>#N/A</v>
      </c>
      <c r="K124" s="58"/>
      <c r="L124" s="16" t="e">
        <f ca="1">IF($A124&lt;&gt;"",
IF(VLOOKUP($A124,貼り付け用!$A$1:$BA$300,COLUMN()/2+1,FALSE)=0,"",VLOOKUP($A124,貼り付け用!$A$1:$BA$300,COLUMN()/2+1,FALSE)),"")</f>
        <v>#N/A</v>
      </c>
      <c r="M124" s="58"/>
      <c r="N124" s="16" t="e">
        <f ca="1">IF($A124&lt;&gt;"",
IF(VLOOKUP($A124,貼り付け用!$A$1:$BA$300,COLUMN()/2+1,FALSE)=0,"",VLOOKUP($A124,貼り付け用!$A$1:$BA$300,COLUMN()/2+1,FALSE)),"")</f>
        <v>#N/A</v>
      </c>
      <c r="O124" s="58"/>
      <c r="P124" s="16" t="e">
        <f ca="1">IF($A124&lt;&gt;"",
IF(VLOOKUP($A124,貼り付け用!$A$1:$BA$300,COLUMN()/2+1,FALSE)=0,"",VLOOKUP($A124,貼り付け用!$A$1:$BA$300,COLUMN()/2+1,FALSE)),"")</f>
        <v>#N/A</v>
      </c>
      <c r="Q124" s="58"/>
      <c r="R124" s="16" t="e">
        <f ca="1">IF($A124&lt;&gt;"",
IF(VLOOKUP($A124,貼り付け用!$A$1:$BA$300,COLUMN()/2+1,FALSE)=0,"",VLOOKUP($A124,貼り付け用!$A$1:$BA$300,COLUMN()/2+1,FALSE)),"")</f>
        <v>#N/A</v>
      </c>
      <c r="S124" s="58"/>
      <c r="T124" s="16" t="e">
        <f ca="1">IF($A124&lt;&gt;"",
IF(VLOOKUP($A124,貼り付け用!$A$1:$BA$300,COLUMN()/2+1,FALSE)=0,"",VLOOKUP($A124,貼り付け用!$A$1:$BA$300,COLUMN()/2+1,FALSE)),"")</f>
        <v>#N/A</v>
      </c>
      <c r="U124" s="58"/>
      <c r="V124" s="16" t="e">
        <f ca="1">IF($A124&lt;&gt;"",
IF(VLOOKUP($A124,貼り付け用!$A$1:$BA$300,COLUMN()/2+1,FALSE)=0,"",VLOOKUP($A124,貼り付け用!$A$1:$BA$300,COLUMN()/2+1,FALSE)),"")</f>
        <v>#N/A</v>
      </c>
      <c r="W124" s="58"/>
      <c r="X124" s="16" t="e">
        <f ca="1">IF($A124&lt;&gt;"",
IF(VLOOKUP($A124,貼り付け用!$A$1:$BA$300,COLUMN()/2+1,FALSE)=0,"",VLOOKUP($A124,貼り付け用!$A$1:$BA$300,COLUMN()/2+1,FALSE)),"")</f>
        <v>#N/A</v>
      </c>
      <c r="Y124" s="58"/>
      <c r="Z124" s="16" t="e">
        <f ca="1">IF($A124&lt;&gt;"",
IF(VLOOKUP($A124,貼り付け用!$A$1:$BA$300,COLUMN()/2+1,FALSE)=0,"",VLOOKUP($A124,貼り付け用!$A$1:$BA$300,COLUMN()/2+1,FALSE)),"")</f>
        <v>#N/A</v>
      </c>
      <c r="AA124" s="58"/>
      <c r="AB124" s="16" t="e">
        <f ca="1">IF($A124&lt;&gt;"",
IF(VLOOKUP($A124,貼り付け用!$A$1:$BA$300,COLUMN()/2+1,FALSE)=0,"",VLOOKUP($A124,貼り付け用!$A$1:$BA$300,COLUMN()/2+1,FALSE)),"")</f>
        <v>#N/A</v>
      </c>
      <c r="AC124" s="58"/>
      <c r="AD124" s="16" t="e">
        <f ca="1">IF($A124&lt;&gt;"",
IF(VLOOKUP($A124,貼り付け用!$A$1:$BA$300,COLUMN()/2+1,FALSE)=0,"",VLOOKUP($A124,貼り付け用!$A$1:$BA$300,COLUMN()/2+1,FALSE)),"")</f>
        <v>#N/A</v>
      </c>
      <c r="AE124" s="58"/>
      <c r="AF124" s="16" t="e">
        <f ca="1">IF($A124&lt;&gt;"",
IF(VLOOKUP($A124,貼り付け用!$A$1:$BA$300,COLUMN()/2+1,FALSE)=0,"",VLOOKUP($A124,貼り付け用!$A$1:$BA$300,COLUMN()/2+1,FALSE)),"")</f>
        <v>#N/A</v>
      </c>
      <c r="AG124" s="58"/>
      <c r="AH124" s="16" t="e">
        <f ca="1">IF($A124&lt;&gt;"",
IF(VLOOKUP($A124,貼り付け用!$A$1:$BA$300,COLUMN()/2+1,FALSE)=0,"",VLOOKUP($A124,貼り付け用!$A$1:$BA$300,COLUMN()/2+1,FALSE)),"")</f>
        <v>#N/A</v>
      </c>
      <c r="AI124" s="58"/>
      <c r="AJ124" s="16" t="e">
        <f ca="1">IF($A124&lt;&gt;"",
IF(VLOOKUP($A124,貼り付け用!$A$1:$BA$300,COLUMN()/2+1,FALSE)=0,"",VLOOKUP($A124,貼り付け用!$A$1:$BA$300,COLUMN()/2+1,FALSE)),"")</f>
        <v>#N/A</v>
      </c>
      <c r="AK124" s="58"/>
      <c r="AL124" s="16" t="e">
        <f ca="1">IF($A124&lt;&gt;"",
IF(VLOOKUP($A124,貼り付け用!$A$1:$BA$300,COLUMN()/2+1,FALSE)=0,"",VLOOKUP($A124,貼り付け用!$A$1:$BA$300,COLUMN()/2+1,FALSE)),"")</f>
        <v>#N/A</v>
      </c>
      <c r="AM124" s="210" t="e">
        <f ca="1">IF($A124&lt;&gt;"",
IF(VLOOKUP($A124,貼り付け用!$A$1:$BA$300,COLUMN()/2+2,FALSE)=0,"",VLOOKUP($A124,貼り付け用!$A$1:$BA$300,COLUMN()/2+2,FALSE)),"")</f>
        <v>#N/A</v>
      </c>
      <c r="AN124" s="210" t="e">
        <f ca="1">IF($A124&lt;&gt;"",
IF(VLOOKUP($A124,貼り付け用!$A$1:$BA$300,COLUMN()/2+3,FALSE)=0,"",VLOOKUP($A124,貼り付け用!$A$1:$BA$300,COLUMN()/2+3,FALSE)),"")</f>
        <v>#N/A</v>
      </c>
    </row>
    <row r="125" spans="1:40" x14ac:dyDescent="0.45">
      <c r="A125" s="8" t="e" cm="1">
        <f t="array" aca="1" ref="A125" ca="1">IF(OR(COUNTIF(A123,"*1000*"),COUNTIF(A123,"")),"",INDEX(貼り付け用!$A:$A,MATCH(A123,貼り付け用!$A:$A,0)+2,0))</f>
        <v>#N/A</v>
      </c>
      <c r="B125" s="46" t="e">
        <f ca="1">IF($A125&lt;&gt;"",
IF(VLOOKUP($A125,貼り付け用!$A$1:$BA$300,COLUMN()/2+1,FALSE)=0,"",VLOOKUP($A125,貼り付け用!$A$1:$BA$300,COLUMN()/2+1,FALSE)),"")</f>
        <v>#N/A</v>
      </c>
      <c r="C125" s="46"/>
      <c r="D125" s="46" t="e">
        <f ca="1">IF($A125&lt;&gt;"",
IF(VLOOKUP($A125,貼り付け用!$A$1:$BA$300,COLUMN()/2+1,FALSE)=0,"",VLOOKUP($A125,貼り付け用!$A$1:$BA$300,COLUMN()/2+1,FALSE)),"")</f>
        <v>#N/A</v>
      </c>
      <c r="E125" s="46"/>
      <c r="F125" s="46" t="e">
        <f ca="1">IF($A125&lt;&gt;"",
IF(VLOOKUP($A125,貼り付け用!$A$1:$BA$300,COLUMN()/2+1,FALSE)=0,"",VLOOKUP($A125,貼り付け用!$A$1:$BA$300,COLUMN()/2+1,FALSE)),"")</f>
        <v>#N/A</v>
      </c>
      <c r="G125" s="46"/>
      <c r="H125" s="46" t="e">
        <f ca="1">IF($A125&lt;&gt;"",
IF(VLOOKUP($A125,貼り付け用!$A$1:$BA$300,COLUMN()/2+1,FALSE)=0,"",VLOOKUP($A125,貼り付け用!$A$1:$BA$300,COLUMN()/2+1,FALSE)),"")</f>
        <v>#N/A</v>
      </c>
      <c r="I125" s="46"/>
      <c r="J125" s="46" t="e">
        <f ca="1">IF($A125&lt;&gt;"",
IF(VLOOKUP($A125,貼り付け用!$A$1:$BA$300,COLUMN()/2+1,FALSE)=0,"",VLOOKUP($A125,貼り付け用!$A$1:$BA$300,COLUMN()/2+1,FALSE)),"")</f>
        <v>#N/A</v>
      </c>
      <c r="K125" s="46"/>
      <c r="L125" s="46" t="e">
        <f ca="1">IF($A125&lt;&gt;"",
IF(VLOOKUP($A125,貼り付け用!$A$1:$BA$300,COLUMN()/2+1,FALSE)=0,"",VLOOKUP($A125,貼り付け用!$A$1:$BA$300,COLUMN()/2+1,FALSE)),"")</f>
        <v>#N/A</v>
      </c>
      <c r="M125" s="46"/>
      <c r="N125" s="46" t="e">
        <f ca="1">IF($A125&lt;&gt;"",
IF(VLOOKUP($A125,貼り付け用!$A$1:$BA$300,COLUMN()/2+1,FALSE)=0,"",VLOOKUP($A125,貼り付け用!$A$1:$BA$300,COLUMN()/2+1,FALSE)),"")</f>
        <v>#N/A</v>
      </c>
      <c r="O125" s="46"/>
      <c r="P125" s="46" t="e">
        <f ca="1">IF($A125&lt;&gt;"",
IF(VLOOKUP($A125,貼り付け用!$A$1:$BA$300,COLUMN()/2+1,FALSE)=0,"",VLOOKUP($A125,貼り付け用!$A$1:$BA$300,COLUMN()/2+1,FALSE)),"")</f>
        <v>#N/A</v>
      </c>
      <c r="Q125" s="46"/>
      <c r="R125" s="46" t="e">
        <f ca="1">IF($A125&lt;&gt;"",
IF(VLOOKUP($A125,貼り付け用!$A$1:$BA$300,COLUMN()/2+1,FALSE)=0,"",VLOOKUP($A125,貼り付け用!$A$1:$BA$300,COLUMN()/2+1,FALSE)),"")</f>
        <v>#N/A</v>
      </c>
      <c r="S125" s="46"/>
      <c r="T125" s="46" t="e">
        <f ca="1">IF($A125&lt;&gt;"",
IF(VLOOKUP($A125,貼り付け用!$A$1:$BA$300,COLUMN()/2+1,FALSE)=0,"",VLOOKUP($A125,貼り付け用!$A$1:$BA$300,COLUMN()/2+1,FALSE)),"")</f>
        <v>#N/A</v>
      </c>
      <c r="U125" s="46"/>
      <c r="V125" s="46" t="e">
        <f ca="1">IF($A125&lt;&gt;"",
IF(VLOOKUP($A125,貼り付け用!$A$1:$BA$300,COLUMN()/2+1,FALSE)=0,"",VLOOKUP($A125,貼り付け用!$A$1:$BA$300,COLUMN()/2+1,FALSE)),"")</f>
        <v>#N/A</v>
      </c>
      <c r="W125" s="46"/>
      <c r="X125" s="46" t="e">
        <f ca="1">IF($A125&lt;&gt;"",
IF(VLOOKUP($A125,貼り付け用!$A$1:$BA$300,COLUMN()/2+1,FALSE)=0,"",VLOOKUP($A125,貼り付け用!$A$1:$BA$300,COLUMN()/2+1,FALSE)),"")</f>
        <v>#N/A</v>
      </c>
      <c r="Y125" s="46"/>
      <c r="Z125" s="46" t="e">
        <f ca="1">IF($A125&lt;&gt;"",
IF(VLOOKUP($A125,貼り付け用!$A$1:$BA$300,COLUMN()/2+1,FALSE)=0,"",VLOOKUP($A125,貼り付け用!$A$1:$BA$300,COLUMN()/2+1,FALSE)),"")</f>
        <v>#N/A</v>
      </c>
      <c r="AA125" s="46"/>
      <c r="AB125" s="46" t="e">
        <f ca="1">IF($A125&lt;&gt;"",
IF(VLOOKUP($A125,貼り付け用!$A$1:$BA$300,COLUMN()/2+1,FALSE)=0,"",VLOOKUP($A125,貼り付け用!$A$1:$BA$300,COLUMN()/2+1,FALSE)),"")</f>
        <v>#N/A</v>
      </c>
      <c r="AC125" s="46"/>
      <c r="AD125" s="46" t="e">
        <f ca="1">IF($A125&lt;&gt;"",
IF(VLOOKUP($A125,貼り付け用!$A$1:$BA$300,COLUMN()/2+1,FALSE)=0,"",VLOOKUP($A125,貼り付け用!$A$1:$BA$300,COLUMN()/2+1,FALSE)),"")</f>
        <v>#N/A</v>
      </c>
      <c r="AE125" s="46"/>
      <c r="AF125" s="46" t="e">
        <f ca="1">IF($A125&lt;&gt;"",
IF(VLOOKUP($A125,貼り付け用!$A$1:$BA$300,COLUMN()/2+1,FALSE)=0,"",VLOOKUP($A125,貼り付け用!$A$1:$BA$300,COLUMN()/2+1,FALSE)),"")</f>
        <v>#N/A</v>
      </c>
      <c r="AG125" s="46"/>
      <c r="AH125" s="46" t="e">
        <f ca="1">IF($A125&lt;&gt;"",
IF(VLOOKUP($A125,貼り付け用!$A$1:$BA$300,COLUMN()/2+1,FALSE)=0,"",VLOOKUP($A125,貼り付け用!$A$1:$BA$300,COLUMN()/2+1,FALSE)),"")</f>
        <v>#N/A</v>
      </c>
      <c r="AI125" s="46"/>
      <c r="AJ125" s="46" t="e">
        <f ca="1">IF($A125&lt;&gt;"",
IF(VLOOKUP($A125,貼り付け用!$A$1:$BA$300,COLUMN()/2+1,FALSE)=0,"",VLOOKUP($A125,貼り付け用!$A$1:$BA$300,COLUMN()/2+1,FALSE)),"")</f>
        <v>#N/A</v>
      </c>
      <c r="AK125" s="46"/>
      <c r="AL125" s="46" t="e">
        <f ca="1">IF($A125&lt;&gt;"",
IF(VLOOKUP($A125,貼り付け用!$A$1:$BA$300,COLUMN()/2+1,FALSE)=0,"",VLOOKUP($A125,貼り付け用!$A$1:$BA$300,COLUMN()/2+1,FALSE)),"")</f>
        <v>#N/A</v>
      </c>
      <c r="AM125" s="211" t="e">
        <f ca="1">IF($A125&lt;&gt;"",
IF(VLOOKUP($A125,貼り付け用!$A$1:$BA$300,COLUMN()/2+2,FALSE)=0,"",VLOOKUP($A125,貼り付け用!$A$1:$BA$300,COLUMN()/2+2,FALSE)),"")</f>
        <v>#N/A</v>
      </c>
      <c r="AN125" s="211" t="e">
        <f ca="1">IF($A125&lt;&gt;"",
IF(VLOOKUP($A125,貼り付け用!$A$1:$BA$300,COLUMN()/2+3,FALSE)=0,"",VLOOKUP($A125,貼り付け用!$A$1:$BA$300,COLUMN()/2+3,FALSE)),"")</f>
        <v>#N/A</v>
      </c>
    </row>
    <row r="126" spans="1:40" x14ac:dyDescent="0.45">
      <c r="A126" s="5" t="e" cm="1">
        <f t="array" aca="1" ref="A126" ca="1">IF(OR(COUNTIF(A124,"*合計*"),COUNTIF(A124,"")),"",INDEX(貼り付け用!$A:$A,MATCH(A124,貼り付け用!$A:$A,0)+2,0))</f>
        <v>#N/A</v>
      </c>
      <c r="B126" s="16" t="e">
        <f ca="1">IF($A126&lt;&gt;"",
IF(VLOOKUP($A126,貼り付け用!$A$1:$BA$300,COLUMN()/2+1,FALSE)=0,"",VLOOKUP($A126,貼り付け用!$A$1:$BA$300,COLUMN()/2+1,FALSE)),"")</f>
        <v>#N/A</v>
      </c>
      <c r="C126" s="58"/>
      <c r="D126" s="16" t="e">
        <f ca="1">IF($A126&lt;&gt;"",
IF(VLOOKUP($A126,貼り付け用!$A$1:$BA$300,COLUMN()/2+1,FALSE)=0,"",VLOOKUP($A126,貼り付け用!$A$1:$BA$300,COLUMN()/2+1,FALSE)),"")</f>
        <v>#N/A</v>
      </c>
      <c r="E126" s="58"/>
      <c r="F126" s="16" t="e">
        <f ca="1">IF($A126&lt;&gt;"",
IF(VLOOKUP($A126,貼り付け用!$A$1:$BA$300,COLUMN()/2+1,FALSE)=0,"",VLOOKUP($A126,貼り付け用!$A$1:$BA$300,COLUMN()/2+1,FALSE)),"")</f>
        <v>#N/A</v>
      </c>
      <c r="G126" s="58"/>
      <c r="H126" s="16" t="e">
        <f ca="1">IF($A126&lt;&gt;"",
IF(VLOOKUP($A126,貼り付け用!$A$1:$BA$300,COLUMN()/2+1,FALSE)=0,"",VLOOKUP($A126,貼り付け用!$A$1:$BA$300,COLUMN()/2+1,FALSE)),"")</f>
        <v>#N/A</v>
      </c>
      <c r="I126" s="58"/>
      <c r="J126" s="16" t="e">
        <f ca="1">IF($A126&lt;&gt;"",
IF(VLOOKUP($A126,貼り付け用!$A$1:$BA$300,COLUMN()/2+1,FALSE)=0,"",VLOOKUP($A126,貼り付け用!$A$1:$BA$300,COLUMN()/2+1,FALSE)),"")</f>
        <v>#N/A</v>
      </c>
      <c r="K126" s="58"/>
      <c r="L126" s="16" t="e">
        <f ca="1">IF($A126&lt;&gt;"",
IF(VLOOKUP($A126,貼り付け用!$A$1:$BA$300,COLUMN()/2+1,FALSE)=0,"",VLOOKUP($A126,貼り付け用!$A$1:$BA$300,COLUMN()/2+1,FALSE)),"")</f>
        <v>#N/A</v>
      </c>
      <c r="M126" s="58"/>
      <c r="N126" s="16" t="e">
        <f ca="1">IF($A126&lt;&gt;"",
IF(VLOOKUP($A126,貼り付け用!$A$1:$BA$300,COLUMN()/2+1,FALSE)=0,"",VLOOKUP($A126,貼り付け用!$A$1:$BA$300,COLUMN()/2+1,FALSE)),"")</f>
        <v>#N/A</v>
      </c>
      <c r="O126" s="58"/>
      <c r="P126" s="16" t="e">
        <f ca="1">IF($A126&lt;&gt;"",
IF(VLOOKUP($A126,貼り付け用!$A$1:$BA$300,COLUMN()/2+1,FALSE)=0,"",VLOOKUP($A126,貼り付け用!$A$1:$BA$300,COLUMN()/2+1,FALSE)),"")</f>
        <v>#N/A</v>
      </c>
      <c r="Q126" s="58"/>
      <c r="R126" s="16" t="e">
        <f ca="1">IF($A126&lt;&gt;"",
IF(VLOOKUP($A126,貼り付け用!$A$1:$BA$300,COLUMN()/2+1,FALSE)=0,"",VLOOKUP($A126,貼り付け用!$A$1:$BA$300,COLUMN()/2+1,FALSE)),"")</f>
        <v>#N/A</v>
      </c>
      <c r="S126" s="58"/>
      <c r="T126" s="16" t="e">
        <f ca="1">IF($A126&lt;&gt;"",
IF(VLOOKUP($A126,貼り付け用!$A$1:$BA$300,COLUMN()/2+1,FALSE)=0,"",VLOOKUP($A126,貼り付け用!$A$1:$BA$300,COLUMN()/2+1,FALSE)),"")</f>
        <v>#N/A</v>
      </c>
      <c r="U126" s="58"/>
      <c r="V126" s="16" t="e">
        <f ca="1">IF($A126&lt;&gt;"",
IF(VLOOKUP($A126,貼り付け用!$A$1:$BA$300,COLUMN()/2+1,FALSE)=0,"",VLOOKUP($A126,貼り付け用!$A$1:$BA$300,COLUMN()/2+1,FALSE)),"")</f>
        <v>#N/A</v>
      </c>
      <c r="W126" s="58"/>
      <c r="X126" s="16" t="e">
        <f ca="1">IF($A126&lt;&gt;"",
IF(VLOOKUP($A126,貼り付け用!$A$1:$BA$300,COLUMN()/2+1,FALSE)=0,"",VLOOKUP($A126,貼り付け用!$A$1:$BA$300,COLUMN()/2+1,FALSE)),"")</f>
        <v>#N/A</v>
      </c>
      <c r="Y126" s="58"/>
      <c r="Z126" s="16" t="e">
        <f ca="1">IF($A126&lt;&gt;"",
IF(VLOOKUP($A126,貼り付け用!$A$1:$BA$300,COLUMN()/2+1,FALSE)=0,"",VLOOKUP($A126,貼り付け用!$A$1:$BA$300,COLUMN()/2+1,FALSE)),"")</f>
        <v>#N/A</v>
      </c>
      <c r="AA126" s="58"/>
      <c r="AB126" s="16" t="e">
        <f ca="1">IF($A126&lt;&gt;"",
IF(VLOOKUP($A126,貼り付け用!$A$1:$BA$300,COLUMN()/2+1,FALSE)=0,"",VLOOKUP($A126,貼り付け用!$A$1:$BA$300,COLUMN()/2+1,FALSE)),"")</f>
        <v>#N/A</v>
      </c>
      <c r="AC126" s="58"/>
      <c r="AD126" s="16" t="e">
        <f ca="1">IF($A126&lt;&gt;"",
IF(VLOOKUP($A126,貼り付け用!$A$1:$BA$300,COLUMN()/2+1,FALSE)=0,"",VLOOKUP($A126,貼り付け用!$A$1:$BA$300,COLUMN()/2+1,FALSE)),"")</f>
        <v>#N/A</v>
      </c>
      <c r="AE126" s="58"/>
      <c r="AF126" s="16" t="e">
        <f ca="1">IF($A126&lt;&gt;"",
IF(VLOOKUP($A126,貼り付け用!$A$1:$BA$300,COLUMN()/2+1,FALSE)=0,"",VLOOKUP($A126,貼り付け用!$A$1:$BA$300,COLUMN()/2+1,FALSE)),"")</f>
        <v>#N/A</v>
      </c>
      <c r="AG126" s="58"/>
      <c r="AH126" s="16" t="e">
        <f ca="1">IF($A126&lt;&gt;"",
IF(VLOOKUP($A126,貼り付け用!$A$1:$BA$300,COLUMN()/2+1,FALSE)=0,"",VLOOKUP($A126,貼り付け用!$A$1:$BA$300,COLUMN()/2+1,FALSE)),"")</f>
        <v>#N/A</v>
      </c>
      <c r="AI126" s="58"/>
      <c r="AJ126" s="16" t="e">
        <f ca="1">IF($A126&lt;&gt;"",
IF(VLOOKUP($A126,貼り付け用!$A$1:$BA$300,COLUMN()/2+1,FALSE)=0,"",VLOOKUP($A126,貼り付け用!$A$1:$BA$300,COLUMN()/2+1,FALSE)),"")</f>
        <v>#N/A</v>
      </c>
      <c r="AK126" s="58"/>
      <c r="AL126" s="16" t="e">
        <f ca="1">IF($A126&lt;&gt;"",
IF(VLOOKUP($A126,貼り付け用!$A$1:$BA$300,COLUMN()/2+1,FALSE)=0,"",VLOOKUP($A126,貼り付け用!$A$1:$BA$300,COLUMN()/2+1,FALSE)),"")</f>
        <v>#N/A</v>
      </c>
      <c r="AM126" s="210" t="e">
        <f ca="1">IF($A126&lt;&gt;"",
IF(VLOOKUP($A126,貼り付け用!$A$1:$BA$300,COLUMN()/2+2,FALSE)=0,"",VLOOKUP($A126,貼り付け用!$A$1:$BA$300,COLUMN()/2+2,FALSE)),"")</f>
        <v>#N/A</v>
      </c>
      <c r="AN126" s="210" t="e">
        <f ca="1">IF($A126&lt;&gt;"",
IF(VLOOKUP($A126,貼り付け用!$A$1:$BA$300,COLUMN()/2+3,FALSE)=0,"",VLOOKUP($A126,貼り付け用!$A$1:$BA$300,COLUMN()/2+3,FALSE)),"")</f>
        <v>#N/A</v>
      </c>
    </row>
    <row r="127" spans="1:40" x14ac:dyDescent="0.45">
      <c r="A127" s="8" t="e" cm="1">
        <f t="array" aca="1" ref="A127" ca="1">IF(OR(COUNTIF(A125,"*1000*"),COUNTIF(A125,"")),"",INDEX(貼り付け用!$A:$A,MATCH(A125,貼り付け用!$A:$A,0)+2,0))</f>
        <v>#N/A</v>
      </c>
      <c r="B127" s="46" t="e">
        <f ca="1">IF($A127&lt;&gt;"",
IF(VLOOKUP($A127,貼り付け用!$A$1:$BA$300,COLUMN()/2+1,FALSE)=0,"",VLOOKUP($A127,貼り付け用!$A$1:$BA$300,COLUMN()/2+1,FALSE)),"")</f>
        <v>#N/A</v>
      </c>
      <c r="C127" s="46"/>
      <c r="D127" s="46" t="e">
        <f ca="1">IF($A127&lt;&gt;"",
IF(VLOOKUP($A127,貼り付け用!$A$1:$BA$300,COLUMN()/2+1,FALSE)=0,"",VLOOKUP($A127,貼り付け用!$A$1:$BA$300,COLUMN()/2+1,FALSE)),"")</f>
        <v>#N/A</v>
      </c>
      <c r="E127" s="46"/>
      <c r="F127" s="46" t="e">
        <f ca="1">IF($A127&lt;&gt;"",
IF(VLOOKUP($A127,貼り付け用!$A$1:$BA$300,COLUMN()/2+1,FALSE)=0,"",VLOOKUP($A127,貼り付け用!$A$1:$BA$300,COLUMN()/2+1,FALSE)),"")</f>
        <v>#N/A</v>
      </c>
      <c r="G127" s="46"/>
      <c r="H127" s="46" t="e">
        <f ca="1">IF($A127&lt;&gt;"",
IF(VLOOKUP($A127,貼り付け用!$A$1:$BA$300,COLUMN()/2+1,FALSE)=0,"",VLOOKUP($A127,貼り付け用!$A$1:$BA$300,COLUMN()/2+1,FALSE)),"")</f>
        <v>#N/A</v>
      </c>
      <c r="I127" s="46"/>
      <c r="J127" s="46" t="e">
        <f ca="1">IF($A127&lt;&gt;"",
IF(VLOOKUP($A127,貼り付け用!$A$1:$BA$300,COLUMN()/2+1,FALSE)=0,"",VLOOKUP($A127,貼り付け用!$A$1:$BA$300,COLUMN()/2+1,FALSE)),"")</f>
        <v>#N/A</v>
      </c>
      <c r="K127" s="46"/>
      <c r="L127" s="46" t="e">
        <f ca="1">IF($A127&lt;&gt;"",
IF(VLOOKUP($A127,貼り付け用!$A$1:$BA$300,COLUMN()/2+1,FALSE)=0,"",VLOOKUP($A127,貼り付け用!$A$1:$BA$300,COLUMN()/2+1,FALSE)),"")</f>
        <v>#N/A</v>
      </c>
      <c r="M127" s="46"/>
      <c r="N127" s="46" t="e">
        <f ca="1">IF($A127&lt;&gt;"",
IF(VLOOKUP($A127,貼り付け用!$A$1:$BA$300,COLUMN()/2+1,FALSE)=0,"",VLOOKUP($A127,貼り付け用!$A$1:$BA$300,COLUMN()/2+1,FALSE)),"")</f>
        <v>#N/A</v>
      </c>
      <c r="O127" s="46"/>
      <c r="P127" s="46" t="e">
        <f ca="1">IF($A127&lt;&gt;"",
IF(VLOOKUP($A127,貼り付け用!$A$1:$BA$300,COLUMN()/2+1,FALSE)=0,"",VLOOKUP($A127,貼り付け用!$A$1:$BA$300,COLUMN()/2+1,FALSE)),"")</f>
        <v>#N/A</v>
      </c>
      <c r="Q127" s="46"/>
      <c r="R127" s="46" t="e">
        <f ca="1">IF($A127&lt;&gt;"",
IF(VLOOKUP($A127,貼り付け用!$A$1:$BA$300,COLUMN()/2+1,FALSE)=0,"",VLOOKUP($A127,貼り付け用!$A$1:$BA$300,COLUMN()/2+1,FALSE)),"")</f>
        <v>#N/A</v>
      </c>
      <c r="S127" s="46"/>
      <c r="T127" s="46" t="e">
        <f ca="1">IF($A127&lt;&gt;"",
IF(VLOOKUP($A127,貼り付け用!$A$1:$BA$300,COLUMN()/2+1,FALSE)=0,"",VLOOKUP($A127,貼り付け用!$A$1:$BA$300,COLUMN()/2+1,FALSE)),"")</f>
        <v>#N/A</v>
      </c>
      <c r="U127" s="46"/>
      <c r="V127" s="46" t="e">
        <f ca="1">IF($A127&lt;&gt;"",
IF(VLOOKUP($A127,貼り付け用!$A$1:$BA$300,COLUMN()/2+1,FALSE)=0,"",VLOOKUP($A127,貼り付け用!$A$1:$BA$300,COLUMN()/2+1,FALSE)),"")</f>
        <v>#N/A</v>
      </c>
      <c r="W127" s="46"/>
      <c r="X127" s="46" t="e">
        <f ca="1">IF($A127&lt;&gt;"",
IF(VLOOKUP($A127,貼り付け用!$A$1:$BA$300,COLUMN()/2+1,FALSE)=0,"",VLOOKUP($A127,貼り付け用!$A$1:$BA$300,COLUMN()/2+1,FALSE)),"")</f>
        <v>#N/A</v>
      </c>
      <c r="Y127" s="46"/>
      <c r="Z127" s="46" t="e">
        <f ca="1">IF($A127&lt;&gt;"",
IF(VLOOKUP($A127,貼り付け用!$A$1:$BA$300,COLUMN()/2+1,FALSE)=0,"",VLOOKUP($A127,貼り付け用!$A$1:$BA$300,COLUMN()/2+1,FALSE)),"")</f>
        <v>#N/A</v>
      </c>
      <c r="AA127" s="46"/>
      <c r="AB127" s="46" t="e">
        <f ca="1">IF($A127&lt;&gt;"",
IF(VLOOKUP($A127,貼り付け用!$A$1:$BA$300,COLUMN()/2+1,FALSE)=0,"",VLOOKUP($A127,貼り付け用!$A$1:$BA$300,COLUMN()/2+1,FALSE)),"")</f>
        <v>#N/A</v>
      </c>
      <c r="AC127" s="46"/>
      <c r="AD127" s="46" t="e">
        <f ca="1">IF($A127&lt;&gt;"",
IF(VLOOKUP($A127,貼り付け用!$A$1:$BA$300,COLUMN()/2+1,FALSE)=0,"",VLOOKUP($A127,貼り付け用!$A$1:$BA$300,COLUMN()/2+1,FALSE)),"")</f>
        <v>#N/A</v>
      </c>
      <c r="AE127" s="46"/>
      <c r="AF127" s="46" t="e">
        <f ca="1">IF($A127&lt;&gt;"",
IF(VLOOKUP($A127,貼り付け用!$A$1:$BA$300,COLUMN()/2+1,FALSE)=0,"",VLOOKUP($A127,貼り付け用!$A$1:$BA$300,COLUMN()/2+1,FALSE)),"")</f>
        <v>#N/A</v>
      </c>
      <c r="AG127" s="46"/>
      <c r="AH127" s="46" t="e">
        <f ca="1">IF($A127&lt;&gt;"",
IF(VLOOKUP($A127,貼り付け用!$A$1:$BA$300,COLUMN()/2+1,FALSE)=0,"",VLOOKUP($A127,貼り付け用!$A$1:$BA$300,COLUMN()/2+1,FALSE)),"")</f>
        <v>#N/A</v>
      </c>
      <c r="AI127" s="46"/>
      <c r="AJ127" s="46" t="e">
        <f ca="1">IF($A127&lt;&gt;"",
IF(VLOOKUP($A127,貼り付け用!$A$1:$BA$300,COLUMN()/2+1,FALSE)=0,"",VLOOKUP($A127,貼り付け用!$A$1:$BA$300,COLUMN()/2+1,FALSE)),"")</f>
        <v>#N/A</v>
      </c>
      <c r="AK127" s="46"/>
      <c r="AL127" s="46" t="e">
        <f ca="1">IF($A127&lt;&gt;"",
IF(VLOOKUP($A127,貼り付け用!$A$1:$BA$300,COLUMN()/2+1,FALSE)=0,"",VLOOKUP($A127,貼り付け用!$A$1:$BA$300,COLUMN()/2+1,FALSE)),"")</f>
        <v>#N/A</v>
      </c>
      <c r="AM127" s="211" t="e">
        <f ca="1">IF($A127&lt;&gt;"",
IF(VLOOKUP($A127,貼り付け用!$A$1:$BA$300,COLUMN()/2+2,FALSE)=0,"",VLOOKUP($A127,貼り付け用!$A$1:$BA$300,COLUMN()/2+2,FALSE)),"")</f>
        <v>#N/A</v>
      </c>
      <c r="AN127" s="211" t="e">
        <f ca="1">IF($A127&lt;&gt;"",
IF(VLOOKUP($A127,貼り付け用!$A$1:$BA$300,COLUMN()/2+3,FALSE)=0,"",VLOOKUP($A127,貼り付け用!$A$1:$BA$300,COLUMN()/2+3,FALSE)),"")</f>
        <v>#N/A</v>
      </c>
    </row>
    <row r="128" spans="1:40" x14ac:dyDescent="0.45">
      <c r="A128" s="5" t="e" cm="1">
        <f t="array" aca="1" ref="A128" ca="1">IF(OR(COUNTIF(A126,"*合計*"),COUNTIF(A126,"")),"",INDEX(貼り付け用!$A:$A,MATCH(A126,貼り付け用!$A:$A,0)+2,0))</f>
        <v>#N/A</v>
      </c>
      <c r="B128" s="16" t="e">
        <f ca="1">IF($A128&lt;&gt;"",
IF(VLOOKUP($A128,貼り付け用!$A$1:$BA$300,COLUMN()/2+1,FALSE)=0,"",VLOOKUP($A128,貼り付け用!$A$1:$BA$300,COLUMN()/2+1,FALSE)),"")</f>
        <v>#N/A</v>
      </c>
      <c r="C128" s="58"/>
      <c r="D128" s="16" t="e">
        <f ca="1">IF($A128&lt;&gt;"",
IF(VLOOKUP($A128,貼り付け用!$A$1:$BA$300,COLUMN()/2+1,FALSE)=0,"",VLOOKUP($A128,貼り付け用!$A$1:$BA$300,COLUMN()/2+1,FALSE)),"")</f>
        <v>#N/A</v>
      </c>
      <c r="E128" s="58"/>
      <c r="F128" s="16" t="e">
        <f ca="1">IF($A128&lt;&gt;"",
IF(VLOOKUP($A128,貼り付け用!$A$1:$BA$300,COLUMN()/2+1,FALSE)=0,"",VLOOKUP($A128,貼り付け用!$A$1:$BA$300,COLUMN()/2+1,FALSE)),"")</f>
        <v>#N/A</v>
      </c>
      <c r="G128" s="58"/>
      <c r="H128" s="16" t="e">
        <f ca="1">IF($A128&lt;&gt;"",
IF(VLOOKUP($A128,貼り付け用!$A$1:$BA$300,COLUMN()/2+1,FALSE)=0,"",VLOOKUP($A128,貼り付け用!$A$1:$BA$300,COLUMN()/2+1,FALSE)),"")</f>
        <v>#N/A</v>
      </c>
      <c r="I128" s="58"/>
      <c r="J128" s="16" t="e">
        <f ca="1">IF($A128&lt;&gt;"",
IF(VLOOKUP($A128,貼り付け用!$A$1:$BA$300,COLUMN()/2+1,FALSE)=0,"",VLOOKUP($A128,貼り付け用!$A$1:$BA$300,COLUMN()/2+1,FALSE)),"")</f>
        <v>#N/A</v>
      </c>
      <c r="K128" s="58"/>
      <c r="L128" s="16" t="e">
        <f ca="1">IF($A128&lt;&gt;"",
IF(VLOOKUP($A128,貼り付け用!$A$1:$BA$300,COLUMN()/2+1,FALSE)=0,"",VLOOKUP($A128,貼り付け用!$A$1:$BA$300,COLUMN()/2+1,FALSE)),"")</f>
        <v>#N/A</v>
      </c>
      <c r="M128" s="58"/>
      <c r="N128" s="16" t="e">
        <f ca="1">IF($A128&lt;&gt;"",
IF(VLOOKUP($A128,貼り付け用!$A$1:$BA$300,COLUMN()/2+1,FALSE)=0,"",VLOOKUP($A128,貼り付け用!$A$1:$BA$300,COLUMN()/2+1,FALSE)),"")</f>
        <v>#N/A</v>
      </c>
      <c r="O128" s="58"/>
      <c r="P128" s="16" t="e">
        <f ca="1">IF($A128&lt;&gt;"",
IF(VLOOKUP($A128,貼り付け用!$A$1:$BA$300,COLUMN()/2+1,FALSE)=0,"",VLOOKUP($A128,貼り付け用!$A$1:$BA$300,COLUMN()/2+1,FALSE)),"")</f>
        <v>#N/A</v>
      </c>
      <c r="Q128" s="58"/>
      <c r="R128" s="16" t="e">
        <f ca="1">IF($A128&lt;&gt;"",
IF(VLOOKUP($A128,貼り付け用!$A$1:$BA$300,COLUMN()/2+1,FALSE)=0,"",VLOOKUP($A128,貼り付け用!$A$1:$BA$300,COLUMN()/2+1,FALSE)),"")</f>
        <v>#N/A</v>
      </c>
      <c r="S128" s="58"/>
      <c r="T128" s="16" t="e">
        <f ca="1">IF($A128&lt;&gt;"",
IF(VLOOKUP($A128,貼り付け用!$A$1:$BA$300,COLUMN()/2+1,FALSE)=0,"",VLOOKUP($A128,貼り付け用!$A$1:$BA$300,COLUMN()/2+1,FALSE)),"")</f>
        <v>#N/A</v>
      </c>
      <c r="U128" s="58"/>
      <c r="V128" s="16" t="e">
        <f ca="1">IF($A128&lt;&gt;"",
IF(VLOOKUP($A128,貼り付け用!$A$1:$BA$300,COLUMN()/2+1,FALSE)=0,"",VLOOKUP($A128,貼り付け用!$A$1:$BA$300,COLUMN()/2+1,FALSE)),"")</f>
        <v>#N/A</v>
      </c>
      <c r="W128" s="58"/>
      <c r="X128" s="16" t="e">
        <f ca="1">IF($A128&lt;&gt;"",
IF(VLOOKUP($A128,貼り付け用!$A$1:$BA$300,COLUMN()/2+1,FALSE)=0,"",VLOOKUP($A128,貼り付け用!$A$1:$BA$300,COLUMN()/2+1,FALSE)),"")</f>
        <v>#N/A</v>
      </c>
      <c r="Y128" s="58"/>
      <c r="Z128" s="16" t="e">
        <f ca="1">IF($A128&lt;&gt;"",
IF(VLOOKUP($A128,貼り付け用!$A$1:$BA$300,COLUMN()/2+1,FALSE)=0,"",VLOOKUP($A128,貼り付け用!$A$1:$BA$300,COLUMN()/2+1,FALSE)),"")</f>
        <v>#N/A</v>
      </c>
      <c r="AA128" s="58"/>
      <c r="AB128" s="16" t="e">
        <f ca="1">IF($A128&lt;&gt;"",
IF(VLOOKUP($A128,貼り付け用!$A$1:$BA$300,COLUMN()/2+1,FALSE)=0,"",VLOOKUP($A128,貼り付け用!$A$1:$BA$300,COLUMN()/2+1,FALSE)),"")</f>
        <v>#N/A</v>
      </c>
      <c r="AC128" s="58"/>
      <c r="AD128" s="16" t="e">
        <f ca="1">IF($A128&lt;&gt;"",
IF(VLOOKUP($A128,貼り付け用!$A$1:$BA$300,COLUMN()/2+1,FALSE)=0,"",VLOOKUP($A128,貼り付け用!$A$1:$BA$300,COLUMN()/2+1,FALSE)),"")</f>
        <v>#N/A</v>
      </c>
      <c r="AE128" s="58"/>
      <c r="AF128" s="16" t="e">
        <f ca="1">IF($A128&lt;&gt;"",
IF(VLOOKUP($A128,貼り付け用!$A$1:$BA$300,COLUMN()/2+1,FALSE)=0,"",VLOOKUP($A128,貼り付け用!$A$1:$BA$300,COLUMN()/2+1,FALSE)),"")</f>
        <v>#N/A</v>
      </c>
      <c r="AG128" s="58"/>
      <c r="AH128" s="16" t="e">
        <f ca="1">IF($A128&lt;&gt;"",
IF(VLOOKUP($A128,貼り付け用!$A$1:$BA$300,COLUMN()/2+1,FALSE)=0,"",VLOOKUP($A128,貼り付け用!$A$1:$BA$300,COLUMN()/2+1,FALSE)),"")</f>
        <v>#N/A</v>
      </c>
      <c r="AI128" s="58"/>
      <c r="AJ128" s="16" t="e">
        <f ca="1">IF($A128&lt;&gt;"",
IF(VLOOKUP($A128,貼り付け用!$A$1:$BA$300,COLUMN()/2+1,FALSE)=0,"",VLOOKUP($A128,貼り付け用!$A$1:$BA$300,COLUMN()/2+1,FALSE)),"")</f>
        <v>#N/A</v>
      </c>
      <c r="AK128" s="58"/>
      <c r="AL128" s="16" t="e">
        <f ca="1">IF($A128&lt;&gt;"",
IF(VLOOKUP($A128,貼り付け用!$A$1:$BA$300,COLUMN()/2+1,FALSE)=0,"",VLOOKUP($A128,貼り付け用!$A$1:$BA$300,COLUMN()/2+1,FALSE)),"")</f>
        <v>#N/A</v>
      </c>
      <c r="AM128" s="210" t="e">
        <f ca="1">IF($A128&lt;&gt;"",
IF(VLOOKUP($A128,貼り付け用!$A$1:$BA$300,COLUMN()/2+2,FALSE)=0,"",VLOOKUP($A128,貼り付け用!$A$1:$BA$300,COLUMN()/2+2,FALSE)),"")</f>
        <v>#N/A</v>
      </c>
      <c r="AN128" s="210" t="e">
        <f ca="1">IF($A128&lt;&gt;"",
IF(VLOOKUP($A128,貼り付け用!$A$1:$BA$300,COLUMN()/2+3,FALSE)=0,"",VLOOKUP($A128,貼り付け用!$A$1:$BA$300,COLUMN()/2+3,FALSE)),"")</f>
        <v>#N/A</v>
      </c>
    </row>
    <row r="129" spans="1:40" x14ac:dyDescent="0.45">
      <c r="A129" s="8" t="e" cm="1">
        <f t="array" aca="1" ref="A129" ca="1">IF(OR(COUNTIF(A127,"*1000*"),COUNTIF(A127,"")),"",INDEX(貼り付け用!$A:$A,MATCH(A127,貼り付け用!$A:$A,0)+2,0))</f>
        <v>#N/A</v>
      </c>
      <c r="B129" s="46" t="e">
        <f ca="1">IF($A129&lt;&gt;"",
IF(VLOOKUP($A129,貼り付け用!$A$1:$BA$300,COLUMN()/2+1,FALSE)=0,"",VLOOKUP($A129,貼り付け用!$A$1:$BA$300,COLUMN()/2+1,FALSE)),"")</f>
        <v>#N/A</v>
      </c>
      <c r="C129" s="46"/>
      <c r="D129" s="46" t="e">
        <f ca="1">IF($A129&lt;&gt;"",
IF(VLOOKUP($A129,貼り付け用!$A$1:$BA$300,COLUMN()/2+1,FALSE)=0,"",VLOOKUP($A129,貼り付け用!$A$1:$BA$300,COLUMN()/2+1,FALSE)),"")</f>
        <v>#N/A</v>
      </c>
      <c r="E129" s="46"/>
      <c r="F129" s="46" t="e">
        <f ca="1">IF($A129&lt;&gt;"",
IF(VLOOKUP($A129,貼り付け用!$A$1:$BA$300,COLUMN()/2+1,FALSE)=0,"",VLOOKUP($A129,貼り付け用!$A$1:$BA$300,COLUMN()/2+1,FALSE)),"")</f>
        <v>#N/A</v>
      </c>
      <c r="G129" s="46"/>
      <c r="H129" s="46" t="e">
        <f ca="1">IF($A129&lt;&gt;"",
IF(VLOOKUP($A129,貼り付け用!$A$1:$BA$300,COLUMN()/2+1,FALSE)=0,"",VLOOKUP($A129,貼り付け用!$A$1:$BA$300,COLUMN()/2+1,FALSE)),"")</f>
        <v>#N/A</v>
      </c>
      <c r="I129" s="46"/>
      <c r="J129" s="46" t="e">
        <f ca="1">IF($A129&lt;&gt;"",
IF(VLOOKUP($A129,貼り付け用!$A$1:$BA$300,COLUMN()/2+1,FALSE)=0,"",VLOOKUP($A129,貼り付け用!$A$1:$BA$300,COLUMN()/2+1,FALSE)),"")</f>
        <v>#N/A</v>
      </c>
      <c r="K129" s="46"/>
      <c r="L129" s="46" t="e">
        <f ca="1">IF($A129&lt;&gt;"",
IF(VLOOKUP($A129,貼り付け用!$A$1:$BA$300,COLUMN()/2+1,FALSE)=0,"",VLOOKUP($A129,貼り付け用!$A$1:$BA$300,COLUMN()/2+1,FALSE)),"")</f>
        <v>#N/A</v>
      </c>
      <c r="M129" s="46"/>
      <c r="N129" s="46" t="e">
        <f ca="1">IF($A129&lt;&gt;"",
IF(VLOOKUP($A129,貼り付け用!$A$1:$BA$300,COLUMN()/2+1,FALSE)=0,"",VLOOKUP($A129,貼り付け用!$A$1:$BA$300,COLUMN()/2+1,FALSE)),"")</f>
        <v>#N/A</v>
      </c>
      <c r="O129" s="46"/>
      <c r="P129" s="46" t="e">
        <f ca="1">IF($A129&lt;&gt;"",
IF(VLOOKUP($A129,貼り付け用!$A$1:$BA$300,COLUMN()/2+1,FALSE)=0,"",VLOOKUP($A129,貼り付け用!$A$1:$BA$300,COLUMN()/2+1,FALSE)),"")</f>
        <v>#N/A</v>
      </c>
      <c r="Q129" s="46"/>
      <c r="R129" s="46" t="e">
        <f ca="1">IF($A129&lt;&gt;"",
IF(VLOOKUP($A129,貼り付け用!$A$1:$BA$300,COLUMN()/2+1,FALSE)=0,"",VLOOKUP($A129,貼り付け用!$A$1:$BA$300,COLUMN()/2+1,FALSE)),"")</f>
        <v>#N/A</v>
      </c>
      <c r="S129" s="46"/>
      <c r="T129" s="46" t="e">
        <f ca="1">IF($A129&lt;&gt;"",
IF(VLOOKUP($A129,貼り付け用!$A$1:$BA$300,COLUMN()/2+1,FALSE)=0,"",VLOOKUP($A129,貼り付け用!$A$1:$BA$300,COLUMN()/2+1,FALSE)),"")</f>
        <v>#N/A</v>
      </c>
      <c r="U129" s="46"/>
      <c r="V129" s="46" t="e">
        <f ca="1">IF($A129&lt;&gt;"",
IF(VLOOKUP($A129,貼り付け用!$A$1:$BA$300,COLUMN()/2+1,FALSE)=0,"",VLOOKUP($A129,貼り付け用!$A$1:$BA$300,COLUMN()/2+1,FALSE)),"")</f>
        <v>#N/A</v>
      </c>
      <c r="W129" s="46"/>
      <c r="X129" s="46" t="e">
        <f ca="1">IF($A129&lt;&gt;"",
IF(VLOOKUP($A129,貼り付け用!$A$1:$BA$300,COLUMN()/2+1,FALSE)=0,"",VLOOKUP($A129,貼り付け用!$A$1:$BA$300,COLUMN()/2+1,FALSE)),"")</f>
        <v>#N/A</v>
      </c>
      <c r="Y129" s="46"/>
      <c r="Z129" s="46" t="e">
        <f ca="1">IF($A129&lt;&gt;"",
IF(VLOOKUP($A129,貼り付け用!$A$1:$BA$300,COLUMN()/2+1,FALSE)=0,"",VLOOKUP($A129,貼り付け用!$A$1:$BA$300,COLUMN()/2+1,FALSE)),"")</f>
        <v>#N/A</v>
      </c>
      <c r="AA129" s="46"/>
      <c r="AB129" s="46" t="e">
        <f ca="1">IF($A129&lt;&gt;"",
IF(VLOOKUP($A129,貼り付け用!$A$1:$BA$300,COLUMN()/2+1,FALSE)=0,"",VLOOKUP($A129,貼り付け用!$A$1:$BA$300,COLUMN()/2+1,FALSE)),"")</f>
        <v>#N/A</v>
      </c>
      <c r="AC129" s="46"/>
      <c r="AD129" s="46" t="e">
        <f ca="1">IF($A129&lt;&gt;"",
IF(VLOOKUP($A129,貼り付け用!$A$1:$BA$300,COLUMN()/2+1,FALSE)=0,"",VLOOKUP($A129,貼り付け用!$A$1:$BA$300,COLUMN()/2+1,FALSE)),"")</f>
        <v>#N/A</v>
      </c>
      <c r="AE129" s="46"/>
      <c r="AF129" s="46" t="e">
        <f ca="1">IF($A129&lt;&gt;"",
IF(VLOOKUP($A129,貼り付け用!$A$1:$BA$300,COLUMN()/2+1,FALSE)=0,"",VLOOKUP($A129,貼り付け用!$A$1:$BA$300,COLUMN()/2+1,FALSE)),"")</f>
        <v>#N/A</v>
      </c>
      <c r="AG129" s="46"/>
      <c r="AH129" s="46" t="e">
        <f ca="1">IF($A129&lt;&gt;"",
IF(VLOOKUP($A129,貼り付け用!$A$1:$BA$300,COLUMN()/2+1,FALSE)=0,"",VLOOKUP($A129,貼り付け用!$A$1:$BA$300,COLUMN()/2+1,FALSE)),"")</f>
        <v>#N/A</v>
      </c>
      <c r="AI129" s="46"/>
      <c r="AJ129" s="46" t="e">
        <f ca="1">IF($A129&lt;&gt;"",
IF(VLOOKUP($A129,貼り付け用!$A$1:$BA$300,COLUMN()/2+1,FALSE)=0,"",VLOOKUP($A129,貼り付け用!$A$1:$BA$300,COLUMN()/2+1,FALSE)),"")</f>
        <v>#N/A</v>
      </c>
      <c r="AK129" s="46"/>
      <c r="AL129" s="46" t="e">
        <f ca="1">IF($A129&lt;&gt;"",
IF(VLOOKUP($A129,貼り付け用!$A$1:$BA$300,COLUMN()/2+1,FALSE)=0,"",VLOOKUP($A129,貼り付け用!$A$1:$BA$300,COLUMN()/2+1,FALSE)),"")</f>
        <v>#N/A</v>
      </c>
      <c r="AM129" s="211" t="e">
        <f ca="1">IF($A129&lt;&gt;"",
IF(VLOOKUP($A129,貼り付け用!$A$1:$BA$300,COLUMN()/2+2,FALSE)=0,"",VLOOKUP($A129,貼り付け用!$A$1:$BA$300,COLUMN()/2+2,FALSE)),"")</f>
        <v>#N/A</v>
      </c>
      <c r="AN129" s="211" t="e">
        <f ca="1">IF($A129&lt;&gt;"",
IF(VLOOKUP($A129,貼り付け用!$A$1:$BA$300,COLUMN()/2+3,FALSE)=0,"",VLOOKUP($A129,貼り付け用!$A$1:$BA$300,COLUMN()/2+3,FALSE)),"")</f>
        <v>#N/A</v>
      </c>
    </row>
    <row r="130" spans="1:40" x14ac:dyDescent="0.45">
      <c r="A130" s="5" t="e" cm="1">
        <f t="array" aca="1" ref="A130" ca="1">IF(OR(COUNTIF(A128,"*合計*"),COUNTIF(A128,"")),"",INDEX(貼り付け用!$A:$A,MATCH(A128,貼り付け用!$A:$A,0)+2,0))</f>
        <v>#N/A</v>
      </c>
      <c r="B130" s="16" t="e">
        <f ca="1">IF($A130&lt;&gt;"",
IF(VLOOKUP($A130,貼り付け用!$A$1:$BA$300,COLUMN()/2+1,FALSE)=0,"",VLOOKUP($A130,貼り付け用!$A$1:$BA$300,COLUMN()/2+1,FALSE)),"")</f>
        <v>#N/A</v>
      </c>
      <c r="C130" s="58"/>
      <c r="D130" s="16" t="e">
        <f ca="1">IF($A130&lt;&gt;"",
IF(VLOOKUP($A130,貼り付け用!$A$1:$BA$300,COLUMN()/2+1,FALSE)=0,"",VLOOKUP($A130,貼り付け用!$A$1:$BA$300,COLUMN()/2+1,FALSE)),"")</f>
        <v>#N/A</v>
      </c>
      <c r="E130" s="58"/>
      <c r="F130" s="16" t="e">
        <f ca="1">IF($A130&lt;&gt;"",
IF(VLOOKUP($A130,貼り付け用!$A$1:$BA$300,COLUMN()/2+1,FALSE)=0,"",VLOOKUP($A130,貼り付け用!$A$1:$BA$300,COLUMN()/2+1,FALSE)),"")</f>
        <v>#N/A</v>
      </c>
      <c r="G130" s="58"/>
      <c r="H130" s="16" t="e">
        <f ca="1">IF($A130&lt;&gt;"",
IF(VLOOKUP($A130,貼り付け用!$A$1:$BA$300,COLUMN()/2+1,FALSE)=0,"",VLOOKUP($A130,貼り付け用!$A$1:$BA$300,COLUMN()/2+1,FALSE)),"")</f>
        <v>#N/A</v>
      </c>
      <c r="I130" s="58"/>
      <c r="J130" s="16" t="e">
        <f ca="1">IF($A130&lt;&gt;"",
IF(VLOOKUP($A130,貼り付け用!$A$1:$BA$300,COLUMN()/2+1,FALSE)=0,"",VLOOKUP($A130,貼り付け用!$A$1:$BA$300,COLUMN()/2+1,FALSE)),"")</f>
        <v>#N/A</v>
      </c>
      <c r="K130" s="58"/>
      <c r="L130" s="16" t="e">
        <f ca="1">IF($A130&lt;&gt;"",
IF(VLOOKUP($A130,貼り付け用!$A$1:$BA$300,COLUMN()/2+1,FALSE)=0,"",VLOOKUP($A130,貼り付け用!$A$1:$BA$300,COLUMN()/2+1,FALSE)),"")</f>
        <v>#N/A</v>
      </c>
      <c r="M130" s="58"/>
      <c r="N130" s="16" t="e">
        <f ca="1">IF($A130&lt;&gt;"",
IF(VLOOKUP($A130,貼り付け用!$A$1:$BA$300,COLUMN()/2+1,FALSE)=0,"",VLOOKUP($A130,貼り付け用!$A$1:$BA$300,COLUMN()/2+1,FALSE)),"")</f>
        <v>#N/A</v>
      </c>
      <c r="O130" s="58"/>
      <c r="P130" s="16" t="e">
        <f ca="1">IF($A130&lt;&gt;"",
IF(VLOOKUP($A130,貼り付け用!$A$1:$BA$300,COLUMN()/2+1,FALSE)=0,"",VLOOKUP($A130,貼り付け用!$A$1:$BA$300,COLUMN()/2+1,FALSE)),"")</f>
        <v>#N/A</v>
      </c>
      <c r="Q130" s="58"/>
      <c r="R130" s="16" t="e">
        <f ca="1">IF($A130&lt;&gt;"",
IF(VLOOKUP($A130,貼り付け用!$A$1:$BA$300,COLUMN()/2+1,FALSE)=0,"",VLOOKUP($A130,貼り付け用!$A$1:$BA$300,COLUMN()/2+1,FALSE)),"")</f>
        <v>#N/A</v>
      </c>
      <c r="S130" s="58"/>
      <c r="T130" s="16" t="e">
        <f ca="1">IF($A130&lt;&gt;"",
IF(VLOOKUP($A130,貼り付け用!$A$1:$BA$300,COLUMN()/2+1,FALSE)=0,"",VLOOKUP($A130,貼り付け用!$A$1:$BA$300,COLUMN()/2+1,FALSE)),"")</f>
        <v>#N/A</v>
      </c>
      <c r="U130" s="58"/>
      <c r="V130" s="16" t="e">
        <f ca="1">IF($A130&lt;&gt;"",
IF(VLOOKUP($A130,貼り付け用!$A$1:$BA$300,COLUMN()/2+1,FALSE)=0,"",VLOOKUP($A130,貼り付け用!$A$1:$BA$300,COLUMN()/2+1,FALSE)),"")</f>
        <v>#N/A</v>
      </c>
      <c r="W130" s="58"/>
      <c r="X130" s="16" t="e">
        <f ca="1">IF($A130&lt;&gt;"",
IF(VLOOKUP($A130,貼り付け用!$A$1:$BA$300,COLUMN()/2+1,FALSE)=0,"",VLOOKUP($A130,貼り付け用!$A$1:$BA$300,COLUMN()/2+1,FALSE)),"")</f>
        <v>#N/A</v>
      </c>
      <c r="Y130" s="58"/>
      <c r="Z130" s="16" t="e">
        <f ca="1">IF($A130&lt;&gt;"",
IF(VLOOKUP($A130,貼り付け用!$A$1:$BA$300,COLUMN()/2+1,FALSE)=0,"",VLOOKUP($A130,貼り付け用!$A$1:$BA$300,COLUMN()/2+1,FALSE)),"")</f>
        <v>#N/A</v>
      </c>
      <c r="AA130" s="58"/>
      <c r="AB130" s="16" t="e">
        <f ca="1">IF($A130&lt;&gt;"",
IF(VLOOKUP($A130,貼り付け用!$A$1:$BA$300,COLUMN()/2+1,FALSE)=0,"",VLOOKUP($A130,貼り付け用!$A$1:$BA$300,COLUMN()/2+1,FALSE)),"")</f>
        <v>#N/A</v>
      </c>
      <c r="AC130" s="58"/>
      <c r="AD130" s="16" t="e">
        <f ca="1">IF($A130&lt;&gt;"",
IF(VLOOKUP($A130,貼り付け用!$A$1:$BA$300,COLUMN()/2+1,FALSE)=0,"",VLOOKUP($A130,貼り付け用!$A$1:$BA$300,COLUMN()/2+1,FALSE)),"")</f>
        <v>#N/A</v>
      </c>
      <c r="AE130" s="58"/>
      <c r="AF130" s="16" t="e">
        <f ca="1">IF($A130&lt;&gt;"",
IF(VLOOKUP($A130,貼り付け用!$A$1:$BA$300,COLUMN()/2+1,FALSE)=0,"",VLOOKUP($A130,貼り付け用!$A$1:$BA$300,COLUMN()/2+1,FALSE)),"")</f>
        <v>#N/A</v>
      </c>
      <c r="AG130" s="58"/>
      <c r="AH130" s="16" t="e">
        <f ca="1">IF($A130&lt;&gt;"",
IF(VLOOKUP($A130,貼り付け用!$A$1:$BA$300,COLUMN()/2+1,FALSE)=0,"",VLOOKUP($A130,貼り付け用!$A$1:$BA$300,COLUMN()/2+1,FALSE)),"")</f>
        <v>#N/A</v>
      </c>
      <c r="AI130" s="58"/>
      <c r="AJ130" s="16" t="e">
        <f ca="1">IF($A130&lt;&gt;"",
IF(VLOOKUP($A130,貼り付け用!$A$1:$BA$300,COLUMN()/2+1,FALSE)=0,"",VLOOKUP($A130,貼り付け用!$A$1:$BA$300,COLUMN()/2+1,FALSE)),"")</f>
        <v>#N/A</v>
      </c>
      <c r="AK130" s="58"/>
      <c r="AL130" s="16" t="e">
        <f ca="1">IF($A130&lt;&gt;"",
IF(VLOOKUP($A130,貼り付け用!$A$1:$BA$300,COLUMN()/2+1,FALSE)=0,"",VLOOKUP($A130,貼り付け用!$A$1:$BA$300,COLUMN()/2+1,FALSE)),"")</f>
        <v>#N/A</v>
      </c>
      <c r="AM130" s="210" t="e">
        <f ca="1">IF($A130&lt;&gt;"",
IF(VLOOKUP($A130,貼り付け用!$A$1:$BA$300,COLUMN()/2+2,FALSE)=0,"",VLOOKUP($A130,貼り付け用!$A$1:$BA$300,COLUMN()/2+2,FALSE)),"")</f>
        <v>#N/A</v>
      </c>
      <c r="AN130" s="210" t="e">
        <f ca="1">IF($A130&lt;&gt;"",
IF(VLOOKUP($A130,貼り付け用!$A$1:$BA$300,COLUMN()/2+3,FALSE)=0,"",VLOOKUP($A130,貼り付け用!$A$1:$BA$300,COLUMN()/2+3,FALSE)),"")</f>
        <v>#N/A</v>
      </c>
    </row>
    <row r="131" spans="1:40" x14ac:dyDescent="0.45">
      <c r="A131" s="8" t="e" cm="1">
        <f t="array" aca="1" ref="A131" ca="1">IF(OR(COUNTIF(A129,"*1000*"),COUNTIF(A129,"")),"",INDEX(貼り付け用!$A:$A,MATCH(A129,貼り付け用!$A:$A,0)+2,0))</f>
        <v>#N/A</v>
      </c>
      <c r="B131" s="46" t="e">
        <f ca="1">IF($A131&lt;&gt;"",
IF(VLOOKUP($A131,貼り付け用!$A$1:$BA$300,COLUMN()/2+1,FALSE)=0,"",VLOOKUP($A131,貼り付け用!$A$1:$BA$300,COLUMN()/2+1,FALSE)),"")</f>
        <v>#N/A</v>
      </c>
      <c r="C131" s="46"/>
      <c r="D131" s="46" t="e">
        <f ca="1">IF($A131&lt;&gt;"",
IF(VLOOKUP($A131,貼り付け用!$A$1:$BA$300,COLUMN()/2+1,FALSE)=0,"",VLOOKUP($A131,貼り付け用!$A$1:$BA$300,COLUMN()/2+1,FALSE)),"")</f>
        <v>#N/A</v>
      </c>
      <c r="E131" s="46"/>
      <c r="F131" s="46" t="e">
        <f ca="1">IF($A131&lt;&gt;"",
IF(VLOOKUP($A131,貼り付け用!$A$1:$BA$300,COLUMN()/2+1,FALSE)=0,"",VLOOKUP($A131,貼り付け用!$A$1:$BA$300,COLUMN()/2+1,FALSE)),"")</f>
        <v>#N/A</v>
      </c>
      <c r="G131" s="46"/>
      <c r="H131" s="46" t="e">
        <f ca="1">IF($A131&lt;&gt;"",
IF(VLOOKUP($A131,貼り付け用!$A$1:$BA$300,COLUMN()/2+1,FALSE)=0,"",VLOOKUP($A131,貼り付け用!$A$1:$BA$300,COLUMN()/2+1,FALSE)),"")</f>
        <v>#N/A</v>
      </c>
      <c r="I131" s="46"/>
      <c r="J131" s="46" t="e">
        <f ca="1">IF($A131&lt;&gt;"",
IF(VLOOKUP($A131,貼り付け用!$A$1:$BA$300,COLUMN()/2+1,FALSE)=0,"",VLOOKUP($A131,貼り付け用!$A$1:$BA$300,COLUMN()/2+1,FALSE)),"")</f>
        <v>#N/A</v>
      </c>
      <c r="K131" s="46"/>
      <c r="L131" s="46" t="e">
        <f ca="1">IF($A131&lt;&gt;"",
IF(VLOOKUP($A131,貼り付け用!$A$1:$BA$300,COLUMN()/2+1,FALSE)=0,"",VLOOKUP($A131,貼り付け用!$A$1:$BA$300,COLUMN()/2+1,FALSE)),"")</f>
        <v>#N/A</v>
      </c>
      <c r="M131" s="46"/>
      <c r="N131" s="46" t="e">
        <f ca="1">IF($A131&lt;&gt;"",
IF(VLOOKUP($A131,貼り付け用!$A$1:$BA$300,COLUMN()/2+1,FALSE)=0,"",VLOOKUP($A131,貼り付け用!$A$1:$BA$300,COLUMN()/2+1,FALSE)),"")</f>
        <v>#N/A</v>
      </c>
      <c r="O131" s="46"/>
      <c r="P131" s="46" t="e">
        <f ca="1">IF($A131&lt;&gt;"",
IF(VLOOKUP($A131,貼り付け用!$A$1:$BA$300,COLUMN()/2+1,FALSE)=0,"",VLOOKUP($A131,貼り付け用!$A$1:$BA$300,COLUMN()/2+1,FALSE)),"")</f>
        <v>#N/A</v>
      </c>
      <c r="Q131" s="46"/>
      <c r="R131" s="46" t="e">
        <f ca="1">IF($A131&lt;&gt;"",
IF(VLOOKUP($A131,貼り付け用!$A$1:$BA$300,COLUMN()/2+1,FALSE)=0,"",VLOOKUP($A131,貼り付け用!$A$1:$BA$300,COLUMN()/2+1,FALSE)),"")</f>
        <v>#N/A</v>
      </c>
      <c r="S131" s="46"/>
      <c r="T131" s="46" t="e">
        <f ca="1">IF($A131&lt;&gt;"",
IF(VLOOKUP($A131,貼り付け用!$A$1:$BA$300,COLUMN()/2+1,FALSE)=0,"",VLOOKUP($A131,貼り付け用!$A$1:$BA$300,COLUMN()/2+1,FALSE)),"")</f>
        <v>#N/A</v>
      </c>
      <c r="U131" s="46"/>
      <c r="V131" s="46" t="e">
        <f ca="1">IF($A131&lt;&gt;"",
IF(VLOOKUP($A131,貼り付け用!$A$1:$BA$300,COLUMN()/2+1,FALSE)=0,"",VLOOKUP($A131,貼り付け用!$A$1:$BA$300,COLUMN()/2+1,FALSE)),"")</f>
        <v>#N/A</v>
      </c>
      <c r="W131" s="46"/>
      <c r="X131" s="46" t="e">
        <f ca="1">IF($A131&lt;&gt;"",
IF(VLOOKUP($A131,貼り付け用!$A$1:$BA$300,COLUMN()/2+1,FALSE)=0,"",VLOOKUP($A131,貼り付け用!$A$1:$BA$300,COLUMN()/2+1,FALSE)),"")</f>
        <v>#N/A</v>
      </c>
      <c r="Y131" s="46"/>
      <c r="Z131" s="46" t="e">
        <f ca="1">IF($A131&lt;&gt;"",
IF(VLOOKUP($A131,貼り付け用!$A$1:$BA$300,COLUMN()/2+1,FALSE)=0,"",VLOOKUP($A131,貼り付け用!$A$1:$BA$300,COLUMN()/2+1,FALSE)),"")</f>
        <v>#N/A</v>
      </c>
      <c r="AA131" s="46"/>
      <c r="AB131" s="46" t="e">
        <f ca="1">IF($A131&lt;&gt;"",
IF(VLOOKUP($A131,貼り付け用!$A$1:$BA$300,COLUMN()/2+1,FALSE)=0,"",VLOOKUP($A131,貼り付け用!$A$1:$BA$300,COLUMN()/2+1,FALSE)),"")</f>
        <v>#N/A</v>
      </c>
      <c r="AC131" s="46"/>
      <c r="AD131" s="46" t="e">
        <f ca="1">IF($A131&lt;&gt;"",
IF(VLOOKUP($A131,貼り付け用!$A$1:$BA$300,COLUMN()/2+1,FALSE)=0,"",VLOOKUP($A131,貼り付け用!$A$1:$BA$300,COLUMN()/2+1,FALSE)),"")</f>
        <v>#N/A</v>
      </c>
      <c r="AE131" s="46"/>
      <c r="AF131" s="46" t="e">
        <f ca="1">IF($A131&lt;&gt;"",
IF(VLOOKUP($A131,貼り付け用!$A$1:$BA$300,COLUMN()/2+1,FALSE)=0,"",VLOOKUP($A131,貼り付け用!$A$1:$BA$300,COLUMN()/2+1,FALSE)),"")</f>
        <v>#N/A</v>
      </c>
      <c r="AG131" s="46"/>
      <c r="AH131" s="46" t="e">
        <f ca="1">IF($A131&lt;&gt;"",
IF(VLOOKUP($A131,貼り付け用!$A$1:$BA$300,COLUMN()/2+1,FALSE)=0,"",VLOOKUP($A131,貼り付け用!$A$1:$BA$300,COLUMN()/2+1,FALSE)),"")</f>
        <v>#N/A</v>
      </c>
      <c r="AI131" s="46"/>
      <c r="AJ131" s="46" t="e">
        <f ca="1">IF($A131&lt;&gt;"",
IF(VLOOKUP($A131,貼り付け用!$A$1:$BA$300,COLUMN()/2+1,FALSE)=0,"",VLOOKUP($A131,貼り付け用!$A$1:$BA$300,COLUMN()/2+1,FALSE)),"")</f>
        <v>#N/A</v>
      </c>
      <c r="AK131" s="46"/>
      <c r="AL131" s="46" t="e">
        <f ca="1">IF($A131&lt;&gt;"",
IF(VLOOKUP($A131,貼り付け用!$A$1:$BA$300,COLUMN()/2+1,FALSE)=0,"",VLOOKUP($A131,貼り付け用!$A$1:$BA$300,COLUMN()/2+1,FALSE)),"")</f>
        <v>#N/A</v>
      </c>
      <c r="AM131" s="211" t="e">
        <f ca="1">IF($A131&lt;&gt;"",
IF(VLOOKUP($A131,貼り付け用!$A$1:$BA$300,COLUMN()/2+2,FALSE)=0,"",VLOOKUP($A131,貼り付け用!$A$1:$BA$300,COLUMN()/2+2,FALSE)),"")</f>
        <v>#N/A</v>
      </c>
      <c r="AN131" s="211" t="e">
        <f ca="1">IF($A131&lt;&gt;"",
IF(VLOOKUP($A131,貼り付け用!$A$1:$BA$300,COLUMN()/2+3,FALSE)=0,"",VLOOKUP($A131,貼り付け用!$A$1:$BA$300,COLUMN()/2+3,FALSE)),"")</f>
        <v>#N/A</v>
      </c>
    </row>
    <row r="132" spans="1:40" x14ac:dyDescent="0.45">
      <c r="A132" s="5" t="e" cm="1">
        <f t="array" aca="1" ref="A132" ca="1">IF(OR(COUNTIF(A130,"*合計*"),COUNTIF(A130,"")),"",INDEX(貼り付け用!$A:$A,MATCH(A130,貼り付け用!$A:$A,0)+2,0))</f>
        <v>#N/A</v>
      </c>
      <c r="B132" s="16" t="e">
        <f ca="1">IF($A132&lt;&gt;"",
IF(VLOOKUP($A132,貼り付け用!$A$1:$BA$300,COLUMN()/2+1,FALSE)=0,"",VLOOKUP($A132,貼り付け用!$A$1:$BA$300,COLUMN()/2+1,FALSE)),"")</f>
        <v>#N/A</v>
      </c>
      <c r="C132" s="58"/>
      <c r="D132" s="16" t="e">
        <f ca="1">IF($A132&lt;&gt;"",
IF(VLOOKUP($A132,貼り付け用!$A$1:$BA$300,COLUMN()/2+1,FALSE)=0,"",VLOOKUP($A132,貼り付け用!$A$1:$BA$300,COLUMN()/2+1,FALSE)),"")</f>
        <v>#N/A</v>
      </c>
      <c r="E132" s="58"/>
      <c r="F132" s="16" t="e">
        <f ca="1">IF($A132&lt;&gt;"",
IF(VLOOKUP($A132,貼り付け用!$A$1:$BA$300,COLUMN()/2+1,FALSE)=0,"",VLOOKUP($A132,貼り付け用!$A$1:$BA$300,COLUMN()/2+1,FALSE)),"")</f>
        <v>#N/A</v>
      </c>
      <c r="G132" s="58"/>
      <c r="H132" s="16" t="e">
        <f ca="1">IF($A132&lt;&gt;"",
IF(VLOOKUP($A132,貼り付け用!$A$1:$BA$300,COLUMN()/2+1,FALSE)=0,"",VLOOKUP($A132,貼り付け用!$A$1:$BA$300,COLUMN()/2+1,FALSE)),"")</f>
        <v>#N/A</v>
      </c>
      <c r="I132" s="58"/>
      <c r="J132" s="16" t="e">
        <f ca="1">IF($A132&lt;&gt;"",
IF(VLOOKUP($A132,貼り付け用!$A$1:$BA$300,COLUMN()/2+1,FALSE)=0,"",VLOOKUP($A132,貼り付け用!$A$1:$BA$300,COLUMN()/2+1,FALSE)),"")</f>
        <v>#N/A</v>
      </c>
      <c r="K132" s="58"/>
      <c r="L132" s="16" t="e">
        <f ca="1">IF($A132&lt;&gt;"",
IF(VLOOKUP($A132,貼り付け用!$A$1:$BA$300,COLUMN()/2+1,FALSE)=0,"",VLOOKUP($A132,貼り付け用!$A$1:$BA$300,COLUMN()/2+1,FALSE)),"")</f>
        <v>#N/A</v>
      </c>
      <c r="M132" s="58"/>
      <c r="N132" s="16" t="e">
        <f ca="1">IF($A132&lt;&gt;"",
IF(VLOOKUP($A132,貼り付け用!$A$1:$BA$300,COLUMN()/2+1,FALSE)=0,"",VLOOKUP($A132,貼り付け用!$A$1:$BA$300,COLUMN()/2+1,FALSE)),"")</f>
        <v>#N/A</v>
      </c>
      <c r="O132" s="58"/>
      <c r="P132" s="16" t="e">
        <f ca="1">IF($A132&lt;&gt;"",
IF(VLOOKUP($A132,貼り付け用!$A$1:$BA$300,COLUMN()/2+1,FALSE)=0,"",VLOOKUP($A132,貼り付け用!$A$1:$BA$300,COLUMN()/2+1,FALSE)),"")</f>
        <v>#N/A</v>
      </c>
      <c r="Q132" s="58"/>
      <c r="R132" s="16" t="e">
        <f ca="1">IF($A132&lt;&gt;"",
IF(VLOOKUP($A132,貼り付け用!$A$1:$BA$300,COLUMN()/2+1,FALSE)=0,"",VLOOKUP($A132,貼り付け用!$A$1:$BA$300,COLUMN()/2+1,FALSE)),"")</f>
        <v>#N/A</v>
      </c>
      <c r="S132" s="58"/>
      <c r="T132" s="16" t="e">
        <f ca="1">IF($A132&lt;&gt;"",
IF(VLOOKUP($A132,貼り付け用!$A$1:$BA$300,COLUMN()/2+1,FALSE)=0,"",VLOOKUP($A132,貼り付け用!$A$1:$BA$300,COLUMN()/2+1,FALSE)),"")</f>
        <v>#N/A</v>
      </c>
      <c r="U132" s="58"/>
      <c r="V132" s="16" t="e">
        <f ca="1">IF($A132&lt;&gt;"",
IF(VLOOKUP($A132,貼り付け用!$A$1:$BA$300,COLUMN()/2+1,FALSE)=0,"",VLOOKUP($A132,貼り付け用!$A$1:$BA$300,COLUMN()/2+1,FALSE)),"")</f>
        <v>#N/A</v>
      </c>
      <c r="W132" s="58"/>
      <c r="X132" s="16" t="e">
        <f ca="1">IF($A132&lt;&gt;"",
IF(VLOOKUP($A132,貼り付け用!$A$1:$BA$300,COLUMN()/2+1,FALSE)=0,"",VLOOKUP($A132,貼り付け用!$A$1:$BA$300,COLUMN()/2+1,FALSE)),"")</f>
        <v>#N/A</v>
      </c>
      <c r="Y132" s="58"/>
      <c r="Z132" s="16" t="e">
        <f ca="1">IF($A132&lt;&gt;"",
IF(VLOOKUP($A132,貼り付け用!$A$1:$BA$300,COLUMN()/2+1,FALSE)=0,"",VLOOKUP($A132,貼り付け用!$A$1:$BA$300,COLUMN()/2+1,FALSE)),"")</f>
        <v>#N/A</v>
      </c>
      <c r="AA132" s="58"/>
      <c r="AB132" s="16" t="e">
        <f ca="1">IF($A132&lt;&gt;"",
IF(VLOOKUP($A132,貼り付け用!$A$1:$BA$300,COLUMN()/2+1,FALSE)=0,"",VLOOKUP($A132,貼り付け用!$A$1:$BA$300,COLUMN()/2+1,FALSE)),"")</f>
        <v>#N/A</v>
      </c>
      <c r="AC132" s="58"/>
      <c r="AD132" s="16" t="e">
        <f ca="1">IF($A132&lt;&gt;"",
IF(VLOOKUP($A132,貼り付け用!$A$1:$BA$300,COLUMN()/2+1,FALSE)=0,"",VLOOKUP($A132,貼り付け用!$A$1:$BA$300,COLUMN()/2+1,FALSE)),"")</f>
        <v>#N/A</v>
      </c>
      <c r="AE132" s="58"/>
      <c r="AF132" s="16" t="e">
        <f ca="1">IF($A132&lt;&gt;"",
IF(VLOOKUP($A132,貼り付け用!$A$1:$BA$300,COLUMN()/2+1,FALSE)=0,"",VLOOKUP($A132,貼り付け用!$A$1:$BA$300,COLUMN()/2+1,FALSE)),"")</f>
        <v>#N/A</v>
      </c>
      <c r="AG132" s="58"/>
      <c r="AH132" s="16" t="e">
        <f ca="1">IF($A132&lt;&gt;"",
IF(VLOOKUP($A132,貼り付け用!$A$1:$BA$300,COLUMN()/2+1,FALSE)=0,"",VLOOKUP($A132,貼り付け用!$A$1:$BA$300,COLUMN()/2+1,FALSE)),"")</f>
        <v>#N/A</v>
      </c>
      <c r="AI132" s="58"/>
      <c r="AJ132" s="16" t="e">
        <f ca="1">IF($A132&lt;&gt;"",
IF(VLOOKUP($A132,貼り付け用!$A$1:$BA$300,COLUMN()/2+1,FALSE)=0,"",VLOOKUP($A132,貼り付け用!$A$1:$BA$300,COLUMN()/2+1,FALSE)),"")</f>
        <v>#N/A</v>
      </c>
      <c r="AK132" s="58"/>
      <c r="AL132" s="16" t="e">
        <f ca="1">IF($A132&lt;&gt;"",
IF(VLOOKUP($A132,貼り付け用!$A$1:$BA$300,COLUMN()/2+1,FALSE)=0,"",VLOOKUP($A132,貼り付け用!$A$1:$BA$300,COLUMN()/2+1,FALSE)),"")</f>
        <v>#N/A</v>
      </c>
      <c r="AM132" s="210" t="e">
        <f ca="1">IF($A132&lt;&gt;"",
IF(VLOOKUP($A132,貼り付け用!$A$1:$BA$300,COLUMN()/2+2,FALSE)=0,"",VLOOKUP($A132,貼り付け用!$A$1:$BA$300,COLUMN()/2+2,FALSE)),"")</f>
        <v>#N/A</v>
      </c>
      <c r="AN132" s="210" t="e">
        <f ca="1">IF($A132&lt;&gt;"",
IF(VLOOKUP($A132,貼り付け用!$A$1:$BA$300,COLUMN()/2+3,FALSE)=0,"",VLOOKUP($A132,貼り付け用!$A$1:$BA$300,COLUMN()/2+3,FALSE)),"")</f>
        <v>#N/A</v>
      </c>
    </row>
    <row r="133" spans="1:40" x14ac:dyDescent="0.45">
      <c r="A133" s="8" t="e" cm="1">
        <f t="array" aca="1" ref="A133" ca="1">IF(OR(COUNTIF(A131,"*1000*"),COUNTIF(A131,"")),"",INDEX(貼り付け用!$A:$A,MATCH(A131,貼り付け用!$A:$A,0)+2,0))</f>
        <v>#N/A</v>
      </c>
      <c r="B133" s="46" t="e">
        <f ca="1">IF($A133&lt;&gt;"",
IF(VLOOKUP($A133,貼り付け用!$A$1:$BA$300,COLUMN()/2+1,FALSE)=0,"",VLOOKUP($A133,貼り付け用!$A$1:$BA$300,COLUMN()/2+1,FALSE)),"")</f>
        <v>#N/A</v>
      </c>
      <c r="C133" s="46"/>
      <c r="D133" s="46" t="e">
        <f ca="1">IF($A133&lt;&gt;"",
IF(VLOOKUP($A133,貼り付け用!$A$1:$BA$300,COLUMN()/2+1,FALSE)=0,"",VLOOKUP($A133,貼り付け用!$A$1:$BA$300,COLUMN()/2+1,FALSE)),"")</f>
        <v>#N/A</v>
      </c>
      <c r="E133" s="46"/>
      <c r="F133" s="46" t="e">
        <f ca="1">IF($A133&lt;&gt;"",
IF(VLOOKUP($A133,貼り付け用!$A$1:$BA$300,COLUMN()/2+1,FALSE)=0,"",VLOOKUP($A133,貼り付け用!$A$1:$BA$300,COLUMN()/2+1,FALSE)),"")</f>
        <v>#N/A</v>
      </c>
      <c r="G133" s="46"/>
      <c r="H133" s="46" t="e">
        <f ca="1">IF($A133&lt;&gt;"",
IF(VLOOKUP($A133,貼り付け用!$A$1:$BA$300,COLUMN()/2+1,FALSE)=0,"",VLOOKUP($A133,貼り付け用!$A$1:$BA$300,COLUMN()/2+1,FALSE)),"")</f>
        <v>#N/A</v>
      </c>
      <c r="I133" s="46"/>
      <c r="J133" s="46" t="e">
        <f ca="1">IF($A133&lt;&gt;"",
IF(VLOOKUP($A133,貼り付け用!$A$1:$BA$300,COLUMN()/2+1,FALSE)=0,"",VLOOKUP($A133,貼り付け用!$A$1:$BA$300,COLUMN()/2+1,FALSE)),"")</f>
        <v>#N/A</v>
      </c>
      <c r="K133" s="46"/>
      <c r="L133" s="46" t="e">
        <f ca="1">IF($A133&lt;&gt;"",
IF(VLOOKUP($A133,貼り付け用!$A$1:$BA$300,COLUMN()/2+1,FALSE)=0,"",VLOOKUP($A133,貼り付け用!$A$1:$BA$300,COLUMN()/2+1,FALSE)),"")</f>
        <v>#N/A</v>
      </c>
      <c r="M133" s="46"/>
      <c r="N133" s="46" t="e">
        <f ca="1">IF($A133&lt;&gt;"",
IF(VLOOKUP($A133,貼り付け用!$A$1:$BA$300,COLUMN()/2+1,FALSE)=0,"",VLOOKUP($A133,貼り付け用!$A$1:$BA$300,COLUMN()/2+1,FALSE)),"")</f>
        <v>#N/A</v>
      </c>
      <c r="O133" s="46"/>
      <c r="P133" s="46" t="e">
        <f ca="1">IF($A133&lt;&gt;"",
IF(VLOOKUP($A133,貼り付け用!$A$1:$BA$300,COLUMN()/2+1,FALSE)=0,"",VLOOKUP($A133,貼り付け用!$A$1:$BA$300,COLUMN()/2+1,FALSE)),"")</f>
        <v>#N/A</v>
      </c>
      <c r="Q133" s="46"/>
      <c r="R133" s="46" t="e">
        <f ca="1">IF($A133&lt;&gt;"",
IF(VLOOKUP($A133,貼り付け用!$A$1:$BA$300,COLUMN()/2+1,FALSE)=0,"",VLOOKUP($A133,貼り付け用!$A$1:$BA$300,COLUMN()/2+1,FALSE)),"")</f>
        <v>#N/A</v>
      </c>
      <c r="S133" s="46"/>
      <c r="T133" s="46" t="e">
        <f ca="1">IF($A133&lt;&gt;"",
IF(VLOOKUP($A133,貼り付け用!$A$1:$BA$300,COLUMN()/2+1,FALSE)=0,"",VLOOKUP($A133,貼り付け用!$A$1:$BA$300,COLUMN()/2+1,FALSE)),"")</f>
        <v>#N/A</v>
      </c>
      <c r="U133" s="46"/>
      <c r="V133" s="46" t="e">
        <f ca="1">IF($A133&lt;&gt;"",
IF(VLOOKUP($A133,貼り付け用!$A$1:$BA$300,COLUMN()/2+1,FALSE)=0,"",VLOOKUP($A133,貼り付け用!$A$1:$BA$300,COLUMN()/2+1,FALSE)),"")</f>
        <v>#N/A</v>
      </c>
      <c r="W133" s="46"/>
      <c r="X133" s="46" t="e">
        <f ca="1">IF($A133&lt;&gt;"",
IF(VLOOKUP($A133,貼り付け用!$A$1:$BA$300,COLUMN()/2+1,FALSE)=0,"",VLOOKUP($A133,貼り付け用!$A$1:$BA$300,COLUMN()/2+1,FALSE)),"")</f>
        <v>#N/A</v>
      </c>
      <c r="Y133" s="46"/>
      <c r="Z133" s="46" t="e">
        <f ca="1">IF($A133&lt;&gt;"",
IF(VLOOKUP($A133,貼り付け用!$A$1:$BA$300,COLUMN()/2+1,FALSE)=0,"",VLOOKUP($A133,貼り付け用!$A$1:$BA$300,COLUMN()/2+1,FALSE)),"")</f>
        <v>#N/A</v>
      </c>
      <c r="AA133" s="46"/>
      <c r="AB133" s="46" t="e">
        <f ca="1">IF($A133&lt;&gt;"",
IF(VLOOKUP($A133,貼り付け用!$A$1:$BA$300,COLUMN()/2+1,FALSE)=0,"",VLOOKUP($A133,貼り付け用!$A$1:$BA$300,COLUMN()/2+1,FALSE)),"")</f>
        <v>#N/A</v>
      </c>
      <c r="AC133" s="46"/>
      <c r="AD133" s="46" t="e">
        <f ca="1">IF($A133&lt;&gt;"",
IF(VLOOKUP($A133,貼り付け用!$A$1:$BA$300,COLUMN()/2+1,FALSE)=0,"",VLOOKUP($A133,貼り付け用!$A$1:$BA$300,COLUMN()/2+1,FALSE)),"")</f>
        <v>#N/A</v>
      </c>
      <c r="AE133" s="46"/>
      <c r="AF133" s="46" t="e">
        <f ca="1">IF($A133&lt;&gt;"",
IF(VLOOKUP($A133,貼り付け用!$A$1:$BA$300,COLUMN()/2+1,FALSE)=0,"",VLOOKUP($A133,貼り付け用!$A$1:$BA$300,COLUMN()/2+1,FALSE)),"")</f>
        <v>#N/A</v>
      </c>
      <c r="AG133" s="46"/>
      <c r="AH133" s="46" t="e">
        <f ca="1">IF($A133&lt;&gt;"",
IF(VLOOKUP($A133,貼り付け用!$A$1:$BA$300,COLUMN()/2+1,FALSE)=0,"",VLOOKUP($A133,貼り付け用!$A$1:$BA$300,COLUMN()/2+1,FALSE)),"")</f>
        <v>#N/A</v>
      </c>
      <c r="AI133" s="46"/>
      <c r="AJ133" s="46" t="e">
        <f ca="1">IF($A133&lt;&gt;"",
IF(VLOOKUP($A133,貼り付け用!$A$1:$BA$300,COLUMN()/2+1,FALSE)=0,"",VLOOKUP($A133,貼り付け用!$A$1:$BA$300,COLUMN()/2+1,FALSE)),"")</f>
        <v>#N/A</v>
      </c>
      <c r="AK133" s="46"/>
      <c r="AL133" s="46" t="e">
        <f ca="1">IF($A133&lt;&gt;"",
IF(VLOOKUP($A133,貼り付け用!$A$1:$BA$300,COLUMN()/2+1,FALSE)=0,"",VLOOKUP($A133,貼り付け用!$A$1:$BA$300,COLUMN()/2+1,FALSE)),"")</f>
        <v>#N/A</v>
      </c>
      <c r="AM133" s="211" t="e">
        <f ca="1">IF($A133&lt;&gt;"",
IF(VLOOKUP($A133,貼り付け用!$A$1:$BA$300,COLUMN()/2+2,FALSE)=0,"",VLOOKUP($A133,貼り付け用!$A$1:$BA$300,COLUMN()/2+2,FALSE)),"")</f>
        <v>#N/A</v>
      </c>
      <c r="AN133" s="211" t="e">
        <f ca="1">IF($A133&lt;&gt;"",
IF(VLOOKUP($A133,貼り付け用!$A$1:$BA$300,COLUMN()/2+3,FALSE)=0,"",VLOOKUP($A133,貼り付け用!$A$1:$BA$300,COLUMN()/2+3,FALSE)),"")</f>
        <v>#N/A</v>
      </c>
    </row>
    <row r="134" spans="1:40" x14ac:dyDescent="0.45">
      <c r="A134" s="5" t="e" cm="1">
        <f t="array" aca="1" ref="A134" ca="1">IF(OR(COUNTIF(A132,"*合計*"),COUNTIF(A132,"")),"",INDEX(貼り付け用!$A:$A,MATCH(A132,貼り付け用!$A:$A,0)+2,0))</f>
        <v>#N/A</v>
      </c>
      <c r="B134" s="16" t="e">
        <f ca="1">IF($A134&lt;&gt;"",
IF(VLOOKUP($A134,貼り付け用!$A$1:$BA$300,COLUMN()/2+1,FALSE)=0,"",VLOOKUP($A134,貼り付け用!$A$1:$BA$300,COLUMN()/2+1,FALSE)),"")</f>
        <v>#N/A</v>
      </c>
      <c r="C134" s="58"/>
      <c r="D134" s="16" t="e">
        <f ca="1">IF($A134&lt;&gt;"",
IF(VLOOKUP($A134,貼り付け用!$A$1:$BA$300,COLUMN()/2+1,FALSE)=0,"",VLOOKUP($A134,貼り付け用!$A$1:$BA$300,COLUMN()/2+1,FALSE)),"")</f>
        <v>#N/A</v>
      </c>
      <c r="E134" s="58"/>
      <c r="F134" s="16" t="e">
        <f ca="1">IF($A134&lt;&gt;"",
IF(VLOOKUP($A134,貼り付け用!$A$1:$BA$300,COLUMN()/2+1,FALSE)=0,"",VLOOKUP($A134,貼り付け用!$A$1:$BA$300,COLUMN()/2+1,FALSE)),"")</f>
        <v>#N/A</v>
      </c>
      <c r="G134" s="58"/>
      <c r="H134" s="16" t="e">
        <f ca="1">IF($A134&lt;&gt;"",
IF(VLOOKUP($A134,貼り付け用!$A$1:$BA$300,COLUMN()/2+1,FALSE)=0,"",VLOOKUP($A134,貼り付け用!$A$1:$BA$300,COLUMN()/2+1,FALSE)),"")</f>
        <v>#N/A</v>
      </c>
      <c r="I134" s="58"/>
      <c r="J134" s="16" t="e">
        <f ca="1">IF($A134&lt;&gt;"",
IF(VLOOKUP($A134,貼り付け用!$A$1:$BA$300,COLUMN()/2+1,FALSE)=0,"",VLOOKUP($A134,貼り付け用!$A$1:$BA$300,COLUMN()/2+1,FALSE)),"")</f>
        <v>#N/A</v>
      </c>
      <c r="K134" s="58"/>
      <c r="L134" s="16" t="e">
        <f ca="1">IF($A134&lt;&gt;"",
IF(VLOOKUP($A134,貼り付け用!$A$1:$BA$300,COLUMN()/2+1,FALSE)=0,"",VLOOKUP($A134,貼り付け用!$A$1:$BA$300,COLUMN()/2+1,FALSE)),"")</f>
        <v>#N/A</v>
      </c>
      <c r="M134" s="58"/>
      <c r="N134" s="16" t="e">
        <f ca="1">IF($A134&lt;&gt;"",
IF(VLOOKUP($A134,貼り付け用!$A$1:$BA$300,COLUMN()/2+1,FALSE)=0,"",VLOOKUP($A134,貼り付け用!$A$1:$BA$300,COLUMN()/2+1,FALSE)),"")</f>
        <v>#N/A</v>
      </c>
      <c r="O134" s="58"/>
      <c r="P134" s="16" t="e">
        <f ca="1">IF($A134&lt;&gt;"",
IF(VLOOKUP($A134,貼り付け用!$A$1:$BA$300,COLUMN()/2+1,FALSE)=0,"",VLOOKUP($A134,貼り付け用!$A$1:$BA$300,COLUMN()/2+1,FALSE)),"")</f>
        <v>#N/A</v>
      </c>
      <c r="Q134" s="58"/>
      <c r="R134" s="16" t="e">
        <f ca="1">IF($A134&lt;&gt;"",
IF(VLOOKUP($A134,貼り付け用!$A$1:$BA$300,COLUMN()/2+1,FALSE)=0,"",VLOOKUP($A134,貼り付け用!$A$1:$BA$300,COLUMN()/2+1,FALSE)),"")</f>
        <v>#N/A</v>
      </c>
      <c r="S134" s="58"/>
      <c r="T134" s="16" t="e">
        <f ca="1">IF($A134&lt;&gt;"",
IF(VLOOKUP($A134,貼り付け用!$A$1:$BA$300,COLUMN()/2+1,FALSE)=0,"",VLOOKUP($A134,貼り付け用!$A$1:$BA$300,COLUMN()/2+1,FALSE)),"")</f>
        <v>#N/A</v>
      </c>
      <c r="U134" s="58"/>
      <c r="V134" s="16" t="e">
        <f ca="1">IF($A134&lt;&gt;"",
IF(VLOOKUP($A134,貼り付け用!$A$1:$BA$300,COLUMN()/2+1,FALSE)=0,"",VLOOKUP($A134,貼り付け用!$A$1:$BA$300,COLUMN()/2+1,FALSE)),"")</f>
        <v>#N/A</v>
      </c>
      <c r="W134" s="58"/>
      <c r="X134" s="16" t="e">
        <f ca="1">IF($A134&lt;&gt;"",
IF(VLOOKUP($A134,貼り付け用!$A$1:$BA$300,COLUMN()/2+1,FALSE)=0,"",VLOOKUP($A134,貼り付け用!$A$1:$BA$300,COLUMN()/2+1,FALSE)),"")</f>
        <v>#N/A</v>
      </c>
      <c r="Y134" s="58"/>
      <c r="Z134" s="16" t="e">
        <f ca="1">IF($A134&lt;&gt;"",
IF(VLOOKUP($A134,貼り付け用!$A$1:$BA$300,COLUMN()/2+1,FALSE)=0,"",VLOOKUP($A134,貼り付け用!$A$1:$BA$300,COLUMN()/2+1,FALSE)),"")</f>
        <v>#N/A</v>
      </c>
      <c r="AA134" s="58"/>
      <c r="AB134" s="16" t="e">
        <f ca="1">IF($A134&lt;&gt;"",
IF(VLOOKUP($A134,貼り付け用!$A$1:$BA$300,COLUMN()/2+1,FALSE)=0,"",VLOOKUP($A134,貼り付け用!$A$1:$BA$300,COLUMN()/2+1,FALSE)),"")</f>
        <v>#N/A</v>
      </c>
      <c r="AC134" s="58"/>
      <c r="AD134" s="16" t="e">
        <f ca="1">IF($A134&lt;&gt;"",
IF(VLOOKUP($A134,貼り付け用!$A$1:$BA$300,COLUMN()/2+1,FALSE)=0,"",VLOOKUP($A134,貼り付け用!$A$1:$BA$300,COLUMN()/2+1,FALSE)),"")</f>
        <v>#N/A</v>
      </c>
      <c r="AE134" s="58"/>
      <c r="AF134" s="16" t="e">
        <f ca="1">IF($A134&lt;&gt;"",
IF(VLOOKUP($A134,貼り付け用!$A$1:$BA$300,COLUMN()/2+1,FALSE)=0,"",VLOOKUP($A134,貼り付け用!$A$1:$BA$300,COLUMN()/2+1,FALSE)),"")</f>
        <v>#N/A</v>
      </c>
      <c r="AG134" s="58"/>
      <c r="AH134" s="16" t="e">
        <f ca="1">IF($A134&lt;&gt;"",
IF(VLOOKUP($A134,貼り付け用!$A$1:$BA$300,COLUMN()/2+1,FALSE)=0,"",VLOOKUP($A134,貼り付け用!$A$1:$BA$300,COLUMN()/2+1,FALSE)),"")</f>
        <v>#N/A</v>
      </c>
      <c r="AI134" s="58"/>
      <c r="AJ134" s="16" t="e">
        <f ca="1">IF($A134&lt;&gt;"",
IF(VLOOKUP($A134,貼り付け用!$A$1:$BA$300,COLUMN()/2+1,FALSE)=0,"",VLOOKUP($A134,貼り付け用!$A$1:$BA$300,COLUMN()/2+1,FALSE)),"")</f>
        <v>#N/A</v>
      </c>
      <c r="AK134" s="58"/>
      <c r="AL134" s="16" t="e">
        <f ca="1">IF($A134&lt;&gt;"",
IF(VLOOKUP($A134,貼り付け用!$A$1:$BA$300,COLUMN()/2+1,FALSE)=0,"",VLOOKUP($A134,貼り付け用!$A$1:$BA$300,COLUMN()/2+1,FALSE)),"")</f>
        <v>#N/A</v>
      </c>
      <c r="AM134" s="210" t="e">
        <f ca="1">IF($A134&lt;&gt;"",
IF(VLOOKUP($A134,貼り付け用!$A$1:$BA$300,COLUMN()/2+2,FALSE)=0,"",VLOOKUP($A134,貼り付け用!$A$1:$BA$300,COLUMN()/2+2,FALSE)),"")</f>
        <v>#N/A</v>
      </c>
      <c r="AN134" s="210" t="e">
        <f ca="1">IF($A134&lt;&gt;"",
IF(VLOOKUP($A134,貼り付け用!$A$1:$BA$300,COLUMN()/2+3,FALSE)=0,"",VLOOKUP($A134,貼り付け用!$A$1:$BA$300,COLUMN()/2+3,FALSE)),"")</f>
        <v>#N/A</v>
      </c>
    </row>
    <row r="135" spans="1:40" x14ac:dyDescent="0.45">
      <c r="A135" s="8" t="e" cm="1">
        <f t="array" aca="1" ref="A135" ca="1">IF(OR(COUNTIF(A133,"*1000*"),COUNTIF(A133,"")),"",INDEX(貼り付け用!$A:$A,MATCH(A133,貼り付け用!$A:$A,0)+2,0))</f>
        <v>#N/A</v>
      </c>
      <c r="B135" s="46" t="e">
        <f ca="1">IF($A135&lt;&gt;"",
IF(VLOOKUP($A135,貼り付け用!$A$1:$BA$300,COLUMN()/2+1,FALSE)=0,"",VLOOKUP($A135,貼り付け用!$A$1:$BA$300,COLUMN()/2+1,FALSE)),"")</f>
        <v>#N/A</v>
      </c>
      <c r="C135" s="46"/>
      <c r="D135" s="46" t="e">
        <f ca="1">IF($A135&lt;&gt;"",
IF(VLOOKUP($A135,貼り付け用!$A$1:$BA$300,COLUMN()/2+1,FALSE)=0,"",VLOOKUP($A135,貼り付け用!$A$1:$BA$300,COLUMN()/2+1,FALSE)),"")</f>
        <v>#N/A</v>
      </c>
      <c r="E135" s="46"/>
      <c r="F135" s="46" t="e">
        <f ca="1">IF($A135&lt;&gt;"",
IF(VLOOKUP($A135,貼り付け用!$A$1:$BA$300,COLUMN()/2+1,FALSE)=0,"",VLOOKUP($A135,貼り付け用!$A$1:$BA$300,COLUMN()/2+1,FALSE)),"")</f>
        <v>#N/A</v>
      </c>
      <c r="G135" s="46"/>
      <c r="H135" s="46" t="e">
        <f ca="1">IF($A135&lt;&gt;"",
IF(VLOOKUP($A135,貼り付け用!$A$1:$BA$300,COLUMN()/2+1,FALSE)=0,"",VLOOKUP($A135,貼り付け用!$A$1:$BA$300,COLUMN()/2+1,FALSE)),"")</f>
        <v>#N/A</v>
      </c>
      <c r="I135" s="46"/>
      <c r="J135" s="46" t="e">
        <f ca="1">IF($A135&lt;&gt;"",
IF(VLOOKUP($A135,貼り付け用!$A$1:$BA$300,COLUMN()/2+1,FALSE)=0,"",VLOOKUP($A135,貼り付け用!$A$1:$BA$300,COLUMN()/2+1,FALSE)),"")</f>
        <v>#N/A</v>
      </c>
      <c r="K135" s="46"/>
      <c r="L135" s="46" t="e">
        <f ca="1">IF($A135&lt;&gt;"",
IF(VLOOKUP($A135,貼り付け用!$A$1:$BA$300,COLUMN()/2+1,FALSE)=0,"",VLOOKUP($A135,貼り付け用!$A$1:$BA$300,COLUMN()/2+1,FALSE)),"")</f>
        <v>#N/A</v>
      </c>
      <c r="M135" s="46"/>
      <c r="N135" s="46" t="e">
        <f ca="1">IF($A135&lt;&gt;"",
IF(VLOOKUP($A135,貼り付け用!$A$1:$BA$300,COLUMN()/2+1,FALSE)=0,"",VLOOKUP($A135,貼り付け用!$A$1:$BA$300,COLUMN()/2+1,FALSE)),"")</f>
        <v>#N/A</v>
      </c>
      <c r="O135" s="46"/>
      <c r="P135" s="46" t="e">
        <f ca="1">IF($A135&lt;&gt;"",
IF(VLOOKUP($A135,貼り付け用!$A$1:$BA$300,COLUMN()/2+1,FALSE)=0,"",VLOOKUP($A135,貼り付け用!$A$1:$BA$300,COLUMN()/2+1,FALSE)),"")</f>
        <v>#N/A</v>
      </c>
      <c r="Q135" s="46"/>
      <c r="R135" s="46" t="e">
        <f ca="1">IF($A135&lt;&gt;"",
IF(VLOOKUP($A135,貼り付け用!$A$1:$BA$300,COLUMN()/2+1,FALSE)=0,"",VLOOKUP($A135,貼り付け用!$A$1:$BA$300,COLUMN()/2+1,FALSE)),"")</f>
        <v>#N/A</v>
      </c>
      <c r="S135" s="46"/>
      <c r="T135" s="46" t="e">
        <f ca="1">IF($A135&lt;&gt;"",
IF(VLOOKUP($A135,貼り付け用!$A$1:$BA$300,COLUMN()/2+1,FALSE)=0,"",VLOOKUP($A135,貼り付け用!$A$1:$BA$300,COLUMN()/2+1,FALSE)),"")</f>
        <v>#N/A</v>
      </c>
      <c r="U135" s="46"/>
      <c r="V135" s="46" t="e">
        <f ca="1">IF($A135&lt;&gt;"",
IF(VLOOKUP($A135,貼り付け用!$A$1:$BA$300,COLUMN()/2+1,FALSE)=0,"",VLOOKUP($A135,貼り付け用!$A$1:$BA$300,COLUMN()/2+1,FALSE)),"")</f>
        <v>#N/A</v>
      </c>
      <c r="W135" s="46"/>
      <c r="X135" s="46" t="e">
        <f ca="1">IF($A135&lt;&gt;"",
IF(VLOOKUP($A135,貼り付け用!$A$1:$BA$300,COLUMN()/2+1,FALSE)=0,"",VLOOKUP($A135,貼り付け用!$A$1:$BA$300,COLUMN()/2+1,FALSE)),"")</f>
        <v>#N/A</v>
      </c>
      <c r="Y135" s="46"/>
      <c r="Z135" s="46" t="e">
        <f ca="1">IF($A135&lt;&gt;"",
IF(VLOOKUP($A135,貼り付け用!$A$1:$BA$300,COLUMN()/2+1,FALSE)=0,"",VLOOKUP($A135,貼り付け用!$A$1:$BA$300,COLUMN()/2+1,FALSE)),"")</f>
        <v>#N/A</v>
      </c>
      <c r="AA135" s="46"/>
      <c r="AB135" s="46" t="e">
        <f ca="1">IF($A135&lt;&gt;"",
IF(VLOOKUP($A135,貼り付け用!$A$1:$BA$300,COLUMN()/2+1,FALSE)=0,"",VLOOKUP($A135,貼り付け用!$A$1:$BA$300,COLUMN()/2+1,FALSE)),"")</f>
        <v>#N/A</v>
      </c>
      <c r="AC135" s="46"/>
      <c r="AD135" s="46" t="e">
        <f ca="1">IF($A135&lt;&gt;"",
IF(VLOOKUP($A135,貼り付け用!$A$1:$BA$300,COLUMN()/2+1,FALSE)=0,"",VLOOKUP($A135,貼り付け用!$A$1:$BA$300,COLUMN()/2+1,FALSE)),"")</f>
        <v>#N/A</v>
      </c>
      <c r="AE135" s="46"/>
      <c r="AF135" s="46" t="e">
        <f ca="1">IF($A135&lt;&gt;"",
IF(VLOOKUP($A135,貼り付け用!$A$1:$BA$300,COLUMN()/2+1,FALSE)=0,"",VLOOKUP($A135,貼り付け用!$A$1:$BA$300,COLUMN()/2+1,FALSE)),"")</f>
        <v>#N/A</v>
      </c>
      <c r="AG135" s="46"/>
      <c r="AH135" s="46" t="e">
        <f ca="1">IF($A135&lt;&gt;"",
IF(VLOOKUP($A135,貼り付け用!$A$1:$BA$300,COLUMN()/2+1,FALSE)=0,"",VLOOKUP($A135,貼り付け用!$A$1:$BA$300,COLUMN()/2+1,FALSE)),"")</f>
        <v>#N/A</v>
      </c>
      <c r="AI135" s="46"/>
      <c r="AJ135" s="46" t="e">
        <f ca="1">IF($A135&lt;&gt;"",
IF(VLOOKUP($A135,貼り付け用!$A$1:$BA$300,COLUMN()/2+1,FALSE)=0,"",VLOOKUP($A135,貼り付け用!$A$1:$BA$300,COLUMN()/2+1,FALSE)),"")</f>
        <v>#N/A</v>
      </c>
      <c r="AK135" s="46"/>
      <c r="AL135" s="46" t="e">
        <f ca="1">IF($A135&lt;&gt;"",
IF(VLOOKUP($A135,貼り付け用!$A$1:$BA$300,COLUMN()/2+1,FALSE)=0,"",VLOOKUP($A135,貼り付け用!$A$1:$BA$300,COLUMN()/2+1,FALSE)),"")</f>
        <v>#N/A</v>
      </c>
      <c r="AM135" s="211" t="e">
        <f ca="1">IF($A135&lt;&gt;"",
IF(VLOOKUP($A135,貼り付け用!$A$1:$BA$300,COLUMN()/2+2,FALSE)=0,"",VLOOKUP($A135,貼り付け用!$A$1:$BA$300,COLUMN()/2+2,FALSE)),"")</f>
        <v>#N/A</v>
      </c>
      <c r="AN135" s="211" t="e">
        <f ca="1">IF($A135&lt;&gt;"",
IF(VLOOKUP($A135,貼り付け用!$A$1:$BA$300,COLUMN()/2+3,FALSE)=0,"",VLOOKUP($A135,貼り付け用!$A$1:$BA$300,COLUMN()/2+3,FALSE)),"")</f>
        <v>#N/A</v>
      </c>
    </row>
    <row r="136" spans="1:40" x14ac:dyDescent="0.45">
      <c r="A136" s="5" t="e" cm="1">
        <f t="array" aca="1" ref="A136" ca="1">IF(OR(COUNTIF(A134,"*合計*"),COUNTIF(A134,"")),"",INDEX(貼り付け用!$A:$A,MATCH(A134,貼り付け用!$A:$A,0)+2,0))</f>
        <v>#N/A</v>
      </c>
      <c r="B136" s="16" t="e">
        <f ca="1">IF($A136&lt;&gt;"",
IF(VLOOKUP($A136,貼り付け用!$A$1:$BA$300,COLUMN()/2+1,FALSE)=0,"",VLOOKUP($A136,貼り付け用!$A$1:$BA$300,COLUMN()/2+1,FALSE)),"")</f>
        <v>#N/A</v>
      </c>
      <c r="C136" s="58"/>
      <c r="D136" s="16" t="e">
        <f ca="1">IF($A136&lt;&gt;"",
IF(VLOOKUP($A136,貼り付け用!$A$1:$BA$300,COLUMN()/2+1,FALSE)=0,"",VLOOKUP($A136,貼り付け用!$A$1:$BA$300,COLUMN()/2+1,FALSE)),"")</f>
        <v>#N/A</v>
      </c>
      <c r="E136" s="58"/>
      <c r="F136" s="16" t="e">
        <f ca="1">IF($A136&lt;&gt;"",
IF(VLOOKUP($A136,貼り付け用!$A$1:$BA$300,COLUMN()/2+1,FALSE)=0,"",VLOOKUP($A136,貼り付け用!$A$1:$BA$300,COLUMN()/2+1,FALSE)),"")</f>
        <v>#N/A</v>
      </c>
      <c r="G136" s="58"/>
      <c r="H136" s="16" t="e">
        <f ca="1">IF($A136&lt;&gt;"",
IF(VLOOKUP($A136,貼り付け用!$A$1:$BA$300,COLUMN()/2+1,FALSE)=0,"",VLOOKUP($A136,貼り付け用!$A$1:$BA$300,COLUMN()/2+1,FALSE)),"")</f>
        <v>#N/A</v>
      </c>
      <c r="I136" s="58"/>
      <c r="J136" s="16" t="e">
        <f ca="1">IF($A136&lt;&gt;"",
IF(VLOOKUP($A136,貼り付け用!$A$1:$BA$300,COLUMN()/2+1,FALSE)=0,"",VLOOKUP($A136,貼り付け用!$A$1:$BA$300,COLUMN()/2+1,FALSE)),"")</f>
        <v>#N/A</v>
      </c>
      <c r="K136" s="58"/>
      <c r="L136" s="16" t="e">
        <f ca="1">IF($A136&lt;&gt;"",
IF(VLOOKUP($A136,貼り付け用!$A$1:$BA$300,COLUMN()/2+1,FALSE)=0,"",VLOOKUP($A136,貼り付け用!$A$1:$BA$300,COLUMN()/2+1,FALSE)),"")</f>
        <v>#N/A</v>
      </c>
      <c r="M136" s="58"/>
      <c r="N136" s="16" t="e">
        <f ca="1">IF($A136&lt;&gt;"",
IF(VLOOKUP($A136,貼り付け用!$A$1:$BA$300,COLUMN()/2+1,FALSE)=0,"",VLOOKUP($A136,貼り付け用!$A$1:$BA$300,COLUMN()/2+1,FALSE)),"")</f>
        <v>#N/A</v>
      </c>
      <c r="O136" s="58"/>
      <c r="P136" s="16" t="e">
        <f ca="1">IF($A136&lt;&gt;"",
IF(VLOOKUP($A136,貼り付け用!$A$1:$BA$300,COLUMN()/2+1,FALSE)=0,"",VLOOKUP($A136,貼り付け用!$A$1:$BA$300,COLUMN()/2+1,FALSE)),"")</f>
        <v>#N/A</v>
      </c>
      <c r="Q136" s="58"/>
      <c r="R136" s="16" t="e">
        <f ca="1">IF($A136&lt;&gt;"",
IF(VLOOKUP($A136,貼り付け用!$A$1:$BA$300,COLUMN()/2+1,FALSE)=0,"",VLOOKUP($A136,貼り付け用!$A$1:$BA$300,COLUMN()/2+1,FALSE)),"")</f>
        <v>#N/A</v>
      </c>
      <c r="S136" s="58"/>
      <c r="T136" s="16" t="e">
        <f ca="1">IF($A136&lt;&gt;"",
IF(VLOOKUP($A136,貼り付け用!$A$1:$BA$300,COLUMN()/2+1,FALSE)=0,"",VLOOKUP($A136,貼り付け用!$A$1:$BA$300,COLUMN()/2+1,FALSE)),"")</f>
        <v>#N/A</v>
      </c>
      <c r="U136" s="58"/>
      <c r="V136" s="16" t="e">
        <f ca="1">IF($A136&lt;&gt;"",
IF(VLOOKUP($A136,貼り付け用!$A$1:$BA$300,COLUMN()/2+1,FALSE)=0,"",VLOOKUP($A136,貼り付け用!$A$1:$BA$300,COLUMN()/2+1,FALSE)),"")</f>
        <v>#N/A</v>
      </c>
      <c r="W136" s="58"/>
      <c r="X136" s="16" t="e">
        <f ca="1">IF($A136&lt;&gt;"",
IF(VLOOKUP($A136,貼り付け用!$A$1:$BA$300,COLUMN()/2+1,FALSE)=0,"",VLOOKUP($A136,貼り付け用!$A$1:$BA$300,COLUMN()/2+1,FALSE)),"")</f>
        <v>#N/A</v>
      </c>
      <c r="Y136" s="58"/>
      <c r="Z136" s="16" t="e">
        <f ca="1">IF($A136&lt;&gt;"",
IF(VLOOKUP($A136,貼り付け用!$A$1:$BA$300,COLUMN()/2+1,FALSE)=0,"",VLOOKUP($A136,貼り付け用!$A$1:$BA$300,COLUMN()/2+1,FALSE)),"")</f>
        <v>#N/A</v>
      </c>
      <c r="AA136" s="58"/>
      <c r="AB136" s="16" t="e">
        <f ca="1">IF($A136&lt;&gt;"",
IF(VLOOKUP($A136,貼り付け用!$A$1:$BA$300,COLUMN()/2+1,FALSE)=0,"",VLOOKUP($A136,貼り付け用!$A$1:$BA$300,COLUMN()/2+1,FALSE)),"")</f>
        <v>#N/A</v>
      </c>
      <c r="AC136" s="58"/>
      <c r="AD136" s="16" t="e">
        <f ca="1">IF($A136&lt;&gt;"",
IF(VLOOKUP($A136,貼り付け用!$A$1:$BA$300,COLUMN()/2+1,FALSE)=0,"",VLOOKUP($A136,貼り付け用!$A$1:$BA$300,COLUMN()/2+1,FALSE)),"")</f>
        <v>#N/A</v>
      </c>
      <c r="AE136" s="58"/>
      <c r="AF136" s="16" t="e">
        <f ca="1">IF($A136&lt;&gt;"",
IF(VLOOKUP($A136,貼り付け用!$A$1:$BA$300,COLUMN()/2+1,FALSE)=0,"",VLOOKUP($A136,貼り付け用!$A$1:$BA$300,COLUMN()/2+1,FALSE)),"")</f>
        <v>#N/A</v>
      </c>
      <c r="AG136" s="58"/>
      <c r="AH136" s="16" t="e">
        <f ca="1">IF($A136&lt;&gt;"",
IF(VLOOKUP($A136,貼り付け用!$A$1:$BA$300,COLUMN()/2+1,FALSE)=0,"",VLOOKUP($A136,貼り付け用!$A$1:$BA$300,COLUMN()/2+1,FALSE)),"")</f>
        <v>#N/A</v>
      </c>
      <c r="AI136" s="58"/>
      <c r="AJ136" s="16" t="e">
        <f ca="1">IF($A136&lt;&gt;"",
IF(VLOOKUP($A136,貼り付け用!$A$1:$BA$300,COLUMN()/2+1,FALSE)=0,"",VLOOKUP($A136,貼り付け用!$A$1:$BA$300,COLUMN()/2+1,FALSE)),"")</f>
        <v>#N/A</v>
      </c>
      <c r="AK136" s="58"/>
      <c r="AL136" s="16" t="e">
        <f ca="1">IF($A136&lt;&gt;"",
IF(VLOOKUP($A136,貼り付け用!$A$1:$BA$300,COLUMN()/2+1,FALSE)=0,"",VLOOKUP($A136,貼り付け用!$A$1:$BA$300,COLUMN()/2+1,FALSE)),"")</f>
        <v>#N/A</v>
      </c>
      <c r="AM136" s="210" t="e">
        <f ca="1">IF($A136&lt;&gt;"",
IF(VLOOKUP($A136,貼り付け用!$A$1:$BA$300,COLUMN()/2+2,FALSE)=0,"",VLOOKUP($A136,貼り付け用!$A$1:$BA$300,COLUMN()/2+2,FALSE)),"")</f>
        <v>#N/A</v>
      </c>
      <c r="AN136" s="210" t="e">
        <f ca="1">IF($A136&lt;&gt;"",
IF(VLOOKUP($A136,貼り付け用!$A$1:$BA$300,COLUMN()/2+3,FALSE)=0,"",VLOOKUP($A136,貼り付け用!$A$1:$BA$300,COLUMN()/2+3,FALSE)),"")</f>
        <v>#N/A</v>
      </c>
    </row>
    <row r="137" spans="1:40" x14ac:dyDescent="0.45">
      <c r="A137" s="8" t="e" cm="1">
        <f t="array" aca="1" ref="A137" ca="1">IF(OR(COUNTIF(A135,"*1000*"),COUNTIF(A135,"")),"",INDEX(貼り付け用!$A:$A,MATCH(A135,貼り付け用!$A:$A,0)+2,0))</f>
        <v>#N/A</v>
      </c>
      <c r="B137" s="46" t="e">
        <f ca="1">IF($A137&lt;&gt;"",
IF(VLOOKUP($A137,貼り付け用!$A$1:$BA$300,COLUMN()/2+1,FALSE)=0,"",VLOOKUP($A137,貼り付け用!$A$1:$BA$300,COLUMN()/2+1,FALSE)),"")</f>
        <v>#N/A</v>
      </c>
      <c r="C137" s="46"/>
      <c r="D137" s="46" t="e">
        <f ca="1">IF($A137&lt;&gt;"",
IF(VLOOKUP($A137,貼り付け用!$A$1:$BA$300,COLUMN()/2+1,FALSE)=0,"",VLOOKUP($A137,貼り付け用!$A$1:$BA$300,COLUMN()/2+1,FALSE)),"")</f>
        <v>#N/A</v>
      </c>
      <c r="E137" s="46"/>
      <c r="F137" s="46" t="e">
        <f ca="1">IF($A137&lt;&gt;"",
IF(VLOOKUP($A137,貼り付け用!$A$1:$BA$300,COLUMN()/2+1,FALSE)=0,"",VLOOKUP($A137,貼り付け用!$A$1:$BA$300,COLUMN()/2+1,FALSE)),"")</f>
        <v>#N/A</v>
      </c>
      <c r="G137" s="46"/>
      <c r="H137" s="46" t="e">
        <f ca="1">IF($A137&lt;&gt;"",
IF(VLOOKUP($A137,貼り付け用!$A$1:$BA$300,COLUMN()/2+1,FALSE)=0,"",VLOOKUP($A137,貼り付け用!$A$1:$BA$300,COLUMN()/2+1,FALSE)),"")</f>
        <v>#N/A</v>
      </c>
      <c r="I137" s="46"/>
      <c r="J137" s="46" t="e">
        <f ca="1">IF($A137&lt;&gt;"",
IF(VLOOKUP($A137,貼り付け用!$A$1:$BA$300,COLUMN()/2+1,FALSE)=0,"",VLOOKUP($A137,貼り付け用!$A$1:$BA$300,COLUMN()/2+1,FALSE)),"")</f>
        <v>#N/A</v>
      </c>
      <c r="K137" s="46"/>
      <c r="L137" s="46" t="e">
        <f ca="1">IF($A137&lt;&gt;"",
IF(VLOOKUP($A137,貼り付け用!$A$1:$BA$300,COLUMN()/2+1,FALSE)=0,"",VLOOKUP($A137,貼り付け用!$A$1:$BA$300,COLUMN()/2+1,FALSE)),"")</f>
        <v>#N/A</v>
      </c>
      <c r="M137" s="46"/>
      <c r="N137" s="46" t="e">
        <f ca="1">IF($A137&lt;&gt;"",
IF(VLOOKUP($A137,貼り付け用!$A$1:$BA$300,COLUMN()/2+1,FALSE)=0,"",VLOOKUP($A137,貼り付け用!$A$1:$BA$300,COLUMN()/2+1,FALSE)),"")</f>
        <v>#N/A</v>
      </c>
      <c r="O137" s="46"/>
      <c r="P137" s="46" t="e">
        <f ca="1">IF($A137&lt;&gt;"",
IF(VLOOKUP($A137,貼り付け用!$A$1:$BA$300,COLUMN()/2+1,FALSE)=0,"",VLOOKUP($A137,貼り付け用!$A$1:$BA$300,COLUMN()/2+1,FALSE)),"")</f>
        <v>#N/A</v>
      </c>
      <c r="Q137" s="46"/>
      <c r="R137" s="46" t="e">
        <f ca="1">IF($A137&lt;&gt;"",
IF(VLOOKUP($A137,貼り付け用!$A$1:$BA$300,COLUMN()/2+1,FALSE)=0,"",VLOOKUP($A137,貼り付け用!$A$1:$BA$300,COLUMN()/2+1,FALSE)),"")</f>
        <v>#N/A</v>
      </c>
      <c r="S137" s="46"/>
      <c r="T137" s="46" t="e">
        <f ca="1">IF($A137&lt;&gt;"",
IF(VLOOKUP($A137,貼り付け用!$A$1:$BA$300,COLUMN()/2+1,FALSE)=0,"",VLOOKUP($A137,貼り付け用!$A$1:$BA$300,COLUMN()/2+1,FALSE)),"")</f>
        <v>#N/A</v>
      </c>
      <c r="U137" s="46"/>
      <c r="V137" s="46" t="e">
        <f ca="1">IF($A137&lt;&gt;"",
IF(VLOOKUP($A137,貼り付け用!$A$1:$BA$300,COLUMN()/2+1,FALSE)=0,"",VLOOKUP($A137,貼り付け用!$A$1:$BA$300,COLUMN()/2+1,FALSE)),"")</f>
        <v>#N/A</v>
      </c>
      <c r="W137" s="46"/>
      <c r="X137" s="46" t="e">
        <f ca="1">IF($A137&lt;&gt;"",
IF(VLOOKUP($A137,貼り付け用!$A$1:$BA$300,COLUMN()/2+1,FALSE)=0,"",VLOOKUP($A137,貼り付け用!$A$1:$BA$300,COLUMN()/2+1,FALSE)),"")</f>
        <v>#N/A</v>
      </c>
      <c r="Y137" s="46"/>
      <c r="Z137" s="46" t="e">
        <f ca="1">IF($A137&lt;&gt;"",
IF(VLOOKUP($A137,貼り付け用!$A$1:$BA$300,COLUMN()/2+1,FALSE)=0,"",VLOOKUP($A137,貼り付け用!$A$1:$BA$300,COLUMN()/2+1,FALSE)),"")</f>
        <v>#N/A</v>
      </c>
      <c r="AA137" s="46"/>
      <c r="AB137" s="46" t="e">
        <f ca="1">IF($A137&lt;&gt;"",
IF(VLOOKUP($A137,貼り付け用!$A$1:$BA$300,COLUMN()/2+1,FALSE)=0,"",VLOOKUP($A137,貼り付け用!$A$1:$BA$300,COLUMN()/2+1,FALSE)),"")</f>
        <v>#N/A</v>
      </c>
      <c r="AC137" s="46"/>
      <c r="AD137" s="46" t="e">
        <f ca="1">IF($A137&lt;&gt;"",
IF(VLOOKUP($A137,貼り付け用!$A$1:$BA$300,COLUMN()/2+1,FALSE)=0,"",VLOOKUP($A137,貼り付け用!$A$1:$BA$300,COLUMN()/2+1,FALSE)),"")</f>
        <v>#N/A</v>
      </c>
      <c r="AE137" s="46"/>
      <c r="AF137" s="46" t="e">
        <f ca="1">IF($A137&lt;&gt;"",
IF(VLOOKUP($A137,貼り付け用!$A$1:$BA$300,COLUMN()/2+1,FALSE)=0,"",VLOOKUP($A137,貼り付け用!$A$1:$BA$300,COLUMN()/2+1,FALSE)),"")</f>
        <v>#N/A</v>
      </c>
      <c r="AG137" s="46"/>
      <c r="AH137" s="46" t="e">
        <f ca="1">IF($A137&lt;&gt;"",
IF(VLOOKUP($A137,貼り付け用!$A$1:$BA$300,COLUMN()/2+1,FALSE)=0,"",VLOOKUP($A137,貼り付け用!$A$1:$BA$300,COLUMN()/2+1,FALSE)),"")</f>
        <v>#N/A</v>
      </c>
      <c r="AI137" s="46"/>
      <c r="AJ137" s="46" t="e">
        <f ca="1">IF($A137&lt;&gt;"",
IF(VLOOKUP($A137,貼り付け用!$A$1:$BA$300,COLUMN()/2+1,FALSE)=0,"",VLOOKUP($A137,貼り付け用!$A$1:$BA$300,COLUMN()/2+1,FALSE)),"")</f>
        <v>#N/A</v>
      </c>
      <c r="AK137" s="46"/>
      <c r="AL137" s="46" t="e">
        <f ca="1">IF($A137&lt;&gt;"",
IF(VLOOKUP($A137,貼り付け用!$A$1:$BA$300,COLUMN()/2+1,FALSE)=0,"",VLOOKUP($A137,貼り付け用!$A$1:$BA$300,COLUMN()/2+1,FALSE)),"")</f>
        <v>#N/A</v>
      </c>
      <c r="AM137" s="211" t="e">
        <f ca="1">IF($A137&lt;&gt;"",
IF(VLOOKUP($A137,貼り付け用!$A$1:$BA$300,COLUMN()/2+2,FALSE)=0,"",VLOOKUP($A137,貼り付け用!$A$1:$BA$300,COLUMN()/2+2,FALSE)),"")</f>
        <v>#N/A</v>
      </c>
      <c r="AN137" s="211" t="e">
        <f ca="1">IF($A137&lt;&gt;"",
IF(VLOOKUP($A137,貼り付け用!$A$1:$BA$300,COLUMN()/2+3,FALSE)=0,"",VLOOKUP($A137,貼り付け用!$A$1:$BA$300,COLUMN()/2+3,FALSE)),"")</f>
        <v>#N/A</v>
      </c>
    </row>
    <row r="138" spans="1:40" x14ac:dyDescent="0.45">
      <c r="A138" s="5" t="e" cm="1">
        <f t="array" aca="1" ref="A138" ca="1">IF(OR(COUNTIF(A136,"*合計*"),COUNTIF(A136,"")),"",INDEX(貼り付け用!$A:$A,MATCH(A136,貼り付け用!$A:$A,0)+2,0))</f>
        <v>#N/A</v>
      </c>
      <c r="B138" s="16" t="e">
        <f ca="1">IF($A138&lt;&gt;"",
IF(VLOOKUP($A138,貼り付け用!$A$1:$BA$300,COLUMN()/2+1,FALSE)=0,"",VLOOKUP($A138,貼り付け用!$A$1:$BA$300,COLUMN()/2+1,FALSE)),"")</f>
        <v>#N/A</v>
      </c>
      <c r="C138" s="58"/>
      <c r="D138" s="16" t="e">
        <f ca="1">IF($A138&lt;&gt;"",
IF(VLOOKUP($A138,貼り付け用!$A$1:$BA$300,COLUMN()/2+1,FALSE)=0,"",VLOOKUP($A138,貼り付け用!$A$1:$BA$300,COLUMN()/2+1,FALSE)),"")</f>
        <v>#N/A</v>
      </c>
      <c r="E138" s="58"/>
      <c r="F138" s="16" t="e">
        <f ca="1">IF($A138&lt;&gt;"",
IF(VLOOKUP($A138,貼り付け用!$A$1:$BA$300,COLUMN()/2+1,FALSE)=0,"",VLOOKUP($A138,貼り付け用!$A$1:$BA$300,COLUMN()/2+1,FALSE)),"")</f>
        <v>#N/A</v>
      </c>
      <c r="G138" s="58"/>
      <c r="H138" s="16" t="e">
        <f ca="1">IF($A138&lt;&gt;"",
IF(VLOOKUP($A138,貼り付け用!$A$1:$BA$300,COLUMN()/2+1,FALSE)=0,"",VLOOKUP($A138,貼り付け用!$A$1:$BA$300,COLUMN()/2+1,FALSE)),"")</f>
        <v>#N/A</v>
      </c>
      <c r="I138" s="58"/>
      <c r="J138" s="16" t="e">
        <f ca="1">IF($A138&lt;&gt;"",
IF(VLOOKUP($A138,貼り付け用!$A$1:$BA$300,COLUMN()/2+1,FALSE)=0,"",VLOOKUP($A138,貼り付け用!$A$1:$BA$300,COLUMN()/2+1,FALSE)),"")</f>
        <v>#N/A</v>
      </c>
      <c r="K138" s="58"/>
      <c r="L138" s="16" t="e">
        <f ca="1">IF($A138&lt;&gt;"",
IF(VLOOKUP($A138,貼り付け用!$A$1:$BA$300,COLUMN()/2+1,FALSE)=0,"",VLOOKUP($A138,貼り付け用!$A$1:$BA$300,COLUMN()/2+1,FALSE)),"")</f>
        <v>#N/A</v>
      </c>
      <c r="M138" s="58"/>
      <c r="N138" s="16" t="e">
        <f ca="1">IF($A138&lt;&gt;"",
IF(VLOOKUP($A138,貼り付け用!$A$1:$BA$300,COLUMN()/2+1,FALSE)=0,"",VLOOKUP($A138,貼り付け用!$A$1:$BA$300,COLUMN()/2+1,FALSE)),"")</f>
        <v>#N/A</v>
      </c>
      <c r="O138" s="58"/>
      <c r="P138" s="16" t="e">
        <f ca="1">IF($A138&lt;&gt;"",
IF(VLOOKUP($A138,貼り付け用!$A$1:$BA$300,COLUMN()/2+1,FALSE)=0,"",VLOOKUP($A138,貼り付け用!$A$1:$BA$300,COLUMN()/2+1,FALSE)),"")</f>
        <v>#N/A</v>
      </c>
      <c r="Q138" s="58"/>
      <c r="R138" s="16" t="e">
        <f ca="1">IF($A138&lt;&gt;"",
IF(VLOOKUP($A138,貼り付け用!$A$1:$BA$300,COLUMN()/2+1,FALSE)=0,"",VLOOKUP($A138,貼り付け用!$A$1:$BA$300,COLUMN()/2+1,FALSE)),"")</f>
        <v>#N/A</v>
      </c>
      <c r="S138" s="58"/>
      <c r="T138" s="16" t="e">
        <f ca="1">IF($A138&lt;&gt;"",
IF(VLOOKUP($A138,貼り付け用!$A$1:$BA$300,COLUMN()/2+1,FALSE)=0,"",VLOOKUP($A138,貼り付け用!$A$1:$BA$300,COLUMN()/2+1,FALSE)),"")</f>
        <v>#N/A</v>
      </c>
      <c r="U138" s="58"/>
      <c r="V138" s="16" t="e">
        <f ca="1">IF($A138&lt;&gt;"",
IF(VLOOKUP($A138,貼り付け用!$A$1:$BA$300,COLUMN()/2+1,FALSE)=0,"",VLOOKUP($A138,貼り付け用!$A$1:$BA$300,COLUMN()/2+1,FALSE)),"")</f>
        <v>#N/A</v>
      </c>
      <c r="W138" s="58"/>
      <c r="X138" s="16" t="e">
        <f ca="1">IF($A138&lt;&gt;"",
IF(VLOOKUP($A138,貼り付け用!$A$1:$BA$300,COLUMN()/2+1,FALSE)=0,"",VLOOKUP($A138,貼り付け用!$A$1:$BA$300,COLUMN()/2+1,FALSE)),"")</f>
        <v>#N/A</v>
      </c>
      <c r="Y138" s="58"/>
      <c r="Z138" s="16" t="e">
        <f ca="1">IF($A138&lt;&gt;"",
IF(VLOOKUP($A138,貼り付け用!$A$1:$BA$300,COLUMN()/2+1,FALSE)=0,"",VLOOKUP($A138,貼り付け用!$A$1:$BA$300,COLUMN()/2+1,FALSE)),"")</f>
        <v>#N/A</v>
      </c>
      <c r="AA138" s="58"/>
      <c r="AB138" s="16" t="e">
        <f ca="1">IF($A138&lt;&gt;"",
IF(VLOOKUP($A138,貼り付け用!$A$1:$BA$300,COLUMN()/2+1,FALSE)=0,"",VLOOKUP($A138,貼り付け用!$A$1:$BA$300,COLUMN()/2+1,FALSE)),"")</f>
        <v>#N/A</v>
      </c>
      <c r="AC138" s="58"/>
      <c r="AD138" s="16" t="e">
        <f ca="1">IF($A138&lt;&gt;"",
IF(VLOOKUP($A138,貼り付け用!$A$1:$BA$300,COLUMN()/2+1,FALSE)=0,"",VLOOKUP($A138,貼り付け用!$A$1:$BA$300,COLUMN()/2+1,FALSE)),"")</f>
        <v>#N/A</v>
      </c>
      <c r="AE138" s="58"/>
      <c r="AF138" s="16" t="e">
        <f ca="1">IF($A138&lt;&gt;"",
IF(VLOOKUP($A138,貼り付け用!$A$1:$BA$300,COLUMN()/2+1,FALSE)=0,"",VLOOKUP($A138,貼り付け用!$A$1:$BA$300,COLUMN()/2+1,FALSE)),"")</f>
        <v>#N/A</v>
      </c>
      <c r="AG138" s="58"/>
      <c r="AH138" s="16" t="e">
        <f ca="1">IF($A138&lt;&gt;"",
IF(VLOOKUP($A138,貼り付け用!$A$1:$BA$300,COLUMN()/2+1,FALSE)=0,"",VLOOKUP($A138,貼り付け用!$A$1:$BA$300,COLUMN()/2+1,FALSE)),"")</f>
        <v>#N/A</v>
      </c>
      <c r="AI138" s="58"/>
      <c r="AJ138" s="16" t="e">
        <f ca="1">IF($A138&lt;&gt;"",
IF(VLOOKUP($A138,貼り付け用!$A$1:$BA$300,COLUMN()/2+1,FALSE)=0,"",VLOOKUP($A138,貼り付け用!$A$1:$BA$300,COLUMN()/2+1,FALSE)),"")</f>
        <v>#N/A</v>
      </c>
      <c r="AK138" s="58"/>
      <c r="AL138" s="16" t="e">
        <f ca="1">IF($A138&lt;&gt;"",
IF(VLOOKUP($A138,貼り付け用!$A$1:$BA$300,COLUMN()/2+1,FALSE)=0,"",VLOOKUP($A138,貼り付け用!$A$1:$BA$300,COLUMN()/2+1,FALSE)),"")</f>
        <v>#N/A</v>
      </c>
      <c r="AM138" s="210" t="e">
        <f ca="1">IF($A138&lt;&gt;"",
IF(VLOOKUP($A138,貼り付け用!$A$1:$BA$300,COLUMN()/2+2,FALSE)=0,"",VLOOKUP($A138,貼り付け用!$A$1:$BA$300,COLUMN()/2+2,FALSE)),"")</f>
        <v>#N/A</v>
      </c>
      <c r="AN138" s="210" t="e">
        <f ca="1">IF($A138&lt;&gt;"",
IF(VLOOKUP($A138,貼り付け用!$A$1:$BA$300,COLUMN()/2+3,FALSE)=0,"",VLOOKUP($A138,貼り付け用!$A$1:$BA$300,COLUMN()/2+3,FALSE)),"")</f>
        <v>#N/A</v>
      </c>
    </row>
    <row r="139" spans="1:40" x14ac:dyDescent="0.45">
      <c r="A139" s="8" t="e" cm="1">
        <f t="array" aca="1" ref="A139" ca="1">IF(OR(COUNTIF(A137,"*1000*"),COUNTIF(A137,"")),"",INDEX(貼り付け用!$A:$A,MATCH(A137,貼り付け用!$A:$A,0)+2,0))</f>
        <v>#N/A</v>
      </c>
      <c r="B139" s="46" t="e">
        <f ca="1">IF($A139&lt;&gt;"",
IF(VLOOKUP($A139,貼り付け用!$A$1:$BA$300,COLUMN()/2+1,FALSE)=0,"",VLOOKUP($A139,貼り付け用!$A$1:$BA$300,COLUMN()/2+1,FALSE)),"")</f>
        <v>#N/A</v>
      </c>
      <c r="C139" s="46"/>
      <c r="D139" s="46" t="e">
        <f ca="1">IF($A139&lt;&gt;"",
IF(VLOOKUP($A139,貼り付け用!$A$1:$BA$300,COLUMN()/2+1,FALSE)=0,"",VLOOKUP($A139,貼り付け用!$A$1:$BA$300,COLUMN()/2+1,FALSE)),"")</f>
        <v>#N/A</v>
      </c>
      <c r="E139" s="46"/>
      <c r="F139" s="46" t="e">
        <f ca="1">IF($A139&lt;&gt;"",
IF(VLOOKUP($A139,貼り付け用!$A$1:$BA$300,COLUMN()/2+1,FALSE)=0,"",VLOOKUP($A139,貼り付け用!$A$1:$BA$300,COLUMN()/2+1,FALSE)),"")</f>
        <v>#N/A</v>
      </c>
      <c r="G139" s="46"/>
      <c r="H139" s="46" t="e">
        <f ca="1">IF($A139&lt;&gt;"",
IF(VLOOKUP($A139,貼り付け用!$A$1:$BA$300,COLUMN()/2+1,FALSE)=0,"",VLOOKUP($A139,貼り付け用!$A$1:$BA$300,COLUMN()/2+1,FALSE)),"")</f>
        <v>#N/A</v>
      </c>
      <c r="I139" s="46"/>
      <c r="J139" s="46" t="e">
        <f ca="1">IF($A139&lt;&gt;"",
IF(VLOOKUP($A139,貼り付け用!$A$1:$BA$300,COLUMN()/2+1,FALSE)=0,"",VLOOKUP($A139,貼り付け用!$A$1:$BA$300,COLUMN()/2+1,FALSE)),"")</f>
        <v>#N/A</v>
      </c>
      <c r="K139" s="46"/>
      <c r="L139" s="46" t="e">
        <f ca="1">IF($A139&lt;&gt;"",
IF(VLOOKUP($A139,貼り付け用!$A$1:$BA$300,COLUMN()/2+1,FALSE)=0,"",VLOOKUP($A139,貼り付け用!$A$1:$BA$300,COLUMN()/2+1,FALSE)),"")</f>
        <v>#N/A</v>
      </c>
      <c r="M139" s="46"/>
      <c r="N139" s="46" t="e">
        <f ca="1">IF($A139&lt;&gt;"",
IF(VLOOKUP($A139,貼り付け用!$A$1:$BA$300,COLUMN()/2+1,FALSE)=0,"",VLOOKUP($A139,貼り付け用!$A$1:$BA$300,COLUMN()/2+1,FALSE)),"")</f>
        <v>#N/A</v>
      </c>
      <c r="O139" s="46"/>
      <c r="P139" s="46" t="e">
        <f ca="1">IF($A139&lt;&gt;"",
IF(VLOOKUP($A139,貼り付け用!$A$1:$BA$300,COLUMN()/2+1,FALSE)=0,"",VLOOKUP($A139,貼り付け用!$A$1:$BA$300,COLUMN()/2+1,FALSE)),"")</f>
        <v>#N/A</v>
      </c>
      <c r="Q139" s="46"/>
      <c r="R139" s="46" t="e">
        <f ca="1">IF($A139&lt;&gt;"",
IF(VLOOKUP($A139,貼り付け用!$A$1:$BA$300,COLUMN()/2+1,FALSE)=0,"",VLOOKUP($A139,貼り付け用!$A$1:$BA$300,COLUMN()/2+1,FALSE)),"")</f>
        <v>#N/A</v>
      </c>
      <c r="S139" s="46"/>
      <c r="T139" s="46" t="e">
        <f ca="1">IF($A139&lt;&gt;"",
IF(VLOOKUP($A139,貼り付け用!$A$1:$BA$300,COLUMN()/2+1,FALSE)=0,"",VLOOKUP($A139,貼り付け用!$A$1:$BA$300,COLUMN()/2+1,FALSE)),"")</f>
        <v>#N/A</v>
      </c>
      <c r="U139" s="46"/>
      <c r="V139" s="46" t="e">
        <f ca="1">IF($A139&lt;&gt;"",
IF(VLOOKUP($A139,貼り付け用!$A$1:$BA$300,COLUMN()/2+1,FALSE)=0,"",VLOOKUP($A139,貼り付け用!$A$1:$BA$300,COLUMN()/2+1,FALSE)),"")</f>
        <v>#N/A</v>
      </c>
      <c r="W139" s="46"/>
      <c r="X139" s="46" t="e">
        <f ca="1">IF($A139&lt;&gt;"",
IF(VLOOKUP($A139,貼り付け用!$A$1:$BA$300,COLUMN()/2+1,FALSE)=0,"",VLOOKUP($A139,貼り付け用!$A$1:$BA$300,COLUMN()/2+1,FALSE)),"")</f>
        <v>#N/A</v>
      </c>
      <c r="Y139" s="46"/>
      <c r="Z139" s="46" t="e">
        <f ca="1">IF($A139&lt;&gt;"",
IF(VLOOKUP($A139,貼り付け用!$A$1:$BA$300,COLUMN()/2+1,FALSE)=0,"",VLOOKUP($A139,貼り付け用!$A$1:$BA$300,COLUMN()/2+1,FALSE)),"")</f>
        <v>#N/A</v>
      </c>
      <c r="AA139" s="46"/>
      <c r="AB139" s="46" t="e">
        <f ca="1">IF($A139&lt;&gt;"",
IF(VLOOKUP($A139,貼り付け用!$A$1:$BA$300,COLUMN()/2+1,FALSE)=0,"",VLOOKUP($A139,貼り付け用!$A$1:$BA$300,COLUMN()/2+1,FALSE)),"")</f>
        <v>#N/A</v>
      </c>
      <c r="AC139" s="46"/>
      <c r="AD139" s="46" t="e">
        <f ca="1">IF($A139&lt;&gt;"",
IF(VLOOKUP($A139,貼り付け用!$A$1:$BA$300,COLUMN()/2+1,FALSE)=0,"",VLOOKUP($A139,貼り付け用!$A$1:$BA$300,COLUMN()/2+1,FALSE)),"")</f>
        <v>#N/A</v>
      </c>
      <c r="AE139" s="46"/>
      <c r="AF139" s="46" t="e">
        <f ca="1">IF($A139&lt;&gt;"",
IF(VLOOKUP($A139,貼り付け用!$A$1:$BA$300,COLUMN()/2+1,FALSE)=0,"",VLOOKUP($A139,貼り付け用!$A$1:$BA$300,COLUMN()/2+1,FALSE)),"")</f>
        <v>#N/A</v>
      </c>
      <c r="AG139" s="46"/>
      <c r="AH139" s="46" t="e">
        <f ca="1">IF($A139&lt;&gt;"",
IF(VLOOKUP($A139,貼り付け用!$A$1:$BA$300,COLUMN()/2+1,FALSE)=0,"",VLOOKUP($A139,貼り付け用!$A$1:$BA$300,COLUMN()/2+1,FALSE)),"")</f>
        <v>#N/A</v>
      </c>
      <c r="AI139" s="46"/>
      <c r="AJ139" s="46" t="e">
        <f ca="1">IF($A139&lt;&gt;"",
IF(VLOOKUP($A139,貼り付け用!$A$1:$BA$300,COLUMN()/2+1,FALSE)=0,"",VLOOKUP($A139,貼り付け用!$A$1:$BA$300,COLUMN()/2+1,FALSE)),"")</f>
        <v>#N/A</v>
      </c>
      <c r="AK139" s="46"/>
      <c r="AL139" s="46" t="e">
        <f ca="1">IF($A139&lt;&gt;"",
IF(VLOOKUP($A139,貼り付け用!$A$1:$BA$300,COLUMN()/2+1,FALSE)=0,"",VLOOKUP($A139,貼り付け用!$A$1:$BA$300,COLUMN()/2+1,FALSE)),"")</f>
        <v>#N/A</v>
      </c>
      <c r="AM139" s="211" t="e">
        <f ca="1">IF($A139&lt;&gt;"",
IF(VLOOKUP($A139,貼り付け用!$A$1:$BA$300,COLUMN()/2+2,FALSE)=0,"",VLOOKUP($A139,貼り付け用!$A$1:$BA$300,COLUMN()/2+2,FALSE)),"")</f>
        <v>#N/A</v>
      </c>
      <c r="AN139" s="211" t="e">
        <f ca="1">IF($A139&lt;&gt;"",
IF(VLOOKUP($A139,貼り付け用!$A$1:$BA$300,COLUMN()/2+3,FALSE)=0,"",VLOOKUP($A139,貼り付け用!$A$1:$BA$300,COLUMN()/2+3,FALSE)),"")</f>
        <v>#N/A</v>
      </c>
    </row>
    <row r="140" spans="1:40" x14ac:dyDescent="0.45">
      <c r="A140" s="5" t="e" cm="1">
        <f t="array" aca="1" ref="A140" ca="1">IF(OR(COUNTIF(A138,"*合計*"),COUNTIF(A138,"")),"",INDEX(貼り付け用!$A:$A,MATCH(A138,貼り付け用!$A:$A,0)+2,0))</f>
        <v>#N/A</v>
      </c>
      <c r="B140" s="16" t="e">
        <f ca="1">IF($A140&lt;&gt;"",
IF(VLOOKUP($A140,貼り付け用!$A$1:$BA$300,COLUMN()/2+1,FALSE)=0,"",VLOOKUP($A140,貼り付け用!$A$1:$BA$300,COLUMN()/2+1,FALSE)),"")</f>
        <v>#N/A</v>
      </c>
      <c r="C140" s="58"/>
      <c r="D140" s="16" t="e">
        <f ca="1">IF($A140&lt;&gt;"",
IF(VLOOKUP($A140,貼り付け用!$A$1:$BA$300,COLUMN()/2+1,FALSE)=0,"",VLOOKUP($A140,貼り付け用!$A$1:$BA$300,COLUMN()/2+1,FALSE)),"")</f>
        <v>#N/A</v>
      </c>
      <c r="E140" s="58"/>
      <c r="F140" s="16" t="e">
        <f ca="1">IF($A140&lt;&gt;"",
IF(VLOOKUP($A140,貼り付け用!$A$1:$BA$300,COLUMN()/2+1,FALSE)=0,"",VLOOKUP($A140,貼り付け用!$A$1:$BA$300,COLUMN()/2+1,FALSE)),"")</f>
        <v>#N/A</v>
      </c>
      <c r="G140" s="58"/>
      <c r="H140" s="16" t="e">
        <f ca="1">IF($A140&lt;&gt;"",
IF(VLOOKUP($A140,貼り付け用!$A$1:$BA$300,COLUMN()/2+1,FALSE)=0,"",VLOOKUP($A140,貼り付け用!$A$1:$BA$300,COLUMN()/2+1,FALSE)),"")</f>
        <v>#N/A</v>
      </c>
      <c r="I140" s="58"/>
      <c r="J140" s="16" t="e">
        <f ca="1">IF($A140&lt;&gt;"",
IF(VLOOKUP($A140,貼り付け用!$A$1:$BA$300,COLUMN()/2+1,FALSE)=0,"",VLOOKUP($A140,貼り付け用!$A$1:$BA$300,COLUMN()/2+1,FALSE)),"")</f>
        <v>#N/A</v>
      </c>
      <c r="K140" s="58"/>
      <c r="L140" s="16" t="e">
        <f ca="1">IF($A140&lt;&gt;"",
IF(VLOOKUP($A140,貼り付け用!$A$1:$BA$300,COLUMN()/2+1,FALSE)=0,"",VLOOKUP($A140,貼り付け用!$A$1:$BA$300,COLUMN()/2+1,FALSE)),"")</f>
        <v>#N/A</v>
      </c>
      <c r="M140" s="58"/>
      <c r="N140" s="16" t="e">
        <f ca="1">IF($A140&lt;&gt;"",
IF(VLOOKUP($A140,貼り付け用!$A$1:$BA$300,COLUMN()/2+1,FALSE)=0,"",VLOOKUP($A140,貼り付け用!$A$1:$BA$300,COLUMN()/2+1,FALSE)),"")</f>
        <v>#N/A</v>
      </c>
      <c r="O140" s="58"/>
      <c r="P140" s="16" t="e">
        <f ca="1">IF($A140&lt;&gt;"",
IF(VLOOKUP($A140,貼り付け用!$A$1:$BA$300,COLUMN()/2+1,FALSE)=0,"",VLOOKUP($A140,貼り付け用!$A$1:$BA$300,COLUMN()/2+1,FALSE)),"")</f>
        <v>#N/A</v>
      </c>
      <c r="Q140" s="58"/>
      <c r="R140" s="16" t="e">
        <f ca="1">IF($A140&lt;&gt;"",
IF(VLOOKUP($A140,貼り付け用!$A$1:$BA$300,COLUMN()/2+1,FALSE)=0,"",VLOOKUP($A140,貼り付け用!$A$1:$BA$300,COLUMN()/2+1,FALSE)),"")</f>
        <v>#N/A</v>
      </c>
      <c r="S140" s="58"/>
      <c r="T140" s="16" t="e">
        <f ca="1">IF($A140&lt;&gt;"",
IF(VLOOKUP($A140,貼り付け用!$A$1:$BA$300,COLUMN()/2+1,FALSE)=0,"",VLOOKUP($A140,貼り付け用!$A$1:$BA$300,COLUMN()/2+1,FALSE)),"")</f>
        <v>#N/A</v>
      </c>
      <c r="U140" s="58"/>
      <c r="V140" s="16" t="e">
        <f ca="1">IF($A140&lt;&gt;"",
IF(VLOOKUP($A140,貼り付け用!$A$1:$BA$300,COLUMN()/2+1,FALSE)=0,"",VLOOKUP($A140,貼り付け用!$A$1:$BA$300,COLUMN()/2+1,FALSE)),"")</f>
        <v>#N/A</v>
      </c>
      <c r="W140" s="58"/>
      <c r="X140" s="16" t="e">
        <f ca="1">IF($A140&lt;&gt;"",
IF(VLOOKUP($A140,貼り付け用!$A$1:$BA$300,COLUMN()/2+1,FALSE)=0,"",VLOOKUP($A140,貼り付け用!$A$1:$BA$300,COLUMN()/2+1,FALSE)),"")</f>
        <v>#N/A</v>
      </c>
      <c r="Y140" s="58"/>
      <c r="Z140" s="16" t="e">
        <f ca="1">IF($A140&lt;&gt;"",
IF(VLOOKUP($A140,貼り付け用!$A$1:$BA$300,COLUMN()/2+1,FALSE)=0,"",VLOOKUP($A140,貼り付け用!$A$1:$BA$300,COLUMN()/2+1,FALSE)),"")</f>
        <v>#N/A</v>
      </c>
      <c r="AA140" s="58"/>
      <c r="AB140" s="16" t="e">
        <f ca="1">IF($A140&lt;&gt;"",
IF(VLOOKUP($A140,貼り付け用!$A$1:$BA$300,COLUMN()/2+1,FALSE)=0,"",VLOOKUP($A140,貼り付け用!$A$1:$BA$300,COLUMN()/2+1,FALSE)),"")</f>
        <v>#N/A</v>
      </c>
      <c r="AC140" s="58"/>
      <c r="AD140" s="16" t="e">
        <f ca="1">IF($A140&lt;&gt;"",
IF(VLOOKUP($A140,貼り付け用!$A$1:$BA$300,COLUMN()/2+1,FALSE)=0,"",VLOOKUP($A140,貼り付け用!$A$1:$BA$300,COLUMN()/2+1,FALSE)),"")</f>
        <v>#N/A</v>
      </c>
      <c r="AE140" s="58"/>
      <c r="AF140" s="16" t="e">
        <f ca="1">IF($A140&lt;&gt;"",
IF(VLOOKUP($A140,貼り付け用!$A$1:$BA$300,COLUMN()/2+1,FALSE)=0,"",VLOOKUP($A140,貼り付け用!$A$1:$BA$300,COLUMN()/2+1,FALSE)),"")</f>
        <v>#N/A</v>
      </c>
      <c r="AG140" s="58"/>
      <c r="AH140" s="16" t="e">
        <f ca="1">IF($A140&lt;&gt;"",
IF(VLOOKUP($A140,貼り付け用!$A$1:$BA$300,COLUMN()/2+1,FALSE)=0,"",VLOOKUP($A140,貼り付け用!$A$1:$BA$300,COLUMN()/2+1,FALSE)),"")</f>
        <v>#N/A</v>
      </c>
      <c r="AI140" s="58"/>
      <c r="AJ140" s="16" t="e">
        <f ca="1">IF($A140&lt;&gt;"",
IF(VLOOKUP($A140,貼り付け用!$A$1:$BA$300,COLUMN()/2+1,FALSE)=0,"",VLOOKUP($A140,貼り付け用!$A$1:$BA$300,COLUMN()/2+1,FALSE)),"")</f>
        <v>#N/A</v>
      </c>
      <c r="AK140" s="58"/>
      <c r="AL140" s="16" t="e">
        <f ca="1">IF($A140&lt;&gt;"",
IF(VLOOKUP($A140,貼り付け用!$A$1:$BA$300,COLUMN()/2+1,FALSE)=0,"",VLOOKUP($A140,貼り付け用!$A$1:$BA$300,COLUMN()/2+1,FALSE)),"")</f>
        <v>#N/A</v>
      </c>
      <c r="AM140" s="210" t="e">
        <f ca="1">IF($A140&lt;&gt;"",
IF(VLOOKUP($A140,貼り付け用!$A$1:$BA$300,COLUMN()/2+2,FALSE)=0,"",VLOOKUP($A140,貼り付け用!$A$1:$BA$300,COLUMN()/2+2,FALSE)),"")</f>
        <v>#N/A</v>
      </c>
      <c r="AN140" s="210" t="e">
        <f ca="1">IF($A140&lt;&gt;"",
IF(VLOOKUP($A140,貼り付け用!$A$1:$BA$300,COLUMN()/2+3,FALSE)=0,"",VLOOKUP($A140,貼り付け用!$A$1:$BA$300,COLUMN()/2+3,FALSE)),"")</f>
        <v>#N/A</v>
      </c>
    </row>
    <row r="141" spans="1:40" x14ac:dyDescent="0.45">
      <c r="A141" s="8" t="e" cm="1">
        <f t="array" aca="1" ref="A141" ca="1">IF(OR(COUNTIF(A139,"*1000*"),COUNTIF(A139,"")),"",INDEX(貼り付け用!$A:$A,MATCH(A139,貼り付け用!$A:$A,0)+2,0))</f>
        <v>#N/A</v>
      </c>
      <c r="B141" s="46" t="e">
        <f ca="1">IF($A141&lt;&gt;"",
IF(VLOOKUP($A141,貼り付け用!$A$1:$BA$300,COLUMN()/2+1,FALSE)=0,"",VLOOKUP($A141,貼り付け用!$A$1:$BA$300,COLUMN()/2+1,FALSE)),"")</f>
        <v>#N/A</v>
      </c>
      <c r="C141" s="46"/>
      <c r="D141" s="46" t="e">
        <f ca="1">IF($A141&lt;&gt;"",
IF(VLOOKUP($A141,貼り付け用!$A$1:$BA$300,COLUMN()/2+1,FALSE)=0,"",VLOOKUP($A141,貼り付け用!$A$1:$BA$300,COLUMN()/2+1,FALSE)),"")</f>
        <v>#N/A</v>
      </c>
      <c r="E141" s="46"/>
      <c r="F141" s="46" t="e">
        <f ca="1">IF($A141&lt;&gt;"",
IF(VLOOKUP($A141,貼り付け用!$A$1:$BA$300,COLUMN()/2+1,FALSE)=0,"",VLOOKUP($A141,貼り付け用!$A$1:$BA$300,COLUMN()/2+1,FALSE)),"")</f>
        <v>#N/A</v>
      </c>
      <c r="G141" s="46"/>
      <c r="H141" s="46" t="e">
        <f ca="1">IF($A141&lt;&gt;"",
IF(VLOOKUP($A141,貼り付け用!$A$1:$BA$300,COLUMN()/2+1,FALSE)=0,"",VLOOKUP($A141,貼り付け用!$A$1:$BA$300,COLUMN()/2+1,FALSE)),"")</f>
        <v>#N/A</v>
      </c>
      <c r="I141" s="46"/>
      <c r="J141" s="46" t="e">
        <f ca="1">IF($A141&lt;&gt;"",
IF(VLOOKUP($A141,貼り付け用!$A$1:$BA$300,COLUMN()/2+1,FALSE)=0,"",VLOOKUP($A141,貼り付け用!$A$1:$BA$300,COLUMN()/2+1,FALSE)),"")</f>
        <v>#N/A</v>
      </c>
      <c r="K141" s="46"/>
      <c r="L141" s="46" t="e">
        <f ca="1">IF($A141&lt;&gt;"",
IF(VLOOKUP($A141,貼り付け用!$A$1:$BA$300,COLUMN()/2+1,FALSE)=0,"",VLOOKUP($A141,貼り付け用!$A$1:$BA$300,COLUMN()/2+1,FALSE)),"")</f>
        <v>#N/A</v>
      </c>
      <c r="M141" s="46"/>
      <c r="N141" s="46" t="e">
        <f ca="1">IF($A141&lt;&gt;"",
IF(VLOOKUP($A141,貼り付け用!$A$1:$BA$300,COLUMN()/2+1,FALSE)=0,"",VLOOKUP($A141,貼り付け用!$A$1:$BA$300,COLUMN()/2+1,FALSE)),"")</f>
        <v>#N/A</v>
      </c>
      <c r="O141" s="46"/>
      <c r="P141" s="46" t="e">
        <f ca="1">IF($A141&lt;&gt;"",
IF(VLOOKUP($A141,貼り付け用!$A$1:$BA$300,COLUMN()/2+1,FALSE)=0,"",VLOOKUP($A141,貼り付け用!$A$1:$BA$300,COLUMN()/2+1,FALSE)),"")</f>
        <v>#N/A</v>
      </c>
      <c r="Q141" s="46"/>
      <c r="R141" s="46" t="e">
        <f ca="1">IF($A141&lt;&gt;"",
IF(VLOOKUP($A141,貼り付け用!$A$1:$BA$300,COLUMN()/2+1,FALSE)=0,"",VLOOKUP($A141,貼り付け用!$A$1:$BA$300,COLUMN()/2+1,FALSE)),"")</f>
        <v>#N/A</v>
      </c>
      <c r="S141" s="46"/>
      <c r="T141" s="46" t="e">
        <f ca="1">IF($A141&lt;&gt;"",
IF(VLOOKUP($A141,貼り付け用!$A$1:$BA$300,COLUMN()/2+1,FALSE)=0,"",VLOOKUP($A141,貼り付け用!$A$1:$BA$300,COLUMN()/2+1,FALSE)),"")</f>
        <v>#N/A</v>
      </c>
      <c r="U141" s="46"/>
      <c r="V141" s="46" t="e">
        <f ca="1">IF($A141&lt;&gt;"",
IF(VLOOKUP($A141,貼り付け用!$A$1:$BA$300,COLUMN()/2+1,FALSE)=0,"",VLOOKUP($A141,貼り付け用!$A$1:$BA$300,COLUMN()/2+1,FALSE)),"")</f>
        <v>#N/A</v>
      </c>
      <c r="W141" s="46"/>
      <c r="X141" s="46" t="e">
        <f ca="1">IF($A141&lt;&gt;"",
IF(VLOOKUP($A141,貼り付け用!$A$1:$BA$300,COLUMN()/2+1,FALSE)=0,"",VLOOKUP($A141,貼り付け用!$A$1:$BA$300,COLUMN()/2+1,FALSE)),"")</f>
        <v>#N/A</v>
      </c>
      <c r="Y141" s="46"/>
      <c r="Z141" s="46" t="e">
        <f ca="1">IF($A141&lt;&gt;"",
IF(VLOOKUP($A141,貼り付け用!$A$1:$BA$300,COLUMN()/2+1,FALSE)=0,"",VLOOKUP($A141,貼り付け用!$A$1:$BA$300,COLUMN()/2+1,FALSE)),"")</f>
        <v>#N/A</v>
      </c>
      <c r="AA141" s="46"/>
      <c r="AB141" s="46" t="e">
        <f ca="1">IF($A141&lt;&gt;"",
IF(VLOOKUP($A141,貼り付け用!$A$1:$BA$300,COLUMN()/2+1,FALSE)=0,"",VLOOKUP($A141,貼り付け用!$A$1:$BA$300,COLUMN()/2+1,FALSE)),"")</f>
        <v>#N/A</v>
      </c>
      <c r="AC141" s="46"/>
      <c r="AD141" s="46" t="e">
        <f ca="1">IF($A141&lt;&gt;"",
IF(VLOOKUP($A141,貼り付け用!$A$1:$BA$300,COLUMN()/2+1,FALSE)=0,"",VLOOKUP($A141,貼り付け用!$A$1:$BA$300,COLUMN()/2+1,FALSE)),"")</f>
        <v>#N/A</v>
      </c>
      <c r="AE141" s="46"/>
      <c r="AF141" s="46" t="e">
        <f ca="1">IF($A141&lt;&gt;"",
IF(VLOOKUP($A141,貼り付け用!$A$1:$BA$300,COLUMN()/2+1,FALSE)=0,"",VLOOKUP($A141,貼り付け用!$A$1:$BA$300,COLUMN()/2+1,FALSE)),"")</f>
        <v>#N/A</v>
      </c>
      <c r="AG141" s="46"/>
      <c r="AH141" s="46" t="e">
        <f ca="1">IF($A141&lt;&gt;"",
IF(VLOOKUP($A141,貼り付け用!$A$1:$BA$300,COLUMN()/2+1,FALSE)=0,"",VLOOKUP($A141,貼り付け用!$A$1:$BA$300,COLUMN()/2+1,FALSE)),"")</f>
        <v>#N/A</v>
      </c>
      <c r="AI141" s="46"/>
      <c r="AJ141" s="46" t="e">
        <f ca="1">IF($A141&lt;&gt;"",
IF(VLOOKUP($A141,貼り付け用!$A$1:$BA$300,COLUMN()/2+1,FALSE)=0,"",VLOOKUP($A141,貼り付け用!$A$1:$BA$300,COLUMN()/2+1,FALSE)),"")</f>
        <v>#N/A</v>
      </c>
      <c r="AK141" s="46"/>
      <c r="AL141" s="46" t="e">
        <f ca="1">IF($A141&lt;&gt;"",
IF(VLOOKUP($A141,貼り付け用!$A$1:$BA$300,COLUMN()/2+1,FALSE)=0,"",VLOOKUP($A141,貼り付け用!$A$1:$BA$300,COLUMN()/2+1,FALSE)),"")</f>
        <v>#N/A</v>
      </c>
      <c r="AM141" s="211" t="e">
        <f ca="1">IF($A141&lt;&gt;"",
IF(VLOOKUP($A141,貼り付け用!$A$1:$BA$300,COLUMN()/2+2,FALSE)=0,"",VLOOKUP($A141,貼り付け用!$A$1:$BA$300,COLUMN()/2+2,FALSE)),"")</f>
        <v>#N/A</v>
      </c>
      <c r="AN141" s="211" t="e">
        <f ca="1">IF($A141&lt;&gt;"",
IF(VLOOKUP($A141,貼り付け用!$A$1:$BA$300,COLUMN()/2+3,FALSE)=0,"",VLOOKUP($A141,貼り付け用!$A$1:$BA$300,COLUMN()/2+3,FALSE)),"")</f>
        <v>#N/A</v>
      </c>
    </row>
    <row r="142" spans="1:40" x14ac:dyDescent="0.45">
      <c r="A142" s="5" t="e" cm="1">
        <f t="array" aca="1" ref="A142" ca="1">IF(OR(COUNTIF(A140,"*合計*"),COUNTIF(A140,"")),"",INDEX(貼り付け用!$A:$A,MATCH(A140,貼り付け用!$A:$A,0)+2,0))</f>
        <v>#N/A</v>
      </c>
      <c r="B142" s="16" t="e">
        <f ca="1">IF($A142&lt;&gt;"",
IF(VLOOKUP($A142,貼り付け用!$A$1:$BA$300,COLUMN()/2+1,FALSE)=0,"",VLOOKUP($A142,貼り付け用!$A$1:$BA$300,COLUMN()/2+1,FALSE)),"")</f>
        <v>#N/A</v>
      </c>
      <c r="C142" s="58"/>
      <c r="D142" s="16" t="e">
        <f ca="1">IF($A142&lt;&gt;"",
IF(VLOOKUP($A142,貼り付け用!$A$1:$BA$300,COLUMN()/2+1,FALSE)=0,"",VLOOKUP($A142,貼り付け用!$A$1:$BA$300,COLUMN()/2+1,FALSE)),"")</f>
        <v>#N/A</v>
      </c>
      <c r="E142" s="58"/>
      <c r="F142" s="16" t="e">
        <f ca="1">IF($A142&lt;&gt;"",
IF(VLOOKUP($A142,貼り付け用!$A$1:$BA$300,COLUMN()/2+1,FALSE)=0,"",VLOOKUP($A142,貼り付け用!$A$1:$BA$300,COLUMN()/2+1,FALSE)),"")</f>
        <v>#N/A</v>
      </c>
      <c r="G142" s="58"/>
      <c r="H142" s="16" t="e">
        <f ca="1">IF($A142&lt;&gt;"",
IF(VLOOKUP($A142,貼り付け用!$A$1:$BA$300,COLUMN()/2+1,FALSE)=0,"",VLOOKUP($A142,貼り付け用!$A$1:$BA$300,COLUMN()/2+1,FALSE)),"")</f>
        <v>#N/A</v>
      </c>
      <c r="I142" s="58"/>
      <c r="J142" s="16" t="e">
        <f ca="1">IF($A142&lt;&gt;"",
IF(VLOOKUP($A142,貼り付け用!$A$1:$BA$300,COLUMN()/2+1,FALSE)=0,"",VLOOKUP($A142,貼り付け用!$A$1:$BA$300,COLUMN()/2+1,FALSE)),"")</f>
        <v>#N/A</v>
      </c>
      <c r="K142" s="58"/>
      <c r="L142" s="16" t="e">
        <f ca="1">IF($A142&lt;&gt;"",
IF(VLOOKUP($A142,貼り付け用!$A$1:$BA$300,COLUMN()/2+1,FALSE)=0,"",VLOOKUP($A142,貼り付け用!$A$1:$BA$300,COLUMN()/2+1,FALSE)),"")</f>
        <v>#N/A</v>
      </c>
      <c r="M142" s="58"/>
      <c r="N142" s="16" t="e">
        <f ca="1">IF($A142&lt;&gt;"",
IF(VLOOKUP($A142,貼り付け用!$A$1:$BA$300,COLUMN()/2+1,FALSE)=0,"",VLOOKUP($A142,貼り付け用!$A$1:$BA$300,COLUMN()/2+1,FALSE)),"")</f>
        <v>#N/A</v>
      </c>
      <c r="O142" s="58"/>
      <c r="P142" s="16" t="e">
        <f ca="1">IF($A142&lt;&gt;"",
IF(VLOOKUP($A142,貼り付け用!$A$1:$BA$300,COLUMN()/2+1,FALSE)=0,"",VLOOKUP($A142,貼り付け用!$A$1:$BA$300,COLUMN()/2+1,FALSE)),"")</f>
        <v>#N/A</v>
      </c>
      <c r="Q142" s="58"/>
      <c r="R142" s="16" t="e">
        <f ca="1">IF($A142&lt;&gt;"",
IF(VLOOKUP($A142,貼り付け用!$A$1:$BA$300,COLUMN()/2+1,FALSE)=0,"",VLOOKUP($A142,貼り付け用!$A$1:$BA$300,COLUMN()/2+1,FALSE)),"")</f>
        <v>#N/A</v>
      </c>
      <c r="S142" s="58"/>
      <c r="T142" s="16" t="e">
        <f ca="1">IF($A142&lt;&gt;"",
IF(VLOOKUP($A142,貼り付け用!$A$1:$BA$300,COLUMN()/2+1,FALSE)=0,"",VLOOKUP($A142,貼り付け用!$A$1:$BA$300,COLUMN()/2+1,FALSE)),"")</f>
        <v>#N/A</v>
      </c>
      <c r="U142" s="58"/>
      <c r="V142" s="16" t="e">
        <f ca="1">IF($A142&lt;&gt;"",
IF(VLOOKUP($A142,貼り付け用!$A$1:$BA$300,COLUMN()/2+1,FALSE)=0,"",VLOOKUP($A142,貼り付け用!$A$1:$BA$300,COLUMN()/2+1,FALSE)),"")</f>
        <v>#N/A</v>
      </c>
      <c r="W142" s="58"/>
      <c r="X142" s="16" t="e">
        <f ca="1">IF($A142&lt;&gt;"",
IF(VLOOKUP($A142,貼り付け用!$A$1:$BA$300,COLUMN()/2+1,FALSE)=0,"",VLOOKUP($A142,貼り付け用!$A$1:$BA$300,COLUMN()/2+1,FALSE)),"")</f>
        <v>#N/A</v>
      </c>
      <c r="Y142" s="58"/>
      <c r="Z142" s="16" t="e">
        <f ca="1">IF($A142&lt;&gt;"",
IF(VLOOKUP($A142,貼り付け用!$A$1:$BA$300,COLUMN()/2+1,FALSE)=0,"",VLOOKUP($A142,貼り付け用!$A$1:$BA$300,COLUMN()/2+1,FALSE)),"")</f>
        <v>#N/A</v>
      </c>
      <c r="AA142" s="58"/>
      <c r="AB142" s="16" t="e">
        <f ca="1">IF($A142&lt;&gt;"",
IF(VLOOKUP($A142,貼り付け用!$A$1:$BA$300,COLUMN()/2+1,FALSE)=0,"",VLOOKUP($A142,貼り付け用!$A$1:$BA$300,COLUMN()/2+1,FALSE)),"")</f>
        <v>#N/A</v>
      </c>
      <c r="AC142" s="58"/>
      <c r="AD142" s="16" t="e">
        <f ca="1">IF($A142&lt;&gt;"",
IF(VLOOKUP($A142,貼り付け用!$A$1:$BA$300,COLUMN()/2+1,FALSE)=0,"",VLOOKUP($A142,貼り付け用!$A$1:$BA$300,COLUMN()/2+1,FALSE)),"")</f>
        <v>#N/A</v>
      </c>
      <c r="AE142" s="58"/>
      <c r="AF142" s="16" t="e">
        <f ca="1">IF($A142&lt;&gt;"",
IF(VLOOKUP($A142,貼り付け用!$A$1:$BA$300,COLUMN()/2+1,FALSE)=0,"",VLOOKUP($A142,貼り付け用!$A$1:$BA$300,COLUMN()/2+1,FALSE)),"")</f>
        <v>#N/A</v>
      </c>
      <c r="AG142" s="58"/>
      <c r="AH142" s="16" t="e">
        <f ca="1">IF($A142&lt;&gt;"",
IF(VLOOKUP($A142,貼り付け用!$A$1:$BA$300,COLUMN()/2+1,FALSE)=0,"",VLOOKUP($A142,貼り付け用!$A$1:$BA$300,COLUMN()/2+1,FALSE)),"")</f>
        <v>#N/A</v>
      </c>
      <c r="AI142" s="58"/>
      <c r="AJ142" s="16" t="e">
        <f ca="1">IF($A142&lt;&gt;"",
IF(VLOOKUP($A142,貼り付け用!$A$1:$BA$300,COLUMN()/2+1,FALSE)=0,"",VLOOKUP($A142,貼り付け用!$A$1:$BA$300,COLUMN()/2+1,FALSE)),"")</f>
        <v>#N/A</v>
      </c>
      <c r="AK142" s="58"/>
      <c r="AL142" s="16" t="e">
        <f ca="1">IF($A142&lt;&gt;"",
IF(VLOOKUP($A142,貼り付け用!$A$1:$BA$300,COLUMN()/2+1,FALSE)=0,"",VLOOKUP($A142,貼り付け用!$A$1:$BA$300,COLUMN()/2+1,FALSE)),"")</f>
        <v>#N/A</v>
      </c>
      <c r="AM142" s="210" t="e">
        <f ca="1">IF($A142&lt;&gt;"",
IF(VLOOKUP($A142,貼り付け用!$A$1:$BA$300,COLUMN()/2+2,FALSE)=0,"",VLOOKUP($A142,貼り付け用!$A$1:$BA$300,COLUMN()/2+2,FALSE)),"")</f>
        <v>#N/A</v>
      </c>
      <c r="AN142" s="210" t="e">
        <f ca="1">IF($A142&lt;&gt;"",
IF(VLOOKUP($A142,貼り付け用!$A$1:$BA$300,COLUMN()/2+3,FALSE)=0,"",VLOOKUP($A142,貼り付け用!$A$1:$BA$300,COLUMN()/2+3,FALSE)),"")</f>
        <v>#N/A</v>
      </c>
    </row>
    <row r="143" spans="1:40" x14ac:dyDescent="0.45">
      <c r="A143" s="8" t="e" cm="1">
        <f t="array" aca="1" ref="A143" ca="1">IF(OR(COUNTIF(A141,"*1000*"),COUNTIF(A141,"")),"",INDEX(貼り付け用!$A:$A,MATCH(A141,貼り付け用!$A:$A,0)+2,0))</f>
        <v>#N/A</v>
      </c>
      <c r="B143" s="46" t="e">
        <f ca="1">IF($A143&lt;&gt;"",
IF(VLOOKUP($A143,貼り付け用!$A$1:$BA$300,COLUMN()/2+1,FALSE)=0,"",VLOOKUP($A143,貼り付け用!$A$1:$BA$300,COLUMN()/2+1,FALSE)),"")</f>
        <v>#N/A</v>
      </c>
      <c r="C143" s="46"/>
      <c r="D143" s="46" t="e">
        <f ca="1">IF($A143&lt;&gt;"",
IF(VLOOKUP($A143,貼り付け用!$A$1:$BA$300,COLUMN()/2+1,FALSE)=0,"",VLOOKUP($A143,貼り付け用!$A$1:$BA$300,COLUMN()/2+1,FALSE)),"")</f>
        <v>#N/A</v>
      </c>
      <c r="E143" s="46"/>
      <c r="F143" s="46" t="e">
        <f ca="1">IF($A143&lt;&gt;"",
IF(VLOOKUP($A143,貼り付け用!$A$1:$BA$300,COLUMN()/2+1,FALSE)=0,"",VLOOKUP($A143,貼り付け用!$A$1:$BA$300,COLUMN()/2+1,FALSE)),"")</f>
        <v>#N/A</v>
      </c>
      <c r="G143" s="46"/>
      <c r="H143" s="46" t="e">
        <f ca="1">IF($A143&lt;&gt;"",
IF(VLOOKUP($A143,貼り付け用!$A$1:$BA$300,COLUMN()/2+1,FALSE)=0,"",VLOOKUP($A143,貼り付け用!$A$1:$BA$300,COLUMN()/2+1,FALSE)),"")</f>
        <v>#N/A</v>
      </c>
      <c r="I143" s="46"/>
      <c r="J143" s="46" t="e">
        <f ca="1">IF($A143&lt;&gt;"",
IF(VLOOKUP($A143,貼り付け用!$A$1:$BA$300,COLUMN()/2+1,FALSE)=0,"",VLOOKUP($A143,貼り付け用!$A$1:$BA$300,COLUMN()/2+1,FALSE)),"")</f>
        <v>#N/A</v>
      </c>
      <c r="K143" s="46"/>
      <c r="L143" s="46" t="e">
        <f ca="1">IF($A143&lt;&gt;"",
IF(VLOOKUP($A143,貼り付け用!$A$1:$BA$300,COLUMN()/2+1,FALSE)=0,"",VLOOKUP($A143,貼り付け用!$A$1:$BA$300,COLUMN()/2+1,FALSE)),"")</f>
        <v>#N/A</v>
      </c>
      <c r="M143" s="46"/>
      <c r="N143" s="46" t="e">
        <f ca="1">IF($A143&lt;&gt;"",
IF(VLOOKUP($A143,貼り付け用!$A$1:$BA$300,COLUMN()/2+1,FALSE)=0,"",VLOOKUP($A143,貼り付け用!$A$1:$BA$300,COLUMN()/2+1,FALSE)),"")</f>
        <v>#N/A</v>
      </c>
      <c r="O143" s="46"/>
      <c r="P143" s="46" t="e">
        <f ca="1">IF($A143&lt;&gt;"",
IF(VLOOKUP($A143,貼り付け用!$A$1:$BA$300,COLUMN()/2+1,FALSE)=0,"",VLOOKUP($A143,貼り付け用!$A$1:$BA$300,COLUMN()/2+1,FALSE)),"")</f>
        <v>#N/A</v>
      </c>
      <c r="Q143" s="46"/>
      <c r="R143" s="46" t="e">
        <f ca="1">IF($A143&lt;&gt;"",
IF(VLOOKUP($A143,貼り付け用!$A$1:$BA$300,COLUMN()/2+1,FALSE)=0,"",VLOOKUP($A143,貼り付け用!$A$1:$BA$300,COLUMN()/2+1,FALSE)),"")</f>
        <v>#N/A</v>
      </c>
      <c r="S143" s="46"/>
      <c r="T143" s="46" t="e">
        <f ca="1">IF($A143&lt;&gt;"",
IF(VLOOKUP($A143,貼り付け用!$A$1:$BA$300,COLUMN()/2+1,FALSE)=0,"",VLOOKUP($A143,貼り付け用!$A$1:$BA$300,COLUMN()/2+1,FALSE)),"")</f>
        <v>#N/A</v>
      </c>
      <c r="U143" s="46"/>
      <c r="V143" s="46" t="e">
        <f ca="1">IF($A143&lt;&gt;"",
IF(VLOOKUP($A143,貼り付け用!$A$1:$BA$300,COLUMN()/2+1,FALSE)=0,"",VLOOKUP($A143,貼り付け用!$A$1:$BA$300,COLUMN()/2+1,FALSE)),"")</f>
        <v>#N/A</v>
      </c>
      <c r="W143" s="46"/>
      <c r="X143" s="46" t="e">
        <f ca="1">IF($A143&lt;&gt;"",
IF(VLOOKUP($A143,貼り付け用!$A$1:$BA$300,COLUMN()/2+1,FALSE)=0,"",VLOOKUP($A143,貼り付け用!$A$1:$BA$300,COLUMN()/2+1,FALSE)),"")</f>
        <v>#N/A</v>
      </c>
      <c r="Y143" s="46"/>
      <c r="Z143" s="46" t="e">
        <f ca="1">IF($A143&lt;&gt;"",
IF(VLOOKUP($A143,貼り付け用!$A$1:$BA$300,COLUMN()/2+1,FALSE)=0,"",VLOOKUP($A143,貼り付け用!$A$1:$BA$300,COLUMN()/2+1,FALSE)),"")</f>
        <v>#N/A</v>
      </c>
      <c r="AA143" s="46"/>
      <c r="AB143" s="46" t="e">
        <f ca="1">IF($A143&lt;&gt;"",
IF(VLOOKUP($A143,貼り付け用!$A$1:$BA$300,COLUMN()/2+1,FALSE)=0,"",VLOOKUP($A143,貼り付け用!$A$1:$BA$300,COLUMN()/2+1,FALSE)),"")</f>
        <v>#N/A</v>
      </c>
      <c r="AC143" s="46"/>
      <c r="AD143" s="46" t="e">
        <f ca="1">IF($A143&lt;&gt;"",
IF(VLOOKUP($A143,貼り付け用!$A$1:$BA$300,COLUMN()/2+1,FALSE)=0,"",VLOOKUP($A143,貼り付け用!$A$1:$BA$300,COLUMN()/2+1,FALSE)),"")</f>
        <v>#N/A</v>
      </c>
      <c r="AE143" s="46"/>
      <c r="AF143" s="46" t="e">
        <f ca="1">IF($A143&lt;&gt;"",
IF(VLOOKUP($A143,貼り付け用!$A$1:$BA$300,COLUMN()/2+1,FALSE)=0,"",VLOOKUP($A143,貼り付け用!$A$1:$BA$300,COLUMN()/2+1,FALSE)),"")</f>
        <v>#N/A</v>
      </c>
      <c r="AG143" s="46"/>
      <c r="AH143" s="46" t="e">
        <f ca="1">IF($A143&lt;&gt;"",
IF(VLOOKUP($A143,貼り付け用!$A$1:$BA$300,COLUMN()/2+1,FALSE)=0,"",VLOOKUP($A143,貼り付け用!$A$1:$BA$300,COLUMN()/2+1,FALSE)),"")</f>
        <v>#N/A</v>
      </c>
      <c r="AI143" s="46"/>
      <c r="AJ143" s="46" t="e">
        <f ca="1">IF($A143&lt;&gt;"",
IF(VLOOKUP($A143,貼り付け用!$A$1:$BA$300,COLUMN()/2+1,FALSE)=0,"",VLOOKUP($A143,貼り付け用!$A$1:$BA$300,COLUMN()/2+1,FALSE)),"")</f>
        <v>#N/A</v>
      </c>
      <c r="AK143" s="46"/>
      <c r="AL143" s="46" t="e">
        <f ca="1">IF($A143&lt;&gt;"",
IF(VLOOKUP($A143,貼り付け用!$A$1:$BA$300,COLUMN()/2+1,FALSE)=0,"",VLOOKUP($A143,貼り付け用!$A$1:$BA$300,COLUMN()/2+1,FALSE)),"")</f>
        <v>#N/A</v>
      </c>
      <c r="AM143" s="211" t="e">
        <f ca="1">IF($A143&lt;&gt;"",
IF(VLOOKUP($A143,貼り付け用!$A$1:$BA$300,COLUMN()/2+2,FALSE)=0,"",VLOOKUP($A143,貼り付け用!$A$1:$BA$300,COLUMN()/2+2,FALSE)),"")</f>
        <v>#N/A</v>
      </c>
      <c r="AN143" s="211" t="e">
        <f ca="1">IF($A143&lt;&gt;"",
IF(VLOOKUP($A143,貼り付け用!$A$1:$BA$300,COLUMN()/2+3,FALSE)=0,"",VLOOKUP($A143,貼り付け用!$A$1:$BA$300,COLUMN()/2+3,FALSE)),"")</f>
        <v>#N/A</v>
      </c>
    </row>
    <row r="144" spans="1:40" x14ac:dyDescent="0.45">
      <c r="A144" s="5" t="e" cm="1">
        <f t="array" aca="1" ref="A144" ca="1">IF(OR(COUNTIF(A142,"*合計*"),COUNTIF(A142,"")),"",INDEX(貼り付け用!$A:$A,MATCH(A142,貼り付け用!$A:$A,0)+2,0))</f>
        <v>#N/A</v>
      </c>
      <c r="B144" s="16" t="e">
        <f ca="1">IF($A144&lt;&gt;"",
IF(VLOOKUP($A144,貼り付け用!$A$1:$BA$300,COLUMN()/2+1,FALSE)=0,"",VLOOKUP($A144,貼り付け用!$A$1:$BA$300,COLUMN()/2+1,FALSE)),"")</f>
        <v>#N/A</v>
      </c>
      <c r="C144" s="58"/>
      <c r="D144" s="16" t="e">
        <f ca="1">IF($A144&lt;&gt;"",
IF(VLOOKUP($A144,貼り付け用!$A$1:$BA$300,COLUMN()/2+1,FALSE)=0,"",VLOOKUP($A144,貼り付け用!$A$1:$BA$300,COLUMN()/2+1,FALSE)),"")</f>
        <v>#N/A</v>
      </c>
      <c r="E144" s="58"/>
      <c r="F144" s="16" t="e">
        <f ca="1">IF($A144&lt;&gt;"",
IF(VLOOKUP($A144,貼り付け用!$A$1:$BA$300,COLUMN()/2+1,FALSE)=0,"",VLOOKUP($A144,貼り付け用!$A$1:$BA$300,COLUMN()/2+1,FALSE)),"")</f>
        <v>#N/A</v>
      </c>
      <c r="G144" s="58"/>
      <c r="H144" s="16" t="e">
        <f ca="1">IF($A144&lt;&gt;"",
IF(VLOOKUP($A144,貼り付け用!$A$1:$BA$300,COLUMN()/2+1,FALSE)=0,"",VLOOKUP($A144,貼り付け用!$A$1:$BA$300,COLUMN()/2+1,FALSE)),"")</f>
        <v>#N/A</v>
      </c>
      <c r="I144" s="58"/>
      <c r="J144" s="16" t="e">
        <f ca="1">IF($A144&lt;&gt;"",
IF(VLOOKUP($A144,貼り付け用!$A$1:$BA$300,COLUMN()/2+1,FALSE)=0,"",VLOOKUP($A144,貼り付け用!$A$1:$BA$300,COLUMN()/2+1,FALSE)),"")</f>
        <v>#N/A</v>
      </c>
      <c r="K144" s="58"/>
      <c r="L144" s="16" t="e">
        <f ca="1">IF($A144&lt;&gt;"",
IF(VLOOKUP($A144,貼り付け用!$A$1:$BA$300,COLUMN()/2+1,FALSE)=0,"",VLOOKUP($A144,貼り付け用!$A$1:$BA$300,COLUMN()/2+1,FALSE)),"")</f>
        <v>#N/A</v>
      </c>
      <c r="M144" s="58"/>
      <c r="N144" s="16" t="e">
        <f ca="1">IF($A144&lt;&gt;"",
IF(VLOOKUP($A144,貼り付け用!$A$1:$BA$300,COLUMN()/2+1,FALSE)=0,"",VLOOKUP($A144,貼り付け用!$A$1:$BA$300,COLUMN()/2+1,FALSE)),"")</f>
        <v>#N/A</v>
      </c>
      <c r="O144" s="58"/>
      <c r="P144" s="16" t="e">
        <f ca="1">IF($A144&lt;&gt;"",
IF(VLOOKUP($A144,貼り付け用!$A$1:$BA$300,COLUMN()/2+1,FALSE)=0,"",VLOOKUP($A144,貼り付け用!$A$1:$BA$300,COLUMN()/2+1,FALSE)),"")</f>
        <v>#N/A</v>
      </c>
      <c r="Q144" s="58"/>
      <c r="R144" s="16" t="e">
        <f ca="1">IF($A144&lt;&gt;"",
IF(VLOOKUP($A144,貼り付け用!$A$1:$BA$300,COLUMN()/2+1,FALSE)=0,"",VLOOKUP($A144,貼り付け用!$A$1:$BA$300,COLUMN()/2+1,FALSE)),"")</f>
        <v>#N/A</v>
      </c>
      <c r="S144" s="58"/>
      <c r="T144" s="16" t="e">
        <f ca="1">IF($A144&lt;&gt;"",
IF(VLOOKUP($A144,貼り付け用!$A$1:$BA$300,COLUMN()/2+1,FALSE)=0,"",VLOOKUP($A144,貼り付け用!$A$1:$BA$300,COLUMN()/2+1,FALSE)),"")</f>
        <v>#N/A</v>
      </c>
      <c r="U144" s="58"/>
      <c r="V144" s="16" t="e">
        <f ca="1">IF($A144&lt;&gt;"",
IF(VLOOKUP($A144,貼り付け用!$A$1:$BA$300,COLUMN()/2+1,FALSE)=0,"",VLOOKUP($A144,貼り付け用!$A$1:$BA$300,COLUMN()/2+1,FALSE)),"")</f>
        <v>#N/A</v>
      </c>
      <c r="W144" s="58"/>
      <c r="X144" s="16" t="e">
        <f ca="1">IF($A144&lt;&gt;"",
IF(VLOOKUP($A144,貼り付け用!$A$1:$BA$300,COLUMN()/2+1,FALSE)=0,"",VLOOKUP($A144,貼り付け用!$A$1:$BA$300,COLUMN()/2+1,FALSE)),"")</f>
        <v>#N/A</v>
      </c>
      <c r="Y144" s="58"/>
      <c r="Z144" s="16" t="e">
        <f ca="1">IF($A144&lt;&gt;"",
IF(VLOOKUP($A144,貼り付け用!$A$1:$BA$300,COLUMN()/2+1,FALSE)=0,"",VLOOKUP($A144,貼り付け用!$A$1:$BA$300,COLUMN()/2+1,FALSE)),"")</f>
        <v>#N/A</v>
      </c>
      <c r="AA144" s="58"/>
      <c r="AB144" s="16" t="e">
        <f ca="1">IF($A144&lt;&gt;"",
IF(VLOOKUP($A144,貼り付け用!$A$1:$BA$300,COLUMN()/2+1,FALSE)=0,"",VLOOKUP($A144,貼り付け用!$A$1:$BA$300,COLUMN()/2+1,FALSE)),"")</f>
        <v>#N/A</v>
      </c>
      <c r="AC144" s="58"/>
      <c r="AD144" s="16" t="e">
        <f ca="1">IF($A144&lt;&gt;"",
IF(VLOOKUP($A144,貼り付け用!$A$1:$BA$300,COLUMN()/2+1,FALSE)=0,"",VLOOKUP($A144,貼り付け用!$A$1:$BA$300,COLUMN()/2+1,FALSE)),"")</f>
        <v>#N/A</v>
      </c>
      <c r="AE144" s="58"/>
      <c r="AF144" s="16" t="e">
        <f ca="1">IF($A144&lt;&gt;"",
IF(VLOOKUP($A144,貼り付け用!$A$1:$BA$300,COLUMN()/2+1,FALSE)=0,"",VLOOKUP($A144,貼り付け用!$A$1:$BA$300,COLUMN()/2+1,FALSE)),"")</f>
        <v>#N/A</v>
      </c>
      <c r="AG144" s="58"/>
      <c r="AH144" s="16" t="e">
        <f ca="1">IF($A144&lt;&gt;"",
IF(VLOOKUP($A144,貼り付け用!$A$1:$BA$300,COLUMN()/2+1,FALSE)=0,"",VLOOKUP($A144,貼り付け用!$A$1:$BA$300,COLUMN()/2+1,FALSE)),"")</f>
        <v>#N/A</v>
      </c>
      <c r="AI144" s="58"/>
      <c r="AJ144" s="16" t="e">
        <f ca="1">IF($A144&lt;&gt;"",
IF(VLOOKUP($A144,貼り付け用!$A$1:$BA$300,COLUMN()/2+1,FALSE)=0,"",VLOOKUP($A144,貼り付け用!$A$1:$BA$300,COLUMN()/2+1,FALSE)),"")</f>
        <v>#N/A</v>
      </c>
      <c r="AK144" s="58"/>
      <c r="AL144" s="16" t="e">
        <f ca="1">IF($A144&lt;&gt;"",
IF(VLOOKUP($A144,貼り付け用!$A$1:$BA$300,COLUMN()/2+1,FALSE)=0,"",VLOOKUP($A144,貼り付け用!$A$1:$BA$300,COLUMN()/2+1,FALSE)),"")</f>
        <v>#N/A</v>
      </c>
      <c r="AM144" s="210" t="e">
        <f ca="1">IF($A144&lt;&gt;"",
IF(VLOOKUP($A144,貼り付け用!$A$1:$BA$300,COLUMN()/2+2,FALSE)=0,"",VLOOKUP($A144,貼り付け用!$A$1:$BA$300,COLUMN()/2+2,FALSE)),"")</f>
        <v>#N/A</v>
      </c>
      <c r="AN144" s="210" t="e">
        <f ca="1">IF($A144&lt;&gt;"",
IF(VLOOKUP($A144,貼り付け用!$A$1:$BA$300,COLUMN()/2+3,FALSE)=0,"",VLOOKUP($A144,貼り付け用!$A$1:$BA$300,COLUMN()/2+3,FALSE)),"")</f>
        <v>#N/A</v>
      </c>
    </row>
    <row r="145" spans="1:40" x14ac:dyDescent="0.45">
      <c r="A145" s="8" t="e" cm="1">
        <f t="array" aca="1" ref="A145" ca="1">IF(OR(COUNTIF(A143,"*1000*"),COUNTIF(A143,"")),"",INDEX(貼り付け用!$A:$A,MATCH(A143,貼り付け用!$A:$A,0)+2,0))</f>
        <v>#N/A</v>
      </c>
      <c r="B145" s="46" t="e">
        <f ca="1">IF($A145&lt;&gt;"",
IF(VLOOKUP($A145,貼り付け用!$A$1:$BA$300,COLUMN()/2+1,FALSE)=0,"",VLOOKUP($A145,貼り付け用!$A$1:$BA$300,COLUMN()/2+1,FALSE)),"")</f>
        <v>#N/A</v>
      </c>
      <c r="C145" s="46"/>
      <c r="D145" s="46" t="e">
        <f ca="1">IF($A145&lt;&gt;"",
IF(VLOOKUP($A145,貼り付け用!$A$1:$BA$300,COLUMN()/2+1,FALSE)=0,"",VLOOKUP($A145,貼り付け用!$A$1:$BA$300,COLUMN()/2+1,FALSE)),"")</f>
        <v>#N/A</v>
      </c>
      <c r="E145" s="46"/>
      <c r="F145" s="46" t="e">
        <f ca="1">IF($A145&lt;&gt;"",
IF(VLOOKUP($A145,貼り付け用!$A$1:$BA$300,COLUMN()/2+1,FALSE)=0,"",VLOOKUP($A145,貼り付け用!$A$1:$BA$300,COLUMN()/2+1,FALSE)),"")</f>
        <v>#N/A</v>
      </c>
      <c r="G145" s="46"/>
      <c r="H145" s="46" t="e">
        <f ca="1">IF($A145&lt;&gt;"",
IF(VLOOKUP($A145,貼り付け用!$A$1:$BA$300,COLUMN()/2+1,FALSE)=0,"",VLOOKUP($A145,貼り付け用!$A$1:$BA$300,COLUMN()/2+1,FALSE)),"")</f>
        <v>#N/A</v>
      </c>
      <c r="I145" s="46"/>
      <c r="J145" s="46" t="e">
        <f ca="1">IF($A145&lt;&gt;"",
IF(VLOOKUP($A145,貼り付け用!$A$1:$BA$300,COLUMN()/2+1,FALSE)=0,"",VLOOKUP($A145,貼り付け用!$A$1:$BA$300,COLUMN()/2+1,FALSE)),"")</f>
        <v>#N/A</v>
      </c>
      <c r="K145" s="46"/>
      <c r="L145" s="46" t="e">
        <f ca="1">IF($A145&lt;&gt;"",
IF(VLOOKUP($A145,貼り付け用!$A$1:$BA$300,COLUMN()/2+1,FALSE)=0,"",VLOOKUP($A145,貼り付け用!$A$1:$BA$300,COLUMN()/2+1,FALSE)),"")</f>
        <v>#N/A</v>
      </c>
      <c r="M145" s="46"/>
      <c r="N145" s="46" t="e">
        <f ca="1">IF($A145&lt;&gt;"",
IF(VLOOKUP($A145,貼り付け用!$A$1:$BA$300,COLUMN()/2+1,FALSE)=0,"",VLOOKUP($A145,貼り付け用!$A$1:$BA$300,COLUMN()/2+1,FALSE)),"")</f>
        <v>#N/A</v>
      </c>
      <c r="O145" s="46"/>
      <c r="P145" s="46" t="e">
        <f ca="1">IF($A145&lt;&gt;"",
IF(VLOOKUP($A145,貼り付け用!$A$1:$BA$300,COLUMN()/2+1,FALSE)=0,"",VLOOKUP($A145,貼り付け用!$A$1:$BA$300,COLUMN()/2+1,FALSE)),"")</f>
        <v>#N/A</v>
      </c>
      <c r="Q145" s="46"/>
      <c r="R145" s="46" t="e">
        <f ca="1">IF($A145&lt;&gt;"",
IF(VLOOKUP($A145,貼り付け用!$A$1:$BA$300,COLUMN()/2+1,FALSE)=0,"",VLOOKUP($A145,貼り付け用!$A$1:$BA$300,COLUMN()/2+1,FALSE)),"")</f>
        <v>#N/A</v>
      </c>
      <c r="S145" s="46"/>
      <c r="T145" s="46" t="e">
        <f ca="1">IF($A145&lt;&gt;"",
IF(VLOOKUP($A145,貼り付け用!$A$1:$BA$300,COLUMN()/2+1,FALSE)=0,"",VLOOKUP($A145,貼り付け用!$A$1:$BA$300,COLUMN()/2+1,FALSE)),"")</f>
        <v>#N/A</v>
      </c>
      <c r="U145" s="46"/>
      <c r="V145" s="46" t="e">
        <f ca="1">IF($A145&lt;&gt;"",
IF(VLOOKUP($A145,貼り付け用!$A$1:$BA$300,COLUMN()/2+1,FALSE)=0,"",VLOOKUP($A145,貼り付け用!$A$1:$BA$300,COLUMN()/2+1,FALSE)),"")</f>
        <v>#N/A</v>
      </c>
      <c r="W145" s="46"/>
      <c r="X145" s="46" t="e">
        <f ca="1">IF($A145&lt;&gt;"",
IF(VLOOKUP($A145,貼り付け用!$A$1:$BA$300,COLUMN()/2+1,FALSE)=0,"",VLOOKUP($A145,貼り付け用!$A$1:$BA$300,COLUMN()/2+1,FALSE)),"")</f>
        <v>#N/A</v>
      </c>
      <c r="Y145" s="46"/>
      <c r="Z145" s="46" t="e">
        <f ca="1">IF($A145&lt;&gt;"",
IF(VLOOKUP($A145,貼り付け用!$A$1:$BA$300,COLUMN()/2+1,FALSE)=0,"",VLOOKUP($A145,貼り付け用!$A$1:$BA$300,COLUMN()/2+1,FALSE)),"")</f>
        <v>#N/A</v>
      </c>
      <c r="AA145" s="46"/>
      <c r="AB145" s="46" t="e">
        <f ca="1">IF($A145&lt;&gt;"",
IF(VLOOKUP($A145,貼り付け用!$A$1:$BA$300,COLUMN()/2+1,FALSE)=0,"",VLOOKUP($A145,貼り付け用!$A$1:$BA$300,COLUMN()/2+1,FALSE)),"")</f>
        <v>#N/A</v>
      </c>
      <c r="AC145" s="46"/>
      <c r="AD145" s="46" t="e">
        <f ca="1">IF($A145&lt;&gt;"",
IF(VLOOKUP($A145,貼り付け用!$A$1:$BA$300,COLUMN()/2+1,FALSE)=0,"",VLOOKUP($A145,貼り付け用!$A$1:$BA$300,COLUMN()/2+1,FALSE)),"")</f>
        <v>#N/A</v>
      </c>
      <c r="AE145" s="46"/>
      <c r="AF145" s="46" t="e">
        <f ca="1">IF($A145&lt;&gt;"",
IF(VLOOKUP($A145,貼り付け用!$A$1:$BA$300,COLUMN()/2+1,FALSE)=0,"",VLOOKUP($A145,貼り付け用!$A$1:$BA$300,COLUMN()/2+1,FALSE)),"")</f>
        <v>#N/A</v>
      </c>
      <c r="AG145" s="46"/>
      <c r="AH145" s="46" t="e">
        <f ca="1">IF($A145&lt;&gt;"",
IF(VLOOKUP($A145,貼り付け用!$A$1:$BA$300,COLUMN()/2+1,FALSE)=0,"",VLOOKUP($A145,貼り付け用!$A$1:$BA$300,COLUMN()/2+1,FALSE)),"")</f>
        <v>#N/A</v>
      </c>
      <c r="AI145" s="46"/>
      <c r="AJ145" s="46" t="e">
        <f ca="1">IF($A145&lt;&gt;"",
IF(VLOOKUP($A145,貼り付け用!$A$1:$BA$300,COLUMN()/2+1,FALSE)=0,"",VLOOKUP($A145,貼り付け用!$A$1:$BA$300,COLUMN()/2+1,FALSE)),"")</f>
        <v>#N/A</v>
      </c>
      <c r="AK145" s="46"/>
      <c r="AL145" s="46" t="e">
        <f ca="1">IF($A145&lt;&gt;"",
IF(VLOOKUP($A145,貼り付け用!$A$1:$BA$300,COLUMN()/2+1,FALSE)=0,"",VLOOKUP($A145,貼り付け用!$A$1:$BA$300,COLUMN()/2+1,FALSE)),"")</f>
        <v>#N/A</v>
      </c>
      <c r="AM145" s="211" t="e">
        <f ca="1">IF($A145&lt;&gt;"",
IF(VLOOKUP($A145,貼り付け用!$A$1:$BA$300,COLUMN()/2+2,FALSE)=0,"",VLOOKUP($A145,貼り付け用!$A$1:$BA$300,COLUMN()/2+2,FALSE)),"")</f>
        <v>#N/A</v>
      </c>
      <c r="AN145" s="211" t="e">
        <f ca="1">IF($A145&lt;&gt;"",
IF(VLOOKUP($A145,貼り付け用!$A$1:$BA$300,COLUMN()/2+3,FALSE)=0,"",VLOOKUP($A145,貼り付け用!$A$1:$BA$300,COLUMN()/2+3,FALSE)),"")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45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45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45" t="e">
        <f>数出表_Excel!L146</f>
        <v>#N/A</v>
      </c>
      <c r="W146" s="16"/>
      <c r="X146" s="145" t="e">
        <f>数出表_Excel!M146</f>
        <v>#N/A</v>
      </c>
      <c r="Y146" s="16"/>
      <c r="Z146" s="145" t="e">
        <f>数出表_Excel!N146</f>
        <v>#N/A</v>
      </c>
      <c r="AA146" s="16"/>
      <c r="AB146" s="145" t="e">
        <f>数出表_Excel!O146</f>
        <v>#N/A</v>
      </c>
      <c r="AC146" s="16"/>
      <c r="AD146" s="155" t="e">
        <f>数出表_Excel!P146</f>
        <v>#N/A</v>
      </c>
      <c r="AE146" s="16"/>
      <c r="AF146" s="145" t="e">
        <f>数出表_Excel!Q146</f>
        <v>#N/A</v>
      </c>
      <c r="AG146" s="16"/>
      <c r="AH146" s="155" t="e">
        <f>数出表_Excel!R146</f>
        <v>#N/A</v>
      </c>
      <c r="AI146" s="16"/>
      <c r="AJ146" s="145" t="e">
        <f>数出表_Excel!T146</f>
        <v>#N/A</v>
      </c>
      <c r="AK146" s="16"/>
      <c r="AL146" s="177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1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1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146" t="e">
        <f>数出表_Excel!L147</f>
        <v>#N/A</v>
      </c>
      <c r="W147" s="46"/>
      <c r="X147" s="146" t="e">
        <f>数出表_Excel!M147</f>
        <v>#N/A</v>
      </c>
      <c r="Y147" s="46"/>
      <c r="Z147" s="146" t="e">
        <f>数出表_Excel!N147</f>
        <v>#N/A</v>
      </c>
      <c r="AA147" s="46"/>
      <c r="AB147" s="146" t="e">
        <f>数出表_Excel!O147</f>
        <v>#N/A</v>
      </c>
      <c r="AC147" s="46"/>
      <c r="AD147" s="156" t="e">
        <f>数出表_Excel!P147</f>
        <v>#N/A</v>
      </c>
      <c r="AE147" s="46"/>
      <c r="AF147" s="146" t="e">
        <f>数出表_Excel!Q147</f>
        <v>#N/A</v>
      </c>
      <c r="AG147" s="46"/>
      <c r="AH147" s="156" t="e">
        <f>数出表_Excel!R147</f>
        <v>#N/A</v>
      </c>
      <c r="AI147" s="46"/>
      <c r="AJ147" s="146" t="e">
        <f>数出表_Excel!T147</f>
        <v>#N/A</v>
      </c>
      <c r="AK147" s="46"/>
      <c r="AL147" s="178" t="e">
        <f>数出表_Excel!T147</f>
        <v>#N/A</v>
      </c>
      <c r="AM147" s="171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134" t="s">
        <v>17</v>
      </c>
      <c r="B150" s="131"/>
      <c r="C150" s="183">
        <f>SUM(C6:C145)</f>
        <v>0</v>
      </c>
      <c r="D150" s="131"/>
      <c r="E150" s="186">
        <f>SUM(E6:E145)</f>
        <v>0</v>
      </c>
      <c r="F150" s="147"/>
      <c r="G150" s="183">
        <f>SUM(G6:G145)</f>
        <v>0</v>
      </c>
      <c r="H150" s="85"/>
      <c r="I150" s="183">
        <f>SUM(I6:I145)</f>
        <v>0</v>
      </c>
      <c r="J150" s="85"/>
      <c r="K150" s="186">
        <f>SUM(K6:K145)</f>
        <v>0</v>
      </c>
      <c r="L150" s="147"/>
      <c r="M150" s="183">
        <f>SUM(M6:M145)</f>
        <v>0</v>
      </c>
      <c r="N150" s="131"/>
      <c r="O150" s="183">
        <f>SUM(O6:O145)</f>
        <v>0</v>
      </c>
      <c r="P150" s="85"/>
      <c r="Q150" s="183">
        <f>SUM(Q6:Q145)</f>
        <v>0</v>
      </c>
      <c r="R150" s="85"/>
      <c r="S150" s="183">
        <f>SUM(S6:S145)</f>
        <v>0</v>
      </c>
      <c r="T150" s="85"/>
      <c r="U150" s="186">
        <f>SUM(U6:U145)</f>
        <v>0</v>
      </c>
      <c r="V150" s="147"/>
      <c r="W150" s="186">
        <f>SUM(W6:W145)</f>
        <v>0</v>
      </c>
      <c r="X150" s="147"/>
      <c r="Y150" s="186">
        <f>SUM(Y6:Y145)</f>
        <v>0</v>
      </c>
      <c r="Z150" s="147"/>
      <c r="AA150" s="186">
        <f>SUM(AA6:AA145)</f>
        <v>0</v>
      </c>
      <c r="AB150" s="147"/>
      <c r="AC150" s="189">
        <f>SUM(AC6:AC145)</f>
        <v>0</v>
      </c>
      <c r="AD150" s="157"/>
      <c r="AE150" s="186">
        <f>SUM(AE6:AE145)</f>
        <v>0</v>
      </c>
      <c r="AF150" s="166"/>
      <c r="AG150" s="189">
        <f>SUM(AG6:AG145)</f>
        <v>0</v>
      </c>
      <c r="AH150" s="164"/>
      <c r="AI150" s="186">
        <f>SUM(AI6:AI145)</f>
        <v>0</v>
      </c>
      <c r="AJ150" s="166"/>
      <c r="AK150" s="189">
        <f>SUM(AK6:AK145)</f>
        <v>0</v>
      </c>
      <c r="AL150" s="179"/>
      <c r="AM150" s="172"/>
      <c r="AN150" s="83"/>
    </row>
    <row r="151" spans="1:40" ht="27.6" customHeight="1" x14ac:dyDescent="0.45">
      <c r="A151" s="134" t="s">
        <v>18</v>
      </c>
      <c r="B151" s="131"/>
      <c r="C151" s="184"/>
      <c r="D151" s="131"/>
      <c r="E151" s="187"/>
      <c r="F151" s="147"/>
      <c r="G151" s="184"/>
      <c r="H151" s="85"/>
      <c r="I151" s="184"/>
      <c r="J151" s="85"/>
      <c r="K151" s="187"/>
      <c r="L151" s="147"/>
      <c r="M151" s="184"/>
      <c r="N151" s="131"/>
      <c r="O151" s="184"/>
      <c r="P151" s="85"/>
      <c r="Q151" s="184"/>
      <c r="R151" s="85"/>
      <c r="S151" s="184"/>
      <c r="T151" s="85"/>
      <c r="U151" s="187"/>
      <c r="V151" s="147"/>
      <c r="W151" s="187"/>
      <c r="X151" s="147"/>
      <c r="Y151" s="187"/>
      <c r="Z151" s="147"/>
      <c r="AA151" s="187"/>
      <c r="AB151" s="147"/>
      <c r="AC151" s="190"/>
      <c r="AD151" s="157"/>
      <c r="AE151" s="187"/>
      <c r="AF151" s="166"/>
      <c r="AG151" s="190"/>
      <c r="AH151" s="164"/>
      <c r="AI151" s="187"/>
      <c r="AJ151" s="166"/>
      <c r="AK151" s="190"/>
      <c r="AL151" s="179"/>
      <c r="AM151" s="172"/>
      <c r="AN151" s="83"/>
    </row>
    <row r="152" spans="1:40" ht="27.6" customHeight="1" x14ac:dyDescent="0.45">
      <c r="A152" s="134" t="s">
        <v>19</v>
      </c>
      <c r="B152" s="131"/>
      <c r="C152" s="184"/>
      <c r="D152" s="131"/>
      <c r="E152" s="187"/>
      <c r="F152" s="147"/>
      <c r="G152" s="184"/>
      <c r="H152" s="85"/>
      <c r="I152" s="184"/>
      <c r="J152" s="85"/>
      <c r="K152" s="187"/>
      <c r="L152" s="147"/>
      <c r="M152" s="184"/>
      <c r="N152" s="131"/>
      <c r="O152" s="184"/>
      <c r="P152" s="85"/>
      <c r="Q152" s="184"/>
      <c r="R152" s="85"/>
      <c r="S152" s="184"/>
      <c r="T152" s="85"/>
      <c r="U152" s="187"/>
      <c r="V152" s="147"/>
      <c r="W152" s="187"/>
      <c r="X152" s="147"/>
      <c r="Y152" s="187"/>
      <c r="Z152" s="147"/>
      <c r="AA152" s="187"/>
      <c r="AB152" s="147"/>
      <c r="AC152" s="190"/>
      <c r="AD152" s="157"/>
      <c r="AE152" s="187"/>
      <c r="AF152" s="166"/>
      <c r="AG152" s="190"/>
      <c r="AH152" s="164"/>
      <c r="AI152" s="187"/>
      <c r="AJ152" s="166"/>
      <c r="AK152" s="190"/>
      <c r="AL152" s="179"/>
    </row>
    <row r="153" spans="1:40" s="137" customFormat="1" ht="27.6" customHeight="1" x14ac:dyDescent="0.45">
      <c r="A153" s="138" t="s">
        <v>20</v>
      </c>
      <c r="B153" s="136"/>
      <c r="C153" s="185"/>
      <c r="D153" s="136"/>
      <c r="E153" s="188"/>
      <c r="F153" s="148"/>
      <c r="G153" s="185"/>
      <c r="H153" s="135"/>
      <c r="I153" s="185"/>
      <c r="J153" s="135"/>
      <c r="K153" s="188"/>
      <c r="L153" s="148"/>
      <c r="M153" s="185"/>
      <c r="N153" s="136"/>
      <c r="O153" s="185"/>
      <c r="P153" s="135"/>
      <c r="Q153" s="185"/>
      <c r="R153" s="135"/>
      <c r="S153" s="185"/>
      <c r="T153" s="135"/>
      <c r="U153" s="188"/>
      <c r="V153" s="148"/>
      <c r="W153" s="188"/>
      <c r="X153" s="148"/>
      <c r="Y153" s="188"/>
      <c r="Z153" s="148"/>
      <c r="AA153" s="188"/>
      <c r="AB153" s="148"/>
      <c r="AC153" s="191"/>
      <c r="AD153" s="158"/>
      <c r="AE153" s="188"/>
      <c r="AF153" s="167"/>
      <c r="AG153" s="191"/>
      <c r="AH153" s="165"/>
      <c r="AI153" s="188"/>
      <c r="AJ153" s="167"/>
      <c r="AK153" s="191"/>
      <c r="AL153" s="180"/>
      <c r="AM153" s="56"/>
      <c r="AN153" s="56"/>
    </row>
    <row r="154" spans="1:40" ht="24" customHeight="1" x14ac:dyDescent="0.5">
      <c r="A154" s="84" t="s">
        <v>21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9"/>
  <sheetViews>
    <sheetView workbookViewId="0">
      <selection activeCell="A9" sqref="A9"/>
    </sheetView>
  </sheetViews>
  <sheetFormatPr defaultRowHeight="18" x14ac:dyDescent="0.45"/>
  <cols>
    <col min="1" max="1" width="23.8984375" style="60" customWidth="1"/>
  </cols>
  <sheetData>
    <row r="1" spans="1:9" x14ac:dyDescent="0.45">
      <c r="A1"/>
    </row>
    <row r="2" spans="1:9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>IF('数出表_Excel（アレルギー入力）'!F150=0,
C2-D2-E2,'数出表_Excel（アレルギー入力）'!F150)</f>
        <v>#N/A</v>
      </c>
      <c r="G2" t="str">
        <f>IF('数出表_Excel（アレルギー入力）'!F150=0,"",
IF('数出表_Excel（アレルギー入力）'!F151=0,C2-F2-D2-E2,'数出表_Excel（アレルギー入力）'!F151))</f>
        <v/>
      </c>
      <c r="H2" t="str">
        <f>IF('数出表_Excel（アレルギー入力）'!F150=0,"",
IF('数出表_Excel（アレルギー入力）'!F151=0,"",
IF('数出表_Excel（アレルギー入力）'!F152=0,C2-F2-D2-E2-G2,'数出表_Excel（アレルギー入力）'!F152)))</f>
        <v/>
      </c>
      <c r="I2" t="str">
        <f t="shared" ref="I2:I8" si="0">IFERROR(IF(C2&gt;F2+G2+H2,
C2-D2-E2-F2-G2-H2,""),"")</f>
        <v/>
      </c>
    </row>
    <row r="3" spans="1:9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>IF('数出表_Excel（アレルギー入力）'!H150=0,
C3-D3-E3,'数出表_Excel（アレルギー入力）'!H150)</f>
        <v>#N/A</v>
      </c>
      <c r="G3" t="str">
        <f>IF('数出表_Excel（アレルギー入力）'!H150=0,"",
IF('数出表_Excel（アレルギー入力）'!H151=0,C3-F3-D3-E3,'数出表_Excel（アレルギー入力）'!H151))</f>
        <v/>
      </c>
      <c r="H3" t="str">
        <f>IF('数出表_Excel（アレルギー入力）'!H150=0,"",
IF('数出表_Excel（アレルギー入力）'!H151=0,"",
IF('数出表_Excel（アレルギー入力）'!H152=0,C3-F3-D3-E3-G3,'数出表_Excel（アレルギー入力）'!H152)))</f>
        <v/>
      </c>
      <c r="I3" t="str">
        <f t="shared" si="0"/>
        <v/>
      </c>
    </row>
    <row r="4" spans="1:9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>IF('数出表_Excel（アレルギー入力）'!J150=0,
C4-D4-E4,'数出表_Excel（アレルギー入力）'!J150)</f>
        <v>#N/A</v>
      </c>
      <c r="G4" t="str">
        <f>IF('数出表_Excel（アレルギー入力）'!J150=0,"",
IF('数出表_Excel（アレルギー入力）'!J151=0,C4-F4-D4-E4,'数出表_Excel（アレルギー入力）'!J151))</f>
        <v/>
      </c>
      <c r="H4" t="str">
        <f>IF('数出表_Excel（アレルギー入力）'!J150=0,"",
IF('数出表_Excel（アレルギー入力）'!J151=0,"",
IF('数出表_Excel（アレルギー入力）'!J152=0,C4-F4-D4-E4-G4,'数出表_Excel（アレルギー入力）'!J152)))</f>
        <v/>
      </c>
      <c r="I4" t="str">
        <f t="shared" si="0"/>
        <v/>
      </c>
    </row>
    <row r="5" spans="1:9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>IF('数出表_Excel（アレルギー入力）'!L150=0,
C5-D5-E5,'数出表_Excel（アレルギー入力）'!L150)</f>
        <v>#N/A</v>
      </c>
      <c r="G5" t="str">
        <f>IF('数出表_Excel（アレルギー入力）'!L150=0,"",
IF('数出表_Excel（アレルギー入力）'!L151=0,C5-F5-D5-E5,'数出表_Excel（アレルギー入力）'!L151))</f>
        <v/>
      </c>
      <c r="H5" t="str">
        <f>IF('数出表_Excel（アレルギー入力）'!L150=0,"",
IF('数出表_Excel（アレルギー入力）'!L151=0,"",
IF('数出表_Excel（アレルギー入力）'!L152=0,C5-F5-D5-E5-G5,'数出表_Excel（アレルギー入力）'!L152)))</f>
        <v/>
      </c>
      <c r="I5" t="str">
        <f t="shared" si="0"/>
        <v/>
      </c>
    </row>
    <row r="6" spans="1:9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>IF('数出表_Excel（アレルギー入力）'!P150=0,
C6-D6-E6,'数出表_Excel（アレルギー入力）'!P150)</f>
        <v>#N/A</v>
      </c>
      <c r="G6" t="str">
        <f>IF('数出表_Excel（アレルギー入力）'!P150=0,"",
IF('数出表_Excel（アレルギー入力）'!P151=0,C6-F6-D6-E6,'数出表_Excel（アレルギー入力）'!P151))</f>
        <v/>
      </c>
      <c r="H6" t="str">
        <f>IF('数出表_Excel（アレルギー入力）'!P150=0,"",
IF('数出表_Excel（アレルギー入力）'!P151=0,"",
IF('数出表_Excel（アレルギー入力）'!P152=0,C6-F6-D6-E6-G6,'数出表_Excel（アレルギー入力）'!P152)))</f>
        <v/>
      </c>
      <c r="I6" t="str">
        <f t="shared" si="0"/>
        <v/>
      </c>
    </row>
    <row r="7" spans="1:9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>IF('数出表_Excel（アレルギー入力）'!R150=0,
C7-D7-E7,'数出表_Excel（アレルギー入力）'!R150)</f>
        <v>#N/A</v>
      </c>
      <c r="G7" t="str">
        <f>IF('数出表_Excel（アレルギー入力）'!R150=0,"",
IF('数出表_Excel（アレルギー入力）'!R151=0,C7-F7-D7-E7,'数出表_Excel（アレルギー入力）'!R151))</f>
        <v/>
      </c>
      <c r="H7" t="str">
        <f>IF('数出表_Excel（アレルギー入力）'!R150=0,"",
IF('数出表_Excel（アレルギー入力）'!R151=0,"",
IF('数出表_Excel（アレルギー入力）'!R152=0,C7-F7-D7-E7-G7,'数出表_Excel（アレルギー入力）'!R152)))</f>
        <v/>
      </c>
      <c r="I7" t="str">
        <f t="shared" si="0"/>
        <v/>
      </c>
    </row>
    <row r="8" spans="1:9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>IF('数出表_Excel（アレルギー入力）'!T150=0,
C8-D8-E8,'数出表_Excel（アレルギー入力）'!T150)</f>
        <v>#N/A</v>
      </c>
      <c r="G8" t="str">
        <f>IF('数出表_Excel（アレルギー入力）'!T150=0,"",
IF('数出表_Excel（アレルギー入力）'!T151=0,C8-F8-D8-E8,'数出表_Excel（アレルギー入力）'!T151))</f>
        <v/>
      </c>
      <c r="H8" t="str">
        <f>IF('数出表_Excel（アレルギー入力）'!T150=0,"",
IF('数出表_Excel（アレルギー入力）'!T151=0,"",
IF('数出表_Excel（アレルギー入力）'!T152=0,C8-F8-D8-E8-G8,'数出表_Excel（アレルギー入力）'!T152)))</f>
        <v/>
      </c>
      <c r="I8" t="str">
        <f t="shared" si="0"/>
        <v/>
      </c>
    </row>
    <row r="9" spans="1:9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2DC2A-32D8-478C-8B24-1731A9C09BCE}">
  <sheetPr codeName="Sheet10"/>
  <dimension ref="A1:F8"/>
  <sheetViews>
    <sheetView workbookViewId="0">
      <selection activeCell="A8" sqref="A8"/>
    </sheetView>
  </sheetViews>
  <sheetFormatPr defaultRowHeight="18" x14ac:dyDescent="0.45"/>
  <sheetData>
    <row r="1" spans="1:6" x14ac:dyDescent="0.45">
      <c r="A1" t="str">
        <f>IF(OR(COUNTIF(数出表_Excel!L3,"*カレー*"),COUNTIF(数出表_Excel!L3,"*どん*"),COUNTIF(数出表_Excel!L3,"*配膳*")),"",
数出表_Excel!L3)</f>
        <v>商品予定名</v>
      </c>
      <c r="B1" t="e" cm="1">
        <f t="array" aca="1" ref="B1" ca="1">IF(F1&lt;&gt;"",INDIRECT("貼り付け用!A"&amp;MATCH(F1,数出表_Excel!L:L,0)),"")</f>
        <v>#N/A</v>
      </c>
      <c r="F1" t="e">
        <f>IF(A1&lt;&gt;"",数出表_Excel!L147,"")</f>
        <v>#N/A</v>
      </c>
    </row>
    <row r="2" spans="1:6" x14ac:dyDescent="0.45">
      <c r="A2" t="str">
        <f ca="1">IF(OR(COUNTIF(数出表_Excel!M3,"*カレー*"),COUNTIF(数出表_Excel!M3,"*どん*"),COUNTIF(数出表_Excel!M3,"*配膳*")),"",
数出表_Excel!M3)</f>
        <v/>
      </c>
      <c r="B2" t="str" cm="1">
        <f t="array" aca="1" ref="B2" ca="1">IF(F2&lt;&gt;"",INDIRECT("貼り付け用!A"&amp;MATCH(F2,数出表_Excel!M:M,0)),"")</f>
        <v/>
      </c>
      <c r="F2" t="str">
        <f ca="1">IF(A2&lt;&gt;"",数出表_Excel!M147,"")</f>
        <v/>
      </c>
    </row>
    <row r="3" spans="1:6" x14ac:dyDescent="0.45">
      <c r="A3" t="str">
        <f ca="1">IF(OR(COUNTIF(数出表_Excel!N3,"*カレー*"),COUNTIF(数出表_Excel!N3,"*どん*"),COUNTIF(数出表_Excel!N3,"*配膳*")),"",
数出表_Excel!N3)</f>
        <v/>
      </c>
      <c r="B3" t="str" cm="1">
        <f t="array" aca="1" ref="B3" ca="1">IF(F3&lt;&gt;"",INDIRECT("貼り付け用!A"&amp;MATCH(F3,数出表_Excel!N:N,0)),"")</f>
        <v/>
      </c>
      <c r="F3" t="str">
        <f ca="1">IF(A3&lt;&gt;"",数出表_Excel!N147,"")</f>
        <v/>
      </c>
    </row>
    <row r="4" spans="1:6" x14ac:dyDescent="0.45">
      <c r="A4" t="str">
        <f ca="1">IF(OR(COUNTIF(数出表_Excel!O3,"*カレー*"),COUNTIF(数出表_Excel!O3,"*どん*"),COUNTIF(数出表_Excel!O3,"*配膳*")),"",
数出表_Excel!O3)</f>
        <v/>
      </c>
      <c r="B4" t="str" cm="1">
        <f t="array" aca="1" ref="B4" ca="1">IF(F4&lt;&gt;"",INDIRECT("貼り付け用!A"&amp;MATCH(F4,数出表_Excel!O:O,0)),"")</f>
        <v/>
      </c>
      <c r="F4" t="str">
        <f ca="1">IF(A4&lt;&gt;"",数出表_Excel!O147,"")</f>
        <v/>
      </c>
    </row>
    <row r="5" spans="1:6" x14ac:dyDescent="0.45">
      <c r="A5" t="str">
        <f ca="1">IF(OR(COUNTIF(数出表_Excel!P3,"*カレー*"),COUNTIF(数出表_Excel!P3,"*どん*"),COUNTIF(数出表_Excel!P3,"*配膳*")),"",
数出表_Excel!P3)</f>
        <v/>
      </c>
      <c r="B5" t="str" cm="1">
        <f t="array" aca="1" ref="B5" ca="1">IF(F5&lt;&gt;"",INDIRECT("貼り付け用!A"&amp;MATCH(F5,数出表_Excel!P:P,0)),"")</f>
        <v/>
      </c>
      <c r="F5" t="str">
        <f ca="1">IF(A5&lt;&gt;"",数出表_Excel!P147,"")</f>
        <v/>
      </c>
    </row>
    <row r="6" spans="1:6" x14ac:dyDescent="0.45">
      <c r="A6" t="str">
        <f ca="1">IF(OR(COUNTIF(数出表_Excel!Q3,"*カレー*"),COUNTIF(数出表_Excel!Q3,"*どん*"),COUNTIF(数出表_Excel!Q3,"*配膳*")),"",
数出表_Excel!Q3)</f>
        <v/>
      </c>
      <c r="B6" t="str" cm="1">
        <f t="array" aca="1" ref="B6" ca="1">IF(F6&lt;&gt;"",INDIRECT("貼り付け用!A"&amp;MATCH(F6,数出表_Excel!Q:Q,0)),"")</f>
        <v/>
      </c>
      <c r="F6" t="str">
        <f ca="1">IF(A6&lt;&gt;"",数出表_Excel!Q147,"")</f>
        <v/>
      </c>
    </row>
    <row r="7" spans="1:6" x14ac:dyDescent="0.45">
      <c r="A7" t="str">
        <f ca="1">IF(OR(COUNTIF(数出表_Excel!R3,"*カレー*"),COUNTIF(数出表_Excel!R3,"*どん*"),COUNTIF(数出表_Excel!R3,"*配膳*")),"",
数出表_Excel!R3)</f>
        <v/>
      </c>
      <c r="B7" t="str" cm="1">
        <f t="array" aca="1" ref="B7" ca="1">IF(F7&lt;&gt;"",INDIRECT("貼り付け用!A"&amp;MATCH(F7,数出表_Excel!R:R,0)),"")</f>
        <v/>
      </c>
      <c r="F7" t="str">
        <f ca="1">IF(A7&lt;&gt;"",数出表_Excel!R147,"")</f>
        <v/>
      </c>
    </row>
    <row r="8" spans="1:6" x14ac:dyDescent="0.45">
      <c r="A8" t="str">
        <f ca="1">IF(OR(COUNTIF(数出表_Excel!S3,"*カレー*"),COUNTIF(数出表_Excel!S3,"*どん*"),COUNTIF(数出表_Excel!S3,"*配膳*")),"",
数出表_Excel!S3)</f>
        <v/>
      </c>
      <c r="B8" t="str" cm="1">
        <f t="array" aca="1" ref="B8" ca="1">IF(F8&lt;&gt;"",INDIRECT("貼り付け用!A"&amp;MATCH(F8,数出表_Excel!S:S,0)),"")</f>
        <v/>
      </c>
      <c r="F8" t="str">
        <f ca="1">IF(A8&lt;&gt;"",数出表_Excel!S147,"")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I6"/>
  <sheetViews>
    <sheetView workbookViewId="0">
      <selection activeCell="E7" sqref="E7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22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23</v>
      </c>
      <c r="E4" t="e">
        <f ca="1">MID(B3,FIND("新日本",B3)+3,FIND("ニシム",B3)-1-(FIND("新日本",B3)+3))</f>
        <v>#N/A</v>
      </c>
    </row>
    <row r="5" spans="1:9" x14ac:dyDescent="0.45">
      <c r="A5" t="s">
        <v>24</v>
      </c>
      <c r="E5">
        <v>2</v>
      </c>
    </row>
    <row r="6" spans="1:9" x14ac:dyDescent="0.45">
      <c r="A6" t="s">
        <v>25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</f>
        <v>#N/A</v>
      </c>
      <c r="G6">
        <v>12</v>
      </c>
      <c r="H6">
        <v>30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S160"/>
  <sheetViews>
    <sheetView topLeftCell="P1" zoomScale="55" zoomScaleNormal="55" zoomScalePageLayoutView="55" workbookViewId="0">
      <selection activeCell="EG1" sqref="EG1:ES42"/>
    </sheetView>
  </sheetViews>
  <sheetFormatPr defaultRowHeight="18" x14ac:dyDescent="0.45"/>
  <cols>
    <col min="1" max="1" width="6.3984375" style="110" customWidth="1"/>
    <col min="2" max="6" width="7.19921875" style="110" customWidth="1"/>
    <col min="7" max="7" width="7.59765625" style="124" customWidth="1"/>
    <col min="8" max="9" width="7.59765625" style="110" customWidth="1"/>
    <col min="10" max="13" width="7.19921875" style="110" customWidth="1"/>
    <col min="14" max="14" width="7.19921875" style="119" customWidth="1"/>
    <col min="15" max="15" width="3.59765625" style="110" customWidth="1"/>
    <col min="16" max="16" width="7" style="110" customWidth="1"/>
    <col min="17" max="21" width="7.19921875" style="110" customWidth="1"/>
    <col min="22" max="22" width="7.59765625" style="124" customWidth="1"/>
    <col min="23" max="24" width="7.59765625" style="110" customWidth="1"/>
    <col min="25" max="28" width="7.19921875" style="110" customWidth="1"/>
    <col min="29" max="29" width="7.19921875" style="119" customWidth="1"/>
    <col min="30" max="30" width="3.59765625" style="110" customWidth="1"/>
    <col min="31" max="31" width="7" style="110" customWidth="1"/>
    <col min="32" max="36" width="7.19921875" style="110" customWidth="1"/>
    <col min="37" max="37" width="7.59765625" style="124" customWidth="1"/>
    <col min="38" max="39" width="7.59765625" style="110" customWidth="1"/>
    <col min="40" max="43" width="7.19921875" style="110" customWidth="1"/>
    <col min="44" max="44" width="7.19921875" style="119" customWidth="1"/>
    <col min="45" max="45" width="3.59765625" style="110" customWidth="1"/>
    <col min="46" max="46" width="7" style="110" customWidth="1"/>
    <col min="47" max="51" width="7.19921875" style="110" customWidth="1"/>
    <col min="52" max="52" width="7.59765625" style="124" customWidth="1"/>
    <col min="53" max="54" width="7.59765625" style="110" customWidth="1"/>
    <col min="55" max="58" width="7.19921875" style="110" customWidth="1"/>
    <col min="59" max="59" width="7.19921875" style="119" customWidth="1"/>
    <col min="60" max="60" width="3.59765625" style="110" customWidth="1"/>
    <col min="61" max="61" width="7" style="110" customWidth="1"/>
    <col min="62" max="66" width="7.19921875" style="110" customWidth="1"/>
    <col min="67" max="67" width="7.59765625" style="124" customWidth="1"/>
    <col min="68" max="69" width="7.59765625" style="110" customWidth="1"/>
    <col min="70" max="73" width="7.19921875" style="110" customWidth="1"/>
    <col min="74" max="74" width="7.19921875" style="119" customWidth="1"/>
    <col min="75" max="75" width="3.59765625" style="110" customWidth="1"/>
    <col min="76" max="76" width="7" style="110" customWidth="1"/>
    <col min="77" max="81" width="7.19921875" style="110" customWidth="1"/>
    <col min="82" max="82" width="7.59765625" style="124" customWidth="1"/>
    <col min="83" max="84" width="7.59765625" style="110" customWidth="1"/>
    <col min="85" max="88" width="7.19921875" style="110" customWidth="1"/>
    <col min="89" max="89" width="7.19921875" style="119" customWidth="1"/>
    <col min="90" max="90" width="3.59765625" style="110" customWidth="1"/>
    <col min="91" max="91" width="7" style="110" customWidth="1"/>
    <col min="92" max="96" width="7.19921875" style="110" customWidth="1"/>
    <col min="97" max="97" width="7.59765625" style="124" customWidth="1"/>
    <col min="98" max="99" width="7.59765625" style="110" customWidth="1"/>
    <col min="100" max="103" width="7.19921875" style="110" customWidth="1"/>
    <col min="104" max="104" width="7.19921875" style="119" customWidth="1"/>
    <col min="105" max="105" width="3.59765625" style="110" customWidth="1"/>
    <col min="106" max="106" width="7" style="110" customWidth="1"/>
    <col min="107" max="111" width="7.19921875" style="110" customWidth="1"/>
    <col min="112" max="112" width="7.59765625" style="124" customWidth="1"/>
    <col min="113" max="114" width="7.59765625" style="110" customWidth="1"/>
    <col min="115" max="118" width="7.19921875" style="110" customWidth="1"/>
    <col min="119" max="119" width="7.19921875" style="119" customWidth="1"/>
    <col min="120" max="120" width="3.59765625" style="110" customWidth="1"/>
    <col min="121" max="121" width="7" style="110" customWidth="1"/>
    <col min="122" max="126" width="7.19921875" style="110" customWidth="1"/>
    <col min="127" max="127" width="7.59765625" style="124" customWidth="1"/>
    <col min="128" max="129" width="7.59765625" style="110" customWidth="1"/>
    <col min="130" max="133" width="7.19921875" style="110" customWidth="1"/>
    <col min="134" max="134" width="7.19921875" style="119" customWidth="1"/>
    <col min="135" max="135" width="3.59765625" style="110" customWidth="1"/>
    <col min="136" max="136" width="7" style="110" customWidth="1"/>
    <col min="137" max="141" width="7.19921875" style="110" customWidth="1"/>
    <col min="142" max="142" width="7.59765625" style="124" customWidth="1"/>
    <col min="143" max="144" width="7.59765625" style="110" customWidth="1"/>
    <col min="145" max="148" width="7.19921875" style="110" customWidth="1"/>
    <col min="149" max="150" width="7.19921875" style="119" customWidth="1"/>
    <col min="151" max="151" width="8.796875" style="112" customWidth="1"/>
    <col min="152" max="152" width="17.09765625" style="110" bestFit="1" customWidth="1"/>
    <col min="153" max="156" width="11.69921875" style="110" customWidth="1"/>
    <col min="157" max="165" width="8.796875" style="112" customWidth="1"/>
    <col min="166" max="166" width="39.3984375" style="110" bestFit="1" customWidth="1"/>
    <col min="167" max="168" width="8.796875" style="112" customWidth="1"/>
    <col min="169" max="169" width="17.69921875" style="112" customWidth="1"/>
    <col min="170" max="176" width="8.796875" style="112" customWidth="1"/>
    <col min="177" max="16384" width="8.796875" style="112"/>
  </cols>
  <sheetData>
    <row r="1" spans="1:175" s="103" customFormat="1" ht="18" customHeight="1" x14ac:dyDescent="0.55000000000000004">
      <c r="A1" s="101">
        <v>7</v>
      </c>
      <c r="B1" s="102">
        <f t="array" aca="1" ref="B1" ca="1">GetResult(A1)</f>
        <v>7</v>
      </c>
      <c r="C1" s="198" t="str">
        <f ca="1">IF(C2&lt;&gt;"",
IF(LEFT(G1,2)="博多",
LEFT(G1,FIND("週",G1)-1),
G1),"")</f>
        <v/>
      </c>
      <c r="D1" s="199"/>
      <c r="E1" s="199"/>
      <c r="F1" s="199"/>
      <c r="G1" s="120" t="e">
        <f t="array" aca="1" ref="G1" ca="1">INDIRECT("数出表_Excel!A"&amp;B1)</f>
        <v>#N/A</v>
      </c>
      <c r="H1" s="101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2" t="e">
        <f t="array" aca="1" ref="I1" ca="1">GetResult(H1)</f>
        <v>#VALUE!</v>
      </c>
      <c r="J1" s="198" t="str">
        <f ca="1">IF(J2&lt;&gt;"",
IF(LEFT(N1,2)="博多",
LEFT(N1,FIND("週",N1)-1),
N1),"")</f>
        <v/>
      </c>
      <c r="K1" s="199"/>
      <c r="L1" s="199"/>
      <c r="M1" s="199"/>
      <c r="N1" s="116" t="e">
        <f t="array" aca="1" ref="N1" ca="1">INDIRECT("数出表_Excel!A"&amp;I1)</f>
        <v>#VALUE!</v>
      </c>
      <c r="O1" s="101"/>
      <c r="P1" s="101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2" t="e">
        <f t="array" aca="1" ref="Q1" ca="1">GetResult(P1)</f>
        <v>#VALUE!</v>
      </c>
      <c r="R1" s="198" t="str">
        <f ca="1">IF(R2&lt;&gt;"",
IF(LEFT(V1,2)="博多",
LEFT(V1,FIND("週",V1)-1),
V1),"")</f>
        <v/>
      </c>
      <c r="S1" s="199"/>
      <c r="T1" s="199"/>
      <c r="U1" s="199"/>
      <c r="V1" s="120" t="e">
        <f t="array" aca="1" ref="V1" ca="1">INDIRECT("数出表_Excel!A"&amp;Q1)</f>
        <v>#VALUE!</v>
      </c>
      <c r="W1" s="101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2" t="e">
        <f t="array" aca="1" ref="X1" ca="1">GetResult(W1)</f>
        <v>#VALUE!</v>
      </c>
      <c r="Y1" s="198" t="str">
        <f ca="1">IF(Y2&lt;&gt;"",
IF(LEFT(AC1,2)="博多",
LEFT(AC1,FIND("週",AC1)-1),
AC1),"")</f>
        <v/>
      </c>
      <c r="Z1" s="199"/>
      <c r="AA1" s="199"/>
      <c r="AB1" s="199"/>
      <c r="AC1" s="116" t="e">
        <f t="array" aca="1" ref="AC1" ca="1">INDIRECT("数出表_Excel!A"&amp;X1)</f>
        <v>#VALUE!</v>
      </c>
      <c r="AD1" s="101"/>
      <c r="AE1" s="101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2" t="e">
        <f t="array" aca="1" ref="AF1" ca="1">GetResult(AE1)</f>
        <v>#VALUE!</v>
      </c>
      <c r="AG1" s="198" t="str">
        <f ca="1">IF(AG2&lt;&gt;"",
IF(LEFT(AK1,2)="博多",
LEFT(AK1,FIND("週",AK1)-1),
AK1),"")</f>
        <v/>
      </c>
      <c r="AH1" s="199"/>
      <c r="AI1" s="199"/>
      <c r="AJ1" s="199"/>
      <c r="AK1" s="120" t="e">
        <f t="array" aca="1" ref="AK1" ca="1">INDIRECT("数出表_Excel!A"&amp;AF1)</f>
        <v>#VALUE!</v>
      </c>
      <c r="AL1" s="101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2" t="e">
        <f t="array" aca="1" ref="AM1" ca="1">GetResult(AL1)</f>
        <v>#VALUE!</v>
      </c>
      <c r="AN1" s="198" t="str">
        <f ca="1">IF(AN2&lt;&gt;"",
IF(LEFT(AR1,2)="博多",
LEFT(AR1,FIND("週",AR1)-1),
AR1),"")</f>
        <v/>
      </c>
      <c r="AO1" s="199"/>
      <c r="AP1" s="199"/>
      <c r="AQ1" s="199"/>
      <c r="AR1" s="116" t="e">
        <f t="array" aca="1" ref="AR1" ca="1">INDIRECT("数出表_Excel!A"&amp;AM1)</f>
        <v>#VALUE!</v>
      </c>
      <c r="AS1" s="101"/>
      <c r="AT1" s="101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2" t="e">
        <f t="array" aca="1" ref="AU1" ca="1">GetResult(AT1)</f>
        <v>#VALUE!</v>
      </c>
      <c r="AV1" s="198" t="str">
        <f ca="1">IF(AV2&lt;&gt;"",
IF(LEFT(AZ1,2)="博多",
LEFT(AZ1,FIND("週",AZ1)-1),
AZ1),"")</f>
        <v/>
      </c>
      <c r="AW1" s="199"/>
      <c r="AX1" s="199"/>
      <c r="AY1" s="199"/>
      <c r="AZ1" s="120" t="e">
        <f t="array" aca="1" ref="AZ1" ca="1">INDIRECT("数出表_Excel!A"&amp;AU1)</f>
        <v>#VALUE!</v>
      </c>
      <c r="BA1" s="101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2" t="e">
        <f t="array" aca="1" ref="BB1" ca="1">GetResult(BA1)</f>
        <v>#VALUE!</v>
      </c>
      <c r="BC1" s="198" t="str">
        <f ca="1">IF(BC2&lt;&gt;"",
IF(LEFT(BG1,2)="博多",
LEFT(BG1,FIND("週",BG1)-1),
BG1),"")</f>
        <v/>
      </c>
      <c r="BD1" s="199"/>
      <c r="BE1" s="199"/>
      <c r="BF1" s="199"/>
      <c r="BG1" s="116" t="e">
        <f t="array" aca="1" ref="BG1" ca="1">INDIRECT("数出表_Excel!A"&amp;BB1)</f>
        <v>#VALUE!</v>
      </c>
      <c r="BH1" s="101"/>
      <c r="BI1" s="101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2" t="e">
        <f t="array" aca="1" ref="BJ1" ca="1">GetResult(BI1)</f>
        <v>#VALUE!</v>
      </c>
      <c r="BK1" s="198" t="str">
        <f ca="1">IF(BK2&lt;&gt;"",
IF(LEFT(BO1,2)="博多",
LEFT(BO1,FIND("週",BO1)-1),
BO1),"")</f>
        <v/>
      </c>
      <c r="BL1" s="199"/>
      <c r="BM1" s="199"/>
      <c r="BN1" s="199"/>
      <c r="BO1" s="120" t="e">
        <f t="array" aca="1" ref="BO1" ca="1">INDIRECT("数出表_Excel!A"&amp;BJ1)</f>
        <v>#VALUE!</v>
      </c>
      <c r="BP1" s="101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2" t="e">
        <f t="array" aca="1" ref="BQ1" ca="1">GetResult(BP1)</f>
        <v>#VALUE!</v>
      </c>
      <c r="BR1" s="198" t="str">
        <f ca="1">IF(BR2&lt;&gt;"",
IF(LEFT(BV1,2)="博多",
LEFT(BV1,FIND("週",BV1)-1),
BV1),"")</f>
        <v/>
      </c>
      <c r="BS1" s="199"/>
      <c r="BT1" s="199"/>
      <c r="BU1" s="199"/>
      <c r="BV1" s="116" t="e">
        <f t="array" aca="1" ref="BV1" ca="1">INDIRECT("数出表_Excel!A"&amp;BQ1)</f>
        <v>#VALUE!</v>
      </c>
      <c r="BW1" s="101"/>
      <c r="BX1" s="101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2" t="e">
        <f t="array" aca="1" ref="BY1" ca="1">GetResult(BX1)</f>
        <v>#VALUE!</v>
      </c>
      <c r="BZ1" s="198" t="str">
        <f ca="1">IF(BZ2&lt;&gt;"",
IF(LEFT(CD1,2)="博多",
LEFT(CD1,FIND("週",CD1)-1),
CD1),"")</f>
        <v/>
      </c>
      <c r="CA1" s="199"/>
      <c r="CB1" s="199"/>
      <c r="CC1" s="199"/>
      <c r="CD1" s="120" t="e">
        <f t="array" aca="1" ref="CD1" ca="1">INDIRECT("数出表_Excel!A"&amp;BY1)</f>
        <v>#VALUE!</v>
      </c>
      <c r="CE1" s="101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2" t="e">
        <f t="array" aca="1" ref="CF1" ca="1">GetResult(CE1)</f>
        <v>#VALUE!</v>
      </c>
      <c r="CG1" s="198" t="str">
        <f ca="1">IF(CG2&lt;&gt;"",
IF(LEFT(CK1,2)="博多",
LEFT(CK1,FIND("週",CK1)-1),
CK1),"")</f>
        <v/>
      </c>
      <c r="CH1" s="199"/>
      <c r="CI1" s="199"/>
      <c r="CJ1" s="199"/>
      <c r="CK1" s="116" t="e">
        <f t="array" aca="1" ref="CK1" ca="1">INDIRECT("数出表_Excel!A"&amp;CF1)</f>
        <v>#VALUE!</v>
      </c>
      <c r="CL1" s="101"/>
      <c r="CM1" s="101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2" t="e">
        <f t="array" aca="1" ref="CN1" ca="1">GetResult(CM1)</f>
        <v>#VALUE!</v>
      </c>
      <c r="CO1" s="198" t="str">
        <f ca="1">IF(CO2&lt;&gt;"",
IF(LEFT(CS1,2)="博多",
LEFT(CS1,FIND("週",CS1)-1),
CS1),"")</f>
        <v/>
      </c>
      <c r="CP1" s="199"/>
      <c r="CQ1" s="199"/>
      <c r="CR1" s="199"/>
      <c r="CS1" s="120" t="e">
        <f t="array" aca="1" ref="CS1" ca="1">INDIRECT("数出表_Excel!A"&amp;CN1)</f>
        <v>#VALUE!</v>
      </c>
      <c r="CT1" s="101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2" t="e">
        <f t="array" aca="1" ref="CU1" ca="1">GetResult(CT1)</f>
        <v>#VALUE!</v>
      </c>
      <c r="CV1" s="198" t="str">
        <f ca="1">IF(CV2&lt;&gt;"",
IF(LEFT(CZ1,2)="博多",
LEFT(CZ1,FIND("週",CZ1)-1),
CZ1),"")</f>
        <v/>
      </c>
      <c r="CW1" s="199"/>
      <c r="CX1" s="199"/>
      <c r="CY1" s="199"/>
      <c r="CZ1" s="116" t="e">
        <f t="array" aca="1" ref="CZ1" ca="1">INDIRECT("数出表_Excel!A"&amp;CU1)</f>
        <v>#VALUE!</v>
      </c>
      <c r="DA1" s="101"/>
      <c r="DB1" s="101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2" t="e">
        <f t="array" aca="1" ref="DC1" ca="1">GetResult(DB1)</f>
        <v>#VALUE!</v>
      </c>
      <c r="DD1" s="198" t="str">
        <f ca="1">IF(DD2&lt;&gt;"",
IF(LEFT(DH1,2)="博多",
LEFT(DH1,FIND("週",DH1)-1),
DH1),"")</f>
        <v/>
      </c>
      <c r="DE1" s="199"/>
      <c r="DF1" s="199"/>
      <c r="DG1" s="199"/>
      <c r="DH1" s="120" t="e">
        <f t="array" aca="1" ref="DH1" ca="1">INDIRECT("数出表_Excel!A"&amp;DC1)</f>
        <v>#VALUE!</v>
      </c>
      <c r="DI1" s="101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2" t="e">
        <f t="array" aca="1" ref="DJ1" ca="1">GetResult(DI1)</f>
        <v>#VALUE!</v>
      </c>
      <c r="DK1" s="198" t="str">
        <f ca="1">IF(DK2&lt;&gt;"",
IF(LEFT(DO1,2)="博多",
LEFT(DO1,FIND("週",DO1)-1),
DO1),"")</f>
        <v/>
      </c>
      <c r="DL1" s="199"/>
      <c r="DM1" s="199"/>
      <c r="DN1" s="199"/>
      <c r="DO1" s="116" t="e">
        <f t="array" aca="1" ref="DO1" ca="1">INDIRECT("数出表_Excel!A"&amp;DJ1)</f>
        <v>#VALUE!</v>
      </c>
      <c r="DP1" s="101"/>
      <c r="DQ1" s="101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2" t="e">
        <f t="array" aca="1" ref="DR1" ca="1">GetResult(DQ1)</f>
        <v>#VALUE!</v>
      </c>
      <c r="DS1" s="198" t="str">
        <f ca="1">IF(DS2&lt;&gt;"",
IF(LEFT(DW1,2)="博多",
LEFT(DW1,FIND("週",DW1)-1),
DW1),"")</f>
        <v/>
      </c>
      <c r="DT1" s="199"/>
      <c r="DU1" s="199"/>
      <c r="DV1" s="199"/>
      <c r="DW1" s="120" t="e">
        <f t="array" aca="1" ref="DW1" ca="1">INDIRECT("数出表_Excel!A"&amp;DR1)</f>
        <v>#VALUE!</v>
      </c>
      <c r="DX1" s="101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2" t="e">
        <f t="array" aca="1" ref="DY1" ca="1">GetResult(DX1)</f>
        <v>#VALUE!</v>
      </c>
      <c r="DZ1" s="198" t="str">
        <f ca="1">IF(DZ2&lt;&gt;"",
IF(LEFT(ED1,2)="博多",
LEFT(ED1,FIND("週",ED1)-1),
ED1),"")</f>
        <v/>
      </c>
      <c r="EA1" s="199"/>
      <c r="EB1" s="199"/>
      <c r="EC1" s="199"/>
      <c r="ED1" s="116" t="e">
        <f t="array" aca="1" ref="ED1" ca="1">INDIRECT("数出表_Excel!A"&amp;DY1)</f>
        <v>#VALUE!</v>
      </c>
      <c r="EE1" s="101"/>
      <c r="EF1" s="101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102" t="e">
        <f t="array" aca="1" ref="EG1" ca="1">GetResult(EF1)</f>
        <v>#VALUE!</v>
      </c>
      <c r="EH1" s="198" t="str">
        <f ca="1">IF(EH2&lt;&gt;"",
IF(LEFT(EL1,2)="博多",
LEFT(EL1,FIND("週",EL1)-1),
EL1),"")</f>
        <v/>
      </c>
      <c r="EI1" s="199"/>
      <c r="EJ1" s="199"/>
      <c r="EK1" s="199"/>
      <c r="EL1" s="120" t="e">
        <f t="array" aca="1" ref="EL1" ca="1">INDIRECT("数出表_Excel!A"&amp;EG1)</f>
        <v>#VALUE!</v>
      </c>
      <c r="EM1" s="101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102" t="e">
        <f t="array" aca="1" ref="EN1" ca="1">GetResult(EM1)</f>
        <v>#VALUE!</v>
      </c>
      <c r="EO1" s="198" t="str">
        <f ca="1">IF(EO2&lt;&gt;"",
IF(LEFT(ES1,2)="博多",
LEFT(ES1,FIND("週",ES1)-1),
ES1),"")</f>
        <v/>
      </c>
      <c r="EP1" s="199"/>
      <c r="EQ1" s="199"/>
      <c r="ER1" s="199"/>
      <c r="ES1" s="116" t="e">
        <f t="array" aca="1" ref="ES1" ca="1">INDIRECT("数出表_Excel!A"&amp;EN1)</f>
        <v>#VALUE!</v>
      </c>
      <c r="ET1" s="132"/>
      <c r="EV1" s="104" t="str">
        <f ca="1">C1</f>
        <v/>
      </c>
      <c r="EW1" s="104" t="str">
        <f ca="1">C2</f>
        <v/>
      </c>
      <c r="EX1" s="104" t="str">
        <f ca="1">E2</f>
        <v/>
      </c>
      <c r="EY1" s="105" t="str">
        <f ca="1">F2</f>
        <v/>
      </c>
      <c r="EZ1" s="105" t="str">
        <f ca="1">G2</f>
        <v/>
      </c>
      <c r="FA1" s="104" t="e">
        <f ca="1">C4</f>
        <v>#VALUE!</v>
      </c>
      <c r="FB1" s="104" t="str">
        <f ca="1">E4</f>
        <v/>
      </c>
      <c r="FC1" s="104" t="str">
        <f ca="1">C6</f>
        <v/>
      </c>
      <c r="FD1" s="104" t="e">
        <f ca="1">B7</f>
        <v>#VALUE!</v>
      </c>
      <c r="FE1" s="104" t="str">
        <f ca="1">D7</f>
        <v/>
      </c>
      <c r="FF1" s="104" t="e">
        <f ca="1">F7</f>
        <v>#N/A</v>
      </c>
      <c r="FG1" s="103">
        <f t="shared" ref="FG1:FG48" ca="1" si="0">IF(COUNTIF(FH1,"TRUE"),ROW(),0)</f>
        <v>0</v>
      </c>
      <c r="FH1" s="103" t="e">
        <f t="array" aca="1" ref="FH1" ca="1">IF(COUNTIF(EV1,"社食"),"FALSE",SUMPRODUCT((LEN(EV1:FF1)&gt;0)*1)&gt;0)</f>
        <v>#VALUE!</v>
      </c>
      <c r="FI1" s="103" t="str">
        <f t="array" aca="1" ref="FI1" ca="1">IFERROR(SMALL(IF(FG$1:FG$169&lt;&gt;0,FG$1:FG$169),ROW(A1)),"")</f>
        <v/>
      </c>
      <c r="FJ1" s="103" t="str">
        <f t="array" aca="1" ref="FJ1" ca="1">IF($FI1&lt;&gt;"",
INDIRECT(""&amp;IF(COLUMN(EV1)&lt;=26,CHAR(COLUMN(EV1)+64),CHAR(INT((COLUMN(EV1)-1)/26)+64)&amp;CHAR(MOD(COLUMN(EV1)-1,26)+65))&amp;$FI1&amp;""),"")</f>
        <v/>
      </c>
      <c r="FK1" s="103" t="str">
        <f t="array" aca="1" ref="FK1" ca="1">IF($FI1&lt;&gt;"",
INDIRECT(""&amp;IF(COLUMN(EW1)&lt;=26,CHAR(COLUMN(EW1)+64),CHAR(INT((COLUMN(EW1)-1)/26)+64)&amp;CHAR(MOD(COLUMN(EW1)-1,26)+65))&amp;$FI1&amp;""),"")</f>
        <v/>
      </c>
      <c r="FL1" s="103" t="str">
        <f t="array" aca="1" ref="FL1" ca="1">IF($FI1&lt;&gt;"",
INDIRECT(""&amp;IF(COLUMN(EX1)&lt;=26,CHAR(COLUMN(EX1)+64),CHAR(INT((COLUMN(EX1)-1)/26)+64)&amp;CHAR(MOD(COLUMN(EX1)-1,26)+65))&amp;$FI1&amp;""),"")</f>
        <v/>
      </c>
      <c r="FM1" s="103" t="str">
        <f t="array" aca="1" ref="FM1" ca="1">IF($FI1&lt;&gt;"",
IF(FL1="",
INDIRECT("EY"&amp;$FI1&amp;"")&amp;"箱"
&amp;INDIRECT("EZ"&amp;$FI1&amp;""),""),"")</f>
        <v/>
      </c>
      <c r="FN1" s="103" t="str">
        <f t="array" aca="1" ref="FN1" ca="1">IF($FI1&lt;&gt;"",
INDIRECT(""&amp;IF(COLUMN(FA1)&lt;=26,CHAR(COLUMN(FA1)+64),CHAR(INT((COLUMN(FA1)-1)/26)+64)&amp;CHAR(MOD(COLUMN(FA1)-1,26)+65))&amp;$FI1&amp;""),"")</f>
        <v/>
      </c>
      <c r="FO1" s="103" t="str">
        <f t="array" aca="1" ref="FO1" ca="1">IF($FI1&lt;&gt;"",
INDIRECT(""&amp;IF(COLUMN(FB1)&lt;=26,CHAR(COLUMN(FB1)+64),CHAR(INT((COLUMN(FB1)-1)/26)+64)&amp;CHAR(MOD(COLUMN(FB1)-1,26)+65))&amp;$FI1&amp;""),"")</f>
        <v/>
      </c>
      <c r="FP1" s="103" t="str">
        <f t="array" aca="1" ref="FP1" ca="1">IF($FI1&lt;&gt;"",
INDIRECT(""&amp;IF(COLUMN(FC1)&lt;=26,CHAR(COLUMN(FC1)+64),CHAR(INT((COLUMN(FC1)-1)/26)+64)&amp;CHAR(MOD(COLUMN(FC1)-1,26)+65))&amp;$FI1&amp;""),"")</f>
        <v/>
      </c>
      <c r="FQ1" s="103" t="str">
        <f t="array" aca="1" ref="FQ1" ca="1">IF($FI1&lt;&gt;"",
INDIRECT(""&amp;IF(COLUMN(FD1)&lt;=26,CHAR(COLUMN(FD1)+64),CHAR(INT((COLUMN(FD1)-1)/26)+64)&amp;CHAR(MOD(COLUMN(FD1)-1,26)+65))&amp;$FI1&amp;""),"")</f>
        <v/>
      </c>
      <c r="FR1" s="103" t="str">
        <f t="array" aca="1" ref="FR1" ca="1">IF($FI1&lt;&gt;"",
INDIRECT(""&amp;IF(COLUMN(FE1)&lt;=26,CHAR(COLUMN(FE1)+64),CHAR(INT((COLUMN(FE1)-1)/26)+64)&amp;CHAR(MOD(COLUMN(FE1)-1,26)+65))&amp;$FI1&amp;""),"")</f>
        <v/>
      </c>
      <c r="FS1" s="103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3" customFormat="1" ht="18" customHeight="1" x14ac:dyDescent="0.55000000000000004">
      <c r="A2" s="101"/>
      <c r="B2" s="106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5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1"/>
      <c r="E2" s="107" t="str" cm="1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108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1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1"/>
      <c r="I2" s="106" t="e">
        <f t="array" aca="1" ref="I2" ca="1">IF(J4&lt;&gt;"",MATCH(TRUE,INDIRECT("数出表_Excel!B"&amp;MATCH(N1,数出表_Excel!$A:$A,0)-1&amp;":U"&amp;MATCH(N1,数出表_Excel!$A:$A,0)-1&amp;"")&lt;&gt;"",0)+1,"")</f>
        <v>#VALUE!</v>
      </c>
      <c r="J2" s="65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1"/>
      <c r="L2" s="107" t="str" cm="1">
        <f t="array" aca="1" ref="L2" ca="1">IF(M2&lt;&gt;"","",
IF(COUNTIF(J1,"*雙葉*"),"",
IF(J1&lt;&gt;"",
IFERROR(
INDEX('数出表_Excel（アレルギー入力）'!$4:$4,
 1,
MATCH(TRUE,INDIRECT("'数出表_Excel（アレルギー入力）'!B"&amp;MATCH(N1,'数出表_Excel（アレルギー入力）'!$A:$A,0)-1&amp;":U"&amp;MATCH(N1,'数出表_Excel（アレルギー入力）'!$A:$A,0)-1&amp;"")&lt;&gt;"",0)+1
),
 "")
&amp;IFERROR(
INDEX('数出表_Excel（アレルギー入力）'!$5:$5,
 1,
MATCH(TRUE,INDIRECT("'数出表_Excel（アレルギー入力）'!B"&amp;MATCH(N1,'数出表_Excel（アレルギー入力）'!$A:$A,0)-1&amp;":U"&amp;MATCH(N1,'数出表_Excel（アレルギー入力）'!$A:$A,0)-1&amp;"")&lt;&gt;"",0)+1),
 ""),"")))</f>
        <v/>
      </c>
      <c r="M2" s="108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7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1"/>
      <c r="P2" s="101"/>
      <c r="Q2" s="106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5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1"/>
      <c r="T2" s="107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8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1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1"/>
      <c r="X2" s="106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5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1"/>
      <c r="AA2" s="107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8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7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1"/>
      <c r="AE2" s="101"/>
      <c r="AF2" s="106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5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1"/>
      <c r="AI2" s="107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8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1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1"/>
      <c r="AM2" s="106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5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1"/>
      <c r="AP2" s="107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8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7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1"/>
      <c r="AT2" s="101"/>
      <c r="AU2" s="106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5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1"/>
      <c r="AX2" s="107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8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1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1"/>
      <c r="BB2" s="106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5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1"/>
      <c r="BE2" s="107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8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7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1"/>
      <c r="BI2" s="101"/>
      <c r="BJ2" s="106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5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1"/>
      <c r="BM2" s="107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8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1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1"/>
      <c r="BQ2" s="106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5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1"/>
      <c r="BT2" s="107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8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7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1"/>
      <c r="BX2" s="101"/>
      <c r="BY2" s="106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5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1"/>
      <c r="CB2" s="107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8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1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1"/>
      <c r="CF2" s="106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5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1"/>
      <c r="CI2" s="107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8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7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1"/>
      <c r="CM2" s="101"/>
      <c r="CN2" s="106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5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1"/>
      <c r="CQ2" s="107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8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1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1"/>
      <c r="CU2" s="106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5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1"/>
      <c r="CX2" s="107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8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7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1"/>
      <c r="DB2" s="101"/>
      <c r="DC2" s="106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5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1"/>
      <c r="DF2" s="107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8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1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1"/>
      <c r="DJ2" s="106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5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1"/>
      <c r="DM2" s="107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8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7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1"/>
      <c r="DQ2" s="101"/>
      <c r="DR2" s="106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5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1"/>
      <c r="DU2" s="107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8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1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1"/>
      <c r="DY2" s="106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5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1"/>
      <c r="EB2" s="107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8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7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1"/>
      <c r="EF2" s="101"/>
      <c r="EG2" s="106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5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101"/>
      <c r="EJ2" s="107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108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21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101"/>
      <c r="EN2" s="106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5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101"/>
      <c r="EQ2" s="107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108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117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3"/>
      <c r="EU2" s="103">
        <v>42</v>
      </c>
      <c r="EV2" s="103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03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03" t="str" cm="1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03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03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03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03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3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03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03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3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03">
        <f t="shared" ca="1" si="0"/>
        <v>0</v>
      </c>
      <c r="FH2" s="103" t="b">
        <f t="array" aca="1" ref="FH2" ca="1">SUMPRODUCT((LEN(EV2:FF2)&gt;0)*1)&gt;0</f>
        <v>0</v>
      </c>
      <c r="FI2" s="103" t="str" cm="1">
        <f t="array" aca="1" ref="FI2" ca="1">IFERROR(SMALL(IF(FG$1:FG$169&lt;&gt;0,FG$1:FG$169),ROW(A2)),"")</f>
        <v/>
      </c>
      <c r="FJ2" s="103" t="str">
        <f t="array" aca="1" ref="FJ2" ca="1">IF($FI2&lt;&gt;"",
INDIRECT(""&amp;IF(COLUMN(EV2)&lt;=26,CHAR(COLUMN(EV2)+64),CHAR(INT((COLUMN(EV2)-1)/26)+64)&amp;CHAR(MOD(COLUMN(EV2)-1,26)+65))&amp;$FI2&amp;""),"")</f>
        <v/>
      </c>
      <c r="FK2" s="103" t="str">
        <f t="array" aca="1" ref="FK2" ca="1">IF($FI2&lt;&gt;"",
INDIRECT(""&amp;IF(COLUMN(EW2)&lt;=26,CHAR(COLUMN(EW2)+64),CHAR(INT((COLUMN(EW2)-1)/26)+64)&amp;CHAR(MOD(COLUMN(EW2)-1,26)+65))&amp;$FI2&amp;""),"")</f>
        <v/>
      </c>
      <c r="FL2" s="103" t="str">
        <f t="array" aca="1" ref="FL2" ca="1">IF($FI2&lt;&gt;"",
INDIRECT(""&amp;IF(COLUMN(EX2)&lt;=26,CHAR(COLUMN(EX2)+64),CHAR(INT((COLUMN(EX2)-1)/26)+64)&amp;CHAR(MOD(COLUMN(EX2)-1,26)+65))&amp;$FI2&amp;""),"")</f>
        <v/>
      </c>
      <c r="FM2" s="103" t="str">
        <f t="array" aca="1" ref="FM2" ca="1">IF($FI2&lt;&gt;"",
IF(FL2="",
INDIRECT("EY"&amp;$FI2&amp;"")&amp;"箱"
&amp;INDIRECT("EZ"&amp;$FI2&amp;""),""),"")</f>
        <v/>
      </c>
      <c r="FN2" s="103" t="str">
        <f t="array" aca="1" ref="FN2" ca="1">IF($FI2&lt;&gt;"",
INDIRECT(""&amp;IF(COLUMN(FA2)&lt;=26,CHAR(COLUMN(FA2)+64),CHAR(INT((COLUMN(FA2)-1)/26)+64)&amp;CHAR(MOD(COLUMN(FA2)-1,26)+65))&amp;$FI2&amp;""),"")</f>
        <v/>
      </c>
      <c r="FO2" s="103" t="str">
        <f t="array" aca="1" ref="FO2" ca="1">IF($FI2&lt;&gt;"",
INDIRECT(""&amp;IF(COLUMN(FB2)&lt;=26,CHAR(COLUMN(FB2)+64),CHAR(INT((COLUMN(FB2)-1)/26)+64)&amp;CHAR(MOD(COLUMN(FB2)-1,26)+65))&amp;$FI2&amp;""),"")</f>
        <v/>
      </c>
      <c r="FP2" s="103" t="str">
        <f t="array" aca="1" ref="FP2" ca="1">IF($FI2&lt;&gt;"",
INDIRECT(""&amp;IF(COLUMN(FC2)&lt;=26,CHAR(COLUMN(FC2)+64),CHAR(INT((COLUMN(FC2)-1)/26)+64)&amp;CHAR(MOD(COLUMN(FC2)-1,26)+65))&amp;$FI2&amp;""),"")</f>
        <v/>
      </c>
      <c r="FQ2" s="103" t="str">
        <f t="array" aca="1" ref="FQ2" ca="1">IF($FI2&lt;&gt;"",
INDIRECT(""&amp;IF(COLUMN(FD2)&lt;=26,CHAR(COLUMN(FD2)+64),CHAR(INT((COLUMN(FD2)-1)/26)+64)&amp;CHAR(MOD(COLUMN(FD2)-1,26)+65))&amp;$FI2&amp;""),"")</f>
        <v/>
      </c>
      <c r="FR2" s="103" t="str">
        <f t="array" aca="1" ref="FR2" ca="1">IF($FI2&lt;&gt;"",
INDIRECT(""&amp;IF(COLUMN(FE2)&lt;=26,CHAR(COLUMN(FE2)+64),CHAR(INT((COLUMN(FE2)-1)/26)+64)&amp;CHAR(MOD(COLUMN(FE2)-1,26)+65))&amp;$FI2&amp;""),"")</f>
        <v/>
      </c>
      <c r="FS2" s="103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3" customFormat="1" ht="22.2" customHeight="1" x14ac:dyDescent="0.55000000000000004">
      <c r="A3" s="101"/>
      <c r="B3" s="109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96" t="str">
        <f ca="1">IF(C2&lt;&gt;"",
"園児","")</f>
        <v/>
      </c>
      <c r="D3" s="197"/>
      <c r="E3" s="200" t="str">
        <f ca="1">IF(C2&lt;&gt;"",
"先生","")</f>
        <v/>
      </c>
      <c r="F3" s="197"/>
      <c r="G3" s="122" cm="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101"/>
      <c r="I3" s="109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96" t="str">
        <f ca="1">IF(J2&lt;&gt;"",
"園児","")</f>
        <v/>
      </c>
      <c r="K3" s="197"/>
      <c r="L3" s="200" t="str">
        <f ca="1">IF(J2&lt;&gt;"",
"先生","")</f>
        <v/>
      </c>
      <c r="M3" s="197"/>
      <c r="N3" s="122" cm="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101"/>
      <c r="P3" s="101"/>
      <c r="Q3" s="109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96" t="str">
        <f ca="1">IF(R2&lt;&gt;"",
"園児","")</f>
        <v/>
      </c>
      <c r="S3" s="197"/>
      <c r="T3" s="200" t="str">
        <f ca="1">IF(R2&lt;&gt;"",
"先生","")</f>
        <v/>
      </c>
      <c r="U3" s="197"/>
      <c r="V3" s="122" cm="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101"/>
      <c r="X3" s="109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96" t="str">
        <f ca="1">IF(Y2&lt;&gt;"",
"園児","")</f>
        <v/>
      </c>
      <c r="Z3" s="197"/>
      <c r="AA3" s="200" t="str">
        <f ca="1">IF(Y2&lt;&gt;"",
"先生","")</f>
        <v/>
      </c>
      <c r="AB3" s="197"/>
      <c r="AC3" s="122" cm="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101"/>
      <c r="AE3" s="101"/>
      <c r="AF3" s="109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96" t="str">
        <f ca="1">IF(AG2&lt;&gt;"",
"園児","")</f>
        <v/>
      </c>
      <c r="AH3" s="197"/>
      <c r="AI3" s="200" t="str">
        <f ca="1">IF(AG2&lt;&gt;"",
"先生","")</f>
        <v/>
      </c>
      <c r="AJ3" s="197"/>
      <c r="AK3" s="122" cm="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101"/>
      <c r="AM3" s="109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96" t="str">
        <f ca="1">IF(AN2&lt;&gt;"",
"園児","")</f>
        <v/>
      </c>
      <c r="AO3" s="197"/>
      <c r="AP3" s="200" t="str">
        <f ca="1">IF(AN2&lt;&gt;"",
"先生","")</f>
        <v/>
      </c>
      <c r="AQ3" s="197"/>
      <c r="AR3" s="122" cm="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101"/>
      <c r="AT3" s="101"/>
      <c r="AU3" s="109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96" t="str">
        <f ca="1">IF(AV2&lt;&gt;"",
"園児","")</f>
        <v/>
      </c>
      <c r="AW3" s="197"/>
      <c r="AX3" s="200" t="str">
        <f ca="1">IF(AV2&lt;&gt;"",
"先生","")</f>
        <v/>
      </c>
      <c r="AY3" s="197"/>
      <c r="AZ3" s="122" cm="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101"/>
      <c r="BB3" s="109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96" t="str">
        <f ca="1">IF(BC2&lt;&gt;"",
"園児","")</f>
        <v/>
      </c>
      <c r="BD3" s="197"/>
      <c r="BE3" s="200" t="str">
        <f ca="1">IF(BC2&lt;&gt;"",
"先生","")</f>
        <v/>
      </c>
      <c r="BF3" s="197"/>
      <c r="BG3" s="122" cm="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101"/>
      <c r="BI3" s="101"/>
      <c r="BJ3" s="109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96" t="str">
        <f ca="1">IF(BK2&lt;&gt;"",
"園児","")</f>
        <v/>
      </c>
      <c r="BL3" s="197"/>
      <c r="BM3" s="200" t="str">
        <f ca="1">IF(BK2&lt;&gt;"",
"先生","")</f>
        <v/>
      </c>
      <c r="BN3" s="197"/>
      <c r="BO3" s="122" cm="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101"/>
      <c r="BQ3" s="109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96" t="str">
        <f ca="1">IF(BR2&lt;&gt;"",
"園児","")</f>
        <v/>
      </c>
      <c r="BS3" s="197"/>
      <c r="BT3" s="200" t="str">
        <f ca="1">IF(BR2&lt;&gt;"",
"先生","")</f>
        <v/>
      </c>
      <c r="BU3" s="197"/>
      <c r="BV3" s="122" cm="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101"/>
      <c r="BX3" s="101"/>
      <c r="BY3" s="109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196" t="str">
        <f ca="1">IF(BZ2&lt;&gt;"",
"園児","")</f>
        <v/>
      </c>
      <c r="CA3" s="197"/>
      <c r="CB3" s="200" t="str">
        <f ca="1">IF(BZ2&lt;&gt;"",
"先生","")</f>
        <v/>
      </c>
      <c r="CC3" s="197"/>
      <c r="CD3" s="122" cm="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101"/>
      <c r="CF3" s="109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196" t="str">
        <f ca="1">IF(CG2&lt;&gt;"",
"園児","")</f>
        <v/>
      </c>
      <c r="CH3" s="197"/>
      <c r="CI3" s="200" t="str">
        <f ca="1">IF(CG2&lt;&gt;"",
"先生","")</f>
        <v/>
      </c>
      <c r="CJ3" s="197"/>
      <c r="CK3" s="122" cm="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101"/>
      <c r="CM3" s="101"/>
      <c r="CN3" s="109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196" t="str">
        <f ca="1">IF(CO2&lt;&gt;"",
"園児","")</f>
        <v/>
      </c>
      <c r="CP3" s="197"/>
      <c r="CQ3" s="200" t="str">
        <f ca="1">IF(CO2&lt;&gt;"",
"先生","")</f>
        <v/>
      </c>
      <c r="CR3" s="197"/>
      <c r="CS3" s="122" cm="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101"/>
      <c r="CU3" s="109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196" t="str">
        <f ca="1">IF(CV2&lt;&gt;"",
"園児","")</f>
        <v/>
      </c>
      <c r="CW3" s="197"/>
      <c r="CX3" s="200" t="str">
        <f ca="1">IF(CV2&lt;&gt;"",
"先生","")</f>
        <v/>
      </c>
      <c r="CY3" s="197"/>
      <c r="CZ3" s="122" cm="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101"/>
      <c r="DB3" s="101"/>
      <c r="DC3" s="109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196" t="str">
        <f ca="1">IF(DD2&lt;&gt;"",
"園児","")</f>
        <v/>
      </c>
      <c r="DE3" s="197"/>
      <c r="DF3" s="200" t="str">
        <f ca="1">IF(DD2&lt;&gt;"",
"先生","")</f>
        <v/>
      </c>
      <c r="DG3" s="197"/>
      <c r="DH3" s="122" cm="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101"/>
      <c r="DJ3" s="109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196" t="str">
        <f ca="1">IF(DK2&lt;&gt;"",
"園児","")</f>
        <v/>
      </c>
      <c r="DL3" s="197"/>
      <c r="DM3" s="200" t="str">
        <f ca="1">IF(DK2&lt;&gt;"",
"先生","")</f>
        <v/>
      </c>
      <c r="DN3" s="197"/>
      <c r="DO3" s="122" cm="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101"/>
      <c r="DQ3" s="101"/>
      <c r="DR3" s="109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196" t="str">
        <f ca="1">IF(DS2&lt;&gt;"",
"園児","")</f>
        <v/>
      </c>
      <c r="DT3" s="197"/>
      <c r="DU3" s="200" t="str">
        <f ca="1">IF(DS2&lt;&gt;"",
"先生","")</f>
        <v/>
      </c>
      <c r="DV3" s="197"/>
      <c r="DW3" s="122" cm="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101"/>
      <c r="DY3" s="109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196" t="str">
        <f ca="1">IF(DZ2&lt;&gt;"",
"園児","")</f>
        <v/>
      </c>
      <c r="EA3" s="197"/>
      <c r="EB3" s="200" t="str">
        <f ca="1">IF(DZ2&lt;&gt;"",
"先生","")</f>
        <v/>
      </c>
      <c r="EC3" s="197"/>
      <c r="ED3" s="122" cm="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101"/>
      <c r="EF3" s="101"/>
      <c r="EG3" s="109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196" t="str">
        <f ca="1">IF(EH2&lt;&gt;"",
"園児","")</f>
        <v/>
      </c>
      <c r="EI3" s="197"/>
      <c r="EJ3" s="200" t="str">
        <f ca="1">IF(EH2&lt;&gt;"",
"先生","")</f>
        <v/>
      </c>
      <c r="EK3" s="197"/>
      <c r="EL3" s="122" cm="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101"/>
      <c r="EN3" s="109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196" t="str">
        <f ca="1">IF(EO2&lt;&gt;"",
"園児","")</f>
        <v/>
      </c>
      <c r="EP3" s="197"/>
      <c r="EQ3" s="200" t="str">
        <f ca="1">IF(EO2&lt;&gt;"",
"先生","")</f>
        <v/>
      </c>
      <c r="ER3" s="197"/>
      <c r="ES3" s="122" cm="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32"/>
      <c r="EV3" s="104" t="str">
        <f ca="1">J1</f>
        <v/>
      </c>
      <c r="EW3" s="104" t="str">
        <f ca="1">J2</f>
        <v/>
      </c>
      <c r="EX3" s="104" t="str">
        <f ca="1">L2</f>
        <v/>
      </c>
      <c r="EY3" s="105" t="str">
        <f ca="1">M2</f>
        <v/>
      </c>
      <c r="EZ3" s="105" t="str">
        <f ca="1">N2</f>
        <v/>
      </c>
      <c r="FA3" s="104" t="e">
        <f ca="1">J4</f>
        <v>#VALUE!</v>
      </c>
      <c r="FB3" s="104" t="str">
        <f ca="1">L4</f>
        <v/>
      </c>
      <c r="FC3" s="104" t="str">
        <f ca="1">J6</f>
        <v/>
      </c>
      <c r="FD3" s="104" t="e">
        <f ca="1">I7</f>
        <v>#VALUE!</v>
      </c>
      <c r="FE3" s="104" t="str">
        <f ca="1">K7</f>
        <v/>
      </c>
      <c r="FF3" s="104" t="e">
        <f ca="1">M7</f>
        <v>#VALUE!</v>
      </c>
      <c r="FG3" s="103">
        <f t="shared" ca="1" si="0"/>
        <v>0</v>
      </c>
      <c r="FH3" s="103" t="e">
        <f t="array" aca="1" ref="FH3" ca="1">SUMPRODUCT((LEN(EV3:FF3)&gt;0)*1)&gt;0</f>
        <v>#VALUE!</v>
      </c>
      <c r="FI3" s="103" t="str">
        <f t="array" aca="1" ref="FI3" ca="1">IFERROR(SMALL(IF(FG$1:FG$169&lt;&gt;0,FG$1:FG$169),ROW(A3)),"")</f>
        <v/>
      </c>
      <c r="FJ3" s="103" t="str">
        <f t="array" aca="1" ref="FJ3" ca="1">IF($FI3&lt;&gt;"",
INDIRECT(""&amp;IF(COLUMN(EV3)&lt;=26,CHAR(COLUMN(EV3)+64),CHAR(INT((COLUMN(EV3)-1)/26)+64)&amp;CHAR(MOD(COLUMN(EV3)-1,26)+65))&amp;$FI3&amp;""),"")</f>
        <v/>
      </c>
      <c r="FK3" s="103" t="str">
        <f t="array" aca="1" ref="FK3" ca="1">IF($FI3&lt;&gt;"",
INDIRECT(""&amp;IF(COLUMN(EW3)&lt;=26,CHAR(COLUMN(EW3)+64),CHAR(INT((COLUMN(EW3)-1)/26)+64)&amp;CHAR(MOD(COLUMN(EW3)-1,26)+65))&amp;$FI3&amp;""),"")</f>
        <v/>
      </c>
      <c r="FL3" s="103" t="str">
        <f t="array" aca="1" ref="FL3" ca="1">IF($FI3&lt;&gt;"",
INDIRECT(""&amp;IF(COLUMN(EX3)&lt;=26,CHAR(COLUMN(EX3)+64),CHAR(INT((COLUMN(EX3)-1)/26)+64)&amp;CHAR(MOD(COLUMN(EX3)-1,26)+65))&amp;$FI3&amp;""),"")</f>
        <v/>
      </c>
      <c r="FM3" s="103" t="str">
        <f t="array" aca="1" ref="FM3" ca="1">IF($FI3&lt;&gt;"",
IF(FL3="",
INDIRECT("EY"&amp;$FI3&amp;"")&amp;"箱"
&amp;INDIRECT("EZ"&amp;$FI3&amp;""),""),"")</f>
        <v/>
      </c>
      <c r="FN3" s="103" t="str">
        <f t="array" aca="1" ref="FN3" ca="1">IF($FI3&lt;&gt;"",
INDIRECT(""&amp;IF(COLUMN(FA3)&lt;=26,CHAR(COLUMN(FA3)+64),CHAR(INT((COLUMN(FA3)-1)/26)+64)&amp;CHAR(MOD(COLUMN(FA3)-1,26)+65))&amp;$FI3&amp;""),"")</f>
        <v/>
      </c>
      <c r="FO3" s="103" t="str">
        <f t="array" aca="1" ref="FO3" ca="1">IF($FI3&lt;&gt;"",
INDIRECT(""&amp;IF(COLUMN(FB3)&lt;=26,CHAR(COLUMN(FB3)+64),CHAR(INT((COLUMN(FB3)-1)/26)+64)&amp;CHAR(MOD(COLUMN(FB3)-1,26)+65))&amp;$FI3&amp;""),"")</f>
        <v/>
      </c>
      <c r="FP3" s="103" t="str">
        <f t="array" aca="1" ref="FP3" ca="1">IF($FI3&lt;&gt;"",
INDIRECT(""&amp;IF(COLUMN(FC3)&lt;=26,CHAR(COLUMN(FC3)+64),CHAR(INT((COLUMN(FC3)-1)/26)+64)&amp;CHAR(MOD(COLUMN(FC3)-1,26)+65))&amp;$FI3&amp;""),"")</f>
        <v/>
      </c>
      <c r="FQ3" s="103" t="str">
        <f t="array" aca="1" ref="FQ3" ca="1">IF($FI3&lt;&gt;"",
INDIRECT(""&amp;IF(COLUMN(FD3)&lt;=26,CHAR(COLUMN(FD3)+64),CHAR(INT((COLUMN(FD3)-1)/26)+64)&amp;CHAR(MOD(COLUMN(FD3)-1,26)+65))&amp;$FI3&amp;""),"")</f>
        <v/>
      </c>
      <c r="FR3" s="103" t="str">
        <f t="array" aca="1" ref="FR3" ca="1">IF($FI3&lt;&gt;"",
INDIRECT(""&amp;IF(COLUMN(FE3)&lt;=26,CHAR(COLUMN(FE3)+64),CHAR(INT((COLUMN(FE3)-1)/26)+64)&amp;CHAR(MOD(COLUMN(FE3)-1,26)+65))&amp;$FI3&amp;""),"")</f>
        <v/>
      </c>
      <c r="FS3" s="103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1.05">
      <c r="B4" s="111"/>
      <c r="C4" s="192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193"/>
      <c r="E4" s="195" t="str" cm="1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93"/>
      <c r="G4" s="122" t="e" cm="1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"")),0),""),0)</f>
        <v>#N/A</v>
      </c>
      <c r="I4" s="111"/>
      <c r="J4" s="192" t="e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</f>
        <v>#VALUE!</v>
      </c>
      <c r="K4" s="193"/>
      <c r="L4" s="195" t="str" cm="1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93"/>
      <c r="N4" s="122" t="e" cm="1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"")),0),""),0)</f>
        <v>#VALUE!</v>
      </c>
      <c r="Q4" s="111"/>
      <c r="R4" s="192" t="e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</f>
        <v>#VALUE!</v>
      </c>
      <c r="S4" s="193"/>
      <c r="T4" s="218" t="e" cm="1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18"/>
      <c r="V4" s="122" t="e" cm="1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"")),0),""),0)</f>
        <v>#VALUE!</v>
      </c>
      <c r="X4" s="111"/>
      <c r="Y4" s="192" t="e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</f>
        <v>#VALUE!</v>
      </c>
      <c r="Z4" s="193"/>
      <c r="AA4" s="195" t="e" cm="1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193"/>
      <c r="AC4" s="122" t="e" cm="1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"")),0),""),0)</f>
        <v>#VALUE!</v>
      </c>
      <c r="AF4" s="111"/>
      <c r="AG4" s="192" t="e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</f>
        <v>#VALUE!</v>
      </c>
      <c r="AH4" s="193"/>
      <c r="AI4" s="218" t="e" cm="1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18"/>
      <c r="AK4" s="122" t="e" cm="1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"")),0),""),0)</f>
        <v>#VALUE!</v>
      </c>
      <c r="AM4" s="111"/>
      <c r="AN4" s="192" t="e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</f>
        <v>#VALUE!</v>
      </c>
      <c r="AO4" s="193"/>
      <c r="AP4" s="195" t="e" cm="1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193"/>
      <c r="AR4" s="122" t="e" cm="1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"")),0),""),0)</f>
        <v>#VALUE!</v>
      </c>
      <c r="AU4" s="111"/>
      <c r="AV4" s="192" t="e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</f>
        <v>#VALUE!</v>
      </c>
      <c r="AW4" s="193"/>
      <c r="AX4" s="218" t="e" cm="1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18"/>
      <c r="AZ4" s="122" t="e" cm="1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"")),0),""),0)</f>
        <v>#VALUE!</v>
      </c>
      <c r="BB4" s="111"/>
      <c r="BC4" s="192" t="e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</f>
        <v>#VALUE!</v>
      </c>
      <c r="BD4" s="193"/>
      <c r="BE4" s="195" t="e" cm="1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193"/>
      <c r="BG4" s="122" t="e" cm="1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"")),0),""),0)</f>
        <v>#VALUE!</v>
      </c>
      <c r="BJ4" s="111"/>
      <c r="BK4" s="192" t="e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</f>
        <v>#VALUE!</v>
      </c>
      <c r="BL4" s="193"/>
      <c r="BM4" s="218" t="e" cm="1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18"/>
      <c r="BO4" s="122" t="e" cm="1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"")),0),""),0)</f>
        <v>#VALUE!</v>
      </c>
      <c r="BQ4" s="111"/>
      <c r="BR4" s="192" t="e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</f>
        <v>#VALUE!</v>
      </c>
      <c r="BS4" s="193"/>
      <c r="BT4" s="195" t="e" cm="1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193"/>
      <c r="BV4" s="122" t="e" cm="1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"")),0),""),0)</f>
        <v>#VALUE!</v>
      </c>
      <c r="BY4" s="111"/>
      <c r="BZ4" s="192" t="e">
        <f t="array" aca="1" ref="BZ4" ca="1">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</f>
        <v>#VALUE!</v>
      </c>
      <c r="CA4" s="193"/>
      <c r="CB4" s="218" t="e" cm="1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18"/>
      <c r="CD4" s="122" t="e" cm="1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"")),0),""),0)</f>
        <v>#VALUE!</v>
      </c>
      <c r="CF4" s="111"/>
      <c r="CG4" s="192" t="e">
        <f t="array" aca="1" ref="CG4" ca="1">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</f>
        <v>#VALUE!</v>
      </c>
      <c r="CH4" s="193"/>
      <c r="CI4" s="195" t="e" cm="1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193"/>
      <c r="CK4" s="122" t="e" cm="1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"")),0),""),0)</f>
        <v>#VALUE!</v>
      </c>
      <c r="CN4" s="111"/>
      <c r="CO4" s="192" t="e">
        <f t="array" aca="1" ref="CO4" ca="1">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</f>
        <v>#VALUE!</v>
      </c>
      <c r="CP4" s="193"/>
      <c r="CQ4" s="218" t="e" cm="1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18"/>
      <c r="CS4" s="122" t="e" cm="1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"")),0),""),0)</f>
        <v>#VALUE!</v>
      </c>
      <c r="CU4" s="111"/>
      <c r="CV4" s="192" t="e">
        <f t="array" aca="1" ref="CV4" ca="1">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</f>
        <v>#VALUE!</v>
      </c>
      <c r="CW4" s="193"/>
      <c r="CX4" s="195" t="e" cm="1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193"/>
      <c r="CZ4" s="122" t="e" cm="1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"")),0),""),0)</f>
        <v>#VALUE!</v>
      </c>
      <c r="DC4" s="111"/>
      <c r="DD4" s="192" t="e">
        <f t="array" aca="1" ref="DD4" ca="1">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</f>
        <v>#VALUE!</v>
      </c>
      <c r="DE4" s="193"/>
      <c r="DF4" s="218" t="e" cm="1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18"/>
      <c r="DH4" s="122" t="e" cm="1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"")),0),""),0)</f>
        <v>#VALUE!</v>
      </c>
      <c r="DJ4" s="111"/>
      <c r="DK4" s="192" t="e">
        <f t="array" aca="1" ref="DK4" ca="1">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</f>
        <v>#VALUE!</v>
      </c>
      <c r="DL4" s="193"/>
      <c r="DM4" s="195" t="e" cm="1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193"/>
      <c r="DO4" s="122" t="e" cm="1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"")),0),""),0)</f>
        <v>#VALUE!</v>
      </c>
      <c r="DR4" s="111"/>
      <c r="DS4" s="192" t="e">
        <f t="array" aca="1" ref="DS4" ca="1">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</f>
        <v>#VALUE!</v>
      </c>
      <c r="DT4" s="193"/>
      <c r="DU4" s="218" t="e" cm="1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18"/>
      <c r="DW4" s="122" t="e" cm="1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"")),0),""),0)</f>
        <v>#VALUE!</v>
      </c>
      <c r="DY4" s="111"/>
      <c r="DZ4" s="192" t="e">
        <f t="array" aca="1" ref="DZ4" ca="1">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</f>
        <v>#VALUE!</v>
      </c>
      <c r="EA4" s="193"/>
      <c r="EB4" s="195" t="e" cm="1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193"/>
      <c r="ED4" s="122" t="e" cm="1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"")),0),""),0)</f>
        <v>#VALUE!</v>
      </c>
      <c r="EG4" s="111"/>
      <c r="EH4" s="192" t="e">
        <f t="array" aca="1" ref="EH4" ca="1">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</f>
        <v>#VALUE!</v>
      </c>
      <c r="EI4" s="193"/>
      <c r="EJ4" s="218" t="e" cm="1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18"/>
      <c r="EL4" s="122" t="e" cm="1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"")),0),""),0)</f>
        <v>#VALUE!</v>
      </c>
      <c r="EN4" s="111"/>
      <c r="EO4" s="192" t="e">
        <f t="array" aca="1" ref="EO4" ca="1">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</f>
        <v>#VALUE!</v>
      </c>
      <c r="EP4" s="193"/>
      <c r="EQ4" s="195" t="e" cm="1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193"/>
      <c r="ES4" s="122" t="e" cm="1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"")),0),""),0)</f>
        <v>#VALUE!</v>
      </c>
      <c r="ET4" s="132"/>
      <c r="EU4" s="103">
        <v>42</v>
      </c>
      <c r="EV4" s="103" t="str" cm="1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03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03" t="str" cm="1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03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03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03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03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3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03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03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3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03">
        <f t="shared" ca="1" si="0"/>
        <v>0</v>
      </c>
      <c r="FH4" s="103" t="b">
        <f t="array" aca="1" ref="FH4" ca="1">SUMPRODUCT((LEN(EV4:FF4)&gt;0)*1)&gt;0</f>
        <v>0</v>
      </c>
      <c r="FI4" s="103" t="str">
        <f t="array" aca="1" ref="FI4" ca="1">IFERROR(SMALL(IF(FG$1:FG$169&lt;&gt;0,FG$1:FG$169),ROW(A4)),"")</f>
        <v/>
      </c>
      <c r="FJ4" s="103" t="str">
        <f t="array" aca="1" ref="FJ4" ca="1">IF($FI4&lt;&gt;"",
INDIRECT(""&amp;IF(COLUMN(EV4)&lt;=26,CHAR(COLUMN(EV4)+64),CHAR(INT((COLUMN(EV4)-1)/26)+64)&amp;CHAR(MOD(COLUMN(EV4)-1,26)+65))&amp;$FI4&amp;""),"")</f>
        <v/>
      </c>
      <c r="FK4" s="103" t="str">
        <f t="array" aca="1" ref="FK4" ca="1">IF($FI4&lt;&gt;"",
INDIRECT(""&amp;IF(COLUMN(EW4)&lt;=26,CHAR(COLUMN(EW4)+64),CHAR(INT((COLUMN(EW4)-1)/26)+64)&amp;CHAR(MOD(COLUMN(EW4)-1,26)+65))&amp;$FI4&amp;""),"")</f>
        <v/>
      </c>
      <c r="FL4" s="103" t="str">
        <f t="array" aca="1" ref="FL4" ca="1">IF($FI4&lt;&gt;"",
INDIRECT(""&amp;IF(COLUMN(EX4)&lt;=26,CHAR(COLUMN(EX4)+64),CHAR(INT((COLUMN(EX4)-1)/26)+64)&amp;CHAR(MOD(COLUMN(EX4)-1,26)+65))&amp;$FI4&amp;""),"")</f>
        <v/>
      </c>
      <c r="FM4" s="103" t="str">
        <f t="array" aca="1" ref="FM4" ca="1">IF($FI4&lt;&gt;"",
IF(FL4="",
INDIRECT("EY"&amp;$FI4&amp;"")&amp;"箱"
&amp;INDIRECT("EZ"&amp;$FI4&amp;""),""),"")</f>
        <v/>
      </c>
      <c r="FN4" s="103" t="str">
        <f t="array" aca="1" ref="FN4" ca="1">IF($FI4&lt;&gt;"",
INDIRECT(""&amp;IF(COLUMN(FA4)&lt;=26,CHAR(COLUMN(FA4)+64),CHAR(INT((COLUMN(FA4)-1)/26)+64)&amp;CHAR(MOD(COLUMN(FA4)-1,26)+65))&amp;$FI4&amp;""),"")</f>
        <v/>
      </c>
      <c r="FO4" s="103" t="str">
        <f t="array" aca="1" ref="FO4" ca="1">IF($FI4&lt;&gt;"",
INDIRECT(""&amp;IF(COLUMN(FB4)&lt;=26,CHAR(COLUMN(FB4)+64),CHAR(INT((COLUMN(FB4)-1)/26)+64)&amp;CHAR(MOD(COLUMN(FB4)-1,26)+65))&amp;$FI4&amp;""),"")</f>
        <v/>
      </c>
      <c r="FP4" s="103" t="str">
        <f t="array" aca="1" ref="FP4" ca="1">IF($FI4&lt;&gt;"",
INDIRECT(""&amp;IF(COLUMN(FC4)&lt;=26,CHAR(COLUMN(FC4)+64),CHAR(INT((COLUMN(FC4)-1)/26)+64)&amp;CHAR(MOD(COLUMN(FC4)-1,26)+65))&amp;$FI4&amp;""),"")</f>
        <v/>
      </c>
      <c r="FQ4" s="103" t="str">
        <f t="array" aca="1" ref="FQ4" ca="1">IF($FI4&lt;&gt;"",
INDIRECT(""&amp;IF(COLUMN(FD4)&lt;=26,CHAR(COLUMN(FD4)+64),CHAR(INT((COLUMN(FD4)-1)/26)+64)&amp;CHAR(MOD(COLUMN(FD4)-1,26)+65))&amp;$FI4&amp;""),"")</f>
        <v/>
      </c>
      <c r="FR4" s="103" t="str">
        <f t="array" aca="1" ref="FR4" ca="1">IF($FI4&lt;&gt;"",
INDIRECT(""&amp;IF(COLUMN(FE4)&lt;=26,CHAR(COLUMN(FE4)+64),CHAR(INT((COLUMN(FE4)-1)/26)+64)&amp;CHAR(MOD(COLUMN(FE4)-1,26)+65))&amp;$FI4&amp;""),"")</f>
        <v/>
      </c>
      <c r="FS4" s="103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221" t="s">
        <v>585</v>
      </c>
      <c r="C5" s="194"/>
      <c r="D5" s="194"/>
      <c r="E5" s="194"/>
      <c r="F5" s="194"/>
      <c r="G5" s="123" t="str">
        <f ca="1">SUBSTITUTE(SUBSTITUTE(ADDRESS(1,MATCH("おやつ",'数出表_Excel（アレルギー入力）'!$3:$3,0)),1,""),"$","")</f>
        <v>AL</v>
      </c>
      <c r="I5" s="221" t="s">
        <v>585</v>
      </c>
      <c r="J5" s="194"/>
      <c r="K5" s="194"/>
      <c r="L5" s="194"/>
      <c r="M5" s="194"/>
      <c r="N5" s="123" t="str">
        <f ca="1">SUBSTITUTE(SUBSTITUTE(ADDRESS(1,MATCH("おやつ",'数出表_Excel（アレルギー入力）'!$3:$3,0)),1,""),"$","")</f>
        <v>AL</v>
      </c>
      <c r="Q5" s="221" t="s">
        <v>585</v>
      </c>
      <c r="R5" s="194"/>
      <c r="S5" s="194"/>
      <c r="T5" s="195"/>
      <c r="U5" s="195"/>
      <c r="V5" s="123" t="str">
        <f ca="1">SUBSTITUTE(SUBSTITUTE(ADDRESS(1,MATCH("おやつ",'数出表_Excel（アレルギー入力）'!$3:$3,0)),1,""),"$","")</f>
        <v>AL</v>
      </c>
      <c r="X5" s="221" t="s">
        <v>585</v>
      </c>
      <c r="Y5" s="194"/>
      <c r="Z5" s="194"/>
      <c r="AA5" s="194"/>
      <c r="AB5" s="194"/>
      <c r="AC5" s="123" t="str">
        <f ca="1">SUBSTITUTE(SUBSTITUTE(ADDRESS(1,MATCH("おやつ",'数出表_Excel（アレルギー入力）'!$3:$3,0)),1,""),"$","")</f>
        <v>AL</v>
      </c>
      <c r="AF5" s="221" t="s">
        <v>585</v>
      </c>
      <c r="AG5" s="194"/>
      <c r="AH5" s="194"/>
      <c r="AI5" s="195"/>
      <c r="AJ5" s="195"/>
      <c r="AK5" s="123" t="str">
        <f ca="1">SUBSTITUTE(SUBSTITUTE(ADDRESS(1,MATCH("おやつ",'数出表_Excel（アレルギー入力）'!$3:$3,0)),1,""),"$","")</f>
        <v>AL</v>
      </c>
      <c r="AM5" s="221" t="s">
        <v>585</v>
      </c>
      <c r="AN5" s="194"/>
      <c r="AO5" s="194"/>
      <c r="AP5" s="194"/>
      <c r="AQ5" s="194"/>
      <c r="AR5" s="123" t="str">
        <f ca="1">SUBSTITUTE(SUBSTITUTE(ADDRESS(1,MATCH("おやつ",'数出表_Excel（アレルギー入力）'!$3:$3,0)),1,""),"$","")</f>
        <v>AL</v>
      </c>
      <c r="AU5" s="221" t="s">
        <v>585</v>
      </c>
      <c r="AV5" s="194"/>
      <c r="AW5" s="194"/>
      <c r="AX5" s="195"/>
      <c r="AY5" s="195"/>
      <c r="AZ5" s="123" t="str">
        <f ca="1">SUBSTITUTE(SUBSTITUTE(ADDRESS(1,MATCH("おやつ",'数出表_Excel（アレルギー入力）'!$3:$3,0)),1,""),"$","")</f>
        <v>AL</v>
      </c>
      <c r="BB5" s="221" t="s">
        <v>585</v>
      </c>
      <c r="BC5" s="194"/>
      <c r="BD5" s="194"/>
      <c r="BE5" s="194"/>
      <c r="BF5" s="194"/>
      <c r="BG5" s="123" t="str">
        <f ca="1">SUBSTITUTE(SUBSTITUTE(ADDRESS(1,MATCH("おやつ",'数出表_Excel（アレルギー入力）'!$3:$3,0)),1,""),"$","")</f>
        <v>AL</v>
      </c>
      <c r="BJ5" s="221" t="s">
        <v>585</v>
      </c>
      <c r="BK5" s="194"/>
      <c r="BL5" s="194"/>
      <c r="BM5" s="195"/>
      <c r="BN5" s="195"/>
      <c r="BO5" s="123" t="str">
        <f ca="1">SUBSTITUTE(SUBSTITUTE(ADDRESS(1,MATCH("おやつ",'数出表_Excel（アレルギー入力）'!$3:$3,0)),1,""),"$","")</f>
        <v>AL</v>
      </c>
      <c r="BQ5" s="221" t="s">
        <v>585</v>
      </c>
      <c r="BR5" s="194"/>
      <c r="BS5" s="194"/>
      <c r="BT5" s="194"/>
      <c r="BU5" s="194"/>
      <c r="BV5" s="123" t="str">
        <f ca="1">SUBSTITUTE(SUBSTITUTE(ADDRESS(1,MATCH("おやつ",'数出表_Excel（アレルギー入力）'!$3:$3,0)),1,""),"$","")</f>
        <v>AL</v>
      </c>
      <c r="BY5" s="221" t="s">
        <v>585</v>
      </c>
      <c r="BZ5" s="194"/>
      <c r="CA5" s="194"/>
      <c r="CB5" s="195"/>
      <c r="CC5" s="195"/>
      <c r="CD5" s="123" t="str">
        <f ca="1">SUBSTITUTE(SUBSTITUTE(ADDRESS(1,MATCH("おやつ",'数出表_Excel（アレルギー入力）'!$3:$3,0)),1,""),"$","")</f>
        <v>AL</v>
      </c>
      <c r="CF5" s="221" t="s">
        <v>585</v>
      </c>
      <c r="CG5" s="194"/>
      <c r="CH5" s="194"/>
      <c r="CI5" s="194"/>
      <c r="CJ5" s="194"/>
      <c r="CK5" s="123" t="str">
        <f ca="1">SUBSTITUTE(SUBSTITUTE(ADDRESS(1,MATCH("おやつ",'数出表_Excel（アレルギー入力）'!$3:$3,0)),1,""),"$","")</f>
        <v>AL</v>
      </c>
      <c r="CN5" s="221" t="s">
        <v>585</v>
      </c>
      <c r="CO5" s="194"/>
      <c r="CP5" s="194"/>
      <c r="CQ5" s="195"/>
      <c r="CR5" s="195"/>
      <c r="CS5" s="123" t="str">
        <f ca="1">SUBSTITUTE(SUBSTITUTE(ADDRESS(1,MATCH("おやつ",'数出表_Excel（アレルギー入力）'!$3:$3,0)),1,""),"$","")</f>
        <v>AL</v>
      </c>
      <c r="CU5" s="221" t="s">
        <v>585</v>
      </c>
      <c r="CV5" s="194"/>
      <c r="CW5" s="194"/>
      <c r="CX5" s="194"/>
      <c r="CY5" s="194"/>
      <c r="CZ5" s="123" t="str">
        <f ca="1">SUBSTITUTE(SUBSTITUTE(ADDRESS(1,MATCH("おやつ",'数出表_Excel（アレルギー入力）'!$3:$3,0)),1,""),"$","")</f>
        <v>AL</v>
      </c>
      <c r="DC5" s="221" t="s">
        <v>585</v>
      </c>
      <c r="DD5" s="194"/>
      <c r="DE5" s="194"/>
      <c r="DF5" s="195"/>
      <c r="DG5" s="195"/>
      <c r="DH5" s="123" t="str">
        <f ca="1">SUBSTITUTE(SUBSTITUTE(ADDRESS(1,MATCH("おやつ",'数出表_Excel（アレルギー入力）'!$3:$3,0)),1,""),"$","")</f>
        <v>AL</v>
      </c>
      <c r="DJ5" s="221" t="s">
        <v>585</v>
      </c>
      <c r="DK5" s="194"/>
      <c r="DL5" s="194"/>
      <c r="DM5" s="194"/>
      <c r="DN5" s="194"/>
      <c r="DO5" s="123" t="str">
        <f ca="1">SUBSTITUTE(SUBSTITUTE(ADDRESS(1,MATCH("おやつ",'数出表_Excel（アレルギー入力）'!$3:$3,0)),1,""),"$","")</f>
        <v>AL</v>
      </c>
      <c r="DR5" s="221" t="s">
        <v>585</v>
      </c>
      <c r="DS5" s="194"/>
      <c r="DT5" s="194"/>
      <c r="DU5" s="195"/>
      <c r="DV5" s="195"/>
      <c r="DW5" s="123" t="str">
        <f ca="1">SUBSTITUTE(SUBSTITUTE(ADDRESS(1,MATCH("おやつ",'数出表_Excel（アレルギー入力）'!$3:$3,0)),1,""),"$","")</f>
        <v>AL</v>
      </c>
      <c r="DY5" s="221" t="s">
        <v>585</v>
      </c>
      <c r="DZ5" s="194"/>
      <c r="EA5" s="194"/>
      <c r="EB5" s="194"/>
      <c r="EC5" s="194"/>
      <c r="ED5" s="123" t="str">
        <f ca="1">SUBSTITUTE(SUBSTITUTE(ADDRESS(1,MATCH("おやつ",'数出表_Excel（アレルギー入力）'!$3:$3,0)),1,""),"$","")</f>
        <v>AL</v>
      </c>
      <c r="EG5" s="221" t="s">
        <v>585</v>
      </c>
      <c r="EH5" s="194"/>
      <c r="EI5" s="194"/>
      <c r="EJ5" s="195"/>
      <c r="EK5" s="195"/>
      <c r="EL5" s="123" t="str">
        <f ca="1">SUBSTITUTE(SUBSTITUTE(ADDRESS(1,MATCH("おやつ",'数出表_Excel（アレルギー入力）'!$3:$3,0)),1,""),"$","")</f>
        <v>AL</v>
      </c>
      <c r="EN5" s="221" t="s">
        <v>585</v>
      </c>
      <c r="EO5" s="194"/>
      <c r="EP5" s="194"/>
      <c r="EQ5" s="194"/>
      <c r="ER5" s="194"/>
      <c r="ES5" s="123" t="str">
        <f ca="1">SUBSTITUTE(SUBSTITUTE(ADDRESS(1,MATCH("おやつ",'数出表_Excel（アレルギー入力）'!$3:$3,0)),1,""),"$","")</f>
        <v>AL</v>
      </c>
      <c r="ET5" s="132"/>
      <c r="EU5" s="112">
        <v>7</v>
      </c>
      <c r="EV5" s="103" t="str" cm="1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3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3" t="str" cm="1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3" t="str" cm="1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3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3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3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3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3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3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3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3">
        <f t="shared" ca="1" si="0"/>
        <v>0</v>
      </c>
      <c r="FH5" s="103" t="e">
        <f t="array" aca="1" ref="FH5" ca="1">SUMPRODUCT((LEN(EV5:FF5)&gt;0)*1)&gt;0</f>
        <v>#VALUE!</v>
      </c>
      <c r="FI5" s="103" t="str">
        <f t="array" aca="1" ref="FI5" ca="1">IFERROR(SMALL(IF(FG$1:FG$169&lt;&gt;0,FG$1:FG$169),ROW(A5)),"")</f>
        <v/>
      </c>
      <c r="FJ5" s="103" t="str">
        <f t="array" aca="1" ref="FJ5" ca="1">IF($FI5&lt;&gt;"",
INDIRECT(""&amp;IF(COLUMN(EV5)&lt;=26,CHAR(COLUMN(EV5)+64),CHAR(INT((COLUMN(EV5)-1)/26)+64)&amp;CHAR(MOD(COLUMN(EV5)-1,26)+65))&amp;$FI5&amp;""),"")</f>
        <v/>
      </c>
      <c r="FK5" s="103" t="str">
        <f t="array" aca="1" ref="FK5" ca="1">IF($FI5&lt;&gt;"",
INDIRECT(""&amp;IF(COLUMN(EW5)&lt;=26,CHAR(COLUMN(EW5)+64),CHAR(INT((COLUMN(EW5)-1)/26)+64)&amp;CHAR(MOD(COLUMN(EW5)-1,26)+65))&amp;$FI5&amp;""),"")</f>
        <v/>
      </c>
      <c r="FL5" s="103" t="str">
        <f t="array" aca="1" ref="FL5" ca="1">IF($FI5&lt;&gt;"",
INDIRECT(""&amp;IF(COLUMN(EX5)&lt;=26,CHAR(COLUMN(EX5)+64),CHAR(INT((COLUMN(EX5)-1)/26)+64)&amp;CHAR(MOD(COLUMN(EX5)-1,26)+65))&amp;$FI5&amp;""),"")</f>
        <v/>
      </c>
      <c r="FM5" s="103" t="str">
        <f t="array" aca="1" ref="FM5" ca="1">IF($FI5&lt;&gt;"",
IF(FL5="",
INDIRECT("EY"&amp;$FI5&amp;"")&amp;"箱"
&amp;INDIRECT("EZ"&amp;$FI5&amp;""),""),"")</f>
        <v/>
      </c>
      <c r="FN5" s="103" t="str">
        <f t="array" aca="1" ref="FN5" ca="1">IF($FI5&lt;&gt;"",
INDIRECT(""&amp;IF(COLUMN(FA5)&lt;=26,CHAR(COLUMN(FA5)+64),CHAR(INT((COLUMN(FA5)-1)/26)+64)&amp;CHAR(MOD(COLUMN(FA5)-1,26)+65))&amp;$FI5&amp;""),"")</f>
        <v/>
      </c>
      <c r="FO5" s="103" t="str">
        <f t="array" aca="1" ref="FO5" ca="1">IF($FI5&lt;&gt;"",
INDIRECT(""&amp;IF(COLUMN(FB5)&lt;=26,CHAR(COLUMN(FB5)+64),CHAR(INT((COLUMN(FB5)-1)/26)+64)&amp;CHAR(MOD(COLUMN(FB5)-1,26)+65))&amp;$FI5&amp;""),"")</f>
        <v/>
      </c>
      <c r="FP5" s="103" t="str">
        <f t="array" aca="1" ref="FP5" ca="1">IF($FI5&lt;&gt;"",
INDIRECT(""&amp;IF(COLUMN(FC5)&lt;=26,CHAR(COLUMN(FC5)+64),CHAR(INT((COLUMN(FC5)-1)/26)+64)&amp;CHAR(MOD(COLUMN(FC5)-1,26)+65))&amp;$FI5&amp;""),"")</f>
        <v/>
      </c>
      <c r="FQ5" s="103" t="str">
        <f t="array" aca="1" ref="FQ5" ca="1">IF($FI5&lt;&gt;"",
INDIRECT(""&amp;IF(COLUMN(FD5)&lt;=26,CHAR(COLUMN(FD5)+64),CHAR(INT((COLUMN(FD5)-1)/26)+64)&amp;CHAR(MOD(COLUMN(FD5)-1,26)+65))&amp;$FI5&amp;""),"")</f>
        <v/>
      </c>
      <c r="FR5" s="103" t="str">
        <f t="array" aca="1" ref="FR5" ca="1">IF($FI5&lt;&gt;"",
INDIRECT(""&amp;IF(COLUMN(FE5)&lt;=26,CHAR(COLUMN(FE5)+64),CHAR(INT((COLUMN(FE5)-1)/26)+64)&amp;CHAR(MOD(COLUMN(FE5)-1,26)+65))&amp;$FI5&amp;""),"")</f>
        <v/>
      </c>
      <c r="FS5" s="103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3" customFormat="1" ht="22.2" customHeight="1" x14ac:dyDescent="0.55000000000000004">
      <c r="A6" s="101"/>
      <c r="B6" s="114" t="str">
        <f ca="1">IF(C2&lt;&gt;"",
"パン箱","")</f>
        <v/>
      </c>
      <c r="C6" s="115" t="str">
        <f ca="1">IF(C2&lt;&gt;"",
IF(OR(COUNTIF('盛付札（関数）'!C2,"*キャラ*"),COUNTIF('盛付札（関数）'!C2,"*赤*")),24,
VLOOKUP('盛付札（関数）'!C2,商品マスタ一覧!$D:$I,6,FALSE)),"")</f>
        <v/>
      </c>
      <c r="D6" s="114" t="str">
        <f ca="1">IF(C2&lt;&gt;"",
" 端数","")</f>
        <v/>
      </c>
      <c r="E6" s="115"/>
      <c r="F6" s="114" t="str">
        <f ca="1">IF(C2&lt;&gt;"",
"アレルギー","")</f>
        <v/>
      </c>
      <c r="G6" s="122"/>
      <c r="H6" s="101"/>
      <c r="I6" s="114" t="str">
        <f ca="1">IF(J2&lt;&gt;"",
"パン箱","")</f>
        <v/>
      </c>
      <c r="J6" s="115" t="str">
        <f ca="1">IF(J2&lt;&gt;"",
IF(OR(COUNTIF('盛付札（関数）'!J2,"*キャラ*"),COUNTIF('盛付札（関数）'!J2,"*赤*")),24,
VLOOKUP('盛付札（関数）'!J2,商品マスタ一覧!$D:$I,6,FALSE)),"")</f>
        <v/>
      </c>
      <c r="K6" s="114" t="str">
        <f ca="1">IF(J2&lt;&gt;"",
" 端数","")</f>
        <v/>
      </c>
      <c r="L6" s="115"/>
      <c r="M6" s="114" t="str">
        <f ca="1">IF(J2&lt;&gt;"",
"アレルギー","")</f>
        <v/>
      </c>
      <c r="N6" s="118"/>
      <c r="O6" s="101"/>
      <c r="P6" s="101"/>
      <c r="Q6" s="114" t="str">
        <f ca="1">IF(R2&lt;&gt;"",
"パン箱","")</f>
        <v/>
      </c>
      <c r="R6" s="115" t="str">
        <f ca="1">IF(R2&lt;&gt;"",
IF(OR(COUNTIF('盛付札（関数）'!R2,"*キャラ*"),COUNTIF('盛付札（関数）'!R2,"*赤*")),24,
VLOOKUP('盛付札（関数）'!R2,商品マスタ一覧!$D:$I,6,FALSE)),"")</f>
        <v/>
      </c>
      <c r="S6" s="114" t="str">
        <f ca="1">IF(R2&lt;&gt;"",
" 端数","")</f>
        <v/>
      </c>
      <c r="T6" s="115"/>
      <c r="U6" s="114" t="str">
        <f ca="1">IF(R2&lt;&gt;"",
"アレルギー","")</f>
        <v/>
      </c>
      <c r="V6" s="122"/>
      <c r="W6" s="101"/>
      <c r="X6" s="114" t="str">
        <f ca="1">IF(Y2&lt;&gt;"",
"パン箱","")</f>
        <v/>
      </c>
      <c r="Y6" s="115" t="str">
        <f ca="1">IF(Y2&lt;&gt;"",
IF(OR(COUNTIF('盛付札（関数）'!Y2,"*キャラ*"),COUNTIF('盛付札（関数）'!Y2,"*赤*")),24,
VLOOKUP('盛付札（関数）'!Y2,商品マスタ一覧!$D:$I,6,FALSE)),"")</f>
        <v/>
      </c>
      <c r="Z6" s="114" t="str">
        <f ca="1">IF(Y2&lt;&gt;"",
" 端数","")</f>
        <v/>
      </c>
      <c r="AA6" s="115"/>
      <c r="AB6" s="114" t="str">
        <f ca="1">IF(Y2&lt;&gt;"",
"アレルギー","")</f>
        <v/>
      </c>
      <c r="AC6" s="118"/>
      <c r="AD6" s="101"/>
      <c r="AE6" s="101"/>
      <c r="AF6" s="114" t="str">
        <f ca="1">IF(AG2&lt;&gt;"",
"パン箱","")</f>
        <v/>
      </c>
      <c r="AG6" s="115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4" t="str">
        <f ca="1">IF(AG2&lt;&gt;"",
" 端数","")</f>
        <v/>
      </c>
      <c r="AI6" s="115"/>
      <c r="AJ6" s="114" t="str">
        <f ca="1">IF(AG2&lt;&gt;"",
"アレルギー","")</f>
        <v/>
      </c>
      <c r="AK6" s="122"/>
      <c r="AL6" s="101"/>
      <c r="AM6" s="114" t="str">
        <f ca="1">IF(AN2&lt;&gt;"",
"パン箱","")</f>
        <v/>
      </c>
      <c r="AN6" s="115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4" t="str">
        <f ca="1">IF(AN2&lt;&gt;"",
" 端数","")</f>
        <v/>
      </c>
      <c r="AP6" s="115"/>
      <c r="AQ6" s="114" t="str">
        <f ca="1">IF(AN2&lt;&gt;"",
"アレルギー","")</f>
        <v/>
      </c>
      <c r="AR6" s="118"/>
      <c r="AS6" s="101"/>
      <c r="AT6" s="101"/>
      <c r="AU6" s="114" t="str">
        <f ca="1">IF(AV2&lt;&gt;"",
"パン箱","")</f>
        <v/>
      </c>
      <c r="AV6" s="115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4" t="str">
        <f ca="1">IF(AV2&lt;&gt;"",
" 端数","")</f>
        <v/>
      </c>
      <c r="AX6" s="115"/>
      <c r="AY6" s="114" t="str">
        <f ca="1">IF(AV2&lt;&gt;"",
"アレルギー","")</f>
        <v/>
      </c>
      <c r="AZ6" s="122"/>
      <c r="BA6" s="101"/>
      <c r="BB6" s="114" t="str">
        <f ca="1">IF(BC2&lt;&gt;"",
"パン箱","")</f>
        <v/>
      </c>
      <c r="BC6" s="115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4" t="str">
        <f ca="1">IF(BC2&lt;&gt;"",
" 端数","")</f>
        <v/>
      </c>
      <c r="BE6" s="115"/>
      <c r="BF6" s="114" t="str">
        <f ca="1">IF(BC2&lt;&gt;"",
"アレルギー","")</f>
        <v/>
      </c>
      <c r="BG6" s="118"/>
      <c r="BH6" s="101"/>
      <c r="BI6" s="101"/>
      <c r="BJ6" s="114" t="str">
        <f ca="1">IF(BK2&lt;&gt;"",
"パン箱","")</f>
        <v/>
      </c>
      <c r="BK6" s="115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4" t="str">
        <f ca="1">IF(BK2&lt;&gt;"",
" 端数","")</f>
        <v/>
      </c>
      <c r="BM6" s="115"/>
      <c r="BN6" s="114" t="str">
        <f ca="1">IF(BK2&lt;&gt;"",
"アレルギー","")</f>
        <v/>
      </c>
      <c r="BO6" s="122"/>
      <c r="BP6" s="101"/>
      <c r="BQ6" s="114" t="str">
        <f ca="1">IF(BR2&lt;&gt;"",
"パン箱","")</f>
        <v/>
      </c>
      <c r="BR6" s="115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4" t="str">
        <f ca="1">IF(BR2&lt;&gt;"",
" 端数","")</f>
        <v/>
      </c>
      <c r="BT6" s="115"/>
      <c r="BU6" s="114" t="str">
        <f ca="1">IF(BR2&lt;&gt;"",
"アレルギー","")</f>
        <v/>
      </c>
      <c r="BV6" s="118"/>
      <c r="BW6" s="101"/>
      <c r="BX6" s="101"/>
      <c r="BY6" s="114" t="str">
        <f ca="1">IF(BZ2&lt;&gt;"",
"パン箱","")</f>
        <v/>
      </c>
      <c r="BZ6" s="115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4" t="str">
        <f ca="1">IF(BZ2&lt;&gt;"",
" 端数","")</f>
        <v/>
      </c>
      <c r="CB6" s="115"/>
      <c r="CC6" s="114" t="str">
        <f ca="1">IF(BZ2&lt;&gt;"",
"アレルギー","")</f>
        <v/>
      </c>
      <c r="CD6" s="122"/>
      <c r="CE6" s="101"/>
      <c r="CF6" s="114" t="str">
        <f ca="1">IF(CG2&lt;&gt;"",
"パン箱","")</f>
        <v/>
      </c>
      <c r="CG6" s="115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4" t="str">
        <f ca="1">IF(CG2&lt;&gt;"",
" 端数","")</f>
        <v/>
      </c>
      <c r="CI6" s="115"/>
      <c r="CJ6" s="114" t="str">
        <f ca="1">IF(CG2&lt;&gt;"",
"アレルギー","")</f>
        <v/>
      </c>
      <c r="CK6" s="118"/>
      <c r="CL6" s="101"/>
      <c r="CM6" s="101"/>
      <c r="CN6" s="114" t="str">
        <f ca="1">IF(CO2&lt;&gt;"",
"パン箱","")</f>
        <v/>
      </c>
      <c r="CO6" s="115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4" t="str">
        <f ca="1">IF(CO2&lt;&gt;"",
" 端数","")</f>
        <v/>
      </c>
      <c r="CQ6" s="115"/>
      <c r="CR6" s="114" t="str">
        <f ca="1">IF(CO2&lt;&gt;"",
"アレルギー","")</f>
        <v/>
      </c>
      <c r="CS6" s="122"/>
      <c r="CT6" s="101"/>
      <c r="CU6" s="114" t="str">
        <f ca="1">IF(CV2&lt;&gt;"",
"パン箱","")</f>
        <v/>
      </c>
      <c r="CV6" s="115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4" t="str">
        <f ca="1">IF(CV2&lt;&gt;"",
" 端数","")</f>
        <v/>
      </c>
      <c r="CX6" s="115"/>
      <c r="CY6" s="114" t="str">
        <f ca="1">IF(CV2&lt;&gt;"",
"アレルギー","")</f>
        <v/>
      </c>
      <c r="CZ6" s="118"/>
      <c r="DA6" s="101"/>
      <c r="DB6" s="101"/>
      <c r="DC6" s="114" t="str">
        <f ca="1">IF(DD2&lt;&gt;"",
"パン箱","")</f>
        <v/>
      </c>
      <c r="DD6" s="115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4" t="str">
        <f ca="1">IF(DD2&lt;&gt;"",
" 端数","")</f>
        <v/>
      </c>
      <c r="DF6" s="115"/>
      <c r="DG6" s="114" t="str">
        <f ca="1">IF(DD2&lt;&gt;"",
"アレルギー","")</f>
        <v/>
      </c>
      <c r="DH6" s="122"/>
      <c r="DI6" s="101"/>
      <c r="DJ6" s="114" t="str">
        <f ca="1">IF(DK2&lt;&gt;"",
"パン箱","")</f>
        <v/>
      </c>
      <c r="DK6" s="115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4" t="str">
        <f ca="1">IF(DK2&lt;&gt;"",
" 端数","")</f>
        <v/>
      </c>
      <c r="DM6" s="115"/>
      <c r="DN6" s="114" t="str">
        <f ca="1">IF(DK2&lt;&gt;"",
"アレルギー","")</f>
        <v/>
      </c>
      <c r="DO6" s="118"/>
      <c r="DP6" s="101"/>
      <c r="DQ6" s="101"/>
      <c r="DR6" s="114" t="str">
        <f ca="1">IF(DS2&lt;&gt;"",
"パン箱","")</f>
        <v/>
      </c>
      <c r="DS6" s="115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4" t="str">
        <f ca="1">IF(DS2&lt;&gt;"",
" 端数","")</f>
        <v/>
      </c>
      <c r="DU6" s="115"/>
      <c r="DV6" s="114" t="str">
        <f ca="1">IF(DS2&lt;&gt;"",
"アレルギー","")</f>
        <v/>
      </c>
      <c r="DW6" s="122"/>
      <c r="DX6" s="101"/>
      <c r="DY6" s="114" t="str">
        <f ca="1">IF(DZ2&lt;&gt;"",
"パン箱","")</f>
        <v/>
      </c>
      <c r="DZ6" s="115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4" t="str">
        <f ca="1">IF(DZ2&lt;&gt;"",
" 端数","")</f>
        <v/>
      </c>
      <c r="EB6" s="115"/>
      <c r="EC6" s="114" t="str">
        <f ca="1">IF(DZ2&lt;&gt;"",
"アレルギー","")</f>
        <v/>
      </c>
      <c r="ED6" s="118"/>
      <c r="EE6" s="101"/>
      <c r="EF6" s="101"/>
      <c r="EG6" s="114" t="str">
        <f ca="1">IF(EH2&lt;&gt;"",
"パン箱","")</f>
        <v/>
      </c>
      <c r="EH6" s="115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114" t="str">
        <f ca="1">IF(EH2&lt;&gt;"",
" 端数","")</f>
        <v/>
      </c>
      <c r="EJ6" s="115"/>
      <c r="EK6" s="114" t="str">
        <f ca="1">IF(EH2&lt;&gt;"",
"アレルギー","")</f>
        <v/>
      </c>
      <c r="EL6" s="122"/>
      <c r="EM6" s="101"/>
      <c r="EN6" s="114" t="str">
        <f ca="1">IF(EO2&lt;&gt;"",
"パン箱","")</f>
        <v/>
      </c>
      <c r="EO6" s="115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114" t="str">
        <f ca="1">IF(EO2&lt;&gt;"",
" 端数","")</f>
        <v/>
      </c>
      <c r="EQ6" s="115"/>
      <c r="ER6" s="114" t="str">
        <f ca="1">IF(EO2&lt;&gt;"",
"アレルギー","")</f>
        <v/>
      </c>
      <c r="ES6" s="118"/>
      <c r="ET6" s="132"/>
      <c r="EU6" s="103">
        <f>EU2+7</f>
        <v>49</v>
      </c>
      <c r="EV6" s="103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03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03" t="str" cm="1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03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03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03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03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3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03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03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3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03">
        <f t="shared" ca="1" si="0"/>
        <v>0</v>
      </c>
      <c r="FH6" s="103" t="b">
        <f t="array" aca="1" ref="FH6" ca="1">SUMPRODUCT((LEN(EV6:FF6)&gt;0)*1)&gt;0</f>
        <v>0</v>
      </c>
      <c r="FI6" s="103" t="str">
        <f t="array" aca="1" ref="FI6" ca="1">IFERROR(SMALL(IF(FG$1:FG$169&lt;&gt;0,FG$1:FG$169),ROW(A6)),"")</f>
        <v/>
      </c>
      <c r="FJ6" s="103" t="str">
        <f t="array" aca="1" ref="FJ6" ca="1">IF($FI6&lt;&gt;"",
INDIRECT(""&amp;IF(COLUMN(EV6)&lt;=26,CHAR(COLUMN(EV6)+64),CHAR(INT((COLUMN(EV6)-1)/26)+64)&amp;CHAR(MOD(COLUMN(EV6)-1,26)+65))&amp;$FI6&amp;""),"")</f>
        <v/>
      </c>
      <c r="FK6" s="103" t="str">
        <f t="array" aca="1" ref="FK6" ca="1">IF($FI6&lt;&gt;"",
INDIRECT(""&amp;IF(COLUMN(EW6)&lt;=26,CHAR(COLUMN(EW6)+64),CHAR(INT((COLUMN(EW6)-1)/26)+64)&amp;CHAR(MOD(COLUMN(EW6)-1,26)+65))&amp;$FI6&amp;""),"")</f>
        <v/>
      </c>
      <c r="FL6" s="103" t="str">
        <f t="array" aca="1" ref="FL6" ca="1">IF($FI6&lt;&gt;"",
INDIRECT(""&amp;IF(COLUMN(EX6)&lt;=26,CHAR(COLUMN(EX6)+64),CHAR(INT((COLUMN(EX6)-1)/26)+64)&amp;CHAR(MOD(COLUMN(EX6)-1,26)+65))&amp;$FI6&amp;""),"")</f>
        <v/>
      </c>
      <c r="FM6" s="103" t="str">
        <f t="array" aca="1" ref="FM6" ca="1">IF($FI6&lt;&gt;"",
IF(FL6="",
INDIRECT("EY"&amp;$FI6&amp;"")&amp;"箱"
&amp;INDIRECT("EZ"&amp;$FI6&amp;""),""),"")</f>
        <v/>
      </c>
      <c r="FN6" s="103" t="str">
        <f t="array" aca="1" ref="FN6" ca="1">IF($FI6&lt;&gt;"",
INDIRECT(""&amp;IF(COLUMN(FA6)&lt;=26,CHAR(COLUMN(FA6)+64),CHAR(INT((COLUMN(FA6)-1)/26)+64)&amp;CHAR(MOD(COLUMN(FA6)-1,26)+65))&amp;$FI6&amp;""),"")</f>
        <v/>
      </c>
      <c r="FO6" s="103" t="str">
        <f t="array" aca="1" ref="FO6" ca="1">IF($FI6&lt;&gt;"",
INDIRECT(""&amp;IF(COLUMN(FB6)&lt;=26,CHAR(COLUMN(FB6)+64),CHAR(INT((COLUMN(FB6)-1)/26)+64)&amp;CHAR(MOD(COLUMN(FB6)-1,26)+65))&amp;$FI6&amp;""),"")</f>
        <v/>
      </c>
      <c r="FP6" s="103" t="str">
        <f t="array" aca="1" ref="FP6" ca="1">IF($FI6&lt;&gt;"",
INDIRECT(""&amp;IF(COLUMN(FC6)&lt;=26,CHAR(COLUMN(FC6)+64),CHAR(INT((COLUMN(FC6)-1)/26)+64)&amp;CHAR(MOD(COLUMN(FC6)-1,26)+65))&amp;$FI6&amp;""),"")</f>
        <v/>
      </c>
      <c r="FQ6" s="103" t="str">
        <f t="array" aca="1" ref="FQ6" ca="1">IF($FI6&lt;&gt;"",
INDIRECT(""&amp;IF(COLUMN(FD6)&lt;=26,CHAR(COLUMN(FD6)+64),CHAR(INT((COLUMN(FD6)-1)/26)+64)&amp;CHAR(MOD(COLUMN(FD6)-1,26)+65))&amp;$FI6&amp;""),"")</f>
        <v/>
      </c>
      <c r="FR6" s="103" t="str">
        <f t="array" aca="1" ref="FR6" ca="1">IF($FI6&lt;&gt;"",
INDIRECT(""&amp;IF(COLUMN(FE6)&lt;=26,CHAR(COLUMN(FE6)+64),CHAR(INT((COLUMN(FE6)-1)/26)+64)&amp;CHAR(MOD(COLUMN(FE6)-1,26)+65))&amp;$FI6&amp;""),"")</f>
        <v/>
      </c>
      <c r="FS6" s="103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03" t="e">
        <f ca="1">IF(C4&lt;&gt;"",
IFERROR(INT(C4/C6),""),"")</f>
        <v>#VALUE!</v>
      </c>
      <c r="C7" s="202"/>
      <c r="D7" s="203" t="str">
        <f ca="1">IFERROR(MOD(C4,C6),"")</f>
        <v/>
      </c>
      <c r="E7" s="202"/>
      <c r="F7" s="201" t="e">
        <f ca="1">G3+G4</f>
        <v>#N/A</v>
      </c>
      <c r="G7" s="202"/>
      <c r="I7" s="203" t="e">
        <f ca="1">IF(J4&lt;&gt;"",
IFERROR(INT(J4/J6),""),"")</f>
        <v>#VALUE!</v>
      </c>
      <c r="J7" s="202"/>
      <c r="K7" s="203" t="str">
        <f ca="1">IFERROR(MOD(J4,J6),"")</f>
        <v/>
      </c>
      <c r="L7" s="202"/>
      <c r="M7" s="201" t="e">
        <f ca="1">N3+N4</f>
        <v>#VALUE!</v>
      </c>
      <c r="N7" s="202"/>
      <c r="Q7" s="203" t="e">
        <f ca="1">IF(R4&lt;&gt;"",
IFERROR(INT(R4/R6),""),"")</f>
        <v>#VALUE!</v>
      </c>
      <c r="R7" s="202"/>
      <c r="S7" s="203" t="str">
        <f ca="1">IFERROR(MOD(R4,R6),"")</f>
        <v/>
      </c>
      <c r="T7" s="202"/>
      <c r="U7" s="201" t="e">
        <f ca="1">V3+V4</f>
        <v>#VALUE!</v>
      </c>
      <c r="V7" s="202"/>
      <c r="X7" s="203" t="e">
        <f ca="1">IF(Y4&lt;&gt;"",
IFERROR(INT(Y4/Y6),""),"")</f>
        <v>#VALUE!</v>
      </c>
      <c r="Y7" s="202"/>
      <c r="Z7" s="203" t="str">
        <f ca="1">IFERROR(MOD(Y4,Y6),"")</f>
        <v/>
      </c>
      <c r="AA7" s="202"/>
      <c r="AB7" s="201" t="e">
        <f ca="1">AC3+AC4</f>
        <v>#VALUE!</v>
      </c>
      <c r="AC7" s="202"/>
      <c r="AF7" s="203" t="e">
        <f ca="1">IF(AG4&lt;&gt;"",
IFERROR(INT(AG4/AG6),""),"")</f>
        <v>#VALUE!</v>
      </c>
      <c r="AG7" s="202"/>
      <c r="AH7" s="203" t="str">
        <f ca="1">IFERROR(MOD(AG4,AG6),"")</f>
        <v/>
      </c>
      <c r="AI7" s="202"/>
      <c r="AJ7" s="201" t="e">
        <f ca="1">AK3+AK4</f>
        <v>#VALUE!</v>
      </c>
      <c r="AK7" s="202"/>
      <c r="AM7" s="203" t="e">
        <f ca="1">IF(AN4&lt;&gt;"",
IFERROR(INT(AN4/AN6),""),"")</f>
        <v>#VALUE!</v>
      </c>
      <c r="AN7" s="202"/>
      <c r="AO7" s="203" t="str">
        <f ca="1">IFERROR(MOD(AN4,AN6),"")</f>
        <v/>
      </c>
      <c r="AP7" s="202"/>
      <c r="AQ7" s="201" t="e">
        <f ca="1">AR3+AR4</f>
        <v>#VALUE!</v>
      </c>
      <c r="AR7" s="202"/>
      <c r="AU7" s="203" t="e">
        <f ca="1">IF(AV4&lt;&gt;"",
IFERROR(INT(AV4/AV6),""),"")</f>
        <v>#VALUE!</v>
      </c>
      <c r="AV7" s="202"/>
      <c r="AW7" s="203" t="str">
        <f ca="1">IFERROR(MOD(AV4,AV6),"")</f>
        <v/>
      </c>
      <c r="AX7" s="202"/>
      <c r="AY7" s="201" t="e">
        <f ca="1">AZ3+AZ4</f>
        <v>#VALUE!</v>
      </c>
      <c r="AZ7" s="202"/>
      <c r="BB7" s="203" t="e">
        <f ca="1">IF(BC4&lt;&gt;"",
IFERROR(INT(BC4/BC6),""),"")</f>
        <v>#VALUE!</v>
      </c>
      <c r="BC7" s="202"/>
      <c r="BD7" s="203" t="str">
        <f ca="1">IFERROR(MOD(BC4,BC6),"")</f>
        <v/>
      </c>
      <c r="BE7" s="202"/>
      <c r="BF7" s="201" t="e">
        <f ca="1">BG3+BG4</f>
        <v>#VALUE!</v>
      </c>
      <c r="BG7" s="202"/>
      <c r="BJ7" s="203" t="e">
        <f ca="1">IF(BK4&lt;&gt;"",
IFERROR(INT(BK4/BK6),""),"")</f>
        <v>#VALUE!</v>
      </c>
      <c r="BK7" s="202"/>
      <c r="BL7" s="203" t="str">
        <f ca="1">IFERROR(MOD(BK4,BK6),"")</f>
        <v/>
      </c>
      <c r="BM7" s="202"/>
      <c r="BN7" s="201" t="e">
        <f ca="1">BO3+BO4</f>
        <v>#VALUE!</v>
      </c>
      <c r="BO7" s="202"/>
      <c r="BQ7" s="203" t="e">
        <f ca="1">IF(BR4&lt;&gt;"",
IFERROR(INT(BR4/BR6),""),"")</f>
        <v>#VALUE!</v>
      </c>
      <c r="BR7" s="202"/>
      <c r="BS7" s="203" t="str">
        <f ca="1">IFERROR(MOD(BR4,BR6),"")</f>
        <v/>
      </c>
      <c r="BT7" s="202"/>
      <c r="BU7" s="201" t="e">
        <f ca="1">BV3+BV4</f>
        <v>#VALUE!</v>
      </c>
      <c r="BV7" s="202"/>
      <c r="BY7" s="203" t="e">
        <f ca="1">IF(BZ4&lt;&gt;"",
IFERROR(INT(BZ4/BZ6),""),"")</f>
        <v>#VALUE!</v>
      </c>
      <c r="BZ7" s="202"/>
      <c r="CA7" s="203" t="str">
        <f ca="1">IFERROR(MOD(BZ4,BZ6),"")</f>
        <v/>
      </c>
      <c r="CB7" s="202"/>
      <c r="CC7" s="201" t="e">
        <f ca="1">CD3+CD4</f>
        <v>#VALUE!</v>
      </c>
      <c r="CD7" s="202"/>
      <c r="CF7" s="203" t="e">
        <f ca="1">IF(CG4&lt;&gt;"",
IFERROR(INT(CG4/CG6),""),"")</f>
        <v>#VALUE!</v>
      </c>
      <c r="CG7" s="202"/>
      <c r="CH7" s="203" t="str">
        <f ca="1">IFERROR(MOD(CG4,CG6),"")</f>
        <v/>
      </c>
      <c r="CI7" s="202"/>
      <c r="CJ7" s="201" t="e">
        <f ca="1">CK3+CK4</f>
        <v>#VALUE!</v>
      </c>
      <c r="CK7" s="202"/>
      <c r="CN7" s="203" t="e">
        <f ca="1">IF(CO4&lt;&gt;"",
IFERROR(INT(CO4/CO6),""),"")</f>
        <v>#VALUE!</v>
      </c>
      <c r="CO7" s="202"/>
      <c r="CP7" s="203" t="str">
        <f ca="1">IFERROR(MOD(CO4,CO6),"")</f>
        <v/>
      </c>
      <c r="CQ7" s="202"/>
      <c r="CR7" s="201" t="e">
        <f ca="1">CS3+CS4</f>
        <v>#VALUE!</v>
      </c>
      <c r="CS7" s="202"/>
      <c r="CU7" s="203" t="e">
        <f ca="1">IF(CV4&lt;&gt;"",
IFERROR(INT(CV4/CV6),""),"")</f>
        <v>#VALUE!</v>
      </c>
      <c r="CV7" s="202"/>
      <c r="CW7" s="203" t="str">
        <f ca="1">IFERROR(MOD(CV4,CV6),"")</f>
        <v/>
      </c>
      <c r="CX7" s="202"/>
      <c r="CY7" s="201" t="e">
        <f ca="1">CZ3+CZ4</f>
        <v>#VALUE!</v>
      </c>
      <c r="CZ7" s="202"/>
      <c r="DC7" s="203" t="e">
        <f ca="1">IF(DD4&lt;&gt;"",
IFERROR(INT(DD4/DD6),""),"")</f>
        <v>#VALUE!</v>
      </c>
      <c r="DD7" s="202"/>
      <c r="DE7" s="203" t="str">
        <f ca="1">IFERROR(MOD(DD4,DD6),"")</f>
        <v/>
      </c>
      <c r="DF7" s="202"/>
      <c r="DG7" s="201" t="e">
        <f ca="1">DH3+DH4</f>
        <v>#VALUE!</v>
      </c>
      <c r="DH7" s="202"/>
      <c r="DJ7" s="203" t="e">
        <f ca="1">IF(DK4&lt;&gt;"",
IFERROR(INT(DK4/DK6),""),"")</f>
        <v>#VALUE!</v>
      </c>
      <c r="DK7" s="202"/>
      <c r="DL7" s="203" t="str">
        <f ca="1">IFERROR(MOD(DK4,DK6),"")</f>
        <v/>
      </c>
      <c r="DM7" s="202"/>
      <c r="DN7" s="201" t="e">
        <f ca="1">DO3+DO4</f>
        <v>#VALUE!</v>
      </c>
      <c r="DO7" s="202"/>
      <c r="DR7" s="203" t="e">
        <f ca="1">IF(DS4&lt;&gt;"",
IFERROR(INT(DS4/DS6),""),"")</f>
        <v>#VALUE!</v>
      </c>
      <c r="DS7" s="202"/>
      <c r="DT7" s="203" t="str">
        <f ca="1">IFERROR(MOD(DS4,DS6),"")</f>
        <v/>
      </c>
      <c r="DU7" s="202"/>
      <c r="DV7" s="201" t="e">
        <f ca="1">DW3+DW4</f>
        <v>#VALUE!</v>
      </c>
      <c r="DW7" s="202"/>
      <c r="DY7" s="203" t="e">
        <f ca="1">IF(DZ4&lt;&gt;"",
IFERROR(INT(DZ4/DZ6),""),"")</f>
        <v>#VALUE!</v>
      </c>
      <c r="DZ7" s="202"/>
      <c r="EA7" s="203" t="str">
        <f ca="1">IFERROR(MOD(DZ4,DZ6),"")</f>
        <v/>
      </c>
      <c r="EB7" s="202"/>
      <c r="EC7" s="201" t="e">
        <f ca="1">ED3+ED4</f>
        <v>#VALUE!</v>
      </c>
      <c r="ED7" s="202"/>
      <c r="EG7" s="203" t="e">
        <f ca="1">IF(EH4&lt;&gt;"",
IFERROR(INT(EH4/EH6),""),"")</f>
        <v>#VALUE!</v>
      </c>
      <c r="EH7" s="202"/>
      <c r="EI7" s="203" t="str">
        <f ca="1">IFERROR(MOD(EH4,EH6),"")</f>
        <v/>
      </c>
      <c r="EJ7" s="202"/>
      <c r="EK7" s="201" t="e">
        <f ca="1">EL3+EL4</f>
        <v>#VALUE!</v>
      </c>
      <c r="EL7" s="202"/>
      <c r="EN7" s="203" t="e">
        <f ca="1">IF(EO4&lt;&gt;"",
IFERROR(INT(EO4/EO6),""),"")</f>
        <v>#VALUE!</v>
      </c>
      <c r="EO7" s="202"/>
      <c r="EP7" s="203" t="str">
        <f ca="1">IFERROR(MOD(EO4,EO6),"")</f>
        <v/>
      </c>
      <c r="EQ7" s="202"/>
      <c r="ER7" s="201" t="e">
        <f ca="1">ES3+ES4</f>
        <v>#VALUE!</v>
      </c>
      <c r="ES7" s="202"/>
      <c r="ET7" s="78"/>
      <c r="EU7" s="103">
        <v>7</v>
      </c>
      <c r="EV7" s="103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3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3" t="str" cm="1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3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3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3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3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3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3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3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3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3">
        <f t="shared" ca="1" si="0"/>
        <v>0</v>
      </c>
      <c r="FH7" s="103" t="e">
        <f t="array" aca="1" ref="FH7" ca="1">SUMPRODUCT((LEN(EV7:FF7)&gt;0)*1)&gt;0</f>
        <v>#VALUE!</v>
      </c>
      <c r="FI7" s="103" t="str">
        <f t="array" aca="1" ref="FI7" ca="1">IFERROR(SMALL(IF(FG$1:FG$169&lt;&gt;0,FG$1:FG$169),ROW(A7)),"")</f>
        <v/>
      </c>
      <c r="FJ7" s="103" t="str">
        <f t="array" aca="1" ref="FJ7" ca="1">IF($FI7&lt;&gt;"",
INDIRECT(""&amp;IF(COLUMN(EV7)&lt;=26,CHAR(COLUMN(EV7)+64),CHAR(INT((COLUMN(EV7)-1)/26)+64)&amp;CHAR(MOD(COLUMN(EV7)-1,26)+65))&amp;$FI7&amp;""),"")</f>
        <v/>
      </c>
      <c r="FK7" s="103" t="str">
        <f t="array" aca="1" ref="FK7" ca="1">IF($FI7&lt;&gt;"",
INDIRECT(""&amp;IF(COLUMN(EW7)&lt;=26,CHAR(COLUMN(EW7)+64),CHAR(INT((COLUMN(EW7)-1)/26)+64)&amp;CHAR(MOD(COLUMN(EW7)-1,26)+65))&amp;$FI7&amp;""),"")</f>
        <v/>
      </c>
      <c r="FL7" s="103" t="str">
        <f t="array" aca="1" ref="FL7" ca="1">IF($FI7&lt;&gt;"",
INDIRECT(""&amp;IF(COLUMN(EX7)&lt;=26,CHAR(COLUMN(EX7)+64),CHAR(INT((COLUMN(EX7)-1)/26)+64)&amp;CHAR(MOD(COLUMN(EX7)-1,26)+65))&amp;$FI7&amp;""),"")</f>
        <v/>
      </c>
      <c r="FM7" s="103" t="str">
        <f t="array" aca="1" ref="FM7" ca="1">IF($FI7&lt;&gt;"",
IF(FL7="",
INDIRECT("EY"&amp;$FI7&amp;"")&amp;"箱"
&amp;INDIRECT("EZ"&amp;$FI7&amp;""),""),"")</f>
        <v/>
      </c>
      <c r="FN7" s="103" t="str">
        <f t="array" aca="1" ref="FN7" ca="1">IF($FI7&lt;&gt;"",
INDIRECT(""&amp;IF(COLUMN(FA7)&lt;=26,CHAR(COLUMN(FA7)+64),CHAR(INT((COLUMN(FA7)-1)/26)+64)&amp;CHAR(MOD(COLUMN(FA7)-1,26)+65))&amp;$FI7&amp;""),"")</f>
        <v/>
      </c>
      <c r="FO7" s="103" t="str">
        <f t="array" aca="1" ref="FO7" ca="1">IF($FI7&lt;&gt;"",
INDIRECT(""&amp;IF(COLUMN(FB7)&lt;=26,CHAR(COLUMN(FB7)+64),CHAR(INT((COLUMN(FB7)-1)/26)+64)&amp;CHAR(MOD(COLUMN(FB7)-1,26)+65))&amp;$FI7&amp;""),"")</f>
        <v/>
      </c>
      <c r="FP7" s="103" t="str">
        <f t="array" aca="1" ref="FP7" ca="1">IF($FI7&lt;&gt;"",
INDIRECT(""&amp;IF(COLUMN(FC7)&lt;=26,CHAR(COLUMN(FC7)+64),CHAR(INT((COLUMN(FC7)-1)/26)+64)&amp;CHAR(MOD(COLUMN(FC7)-1,26)+65))&amp;$FI7&amp;""),"")</f>
        <v/>
      </c>
      <c r="FQ7" s="103" t="str">
        <f t="array" aca="1" ref="FQ7" ca="1">IF($FI7&lt;&gt;"",
INDIRECT(""&amp;IF(COLUMN(FD7)&lt;=26,CHAR(COLUMN(FD7)+64),CHAR(INT((COLUMN(FD7)-1)/26)+64)&amp;CHAR(MOD(COLUMN(FD7)-1,26)+65))&amp;$FI7&amp;""),"")</f>
        <v/>
      </c>
      <c r="FR7" s="103" t="str">
        <f t="array" aca="1" ref="FR7" ca="1">IF($FI7&lt;&gt;"",
INDIRECT(""&amp;IF(COLUMN(FE7)&lt;=26,CHAR(COLUMN(FE7)+64),CHAR(INT((COLUMN(FE7)-1)/26)+64)&amp;CHAR(MOD(COLUMN(FE7)-1,26)+65))&amp;$FI7&amp;""),"")</f>
        <v/>
      </c>
      <c r="FS7" s="103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3" customFormat="1" ht="18" customHeight="1" x14ac:dyDescent="0.55000000000000004">
      <c r="A8" s="101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2" t="e">
        <f t="array" aca="1" ref="B8" ca="1">GetResult(A8)</f>
        <v>#VALUE!</v>
      </c>
      <c r="C8" s="198" t="str">
        <f ca="1">IF(C9&lt;&gt;"",
IF(LEFT(G8,2)="博多",
LEFT(G8,FIND("週",G8)-1),
G8),"")</f>
        <v/>
      </c>
      <c r="D8" s="199"/>
      <c r="E8" s="199"/>
      <c r="F8" s="199"/>
      <c r="G8" s="120" t="e">
        <f t="array" aca="1" ref="G8" ca="1">INDIRECT("数出表_Excel!A"&amp;B8)</f>
        <v>#VALUE!</v>
      </c>
      <c r="H8" s="101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2" t="e">
        <f t="array" aca="1" ref="I8" ca="1">GetResult(H8)</f>
        <v>#VALUE!</v>
      </c>
      <c r="J8" s="198" t="str">
        <f ca="1">IF(J9&lt;&gt;"",
IF(LEFT(N8,2)="博多",
LEFT(N8,FIND("週",N8)-1),
N8),"")</f>
        <v/>
      </c>
      <c r="K8" s="199"/>
      <c r="L8" s="199"/>
      <c r="M8" s="199"/>
      <c r="N8" s="116" t="e">
        <f t="array" aca="1" ref="N8" ca="1">INDIRECT("数出表_Excel!A"&amp;I8)</f>
        <v>#VALUE!</v>
      </c>
      <c r="O8" s="101"/>
      <c r="P8" s="101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2" t="e">
        <f t="array" aca="1" ref="Q8" ca="1">GetResult(P8)</f>
        <v>#VALUE!</v>
      </c>
      <c r="R8" s="198" t="str">
        <f ca="1">IF(R9&lt;&gt;"",
IF(LEFT(V8,2)="博多",
LEFT(V8,FIND("週",V8)-1),
V8),"")</f>
        <v/>
      </c>
      <c r="S8" s="199"/>
      <c r="T8" s="199"/>
      <c r="U8" s="199"/>
      <c r="V8" s="120" t="e">
        <f t="array" aca="1" ref="V8" ca="1">INDIRECT("数出表_Excel!A"&amp;Q8)</f>
        <v>#VALUE!</v>
      </c>
      <c r="W8" s="101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2" t="e">
        <f t="array" aca="1" ref="X8" ca="1">GetResult(W8)</f>
        <v>#VALUE!</v>
      </c>
      <c r="Y8" s="198" t="str">
        <f ca="1">IF(Y9&lt;&gt;"",
IF(LEFT(AC8,2)="博多",
LEFT(AC8,FIND("週",AC8)-1),
AC8),"")</f>
        <v/>
      </c>
      <c r="Z8" s="199"/>
      <c r="AA8" s="199"/>
      <c r="AB8" s="199"/>
      <c r="AC8" s="116" t="e">
        <f t="array" aca="1" ref="AC8" ca="1">INDIRECT("数出表_Excel!A"&amp;X8)</f>
        <v>#VALUE!</v>
      </c>
      <c r="AD8" s="101"/>
      <c r="AE8" s="101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2" t="e">
        <f t="array" aca="1" ref="AF8" ca="1">GetResult(AE8)</f>
        <v>#VALUE!</v>
      </c>
      <c r="AG8" s="198" t="str">
        <f ca="1">IF(AG9&lt;&gt;"",
IF(LEFT(AK8,2)="博多",
LEFT(AK8,FIND("週",AK8)-1),
AK8),"")</f>
        <v/>
      </c>
      <c r="AH8" s="199"/>
      <c r="AI8" s="199"/>
      <c r="AJ8" s="199"/>
      <c r="AK8" s="120" t="e">
        <f t="array" aca="1" ref="AK8" ca="1">INDIRECT("数出表_Excel!A"&amp;AF8)</f>
        <v>#VALUE!</v>
      </c>
      <c r="AL8" s="101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2" t="e">
        <f t="array" aca="1" ref="AM8" ca="1">GetResult(AL8)</f>
        <v>#VALUE!</v>
      </c>
      <c r="AN8" s="198" t="str">
        <f ca="1">IF(AN9&lt;&gt;"",
IF(LEFT(AR8,2)="博多",
LEFT(AR8,FIND("週",AR8)-1),
AR8),"")</f>
        <v/>
      </c>
      <c r="AO8" s="199"/>
      <c r="AP8" s="199"/>
      <c r="AQ8" s="199"/>
      <c r="AR8" s="116" t="e">
        <f t="array" aca="1" ref="AR8" ca="1">INDIRECT("数出表_Excel!A"&amp;AM8)</f>
        <v>#VALUE!</v>
      </c>
      <c r="AS8" s="101"/>
      <c r="AT8" s="101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2" t="e">
        <f t="array" aca="1" ref="AU8" ca="1">GetResult(AT8)</f>
        <v>#VALUE!</v>
      </c>
      <c r="AV8" s="198" t="str">
        <f ca="1">IF(AV9&lt;&gt;"",
IF(LEFT(AZ8,2)="博多",
LEFT(AZ8,FIND("週",AZ8)-1),
AZ8),"")</f>
        <v/>
      </c>
      <c r="AW8" s="199"/>
      <c r="AX8" s="199"/>
      <c r="AY8" s="199"/>
      <c r="AZ8" s="120" t="e">
        <f t="array" aca="1" ref="AZ8" ca="1">INDIRECT("数出表_Excel!A"&amp;AU8)</f>
        <v>#VALUE!</v>
      </c>
      <c r="BA8" s="101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2" t="e">
        <f t="array" aca="1" ref="BB8" ca="1">GetResult(BA8)</f>
        <v>#VALUE!</v>
      </c>
      <c r="BC8" s="198" t="str">
        <f ca="1">IF(BC9&lt;&gt;"",
IF(LEFT(BG8,2)="博多",
LEFT(BG8,FIND("週",BG8)-1),
BG8),"")</f>
        <v/>
      </c>
      <c r="BD8" s="199"/>
      <c r="BE8" s="199"/>
      <c r="BF8" s="199"/>
      <c r="BG8" s="116" t="e">
        <f t="array" aca="1" ref="BG8" ca="1">INDIRECT("数出表_Excel!A"&amp;BB8)</f>
        <v>#VALUE!</v>
      </c>
      <c r="BH8" s="101"/>
      <c r="BI8" s="101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2" t="e">
        <f t="array" aca="1" ref="BJ8" ca="1">GetResult(BI8)</f>
        <v>#VALUE!</v>
      </c>
      <c r="BK8" s="198" t="str">
        <f ca="1">IF(BK9&lt;&gt;"",
IF(LEFT(BO8,2)="博多",
LEFT(BO8,FIND("週",BO8)-1),
BO8),"")</f>
        <v/>
      </c>
      <c r="BL8" s="199"/>
      <c r="BM8" s="199"/>
      <c r="BN8" s="199"/>
      <c r="BO8" s="120" t="e">
        <f t="array" aca="1" ref="BO8" ca="1">INDIRECT("数出表_Excel!A"&amp;BJ8)</f>
        <v>#VALUE!</v>
      </c>
      <c r="BP8" s="101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2" t="e">
        <f t="array" aca="1" ref="BQ8" ca="1">GetResult(BP8)</f>
        <v>#VALUE!</v>
      </c>
      <c r="BR8" s="198" t="str">
        <f ca="1">IF(BR9&lt;&gt;"",
IF(LEFT(BV8,2)="博多",
LEFT(BV8,FIND("週",BV8)-1),
BV8),"")</f>
        <v/>
      </c>
      <c r="BS8" s="199"/>
      <c r="BT8" s="199"/>
      <c r="BU8" s="199"/>
      <c r="BV8" s="116" t="e">
        <f t="array" aca="1" ref="BV8" ca="1">INDIRECT("数出表_Excel!A"&amp;BQ8)</f>
        <v>#VALUE!</v>
      </c>
      <c r="BW8" s="101"/>
      <c r="BX8" s="101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2" t="e">
        <f t="array" aca="1" ref="BY8" ca="1">GetResult(BX8)</f>
        <v>#VALUE!</v>
      </c>
      <c r="BZ8" s="198" t="str">
        <f ca="1">IF(BZ9&lt;&gt;"",
IF(LEFT(CD8,2)="博多",
LEFT(CD8,FIND("週",CD8)-1),
CD8),"")</f>
        <v/>
      </c>
      <c r="CA8" s="199"/>
      <c r="CB8" s="199"/>
      <c r="CC8" s="199"/>
      <c r="CD8" s="120" t="e">
        <f t="array" aca="1" ref="CD8" ca="1">INDIRECT("数出表_Excel!A"&amp;BY8)</f>
        <v>#VALUE!</v>
      </c>
      <c r="CE8" s="101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2" t="e">
        <f t="array" aca="1" ref="CF8" ca="1">GetResult(CE8)</f>
        <v>#VALUE!</v>
      </c>
      <c r="CG8" s="198" t="str">
        <f ca="1">IF(CG9&lt;&gt;"",
IF(LEFT(CK8,2)="博多",
LEFT(CK8,FIND("週",CK8)-1),
CK8),"")</f>
        <v/>
      </c>
      <c r="CH8" s="199"/>
      <c r="CI8" s="199"/>
      <c r="CJ8" s="199"/>
      <c r="CK8" s="116" t="e">
        <f t="array" aca="1" ref="CK8" ca="1">INDIRECT("数出表_Excel!A"&amp;CF8)</f>
        <v>#VALUE!</v>
      </c>
      <c r="CL8" s="101"/>
      <c r="CM8" s="101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2" t="e">
        <f t="array" aca="1" ref="CN8" ca="1">GetResult(CM8)</f>
        <v>#VALUE!</v>
      </c>
      <c r="CO8" s="198" t="str">
        <f ca="1">IF(CO9&lt;&gt;"",
IF(LEFT(CS8,2)="博多",
LEFT(CS8,FIND("週",CS8)-1),
CS8),"")</f>
        <v/>
      </c>
      <c r="CP8" s="199"/>
      <c r="CQ8" s="199"/>
      <c r="CR8" s="199"/>
      <c r="CS8" s="120" t="e">
        <f t="array" aca="1" ref="CS8" ca="1">INDIRECT("数出表_Excel!A"&amp;CN8)</f>
        <v>#VALUE!</v>
      </c>
      <c r="CT8" s="101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2" t="e">
        <f t="array" aca="1" ref="CU8" ca="1">GetResult(CT8)</f>
        <v>#VALUE!</v>
      </c>
      <c r="CV8" s="198" t="str">
        <f ca="1">IF(CV9&lt;&gt;"",
IF(LEFT(CZ8,2)="博多",
LEFT(CZ8,FIND("週",CZ8)-1),
CZ8),"")</f>
        <v/>
      </c>
      <c r="CW8" s="199"/>
      <c r="CX8" s="199"/>
      <c r="CY8" s="199"/>
      <c r="CZ8" s="116" t="e">
        <f t="array" aca="1" ref="CZ8" ca="1">INDIRECT("数出表_Excel!A"&amp;CU8)</f>
        <v>#VALUE!</v>
      </c>
      <c r="DA8" s="101"/>
      <c r="DB8" s="101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2" t="e">
        <f t="array" aca="1" ref="DC8" ca="1">GetResult(DB8)</f>
        <v>#VALUE!</v>
      </c>
      <c r="DD8" s="198" t="str">
        <f ca="1">IF(DD9&lt;&gt;"",
IF(LEFT(DH8,2)="博多",
LEFT(DH8,FIND("週",DH8)-1),
DH8),"")</f>
        <v/>
      </c>
      <c r="DE8" s="199"/>
      <c r="DF8" s="199"/>
      <c r="DG8" s="199"/>
      <c r="DH8" s="120" t="e">
        <f t="array" aca="1" ref="DH8" ca="1">INDIRECT("数出表_Excel!A"&amp;DC8)</f>
        <v>#VALUE!</v>
      </c>
      <c r="DI8" s="101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2" t="e">
        <f t="array" aca="1" ref="DJ8" ca="1">GetResult(DI8)</f>
        <v>#VALUE!</v>
      </c>
      <c r="DK8" s="198" t="str">
        <f ca="1">IF(DK9&lt;&gt;"",
IF(LEFT(DO8,2)="博多",
LEFT(DO8,FIND("週",DO8)-1),
DO8),"")</f>
        <v/>
      </c>
      <c r="DL8" s="199"/>
      <c r="DM8" s="199"/>
      <c r="DN8" s="199"/>
      <c r="DO8" s="116" t="e">
        <f t="array" aca="1" ref="DO8" ca="1">INDIRECT("数出表_Excel!A"&amp;DJ8)</f>
        <v>#VALUE!</v>
      </c>
      <c r="DP8" s="101"/>
      <c r="DQ8" s="101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2" t="e">
        <f t="array" aca="1" ref="DR8" ca="1">GetResult(DQ8)</f>
        <v>#VALUE!</v>
      </c>
      <c r="DS8" s="198" t="str">
        <f ca="1">IF(DS9&lt;&gt;"",
IF(LEFT(DW8,2)="博多",
LEFT(DW8,FIND("週",DW8)-1),
DW8),"")</f>
        <v/>
      </c>
      <c r="DT8" s="199"/>
      <c r="DU8" s="199"/>
      <c r="DV8" s="199"/>
      <c r="DW8" s="120" t="e">
        <f t="array" aca="1" ref="DW8" ca="1">INDIRECT("数出表_Excel!A"&amp;DR8)</f>
        <v>#VALUE!</v>
      </c>
      <c r="DX8" s="101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2" t="e">
        <f t="array" aca="1" ref="DY8" ca="1">GetResult(DX8)</f>
        <v>#VALUE!</v>
      </c>
      <c r="DZ8" s="198" t="str">
        <f ca="1">IF(DZ9&lt;&gt;"",
IF(LEFT(ED8,2)="博多",
LEFT(ED8,FIND("週",ED8)-1),
ED8),"")</f>
        <v/>
      </c>
      <c r="EA8" s="199"/>
      <c r="EB8" s="199"/>
      <c r="EC8" s="199"/>
      <c r="ED8" s="116" t="e">
        <f t="array" aca="1" ref="ED8" ca="1">INDIRECT("数出表_Excel!A"&amp;DY8)</f>
        <v>#VALUE!</v>
      </c>
      <c r="EE8" s="101"/>
      <c r="EF8" s="101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102" t="e">
        <f t="array" aca="1" ref="EG8" ca="1">GetResult(EF8)</f>
        <v>#VALUE!</v>
      </c>
      <c r="EH8" s="198" t="str">
        <f ca="1">IF(EH9&lt;&gt;"",
IF(LEFT(EL8,2)="博多",
LEFT(EL8,FIND("週",EL8)-1),
EL8),"")</f>
        <v/>
      </c>
      <c r="EI8" s="199"/>
      <c r="EJ8" s="199"/>
      <c r="EK8" s="199"/>
      <c r="EL8" s="120" t="e">
        <f t="array" aca="1" ref="EL8" ca="1">INDIRECT("数出表_Excel!A"&amp;EG8)</f>
        <v>#VALUE!</v>
      </c>
      <c r="EM8" s="101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102" t="e">
        <f t="array" aca="1" ref="EN8" ca="1">GetResult(EM8)</f>
        <v>#VALUE!</v>
      </c>
      <c r="EO8" s="198" t="str">
        <f ca="1">IF(EO9&lt;&gt;"",
IF(LEFT(ES8,2)="博多",
LEFT(ES8,FIND("週",ES8)-1),
ES8),"")</f>
        <v/>
      </c>
      <c r="EP8" s="199"/>
      <c r="EQ8" s="199"/>
      <c r="ER8" s="199"/>
      <c r="ES8" s="116" t="e">
        <f t="array" aca="1" ref="ES8" ca="1">INDIRECT("数出表_Excel!A"&amp;EN8)</f>
        <v>#VALUE!</v>
      </c>
      <c r="ET8" s="132"/>
      <c r="EU8" s="103">
        <f t="shared" ref="EU8:EU24" si="1">EU4+7</f>
        <v>49</v>
      </c>
      <c r="EV8" s="103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03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03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03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03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03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03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3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03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03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3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03">
        <f t="shared" ca="1" si="0"/>
        <v>0</v>
      </c>
      <c r="FH8" s="103" t="b">
        <f t="array" aca="1" ref="FH8" ca="1">SUMPRODUCT((LEN(EV8:FF8)&gt;0)*1)&gt;0</f>
        <v>0</v>
      </c>
      <c r="FI8" s="103" t="str">
        <f t="array" aca="1" ref="FI8" ca="1">IFERROR(SMALL(IF(FG$1:FG$169&lt;&gt;0,FG$1:FG$169),ROW(A8)),"")</f>
        <v/>
      </c>
      <c r="FJ8" s="103" t="str">
        <f t="array" aca="1" ref="FJ8" ca="1">IF($FI8&lt;&gt;"",
INDIRECT(""&amp;IF(COLUMN(EV8)&lt;=26,CHAR(COLUMN(EV8)+64),CHAR(INT((COLUMN(EV8)-1)/26)+64)&amp;CHAR(MOD(COLUMN(EV8)-1,26)+65))&amp;$FI8&amp;""),"")</f>
        <v/>
      </c>
      <c r="FK8" s="103" t="str">
        <f t="array" aca="1" ref="FK8" ca="1">IF($FI8&lt;&gt;"",
INDIRECT(""&amp;IF(COLUMN(EW8)&lt;=26,CHAR(COLUMN(EW8)+64),CHAR(INT((COLUMN(EW8)-1)/26)+64)&amp;CHAR(MOD(COLUMN(EW8)-1,26)+65))&amp;$FI8&amp;""),"")</f>
        <v/>
      </c>
      <c r="FL8" s="103" t="str">
        <f t="array" aca="1" ref="FL8" ca="1">IF($FI8&lt;&gt;"",
INDIRECT(""&amp;IF(COLUMN(EX8)&lt;=26,CHAR(COLUMN(EX8)+64),CHAR(INT((COLUMN(EX8)-1)/26)+64)&amp;CHAR(MOD(COLUMN(EX8)-1,26)+65))&amp;$FI8&amp;""),"")</f>
        <v/>
      </c>
      <c r="FM8" s="103" t="str">
        <f t="array" aca="1" ref="FM8" ca="1">IF($FI8&lt;&gt;"",
IF(FL8="",
INDIRECT("EY"&amp;$FI8&amp;"")&amp;"箱"
&amp;INDIRECT("EZ"&amp;$FI8&amp;""),""),"")</f>
        <v/>
      </c>
      <c r="FN8" s="103" t="str">
        <f t="array" aca="1" ref="FN8" ca="1">IF($FI8&lt;&gt;"",
INDIRECT(""&amp;IF(COLUMN(FA8)&lt;=26,CHAR(COLUMN(FA8)+64),CHAR(INT((COLUMN(FA8)-1)/26)+64)&amp;CHAR(MOD(COLUMN(FA8)-1,26)+65))&amp;$FI8&amp;""),"")</f>
        <v/>
      </c>
      <c r="FO8" s="103" t="str">
        <f t="array" aca="1" ref="FO8" ca="1">IF($FI8&lt;&gt;"",
INDIRECT(""&amp;IF(COLUMN(FB8)&lt;=26,CHAR(COLUMN(FB8)+64),CHAR(INT((COLUMN(FB8)-1)/26)+64)&amp;CHAR(MOD(COLUMN(FB8)-1,26)+65))&amp;$FI8&amp;""),"")</f>
        <v/>
      </c>
      <c r="FP8" s="103" t="str">
        <f t="array" aca="1" ref="FP8" ca="1">IF($FI8&lt;&gt;"",
INDIRECT(""&amp;IF(COLUMN(FC8)&lt;=26,CHAR(COLUMN(FC8)+64),CHAR(INT((COLUMN(FC8)-1)/26)+64)&amp;CHAR(MOD(COLUMN(FC8)-1,26)+65))&amp;$FI8&amp;""),"")</f>
        <v/>
      </c>
      <c r="FQ8" s="103" t="str">
        <f t="array" aca="1" ref="FQ8" ca="1">IF($FI8&lt;&gt;"",
INDIRECT(""&amp;IF(COLUMN(FD8)&lt;=26,CHAR(COLUMN(FD8)+64),CHAR(INT((COLUMN(FD8)-1)/26)+64)&amp;CHAR(MOD(COLUMN(FD8)-1,26)+65))&amp;$FI8&amp;""),"")</f>
        <v/>
      </c>
      <c r="FR8" s="103" t="str">
        <f t="array" aca="1" ref="FR8" ca="1">IF($FI8&lt;&gt;"",
INDIRECT(""&amp;IF(COLUMN(FE8)&lt;=26,CHAR(COLUMN(FE8)+64),CHAR(INT((COLUMN(FE8)-1)/26)+64)&amp;CHAR(MOD(COLUMN(FE8)-1,26)+65))&amp;$FI8&amp;""),"")</f>
        <v/>
      </c>
      <c r="FS8" s="103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3" customFormat="1" ht="18" customHeight="1" x14ac:dyDescent="0.55000000000000004">
      <c r="A9" s="101"/>
      <c r="B9" s="106" t="str">
        <f t="array" aca="1" ref="B9" ca="1">IF(C8&lt;&gt;"",MATCH(TRUE,INDIRECT("数出表_Excel!B"&amp;MATCH(G8,数出表_Excel!$A:$A,0)-1&amp;":U"&amp;MATCH(G8,数出表_Excel!$A:$A,0)-1&amp;"")&lt;&gt;"",0)+1,"")</f>
        <v/>
      </c>
      <c r="C9" s="65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1"/>
      <c r="E9" s="107" t="str" cm="1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108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1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1"/>
      <c r="I9" s="106" t="str">
        <f t="array" aca="1" ref="I9" ca="1">IF(J8&lt;&gt;"",MATCH(TRUE,INDIRECT("数出表_Excel!B"&amp;MATCH(N8,数出表_Excel!$A:$A,0)-1&amp;":U"&amp;MATCH(N8,数出表_Excel!$A:$A,0)-1&amp;"")&lt;&gt;"",0)+1,"")</f>
        <v/>
      </c>
      <c r="J9" s="65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1"/>
      <c r="L9" s="107" t="str" cm="1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108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7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1"/>
      <c r="P9" s="101"/>
      <c r="Q9" s="106" t="str">
        <f t="array" aca="1" ref="Q9" ca="1">IF(R8&lt;&gt;"",MATCH(TRUE,INDIRECT("数出表_Excel!B"&amp;MATCH(V8,数出表_Excel!$A:$A,0)-1&amp;":U"&amp;MATCH(V8,数出表_Excel!$A:$A,0)-1&amp;"")&lt;&gt;"",0)+1,"")</f>
        <v/>
      </c>
      <c r="R9" s="65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1"/>
      <c r="T9" s="107" t="str" cm="1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108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1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1"/>
      <c r="X9" s="106" t="str">
        <f t="array" aca="1" ref="X9" ca="1">IF(Y8&lt;&gt;"",MATCH(TRUE,INDIRECT("数出表_Excel!B"&amp;MATCH(AC8,数出表_Excel!$A:$A,0)-1&amp;":U"&amp;MATCH(AC8,数出表_Excel!$A:$A,0)-1&amp;"")&lt;&gt;"",0)+1,"")</f>
        <v/>
      </c>
      <c r="Y9" s="65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1"/>
      <c r="AA9" s="107" t="str" cm="1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108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7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1"/>
      <c r="AE9" s="101"/>
      <c r="AF9" s="106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5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1"/>
      <c r="AI9" s="107" t="str" cm="1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108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1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1"/>
      <c r="AM9" s="106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5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1"/>
      <c r="AP9" s="107" t="str" cm="1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108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7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1"/>
      <c r="AT9" s="101"/>
      <c r="AU9" s="106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5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1"/>
      <c r="AX9" s="107" t="str" cm="1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108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1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1"/>
      <c r="BB9" s="106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5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1"/>
      <c r="BE9" s="107" t="str" cm="1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108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7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1"/>
      <c r="BI9" s="101"/>
      <c r="BJ9" s="106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5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1"/>
      <c r="BM9" s="107" t="str" cm="1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108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1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1"/>
      <c r="BQ9" s="106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5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1"/>
      <c r="BT9" s="107" t="str" cm="1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108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7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1"/>
      <c r="BX9" s="101"/>
      <c r="BY9" s="106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5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1"/>
      <c r="CB9" s="107" t="str" cm="1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108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1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1"/>
      <c r="CF9" s="106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5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1"/>
      <c r="CI9" s="107" t="str" cm="1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108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7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1"/>
      <c r="CM9" s="101"/>
      <c r="CN9" s="106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5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1"/>
      <c r="CQ9" s="107" t="str" cm="1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108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1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1"/>
      <c r="CU9" s="106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5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1"/>
      <c r="CX9" s="107" t="str" cm="1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108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7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1"/>
      <c r="DB9" s="101"/>
      <c r="DC9" s="106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5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1"/>
      <c r="DF9" s="107" t="str" cm="1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108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1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1"/>
      <c r="DJ9" s="106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5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1"/>
      <c r="DM9" s="107" t="str" cm="1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108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7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1"/>
      <c r="DQ9" s="101"/>
      <c r="DR9" s="106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5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1"/>
      <c r="DU9" s="107" t="str" cm="1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108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1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1"/>
      <c r="DY9" s="106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5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1"/>
      <c r="EB9" s="107" t="str" cm="1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108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7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1"/>
      <c r="EF9" s="101"/>
      <c r="EG9" s="106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5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101"/>
      <c r="EJ9" s="107" t="str" cm="1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108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21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101"/>
      <c r="EN9" s="106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5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101"/>
      <c r="EQ9" s="107" t="str" cm="1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108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117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3"/>
      <c r="EU9" s="103">
        <f t="shared" si="1"/>
        <v>14</v>
      </c>
      <c r="EV9" s="103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3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3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3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3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3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3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3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3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3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3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3">
        <f t="shared" ca="1" si="0"/>
        <v>0</v>
      </c>
      <c r="FH9" s="103" t="e">
        <f t="array" aca="1" ref="FH9" ca="1">SUMPRODUCT((LEN(EV9:FF9)&gt;0)*1)&gt;0</f>
        <v>#VALUE!</v>
      </c>
      <c r="FI9" s="103" t="str">
        <f t="array" aca="1" ref="FI9" ca="1">IFERROR(SMALL(IF(FG$1:FG$169&lt;&gt;0,FG$1:FG$169),ROW(A9)),"")</f>
        <v/>
      </c>
      <c r="FJ9" s="103" t="str">
        <f t="array" aca="1" ref="FJ9" ca="1">IF($FI9&lt;&gt;"",
INDIRECT(""&amp;IF(COLUMN(EV9)&lt;=26,CHAR(COLUMN(EV9)+64),CHAR(INT((COLUMN(EV9)-1)/26)+64)&amp;CHAR(MOD(COLUMN(EV9)-1,26)+65))&amp;$FI9&amp;""),"")</f>
        <v/>
      </c>
      <c r="FK9" s="103" t="str">
        <f t="array" aca="1" ref="FK9" ca="1">IF($FI9&lt;&gt;"",
INDIRECT(""&amp;IF(COLUMN(EW9)&lt;=26,CHAR(COLUMN(EW9)+64),CHAR(INT((COLUMN(EW9)-1)/26)+64)&amp;CHAR(MOD(COLUMN(EW9)-1,26)+65))&amp;$FI9&amp;""),"")</f>
        <v/>
      </c>
      <c r="FL9" s="103" t="str">
        <f t="array" aca="1" ref="FL9" ca="1">IF($FI9&lt;&gt;"",
INDIRECT(""&amp;IF(COLUMN(EX9)&lt;=26,CHAR(COLUMN(EX9)+64),CHAR(INT((COLUMN(EX9)-1)/26)+64)&amp;CHAR(MOD(COLUMN(EX9)-1,26)+65))&amp;$FI9&amp;""),"")</f>
        <v/>
      </c>
      <c r="FM9" s="103" t="str">
        <f t="array" aca="1" ref="FM9" ca="1">IF($FI9&lt;&gt;"",
IF(FL9="",
INDIRECT("EY"&amp;$FI9&amp;"")&amp;"箱"
&amp;INDIRECT("EZ"&amp;$FI9&amp;""),""),"")</f>
        <v/>
      </c>
      <c r="FN9" s="103" t="str">
        <f t="array" aca="1" ref="FN9" ca="1">IF($FI9&lt;&gt;"",
INDIRECT(""&amp;IF(COLUMN(FA9)&lt;=26,CHAR(COLUMN(FA9)+64),CHAR(INT((COLUMN(FA9)-1)/26)+64)&amp;CHAR(MOD(COLUMN(FA9)-1,26)+65))&amp;$FI9&amp;""),"")</f>
        <v/>
      </c>
      <c r="FO9" s="103" t="str">
        <f t="array" aca="1" ref="FO9" ca="1">IF($FI9&lt;&gt;"",
INDIRECT(""&amp;IF(COLUMN(FB9)&lt;=26,CHAR(COLUMN(FB9)+64),CHAR(INT((COLUMN(FB9)-1)/26)+64)&amp;CHAR(MOD(COLUMN(FB9)-1,26)+65))&amp;$FI9&amp;""),"")</f>
        <v/>
      </c>
      <c r="FP9" s="103" t="str">
        <f t="array" aca="1" ref="FP9" ca="1">IF($FI9&lt;&gt;"",
INDIRECT(""&amp;IF(COLUMN(FC9)&lt;=26,CHAR(COLUMN(FC9)+64),CHAR(INT((COLUMN(FC9)-1)/26)+64)&amp;CHAR(MOD(COLUMN(FC9)-1,26)+65))&amp;$FI9&amp;""),"")</f>
        <v/>
      </c>
      <c r="FQ9" s="103" t="str">
        <f t="array" aca="1" ref="FQ9" ca="1">IF($FI9&lt;&gt;"",
INDIRECT(""&amp;IF(COLUMN(FD9)&lt;=26,CHAR(COLUMN(FD9)+64),CHAR(INT((COLUMN(FD9)-1)/26)+64)&amp;CHAR(MOD(COLUMN(FD9)-1,26)+65))&amp;$FI9&amp;""),"")</f>
        <v/>
      </c>
      <c r="FR9" s="103" t="str">
        <f t="array" aca="1" ref="FR9" ca="1">IF($FI9&lt;&gt;"",
INDIRECT(""&amp;IF(COLUMN(FE9)&lt;=26,CHAR(COLUMN(FE9)+64),CHAR(INT((COLUMN(FE9)-1)/26)+64)&amp;CHAR(MOD(COLUMN(FE9)-1,26)+65))&amp;$FI9&amp;""),"")</f>
        <v/>
      </c>
      <c r="FS9" s="103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3" customFormat="1" ht="22.2" customHeight="1" x14ac:dyDescent="0.55000000000000004">
      <c r="A10" s="101"/>
      <c r="B10" s="109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96" t="str">
        <f ca="1">IF(C9&lt;&gt;"",
"園児","")</f>
        <v/>
      </c>
      <c r="D10" s="197"/>
      <c r="E10" s="200" t="str">
        <f ca="1">IF(C9&lt;&gt;"",
"先生","")</f>
        <v/>
      </c>
      <c r="F10" s="197"/>
      <c r="G10" s="122" cm="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101"/>
      <c r="I10" s="109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96" t="str">
        <f ca="1">IF(J9&lt;&gt;"",
"園児","")</f>
        <v/>
      </c>
      <c r="K10" s="197"/>
      <c r="L10" s="200" t="str">
        <f ca="1">IF(J9&lt;&gt;"",
"先生","")</f>
        <v/>
      </c>
      <c r="M10" s="197"/>
      <c r="N10" s="122" cm="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101"/>
      <c r="P10" s="101"/>
      <c r="Q10" s="109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96" t="str">
        <f ca="1">IF(R9&lt;&gt;"",
"園児","")</f>
        <v/>
      </c>
      <c r="S10" s="197"/>
      <c r="T10" s="200" t="str">
        <f ca="1">IF(R9&lt;&gt;"",
"先生","")</f>
        <v/>
      </c>
      <c r="U10" s="197"/>
      <c r="V10" s="122" cm="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101"/>
      <c r="X10" s="109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96" t="str">
        <f ca="1">IF(Y9&lt;&gt;"",
"園児","")</f>
        <v/>
      </c>
      <c r="Z10" s="197"/>
      <c r="AA10" s="200" t="str">
        <f ca="1">IF(Y9&lt;&gt;"",
"先生","")</f>
        <v/>
      </c>
      <c r="AB10" s="197"/>
      <c r="AC10" s="122" cm="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101"/>
      <c r="AE10" s="101"/>
      <c r="AF10" s="109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96" t="str">
        <f ca="1">IF(AG9&lt;&gt;"",
"園児","")</f>
        <v/>
      </c>
      <c r="AH10" s="197"/>
      <c r="AI10" s="200" t="str">
        <f ca="1">IF(AG9&lt;&gt;"",
"先生","")</f>
        <v/>
      </c>
      <c r="AJ10" s="197"/>
      <c r="AK10" s="122" cm="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101"/>
      <c r="AM10" s="109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96" t="str">
        <f ca="1">IF(AN9&lt;&gt;"",
"園児","")</f>
        <v/>
      </c>
      <c r="AO10" s="197"/>
      <c r="AP10" s="200" t="str">
        <f ca="1">IF(AN9&lt;&gt;"",
"先生","")</f>
        <v/>
      </c>
      <c r="AQ10" s="197"/>
      <c r="AR10" s="122" cm="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101"/>
      <c r="AT10" s="101"/>
      <c r="AU10" s="109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96" t="str">
        <f ca="1">IF(AV9&lt;&gt;"",
"園児","")</f>
        <v/>
      </c>
      <c r="AW10" s="197"/>
      <c r="AX10" s="200" t="str">
        <f ca="1">IF(AV9&lt;&gt;"",
"先生","")</f>
        <v/>
      </c>
      <c r="AY10" s="197"/>
      <c r="AZ10" s="122" cm="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101"/>
      <c r="BB10" s="109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96" t="str">
        <f ca="1">IF(BC9&lt;&gt;"",
"園児","")</f>
        <v/>
      </c>
      <c r="BD10" s="197"/>
      <c r="BE10" s="200" t="str">
        <f ca="1">IF(BC9&lt;&gt;"",
"先生","")</f>
        <v/>
      </c>
      <c r="BF10" s="197"/>
      <c r="BG10" s="122" cm="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101"/>
      <c r="BI10" s="101"/>
      <c r="BJ10" s="109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96" t="str">
        <f ca="1">IF(BK9&lt;&gt;"",
"園児","")</f>
        <v/>
      </c>
      <c r="BL10" s="197"/>
      <c r="BM10" s="200" t="str">
        <f ca="1">IF(BK9&lt;&gt;"",
"先生","")</f>
        <v/>
      </c>
      <c r="BN10" s="197"/>
      <c r="BO10" s="122" cm="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101"/>
      <c r="BQ10" s="109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96" t="str">
        <f ca="1">IF(BR9&lt;&gt;"",
"園児","")</f>
        <v/>
      </c>
      <c r="BS10" s="197"/>
      <c r="BT10" s="200" t="str">
        <f ca="1">IF(BR9&lt;&gt;"",
"先生","")</f>
        <v/>
      </c>
      <c r="BU10" s="197"/>
      <c r="BV10" s="122" cm="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101"/>
      <c r="BX10" s="101"/>
      <c r="BY10" s="109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196" t="str">
        <f ca="1">IF(BZ9&lt;&gt;"",
"園児","")</f>
        <v/>
      </c>
      <c r="CA10" s="197"/>
      <c r="CB10" s="200" t="str">
        <f ca="1">IF(BZ9&lt;&gt;"",
"先生","")</f>
        <v/>
      </c>
      <c r="CC10" s="197"/>
      <c r="CD10" s="122" cm="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101"/>
      <c r="CF10" s="109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196" t="str">
        <f ca="1">IF(CG9&lt;&gt;"",
"園児","")</f>
        <v/>
      </c>
      <c r="CH10" s="197"/>
      <c r="CI10" s="200" t="str">
        <f ca="1">IF(CG9&lt;&gt;"",
"先生","")</f>
        <v/>
      </c>
      <c r="CJ10" s="197"/>
      <c r="CK10" s="122" cm="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101"/>
      <c r="CM10" s="101"/>
      <c r="CN10" s="109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196" t="str">
        <f ca="1">IF(CO9&lt;&gt;"",
"園児","")</f>
        <v/>
      </c>
      <c r="CP10" s="197"/>
      <c r="CQ10" s="200" t="str">
        <f ca="1">IF(CO9&lt;&gt;"",
"先生","")</f>
        <v/>
      </c>
      <c r="CR10" s="197"/>
      <c r="CS10" s="122" cm="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101"/>
      <c r="CU10" s="109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196" t="str">
        <f ca="1">IF(CV9&lt;&gt;"",
"園児","")</f>
        <v/>
      </c>
      <c r="CW10" s="197"/>
      <c r="CX10" s="200" t="str">
        <f ca="1">IF(CV9&lt;&gt;"",
"先生","")</f>
        <v/>
      </c>
      <c r="CY10" s="197"/>
      <c r="CZ10" s="122" cm="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101"/>
      <c r="DB10" s="101"/>
      <c r="DC10" s="109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196" t="str">
        <f ca="1">IF(DD9&lt;&gt;"",
"園児","")</f>
        <v/>
      </c>
      <c r="DE10" s="197"/>
      <c r="DF10" s="200" t="str">
        <f ca="1">IF(DD9&lt;&gt;"",
"先生","")</f>
        <v/>
      </c>
      <c r="DG10" s="197"/>
      <c r="DH10" s="122" cm="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101"/>
      <c r="DJ10" s="109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196" t="str">
        <f ca="1">IF(DK9&lt;&gt;"",
"園児","")</f>
        <v/>
      </c>
      <c r="DL10" s="197"/>
      <c r="DM10" s="200" t="str">
        <f ca="1">IF(DK9&lt;&gt;"",
"先生","")</f>
        <v/>
      </c>
      <c r="DN10" s="197"/>
      <c r="DO10" s="122" cm="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101"/>
      <c r="DQ10" s="101"/>
      <c r="DR10" s="109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196" t="str">
        <f ca="1">IF(DS9&lt;&gt;"",
"園児","")</f>
        <v/>
      </c>
      <c r="DT10" s="197"/>
      <c r="DU10" s="200" t="str">
        <f ca="1">IF(DS9&lt;&gt;"",
"先生","")</f>
        <v/>
      </c>
      <c r="DV10" s="197"/>
      <c r="DW10" s="122" cm="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101"/>
      <c r="DY10" s="109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196" t="str">
        <f ca="1">IF(DZ9&lt;&gt;"",
"園児","")</f>
        <v/>
      </c>
      <c r="EA10" s="197"/>
      <c r="EB10" s="200" t="str">
        <f ca="1">IF(DZ9&lt;&gt;"",
"先生","")</f>
        <v/>
      </c>
      <c r="EC10" s="197"/>
      <c r="ED10" s="122" cm="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101"/>
      <c r="EF10" s="101"/>
      <c r="EG10" s="109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196" t="str">
        <f ca="1">IF(EH9&lt;&gt;"",
"園児","")</f>
        <v/>
      </c>
      <c r="EI10" s="197"/>
      <c r="EJ10" s="200" t="str">
        <f ca="1">IF(EH9&lt;&gt;"",
"先生","")</f>
        <v/>
      </c>
      <c r="EK10" s="197"/>
      <c r="EL10" s="122" cm="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101"/>
      <c r="EN10" s="109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196" t="str">
        <f ca="1">IF(EO9&lt;&gt;"",
"園児","")</f>
        <v/>
      </c>
      <c r="EP10" s="197"/>
      <c r="EQ10" s="200" t="str">
        <f ca="1">IF(EO9&lt;&gt;"",
"先生","")</f>
        <v/>
      </c>
      <c r="ER10" s="197"/>
      <c r="ES10" s="122" cm="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32"/>
      <c r="EU10" s="103">
        <f t="shared" si="1"/>
        <v>56</v>
      </c>
      <c r="EV10" s="103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03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03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03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03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03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03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3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03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03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3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03">
        <f t="shared" ca="1" si="0"/>
        <v>0</v>
      </c>
      <c r="FH10" s="103" t="b">
        <f t="array" aca="1" ref="FH10" ca="1">SUMPRODUCT((LEN(EV10:FF10)&gt;0)*1)&gt;0</f>
        <v>0</v>
      </c>
      <c r="FI10" s="103" t="str">
        <f t="array" aca="1" ref="FI10" ca="1">IFERROR(SMALL(IF(FG$1:FG$169&lt;&gt;0,FG$1:FG$169),ROW(A10)),"")</f>
        <v/>
      </c>
      <c r="FJ10" s="103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3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3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3" t="str">
        <f t="array" aca="1" ref="FM10" ca="1">IF($FI10&lt;&gt;"",
IF(FL10="",
INDIRECT("EY"&amp;$FI10&amp;"")&amp;"箱"
&amp;INDIRECT("EZ"&amp;$FI10&amp;""),""),"")</f>
        <v/>
      </c>
      <c r="FN10" s="103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3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3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3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3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3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0.45">
      <c r="B11" s="111"/>
      <c r="C11" s="192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193"/>
      <c r="E11" s="195" t="e" cm="1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193"/>
      <c r="G11" s="122" t="e" cm="1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"")),0),""),0)</f>
        <v>#VALUE!</v>
      </c>
      <c r="I11" s="111"/>
      <c r="J11" s="192" t="e">
        <f t="array" aca="1" ref="J11" ca="1">IF(AND(U1="社食",N8="社食"),"",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193"/>
      <c r="L11" s="195" t="e" cm="1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193"/>
      <c r="N11" s="122" t="e" cm="1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"")),0),""),0)</f>
        <v>#VALUE!</v>
      </c>
      <c r="Q11" s="111"/>
      <c r="R11" s="192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193"/>
      <c r="T11" s="195" t="e" cm="1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193"/>
      <c r="V11" s="122" t="e" cm="1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"")),0),""),0)</f>
        <v>#VALUE!</v>
      </c>
      <c r="X11" s="111"/>
      <c r="Y11" s="192" t="e">
        <f t="array" aca="1" ref="Y11" ca="1">IF(AND(AJ1="社食",AC8="社食"),"",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193"/>
      <c r="AA11" s="195" t="e" cm="1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193"/>
      <c r="AC11" s="122" t="e" cm="1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"")),0),""),0)</f>
        <v>#VALUE!</v>
      </c>
      <c r="AF11" s="111"/>
      <c r="AG11" s="192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193"/>
      <c r="AI11" s="195" t="e" cm="1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193"/>
      <c r="AK11" s="122" t="e" cm="1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"")),0),""),0)</f>
        <v>#VALUE!</v>
      </c>
      <c r="AM11" s="111"/>
      <c r="AN11" s="192" t="e">
        <f t="array" aca="1" ref="AN11" ca="1">IF(AND(AY1="社食",AR8="社食"),"",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193"/>
      <c r="AP11" s="195" t="e" cm="1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193"/>
      <c r="AR11" s="122" t="e" cm="1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"")),0),""),0)</f>
        <v>#VALUE!</v>
      </c>
      <c r="AU11" s="111"/>
      <c r="AV11" s="192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193"/>
      <c r="AX11" s="195" t="e" cm="1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193"/>
      <c r="AZ11" s="122" t="e" cm="1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"")),0),""),0)</f>
        <v>#VALUE!</v>
      </c>
      <c r="BB11" s="111"/>
      <c r="BC11" s="192" t="e">
        <f t="array" aca="1" ref="BC11" ca="1">IF(AND(BN1="社食",BG8="社食"),"",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193"/>
      <c r="BE11" s="195" t="e" cm="1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193"/>
      <c r="BG11" s="122" t="e" cm="1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"")),0),""),0)</f>
        <v>#VALUE!</v>
      </c>
      <c r="BJ11" s="111"/>
      <c r="BK11" s="192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193"/>
      <c r="BM11" s="195" t="e" cm="1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193"/>
      <c r="BO11" s="122" t="e" cm="1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"")),0),""),0)</f>
        <v>#VALUE!</v>
      </c>
      <c r="BQ11" s="111"/>
      <c r="BR11" s="192" t="e">
        <f t="array" aca="1" ref="BR11" ca="1">IF(AND(CC1="社食",BV8="社食"),"",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193"/>
      <c r="BT11" s="195" t="e" cm="1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193"/>
      <c r="BV11" s="122" t="e" cm="1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"")),0),""),0)</f>
        <v>#VALUE!</v>
      </c>
      <c r="BY11" s="111"/>
      <c r="BZ11" s="192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193"/>
      <c r="CB11" s="195" t="e" cm="1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193"/>
      <c r="CD11" s="122" t="e" cm="1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"")),0),""),0)</f>
        <v>#VALUE!</v>
      </c>
      <c r="CF11" s="111"/>
      <c r="CG11" s="192" t="e">
        <f t="array" aca="1" ref="CG11" ca="1">IF(AND(CR1="社食",CK8="社食"),"",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193"/>
      <c r="CI11" s="195" t="e" cm="1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193"/>
      <c r="CK11" s="122" t="e" cm="1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"")),0),""),0)</f>
        <v>#VALUE!</v>
      </c>
      <c r="CN11" s="111"/>
      <c r="CO11" s="192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193"/>
      <c r="CQ11" s="195" t="e" cm="1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193"/>
      <c r="CS11" s="122" t="e" cm="1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"")),0),""),0)</f>
        <v>#VALUE!</v>
      </c>
      <c r="CU11" s="111"/>
      <c r="CV11" s="192" t="e">
        <f t="array" aca="1" ref="CV11" ca="1">IF(AND(DG1="社食",CZ8="社食"),"",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193"/>
      <c r="CX11" s="195" t="e" cm="1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193"/>
      <c r="CZ11" s="122" t="e" cm="1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"")),0),""),0)</f>
        <v>#VALUE!</v>
      </c>
      <c r="DC11" s="111"/>
      <c r="DD11" s="192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193"/>
      <c r="DF11" s="195" t="e" cm="1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193"/>
      <c r="DH11" s="122" t="e" cm="1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"")),0),""),0)</f>
        <v>#VALUE!</v>
      </c>
      <c r="DJ11" s="111"/>
      <c r="DK11" s="192" t="e">
        <f t="array" aca="1" ref="DK11" ca="1">IF(AND(DV1="社食",DO8="社食"),"",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193"/>
      <c r="DM11" s="195" t="e" cm="1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193"/>
      <c r="DO11" s="122" t="e" cm="1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"")),0),""),0)</f>
        <v>#VALUE!</v>
      </c>
      <c r="DR11" s="111"/>
      <c r="DS11" s="192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193"/>
      <c r="DU11" s="195" t="e" cm="1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193"/>
      <c r="DW11" s="122" t="e" cm="1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"")),0),""),0)</f>
        <v>#VALUE!</v>
      </c>
      <c r="DY11" s="111"/>
      <c r="DZ11" s="192" t="e">
        <f t="array" aca="1" ref="DZ11" ca="1">IF(AND(EK1="社食",ED8="社食"),"",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193"/>
      <c r="EB11" s="195" t="e" cm="1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193"/>
      <c r="ED11" s="122" t="e" cm="1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"")),0),""),0)</f>
        <v>#VALUE!</v>
      </c>
      <c r="EG11" s="111"/>
      <c r="EH11" s="192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193"/>
      <c r="EJ11" s="195" t="e" cm="1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193"/>
      <c r="EL11" s="122" t="e" cm="1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"")),0),""),0)</f>
        <v>#VALUE!</v>
      </c>
      <c r="EN11" s="111"/>
      <c r="EO11" s="192" t="e">
        <f t="array" aca="1" ref="EO11" ca="1">IF(AND(EZ1="社食",ES8="社食"),"",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193"/>
      <c r="EQ11" s="195" t="e" cm="1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193"/>
      <c r="ES11" s="122" t="e" cm="1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"")),0),""),0)</f>
        <v>#VALUE!</v>
      </c>
      <c r="ET11" s="132"/>
      <c r="EU11" s="112">
        <f t="shared" si="1"/>
        <v>14</v>
      </c>
      <c r="EV11" s="103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3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3" t="str" cm="1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3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3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3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3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3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3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3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3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3">
        <f t="shared" ca="1" si="0"/>
        <v>0</v>
      </c>
      <c r="FH11" s="103" t="e">
        <f t="array" aca="1" ref="FH11" ca="1">SUMPRODUCT((LEN(EV11:FF11)&gt;0)*1)&gt;0</f>
        <v>#VALUE!</v>
      </c>
      <c r="FI11" s="103" t="str">
        <f t="array" aca="1" ref="FI11" ca="1">IFERROR(SMALL(IF(FG$1:FG$169&lt;&gt;0,FG$1:FG$169),ROW(A11)),"")</f>
        <v/>
      </c>
      <c r="FJ11" s="103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3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3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3" t="str">
        <f t="array" aca="1" ref="FM11" ca="1">IF($FI11&lt;&gt;"",
IF(FL11="",
INDIRECT("EY"&amp;$FI11&amp;"")&amp;"箱"
&amp;INDIRECT("EZ"&amp;$FI11&amp;""),""),"")</f>
        <v/>
      </c>
      <c r="FN11" s="103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3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3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3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3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3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221" t="s">
        <v>585</v>
      </c>
      <c r="C12" s="194"/>
      <c r="D12" s="194"/>
      <c r="E12" s="194"/>
      <c r="F12" s="194"/>
      <c r="G12" s="123" t="str">
        <f ca="1">SUBSTITUTE(SUBSTITUTE(ADDRESS(1,MATCH("おやつ",'数出表_Excel（アレルギー入力）'!$3:$3,0)),1,""),"$","")</f>
        <v>AL</v>
      </c>
      <c r="I12" s="221" t="s">
        <v>585</v>
      </c>
      <c r="J12" s="194"/>
      <c r="K12" s="194"/>
      <c r="L12" s="194"/>
      <c r="M12" s="194"/>
      <c r="N12" s="123" t="str">
        <f ca="1">SUBSTITUTE(SUBSTITUTE(ADDRESS(1,MATCH("おやつ",'数出表_Excel（アレルギー入力）'!$3:$3,0)),1,""),"$","")</f>
        <v>AL</v>
      </c>
      <c r="Q12" s="221" t="s">
        <v>585</v>
      </c>
      <c r="R12" s="194"/>
      <c r="S12" s="194"/>
      <c r="T12" s="194"/>
      <c r="U12" s="194"/>
      <c r="V12" s="123" t="str">
        <f ca="1">SUBSTITUTE(SUBSTITUTE(ADDRESS(1,MATCH("おやつ",'数出表_Excel（アレルギー入力）'!$3:$3,0)),1,""),"$","")</f>
        <v>AL</v>
      </c>
      <c r="X12" s="221" t="s">
        <v>585</v>
      </c>
      <c r="Y12" s="194"/>
      <c r="Z12" s="194"/>
      <c r="AA12" s="194"/>
      <c r="AB12" s="194"/>
      <c r="AC12" s="123" t="str">
        <f ca="1">SUBSTITUTE(SUBSTITUTE(ADDRESS(1,MATCH("おやつ",'数出表_Excel（アレルギー入力）'!$3:$3,0)),1,""),"$","")</f>
        <v>AL</v>
      </c>
      <c r="AF12" s="221" t="s">
        <v>585</v>
      </c>
      <c r="AG12" s="194"/>
      <c r="AH12" s="194"/>
      <c r="AI12" s="194"/>
      <c r="AJ12" s="194"/>
      <c r="AK12" s="123" t="str">
        <f ca="1">SUBSTITUTE(SUBSTITUTE(ADDRESS(1,MATCH("おやつ",'数出表_Excel（アレルギー入力）'!$3:$3,0)),1,""),"$","")</f>
        <v>AL</v>
      </c>
      <c r="AM12" s="221" t="s">
        <v>585</v>
      </c>
      <c r="AN12" s="194"/>
      <c r="AO12" s="194"/>
      <c r="AP12" s="194"/>
      <c r="AQ12" s="194"/>
      <c r="AR12" s="123" t="str">
        <f ca="1">SUBSTITUTE(SUBSTITUTE(ADDRESS(1,MATCH("おやつ",'数出表_Excel（アレルギー入力）'!$3:$3,0)),1,""),"$","")</f>
        <v>AL</v>
      </c>
      <c r="AU12" s="221" t="s">
        <v>585</v>
      </c>
      <c r="AV12" s="194"/>
      <c r="AW12" s="194"/>
      <c r="AX12" s="194"/>
      <c r="AY12" s="194"/>
      <c r="AZ12" s="123" t="str">
        <f ca="1">SUBSTITUTE(SUBSTITUTE(ADDRESS(1,MATCH("おやつ",'数出表_Excel（アレルギー入力）'!$3:$3,0)),1,""),"$","")</f>
        <v>AL</v>
      </c>
      <c r="BB12" s="221" t="s">
        <v>585</v>
      </c>
      <c r="BC12" s="194"/>
      <c r="BD12" s="194"/>
      <c r="BE12" s="194"/>
      <c r="BF12" s="194"/>
      <c r="BG12" s="123" t="str">
        <f ca="1">SUBSTITUTE(SUBSTITUTE(ADDRESS(1,MATCH("おやつ",'数出表_Excel（アレルギー入力）'!$3:$3,0)),1,""),"$","")</f>
        <v>AL</v>
      </c>
      <c r="BJ12" s="221" t="s">
        <v>585</v>
      </c>
      <c r="BK12" s="194"/>
      <c r="BL12" s="194"/>
      <c r="BM12" s="194"/>
      <c r="BN12" s="194"/>
      <c r="BO12" s="123" t="str">
        <f ca="1">SUBSTITUTE(SUBSTITUTE(ADDRESS(1,MATCH("おやつ",'数出表_Excel（アレルギー入力）'!$3:$3,0)),1,""),"$","")</f>
        <v>AL</v>
      </c>
      <c r="BQ12" s="221" t="s">
        <v>585</v>
      </c>
      <c r="BR12" s="194"/>
      <c r="BS12" s="194"/>
      <c r="BT12" s="194"/>
      <c r="BU12" s="194"/>
      <c r="BV12" s="123" t="str">
        <f ca="1">SUBSTITUTE(SUBSTITUTE(ADDRESS(1,MATCH("おやつ",'数出表_Excel（アレルギー入力）'!$3:$3,0)),1,""),"$","")</f>
        <v>AL</v>
      </c>
      <c r="BY12" s="221" t="s">
        <v>585</v>
      </c>
      <c r="BZ12" s="194"/>
      <c r="CA12" s="194"/>
      <c r="CB12" s="194"/>
      <c r="CC12" s="194"/>
      <c r="CD12" s="123" t="str">
        <f ca="1">SUBSTITUTE(SUBSTITUTE(ADDRESS(1,MATCH("おやつ",'数出表_Excel（アレルギー入力）'!$3:$3,0)),1,""),"$","")</f>
        <v>AL</v>
      </c>
      <c r="CF12" s="221" t="s">
        <v>585</v>
      </c>
      <c r="CG12" s="194"/>
      <c r="CH12" s="194"/>
      <c r="CI12" s="194"/>
      <c r="CJ12" s="194"/>
      <c r="CK12" s="123" t="str">
        <f ca="1">SUBSTITUTE(SUBSTITUTE(ADDRESS(1,MATCH("おやつ",'数出表_Excel（アレルギー入力）'!$3:$3,0)),1,""),"$","")</f>
        <v>AL</v>
      </c>
      <c r="CN12" s="221" t="s">
        <v>585</v>
      </c>
      <c r="CO12" s="194"/>
      <c r="CP12" s="194"/>
      <c r="CQ12" s="194"/>
      <c r="CR12" s="194"/>
      <c r="CS12" s="123" t="str">
        <f ca="1">SUBSTITUTE(SUBSTITUTE(ADDRESS(1,MATCH("おやつ",'数出表_Excel（アレルギー入力）'!$3:$3,0)),1,""),"$","")</f>
        <v>AL</v>
      </c>
      <c r="CU12" s="221" t="s">
        <v>585</v>
      </c>
      <c r="CV12" s="194"/>
      <c r="CW12" s="194"/>
      <c r="CX12" s="194"/>
      <c r="CY12" s="194"/>
      <c r="CZ12" s="123" t="str">
        <f ca="1">SUBSTITUTE(SUBSTITUTE(ADDRESS(1,MATCH("おやつ",'数出表_Excel（アレルギー入力）'!$3:$3,0)),1,""),"$","")</f>
        <v>AL</v>
      </c>
      <c r="DC12" s="221" t="s">
        <v>585</v>
      </c>
      <c r="DD12" s="194"/>
      <c r="DE12" s="194"/>
      <c r="DF12" s="194"/>
      <c r="DG12" s="194"/>
      <c r="DH12" s="123" t="str">
        <f ca="1">SUBSTITUTE(SUBSTITUTE(ADDRESS(1,MATCH("おやつ",'数出表_Excel（アレルギー入力）'!$3:$3,0)),1,""),"$","")</f>
        <v>AL</v>
      </c>
      <c r="DJ12" s="221" t="s">
        <v>585</v>
      </c>
      <c r="DK12" s="194"/>
      <c r="DL12" s="194"/>
      <c r="DM12" s="194"/>
      <c r="DN12" s="194"/>
      <c r="DO12" s="123" t="str">
        <f ca="1">SUBSTITUTE(SUBSTITUTE(ADDRESS(1,MATCH("おやつ",'数出表_Excel（アレルギー入力）'!$3:$3,0)),1,""),"$","")</f>
        <v>AL</v>
      </c>
      <c r="DR12" s="221" t="s">
        <v>585</v>
      </c>
      <c r="DS12" s="194"/>
      <c r="DT12" s="194"/>
      <c r="DU12" s="194"/>
      <c r="DV12" s="194"/>
      <c r="DW12" s="123" t="str">
        <f ca="1">SUBSTITUTE(SUBSTITUTE(ADDRESS(1,MATCH("おやつ",'数出表_Excel（アレルギー入力）'!$3:$3,0)),1,""),"$","")</f>
        <v>AL</v>
      </c>
      <c r="DY12" s="221" t="s">
        <v>585</v>
      </c>
      <c r="DZ12" s="194"/>
      <c r="EA12" s="194"/>
      <c r="EB12" s="194"/>
      <c r="EC12" s="194"/>
      <c r="ED12" s="123" t="str">
        <f ca="1">SUBSTITUTE(SUBSTITUTE(ADDRESS(1,MATCH("おやつ",'数出表_Excel（アレルギー入力）'!$3:$3,0)),1,""),"$","")</f>
        <v>AL</v>
      </c>
      <c r="EG12" s="221" t="s">
        <v>585</v>
      </c>
      <c r="EH12" s="194"/>
      <c r="EI12" s="194"/>
      <c r="EJ12" s="194"/>
      <c r="EK12" s="194"/>
      <c r="EL12" s="123" t="str">
        <f ca="1">SUBSTITUTE(SUBSTITUTE(ADDRESS(1,MATCH("おやつ",'数出表_Excel（アレルギー入力）'!$3:$3,0)),1,""),"$","")</f>
        <v>AL</v>
      </c>
      <c r="EN12" s="221" t="s">
        <v>585</v>
      </c>
      <c r="EO12" s="194"/>
      <c r="EP12" s="194"/>
      <c r="EQ12" s="194"/>
      <c r="ER12" s="194"/>
      <c r="ES12" s="123" t="str">
        <f ca="1">SUBSTITUTE(SUBSTITUTE(ADDRESS(1,MATCH("おやつ",'数出表_Excel（アレルギー入力）'!$3:$3,0)),1,""),"$","")</f>
        <v>AL</v>
      </c>
      <c r="ET12" s="132"/>
      <c r="EU12" s="103">
        <f t="shared" si="1"/>
        <v>56</v>
      </c>
      <c r="EV12" s="103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03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03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03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03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03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03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3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03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03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3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03">
        <f t="shared" ca="1" si="0"/>
        <v>0</v>
      </c>
      <c r="FH12" s="103" t="b">
        <f t="array" aca="1" ref="FH12" ca="1">SUMPRODUCT((LEN(EV12:FF12)&gt;0)*1)&gt;0</f>
        <v>0</v>
      </c>
      <c r="FI12" s="103" t="str">
        <f t="array" aca="1" ref="FI12" ca="1">IFERROR(SMALL(IF(FG$1:FG$169&lt;&gt;0,FG$1:FG$169),ROW(A12)),"")</f>
        <v/>
      </c>
      <c r="FJ12" s="103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3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3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3" t="str">
        <f t="array" aca="1" ref="FM12" ca="1">IF($FI12&lt;&gt;"",
IF(FL12="",
INDIRECT("EY"&amp;$FI12&amp;"")&amp;"箱"
&amp;INDIRECT("EZ"&amp;$FI12&amp;""),""),"")</f>
        <v/>
      </c>
      <c r="FN12" s="103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3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3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3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3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3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3" customFormat="1" ht="22.2" customHeight="1" x14ac:dyDescent="0.55000000000000004">
      <c r="A13" s="101"/>
      <c r="B13" s="114" t="str">
        <f ca="1">IF(C9&lt;&gt;"",
"パン箱","")</f>
        <v/>
      </c>
      <c r="C13" s="115" t="str">
        <f ca="1">IF(C9&lt;&gt;"",
IF(OR(COUNTIF('盛付札（関数）'!C9,"*キャラ*"),COUNTIF('盛付札（関数）'!C9,"*赤*")),24,
VLOOKUP('盛付札（関数）'!C9,商品マスタ一覧!$D:$I,6,FALSE)),"")</f>
        <v/>
      </c>
      <c r="D13" s="114" t="str">
        <f ca="1">IF(C9&lt;&gt;"",
" 端数","")</f>
        <v/>
      </c>
      <c r="E13" s="115"/>
      <c r="F13" s="114" t="str">
        <f ca="1">IF(C9&lt;&gt;"",
"アレルギー","")</f>
        <v/>
      </c>
      <c r="G13" s="122"/>
      <c r="H13" s="101"/>
      <c r="I13" s="114" t="str">
        <f ca="1">IF(J9&lt;&gt;"",
"パン箱","")</f>
        <v/>
      </c>
      <c r="J13" s="115" t="str">
        <f ca="1">IF(J9&lt;&gt;"",
IF(OR(COUNTIF('盛付札（関数）'!J9,"*キャラ*"),COUNTIF('盛付札（関数）'!J9,"*赤*")),24,
VLOOKUP('盛付札（関数）'!J9,商品マスタ一覧!$D:$I,6,FALSE)),"")</f>
        <v/>
      </c>
      <c r="K13" s="114" t="str">
        <f ca="1">IF(J9&lt;&gt;"",
" 端数","")</f>
        <v/>
      </c>
      <c r="L13" s="115"/>
      <c r="M13" s="114" t="str">
        <f ca="1">IF(J9&lt;&gt;"",
"アレルギー","")</f>
        <v/>
      </c>
      <c r="N13" s="122"/>
      <c r="O13" s="101"/>
      <c r="P13" s="101"/>
      <c r="Q13" s="114" t="str">
        <f ca="1">IF(R9&lt;&gt;"",
"パン箱","")</f>
        <v/>
      </c>
      <c r="R13" s="115" t="str">
        <f ca="1">IF(R9&lt;&gt;"",
IF(OR(COUNTIF('盛付札（関数）'!R9,"*キャラ*"),COUNTIF('盛付札（関数）'!R9,"*赤*")),24,
VLOOKUP('盛付札（関数）'!R9,商品マスタ一覧!$D:$I,6,FALSE)),"")</f>
        <v/>
      </c>
      <c r="S13" s="114" t="str">
        <f ca="1">IF(R9&lt;&gt;"",
" 端数","")</f>
        <v/>
      </c>
      <c r="T13" s="115"/>
      <c r="U13" s="114" t="str">
        <f ca="1">IF(R9&lt;&gt;"",
"アレルギー","")</f>
        <v/>
      </c>
      <c r="V13" s="122"/>
      <c r="W13" s="101"/>
      <c r="X13" s="114" t="str">
        <f ca="1">IF(Y9&lt;&gt;"",
"パン箱","")</f>
        <v/>
      </c>
      <c r="Y13" s="115" t="str">
        <f ca="1">IF(Y9&lt;&gt;"",
IF(OR(COUNTIF('盛付札（関数）'!Y9,"*キャラ*"),COUNTIF('盛付札（関数）'!Y9,"*赤*")),24,
VLOOKUP('盛付札（関数）'!Y9,商品マスタ一覧!$D:$I,6,FALSE)),"")</f>
        <v/>
      </c>
      <c r="Z13" s="114" t="str">
        <f ca="1">IF(Y9&lt;&gt;"",
" 端数","")</f>
        <v/>
      </c>
      <c r="AA13" s="115"/>
      <c r="AB13" s="114" t="str">
        <f ca="1">IF(Y9&lt;&gt;"",
"アレルギー","")</f>
        <v/>
      </c>
      <c r="AC13" s="122"/>
      <c r="AD13" s="101"/>
      <c r="AE13" s="101"/>
      <c r="AF13" s="114" t="str">
        <f ca="1">IF(AG9&lt;&gt;"",
"パン箱","")</f>
        <v/>
      </c>
      <c r="AG13" s="115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4" t="str">
        <f ca="1">IF(AG9&lt;&gt;"",
" 端数","")</f>
        <v/>
      </c>
      <c r="AI13" s="115"/>
      <c r="AJ13" s="114" t="str">
        <f ca="1">IF(AG9&lt;&gt;"",
"アレルギー","")</f>
        <v/>
      </c>
      <c r="AK13" s="122"/>
      <c r="AL13" s="101"/>
      <c r="AM13" s="114" t="str">
        <f ca="1">IF(AN9&lt;&gt;"",
"パン箱","")</f>
        <v/>
      </c>
      <c r="AN13" s="115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4" t="str">
        <f ca="1">IF(AN9&lt;&gt;"",
" 端数","")</f>
        <v/>
      </c>
      <c r="AP13" s="115"/>
      <c r="AQ13" s="114" t="str">
        <f ca="1">IF(AN9&lt;&gt;"",
"アレルギー","")</f>
        <v/>
      </c>
      <c r="AR13" s="122"/>
      <c r="AS13" s="101"/>
      <c r="AT13" s="101"/>
      <c r="AU13" s="114" t="str">
        <f ca="1">IF(AV9&lt;&gt;"",
"パン箱","")</f>
        <v/>
      </c>
      <c r="AV13" s="115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4" t="str">
        <f ca="1">IF(AV9&lt;&gt;"",
" 端数","")</f>
        <v/>
      </c>
      <c r="AX13" s="115"/>
      <c r="AY13" s="114" t="str">
        <f ca="1">IF(AV9&lt;&gt;"",
"アレルギー","")</f>
        <v/>
      </c>
      <c r="AZ13" s="122"/>
      <c r="BA13" s="101"/>
      <c r="BB13" s="114" t="str">
        <f ca="1">IF(BC9&lt;&gt;"",
"パン箱","")</f>
        <v/>
      </c>
      <c r="BC13" s="115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4" t="str">
        <f ca="1">IF(BC9&lt;&gt;"",
" 端数","")</f>
        <v/>
      </c>
      <c r="BE13" s="115"/>
      <c r="BF13" s="114" t="str">
        <f ca="1">IF(BC9&lt;&gt;"",
"アレルギー","")</f>
        <v/>
      </c>
      <c r="BG13" s="122"/>
      <c r="BH13" s="101"/>
      <c r="BI13" s="101"/>
      <c r="BJ13" s="114" t="str">
        <f ca="1">IF(BK9&lt;&gt;"",
"パン箱","")</f>
        <v/>
      </c>
      <c r="BK13" s="115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4" t="str">
        <f ca="1">IF(BK9&lt;&gt;"",
" 端数","")</f>
        <v/>
      </c>
      <c r="BM13" s="115"/>
      <c r="BN13" s="114" t="str">
        <f ca="1">IF(BK9&lt;&gt;"",
"アレルギー","")</f>
        <v/>
      </c>
      <c r="BO13" s="122"/>
      <c r="BP13" s="101"/>
      <c r="BQ13" s="114" t="str">
        <f ca="1">IF(BR9&lt;&gt;"",
"パン箱","")</f>
        <v/>
      </c>
      <c r="BR13" s="115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4" t="str">
        <f ca="1">IF(BR9&lt;&gt;"",
" 端数","")</f>
        <v/>
      </c>
      <c r="BT13" s="115"/>
      <c r="BU13" s="114" t="str">
        <f ca="1">IF(BR9&lt;&gt;"",
"アレルギー","")</f>
        <v/>
      </c>
      <c r="BV13" s="122"/>
      <c r="BW13" s="101"/>
      <c r="BX13" s="101"/>
      <c r="BY13" s="114" t="str">
        <f ca="1">IF(BZ9&lt;&gt;"",
"パン箱","")</f>
        <v/>
      </c>
      <c r="BZ13" s="115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4" t="str">
        <f ca="1">IF(BZ9&lt;&gt;"",
" 端数","")</f>
        <v/>
      </c>
      <c r="CB13" s="115"/>
      <c r="CC13" s="114" t="str">
        <f ca="1">IF(BZ9&lt;&gt;"",
"アレルギー","")</f>
        <v/>
      </c>
      <c r="CD13" s="122"/>
      <c r="CE13" s="101"/>
      <c r="CF13" s="114" t="str">
        <f ca="1">IF(CG9&lt;&gt;"",
"パン箱","")</f>
        <v/>
      </c>
      <c r="CG13" s="115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4" t="str">
        <f ca="1">IF(CG9&lt;&gt;"",
" 端数","")</f>
        <v/>
      </c>
      <c r="CI13" s="115"/>
      <c r="CJ13" s="114" t="str">
        <f ca="1">IF(CG9&lt;&gt;"",
"アレルギー","")</f>
        <v/>
      </c>
      <c r="CK13" s="122"/>
      <c r="CL13" s="101"/>
      <c r="CM13" s="101"/>
      <c r="CN13" s="114" t="str">
        <f ca="1">IF(CO9&lt;&gt;"",
"パン箱","")</f>
        <v/>
      </c>
      <c r="CO13" s="115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4" t="str">
        <f ca="1">IF(CO9&lt;&gt;"",
" 端数","")</f>
        <v/>
      </c>
      <c r="CQ13" s="115"/>
      <c r="CR13" s="114" t="str">
        <f ca="1">IF(CO9&lt;&gt;"",
"アレルギー","")</f>
        <v/>
      </c>
      <c r="CS13" s="122"/>
      <c r="CT13" s="101"/>
      <c r="CU13" s="114" t="str">
        <f ca="1">IF(CV9&lt;&gt;"",
"パン箱","")</f>
        <v/>
      </c>
      <c r="CV13" s="115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4" t="str">
        <f ca="1">IF(CV9&lt;&gt;"",
" 端数","")</f>
        <v/>
      </c>
      <c r="CX13" s="115"/>
      <c r="CY13" s="114" t="str">
        <f ca="1">IF(CV9&lt;&gt;"",
"アレルギー","")</f>
        <v/>
      </c>
      <c r="CZ13" s="122"/>
      <c r="DA13" s="101"/>
      <c r="DB13" s="101"/>
      <c r="DC13" s="114" t="str">
        <f ca="1">IF(DD9&lt;&gt;"",
"パン箱","")</f>
        <v/>
      </c>
      <c r="DD13" s="115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4" t="str">
        <f ca="1">IF(DD9&lt;&gt;"",
" 端数","")</f>
        <v/>
      </c>
      <c r="DF13" s="115"/>
      <c r="DG13" s="114" t="str">
        <f ca="1">IF(DD9&lt;&gt;"",
"アレルギー","")</f>
        <v/>
      </c>
      <c r="DH13" s="122"/>
      <c r="DI13" s="101"/>
      <c r="DJ13" s="114" t="str">
        <f ca="1">IF(DK9&lt;&gt;"",
"パン箱","")</f>
        <v/>
      </c>
      <c r="DK13" s="115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4" t="str">
        <f ca="1">IF(DK9&lt;&gt;"",
" 端数","")</f>
        <v/>
      </c>
      <c r="DM13" s="115"/>
      <c r="DN13" s="114" t="str">
        <f ca="1">IF(DK9&lt;&gt;"",
"アレルギー","")</f>
        <v/>
      </c>
      <c r="DO13" s="122"/>
      <c r="DP13" s="101"/>
      <c r="DQ13" s="101"/>
      <c r="DR13" s="114" t="str">
        <f ca="1">IF(DS9&lt;&gt;"",
"パン箱","")</f>
        <v/>
      </c>
      <c r="DS13" s="115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4" t="str">
        <f ca="1">IF(DS9&lt;&gt;"",
" 端数","")</f>
        <v/>
      </c>
      <c r="DU13" s="115"/>
      <c r="DV13" s="114" t="str">
        <f ca="1">IF(DS9&lt;&gt;"",
"アレルギー","")</f>
        <v/>
      </c>
      <c r="DW13" s="122"/>
      <c r="DX13" s="101"/>
      <c r="DY13" s="114" t="str">
        <f ca="1">IF(DZ9&lt;&gt;"",
"パン箱","")</f>
        <v/>
      </c>
      <c r="DZ13" s="115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4" t="str">
        <f ca="1">IF(DZ9&lt;&gt;"",
" 端数","")</f>
        <v/>
      </c>
      <c r="EB13" s="115"/>
      <c r="EC13" s="114" t="str">
        <f ca="1">IF(DZ9&lt;&gt;"",
"アレルギー","")</f>
        <v/>
      </c>
      <c r="ED13" s="122"/>
      <c r="EE13" s="101"/>
      <c r="EF13" s="101"/>
      <c r="EG13" s="114" t="str">
        <f ca="1">IF(EH9&lt;&gt;"",
"パン箱","")</f>
        <v/>
      </c>
      <c r="EH13" s="115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114" t="str">
        <f ca="1">IF(EH9&lt;&gt;"",
" 端数","")</f>
        <v/>
      </c>
      <c r="EJ13" s="115"/>
      <c r="EK13" s="114" t="str">
        <f ca="1">IF(EH9&lt;&gt;"",
"アレルギー","")</f>
        <v/>
      </c>
      <c r="EL13" s="122"/>
      <c r="EM13" s="101"/>
      <c r="EN13" s="114" t="str">
        <f ca="1">IF(EO9&lt;&gt;"",
"パン箱","")</f>
        <v/>
      </c>
      <c r="EO13" s="115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114" t="str">
        <f ca="1">IF(EO9&lt;&gt;"",
" 端数","")</f>
        <v/>
      </c>
      <c r="EQ13" s="115"/>
      <c r="ER13" s="114" t="str">
        <f ca="1">IF(EO9&lt;&gt;"",
"アレルギー","")</f>
        <v/>
      </c>
      <c r="ES13" s="122"/>
      <c r="ET13" s="132"/>
      <c r="EU13" s="103">
        <f t="shared" si="1"/>
        <v>21</v>
      </c>
      <c r="EV13" s="103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3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3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3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3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3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3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3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3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3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3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3">
        <f t="shared" ca="1" si="0"/>
        <v>0</v>
      </c>
      <c r="FH13" s="103" t="e">
        <f t="array" aca="1" ref="FH13" ca="1">SUMPRODUCT((LEN(EV13:FF13)&gt;0)*1)&gt;0</f>
        <v>#VALUE!</v>
      </c>
      <c r="FI13" s="103" t="str">
        <f t="array" aca="1" ref="FI13" ca="1">IFERROR(SMALL(IF(FG$1:FG$169&lt;&gt;0,FG$1:FG$169),ROW(A13)),"")</f>
        <v/>
      </c>
      <c r="FJ13" s="103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3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3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3" t="str">
        <f t="array" aca="1" ref="FM13" ca="1">IF($FI13&lt;&gt;"",
IF(FL13="",
INDIRECT("EY"&amp;$FI13&amp;"")&amp;"箱"
&amp;INDIRECT("EZ"&amp;$FI13&amp;""),""),"")</f>
        <v/>
      </c>
      <c r="FN13" s="103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3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3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3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3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3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203" t="e">
        <f ca="1">IF(C11&lt;&gt;"",
IFERROR(INT(C11/C13),""),"")</f>
        <v>#VALUE!</v>
      </c>
      <c r="C14" s="202"/>
      <c r="D14" s="203" t="str">
        <f ca="1">IFERROR(MOD(C11,C13),"")</f>
        <v/>
      </c>
      <c r="E14" s="202"/>
      <c r="F14" s="201" t="e">
        <f ca="1">G10+G11</f>
        <v>#VALUE!</v>
      </c>
      <c r="G14" s="202"/>
      <c r="I14" s="203" t="e">
        <f ca="1">IF(J11&lt;&gt;"",
IFERROR(INT(J11/J13),""),"")</f>
        <v>#VALUE!</v>
      </c>
      <c r="J14" s="202"/>
      <c r="K14" s="203" t="str">
        <f ca="1">IFERROR(MOD(J11,J13),"")</f>
        <v/>
      </c>
      <c r="L14" s="202"/>
      <c r="M14" s="201" t="e">
        <f ca="1">N10+N11</f>
        <v>#VALUE!</v>
      </c>
      <c r="N14" s="202"/>
      <c r="Q14" s="203" t="e">
        <f ca="1">IF(R11&lt;&gt;"",
IFERROR(INT(R11/R13),""),"")</f>
        <v>#VALUE!</v>
      </c>
      <c r="R14" s="202"/>
      <c r="S14" s="203" t="str">
        <f ca="1">IFERROR(MOD(R11,R13),"")</f>
        <v/>
      </c>
      <c r="T14" s="202"/>
      <c r="U14" s="201" t="e">
        <f ca="1">V10+V11</f>
        <v>#VALUE!</v>
      </c>
      <c r="V14" s="202"/>
      <c r="X14" s="203" t="e">
        <f ca="1">IF(Y11&lt;&gt;"",
IFERROR(INT(Y11/Y13),""),"")</f>
        <v>#VALUE!</v>
      </c>
      <c r="Y14" s="202"/>
      <c r="Z14" s="203" t="str">
        <f ca="1">IFERROR(MOD(Y11,Y13),"")</f>
        <v/>
      </c>
      <c r="AA14" s="202"/>
      <c r="AB14" s="201" t="e">
        <f ca="1">AC10+AC11</f>
        <v>#VALUE!</v>
      </c>
      <c r="AC14" s="202"/>
      <c r="AF14" s="203" t="e">
        <f ca="1">IF(AG11&lt;&gt;"",
IFERROR(INT(AG11/AG13),""),"")</f>
        <v>#VALUE!</v>
      </c>
      <c r="AG14" s="202"/>
      <c r="AH14" s="203" t="str">
        <f ca="1">IFERROR(MOD(AG11,AG13),"")</f>
        <v/>
      </c>
      <c r="AI14" s="202"/>
      <c r="AJ14" s="201" t="e">
        <f ca="1">AK10+AK11</f>
        <v>#VALUE!</v>
      </c>
      <c r="AK14" s="202"/>
      <c r="AM14" s="203" t="e">
        <f ca="1">IF(AN11&lt;&gt;"",
IFERROR(INT(AN11/AN13),""),"")</f>
        <v>#VALUE!</v>
      </c>
      <c r="AN14" s="202"/>
      <c r="AO14" s="203" t="str">
        <f ca="1">IFERROR(MOD(AN11,AN13),"")</f>
        <v/>
      </c>
      <c r="AP14" s="202"/>
      <c r="AQ14" s="201" t="e">
        <f ca="1">AR10+AR11</f>
        <v>#VALUE!</v>
      </c>
      <c r="AR14" s="202"/>
      <c r="AU14" s="203" t="e">
        <f ca="1">IF(AV11&lt;&gt;"",
IFERROR(INT(AV11/AV13),""),"")</f>
        <v>#VALUE!</v>
      </c>
      <c r="AV14" s="202"/>
      <c r="AW14" s="203" t="str">
        <f ca="1">IFERROR(MOD(AV11,AV13),"")</f>
        <v/>
      </c>
      <c r="AX14" s="202"/>
      <c r="AY14" s="201" t="e">
        <f ca="1">AZ10+AZ11</f>
        <v>#VALUE!</v>
      </c>
      <c r="AZ14" s="202"/>
      <c r="BB14" s="203" t="e">
        <f ca="1">IF(BC11&lt;&gt;"",
IFERROR(INT(BC11/BC13),""),"")</f>
        <v>#VALUE!</v>
      </c>
      <c r="BC14" s="202"/>
      <c r="BD14" s="203" t="str">
        <f ca="1">IFERROR(MOD(BC11,BC13),"")</f>
        <v/>
      </c>
      <c r="BE14" s="202"/>
      <c r="BF14" s="201" t="e">
        <f ca="1">BG10+BG11</f>
        <v>#VALUE!</v>
      </c>
      <c r="BG14" s="202"/>
      <c r="BJ14" s="203" t="e">
        <f ca="1">IF(BK11&lt;&gt;"",
IFERROR(INT(BK11/BK13),""),"")</f>
        <v>#VALUE!</v>
      </c>
      <c r="BK14" s="202"/>
      <c r="BL14" s="203" t="str">
        <f ca="1">IFERROR(MOD(BK11,BK13),"")</f>
        <v/>
      </c>
      <c r="BM14" s="202"/>
      <c r="BN14" s="201" t="e">
        <f ca="1">BO10+BO11</f>
        <v>#VALUE!</v>
      </c>
      <c r="BO14" s="202"/>
      <c r="BQ14" s="203" t="e">
        <f ca="1">IF(BR11&lt;&gt;"",
IFERROR(INT(BR11/BR13),""),"")</f>
        <v>#VALUE!</v>
      </c>
      <c r="BR14" s="202"/>
      <c r="BS14" s="203" t="str">
        <f ca="1">IFERROR(MOD(BR11,BR13),"")</f>
        <v/>
      </c>
      <c r="BT14" s="202"/>
      <c r="BU14" s="201" t="e">
        <f ca="1">BV10+BV11</f>
        <v>#VALUE!</v>
      </c>
      <c r="BV14" s="202"/>
      <c r="BY14" s="203" t="e">
        <f ca="1">IF(BZ11&lt;&gt;"",
IFERROR(INT(BZ11/BZ13),""),"")</f>
        <v>#VALUE!</v>
      </c>
      <c r="BZ14" s="202"/>
      <c r="CA14" s="203" t="str">
        <f ca="1">IFERROR(MOD(BZ11,BZ13),"")</f>
        <v/>
      </c>
      <c r="CB14" s="202"/>
      <c r="CC14" s="201" t="e">
        <f ca="1">CD10+CD11</f>
        <v>#VALUE!</v>
      </c>
      <c r="CD14" s="202"/>
      <c r="CF14" s="203" t="e">
        <f ca="1">IF(CG11&lt;&gt;"",
IFERROR(INT(CG11/CG13),""),"")</f>
        <v>#VALUE!</v>
      </c>
      <c r="CG14" s="202"/>
      <c r="CH14" s="203" t="str">
        <f ca="1">IFERROR(MOD(CG11,CG13),"")</f>
        <v/>
      </c>
      <c r="CI14" s="202"/>
      <c r="CJ14" s="201" t="e">
        <f ca="1">CK10+CK11</f>
        <v>#VALUE!</v>
      </c>
      <c r="CK14" s="202"/>
      <c r="CN14" s="203" t="e">
        <f ca="1">IF(CO11&lt;&gt;"",
IFERROR(INT(CO11/CO13),""),"")</f>
        <v>#VALUE!</v>
      </c>
      <c r="CO14" s="202"/>
      <c r="CP14" s="203" t="str">
        <f ca="1">IFERROR(MOD(CO11,CO13),"")</f>
        <v/>
      </c>
      <c r="CQ14" s="202"/>
      <c r="CR14" s="201" t="e">
        <f ca="1">CS10+CS11</f>
        <v>#VALUE!</v>
      </c>
      <c r="CS14" s="202"/>
      <c r="CU14" s="203" t="e">
        <f ca="1">IF(CV11&lt;&gt;"",
IFERROR(INT(CV11/CV13),""),"")</f>
        <v>#VALUE!</v>
      </c>
      <c r="CV14" s="202"/>
      <c r="CW14" s="203" t="str">
        <f ca="1">IFERROR(MOD(CV11,CV13),"")</f>
        <v/>
      </c>
      <c r="CX14" s="202"/>
      <c r="CY14" s="201" t="e">
        <f ca="1">CZ10+CZ11</f>
        <v>#VALUE!</v>
      </c>
      <c r="CZ14" s="202"/>
      <c r="DC14" s="203" t="e">
        <f ca="1">IF(DD11&lt;&gt;"",
IFERROR(INT(DD11/DD13),""),"")</f>
        <v>#VALUE!</v>
      </c>
      <c r="DD14" s="202"/>
      <c r="DE14" s="203" t="str">
        <f ca="1">IFERROR(MOD(DD11,DD13),"")</f>
        <v/>
      </c>
      <c r="DF14" s="202"/>
      <c r="DG14" s="201" t="e">
        <f ca="1">DH10+DH11</f>
        <v>#VALUE!</v>
      </c>
      <c r="DH14" s="202"/>
      <c r="DJ14" s="203" t="e">
        <f ca="1">IF(DK11&lt;&gt;"",
IFERROR(INT(DK11/DK13),""),"")</f>
        <v>#VALUE!</v>
      </c>
      <c r="DK14" s="202"/>
      <c r="DL14" s="203" t="str">
        <f ca="1">IFERROR(MOD(DK11,DK13),"")</f>
        <v/>
      </c>
      <c r="DM14" s="202"/>
      <c r="DN14" s="201" t="e">
        <f ca="1">DO10+DO11</f>
        <v>#VALUE!</v>
      </c>
      <c r="DO14" s="202"/>
      <c r="DR14" s="203" t="e">
        <f ca="1">IF(DS11&lt;&gt;"",
IFERROR(INT(DS11/DS13),""),"")</f>
        <v>#VALUE!</v>
      </c>
      <c r="DS14" s="202"/>
      <c r="DT14" s="203" t="str">
        <f ca="1">IFERROR(MOD(DS11,DS13),"")</f>
        <v/>
      </c>
      <c r="DU14" s="202"/>
      <c r="DV14" s="201" t="e">
        <f ca="1">DW10+DW11</f>
        <v>#VALUE!</v>
      </c>
      <c r="DW14" s="202"/>
      <c r="DY14" s="203" t="e">
        <f ca="1">IF(DZ11&lt;&gt;"",
IFERROR(INT(DZ11/DZ13),""),"")</f>
        <v>#VALUE!</v>
      </c>
      <c r="DZ14" s="202"/>
      <c r="EA14" s="203" t="str">
        <f ca="1">IFERROR(MOD(DZ11,DZ13),"")</f>
        <v/>
      </c>
      <c r="EB14" s="202"/>
      <c r="EC14" s="201" t="e">
        <f ca="1">ED10+ED11</f>
        <v>#VALUE!</v>
      </c>
      <c r="ED14" s="202"/>
      <c r="EG14" s="203" t="e">
        <f ca="1">IF(EH11&lt;&gt;"",
IFERROR(INT(EH11/EH13),""),"")</f>
        <v>#VALUE!</v>
      </c>
      <c r="EH14" s="202"/>
      <c r="EI14" s="203" t="str">
        <f ca="1">IFERROR(MOD(EH11,EH13),"")</f>
        <v/>
      </c>
      <c r="EJ14" s="202"/>
      <c r="EK14" s="201" t="e">
        <f ca="1">EL10+EL11</f>
        <v>#VALUE!</v>
      </c>
      <c r="EL14" s="202"/>
      <c r="EN14" s="203" t="e">
        <f ca="1">IF(EO11&lt;&gt;"",
IFERROR(INT(EO11/EO13),""),"")</f>
        <v>#VALUE!</v>
      </c>
      <c r="EO14" s="202"/>
      <c r="EP14" s="203" t="str">
        <f ca="1">IFERROR(MOD(EO11,EO13),"")</f>
        <v/>
      </c>
      <c r="EQ14" s="202"/>
      <c r="ER14" s="201" t="e">
        <f ca="1">ES10+ES11</f>
        <v>#VALUE!</v>
      </c>
      <c r="ES14" s="202"/>
      <c r="ET14" s="78"/>
      <c r="EU14" s="103">
        <f t="shared" si="1"/>
        <v>63</v>
      </c>
      <c r="EV14" s="103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03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03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03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03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03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03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3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03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03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3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03">
        <f t="shared" ca="1" si="0"/>
        <v>0</v>
      </c>
      <c r="FH14" s="103" t="b">
        <f t="array" aca="1" ref="FH14" ca="1">SUMPRODUCT((LEN(EV14:FF14)&gt;0)*1)&gt;0</f>
        <v>0</v>
      </c>
      <c r="FI14" s="103" t="str">
        <f t="array" aca="1" ref="FI14" ca="1">IFERROR(SMALL(IF(FG$1:FG$169&lt;&gt;0,FG$1:FG$169),ROW(A14)),"")</f>
        <v/>
      </c>
      <c r="FJ14" s="103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3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3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3" t="str">
        <f t="array" aca="1" ref="FM14" ca="1">IF($FI14&lt;&gt;"",
IF(FL14="",
INDIRECT("EY"&amp;$FI14&amp;"")&amp;"箱"
&amp;INDIRECT("EZ"&amp;$FI14&amp;""),""),"")</f>
        <v/>
      </c>
      <c r="FN14" s="103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3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3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3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3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3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3" customFormat="1" ht="18" customHeight="1" x14ac:dyDescent="0.55000000000000004">
      <c r="A15" s="101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2" t="e">
        <f t="array" aca="1" ref="B15" ca="1">GetResult(A15)</f>
        <v>#VALUE!</v>
      </c>
      <c r="C15" s="198" t="str">
        <f ca="1">IF(C16&lt;&gt;"",
IF(LEFT(G15,2)="博多",
LEFT(G15,FIND("週",G15)-1),
G15),"")</f>
        <v/>
      </c>
      <c r="D15" s="199"/>
      <c r="E15" s="199"/>
      <c r="F15" s="199"/>
      <c r="G15" s="120" t="e">
        <f t="array" aca="1" ref="G15" ca="1">INDIRECT("数出表_Excel!A"&amp;B15)</f>
        <v>#VALUE!</v>
      </c>
      <c r="H15" s="101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2" t="e">
        <f t="array" aca="1" ref="I15" ca="1">GetResult(H15)</f>
        <v>#VALUE!</v>
      </c>
      <c r="J15" s="198" t="str">
        <f ca="1">IF(J16&lt;&gt;"",
IF(LEFT(N15,2)="博多",
LEFT(N15,FIND("週",N15)-1),
N15),"")</f>
        <v/>
      </c>
      <c r="K15" s="199"/>
      <c r="L15" s="199"/>
      <c r="M15" s="199"/>
      <c r="N15" s="116" t="e">
        <f t="array" aca="1" ref="N15" ca="1">INDIRECT("数出表_Excel!A"&amp;I15)</f>
        <v>#VALUE!</v>
      </c>
      <c r="O15" s="101"/>
      <c r="P15" s="101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2" t="e">
        <f t="array" aca="1" ref="Q15" ca="1">GetResult(P15)</f>
        <v>#VALUE!</v>
      </c>
      <c r="R15" s="198" t="str">
        <f ca="1">IF(R16&lt;&gt;"",
IF(LEFT(V15,2)="博多",
LEFT(V15,FIND("週",V15)-1),
V15),"")</f>
        <v/>
      </c>
      <c r="S15" s="199"/>
      <c r="T15" s="199"/>
      <c r="U15" s="199"/>
      <c r="V15" s="120" t="e">
        <f t="array" aca="1" ref="V15" ca="1">INDIRECT("数出表_Excel!A"&amp;Q15)</f>
        <v>#VALUE!</v>
      </c>
      <c r="W15" s="101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2" t="e">
        <f t="array" aca="1" ref="X15" ca="1">GetResult(W15)</f>
        <v>#VALUE!</v>
      </c>
      <c r="Y15" s="198" t="str">
        <f ca="1">IF(Y16&lt;&gt;"",
IF(LEFT(AC15,2)="博多",
LEFT(AC15,FIND("週",AC15)-1),
AC15),"")</f>
        <v/>
      </c>
      <c r="Z15" s="199"/>
      <c r="AA15" s="199"/>
      <c r="AB15" s="199"/>
      <c r="AC15" s="116" t="e">
        <f t="array" aca="1" ref="AC15" ca="1">INDIRECT("数出表_Excel!A"&amp;X15)</f>
        <v>#VALUE!</v>
      </c>
      <c r="AD15" s="101"/>
      <c r="AE15" s="101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2" t="e">
        <f t="array" aca="1" ref="AF15" ca="1">GetResult(AE15)</f>
        <v>#VALUE!</v>
      </c>
      <c r="AG15" s="198" t="str">
        <f ca="1">IF(AG16&lt;&gt;"",
IF(LEFT(AK15,2)="博多",
LEFT(AK15,FIND("週",AK15)-1),
AK15),"")</f>
        <v/>
      </c>
      <c r="AH15" s="199"/>
      <c r="AI15" s="199"/>
      <c r="AJ15" s="199"/>
      <c r="AK15" s="120" t="e">
        <f t="array" aca="1" ref="AK15" ca="1">INDIRECT("数出表_Excel!A"&amp;AF15)</f>
        <v>#VALUE!</v>
      </c>
      <c r="AL15" s="101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2" t="e">
        <f t="array" aca="1" ref="AM15" ca="1">GetResult(AL15)</f>
        <v>#VALUE!</v>
      </c>
      <c r="AN15" s="198" t="str">
        <f ca="1">IF(AN16&lt;&gt;"",
IF(LEFT(AR15,2)="博多",
LEFT(AR15,FIND("週",AR15)-1),
AR15),"")</f>
        <v/>
      </c>
      <c r="AO15" s="199"/>
      <c r="AP15" s="199"/>
      <c r="AQ15" s="199"/>
      <c r="AR15" s="116" t="e">
        <f t="array" aca="1" ref="AR15" ca="1">INDIRECT("数出表_Excel!A"&amp;AM15)</f>
        <v>#VALUE!</v>
      </c>
      <c r="AS15" s="101"/>
      <c r="AT15" s="101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2" t="e">
        <f t="array" aca="1" ref="AU15" ca="1">GetResult(AT15)</f>
        <v>#VALUE!</v>
      </c>
      <c r="AV15" s="198" t="str">
        <f ca="1">IF(AV16&lt;&gt;"",
IF(LEFT(AZ15,2)="博多",
LEFT(AZ15,FIND("週",AZ15)-1),
AZ15),"")</f>
        <v/>
      </c>
      <c r="AW15" s="199"/>
      <c r="AX15" s="199"/>
      <c r="AY15" s="199"/>
      <c r="AZ15" s="120" t="e">
        <f t="array" aca="1" ref="AZ15" ca="1">INDIRECT("数出表_Excel!A"&amp;AU15)</f>
        <v>#VALUE!</v>
      </c>
      <c r="BA15" s="101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2" t="e">
        <f t="array" aca="1" ref="BB15" ca="1">GetResult(BA15)</f>
        <v>#VALUE!</v>
      </c>
      <c r="BC15" s="198" t="str">
        <f ca="1">IF(BC16&lt;&gt;"",
IF(LEFT(BG15,2)="博多",
LEFT(BG15,FIND("週",BG15)-1),
BG15),"")</f>
        <v/>
      </c>
      <c r="BD15" s="199"/>
      <c r="BE15" s="199"/>
      <c r="BF15" s="199"/>
      <c r="BG15" s="116" t="e">
        <f t="array" aca="1" ref="BG15" ca="1">INDIRECT("数出表_Excel!A"&amp;BB15)</f>
        <v>#VALUE!</v>
      </c>
      <c r="BH15" s="101"/>
      <c r="BI15" s="101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2" t="e">
        <f t="array" aca="1" ref="BJ15" ca="1">GetResult(BI15)</f>
        <v>#VALUE!</v>
      </c>
      <c r="BK15" s="198" t="str">
        <f ca="1">IF(BK16&lt;&gt;"",
IF(LEFT(BO15,2)="博多",
LEFT(BO15,FIND("週",BO15)-1),
BO15),"")</f>
        <v/>
      </c>
      <c r="BL15" s="199"/>
      <c r="BM15" s="199"/>
      <c r="BN15" s="199"/>
      <c r="BO15" s="120" t="e">
        <f t="array" aca="1" ref="BO15" ca="1">INDIRECT("数出表_Excel!A"&amp;BJ15)</f>
        <v>#VALUE!</v>
      </c>
      <c r="BP15" s="101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2" t="e">
        <f t="array" aca="1" ref="BQ15" ca="1">GetResult(BP15)</f>
        <v>#VALUE!</v>
      </c>
      <c r="BR15" s="198" t="str">
        <f ca="1">IF(BR16&lt;&gt;"",
IF(LEFT(BV15,2)="博多",
LEFT(BV15,FIND("週",BV15)-1),
BV15),"")</f>
        <v/>
      </c>
      <c r="BS15" s="199"/>
      <c r="BT15" s="199"/>
      <c r="BU15" s="199"/>
      <c r="BV15" s="116" t="e">
        <f t="array" aca="1" ref="BV15" ca="1">INDIRECT("数出表_Excel!A"&amp;BQ15)</f>
        <v>#VALUE!</v>
      </c>
      <c r="BW15" s="101"/>
      <c r="BX15" s="101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2" t="e">
        <f t="array" aca="1" ref="BY15" ca="1">GetResult(BX15)</f>
        <v>#VALUE!</v>
      </c>
      <c r="BZ15" s="198" t="str">
        <f ca="1">IF(BZ16&lt;&gt;"",
IF(LEFT(CD15,2)="博多",
LEFT(CD15,FIND("週",CD15)-1),
CD15),"")</f>
        <v/>
      </c>
      <c r="CA15" s="199"/>
      <c r="CB15" s="199"/>
      <c r="CC15" s="199"/>
      <c r="CD15" s="120" t="e">
        <f t="array" aca="1" ref="CD15" ca="1">INDIRECT("数出表_Excel!A"&amp;BY15)</f>
        <v>#VALUE!</v>
      </c>
      <c r="CE15" s="101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2" t="e">
        <f t="array" aca="1" ref="CF15" ca="1">GetResult(CE15)</f>
        <v>#VALUE!</v>
      </c>
      <c r="CG15" s="198" t="str">
        <f ca="1">IF(CG16&lt;&gt;"",
IF(LEFT(CK15,2)="博多",
LEFT(CK15,FIND("週",CK15)-1),
CK15),"")</f>
        <v/>
      </c>
      <c r="CH15" s="199"/>
      <c r="CI15" s="199"/>
      <c r="CJ15" s="199"/>
      <c r="CK15" s="116" t="e">
        <f t="array" aca="1" ref="CK15" ca="1">INDIRECT("数出表_Excel!A"&amp;CF15)</f>
        <v>#VALUE!</v>
      </c>
      <c r="CL15" s="101"/>
      <c r="CM15" s="101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2" t="e">
        <f t="array" aca="1" ref="CN15" ca="1">GetResult(CM15)</f>
        <v>#VALUE!</v>
      </c>
      <c r="CO15" s="198" t="str">
        <f ca="1">IF(CO16&lt;&gt;"",
IF(LEFT(CS15,2)="博多",
LEFT(CS15,FIND("週",CS15)-1),
CS15),"")</f>
        <v/>
      </c>
      <c r="CP15" s="199"/>
      <c r="CQ15" s="199"/>
      <c r="CR15" s="199"/>
      <c r="CS15" s="120" t="e">
        <f t="array" aca="1" ref="CS15" ca="1">INDIRECT("数出表_Excel!A"&amp;CN15)</f>
        <v>#VALUE!</v>
      </c>
      <c r="CT15" s="101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2" t="e">
        <f t="array" aca="1" ref="CU15" ca="1">GetResult(CT15)</f>
        <v>#VALUE!</v>
      </c>
      <c r="CV15" s="198" t="str">
        <f ca="1">IF(CV16&lt;&gt;"",
IF(LEFT(CZ15,2)="博多",
LEFT(CZ15,FIND("週",CZ15)-1),
CZ15),"")</f>
        <v/>
      </c>
      <c r="CW15" s="199"/>
      <c r="CX15" s="199"/>
      <c r="CY15" s="199"/>
      <c r="CZ15" s="116" t="e">
        <f t="array" aca="1" ref="CZ15" ca="1">INDIRECT("数出表_Excel!A"&amp;CU15)</f>
        <v>#VALUE!</v>
      </c>
      <c r="DA15" s="101"/>
      <c r="DB15" s="101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2" t="e">
        <f t="array" aca="1" ref="DC15" ca="1">GetResult(DB15)</f>
        <v>#VALUE!</v>
      </c>
      <c r="DD15" s="198" t="str">
        <f ca="1">IF(DD16&lt;&gt;"",
IF(LEFT(DH15,2)="博多",
LEFT(DH15,FIND("週",DH15)-1),
DH15),"")</f>
        <v/>
      </c>
      <c r="DE15" s="199"/>
      <c r="DF15" s="199"/>
      <c r="DG15" s="199"/>
      <c r="DH15" s="120" t="e">
        <f t="array" aca="1" ref="DH15" ca="1">INDIRECT("数出表_Excel!A"&amp;DC15)</f>
        <v>#VALUE!</v>
      </c>
      <c r="DI15" s="101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2" t="e">
        <f t="array" aca="1" ref="DJ15" ca="1">GetResult(DI15)</f>
        <v>#VALUE!</v>
      </c>
      <c r="DK15" s="198" t="str">
        <f ca="1">IF(DK16&lt;&gt;"",
IF(LEFT(DO15,2)="博多",
LEFT(DO15,FIND("週",DO15)-1),
DO15),"")</f>
        <v/>
      </c>
      <c r="DL15" s="199"/>
      <c r="DM15" s="199"/>
      <c r="DN15" s="199"/>
      <c r="DO15" s="116" t="e">
        <f t="array" aca="1" ref="DO15" ca="1">INDIRECT("数出表_Excel!A"&amp;DJ15)</f>
        <v>#VALUE!</v>
      </c>
      <c r="DP15" s="101"/>
      <c r="DQ15" s="101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2" t="e">
        <f t="array" aca="1" ref="DR15" ca="1">GetResult(DQ15)</f>
        <v>#VALUE!</v>
      </c>
      <c r="DS15" s="198" t="str">
        <f ca="1">IF(DS16&lt;&gt;"",
IF(LEFT(DW15,2)="博多",
LEFT(DW15,FIND("週",DW15)-1),
DW15),"")</f>
        <v/>
      </c>
      <c r="DT15" s="199"/>
      <c r="DU15" s="199"/>
      <c r="DV15" s="199"/>
      <c r="DW15" s="120" t="e">
        <f t="array" aca="1" ref="DW15" ca="1">INDIRECT("数出表_Excel!A"&amp;DR15)</f>
        <v>#VALUE!</v>
      </c>
      <c r="DX15" s="101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2" t="e">
        <f t="array" aca="1" ref="DY15" ca="1">GetResult(DX15)</f>
        <v>#VALUE!</v>
      </c>
      <c r="DZ15" s="198" t="str">
        <f ca="1">IF(DZ16&lt;&gt;"",
IF(LEFT(ED15,2)="博多",
LEFT(ED15,FIND("週",ED15)-1),
ED15),"")</f>
        <v/>
      </c>
      <c r="EA15" s="199"/>
      <c r="EB15" s="199"/>
      <c r="EC15" s="199"/>
      <c r="ED15" s="116" t="e">
        <f t="array" aca="1" ref="ED15" ca="1">INDIRECT("数出表_Excel!A"&amp;DY15)</f>
        <v>#VALUE!</v>
      </c>
      <c r="EE15" s="101"/>
      <c r="EF15" s="101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102" t="e">
        <f t="array" aca="1" ref="EG15" ca="1">GetResult(EF15)</f>
        <v>#VALUE!</v>
      </c>
      <c r="EH15" s="198" t="str">
        <f ca="1">IF(EH16&lt;&gt;"",
IF(LEFT(EL15,2)="博多",
LEFT(EL15,FIND("週",EL15)-1),
EL15),"")</f>
        <v/>
      </c>
      <c r="EI15" s="199"/>
      <c r="EJ15" s="199"/>
      <c r="EK15" s="199"/>
      <c r="EL15" s="120" t="e">
        <f t="array" aca="1" ref="EL15" ca="1">INDIRECT("数出表_Excel!A"&amp;EG15)</f>
        <v>#VALUE!</v>
      </c>
      <c r="EM15" s="101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102" t="e">
        <f t="array" aca="1" ref="EN15" ca="1">GetResult(EM15)</f>
        <v>#VALUE!</v>
      </c>
      <c r="EO15" s="198" t="str">
        <f ca="1">IF(EO16&lt;&gt;"",
IF(LEFT(ES15,2)="博多",
LEFT(ES15,FIND("週",ES15)-1),
ES15),"")</f>
        <v/>
      </c>
      <c r="EP15" s="199"/>
      <c r="EQ15" s="199"/>
      <c r="ER15" s="199"/>
      <c r="ES15" s="116" t="e">
        <f t="array" aca="1" ref="ES15" ca="1">INDIRECT("数出表_Excel!A"&amp;EN15)</f>
        <v>#VALUE!</v>
      </c>
      <c r="ET15" s="132"/>
      <c r="EU15" s="112">
        <f t="shared" si="1"/>
        <v>21</v>
      </c>
      <c r="EV15" s="103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3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3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3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3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3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3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3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3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3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3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3">
        <f t="shared" ca="1" si="0"/>
        <v>0</v>
      </c>
      <c r="FH15" s="103" t="e">
        <f t="array" aca="1" ref="FH15" ca="1">SUMPRODUCT((LEN(EV15:FF15)&gt;0)*1)&gt;0</f>
        <v>#VALUE!</v>
      </c>
      <c r="FI15" s="103" t="str">
        <f t="array" aca="1" ref="FI15" ca="1">IFERROR(SMALL(IF(FG$1:FG$169&lt;&gt;0,FG$1:FG$169),ROW(A15)),"")</f>
        <v/>
      </c>
      <c r="FJ15" s="103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3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3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3" t="str">
        <f t="array" aca="1" ref="FM15" ca="1">IF($FI15&lt;&gt;"",
IF(FL15="",
INDIRECT("EY"&amp;$FI15&amp;"")&amp;"箱"
&amp;INDIRECT("EZ"&amp;$FI15&amp;""),""),"")</f>
        <v/>
      </c>
      <c r="FN15" s="103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3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3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3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3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3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3" customFormat="1" ht="18" customHeight="1" x14ac:dyDescent="0.55000000000000004">
      <c r="A16" s="101"/>
      <c r="B16" s="106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5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1"/>
      <c r="E16" s="107" t="str" cm="1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108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1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1"/>
      <c r="I16" s="106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5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1"/>
      <c r="L16" s="107" t="str" cm="1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108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7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1"/>
      <c r="P16" s="101"/>
      <c r="Q16" s="106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5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1"/>
      <c r="T16" s="107" t="str" cm="1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108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1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1"/>
      <c r="X16" s="106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5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1"/>
      <c r="AA16" s="107" t="str" cm="1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108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7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1"/>
      <c r="AE16" s="101"/>
      <c r="AF16" s="106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5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1"/>
      <c r="AI16" s="107" t="str" cm="1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108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1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1"/>
      <c r="AM16" s="106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5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1"/>
      <c r="AP16" s="107" t="str" cm="1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108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7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1"/>
      <c r="AT16" s="101"/>
      <c r="AU16" s="106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5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1"/>
      <c r="AX16" s="107" t="str" cm="1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108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1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1"/>
      <c r="BB16" s="106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5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1"/>
      <c r="BE16" s="107" t="str" cm="1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108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7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1"/>
      <c r="BI16" s="101"/>
      <c r="BJ16" s="106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5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1"/>
      <c r="BM16" s="107" t="str" cm="1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108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1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1"/>
      <c r="BQ16" s="106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5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1"/>
      <c r="BT16" s="107" t="str" cm="1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108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7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1"/>
      <c r="BX16" s="101"/>
      <c r="BY16" s="106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5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1"/>
      <c r="CB16" s="107" t="str" cm="1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108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1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1"/>
      <c r="CF16" s="106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5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1"/>
      <c r="CI16" s="107" t="str" cm="1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108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7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1"/>
      <c r="CM16" s="101"/>
      <c r="CN16" s="106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5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1"/>
      <c r="CQ16" s="107" t="str" cm="1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108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1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1"/>
      <c r="CU16" s="106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5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1"/>
      <c r="CX16" s="107" t="str" cm="1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108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7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1"/>
      <c r="DB16" s="101"/>
      <c r="DC16" s="106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5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1"/>
      <c r="DF16" s="107" t="str" cm="1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108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1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1"/>
      <c r="DJ16" s="106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5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1"/>
      <c r="DM16" s="107" t="str" cm="1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108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7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1"/>
      <c r="DQ16" s="101"/>
      <c r="DR16" s="106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5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1"/>
      <c r="DU16" s="107" t="str" cm="1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108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1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1"/>
      <c r="DY16" s="106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5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1"/>
      <c r="EB16" s="107" t="str" cm="1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108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7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1"/>
      <c r="EF16" s="101"/>
      <c r="EG16" s="106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5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101"/>
      <c r="EJ16" s="107" t="str" cm="1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108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21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101"/>
      <c r="EN16" s="106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5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101"/>
      <c r="EQ16" s="107" t="str" cm="1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108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117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3"/>
      <c r="EU16" s="103">
        <f t="shared" si="1"/>
        <v>63</v>
      </c>
      <c r="EV16" s="103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03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03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03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03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03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03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3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03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03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3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03">
        <f t="shared" ca="1" si="0"/>
        <v>0</v>
      </c>
      <c r="FH16" s="103" t="b">
        <f t="array" aca="1" ref="FH16" ca="1">SUMPRODUCT((LEN(EV16:FF16)&gt;0)*1)&gt;0</f>
        <v>0</v>
      </c>
      <c r="FI16" s="103" t="str">
        <f t="array" aca="1" ref="FI16" ca="1">IFERROR(SMALL(IF(FG$1:FG$169&lt;&gt;0,FG$1:FG$169),ROW(A16)),"")</f>
        <v/>
      </c>
      <c r="FJ16" s="103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3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3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3" t="str">
        <f t="array" aca="1" ref="FM16" ca="1">IF($FI16&lt;&gt;"",
IF(FL16="",
INDIRECT("EY"&amp;$FI16&amp;"")&amp;"箱"
&amp;INDIRECT("EZ"&amp;$FI16&amp;""),""),"")</f>
        <v/>
      </c>
      <c r="FN16" s="103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3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3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3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3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3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3" customFormat="1" ht="22.2" customHeight="1" x14ac:dyDescent="0.55000000000000004">
      <c r="A17" s="101"/>
      <c r="B17" s="109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196" t="str">
        <f ca="1">IF(C16&lt;&gt;"",
"園児","")</f>
        <v/>
      </c>
      <c r="D17" s="197"/>
      <c r="E17" s="200" t="str">
        <f ca="1">IF(C16&lt;&gt;"",
"先生","")</f>
        <v/>
      </c>
      <c r="F17" s="197"/>
      <c r="G17" s="122" cm="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101"/>
      <c r="I17" s="109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96" t="str">
        <f ca="1">IF(J16&lt;&gt;"",
"園児","")</f>
        <v/>
      </c>
      <c r="K17" s="197"/>
      <c r="L17" s="200" t="str">
        <f ca="1">IF(J16&lt;&gt;"",
"先生","")</f>
        <v/>
      </c>
      <c r="M17" s="197"/>
      <c r="N17" s="122" cm="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101"/>
      <c r="P17" s="101"/>
      <c r="Q17" s="109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196" t="str">
        <f ca="1">IF(R16&lt;&gt;"",
"園児","")</f>
        <v/>
      </c>
      <c r="S17" s="197"/>
      <c r="T17" s="200" t="str">
        <f ca="1">IF(R16&lt;&gt;"",
"先生","")</f>
        <v/>
      </c>
      <c r="U17" s="197"/>
      <c r="V17" s="122" cm="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101"/>
      <c r="X17" s="109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96" t="str">
        <f ca="1">IF(Y16&lt;&gt;"",
"園児","")</f>
        <v/>
      </c>
      <c r="Z17" s="197"/>
      <c r="AA17" s="200" t="str">
        <f ca="1">IF(Y16&lt;&gt;"",
"先生","")</f>
        <v/>
      </c>
      <c r="AB17" s="197"/>
      <c r="AC17" s="122" cm="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101"/>
      <c r="AE17" s="101"/>
      <c r="AF17" s="109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196" t="str">
        <f ca="1">IF(AG16&lt;&gt;"",
"園児","")</f>
        <v/>
      </c>
      <c r="AH17" s="197"/>
      <c r="AI17" s="200" t="str">
        <f ca="1">IF(AG16&lt;&gt;"",
"先生","")</f>
        <v/>
      </c>
      <c r="AJ17" s="197"/>
      <c r="AK17" s="122" cm="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101"/>
      <c r="AM17" s="109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96" t="str">
        <f ca="1">IF(AN16&lt;&gt;"",
"園児","")</f>
        <v/>
      </c>
      <c r="AO17" s="197"/>
      <c r="AP17" s="200" t="str">
        <f ca="1">IF(AN16&lt;&gt;"",
"先生","")</f>
        <v/>
      </c>
      <c r="AQ17" s="197"/>
      <c r="AR17" s="122" cm="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101"/>
      <c r="AT17" s="101"/>
      <c r="AU17" s="109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196" t="str">
        <f ca="1">IF(AV16&lt;&gt;"",
"園児","")</f>
        <v/>
      </c>
      <c r="AW17" s="197"/>
      <c r="AX17" s="200" t="str">
        <f ca="1">IF(AV16&lt;&gt;"",
"先生","")</f>
        <v/>
      </c>
      <c r="AY17" s="197"/>
      <c r="AZ17" s="122" cm="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101"/>
      <c r="BB17" s="109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96" t="str">
        <f ca="1">IF(BC16&lt;&gt;"",
"園児","")</f>
        <v/>
      </c>
      <c r="BD17" s="197"/>
      <c r="BE17" s="200" t="str">
        <f ca="1">IF(BC16&lt;&gt;"",
"先生","")</f>
        <v/>
      </c>
      <c r="BF17" s="197"/>
      <c r="BG17" s="122" cm="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101"/>
      <c r="BI17" s="101"/>
      <c r="BJ17" s="109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196" t="str">
        <f ca="1">IF(BK16&lt;&gt;"",
"園児","")</f>
        <v/>
      </c>
      <c r="BL17" s="197"/>
      <c r="BM17" s="200" t="str">
        <f ca="1">IF(BK16&lt;&gt;"",
"先生","")</f>
        <v/>
      </c>
      <c r="BN17" s="197"/>
      <c r="BO17" s="122" cm="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101"/>
      <c r="BQ17" s="109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96" t="str">
        <f ca="1">IF(BR16&lt;&gt;"",
"園児","")</f>
        <v/>
      </c>
      <c r="BS17" s="197"/>
      <c r="BT17" s="200" t="str">
        <f ca="1">IF(BR16&lt;&gt;"",
"先生","")</f>
        <v/>
      </c>
      <c r="BU17" s="197"/>
      <c r="BV17" s="122" cm="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101"/>
      <c r="BX17" s="101"/>
      <c r="BY17" s="109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196" t="str">
        <f ca="1">IF(BZ16&lt;&gt;"",
"園児","")</f>
        <v/>
      </c>
      <c r="CA17" s="197"/>
      <c r="CB17" s="200" t="str">
        <f ca="1">IF(BZ16&lt;&gt;"",
"先生","")</f>
        <v/>
      </c>
      <c r="CC17" s="197"/>
      <c r="CD17" s="122" cm="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101"/>
      <c r="CF17" s="109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196" t="str">
        <f ca="1">IF(CG16&lt;&gt;"",
"園児","")</f>
        <v/>
      </c>
      <c r="CH17" s="197"/>
      <c r="CI17" s="200" t="str">
        <f ca="1">IF(CG16&lt;&gt;"",
"先生","")</f>
        <v/>
      </c>
      <c r="CJ17" s="197"/>
      <c r="CK17" s="122" cm="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101"/>
      <c r="CM17" s="101"/>
      <c r="CN17" s="109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196" t="str">
        <f ca="1">IF(CO16&lt;&gt;"",
"園児","")</f>
        <v/>
      </c>
      <c r="CP17" s="197"/>
      <c r="CQ17" s="200" t="str">
        <f ca="1">IF(CO16&lt;&gt;"",
"先生","")</f>
        <v/>
      </c>
      <c r="CR17" s="197"/>
      <c r="CS17" s="122" cm="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101"/>
      <c r="CU17" s="109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196" t="str">
        <f ca="1">IF(CV16&lt;&gt;"",
"園児","")</f>
        <v/>
      </c>
      <c r="CW17" s="197"/>
      <c r="CX17" s="200" t="str">
        <f ca="1">IF(CV16&lt;&gt;"",
"先生","")</f>
        <v/>
      </c>
      <c r="CY17" s="197"/>
      <c r="CZ17" s="122" cm="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101"/>
      <c r="DB17" s="101"/>
      <c r="DC17" s="109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196" t="str">
        <f ca="1">IF(DD16&lt;&gt;"",
"園児","")</f>
        <v/>
      </c>
      <c r="DE17" s="197"/>
      <c r="DF17" s="200" t="str">
        <f ca="1">IF(DD16&lt;&gt;"",
"先生","")</f>
        <v/>
      </c>
      <c r="DG17" s="197"/>
      <c r="DH17" s="122" cm="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101"/>
      <c r="DJ17" s="109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196" t="str">
        <f ca="1">IF(DK16&lt;&gt;"",
"園児","")</f>
        <v/>
      </c>
      <c r="DL17" s="197"/>
      <c r="DM17" s="200" t="str">
        <f ca="1">IF(DK16&lt;&gt;"",
"先生","")</f>
        <v/>
      </c>
      <c r="DN17" s="197"/>
      <c r="DO17" s="122" cm="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101"/>
      <c r="DQ17" s="101"/>
      <c r="DR17" s="109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196" t="str">
        <f ca="1">IF(DS16&lt;&gt;"",
"園児","")</f>
        <v/>
      </c>
      <c r="DT17" s="197"/>
      <c r="DU17" s="200" t="str">
        <f ca="1">IF(DS16&lt;&gt;"",
"先生","")</f>
        <v/>
      </c>
      <c r="DV17" s="197"/>
      <c r="DW17" s="122" cm="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101"/>
      <c r="DY17" s="109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196" t="str">
        <f ca="1">IF(DZ16&lt;&gt;"",
"園児","")</f>
        <v/>
      </c>
      <c r="EA17" s="197"/>
      <c r="EB17" s="200" t="str">
        <f ca="1">IF(DZ16&lt;&gt;"",
"先生","")</f>
        <v/>
      </c>
      <c r="EC17" s="197"/>
      <c r="ED17" s="122" cm="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101"/>
      <c r="EF17" s="101"/>
      <c r="EG17" s="109" t="e">
        <f t="array" aca="1" ref="EG17" ca="1">IF(AND(LEFT(EL15,2)="博多",
LEFT(INDIRECT("数出表_Excel!A"&amp;MATCH(EL15,数出表_Excel!$A:$A,0)-1),2)
=LEFT(INDIRECT("数出表_Excel!A"&amp;MATCH(EL15,数出表_Excel!$A:$A,0)+1),2)),100,"")</f>
        <v>#VALUE!</v>
      </c>
      <c r="EH17" s="196" t="str">
        <f ca="1">IF(EH16&lt;&gt;"",
"園児","")</f>
        <v/>
      </c>
      <c r="EI17" s="197"/>
      <c r="EJ17" s="200" t="str">
        <f ca="1">IF(EH16&lt;&gt;"",
"先生","")</f>
        <v/>
      </c>
      <c r="EK17" s="197"/>
      <c r="EL17" s="122" cm="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101"/>
      <c r="EN17" s="109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196" t="str">
        <f ca="1">IF(EO16&lt;&gt;"",
"園児","")</f>
        <v/>
      </c>
      <c r="EP17" s="197"/>
      <c r="EQ17" s="200" t="str">
        <f ca="1">IF(EO16&lt;&gt;"",
"先生","")</f>
        <v/>
      </c>
      <c r="ER17" s="197"/>
      <c r="ES17" s="122" cm="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32"/>
      <c r="EU17" s="103">
        <f t="shared" si="1"/>
        <v>28</v>
      </c>
      <c r="EV17" s="103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3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3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3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3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3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3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3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3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3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3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3">
        <f t="shared" ca="1" si="0"/>
        <v>0</v>
      </c>
      <c r="FH17" s="103" t="e">
        <f t="array" aca="1" ref="FH17" ca="1">SUMPRODUCT((LEN(EV17:FF17)&gt;0)*1)&gt;0</f>
        <v>#VALUE!</v>
      </c>
      <c r="FI17" s="103" t="str">
        <f t="array" aca="1" ref="FI17" ca="1">IFERROR(SMALL(IF(FG$1:FG$169&lt;&gt;0,FG$1:FG$169),ROW(A17)),"")</f>
        <v/>
      </c>
      <c r="FJ17" s="103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3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3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3" t="str">
        <f t="array" aca="1" ref="FM17" ca="1">IF($FI17&lt;&gt;"",
IF(FL17="",
INDIRECT("EY"&amp;$FI17&amp;"")&amp;"箱"
&amp;INDIRECT("EZ"&amp;$FI17&amp;""),""),"")</f>
        <v/>
      </c>
      <c r="FN17" s="103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3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3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3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3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3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0.45">
      <c r="B18" s="111"/>
      <c r="C18" s="192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193"/>
      <c r="E18" s="195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193"/>
      <c r="G18" s="122" t="e" cm="1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"")),0),""),0)</f>
        <v>#VALUE!</v>
      </c>
      <c r="I18" s="111"/>
      <c r="J18" s="192" t="e">
        <f t="array" aca="1" ref="J18" ca="1">IF(AND(U8="社食",N15="社食"),"",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193"/>
      <c r="L18" s="195" t="e" cm="1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193"/>
      <c r="N18" s="122" t="e" cm="1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"")),0),""),0)</f>
        <v>#VALUE!</v>
      </c>
      <c r="Q18" s="111"/>
      <c r="R18" s="192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193"/>
      <c r="T18" s="195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193"/>
      <c r="V18" s="122" t="e" cm="1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"")),0),""),0)</f>
        <v>#VALUE!</v>
      </c>
      <c r="X18" s="111"/>
      <c r="Y18" s="192" t="e">
        <f t="array" aca="1" ref="Y18" ca="1">IF(AND(AJ8="社食",AC15="社食"),"",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193"/>
      <c r="AA18" s="195" t="e" cm="1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193"/>
      <c r="AC18" s="122" t="e" cm="1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"")),0),""),0)</f>
        <v>#VALUE!</v>
      </c>
      <c r="AF18" s="111"/>
      <c r="AG18" s="192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193"/>
      <c r="AI18" s="195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193"/>
      <c r="AK18" s="122" t="e" cm="1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"")),0),""),0)</f>
        <v>#VALUE!</v>
      </c>
      <c r="AM18" s="111"/>
      <c r="AN18" s="192" t="e">
        <f t="array" aca="1" ref="AN18" ca="1">IF(AND(AY8="社食",AR15="社食"),"",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193"/>
      <c r="AP18" s="195" t="e" cm="1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193"/>
      <c r="AR18" s="122" t="e" cm="1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"")),0),""),0)</f>
        <v>#VALUE!</v>
      </c>
      <c r="AU18" s="111"/>
      <c r="AV18" s="192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193"/>
      <c r="AX18" s="195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193"/>
      <c r="AZ18" s="122" t="e" cm="1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"")),0),""),0)</f>
        <v>#VALUE!</v>
      </c>
      <c r="BB18" s="111"/>
      <c r="BC18" s="192" t="e">
        <f t="array" aca="1" ref="BC18" ca="1">IF(AND(BN8="社食",BG15="社食"),"",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193"/>
      <c r="BE18" s="195" t="e" cm="1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193"/>
      <c r="BG18" s="122" t="e" cm="1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"")),0),""),0)</f>
        <v>#VALUE!</v>
      </c>
      <c r="BJ18" s="111"/>
      <c r="BK18" s="192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193"/>
      <c r="BM18" s="195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193"/>
      <c r="BO18" s="122" t="e" cm="1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"")),0),""),0)</f>
        <v>#VALUE!</v>
      </c>
      <c r="BQ18" s="111"/>
      <c r="BR18" s="192" t="e">
        <f t="array" aca="1" ref="BR18" ca="1">IF(AND(CC8="社食",BV15="社食"),"",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193"/>
      <c r="BT18" s="195" t="e" cm="1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193"/>
      <c r="BV18" s="122" t="e" cm="1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"")),0),""),0)</f>
        <v>#VALUE!</v>
      </c>
      <c r="BY18" s="111"/>
      <c r="BZ18" s="192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193"/>
      <c r="CB18" s="195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193"/>
      <c r="CD18" s="122" t="e" cm="1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"")),0),""),0)</f>
        <v>#VALUE!</v>
      </c>
      <c r="CF18" s="111"/>
      <c r="CG18" s="192" t="e">
        <f t="array" aca="1" ref="CG18" ca="1">IF(AND(CR8="社食",CK15="社食"),"",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193"/>
      <c r="CI18" s="195" t="e" cm="1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193"/>
      <c r="CK18" s="122" t="e" cm="1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"")),0),""),0)</f>
        <v>#VALUE!</v>
      </c>
      <c r="CN18" s="111"/>
      <c r="CO18" s="192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193"/>
      <c r="CQ18" s="195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193"/>
      <c r="CS18" s="122" t="e" cm="1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"")),0),""),0)</f>
        <v>#VALUE!</v>
      </c>
      <c r="CU18" s="111"/>
      <c r="CV18" s="192" t="e">
        <f t="array" aca="1" ref="CV18" ca="1">IF(AND(DG8="社食",CZ15="社食"),"",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193"/>
      <c r="CX18" s="195" t="e" cm="1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193"/>
      <c r="CZ18" s="122" t="e" cm="1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"")),0),""),0)</f>
        <v>#VALUE!</v>
      </c>
      <c r="DC18" s="111"/>
      <c r="DD18" s="192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193"/>
      <c r="DF18" s="195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193"/>
      <c r="DH18" s="122" t="e" cm="1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"")),0),""),0)</f>
        <v>#VALUE!</v>
      </c>
      <c r="DJ18" s="111"/>
      <c r="DK18" s="192" t="e">
        <f t="array" aca="1" ref="DK18" ca="1">IF(AND(DV8="社食",DO15="社食"),"",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193"/>
      <c r="DM18" s="195" t="e" cm="1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193"/>
      <c r="DO18" s="122" t="e" cm="1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"")),0),""),0)</f>
        <v>#VALUE!</v>
      </c>
      <c r="DR18" s="111"/>
      <c r="DS18" s="192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193"/>
      <c r="DU18" s="195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193"/>
      <c r="DW18" s="122" t="e" cm="1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"")),0),""),0)</f>
        <v>#VALUE!</v>
      </c>
      <c r="DY18" s="111"/>
      <c r="DZ18" s="192" t="e">
        <f t="array" aca="1" ref="DZ18" ca="1">IF(AND(EK8="社食",ED15="社食"),"",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193"/>
      <c r="EB18" s="195" t="e" cm="1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193"/>
      <c r="ED18" s="122" t="e" cm="1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"")),0),""),0)</f>
        <v>#VALUE!</v>
      </c>
      <c r="EG18" s="111"/>
      <c r="EH18" s="192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193"/>
      <c r="EJ18" s="195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193"/>
      <c r="EL18" s="122" t="e" cm="1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"")),0),""),0)</f>
        <v>#VALUE!</v>
      </c>
      <c r="EN18" s="111"/>
      <c r="EO18" s="192" t="e">
        <f t="array" aca="1" ref="EO18" ca="1">IF(AND(EZ8="社食",ES15="社食"),"",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193"/>
      <c r="EQ18" s="195" t="e" cm="1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193"/>
      <c r="ES18" s="122" t="e" cm="1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"")),0),""),0)</f>
        <v>#VALUE!</v>
      </c>
      <c r="ET18" s="132"/>
      <c r="EU18" s="103">
        <f t="shared" si="1"/>
        <v>70</v>
      </c>
      <c r="EV18" s="103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03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03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03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03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03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03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3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03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03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3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03">
        <f t="shared" ca="1" si="0"/>
        <v>0</v>
      </c>
      <c r="FH18" s="103" t="b">
        <f t="array" aca="1" ref="FH18" ca="1">SUMPRODUCT((LEN(EV18:FF18)&gt;0)*1)&gt;0</f>
        <v>0</v>
      </c>
      <c r="FI18" s="103" t="str">
        <f t="array" aca="1" ref="FI18" ca="1">IFERROR(SMALL(IF(FG$1:FG$169&lt;&gt;0,FG$1:FG$169),ROW(A18)),"")</f>
        <v/>
      </c>
      <c r="FJ18" s="103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3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3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3" t="str">
        <f t="array" aca="1" ref="FM18" ca="1">IF($FI18&lt;&gt;"",
IF(FL18="",
INDIRECT("EY"&amp;$FI18&amp;"")&amp;"箱"
&amp;INDIRECT("EZ"&amp;$FI18&amp;""),""),"")</f>
        <v/>
      </c>
      <c r="FN18" s="103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3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3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3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3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3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221" t="s">
        <v>585</v>
      </c>
      <c r="C19" s="194"/>
      <c r="D19" s="194"/>
      <c r="E19" s="194"/>
      <c r="F19" s="194"/>
      <c r="G19" s="123" t="str">
        <f ca="1">SUBSTITUTE(SUBSTITUTE(ADDRESS(1,MATCH("おやつ",'数出表_Excel（アレルギー入力）'!$3:$3,0)),1,""),"$","")</f>
        <v>AL</v>
      </c>
      <c r="I19" s="221" t="s">
        <v>585</v>
      </c>
      <c r="J19" s="194"/>
      <c r="K19" s="194"/>
      <c r="L19" s="194"/>
      <c r="M19" s="194"/>
      <c r="N19" s="123" t="str">
        <f ca="1">SUBSTITUTE(SUBSTITUTE(ADDRESS(1,MATCH("おやつ",'数出表_Excel（アレルギー入力）'!$3:$3,0)),1,""),"$","")</f>
        <v>AL</v>
      </c>
      <c r="Q19" s="221" t="s">
        <v>585</v>
      </c>
      <c r="R19" s="194"/>
      <c r="S19" s="194"/>
      <c r="T19" s="194"/>
      <c r="U19" s="194"/>
      <c r="V19" s="123" t="str">
        <f ca="1">SUBSTITUTE(SUBSTITUTE(ADDRESS(1,MATCH("おやつ",'数出表_Excel（アレルギー入力）'!$3:$3,0)),1,""),"$","")</f>
        <v>AL</v>
      </c>
      <c r="X19" s="221" t="s">
        <v>585</v>
      </c>
      <c r="Y19" s="194"/>
      <c r="Z19" s="194"/>
      <c r="AA19" s="194"/>
      <c r="AB19" s="194"/>
      <c r="AC19" s="123" t="str">
        <f ca="1">SUBSTITUTE(SUBSTITUTE(ADDRESS(1,MATCH("おやつ",'数出表_Excel（アレルギー入力）'!$3:$3,0)),1,""),"$","")</f>
        <v>AL</v>
      </c>
      <c r="AF19" s="221" t="s">
        <v>585</v>
      </c>
      <c r="AG19" s="194"/>
      <c r="AH19" s="194"/>
      <c r="AI19" s="194"/>
      <c r="AJ19" s="194"/>
      <c r="AK19" s="123" t="str">
        <f ca="1">SUBSTITUTE(SUBSTITUTE(ADDRESS(1,MATCH("おやつ",'数出表_Excel（アレルギー入力）'!$3:$3,0)),1,""),"$","")</f>
        <v>AL</v>
      </c>
      <c r="AM19" s="221" t="s">
        <v>585</v>
      </c>
      <c r="AN19" s="194"/>
      <c r="AO19" s="194"/>
      <c r="AP19" s="194"/>
      <c r="AQ19" s="194"/>
      <c r="AR19" s="123" t="str">
        <f ca="1">SUBSTITUTE(SUBSTITUTE(ADDRESS(1,MATCH("おやつ",'数出表_Excel（アレルギー入力）'!$3:$3,0)),1,""),"$","")</f>
        <v>AL</v>
      </c>
      <c r="AU19" s="221" t="s">
        <v>585</v>
      </c>
      <c r="AV19" s="194"/>
      <c r="AW19" s="194"/>
      <c r="AX19" s="194"/>
      <c r="AY19" s="194"/>
      <c r="AZ19" s="123" t="str">
        <f ca="1">SUBSTITUTE(SUBSTITUTE(ADDRESS(1,MATCH("おやつ",'数出表_Excel（アレルギー入力）'!$3:$3,0)),1,""),"$","")</f>
        <v>AL</v>
      </c>
      <c r="BB19" s="221" t="s">
        <v>585</v>
      </c>
      <c r="BC19" s="194"/>
      <c r="BD19" s="194"/>
      <c r="BE19" s="194"/>
      <c r="BF19" s="194"/>
      <c r="BG19" s="123" t="str">
        <f ca="1">SUBSTITUTE(SUBSTITUTE(ADDRESS(1,MATCH("おやつ",'数出表_Excel（アレルギー入力）'!$3:$3,0)),1,""),"$","")</f>
        <v>AL</v>
      </c>
      <c r="BJ19" s="221" t="s">
        <v>585</v>
      </c>
      <c r="BK19" s="194"/>
      <c r="BL19" s="194"/>
      <c r="BM19" s="194"/>
      <c r="BN19" s="194"/>
      <c r="BO19" s="123" t="str">
        <f ca="1">SUBSTITUTE(SUBSTITUTE(ADDRESS(1,MATCH("おやつ",'数出表_Excel（アレルギー入力）'!$3:$3,0)),1,""),"$","")</f>
        <v>AL</v>
      </c>
      <c r="BQ19" s="221" t="s">
        <v>585</v>
      </c>
      <c r="BR19" s="194"/>
      <c r="BS19" s="194"/>
      <c r="BT19" s="194"/>
      <c r="BU19" s="194"/>
      <c r="BV19" s="123" t="str">
        <f ca="1">SUBSTITUTE(SUBSTITUTE(ADDRESS(1,MATCH("おやつ",'数出表_Excel（アレルギー入力）'!$3:$3,0)),1,""),"$","")</f>
        <v>AL</v>
      </c>
      <c r="BY19" s="221" t="s">
        <v>585</v>
      </c>
      <c r="BZ19" s="194"/>
      <c r="CA19" s="194"/>
      <c r="CB19" s="194"/>
      <c r="CC19" s="194"/>
      <c r="CD19" s="123" t="str">
        <f ca="1">SUBSTITUTE(SUBSTITUTE(ADDRESS(1,MATCH("おやつ",'数出表_Excel（アレルギー入力）'!$3:$3,0)),1,""),"$","")</f>
        <v>AL</v>
      </c>
      <c r="CF19" s="221" t="s">
        <v>585</v>
      </c>
      <c r="CG19" s="194"/>
      <c r="CH19" s="194"/>
      <c r="CI19" s="194"/>
      <c r="CJ19" s="194"/>
      <c r="CK19" s="123" t="str">
        <f ca="1">SUBSTITUTE(SUBSTITUTE(ADDRESS(1,MATCH("おやつ",'数出表_Excel（アレルギー入力）'!$3:$3,0)),1,""),"$","")</f>
        <v>AL</v>
      </c>
      <c r="CN19" s="221" t="s">
        <v>585</v>
      </c>
      <c r="CO19" s="194"/>
      <c r="CP19" s="194"/>
      <c r="CQ19" s="194"/>
      <c r="CR19" s="194"/>
      <c r="CS19" s="123" t="str">
        <f ca="1">SUBSTITUTE(SUBSTITUTE(ADDRESS(1,MATCH("おやつ",'数出表_Excel（アレルギー入力）'!$3:$3,0)),1,""),"$","")</f>
        <v>AL</v>
      </c>
      <c r="CU19" s="221" t="s">
        <v>585</v>
      </c>
      <c r="CV19" s="194"/>
      <c r="CW19" s="194"/>
      <c r="CX19" s="194"/>
      <c r="CY19" s="194"/>
      <c r="CZ19" s="123" t="str">
        <f ca="1">SUBSTITUTE(SUBSTITUTE(ADDRESS(1,MATCH("おやつ",'数出表_Excel（アレルギー入力）'!$3:$3,0)),1,""),"$","")</f>
        <v>AL</v>
      </c>
      <c r="DC19" s="221" t="s">
        <v>585</v>
      </c>
      <c r="DD19" s="194"/>
      <c r="DE19" s="194"/>
      <c r="DF19" s="194"/>
      <c r="DG19" s="194"/>
      <c r="DH19" s="123" t="str">
        <f ca="1">SUBSTITUTE(SUBSTITUTE(ADDRESS(1,MATCH("おやつ",'数出表_Excel（アレルギー入力）'!$3:$3,0)),1,""),"$","")</f>
        <v>AL</v>
      </c>
      <c r="DJ19" s="221" t="s">
        <v>585</v>
      </c>
      <c r="DK19" s="194"/>
      <c r="DL19" s="194"/>
      <c r="DM19" s="194"/>
      <c r="DN19" s="194"/>
      <c r="DO19" s="123" t="str">
        <f ca="1">SUBSTITUTE(SUBSTITUTE(ADDRESS(1,MATCH("おやつ",'数出表_Excel（アレルギー入力）'!$3:$3,0)),1,""),"$","")</f>
        <v>AL</v>
      </c>
      <c r="DR19" s="221" t="s">
        <v>585</v>
      </c>
      <c r="DS19" s="194"/>
      <c r="DT19" s="194"/>
      <c r="DU19" s="194"/>
      <c r="DV19" s="194"/>
      <c r="DW19" s="123" t="str">
        <f ca="1">SUBSTITUTE(SUBSTITUTE(ADDRESS(1,MATCH("おやつ",'数出表_Excel（アレルギー入力）'!$3:$3,0)),1,""),"$","")</f>
        <v>AL</v>
      </c>
      <c r="DY19" s="221" t="s">
        <v>585</v>
      </c>
      <c r="DZ19" s="194"/>
      <c r="EA19" s="194"/>
      <c r="EB19" s="194"/>
      <c r="EC19" s="194"/>
      <c r="ED19" s="123" t="str">
        <f ca="1">SUBSTITUTE(SUBSTITUTE(ADDRESS(1,MATCH("おやつ",'数出表_Excel（アレルギー入力）'!$3:$3,0)),1,""),"$","")</f>
        <v>AL</v>
      </c>
      <c r="EG19" s="221" t="s">
        <v>585</v>
      </c>
      <c r="EH19" s="194"/>
      <c r="EI19" s="194"/>
      <c r="EJ19" s="194"/>
      <c r="EK19" s="194"/>
      <c r="EL19" s="123" t="str">
        <f ca="1">SUBSTITUTE(SUBSTITUTE(ADDRESS(1,MATCH("おやつ",'数出表_Excel（アレルギー入力）'!$3:$3,0)),1,""),"$","")</f>
        <v>AL</v>
      </c>
      <c r="EN19" s="221" t="s">
        <v>585</v>
      </c>
      <c r="EO19" s="194"/>
      <c r="EP19" s="194"/>
      <c r="EQ19" s="194"/>
      <c r="ER19" s="194"/>
      <c r="ES19" s="123" t="str">
        <f ca="1">SUBSTITUTE(SUBSTITUTE(ADDRESS(1,MATCH("おやつ",'数出表_Excel（アレルギー入力）'!$3:$3,0)),1,""),"$","")</f>
        <v>AL</v>
      </c>
      <c r="ET19" s="132"/>
      <c r="EU19" s="112">
        <f t="shared" si="1"/>
        <v>28</v>
      </c>
      <c r="EV19" s="103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3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3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3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3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3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3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3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3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3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3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3">
        <f t="shared" ca="1" si="0"/>
        <v>0</v>
      </c>
      <c r="FH19" s="103" t="e">
        <f t="array" aca="1" ref="FH19" ca="1">SUMPRODUCT((LEN(EV19:FF19)&gt;0)*1)&gt;0</f>
        <v>#VALUE!</v>
      </c>
      <c r="FI19" s="103" t="str">
        <f t="array" aca="1" ref="FI19" ca="1">IFERROR(SMALL(IF(FG$1:FG$169&lt;&gt;0,FG$1:FG$169),ROW(A19)),"")</f>
        <v/>
      </c>
      <c r="FJ19" s="103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3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3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3" t="str">
        <f t="array" aca="1" ref="FM19" ca="1">IF($FI19&lt;&gt;"",
IF(FL19="",
INDIRECT("EY"&amp;$FI19&amp;"")&amp;"箱"
&amp;INDIRECT("EZ"&amp;$FI19&amp;""),""),"")</f>
        <v/>
      </c>
      <c r="FN19" s="103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3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3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3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3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3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3" customFormat="1" ht="22.2" customHeight="1" x14ac:dyDescent="0.55000000000000004">
      <c r="A20" s="101"/>
      <c r="B20" s="114" t="str">
        <f ca="1">IF(C16&lt;&gt;"",
"パン箱","")</f>
        <v/>
      </c>
      <c r="C20" s="115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4" t="str">
        <f ca="1">IF(C16&lt;&gt;"",
" 端数","")</f>
        <v/>
      </c>
      <c r="E20" s="115"/>
      <c r="F20" s="114" t="str">
        <f ca="1">IF(C16&lt;&gt;"",
"アレルギー","")</f>
        <v/>
      </c>
      <c r="G20" s="122"/>
      <c r="H20" s="101"/>
      <c r="I20" s="114" t="str">
        <f ca="1">IF(J16&lt;&gt;"",
"パン箱","")</f>
        <v/>
      </c>
      <c r="J20" s="115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4" t="str">
        <f ca="1">IF(J16&lt;&gt;"",
" 端数","")</f>
        <v/>
      </c>
      <c r="L20" s="115"/>
      <c r="M20" s="114" t="str">
        <f ca="1">IF(J16&lt;&gt;"",
"アレルギー","")</f>
        <v/>
      </c>
      <c r="N20" s="122"/>
      <c r="O20" s="101"/>
      <c r="P20" s="101"/>
      <c r="Q20" s="114" t="str">
        <f ca="1">IF(R16&lt;&gt;"",
"パン箱","")</f>
        <v/>
      </c>
      <c r="R20" s="115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4" t="str">
        <f ca="1">IF(R16&lt;&gt;"",
" 端数","")</f>
        <v/>
      </c>
      <c r="T20" s="115"/>
      <c r="U20" s="114" t="str">
        <f ca="1">IF(R16&lt;&gt;"",
"アレルギー","")</f>
        <v/>
      </c>
      <c r="V20" s="122"/>
      <c r="W20" s="101"/>
      <c r="X20" s="114" t="str">
        <f ca="1">IF(Y16&lt;&gt;"",
"パン箱","")</f>
        <v/>
      </c>
      <c r="Y20" s="115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4" t="str">
        <f ca="1">IF(Y16&lt;&gt;"",
" 端数","")</f>
        <v/>
      </c>
      <c r="AA20" s="115"/>
      <c r="AB20" s="114" t="str">
        <f ca="1">IF(Y16&lt;&gt;"",
"アレルギー","")</f>
        <v/>
      </c>
      <c r="AC20" s="122"/>
      <c r="AD20" s="101"/>
      <c r="AE20" s="101"/>
      <c r="AF20" s="114" t="str">
        <f ca="1">IF(AG16&lt;&gt;"",
"パン箱","")</f>
        <v/>
      </c>
      <c r="AG20" s="115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4" t="str">
        <f ca="1">IF(AG16&lt;&gt;"",
" 端数","")</f>
        <v/>
      </c>
      <c r="AI20" s="115"/>
      <c r="AJ20" s="114" t="str">
        <f ca="1">IF(AG16&lt;&gt;"",
"アレルギー","")</f>
        <v/>
      </c>
      <c r="AK20" s="122"/>
      <c r="AL20" s="101"/>
      <c r="AM20" s="114" t="str">
        <f ca="1">IF(AN16&lt;&gt;"",
"パン箱","")</f>
        <v/>
      </c>
      <c r="AN20" s="115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4" t="str">
        <f ca="1">IF(AN16&lt;&gt;"",
" 端数","")</f>
        <v/>
      </c>
      <c r="AP20" s="115"/>
      <c r="AQ20" s="114" t="str">
        <f ca="1">IF(AN16&lt;&gt;"",
"アレルギー","")</f>
        <v/>
      </c>
      <c r="AR20" s="122"/>
      <c r="AS20" s="101"/>
      <c r="AT20" s="101"/>
      <c r="AU20" s="114" t="str">
        <f ca="1">IF(AV16&lt;&gt;"",
"パン箱","")</f>
        <v/>
      </c>
      <c r="AV20" s="115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4" t="str">
        <f ca="1">IF(AV16&lt;&gt;"",
" 端数","")</f>
        <v/>
      </c>
      <c r="AX20" s="115"/>
      <c r="AY20" s="114" t="str">
        <f ca="1">IF(AV16&lt;&gt;"",
"アレルギー","")</f>
        <v/>
      </c>
      <c r="AZ20" s="122"/>
      <c r="BA20" s="101"/>
      <c r="BB20" s="114" t="str">
        <f ca="1">IF(BC16&lt;&gt;"",
"パン箱","")</f>
        <v/>
      </c>
      <c r="BC20" s="115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4" t="str">
        <f ca="1">IF(BC16&lt;&gt;"",
" 端数","")</f>
        <v/>
      </c>
      <c r="BE20" s="115"/>
      <c r="BF20" s="114" t="str">
        <f ca="1">IF(BC16&lt;&gt;"",
"アレルギー","")</f>
        <v/>
      </c>
      <c r="BG20" s="122"/>
      <c r="BH20" s="101"/>
      <c r="BI20" s="101"/>
      <c r="BJ20" s="114" t="str">
        <f ca="1">IF(BK16&lt;&gt;"",
"パン箱","")</f>
        <v/>
      </c>
      <c r="BK20" s="115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4" t="str">
        <f ca="1">IF(BK16&lt;&gt;"",
" 端数","")</f>
        <v/>
      </c>
      <c r="BM20" s="115"/>
      <c r="BN20" s="114" t="str">
        <f ca="1">IF(BK16&lt;&gt;"",
"アレルギー","")</f>
        <v/>
      </c>
      <c r="BO20" s="122"/>
      <c r="BP20" s="101"/>
      <c r="BQ20" s="114" t="str">
        <f ca="1">IF(BR16&lt;&gt;"",
"パン箱","")</f>
        <v/>
      </c>
      <c r="BR20" s="115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4" t="str">
        <f ca="1">IF(BR16&lt;&gt;"",
" 端数","")</f>
        <v/>
      </c>
      <c r="BT20" s="115"/>
      <c r="BU20" s="114" t="str">
        <f ca="1">IF(BR16&lt;&gt;"",
"アレルギー","")</f>
        <v/>
      </c>
      <c r="BV20" s="122"/>
      <c r="BW20" s="101"/>
      <c r="BX20" s="101"/>
      <c r="BY20" s="114" t="str">
        <f ca="1">IF(BZ16&lt;&gt;"",
"パン箱","")</f>
        <v/>
      </c>
      <c r="BZ20" s="115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4" t="str">
        <f ca="1">IF(BZ16&lt;&gt;"",
" 端数","")</f>
        <v/>
      </c>
      <c r="CB20" s="115"/>
      <c r="CC20" s="114" t="str">
        <f ca="1">IF(BZ16&lt;&gt;"",
"アレルギー","")</f>
        <v/>
      </c>
      <c r="CD20" s="122"/>
      <c r="CE20" s="101"/>
      <c r="CF20" s="114" t="str">
        <f ca="1">IF(CG16&lt;&gt;"",
"パン箱","")</f>
        <v/>
      </c>
      <c r="CG20" s="115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4" t="str">
        <f ca="1">IF(CG16&lt;&gt;"",
" 端数","")</f>
        <v/>
      </c>
      <c r="CI20" s="115"/>
      <c r="CJ20" s="114" t="str">
        <f ca="1">IF(CG16&lt;&gt;"",
"アレルギー","")</f>
        <v/>
      </c>
      <c r="CK20" s="122"/>
      <c r="CL20" s="101"/>
      <c r="CM20" s="101"/>
      <c r="CN20" s="114" t="str">
        <f ca="1">IF(CO16&lt;&gt;"",
"パン箱","")</f>
        <v/>
      </c>
      <c r="CO20" s="115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4" t="str">
        <f ca="1">IF(CO16&lt;&gt;"",
" 端数","")</f>
        <v/>
      </c>
      <c r="CQ20" s="115"/>
      <c r="CR20" s="114" t="str">
        <f ca="1">IF(CO16&lt;&gt;"",
"アレルギー","")</f>
        <v/>
      </c>
      <c r="CS20" s="122"/>
      <c r="CT20" s="101"/>
      <c r="CU20" s="114" t="str">
        <f ca="1">IF(CV16&lt;&gt;"",
"パン箱","")</f>
        <v/>
      </c>
      <c r="CV20" s="115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4" t="str">
        <f ca="1">IF(CV16&lt;&gt;"",
" 端数","")</f>
        <v/>
      </c>
      <c r="CX20" s="115"/>
      <c r="CY20" s="114" t="str">
        <f ca="1">IF(CV16&lt;&gt;"",
"アレルギー","")</f>
        <v/>
      </c>
      <c r="CZ20" s="122"/>
      <c r="DA20" s="101"/>
      <c r="DB20" s="101"/>
      <c r="DC20" s="114" t="str">
        <f ca="1">IF(DD16&lt;&gt;"",
"パン箱","")</f>
        <v/>
      </c>
      <c r="DD20" s="115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4" t="str">
        <f ca="1">IF(DD16&lt;&gt;"",
" 端数","")</f>
        <v/>
      </c>
      <c r="DF20" s="115"/>
      <c r="DG20" s="114" t="str">
        <f ca="1">IF(DD16&lt;&gt;"",
"アレルギー","")</f>
        <v/>
      </c>
      <c r="DH20" s="122"/>
      <c r="DI20" s="101"/>
      <c r="DJ20" s="114" t="str">
        <f ca="1">IF(DK16&lt;&gt;"",
"パン箱","")</f>
        <v/>
      </c>
      <c r="DK20" s="115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4" t="str">
        <f ca="1">IF(DK16&lt;&gt;"",
" 端数","")</f>
        <v/>
      </c>
      <c r="DM20" s="115"/>
      <c r="DN20" s="114" t="str">
        <f ca="1">IF(DK16&lt;&gt;"",
"アレルギー","")</f>
        <v/>
      </c>
      <c r="DO20" s="122"/>
      <c r="DP20" s="101"/>
      <c r="DQ20" s="101"/>
      <c r="DR20" s="114" t="str">
        <f ca="1">IF(DS16&lt;&gt;"",
"パン箱","")</f>
        <v/>
      </c>
      <c r="DS20" s="115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4" t="str">
        <f ca="1">IF(DS16&lt;&gt;"",
" 端数","")</f>
        <v/>
      </c>
      <c r="DU20" s="115"/>
      <c r="DV20" s="114" t="str">
        <f ca="1">IF(DS16&lt;&gt;"",
"アレルギー","")</f>
        <v/>
      </c>
      <c r="DW20" s="122"/>
      <c r="DX20" s="101"/>
      <c r="DY20" s="114" t="str">
        <f ca="1">IF(DZ16&lt;&gt;"",
"パン箱","")</f>
        <v/>
      </c>
      <c r="DZ20" s="115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4" t="str">
        <f ca="1">IF(DZ16&lt;&gt;"",
" 端数","")</f>
        <v/>
      </c>
      <c r="EB20" s="115"/>
      <c r="EC20" s="114" t="str">
        <f ca="1">IF(DZ16&lt;&gt;"",
"アレルギー","")</f>
        <v/>
      </c>
      <c r="ED20" s="122"/>
      <c r="EE20" s="101"/>
      <c r="EF20" s="101"/>
      <c r="EG20" s="114" t="str">
        <f ca="1">IF(EH16&lt;&gt;"",
"パン箱","")</f>
        <v/>
      </c>
      <c r="EH20" s="115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114" t="str">
        <f ca="1">IF(EH16&lt;&gt;"",
" 端数","")</f>
        <v/>
      </c>
      <c r="EJ20" s="115"/>
      <c r="EK20" s="114" t="str">
        <f ca="1">IF(EH16&lt;&gt;"",
"アレルギー","")</f>
        <v/>
      </c>
      <c r="EL20" s="122"/>
      <c r="EM20" s="101"/>
      <c r="EN20" s="114" t="str">
        <f ca="1">IF(EO16&lt;&gt;"",
"パン箱","")</f>
        <v/>
      </c>
      <c r="EO20" s="115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114" t="str">
        <f ca="1">IF(EO16&lt;&gt;"",
" 端数","")</f>
        <v/>
      </c>
      <c r="EQ20" s="115"/>
      <c r="ER20" s="114" t="str">
        <f ca="1">IF(EO16&lt;&gt;"",
"アレルギー","")</f>
        <v/>
      </c>
      <c r="ES20" s="122"/>
      <c r="ET20" s="132"/>
      <c r="EU20" s="103">
        <f t="shared" si="1"/>
        <v>70</v>
      </c>
      <c r="EV20" s="103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03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03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03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03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03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03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3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03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03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3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03">
        <f t="shared" ca="1" si="0"/>
        <v>0</v>
      </c>
      <c r="FH20" s="103" t="b">
        <f t="array" aca="1" ref="FH20" ca="1">SUMPRODUCT((LEN(EV20:FF20)&gt;0)*1)&gt;0</f>
        <v>0</v>
      </c>
      <c r="FI20" s="103" t="str">
        <f t="array" aca="1" ref="FI20" ca="1">IFERROR(SMALL(IF(FG$1:FG$169&lt;&gt;0,FG$1:FG$169),ROW(A20)),"")</f>
        <v/>
      </c>
      <c r="FJ20" s="103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3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3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3" t="str">
        <f t="array" aca="1" ref="FM20" ca="1">IF($FI20&lt;&gt;"",
IF(FL20="",
INDIRECT("EY"&amp;$FI20&amp;"")&amp;"箱"
&amp;INDIRECT("EZ"&amp;$FI20&amp;""),""),"")</f>
        <v/>
      </c>
      <c r="FN20" s="103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3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3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3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3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3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203" t="e">
        <f ca="1">IF(C18&lt;&gt;"",
IFERROR(INT(C18/C20),""),"")</f>
        <v>#VALUE!</v>
      </c>
      <c r="C21" s="202"/>
      <c r="D21" s="203" t="str">
        <f ca="1">IFERROR(MOD(C18,C20),"")</f>
        <v/>
      </c>
      <c r="E21" s="202"/>
      <c r="F21" s="201" t="e">
        <f ca="1">G17+G18</f>
        <v>#VALUE!</v>
      </c>
      <c r="G21" s="202"/>
      <c r="I21" s="203" t="e">
        <f ca="1">IF(J18&lt;&gt;"",
IFERROR(INT(J18/J20),""),"")</f>
        <v>#VALUE!</v>
      </c>
      <c r="J21" s="202"/>
      <c r="K21" s="203" t="str">
        <f ca="1">IFERROR(MOD(J18,J20),"")</f>
        <v/>
      </c>
      <c r="L21" s="202"/>
      <c r="M21" s="201" t="e">
        <f ca="1">N17+N18</f>
        <v>#VALUE!</v>
      </c>
      <c r="N21" s="202"/>
      <c r="Q21" s="203" t="e">
        <f ca="1">IF(R18&lt;&gt;"",
IFERROR(INT(R18/R20),""),"")</f>
        <v>#VALUE!</v>
      </c>
      <c r="R21" s="202"/>
      <c r="S21" s="203" t="str">
        <f ca="1">IFERROR(MOD(R18,R20),"")</f>
        <v/>
      </c>
      <c r="T21" s="202"/>
      <c r="U21" s="201" t="e">
        <f ca="1">V17+V18</f>
        <v>#VALUE!</v>
      </c>
      <c r="V21" s="202"/>
      <c r="X21" s="203" t="e">
        <f ca="1">IF(Y18&lt;&gt;"",
IFERROR(INT(Y18/Y20),""),"")</f>
        <v>#VALUE!</v>
      </c>
      <c r="Y21" s="202"/>
      <c r="Z21" s="203" t="str">
        <f ca="1">IFERROR(MOD(Y18,Y20),"")</f>
        <v/>
      </c>
      <c r="AA21" s="202"/>
      <c r="AB21" s="201" t="e">
        <f ca="1">AC17+AC18</f>
        <v>#VALUE!</v>
      </c>
      <c r="AC21" s="202"/>
      <c r="AF21" s="203" t="e">
        <f ca="1">IF(AG18&lt;&gt;"",
IFERROR(INT(AG18/AG20),""),"")</f>
        <v>#VALUE!</v>
      </c>
      <c r="AG21" s="202"/>
      <c r="AH21" s="203" t="str">
        <f ca="1">IFERROR(MOD(AG18,AG20),"")</f>
        <v/>
      </c>
      <c r="AI21" s="202"/>
      <c r="AJ21" s="201" t="e">
        <f ca="1">AK17+AK18</f>
        <v>#VALUE!</v>
      </c>
      <c r="AK21" s="202"/>
      <c r="AM21" s="203" t="e">
        <f ca="1">IF(AN18&lt;&gt;"",
IFERROR(INT(AN18/AN20),""),"")</f>
        <v>#VALUE!</v>
      </c>
      <c r="AN21" s="202"/>
      <c r="AO21" s="203" t="str">
        <f ca="1">IFERROR(MOD(AN18,AN20),"")</f>
        <v/>
      </c>
      <c r="AP21" s="202"/>
      <c r="AQ21" s="201" t="e">
        <f ca="1">AR17+AR18</f>
        <v>#VALUE!</v>
      </c>
      <c r="AR21" s="202"/>
      <c r="AU21" s="203" t="e">
        <f ca="1">IF(AV18&lt;&gt;"",
IFERROR(INT(AV18/AV20),""),"")</f>
        <v>#VALUE!</v>
      </c>
      <c r="AV21" s="202"/>
      <c r="AW21" s="203" t="str">
        <f ca="1">IFERROR(MOD(AV18,AV20),"")</f>
        <v/>
      </c>
      <c r="AX21" s="202"/>
      <c r="AY21" s="201" t="e">
        <f ca="1">AZ17+AZ18</f>
        <v>#VALUE!</v>
      </c>
      <c r="AZ21" s="202"/>
      <c r="BB21" s="203" t="e">
        <f ca="1">IF(BC18&lt;&gt;"",
IFERROR(INT(BC18/BC20),""),"")</f>
        <v>#VALUE!</v>
      </c>
      <c r="BC21" s="202"/>
      <c r="BD21" s="203" t="str">
        <f ca="1">IFERROR(MOD(BC18,BC20),"")</f>
        <v/>
      </c>
      <c r="BE21" s="202"/>
      <c r="BF21" s="201" t="e">
        <f ca="1">BG17+BG18</f>
        <v>#VALUE!</v>
      </c>
      <c r="BG21" s="202"/>
      <c r="BJ21" s="203" t="e">
        <f ca="1">IF(BK18&lt;&gt;"",
IFERROR(INT(BK18/BK20),""),"")</f>
        <v>#VALUE!</v>
      </c>
      <c r="BK21" s="202"/>
      <c r="BL21" s="203" t="str">
        <f ca="1">IFERROR(MOD(BK18,BK20),"")</f>
        <v/>
      </c>
      <c r="BM21" s="202"/>
      <c r="BN21" s="201" t="e">
        <f ca="1">BO17+BO18</f>
        <v>#VALUE!</v>
      </c>
      <c r="BO21" s="202"/>
      <c r="BQ21" s="203" t="e">
        <f ca="1">IF(BR18&lt;&gt;"",
IFERROR(INT(BR18/BR20),""),"")</f>
        <v>#VALUE!</v>
      </c>
      <c r="BR21" s="202"/>
      <c r="BS21" s="203" t="str">
        <f ca="1">IFERROR(MOD(BR18,BR20),"")</f>
        <v/>
      </c>
      <c r="BT21" s="202"/>
      <c r="BU21" s="201" t="e">
        <f ca="1">BV17+BV18</f>
        <v>#VALUE!</v>
      </c>
      <c r="BV21" s="202"/>
      <c r="BY21" s="203" t="e">
        <f ca="1">IF(BZ18&lt;&gt;"",
IFERROR(INT(BZ18/BZ20),""),"")</f>
        <v>#VALUE!</v>
      </c>
      <c r="BZ21" s="202"/>
      <c r="CA21" s="203" t="str">
        <f ca="1">IFERROR(MOD(BZ18,BZ20),"")</f>
        <v/>
      </c>
      <c r="CB21" s="202"/>
      <c r="CC21" s="201" t="e">
        <f ca="1">CD17+CD18</f>
        <v>#VALUE!</v>
      </c>
      <c r="CD21" s="202"/>
      <c r="CF21" s="203" t="e">
        <f ca="1">IF(CG18&lt;&gt;"",
IFERROR(INT(CG18/CG20),""),"")</f>
        <v>#VALUE!</v>
      </c>
      <c r="CG21" s="202"/>
      <c r="CH21" s="203" t="str">
        <f ca="1">IFERROR(MOD(CG18,CG20),"")</f>
        <v/>
      </c>
      <c r="CI21" s="202"/>
      <c r="CJ21" s="201" t="e">
        <f ca="1">CK17+CK18</f>
        <v>#VALUE!</v>
      </c>
      <c r="CK21" s="202"/>
      <c r="CN21" s="203" t="e">
        <f ca="1">IF(CO18&lt;&gt;"",
IFERROR(INT(CO18/CO20),""),"")</f>
        <v>#VALUE!</v>
      </c>
      <c r="CO21" s="202"/>
      <c r="CP21" s="203" t="str">
        <f ca="1">IFERROR(MOD(CO18,CO20),"")</f>
        <v/>
      </c>
      <c r="CQ21" s="202"/>
      <c r="CR21" s="201" t="e">
        <f ca="1">CS17+CS18</f>
        <v>#VALUE!</v>
      </c>
      <c r="CS21" s="202"/>
      <c r="CU21" s="203" t="e">
        <f ca="1">IF(CV18&lt;&gt;"",
IFERROR(INT(CV18/CV20),""),"")</f>
        <v>#VALUE!</v>
      </c>
      <c r="CV21" s="202"/>
      <c r="CW21" s="203" t="str">
        <f ca="1">IFERROR(MOD(CV18,CV20),"")</f>
        <v/>
      </c>
      <c r="CX21" s="202"/>
      <c r="CY21" s="201" t="e">
        <f ca="1">CZ17+CZ18</f>
        <v>#VALUE!</v>
      </c>
      <c r="CZ21" s="202"/>
      <c r="DC21" s="203" t="e">
        <f ca="1">IF(DD18&lt;&gt;"",
IFERROR(INT(DD18/DD20),""),"")</f>
        <v>#VALUE!</v>
      </c>
      <c r="DD21" s="202"/>
      <c r="DE21" s="203" t="str">
        <f ca="1">IFERROR(MOD(DD18,DD20),"")</f>
        <v/>
      </c>
      <c r="DF21" s="202"/>
      <c r="DG21" s="201" t="e">
        <f ca="1">DH17+DH18</f>
        <v>#VALUE!</v>
      </c>
      <c r="DH21" s="202"/>
      <c r="DJ21" s="203" t="e">
        <f ca="1">IF(DK18&lt;&gt;"",
IFERROR(INT(DK18/DK20),""),"")</f>
        <v>#VALUE!</v>
      </c>
      <c r="DK21" s="202"/>
      <c r="DL21" s="203" t="str">
        <f ca="1">IFERROR(MOD(DK18,DK20),"")</f>
        <v/>
      </c>
      <c r="DM21" s="202"/>
      <c r="DN21" s="201" t="e">
        <f ca="1">DO17+DO18</f>
        <v>#VALUE!</v>
      </c>
      <c r="DO21" s="202"/>
      <c r="DR21" s="203" t="e">
        <f ca="1">IF(DS18&lt;&gt;"",
IFERROR(INT(DS18/DS20),""),"")</f>
        <v>#VALUE!</v>
      </c>
      <c r="DS21" s="202"/>
      <c r="DT21" s="203" t="str">
        <f ca="1">IFERROR(MOD(DS18,DS20),"")</f>
        <v/>
      </c>
      <c r="DU21" s="202"/>
      <c r="DV21" s="201" t="e">
        <f ca="1">DW17+DW18</f>
        <v>#VALUE!</v>
      </c>
      <c r="DW21" s="202"/>
      <c r="DY21" s="203" t="e">
        <f ca="1">IF(DZ18&lt;&gt;"",
IFERROR(INT(DZ18/DZ20),""),"")</f>
        <v>#VALUE!</v>
      </c>
      <c r="DZ21" s="202"/>
      <c r="EA21" s="203" t="str">
        <f ca="1">IFERROR(MOD(DZ18,DZ20),"")</f>
        <v/>
      </c>
      <c r="EB21" s="202"/>
      <c r="EC21" s="201" t="e">
        <f ca="1">ED17+ED18</f>
        <v>#VALUE!</v>
      </c>
      <c r="ED21" s="202"/>
      <c r="EG21" s="203" t="e">
        <f ca="1">IF(EH18&lt;&gt;"",
IFERROR(INT(EH18/EH20),""),"")</f>
        <v>#VALUE!</v>
      </c>
      <c r="EH21" s="202"/>
      <c r="EI21" s="203" t="str">
        <f ca="1">IFERROR(MOD(EH18,EH20),"")</f>
        <v/>
      </c>
      <c r="EJ21" s="202"/>
      <c r="EK21" s="201" t="e">
        <f ca="1">EL17+EL18</f>
        <v>#VALUE!</v>
      </c>
      <c r="EL21" s="202"/>
      <c r="EN21" s="203" t="e">
        <f ca="1">IF(EO18&lt;&gt;"",
IFERROR(INT(EO18/EO20),""),"")</f>
        <v>#VALUE!</v>
      </c>
      <c r="EO21" s="202"/>
      <c r="EP21" s="203" t="str">
        <f ca="1">IFERROR(MOD(EO18,EO20),"")</f>
        <v/>
      </c>
      <c r="EQ21" s="202"/>
      <c r="ER21" s="201" t="e">
        <f ca="1">ES17+ES18</f>
        <v>#VALUE!</v>
      </c>
      <c r="ES21" s="202"/>
      <c r="ET21" s="78"/>
      <c r="EU21" s="103">
        <f t="shared" si="1"/>
        <v>35</v>
      </c>
      <c r="EV21" s="103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3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3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3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3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3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3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3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3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3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3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3">
        <f t="shared" ca="1" si="0"/>
        <v>0</v>
      </c>
      <c r="FH21" s="103" t="e">
        <f t="array" aca="1" ref="FH21" ca="1">SUMPRODUCT((LEN(EV21:FF21)&gt;0)*1)&gt;0</f>
        <v>#VALUE!</v>
      </c>
      <c r="FI21" s="103" t="str">
        <f t="array" aca="1" ref="FI21" ca="1">IFERROR(SMALL(IF(FG$1:FG$169&lt;&gt;0,FG$1:FG$169),ROW(A21)),"")</f>
        <v/>
      </c>
      <c r="FJ21" s="103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3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3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3" t="str">
        <f t="array" aca="1" ref="FM21" ca="1">IF($FI21&lt;&gt;"",
IF(FL21="",
INDIRECT("EY"&amp;$FI21&amp;"")&amp;"箱"
&amp;INDIRECT("EZ"&amp;$FI21&amp;""),""),"")</f>
        <v/>
      </c>
      <c r="FN21" s="103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3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3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3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3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3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3" customFormat="1" ht="18" customHeight="1" x14ac:dyDescent="0.55000000000000004">
      <c r="A22" s="101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2" t="e">
        <f t="array" aca="1" ref="B22" ca="1">GetResult(A22)</f>
        <v>#VALUE!</v>
      </c>
      <c r="C22" s="198" t="str">
        <f ca="1">IF(C23&lt;&gt;"",
IF(LEFT(G22,2)="博多",
LEFT(G22,FIND("週",G22)-1),
G22),"")</f>
        <v/>
      </c>
      <c r="D22" s="199"/>
      <c r="E22" s="199"/>
      <c r="F22" s="199"/>
      <c r="G22" s="120" t="e">
        <f t="array" aca="1" ref="G22" ca="1">INDIRECT("数出表_Excel!A"&amp;B22)</f>
        <v>#VALUE!</v>
      </c>
      <c r="H22" s="101" t="e" cm="1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2" t="e" cm="1">
        <f t="array" aca="1" ref="I22" ca="1">GetResult(H22)</f>
        <v>#VALUE!</v>
      </c>
      <c r="J22" s="198" t="str">
        <f ca="1">IF(J23&lt;&gt;"",
IF(LEFT(N22,2)="博多",
LEFT(N22,FIND("週",N22)-1),
N22),"")</f>
        <v/>
      </c>
      <c r="K22" s="199"/>
      <c r="L22" s="199"/>
      <c r="M22" s="199"/>
      <c r="N22" s="116" t="e" cm="1">
        <f t="array" aca="1" ref="N22" ca="1">INDIRECT("数出表_Excel!A"&amp;I22)</f>
        <v>#VALUE!</v>
      </c>
      <c r="O22" s="101"/>
      <c r="P22" s="101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2" t="e">
        <f t="array" aca="1" ref="Q22" ca="1">GetResult(P22)</f>
        <v>#VALUE!</v>
      </c>
      <c r="R22" s="198" t="str">
        <f ca="1">IF(R23&lt;&gt;"",
IF(LEFT(V22,2)="博多",
LEFT(V22,FIND("週",V22)-1),
V22),"")</f>
        <v/>
      </c>
      <c r="S22" s="199"/>
      <c r="T22" s="199"/>
      <c r="U22" s="199"/>
      <c r="V22" s="120" t="e">
        <f t="array" aca="1" ref="V22" ca="1">INDIRECT("数出表_Excel!A"&amp;Q22)</f>
        <v>#VALUE!</v>
      </c>
      <c r="W22" s="101" t="e" cm="1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2" t="e" cm="1">
        <f t="array" aca="1" ref="X22" ca="1">GetResult(W22)</f>
        <v>#VALUE!</v>
      </c>
      <c r="Y22" s="198" t="str">
        <f ca="1">IF(Y23&lt;&gt;"",
IF(LEFT(AC22,2)="博多",
LEFT(AC22,FIND("週",AC22)-1),
AC22),"")</f>
        <v/>
      </c>
      <c r="Z22" s="199"/>
      <c r="AA22" s="199"/>
      <c r="AB22" s="199"/>
      <c r="AC22" s="116" t="e" cm="1">
        <f t="array" aca="1" ref="AC22" ca="1">INDIRECT("数出表_Excel!A"&amp;X22)</f>
        <v>#VALUE!</v>
      </c>
      <c r="AD22" s="101"/>
      <c r="AE22" s="101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2" t="e">
        <f t="array" aca="1" ref="AF22" ca="1">GetResult(AE22)</f>
        <v>#VALUE!</v>
      </c>
      <c r="AG22" s="198" t="str">
        <f ca="1">IF(AG23&lt;&gt;"",
IF(LEFT(AK22,2)="博多",
LEFT(AK22,FIND("週",AK22)-1),
AK22),"")</f>
        <v/>
      </c>
      <c r="AH22" s="199"/>
      <c r="AI22" s="199"/>
      <c r="AJ22" s="199"/>
      <c r="AK22" s="120" t="e">
        <f t="array" aca="1" ref="AK22" ca="1">INDIRECT("数出表_Excel!A"&amp;AF22)</f>
        <v>#VALUE!</v>
      </c>
      <c r="AL22" s="101" t="e" cm="1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2" t="e" cm="1">
        <f t="array" aca="1" ref="AM22" ca="1">GetResult(AL22)</f>
        <v>#VALUE!</v>
      </c>
      <c r="AN22" s="198" t="str">
        <f ca="1">IF(AN23&lt;&gt;"",
IF(LEFT(AR22,2)="博多",
LEFT(AR22,FIND("週",AR22)-1),
AR22),"")</f>
        <v/>
      </c>
      <c r="AO22" s="199"/>
      <c r="AP22" s="199"/>
      <c r="AQ22" s="199"/>
      <c r="AR22" s="116" t="e" cm="1">
        <f t="array" aca="1" ref="AR22" ca="1">INDIRECT("数出表_Excel!A"&amp;AM22)</f>
        <v>#VALUE!</v>
      </c>
      <c r="AS22" s="101"/>
      <c r="AT22" s="101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2" t="e">
        <f t="array" aca="1" ref="AU22" ca="1">GetResult(AT22)</f>
        <v>#VALUE!</v>
      </c>
      <c r="AV22" s="198" t="str">
        <f ca="1">IF(AV23&lt;&gt;"",
IF(LEFT(AZ22,2)="博多",
LEFT(AZ22,FIND("週",AZ22)-1),
AZ22),"")</f>
        <v/>
      </c>
      <c r="AW22" s="199"/>
      <c r="AX22" s="199"/>
      <c r="AY22" s="199"/>
      <c r="AZ22" s="120" t="e">
        <f t="array" aca="1" ref="AZ22" ca="1">INDIRECT("数出表_Excel!A"&amp;AU22)</f>
        <v>#VALUE!</v>
      </c>
      <c r="BA22" s="101" t="e" cm="1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2" t="e" cm="1">
        <f t="array" aca="1" ref="BB22" ca="1">GetResult(BA22)</f>
        <v>#VALUE!</v>
      </c>
      <c r="BC22" s="198" t="str">
        <f ca="1">IF(BC23&lt;&gt;"",
IF(LEFT(BG22,2)="博多",
LEFT(BG22,FIND("週",BG22)-1),
BG22),"")</f>
        <v/>
      </c>
      <c r="BD22" s="199"/>
      <c r="BE22" s="199"/>
      <c r="BF22" s="199"/>
      <c r="BG22" s="116" t="e" cm="1">
        <f t="array" aca="1" ref="BG22" ca="1">INDIRECT("数出表_Excel!A"&amp;BB22)</f>
        <v>#VALUE!</v>
      </c>
      <c r="BH22" s="101"/>
      <c r="BI22" s="101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2" t="e">
        <f t="array" aca="1" ref="BJ22" ca="1">GetResult(BI22)</f>
        <v>#VALUE!</v>
      </c>
      <c r="BK22" s="198" t="str">
        <f ca="1">IF(BK23&lt;&gt;"",
IF(LEFT(BO22,2)="博多",
LEFT(BO22,FIND("週",BO22)-1),
BO22),"")</f>
        <v/>
      </c>
      <c r="BL22" s="199"/>
      <c r="BM22" s="199"/>
      <c r="BN22" s="199"/>
      <c r="BO22" s="120" t="e">
        <f t="array" aca="1" ref="BO22" ca="1">INDIRECT("数出表_Excel!A"&amp;BJ22)</f>
        <v>#VALUE!</v>
      </c>
      <c r="BP22" s="101" t="e" cm="1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2" t="e" cm="1">
        <f t="array" aca="1" ref="BQ22" ca="1">GetResult(BP22)</f>
        <v>#VALUE!</v>
      </c>
      <c r="BR22" s="198" t="str">
        <f ca="1">IF(BR23&lt;&gt;"",
IF(LEFT(BV22,2)="博多",
LEFT(BV22,FIND("週",BV22)-1),
BV22),"")</f>
        <v/>
      </c>
      <c r="BS22" s="199"/>
      <c r="BT22" s="199"/>
      <c r="BU22" s="199"/>
      <c r="BV22" s="116" t="e" cm="1">
        <f t="array" aca="1" ref="BV22" ca="1">INDIRECT("数出表_Excel!A"&amp;BQ22)</f>
        <v>#VALUE!</v>
      </c>
      <c r="BW22" s="101"/>
      <c r="BX22" s="101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2" t="e">
        <f t="array" aca="1" ref="BY22" ca="1">GetResult(BX22)</f>
        <v>#VALUE!</v>
      </c>
      <c r="BZ22" s="198" t="str">
        <f ca="1">IF(BZ23&lt;&gt;"",
IF(LEFT(CD22,2)="博多",
LEFT(CD22,FIND("週",CD22)-1),
CD22),"")</f>
        <v/>
      </c>
      <c r="CA22" s="199"/>
      <c r="CB22" s="199"/>
      <c r="CC22" s="199"/>
      <c r="CD22" s="120" t="e">
        <f t="array" aca="1" ref="CD22" ca="1">INDIRECT("数出表_Excel!A"&amp;BY22)</f>
        <v>#VALUE!</v>
      </c>
      <c r="CE22" s="101" t="e" cm="1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2" t="e" cm="1">
        <f t="array" aca="1" ref="CF22" ca="1">GetResult(CE22)</f>
        <v>#VALUE!</v>
      </c>
      <c r="CG22" s="198" t="str">
        <f ca="1">IF(CG23&lt;&gt;"",
IF(LEFT(CK22,2)="博多",
LEFT(CK22,FIND("週",CK22)-1),
CK22),"")</f>
        <v/>
      </c>
      <c r="CH22" s="199"/>
      <c r="CI22" s="199"/>
      <c r="CJ22" s="199"/>
      <c r="CK22" s="116" t="e" cm="1">
        <f t="array" aca="1" ref="CK22" ca="1">INDIRECT("数出表_Excel!A"&amp;CF22)</f>
        <v>#VALUE!</v>
      </c>
      <c r="CL22" s="101"/>
      <c r="CM22" s="101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2" t="e">
        <f t="array" aca="1" ref="CN22" ca="1">GetResult(CM22)</f>
        <v>#VALUE!</v>
      </c>
      <c r="CO22" s="198" t="str">
        <f ca="1">IF(CO23&lt;&gt;"",
IF(LEFT(CS22,2)="博多",
LEFT(CS22,FIND("週",CS22)-1),
CS22),"")</f>
        <v/>
      </c>
      <c r="CP22" s="199"/>
      <c r="CQ22" s="199"/>
      <c r="CR22" s="199"/>
      <c r="CS22" s="120" t="e">
        <f t="array" aca="1" ref="CS22" ca="1">INDIRECT("数出表_Excel!A"&amp;CN22)</f>
        <v>#VALUE!</v>
      </c>
      <c r="CT22" s="101" t="e" cm="1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2" t="e" cm="1">
        <f t="array" aca="1" ref="CU22" ca="1">GetResult(CT22)</f>
        <v>#VALUE!</v>
      </c>
      <c r="CV22" s="198" t="str">
        <f ca="1">IF(CV23&lt;&gt;"",
IF(LEFT(CZ22,2)="博多",
LEFT(CZ22,FIND("週",CZ22)-1),
CZ22),"")</f>
        <v/>
      </c>
      <c r="CW22" s="199"/>
      <c r="CX22" s="199"/>
      <c r="CY22" s="199"/>
      <c r="CZ22" s="116" t="e" cm="1">
        <f t="array" aca="1" ref="CZ22" ca="1">INDIRECT("数出表_Excel!A"&amp;CU22)</f>
        <v>#VALUE!</v>
      </c>
      <c r="DA22" s="101"/>
      <c r="DB22" s="101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2" t="e">
        <f t="array" aca="1" ref="DC22" ca="1">GetResult(DB22)</f>
        <v>#VALUE!</v>
      </c>
      <c r="DD22" s="198" t="str">
        <f ca="1">IF(DD23&lt;&gt;"",
IF(LEFT(DH22,2)="博多",
LEFT(DH22,FIND("週",DH22)-1),
DH22),"")</f>
        <v/>
      </c>
      <c r="DE22" s="199"/>
      <c r="DF22" s="199"/>
      <c r="DG22" s="199"/>
      <c r="DH22" s="120" t="e">
        <f t="array" aca="1" ref="DH22" ca="1">INDIRECT("数出表_Excel!A"&amp;DC22)</f>
        <v>#VALUE!</v>
      </c>
      <c r="DI22" s="101" t="e" cm="1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2" t="e" cm="1">
        <f t="array" aca="1" ref="DJ22" ca="1">GetResult(DI22)</f>
        <v>#VALUE!</v>
      </c>
      <c r="DK22" s="198" t="str">
        <f ca="1">IF(DK23&lt;&gt;"",
IF(LEFT(DO22,2)="博多",
LEFT(DO22,FIND("週",DO22)-1),
DO22),"")</f>
        <v/>
      </c>
      <c r="DL22" s="199"/>
      <c r="DM22" s="199"/>
      <c r="DN22" s="199"/>
      <c r="DO22" s="116" t="e" cm="1">
        <f t="array" aca="1" ref="DO22" ca="1">INDIRECT("数出表_Excel!A"&amp;DJ22)</f>
        <v>#VALUE!</v>
      </c>
      <c r="DP22" s="101"/>
      <c r="DQ22" s="101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2" t="e">
        <f t="array" aca="1" ref="DR22" ca="1">GetResult(DQ22)</f>
        <v>#VALUE!</v>
      </c>
      <c r="DS22" s="198" t="str">
        <f ca="1">IF(DS23&lt;&gt;"",
IF(LEFT(DW22,2)="博多",
LEFT(DW22,FIND("週",DW22)-1),
DW22),"")</f>
        <v/>
      </c>
      <c r="DT22" s="199"/>
      <c r="DU22" s="199"/>
      <c r="DV22" s="199"/>
      <c r="DW22" s="120" t="e">
        <f t="array" aca="1" ref="DW22" ca="1">INDIRECT("数出表_Excel!A"&amp;DR22)</f>
        <v>#VALUE!</v>
      </c>
      <c r="DX22" s="101" t="e" cm="1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2" t="e" cm="1">
        <f t="array" aca="1" ref="DY22" ca="1">GetResult(DX22)</f>
        <v>#VALUE!</v>
      </c>
      <c r="DZ22" s="198" t="str">
        <f ca="1">IF(DZ23&lt;&gt;"",
IF(LEFT(ED22,2)="博多",
LEFT(ED22,FIND("週",ED22)-1),
ED22),"")</f>
        <v/>
      </c>
      <c r="EA22" s="199"/>
      <c r="EB22" s="199"/>
      <c r="EC22" s="199"/>
      <c r="ED22" s="116" t="e" cm="1">
        <f t="array" aca="1" ref="ED22" ca="1">INDIRECT("数出表_Excel!A"&amp;DY22)</f>
        <v>#VALUE!</v>
      </c>
      <c r="EE22" s="101"/>
      <c r="EF22" s="101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102" t="e">
        <f t="array" aca="1" ref="EG22" ca="1">GetResult(EF22)</f>
        <v>#VALUE!</v>
      </c>
      <c r="EH22" s="198" t="str">
        <f ca="1">IF(EH23&lt;&gt;"",
IF(LEFT(EL22,2)="博多",
LEFT(EL22,FIND("週",EL22)-1),
EL22),"")</f>
        <v/>
      </c>
      <c r="EI22" s="199"/>
      <c r="EJ22" s="199"/>
      <c r="EK22" s="199"/>
      <c r="EL22" s="120" t="e">
        <f t="array" aca="1" ref="EL22" ca="1">INDIRECT("数出表_Excel!A"&amp;EG22)</f>
        <v>#VALUE!</v>
      </c>
      <c r="EM22" s="101" t="e" cm="1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102" t="e" cm="1">
        <f t="array" aca="1" ref="EN22" ca="1">GetResult(EM22)</f>
        <v>#VALUE!</v>
      </c>
      <c r="EO22" s="198" t="str">
        <f ca="1">IF(EO23&lt;&gt;"",
IF(LEFT(ES22,2)="博多",
LEFT(ES22,FIND("週",ES22)-1),
ES22),"")</f>
        <v/>
      </c>
      <c r="EP22" s="199"/>
      <c r="EQ22" s="199"/>
      <c r="ER22" s="199"/>
      <c r="ES22" s="116" t="e" cm="1">
        <f t="array" aca="1" ref="ES22" ca="1">INDIRECT("数出表_Excel!A"&amp;EN22)</f>
        <v>#VALUE!</v>
      </c>
      <c r="ET22" s="132"/>
      <c r="EU22" s="103">
        <f t="shared" si="1"/>
        <v>77</v>
      </c>
      <c r="EV22" s="103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03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03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03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03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03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03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3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03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03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3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03">
        <f t="shared" ca="1" si="0"/>
        <v>0</v>
      </c>
      <c r="FH22" s="103" t="b">
        <f t="array" aca="1" ref="FH22" ca="1">SUMPRODUCT((LEN(EV22:FF22)&gt;0)*1)&gt;0</f>
        <v>0</v>
      </c>
      <c r="FI22" s="103" t="str">
        <f t="array" aca="1" ref="FI22" ca="1">IFERROR(SMALL(IF(FG$1:FG$169&lt;&gt;0,FG$1:FG$169),ROW(A22)),"")</f>
        <v/>
      </c>
      <c r="FJ22" s="103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3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3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3" t="str">
        <f t="array" aca="1" ref="FM22" ca="1">IF($FI22&lt;&gt;"",
IF(FL22="",
INDIRECT("EY"&amp;$FI22&amp;"")&amp;"箱"
&amp;INDIRECT("EZ"&amp;$FI22&amp;""),""),"")</f>
        <v/>
      </c>
      <c r="FN22" s="103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3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3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3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3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3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3" customFormat="1" ht="18" customHeight="1" x14ac:dyDescent="0.55000000000000004">
      <c r="A23" s="101"/>
      <c r="B23" s="106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5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1"/>
      <c r="E23" s="107" t="str" cm="1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108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1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1"/>
      <c r="I23" s="106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5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1"/>
      <c r="L23" s="107" t="str" cm="1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108" t="str" cm="1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7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1"/>
      <c r="P23" s="101"/>
      <c r="Q23" s="106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5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1"/>
      <c r="T23" s="107" t="str" cm="1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108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1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1"/>
      <c r="X23" s="106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5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1"/>
      <c r="AA23" s="107" t="str" cm="1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108" t="str" cm="1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7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1"/>
      <c r="AE23" s="101"/>
      <c r="AF23" s="106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5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1"/>
      <c r="AI23" s="107" t="str" cm="1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108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1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1"/>
      <c r="AM23" s="106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5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1"/>
      <c r="AP23" s="107" t="str" cm="1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108" t="str" cm="1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7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1"/>
      <c r="AT23" s="101"/>
      <c r="AU23" s="106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5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1"/>
      <c r="AX23" s="107" t="str" cm="1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108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1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1"/>
      <c r="BB23" s="106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5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1"/>
      <c r="BE23" s="107" t="str" cm="1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108" t="str" cm="1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7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1"/>
      <c r="BI23" s="101"/>
      <c r="BJ23" s="106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5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1"/>
      <c r="BM23" s="107" t="str" cm="1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108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1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1"/>
      <c r="BQ23" s="106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5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1"/>
      <c r="BT23" s="107" t="str" cm="1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108" t="str" cm="1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7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1"/>
      <c r="BX23" s="101"/>
      <c r="BY23" s="106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5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1"/>
      <c r="CB23" s="107" t="str" cm="1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108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1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1"/>
      <c r="CF23" s="106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5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1"/>
      <c r="CI23" s="107" t="str" cm="1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108" t="str" cm="1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7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1"/>
      <c r="CM23" s="101"/>
      <c r="CN23" s="106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5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1"/>
      <c r="CQ23" s="107" t="str" cm="1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108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1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1"/>
      <c r="CU23" s="106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5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1"/>
      <c r="CX23" s="107" t="str" cm="1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108" t="str" cm="1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7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1"/>
      <c r="DB23" s="101"/>
      <c r="DC23" s="106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5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1"/>
      <c r="DF23" s="107" t="str" cm="1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108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1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1"/>
      <c r="DJ23" s="106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5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1"/>
      <c r="DM23" s="107" t="str" cm="1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108" t="str" cm="1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7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1"/>
      <c r="DQ23" s="101"/>
      <c r="DR23" s="106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5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1"/>
      <c r="DU23" s="107" t="str" cm="1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108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1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1"/>
      <c r="DY23" s="106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5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1"/>
      <c r="EB23" s="107" t="str" cm="1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108" t="str" cm="1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7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1"/>
      <c r="EF23" s="101"/>
      <c r="EG23" s="106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5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101"/>
      <c r="EJ23" s="107" t="str" cm="1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108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21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101"/>
      <c r="EN23" s="106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5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101"/>
      <c r="EQ23" s="107" t="str" cm="1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108" t="str" cm="1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117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3"/>
      <c r="EU23" s="112">
        <f t="shared" si="1"/>
        <v>35</v>
      </c>
      <c r="EV23" s="103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3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3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3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3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3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3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3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3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3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3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3">
        <f t="shared" ca="1" si="0"/>
        <v>0</v>
      </c>
      <c r="FH23" s="103" t="e">
        <f t="array" aca="1" ref="FH23" ca="1">SUMPRODUCT((LEN(EV23:FF23)&gt;0)*1)&gt;0</f>
        <v>#VALUE!</v>
      </c>
      <c r="FI23" s="103" t="str">
        <f t="array" aca="1" ref="FI23" ca="1">IFERROR(SMALL(IF(FG$1:FG$169&lt;&gt;0,FG$1:FG$169),ROW(A23)),"")</f>
        <v/>
      </c>
      <c r="FJ23" s="103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3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3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3" t="str">
        <f t="array" aca="1" ref="FM23" ca="1">IF($FI23&lt;&gt;"",
IF(FL23="",
INDIRECT("EY"&amp;$FI23&amp;"")&amp;"箱"
&amp;INDIRECT("EZ"&amp;$FI23&amp;""),""),"")</f>
        <v/>
      </c>
      <c r="FN23" s="103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3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3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3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3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3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3" customFormat="1" ht="22.2" customHeight="1" x14ac:dyDescent="0.55000000000000004">
      <c r="A24" s="101"/>
      <c r="B24" s="109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196" t="str">
        <f ca="1">IF(C23&lt;&gt;"",
"園児","")</f>
        <v/>
      </c>
      <c r="D24" s="197"/>
      <c r="E24" s="200" t="str">
        <f ca="1">IF(C23&lt;&gt;"",
"先生","")</f>
        <v/>
      </c>
      <c r="F24" s="197"/>
      <c r="G24" s="122" cm="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101"/>
      <c r="I24" s="109" t="e" cm="1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96" t="str">
        <f ca="1">IF(J23&lt;&gt;"",
"園児","")</f>
        <v/>
      </c>
      <c r="K24" s="197"/>
      <c r="L24" s="200" t="str">
        <f ca="1">IF(J23&lt;&gt;"",
"先生","")</f>
        <v/>
      </c>
      <c r="M24" s="197"/>
      <c r="N24" s="122" cm="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101"/>
      <c r="P24" s="101"/>
      <c r="Q24" s="109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196" t="str">
        <f ca="1">IF(R23&lt;&gt;"",
"園児","")</f>
        <v/>
      </c>
      <c r="S24" s="197"/>
      <c r="T24" s="200" t="str">
        <f ca="1">IF(R23&lt;&gt;"",
"先生","")</f>
        <v/>
      </c>
      <c r="U24" s="197"/>
      <c r="V24" s="122" cm="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101"/>
      <c r="X24" s="109" t="e" cm="1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96" t="str">
        <f ca="1">IF(Y23&lt;&gt;"",
"園児","")</f>
        <v/>
      </c>
      <c r="Z24" s="197"/>
      <c r="AA24" s="200" t="str">
        <f ca="1">IF(Y23&lt;&gt;"",
"先生","")</f>
        <v/>
      </c>
      <c r="AB24" s="197"/>
      <c r="AC24" s="122" cm="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101"/>
      <c r="AE24" s="101"/>
      <c r="AF24" s="109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196" t="str">
        <f ca="1">IF(AG23&lt;&gt;"",
"園児","")</f>
        <v/>
      </c>
      <c r="AH24" s="197"/>
      <c r="AI24" s="200" t="str">
        <f ca="1">IF(AG23&lt;&gt;"",
"先生","")</f>
        <v/>
      </c>
      <c r="AJ24" s="197"/>
      <c r="AK24" s="122" cm="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101"/>
      <c r="AM24" s="109" t="e" cm="1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96" t="str">
        <f ca="1">IF(AN23&lt;&gt;"",
"園児","")</f>
        <v/>
      </c>
      <c r="AO24" s="197"/>
      <c r="AP24" s="200" t="str">
        <f ca="1">IF(AN23&lt;&gt;"",
"先生","")</f>
        <v/>
      </c>
      <c r="AQ24" s="197"/>
      <c r="AR24" s="122" cm="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101"/>
      <c r="AT24" s="101"/>
      <c r="AU24" s="109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196" t="str">
        <f ca="1">IF(AV23&lt;&gt;"",
"園児","")</f>
        <v/>
      </c>
      <c r="AW24" s="197"/>
      <c r="AX24" s="200" t="str">
        <f ca="1">IF(AV23&lt;&gt;"",
"先生","")</f>
        <v/>
      </c>
      <c r="AY24" s="197"/>
      <c r="AZ24" s="122" cm="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101"/>
      <c r="BB24" s="109" t="e" cm="1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96" t="str">
        <f ca="1">IF(BC23&lt;&gt;"",
"園児","")</f>
        <v/>
      </c>
      <c r="BD24" s="197"/>
      <c r="BE24" s="200" t="str">
        <f ca="1">IF(BC23&lt;&gt;"",
"先生","")</f>
        <v/>
      </c>
      <c r="BF24" s="197"/>
      <c r="BG24" s="122" cm="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101"/>
      <c r="BI24" s="101"/>
      <c r="BJ24" s="109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196" t="str">
        <f ca="1">IF(BK23&lt;&gt;"",
"園児","")</f>
        <v/>
      </c>
      <c r="BL24" s="197"/>
      <c r="BM24" s="200" t="str">
        <f ca="1">IF(BK23&lt;&gt;"",
"先生","")</f>
        <v/>
      </c>
      <c r="BN24" s="197"/>
      <c r="BO24" s="122" cm="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101"/>
      <c r="BQ24" s="109" t="e" cm="1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96" t="str">
        <f ca="1">IF(BR23&lt;&gt;"",
"園児","")</f>
        <v/>
      </c>
      <c r="BS24" s="197"/>
      <c r="BT24" s="200" t="str">
        <f ca="1">IF(BR23&lt;&gt;"",
"先生","")</f>
        <v/>
      </c>
      <c r="BU24" s="197"/>
      <c r="BV24" s="122" cm="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101"/>
      <c r="BX24" s="101"/>
      <c r="BY24" s="109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196" t="str">
        <f ca="1">IF(BZ23&lt;&gt;"",
"園児","")</f>
        <v/>
      </c>
      <c r="CA24" s="197"/>
      <c r="CB24" s="200" t="str">
        <f ca="1">IF(BZ23&lt;&gt;"",
"先生","")</f>
        <v/>
      </c>
      <c r="CC24" s="197"/>
      <c r="CD24" s="122" cm="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101"/>
      <c r="CF24" s="109" t="e" cm="1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196" t="str">
        <f ca="1">IF(CG23&lt;&gt;"",
"園児","")</f>
        <v/>
      </c>
      <c r="CH24" s="197"/>
      <c r="CI24" s="200" t="str">
        <f ca="1">IF(CG23&lt;&gt;"",
"先生","")</f>
        <v/>
      </c>
      <c r="CJ24" s="197"/>
      <c r="CK24" s="122" cm="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101"/>
      <c r="CM24" s="101"/>
      <c r="CN24" s="109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196" t="str">
        <f ca="1">IF(CO23&lt;&gt;"",
"園児","")</f>
        <v/>
      </c>
      <c r="CP24" s="197"/>
      <c r="CQ24" s="200" t="str">
        <f ca="1">IF(CO23&lt;&gt;"",
"先生","")</f>
        <v/>
      </c>
      <c r="CR24" s="197"/>
      <c r="CS24" s="122" cm="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101"/>
      <c r="CU24" s="109" t="e" cm="1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196" t="str">
        <f ca="1">IF(CV23&lt;&gt;"",
"園児","")</f>
        <v/>
      </c>
      <c r="CW24" s="197"/>
      <c r="CX24" s="200" t="str">
        <f ca="1">IF(CV23&lt;&gt;"",
"先生","")</f>
        <v/>
      </c>
      <c r="CY24" s="197"/>
      <c r="CZ24" s="122" cm="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101"/>
      <c r="DB24" s="101"/>
      <c r="DC24" s="109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196" t="str">
        <f ca="1">IF(DD23&lt;&gt;"",
"園児","")</f>
        <v/>
      </c>
      <c r="DE24" s="197"/>
      <c r="DF24" s="200" t="str">
        <f ca="1">IF(DD23&lt;&gt;"",
"先生","")</f>
        <v/>
      </c>
      <c r="DG24" s="197"/>
      <c r="DH24" s="122" cm="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101"/>
      <c r="DJ24" s="109" t="e" cm="1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196" t="str">
        <f ca="1">IF(DK23&lt;&gt;"",
"園児","")</f>
        <v/>
      </c>
      <c r="DL24" s="197"/>
      <c r="DM24" s="200" t="str">
        <f ca="1">IF(DK23&lt;&gt;"",
"先生","")</f>
        <v/>
      </c>
      <c r="DN24" s="197"/>
      <c r="DO24" s="122" cm="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101"/>
      <c r="DQ24" s="101"/>
      <c r="DR24" s="109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196" t="str">
        <f ca="1">IF(DS23&lt;&gt;"",
"園児","")</f>
        <v/>
      </c>
      <c r="DT24" s="197"/>
      <c r="DU24" s="200" t="str">
        <f ca="1">IF(DS23&lt;&gt;"",
"先生","")</f>
        <v/>
      </c>
      <c r="DV24" s="197"/>
      <c r="DW24" s="122" cm="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101"/>
      <c r="DY24" s="109" t="e" cm="1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196" t="str">
        <f ca="1">IF(DZ23&lt;&gt;"",
"園児","")</f>
        <v/>
      </c>
      <c r="EA24" s="197"/>
      <c r="EB24" s="200" t="str">
        <f ca="1">IF(DZ23&lt;&gt;"",
"先生","")</f>
        <v/>
      </c>
      <c r="EC24" s="197"/>
      <c r="ED24" s="122" cm="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101"/>
      <c r="EF24" s="101"/>
      <c r="EG24" s="109" t="e">
        <f t="array" aca="1" ref="EG24" ca="1">IF(AND(LEFT(EL22,2)="博多",
LEFT(INDIRECT("数出表_Excel!A"&amp;MATCH(EL22,数出表_Excel!$A:$A,0)-1),2)
=LEFT(INDIRECT("数出表_Excel!A"&amp;MATCH(EL22,数出表_Excel!$A:$A,0)+1),2)),100,"")</f>
        <v>#VALUE!</v>
      </c>
      <c r="EH24" s="196" t="str">
        <f ca="1">IF(EH23&lt;&gt;"",
"園児","")</f>
        <v/>
      </c>
      <c r="EI24" s="197"/>
      <c r="EJ24" s="200" t="str">
        <f ca="1">IF(EH23&lt;&gt;"",
"先生","")</f>
        <v/>
      </c>
      <c r="EK24" s="197"/>
      <c r="EL24" s="122" cm="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101"/>
      <c r="EN24" s="109" t="e" cm="1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196" t="str">
        <f ca="1">IF(EO23&lt;&gt;"",
"園児","")</f>
        <v/>
      </c>
      <c r="EP24" s="197"/>
      <c r="EQ24" s="200" t="str">
        <f ca="1">IF(EO23&lt;&gt;"",
"先生","")</f>
        <v/>
      </c>
      <c r="ER24" s="197"/>
      <c r="ES24" s="122" cm="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32"/>
      <c r="EU24" s="103">
        <f t="shared" si="1"/>
        <v>77</v>
      </c>
      <c r="EV24" s="103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03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03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03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03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03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03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3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03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03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3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03">
        <f t="shared" ca="1" si="0"/>
        <v>0</v>
      </c>
      <c r="FH24" s="103" t="b">
        <f t="array" aca="1" ref="FH24" ca="1">SUMPRODUCT((LEN(EV24:FF24)&gt;0)*1)&gt;0</f>
        <v>0</v>
      </c>
      <c r="FI24" s="103" t="str">
        <f t="array" aca="1" ref="FI24" ca="1">IFERROR(SMALL(IF(FG$1:FG$169&lt;&gt;0,FG$1:FG$169),ROW(A24)),"")</f>
        <v/>
      </c>
      <c r="FJ24" s="103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3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3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3" t="str">
        <f t="array" aca="1" ref="FM24" ca="1">IF($FI24&lt;&gt;"",
IF(FL24="",
INDIRECT("EY"&amp;$FI24&amp;"")&amp;"箱"
&amp;INDIRECT("EZ"&amp;$FI24&amp;""),""),"")</f>
        <v/>
      </c>
      <c r="FN24" s="103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3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3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3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3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3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0.45">
      <c r="B25" s="111"/>
      <c r="C25" s="192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193"/>
      <c r="E25" s="195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193"/>
      <c r="G25" s="122" t="e" cm="1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"")),0),""),0)</f>
        <v>#VALUE!</v>
      </c>
      <c r="I25" s="111"/>
      <c r="J25" s="192" t="e">
        <f t="array" aca="1" ref="J25" ca="1">IF(AND(U15="社食",N22="社食"),"",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193"/>
      <c r="L25" s="195" t="e" cm="1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193"/>
      <c r="N25" s="122" t="e" cm="1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"")),0),""),0)</f>
        <v>#VALUE!</v>
      </c>
      <c r="Q25" s="111"/>
      <c r="R25" s="192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193"/>
      <c r="T25" s="195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193"/>
      <c r="V25" s="122" t="e" cm="1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"")),0),""),0)</f>
        <v>#VALUE!</v>
      </c>
      <c r="X25" s="111"/>
      <c r="Y25" s="192" t="e">
        <f t="array" aca="1" ref="Y25" ca="1">IF(AND(AJ15="社食",AC22="社食"),"",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193"/>
      <c r="AA25" s="195" t="e" cm="1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193"/>
      <c r="AC25" s="122" t="e" cm="1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"")),0),""),0)</f>
        <v>#VALUE!</v>
      </c>
      <c r="AF25" s="111"/>
      <c r="AG25" s="192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193"/>
      <c r="AI25" s="195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193"/>
      <c r="AK25" s="122" t="e" cm="1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"")),0),""),0)</f>
        <v>#VALUE!</v>
      </c>
      <c r="AM25" s="111"/>
      <c r="AN25" s="192" t="e">
        <f t="array" aca="1" ref="AN25" ca="1">IF(AND(AY15="社食",AR22="社食"),"",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193"/>
      <c r="AP25" s="195" t="e" cm="1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193"/>
      <c r="AR25" s="122" t="e" cm="1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"")),0),""),0)</f>
        <v>#VALUE!</v>
      </c>
      <c r="AU25" s="111"/>
      <c r="AV25" s="192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193"/>
      <c r="AX25" s="195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193"/>
      <c r="AZ25" s="122" t="e" cm="1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"")),0),""),0)</f>
        <v>#VALUE!</v>
      </c>
      <c r="BB25" s="111"/>
      <c r="BC25" s="192" t="e">
        <f t="array" aca="1" ref="BC25" ca="1">IF(AND(BN15="社食",BG22="社食"),"",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193"/>
      <c r="BE25" s="195" t="e" cm="1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193"/>
      <c r="BG25" s="122" t="e" cm="1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"")),0),""),0)</f>
        <v>#VALUE!</v>
      </c>
      <c r="BJ25" s="111"/>
      <c r="BK25" s="192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193"/>
      <c r="BM25" s="195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193"/>
      <c r="BO25" s="122" t="e" cm="1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"")),0),""),0)</f>
        <v>#VALUE!</v>
      </c>
      <c r="BQ25" s="111"/>
      <c r="BR25" s="192" t="e">
        <f t="array" aca="1" ref="BR25" ca="1">IF(AND(CC15="社食",BV22="社食"),"",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193"/>
      <c r="BT25" s="195" t="e" cm="1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193"/>
      <c r="BV25" s="122" t="e" cm="1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"")),0),""),0)</f>
        <v>#VALUE!</v>
      </c>
      <c r="BY25" s="111"/>
      <c r="BZ25" s="192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193"/>
      <c r="CB25" s="195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193"/>
      <c r="CD25" s="122" t="e" cm="1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"")),0),""),0)</f>
        <v>#VALUE!</v>
      </c>
      <c r="CF25" s="111"/>
      <c r="CG25" s="192" t="e">
        <f t="array" aca="1" ref="CG25" ca="1">IF(AND(CR15="社食",CK22="社食"),"",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193"/>
      <c r="CI25" s="195" t="e" cm="1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193"/>
      <c r="CK25" s="122" t="e" cm="1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"")),0),""),0)</f>
        <v>#VALUE!</v>
      </c>
      <c r="CN25" s="111"/>
      <c r="CO25" s="192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193"/>
      <c r="CQ25" s="195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193"/>
      <c r="CS25" s="122" t="e" cm="1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"")),0),""),0)</f>
        <v>#VALUE!</v>
      </c>
      <c r="CU25" s="111"/>
      <c r="CV25" s="192" t="e">
        <f t="array" aca="1" ref="CV25" ca="1">IF(AND(DG15="社食",CZ22="社食"),"",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193"/>
      <c r="CX25" s="195" t="e" cm="1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193"/>
      <c r="CZ25" s="122" t="e" cm="1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"")),0),""),0)</f>
        <v>#VALUE!</v>
      </c>
      <c r="DC25" s="111"/>
      <c r="DD25" s="192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193"/>
      <c r="DF25" s="195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193"/>
      <c r="DH25" s="122" t="e" cm="1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"")),0),""),0)</f>
        <v>#VALUE!</v>
      </c>
      <c r="DJ25" s="111"/>
      <c r="DK25" s="192" t="e">
        <f t="array" aca="1" ref="DK25" ca="1">IF(AND(DV15="社食",DO22="社食"),"",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193"/>
      <c r="DM25" s="195" t="e" cm="1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193"/>
      <c r="DO25" s="122" t="e" cm="1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"")),0),""),0)</f>
        <v>#VALUE!</v>
      </c>
      <c r="DR25" s="111"/>
      <c r="DS25" s="192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193"/>
      <c r="DU25" s="195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193"/>
      <c r="DW25" s="122" t="e" cm="1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"")),0),""),0)</f>
        <v>#VALUE!</v>
      </c>
      <c r="DY25" s="111"/>
      <c r="DZ25" s="192" t="e">
        <f t="array" aca="1" ref="DZ25" ca="1">IF(AND(EK15="社食",ED22="社食"),"",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193"/>
      <c r="EB25" s="195" t="e" cm="1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193"/>
      <c r="ED25" s="122" t="e" cm="1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"")),0),""),0)</f>
        <v>#VALUE!</v>
      </c>
      <c r="EG25" s="111"/>
      <c r="EH25" s="192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193"/>
      <c r="EJ25" s="195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193"/>
      <c r="EL25" s="122" t="e" cm="1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"")),0),""),0)</f>
        <v>#VALUE!</v>
      </c>
      <c r="EN25" s="111"/>
      <c r="EO25" s="192" t="e">
        <f t="array" aca="1" ref="EO25" ca="1">IF(AND(EZ15="社食",ES22="社食"),"",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193"/>
      <c r="EQ25" s="195" t="e" cm="1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193"/>
      <c r="ES25" s="122" t="e" cm="1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"")),0),""),0)</f>
        <v>#VALUE!</v>
      </c>
      <c r="ET25" s="132"/>
      <c r="EU25" s="103"/>
      <c r="EV25" s="104" t="str">
        <f ca="1">R1</f>
        <v/>
      </c>
      <c r="EW25" s="104" t="str">
        <f ca="1">R2</f>
        <v/>
      </c>
      <c r="EX25" s="104" t="str">
        <f ca="1">T2</f>
        <v/>
      </c>
      <c r="EY25" s="105" t="str">
        <f ca="1">U2</f>
        <v/>
      </c>
      <c r="EZ25" s="105" t="str">
        <f ca="1">V2</f>
        <v/>
      </c>
      <c r="FA25" s="104" t="e">
        <f ca="1">R4</f>
        <v>#VALUE!</v>
      </c>
      <c r="FB25" s="104" t="e">
        <f ca="1">T4</f>
        <v>#VALUE!</v>
      </c>
      <c r="FC25" s="104" t="str">
        <f ca="1">R6</f>
        <v/>
      </c>
      <c r="FD25" s="104" t="e">
        <f ca="1">Q7</f>
        <v>#VALUE!</v>
      </c>
      <c r="FE25" s="104" t="str">
        <f ca="1">S7</f>
        <v/>
      </c>
      <c r="FF25" s="104" t="e">
        <f ca="1">U7</f>
        <v>#VALUE!</v>
      </c>
      <c r="FG25" s="103">
        <f t="shared" ca="1" si="0"/>
        <v>0</v>
      </c>
      <c r="FH25" s="103" t="e">
        <f t="array" aca="1" ref="FH25" ca="1">SUMPRODUCT((LEN(EV25:FF25)&gt;0)*1)&gt;0</f>
        <v>#VALUE!</v>
      </c>
      <c r="FI25" s="103" t="str">
        <f t="array" aca="1" ref="FI25" ca="1">IFERROR(SMALL(IF(FG$1:FG$169&lt;&gt;0,FG$1:FG$169),ROW(A25)),"")</f>
        <v/>
      </c>
      <c r="FJ25" s="103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3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3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3" t="str">
        <f t="array" aca="1" ref="FM25" ca="1">IF($FI25&lt;&gt;"",
IF(FL25="",
INDIRECT("EY"&amp;$FI25&amp;"")&amp;"箱"
&amp;INDIRECT("EZ"&amp;$FI25&amp;""),""),"")</f>
        <v/>
      </c>
      <c r="FN25" s="103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3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3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3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3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3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221" t="s">
        <v>585</v>
      </c>
      <c r="C26" s="194"/>
      <c r="D26" s="194"/>
      <c r="E26" s="194"/>
      <c r="F26" s="194"/>
      <c r="G26" s="123" t="str">
        <f ca="1">SUBSTITUTE(SUBSTITUTE(ADDRESS(1,MATCH("おやつ",'数出表_Excel（アレルギー入力）'!$3:$3,0)),1,""),"$","")</f>
        <v>AL</v>
      </c>
      <c r="I26" s="221" t="s">
        <v>585</v>
      </c>
      <c r="J26" s="194"/>
      <c r="K26" s="194"/>
      <c r="L26" s="194"/>
      <c r="M26" s="194"/>
      <c r="N26" s="123" t="str">
        <f ca="1">SUBSTITUTE(SUBSTITUTE(ADDRESS(1,MATCH("おやつ",'数出表_Excel（アレルギー入力）'!$3:$3,0)),1,""),"$","")</f>
        <v>AL</v>
      </c>
      <c r="Q26" s="221" t="s">
        <v>585</v>
      </c>
      <c r="R26" s="194"/>
      <c r="S26" s="194"/>
      <c r="T26" s="194"/>
      <c r="U26" s="194"/>
      <c r="V26" s="123" t="str">
        <f ca="1">SUBSTITUTE(SUBSTITUTE(ADDRESS(1,MATCH("おやつ",'数出表_Excel（アレルギー入力）'!$3:$3,0)),1,""),"$","")</f>
        <v>AL</v>
      </c>
      <c r="X26" s="221" t="s">
        <v>585</v>
      </c>
      <c r="Y26" s="194"/>
      <c r="Z26" s="194"/>
      <c r="AA26" s="194"/>
      <c r="AB26" s="194"/>
      <c r="AC26" s="123" t="str">
        <f ca="1">SUBSTITUTE(SUBSTITUTE(ADDRESS(1,MATCH("おやつ",'数出表_Excel（アレルギー入力）'!$3:$3,0)),1,""),"$","")</f>
        <v>AL</v>
      </c>
      <c r="AF26" s="221" t="s">
        <v>585</v>
      </c>
      <c r="AG26" s="194"/>
      <c r="AH26" s="194"/>
      <c r="AI26" s="194"/>
      <c r="AJ26" s="194"/>
      <c r="AK26" s="123" t="str">
        <f ca="1">SUBSTITUTE(SUBSTITUTE(ADDRESS(1,MATCH("おやつ",'数出表_Excel（アレルギー入力）'!$3:$3,0)),1,""),"$","")</f>
        <v>AL</v>
      </c>
      <c r="AM26" s="221" t="s">
        <v>585</v>
      </c>
      <c r="AN26" s="194"/>
      <c r="AO26" s="194"/>
      <c r="AP26" s="194"/>
      <c r="AQ26" s="194"/>
      <c r="AR26" s="123" t="str">
        <f ca="1">SUBSTITUTE(SUBSTITUTE(ADDRESS(1,MATCH("おやつ",'数出表_Excel（アレルギー入力）'!$3:$3,0)),1,""),"$","")</f>
        <v>AL</v>
      </c>
      <c r="AU26" s="221" t="s">
        <v>585</v>
      </c>
      <c r="AV26" s="194"/>
      <c r="AW26" s="194"/>
      <c r="AX26" s="194"/>
      <c r="AY26" s="194"/>
      <c r="AZ26" s="123" t="str">
        <f ca="1">SUBSTITUTE(SUBSTITUTE(ADDRESS(1,MATCH("おやつ",'数出表_Excel（アレルギー入力）'!$3:$3,0)),1,""),"$","")</f>
        <v>AL</v>
      </c>
      <c r="BB26" s="221" t="s">
        <v>585</v>
      </c>
      <c r="BC26" s="194"/>
      <c r="BD26" s="194"/>
      <c r="BE26" s="194"/>
      <c r="BF26" s="194"/>
      <c r="BG26" s="123" t="str">
        <f ca="1">SUBSTITUTE(SUBSTITUTE(ADDRESS(1,MATCH("おやつ",'数出表_Excel（アレルギー入力）'!$3:$3,0)),1,""),"$","")</f>
        <v>AL</v>
      </c>
      <c r="BJ26" s="221" t="s">
        <v>585</v>
      </c>
      <c r="BK26" s="194"/>
      <c r="BL26" s="194"/>
      <c r="BM26" s="194"/>
      <c r="BN26" s="194"/>
      <c r="BO26" s="123" t="str">
        <f ca="1">SUBSTITUTE(SUBSTITUTE(ADDRESS(1,MATCH("おやつ",'数出表_Excel（アレルギー入力）'!$3:$3,0)),1,""),"$","")</f>
        <v>AL</v>
      </c>
      <c r="BQ26" s="221" t="s">
        <v>585</v>
      </c>
      <c r="BR26" s="194"/>
      <c r="BS26" s="194"/>
      <c r="BT26" s="194"/>
      <c r="BU26" s="194"/>
      <c r="BV26" s="123" t="str">
        <f ca="1">SUBSTITUTE(SUBSTITUTE(ADDRESS(1,MATCH("おやつ",'数出表_Excel（アレルギー入力）'!$3:$3,0)),1,""),"$","")</f>
        <v>AL</v>
      </c>
      <c r="BY26" s="221" t="s">
        <v>585</v>
      </c>
      <c r="BZ26" s="194"/>
      <c r="CA26" s="194"/>
      <c r="CB26" s="194"/>
      <c r="CC26" s="194"/>
      <c r="CD26" s="123" t="str">
        <f ca="1">SUBSTITUTE(SUBSTITUTE(ADDRESS(1,MATCH("おやつ",'数出表_Excel（アレルギー入力）'!$3:$3,0)),1,""),"$","")</f>
        <v>AL</v>
      </c>
      <c r="CF26" s="221" t="s">
        <v>585</v>
      </c>
      <c r="CG26" s="194"/>
      <c r="CH26" s="194"/>
      <c r="CI26" s="194"/>
      <c r="CJ26" s="194"/>
      <c r="CK26" s="123" t="str">
        <f ca="1">SUBSTITUTE(SUBSTITUTE(ADDRESS(1,MATCH("おやつ",'数出表_Excel（アレルギー入力）'!$3:$3,0)),1,""),"$","")</f>
        <v>AL</v>
      </c>
      <c r="CN26" s="221" t="s">
        <v>585</v>
      </c>
      <c r="CO26" s="194"/>
      <c r="CP26" s="194"/>
      <c r="CQ26" s="194"/>
      <c r="CR26" s="194"/>
      <c r="CS26" s="123" t="str">
        <f ca="1">SUBSTITUTE(SUBSTITUTE(ADDRESS(1,MATCH("おやつ",'数出表_Excel（アレルギー入力）'!$3:$3,0)),1,""),"$","")</f>
        <v>AL</v>
      </c>
      <c r="CU26" s="221" t="s">
        <v>585</v>
      </c>
      <c r="CV26" s="194"/>
      <c r="CW26" s="194"/>
      <c r="CX26" s="194"/>
      <c r="CY26" s="194"/>
      <c r="CZ26" s="123" t="str">
        <f ca="1">SUBSTITUTE(SUBSTITUTE(ADDRESS(1,MATCH("おやつ",'数出表_Excel（アレルギー入力）'!$3:$3,0)),1,""),"$","")</f>
        <v>AL</v>
      </c>
      <c r="DC26" s="221" t="s">
        <v>585</v>
      </c>
      <c r="DD26" s="194"/>
      <c r="DE26" s="194"/>
      <c r="DF26" s="194"/>
      <c r="DG26" s="194"/>
      <c r="DH26" s="123" t="str">
        <f ca="1">SUBSTITUTE(SUBSTITUTE(ADDRESS(1,MATCH("おやつ",'数出表_Excel（アレルギー入力）'!$3:$3,0)),1,""),"$","")</f>
        <v>AL</v>
      </c>
      <c r="DJ26" s="221" t="s">
        <v>585</v>
      </c>
      <c r="DK26" s="194"/>
      <c r="DL26" s="194"/>
      <c r="DM26" s="194"/>
      <c r="DN26" s="194"/>
      <c r="DO26" s="123" t="str">
        <f ca="1">SUBSTITUTE(SUBSTITUTE(ADDRESS(1,MATCH("おやつ",'数出表_Excel（アレルギー入力）'!$3:$3,0)),1,""),"$","")</f>
        <v>AL</v>
      </c>
      <c r="DR26" s="221" t="s">
        <v>585</v>
      </c>
      <c r="DS26" s="194"/>
      <c r="DT26" s="194"/>
      <c r="DU26" s="194"/>
      <c r="DV26" s="194"/>
      <c r="DW26" s="123" t="str">
        <f ca="1">SUBSTITUTE(SUBSTITUTE(ADDRESS(1,MATCH("おやつ",'数出表_Excel（アレルギー入力）'!$3:$3,0)),1,""),"$","")</f>
        <v>AL</v>
      </c>
      <c r="DY26" s="221" t="s">
        <v>585</v>
      </c>
      <c r="DZ26" s="194"/>
      <c r="EA26" s="194"/>
      <c r="EB26" s="194"/>
      <c r="EC26" s="194"/>
      <c r="ED26" s="123" t="str">
        <f ca="1">SUBSTITUTE(SUBSTITUTE(ADDRESS(1,MATCH("おやつ",'数出表_Excel（アレルギー入力）'!$3:$3,0)),1,""),"$","")</f>
        <v>AL</v>
      </c>
      <c r="EG26" s="221" t="s">
        <v>585</v>
      </c>
      <c r="EH26" s="194"/>
      <c r="EI26" s="194"/>
      <c r="EJ26" s="194"/>
      <c r="EK26" s="194"/>
      <c r="EL26" s="123" t="str">
        <f ca="1">SUBSTITUTE(SUBSTITUTE(ADDRESS(1,MATCH("おやつ",'数出表_Excel（アレルギー入力）'!$3:$3,0)),1,""),"$","")</f>
        <v>AL</v>
      </c>
      <c r="EN26" s="221" t="s">
        <v>585</v>
      </c>
      <c r="EO26" s="194"/>
      <c r="EP26" s="194"/>
      <c r="EQ26" s="194"/>
      <c r="ER26" s="194"/>
      <c r="ES26" s="123" t="str">
        <f ca="1">SUBSTITUTE(SUBSTITUTE(ADDRESS(1,MATCH("おやつ",'数出表_Excel（アレルギー入力）'!$3:$3,0)),1,""),"$","")</f>
        <v>AL</v>
      </c>
      <c r="ET26" s="132"/>
      <c r="EU26" s="103">
        <v>42</v>
      </c>
      <c r="EV26" s="103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3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3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3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3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3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3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3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3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3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3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3">
        <f t="shared" ca="1" si="0"/>
        <v>0</v>
      </c>
      <c r="FH26" s="103" t="b">
        <f t="array" aca="1" ref="FH26" ca="1">SUMPRODUCT((LEN(EV26:FF26)&gt;0)*1)&gt;0</f>
        <v>0</v>
      </c>
      <c r="FI26" s="103" t="str">
        <f t="array" aca="1" ref="FI26" ca="1">IFERROR(SMALL(IF(FG$1:FG$169&lt;&gt;0,FG$1:FG$169),ROW(A26)),"")</f>
        <v/>
      </c>
      <c r="FJ26" s="103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3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3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3" t="str">
        <f t="array" aca="1" ref="FM26" ca="1">IF($FI26&lt;&gt;"",
IF(FL26="",
INDIRECT("EY"&amp;$FI26&amp;"")&amp;"箱"
&amp;INDIRECT("EZ"&amp;$FI26&amp;""),""),"")</f>
        <v/>
      </c>
      <c r="FN26" s="103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3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3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3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3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3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3" customFormat="1" ht="22.2" customHeight="1" x14ac:dyDescent="0.55000000000000004">
      <c r="A27" s="101"/>
      <c r="B27" s="114" t="str">
        <f ca="1">IF(C23&lt;&gt;"",
"パン箱","")</f>
        <v/>
      </c>
      <c r="C27" s="115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4" t="str">
        <f ca="1">IF(C23&lt;&gt;"",
" 端数","")</f>
        <v/>
      </c>
      <c r="E27" s="115"/>
      <c r="F27" s="114" t="str">
        <f ca="1">IF(C23&lt;&gt;"",
"アレルギー","")</f>
        <v/>
      </c>
      <c r="G27" s="122"/>
      <c r="H27" s="101"/>
      <c r="I27" s="114" t="str">
        <f ca="1">IF(J23&lt;&gt;"",
"パン箱","")</f>
        <v/>
      </c>
      <c r="J27" s="115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4" t="str">
        <f ca="1">IF(J23&lt;&gt;"",
" 端数","")</f>
        <v/>
      </c>
      <c r="L27" s="115"/>
      <c r="M27" s="114" t="str">
        <f ca="1">IF(J23&lt;&gt;"",
"アレルギー","")</f>
        <v/>
      </c>
      <c r="N27" s="122"/>
      <c r="O27" s="101"/>
      <c r="P27" s="101"/>
      <c r="Q27" s="114" t="str">
        <f ca="1">IF(R23&lt;&gt;"",
"パン箱","")</f>
        <v/>
      </c>
      <c r="R27" s="115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4" t="str">
        <f ca="1">IF(R23&lt;&gt;"",
" 端数","")</f>
        <v/>
      </c>
      <c r="T27" s="115"/>
      <c r="U27" s="114" t="str">
        <f ca="1">IF(R23&lt;&gt;"",
"アレルギー","")</f>
        <v/>
      </c>
      <c r="V27" s="122"/>
      <c r="W27" s="101"/>
      <c r="X27" s="114" t="str">
        <f ca="1">IF(Y23&lt;&gt;"",
"パン箱","")</f>
        <v/>
      </c>
      <c r="Y27" s="115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4" t="str">
        <f ca="1">IF(Y23&lt;&gt;"",
" 端数","")</f>
        <v/>
      </c>
      <c r="AA27" s="115"/>
      <c r="AB27" s="114" t="str">
        <f ca="1">IF(Y23&lt;&gt;"",
"アレルギー","")</f>
        <v/>
      </c>
      <c r="AC27" s="122"/>
      <c r="AD27" s="101"/>
      <c r="AE27" s="101"/>
      <c r="AF27" s="114" t="str">
        <f ca="1">IF(AG23&lt;&gt;"",
"パン箱","")</f>
        <v/>
      </c>
      <c r="AG27" s="115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4" t="str">
        <f ca="1">IF(AG23&lt;&gt;"",
" 端数","")</f>
        <v/>
      </c>
      <c r="AI27" s="115"/>
      <c r="AJ27" s="114" t="str">
        <f ca="1">IF(AG23&lt;&gt;"",
"アレルギー","")</f>
        <v/>
      </c>
      <c r="AK27" s="122"/>
      <c r="AL27" s="101"/>
      <c r="AM27" s="114" t="str">
        <f ca="1">IF(AN23&lt;&gt;"",
"パン箱","")</f>
        <v/>
      </c>
      <c r="AN27" s="115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4" t="str">
        <f ca="1">IF(AN23&lt;&gt;"",
" 端数","")</f>
        <v/>
      </c>
      <c r="AP27" s="115"/>
      <c r="AQ27" s="114" t="str">
        <f ca="1">IF(AN23&lt;&gt;"",
"アレルギー","")</f>
        <v/>
      </c>
      <c r="AR27" s="122"/>
      <c r="AS27" s="101"/>
      <c r="AT27" s="101"/>
      <c r="AU27" s="114" t="str">
        <f ca="1">IF(AV23&lt;&gt;"",
"パン箱","")</f>
        <v/>
      </c>
      <c r="AV27" s="115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4" t="str">
        <f ca="1">IF(AV23&lt;&gt;"",
" 端数","")</f>
        <v/>
      </c>
      <c r="AX27" s="115"/>
      <c r="AY27" s="114" t="str">
        <f ca="1">IF(AV23&lt;&gt;"",
"アレルギー","")</f>
        <v/>
      </c>
      <c r="AZ27" s="122"/>
      <c r="BA27" s="101"/>
      <c r="BB27" s="114" t="str">
        <f ca="1">IF(BC23&lt;&gt;"",
"パン箱","")</f>
        <v/>
      </c>
      <c r="BC27" s="115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4" t="str">
        <f ca="1">IF(BC23&lt;&gt;"",
" 端数","")</f>
        <v/>
      </c>
      <c r="BE27" s="115"/>
      <c r="BF27" s="114" t="str">
        <f ca="1">IF(BC23&lt;&gt;"",
"アレルギー","")</f>
        <v/>
      </c>
      <c r="BG27" s="122"/>
      <c r="BH27" s="101"/>
      <c r="BI27" s="101"/>
      <c r="BJ27" s="114" t="str">
        <f ca="1">IF(BK23&lt;&gt;"",
"パン箱","")</f>
        <v/>
      </c>
      <c r="BK27" s="115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4" t="str">
        <f ca="1">IF(BK23&lt;&gt;"",
" 端数","")</f>
        <v/>
      </c>
      <c r="BM27" s="115"/>
      <c r="BN27" s="114" t="str">
        <f ca="1">IF(BK23&lt;&gt;"",
"アレルギー","")</f>
        <v/>
      </c>
      <c r="BO27" s="122"/>
      <c r="BP27" s="101"/>
      <c r="BQ27" s="114" t="str">
        <f ca="1">IF(BR23&lt;&gt;"",
"パン箱","")</f>
        <v/>
      </c>
      <c r="BR27" s="115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4" t="str">
        <f ca="1">IF(BR23&lt;&gt;"",
" 端数","")</f>
        <v/>
      </c>
      <c r="BT27" s="115"/>
      <c r="BU27" s="114" t="str">
        <f ca="1">IF(BR23&lt;&gt;"",
"アレルギー","")</f>
        <v/>
      </c>
      <c r="BV27" s="122"/>
      <c r="BW27" s="101"/>
      <c r="BX27" s="101"/>
      <c r="BY27" s="114" t="str">
        <f ca="1">IF(BZ23&lt;&gt;"",
"パン箱","")</f>
        <v/>
      </c>
      <c r="BZ27" s="115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4" t="str">
        <f ca="1">IF(BZ23&lt;&gt;"",
" 端数","")</f>
        <v/>
      </c>
      <c r="CB27" s="115"/>
      <c r="CC27" s="114" t="str">
        <f ca="1">IF(BZ23&lt;&gt;"",
"アレルギー","")</f>
        <v/>
      </c>
      <c r="CD27" s="122"/>
      <c r="CE27" s="101"/>
      <c r="CF27" s="114" t="str">
        <f ca="1">IF(CG23&lt;&gt;"",
"パン箱","")</f>
        <v/>
      </c>
      <c r="CG27" s="115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4" t="str">
        <f ca="1">IF(CG23&lt;&gt;"",
" 端数","")</f>
        <v/>
      </c>
      <c r="CI27" s="115"/>
      <c r="CJ27" s="114" t="str">
        <f ca="1">IF(CG23&lt;&gt;"",
"アレルギー","")</f>
        <v/>
      </c>
      <c r="CK27" s="122"/>
      <c r="CL27" s="101"/>
      <c r="CM27" s="101"/>
      <c r="CN27" s="114" t="str">
        <f ca="1">IF(CO23&lt;&gt;"",
"パン箱","")</f>
        <v/>
      </c>
      <c r="CO27" s="115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4" t="str">
        <f ca="1">IF(CO23&lt;&gt;"",
" 端数","")</f>
        <v/>
      </c>
      <c r="CQ27" s="115"/>
      <c r="CR27" s="114" t="str">
        <f ca="1">IF(CO23&lt;&gt;"",
"アレルギー","")</f>
        <v/>
      </c>
      <c r="CS27" s="122"/>
      <c r="CT27" s="101"/>
      <c r="CU27" s="114" t="str">
        <f ca="1">IF(CV23&lt;&gt;"",
"パン箱","")</f>
        <v/>
      </c>
      <c r="CV27" s="115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4" t="str">
        <f ca="1">IF(CV23&lt;&gt;"",
" 端数","")</f>
        <v/>
      </c>
      <c r="CX27" s="115"/>
      <c r="CY27" s="114" t="str">
        <f ca="1">IF(CV23&lt;&gt;"",
"アレルギー","")</f>
        <v/>
      </c>
      <c r="CZ27" s="122"/>
      <c r="DA27" s="101"/>
      <c r="DB27" s="101"/>
      <c r="DC27" s="114" t="str">
        <f ca="1">IF(DD23&lt;&gt;"",
"パン箱","")</f>
        <v/>
      </c>
      <c r="DD27" s="115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4" t="str">
        <f ca="1">IF(DD23&lt;&gt;"",
" 端数","")</f>
        <v/>
      </c>
      <c r="DF27" s="115"/>
      <c r="DG27" s="114" t="str">
        <f ca="1">IF(DD23&lt;&gt;"",
"アレルギー","")</f>
        <v/>
      </c>
      <c r="DH27" s="122"/>
      <c r="DI27" s="101"/>
      <c r="DJ27" s="114" t="str">
        <f ca="1">IF(DK23&lt;&gt;"",
"パン箱","")</f>
        <v/>
      </c>
      <c r="DK27" s="115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4" t="str">
        <f ca="1">IF(DK23&lt;&gt;"",
" 端数","")</f>
        <v/>
      </c>
      <c r="DM27" s="115"/>
      <c r="DN27" s="114" t="str">
        <f ca="1">IF(DK23&lt;&gt;"",
"アレルギー","")</f>
        <v/>
      </c>
      <c r="DO27" s="122"/>
      <c r="DP27" s="101"/>
      <c r="DQ27" s="101"/>
      <c r="DR27" s="114" t="str">
        <f ca="1">IF(DS23&lt;&gt;"",
"パン箱","")</f>
        <v/>
      </c>
      <c r="DS27" s="115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4" t="str">
        <f ca="1">IF(DS23&lt;&gt;"",
" 端数","")</f>
        <v/>
      </c>
      <c r="DU27" s="115"/>
      <c r="DV27" s="114" t="str">
        <f ca="1">IF(DS23&lt;&gt;"",
"アレルギー","")</f>
        <v/>
      </c>
      <c r="DW27" s="122"/>
      <c r="DX27" s="101"/>
      <c r="DY27" s="114" t="str">
        <f ca="1">IF(DZ23&lt;&gt;"",
"パン箱","")</f>
        <v/>
      </c>
      <c r="DZ27" s="115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4" t="str">
        <f ca="1">IF(DZ23&lt;&gt;"",
" 端数","")</f>
        <v/>
      </c>
      <c r="EB27" s="115"/>
      <c r="EC27" s="114" t="str">
        <f ca="1">IF(DZ23&lt;&gt;"",
"アレルギー","")</f>
        <v/>
      </c>
      <c r="ED27" s="122"/>
      <c r="EE27" s="101"/>
      <c r="EF27" s="101"/>
      <c r="EG27" s="114" t="str">
        <f ca="1">IF(EH23&lt;&gt;"",
"パン箱","")</f>
        <v/>
      </c>
      <c r="EH27" s="115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114" t="str">
        <f ca="1">IF(EH23&lt;&gt;"",
" 端数","")</f>
        <v/>
      </c>
      <c r="EJ27" s="115"/>
      <c r="EK27" s="114" t="str">
        <f ca="1">IF(EH23&lt;&gt;"",
"アレルギー","")</f>
        <v/>
      </c>
      <c r="EL27" s="122"/>
      <c r="EM27" s="101"/>
      <c r="EN27" s="114" t="str">
        <f ca="1">IF(EO23&lt;&gt;"",
"パン箱","")</f>
        <v/>
      </c>
      <c r="EO27" s="115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114" t="str">
        <f ca="1">IF(EO23&lt;&gt;"",
" 端数","")</f>
        <v/>
      </c>
      <c r="EQ27" s="115"/>
      <c r="ER27" s="114" t="str">
        <f ca="1">IF(EO23&lt;&gt;"",
"アレルギー","")</f>
        <v/>
      </c>
      <c r="ES27" s="122"/>
      <c r="ET27" s="132"/>
      <c r="EV27" s="104" t="str">
        <f ca="1">Y1</f>
        <v/>
      </c>
      <c r="EW27" s="104" t="str">
        <f ca="1">Y2</f>
        <v/>
      </c>
      <c r="EX27" s="104" t="str">
        <f ca="1">AA2</f>
        <v/>
      </c>
      <c r="EY27" s="105" t="str">
        <f ca="1">AB2</f>
        <v/>
      </c>
      <c r="EZ27" s="105" t="str">
        <f ca="1">AC2</f>
        <v/>
      </c>
      <c r="FA27" s="104" t="e">
        <f ca="1">Y4</f>
        <v>#VALUE!</v>
      </c>
      <c r="FB27" s="104" t="e">
        <f ca="1">AA4</f>
        <v>#VALUE!</v>
      </c>
      <c r="FC27" s="104" t="str">
        <f ca="1">Y6</f>
        <v/>
      </c>
      <c r="FD27" s="104" t="e">
        <f ca="1">X7</f>
        <v>#VALUE!</v>
      </c>
      <c r="FE27" s="104" t="str">
        <f ca="1">Z7</f>
        <v/>
      </c>
      <c r="FF27" s="104" t="e">
        <f ca="1">AB7</f>
        <v>#VALUE!</v>
      </c>
      <c r="FG27" s="103">
        <f t="shared" ca="1" si="0"/>
        <v>0</v>
      </c>
      <c r="FH27" s="103" t="e">
        <f t="array" aca="1" ref="FH27" ca="1">SUMPRODUCT((LEN(EV27:FF27)&gt;0)*1)&gt;0</f>
        <v>#VALUE!</v>
      </c>
      <c r="FI27" s="103" t="str">
        <f t="array" aca="1" ref="FI27" ca="1">IFERROR(SMALL(IF(FG$1:FG$169&lt;&gt;0,FG$1:FG$169),ROW(A27)),"")</f>
        <v/>
      </c>
      <c r="FJ27" s="103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3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3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3" t="str">
        <f t="array" aca="1" ref="FM27" ca="1">IF($FI27&lt;&gt;"",
IF(FL27="",
INDIRECT("EY"&amp;$FI27&amp;"")&amp;"箱"
&amp;INDIRECT("EZ"&amp;$FI27&amp;""),""),"")</f>
        <v/>
      </c>
      <c r="FN27" s="103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3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3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3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3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3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203" t="e">
        <f ca="1">IF(C25&lt;&gt;"",
IFERROR(INT(C25/C27),""),"")</f>
        <v>#VALUE!</v>
      </c>
      <c r="C28" s="202"/>
      <c r="D28" s="203" t="str">
        <f ca="1">IFERROR(MOD(C25,C27),"")</f>
        <v/>
      </c>
      <c r="E28" s="202"/>
      <c r="F28" s="201" t="e">
        <f ca="1">G24+G25</f>
        <v>#VALUE!</v>
      </c>
      <c r="G28" s="202"/>
      <c r="I28" s="203" t="e">
        <f ca="1">IF(J25&lt;&gt;"",
IFERROR(INT(J25/J27),""),"")</f>
        <v>#VALUE!</v>
      </c>
      <c r="J28" s="202"/>
      <c r="K28" s="203" t="str">
        <f ca="1">IFERROR(MOD(J25,J27),"")</f>
        <v/>
      </c>
      <c r="L28" s="202"/>
      <c r="M28" s="201" t="e">
        <f ca="1">N24+N25</f>
        <v>#VALUE!</v>
      </c>
      <c r="N28" s="202"/>
      <c r="Q28" s="203" t="e">
        <f ca="1">IF(R25&lt;&gt;"",
IFERROR(INT(R25/R27),""),"")</f>
        <v>#VALUE!</v>
      </c>
      <c r="R28" s="202"/>
      <c r="S28" s="203" t="str">
        <f ca="1">IFERROR(MOD(R25,R27),"")</f>
        <v/>
      </c>
      <c r="T28" s="202"/>
      <c r="U28" s="201" t="e">
        <f ca="1">V24+V25</f>
        <v>#VALUE!</v>
      </c>
      <c r="V28" s="202"/>
      <c r="X28" s="203" t="e">
        <f ca="1">IF(Y25&lt;&gt;"",
IFERROR(INT(Y25/Y27),""),"")</f>
        <v>#VALUE!</v>
      </c>
      <c r="Y28" s="202"/>
      <c r="Z28" s="203" t="str">
        <f ca="1">IFERROR(MOD(Y25,Y27),"")</f>
        <v/>
      </c>
      <c r="AA28" s="202"/>
      <c r="AB28" s="201" t="e">
        <f ca="1">AC24+AC25</f>
        <v>#VALUE!</v>
      </c>
      <c r="AC28" s="202"/>
      <c r="AF28" s="203" t="e">
        <f ca="1">IF(AG25&lt;&gt;"",
IFERROR(INT(AG25/AG27),""),"")</f>
        <v>#VALUE!</v>
      </c>
      <c r="AG28" s="202"/>
      <c r="AH28" s="203" t="str">
        <f ca="1">IFERROR(MOD(AG25,AG27),"")</f>
        <v/>
      </c>
      <c r="AI28" s="202"/>
      <c r="AJ28" s="201" t="e">
        <f ca="1">AK24+AK25</f>
        <v>#VALUE!</v>
      </c>
      <c r="AK28" s="202"/>
      <c r="AM28" s="203" t="e">
        <f ca="1">IF(AN25&lt;&gt;"",
IFERROR(INT(AN25/AN27),""),"")</f>
        <v>#VALUE!</v>
      </c>
      <c r="AN28" s="202"/>
      <c r="AO28" s="203" t="str">
        <f ca="1">IFERROR(MOD(AN25,AN27),"")</f>
        <v/>
      </c>
      <c r="AP28" s="202"/>
      <c r="AQ28" s="201" t="e">
        <f ca="1">AR24+AR25</f>
        <v>#VALUE!</v>
      </c>
      <c r="AR28" s="202"/>
      <c r="AU28" s="203" t="e">
        <f ca="1">IF(AV25&lt;&gt;"",
IFERROR(INT(AV25/AV27),""),"")</f>
        <v>#VALUE!</v>
      </c>
      <c r="AV28" s="202"/>
      <c r="AW28" s="203" t="str">
        <f ca="1">IFERROR(MOD(AV25,AV27),"")</f>
        <v/>
      </c>
      <c r="AX28" s="202"/>
      <c r="AY28" s="201" t="e">
        <f ca="1">AZ24+AZ25</f>
        <v>#VALUE!</v>
      </c>
      <c r="AZ28" s="202"/>
      <c r="BB28" s="203" t="e">
        <f ca="1">IF(BC25&lt;&gt;"",
IFERROR(INT(BC25/BC27),""),"")</f>
        <v>#VALUE!</v>
      </c>
      <c r="BC28" s="202"/>
      <c r="BD28" s="203" t="str">
        <f ca="1">IFERROR(MOD(BC25,BC27),"")</f>
        <v/>
      </c>
      <c r="BE28" s="202"/>
      <c r="BF28" s="201" t="e">
        <f ca="1">BG24+BG25</f>
        <v>#VALUE!</v>
      </c>
      <c r="BG28" s="202"/>
      <c r="BJ28" s="203" t="e">
        <f ca="1">IF(BK25&lt;&gt;"",
IFERROR(INT(BK25/BK27),""),"")</f>
        <v>#VALUE!</v>
      </c>
      <c r="BK28" s="202"/>
      <c r="BL28" s="203" t="str">
        <f ca="1">IFERROR(MOD(BK25,BK27),"")</f>
        <v/>
      </c>
      <c r="BM28" s="202"/>
      <c r="BN28" s="201" t="e">
        <f ca="1">BO24+BO25</f>
        <v>#VALUE!</v>
      </c>
      <c r="BO28" s="202"/>
      <c r="BQ28" s="203" t="e">
        <f ca="1">IF(BR25&lt;&gt;"",
IFERROR(INT(BR25/BR27),""),"")</f>
        <v>#VALUE!</v>
      </c>
      <c r="BR28" s="202"/>
      <c r="BS28" s="203" t="str">
        <f ca="1">IFERROR(MOD(BR25,BR27),"")</f>
        <v/>
      </c>
      <c r="BT28" s="202"/>
      <c r="BU28" s="201" t="e">
        <f ca="1">BV24+BV25</f>
        <v>#VALUE!</v>
      </c>
      <c r="BV28" s="202"/>
      <c r="BY28" s="203" t="e">
        <f ca="1">IF(BZ25&lt;&gt;"",
IFERROR(INT(BZ25/BZ27),""),"")</f>
        <v>#VALUE!</v>
      </c>
      <c r="BZ28" s="202"/>
      <c r="CA28" s="203" t="str">
        <f ca="1">IFERROR(MOD(BZ25,BZ27),"")</f>
        <v/>
      </c>
      <c r="CB28" s="202"/>
      <c r="CC28" s="201" t="e">
        <f ca="1">CD24+CD25</f>
        <v>#VALUE!</v>
      </c>
      <c r="CD28" s="202"/>
      <c r="CF28" s="203" t="e">
        <f ca="1">IF(CG25&lt;&gt;"",
IFERROR(INT(CG25/CG27),""),"")</f>
        <v>#VALUE!</v>
      </c>
      <c r="CG28" s="202"/>
      <c r="CH28" s="203" t="str">
        <f ca="1">IFERROR(MOD(CG25,CG27),"")</f>
        <v/>
      </c>
      <c r="CI28" s="202"/>
      <c r="CJ28" s="201" t="e">
        <f ca="1">CK24+CK25</f>
        <v>#VALUE!</v>
      </c>
      <c r="CK28" s="202"/>
      <c r="CN28" s="203" t="e">
        <f ca="1">IF(CO25&lt;&gt;"",
IFERROR(INT(CO25/CO27),""),"")</f>
        <v>#VALUE!</v>
      </c>
      <c r="CO28" s="202"/>
      <c r="CP28" s="203" t="str">
        <f ca="1">IFERROR(MOD(CO25,CO27),"")</f>
        <v/>
      </c>
      <c r="CQ28" s="202"/>
      <c r="CR28" s="201" t="e">
        <f ca="1">CS24+CS25</f>
        <v>#VALUE!</v>
      </c>
      <c r="CS28" s="202"/>
      <c r="CU28" s="203" t="e">
        <f ca="1">IF(CV25&lt;&gt;"",
IFERROR(INT(CV25/CV27),""),"")</f>
        <v>#VALUE!</v>
      </c>
      <c r="CV28" s="202"/>
      <c r="CW28" s="203" t="str">
        <f ca="1">IFERROR(MOD(CV25,CV27),"")</f>
        <v/>
      </c>
      <c r="CX28" s="202"/>
      <c r="CY28" s="201" t="e">
        <f ca="1">CZ24+CZ25</f>
        <v>#VALUE!</v>
      </c>
      <c r="CZ28" s="202"/>
      <c r="DC28" s="203" t="e">
        <f ca="1">IF(DD25&lt;&gt;"",
IFERROR(INT(DD25/DD27),""),"")</f>
        <v>#VALUE!</v>
      </c>
      <c r="DD28" s="202"/>
      <c r="DE28" s="203" t="str">
        <f ca="1">IFERROR(MOD(DD25,DD27),"")</f>
        <v/>
      </c>
      <c r="DF28" s="202"/>
      <c r="DG28" s="201" t="e">
        <f ca="1">DH24+DH25</f>
        <v>#VALUE!</v>
      </c>
      <c r="DH28" s="202"/>
      <c r="DJ28" s="203" t="e">
        <f ca="1">IF(DK25&lt;&gt;"",
IFERROR(INT(DK25/DK27),""),"")</f>
        <v>#VALUE!</v>
      </c>
      <c r="DK28" s="202"/>
      <c r="DL28" s="203" t="str">
        <f ca="1">IFERROR(MOD(DK25,DK27),"")</f>
        <v/>
      </c>
      <c r="DM28" s="202"/>
      <c r="DN28" s="201" t="e">
        <f ca="1">DO24+DO25</f>
        <v>#VALUE!</v>
      </c>
      <c r="DO28" s="202"/>
      <c r="DR28" s="203" t="e">
        <f ca="1">IF(DS25&lt;&gt;"",
IFERROR(INT(DS25/DS27),""),"")</f>
        <v>#VALUE!</v>
      </c>
      <c r="DS28" s="202"/>
      <c r="DT28" s="203" t="str">
        <f ca="1">IFERROR(MOD(DS25,DS27),"")</f>
        <v/>
      </c>
      <c r="DU28" s="202"/>
      <c r="DV28" s="201" t="e">
        <f ca="1">DW24+DW25</f>
        <v>#VALUE!</v>
      </c>
      <c r="DW28" s="202"/>
      <c r="DY28" s="203" t="e">
        <f ca="1">IF(DZ25&lt;&gt;"",
IFERROR(INT(DZ25/DZ27),""),"")</f>
        <v>#VALUE!</v>
      </c>
      <c r="DZ28" s="202"/>
      <c r="EA28" s="203" t="str">
        <f ca="1">IFERROR(MOD(DZ25,DZ27),"")</f>
        <v/>
      </c>
      <c r="EB28" s="202"/>
      <c r="EC28" s="201" t="e">
        <f ca="1">ED24+ED25</f>
        <v>#VALUE!</v>
      </c>
      <c r="ED28" s="202"/>
      <c r="EG28" s="203" t="e">
        <f ca="1">IF(EH25&lt;&gt;"",
IFERROR(INT(EH25/EH27),""),"")</f>
        <v>#VALUE!</v>
      </c>
      <c r="EH28" s="202"/>
      <c r="EI28" s="203" t="str">
        <f ca="1">IFERROR(MOD(EH25,EH27),"")</f>
        <v/>
      </c>
      <c r="EJ28" s="202"/>
      <c r="EK28" s="201" t="e">
        <f ca="1">EL24+EL25</f>
        <v>#VALUE!</v>
      </c>
      <c r="EL28" s="202"/>
      <c r="EN28" s="203" t="e">
        <f ca="1">IF(EO25&lt;&gt;"",
IFERROR(INT(EO25/EO27),""),"")</f>
        <v>#VALUE!</v>
      </c>
      <c r="EO28" s="202"/>
      <c r="EP28" s="203" t="str">
        <f ca="1">IFERROR(MOD(EO25,EO27),"")</f>
        <v/>
      </c>
      <c r="EQ28" s="202"/>
      <c r="ER28" s="201" t="e">
        <f ca="1">ES24+ES25</f>
        <v>#VALUE!</v>
      </c>
      <c r="ES28" s="202"/>
      <c r="ET28" s="78"/>
      <c r="EU28" s="103">
        <v>42</v>
      </c>
      <c r="EV28" s="103" t="str" cm="1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3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3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3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3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3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3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3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3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3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3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3">
        <f t="shared" ca="1" si="0"/>
        <v>0</v>
      </c>
      <c r="FH28" s="103" t="b">
        <f t="array" aca="1" ref="FH28" ca="1">SUMPRODUCT((LEN(EV28:FF28)&gt;0)*1)&gt;0</f>
        <v>0</v>
      </c>
      <c r="FI28" s="103" t="str">
        <f t="array" aca="1" ref="FI28" ca="1">IFERROR(SMALL(IF(FG$1:FG$169&lt;&gt;0,FG$1:FG$169),ROW(A28)),"")</f>
        <v/>
      </c>
      <c r="FJ28" s="103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3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3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3" t="str">
        <f t="array" aca="1" ref="FM28" ca="1">IF($FI28&lt;&gt;"",
IF(FL28="",
INDIRECT("EY"&amp;$FI28&amp;"")&amp;"箱"
&amp;INDIRECT("EZ"&amp;$FI28&amp;""),""),"")</f>
        <v/>
      </c>
      <c r="FN28" s="103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3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3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3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3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3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3" customFormat="1" ht="18" customHeight="1" x14ac:dyDescent="0.55000000000000004">
      <c r="A29" s="101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2" t="e">
        <f t="array" aca="1" ref="B29" ca="1">GetResult(A29)</f>
        <v>#VALUE!</v>
      </c>
      <c r="C29" s="198" t="str">
        <f ca="1">IF(C30&lt;&gt;"",
IF(LEFT(G29,2)="博多",
LEFT(G29,FIND("週",G29)-1),
G29),"")</f>
        <v/>
      </c>
      <c r="D29" s="199"/>
      <c r="E29" s="199"/>
      <c r="F29" s="199"/>
      <c r="G29" s="120" t="e">
        <f t="array" aca="1" ref="G29" ca="1">INDIRECT("数出表_Excel!A"&amp;B29)</f>
        <v>#VALUE!</v>
      </c>
      <c r="H29" s="101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2" t="e">
        <f t="array" aca="1" ref="I29" ca="1">GetResult(H29)</f>
        <v>#VALUE!</v>
      </c>
      <c r="J29" s="198" t="str">
        <f ca="1">IF(J30&lt;&gt;"",
IF(LEFT(N29,2)="博多",
LEFT(N29,FIND("週",N29)-1),
N29),"")</f>
        <v/>
      </c>
      <c r="K29" s="199"/>
      <c r="L29" s="199"/>
      <c r="M29" s="199"/>
      <c r="N29" s="116" t="e">
        <f t="array" aca="1" ref="N29" ca="1">INDIRECT("数出表_Excel!A"&amp;I29)</f>
        <v>#VALUE!</v>
      </c>
      <c r="O29" s="101"/>
      <c r="P29" s="101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2" t="e">
        <f t="array" aca="1" ref="Q29" ca="1">GetResult(P29)</f>
        <v>#VALUE!</v>
      </c>
      <c r="R29" s="198" t="str">
        <f ca="1">IF(R30&lt;&gt;"",
IF(LEFT(V29,2)="博多",
LEFT(V29,FIND("週",V29)-1),
V29),"")</f>
        <v/>
      </c>
      <c r="S29" s="199"/>
      <c r="T29" s="199"/>
      <c r="U29" s="199"/>
      <c r="V29" s="120" t="e">
        <f t="array" aca="1" ref="V29" ca="1">INDIRECT("数出表_Excel!A"&amp;Q29)</f>
        <v>#VALUE!</v>
      </c>
      <c r="W29" s="101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2" t="e">
        <f t="array" aca="1" ref="X29" ca="1">GetResult(W29)</f>
        <v>#VALUE!</v>
      </c>
      <c r="Y29" s="198" t="str">
        <f ca="1">IF(Y30&lt;&gt;"",
IF(LEFT(AC29,2)="博多",
LEFT(AC29,FIND("週",AC29)-1),
AC29),"")</f>
        <v/>
      </c>
      <c r="Z29" s="199"/>
      <c r="AA29" s="199"/>
      <c r="AB29" s="199"/>
      <c r="AC29" s="116" t="e">
        <f t="array" aca="1" ref="AC29" ca="1">INDIRECT("数出表_Excel!A"&amp;X29)</f>
        <v>#VALUE!</v>
      </c>
      <c r="AD29" s="101"/>
      <c r="AE29" s="101" t="e" cm="1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2" t="e">
        <f t="array" aca="1" ref="AF29" ca="1">GetResult(AE29)</f>
        <v>#VALUE!</v>
      </c>
      <c r="AG29" s="198" t="str">
        <f ca="1">IF(AG30&lt;&gt;"",
IF(LEFT(AK29,2)="博多",
LEFT(AK29,FIND("週",AK29)-1),
AK29),"")</f>
        <v/>
      </c>
      <c r="AH29" s="199"/>
      <c r="AI29" s="199"/>
      <c r="AJ29" s="199"/>
      <c r="AK29" s="120" t="e">
        <f t="array" aca="1" ref="AK29" ca="1">INDIRECT("数出表_Excel!A"&amp;AF29)</f>
        <v>#VALUE!</v>
      </c>
      <c r="AL29" s="101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2" t="e">
        <f t="array" aca="1" ref="AM29" ca="1">GetResult(AL29)</f>
        <v>#VALUE!</v>
      </c>
      <c r="AN29" s="198" t="str">
        <f ca="1">IF(AN30&lt;&gt;"",
IF(LEFT(AR29,2)="博多",
LEFT(AR29,FIND("週",AR29)-1),
AR29),"")</f>
        <v/>
      </c>
      <c r="AO29" s="199"/>
      <c r="AP29" s="199"/>
      <c r="AQ29" s="199"/>
      <c r="AR29" s="116" t="e">
        <f t="array" aca="1" ref="AR29" ca="1">INDIRECT("数出表_Excel!A"&amp;AM29)</f>
        <v>#VALUE!</v>
      </c>
      <c r="AS29" s="101"/>
      <c r="AT29" s="101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2" t="e">
        <f t="array" aca="1" ref="AU29" ca="1">GetResult(AT29)</f>
        <v>#VALUE!</v>
      </c>
      <c r="AV29" s="198" t="str">
        <f ca="1">IF(AV30&lt;&gt;"",
IF(LEFT(AZ29,2)="博多",
LEFT(AZ29,FIND("週",AZ29)-1),
AZ29),"")</f>
        <v/>
      </c>
      <c r="AW29" s="199"/>
      <c r="AX29" s="199"/>
      <c r="AY29" s="199"/>
      <c r="AZ29" s="120" t="e">
        <f t="array" aca="1" ref="AZ29" ca="1">INDIRECT("数出表_Excel!A"&amp;AU29)</f>
        <v>#VALUE!</v>
      </c>
      <c r="BA29" s="101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2" t="e">
        <f t="array" aca="1" ref="BB29" ca="1">GetResult(BA29)</f>
        <v>#VALUE!</v>
      </c>
      <c r="BC29" s="198" t="str">
        <f ca="1">IF(BC30&lt;&gt;"",
IF(LEFT(BG29,2)="博多",
LEFT(BG29,FIND("週",BG29)-1),
BG29),"")</f>
        <v/>
      </c>
      <c r="BD29" s="199"/>
      <c r="BE29" s="199"/>
      <c r="BF29" s="199"/>
      <c r="BG29" s="116" t="e">
        <f t="array" aca="1" ref="BG29" ca="1">INDIRECT("数出表_Excel!A"&amp;BB29)</f>
        <v>#VALUE!</v>
      </c>
      <c r="BH29" s="101"/>
      <c r="BI29" s="101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2" t="e">
        <f t="array" aca="1" ref="BJ29" ca="1">GetResult(BI29)</f>
        <v>#VALUE!</v>
      </c>
      <c r="BK29" s="198" t="str">
        <f ca="1">IF(BK30&lt;&gt;"",
IF(LEFT(BO29,2)="博多",
LEFT(BO29,FIND("週",BO29)-1),
BO29),"")</f>
        <v/>
      </c>
      <c r="BL29" s="199"/>
      <c r="BM29" s="199"/>
      <c r="BN29" s="199"/>
      <c r="BO29" s="120" t="e">
        <f t="array" aca="1" ref="BO29" ca="1">INDIRECT("数出表_Excel!A"&amp;BJ29)</f>
        <v>#VALUE!</v>
      </c>
      <c r="BP29" s="101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2" t="e">
        <f t="array" aca="1" ref="BQ29" ca="1">GetResult(BP29)</f>
        <v>#VALUE!</v>
      </c>
      <c r="BR29" s="198" t="str">
        <f ca="1">IF(BR30&lt;&gt;"",
IF(LEFT(BV29,2)="博多",
LEFT(BV29,FIND("週",BV29)-1),
BV29),"")</f>
        <v/>
      </c>
      <c r="BS29" s="199"/>
      <c r="BT29" s="199"/>
      <c r="BU29" s="199"/>
      <c r="BV29" s="116" t="e">
        <f t="array" aca="1" ref="BV29" ca="1">INDIRECT("数出表_Excel!A"&amp;BQ29)</f>
        <v>#VALUE!</v>
      </c>
      <c r="BW29" s="101"/>
      <c r="BX29" s="101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2" t="e">
        <f t="array" aca="1" ref="BY29" ca="1">GetResult(BX29)</f>
        <v>#VALUE!</v>
      </c>
      <c r="BZ29" s="198" t="str">
        <f ca="1">IF(BZ30&lt;&gt;"",
IF(LEFT(CD29,2)="博多",
LEFT(CD29,FIND("週",CD29)-1),
CD29),"")</f>
        <v/>
      </c>
      <c r="CA29" s="199"/>
      <c r="CB29" s="199"/>
      <c r="CC29" s="199"/>
      <c r="CD29" s="120" t="e">
        <f t="array" aca="1" ref="CD29" ca="1">INDIRECT("数出表_Excel!A"&amp;BY29)</f>
        <v>#VALUE!</v>
      </c>
      <c r="CE29" s="101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2" t="e">
        <f t="array" aca="1" ref="CF29" ca="1">GetResult(CE29)</f>
        <v>#VALUE!</v>
      </c>
      <c r="CG29" s="198" t="str">
        <f ca="1">IF(CG30&lt;&gt;"",
IF(LEFT(CK29,2)="博多",
LEFT(CK29,FIND("週",CK29)-1),
CK29),"")</f>
        <v/>
      </c>
      <c r="CH29" s="199"/>
      <c r="CI29" s="199"/>
      <c r="CJ29" s="199"/>
      <c r="CK29" s="116" t="e">
        <f t="array" aca="1" ref="CK29" ca="1">INDIRECT("数出表_Excel!A"&amp;CF29)</f>
        <v>#VALUE!</v>
      </c>
      <c r="CL29" s="101"/>
      <c r="CM29" s="101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2" t="e">
        <f t="array" aca="1" ref="CN29" ca="1">GetResult(CM29)</f>
        <v>#VALUE!</v>
      </c>
      <c r="CO29" s="198" t="str">
        <f ca="1">IF(CO30&lt;&gt;"",
IF(LEFT(CS29,2)="博多",
LEFT(CS29,FIND("週",CS29)-1),
CS29),"")</f>
        <v/>
      </c>
      <c r="CP29" s="199"/>
      <c r="CQ29" s="199"/>
      <c r="CR29" s="199"/>
      <c r="CS29" s="120" t="e">
        <f t="array" aca="1" ref="CS29" ca="1">INDIRECT("数出表_Excel!A"&amp;CN29)</f>
        <v>#VALUE!</v>
      </c>
      <c r="CT29" s="101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2" t="e">
        <f t="array" aca="1" ref="CU29" ca="1">GetResult(CT29)</f>
        <v>#VALUE!</v>
      </c>
      <c r="CV29" s="198" t="str">
        <f ca="1">IF(CV30&lt;&gt;"",
IF(LEFT(CZ29,2)="博多",
LEFT(CZ29,FIND("週",CZ29)-1),
CZ29),"")</f>
        <v/>
      </c>
      <c r="CW29" s="199"/>
      <c r="CX29" s="199"/>
      <c r="CY29" s="199"/>
      <c r="CZ29" s="116" t="e">
        <f t="array" aca="1" ref="CZ29" ca="1">INDIRECT("数出表_Excel!A"&amp;CU29)</f>
        <v>#VALUE!</v>
      </c>
      <c r="DA29" s="101"/>
      <c r="DB29" s="101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2" t="e">
        <f t="array" aca="1" ref="DC29" ca="1">GetResult(DB29)</f>
        <v>#VALUE!</v>
      </c>
      <c r="DD29" s="198" t="str">
        <f ca="1">IF(DD30&lt;&gt;"",
IF(LEFT(DH29,2)="博多",
LEFT(DH29,FIND("週",DH29)-1),
DH29),"")</f>
        <v/>
      </c>
      <c r="DE29" s="199"/>
      <c r="DF29" s="199"/>
      <c r="DG29" s="199"/>
      <c r="DH29" s="120" t="e">
        <f t="array" aca="1" ref="DH29" ca="1">INDIRECT("数出表_Excel!A"&amp;DC29)</f>
        <v>#VALUE!</v>
      </c>
      <c r="DI29" s="101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2" t="e">
        <f t="array" aca="1" ref="DJ29" ca="1">GetResult(DI29)</f>
        <v>#VALUE!</v>
      </c>
      <c r="DK29" s="198" t="str">
        <f ca="1">IF(DK30&lt;&gt;"",
IF(LEFT(DO29,2)="博多",
LEFT(DO29,FIND("週",DO29)-1),
DO29),"")</f>
        <v/>
      </c>
      <c r="DL29" s="199"/>
      <c r="DM29" s="199"/>
      <c r="DN29" s="199"/>
      <c r="DO29" s="116" t="e">
        <f t="array" aca="1" ref="DO29" ca="1">INDIRECT("数出表_Excel!A"&amp;DJ29)</f>
        <v>#VALUE!</v>
      </c>
      <c r="DP29" s="101"/>
      <c r="DQ29" s="101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2" t="e">
        <f t="array" aca="1" ref="DR29" ca="1">GetResult(DQ29)</f>
        <v>#VALUE!</v>
      </c>
      <c r="DS29" s="198" t="str">
        <f ca="1">IF(DS30&lt;&gt;"",
IF(LEFT(DW29,2)="博多",
LEFT(DW29,FIND("週",DW29)-1),
DW29),"")</f>
        <v/>
      </c>
      <c r="DT29" s="199"/>
      <c r="DU29" s="199"/>
      <c r="DV29" s="199"/>
      <c r="DW29" s="120" t="e">
        <f t="array" aca="1" ref="DW29" ca="1">INDIRECT("数出表_Excel!A"&amp;DR29)</f>
        <v>#VALUE!</v>
      </c>
      <c r="DX29" s="101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2" t="e">
        <f t="array" aca="1" ref="DY29" ca="1">GetResult(DX29)</f>
        <v>#VALUE!</v>
      </c>
      <c r="DZ29" s="198" t="str">
        <f ca="1">IF(DZ30&lt;&gt;"",
IF(LEFT(ED29,2)="博多",
LEFT(ED29,FIND("週",ED29)-1),
ED29),"")</f>
        <v/>
      </c>
      <c r="EA29" s="199"/>
      <c r="EB29" s="199"/>
      <c r="EC29" s="199"/>
      <c r="ED29" s="116" t="e">
        <f t="array" aca="1" ref="ED29" ca="1">INDIRECT("数出表_Excel!A"&amp;DY29)</f>
        <v>#VALUE!</v>
      </c>
      <c r="EE29" s="101"/>
      <c r="EF29" s="101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102" t="e">
        <f t="array" aca="1" ref="EG29" ca="1">GetResult(EF29)</f>
        <v>#VALUE!</v>
      </c>
      <c r="EH29" s="198" t="str">
        <f ca="1">IF(EH30&lt;&gt;"",
IF(LEFT(EL29,2)="博多",
LEFT(EL29,FIND("週",EL29)-1),
EL29),"")</f>
        <v/>
      </c>
      <c r="EI29" s="199"/>
      <c r="EJ29" s="199"/>
      <c r="EK29" s="199"/>
      <c r="EL29" s="120" t="e">
        <f t="array" aca="1" ref="EL29" ca="1">INDIRECT("数出表_Excel!A"&amp;EG29)</f>
        <v>#VALUE!</v>
      </c>
      <c r="EM29" s="101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102" t="e">
        <f t="array" aca="1" ref="EN29" ca="1">GetResult(EM29)</f>
        <v>#VALUE!</v>
      </c>
      <c r="EO29" s="198" t="str">
        <f ca="1">IF(EO30&lt;&gt;"",
IF(LEFT(ES29,2)="博多",
LEFT(ES29,FIND("週",ES29)-1),
ES29),"")</f>
        <v/>
      </c>
      <c r="EP29" s="199"/>
      <c r="EQ29" s="199"/>
      <c r="ER29" s="199"/>
      <c r="ES29" s="116" t="e">
        <f t="array" aca="1" ref="ES29" ca="1">INDIRECT("数出表_Excel!A"&amp;EN29)</f>
        <v>#VALUE!</v>
      </c>
      <c r="ET29" s="132"/>
      <c r="EU29" s="112">
        <v>7</v>
      </c>
      <c r="EV29" s="103" t="str" cm="1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3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3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3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3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3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3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3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3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3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3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3">
        <f t="shared" ca="1" si="0"/>
        <v>0</v>
      </c>
      <c r="FH29" s="103" t="e">
        <f t="array" aca="1" ref="FH29" ca="1">SUMPRODUCT((LEN(EV29:FF29)&gt;0)*1)&gt;0</f>
        <v>#VALUE!</v>
      </c>
      <c r="FI29" s="103" t="str">
        <f t="array" aca="1" ref="FI29" ca="1">IFERROR(SMALL(IF(FG$1:FG$169&lt;&gt;0,FG$1:FG$169),ROW(A29)),"")</f>
        <v/>
      </c>
      <c r="FJ29" s="103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3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3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3" t="str">
        <f t="array" aca="1" ref="FM29" ca="1">IF($FI29&lt;&gt;"",
IF(FL29="",
INDIRECT("EY"&amp;$FI29&amp;"")&amp;"箱"
&amp;INDIRECT("EZ"&amp;$FI29&amp;""),""),"")</f>
        <v/>
      </c>
      <c r="FN29" s="103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3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3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3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3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3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3" customFormat="1" ht="18" customHeight="1" x14ac:dyDescent="0.55000000000000004">
      <c r="A30" s="101"/>
      <c r="B30" s="106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5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1"/>
      <c r="E30" s="107" t="str" cm="1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108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1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1"/>
      <c r="I30" s="106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5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1"/>
      <c r="L30" s="107" t="str" cm="1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108" t="str" cm="1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7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1"/>
      <c r="P30" s="101"/>
      <c r="Q30" s="106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5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1"/>
      <c r="T30" s="107" t="str" cm="1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108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1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1"/>
      <c r="X30" s="106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5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1"/>
      <c r="AA30" s="107" t="str" cm="1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108" t="str" cm="1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7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1"/>
      <c r="AE30" s="101"/>
      <c r="AF30" s="106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5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1"/>
      <c r="AI30" s="107" t="str" cm="1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108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1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1"/>
      <c r="AM30" s="106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5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1"/>
      <c r="AP30" s="107" t="str" cm="1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108" t="str" cm="1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7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1"/>
      <c r="AT30" s="101"/>
      <c r="AU30" s="106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5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1"/>
      <c r="AX30" s="107" t="str" cm="1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108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1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1"/>
      <c r="BB30" s="106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5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1"/>
      <c r="BE30" s="107" t="str" cm="1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108" t="str" cm="1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7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1"/>
      <c r="BI30" s="101"/>
      <c r="BJ30" s="106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5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1"/>
      <c r="BM30" s="107" t="str" cm="1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108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1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1"/>
      <c r="BQ30" s="106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5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1"/>
      <c r="BT30" s="107" t="str" cm="1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108" t="str" cm="1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7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1"/>
      <c r="BX30" s="101"/>
      <c r="BY30" s="106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5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1"/>
      <c r="CB30" s="107" t="str" cm="1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108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1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1"/>
      <c r="CF30" s="106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5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1"/>
      <c r="CI30" s="107" t="str" cm="1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108" t="str" cm="1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7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1"/>
      <c r="CM30" s="101"/>
      <c r="CN30" s="106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5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1"/>
      <c r="CQ30" s="107" t="str" cm="1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108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1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1"/>
      <c r="CU30" s="106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5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1"/>
      <c r="CX30" s="107" t="str" cm="1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108" t="str" cm="1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7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1"/>
      <c r="DB30" s="101"/>
      <c r="DC30" s="106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5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1"/>
      <c r="DF30" s="107" t="str" cm="1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108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1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1"/>
      <c r="DJ30" s="106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5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1"/>
      <c r="DM30" s="107" t="str" cm="1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108" t="str" cm="1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7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1"/>
      <c r="DQ30" s="101"/>
      <c r="DR30" s="106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5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1"/>
      <c r="DU30" s="107" t="str" cm="1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108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1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1"/>
      <c r="DY30" s="106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5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1"/>
      <c r="EB30" s="107" t="str" cm="1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108" t="str" cm="1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7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1"/>
      <c r="EF30" s="101"/>
      <c r="EG30" s="106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5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101"/>
      <c r="EJ30" s="107" t="str" cm="1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108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21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101"/>
      <c r="EN30" s="106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5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101"/>
      <c r="EQ30" s="107" t="str" cm="1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108" t="str" cm="1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117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3"/>
      <c r="EU30" s="103">
        <f>EU26+7</f>
        <v>49</v>
      </c>
      <c r="EV30" s="103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3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3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3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3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3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3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3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3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3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3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3">
        <f t="shared" ca="1" si="0"/>
        <v>0</v>
      </c>
      <c r="FH30" s="103" t="b">
        <f t="array" aca="1" ref="FH30" ca="1">SUMPRODUCT((LEN(EV30:FF30)&gt;0)*1)&gt;0</f>
        <v>0</v>
      </c>
      <c r="FI30" s="103" t="str" cm="1">
        <f t="array" aca="1" ref="FI30" ca="1">IFERROR(SMALL(IF(FG$1:FG$169&lt;&gt;0,FG$1:FG$169),ROW(A30)),"")</f>
        <v/>
      </c>
      <c r="FJ30" s="103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3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3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3" t="str">
        <f t="array" aca="1" ref="FM30" ca="1">IF($FI30&lt;&gt;"",
IF(FL30="",
INDIRECT("EY"&amp;$FI30&amp;"")&amp;"箱"
&amp;INDIRECT("EZ"&amp;$FI30&amp;""),""),"")</f>
        <v/>
      </c>
      <c r="FN30" s="103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3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3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3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3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3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3" customFormat="1" ht="22.2" customHeight="1" x14ac:dyDescent="0.55000000000000004">
      <c r="A31" s="101"/>
      <c r="B31" s="109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196" t="str">
        <f ca="1">IF(C30&lt;&gt;"",
"園児","")</f>
        <v/>
      </c>
      <c r="D31" s="197"/>
      <c r="E31" s="200" t="str">
        <f ca="1">IF(C30&lt;&gt;"",
"先生","")</f>
        <v/>
      </c>
      <c r="F31" s="197"/>
      <c r="G31" s="122" cm="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101"/>
      <c r="I31" s="109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96" t="str">
        <f ca="1">IF(J30&lt;&gt;"",
"園児","")</f>
        <v/>
      </c>
      <c r="K31" s="197"/>
      <c r="L31" s="200" t="str">
        <f ca="1">IF(J30&lt;&gt;"",
"先生","")</f>
        <v/>
      </c>
      <c r="M31" s="197"/>
      <c r="N31" s="122" cm="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101"/>
      <c r="P31" s="101"/>
      <c r="Q31" s="109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196" t="str">
        <f ca="1">IF(R30&lt;&gt;"",
"園児","")</f>
        <v/>
      </c>
      <c r="S31" s="197"/>
      <c r="T31" s="200" t="str">
        <f ca="1">IF(R30&lt;&gt;"",
"先生","")</f>
        <v/>
      </c>
      <c r="U31" s="197"/>
      <c r="V31" s="122" cm="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101"/>
      <c r="X31" s="109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96" t="str">
        <f ca="1">IF(Y30&lt;&gt;"",
"園児","")</f>
        <v/>
      </c>
      <c r="Z31" s="197"/>
      <c r="AA31" s="200" t="str">
        <f ca="1">IF(Y30&lt;&gt;"",
"先生","")</f>
        <v/>
      </c>
      <c r="AB31" s="197"/>
      <c r="AC31" s="122" cm="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101"/>
      <c r="AE31" s="101"/>
      <c r="AF31" s="109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196" t="str">
        <f ca="1">IF(AG30&lt;&gt;"",
"園児","")</f>
        <v/>
      </c>
      <c r="AH31" s="197"/>
      <c r="AI31" s="200" t="str">
        <f ca="1">IF(AG30&lt;&gt;"",
"先生","")</f>
        <v/>
      </c>
      <c r="AJ31" s="197"/>
      <c r="AK31" s="122" cm="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101"/>
      <c r="AM31" s="109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96" t="str">
        <f ca="1">IF(AN30&lt;&gt;"",
"園児","")</f>
        <v/>
      </c>
      <c r="AO31" s="197"/>
      <c r="AP31" s="200" t="str">
        <f ca="1">IF(AN30&lt;&gt;"",
"先生","")</f>
        <v/>
      </c>
      <c r="AQ31" s="197"/>
      <c r="AR31" s="122" cm="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101"/>
      <c r="AT31" s="101"/>
      <c r="AU31" s="109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196" t="str">
        <f ca="1">IF(AV30&lt;&gt;"",
"園児","")</f>
        <v/>
      </c>
      <c r="AW31" s="197"/>
      <c r="AX31" s="200" t="str">
        <f ca="1">IF(AV30&lt;&gt;"",
"先生","")</f>
        <v/>
      </c>
      <c r="AY31" s="197"/>
      <c r="AZ31" s="122" cm="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101"/>
      <c r="BB31" s="109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96" t="str">
        <f ca="1">IF(BC30&lt;&gt;"",
"園児","")</f>
        <v/>
      </c>
      <c r="BD31" s="197"/>
      <c r="BE31" s="200" t="str">
        <f ca="1">IF(BC30&lt;&gt;"",
"先生","")</f>
        <v/>
      </c>
      <c r="BF31" s="197"/>
      <c r="BG31" s="122" cm="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101"/>
      <c r="BI31" s="101"/>
      <c r="BJ31" s="109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196" t="str">
        <f ca="1">IF(BK30&lt;&gt;"",
"園児","")</f>
        <v/>
      </c>
      <c r="BL31" s="197"/>
      <c r="BM31" s="200" t="str">
        <f ca="1">IF(BK30&lt;&gt;"",
"先生","")</f>
        <v/>
      </c>
      <c r="BN31" s="197"/>
      <c r="BO31" s="122" cm="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101"/>
      <c r="BQ31" s="109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96" t="str">
        <f ca="1">IF(BR30&lt;&gt;"",
"園児","")</f>
        <v/>
      </c>
      <c r="BS31" s="197"/>
      <c r="BT31" s="200" t="str">
        <f ca="1">IF(BR30&lt;&gt;"",
"先生","")</f>
        <v/>
      </c>
      <c r="BU31" s="197"/>
      <c r="BV31" s="122" cm="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101"/>
      <c r="BX31" s="101"/>
      <c r="BY31" s="109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196" t="str">
        <f ca="1">IF(BZ30&lt;&gt;"",
"園児","")</f>
        <v/>
      </c>
      <c r="CA31" s="197"/>
      <c r="CB31" s="200" t="str">
        <f ca="1">IF(BZ30&lt;&gt;"",
"先生","")</f>
        <v/>
      </c>
      <c r="CC31" s="197"/>
      <c r="CD31" s="122" cm="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101"/>
      <c r="CF31" s="109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196" t="str">
        <f ca="1">IF(CG30&lt;&gt;"",
"園児","")</f>
        <v/>
      </c>
      <c r="CH31" s="197"/>
      <c r="CI31" s="200" t="str">
        <f ca="1">IF(CG30&lt;&gt;"",
"先生","")</f>
        <v/>
      </c>
      <c r="CJ31" s="197"/>
      <c r="CK31" s="122" cm="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101"/>
      <c r="CM31" s="101"/>
      <c r="CN31" s="109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196" t="str">
        <f ca="1">IF(CO30&lt;&gt;"",
"園児","")</f>
        <v/>
      </c>
      <c r="CP31" s="197"/>
      <c r="CQ31" s="200" t="str">
        <f ca="1">IF(CO30&lt;&gt;"",
"先生","")</f>
        <v/>
      </c>
      <c r="CR31" s="197"/>
      <c r="CS31" s="122" cm="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101"/>
      <c r="CU31" s="109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196" t="str">
        <f ca="1">IF(CV30&lt;&gt;"",
"園児","")</f>
        <v/>
      </c>
      <c r="CW31" s="197"/>
      <c r="CX31" s="200" t="str">
        <f ca="1">IF(CV30&lt;&gt;"",
"先生","")</f>
        <v/>
      </c>
      <c r="CY31" s="197"/>
      <c r="CZ31" s="122" cm="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101"/>
      <c r="DB31" s="101"/>
      <c r="DC31" s="109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196" t="str">
        <f ca="1">IF(DD30&lt;&gt;"",
"園児","")</f>
        <v/>
      </c>
      <c r="DE31" s="197"/>
      <c r="DF31" s="200" t="str">
        <f ca="1">IF(DD30&lt;&gt;"",
"先生","")</f>
        <v/>
      </c>
      <c r="DG31" s="197"/>
      <c r="DH31" s="122" cm="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101"/>
      <c r="DJ31" s="109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196" t="str">
        <f ca="1">IF(DK30&lt;&gt;"",
"園児","")</f>
        <v/>
      </c>
      <c r="DL31" s="197"/>
      <c r="DM31" s="200" t="str">
        <f ca="1">IF(DK30&lt;&gt;"",
"先生","")</f>
        <v/>
      </c>
      <c r="DN31" s="197"/>
      <c r="DO31" s="122" cm="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101"/>
      <c r="DQ31" s="101"/>
      <c r="DR31" s="109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196" t="str">
        <f ca="1">IF(DS30&lt;&gt;"",
"園児","")</f>
        <v/>
      </c>
      <c r="DT31" s="197"/>
      <c r="DU31" s="200" t="str">
        <f ca="1">IF(DS30&lt;&gt;"",
"先生","")</f>
        <v/>
      </c>
      <c r="DV31" s="197"/>
      <c r="DW31" s="122" cm="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101"/>
      <c r="DY31" s="109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196" t="str">
        <f ca="1">IF(DZ30&lt;&gt;"",
"園児","")</f>
        <v/>
      </c>
      <c r="EA31" s="197"/>
      <c r="EB31" s="200" t="str">
        <f ca="1">IF(DZ30&lt;&gt;"",
"先生","")</f>
        <v/>
      </c>
      <c r="EC31" s="197"/>
      <c r="ED31" s="122" cm="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101"/>
      <c r="EF31" s="101"/>
      <c r="EG31" s="109" t="e">
        <f t="array" aca="1" ref="EG31" ca="1">IF(AND(LEFT(EL29,2)="博多",
LEFT(INDIRECT("数出表_Excel!A"&amp;MATCH(EL29,数出表_Excel!$A:$A,0)-1),2)
=LEFT(INDIRECT("数出表_Excel!A"&amp;MATCH(EL29,数出表_Excel!$A:$A,0)+1),2)),100,"")</f>
        <v>#VALUE!</v>
      </c>
      <c r="EH31" s="196" t="str">
        <f ca="1">IF(EH30&lt;&gt;"",
"園児","")</f>
        <v/>
      </c>
      <c r="EI31" s="197"/>
      <c r="EJ31" s="200" t="str">
        <f ca="1">IF(EH30&lt;&gt;"",
"先生","")</f>
        <v/>
      </c>
      <c r="EK31" s="197"/>
      <c r="EL31" s="122" cm="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101"/>
      <c r="EN31" s="109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196" t="str">
        <f ca="1">IF(EO30&lt;&gt;"",
"園児","")</f>
        <v/>
      </c>
      <c r="EP31" s="197"/>
      <c r="EQ31" s="200" t="str">
        <f ca="1">IF(EO30&lt;&gt;"",
"先生","")</f>
        <v/>
      </c>
      <c r="ER31" s="197"/>
      <c r="ES31" s="122" cm="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32"/>
      <c r="EU31" s="103">
        <v>7</v>
      </c>
      <c r="EV31" s="103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3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3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3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3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3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3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3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3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3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3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3">
        <f t="shared" ca="1" si="0"/>
        <v>0</v>
      </c>
      <c r="FH31" s="103" t="e">
        <f t="array" aca="1" ref="FH31" ca="1">SUMPRODUCT((LEN(EV31:FF31)&gt;0)*1)&gt;0</f>
        <v>#VALUE!</v>
      </c>
      <c r="FI31" s="103" t="str">
        <f t="array" aca="1" ref="FI31" ca="1">IFERROR(SMALL(IF(FG$1:FG$169&lt;&gt;0,FG$1:FG$169),ROW(A31)),"")</f>
        <v/>
      </c>
      <c r="FJ31" s="103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3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3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3" t="str">
        <f t="array" aca="1" ref="FM31" ca="1">IF($FI31&lt;&gt;"",
IF(FL31="",
INDIRECT("EY"&amp;$FI31&amp;"")&amp;"箱"
&amp;INDIRECT("EZ"&amp;$FI31&amp;""),""),"")</f>
        <v/>
      </c>
      <c r="FN31" s="103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3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3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3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3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3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0.45">
      <c r="B32" s="111"/>
      <c r="C32" s="192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193"/>
      <c r="E32" s="195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193"/>
      <c r="G32" s="122" t="e" cm="1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"")),0),""),0)</f>
        <v>#VALUE!</v>
      </c>
      <c r="I32" s="111"/>
      <c r="J32" s="192" t="e">
        <f t="array" aca="1" ref="J32" ca="1">IF(AND(U22="社食",N29="社食"),"",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193"/>
      <c r="L32" s="195" t="e" cm="1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193"/>
      <c r="N32" s="122" t="e" cm="1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"")),0),""),0)</f>
        <v>#VALUE!</v>
      </c>
      <c r="Q32" s="111"/>
      <c r="R32" s="192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193"/>
      <c r="T32" s="195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193"/>
      <c r="V32" s="122" t="e" cm="1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"")),0),""),0)</f>
        <v>#VALUE!</v>
      </c>
      <c r="X32" s="111"/>
      <c r="Y32" s="192" t="e">
        <f t="array" aca="1" ref="Y32" ca="1">IF(AND(AJ22="社食",AC29="社食"),"",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193"/>
      <c r="AA32" s="195" t="e" cm="1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193"/>
      <c r="AC32" s="122" t="e" cm="1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"")),0),""),0)</f>
        <v>#VALUE!</v>
      </c>
      <c r="AF32" s="111"/>
      <c r="AG32" s="192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193"/>
      <c r="AI32" s="195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193"/>
      <c r="AK32" s="122" t="e" cm="1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"")),0),""),0)</f>
        <v>#VALUE!</v>
      </c>
      <c r="AM32" s="111"/>
      <c r="AN32" s="192" t="e">
        <f t="array" aca="1" ref="AN32" ca="1">IF(AND(AY22="社食",AR29="社食"),"",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193"/>
      <c r="AP32" s="195" t="e" cm="1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193"/>
      <c r="AR32" s="122" t="e" cm="1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"")),0),""),0)</f>
        <v>#VALUE!</v>
      </c>
      <c r="AU32" s="111"/>
      <c r="AV32" s="192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193"/>
      <c r="AX32" s="195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193"/>
      <c r="AZ32" s="122" t="e" cm="1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"")),0),""),0)</f>
        <v>#VALUE!</v>
      </c>
      <c r="BB32" s="111"/>
      <c r="BC32" s="192" t="e">
        <f t="array" aca="1" ref="BC32" ca="1">IF(AND(BN22="社食",BG29="社食"),"",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193"/>
      <c r="BE32" s="195" t="e" cm="1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193"/>
      <c r="BG32" s="122" t="e" cm="1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"")),0),""),0)</f>
        <v>#VALUE!</v>
      </c>
      <c r="BJ32" s="111"/>
      <c r="BK32" s="192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193"/>
      <c r="BM32" s="195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193"/>
      <c r="BO32" s="122" t="e" cm="1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"")),0),""),0)</f>
        <v>#VALUE!</v>
      </c>
      <c r="BQ32" s="111"/>
      <c r="BR32" s="192" t="e">
        <f t="array" aca="1" ref="BR32" ca="1">IF(AND(CC22="社食",BV29="社食"),"",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193"/>
      <c r="BT32" s="195" t="e" cm="1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193"/>
      <c r="BV32" s="122" t="e" cm="1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"")),0),""),0)</f>
        <v>#VALUE!</v>
      </c>
      <c r="BY32" s="111"/>
      <c r="BZ32" s="192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193"/>
      <c r="CB32" s="195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193"/>
      <c r="CD32" s="122" t="e" cm="1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"")),0),""),0)</f>
        <v>#VALUE!</v>
      </c>
      <c r="CF32" s="111"/>
      <c r="CG32" s="192" t="e">
        <f t="array" aca="1" ref="CG32" ca="1">IF(AND(CR22="社食",CK29="社食"),"",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193"/>
      <c r="CI32" s="195" t="e" cm="1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193"/>
      <c r="CK32" s="122" t="e" cm="1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"")),0),""),0)</f>
        <v>#VALUE!</v>
      </c>
      <c r="CN32" s="111"/>
      <c r="CO32" s="192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193"/>
      <c r="CQ32" s="195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193"/>
      <c r="CS32" s="122" t="e" cm="1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"")),0),""),0)</f>
        <v>#VALUE!</v>
      </c>
      <c r="CU32" s="111"/>
      <c r="CV32" s="192" t="e">
        <f t="array" aca="1" ref="CV32" ca="1">IF(AND(DG22="社食",CZ29="社食"),"",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193"/>
      <c r="CX32" s="195" t="e" cm="1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193"/>
      <c r="CZ32" s="122" t="e" cm="1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"")),0),""),0)</f>
        <v>#VALUE!</v>
      </c>
      <c r="DC32" s="111"/>
      <c r="DD32" s="192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193"/>
      <c r="DF32" s="195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193"/>
      <c r="DH32" s="122" t="e" cm="1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"")),0),""),0)</f>
        <v>#VALUE!</v>
      </c>
      <c r="DJ32" s="111"/>
      <c r="DK32" s="192" t="e">
        <f t="array" aca="1" ref="DK32" ca="1">IF(AND(DV22="社食",DO29="社食"),"",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193"/>
      <c r="DM32" s="195" t="e" cm="1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193"/>
      <c r="DO32" s="122" t="e" cm="1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"")),0),""),0)</f>
        <v>#VALUE!</v>
      </c>
      <c r="DR32" s="111"/>
      <c r="DS32" s="192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193"/>
      <c r="DU32" s="195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193"/>
      <c r="DW32" s="122" t="e" cm="1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"")),0),""),0)</f>
        <v>#VALUE!</v>
      </c>
      <c r="DY32" s="111"/>
      <c r="DZ32" s="192" t="e">
        <f t="array" aca="1" ref="DZ32" ca="1">IF(AND(EK22="社食",ED29="社食"),"",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193"/>
      <c r="EB32" s="195" t="e" cm="1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193"/>
      <c r="ED32" s="122" t="e" cm="1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"")),0),""),0)</f>
        <v>#VALUE!</v>
      </c>
      <c r="EG32" s="111"/>
      <c r="EH32" s="192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193"/>
      <c r="EJ32" s="195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193"/>
      <c r="EL32" s="122" t="e" cm="1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"")),0),""),0)</f>
        <v>#VALUE!</v>
      </c>
      <c r="EN32" s="111"/>
      <c r="EO32" s="192" t="e">
        <f t="array" aca="1" ref="EO32" ca="1">IF(AND(EZ22="社食",ES29="社食"),"",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193"/>
      <c r="EQ32" s="195" t="e" cm="1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193"/>
      <c r="ES32" s="122" t="e" cm="1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"")),0),""),0)</f>
        <v>#VALUE!</v>
      </c>
      <c r="ET32" s="132"/>
      <c r="EU32" s="103">
        <f t="shared" ref="EU32:EU48" si="2">EU28+7</f>
        <v>49</v>
      </c>
      <c r="EV32" s="103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3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3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3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3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3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3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3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3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3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3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3">
        <f t="shared" ca="1" si="0"/>
        <v>0</v>
      </c>
      <c r="FH32" s="103" t="b">
        <f t="array" aca="1" ref="FH32" ca="1">SUMPRODUCT((LEN(EV32:FF32)&gt;0)*1)&gt;0</f>
        <v>0</v>
      </c>
      <c r="FI32" s="103" t="str">
        <f t="array" aca="1" ref="FI32" ca="1">IFERROR(SMALL(IF(FG$1:FG$169&lt;&gt;0,FG$1:FG$169),ROW(A32)),"")</f>
        <v/>
      </c>
      <c r="FJ32" s="103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3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3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3" t="str">
        <f t="array" aca="1" ref="FM32" ca="1">IF($FI32&lt;&gt;"",
IF(FL32="",
INDIRECT("EY"&amp;$FI32&amp;"")&amp;"箱"
&amp;INDIRECT("EZ"&amp;$FI32&amp;""),""),"")</f>
        <v/>
      </c>
      <c r="FN32" s="103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3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3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3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3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3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221" t="s">
        <v>585</v>
      </c>
      <c r="C33" s="194"/>
      <c r="D33" s="194"/>
      <c r="E33" s="194"/>
      <c r="F33" s="194"/>
      <c r="G33" s="123" t="str">
        <f ca="1">SUBSTITUTE(SUBSTITUTE(ADDRESS(1,MATCH("おやつ",'数出表_Excel（アレルギー入力）'!$3:$3,0)),1,""),"$","")</f>
        <v>AL</v>
      </c>
      <c r="I33" s="221" t="s">
        <v>585</v>
      </c>
      <c r="J33" s="194"/>
      <c r="K33" s="194"/>
      <c r="L33" s="194"/>
      <c r="M33" s="194"/>
      <c r="N33" s="123" t="str">
        <f ca="1">SUBSTITUTE(SUBSTITUTE(ADDRESS(1,MATCH("おやつ",'数出表_Excel（アレルギー入力）'!$3:$3,0)),1,""),"$","")</f>
        <v>AL</v>
      </c>
      <c r="Q33" s="221" t="s">
        <v>585</v>
      </c>
      <c r="R33" s="194"/>
      <c r="S33" s="194"/>
      <c r="T33" s="194"/>
      <c r="U33" s="194"/>
      <c r="V33" s="123" t="str">
        <f ca="1">SUBSTITUTE(SUBSTITUTE(ADDRESS(1,MATCH("おやつ",'数出表_Excel（アレルギー入力）'!$3:$3,0)),1,""),"$","")</f>
        <v>AL</v>
      </c>
      <c r="X33" s="221" t="s">
        <v>585</v>
      </c>
      <c r="Y33" s="194"/>
      <c r="Z33" s="194"/>
      <c r="AA33" s="194"/>
      <c r="AB33" s="194"/>
      <c r="AC33" s="123" t="str">
        <f ca="1">SUBSTITUTE(SUBSTITUTE(ADDRESS(1,MATCH("おやつ",'数出表_Excel（アレルギー入力）'!$3:$3,0)),1,""),"$","")</f>
        <v>AL</v>
      </c>
      <c r="AF33" s="221" t="s">
        <v>585</v>
      </c>
      <c r="AG33" s="194"/>
      <c r="AH33" s="194"/>
      <c r="AI33" s="194"/>
      <c r="AJ33" s="194"/>
      <c r="AK33" s="123" t="str">
        <f ca="1">SUBSTITUTE(SUBSTITUTE(ADDRESS(1,MATCH("おやつ",'数出表_Excel（アレルギー入力）'!$3:$3,0)),1,""),"$","")</f>
        <v>AL</v>
      </c>
      <c r="AM33" s="221" t="s">
        <v>585</v>
      </c>
      <c r="AN33" s="194"/>
      <c r="AO33" s="194"/>
      <c r="AP33" s="194"/>
      <c r="AQ33" s="194"/>
      <c r="AR33" s="123" t="str">
        <f ca="1">SUBSTITUTE(SUBSTITUTE(ADDRESS(1,MATCH("おやつ",'数出表_Excel（アレルギー入力）'!$3:$3,0)),1,""),"$","")</f>
        <v>AL</v>
      </c>
      <c r="AU33" s="221" t="s">
        <v>585</v>
      </c>
      <c r="AV33" s="194"/>
      <c r="AW33" s="194"/>
      <c r="AX33" s="194"/>
      <c r="AY33" s="194"/>
      <c r="AZ33" s="123" t="str">
        <f ca="1">SUBSTITUTE(SUBSTITUTE(ADDRESS(1,MATCH("おやつ",'数出表_Excel（アレルギー入力）'!$3:$3,0)),1,""),"$","")</f>
        <v>AL</v>
      </c>
      <c r="BB33" s="221" t="s">
        <v>585</v>
      </c>
      <c r="BC33" s="194"/>
      <c r="BD33" s="194"/>
      <c r="BE33" s="194"/>
      <c r="BF33" s="194"/>
      <c r="BG33" s="123" t="str">
        <f ca="1">SUBSTITUTE(SUBSTITUTE(ADDRESS(1,MATCH("おやつ",'数出表_Excel（アレルギー入力）'!$3:$3,0)),1,""),"$","")</f>
        <v>AL</v>
      </c>
      <c r="BJ33" s="221" t="s">
        <v>585</v>
      </c>
      <c r="BK33" s="194"/>
      <c r="BL33" s="194"/>
      <c r="BM33" s="194"/>
      <c r="BN33" s="194"/>
      <c r="BO33" s="123" t="str">
        <f ca="1">SUBSTITUTE(SUBSTITUTE(ADDRESS(1,MATCH("おやつ",'数出表_Excel（アレルギー入力）'!$3:$3,0)),1,""),"$","")</f>
        <v>AL</v>
      </c>
      <c r="BQ33" s="221" t="s">
        <v>585</v>
      </c>
      <c r="BR33" s="194"/>
      <c r="BS33" s="194"/>
      <c r="BT33" s="194"/>
      <c r="BU33" s="194"/>
      <c r="BV33" s="123" t="str">
        <f ca="1">SUBSTITUTE(SUBSTITUTE(ADDRESS(1,MATCH("おやつ",'数出表_Excel（アレルギー入力）'!$3:$3,0)),1,""),"$","")</f>
        <v>AL</v>
      </c>
      <c r="BY33" s="221" t="s">
        <v>585</v>
      </c>
      <c r="BZ33" s="194"/>
      <c r="CA33" s="194"/>
      <c r="CB33" s="194"/>
      <c r="CC33" s="194"/>
      <c r="CD33" s="123" t="str">
        <f ca="1">SUBSTITUTE(SUBSTITUTE(ADDRESS(1,MATCH("おやつ",'数出表_Excel（アレルギー入力）'!$3:$3,0)),1,""),"$","")</f>
        <v>AL</v>
      </c>
      <c r="CF33" s="221" t="s">
        <v>585</v>
      </c>
      <c r="CG33" s="194"/>
      <c r="CH33" s="194"/>
      <c r="CI33" s="194"/>
      <c r="CJ33" s="194"/>
      <c r="CK33" s="123" t="str">
        <f ca="1">SUBSTITUTE(SUBSTITUTE(ADDRESS(1,MATCH("おやつ",'数出表_Excel（アレルギー入力）'!$3:$3,0)),1,""),"$","")</f>
        <v>AL</v>
      </c>
      <c r="CN33" s="221" t="s">
        <v>585</v>
      </c>
      <c r="CO33" s="194"/>
      <c r="CP33" s="194"/>
      <c r="CQ33" s="194"/>
      <c r="CR33" s="194"/>
      <c r="CS33" s="123" t="str">
        <f ca="1">SUBSTITUTE(SUBSTITUTE(ADDRESS(1,MATCH("おやつ",'数出表_Excel（アレルギー入力）'!$3:$3,0)),1,""),"$","")</f>
        <v>AL</v>
      </c>
      <c r="CU33" s="221" t="s">
        <v>585</v>
      </c>
      <c r="CV33" s="194"/>
      <c r="CW33" s="194"/>
      <c r="CX33" s="194"/>
      <c r="CY33" s="194"/>
      <c r="CZ33" s="123" t="str">
        <f ca="1">SUBSTITUTE(SUBSTITUTE(ADDRESS(1,MATCH("おやつ",'数出表_Excel（アレルギー入力）'!$3:$3,0)),1,""),"$","")</f>
        <v>AL</v>
      </c>
      <c r="DC33" s="221" t="s">
        <v>585</v>
      </c>
      <c r="DD33" s="194"/>
      <c r="DE33" s="194"/>
      <c r="DF33" s="194"/>
      <c r="DG33" s="194"/>
      <c r="DH33" s="123" t="str">
        <f ca="1">SUBSTITUTE(SUBSTITUTE(ADDRESS(1,MATCH("おやつ",'数出表_Excel（アレルギー入力）'!$3:$3,0)),1,""),"$","")</f>
        <v>AL</v>
      </c>
      <c r="DJ33" s="221" t="s">
        <v>585</v>
      </c>
      <c r="DK33" s="194"/>
      <c r="DL33" s="194"/>
      <c r="DM33" s="194"/>
      <c r="DN33" s="194"/>
      <c r="DO33" s="123" t="str">
        <f ca="1">SUBSTITUTE(SUBSTITUTE(ADDRESS(1,MATCH("おやつ",'数出表_Excel（アレルギー入力）'!$3:$3,0)),1,""),"$","")</f>
        <v>AL</v>
      </c>
      <c r="DR33" s="221" t="s">
        <v>585</v>
      </c>
      <c r="DS33" s="194"/>
      <c r="DT33" s="194"/>
      <c r="DU33" s="194"/>
      <c r="DV33" s="194"/>
      <c r="DW33" s="123" t="str">
        <f ca="1">SUBSTITUTE(SUBSTITUTE(ADDRESS(1,MATCH("おやつ",'数出表_Excel（アレルギー入力）'!$3:$3,0)),1,""),"$","")</f>
        <v>AL</v>
      </c>
      <c r="DY33" s="221" t="s">
        <v>585</v>
      </c>
      <c r="DZ33" s="194"/>
      <c r="EA33" s="194"/>
      <c r="EB33" s="194"/>
      <c r="EC33" s="194"/>
      <c r="ED33" s="123" t="str">
        <f ca="1">SUBSTITUTE(SUBSTITUTE(ADDRESS(1,MATCH("おやつ",'数出表_Excel（アレルギー入力）'!$3:$3,0)),1,""),"$","")</f>
        <v>AL</v>
      </c>
      <c r="EG33" s="221" t="s">
        <v>585</v>
      </c>
      <c r="EH33" s="194"/>
      <c r="EI33" s="194"/>
      <c r="EJ33" s="194"/>
      <c r="EK33" s="194"/>
      <c r="EL33" s="123" t="str">
        <f ca="1">SUBSTITUTE(SUBSTITUTE(ADDRESS(1,MATCH("おやつ",'数出表_Excel（アレルギー入力）'!$3:$3,0)),1,""),"$","")</f>
        <v>AL</v>
      </c>
      <c r="EN33" s="221" t="s">
        <v>585</v>
      </c>
      <c r="EO33" s="194"/>
      <c r="EP33" s="194"/>
      <c r="EQ33" s="194"/>
      <c r="ER33" s="194"/>
      <c r="ES33" s="123" t="str">
        <f ca="1">SUBSTITUTE(SUBSTITUTE(ADDRESS(1,MATCH("おやつ",'数出表_Excel（アレルギー入力）'!$3:$3,0)),1,""),"$","")</f>
        <v>AL</v>
      </c>
      <c r="ET33" s="132"/>
      <c r="EU33" s="103">
        <f t="shared" si="2"/>
        <v>14</v>
      </c>
      <c r="EV33" s="103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3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3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3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3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3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3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3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3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3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3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3">
        <f t="shared" ref="FG33:FG72" ca="1" si="3">IF(COUNTIF(FH33,"TRUE"),ROW(),0)</f>
        <v>0</v>
      </c>
      <c r="FH33" s="103" t="e">
        <f t="array" aca="1" ref="FH33" ca="1">SUMPRODUCT((LEN(EV33:FF33)&gt;0)*1)&gt;0</f>
        <v>#VALUE!</v>
      </c>
      <c r="FI33" s="103" t="str">
        <f t="array" aca="1" ref="FI33" ca="1">IFERROR(SMALL(IF(FG$1:FG$169&lt;&gt;0,FG$1:FG$169),ROW(A33)),"")</f>
        <v/>
      </c>
      <c r="FJ33" s="103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3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3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3" t="str">
        <f t="array" aca="1" ref="FM33" ca="1">IF($FI33&lt;&gt;"",
IF(FL33="",
INDIRECT("EY"&amp;$FI33&amp;"")&amp;"箱"
&amp;INDIRECT("EZ"&amp;$FI33&amp;""),""),"")</f>
        <v/>
      </c>
      <c r="FN33" s="103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3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3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3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3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3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3" customFormat="1" ht="22.2" customHeight="1" x14ac:dyDescent="0.55000000000000004">
      <c r="A34" s="101"/>
      <c r="B34" s="114" t="str">
        <f ca="1">IF(C30&lt;&gt;"",
"パン箱","")</f>
        <v/>
      </c>
      <c r="C34" s="115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4" t="str">
        <f ca="1">IF(C30&lt;&gt;"",
" 端数","")</f>
        <v/>
      </c>
      <c r="E34" s="115"/>
      <c r="F34" s="114" t="str">
        <f ca="1">IF(C30&lt;&gt;"",
"アレルギー","")</f>
        <v/>
      </c>
      <c r="G34" s="122"/>
      <c r="H34" s="101"/>
      <c r="I34" s="114" t="str">
        <f ca="1">IF(J30&lt;&gt;"",
"パン箱","")</f>
        <v/>
      </c>
      <c r="J34" s="115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4" t="str">
        <f ca="1">IF(J30&lt;&gt;"",
" 端数","")</f>
        <v/>
      </c>
      <c r="L34" s="115"/>
      <c r="M34" s="114" t="str">
        <f ca="1">IF(J30&lt;&gt;"",
"アレルギー","")</f>
        <v/>
      </c>
      <c r="N34" s="122"/>
      <c r="O34" s="101"/>
      <c r="P34" s="101"/>
      <c r="Q34" s="114" t="str">
        <f ca="1">IF(R30&lt;&gt;"",
"パン箱","")</f>
        <v/>
      </c>
      <c r="R34" s="115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4" t="str">
        <f ca="1">IF(R30&lt;&gt;"",
" 端数","")</f>
        <v/>
      </c>
      <c r="T34" s="115"/>
      <c r="U34" s="114" t="str">
        <f ca="1">IF(R30&lt;&gt;"",
"アレルギー","")</f>
        <v/>
      </c>
      <c r="V34" s="122"/>
      <c r="W34" s="101"/>
      <c r="X34" s="114" t="str">
        <f ca="1">IF(Y30&lt;&gt;"",
"パン箱","")</f>
        <v/>
      </c>
      <c r="Y34" s="115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4" t="str">
        <f ca="1">IF(Y30&lt;&gt;"",
" 端数","")</f>
        <v/>
      </c>
      <c r="AA34" s="115"/>
      <c r="AB34" s="114" t="str">
        <f ca="1">IF(Y30&lt;&gt;"",
"アレルギー","")</f>
        <v/>
      </c>
      <c r="AC34" s="122"/>
      <c r="AD34" s="101"/>
      <c r="AE34" s="101"/>
      <c r="AF34" s="114" t="str">
        <f ca="1">IF(AG30&lt;&gt;"",
"パン箱","")</f>
        <v/>
      </c>
      <c r="AG34" s="115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4" t="str">
        <f ca="1">IF(AG30&lt;&gt;"",
" 端数","")</f>
        <v/>
      </c>
      <c r="AI34" s="115"/>
      <c r="AJ34" s="114" t="str">
        <f ca="1">IF(AG30&lt;&gt;"",
"アレルギー","")</f>
        <v/>
      </c>
      <c r="AK34" s="122"/>
      <c r="AL34" s="101"/>
      <c r="AM34" s="114" t="str">
        <f ca="1">IF(AN30&lt;&gt;"",
"パン箱","")</f>
        <v/>
      </c>
      <c r="AN34" s="115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4" t="str">
        <f ca="1">IF(AN30&lt;&gt;"",
" 端数","")</f>
        <v/>
      </c>
      <c r="AP34" s="115"/>
      <c r="AQ34" s="114" t="str">
        <f ca="1">IF(AN30&lt;&gt;"",
"アレルギー","")</f>
        <v/>
      </c>
      <c r="AR34" s="122"/>
      <c r="AS34" s="101"/>
      <c r="AT34" s="101"/>
      <c r="AU34" s="114" t="str">
        <f ca="1">IF(AV30&lt;&gt;"",
"パン箱","")</f>
        <v/>
      </c>
      <c r="AV34" s="115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4" t="str">
        <f ca="1">IF(AV30&lt;&gt;"",
" 端数","")</f>
        <v/>
      </c>
      <c r="AX34" s="115"/>
      <c r="AY34" s="114" t="str">
        <f ca="1">IF(AV30&lt;&gt;"",
"アレルギー","")</f>
        <v/>
      </c>
      <c r="AZ34" s="122"/>
      <c r="BA34" s="101"/>
      <c r="BB34" s="114" t="str">
        <f ca="1">IF(BC30&lt;&gt;"",
"パン箱","")</f>
        <v/>
      </c>
      <c r="BC34" s="115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4" t="str">
        <f ca="1">IF(BC30&lt;&gt;"",
" 端数","")</f>
        <v/>
      </c>
      <c r="BE34" s="115"/>
      <c r="BF34" s="114" t="str">
        <f ca="1">IF(BC30&lt;&gt;"",
"アレルギー","")</f>
        <v/>
      </c>
      <c r="BG34" s="122"/>
      <c r="BH34" s="101"/>
      <c r="BI34" s="101"/>
      <c r="BJ34" s="114" t="str">
        <f ca="1">IF(BK30&lt;&gt;"",
"パン箱","")</f>
        <v/>
      </c>
      <c r="BK34" s="115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4" t="str">
        <f ca="1">IF(BK30&lt;&gt;"",
" 端数","")</f>
        <v/>
      </c>
      <c r="BM34" s="115"/>
      <c r="BN34" s="114" t="str">
        <f ca="1">IF(BK30&lt;&gt;"",
"アレルギー","")</f>
        <v/>
      </c>
      <c r="BO34" s="122"/>
      <c r="BP34" s="101"/>
      <c r="BQ34" s="114" t="str">
        <f ca="1">IF(BR30&lt;&gt;"",
"パン箱","")</f>
        <v/>
      </c>
      <c r="BR34" s="115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4" t="str">
        <f ca="1">IF(BR30&lt;&gt;"",
" 端数","")</f>
        <v/>
      </c>
      <c r="BT34" s="115"/>
      <c r="BU34" s="114" t="str">
        <f ca="1">IF(BR30&lt;&gt;"",
"アレルギー","")</f>
        <v/>
      </c>
      <c r="BV34" s="122"/>
      <c r="BW34" s="101"/>
      <c r="BX34" s="101"/>
      <c r="BY34" s="114" t="str">
        <f ca="1">IF(BZ30&lt;&gt;"",
"パン箱","")</f>
        <v/>
      </c>
      <c r="BZ34" s="115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4" t="str">
        <f ca="1">IF(BZ30&lt;&gt;"",
" 端数","")</f>
        <v/>
      </c>
      <c r="CB34" s="115"/>
      <c r="CC34" s="114" t="str">
        <f ca="1">IF(BZ30&lt;&gt;"",
"アレルギー","")</f>
        <v/>
      </c>
      <c r="CD34" s="122"/>
      <c r="CE34" s="101"/>
      <c r="CF34" s="114" t="str">
        <f ca="1">IF(CG30&lt;&gt;"",
"パン箱","")</f>
        <v/>
      </c>
      <c r="CG34" s="115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4" t="str">
        <f ca="1">IF(CG30&lt;&gt;"",
" 端数","")</f>
        <v/>
      </c>
      <c r="CI34" s="115"/>
      <c r="CJ34" s="114" t="str">
        <f ca="1">IF(CG30&lt;&gt;"",
"アレルギー","")</f>
        <v/>
      </c>
      <c r="CK34" s="122"/>
      <c r="CL34" s="101"/>
      <c r="CM34" s="101"/>
      <c r="CN34" s="114" t="str">
        <f ca="1">IF(CO30&lt;&gt;"",
"パン箱","")</f>
        <v/>
      </c>
      <c r="CO34" s="115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4" t="str">
        <f ca="1">IF(CO30&lt;&gt;"",
" 端数","")</f>
        <v/>
      </c>
      <c r="CQ34" s="115"/>
      <c r="CR34" s="114" t="str">
        <f ca="1">IF(CO30&lt;&gt;"",
"アレルギー","")</f>
        <v/>
      </c>
      <c r="CS34" s="122"/>
      <c r="CT34" s="101"/>
      <c r="CU34" s="114" t="str">
        <f ca="1">IF(CV30&lt;&gt;"",
"パン箱","")</f>
        <v/>
      </c>
      <c r="CV34" s="115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4" t="str">
        <f ca="1">IF(CV30&lt;&gt;"",
" 端数","")</f>
        <v/>
      </c>
      <c r="CX34" s="115"/>
      <c r="CY34" s="114" t="str">
        <f ca="1">IF(CV30&lt;&gt;"",
"アレルギー","")</f>
        <v/>
      </c>
      <c r="CZ34" s="122"/>
      <c r="DA34" s="101"/>
      <c r="DB34" s="101"/>
      <c r="DC34" s="114" t="str">
        <f ca="1">IF(DD30&lt;&gt;"",
"パン箱","")</f>
        <v/>
      </c>
      <c r="DD34" s="115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4" t="str">
        <f ca="1">IF(DD30&lt;&gt;"",
" 端数","")</f>
        <v/>
      </c>
      <c r="DF34" s="115"/>
      <c r="DG34" s="114" t="str">
        <f ca="1">IF(DD30&lt;&gt;"",
"アレルギー","")</f>
        <v/>
      </c>
      <c r="DH34" s="122"/>
      <c r="DI34" s="101"/>
      <c r="DJ34" s="114" t="str">
        <f ca="1">IF(DK30&lt;&gt;"",
"パン箱","")</f>
        <v/>
      </c>
      <c r="DK34" s="115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4" t="str">
        <f ca="1">IF(DK30&lt;&gt;"",
" 端数","")</f>
        <v/>
      </c>
      <c r="DM34" s="115"/>
      <c r="DN34" s="114" t="str">
        <f ca="1">IF(DK30&lt;&gt;"",
"アレルギー","")</f>
        <v/>
      </c>
      <c r="DO34" s="122"/>
      <c r="DP34" s="101"/>
      <c r="DQ34" s="101"/>
      <c r="DR34" s="114" t="str">
        <f ca="1">IF(DS30&lt;&gt;"",
"パン箱","")</f>
        <v/>
      </c>
      <c r="DS34" s="115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4" t="str">
        <f ca="1">IF(DS30&lt;&gt;"",
" 端数","")</f>
        <v/>
      </c>
      <c r="DU34" s="115"/>
      <c r="DV34" s="114" t="str">
        <f ca="1">IF(DS30&lt;&gt;"",
"アレルギー","")</f>
        <v/>
      </c>
      <c r="DW34" s="122"/>
      <c r="DX34" s="101"/>
      <c r="DY34" s="114" t="str">
        <f ca="1">IF(DZ30&lt;&gt;"",
"パン箱","")</f>
        <v/>
      </c>
      <c r="DZ34" s="115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4" t="str">
        <f ca="1">IF(DZ30&lt;&gt;"",
" 端数","")</f>
        <v/>
      </c>
      <c r="EB34" s="115"/>
      <c r="EC34" s="114" t="str">
        <f ca="1">IF(DZ30&lt;&gt;"",
"アレルギー","")</f>
        <v/>
      </c>
      <c r="ED34" s="122"/>
      <c r="EE34" s="101"/>
      <c r="EF34" s="101"/>
      <c r="EG34" s="114" t="str">
        <f ca="1">IF(EH30&lt;&gt;"",
"パン箱","")</f>
        <v/>
      </c>
      <c r="EH34" s="115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114" t="str">
        <f ca="1">IF(EH30&lt;&gt;"",
" 端数","")</f>
        <v/>
      </c>
      <c r="EJ34" s="115"/>
      <c r="EK34" s="114" t="str">
        <f ca="1">IF(EH30&lt;&gt;"",
"アレルギー","")</f>
        <v/>
      </c>
      <c r="EL34" s="122"/>
      <c r="EM34" s="101"/>
      <c r="EN34" s="114" t="str">
        <f ca="1">IF(EO30&lt;&gt;"",
"パン箱","")</f>
        <v/>
      </c>
      <c r="EO34" s="115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114" t="str">
        <f ca="1">IF(EO30&lt;&gt;"",
" 端数","")</f>
        <v/>
      </c>
      <c r="EQ34" s="115"/>
      <c r="ER34" s="114" t="str">
        <f ca="1">IF(EO30&lt;&gt;"",
"アレルギー","")</f>
        <v/>
      </c>
      <c r="ES34" s="122"/>
      <c r="ET34" s="132"/>
      <c r="EU34" s="103">
        <f t="shared" si="2"/>
        <v>56</v>
      </c>
      <c r="EV34" s="103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3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3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3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3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3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3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3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3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3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3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3">
        <f t="shared" ca="1" si="3"/>
        <v>0</v>
      </c>
      <c r="FH34" s="103" t="b">
        <f t="array" aca="1" ref="FH34" ca="1">SUMPRODUCT((LEN(EV34:FF34)&gt;0)*1)&gt;0</f>
        <v>0</v>
      </c>
      <c r="FI34" s="103" t="str">
        <f t="array" aca="1" ref="FI34" ca="1">IFERROR(SMALL(IF(FG$1:FG$169&lt;&gt;0,FG$1:FG$169),ROW(A34)),"")</f>
        <v/>
      </c>
      <c r="FJ34" s="103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3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3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3" t="str">
        <f t="array" aca="1" ref="FM34" ca="1">IF($FI34&lt;&gt;"",
IF(FL34="",
INDIRECT("EY"&amp;$FI34&amp;"")&amp;"箱"
&amp;INDIRECT("EZ"&amp;$FI34&amp;""),""),"")</f>
        <v/>
      </c>
      <c r="FN34" s="103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3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3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3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3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3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203" t="e">
        <f ca="1">IF(C32&lt;&gt;"",
IFERROR(INT(C32/C34),""),"")</f>
        <v>#VALUE!</v>
      </c>
      <c r="C35" s="202"/>
      <c r="D35" s="203" t="str">
        <f ca="1">IFERROR(MOD(C32,C34),"")</f>
        <v/>
      </c>
      <c r="E35" s="202"/>
      <c r="F35" s="201" t="e">
        <f ca="1">G31+G32</f>
        <v>#VALUE!</v>
      </c>
      <c r="G35" s="202"/>
      <c r="I35" s="203" t="e">
        <f ca="1">IF(J32&lt;&gt;"",
IFERROR(INT(J32/J34),""),"")</f>
        <v>#VALUE!</v>
      </c>
      <c r="J35" s="202"/>
      <c r="K35" s="203" t="str">
        <f ca="1">IFERROR(MOD(J32,J34),"")</f>
        <v/>
      </c>
      <c r="L35" s="202"/>
      <c r="M35" s="201" t="e">
        <f ca="1">N31+N32</f>
        <v>#VALUE!</v>
      </c>
      <c r="N35" s="202"/>
      <c r="Q35" s="203" t="e">
        <f ca="1">IF(R32&lt;&gt;"",
IFERROR(INT(R32/R34),""),"")</f>
        <v>#VALUE!</v>
      </c>
      <c r="R35" s="202"/>
      <c r="S35" s="203" t="str">
        <f ca="1">IFERROR(MOD(R32,R34),"")</f>
        <v/>
      </c>
      <c r="T35" s="202"/>
      <c r="U35" s="201" t="e">
        <f ca="1">V31+V32</f>
        <v>#VALUE!</v>
      </c>
      <c r="V35" s="202"/>
      <c r="X35" s="203" t="e">
        <f ca="1">IF(Y32&lt;&gt;"",
IFERROR(INT(Y32/Y34),""),"")</f>
        <v>#VALUE!</v>
      </c>
      <c r="Y35" s="202"/>
      <c r="Z35" s="203" t="str">
        <f ca="1">IFERROR(MOD(Y32,Y34),"")</f>
        <v/>
      </c>
      <c r="AA35" s="202"/>
      <c r="AB35" s="201" t="e">
        <f ca="1">AC31+AC32</f>
        <v>#VALUE!</v>
      </c>
      <c r="AC35" s="202"/>
      <c r="AF35" s="203" t="e">
        <f ca="1">IF(AG32&lt;&gt;"",
IFERROR(INT(AG32/AG34),""),"")</f>
        <v>#VALUE!</v>
      </c>
      <c r="AG35" s="202"/>
      <c r="AH35" s="203" t="str">
        <f ca="1">IFERROR(MOD(AG32,AG34),"")</f>
        <v/>
      </c>
      <c r="AI35" s="202"/>
      <c r="AJ35" s="201" t="e">
        <f ca="1">AK31+AK32</f>
        <v>#VALUE!</v>
      </c>
      <c r="AK35" s="202"/>
      <c r="AM35" s="203" t="e">
        <f ca="1">IF(AN32&lt;&gt;"",
IFERROR(INT(AN32/AN34),""),"")</f>
        <v>#VALUE!</v>
      </c>
      <c r="AN35" s="202"/>
      <c r="AO35" s="203" t="str">
        <f ca="1">IFERROR(MOD(AN32,AN34),"")</f>
        <v/>
      </c>
      <c r="AP35" s="202"/>
      <c r="AQ35" s="201" t="e">
        <f ca="1">AR31+AR32</f>
        <v>#VALUE!</v>
      </c>
      <c r="AR35" s="202"/>
      <c r="AU35" s="203" t="e">
        <f ca="1">IF(AV32&lt;&gt;"",
IFERROR(INT(AV32/AV34),""),"")</f>
        <v>#VALUE!</v>
      </c>
      <c r="AV35" s="202"/>
      <c r="AW35" s="203" t="str">
        <f ca="1">IFERROR(MOD(AV32,AV34),"")</f>
        <v/>
      </c>
      <c r="AX35" s="202"/>
      <c r="AY35" s="201" t="e">
        <f ca="1">AZ31+AZ32</f>
        <v>#VALUE!</v>
      </c>
      <c r="AZ35" s="202"/>
      <c r="BB35" s="203" t="e">
        <f ca="1">IF(BC32&lt;&gt;"",
IFERROR(INT(BC32/BC34),""),"")</f>
        <v>#VALUE!</v>
      </c>
      <c r="BC35" s="202"/>
      <c r="BD35" s="203" t="str">
        <f ca="1">IFERROR(MOD(BC32,BC34),"")</f>
        <v/>
      </c>
      <c r="BE35" s="202"/>
      <c r="BF35" s="201" t="e">
        <f ca="1">BG31+BG32</f>
        <v>#VALUE!</v>
      </c>
      <c r="BG35" s="202"/>
      <c r="BJ35" s="203" t="e">
        <f ca="1">IF(BK32&lt;&gt;"",
IFERROR(INT(BK32/BK34),""),"")</f>
        <v>#VALUE!</v>
      </c>
      <c r="BK35" s="202"/>
      <c r="BL35" s="203" t="str">
        <f ca="1">IFERROR(MOD(BK32,BK34),"")</f>
        <v/>
      </c>
      <c r="BM35" s="202"/>
      <c r="BN35" s="201" t="e">
        <f ca="1">BO31+BO32</f>
        <v>#VALUE!</v>
      </c>
      <c r="BO35" s="202"/>
      <c r="BQ35" s="203" t="e">
        <f ca="1">IF(BR32&lt;&gt;"",
IFERROR(INT(BR32/BR34),""),"")</f>
        <v>#VALUE!</v>
      </c>
      <c r="BR35" s="202"/>
      <c r="BS35" s="203" t="str">
        <f ca="1">IFERROR(MOD(BR32,BR34),"")</f>
        <v/>
      </c>
      <c r="BT35" s="202"/>
      <c r="BU35" s="201" t="e">
        <f ca="1">BV31+BV32</f>
        <v>#VALUE!</v>
      </c>
      <c r="BV35" s="202"/>
      <c r="BY35" s="203" t="e">
        <f ca="1">IF(BZ32&lt;&gt;"",
IFERROR(INT(BZ32/BZ34),""),"")</f>
        <v>#VALUE!</v>
      </c>
      <c r="BZ35" s="202"/>
      <c r="CA35" s="203" t="str">
        <f ca="1">IFERROR(MOD(BZ32,BZ34),"")</f>
        <v/>
      </c>
      <c r="CB35" s="202"/>
      <c r="CC35" s="201" t="e">
        <f ca="1">CD31+CD32</f>
        <v>#VALUE!</v>
      </c>
      <c r="CD35" s="202"/>
      <c r="CF35" s="203" t="e">
        <f ca="1">IF(CG32&lt;&gt;"",
IFERROR(INT(CG32/CG34),""),"")</f>
        <v>#VALUE!</v>
      </c>
      <c r="CG35" s="202"/>
      <c r="CH35" s="203" t="str">
        <f ca="1">IFERROR(MOD(CG32,CG34),"")</f>
        <v/>
      </c>
      <c r="CI35" s="202"/>
      <c r="CJ35" s="201" t="e">
        <f ca="1">CK31+CK32</f>
        <v>#VALUE!</v>
      </c>
      <c r="CK35" s="202"/>
      <c r="CN35" s="203" t="e">
        <f ca="1">IF(CO32&lt;&gt;"",
IFERROR(INT(CO32/CO34),""),"")</f>
        <v>#VALUE!</v>
      </c>
      <c r="CO35" s="202"/>
      <c r="CP35" s="203" t="str">
        <f ca="1">IFERROR(MOD(CO32,CO34),"")</f>
        <v/>
      </c>
      <c r="CQ35" s="202"/>
      <c r="CR35" s="201" t="e">
        <f ca="1">CS31+CS32</f>
        <v>#VALUE!</v>
      </c>
      <c r="CS35" s="202"/>
      <c r="CU35" s="203" t="e">
        <f ca="1">IF(CV32&lt;&gt;"",
IFERROR(INT(CV32/CV34),""),"")</f>
        <v>#VALUE!</v>
      </c>
      <c r="CV35" s="202"/>
      <c r="CW35" s="203" t="str">
        <f ca="1">IFERROR(MOD(CV32,CV34),"")</f>
        <v/>
      </c>
      <c r="CX35" s="202"/>
      <c r="CY35" s="201" t="e">
        <f ca="1">CZ31+CZ32</f>
        <v>#VALUE!</v>
      </c>
      <c r="CZ35" s="202"/>
      <c r="DC35" s="203" t="e">
        <f ca="1">IF(DD32&lt;&gt;"",
IFERROR(INT(DD32/DD34),""),"")</f>
        <v>#VALUE!</v>
      </c>
      <c r="DD35" s="202"/>
      <c r="DE35" s="203" t="str">
        <f ca="1">IFERROR(MOD(DD32,DD34),"")</f>
        <v/>
      </c>
      <c r="DF35" s="202"/>
      <c r="DG35" s="201" t="e">
        <f ca="1">DH31+DH32</f>
        <v>#VALUE!</v>
      </c>
      <c r="DH35" s="202"/>
      <c r="DJ35" s="203" t="e">
        <f ca="1">IF(DK32&lt;&gt;"",
IFERROR(INT(DK32/DK34),""),"")</f>
        <v>#VALUE!</v>
      </c>
      <c r="DK35" s="202"/>
      <c r="DL35" s="203" t="str">
        <f ca="1">IFERROR(MOD(DK32,DK34),"")</f>
        <v/>
      </c>
      <c r="DM35" s="202"/>
      <c r="DN35" s="201" t="e">
        <f ca="1">DO31+DO32</f>
        <v>#VALUE!</v>
      </c>
      <c r="DO35" s="202"/>
      <c r="DR35" s="203" t="e">
        <f ca="1">IF(DS32&lt;&gt;"",
IFERROR(INT(DS32/DS34),""),"")</f>
        <v>#VALUE!</v>
      </c>
      <c r="DS35" s="202"/>
      <c r="DT35" s="203" t="str">
        <f ca="1">IFERROR(MOD(DS32,DS34),"")</f>
        <v/>
      </c>
      <c r="DU35" s="202"/>
      <c r="DV35" s="201" t="e">
        <f ca="1">DW31+DW32</f>
        <v>#VALUE!</v>
      </c>
      <c r="DW35" s="202"/>
      <c r="DY35" s="203" t="e">
        <f ca="1">IF(DZ32&lt;&gt;"",
IFERROR(INT(DZ32/DZ34),""),"")</f>
        <v>#VALUE!</v>
      </c>
      <c r="DZ35" s="202"/>
      <c r="EA35" s="203" t="str">
        <f ca="1">IFERROR(MOD(DZ32,DZ34),"")</f>
        <v/>
      </c>
      <c r="EB35" s="202"/>
      <c r="EC35" s="201" t="e">
        <f ca="1">ED31+ED32</f>
        <v>#VALUE!</v>
      </c>
      <c r="ED35" s="202"/>
      <c r="EG35" s="203" t="e">
        <f ca="1">IF(EH32&lt;&gt;"",
IFERROR(INT(EH32/EH34),""),"")</f>
        <v>#VALUE!</v>
      </c>
      <c r="EH35" s="202"/>
      <c r="EI35" s="203" t="str">
        <f ca="1">IFERROR(MOD(EH32,EH34),"")</f>
        <v/>
      </c>
      <c r="EJ35" s="202"/>
      <c r="EK35" s="201" t="e">
        <f ca="1">EL31+EL32</f>
        <v>#VALUE!</v>
      </c>
      <c r="EL35" s="202"/>
      <c r="EN35" s="203" t="e">
        <f ca="1">IF(EO32&lt;&gt;"",
IFERROR(INT(EO32/EO34),""),"")</f>
        <v>#VALUE!</v>
      </c>
      <c r="EO35" s="202"/>
      <c r="EP35" s="203" t="str">
        <f ca="1">IFERROR(MOD(EO32,EO34),"")</f>
        <v/>
      </c>
      <c r="EQ35" s="202"/>
      <c r="ER35" s="201" t="e">
        <f ca="1">ES31+ES32</f>
        <v>#VALUE!</v>
      </c>
      <c r="ES35" s="202"/>
      <c r="ET35" s="78"/>
      <c r="EU35" s="112">
        <f t="shared" si="2"/>
        <v>14</v>
      </c>
      <c r="EV35" s="103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3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3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3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3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3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3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3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3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3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3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3">
        <f t="shared" ca="1" si="3"/>
        <v>0</v>
      </c>
      <c r="FH35" s="103" t="e">
        <f t="array" aca="1" ref="FH35" ca="1">SUMPRODUCT((LEN(EV35:FF35)&gt;0)*1)&gt;0</f>
        <v>#VALUE!</v>
      </c>
      <c r="FI35" s="103" t="str">
        <f t="array" aca="1" ref="FI35" ca="1">IFERROR(SMALL(IF(FG$1:FG$169&lt;&gt;0,FG$1:FG$169),ROW(A35)),"")</f>
        <v/>
      </c>
      <c r="FJ35" s="103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3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3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3" t="str">
        <f t="array" aca="1" ref="FM35" ca="1">IF($FI35&lt;&gt;"",
IF(FL35="",
INDIRECT("EY"&amp;$FI35&amp;"")&amp;"箱"
&amp;INDIRECT("EZ"&amp;$FI35&amp;""),""),"")</f>
        <v/>
      </c>
      <c r="FN35" s="103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3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3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3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3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3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3" customFormat="1" ht="19.2" customHeight="1" x14ac:dyDescent="0.55000000000000004">
      <c r="A36" s="101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2" t="e">
        <f t="array" aca="1" ref="B36" ca="1">GetResult(A36)</f>
        <v>#VALUE!</v>
      </c>
      <c r="C36" s="198" t="str">
        <f ca="1">IF(C37&lt;&gt;"",
IF(LEFT(G36,2)="博多",
LEFT(G36,FIND("週",G36)-1),
G36),"")</f>
        <v/>
      </c>
      <c r="D36" s="199"/>
      <c r="E36" s="199"/>
      <c r="F36" s="199"/>
      <c r="G36" s="120" t="e">
        <f t="array" aca="1" ref="G36" ca="1">INDIRECT("数出表_Excel!A"&amp;B36)</f>
        <v>#VALUE!</v>
      </c>
      <c r="H36" s="101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2" t="e">
        <f t="array" aca="1" ref="I36" ca="1">GetResult(H36)</f>
        <v>#VALUE!</v>
      </c>
      <c r="J36" s="198" t="str">
        <f ca="1">IF(J37&lt;&gt;"",
IF(LEFT(N36,2)="博多",
LEFT(N36,FIND("週",N36)-1),
N36),"")</f>
        <v/>
      </c>
      <c r="K36" s="199"/>
      <c r="L36" s="199"/>
      <c r="M36" s="199"/>
      <c r="N36" s="116" t="e">
        <f t="array" aca="1" ref="N36" ca="1">INDIRECT("数出表_Excel!A"&amp;I36)</f>
        <v>#VALUE!</v>
      </c>
      <c r="O36" s="101"/>
      <c r="P36" s="101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2" t="e">
        <f t="array" aca="1" ref="Q36" ca="1">GetResult(P36)</f>
        <v>#VALUE!</v>
      </c>
      <c r="R36" s="198" t="str">
        <f ca="1">IF(R37&lt;&gt;"",
IF(LEFT(V36,2)="博多",
LEFT(V36,FIND("週",V36)-1),
V36),"")</f>
        <v/>
      </c>
      <c r="S36" s="199"/>
      <c r="T36" s="199"/>
      <c r="U36" s="199"/>
      <c r="V36" s="120" t="e">
        <f t="array" aca="1" ref="V36" ca="1">INDIRECT("数出表_Excel!A"&amp;Q36)</f>
        <v>#VALUE!</v>
      </c>
      <c r="W36" s="101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2" t="e">
        <f t="array" aca="1" ref="X36" ca="1">GetResult(W36)</f>
        <v>#VALUE!</v>
      </c>
      <c r="Y36" s="198" t="str">
        <f ca="1">IF(Y37&lt;&gt;"",
IF(LEFT(AC36,2)="博多",
LEFT(AC36,FIND("週",AC36)-1),
AC36),"")</f>
        <v/>
      </c>
      <c r="Z36" s="199"/>
      <c r="AA36" s="199"/>
      <c r="AB36" s="199"/>
      <c r="AC36" s="116" t="e">
        <f t="array" aca="1" ref="AC36" ca="1">INDIRECT("数出表_Excel!A"&amp;X36)</f>
        <v>#VALUE!</v>
      </c>
      <c r="AD36" s="101"/>
      <c r="AE36" s="101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2" t="e">
        <f t="array" aca="1" ref="AF36" ca="1">GetResult(AE36)</f>
        <v>#VALUE!</v>
      </c>
      <c r="AG36" s="198" t="str">
        <f ca="1">IF(AG37&lt;&gt;"",
IF(LEFT(AK36,2)="博多",
LEFT(AK36,FIND("週",AK36)-1),
AK36),"")</f>
        <v/>
      </c>
      <c r="AH36" s="199"/>
      <c r="AI36" s="199"/>
      <c r="AJ36" s="199"/>
      <c r="AK36" s="120" t="e">
        <f t="array" aca="1" ref="AK36" ca="1">INDIRECT("数出表_Excel!A"&amp;AF36)</f>
        <v>#VALUE!</v>
      </c>
      <c r="AL36" s="101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2" t="e">
        <f t="array" aca="1" ref="AM36" ca="1">GetResult(AL36)</f>
        <v>#VALUE!</v>
      </c>
      <c r="AN36" s="198" t="str">
        <f ca="1">IF(AN37&lt;&gt;"",
IF(LEFT(AR36,2)="博多",
LEFT(AR36,FIND("週",AR36)-1),
AR36),"")</f>
        <v/>
      </c>
      <c r="AO36" s="199"/>
      <c r="AP36" s="199"/>
      <c r="AQ36" s="199"/>
      <c r="AR36" s="116" t="e">
        <f t="array" aca="1" ref="AR36" ca="1">INDIRECT("数出表_Excel!A"&amp;AM36)</f>
        <v>#VALUE!</v>
      </c>
      <c r="AS36" s="101"/>
      <c r="AT36" s="101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2" t="e">
        <f t="array" aca="1" ref="AU36" ca="1">GetResult(AT36)</f>
        <v>#VALUE!</v>
      </c>
      <c r="AV36" s="198" t="str">
        <f ca="1">IF(AV37&lt;&gt;"",
IF(LEFT(AZ36,2)="博多",
LEFT(AZ36,FIND("週",AZ36)-1),
AZ36),"")</f>
        <v/>
      </c>
      <c r="AW36" s="199"/>
      <c r="AX36" s="199"/>
      <c r="AY36" s="199"/>
      <c r="AZ36" s="120" t="e">
        <f t="array" aca="1" ref="AZ36" ca="1">INDIRECT("数出表_Excel!A"&amp;AU36)</f>
        <v>#VALUE!</v>
      </c>
      <c r="BA36" s="101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2" t="e">
        <f t="array" aca="1" ref="BB36" ca="1">GetResult(BA36)</f>
        <v>#VALUE!</v>
      </c>
      <c r="BC36" s="198" t="str">
        <f ca="1">IF(BC37&lt;&gt;"",
IF(LEFT(BG36,2)="博多",
LEFT(BG36,FIND("週",BG36)-1),
BG36),"")</f>
        <v/>
      </c>
      <c r="BD36" s="199"/>
      <c r="BE36" s="199"/>
      <c r="BF36" s="199"/>
      <c r="BG36" s="116" t="e">
        <f t="array" aca="1" ref="BG36" ca="1">INDIRECT("数出表_Excel!A"&amp;BB36)</f>
        <v>#VALUE!</v>
      </c>
      <c r="BH36" s="101"/>
      <c r="BI36" s="101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2" t="e">
        <f t="array" aca="1" ref="BJ36" ca="1">GetResult(BI36)</f>
        <v>#VALUE!</v>
      </c>
      <c r="BK36" s="198" t="str">
        <f ca="1">IF(BK37&lt;&gt;"",
IF(LEFT(BO36,2)="博多",
LEFT(BO36,FIND("週",BO36)-1),
BO36),"")</f>
        <v/>
      </c>
      <c r="BL36" s="199"/>
      <c r="BM36" s="199"/>
      <c r="BN36" s="199"/>
      <c r="BO36" s="120" t="e">
        <f t="array" aca="1" ref="BO36" ca="1">INDIRECT("数出表_Excel!A"&amp;BJ36)</f>
        <v>#VALUE!</v>
      </c>
      <c r="BP36" s="101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2" t="e">
        <f t="array" aca="1" ref="BQ36" ca="1">GetResult(BP36)</f>
        <v>#VALUE!</v>
      </c>
      <c r="BR36" s="198" t="str">
        <f ca="1">IF(BR37&lt;&gt;"",
IF(LEFT(BV36,2)="博多",
LEFT(BV36,FIND("週",BV36)-1),
BV36),"")</f>
        <v/>
      </c>
      <c r="BS36" s="199"/>
      <c r="BT36" s="199"/>
      <c r="BU36" s="199"/>
      <c r="BV36" s="116" t="e">
        <f t="array" aca="1" ref="BV36" ca="1">INDIRECT("数出表_Excel!A"&amp;BQ36)</f>
        <v>#VALUE!</v>
      </c>
      <c r="BW36" s="101"/>
      <c r="BX36" s="101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2" t="e">
        <f t="array" aca="1" ref="BY36" ca="1">GetResult(BX36)</f>
        <v>#VALUE!</v>
      </c>
      <c r="BZ36" s="198" t="str">
        <f ca="1">IF(BZ37&lt;&gt;"",
IF(LEFT(CD36,2)="博多",
LEFT(CD36,FIND("週",CD36)-1),
CD36),"")</f>
        <v/>
      </c>
      <c r="CA36" s="199"/>
      <c r="CB36" s="199"/>
      <c r="CC36" s="199"/>
      <c r="CD36" s="120" t="e">
        <f t="array" aca="1" ref="CD36" ca="1">INDIRECT("数出表_Excel!A"&amp;BY36)</f>
        <v>#VALUE!</v>
      </c>
      <c r="CE36" s="101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2" t="e">
        <f t="array" aca="1" ref="CF36" ca="1">GetResult(CE36)</f>
        <v>#VALUE!</v>
      </c>
      <c r="CG36" s="198" t="str">
        <f ca="1">IF(CG37&lt;&gt;"",
IF(LEFT(CK36,2)="博多",
LEFT(CK36,FIND("週",CK36)-1),
CK36),"")</f>
        <v/>
      </c>
      <c r="CH36" s="199"/>
      <c r="CI36" s="199"/>
      <c r="CJ36" s="199"/>
      <c r="CK36" s="116" t="e">
        <f t="array" aca="1" ref="CK36" ca="1">INDIRECT("数出表_Excel!A"&amp;CF36)</f>
        <v>#VALUE!</v>
      </c>
      <c r="CL36" s="101"/>
      <c r="CM36" s="101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2" t="e">
        <f t="array" aca="1" ref="CN36" ca="1">GetResult(CM36)</f>
        <v>#VALUE!</v>
      </c>
      <c r="CO36" s="198" t="str">
        <f ca="1">IF(CO37&lt;&gt;"",
IF(LEFT(CS36,2)="博多",
LEFT(CS36,FIND("週",CS36)-1),
CS36),"")</f>
        <v/>
      </c>
      <c r="CP36" s="199"/>
      <c r="CQ36" s="199"/>
      <c r="CR36" s="199"/>
      <c r="CS36" s="120" t="e">
        <f t="array" aca="1" ref="CS36" ca="1">INDIRECT("数出表_Excel!A"&amp;CN36)</f>
        <v>#VALUE!</v>
      </c>
      <c r="CT36" s="101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2" t="e">
        <f t="array" aca="1" ref="CU36" ca="1">GetResult(CT36)</f>
        <v>#VALUE!</v>
      </c>
      <c r="CV36" s="198" t="str">
        <f ca="1">IF(CV37&lt;&gt;"",
IF(LEFT(CZ36,2)="博多",
LEFT(CZ36,FIND("週",CZ36)-1),
CZ36),"")</f>
        <v/>
      </c>
      <c r="CW36" s="199"/>
      <c r="CX36" s="199"/>
      <c r="CY36" s="199"/>
      <c r="CZ36" s="116" t="e">
        <f t="array" aca="1" ref="CZ36" ca="1">INDIRECT("数出表_Excel!A"&amp;CU36)</f>
        <v>#VALUE!</v>
      </c>
      <c r="DA36" s="101"/>
      <c r="DB36" s="101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2" t="e">
        <f t="array" aca="1" ref="DC36" ca="1">GetResult(DB36)</f>
        <v>#VALUE!</v>
      </c>
      <c r="DD36" s="198" t="str">
        <f ca="1">IF(DD37&lt;&gt;"",
IF(LEFT(DH36,2)="博多",
LEFT(DH36,FIND("週",DH36)-1),
DH36),"")</f>
        <v/>
      </c>
      <c r="DE36" s="199"/>
      <c r="DF36" s="199"/>
      <c r="DG36" s="199"/>
      <c r="DH36" s="120" t="e">
        <f t="array" aca="1" ref="DH36" ca="1">INDIRECT("数出表_Excel!A"&amp;DC36)</f>
        <v>#VALUE!</v>
      </c>
      <c r="DI36" s="101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2" t="e">
        <f t="array" aca="1" ref="DJ36" ca="1">GetResult(DI36)</f>
        <v>#VALUE!</v>
      </c>
      <c r="DK36" s="198" t="str">
        <f ca="1">IF(DK37&lt;&gt;"",
IF(LEFT(DO36,2)="博多",
LEFT(DO36,FIND("週",DO36)-1),
DO36),"")</f>
        <v/>
      </c>
      <c r="DL36" s="199"/>
      <c r="DM36" s="199"/>
      <c r="DN36" s="199"/>
      <c r="DO36" s="116" t="e">
        <f t="array" aca="1" ref="DO36" ca="1">INDIRECT("数出表_Excel!A"&amp;DJ36)</f>
        <v>#VALUE!</v>
      </c>
      <c r="DP36" s="101"/>
      <c r="DQ36" s="101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2" t="e">
        <f t="array" aca="1" ref="DR36" ca="1">GetResult(DQ36)</f>
        <v>#VALUE!</v>
      </c>
      <c r="DS36" s="198" t="str">
        <f ca="1">IF(DS37&lt;&gt;"",
IF(LEFT(DW36,2)="博多",
LEFT(DW36,FIND("週",DW36)-1),
DW36),"")</f>
        <v/>
      </c>
      <c r="DT36" s="199"/>
      <c r="DU36" s="199"/>
      <c r="DV36" s="199"/>
      <c r="DW36" s="120" t="e">
        <f t="array" aca="1" ref="DW36" ca="1">INDIRECT("数出表_Excel!A"&amp;DR36)</f>
        <v>#VALUE!</v>
      </c>
      <c r="DX36" s="101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2" t="e">
        <f t="array" aca="1" ref="DY36" ca="1">GetResult(DX36)</f>
        <v>#VALUE!</v>
      </c>
      <c r="DZ36" s="198" t="str">
        <f ca="1">IF(DZ37&lt;&gt;"",
IF(LEFT(ED36,2)="博多",
LEFT(ED36,FIND("週",ED36)-1),
ED36),"")</f>
        <v/>
      </c>
      <c r="EA36" s="199"/>
      <c r="EB36" s="199"/>
      <c r="EC36" s="199"/>
      <c r="ED36" s="116" t="e">
        <f t="array" aca="1" ref="ED36" ca="1">INDIRECT("数出表_Excel!A"&amp;DY36)</f>
        <v>#VALUE!</v>
      </c>
      <c r="EE36" s="101"/>
      <c r="EF36" s="101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102" t="e">
        <f t="array" aca="1" ref="EG36" ca="1">GetResult(EF36)</f>
        <v>#VALUE!</v>
      </c>
      <c r="EH36" s="198" t="str">
        <f ca="1">IF(EH37&lt;&gt;"",
IF(LEFT(EL36,2)="博多",
LEFT(EL36,FIND("週",EL36)-1),
EL36),"")</f>
        <v/>
      </c>
      <c r="EI36" s="199"/>
      <c r="EJ36" s="199"/>
      <c r="EK36" s="199"/>
      <c r="EL36" s="120" t="e">
        <f t="array" aca="1" ref="EL36" ca="1">INDIRECT("数出表_Excel!A"&amp;EG36)</f>
        <v>#VALUE!</v>
      </c>
      <c r="EM36" s="101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102" t="e">
        <f t="array" aca="1" ref="EN36" ca="1">GetResult(EM36)</f>
        <v>#VALUE!</v>
      </c>
      <c r="EO36" s="198" t="str">
        <f ca="1">IF(EO37&lt;&gt;"",
IF(LEFT(ES36,2)="博多",
LEFT(ES36,FIND("週",ES36)-1),
ES36),"")</f>
        <v/>
      </c>
      <c r="EP36" s="199"/>
      <c r="EQ36" s="199"/>
      <c r="ER36" s="199"/>
      <c r="ES36" s="116" t="e">
        <f t="array" aca="1" ref="ES36" ca="1">INDIRECT("数出表_Excel!A"&amp;EN36)</f>
        <v>#VALUE!</v>
      </c>
      <c r="ET36" s="132"/>
      <c r="EU36" s="103">
        <f t="shared" si="2"/>
        <v>56</v>
      </c>
      <c r="EV36" s="103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3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3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3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3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3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3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3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3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3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3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3">
        <f t="shared" ca="1" si="3"/>
        <v>0</v>
      </c>
      <c r="FH36" s="103" t="b">
        <f t="array" aca="1" ref="FH36" ca="1">SUMPRODUCT((LEN(EV36:FF36)&gt;0)*1)&gt;0</f>
        <v>0</v>
      </c>
      <c r="FI36" s="103" t="str">
        <f t="array" aca="1" ref="FI36" ca="1">IFERROR(SMALL(IF(FG$1:FG$169&lt;&gt;0,FG$1:FG$169),ROW(A36)),"")</f>
        <v/>
      </c>
      <c r="FJ36" s="103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3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3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3" t="str">
        <f t="array" aca="1" ref="FM36" ca="1">IF($FI36&lt;&gt;"",
IF(FL36="",
INDIRECT("EY"&amp;$FI36&amp;"")&amp;"箱"
&amp;INDIRECT("EZ"&amp;$FI36&amp;""),""),"")</f>
        <v/>
      </c>
      <c r="FN36" s="103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3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3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3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3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3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3" customFormat="1" ht="19.2" customHeight="1" x14ac:dyDescent="0.55000000000000004">
      <c r="A37" s="101"/>
      <c r="B37" s="106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5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1"/>
      <c r="E37" s="107" t="str" cm="1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108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1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1"/>
      <c r="I37" s="106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5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1"/>
      <c r="L37" s="107" t="str" cm="1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108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7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1"/>
      <c r="P37" s="101"/>
      <c r="Q37" s="106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5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1"/>
      <c r="T37" s="107" t="str" cm="1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108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1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1"/>
      <c r="X37" s="106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5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1"/>
      <c r="AA37" s="107" t="str" cm="1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108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7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1"/>
      <c r="AE37" s="101"/>
      <c r="AF37" s="106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5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1"/>
      <c r="AI37" s="107" t="str" cm="1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108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1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1"/>
      <c r="AM37" s="106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5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1"/>
      <c r="AP37" s="107" t="str" cm="1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108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7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1"/>
      <c r="AT37" s="101"/>
      <c r="AU37" s="106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5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1"/>
      <c r="AX37" s="107" t="str" cm="1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108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1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1"/>
      <c r="BB37" s="106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5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1"/>
      <c r="BE37" s="107" t="str" cm="1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108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7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1"/>
      <c r="BI37" s="101"/>
      <c r="BJ37" s="106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5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1"/>
      <c r="BM37" s="107" t="str" cm="1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108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1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1"/>
      <c r="BQ37" s="106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5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1"/>
      <c r="BT37" s="107" t="str" cm="1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108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7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1"/>
      <c r="BX37" s="101"/>
      <c r="BY37" s="106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5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1"/>
      <c r="CB37" s="107" t="str" cm="1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108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1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1"/>
      <c r="CF37" s="106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5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1"/>
      <c r="CI37" s="107" t="str" cm="1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108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7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1"/>
      <c r="CM37" s="101"/>
      <c r="CN37" s="106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5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1"/>
      <c r="CQ37" s="107" t="str" cm="1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108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1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1"/>
      <c r="CU37" s="106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5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1"/>
      <c r="CX37" s="107" t="str" cm="1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108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7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1"/>
      <c r="DB37" s="101"/>
      <c r="DC37" s="106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5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1"/>
      <c r="DF37" s="107" t="str" cm="1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108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1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1"/>
      <c r="DJ37" s="106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5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1"/>
      <c r="DM37" s="107" t="str" cm="1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108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7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1"/>
      <c r="DQ37" s="101"/>
      <c r="DR37" s="106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5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1"/>
      <c r="DU37" s="107" t="str" cm="1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108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1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1"/>
      <c r="DY37" s="106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5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1"/>
      <c r="EB37" s="107" t="str" cm="1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108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7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1"/>
      <c r="EF37" s="101"/>
      <c r="EG37" s="106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5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101"/>
      <c r="EJ37" s="107" t="str" cm="1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108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21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101"/>
      <c r="EN37" s="106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5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101"/>
      <c r="EQ37" s="107" t="str" cm="1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108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117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3"/>
      <c r="EU37" s="103">
        <f t="shared" si="2"/>
        <v>21</v>
      </c>
      <c r="EV37" s="103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3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3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3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3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3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3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3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3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3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3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3">
        <f t="shared" ca="1" si="3"/>
        <v>0</v>
      </c>
      <c r="FH37" s="103" t="e">
        <f t="array" aca="1" ref="FH37" ca="1">SUMPRODUCT((LEN(EV37:FF37)&gt;0)*1)&gt;0</f>
        <v>#VALUE!</v>
      </c>
      <c r="FI37" s="103" t="str">
        <f t="array" aca="1" ref="FI37" ca="1">IFERROR(SMALL(IF(FG$1:FG$169&lt;&gt;0,FG$1:FG$169),ROW(A37)),"")</f>
        <v/>
      </c>
      <c r="FJ37" s="103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3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3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3" t="str">
        <f t="array" aca="1" ref="FM37" ca="1">IF($FI37&lt;&gt;"",
IF(FL37="",
INDIRECT("EY"&amp;$FI37&amp;"")&amp;"箱"
&amp;INDIRECT("EZ"&amp;$FI37&amp;""),""),"")</f>
        <v/>
      </c>
      <c r="FN37" s="103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3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3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3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3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3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3" customFormat="1" ht="22.2" customHeight="1" x14ac:dyDescent="0.55000000000000004">
      <c r="A38" s="101"/>
      <c r="B38" s="109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196" t="str">
        <f ca="1">IF(C37&lt;&gt;"",
"園児","")</f>
        <v/>
      </c>
      <c r="D38" s="197"/>
      <c r="E38" s="200" t="str">
        <f ca="1">IF(C37&lt;&gt;"",
"先生","")</f>
        <v/>
      </c>
      <c r="F38" s="197"/>
      <c r="G38" s="122" cm="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101"/>
      <c r="I38" s="109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96" t="str">
        <f ca="1">IF(J37&lt;&gt;"",
"園児","")</f>
        <v/>
      </c>
      <c r="K38" s="197"/>
      <c r="L38" s="200" t="str">
        <f ca="1">IF(J37&lt;&gt;"",
"先生","")</f>
        <v/>
      </c>
      <c r="M38" s="197"/>
      <c r="N38" s="122" cm="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101"/>
      <c r="P38" s="101"/>
      <c r="Q38" s="109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196" t="str">
        <f ca="1">IF(R37&lt;&gt;"",
"園児","")</f>
        <v/>
      </c>
      <c r="S38" s="197"/>
      <c r="T38" s="200" t="str">
        <f ca="1">IF(R37&lt;&gt;"",
"先生","")</f>
        <v/>
      </c>
      <c r="U38" s="197"/>
      <c r="V38" s="122" cm="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101"/>
      <c r="X38" s="109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96" t="str">
        <f ca="1">IF(Y37&lt;&gt;"",
"園児","")</f>
        <v/>
      </c>
      <c r="Z38" s="197"/>
      <c r="AA38" s="200" t="str">
        <f ca="1">IF(Y37&lt;&gt;"",
"先生","")</f>
        <v/>
      </c>
      <c r="AB38" s="197"/>
      <c r="AC38" s="122" cm="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101"/>
      <c r="AE38" s="101"/>
      <c r="AF38" s="109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196" t="str">
        <f ca="1">IF(AG37&lt;&gt;"",
"園児","")</f>
        <v/>
      </c>
      <c r="AH38" s="197"/>
      <c r="AI38" s="200" t="str">
        <f ca="1">IF(AG37&lt;&gt;"",
"先生","")</f>
        <v/>
      </c>
      <c r="AJ38" s="197"/>
      <c r="AK38" s="122" cm="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101"/>
      <c r="AM38" s="109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96" t="str">
        <f ca="1">IF(AN37&lt;&gt;"",
"園児","")</f>
        <v/>
      </c>
      <c r="AO38" s="197"/>
      <c r="AP38" s="200" t="str">
        <f ca="1">IF(AN37&lt;&gt;"",
"先生","")</f>
        <v/>
      </c>
      <c r="AQ38" s="197"/>
      <c r="AR38" s="122" cm="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101"/>
      <c r="AT38" s="101"/>
      <c r="AU38" s="109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196" t="str">
        <f ca="1">IF(AV37&lt;&gt;"",
"園児","")</f>
        <v/>
      </c>
      <c r="AW38" s="197"/>
      <c r="AX38" s="200" t="str">
        <f ca="1">IF(AV37&lt;&gt;"",
"先生","")</f>
        <v/>
      </c>
      <c r="AY38" s="197"/>
      <c r="AZ38" s="122" cm="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101"/>
      <c r="BB38" s="109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96" t="str">
        <f ca="1">IF(BC37&lt;&gt;"",
"園児","")</f>
        <v/>
      </c>
      <c r="BD38" s="197"/>
      <c r="BE38" s="200" t="str">
        <f ca="1">IF(BC37&lt;&gt;"",
"先生","")</f>
        <v/>
      </c>
      <c r="BF38" s="197"/>
      <c r="BG38" s="122" cm="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101"/>
      <c r="BI38" s="101"/>
      <c r="BJ38" s="109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196" t="str">
        <f ca="1">IF(BK37&lt;&gt;"",
"園児","")</f>
        <v/>
      </c>
      <c r="BL38" s="197"/>
      <c r="BM38" s="200" t="str">
        <f ca="1">IF(BK37&lt;&gt;"",
"先生","")</f>
        <v/>
      </c>
      <c r="BN38" s="197"/>
      <c r="BO38" s="122" cm="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101"/>
      <c r="BQ38" s="109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96" t="str">
        <f ca="1">IF(BR37&lt;&gt;"",
"園児","")</f>
        <v/>
      </c>
      <c r="BS38" s="197"/>
      <c r="BT38" s="200" t="str">
        <f ca="1">IF(BR37&lt;&gt;"",
"先生","")</f>
        <v/>
      </c>
      <c r="BU38" s="197"/>
      <c r="BV38" s="122" cm="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101"/>
      <c r="BX38" s="101"/>
      <c r="BY38" s="109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196" t="str">
        <f ca="1">IF(BZ37&lt;&gt;"",
"園児","")</f>
        <v/>
      </c>
      <c r="CA38" s="197"/>
      <c r="CB38" s="200" t="str">
        <f ca="1">IF(BZ37&lt;&gt;"",
"先生","")</f>
        <v/>
      </c>
      <c r="CC38" s="197"/>
      <c r="CD38" s="122" cm="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101"/>
      <c r="CF38" s="109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196" t="str">
        <f ca="1">IF(CG37&lt;&gt;"",
"園児","")</f>
        <v/>
      </c>
      <c r="CH38" s="197"/>
      <c r="CI38" s="200" t="str">
        <f ca="1">IF(CG37&lt;&gt;"",
"先生","")</f>
        <v/>
      </c>
      <c r="CJ38" s="197"/>
      <c r="CK38" s="122" cm="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101"/>
      <c r="CM38" s="101"/>
      <c r="CN38" s="109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196" t="str">
        <f ca="1">IF(CO37&lt;&gt;"",
"園児","")</f>
        <v/>
      </c>
      <c r="CP38" s="197"/>
      <c r="CQ38" s="200" t="str">
        <f ca="1">IF(CO37&lt;&gt;"",
"先生","")</f>
        <v/>
      </c>
      <c r="CR38" s="197"/>
      <c r="CS38" s="122" cm="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101"/>
      <c r="CU38" s="109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196" t="str">
        <f ca="1">IF(CV37&lt;&gt;"",
"園児","")</f>
        <v/>
      </c>
      <c r="CW38" s="197"/>
      <c r="CX38" s="200" t="str">
        <f ca="1">IF(CV37&lt;&gt;"",
"先生","")</f>
        <v/>
      </c>
      <c r="CY38" s="197"/>
      <c r="CZ38" s="122" cm="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101"/>
      <c r="DB38" s="101"/>
      <c r="DC38" s="109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196" t="str">
        <f ca="1">IF(DD37&lt;&gt;"",
"園児","")</f>
        <v/>
      </c>
      <c r="DE38" s="197"/>
      <c r="DF38" s="200" t="str">
        <f ca="1">IF(DD37&lt;&gt;"",
"先生","")</f>
        <v/>
      </c>
      <c r="DG38" s="197"/>
      <c r="DH38" s="122" cm="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101"/>
      <c r="DJ38" s="109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196" t="str">
        <f ca="1">IF(DK37&lt;&gt;"",
"園児","")</f>
        <v/>
      </c>
      <c r="DL38" s="197"/>
      <c r="DM38" s="200" t="str">
        <f ca="1">IF(DK37&lt;&gt;"",
"先生","")</f>
        <v/>
      </c>
      <c r="DN38" s="197"/>
      <c r="DO38" s="122" cm="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101"/>
      <c r="DQ38" s="101"/>
      <c r="DR38" s="109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196" t="str">
        <f ca="1">IF(DS37&lt;&gt;"",
"園児","")</f>
        <v/>
      </c>
      <c r="DT38" s="197"/>
      <c r="DU38" s="200" t="str">
        <f ca="1">IF(DS37&lt;&gt;"",
"先生","")</f>
        <v/>
      </c>
      <c r="DV38" s="197"/>
      <c r="DW38" s="122" cm="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101"/>
      <c r="DY38" s="109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196" t="str">
        <f ca="1">IF(DZ37&lt;&gt;"",
"園児","")</f>
        <v/>
      </c>
      <c r="EA38" s="197"/>
      <c r="EB38" s="200" t="str">
        <f ca="1">IF(DZ37&lt;&gt;"",
"先生","")</f>
        <v/>
      </c>
      <c r="EC38" s="197"/>
      <c r="ED38" s="122" cm="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101"/>
      <c r="EF38" s="101"/>
      <c r="EG38" s="109" t="e">
        <f t="array" aca="1" ref="EG38" ca="1">IF(AND(LEFT(EL36,2)="博多",
LEFT(INDIRECT("数出表_Excel!A"&amp;MATCH(EL36,数出表_Excel!$A:$A,0)-1),2)
=LEFT(INDIRECT("数出表_Excel!A"&amp;MATCH(EL36,数出表_Excel!$A:$A,0)+1),2)),100,"")</f>
        <v>#VALUE!</v>
      </c>
      <c r="EH38" s="196" t="str">
        <f ca="1">IF(EH37&lt;&gt;"",
"園児","")</f>
        <v/>
      </c>
      <c r="EI38" s="197"/>
      <c r="EJ38" s="200" t="str">
        <f ca="1">IF(EH37&lt;&gt;"",
"先生","")</f>
        <v/>
      </c>
      <c r="EK38" s="197"/>
      <c r="EL38" s="122" cm="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101"/>
      <c r="EN38" s="109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196" t="str">
        <f ca="1">IF(EO37&lt;&gt;"",
"園児","")</f>
        <v/>
      </c>
      <c r="EP38" s="197"/>
      <c r="EQ38" s="200" t="str">
        <f ca="1">IF(EO37&lt;&gt;"",
"先生","")</f>
        <v/>
      </c>
      <c r="ER38" s="197"/>
      <c r="ES38" s="122" cm="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32"/>
      <c r="EU38" s="103">
        <f t="shared" si="2"/>
        <v>63</v>
      </c>
      <c r="EV38" s="103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3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3" t="str" cm="1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3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3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3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3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3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3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3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3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3">
        <f t="shared" ca="1" si="3"/>
        <v>0</v>
      </c>
      <c r="FH38" s="103" t="b">
        <f t="array" aca="1" ref="FH38" ca="1">SUMPRODUCT((LEN(EV38:FF38)&gt;0)*1)&gt;0</f>
        <v>0</v>
      </c>
      <c r="FI38" s="103" t="str">
        <f t="array" aca="1" ref="FI38" ca="1">IFERROR(SMALL(IF(FG$1:FG$169&lt;&gt;0,FG$1:FG$169),ROW(A38)),"")</f>
        <v/>
      </c>
      <c r="FJ38" s="103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3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3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3" t="str">
        <f t="array" aca="1" ref="FM38" ca="1">IF($FI38&lt;&gt;"",
IF(FL38="",
INDIRECT("EY"&amp;$FI38&amp;"")&amp;"箱"
&amp;INDIRECT("EZ"&amp;$FI38&amp;""),""),"")</f>
        <v/>
      </c>
      <c r="FN38" s="103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3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3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3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3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3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0.45">
      <c r="B39" s="111"/>
      <c r="C39" s="192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193"/>
      <c r="E39" s="195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193"/>
      <c r="G39" s="122" t="e" cm="1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"")),0),""),0)</f>
        <v>#VALUE!</v>
      </c>
      <c r="I39" s="111"/>
      <c r="J39" s="192" t="e">
        <f t="array" aca="1" ref="J39" ca="1">IF(AND(U29="社食",N36="社食"),"",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193"/>
      <c r="L39" s="195" t="e" cm="1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193"/>
      <c r="N39" s="122" t="e" cm="1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"")),0),""),0)</f>
        <v>#VALUE!</v>
      </c>
      <c r="Q39" s="111"/>
      <c r="R39" s="192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193"/>
      <c r="T39" s="195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193"/>
      <c r="V39" s="122" t="e" cm="1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"")),0),""),0)</f>
        <v>#VALUE!</v>
      </c>
      <c r="X39" s="111"/>
      <c r="Y39" s="192" t="e">
        <f t="array" aca="1" ref="Y39" ca="1">IF(AND(AJ29="社食",AC36="社食"),"",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193"/>
      <c r="AA39" s="195" t="e" cm="1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193"/>
      <c r="AC39" s="122" t="e" cm="1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"")),0),""),0)</f>
        <v>#VALUE!</v>
      </c>
      <c r="AF39" s="111"/>
      <c r="AG39" s="192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193"/>
      <c r="AI39" s="195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193"/>
      <c r="AK39" s="122" t="e" cm="1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"")),0),""),0)</f>
        <v>#VALUE!</v>
      </c>
      <c r="AM39" s="111"/>
      <c r="AN39" s="192" t="e">
        <f t="array" aca="1" ref="AN39" ca="1">IF(AND(AY29="社食",AR36="社食"),"",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193"/>
      <c r="AP39" s="195" t="e" cm="1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193"/>
      <c r="AR39" s="122" t="e" cm="1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"")),0),""),0)</f>
        <v>#VALUE!</v>
      </c>
      <c r="AU39" s="111"/>
      <c r="AV39" s="192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193"/>
      <c r="AX39" s="195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193"/>
      <c r="AZ39" s="122" t="e" cm="1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"")),0),""),0)</f>
        <v>#VALUE!</v>
      </c>
      <c r="BB39" s="111"/>
      <c r="BC39" s="192" t="e">
        <f t="array" aca="1" ref="BC39" ca="1">IF(AND(BN29="社食",BG36="社食"),"",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193"/>
      <c r="BE39" s="195" t="e" cm="1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193"/>
      <c r="BG39" s="122" t="e" cm="1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"")),0),""),0)</f>
        <v>#VALUE!</v>
      </c>
      <c r="BJ39" s="111"/>
      <c r="BK39" s="192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193"/>
      <c r="BM39" s="195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193"/>
      <c r="BO39" s="122" t="e" cm="1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"")),0),""),0)</f>
        <v>#VALUE!</v>
      </c>
      <c r="BQ39" s="111"/>
      <c r="BR39" s="192" t="e">
        <f t="array" aca="1" ref="BR39" ca="1">IF(AND(CC29="社食",BV36="社食"),"",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193"/>
      <c r="BT39" s="195" t="e" cm="1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193"/>
      <c r="BV39" s="122" t="e" cm="1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"")),0),""),0)</f>
        <v>#VALUE!</v>
      </c>
      <c r="BY39" s="111"/>
      <c r="BZ39" s="192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193"/>
      <c r="CB39" s="195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193"/>
      <c r="CD39" s="122" t="e" cm="1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"")),0),""),0)</f>
        <v>#VALUE!</v>
      </c>
      <c r="CF39" s="111"/>
      <c r="CG39" s="192" t="e">
        <f t="array" aca="1" ref="CG39" ca="1">IF(AND(CR29="社食",CK36="社食"),"",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193"/>
      <c r="CI39" s="195" t="e" cm="1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193"/>
      <c r="CK39" s="122" t="e" cm="1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"")),0),""),0)</f>
        <v>#VALUE!</v>
      </c>
      <c r="CN39" s="111"/>
      <c r="CO39" s="192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193"/>
      <c r="CQ39" s="195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193"/>
      <c r="CS39" s="122" t="e" cm="1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"")),0),""),0)</f>
        <v>#VALUE!</v>
      </c>
      <c r="CU39" s="111"/>
      <c r="CV39" s="192" t="e">
        <f t="array" aca="1" ref="CV39" ca="1">IF(AND(DG29="社食",CZ36="社食"),"",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193"/>
      <c r="CX39" s="195" t="e" cm="1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193"/>
      <c r="CZ39" s="122" t="e" cm="1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"")),0),""),0)</f>
        <v>#VALUE!</v>
      </c>
      <c r="DC39" s="111"/>
      <c r="DD39" s="192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193"/>
      <c r="DF39" s="195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193"/>
      <c r="DH39" s="122" t="e" cm="1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"")),0),""),0)</f>
        <v>#VALUE!</v>
      </c>
      <c r="DJ39" s="111"/>
      <c r="DK39" s="192" t="e">
        <f t="array" aca="1" ref="DK39" ca="1">IF(AND(DV29="社食",DO36="社食"),"",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193"/>
      <c r="DM39" s="195" t="e" cm="1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193"/>
      <c r="DO39" s="122" t="e" cm="1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"")),0),""),0)</f>
        <v>#VALUE!</v>
      </c>
      <c r="DR39" s="111"/>
      <c r="DS39" s="192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193"/>
      <c r="DU39" s="195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193"/>
      <c r="DW39" s="122" t="e" cm="1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"")),0),""),0)</f>
        <v>#VALUE!</v>
      </c>
      <c r="DY39" s="111"/>
      <c r="DZ39" s="192" t="e">
        <f t="array" aca="1" ref="DZ39" ca="1">IF(AND(EK29="社食",ED36="社食"),"",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193"/>
      <c r="EB39" s="195" t="e" cm="1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193"/>
      <c r="ED39" s="122" t="e" cm="1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"")),0),""),0)</f>
        <v>#VALUE!</v>
      </c>
      <c r="EG39" s="111"/>
      <c r="EH39" s="192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193"/>
      <c r="EJ39" s="195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193"/>
      <c r="EL39" s="122" t="e" cm="1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"")),0),""),0)</f>
        <v>#VALUE!</v>
      </c>
      <c r="EN39" s="111"/>
      <c r="EO39" s="192" t="e">
        <f t="array" aca="1" ref="EO39" ca="1">IF(AND(EZ29="社食",ES36="社食"),"",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193"/>
      <c r="EQ39" s="195" t="e" cm="1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193"/>
      <c r="ES39" s="122" t="e" cm="1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"")),0),""),0)</f>
        <v>#VALUE!</v>
      </c>
      <c r="ET39" s="132"/>
      <c r="EU39" s="112">
        <f t="shared" si="2"/>
        <v>21</v>
      </c>
      <c r="EV39" s="103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3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3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3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3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3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3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3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3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3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3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3">
        <f t="shared" ca="1" si="3"/>
        <v>0</v>
      </c>
      <c r="FH39" s="103" t="e">
        <f t="array" aca="1" ref="FH39" ca="1">SUMPRODUCT((LEN(EV39:FF39)&gt;0)*1)&gt;0</f>
        <v>#VALUE!</v>
      </c>
      <c r="FI39" s="103" t="str">
        <f t="array" aca="1" ref="FI39" ca="1">IFERROR(SMALL(IF(FG$1:FG$169&lt;&gt;0,FG$1:FG$169),ROW(A39)),"")</f>
        <v/>
      </c>
      <c r="FJ39" s="103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3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3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3" t="str">
        <f t="array" aca="1" ref="FM39" ca="1">IF($FI39&lt;&gt;"",
IF(FL39="",
INDIRECT("EY"&amp;$FI39&amp;"")&amp;"箱"
&amp;INDIRECT("EZ"&amp;$FI39&amp;""),""),"")</f>
        <v/>
      </c>
      <c r="FN39" s="103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3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3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3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3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3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221" t="s">
        <v>585</v>
      </c>
      <c r="C40" s="194"/>
      <c r="D40" s="194"/>
      <c r="E40" s="194"/>
      <c r="F40" s="194"/>
      <c r="G40" s="123" t="str">
        <f ca="1">SUBSTITUTE(SUBSTITUTE(ADDRESS(1,MATCH("おやつ",'数出表_Excel（アレルギー入力）'!$3:$3,0)),1,""),"$","")</f>
        <v>AL</v>
      </c>
      <c r="I40" s="221" t="s">
        <v>585</v>
      </c>
      <c r="J40" s="194"/>
      <c r="K40" s="194"/>
      <c r="L40" s="194"/>
      <c r="M40" s="194"/>
      <c r="N40" s="123" t="str">
        <f ca="1">SUBSTITUTE(SUBSTITUTE(ADDRESS(1,MATCH("おやつ",'数出表_Excel（アレルギー入力）'!$3:$3,0)),1,""),"$","")</f>
        <v>AL</v>
      </c>
      <c r="Q40" s="221" t="s">
        <v>585</v>
      </c>
      <c r="R40" s="194"/>
      <c r="S40" s="194"/>
      <c r="T40" s="194"/>
      <c r="U40" s="194"/>
      <c r="V40" s="123" t="str">
        <f ca="1">SUBSTITUTE(SUBSTITUTE(ADDRESS(1,MATCH("おやつ",'数出表_Excel（アレルギー入力）'!$3:$3,0)),1,""),"$","")</f>
        <v>AL</v>
      </c>
      <c r="X40" s="221" t="s">
        <v>585</v>
      </c>
      <c r="Y40" s="194"/>
      <c r="Z40" s="194"/>
      <c r="AA40" s="194"/>
      <c r="AB40" s="194"/>
      <c r="AC40" s="123" t="str">
        <f ca="1">SUBSTITUTE(SUBSTITUTE(ADDRESS(1,MATCH("おやつ",'数出表_Excel（アレルギー入力）'!$3:$3,0)),1,""),"$","")</f>
        <v>AL</v>
      </c>
      <c r="AF40" s="221" t="s">
        <v>585</v>
      </c>
      <c r="AG40" s="194"/>
      <c r="AH40" s="194"/>
      <c r="AI40" s="194"/>
      <c r="AJ40" s="194"/>
      <c r="AK40" s="123" t="str">
        <f ca="1">SUBSTITUTE(SUBSTITUTE(ADDRESS(1,MATCH("おやつ",'数出表_Excel（アレルギー入力）'!$3:$3,0)),1,""),"$","")</f>
        <v>AL</v>
      </c>
      <c r="AM40" s="221" t="s">
        <v>585</v>
      </c>
      <c r="AN40" s="194"/>
      <c r="AO40" s="194"/>
      <c r="AP40" s="194"/>
      <c r="AQ40" s="194"/>
      <c r="AR40" s="123" t="str">
        <f ca="1">SUBSTITUTE(SUBSTITUTE(ADDRESS(1,MATCH("おやつ",'数出表_Excel（アレルギー入力）'!$3:$3,0)),1,""),"$","")</f>
        <v>AL</v>
      </c>
      <c r="AU40" s="221" t="s">
        <v>585</v>
      </c>
      <c r="AV40" s="194"/>
      <c r="AW40" s="194"/>
      <c r="AX40" s="194"/>
      <c r="AY40" s="194"/>
      <c r="AZ40" s="123" t="str">
        <f ca="1">SUBSTITUTE(SUBSTITUTE(ADDRESS(1,MATCH("おやつ",'数出表_Excel（アレルギー入力）'!$3:$3,0)),1,""),"$","")</f>
        <v>AL</v>
      </c>
      <c r="BB40" s="221" t="s">
        <v>585</v>
      </c>
      <c r="BC40" s="194"/>
      <c r="BD40" s="194"/>
      <c r="BE40" s="194"/>
      <c r="BF40" s="194"/>
      <c r="BG40" s="123" t="str">
        <f ca="1">SUBSTITUTE(SUBSTITUTE(ADDRESS(1,MATCH("おやつ",'数出表_Excel（アレルギー入力）'!$3:$3,0)),1,""),"$","")</f>
        <v>AL</v>
      </c>
      <c r="BJ40" s="221" t="s">
        <v>585</v>
      </c>
      <c r="BK40" s="194"/>
      <c r="BL40" s="194"/>
      <c r="BM40" s="194"/>
      <c r="BN40" s="194"/>
      <c r="BO40" s="123" t="str">
        <f ca="1">SUBSTITUTE(SUBSTITUTE(ADDRESS(1,MATCH("おやつ",'数出表_Excel（アレルギー入力）'!$3:$3,0)),1,""),"$","")</f>
        <v>AL</v>
      </c>
      <c r="BQ40" s="221" t="s">
        <v>585</v>
      </c>
      <c r="BR40" s="194"/>
      <c r="BS40" s="194"/>
      <c r="BT40" s="194"/>
      <c r="BU40" s="194"/>
      <c r="BV40" s="123" t="str">
        <f ca="1">SUBSTITUTE(SUBSTITUTE(ADDRESS(1,MATCH("おやつ",'数出表_Excel（アレルギー入力）'!$3:$3,0)),1,""),"$","")</f>
        <v>AL</v>
      </c>
      <c r="BY40" s="221" t="s">
        <v>585</v>
      </c>
      <c r="BZ40" s="194"/>
      <c r="CA40" s="194"/>
      <c r="CB40" s="194"/>
      <c r="CC40" s="194"/>
      <c r="CD40" s="123" t="str">
        <f ca="1">SUBSTITUTE(SUBSTITUTE(ADDRESS(1,MATCH("おやつ",'数出表_Excel（アレルギー入力）'!$3:$3,0)),1,""),"$","")</f>
        <v>AL</v>
      </c>
      <c r="CF40" s="221" t="s">
        <v>585</v>
      </c>
      <c r="CG40" s="194"/>
      <c r="CH40" s="194"/>
      <c r="CI40" s="194"/>
      <c r="CJ40" s="194"/>
      <c r="CK40" s="123" t="str">
        <f ca="1">SUBSTITUTE(SUBSTITUTE(ADDRESS(1,MATCH("おやつ",'数出表_Excel（アレルギー入力）'!$3:$3,0)),1,""),"$","")</f>
        <v>AL</v>
      </c>
      <c r="CN40" s="221" t="s">
        <v>585</v>
      </c>
      <c r="CO40" s="194"/>
      <c r="CP40" s="194"/>
      <c r="CQ40" s="194"/>
      <c r="CR40" s="194"/>
      <c r="CS40" s="123" t="str">
        <f ca="1">SUBSTITUTE(SUBSTITUTE(ADDRESS(1,MATCH("おやつ",'数出表_Excel（アレルギー入力）'!$3:$3,0)),1,""),"$","")</f>
        <v>AL</v>
      </c>
      <c r="CU40" s="221" t="s">
        <v>585</v>
      </c>
      <c r="CV40" s="194"/>
      <c r="CW40" s="194"/>
      <c r="CX40" s="194"/>
      <c r="CY40" s="194"/>
      <c r="CZ40" s="123" t="str">
        <f ca="1">SUBSTITUTE(SUBSTITUTE(ADDRESS(1,MATCH("おやつ",'数出表_Excel（アレルギー入力）'!$3:$3,0)),1,""),"$","")</f>
        <v>AL</v>
      </c>
      <c r="DC40" s="221" t="s">
        <v>585</v>
      </c>
      <c r="DD40" s="194"/>
      <c r="DE40" s="194"/>
      <c r="DF40" s="194"/>
      <c r="DG40" s="194"/>
      <c r="DH40" s="123" t="str">
        <f ca="1">SUBSTITUTE(SUBSTITUTE(ADDRESS(1,MATCH("おやつ",'数出表_Excel（アレルギー入力）'!$3:$3,0)),1,""),"$","")</f>
        <v>AL</v>
      </c>
      <c r="DJ40" s="221" t="s">
        <v>585</v>
      </c>
      <c r="DK40" s="194"/>
      <c r="DL40" s="194"/>
      <c r="DM40" s="194"/>
      <c r="DN40" s="194"/>
      <c r="DO40" s="123" t="str">
        <f ca="1">SUBSTITUTE(SUBSTITUTE(ADDRESS(1,MATCH("おやつ",'数出表_Excel（アレルギー入力）'!$3:$3,0)),1,""),"$","")</f>
        <v>AL</v>
      </c>
      <c r="DR40" s="221" t="s">
        <v>585</v>
      </c>
      <c r="DS40" s="194"/>
      <c r="DT40" s="194"/>
      <c r="DU40" s="194"/>
      <c r="DV40" s="194"/>
      <c r="DW40" s="123" t="str">
        <f ca="1">SUBSTITUTE(SUBSTITUTE(ADDRESS(1,MATCH("おやつ",'数出表_Excel（アレルギー入力）'!$3:$3,0)),1,""),"$","")</f>
        <v>AL</v>
      </c>
      <c r="DY40" s="221" t="s">
        <v>585</v>
      </c>
      <c r="DZ40" s="194"/>
      <c r="EA40" s="194"/>
      <c r="EB40" s="194"/>
      <c r="EC40" s="194"/>
      <c r="ED40" s="123" t="str">
        <f ca="1">SUBSTITUTE(SUBSTITUTE(ADDRESS(1,MATCH("おやつ",'数出表_Excel（アレルギー入力）'!$3:$3,0)),1,""),"$","")</f>
        <v>AL</v>
      </c>
      <c r="EG40" s="221" t="s">
        <v>585</v>
      </c>
      <c r="EH40" s="194"/>
      <c r="EI40" s="194"/>
      <c r="EJ40" s="194"/>
      <c r="EK40" s="194"/>
      <c r="EL40" s="123" t="str">
        <f ca="1">SUBSTITUTE(SUBSTITUTE(ADDRESS(1,MATCH("おやつ",'数出表_Excel（アレルギー入力）'!$3:$3,0)),1,""),"$","")</f>
        <v>AL</v>
      </c>
      <c r="EN40" s="221" t="s">
        <v>585</v>
      </c>
      <c r="EO40" s="194"/>
      <c r="EP40" s="194"/>
      <c r="EQ40" s="194"/>
      <c r="ER40" s="194"/>
      <c r="ES40" s="123" t="str">
        <f ca="1">SUBSTITUTE(SUBSTITUTE(ADDRESS(1,MATCH("おやつ",'数出表_Excel（アレルギー入力）'!$3:$3,0)),1,""),"$","")</f>
        <v>AL</v>
      </c>
      <c r="ET40" s="132"/>
      <c r="EU40" s="103">
        <f t="shared" si="2"/>
        <v>63</v>
      </c>
      <c r="EV40" s="103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3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3" t="str" cm="1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3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3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3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3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3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3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3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3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3">
        <f t="shared" ca="1" si="3"/>
        <v>0</v>
      </c>
      <c r="FH40" s="103" t="b">
        <f t="array" aca="1" ref="FH40" ca="1">SUMPRODUCT((LEN(EV40:FF40)&gt;0)*1)&gt;0</f>
        <v>0</v>
      </c>
      <c r="FI40" s="103" t="str">
        <f t="array" aca="1" ref="FI40" ca="1">IFERROR(SMALL(IF(FG$1:FG$169&lt;&gt;0,FG$1:FG$169),ROW(A40)),"")</f>
        <v/>
      </c>
      <c r="FJ40" s="103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3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3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3" t="str">
        <f t="array" aca="1" ref="FM40" ca="1">IF($FI40&lt;&gt;"",
IF(FL40="",
INDIRECT("EY"&amp;$FI40&amp;"")&amp;"箱"
&amp;INDIRECT("EZ"&amp;$FI40&amp;""),""),"")</f>
        <v/>
      </c>
      <c r="FN40" s="103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3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3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3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3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3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3" customFormat="1" ht="22.2" customHeight="1" x14ac:dyDescent="0.55000000000000004">
      <c r="A41" s="101"/>
      <c r="B41" s="114" t="str">
        <f ca="1">IF(C37&lt;&gt;"",
"パン箱","")</f>
        <v/>
      </c>
      <c r="C41" s="115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4" t="str">
        <f ca="1">IF(C37&lt;&gt;"",
" 端数","")</f>
        <v/>
      </c>
      <c r="E41" s="115"/>
      <c r="F41" s="114" t="str">
        <f ca="1">IF(C37&lt;&gt;"",
"アレルギー","")</f>
        <v/>
      </c>
      <c r="G41" s="122"/>
      <c r="H41" s="101"/>
      <c r="I41" s="114" t="str">
        <f ca="1">IF(J37&lt;&gt;"",
"パン箱","")</f>
        <v/>
      </c>
      <c r="J41" s="115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4" t="str">
        <f ca="1">IF(J37&lt;&gt;"",
" 端数","")</f>
        <v/>
      </c>
      <c r="L41" s="115"/>
      <c r="M41" s="114" t="str">
        <f ca="1">IF(J37&lt;&gt;"",
"アレルギー","")</f>
        <v/>
      </c>
      <c r="N41" s="122"/>
      <c r="O41" s="101"/>
      <c r="P41" s="101"/>
      <c r="Q41" s="114" t="str">
        <f ca="1">IF(R37&lt;&gt;"",
"パン箱","")</f>
        <v/>
      </c>
      <c r="R41" s="115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4" t="str">
        <f ca="1">IF(R37&lt;&gt;"",
" 端数","")</f>
        <v/>
      </c>
      <c r="T41" s="115"/>
      <c r="U41" s="114" t="str">
        <f ca="1">IF(R37&lt;&gt;"",
"アレルギー","")</f>
        <v/>
      </c>
      <c r="V41" s="122"/>
      <c r="W41" s="101"/>
      <c r="X41" s="114" t="str">
        <f ca="1">IF(Y37&lt;&gt;"",
"パン箱","")</f>
        <v/>
      </c>
      <c r="Y41" s="115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4" t="str">
        <f ca="1">IF(Y37&lt;&gt;"",
" 端数","")</f>
        <v/>
      </c>
      <c r="AA41" s="115"/>
      <c r="AB41" s="114" t="str">
        <f ca="1">IF(Y37&lt;&gt;"",
"アレルギー","")</f>
        <v/>
      </c>
      <c r="AC41" s="122"/>
      <c r="AD41" s="101"/>
      <c r="AE41" s="101"/>
      <c r="AF41" s="114" t="str">
        <f ca="1">IF(AG37&lt;&gt;"",
"パン箱","")</f>
        <v/>
      </c>
      <c r="AG41" s="115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4" t="str">
        <f ca="1">IF(AG37&lt;&gt;"",
" 端数","")</f>
        <v/>
      </c>
      <c r="AI41" s="115"/>
      <c r="AJ41" s="114" t="str">
        <f ca="1">IF(AG37&lt;&gt;"",
"アレルギー","")</f>
        <v/>
      </c>
      <c r="AK41" s="122"/>
      <c r="AL41" s="101"/>
      <c r="AM41" s="114" t="str">
        <f ca="1">IF(AN37&lt;&gt;"",
"パン箱","")</f>
        <v/>
      </c>
      <c r="AN41" s="115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4" t="str">
        <f ca="1">IF(AN37&lt;&gt;"",
" 端数","")</f>
        <v/>
      </c>
      <c r="AP41" s="115"/>
      <c r="AQ41" s="114" t="str">
        <f ca="1">IF(AN37&lt;&gt;"",
"アレルギー","")</f>
        <v/>
      </c>
      <c r="AR41" s="122"/>
      <c r="AS41" s="101"/>
      <c r="AT41" s="101"/>
      <c r="AU41" s="114" t="str">
        <f ca="1">IF(AV37&lt;&gt;"",
"パン箱","")</f>
        <v/>
      </c>
      <c r="AV41" s="115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4" t="str">
        <f ca="1">IF(AV37&lt;&gt;"",
" 端数","")</f>
        <v/>
      </c>
      <c r="AX41" s="115"/>
      <c r="AY41" s="114" t="str">
        <f ca="1">IF(AV37&lt;&gt;"",
"アレルギー","")</f>
        <v/>
      </c>
      <c r="AZ41" s="122"/>
      <c r="BA41" s="101"/>
      <c r="BB41" s="114" t="str">
        <f ca="1">IF(BC37&lt;&gt;"",
"パン箱","")</f>
        <v/>
      </c>
      <c r="BC41" s="115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4" t="str">
        <f ca="1">IF(BC37&lt;&gt;"",
" 端数","")</f>
        <v/>
      </c>
      <c r="BE41" s="115"/>
      <c r="BF41" s="114" t="str">
        <f ca="1">IF(BC37&lt;&gt;"",
"アレルギー","")</f>
        <v/>
      </c>
      <c r="BG41" s="122"/>
      <c r="BH41" s="101"/>
      <c r="BI41" s="101"/>
      <c r="BJ41" s="114" t="str">
        <f ca="1">IF(BK37&lt;&gt;"",
"パン箱","")</f>
        <v/>
      </c>
      <c r="BK41" s="115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4" t="str">
        <f ca="1">IF(BK37&lt;&gt;"",
" 端数","")</f>
        <v/>
      </c>
      <c r="BM41" s="115"/>
      <c r="BN41" s="114" t="str">
        <f ca="1">IF(BK37&lt;&gt;"",
"アレルギー","")</f>
        <v/>
      </c>
      <c r="BO41" s="122"/>
      <c r="BP41" s="101"/>
      <c r="BQ41" s="114" t="str">
        <f ca="1">IF(BR37&lt;&gt;"",
"パン箱","")</f>
        <v/>
      </c>
      <c r="BR41" s="115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4" t="str">
        <f ca="1">IF(BR37&lt;&gt;"",
" 端数","")</f>
        <v/>
      </c>
      <c r="BT41" s="115"/>
      <c r="BU41" s="114" t="str">
        <f ca="1">IF(BR37&lt;&gt;"",
"アレルギー","")</f>
        <v/>
      </c>
      <c r="BV41" s="122"/>
      <c r="BW41" s="101"/>
      <c r="BX41" s="101"/>
      <c r="BY41" s="114" t="str">
        <f ca="1">IF(BZ37&lt;&gt;"",
"パン箱","")</f>
        <v/>
      </c>
      <c r="BZ41" s="115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4" t="str">
        <f ca="1">IF(BZ37&lt;&gt;"",
" 端数","")</f>
        <v/>
      </c>
      <c r="CB41" s="115"/>
      <c r="CC41" s="114" t="str">
        <f ca="1">IF(BZ37&lt;&gt;"",
"アレルギー","")</f>
        <v/>
      </c>
      <c r="CD41" s="122"/>
      <c r="CE41" s="101"/>
      <c r="CF41" s="114" t="str">
        <f ca="1">IF(CG37&lt;&gt;"",
"パン箱","")</f>
        <v/>
      </c>
      <c r="CG41" s="115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4" t="str">
        <f ca="1">IF(CG37&lt;&gt;"",
" 端数","")</f>
        <v/>
      </c>
      <c r="CI41" s="115"/>
      <c r="CJ41" s="114" t="str">
        <f ca="1">IF(CG37&lt;&gt;"",
"アレルギー","")</f>
        <v/>
      </c>
      <c r="CK41" s="122"/>
      <c r="CL41" s="101"/>
      <c r="CM41" s="101"/>
      <c r="CN41" s="114" t="str">
        <f ca="1">IF(CO37&lt;&gt;"",
"パン箱","")</f>
        <v/>
      </c>
      <c r="CO41" s="115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4" t="str">
        <f ca="1">IF(CO37&lt;&gt;"",
" 端数","")</f>
        <v/>
      </c>
      <c r="CQ41" s="115"/>
      <c r="CR41" s="114" t="str">
        <f ca="1">IF(CO37&lt;&gt;"",
"アレルギー","")</f>
        <v/>
      </c>
      <c r="CS41" s="122"/>
      <c r="CT41" s="101"/>
      <c r="CU41" s="114" t="str">
        <f ca="1">IF(CV37&lt;&gt;"",
"パン箱","")</f>
        <v/>
      </c>
      <c r="CV41" s="115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4" t="str">
        <f ca="1">IF(CV37&lt;&gt;"",
" 端数","")</f>
        <v/>
      </c>
      <c r="CX41" s="115"/>
      <c r="CY41" s="114" t="str">
        <f ca="1">IF(CV37&lt;&gt;"",
"アレルギー","")</f>
        <v/>
      </c>
      <c r="CZ41" s="122"/>
      <c r="DA41" s="101"/>
      <c r="DB41" s="101"/>
      <c r="DC41" s="114" t="str">
        <f ca="1">IF(DD37&lt;&gt;"",
"パン箱","")</f>
        <v/>
      </c>
      <c r="DD41" s="115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4" t="str">
        <f ca="1">IF(DD37&lt;&gt;"",
" 端数","")</f>
        <v/>
      </c>
      <c r="DF41" s="115"/>
      <c r="DG41" s="114" t="str">
        <f ca="1">IF(DD37&lt;&gt;"",
"アレルギー","")</f>
        <v/>
      </c>
      <c r="DH41" s="122"/>
      <c r="DI41" s="101"/>
      <c r="DJ41" s="114" t="str">
        <f ca="1">IF(DK37&lt;&gt;"",
"パン箱","")</f>
        <v/>
      </c>
      <c r="DK41" s="115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4" t="str">
        <f ca="1">IF(DK37&lt;&gt;"",
" 端数","")</f>
        <v/>
      </c>
      <c r="DM41" s="115"/>
      <c r="DN41" s="114" t="str">
        <f ca="1">IF(DK37&lt;&gt;"",
"アレルギー","")</f>
        <v/>
      </c>
      <c r="DO41" s="122"/>
      <c r="DP41" s="101"/>
      <c r="DQ41" s="101"/>
      <c r="DR41" s="114" t="str">
        <f ca="1">IF(DS37&lt;&gt;"",
"パン箱","")</f>
        <v/>
      </c>
      <c r="DS41" s="115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4" t="str">
        <f ca="1">IF(DS37&lt;&gt;"",
" 端数","")</f>
        <v/>
      </c>
      <c r="DU41" s="115"/>
      <c r="DV41" s="114" t="str">
        <f ca="1">IF(DS37&lt;&gt;"",
"アレルギー","")</f>
        <v/>
      </c>
      <c r="DW41" s="122"/>
      <c r="DX41" s="101"/>
      <c r="DY41" s="114" t="str">
        <f ca="1">IF(DZ37&lt;&gt;"",
"パン箱","")</f>
        <v/>
      </c>
      <c r="DZ41" s="115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4" t="str">
        <f ca="1">IF(DZ37&lt;&gt;"",
" 端数","")</f>
        <v/>
      </c>
      <c r="EB41" s="115"/>
      <c r="EC41" s="114" t="str">
        <f ca="1">IF(DZ37&lt;&gt;"",
"アレルギー","")</f>
        <v/>
      </c>
      <c r="ED41" s="122"/>
      <c r="EE41" s="101"/>
      <c r="EF41" s="101"/>
      <c r="EG41" s="114" t="str">
        <f ca="1">IF(EH37&lt;&gt;"",
"パン箱","")</f>
        <v/>
      </c>
      <c r="EH41" s="115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114" t="str">
        <f ca="1">IF(EH37&lt;&gt;"",
" 端数","")</f>
        <v/>
      </c>
      <c r="EJ41" s="115"/>
      <c r="EK41" s="114" t="str">
        <f ca="1">IF(EH37&lt;&gt;"",
"アレルギー","")</f>
        <v/>
      </c>
      <c r="EL41" s="122"/>
      <c r="EM41" s="101"/>
      <c r="EN41" s="114" t="str">
        <f ca="1">IF(EO37&lt;&gt;"",
"パン箱","")</f>
        <v/>
      </c>
      <c r="EO41" s="115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114" t="str">
        <f ca="1">IF(EO37&lt;&gt;"",
" 端数","")</f>
        <v/>
      </c>
      <c r="EQ41" s="115"/>
      <c r="ER41" s="114" t="str">
        <f ca="1">IF(EO37&lt;&gt;"",
"アレルギー","")</f>
        <v/>
      </c>
      <c r="ES41" s="122"/>
      <c r="ET41" s="132"/>
      <c r="EU41" s="103">
        <f t="shared" si="2"/>
        <v>28</v>
      </c>
      <c r="EV41" s="103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3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3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3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3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3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3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3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3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3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3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3">
        <f t="shared" ca="1" si="3"/>
        <v>0</v>
      </c>
      <c r="FH41" s="103" t="e">
        <f t="array" aca="1" ref="FH41" ca="1">SUMPRODUCT((LEN(EV41:FF41)&gt;0)*1)&gt;0</f>
        <v>#VALUE!</v>
      </c>
      <c r="FI41" s="103" t="str">
        <f t="array" aca="1" ref="FI41" ca="1">IFERROR(SMALL(IF(FG$1:FG$169&lt;&gt;0,FG$1:FG$169),ROW(A41)),"")</f>
        <v/>
      </c>
      <c r="FJ41" s="103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3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3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3" t="str">
        <f t="array" aca="1" ref="FM41" ca="1">IF($FI41&lt;&gt;"",
IF(FL41="",
INDIRECT("EY"&amp;$FI41&amp;"")&amp;"箱"
&amp;INDIRECT("EZ"&amp;$FI41&amp;""),""),"")</f>
        <v/>
      </c>
      <c r="FN41" s="103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3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3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3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3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3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203" t="e">
        <f ca="1">IF(C39&lt;&gt;"",
IFERROR(INT(C39/C41),""),"")</f>
        <v>#VALUE!</v>
      </c>
      <c r="C42" s="202"/>
      <c r="D42" s="203" t="str">
        <f ca="1">IFERROR(MOD(C39,C41),"")</f>
        <v/>
      </c>
      <c r="E42" s="202"/>
      <c r="F42" s="201" t="e">
        <f ca="1">G38+G39</f>
        <v>#VALUE!</v>
      </c>
      <c r="G42" s="202"/>
      <c r="I42" s="203" t="e">
        <f ca="1">IF(J39&lt;&gt;"",
IFERROR(INT(J39/J41),""),"")</f>
        <v>#VALUE!</v>
      </c>
      <c r="J42" s="202"/>
      <c r="K42" s="203" t="str">
        <f ca="1">IFERROR(MOD(J39,J41),"")</f>
        <v/>
      </c>
      <c r="L42" s="202"/>
      <c r="M42" s="201" t="e">
        <f ca="1">N38+N39</f>
        <v>#VALUE!</v>
      </c>
      <c r="N42" s="202"/>
      <c r="Q42" s="203" t="e">
        <f ca="1">IF(R39&lt;&gt;"",
IFERROR(INT(R39/R41),""),"")</f>
        <v>#VALUE!</v>
      </c>
      <c r="R42" s="202"/>
      <c r="S42" s="203" t="str">
        <f ca="1">IFERROR(MOD(R39,R41),"")</f>
        <v/>
      </c>
      <c r="T42" s="202"/>
      <c r="U42" s="201" t="e">
        <f ca="1">V38+V39</f>
        <v>#VALUE!</v>
      </c>
      <c r="V42" s="202"/>
      <c r="X42" s="203" t="e">
        <f ca="1">IF(Y39&lt;&gt;"",
IFERROR(INT(Y39/Y41),""),"")</f>
        <v>#VALUE!</v>
      </c>
      <c r="Y42" s="202"/>
      <c r="Z42" s="203" t="str">
        <f ca="1">IFERROR(MOD(Y39,Y41),"")</f>
        <v/>
      </c>
      <c r="AA42" s="202"/>
      <c r="AB42" s="201" t="e">
        <f ca="1">AC38+AC39</f>
        <v>#VALUE!</v>
      </c>
      <c r="AC42" s="202"/>
      <c r="AF42" s="203" t="e">
        <f ca="1">IF(AG39&lt;&gt;"",
IFERROR(INT(AG39/AG41),""),"")</f>
        <v>#VALUE!</v>
      </c>
      <c r="AG42" s="202"/>
      <c r="AH42" s="203" t="str">
        <f ca="1">IFERROR(MOD(AG39,AG41),"")</f>
        <v/>
      </c>
      <c r="AI42" s="202"/>
      <c r="AJ42" s="201" t="e">
        <f ca="1">AK38+AK39</f>
        <v>#VALUE!</v>
      </c>
      <c r="AK42" s="202"/>
      <c r="AM42" s="203" t="e">
        <f ca="1">IF(AN39&lt;&gt;"",
IFERROR(INT(AN39/AN41),""),"")</f>
        <v>#VALUE!</v>
      </c>
      <c r="AN42" s="202"/>
      <c r="AO42" s="203" t="str">
        <f ca="1">IFERROR(MOD(AN39,AN41),"")</f>
        <v/>
      </c>
      <c r="AP42" s="202"/>
      <c r="AQ42" s="201" t="e">
        <f ca="1">AR38+AR39</f>
        <v>#VALUE!</v>
      </c>
      <c r="AR42" s="202"/>
      <c r="AU42" s="203" t="e">
        <f ca="1">IF(AV39&lt;&gt;"",
IFERROR(INT(AV39/AV41),""),"")</f>
        <v>#VALUE!</v>
      </c>
      <c r="AV42" s="202"/>
      <c r="AW42" s="203" t="str">
        <f ca="1">IFERROR(MOD(AV39,AV41),"")</f>
        <v/>
      </c>
      <c r="AX42" s="202"/>
      <c r="AY42" s="201" t="e">
        <f ca="1">AZ38+AZ39</f>
        <v>#VALUE!</v>
      </c>
      <c r="AZ42" s="202"/>
      <c r="BB42" s="203" t="e">
        <f ca="1">IF(BC39&lt;&gt;"",
IFERROR(INT(BC39/BC41),""),"")</f>
        <v>#VALUE!</v>
      </c>
      <c r="BC42" s="202"/>
      <c r="BD42" s="203" t="str">
        <f ca="1">IFERROR(MOD(BC39,BC41),"")</f>
        <v/>
      </c>
      <c r="BE42" s="202"/>
      <c r="BF42" s="201" t="e">
        <f ca="1">BG38+BG39</f>
        <v>#VALUE!</v>
      </c>
      <c r="BG42" s="202"/>
      <c r="BJ42" s="203" t="e">
        <f ca="1">IF(BK39&lt;&gt;"",
IFERROR(INT(BK39/BK41),""),"")</f>
        <v>#VALUE!</v>
      </c>
      <c r="BK42" s="202"/>
      <c r="BL42" s="203" t="str">
        <f ca="1">IFERROR(MOD(BK39,BK41),"")</f>
        <v/>
      </c>
      <c r="BM42" s="202"/>
      <c r="BN42" s="201" t="e">
        <f ca="1">BO38+BO39</f>
        <v>#VALUE!</v>
      </c>
      <c r="BO42" s="202"/>
      <c r="BQ42" s="203" t="e">
        <f ca="1">IF(BR39&lt;&gt;"",
IFERROR(INT(BR39/BR41),""),"")</f>
        <v>#VALUE!</v>
      </c>
      <c r="BR42" s="202"/>
      <c r="BS42" s="203" t="str">
        <f ca="1">IFERROR(MOD(BR39,BR41),"")</f>
        <v/>
      </c>
      <c r="BT42" s="202"/>
      <c r="BU42" s="201" t="e">
        <f ca="1">BV38+BV39</f>
        <v>#VALUE!</v>
      </c>
      <c r="BV42" s="202"/>
      <c r="BY42" s="203" t="e">
        <f ca="1">IF(BZ39&lt;&gt;"",
IFERROR(INT(BZ39/BZ41),""),"")</f>
        <v>#VALUE!</v>
      </c>
      <c r="BZ42" s="202"/>
      <c r="CA42" s="203" t="str">
        <f ca="1">IFERROR(MOD(BZ39,BZ41),"")</f>
        <v/>
      </c>
      <c r="CB42" s="202"/>
      <c r="CC42" s="201" t="e">
        <f ca="1">CD38+CD39</f>
        <v>#VALUE!</v>
      </c>
      <c r="CD42" s="202"/>
      <c r="CF42" s="203" t="e">
        <f ca="1">IF(CG39&lt;&gt;"",
IFERROR(INT(CG39/CG41),""),"")</f>
        <v>#VALUE!</v>
      </c>
      <c r="CG42" s="202"/>
      <c r="CH42" s="203" t="str">
        <f ca="1">IFERROR(MOD(CG39,CG41),"")</f>
        <v/>
      </c>
      <c r="CI42" s="202"/>
      <c r="CJ42" s="201" t="e">
        <f ca="1">CK38+CK39</f>
        <v>#VALUE!</v>
      </c>
      <c r="CK42" s="202"/>
      <c r="CN42" s="203" t="e">
        <f ca="1">IF(CO39&lt;&gt;"",
IFERROR(INT(CO39/CO41),""),"")</f>
        <v>#VALUE!</v>
      </c>
      <c r="CO42" s="202"/>
      <c r="CP42" s="203" t="str">
        <f ca="1">IFERROR(MOD(CO39,CO41),"")</f>
        <v/>
      </c>
      <c r="CQ42" s="202"/>
      <c r="CR42" s="201" t="e">
        <f ca="1">CS38+CS39</f>
        <v>#VALUE!</v>
      </c>
      <c r="CS42" s="202"/>
      <c r="CU42" s="203" t="e">
        <f ca="1">IF(CV39&lt;&gt;"",
IFERROR(INT(CV39/CV41),""),"")</f>
        <v>#VALUE!</v>
      </c>
      <c r="CV42" s="202"/>
      <c r="CW42" s="203" t="str">
        <f ca="1">IFERROR(MOD(CV39,CV41),"")</f>
        <v/>
      </c>
      <c r="CX42" s="202"/>
      <c r="CY42" s="201" t="e">
        <f ca="1">CZ38+CZ39</f>
        <v>#VALUE!</v>
      </c>
      <c r="CZ42" s="202"/>
      <c r="DC42" s="203" t="e">
        <f ca="1">IF(DD39&lt;&gt;"",
IFERROR(INT(DD39/DD41),""),"")</f>
        <v>#VALUE!</v>
      </c>
      <c r="DD42" s="202"/>
      <c r="DE42" s="203" t="str">
        <f ca="1">IFERROR(MOD(DD39,DD41),"")</f>
        <v/>
      </c>
      <c r="DF42" s="202"/>
      <c r="DG42" s="201" t="e">
        <f ca="1">DH38+DH39</f>
        <v>#VALUE!</v>
      </c>
      <c r="DH42" s="202"/>
      <c r="DJ42" s="203" t="e">
        <f ca="1">IF(DK39&lt;&gt;"",
IFERROR(INT(DK39/DK41),""),"")</f>
        <v>#VALUE!</v>
      </c>
      <c r="DK42" s="202"/>
      <c r="DL42" s="203" t="str">
        <f ca="1">IFERROR(MOD(DK39,DK41),"")</f>
        <v/>
      </c>
      <c r="DM42" s="202"/>
      <c r="DN42" s="201" t="e">
        <f ca="1">DO38+DO39</f>
        <v>#VALUE!</v>
      </c>
      <c r="DO42" s="202"/>
      <c r="DR42" s="203" t="e">
        <f ca="1">IF(DS39&lt;&gt;"",
IFERROR(INT(DS39/DS41),""),"")</f>
        <v>#VALUE!</v>
      </c>
      <c r="DS42" s="202"/>
      <c r="DT42" s="203" t="str">
        <f ca="1">IFERROR(MOD(DS39,DS41),"")</f>
        <v/>
      </c>
      <c r="DU42" s="202"/>
      <c r="DV42" s="201" t="e">
        <f ca="1">DW38+DW39</f>
        <v>#VALUE!</v>
      </c>
      <c r="DW42" s="202"/>
      <c r="DY42" s="203" t="e">
        <f ca="1">IF(DZ39&lt;&gt;"",
IFERROR(INT(DZ39/DZ41),""),"")</f>
        <v>#VALUE!</v>
      </c>
      <c r="DZ42" s="202"/>
      <c r="EA42" s="203" t="str">
        <f ca="1">IFERROR(MOD(DZ39,DZ41),"")</f>
        <v/>
      </c>
      <c r="EB42" s="202"/>
      <c r="EC42" s="201" t="e">
        <f ca="1">ED38+ED39</f>
        <v>#VALUE!</v>
      </c>
      <c r="ED42" s="202"/>
      <c r="EG42" s="203" t="e">
        <f ca="1">IF(EH39&lt;&gt;"",
IFERROR(INT(EH39/EH41),""),"")</f>
        <v>#VALUE!</v>
      </c>
      <c r="EH42" s="202"/>
      <c r="EI42" s="203" t="str">
        <f ca="1">IFERROR(MOD(EH39,EH41),"")</f>
        <v/>
      </c>
      <c r="EJ42" s="202"/>
      <c r="EK42" s="201" t="e">
        <f ca="1">EL38+EL39</f>
        <v>#VALUE!</v>
      </c>
      <c r="EL42" s="202"/>
      <c r="EN42" s="203" t="e">
        <f ca="1">IF(EO39&lt;&gt;"",
IFERROR(INT(EO39/EO41),""),"")</f>
        <v>#VALUE!</v>
      </c>
      <c r="EO42" s="202"/>
      <c r="EP42" s="203" t="str">
        <f ca="1">IFERROR(MOD(EO39,EO41),"")</f>
        <v/>
      </c>
      <c r="EQ42" s="202"/>
      <c r="ER42" s="201" t="e">
        <f ca="1">ES38+ES39</f>
        <v>#VALUE!</v>
      </c>
      <c r="ES42" s="202"/>
      <c r="ET42" s="78"/>
      <c r="EU42" s="103">
        <f t="shared" si="2"/>
        <v>70</v>
      </c>
      <c r="EV42" s="103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3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3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3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3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3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3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3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3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3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3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3">
        <f t="shared" ca="1" si="3"/>
        <v>0</v>
      </c>
      <c r="FH42" s="103" t="b">
        <f t="array" aca="1" ref="FH42" ca="1">SUMPRODUCT((LEN(EV42:FF42)&gt;0)*1)&gt;0</f>
        <v>0</v>
      </c>
      <c r="FI42" s="103" t="str">
        <f t="array" aca="1" ref="FI42" ca="1">IFERROR(SMALL(IF(FG$1:FG$169&lt;&gt;0,FG$1:FG$169),ROW(A42)),"")</f>
        <v/>
      </c>
      <c r="FJ42" s="103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3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3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3" t="str">
        <f t="array" aca="1" ref="FM42" ca="1">IF($FI42&lt;&gt;"",
IF(FL42="",
INDIRECT("EY"&amp;$FI42&amp;"")&amp;"箱"
&amp;INDIRECT("EZ"&amp;$FI42&amp;""),""),"")</f>
        <v/>
      </c>
      <c r="FN42" s="103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3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3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3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3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3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3" customFormat="1" ht="18" customHeight="1" x14ac:dyDescent="0.55000000000000004">
      <c r="A43" s="101"/>
      <c r="B43" s="102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98" t="str">
        <f ca="1">IF(C46&lt;&gt;"",C1,"")</f>
        <v/>
      </c>
      <c r="D43" s="199"/>
      <c r="E43" s="199"/>
      <c r="F43" s="199"/>
      <c r="G43" s="120"/>
      <c r="H43" s="101"/>
      <c r="I43" s="102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98" t="str">
        <f ca="1">IF(J46&lt;&gt;"",J1,"")</f>
        <v/>
      </c>
      <c r="K43" s="199"/>
      <c r="L43" s="199"/>
      <c r="M43" s="199"/>
      <c r="N43" s="116"/>
      <c r="O43" s="101"/>
      <c r="P43" s="101"/>
      <c r="Q43" s="102" t="str" cm="1">
        <f t="array" aca="1" ref="Q43" ca="1">IF(COUNTIF(V1,"*合計*"),"",
IF(R1=J78,
IFERROR(
SUBSTITUTE(ADDRESS(1,
COLUMN(INDIRECT("数出表_Excel!"&amp;I78&amp; (MATCH(V1,数出表_Excel!$A:$A,0)-1))) - 1 +
MATCH(TRUE, ISNUMBER(--INDIRECT("数出表_Excel!"&amp;I78&amp;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198" t="str">
        <f ca="1">IF(R46&lt;&gt;"",R1,"")</f>
        <v/>
      </c>
      <c r="S43" s="198"/>
      <c r="T43" s="198"/>
      <c r="U43" s="198"/>
      <c r="V43" s="120"/>
      <c r="W43" s="101"/>
      <c r="X43" s="102" t="str" cm="1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198" t="str">
        <f ca="1">IF(Y46&lt;&gt;"",Y1,"")</f>
        <v/>
      </c>
      <c r="Z43" s="198"/>
      <c r="AA43" s="198"/>
      <c r="AB43" s="198"/>
      <c r="AC43" s="116"/>
      <c r="AD43" s="101"/>
      <c r="AE43" s="101"/>
      <c r="AF43" s="102" t="str" cm="1">
        <f t="array" aca="1" ref="AF43" ca="1">IF(COUNTIF(AK1,"*合計*"),"",
IF(AG1=Y78,
IFERROR(
SUBSTITUTE(ADDRESS(1,
COLUMN(INDIRECT("数出表_Excel!"&amp;X78&amp; (MATCH(AK1,数出表_Excel!$A:$A,0)-1))) - 1 +
MATCH(TRUE, ISNUMBER(--INDIRECT("数出表_Excel!"&amp;X78&amp;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198" t="str">
        <f ca="1">IF(AG46&lt;&gt;"",AG1,"")</f>
        <v/>
      </c>
      <c r="AH43" s="198"/>
      <c r="AI43" s="198"/>
      <c r="AJ43" s="198"/>
      <c r="AK43" s="120"/>
      <c r="AL43" s="101"/>
      <c r="AM43" s="102" t="str" cm="1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198" t="str">
        <f ca="1">IF(AN46&lt;&gt;"",AN1,"")</f>
        <v/>
      </c>
      <c r="AO43" s="198"/>
      <c r="AP43" s="198"/>
      <c r="AQ43" s="198"/>
      <c r="AR43" s="116"/>
      <c r="AS43" s="101"/>
      <c r="AT43" s="101"/>
      <c r="AU43" s="102" t="str" cm="1">
        <f t="array" aca="1" ref="AU43" ca="1">IF(COUNTIF(AZ1,"*合計*"),"",
IF(AV1=AN78,
IFERROR(
SUBSTITUTE(ADDRESS(1,
COLUMN(INDIRECT("数出表_Excel!"&amp;AM78&amp; (MATCH(AZ1,数出表_Excel!$A:$A,0)-1))) - 1 +
MATCH(TRUE, ISNUMBER(--INDIRECT("数出表_Excel!"&amp;AM78&amp;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198" t="str">
        <f ca="1">IF(AV46&lt;&gt;"",AV1,"")</f>
        <v/>
      </c>
      <c r="AW43" s="198"/>
      <c r="AX43" s="198"/>
      <c r="AY43" s="198"/>
      <c r="AZ43" s="120"/>
      <c r="BA43" s="101"/>
      <c r="BB43" s="102" t="str" cm="1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198" t="str">
        <f ca="1">IF(BC46&lt;&gt;"",BC1,"")</f>
        <v/>
      </c>
      <c r="BD43" s="198"/>
      <c r="BE43" s="198"/>
      <c r="BF43" s="198"/>
      <c r="BG43" s="116"/>
      <c r="BH43" s="101"/>
      <c r="BI43" s="101"/>
      <c r="BJ43" s="102" t="str" cm="1">
        <f t="array" aca="1" ref="BJ43" ca="1">IF(COUNTIF(BO1,"*合計*"),"",
IF(BK1=BC78,
IFERROR(
SUBSTITUTE(ADDRESS(1,
COLUMN(INDIRECT("数出表_Excel!"&amp;BB78&amp; (MATCH(BO1,数出表_Excel!$A:$A,0)-1))) - 1 +
MATCH(TRUE, ISNUMBER(--INDIRECT("数出表_Excel!"&amp;BB78&amp;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198" t="str">
        <f ca="1">IF(BK46&lt;&gt;"",BK1,"")</f>
        <v/>
      </c>
      <c r="BL43" s="198"/>
      <c r="BM43" s="198"/>
      <c r="BN43" s="198"/>
      <c r="BO43" s="120"/>
      <c r="BP43" s="101"/>
      <c r="BQ43" s="102" t="str" cm="1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198" t="str">
        <f ca="1">IF(BR46&lt;&gt;"",BR1,"")</f>
        <v/>
      </c>
      <c r="BS43" s="198"/>
      <c r="BT43" s="198"/>
      <c r="BU43" s="198"/>
      <c r="BV43" s="116"/>
      <c r="BW43" s="101"/>
      <c r="BX43" s="101"/>
      <c r="BY43" s="102" t="str" cm="1">
        <f t="array" aca="1" ref="BY43" ca="1">IF(COUNTIF(CD1,"*合計*"),"",
IF(BZ1=BR78,
IFERROR(
SUBSTITUTE(ADDRESS(1,
COLUMN(INDIRECT("数出表_Excel!"&amp;BQ78&amp; (MATCH(CD1,数出表_Excel!$A:$A,0)-1))) - 1 +
MATCH(TRUE, ISNUMBER(--INDIRECT("数出表_Excel!"&amp;BQ78&amp;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198" t="str">
        <f ca="1">IF(BZ46&lt;&gt;"",BZ1,"")</f>
        <v/>
      </c>
      <c r="CA43" s="198"/>
      <c r="CB43" s="198"/>
      <c r="CC43" s="198"/>
      <c r="CD43" s="120"/>
      <c r="CE43" s="101"/>
      <c r="CF43" s="102" t="str" cm="1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198" t="str">
        <f ca="1">IF(CG46&lt;&gt;"",CG1,"")</f>
        <v/>
      </c>
      <c r="CH43" s="198"/>
      <c r="CI43" s="198"/>
      <c r="CJ43" s="198"/>
      <c r="CK43" s="116"/>
      <c r="CL43" s="101"/>
      <c r="CM43" s="101"/>
      <c r="CN43" s="102" t="str" cm="1">
        <f t="array" aca="1" ref="CN43" ca="1">IF(COUNTIF(CS1,"*合計*"),"",
IF(CO1=CG78,
IFERROR(
SUBSTITUTE(ADDRESS(1,
COLUMN(INDIRECT("数出表_Excel!"&amp;CF78&amp; (MATCH(CS1,数出表_Excel!$A:$A,0)-1))) - 1 +
MATCH(TRUE, ISNUMBER(--INDIRECT("数出表_Excel!"&amp;CF78&amp;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198" t="str">
        <f ca="1">IF(CO46&lt;&gt;"",CO1,"")</f>
        <v/>
      </c>
      <c r="CP43" s="198"/>
      <c r="CQ43" s="198"/>
      <c r="CR43" s="198"/>
      <c r="CS43" s="120"/>
      <c r="CT43" s="101"/>
      <c r="CU43" s="102" t="str" cm="1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198" t="str">
        <f ca="1">IF(CV46&lt;&gt;"",CV1,"")</f>
        <v/>
      </c>
      <c r="CW43" s="198"/>
      <c r="CX43" s="198"/>
      <c r="CY43" s="198"/>
      <c r="CZ43" s="116"/>
      <c r="DA43" s="101"/>
      <c r="DB43" s="101"/>
      <c r="DC43" s="102" t="str" cm="1">
        <f t="array" aca="1" ref="DC43" ca="1">IF(COUNTIF(DH1,"*合計*"),"",
IF(DD1=CV78,
IFERROR(
SUBSTITUTE(ADDRESS(1,
COLUMN(INDIRECT("数出表_Excel!"&amp;CU78&amp; (MATCH(DH1,数出表_Excel!$A:$A,0)-1))) - 1 +
MATCH(TRUE, ISNUMBER(--INDIRECT("数出表_Excel!"&amp;CU78&amp;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198" t="str">
        <f ca="1">IF(DD46&lt;&gt;"",DD1,"")</f>
        <v/>
      </c>
      <c r="DE43" s="198"/>
      <c r="DF43" s="198"/>
      <c r="DG43" s="198"/>
      <c r="DH43" s="120"/>
      <c r="DI43" s="101"/>
      <c r="DJ43" s="102" t="str" cm="1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198" t="str">
        <f ca="1">IF(DK46&lt;&gt;"",DK1,"")</f>
        <v/>
      </c>
      <c r="DL43" s="198"/>
      <c r="DM43" s="198"/>
      <c r="DN43" s="198"/>
      <c r="DO43" s="116"/>
      <c r="DP43" s="101"/>
      <c r="DQ43" s="101"/>
      <c r="DR43" s="102" t="str" cm="1">
        <f t="array" aca="1" ref="DR43" ca="1">IF(COUNTIF(DW1,"*合計*"),"",
IF(DS1=DK78,
IFERROR(
SUBSTITUTE(ADDRESS(1,
COLUMN(INDIRECT("数出表_Excel!"&amp;DJ78&amp; (MATCH(DW1,数出表_Excel!$A:$A,0)-1))) - 1 +
MATCH(TRUE, ISNUMBER(--INDIRECT("数出表_Excel!"&amp;DJ78&amp;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198" t="str">
        <f ca="1">IF(DS46&lt;&gt;"",DS1,"")</f>
        <v/>
      </c>
      <c r="DT43" s="198"/>
      <c r="DU43" s="198"/>
      <c r="DV43" s="198"/>
      <c r="DW43" s="120"/>
      <c r="DX43" s="101"/>
      <c r="DY43" s="102" t="str" cm="1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198" t="str">
        <f ca="1">IF(DZ46&lt;&gt;"",DZ1,"")</f>
        <v/>
      </c>
      <c r="EA43" s="198"/>
      <c r="EB43" s="198"/>
      <c r="EC43" s="198"/>
      <c r="ED43" s="116"/>
      <c r="EE43" s="101"/>
      <c r="EF43" s="101"/>
      <c r="EG43" s="102" t="str" cm="1">
        <f t="array" aca="1" ref="EG43" ca="1">IF(COUNTIF(EL1,"*合計*"),"",
IF(EH1=DZ78,
IFERROR(
SUBSTITUTE(ADDRESS(1,
COLUMN(INDIRECT("数出表_Excel!"&amp;DY78&amp; (MATCH(EL1,数出表_Excel!$A:$A,0)-1))) - 1 +
MATCH(TRUE, ISNUMBER(--INDIRECT("数出表_Excel!"&amp;DY78&amp;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198" t="str">
        <f ca="1">IF(EH46&lt;&gt;"",EH1,"")</f>
        <v/>
      </c>
      <c r="EI43" s="198"/>
      <c r="EJ43" s="198"/>
      <c r="EK43" s="198"/>
      <c r="EL43" s="120"/>
      <c r="EM43" s="101"/>
      <c r="EN43" s="102" t="str" cm="1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198" t="str">
        <f ca="1">IF(EO46&lt;&gt;"",EO1,"")</f>
        <v/>
      </c>
      <c r="EP43" s="198"/>
      <c r="EQ43" s="198"/>
      <c r="ER43" s="198"/>
      <c r="ES43" s="116"/>
      <c r="ET43" s="132"/>
      <c r="EU43" s="112">
        <f t="shared" si="2"/>
        <v>28</v>
      </c>
      <c r="EV43" s="103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3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3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3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3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3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3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3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3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3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3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3">
        <f t="shared" ca="1" si="3"/>
        <v>0</v>
      </c>
      <c r="FH43" s="103" t="e">
        <f t="array" aca="1" ref="FH43" ca="1">SUMPRODUCT((LEN(EV43:FF43)&gt;0)*1)&gt;0</f>
        <v>#VALUE!</v>
      </c>
      <c r="FI43" s="103" t="str">
        <f t="array" aca="1" ref="FI43" ca="1">IFERROR(SMALL(IF(FG$1:FG$169&lt;&gt;0,FG$1:FG$169),ROW(A43)),"")</f>
        <v/>
      </c>
      <c r="FJ43" s="103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3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3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3" t="str">
        <f t="array" aca="1" ref="FM43" ca="1">IF($FI43&lt;&gt;"",
IF(FL43="",
INDIRECT("EY"&amp;$FI43&amp;"")&amp;"箱"
&amp;INDIRECT("EZ"&amp;$FI43&amp;""),""),"")</f>
        <v/>
      </c>
      <c r="FN43" s="103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3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3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3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3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3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3" customFormat="1" ht="18" customHeight="1" x14ac:dyDescent="0.55000000000000004">
      <c r="A44" s="101"/>
      <c r="B44" s="106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5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01"/>
      <c r="E44" s="65" t="str">
        <f t="array" aca="1" ref="E44" ca="1">IFERROR(IF(OR(
COUNTIF(INDIRECT("数出表_Excel!" &amp;
CHAR(MATCH(TRUE,
ISNUMBER(--INDIRECT("数出表_Excel!"&amp;D43&amp;MATCH(I1,数出表_Excel!$A:$A,0)-1&amp;":U"&amp;MATCH(I1,数出表_Excel!$A:$A,0)-1&amp;"")),0)
+MATCH(TRUE, ISNUMBER(--INDIRECT("数出表_Excel!B" &amp; (MATCH(I1,数出表_Excel!$A:$A,0)-1) &amp; ":U" &amp; (MATCH(I1,数出表_Excel!$A:$A,0)-1))), 0)
+65) &amp; "3"),"*配膳*"),
COUNTIF(INDIRECT("数出表_Excel!" &amp;
CHAR(MATCH(TRUE,
ISNUMBER(--INDIRECT("数出表_Excel!"&amp;D43&amp;MATCH(I1,数出表_Excel!$A:$A,0)-1&amp;":U"&amp;MATCH(I1,数出表_Excel!$A:$A,0)-1&amp;"")),0)
+MATCH(TRUE, ISNUMBER(--INDIRECT("数出表_Excel!B" &amp; (MATCH(I1,数出表_Excel!$A:$A,0)-1) &amp; ":U" &amp; (MATCH(I1,数出表_Excel!$A:$A,0)-1))), 0)
+65) &amp; "3"),"*カレー*"),
COUNTIF(E1,"*合計*")),"",
IF(IFERROR(INDIRECT("数出表_Excel!" &amp;
CHAR(MATCH(TRUE,
ISNUMBER(--INDIRECT("数出表_Excel!"&amp;D43&amp;MATCH(I1,数出表_Excel!$A:$A,0)-1&amp;":U"&amp;MATCH(I1,数出表_Excel!$A:$A,0)-1&amp;"")),0)
+MATCH(TRUE, ISNUMBER(--INDIRECT("数出表_Excel!B" &amp; (MATCH(I1,数出表_Excel!$A:$A,0)-1) &amp; ":U" &amp; (MATCH(I1,数出表_Excel!$A:$A,0)-1))), 0)
+65) &amp; "3"),0)=0,"",
IFERROR(INDIRECT("数出表_Excel!" &amp;
CHAR(MATCH(TRUE,
ISNUMBER(--INDIRECT("数出表_Excel!"&amp;D43&amp;MATCH(I1,数出表_Excel!$A:$A,0)-1&amp;":U"&amp;MATCH(I1,数出表_Excel!$A:$A,0)-1&amp;"")),0)
+MATCH(TRUE, ISNUMBER(--INDIRECT("数出表_Excel!B" &amp; (MATCH(I1,数出表_Excel!$A:$A,0)-1) &amp; ":U" &amp; (MATCH(I1,数出表_Excel!$A:$A,0)-1))), 0)
+65) &amp; "3"),""))),"")</f>
        <v/>
      </c>
      <c r="F44" s="108" t="str" cm="1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ISNUMBER(--INDIRECT("'数出表_Excel（アレルギー入力）'!B"&amp;MATCH(C43,'数出表_Excel（アレルギー入力）'!$A:$A,0)-1&amp;":AL"&amp;MATCH(C43,'数出表_Excel（アレルギー入力）'!$A:$A,0)-1&amp;"")),0)&gt;10,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121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01"/>
      <c r="I44" s="106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5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01"/>
      <c r="L44" s="65" t="str">
        <f t="array" aca="1" ref="L44" ca="1">IFERROR(IF(OR(
COUNTIF(INDIRECT("数出表_Excel!" &amp;
CHAR(MATCH(TRUE,
ISNUMBER(--INDIRECT("数出表_Excel!"&amp;K43&amp;MATCH(P1,数出表_Excel!$A:$A,0)-1&amp;":U"&amp;MATCH(P1,数出表_Excel!$A:$A,0)-1&amp;"")),0)
+MATCH(TRUE, ISNUMBER(--INDIRECT("数出表_Excel!B" &amp; (MATCH(P1,数出表_Excel!$A:$A,0)-1) &amp; ":U" &amp; (MATCH(P1,数出表_Excel!$A:$A,0)-1))), 0)
+65) &amp; "3"),"*配膳*"),
COUNTIF(INDIRECT("数出表_Excel!" &amp;
CHAR(MATCH(TRUE,
ISNUMBER(--INDIRECT("数出表_Excel!"&amp;K43&amp;MATCH(P1,数出表_Excel!$A:$A,0)-1&amp;":U"&amp;MATCH(P1,数出表_Excel!$A:$A,0)-1&amp;"")),0)
+MATCH(TRUE, ISNUMBER(--INDIRECT("数出表_Excel!B" &amp; (MATCH(P1,数出表_Excel!$A:$A,0)-1) &amp; ":U" &amp; (MATCH(P1,数出表_Excel!$A:$A,0)-1))), 0)
+65) &amp; "3"),"*カレー*"),
COUNTIF(L1,"*合計*")),"",
IF(IFERROR(INDIRECT("数出表_Excel!" &amp;
CHAR(MATCH(TRUE,
ISNUMBER(--INDIRECT("数出表_Excel!"&amp;K43&amp;MATCH(P1,数出表_Excel!$A:$A,0)-1&amp;":U"&amp;MATCH(P1,数出表_Excel!$A:$A,0)-1&amp;"")),0)
+MATCH(TRUE, ISNUMBER(--INDIRECT("数出表_Excel!B" &amp; (MATCH(P1,数出表_Excel!$A:$A,0)-1) &amp; ":U" &amp; (MATCH(P1,数出表_Excel!$A:$A,0)-1))), 0)
+65) &amp; "3"),0)=0,"",
IFERROR(INDIRECT("数出表_Excel!" &amp;
CHAR(MATCH(TRUE,
ISNUMBER(--INDIRECT("数出表_Excel!"&amp;K43&amp;MATCH(P1,数出表_Excel!$A:$A,0)-1&amp;":U"&amp;MATCH(P1,数出表_Excel!$A:$A,0)-1&amp;"")),0)
+MATCH(TRUE, ISNUMBER(--INDIRECT("数出表_Excel!B" &amp; (MATCH(P1,数出表_Excel!$A:$A,0)-1) &amp; ":U" &amp; (MATCH(P1,数出表_Excel!$A:$A,0)-1))), 0)
+65) &amp; "3"),""))),"")</f>
        <v/>
      </c>
      <c r="M44" s="108" t="str" cm="1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ISNUMBER(--INDIRECT("'数出表_Excel（アレルギー入力）'!B"&amp;MATCH(J43,'数出表_Excel（アレルギー入力）'!$A:$A,0)-1&amp;":AL"&amp;MATCH(J43,'数出表_Excel（アレルギー入力）'!$A:$A,0)-1&amp;"")),0)&gt;10,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117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01"/>
      <c r="P44" s="101"/>
      <c r="Q44" s="106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5" t="str" cm="1">
        <f t="array" aca="1" ref="R44" ca="1">IF(R1=Y36,"",IFERROR(IF(OR(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101"/>
      <c r="T44" s="107" t="str" cm="1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+MATCH(TRUE,INDIRECT("'数出表_Excel'!"&amp;Q43&amp;MATCH(R43,数出表_Excel!$A:$A,0)-1&amp;":AL"&amp;MATCH(R43,数出表_Excel!$A:$A,0)-1&amp;"")&lt;&gt;"",0))&gt;=12,"",
IFERROR(
INDEX(INDIRECT("数出表_Excel!$"&amp;Q43&amp;"4:$AL4"),
 1,
MATCH(TRUE,INDIRECT("'数出表_Excel'!"&amp;Q43&amp;MATCH(R43,数出表_Excel!$A:$A,0)-1&amp;":AL"&amp;MATCH(R43,数出表_Excel!$A:$A,0)-1&amp;"")&lt;&gt;"",0)
),
 "")
&amp;IFERROR(
INDEX(INDIRECT("数出表_Excel!$"&amp;Q43&amp;"5:$AL5"),
 1,
MATCH(TRUE,INDIRECT("'数出表_Excel'!"&amp;Q43&amp;MATCH(R43,数出表_Excel!$A:$A,0)-1&amp;":AL"&amp;MATCH(R43,数出表_Excel!$A:$A,0)-1&amp;"")&lt;&gt;"",0)),
 "")),"")))</f>
        <v/>
      </c>
      <c r="U44" s="108" t="str" cm="1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ISNUMBER(--INDIRECT("'数出表_Excel（アレルギー入力）'!B"&amp;MATCH(R43,'数出表_Excel（アレルギー入力）'!$A:$A,0)-1&amp;":AL"&amp;MATCH(R43,'数出表_Excel（アレルギー入力）'!$A:$A,0)-1&amp;"")),0)&gt;10,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121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1"/>
      <c r="X44" s="106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5" t="str" cm="1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101"/>
      <c r="AA44" s="107" t="str" cm="1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+MATCH(TRUE,INDIRECT("'数出表_Excel'!"&amp;X43&amp;MATCH(Y43,数出表_Excel!$A:$A,0)-1&amp;":AL"&amp;MATCH(Y43,数出表_Excel!$A:$A,0)-1&amp;"")&lt;&gt;"",0))&gt;=12,"",
IFERROR(
INDEX(INDIRECT("数出表_Excel!$"&amp;X43&amp;"4:$AL4"),
 1,
MATCH(TRUE,INDIRECT("'数出表_Excel'!"&amp;X43&amp;MATCH(Y43,数出表_Excel!$A:$A,0)-1&amp;":AL"&amp;MATCH(Y43,数出表_Excel!$A:$A,0)-1&amp;"")&lt;&gt;"",0)
),
 "")
&amp;IFERROR(
INDEX(INDIRECT("数出表_Excel!$"&amp;X43&amp;"5:$AL5"),
 1,
MATCH(TRUE,INDIRECT("'数出表_Excel'!"&amp;X43&amp;MATCH(Y43,数出表_Excel!$A:$A,0)-1&amp;":AL"&amp;MATCH(Y43,数出表_Excel!$A:$A,0)-1&amp;"")&lt;&gt;"",0)),
 "")),"")))</f>
        <v/>
      </c>
      <c r="AB44" s="108" t="str" cm="1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ISNUMBER(--INDIRECT("'数出表_Excel（アレルギー入力）'!B"&amp;MATCH(Y43,'数出表_Excel（アレルギー入力）'!$A:$A,0)-1&amp;":AL"&amp;MATCH(Y43,'数出表_Excel（アレルギー入力）'!$A:$A,0)-1&amp;"")),0)&gt;10,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117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1"/>
      <c r="AE44" s="101"/>
      <c r="AF44" s="106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5" t="str" cm="1">
        <f t="array" aca="1" ref="AG44" ca="1">IF(AG1=AN36,"",IFERROR(IF(OR(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101"/>
      <c r="AI44" s="107" t="str" cm="1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+MATCH(TRUE,INDIRECT("'数出表_Excel'!"&amp;AF43&amp;MATCH(AG43,数出表_Excel!$A:$A,0)-1&amp;":AL"&amp;MATCH(AG43,数出表_Excel!$A:$A,0)-1&amp;"")&lt;&gt;"",0))&gt;=12,"",
IFERROR(
INDEX(INDIRECT("数出表_Excel!$"&amp;AF43&amp;"4:$AL4"),
 1,
MATCH(TRUE,INDIRECT("'数出表_Excel'!"&amp;AF43&amp;MATCH(AG43,数出表_Excel!$A:$A,0)-1&amp;":AL"&amp;MATCH(AG43,数出表_Excel!$A:$A,0)-1&amp;"")&lt;&gt;"",0)
),
 "")
&amp;IFERROR(
INDEX(INDIRECT("数出表_Excel!$"&amp;AF43&amp;"5:$AL5"),
 1,
MATCH(TRUE,INDIRECT("'数出表_Excel'!"&amp;AF43&amp;MATCH(AG43,数出表_Excel!$A:$A,0)-1&amp;":AL"&amp;MATCH(AG43,数出表_Excel!$A:$A,0)-1&amp;"")&lt;&gt;"",0)),
 "")),"")))</f>
        <v/>
      </c>
      <c r="AJ44" s="108" t="str" cm="1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ISNUMBER(--INDIRECT("'数出表_Excel（アレルギー入力）'!B"&amp;MATCH(AG43,'数出表_Excel（アレルギー入力）'!$A:$A,0)-1&amp;":AL"&amp;MATCH(AG43,'数出表_Excel（アレルギー入力）'!$A:$A,0)-1&amp;"")),0)&gt;10,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121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1"/>
      <c r="AM44" s="106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5" t="str" cm="1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101"/>
      <c r="AP44" s="107" t="str" cm="1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+MATCH(TRUE,INDIRECT("'数出表_Excel'!"&amp;AM43&amp;MATCH(AN43,数出表_Excel!$A:$A,0)-1&amp;":AL"&amp;MATCH(AN43,数出表_Excel!$A:$A,0)-1&amp;"")&lt;&gt;"",0))&gt;=12,"",
IFERROR(
INDEX(INDIRECT("数出表_Excel!$"&amp;AM43&amp;"4:$AL4"),
 1,
MATCH(TRUE,INDIRECT("'数出表_Excel'!"&amp;AM43&amp;MATCH(AN43,数出表_Excel!$A:$A,0)-1&amp;":AL"&amp;MATCH(AN43,数出表_Excel!$A:$A,0)-1&amp;"")&lt;&gt;"",0)
),
 "")
&amp;IFERROR(
INDEX(INDIRECT("数出表_Excel!$"&amp;AM43&amp;"5:$AL5"),
 1,
MATCH(TRUE,INDIRECT("'数出表_Excel'!"&amp;AM43&amp;MATCH(AN43,数出表_Excel!$A:$A,0)-1&amp;":AL"&amp;MATCH(AN43,数出表_Excel!$A:$A,0)-1&amp;"")&lt;&gt;"",0)),
 "")),"")))</f>
        <v/>
      </c>
      <c r="AQ44" s="108" t="str" cm="1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ISNUMBER(--INDIRECT("'数出表_Excel（アレルギー入力）'!B"&amp;MATCH(AN43,'数出表_Excel（アレルギー入力）'!$A:$A,0)-1&amp;":AL"&amp;MATCH(AN43,'数出表_Excel（アレルギー入力）'!$A:$A,0)-1&amp;"")),0)&gt;10,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117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1"/>
      <c r="AT44" s="101"/>
      <c r="AU44" s="106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5" t="str" cm="1">
        <f t="array" aca="1" ref="AV44" ca="1">IF(AV1=BC36,"",IFERROR(IF(OR(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101"/>
      <c r="AX44" s="107" t="str" cm="1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+MATCH(TRUE,INDIRECT("'数出表_Excel'!"&amp;AU43&amp;MATCH(AV43,数出表_Excel!$A:$A,0)-1&amp;":AL"&amp;MATCH(AV43,数出表_Excel!$A:$A,0)-1&amp;"")&lt;&gt;"",0))&gt;=12,"",
IFERROR(
INDEX(INDIRECT("数出表_Excel!$"&amp;AU43&amp;"4:$AL4"),
 1,
MATCH(TRUE,INDIRECT("'数出表_Excel'!"&amp;AU43&amp;MATCH(AV43,数出表_Excel!$A:$A,0)-1&amp;":AL"&amp;MATCH(AV43,数出表_Excel!$A:$A,0)-1&amp;"")&lt;&gt;"",0)
),
 "")
&amp;IFERROR(
INDEX(INDIRECT("数出表_Excel!$"&amp;AU43&amp;"5:$AL5"),
 1,
MATCH(TRUE,INDIRECT("'数出表_Excel'!"&amp;AU43&amp;MATCH(AV43,数出表_Excel!$A:$A,0)-1&amp;":AL"&amp;MATCH(AV43,数出表_Excel!$A:$A,0)-1&amp;"")&lt;&gt;"",0)),
 "")),"")))</f>
        <v/>
      </c>
      <c r="AY44" s="108" t="str" cm="1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ISNUMBER(--INDIRECT("'数出表_Excel（アレルギー入力）'!B"&amp;MATCH(AV43,'数出表_Excel（アレルギー入力）'!$A:$A,0)-1&amp;":AL"&amp;MATCH(AV43,'数出表_Excel（アレルギー入力）'!$A:$A,0)-1&amp;"")),0)&gt;10,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121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1"/>
      <c r="BB44" s="106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5" t="str" cm="1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101"/>
      <c r="BE44" s="107" t="str" cm="1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+MATCH(TRUE,INDIRECT("'数出表_Excel'!"&amp;BB43&amp;MATCH(BC43,数出表_Excel!$A:$A,0)-1&amp;":AL"&amp;MATCH(BC43,数出表_Excel!$A:$A,0)-1&amp;"")&lt;&gt;"",0))&gt;=12,"",
IFERROR(
INDEX(INDIRECT("数出表_Excel!$"&amp;BB43&amp;"4:$AL4"),
 1,
MATCH(TRUE,INDIRECT("'数出表_Excel'!"&amp;BB43&amp;MATCH(BC43,数出表_Excel!$A:$A,0)-1&amp;":AL"&amp;MATCH(BC43,数出表_Excel!$A:$A,0)-1&amp;"")&lt;&gt;"",0)
),
 "")
&amp;IFERROR(
INDEX(INDIRECT("数出表_Excel!$"&amp;BB43&amp;"5:$AL5"),
 1,
MATCH(TRUE,INDIRECT("'数出表_Excel'!"&amp;BB43&amp;MATCH(BC43,数出表_Excel!$A:$A,0)-1&amp;":AL"&amp;MATCH(BC43,数出表_Excel!$A:$A,0)-1&amp;"")&lt;&gt;"",0)),
 "")),"")))</f>
        <v/>
      </c>
      <c r="BF44" s="108" t="str" cm="1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ISNUMBER(--INDIRECT("'数出表_Excel（アレルギー入力）'!B"&amp;MATCH(BC43,'数出表_Excel（アレルギー入力）'!$A:$A,0)-1&amp;":AL"&amp;MATCH(BC43,'数出表_Excel（アレルギー入力）'!$A:$A,0)-1&amp;"")),0)&gt;10,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117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1"/>
      <c r="BI44" s="101"/>
      <c r="BJ44" s="106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5" t="str" cm="1">
        <f t="array" aca="1" ref="BK44" ca="1">IF(BK1=BR36,"",IFERROR(IF(OR(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101"/>
      <c r="BM44" s="107" t="str" cm="1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+MATCH(TRUE,INDIRECT("'数出表_Excel'!"&amp;BJ43&amp;MATCH(BK43,数出表_Excel!$A:$A,0)-1&amp;":AL"&amp;MATCH(BK43,数出表_Excel!$A:$A,0)-1&amp;"")&lt;&gt;"",0))&gt;=12,"",
IFERROR(
INDEX(INDIRECT("数出表_Excel!$"&amp;BJ43&amp;"4:$AL4"),
 1,
MATCH(TRUE,INDIRECT("'数出表_Excel'!"&amp;BJ43&amp;MATCH(BK43,数出表_Excel!$A:$A,0)-1&amp;":AL"&amp;MATCH(BK43,数出表_Excel!$A:$A,0)-1&amp;"")&lt;&gt;"",0)
),
 "")
&amp;IFERROR(
INDEX(INDIRECT("数出表_Excel!$"&amp;BJ43&amp;"5:$AL5"),
 1,
MATCH(TRUE,INDIRECT("'数出表_Excel'!"&amp;BJ43&amp;MATCH(BK43,数出表_Excel!$A:$A,0)-1&amp;":AL"&amp;MATCH(BK43,数出表_Excel!$A:$A,0)-1&amp;"")&lt;&gt;"",0)),
 "")),"")))</f>
        <v/>
      </c>
      <c r="BN44" s="108" t="str" cm="1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ISNUMBER(--INDIRECT("'数出表_Excel（アレルギー入力）'!B"&amp;MATCH(BK43,'数出表_Excel（アレルギー入力）'!$A:$A,0)-1&amp;":AL"&amp;MATCH(BK43,'数出表_Excel（アレルギー入力）'!$A:$A,0)-1&amp;"")),0)&gt;10,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121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1"/>
      <c r="BQ44" s="106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5" t="str" cm="1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101"/>
      <c r="BT44" s="107" t="str" cm="1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+MATCH(TRUE,INDIRECT("'数出表_Excel'!"&amp;BQ43&amp;MATCH(BR43,数出表_Excel!$A:$A,0)-1&amp;":AL"&amp;MATCH(BR43,数出表_Excel!$A:$A,0)-1&amp;"")&lt;&gt;"",0))&gt;=12,"",
IFERROR(
INDEX(INDIRECT("数出表_Excel!$"&amp;BQ43&amp;"4:$AL4"),
 1,
MATCH(TRUE,INDIRECT("'数出表_Excel'!"&amp;BQ43&amp;MATCH(BR43,数出表_Excel!$A:$A,0)-1&amp;":AL"&amp;MATCH(BR43,数出表_Excel!$A:$A,0)-1&amp;"")&lt;&gt;"",0)
),
 "")
&amp;IFERROR(
INDEX(INDIRECT("数出表_Excel!$"&amp;BQ43&amp;"5:$AL5"),
 1,
MATCH(TRUE,INDIRECT("'数出表_Excel'!"&amp;BQ43&amp;MATCH(BR43,数出表_Excel!$A:$A,0)-1&amp;":AL"&amp;MATCH(BR43,数出表_Excel!$A:$A,0)-1&amp;"")&lt;&gt;"",0)),
 "")),"")))</f>
        <v/>
      </c>
      <c r="BU44" s="108" t="str" cm="1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ISNUMBER(--INDIRECT("'数出表_Excel（アレルギー入力）'!B"&amp;MATCH(BR43,'数出表_Excel（アレルギー入力）'!$A:$A,0)-1&amp;":AL"&amp;MATCH(BR43,'数出表_Excel（アレルギー入力）'!$A:$A,0)-1&amp;"")),0)&gt;10,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117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1"/>
      <c r="BX44" s="101"/>
      <c r="BY44" s="106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5" t="str" cm="1">
        <f t="array" aca="1" ref="BZ44" ca="1">IF(BZ1=CG36,"",IFERROR(IF(OR(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101"/>
      <c r="CB44" s="107" t="str" cm="1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+MATCH(TRUE,INDIRECT("'数出表_Excel'!"&amp;BY43&amp;MATCH(BZ43,数出表_Excel!$A:$A,0)-1&amp;":AL"&amp;MATCH(BZ43,数出表_Excel!$A:$A,0)-1&amp;"")&lt;&gt;"",0))&gt;=12,"",
IFERROR(
INDEX(INDIRECT("数出表_Excel!$"&amp;BY43&amp;"4:$AL4"),
 1,
MATCH(TRUE,INDIRECT("'数出表_Excel'!"&amp;BY43&amp;MATCH(BZ43,数出表_Excel!$A:$A,0)-1&amp;":AL"&amp;MATCH(BZ43,数出表_Excel!$A:$A,0)-1&amp;"")&lt;&gt;"",0)
),
 "")
&amp;IFERROR(
INDEX(INDIRECT("数出表_Excel!$"&amp;BY43&amp;"5:$AL5"),
 1,
MATCH(TRUE,INDIRECT("'数出表_Excel'!"&amp;BY43&amp;MATCH(BZ43,数出表_Excel!$A:$A,0)-1&amp;":AL"&amp;MATCH(BZ43,数出表_Excel!$A:$A,0)-1&amp;"")&lt;&gt;"",0)),
 "")),"")))</f>
        <v/>
      </c>
      <c r="CC44" s="108" t="str" cm="1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ISNUMBER(--INDIRECT("'数出表_Excel（アレルギー入力）'!B"&amp;MATCH(BZ43,'数出表_Excel（アレルギー入力）'!$A:$A,0)-1&amp;":AL"&amp;MATCH(BZ43,'数出表_Excel（アレルギー入力）'!$A:$A,0)-1&amp;"")),0)&gt;10,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121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1"/>
      <c r="CF44" s="106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5" t="str" cm="1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101"/>
      <c r="CI44" s="107" t="str" cm="1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+MATCH(TRUE,INDIRECT("'数出表_Excel'!"&amp;CF43&amp;MATCH(CG43,数出表_Excel!$A:$A,0)-1&amp;":AL"&amp;MATCH(CG43,数出表_Excel!$A:$A,0)-1&amp;"")&lt;&gt;"",0))&gt;=12,"",
IFERROR(
INDEX(INDIRECT("数出表_Excel!$"&amp;CF43&amp;"4:$AL4"),
 1,
MATCH(TRUE,INDIRECT("'数出表_Excel'!"&amp;CF43&amp;MATCH(CG43,数出表_Excel!$A:$A,0)-1&amp;":AL"&amp;MATCH(CG43,数出表_Excel!$A:$A,0)-1&amp;"")&lt;&gt;"",0)
),
 "")
&amp;IFERROR(
INDEX(INDIRECT("数出表_Excel!$"&amp;CF43&amp;"5:$AL5"),
 1,
MATCH(TRUE,INDIRECT("'数出表_Excel'!"&amp;CF43&amp;MATCH(CG43,数出表_Excel!$A:$A,0)-1&amp;":AL"&amp;MATCH(CG43,数出表_Excel!$A:$A,0)-1&amp;"")&lt;&gt;"",0)),
 "")),"")))</f>
        <v/>
      </c>
      <c r="CJ44" s="108" t="str" cm="1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ISNUMBER(--INDIRECT("'数出表_Excel（アレルギー入力）'!B"&amp;MATCH(CG43,'数出表_Excel（アレルギー入力）'!$A:$A,0)-1&amp;":AL"&amp;MATCH(CG43,'数出表_Excel（アレルギー入力）'!$A:$A,0)-1&amp;"")),0)&gt;10,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117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1"/>
      <c r="CM44" s="101"/>
      <c r="CN44" s="106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5" t="str" cm="1">
        <f t="array" aca="1" ref="CO44" ca="1">IF(CO1=CV36,"",IFERROR(IF(OR(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101"/>
      <c r="CQ44" s="107" t="str" cm="1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+MATCH(TRUE,INDIRECT("'数出表_Excel'!"&amp;CN43&amp;MATCH(CO43,数出表_Excel!$A:$A,0)-1&amp;":AL"&amp;MATCH(CO43,数出表_Excel!$A:$A,0)-1&amp;"")&lt;&gt;"",0))&gt;=12,"",
IFERROR(
INDEX(INDIRECT("数出表_Excel!$"&amp;CN43&amp;"4:$AL4"),
 1,
MATCH(TRUE,INDIRECT("'数出表_Excel'!"&amp;CN43&amp;MATCH(CO43,数出表_Excel!$A:$A,0)-1&amp;":AL"&amp;MATCH(CO43,数出表_Excel!$A:$A,0)-1&amp;"")&lt;&gt;"",0)
),
 "")
&amp;IFERROR(
INDEX(INDIRECT("数出表_Excel!$"&amp;CN43&amp;"5:$AL5"),
 1,
MATCH(TRUE,INDIRECT("'数出表_Excel'!"&amp;CN43&amp;MATCH(CO43,数出表_Excel!$A:$A,0)-1&amp;":AL"&amp;MATCH(CO43,数出表_Excel!$A:$A,0)-1&amp;"")&lt;&gt;"",0)),
 "")),"")))</f>
        <v/>
      </c>
      <c r="CR44" s="108" t="str" cm="1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ISNUMBER(--INDIRECT("'数出表_Excel（アレルギー入力）'!B"&amp;MATCH(CO43,'数出表_Excel（アレルギー入力）'!$A:$A,0)-1&amp;":AL"&amp;MATCH(CO43,'数出表_Excel（アレルギー入力）'!$A:$A,0)-1&amp;"")),0)&gt;10,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121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1"/>
      <c r="CU44" s="106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5" t="str" cm="1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101"/>
      <c r="CX44" s="107" t="str" cm="1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+MATCH(TRUE,INDIRECT("'数出表_Excel'!"&amp;CU43&amp;MATCH(CV43,数出表_Excel!$A:$A,0)-1&amp;":AL"&amp;MATCH(CV43,数出表_Excel!$A:$A,0)-1&amp;"")&lt;&gt;"",0))&gt;=12,"",
IFERROR(
INDEX(INDIRECT("数出表_Excel!$"&amp;CU43&amp;"4:$AL4"),
 1,
MATCH(TRUE,INDIRECT("'数出表_Excel'!"&amp;CU43&amp;MATCH(CV43,数出表_Excel!$A:$A,0)-1&amp;":AL"&amp;MATCH(CV43,数出表_Excel!$A:$A,0)-1&amp;"")&lt;&gt;"",0)
),
 "")
&amp;IFERROR(
INDEX(INDIRECT("数出表_Excel!$"&amp;CU43&amp;"5:$AL5"),
 1,
MATCH(TRUE,INDIRECT("'数出表_Excel'!"&amp;CU43&amp;MATCH(CV43,数出表_Excel!$A:$A,0)-1&amp;":AL"&amp;MATCH(CV43,数出表_Excel!$A:$A,0)-1&amp;"")&lt;&gt;"",0)),
 "")),"")))</f>
        <v/>
      </c>
      <c r="CY44" s="108" t="str" cm="1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ISNUMBER(--INDIRECT("'数出表_Excel（アレルギー入力）'!B"&amp;MATCH(CV43,'数出表_Excel（アレルギー入力）'!$A:$A,0)-1&amp;":AL"&amp;MATCH(CV43,'数出表_Excel（アレルギー入力）'!$A:$A,0)-1&amp;"")),0)&gt;10,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117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1"/>
      <c r="DB44" s="101"/>
      <c r="DC44" s="106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5" t="str" cm="1">
        <f t="array" aca="1" ref="DD44" ca="1">IF(DD1=DK36,"",IFERROR(IF(OR(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101"/>
      <c r="DF44" s="107" t="str" cm="1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+MATCH(TRUE,INDIRECT("'数出表_Excel'!"&amp;DC43&amp;MATCH(DD43,数出表_Excel!$A:$A,0)-1&amp;":AL"&amp;MATCH(DD43,数出表_Excel!$A:$A,0)-1&amp;"")&lt;&gt;"",0))&gt;=12,"",
IFERROR(
INDEX(INDIRECT("数出表_Excel!$"&amp;DC43&amp;"4:$AL4"),
 1,
MATCH(TRUE,INDIRECT("'数出表_Excel'!"&amp;DC43&amp;MATCH(DD43,数出表_Excel!$A:$A,0)-1&amp;":AL"&amp;MATCH(DD43,数出表_Excel!$A:$A,0)-1&amp;"")&lt;&gt;"",0)
),
 "")
&amp;IFERROR(
INDEX(INDIRECT("数出表_Excel!$"&amp;DC43&amp;"5:$AL5"),
 1,
MATCH(TRUE,INDIRECT("'数出表_Excel'!"&amp;DC43&amp;MATCH(DD43,数出表_Excel!$A:$A,0)-1&amp;":AL"&amp;MATCH(DD43,数出表_Excel!$A:$A,0)-1&amp;"")&lt;&gt;"",0)),
 "")),"")))</f>
        <v/>
      </c>
      <c r="DG44" s="108" t="str" cm="1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ISNUMBER(--INDIRECT("'数出表_Excel（アレルギー入力）'!B"&amp;MATCH(DD43,'数出表_Excel（アレルギー入力）'!$A:$A,0)-1&amp;":AL"&amp;MATCH(DD43,'数出表_Excel（アレルギー入力）'!$A:$A,0)-1&amp;"")),0)&gt;10,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121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1"/>
      <c r="DJ44" s="106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5" t="str" cm="1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101"/>
      <c r="DM44" s="107" t="str" cm="1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+MATCH(TRUE,INDIRECT("'数出表_Excel'!"&amp;DJ43&amp;MATCH(DK43,数出表_Excel!$A:$A,0)-1&amp;":AL"&amp;MATCH(DK43,数出表_Excel!$A:$A,0)-1&amp;"")&lt;&gt;"",0))&gt;=12,"",
IFERROR(
INDEX(INDIRECT("数出表_Excel!$"&amp;DJ43&amp;"4:$AL4"),
 1,
MATCH(TRUE,INDIRECT("'数出表_Excel'!"&amp;DJ43&amp;MATCH(DK43,数出表_Excel!$A:$A,0)-1&amp;":AL"&amp;MATCH(DK43,数出表_Excel!$A:$A,0)-1&amp;"")&lt;&gt;"",0)
),
 "")
&amp;IFERROR(
INDEX(INDIRECT("数出表_Excel!$"&amp;DJ43&amp;"5:$AL5"),
 1,
MATCH(TRUE,INDIRECT("'数出表_Excel'!"&amp;DJ43&amp;MATCH(DK43,数出表_Excel!$A:$A,0)-1&amp;":AL"&amp;MATCH(DK43,数出表_Excel!$A:$A,0)-1&amp;"")&lt;&gt;"",0)),
 "")),"")))</f>
        <v/>
      </c>
      <c r="DN44" s="108" t="str" cm="1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ISNUMBER(--INDIRECT("'数出表_Excel（アレルギー入力）'!B"&amp;MATCH(DK43,'数出表_Excel（アレルギー入力）'!$A:$A,0)-1&amp;":AL"&amp;MATCH(DK43,'数出表_Excel（アレルギー入力）'!$A:$A,0)-1&amp;"")),0)&gt;10,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117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1"/>
      <c r="DQ44" s="101"/>
      <c r="DR44" s="106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5" t="str" cm="1">
        <f t="array" aca="1" ref="DS44" ca="1">IF(DS1=DZ36,"",IFERROR(IF(OR(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101"/>
      <c r="DU44" s="107" t="str" cm="1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+MATCH(TRUE,INDIRECT("'数出表_Excel'!"&amp;DR43&amp;MATCH(DS43,数出表_Excel!$A:$A,0)-1&amp;":AL"&amp;MATCH(DS43,数出表_Excel!$A:$A,0)-1&amp;"")&lt;&gt;"",0))&gt;=12,"",
IFERROR(
INDEX(INDIRECT("数出表_Excel!$"&amp;DR43&amp;"4:$AL4"),
 1,
MATCH(TRUE,INDIRECT("'数出表_Excel'!"&amp;DR43&amp;MATCH(DS43,数出表_Excel!$A:$A,0)-1&amp;":AL"&amp;MATCH(DS43,数出表_Excel!$A:$A,0)-1&amp;"")&lt;&gt;"",0)
),
 "")
&amp;IFERROR(
INDEX(INDIRECT("数出表_Excel!$"&amp;DR43&amp;"5:$AL5"),
 1,
MATCH(TRUE,INDIRECT("'数出表_Excel'!"&amp;DR43&amp;MATCH(DS43,数出表_Excel!$A:$A,0)-1&amp;":AL"&amp;MATCH(DS43,数出表_Excel!$A:$A,0)-1&amp;"")&lt;&gt;"",0)),
 "")),"")))</f>
        <v/>
      </c>
      <c r="DV44" s="108" t="str" cm="1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ISNUMBER(--INDIRECT("'数出表_Excel（アレルギー入力）'!B"&amp;MATCH(DS43,'数出表_Excel（アレルギー入力）'!$A:$A,0)-1&amp;":AL"&amp;MATCH(DS43,'数出表_Excel（アレルギー入力）'!$A:$A,0)-1&amp;"")),0)&gt;10,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121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1"/>
      <c r="DY44" s="106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5" t="str" cm="1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101"/>
      <c r="EB44" s="107" t="str" cm="1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+MATCH(TRUE,INDIRECT("'数出表_Excel'!"&amp;DY43&amp;MATCH(DZ43,数出表_Excel!$A:$A,0)-1&amp;":AL"&amp;MATCH(DZ43,数出表_Excel!$A:$A,0)-1&amp;"")&lt;&gt;"",0))&gt;=12,"",
IFERROR(
INDEX(INDIRECT("数出表_Excel!$"&amp;DY43&amp;"4:$AL4"),
 1,
MATCH(TRUE,INDIRECT("'数出表_Excel'!"&amp;DY43&amp;MATCH(DZ43,数出表_Excel!$A:$A,0)-1&amp;":AL"&amp;MATCH(DZ43,数出表_Excel!$A:$A,0)-1&amp;"")&lt;&gt;"",0)
),
 "")
&amp;IFERROR(
INDEX(INDIRECT("数出表_Excel!$"&amp;DY43&amp;"5:$AL5"),
 1,
MATCH(TRUE,INDIRECT("'数出表_Excel'!"&amp;DY43&amp;MATCH(DZ43,数出表_Excel!$A:$A,0)-1&amp;":AL"&amp;MATCH(DZ43,数出表_Excel!$A:$A,0)-1&amp;"")&lt;&gt;"",0)),
 "")),"")))</f>
        <v/>
      </c>
      <c r="EC44" s="108" t="str" cm="1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ISNUMBER(--INDIRECT("'数出表_Excel（アレルギー入力）'!B"&amp;MATCH(DZ43,'数出表_Excel（アレルギー入力）'!$A:$A,0)-1&amp;":AL"&amp;MATCH(DZ43,'数出表_Excel（アレルギー入力）'!$A:$A,0)-1&amp;"")),0)&gt;10,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117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1"/>
      <c r="EF44" s="101"/>
      <c r="EG44" s="106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5" t="str" cm="1">
        <f t="array" aca="1" ref="EH44" ca="1">IF(EH1=EO36,"",IFERROR(IF(OR(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101"/>
      <c r="EJ44" s="107" t="str" cm="1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+MATCH(TRUE,INDIRECT("'数出表_Excel'!"&amp;EG43&amp;MATCH(EH43,数出表_Excel!$A:$A,0)-1&amp;":AL"&amp;MATCH(EH43,数出表_Excel!$A:$A,0)-1&amp;"")&lt;&gt;"",0))&gt;=12,"",
IFERROR(
INDEX(INDIRECT("数出表_Excel!$"&amp;EG43&amp;"4:$AL4"),
 1,
MATCH(TRUE,INDIRECT("'数出表_Excel'!"&amp;EG43&amp;MATCH(EH43,数出表_Excel!$A:$A,0)-1&amp;":AL"&amp;MATCH(EH43,数出表_Excel!$A:$A,0)-1&amp;"")&lt;&gt;"",0)
),
 "")
&amp;IFERROR(
INDEX(INDIRECT("数出表_Excel!$"&amp;EG43&amp;"5:$AL5"),
 1,
MATCH(TRUE,INDIRECT("'数出表_Excel'!"&amp;EG43&amp;MATCH(EH43,数出表_Excel!$A:$A,0)-1&amp;":AL"&amp;MATCH(EH43,数出表_Excel!$A:$A,0)-1&amp;"")&lt;&gt;"",0)),
 "")),"")))</f>
        <v/>
      </c>
      <c r="EK44" s="108" t="str" cm="1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ISNUMBER(--INDIRECT("'数出表_Excel（アレルギー入力）'!B"&amp;MATCH(EH43,'数出表_Excel（アレルギー入力）'!$A:$A,0)-1&amp;":AL"&amp;MATCH(EH43,'数出表_Excel（アレルギー入力）'!$A:$A,0)-1&amp;"")),0)&gt;10,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121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101"/>
      <c r="EN44" s="106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5" t="str" cm="1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101"/>
      <c r="EQ44" s="107" t="str" cm="1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+MATCH(TRUE,INDIRECT("'数出表_Excel'!"&amp;EN43&amp;MATCH(EO43,数出表_Excel!$A:$A,0)-1&amp;":AL"&amp;MATCH(EO43,数出表_Excel!$A:$A,0)-1&amp;"")&lt;&gt;"",0))&gt;=12,"",
IFERROR(
INDEX(INDIRECT("数出表_Excel!$"&amp;EN43&amp;"4:$AL4"),
 1,
MATCH(TRUE,INDIRECT("'数出表_Excel'!"&amp;EN43&amp;MATCH(EO43,数出表_Excel!$A:$A,0)-1&amp;":AL"&amp;MATCH(EO43,数出表_Excel!$A:$A,0)-1&amp;"")&lt;&gt;"",0)
),
 "")
&amp;IFERROR(
INDEX(INDIRECT("数出表_Excel!$"&amp;EN43&amp;"5:$AL5"),
 1,
MATCH(TRUE,INDIRECT("'数出表_Excel'!"&amp;EN43&amp;MATCH(EO43,数出表_Excel!$A:$A,0)-1&amp;":AL"&amp;MATCH(EO43,数出表_Excel!$A:$A,0)-1&amp;"")&lt;&gt;"",0)),
 "")),"")))</f>
        <v/>
      </c>
      <c r="ER44" s="108" t="str" cm="1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ISNUMBER(--INDIRECT("'数出表_Excel（アレルギー入力）'!B"&amp;MATCH(EO43,'数出表_Excel（アレルギー入力）'!$A:$A,0)-1&amp;":AL"&amp;MATCH(EO43,'数出表_Excel（アレルギー入力）'!$A:$A,0)-1&amp;"")),0)&gt;10,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117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3"/>
      <c r="EU44" s="103">
        <f t="shared" si="2"/>
        <v>70</v>
      </c>
      <c r="EV44" s="103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3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3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3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3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3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3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3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3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3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3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3">
        <f t="shared" ca="1" si="3"/>
        <v>0</v>
      </c>
      <c r="FH44" s="103" t="b">
        <f t="array" aca="1" ref="FH44" ca="1">SUMPRODUCT((LEN(EV44:FF44)&gt;0)*1)&gt;0</f>
        <v>0</v>
      </c>
      <c r="FI44" s="103" t="str">
        <f t="array" aca="1" ref="FI44" ca="1">IFERROR(SMALL(IF(FG$1:FG$169&lt;&gt;0,FG$1:FG$169),ROW(A44)),"")</f>
        <v/>
      </c>
      <c r="FJ44" s="103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3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3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3" t="str">
        <f t="array" aca="1" ref="FM44" ca="1">IF($FI44&lt;&gt;"",
IF(FL44="",
INDIRECT("EY"&amp;$FI44&amp;"")&amp;"箱"
&amp;INDIRECT("EZ"&amp;$FI44&amp;""),""),"")</f>
        <v/>
      </c>
      <c r="FN44" s="103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3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3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3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3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3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3" customFormat="1" ht="22.2" customHeight="1" x14ac:dyDescent="0.55000000000000004">
      <c r="A45" s="101"/>
      <c r="B45" s="109"/>
      <c r="C45" s="196" t="str">
        <f ca="1">IF(C46&lt;&gt;"","園児","")</f>
        <v/>
      </c>
      <c r="D45" s="197"/>
      <c r="E45" s="200" t="str">
        <f ca="1">IF(C46&lt;&gt;"","先生","")</f>
        <v/>
      </c>
      <c r="F45" s="197"/>
      <c r="G45" s="122"/>
      <c r="H45" s="101"/>
      <c r="I45" s="109"/>
      <c r="J45" s="196" t="str">
        <f ca="1">IF(J46&lt;&gt;"","園児","")</f>
        <v/>
      </c>
      <c r="K45" s="197"/>
      <c r="L45" s="200" t="str">
        <f ca="1">IF(J46&lt;&gt;"","先生","")</f>
        <v/>
      </c>
      <c r="M45" s="197"/>
      <c r="N45" s="118"/>
      <c r="O45" s="101"/>
      <c r="P45" s="101"/>
      <c r="Q45" s="109"/>
      <c r="R45" s="196" t="str">
        <f ca="1">IF(R46&lt;&gt;"","園児","")</f>
        <v/>
      </c>
      <c r="S45" s="196"/>
      <c r="T45" s="200" t="str">
        <f ca="1">IF(R46&lt;&gt;"","先生","")</f>
        <v/>
      </c>
      <c r="U45" s="200"/>
      <c r="V45" s="122"/>
      <c r="W45" s="101"/>
      <c r="X45" s="109"/>
      <c r="Y45" s="196" t="str">
        <f ca="1">IF(Y46&lt;&gt;"","園児","")</f>
        <v/>
      </c>
      <c r="Z45" s="196"/>
      <c r="AA45" s="200" t="str">
        <f ca="1">IF(Y46&lt;&gt;"","先生","")</f>
        <v/>
      </c>
      <c r="AB45" s="200"/>
      <c r="AC45" s="118"/>
      <c r="AD45" s="101"/>
      <c r="AE45" s="101"/>
      <c r="AF45" s="109"/>
      <c r="AG45" s="196" t="str">
        <f ca="1">IF(AG46&lt;&gt;"","園児","")</f>
        <v/>
      </c>
      <c r="AH45" s="196"/>
      <c r="AI45" s="200" t="str">
        <f ca="1">IF(AG46&lt;&gt;"","先生","")</f>
        <v/>
      </c>
      <c r="AJ45" s="200"/>
      <c r="AK45" s="122"/>
      <c r="AL45" s="101"/>
      <c r="AM45" s="109"/>
      <c r="AN45" s="196" t="str">
        <f ca="1">IF(AN46&lt;&gt;"","園児","")</f>
        <v/>
      </c>
      <c r="AO45" s="196"/>
      <c r="AP45" s="200" t="str">
        <f ca="1">IF(AN46&lt;&gt;"","先生","")</f>
        <v/>
      </c>
      <c r="AQ45" s="200"/>
      <c r="AR45" s="118"/>
      <c r="AS45" s="101"/>
      <c r="AT45" s="101"/>
      <c r="AU45" s="109"/>
      <c r="AV45" s="196" t="str">
        <f ca="1">IF(AV46&lt;&gt;"","園児","")</f>
        <v/>
      </c>
      <c r="AW45" s="196"/>
      <c r="AX45" s="200" t="str">
        <f ca="1">IF(AV46&lt;&gt;"","先生","")</f>
        <v/>
      </c>
      <c r="AY45" s="200"/>
      <c r="AZ45" s="122"/>
      <c r="BA45" s="101"/>
      <c r="BB45" s="109"/>
      <c r="BC45" s="196" t="str">
        <f ca="1">IF(BC46&lt;&gt;"","園児","")</f>
        <v/>
      </c>
      <c r="BD45" s="196"/>
      <c r="BE45" s="200" t="str">
        <f ca="1">IF(BC46&lt;&gt;"","先生","")</f>
        <v/>
      </c>
      <c r="BF45" s="200"/>
      <c r="BG45" s="118"/>
      <c r="BH45" s="101"/>
      <c r="BI45" s="101"/>
      <c r="BJ45" s="109"/>
      <c r="BK45" s="196" t="str">
        <f ca="1">IF(BK46&lt;&gt;"","園児","")</f>
        <v/>
      </c>
      <c r="BL45" s="196"/>
      <c r="BM45" s="200" t="str">
        <f ca="1">IF(BK46&lt;&gt;"","先生","")</f>
        <v/>
      </c>
      <c r="BN45" s="200"/>
      <c r="BO45" s="122"/>
      <c r="BP45" s="101"/>
      <c r="BQ45" s="109"/>
      <c r="BR45" s="196" t="str">
        <f ca="1">IF(BR46&lt;&gt;"","園児","")</f>
        <v/>
      </c>
      <c r="BS45" s="196"/>
      <c r="BT45" s="200" t="str">
        <f ca="1">IF(BR46&lt;&gt;"","先生","")</f>
        <v/>
      </c>
      <c r="BU45" s="200"/>
      <c r="BV45" s="118"/>
      <c r="BW45" s="101"/>
      <c r="BX45" s="101"/>
      <c r="BY45" s="109"/>
      <c r="BZ45" s="196" t="str">
        <f ca="1">IF(BZ46&lt;&gt;"","園児","")</f>
        <v/>
      </c>
      <c r="CA45" s="196"/>
      <c r="CB45" s="200" t="str">
        <f ca="1">IF(BZ46&lt;&gt;"","先生","")</f>
        <v/>
      </c>
      <c r="CC45" s="200"/>
      <c r="CD45" s="122"/>
      <c r="CE45" s="101"/>
      <c r="CF45" s="109"/>
      <c r="CG45" s="196" t="str">
        <f ca="1">IF(CG46&lt;&gt;"","園児","")</f>
        <v/>
      </c>
      <c r="CH45" s="196"/>
      <c r="CI45" s="200" t="str">
        <f ca="1">IF(CG46&lt;&gt;"","先生","")</f>
        <v/>
      </c>
      <c r="CJ45" s="200"/>
      <c r="CK45" s="118"/>
      <c r="CL45" s="101"/>
      <c r="CM45" s="101"/>
      <c r="CN45" s="109"/>
      <c r="CO45" s="196" t="str">
        <f ca="1">IF(CO46&lt;&gt;"","園児","")</f>
        <v/>
      </c>
      <c r="CP45" s="196"/>
      <c r="CQ45" s="200" t="str">
        <f ca="1">IF(CO46&lt;&gt;"","先生","")</f>
        <v/>
      </c>
      <c r="CR45" s="200"/>
      <c r="CS45" s="122"/>
      <c r="CT45" s="101"/>
      <c r="CU45" s="109"/>
      <c r="CV45" s="196" t="str">
        <f ca="1">IF(CV46&lt;&gt;"","園児","")</f>
        <v/>
      </c>
      <c r="CW45" s="196"/>
      <c r="CX45" s="200" t="str">
        <f ca="1">IF(CV46&lt;&gt;"","先生","")</f>
        <v/>
      </c>
      <c r="CY45" s="200"/>
      <c r="CZ45" s="118"/>
      <c r="DA45" s="101"/>
      <c r="DB45" s="101"/>
      <c r="DC45" s="109"/>
      <c r="DD45" s="196" t="str">
        <f ca="1">IF(DD46&lt;&gt;"","園児","")</f>
        <v/>
      </c>
      <c r="DE45" s="196"/>
      <c r="DF45" s="200" t="str">
        <f ca="1">IF(DD46&lt;&gt;"","先生","")</f>
        <v/>
      </c>
      <c r="DG45" s="200"/>
      <c r="DH45" s="122"/>
      <c r="DI45" s="101"/>
      <c r="DJ45" s="109"/>
      <c r="DK45" s="196" t="str">
        <f ca="1">IF(DK46&lt;&gt;"","園児","")</f>
        <v/>
      </c>
      <c r="DL45" s="196"/>
      <c r="DM45" s="200" t="str">
        <f ca="1">IF(DK46&lt;&gt;"","先生","")</f>
        <v/>
      </c>
      <c r="DN45" s="200"/>
      <c r="DO45" s="118"/>
      <c r="DP45" s="101"/>
      <c r="DQ45" s="101"/>
      <c r="DR45" s="109"/>
      <c r="DS45" s="196" t="str">
        <f ca="1">IF(DS46&lt;&gt;"","園児","")</f>
        <v/>
      </c>
      <c r="DT45" s="196"/>
      <c r="DU45" s="200" t="str">
        <f ca="1">IF(DS46&lt;&gt;"","先生","")</f>
        <v/>
      </c>
      <c r="DV45" s="200"/>
      <c r="DW45" s="122"/>
      <c r="DX45" s="101"/>
      <c r="DY45" s="109"/>
      <c r="DZ45" s="196" t="str">
        <f ca="1">IF(DZ46&lt;&gt;"","園児","")</f>
        <v/>
      </c>
      <c r="EA45" s="196"/>
      <c r="EB45" s="200" t="str">
        <f ca="1">IF(DZ46&lt;&gt;"","先生","")</f>
        <v/>
      </c>
      <c r="EC45" s="200"/>
      <c r="ED45" s="118"/>
      <c r="EE45" s="101"/>
      <c r="EF45" s="101"/>
      <c r="EG45" s="109"/>
      <c r="EH45" s="196" t="str">
        <f ca="1">IF(EH46&lt;&gt;"","園児","")</f>
        <v/>
      </c>
      <c r="EI45" s="196"/>
      <c r="EJ45" s="200" t="str">
        <f ca="1">IF(EH46&lt;&gt;"","先生","")</f>
        <v/>
      </c>
      <c r="EK45" s="200"/>
      <c r="EL45" s="122"/>
      <c r="EM45" s="101"/>
      <c r="EN45" s="109"/>
      <c r="EO45" s="196" t="str">
        <f ca="1">IF(EO46&lt;&gt;"","園児","")</f>
        <v/>
      </c>
      <c r="EP45" s="196"/>
      <c r="EQ45" s="200" t="str">
        <f ca="1">IF(EO46&lt;&gt;"","先生","")</f>
        <v/>
      </c>
      <c r="ER45" s="200"/>
      <c r="ES45" s="118"/>
      <c r="ET45" s="132"/>
      <c r="EU45" s="103">
        <f t="shared" si="2"/>
        <v>35</v>
      </c>
      <c r="EV45" s="103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3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3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3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3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3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3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3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3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3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3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3">
        <f t="shared" ca="1" si="3"/>
        <v>0</v>
      </c>
      <c r="FH45" s="103" t="e">
        <f t="array" aca="1" ref="FH45" ca="1">SUMPRODUCT((LEN(EV45:FF45)&gt;0)*1)&gt;0</f>
        <v>#VALUE!</v>
      </c>
      <c r="FI45" s="103" t="str">
        <f t="array" aca="1" ref="FI45" ca="1">IFERROR(SMALL(IF(FG$1:FG$169&lt;&gt;0,FG$1:FG$169),ROW(A45)),"")</f>
        <v/>
      </c>
      <c r="FJ45" s="103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3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3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3" t="str">
        <f t="array" aca="1" ref="FM45" ca="1">IF($FI45&lt;&gt;"",
IF(FL45="",
INDIRECT("EY"&amp;$FI45&amp;"")&amp;"箱"
&amp;INDIRECT("EZ"&amp;$FI45&amp;""),""),"")</f>
        <v/>
      </c>
      <c r="FN45" s="103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3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3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3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3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3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1.05">
      <c r="B46" s="111"/>
      <c r="C46" s="192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93"/>
      <c r="E46" s="195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93"/>
      <c r="G46" s="122"/>
      <c r="I46" s="111"/>
      <c r="J46" s="192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93"/>
      <c r="L46" s="195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93"/>
      <c r="N46" s="118"/>
      <c r="Q46" s="111"/>
      <c r="R46" s="213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13"/>
      <c r="T46" s="218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18"/>
      <c r="V46" s="122"/>
      <c r="X46" s="111"/>
      <c r="Y46" s="213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13"/>
      <c r="AA46" s="218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18"/>
      <c r="AC46" s="118"/>
      <c r="AF46" s="111"/>
      <c r="AG46" s="213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13"/>
      <c r="AI46" s="218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18"/>
      <c r="AK46" s="122"/>
      <c r="AM46" s="111"/>
      <c r="AN46" s="213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13"/>
      <c r="AP46" s="218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18"/>
      <c r="AR46" s="118"/>
      <c r="AU46" s="111"/>
      <c r="AV46" s="213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13"/>
      <c r="AX46" s="218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18"/>
      <c r="AZ46" s="122"/>
      <c r="BB46" s="111"/>
      <c r="BC46" s="213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13"/>
      <c r="BE46" s="218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18"/>
      <c r="BG46" s="118"/>
      <c r="BJ46" s="111"/>
      <c r="BK46" s="213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13"/>
      <c r="BM46" s="218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18"/>
      <c r="BO46" s="122"/>
      <c r="BQ46" s="111"/>
      <c r="BR46" s="213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13"/>
      <c r="BT46" s="218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18"/>
      <c r="BV46" s="118"/>
      <c r="BY46" s="111"/>
      <c r="BZ46" s="213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13"/>
      <c r="CB46" s="218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18"/>
      <c r="CD46" s="122"/>
      <c r="CF46" s="111"/>
      <c r="CG46" s="213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13"/>
      <c r="CI46" s="218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18"/>
      <c r="CK46" s="118"/>
      <c r="CN46" s="111"/>
      <c r="CO46" s="213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13"/>
      <c r="CQ46" s="218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18"/>
      <c r="CS46" s="122"/>
      <c r="CU46" s="111"/>
      <c r="CV46" s="213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13"/>
      <c r="CX46" s="218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18"/>
      <c r="CZ46" s="118"/>
      <c r="DC46" s="111"/>
      <c r="DD46" s="213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13"/>
      <c r="DF46" s="218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18"/>
      <c r="DH46" s="122"/>
      <c r="DJ46" s="111"/>
      <c r="DK46" s="213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13"/>
      <c r="DM46" s="218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18"/>
      <c r="DO46" s="118"/>
      <c r="DR46" s="111"/>
      <c r="DS46" s="213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13"/>
      <c r="DU46" s="218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18"/>
      <c r="DW46" s="122"/>
      <c r="DY46" s="111"/>
      <c r="DZ46" s="213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13"/>
      <c r="EB46" s="218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18"/>
      <c r="ED46" s="118"/>
      <c r="EG46" s="111"/>
      <c r="EH46" s="213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13"/>
      <c r="EJ46" s="218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18"/>
      <c r="EL46" s="122"/>
      <c r="EN46" s="111"/>
      <c r="EO46" s="213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13"/>
      <c r="EQ46" s="218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18"/>
      <c r="ES46" s="118"/>
      <c r="ET46" s="132"/>
      <c r="EU46" s="103">
        <f t="shared" si="2"/>
        <v>77</v>
      </c>
      <c r="EV46" s="103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3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3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3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3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3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3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3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3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3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3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3">
        <f t="shared" ca="1" si="3"/>
        <v>0</v>
      </c>
      <c r="FH46" s="103" t="b">
        <f t="array" aca="1" ref="FH46" ca="1">SUMPRODUCT((LEN(EV46:FF46)&gt;0)*1)&gt;0</f>
        <v>0</v>
      </c>
      <c r="FI46" s="103" t="str">
        <f t="array" aca="1" ref="FI46" ca="1">IFERROR(SMALL(IF(FG$1:FG$169&lt;&gt;0,FG$1:FG$169),ROW(A46)),"")</f>
        <v/>
      </c>
      <c r="FJ46" s="103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3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3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3" t="str">
        <f t="array" aca="1" ref="FM46" ca="1">IF($FI46&lt;&gt;"",
IF(FL46="",
INDIRECT("EY"&amp;$FI46&amp;"")&amp;"箱"
&amp;INDIRECT("EZ"&amp;$FI46&amp;""),""),"")</f>
        <v/>
      </c>
      <c r="FN46" s="103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3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3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3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3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3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1.05">
      <c r="B47" s="113"/>
      <c r="C47" s="194"/>
      <c r="D47" s="194"/>
      <c r="E47" s="194"/>
      <c r="F47" s="194"/>
      <c r="G47" s="123" t="str">
        <f ca="1">SUBSTITUTE(SUBSTITUTE(ADDRESS(1,MATCH("おやつ",'数出表_Excel（アレルギー入力）'!$3:$3,0)),1,""),"$","")</f>
        <v>AL</v>
      </c>
      <c r="I47" s="113"/>
      <c r="J47" s="194"/>
      <c r="K47" s="194"/>
      <c r="L47" s="194"/>
      <c r="M47" s="194"/>
      <c r="N47" s="123" t="str">
        <f ca="1">SUBSTITUTE(SUBSTITUTE(ADDRESS(1,MATCH("おやつ",'数出表_Excel（アレルギー入力）'!$3:$3,0)),1,""),"$","")</f>
        <v>AL</v>
      </c>
      <c r="Q47" s="113"/>
      <c r="R47" s="192"/>
      <c r="S47" s="192"/>
      <c r="T47" s="195"/>
      <c r="U47" s="195"/>
      <c r="V47" s="123" t="str">
        <f ca="1">SUBSTITUTE(SUBSTITUTE(ADDRESS(1,MATCH("おやつ",'数出表_Excel（アレルギー入力）'!$3:$3,0)),1,""),"$","")</f>
        <v>AL</v>
      </c>
      <c r="X47" s="113"/>
      <c r="Y47" s="192"/>
      <c r="Z47" s="192"/>
      <c r="AA47" s="195"/>
      <c r="AB47" s="195"/>
      <c r="AC47" s="123" t="str">
        <f ca="1">SUBSTITUTE(SUBSTITUTE(ADDRESS(1,MATCH("おやつ",'数出表_Excel（アレルギー入力）'!$3:$3,0)),1,""),"$","")</f>
        <v>AL</v>
      </c>
      <c r="AF47" s="113"/>
      <c r="AG47" s="192"/>
      <c r="AH47" s="192"/>
      <c r="AI47" s="195"/>
      <c r="AJ47" s="195"/>
      <c r="AK47" s="123" t="str">
        <f ca="1">SUBSTITUTE(SUBSTITUTE(ADDRESS(1,MATCH("おやつ",'数出表_Excel（アレルギー入力）'!$3:$3,0)),1,""),"$","")</f>
        <v>AL</v>
      </c>
      <c r="AM47" s="113"/>
      <c r="AN47" s="192"/>
      <c r="AO47" s="192"/>
      <c r="AP47" s="195"/>
      <c r="AQ47" s="195"/>
      <c r="AR47" s="123" t="str">
        <f ca="1">SUBSTITUTE(SUBSTITUTE(ADDRESS(1,MATCH("おやつ",'数出表_Excel（アレルギー入力）'!$3:$3,0)),1,""),"$","")</f>
        <v>AL</v>
      </c>
      <c r="AU47" s="113"/>
      <c r="AV47" s="192"/>
      <c r="AW47" s="192"/>
      <c r="AX47" s="195"/>
      <c r="AY47" s="195"/>
      <c r="AZ47" s="123" t="str">
        <f ca="1">SUBSTITUTE(SUBSTITUTE(ADDRESS(1,MATCH("おやつ",'数出表_Excel（アレルギー入力）'!$3:$3,0)),1,""),"$","")</f>
        <v>AL</v>
      </c>
      <c r="BB47" s="113"/>
      <c r="BC47" s="192"/>
      <c r="BD47" s="192"/>
      <c r="BE47" s="195"/>
      <c r="BF47" s="195"/>
      <c r="BG47" s="123" t="str">
        <f ca="1">SUBSTITUTE(SUBSTITUTE(ADDRESS(1,MATCH("おやつ",'数出表_Excel（アレルギー入力）'!$3:$3,0)),1,""),"$","")</f>
        <v>AL</v>
      </c>
      <c r="BJ47" s="113"/>
      <c r="BK47" s="192"/>
      <c r="BL47" s="192"/>
      <c r="BM47" s="195"/>
      <c r="BN47" s="195"/>
      <c r="BO47" s="123" t="str">
        <f ca="1">SUBSTITUTE(SUBSTITUTE(ADDRESS(1,MATCH("おやつ",'数出表_Excel（アレルギー入力）'!$3:$3,0)),1,""),"$","")</f>
        <v>AL</v>
      </c>
      <c r="BQ47" s="113"/>
      <c r="BR47" s="192"/>
      <c r="BS47" s="192"/>
      <c r="BT47" s="195"/>
      <c r="BU47" s="195"/>
      <c r="BV47" s="123" t="str">
        <f ca="1">SUBSTITUTE(SUBSTITUTE(ADDRESS(1,MATCH("おやつ",'数出表_Excel（アレルギー入力）'!$3:$3,0)),1,""),"$","")</f>
        <v>AL</v>
      </c>
      <c r="BY47" s="113"/>
      <c r="BZ47" s="192"/>
      <c r="CA47" s="192"/>
      <c r="CB47" s="195"/>
      <c r="CC47" s="195"/>
      <c r="CD47" s="123" t="str">
        <f ca="1">SUBSTITUTE(SUBSTITUTE(ADDRESS(1,MATCH("おやつ",'数出表_Excel（アレルギー入力）'!$3:$3,0)),1,""),"$","")</f>
        <v>AL</v>
      </c>
      <c r="CF47" s="113"/>
      <c r="CG47" s="192"/>
      <c r="CH47" s="192"/>
      <c r="CI47" s="195"/>
      <c r="CJ47" s="195"/>
      <c r="CK47" s="123" t="str">
        <f ca="1">SUBSTITUTE(SUBSTITUTE(ADDRESS(1,MATCH("おやつ",'数出表_Excel（アレルギー入力）'!$3:$3,0)),1,""),"$","")</f>
        <v>AL</v>
      </c>
      <c r="CN47" s="113"/>
      <c r="CO47" s="192"/>
      <c r="CP47" s="192"/>
      <c r="CQ47" s="195"/>
      <c r="CR47" s="195"/>
      <c r="CS47" s="123" t="str">
        <f ca="1">SUBSTITUTE(SUBSTITUTE(ADDRESS(1,MATCH("おやつ",'数出表_Excel（アレルギー入力）'!$3:$3,0)),1,""),"$","")</f>
        <v>AL</v>
      </c>
      <c r="CU47" s="113"/>
      <c r="CV47" s="192"/>
      <c r="CW47" s="192"/>
      <c r="CX47" s="195"/>
      <c r="CY47" s="195"/>
      <c r="CZ47" s="123" t="str">
        <f ca="1">SUBSTITUTE(SUBSTITUTE(ADDRESS(1,MATCH("おやつ",'数出表_Excel（アレルギー入力）'!$3:$3,0)),1,""),"$","")</f>
        <v>AL</v>
      </c>
      <c r="DC47" s="113"/>
      <c r="DD47" s="192"/>
      <c r="DE47" s="192"/>
      <c r="DF47" s="195"/>
      <c r="DG47" s="195"/>
      <c r="DH47" s="123" t="str">
        <f ca="1">SUBSTITUTE(SUBSTITUTE(ADDRESS(1,MATCH("おやつ",'数出表_Excel（アレルギー入力）'!$3:$3,0)),1,""),"$","")</f>
        <v>AL</v>
      </c>
      <c r="DJ47" s="113"/>
      <c r="DK47" s="192"/>
      <c r="DL47" s="192"/>
      <c r="DM47" s="195"/>
      <c r="DN47" s="195"/>
      <c r="DO47" s="123" t="str">
        <f ca="1">SUBSTITUTE(SUBSTITUTE(ADDRESS(1,MATCH("おやつ",'数出表_Excel（アレルギー入力）'!$3:$3,0)),1,""),"$","")</f>
        <v>AL</v>
      </c>
      <c r="DR47" s="113"/>
      <c r="DS47" s="192"/>
      <c r="DT47" s="192"/>
      <c r="DU47" s="195"/>
      <c r="DV47" s="195"/>
      <c r="DW47" s="123" t="str">
        <f ca="1">SUBSTITUTE(SUBSTITUTE(ADDRESS(1,MATCH("おやつ",'数出表_Excel（アレルギー入力）'!$3:$3,0)),1,""),"$","")</f>
        <v>AL</v>
      </c>
      <c r="DY47" s="113"/>
      <c r="DZ47" s="192"/>
      <c r="EA47" s="192"/>
      <c r="EB47" s="195"/>
      <c r="EC47" s="195"/>
      <c r="ED47" s="123" t="str">
        <f ca="1">SUBSTITUTE(SUBSTITUTE(ADDRESS(1,MATCH("おやつ",'数出表_Excel（アレルギー入力）'!$3:$3,0)),1,""),"$","")</f>
        <v>AL</v>
      </c>
      <c r="EG47" s="113"/>
      <c r="EH47" s="192"/>
      <c r="EI47" s="192"/>
      <c r="EJ47" s="195"/>
      <c r="EK47" s="195"/>
      <c r="EL47" s="123" t="str">
        <f ca="1">SUBSTITUTE(SUBSTITUTE(ADDRESS(1,MATCH("おやつ",'数出表_Excel（アレルギー入力）'!$3:$3,0)),1,""),"$","")</f>
        <v>AL</v>
      </c>
      <c r="EN47" s="113"/>
      <c r="EO47" s="192"/>
      <c r="EP47" s="192"/>
      <c r="EQ47" s="195"/>
      <c r="ER47" s="195"/>
      <c r="ES47" s="123" t="str">
        <f ca="1">SUBSTITUTE(SUBSTITUTE(ADDRESS(1,MATCH("おやつ",'数出表_Excel（アレルギー入力）'!$3:$3,0)),1,""),"$","")</f>
        <v>AL</v>
      </c>
      <c r="ET47" s="132"/>
      <c r="EU47" s="112">
        <f t="shared" si="2"/>
        <v>35</v>
      </c>
      <c r="EV47" s="103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3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3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3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3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3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3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3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3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3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3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3">
        <f t="shared" ca="1" si="3"/>
        <v>0</v>
      </c>
      <c r="FH47" s="103" t="e">
        <f t="array" aca="1" ref="FH47" ca="1">SUMPRODUCT((LEN(EV47:FF47)&gt;0)*1)&gt;0</f>
        <v>#VALUE!</v>
      </c>
      <c r="FI47" s="103" t="str">
        <f t="array" aca="1" ref="FI47" ca="1">IFERROR(SMALL(IF(FG$1:FG$169&lt;&gt;0,FG$1:FG$169),ROW(A47)),"")</f>
        <v/>
      </c>
      <c r="FJ47" s="103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3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3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3" t="str">
        <f t="array" aca="1" ref="FM47" ca="1">IF($FI47&lt;&gt;"",
IF(FL47="",
INDIRECT("EY"&amp;$FI47&amp;"")&amp;"箱"
&amp;INDIRECT("EZ"&amp;$FI47&amp;""),""),"")</f>
        <v/>
      </c>
      <c r="FN47" s="103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3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3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3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3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3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3" customFormat="1" ht="22.2" customHeight="1" x14ac:dyDescent="0.55000000000000004">
      <c r="A48" s="101"/>
      <c r="B48" s="114" t="str">
        <f ca="1">IF(C46&lt;&gt;"","パン箱","")</f>
        <v/>
      </c>
      <c r="C48" s="115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14" t="str">
        <f ca="1">IF(C46&lt;&gt;"","　端数","")</f>
        <v/>
      </c>
      <c r="E48" s="115"/>
      <c r="F48" s="114" t="str">
        <f ca="1">IF(C46&lt;&gt;"","アレルギー","")</f>
        <v/>
      </c>
      <c r="G48" s="122"/>
      <c r="H48" s="101"/>
      <c r="I48" s="114" t="str">
        <f ca="1">IF(J46&lt;&gt;"","パン箱","")</f>
        <v/>
      </c>
      <c r="J48" s="115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14" t="str">
        <f ca="1">IF(J46&lt;&gt;"","　端数","")</f>
        <v/>
      </c>
      <c r="L48" s="115"/>
      <c r="M48" s="114" t="str">
        <f ca="1">IF(J46&lt;&gt;"","アレルギー","")</f>
        <v/>
      </c>
      <c r="N48" s="118"/>
      <c r="O48" s="101"/>
      <c r="P48" s="101"/>
      <c r="Q48" s="114" t="str">
        <f ca="1">IF(R46&lt;&gt;"","パン箱","")</f>
        <v/>
      </c>
      <c r="R48" s="115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4" t="str">
        <f ca="1">IF(R46&lt;&gt;"","　端数","")</f>
        <v/>
      </c>
      <c r="T48" s="115"/>
      <c r="U48" s="114" t="str">
        <f ca="1">IF(R46&lt;&gt;"","アレルギー","")</f>
        <v/>
      </c>
      <c r="V48" s="122"/>
      <c r="W48" s="101"/>
      <c r="X48" s="114" t="str">
        <f ca="1">IF(Y46&lt;&gt;"","パン箱","")</f>
        <v/>
      </c>
      <c r="Y48" s="115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4" t="str">
        <f ca="1">IF(Y46&lt;&gt;"","　端数","")</f>
        <v/>
      </c>
      <c r="AA48" s="115"/>
      <c r="AB48" s="114" t="str">
        <f ca="1">IF(Y46&lt;&gt;"","アレルギー","")</f>
        <v/>
      </c>
      <c r="AC48" s="118"/>
      <c r="AD48" s="101"/>
      <c r="AE48" s="101"/>
      <c r="AF48" s="114" t="str">
        <f ca="1">IF(AG46&lt;&gt;"","パン箱","")</f>
        <v/>
      </c>
      <c r="AG48" s="115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4" t="str">
        <f ca="1">IF(AG46&lt;&gt;"","　端数","")</f>
        <v/>
      </c>
      <c r="AI48" s="115"/>
      <c r="AJ48" s="114" t="str">
        <f ca="1">IF(AG46&lt;&gt;"","アレルギー","")</f>
        <v/>
      </c>
      <c r="AK48" s="122"/>
      <c r="AL48" s="101"/>
      <c r="AM48" s="114" t="str">
        <f ca="1">IF(AN46&lt;&gt;"","パン箱","")</f>
        <v/>
      </c>
      <c r="AN48" s="115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4" t="str">
        <f ca="1">IF(AN46&lt;&gt;"","　端数","")</f>
        <v/>
      </c>
      <c r="AP48" s="115"/>
      <c r="AQ48" s="114" t="str">
        <f ca="1">IF(AN46&lt;&gt;"","アレルギー","")</f>
        <v/>
      </c>
      <c r="AR48" s="118"/>
      <c r="AS48" s="101"/>
      <c r="AT48" s="101"/>
      <c r="AU48" s="114" t="str">
        <f ca="1">IF(AV46&lt;&gt;"","パン箱","")</f>
        <v/>
      </c>
      <c r="AV48" s="115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4" t="str">
        <f ca="1">IF(AV46&lt;&gt;"","　端数","")</f>
        <v/>
      </c>
      <c r="AX48" s="115"/>
      <c r="AY48" s="114" t="str">
        <f ca="1">IF(AV46&lt;&gt;"","アレルギー","")</f>
        <v/>
      </c>
      <c r="AZ48" s="122"/>
      <c r="BA48" s="101"/>
      <c r="BB48" s="114" t="str">
        <f ca="1">IF(BC46&lt;&gt;"","パン箱","")</f>
        <v/>
      </c>
      <c r="BC48" s="115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4" t="str">
        <f ca="1">IF(BC46&lt;&gt;"","　端数","")</f>
        <v/>
      </c>
      <c r="BE48" s="115"/>
      <c r="BF48" s="114" t="str">
        <f ca="1">IF(BC46&lt;&gt;"","アレルギー","")</f>
        <v/>
      </c>
      <c r="BG48" s="118"/>
      <c r="BH48" s="101"/>
      <c r="BI48" s="101"/>
      <c r="BJ48" s="114" t="str">
        <f ca="1">IF(BK46&lt;&gt;"","パン箱","")</f>
        <v/>
      </c>
      <c r="BK48" s="115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4" t="str">
        <f ca="1">IF(BK46&lt;&gt;"","　端数","")</f>
        <v/>
      </c>
      <c r="BM48" s="115"/>
      <c r="BN48" s="114" t="str">
        <f ca="1">IF(BK46&lt;&gt;"","アレルギー","")</f>
        <v/>
      </c>
      <c r="BO48" s="122"/>
      <c r="BP48" s="101"/>
      <c r="BQ48" s="114" t="str">
        <f ca="1">IF(BR46&lt;&gt;"","パン箱","")</f>
        <v/>
      </c>
      <c r="BR48" s="115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4" t="str">
        <f ca="1">IF(BR46&lt;&gt;"","　端数","")</f>
        <v/>
      </c>
      <c r="BT48" s="115"/>
      <c r="BU48" s="114" t="str">
        <f ca="1">IF(BR46&lt;&gt;"","アレルギー","")</f>
        <v/>
      </c>
      <c r="BV48" s="118"/>
      <c r="BW48" s="101"/>
      <c r="BX48" s="101"/>
      <c r="BY48" s="114" t="str">
        <f ca="1">IF(BZ46&lt;&gt;"","パン箱","")</f>
        <v/>
      </c>
      <c r="BZ48" s="115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4" t="str">
        <f ca="1">IF(BZ46&lt;&gt;"","　端数","")</f>
        <v/>
      </c>
      <c r="CB48" s="115"/>
      <c r="CC48" s="114" t="str">
        <f ca="1">IF(BZ46&lt;&gt;"","アレルギー","")</f>
        <v/>
      </c>
      <c r="CD48" s="122"/>
      <c r="CE48" s="101"/>
      <c r="CF48" s="114" t="str">
        <f ca="1">IF(CG46&lt;&gt;"","パン箱","")</f>
        <v/>
      </c>
      <c r="CG48" s="115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4" t="str">
        <f ca="1">IF(CG46&lt;&gt;"","　端数","")</f>
        <v/>
      </c>
      <c r="CI48" s="115"/>
      <c r="CJ48" s="114" t="str">
        <f ca="1">IF(CG46&lt;&gt;"","アレルギー","")</f>
        <v/>
      </c>
      <c r="CK48" s="118"/>
      <c r="CL48" s="101"/>
      <c r="CM48" s="101"/>
      <c r="CN48" s="114" t="str">
        <f ca="1">IF(CO46&lt;&gt;"","パン箱","")</f>
        <v/>
      </c>
      <c r="CO48" s="115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4" t="str">
        <f ca="1">IF(CO46&lt;&gt;"","　端数","")</f>
        <v/>
      </c>
      <c r="CQ48" s="115"/>
      <c r="CR48" s="114" t="str">
        <f ca="1">IF(CO46&lt;&gt;"","アレルギー","")</f>
        <v/>
      </c>
      <c r="CS48" s="122"/>
      <c r="CT48" s="101"/>
      <c r="CU48" s="114" t="str">
        <f ca="1">IF(CV46&lt;&gt;"","パン箱","")</f>
        <v/>
      </c>
      <c r="CV48" s="115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4" t="str">
        <f ca="1">IF(CV46&lt;&gt;"","　端数","")</f>
        <v/>
      </c>
      <c r="CX48" s="115"/>
      <c r="CY48" s="114" t="str">
        <f ca="1">IF(CV46&lt;&gt;"","アレルギー","")</f>
        <v/>
      </c>
      <c r="CZ48" s="118"/>
      <c r="DA48" s="101"/>
      <c r="DB48" s="101"/>
      <c r="DC48" s="114" t="str">
        <f ca="1">IF(DD46&lt;&gt;"","パン箱","")</f>
        <v/>
      </c>
      <c r="DD48" s="115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4" t="str">
        <f ca="1">IF(DD46&lt;&gt;"","　端数","")</f>
        <v/>
      </c>
      <c r="DF48" s="115"/>
      <c r="DG48" s="114" t="str">
        <f ca="1">IF(DD46&lt;&gt;"","アレルギー","")</f>
        <v/>
      </c>
      <c r="DH48" s="122"/>
      <c r="DI48" s="101"/>
      <c r="DJ48" s="114" t="str">
        <f ca="1">IF(DK46&lt;&gt;"","パン箱","")</f>
        <v/>
      </c>
      <c r="DK48" s="115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4" t="str">
        <f ca="1">IF(DK46&lt;&gt;"","　端数","")</f>
        <v/>
      </c>
      <c r="DM48" s="115"/>
      <c r="DN48" s="114" t="str">
        <f ca="1">IF(DK46&lt;&gt;"","アレルギー","")</f>
        <v/>
      </c>
      <c r="DO48" s="118"/>
      <c r="DP48" s="101"/>
      <c r="DQ48" s="101"/>
      <c r="DR48" s="114" t="str">
        <f ca="1">IF(DS46&lt;&gt;"","パン箱","")</f>
        <v/>
      </c>
      <c r="DS48" s="115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4" t="str">
        <f ca="1">IF(DS46&lt;&gt;"","　端数","")</f>
        <v/>
      </c>
      <c r="DU48" s="115"/>
      <c r="DV48" s="114" t="str">
        <f ca="1">IF(DS46&lt;&gt;"","アレルギー","")</f>
        <v/>
      </c>
      <c r="DW48" s="122"/>
      <c r="DX48" s="101"/>
      <c r="DY48" s="114" t="str">
        <f ca="1">IF(DZ46&lt;&gt;"","パン箱","")</f>
        <v/>
      </c>
      <c r="DZ48" s="115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4" t="str">
        <f ca="1">IF(DZ46&lt;&gt;"","　端数","")</f>
        <v/>
      </c>
      <c r="EB48" s="115"/>
      <c r="EC48" s="114" t="str">
        <f ca="1">IF(DZ46&lt;&gt;"","アレルギー","")</f>
        <v/>
      </c>
      <c r="ED48" s="118"/>
      <c r="EE48" s="101"/>
      <c r="EF48" s="101"/>
      <c r="EG48" s="114" t="str">
        <f ca="1">IF(EH46&lt;&gt;"","パン箱","")</f>
        <v/>
      </c>
      <c r="EH48" s="115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114" t="str">
        <f ca="1">IF(EH46&lt;&gt;"","　端数","")</f>
        <v/>
      </c>
      <c r="EJ48" s="115"/>
      <c r="EK48" s="114" t="str">
        <f ca="1">IF(EH46&lt;&gt;"","アレルギー","")</f>
        <v/>
      </c>
      <c r="EL48" s="122"/>
      <c r="EM48" s="101"/>
      <c r="EN48" s="114" t="str">
        <f ca="1">IF(EO46&lt;&gt;"","パン箱","")</f>
        <v/>
      </c>
      <c r="EO48" s="115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114" t="str">
        <f ca="1">IF(EO46&lt;&gt;"","　端数","")</f>
        <v/>
      </c>
      <c r="EQ48" s="115"/>
      <c r="ER48" s="114" t="str">
        <f ca="1">IF(EO46&lt;&gt;"","アレルギー","")</f>
        <v/>
      </c>
      <c r="ES48" s="118"/>
      <c r="ET48" s="132"/>
      <c r="EU48" s="103">
        <f t="shared" si="2"/>
        <v>77</v>
      </c>
      <c r="EV48" s="103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3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3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3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3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3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3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3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3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3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3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3">
        <f t="shared" ca="1" si="3"/>
        <v>0</v>
      </c>
      <c r="FH48" s="103" t="b">
        <f t="array" aca="1" ref="FH48" ca="1">SUMPRODUCT((LEN(EV48:FF48)&gt;0)*1)&gt;0</f>
        <v>0</v>
      </c>
      <c r="FI48" s="103" t="str">
        <f t="array" aca="1" ref="FI48" ca="1">IFERROR(SMALL(IF(FG$1:FG$169&lt;&gt;0,FG$1:FG$169),ROW(A48)),"")</f>
        <v/>
      </c>
      <c r="FJ48" s="103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3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3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3" t="str">
        <f t="array" aca="1" ref="FM48" ca="1">IF($FI48&lt;&gt;"",
IF(FL48="",
INDIRECT("EY"&amp;$FI48&amp;"")&amp;"箱"
&amp;INDIRECT("EZ"&amp;$FI48&amp;""),""),"")</f>
        <v/>
      </c>
      <c r="FN48" s="103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3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3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3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3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3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203" t="str">
        <f ca="1">IF(C46&lt;&gt;"",
IFERROR(INT(C46/C48),""),"")</f>
        <v/>
      </c>
      <c r="C49" s="202"/>
      <c r="D49" s="203" t="str">
        <f ca="1">IFERROR(MOD(C46,C48),"")</f>
        <v/>
      </c>
      <c r="E49" s="202"/>
      <c r="F49" s="201" t="str" cm="1">
        <f t="array" aca="1" ref="F49" ca="1">IF(C43&lt;&gt;"",
IF(IFERROR(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MATCH(C46,INDIRECT("'数出表_Excel（アレルギー入力）'!"&amp;B43&amp;MATCH(G1,'数出表_Excel（アレルギー入力）'!$A:$A,0)-1&amp;":"&amp;G47&amp;MATCH(G1,'数出表_Excel（アレルギー入力）'!$A:$A,0)-1&amp;""),0)+1),
 "")&lt;&gt;0,
IF(IFERROR(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MATCH(C46,INDIRECT("'数出表_Excel（アレルギー入力）'!"&amp;B43&amp;MATCH(G1,'数出表_Excel（アレルギー入力）'!$A:$A,0)-1&amp;":"&amp;G47&amp;MATCH(G1,'数出表_Excel（アレルギー入力）'!$A:$A,0)-1&amp;""),0)+1),
 "")="",
IFERROR(
INDEX(INDIRECT("'数出表_Excel（アレルギー入力）'!B"&amp;MATCH(G1,'数出表_Excel（アレルギー入力）'!$A:$A,0)-1&amp;":"&amp;G47&amp;MATCH(G1,'数出表_Excel（アレルギー入力）'!$A:$A,0)-1&amp;""),
 1,
MATCH(TRUE,INDEX(INDIRECT("'数出表_Excel（アレルギー入力）'!"&amp;B43&amp;MATCH(G1,'数出表_Excel（アレルギー入力）'!$A:$A,0)-1&amp;":"&amp;G47&amp;MATCH(G1,'数出表_Excel（アレルギー入力）'!$A:$A,0)-1&amp;"")&lt;&gt;"",0),0)+1),
 ""),
IFERROR(
INDEX(INDIRECT("'数出表_Excel（アレルギー入力）'!"&amp;B43&amp;MATCH(G1,'数出表_Excel（アレルギー入力）'!$A:$A,0)-1&amp;":"&amp;G47&amp;MATCH(G1,'数出表_Excel（アレルギー入力）'!$A:$A,0)-1&amp;""),
 1,
MATCH(C46,INDIRECT("'数出表_Excel（アレルギー入力）'!"&amp;B43&amp;MATCH(G1,'数出表_Excel（アレルギー入力）'!$A:$A,0)-1&amp;":"&amp;G47&amp;MATCH(G1,'数出表_Excel（アレルギー入力）'!$A:$A,0)-1&amp;""),0)+1),
 "")),0),"")</f>
        <v/>
      </c>
      <c r="G49" s="202"/>
      <c r="I49" s="203" t="str">
        <f ca="1">IF(J46&lt;&gt;"",
IFERROR(INT(J46/J48),""),"")</f>
        <v/>
      </c>
      <c r="J49" s="202"/>
      <c r="K49" s="203" t="str">
        <f ca="1">IFERROR(MOD(J46,J48),"")</f>
        <v/>
      </c>
      <c r="L49" s="202"/>
      <c r="M49" s="201" t="str" cm="1">
        <f t="array" aca="1" ref="M49" ca="1">IF(J43&lt;&gt;"",
IF(IFERROR(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MATCH(J46,INDIRECT("'数出表_Excel（アレルギー入力）'!"&amp;I43&amp;MATCH(N1,'数出表_Excel（アレルギー入力）'!$A:$A,0)-1&amp;":"&amp;N47&amp;MATCH(N1,'数出表_Excel（アレルギー入力）'!$A:$A,0)-1&amp;""),0)+1),
 "")&lt;&gt;0,
IF(IFERROR(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MATCH(J46,INDIRECT("'数出表_Excel（アレルギー入力）'!"&amp;I43&amp;MATCH(N1,'数出表_Excel（アレルギー入力）'!$A:$A,0)-1&amp;":"&amp;N47&amp;MATCH(N1,'数出表_Excel（アレルギー入力）'!$A:$A,0)-1&amp;""),0)+1),
 "")="",
IFERROR(
INDEX(INDIRECT("'数出表_Excel（アレルギー入力）'!B"&amp;MATCH(N1,'数出表_Excel（アレルギー入力）'!$A:$A,0)-1&amp;":"&amp;N47&amp;MATCH(N1,'数出表_Excel（アレルギー入力）'!$A:$A,0)-1&amp;""),
 1,
MATCH(TRUE,INDEX(INDIRECT("'数出表_Excel（アレルギー入力）'!"&amp;I43&amp;MATCH(N1,'数出表_Excel（アレルギー入力）'!$A:$A,0)-1&amp;":"&amp;N47&amp;MATCH(N1,'数出表_Excel（アレルギー入力）'!$A:$A,0)-1&amp;"")&lt;&gt;"",0),0)+1),
 ""),
IFERROR(
INDEX(INDIRECT("'数出表_Excel（アレルギー入力）'!"&amp;I43&amp;MATCH(N1,'数出表_Excel（アレルギー入力）'!$A:$A,0)-1&amp;":"&amp;N47&amp;MATCH(N1,'数出表_Excel（アレルギー入力）'!$A:$A,0)-1&amp;""),
 1,
MATCH(J46,INDIRECT("'数出表_Excel（アレルギー入力）'!"&amp;I43&amp;MATCH(N1,'数出表_Excel（アレルギー入力）'!$A:$A,0)-1&amp;":"&amp;N47&amp;MATCH(N1,'数出表_Excel（アレルギー入力）'!$A:$A,0)-1&amp;""),0)+1),
 "")),0),"")</f>
        <v/>
      </c>
      <c r="N49" s="202"/>
      <c r="Q49" s="214" t="str">
        <f ca="1">IF(R46&lt;&gt;"",
IFERROR(INT(R46/R48),""),"")</f>
        <v/>
      </c>
      <c r="R49" s="215"/>
      <c r="S49" s="214" t="str">
        <f ca="1">IFERROR(MOD(R46,R48),"")</f>
        <v/>
      </c>
      <c r="T49" s="215"/>
      <c r="U49" s="216" t="str" cm="1">
        <f t="array" aca="1" ref="U49" ca="1">IF(R43&lt;&gt;"",
IF(IFERROR(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MATCH(R46,INDIRECT("'数出表_Excel（アレルギー入力）'!"&amp;Q43&amp;MATCH(V1,'数出表_Excel（アレルギー入力）'!$A:$A,0)-1&amp;":"&amp;V47&amp;MATCH(V1,'数出表_Excel（アレルギー入力）'!$A:$A,0)-1&amp;""),0)+1),
 "")&lt;&gt;0,
IF(IFERROR(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MATCH(R46,INDIRECT("'数出表_Excel（アレルギー入力）'!"&amp;Q43&amp;MATCH(V1,'数出表_Excel（アレルギー入力）'!$A:$A,0)-1&amp;":"&amp;V47&amp;MATCH(V1,'数出表_Excel（アレルギー入力）'!$A:$A,0)-1&amp;""),0)+1),
 "")="",
IFERROR(
INDEX(INDIRECT("'数出表_Excel（アレルギー入力）'!B"&amp;MATCH(V1,'数出表_Excel（アレルギー入力）'!$A:$A,0)-1&amp;":"&amp;V47&amp;MATCH(V1,'数出表_Excel（アレルギー入力）'!$A:$A,0)-1&amp;""),
 1,
MATCH(TRUE,INDEX(INDIRECT("'数出表_Excel（アレルギー入力）'!"&amp;Q43&amp;MATCH(V1,'数出表_Excel（アレルギー入力）'!$A:$A,0)-1&amp;":"&amp;V47&amp;MATCH(V1,'数出表_Excel（アレルギー入力）'!$A:$A,0)-1&amp;"")&lt;&gt;"",0),0)+1),
 ""),
IFERROR(
INDEX(INDIRECT("'数出表_Excel（アレルギー入力）'!"&amp;Q43&amp;MATCH(V1,'数出表_Excel（アレルギー入力）'!$A:$A,0)-1&amp;":"&amp;V47&amp;MATCH(V1,'数出表_Excel（アレルギー入力）'!$A:$A,0)-1&amp;""),
 1,
MATCH(R46,INDIRECT("'数出表_Excel（アレルギー入力）'!"&amp;Q43&amp;MATCH(V1,'数出表_Excel（アレルギー入力）'!$A:$A,0)-1&amp;":"&amp;V47&amp;MATCH(V1,'数出表_Excel（アレルギー入力）'!$A:$A,0)-1&amp;""),0)+1),
 "")),0),"")</f>
        <v/>
      </c>
      <c r="V49" s="217"/>
      <c r="X49" s="214" t="str">
        <f ca="1">IF(Y46&lt;&gt;"",
IFERROR(INT(Y46/Y48),""),"")</f>
        <v/>
      </c>
      <c r="Y49" s="215"/>
      <c r="Z49" s="214" t="str">
        <f ca="1">IFERROR(MOD(Y46,Y48),"")</f>
        <v/>
      </c>
      <c r="AA49" s="215"/>
      <c r="AB49" s="216" t="str" cm="1">
        <f t="array" aca="1" ref="AB49" ca="1">IF(Y43&lt;&gt;"",
IF(IFERROR(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MATCH(Y46,INDIRECT("'数出表_Excel（アレルギー入力）'!"&amp;X43&amp;MATCH(AC1,'数出表_Excel（アレルギー入力）'!$A:$A,0)-1&amp;":"&amp;AC47&amp;MATCH(AC1,'数出表_Excel（アレルギー入力）'!$A:$A,0)-1&amp;""),0)+1),
 "")&lt;&gt;0,
IF(IFERROR(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MATCH(Y46,INDIRECT("'数出表_Excel（アレルギー入力）'!"&amp;X43&amp;MATCH(AC1,'数出表_Excel（アレルギー入力）'!$A:$A,0)-1&amp;":"&amp;AC47&amp;MATCH(AC1,'数出表_Excel（アレルギー入力）'!$A:$A,0)-1&amp;""),0)+1),
 "")="",
IFERROR(
INDEX(INDIRECT("'数出表_Excel（アレルギー入力）'!B"&amp;MATCH(AC1,'数出表_Excel（アレルギー入力）'!$A:$A,0)-1&amp;":"&amp;AC47&amp;MATCH(AC1,'数出表_Excel（アレルギー入力）'!$A:$A,0)-1&amp;""),
 1,
MATCH(TRUE,INDEX(INDIRECT("'数出表_Excel（アレルギー入力）'!"&amp;X43&amp;MATCH(AC1,'数出表_Excel（アレルギー入力）'!$A:$A,0)-1&amp;":"&amp;AC47&amp;MATCH(AC1,'数出表_Excel（アレルギー入力）'!$A:$A,0)-1&amp;"")&lt;&gt;"",0),0)+1),
 ""),
IFERROR(
INDEX(INDIRECT("'数出表_Excel（アレルギー入力）'!"&amp;X43&amp;MATCH(AC1,'数出表_Excel（アレルギー入力）'!$A:$A,0)-1&amp;":"&amp;AC47&amp;MATCH(AC1,'数出表_Excel（アレルギー入力）'!$A:$A,0)-1&amp;""),
 1,
MATCH(Y46,INDIRECT("'数出表_Excel（アレルギー入力）'!"&amp;X43&amp;MATCH(AC1,'数出表_Excel（アレルギー入力）'!$A:$A,0)-1&amp;":"&amp;AC47&amp;MATCH(AC1,'数出表_Excel（アレルギー入力）'!$A:$A,0)-1&amp;""),0)+1),
 "")),0),"")</f>
        <v/>
      </c>
      <c r="AC49" s="217"/>
      <c r="AF49" s="214" t="str">
        <f ca="1">IF(AG46&lt;&gt;"",
IFERROR(INT(AG46/AG48),""),"")</f>
        <v/>
      </c>
      <c r="AG49" s="215"/>
      <c r="AH49" s="214" t="str">
        <f ca="1">IFERROR(MOD(AG46,AG48),"")</f>
        <v/>
      </c>
      <c r="AI49" s="215"/>
      <c r="AJ49" s="216" t="str" cm="1">
        <f t="array" aca="1" ref="AJ49" ca="1">IF(AG43&lt;&gt;"",
IF(IFERROR(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MATCH(AG46,INDIRECT("'数出表_Excel（アレルギー入力）'!"&amp;AF43&amp;MATCH(AK1,'数出表_Excel（アレルギー入力）'!$A:$A,0)-1&amp;":"&amp;AK47&amp;MATCH(AK1,'数出表_Excel（アレルギー入力）'!$A:$A,0)-1&amp;""),0)+1),
 "")&lt;&gt;0,
IF(IFERROR(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MATCH(AG46,INDIRECT("'数出表_Excel（アレルギー入力）'!"&amp;AF43&amp;MATCH(AK1,'数出表_Excel（アレルギー入力）'!$A:$A,0)-1&amp;":"&amp;AK47&amp;MATCH(AK1,'数出表_Excel（アレルギー入力）'!$A:$A,0)-1&amp;""),0)+1),
 "")="",
IFERROR(
INDEX(INDIRECT("'数出表_Excel（アレルギー入力）'!B"&amp;MATCH(AK1,'数出表_Excel（アレルギー入力）'!$A:$A,0)-1&amp;":"&amp;AK47&amp;MATCH(AK1,'数出表_Excel（アレルギー入力）'!$A:$A,0)-1&amp;""),
 1,
MATCH(TRUE,INDEX(INDIRECT("'数出表_Excel（アレルギー入力）'!"&amp;AF43&amp;MATCH(AK1,'数出表_Excel（アレルギー入力）'!$A:$A,0)-1&amp;":"&amp;AK47&amp;MATCH(AK1,'数出表_Excel（アレルギー入力）'!$A:$A,0)-1&amp;"")&lt;&gt;"",0),0)+1),
 ""),
IFERROR(
INDEX(INDIRECT("'数出表_Excel（アレルギー入力）'!"&amp;AF43&amp;MATCH(AK1,'数出表_Excel（アレルギー入力）'!$A:$A,0)-1&amp;":"&amp;AK47&amp;MATCH(AK1,'数出表_Excel（アレルギー入力）'!$A:$A,0)-1&amp;""),
 1,
MATCH(AG46,INDIRECT("'数出表_Excel（アレルギー入力）'!"&amp;AF43&amp;MATCH(AK1,'数出表_Excel（アレルギー入力）'!$A:$A,0)-1&amp;":"&amp;AK47&amp;MATCH(AK1,'数出表_Excel（アレルギー入力）'!$A:$A,0)-1&amp;""),0)+1),
 "")),0),"")</f>
        <v/>
      </c>
      <c r="AK49" s="217"/>
      <c r="AM49" s="214" t="str">
        <f ca="1">IF(AN46&lt;&gt;"",
IFERROR(INT(AN46/AN48),""),"")</f>
        <v/>
      </c>
      <c r="AN49" s="215"/>
      <c r="AO49" s="214" t="str">
        <f ca="1">IFERROR(MOD(AN46,AN48),"")</f>
        <v/>
      </c>
      <c r="AP49" s="215"/>
      <c r="AQ49" s="216" t="str" cm="1">
        <f t="array" aca="1" ref="AQ49" ca="1">IF(AN43&lt;&gt;"",
IF(IFERROR(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MATCH(AN46,INDIRECT("'数出表_Excel（アレルギー入力）'!"&amp;AM43&amp;MATCH(AR1,'数出表_Excel（アレルギー入力）'!$A:$A,0)-1&amp;":"&amp;AR47&amp;MATCH(AR1,'数出表_Excel（アレルギー入力）'!$A:$A,0)-1&amp;""),0)+1),
 "")&lt;&gt;0,
IF(IFERROR(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MATCH(AN46,INDIRECT("'数出表_Excel（アレルギー入力）'!"&amp;AM43&amp;MATCH(AR1,'数出表_Excel（アレルギー入力）'!$A:$A,0)-1&amp;":"&amp;AR47&amp;MATCH(AR1,'数出表_Excel（アレルギー入力）'!$A:$A,0)-1&amp;""),0)+1),
 "")="",
IFERROR(
INDEX(INDIRECT("'数出表_Excel（アレルギー入力）'!B"&amp;MATCH(AR1,'数出表_Excel（アレルギー入力）'!$A:$A,0)-1&amp;":"&amp;AR47&amp;MATCH(AR1,'数出表_Excel（アレルギー入力）'!$A:$A,0)-1&amp;""),
 1,
MATCH(TRUE,INDEX(INDIRECT("'数出表_Excel（アレルギー入力）'!"&amp;AM43&amp;MATCH(AR1,'数出表_Excel（アレルギー入力）'!$A:$A,0)-1&amp;":"&amp;AR47&amp;MATCH(AR1,'数出表_Excel（アレルギー入力）'!$A:$A,0)-1&amp;"")&lt;&gt;"",0),0)+1),
 ""),
IFERROR(
INDEX(INDIRECT("'数出表_Excel（アレルギー入力）'!"&amp;AM43&amp;MATCH(AR1,'数出表_Excel（アレルギー入力）'!$A:$A,0)-1&amp;":"&amp;AR47&amp;MATCH(AR1,'数出表_Excel（アレルギー入力）'!$A:$A,0)-1&amp;""),
 1,
MATCH(AN46,INDIRECT("'数出表_Excel（アレルギー入力）'!"&amp;AM43&amp;MATCH(AR1,'数出表_Excel（アレルギー入力）'!$A:$A,0)-1&amp;":"&amp;AR47&amp;MATCH(AR1,'数出表_Excel（アレルギー入力）'!$A:$A,0)-1&amp;""),0)+1),
 "")),0),"")</f>
        <v/>
      </c>
      <c r="AR49" s="217"/>
      <c r="AU49" s="214" t="str">
        <f ca="1">IF(AV46&lt;&gt;"",
IFERROR(INT(AV46/AV48),""),"")</f>
        <v/>
      </c>
      <c r="AV49" s="215"/>
      <c r="AW49" s="214" t="str">
        <f ca="1">IFERROR(MOD(AV46,AV48),"")</f>
        <v/>
      </c>
      <c r="AX49" s="215"/>
      <c r="AY49" s="216" t="str" cm="1">
        <f t="array" aca="1" ref="AY49" ca="1">IF(AV43&lt;&gt;"",
IF(IFERROR(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MATCH(AV46,INDIRECT("'数出表_Excel（アレルギー入力）'!"&amp;AU43&amp;MATCH(AZ1,'数出表_Excel（アレルギー入力）'!$A:$A,0)-1&amp;":"&amp;AZ47&amp;MATCH(AZ1,'数出表_Excel（アレルギー入力）'!$A:$A,0)-1&amp;""),0)+1),
 "")&lt;&gt;0,
IF(IFERROR(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MATCH(AV46,INDIRECT("'数出表_Excel（アレルギー入力）'!"&amp;AU43&amp;MATCH(AZ1,'数出表_Excel（アレルギー入力）'!$A:$A,0)-1&amp;":"&amp;AZ47&amp;MATCH(AZ1,'数出表_Excel（アレルギー入力）'!$A:$A,0)-1&amp;""),0)+1),
 "")="",
IFERROR(
INDEX(INDIRECT("'数出表_Excel（アレルギー入力）'!B"&amp;MATCH(AZ1,'数出表_Excel（アレルギー入力）'!$A:$A,0)-1&amp;":"&amp;AZ47&amp;MATCH(AZ1,'数出表_Excel（アレルギー入力）'!$A:$A,0)-1&amp;""),
 1,
MATCH(TRUE,INDEX(INDIRECT("'数出表_Excel（アレルギー入力）'!"&amp;AU43&amp;MATCH(AZ1,'数出表_Excel（アレルギー入力）'!$A:$A,0)-1&amp;":"&amp;AZ47&amp;MATCH(AZ1,'数出表_Excel（アレルギー入力）'!$A:$A,0)-1&amp;"")&lt;&gt;"",0),0)+1),
 ""),
IFERROR(
INDEX(INDIRECT("'数出表_Excel（アレルギー入力）'!"&amp;AU43&amp;MATCH(AZ1,'数出表_Excel（アレルギー入力）'!$A:$A,0)-1&amp;":"&amp;AZ47&amp;MATCH(AZ1,'数出表_Excel（アレルギー入力）'!$A:$A,0)-1&amp;""),
 1,
MATCH(AV46,INDIRECT("'数出表_Excel（アレルギー入力）'!"&amp;AU43&amp;MATCH(AZ1,'数出表_Excel（アレルギー入力）'!$A:$A,0)-1&amp;":"&amp;AZ47&amp;MATCH(AZ1,'数出表_Excel（アレルギー入力）'!$A:$A,0)-1&amp;""),0)+1),
 "")),0),"")</f>
        <v/>
      </c>
      <c r="AZ49" s="217"/>
      <c r="BB49" s="214" t="str">
        <f ca="1">IF(BC46&lt;&gt;"",
IFERROR(INT(BC46/BC48),""),"")</f>
        <v/>
      </c>
      <c r="BC49" s="215"/>
      <c r="BD49" s="214" t="str">
        <f ca="1">IFERROR(MOD(BC46,BC48),"")</f>
        <v/>
      </c>
      <c r="BE49" s="215"/>
      <c r="BF49" s="216" t="str" cm="1">
        <f t="array" aca="1" ref="BF49" ca="1">IF(BC43&lt;&gt;"",
IF(IFERROR(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MATCH(BC46,INDIRECT("'数出表_Excel（アレルギー入力）'!"&amp;BB43&amp;MATCH(BG1,'数出表_Excel（アレルギー入力）'!$A:$A,0)-1&amp;":"&amp;BG47&amp;MATCH(BG1,'数出表_Excel（アレルギー入力）'!$A:$A,0)-1&amp;""),0)+1),
 "")&lt;&gt;0,
IF(IFERROR(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MATCH(BC46,INDIRECT("'数出表_Excel（アレルギー入力）'!"&amp;BB43&amp;MATCH(BG1,'数出表_Excel（アレルギー入力）'!$A:$A,0)-1&amp;":"&amp;BG47&amp;MATCH(BG1,'数出表_Excel（アレルギー入力）'!$A:$A,0)-1&amp;""),0)+1),
 "")="",
IFERROR(
INDEX(INDIRECT("'数出表_Excel（アレルギー入力）'!B"&amp;MATCH(BG1,'数出表_Excel（アレルギー入力）'!$A:$A,0)-1&amp;":"&amp;BG47&amp;MATCH(BG1,'数出表_Excel（アレルギー入力）'!$A:$A,0)-1&amp;""),
 1,
MATCH(TRUE,INDEX(INDIRECT("'数出表_Excel（アレルギー入力）'!"&amp;BB43&amp;MATCH(BG1,'数出表_Excel（アレルギー入力）'!$A:$A,0)-1&amp;":"&amp;BG47&amp;MATCH(BG1,'数出表_Excel（アレルギー入力）'!$A:$A,0)-1&amp;"")&lt;&gt;"",0),0)+1),
 ""),
IFERROR(
INDEX(INDIRECT("'数出表_Excel（アレルギー入力）'!"&amp;BB43&amp;MATCH(BG1,'数出表_Excel（アレルギー入力）'!$A:$A,0)-1&amp;":"&amp;BG47&amp;MATCH(BG1,'数出表_Excel（アレルギー入力）'!$A:$A,0)-1&amp;""),
 1,
MATCH(BC46,INDIRECT("'数出表_Excel（アレルギー入力）'!"&amp;BB43&amp;MATCH(BG1,'数出表_Excel（アレルギー入力）'!$A:$A,0)-1&amp;":"&amp;BG47&amp;MATCH(BG1,'数出表_Excel（アレルギー入力）'!$A:$A,0)-1&amp;""),0)+1),
 "")),0),"")</f>
        <v/>
      </c>
      <c r="BG49" s="217"/>
      <c r="BJ49" s="214" t="str">
        <f ca="1">IF(BK46&lt;&gt;"",
IFERROR(INT(BK46/BK48),""),"")</f>
        <v/>
      </c>
      <c r="BK49" s="215"/>
      <c r="BL49" s="214" t="str">
        <f ca="1">IFERROR(MOD(BK46,BK48),"")</f>
        <v/>
      </c>
      <c r="BM49" s="215"/>
      <c r="BN49" s="216" t="str" cm="1">
        <f t="array" aca="1" ref="BN49" ca="1">IF(BK43&lt;&gt;"",
IF(IFERROR(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MATCH(BK46,INDIRECT("'数出表_Excel（アレルギー入力）'!"&amp;BJ43&amp;MATCH(BO1,'数出表_Excel（アレルギー入力）'!$A:$A,0)-1&amp;":"&amp;BO47&amp;MATCH(BO1,'数出表_Excel（アレルギー入力）'!$A:$A,0)-1&amp;""),0)+1),
 "")&lt;&gt;0,
IF(IFERROR(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MATCH(BK46,INDIRECT("'数出表_Excel（アレルギー入力）'!"&amp;BJ43&amp;MATCH(BO1,'数出表_Excel（アレルギー入力）'!$A:$A,0)-1&amp;":"&amp;BO47&amp;MATCH(BO1,'数出表_Excel（アレルギー入力）'!$A:$A,0)-1&amp;""),0)+1),
 "")="",
IFERROR(
INDEX(INDIRECT("'数出表_Excel（アレルギー入力）'!B"&amp;MATCH(BO1,'数出表_Excel（アレルギー入力）'!$A:$A,0)-1&amp;":"&amp;BO47&amp;MATCH(BO1,'数出表_Excel（アレルギー入力）'!$A:$A,0)-1&amp;""),
 1,
MATCH(TRUE,INDEX(INDIRECT("'数出表_Excel（アレルギー入力）'!"&amp;BJ43&amp;MATCH(BO1,'数出表_Excel（アレルギー入力）'!$A:$A,0)-1&amp;":"&amp;BO47&amp;MATCH(BO1,'数出表_Excel（アレルギー入力）'!$A:$A,0)-1&amp;"")&lt;&gt;"",0),0)+1),
 ""),
IFERROR(
INDEX(INDIRECT("'数出表_Excel（アレルギー入力）'!"&amp;BJ43&amp;MATCH(BO1,'数出表_Excel（アレルギー入力）'!$A:$A,0)-1&amp;":"&amp;BO47&amp;MATCH(BO1,'数出表_Excel（アレルギー入力）'!$A:$A,0)-1&amp;""),
 1,
MATCH(BK46,INDIRECT("'数出表_Excel（アレルギー入力）'!"&amp;BJ43&amp;MATCH(BO1,'数出表_Excel（アレルギー入力）'!$A:$A,0)-1&amp;":"&amp;BO47&amp;MATCH(BO1,'数出表_Excel（アレルギー入力）'!$A:$A,0)-1&amp;""),0)+1),
 "")),0),"")</f>
        <v/>
      </c>
      <c r="BO49" s="217"/>
      <c r="BQ49" s="214" t="str">
        <f ca="1">IF(BR46&lt;&gt;"",
IFERROR(INT(BR46/BR48),""),"")</f>
        <v/>
      </c>
      <c r="BR49" s="215"/>
      <c r="BS49" s="214" t="str">
        <f ca="1">IFERROR(MOD(BR46,BR48),"")</f>
        <v/>
      </c>
      <c r="BT49" s="215"/>
      <c r="BU49" s="216" t="str" cm="1">
        <f t="array" aca="1" ref="BU49" ca="1">IF(BR43&lt;&gt;"",
IF(IFERROR(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MATCH(BR46,INDIRECT("'数出表_Excel（アレルギー入力）'!"&amp;BQ43&amp;MATCH(BV1,'数出表_Excel（アレルギー入力）'!$A:$A,0)-1&amp;":"&amp;BV47&amp;MATCH(BV1,'数出表_Excel（アレルギー入力）'!$A:$A,0)-1&amp;""),0)+1),
 "")&lt;&gt;0,
IF(IFERROR(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MATCH(BR46,INDIRECT("'数出表_Excel（アレルギー入力）'!"&amp;BQ43&amp;MATCH(BV1,'数出表_Excel（アレルギー入力）'!$A:$A,0)-1&amp;":"&amp;BV47&amp;MATCH(BV1,'数出表_Excel（アレルギー入力）'!$A:$A,0)-1&amp;""),0)+1),
 "")="",
IFERROR(
INDEX(INDIRECT("'数出表_Excel（アレルギー入力）'!B"&amp;MATCH(BV1,'数出表_Excel（アレルギー入力）'!$A:$A,0)-1&amp;":"&amp;BV47&amp;MATCH(BV1,'数出表_Excel（アレルギー入力）'!$A:$A,0)-1&amp;""),
 1,
MATCH(TRUE,INDEX(INDIRECT("'数出表_Excel（アレルギー入力）'!"&amp;BQ43&amp;MATCH(BV1,'数出表_Excel（アレルギー入力）'!$A:$A,0)-1&amp;":"&amp;BV47&amp;MATCH(BV1,'数出表_Excel（アレルギー入力）'!$A:$A,0)-1&amp;"")&lt;&gt;"",0),0)+1),
 ""),
IFERROR(
INDEX(INDIRECT("'数出表_Excel（アレルギー入力）'!"&amp;BQ43&amp;MATCH(BV1,'数出表_Excel（アレルギー入力）'!$A:$A,0)-1&amp;":"&amp;BV47&amp;MATCH(BV1,'数出表_Excel（アレルギー入力）'!$A:$A,0)-1&amp;""),
 1,
MATCH(BR46,INDIRECT("'数出表_Excel（アレルギー入力）'!"&amp;BQ43&amp;MATCH(BV1,'数出表_Excel（アレルギー入力）'!$A:$A,0)-1&amp;":"&amp;BV47&amp;MATCH(BV1,'数出表_Excel（アレルギー入力）'!$A:$A,0)-1&amp;""),0)+1),
 "")),0),"")</f>
        <v/>
      </c>
      <c r="BV49" s="217"/>
      <c r="BY49" s="214" t="str">
        <f ca="1">IF(BZ46&lt;&gt;"",
IFERROR(INT(BZ46/BZ48),""),"")</f>
        <v/>
      </c>
      <c r="BZ49" s="215"/>
      <c r="CA49" s="214" t="str">
        <f ca="1">IFERROR(MOD(BZ46,BZ48),"")</f>
        <v/>
      </c>
      <c r="CB49" s="215"/>
      <c r="CC49" s="216" t="str" cm="1">
        <f t="array" aca="1" ref="CC49" ca="1">IF(BZ43&lt;&gt;"",
IF(IFERROR(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MATCH(BZ46,INDIRECT("'数出表_Excel（アレルギー入力）'!"&amp;BY43&amp;MATCH(CD1,'数出表_Excel（アレルギー入力）'!$A:$A,0)-1&amp;":"&amp;CD47&amp;MATCH(CD1,'数出表_Excel（アレルギー入力）'!$A:$A,0)-1&amp;""),0)+1),
 "")&lt;&gt;0,
IF(IFERROR(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MATCH(BZ46,INDIRECT("'数出表_Excel（アレルギー入力）'!"&amp;BY43&amp;MATCH(CD1,'数出表_Excel（アレルギー入力）'!$A:$A,0)-1&amp;":"&amp;CD47&amp;MATCH(CD1,'数出表_Excel（アレルギー入力）'!$A:$A,0)-1&amp;""),0)+1),
 "")="",
IFERROR(
INDEX(INDIRECT("'数出表_Excel（アレルギー入力）'!B"&amp;MATCH(CD1,'数出表_Excel（アレルギー入力）'!$A:$A,0)-1&amp;":"&amp;CD47&amp;MATCH(CD1,'数出表_Excel（アレルギー入力）'!$A:$A,0)-1&amp;""),
 1,
MATCH(TRUE,INDEX(INDIRECT("'数出表_Excel（アレルギー入力）'!"&amp;BY43&amp;MATCH(CD1,'数出表_Excel（アレルギー入力）'!$A:$A,0)-1&amp;":"&amp;CD47&amp;MATCH(CD1,'数出表_Excel（アレルギー入力）'!$A:$A,0)-1&amp;"")&lt;&gt;"",0),0)+1),
 ""),
IFERROR(
INDEX(INDIRECT("'数出表_Excel（アレルギー入力）'!"&amp;BY43&amp;MATCH(CD1,'数出表_Excel（アレルギー入力）'!$A:$A,0)-1&amp;":"&amp;CD47&amp;MATCH(CD1,'数出表_Excel（アレルギー入力）'!$A:$A,0)-1&amp;""),
 1,
MATCH(BZ46,INDIRECT("'数出表_Excel（アレルギー入力）'!"&amp;BY43&amp;MATCH(CD1,'数出表_Excel（アレルギー入力）'!$A:$A,0)-1&amp;":"&amp;CD47&amp;MATCH(CD1,'数出表_Excel（アレルギー入力）'!$A:$A,0)-1&amp;""),0)+1),
 "")),0),"")</f>
        <v/>
      </c>
      <c r="CD49" s="217"/>
      <c r="CF49" s="214" t="str">
        <f ca="1">IF(CG46&lt;&gt;"",
IFERROR(INT(CG46/CG48),""),"")</f>
        <v/>
      </c>
      <c r="CG49" s="215"/>
      <c r="CH49" s="214" t="str">
        <f ca="1">IFERROR(MOD(CG46,CG48),"")</f>
        <v/>
      </c>
      <c r="CI49" s="215"/>
      <c r="CJ49" s="216" t="str" cm="1">
        <f t="array" aca="1" ref="CJ49" ca="1">IF(CG43&lt;&gt;"",
IF(IFERROR(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MATCH(CG46,INDIRECT("'数出表_Excel（アレルギー入力）'!"&amp;CF43&amp;MATCH(CK1,'数出表_Excel（アレルギー入力）'!$A:$A,0)-1&amp;":"&amp;CK47&amp;MATCH(CK1,'数出表_Excel（アレルギー入力）'!$A:$A,0)-1&amp;""),0)+1),
 "")&lt;&gt;0,
IF(IFERROR(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MATCH(CG46,INDIRECT("'数出表_Excel（アレルギー入力）'!"&amp;CF43&amp;MATCH(CK1,'数出表_Excel（アレルギー入力）'!$A:$A,0)-1&amp;":"&amp;CK47&amp;MATCH(CK1,'数出表_Excel（アレルギー入力）'!$A:$A,0)-1&amp;""),0)+1),
 "")="",
IFERROR(
INDEX(INDIRECT("'数出表_Excel（アレルギー入力）'!B"&amp;MATCH(CK1,'数出表_Excel（アレルギー入力）'!$A:$A,0)-1&amp;":"&amp;CK47&amp;MATCH(CK1,'数出表_Excel（アレルギー入力）'!$A:$A,0)-1&amp;""),
 1,
MATCH(TRUE,INDEX(INDIRECT("'数出表_Excel（アレルギー入力）'!"&amp;CF43&amp;MATCH(CK1,'数出表_Excel（アレルギー入力）'!$A:$A,0)-1&amp;":"&amp;CK47&amp;MATCH(CK1,'数出表_Excel（アレルギー入力）'!$A:$A,0)-1&amp;"")&lt;&gt;"",0),0)+1),
 ""),
IFERROR(
INDEX(INDIRECT("'数出表_Excel（アレルギー入力）'!"&amp;CF43&amp;MATCH(CK1,'数出表_Excel（アレルギー入力）'!$A:$A,0)-1&amp;":"&amp;CK47&amp;MATCH(CK1,'数出表_Excel（アレルギー入力）'!$A:$A,0)-1&amp;""),
 1,
MATCH(CG46,INDIRECT("'数出表_Excel（アレルギー入力）'!"&amp;CF43&amp;MATCH(CK1,'数出表_Excel（アレルギー入力）'!$A:$A,0)-1&amp;":"&amp;CK47&amp;MATCH(CK1,'数出表_Excel（アレルギー入力）'!$A:$A,0)-1&amp;""),0)+1),
 "")),0),"")</f>
        <v/>
      </c>
      <c r="CK49" s="217"/>
      <c r="CN49" s="214" t="str">
        <f ca="1">IF(CO46&lt;&gt;"",
IFERROR(INT(CO46/CO48),""),"")</f>
        <v/>
      </c>
      <c r="CO49" s="215"/>
      <c r="CP49" s="214" t="str">
        <f ca="1">IFERROR(MOD(CO46,CO48),"")</f>
        <v/>
      </c>
      <c r="CQ49" s="215"/>
      <c r="CR49" s="216" t="str" cm="1">
        <f t="array" aca="1" ref="CR49" ca="1">IF(CO43&lt;&gt;"",
IF(IFERROR(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MATCH(CO46,INDIRECT("'数出表_Excel（アレルギー入力）'!"&amp;CN43&amp;MATCH(CS1,'数出表_Excel（アレルギー入力）'!$A:$A,0)-1&amp;":"&amp;CS47&amp;MATCH(CS1,'数出表_Excel（アレルギー入力）'!$A:$A,0)-1&amp;""),0)+1),
 "")&lt;&gt;0,
IF(IFERROR(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MATCH(CO46,INDIRECT("'数出表_Excel（アレルギー入力）'!"&amp;CN43&amp;MATCH(CS1,'数出表_Excel（アレルギー入力）'!$A:$A,0)-1&amp;":"&amp;CS47&amp;MATCH(CS1,'数出表_Excel（アレルギー入力）'!$A:$A,0)-1&amp;""),0)+1),
 "")="",
IFERROR(
INDEX(INDIRECT("'数出表_Excel（アレルギー入力）'!B"&amp;MATCH(CS1,'数出表_Excel（アレルギー入力）'!$A:$A,0)-1&amp;":"&amp;CS47&amp;MATCH(CS1,'数出表_Excel（アレルギー入力）'!$A:$A,0)-1&amp;""),
 1,
MATCH(TRUE,INDEX(INDIRECT("'数出表_Excel（アレルギー入力）'!"&amp;CN43&amp;MATCH(CS1,'数出表_Excel（アレルギー入力）'!$A:$A,0)-1&amp;":"&amp;CS47&amp;MATCH(CS1,'数出表_Excel（アレルギー入力）'!$A:$A,0)-1&amp;"")&lt;&gt;"",0),0)+1),
 ""),
IFERROR(
INDEX(INDIRECT("'数出表_Excel（アレルギー入力）'!"&amp;CN43&amp;MATCH(CS1,'数出表_Excel（アレルギー入力）'!$A:$A,0)-1&amp;":"&amp;CS47&amp;MATCH(CS1,'数出表_Excel（アレルギー入力）'!$A:$A,0)-1&amp;""),
 1,
MATCH(CO46,INDIRECT("'数出表_Excel（アレルギー入力）'!"&amp;CN43&amp;MATCH(CS1,'数出表_Excel（アレルギー入力）'!$A:$A,0)-1&amp;":"&amp;CS47&amp;MATCH(CS1,'数出表_Excel（アレルギー入力）'!$A:$A,0)-1&amp;""),0)+1),
 "")),0),"")</f>
        <v/>
      </c>
      <c r="CS49" s="217"/>
      <c r="CU49" s="214" t="str">
        <f ca="1">IF(CV46&lt;&gt;"",
IFERROR(INT(CV46/CV48),""),"")</f>
        <v/>
      </c>
      <c r="CV49" s="215"/>
      <c r="CW49" s="214" t="str">
        <f ca="1">IFERROR(MOD(CV46,CV48),"")</f>
        <v/>
      </c>
      <c r="CX49" s="215"/>
      <c r="CY49" s="216" t="str" cm="1">
        <f t="array" aca="1" ref="CY49" ca="1">IF(CV43&lt;&gt;"",
IF(IFERROR(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MATCH(CV46,INDIRECT("'数出表_Excel（アレルギー入力）'!"&amp;CU43&amp;MATCH(CZ1,'数出表_Excel（アレルギー入力）'!$A:$A,0)-1&amp;":"&amp;CZ47&amp;MATCH(CZ1,'数出表_Excel（アレルギー入力）'!$A:$A,0)-1&amp;""),0)+1),
 "")&lt;&gt;0,
IF(IFERROR(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MATCH(CV46,INDIRECT("'数出表_Excel（アレルギー入力）'!"&amp;CU43&amp;MATCH(CZ1,'数出表_Excel（アレルギー入力）'!$A:$A,0)-1&amp;":"&amp;CZ47&amp;MATCH(CZ1,'数出表_Excel（アレルギー入力）'!$A:$A,0)-1&amp;""),0)+1),
 "")="",
IFERROR(
INDEX(INDIRECT("'数出表_Excel（アレルギー入力）'!B"&amp;MATCH(CZ1,'数出表_Excel（アレルギー入力）'!$A:$A,0)-1&amp;":"&amp;CZ47&amp;MATCH(CZ1,'数出表_Excel（アレルギー入力）'!$A:$A,0)-1&amp;""),
 1,
MATCH(TRUE,INDEX(INDIRECT("'数出表_Excel（アレルギー入力）'!"&amp;CU43&amp;MATCH(CZ1,'数出表_Excel（アレルギー入力）'!$A:$A,0)-1&amp;":"&amp;CZ47&amp;MATCH(CZ1,'数出表_Excel（アレルギー入力）'!$A:$A,0)-1&amp;"")&lt;&gt;"",0),0)+1),
 ""),
IFERROR(
INDEX(INDIRECT("'数出表_Excel（アレルギー入力）'!"&amp;CU43&amp;MATCH(CZ1,'数出表_Excel（アレルギー入力）'!$A:$A,0)-1&amp;":"&amp;CZ47&amp;MATCH(CZ1,'数出表_Excel（アレルギー入力）'!$A:$A,0)-1&amp;""),
 1,
MATCH(CV46,INDIRECT("'数出表_Excel（アレルギー入力）'!"&amp;CU43&amp;MATCH(CZ1,'数出表_Excel（アレルギー入力）'!$A:$A,0)-1&amp;":"&amp;CZ47&amp;MATCH(CZ1,'数出表_Excel（アレルギー入力）'!$A:$A,0)-1&amp;""),0)+1),
 "")),0),"")</f>
        <v/>
      </c>
      <c r="CZ49" s="217"/>
      <c r="DC49" s="214" t="str">
        <f ca="1">IF(DD46&lt;&gt;"",
IFERROR(INT(DD46/DD48),""),"")</f>
        <v/>
      </c>
      <c r="DD49" s="215"/>
      <c r="DE49" s="214" t="str">
        <f ca="1">IFERROR(MOD(DD46,DD48),"")</f>
        <v/>
      </c>
      <c r="DF49" s="215"/>
      <c r="DG49" s="216" t="str" cm="1">
        <f t="array" aca="1" ref="DG49" ca="1">IF(DD43&lt;&gt;"",
IF(IFERROR(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MATCH(DD46,INDIRECT("'数出表_Excel（アレルギー入力）'!"&amp;DC43&amp;MATCH(DH1,'数出表_Excel（アレルギー入力）'!$A:$A,0)-1&amp;":"&amp;DH47&amp;MATCH(DH1,'数出表_Excel（アレルギー入力）'!$A:$A,0)-1&amp;""),0)+1),
 "")&lt;&gt;0,
IF(IFERROR(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MATCH(DD46,INDIRECT("'数出表_Excel（アレルギー入力）'!"&amp;DC43&amp;MATCH(DH1,'数出表_Excel（アレルギー入力）'!$A:$A,0)-1&amp;":"&amp;DH47&amp;MATCH(DH1,'数出表_Excel（アレルギー入力）'!$A:$A,0)-1&amp;""),0)+1),
 "")="",
IFERROR(
INDEX(INDIRECT("'数出表_Excel（アレルギー入力）'!B"&amp;MATCH(DH1,'数出表_Excel（アレルギー入力）'!$A:$A,0)-1&amp;":"&amp;DH47&amp;MATCH(DH1,'数出表_Excel（アレルギー入力）'!$A:$A,0)-1&amp;""),
 1,
MATCH(TRUE,INDEX(INDIRECT("'数出表_Excel（アレルギー入力）'!"&amp;DC43&amp;MATCH(DH1,'数出表_Excel（アレルギー入力）'!$A:$A,0)-1&amp;":"&amp;DH47&amp;MATCH(DH1,'数出表_Excel（アレルギー入力）'!$A:$A,0)-1&amp;"")&lt;&gt;"",0),0)+1),
 ""),
IFERROR(
INDEX(INDIRECT("'数出表_Excel（アレルギー入力）'!"&amp;DC43&amp;MATCH(DH1,'数出表_Excel（アレルギー入力）'!$A:$A,0)-1&amp;":"&amp;DH47&amp;MATCH(DH1,'数出表_Excel（アレルギー入力）'!$A:$A,0)-1&amp;""),
 1,
MATCH(DD46,INDIRECT("'数出表_Excel（アレルギー入力）'!"&amp;DC43&amp;MATCH(DH1,'数出表_Excel（アレルギー入力）'!$A:$A,0)-1&amp;":"&amp;DH47&amp;MATCH(DH1,'数出表_Excel（アレルギー入力）'!$A:$A,0)-1&amp;""),0)+1),
 "")),0),"")</f>
        <v/>
      </c>
      <c r="DH49" s="217"/>
      <c r="DJ49" s="214" t="str">
        <f ca="1">IF(DK46&lt;&gt;"",
IFERROR(INT(DK46/DK48),""),"")</f>
        <v/>
      </c>
      <c r="DK49" s="215"/>
      <c r="DL49" s="214" t="str">
        <f ca="1">IFERROR(MOD(DK46,DK48),"")</f>
        <v/>
      </c>
      <c r="DM49" s="215"/>
      <c r="DN49" s="216" t="str" cm="1">
        <f t="array" aca="1" ref="DN49" ca="1">IF(DK43&lt;&gt;"",
IF(IFERROR(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MATCH(DK46,INDIRECT("'数出表_Excel（アレルギー入力）'!"&amp;DJ43&amp;MATCH(DO1,'数出表_Excel（アレルギー入力）'!$A:$A,0)-1&amp;":"&amp;DO47&amp;MATCH(DO1,'数出表_Excel（アレルギー入力）'!$A:$A,0)-1&amp;""),0)+1),
 "")&lt;&gt;0,
IF(IFERROR(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MATCH(DK46,INDIRECT("'数出表_Excel（アレルギー入力）'!"&amp;DJ43&amp;MATCH(DO1,'数出表_Excel（アレルギー入力）'!$A:$A,0)-1&amp;":"&amp;DO47&amp;MATCH(DO1,'数出表_Excel（アレルギー入力）'!$A:$A,0)-1&amp;""),0)+1),
 "")="",
IFERROR(
INDEX(INDIRECT("'数出表_Excel（アレルギー入力）'!B"&amp;MATCH(DO1,'数出表_Excel（アレルギー入力）'!$A:$A,0)-1&amp;":"&amp;DO47&amp;MATCH(DO1,'数出表_Excel（アレルギー入力）'!$A:$A,0)-1&amp;""),
 1,
MATCH(TRUE,INDEX(INDIRECT("'数出表_Excel（アレルギー入力）'!"&amp;DJ43&amp;MATCH(DO1,'数出表_Excel（アレルギー入力）'!$A:$A,0)-1&amp;":"&amp;DO47&amp;MATCH(DO1,'数出表_Excel（アレルギー入力）'!$A:$A,0)-1&amp;"")&lt;&gt;"",0),0)+1),
 ""),
IFERROR(
INDEX(INDIRECT("'数出表_Excel（アレルギー入力）'!"&amp;DJ43&amp;MATCH(DO1,'数出表_Excel（アレルギー入力）'!$A:$A,0)-1&amp;":"&amp;DO47&amp;MATCH(DO1,'数出表_Excel（アレルギー入力）'!$A:$A,0)-1&amp;""),
 1,
MATCH(DK46,INDIRECT("'数出表_Excel（アレルギー入力）'!"&amp;DJ43&amp;MATCH(DO1,'数出表_Excel（アレルギー入力）'!$A:$A,0)-1&amp;":"&amp;DO47&amp;MATCH(DO1,'数出表_Excel（アレルギー入力）'!$A:$A,0)-1&amp;""),0)+1),
 "")),0),"")</f>
        <v/>
      </c>
      <c r="DO49" s="217"/>
      <c r="DR49" s="214" t="str">
        <f ca="1">IF(DS46&lt;&gt;"",
IFERROR(INT(DS46/DS48),""),"")</f>
        <v/>
      </c>
      <c r="DS49" s="215"/>
      <c r="DT49" s="214" t="str">
        <f ca="1">IFERROR(MOD(DS46,DS48),"")</f>
        <v/>
      </c>
      <c r="DU49" s="215"/>
      <c r="DV49" s="216" t="str" cm="1">
        <f t="array" aca="1" ref="DV49" ca="1">IF(DS43&lt;&gt;"",
IF(IFERROR(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MATCH(DS46,INDIRECT("'数出表_Excel（アレルギー入力）'!"&amp;DR43&amp;MATCH(DW1,'数出表_Excel（アレルギー入力）'!$A:$A,0)-1&amp;":"&amp;DW47&amp;MATCH(DW1,'数出表_Excel（アレルギー入力）'!$A:$A,0)-1&amp;""),0)+1),
 "")&lt;&gt;0,
IF(IFERROR(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MATCH(DS46,INDIRECT("'数出表_Excel（アレルギー入力）'!"&amp;DR43&amp;MATCH(DW1,'数出表_Excel（アレルギー入力）'!$A:$A,0)-1&amp;":"&amp;DW47&amp;MATCH(DW1,'数出表_Excel（アレルギー入力）'!$A:$A,0)-1&amp;""),0)+1),
 "")="",
IFERROR(
INDEX(INDIRECT("'数出表_Excel（アレルギー入力）'!B"&amp;MATCH(DW1,'数出表_Excel（アレルギー入力）'!$A:$A,0)-1&amp;":"&amp;DW47&amp;MATCH(DW1,'数出表_Excel（アレルギー入力）'!$A:$A,0)-1&amp;""),
 1,
MATCH(TRUE,INDEX(INDIRECT("'数出表_Excel（アレルギー入力）'!"&amp;DR43&amp;MATCH(DW1,'数出表_Excel（アレルギー入力）'!$A:$A,0)-1&amp;":"&amp;DW47&amp;MATCH(DW1,'数出表_Excel（アレルギー入力）'!$A:$A,0)-1&amp;"")&lt;&gt;"",0),0)+1),
 ""),
IFERROR(
INDEX(INDIRECT("'数出表_Excel（アレルギー入力）'!"&amp;DR43&amp;MATCH(DW1,'数出表_Excel（アレルギー入力）'!$A:$A,0)-1&amp;":"&amp;DW47&amp;MATCH(DW1,'数出表_Excel（アレルギー入力）'!$A:$A,0)-1&amp;""),
 1,
MATCH(DS46,INDIRECT("'数出表_Excel（アレルギー入力）'!"&amp;DR43&amp;MATCH(DW1,'数出表_Excel（アレルギー入力）'!$A:$A,0)-1&amp;":"&amp;DW47&amp;MATCH(DW1,'数出表_Excel（アレルギー入力）'!$A:$A,0)-1&amp;""),0)+1),
 "")),0),"")</f>
        <v/>
      </c>
      <c r="DW49" s="217"/>
      <c r="DY49" s="214" t="str">
        <f ca="1">IF(DZ46&lt;&gt;"",
IFERROR(INT(DZ46/DZ48),""),"")</f>
        <v/>
      </c>
      <c r="DZ49" s="215"/>
      <c r="EA49" s="214" t="str">
        <f ca="1">IFERROR(MOD(DZ46,DZ48),"")</f>
        <v/>
      </c>
      <c r="EB49" s="215"/>
      <c r="EC49" s="216" t="str" cm="1">
        <f t="array" aca="1" ref="EC49" ca="1">IF(DZ43&lt;&gt;"",
IF(IFERROR(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MATCH(DZ46,INDIRECT("'数出表_Excel（アレルギー入力）'!"&amp;DY43&amp;MATCH(ED1,'数出表_Excel（アレルギー入力）'!$A:$A,0)-1&amp;":"&amp;ED47&amp;MATCH(ED1,'数出表_Excel（アレルギー入力）'!$A:$A,0)-1&amp;""),0)+1),
 "")&lt;&gt;0,
IF(IFERROR(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MATCH(DZ46,INDIRECT("'数出表_Excel（アレルギー入力）'!"&amp;DY43&amp;MATCH(ED1,'数出表_Excel（アレルギー入力）'!$A:$A,0)-1&amp;":"&amp;ED47&amp;MATCH(ED1,'数出表_Excel（アレルギー入力）'!$A:$A,0)-1&amp;""),0)+1),
 "")="",
IFERROR(
INDEX(INDIRECT("'数出表_Excel（アレルギー入力）'!B"&amp;MATCH(ED1,'数出表_Excel（アレルギー入力）'!$A:$A,0)-1&amp;":"&amp;ED47&amp;MATCH(ED1,'数出表_Excel（アレルギー入力）'!$A:$A,0)-1&amp;""),
 1,
MATCH(TRUE,INDEX(INDIRECT("'数出表_Excel（アレルギー入力）'!"&amp;DY43&amp;MATCH(ED1,'数出表_Excel（アレルギー入力）'!$A:$A,0)-1&amp;":"&amp;ED47&amp;MATCH(ED1,'数出表_Excel（アレルギー入力）'!$A:$A,0)-1&amp;"")&lt;&gt;"",0),0)+1),
 ""),
IFERROR(
INDEX(INDIRECT("'数出表_Excel（アレルギー入力）'!"&amp;DY43&amp;MATCH(ED1,'数出表_Excel（アレルギー入力）'!$A:$A,0)-1&amp;":"&amp;ED47&amp;MATCH(ED1,'数出表_Excel（アレルギー入力）'!$A:$A,0)-1&amp;""),
 1,
MATCH(DZ46,INDIRECT("'数出表_Excel（アレルギー入力）'!"&amp;DY43&amp;MATCH(ED1,'数出表_Excel（アレルギー入力）'!$A:$A,0)-1&amp;":"&amp;ED47&amp;MATCH(ED1,'数出表_Excel（アレルギー入力）'!$A:$A,0)-1&amp;""),0)+1),
 "")),0),"")</f>
        <v/>
      </c>
      <c r="ED49" s="217"/>
      <c r="EG49" s="214" t="str">
        <f ca="1">IF(EH46&lt;&gt;"",
IFERROR(INT(EH46/EH48),""),"")</f>
        <v/>
      </c>
      <c r="EH49" s="215"/>
      <c r="EI49" s="214" t="str">
        <f ca="1">IFERROR(MOD(EH46,EH48),"")</f>
        <v/>
      </c>
      <c r="EJ49" s="215"/>
      <c r="EK49" s="216" t="str" cm="1">
        <f t="array" aca="1" ref="EK49" ca="1">IF(EH43&lt;&gt;"",
IF(IFERROR(
INDEX(INDIRECT("'数出表_Excel（アレルギー入力）'!"&amp;EG43&amp;MATCH(EL1,'数出表_Excel（アレルギー入力）'!$A:$A,0)-1&amp;":"&amp;EL47&amp;MATCH(EL1,'数出表_Excel（アレルギー入力）'!$A:$A,0)-1&amp;""),
 1,
MATCH(EH46,INDIRECT("'数出表_Excel（アレルギー入力）'!"&amp;EG43&amp;MATCH(EL1,'数出表_Excel（アレルギー入力）'!$A:$A,0)-1&amp;":"&amp;EL47&amp;MATCH(EL1,'数出表_Excel（アレルギー入力）'!$A:$A,0)-1&amp;""),0)+1),
 "")&lt;&gt;0,
IF(IFERROR(
INDEX(INDIRECT("'数出表_Excel（アレルギー入力）'!"&amp;EG43&amp;MATCH(EL1,'数出表_Excel（アレルギー入力）'!$A:$A,0)-1&amp;":"&amp;EL47&amp;MATCH(EL1,'数出表_Excel（アレルギー入力）'!$A:$A,0)-1&amp;""),
 1,
MATCH(EH46,INDIRECT("'数出表_Excel（アレルギー入力）'!"&amp;EG43&amp;MATCH(EL1,'数出表_Excel（アレルギー入力）'!$A:$A,0)-1&amp;":"&amp;EL47&amp;MATCH(EL1,'数出表_Excel（アレルギー入力）'!$A:$A,0)-1&amp;""),0)+1),
 "")="",
IFERROR(
INDEX(INDIRECT("'数出表_Excel（アレルギー入力）'!B"&amp;MATCH(EL1,'数出表_Excel（アレルギー入力）'!$A:$A,0)-1&amp;":"&amp;EL47&amp;MATCH(EL1,'数出表_Excel（アレルギー入力）'!$A:$A,0)-1&amp;""),
 1,
MATCH(TRUE,INDEX(INDIRECT("'数出表_Excel（アレルギー入力）'!"&amp;EG43&amp;MATCH(EL1,'数出表_Excel（アレルギー入力）'!$A:$A,0)-1&amp;":"&amp;EL47&amp;MATCH(EL1,'数出表_Excel（アレルギー入力）'!$A:$A,0)-1&amp;"")&lt;&gt;"",0),0)+1),
 ""),
IFERROR(
INDEX(INDIRECT("'数出表_Excel（アレルギー入力）'!"&amp;EG43&amp;MATCH(EL1,'数出表_Excel（アレルギー入力）'!$A:$A,0)-1&amp;":"&amp;EL47&amp;MATCH(EL1,'数出表_Excel（アレルギー入力）'!$A:$A,0)-1&amp;""),
 1,
MATCH(EH46,INDIRECT("'数出表_Excel（アレルギー入力）'!"&amp;EG43&amp;MATCH(EL1,'数出表_Excel（アレルギー入力）'!$A:$A,0)-1&amp;":"&amp;EL47&amp;MATCH(EL1,'数出表_Excel（アレルギー入力）'!$A:$A,0)-1&amp;""),0)+1),
 "")),0),"")</f>
        <v/>
      </c>
      <c r="EL49" s="217"/>
      <c r="EN49" s="214" t="str">
        <f ca="1">IF(EO46&lt;&gt;"",
IFERROR(INT(EO46/EO48),""),"")</f>
        <v/>
      </c>
      <c r="EO49" s="215"/>
      <c r="EP49" s="214" t="str">
        <f ca="1">IFERROR(MOD(EO46,EO48),"")</f>
        <v/>
      </c>
      <c r="EQ49" s="215"/>
      <c r="ER49" s="216" t="str" cm="1">
        <f t="array" aca="1" ref="ER49" ca="1">IF(EO43&lt;&gt;"",
IF(IFERROR(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MATCH(EO46,INDIRECT("'数出表_Excel（アレルギー入力）'!"&amp;EN43&amp;MATCH(ES1,'数出表_Excel（アレルギー入力）'!$A:$A,0)-1&amp;":"&amp;ES47&amp;MATCH(ES1,'数出表_Excel（アレルギー入力）'!$A:$A,0)-1&amp;""),0)+1),
 "")&lt;&gt;0,
IF(IFERROR(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MATCH(EO46,INDIRECT("'数出表_Excel（アレルギー入力）'!"&amp;EN43&amp;MATCH(ES1,'数出表_Excel（アレルギー入力）'!$A:$A,0)-1&amp;":"&amp;ES47&amp;MATCH(ES1,'数出表_Excel（アレルギー入力）'!$A:$A,0)-1&amp;""),0)+1),
 "")="",
IFERROR(
INDEX(INDIRECT("'数出表_Excel（アレルギー入力）'!B"&amp;MATCH(ES1,'数出表_Excel（アレルギー入力）'!$A:$A,0)-1&amp;":"&amp;ES47&amp;MATCH(ES1,'数出表_Excel（アレルギー入力）'!$A:$A,0)-1&amp;""),
 1,
MATCH(TRUE,INDEX(INDIRECT("'数出表_Excel（アレルギー入力）'!"&amp;EN43&amp;MATCH(ES1,'数出表_Excel（アレルギー入力）'!$A:$A,0)-1&amp;":"&amp;ES47&amp;MATCH(ES1,'数出表_Excel（アレルギー入力）'!$A:$A,0)-1&amp;"")&lt;&gt;"",0),0)+1),
 ""),
IFERROR(
INDEX(INDIRECT("'数出表_Excel（アレルギー入力）'!"&amp;EN43&amp;MATCH(ES1,'数出表_Excel（アレルギー入力）'!$A:$A,0)-1&amp;":"&amp;ES47&amp;MATCH(ES1,'数出表_Excel（アレルギー入力）'!$A:$A,0)-1&amp;""),
 1,
MATCH(EO46,INDIRECT("'数出表_Excel（アレルギー入力）'!"&amp;EN43&amp;MATCH(ES1,'数出表_Excel（アレルギー入力）'!$A:$A,0)-1&amp;":"&amp;ES47&amp;MATCH(ES1,'数出表_Excel（アレルギー入力）'!$A:$A,0)-1&amp;""),0)+1),
 "")),0),"")</f>
        <v/>
      </c>
      <c r="ES49" s="217"/>
      <c r="ET49" s="78"/>
      <c r="EU49" s="103"/>
      <c r="EV49" s="104" t="str">
        <f ca="1">AG1</f>
        <v/>
      </c>
      <c r="EW49" s="104" t="str">
        <f ca="1">AG2</f>
        <v/>
      </c>
      <c r="EX49" s="104" t="str">
        <f ca="1">AI2</f>
        <v/>
      </c>
      <c r="EY49" s="105" t="str">
        <f ca="1">AJ2</f>
        <v/>
      </c>
      <c r="EZ49" s="105" t="str">
        <f ca="1">AK2</f>
        <v/>
      </c>
      <c r="FA49" s="104" t="e">
        <f ca="1">AG4</f>
        <v>#VALUE!</v>
      </c>
      <c r="FB49" s="104" t="e">
        <f ca="1">AI4</f>
        <v>#VALUE!</v>
      </c>
      <c r="FC49" s="104" t="str">
        <f ca="1">AG6</f>
        <v/>
      </c>
      <c r="FD49" s="104" t="e">
        <f ca="1">AF7</f>
        <v>#VALUE!</v>
      </c>
      <c r="FE49" s="104" t="str">
        <f ca="1">AH7</f>
        <v/>
      </c>
      <c r="FF49" s="104" t="e">
        <f ca="1">AJ7</f>
        <v>#VALUE!</v>
      </c>
      <c r="FG49" s="103">
        <f t="shared" ca="1" si="3"/>
        <v>0</v>
      </c>
      <c r="FH49" s="103" t="e">
        <f t="array" aca="1" ref="FH49" ca="1">SUMPRODUCT((LEN(EV49:FF49)&gt;0)*1)&gt;0</f>
        <v>#VALUE!</v>
      </c>
      <c r="FI49" s="103" t="str">
        <f t="array" aca="1" ref="FI49" ca="1">IFERROR(SMALL(IF(FG$1:FG$169&lt;&gt;0,FG$1:FG$169),ROW(A49)),"")</f>
        <v/>
      </c>
      <c r="FJ49" s="103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3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3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3" t="str" cm="1">
        <f t="array" aca="1" ref="FM49" ca="1">IF($FI49&lt;&gt;"",
IF(FL49="",
INDIRECT("EY"&amp;$FI49&amp;"")&amp;"箱"
&amp;INDIRECT("EZ"&amp;$FI49&amp;""),""),"")</f>
        <v/>
      </c>
      <c r="FN49" s="103" t="str" cm="1">
        <f t="array" aca="1" ref="FN49" ca="1">IF($FI49&lt;&gt;"",
INDIRECT(""&amp;IF(COLUMN(FA49)&lt;=26,CHAR(COLUMN(FA49)+64),CHAR(INT((COLUMN(FA49)-1)/26)+64)&amp;CHAR(MOD(COLUMN(FA49)-1,26)+65))&amp;$FI49&amp;""),"")</f>
        <v/>
      </c>
      <c r="FO49" s="103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3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3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3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3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3" customFormat="1" ht="18" customHeight="1" x14ac:dyDescent="0.55000000000000004">
      <c r="A50" s="101"/>
      <c r="B50" s="102" t="str" cm="1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198" t="str">
        <f ca="1">IF(C53&lt;&gt;"",C8,"")</f>
        <v/>
      </c>
      <c r="D50" s="198"/>
      <c r="E50" s="198"/>
      <c r="F50" s="198"/>
      <c r="G50" s="120"/>
      <c r="H50" s="101"/>
      <c r="I50" s="102" t="str" cm="1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198" t="str">
        <f ca="1">IF(J53&lt;&gt;"",J8,"")</f>
        <v/>
      </c>
      <c r="K50" s="198"/>
      <c r="L50" s="198"/>
      <c r="M50" s="198"/>
      <c r="N50" s="116"/>
      <c r="O50" s="101"/>
      <c r="P50" s="101"/>
      <c r="Q50" s="102" t="str" cm="1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198" t="str">
        <f ca="1">IF(R53&lt;&gt;"",R8,"")</f>
        <v/>
      </c>
      <c r="S50" s="198"/>
      <c r="T50" s="198"/>
      <c r="U50" s="198"/>
      <c r="V50" s="120"/>
      <c r="W50" s="101"/>
      <c r="X50" s="102" t="str" cm="1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198" t="str">
        <f ca="1">IF(Y53&lt;&gt;"",Y8,"")</f>
        <v/>
      </c>
      <c r="Z50" s="198"/>
      <c r="AA50" s="198"/>
      <c r="AB50" s="198"/>
      <c r="AC50" s="116"/>
      <c r="AD50" s="101"/>
      <c r="AE50" s="101"/>
      <c r="AF50" s="102" t="str" cm="1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198" t="str">
        <f ca="1">IF(AG53&lt;&gt;"",AG8,"")</f>
        <v/>
      </c>
      <c r="AH50" s="198"/>
      <c r="AI50" s="198"/>
      <c r="AJ50" s="198"/>
      <c r="AK50" s="120"/>
      <c r="AL50" s="101"/>
      <c r="AM50" s="102" t="str" cm="1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198" t="str">
        <f ca="1">IF(AN53&lt;&gt;"",AN8,"")</f>
        <v/>
      </c>
      <c r="AO50" s="198"/>
      <c r="AP50" s="198"/>
      <c r="AQ50" s="198"/>
      <c r="AR50" s="116"/>
      <c r="AS50" s="101"/>
      <c r="AT50" s="101"/>
      <c r="AU50" s="102" t="str" cm="1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198" t="str">
        <f ca="1">IF(AV53&lt;&gt;"",AV8,"")</f>
        <v/>
      </c>
      <c r="AW50" s="198"/>
      <c r="AX50" s="198"/>
      <c r="AY50" s="198"/>
      <c r="AZ50" s="120"/>
      <c r="BA50" s="101"/>
      <c r="BB50" s="102" t="str" cm="1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198" t="str">
        <f ca="1">IF(BC53&lt;&gt;"",BC8,"")</f>
        <v/>
      </c>
      <c r="BD50" s="198"/>
      <c r="BE50" s="198"/>
      <c r="BF50" s="198"/>
      <c r="BG50" s="116"/>
      <c r="BH50" s="101"/>
      <c r="BI50" s="101"/>
      <c r="BJ50" s="102" t="str" cm="1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198" t="str">
        <f ca="1">IF(BK53&lt;&gt;"",BK8,"")</f>
        <v/>
      </c>
      <c r="BL50" s="198"/>
      <c r="BM50" s="198"/>
      <c r="BN50" s="198"/>
      <c r="BO50" s="120"/>
      <c r="BP50" s="101"/>
      <c r="BQ50" s="102" t="str" cm="1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198" t="str">
        <f ca="1">IF(BR53&lt;&gt;"",BR8,"")</f>
        <v/>
      </c>
      <c r="BS50" s="198"/>
      <c r="BT50" s="198"/>
      <c r="BU50" s="198"/>
      <c r="BV50" s="116"/>
      <c r="BW50" s="101"/>
      <c r="BX50" s="101"/>
      <c r="BY50" s="102" t="str" cm="1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198" t="str">
        <f ca="1">IF(BZ53&lt;&gt;"",BZ8,"")</f>
        <v/>
      </c>
      <c r="CA50" s="198"/>
      <c r="CB50" s="198"/>
      <c r="CC50" s="198"/>
      <c r="CD50" s="120"/>
      <c r="CE50" s="101"/>
      <c r="CF50" s="102" t="str" cm="1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198" t="str">
        <f ca="1">IF(CG53&lt;&gt;"",CG8,"")</f>
        <v/>
      </c>
      <c r="CH50" s="198"/>
      <c r="CI50" s="198"/>
      <c r="CJ50" s="198"/>
      <c r="CK50" s="116"/>
      <c r="CL50" s="101"/>
      <c r="CM50" s="101"/>
      <c r="CN50" s="102" t="str" cm="1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198" t="str">
        <f ca="1">IF(CO53&lt;&gt;"",CO8,"")</f>
        <v/>
      </c>
      <c r="CP50" s="198"/>
      <c r="CQ50" s="198"/>
      <c r="CR50" s="198"/>
      <c r="CS50" s="120"/>
      <c r="CT50" s="101"/>
      <c r="CU50" s="102" t="str" cm="1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198" t="str">
        <f ca="1">IF(CV53&lt;&gt;"",CV8,"")</f>
        <v/>
      </c>
      <c r="CW50" s="198"/>
      <c r="CX50" s="198"/>
      <c r="CY50" s="198"/>
      <c r="CZ50" s="116"/>
      <c r="DA50" s="101"/>
      <c r="DB50" s="101"/>
      <c r="DC50" s="102" t="str" cm="1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198" t="str">
        <f ca="1">IF(DD53&lt;&gt;"",DD8,"")</f>
        <v/>
      </c>
      <c r="DE50" s="198"/>
      <c r="DF50" s="198"/>
      <c r="DG50" s="198"/>
      <c r="DH50" s="120"/>
      <c r="DI50" s="101"/>
      <c r="DJ50" s="102" t="str" cm="1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198" t="str">
        <f ca="1">IF(DK53&lt;&gt;"",DK8,"")</f>
        <v/>
      </c>
      <c r="DL50" s="198"/>
      <c r="DM50" s="198"/>
      <c r="DN50" s="198"/>
      <c r="DO50" s="116"/>
      <c r="DP50" s="101"/>
      <c r="DQ50" s="101"/>
      <c r="DR50" s="102" t="str" cm="1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198" t="str">
        <f ca="1">IF(DS53&lt;&gt;"",DS8,"")</f>
        <v/>
      </c>
      <c r="DT50" s="198"/>
      <c r="DU50" s="198"/>
      <c r="DV50" s="198"/>
      <c r="DW50" s="120"/>
      <c r="DX50" s="101"/>
      <c r="DY50" s="102" t="str" cm="1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198" t="str">
        <f ca="1">IF(DZ53&lt;&gt;"",DZ8,"")</f>
        <v/>
      </c>
      <c r="EA50" s="198"/>
      <c r="EB50" s="198"/>
      <c r="EC50" s="198"/>
      <c r="ED50" s="116"/>
      <c r="EE50" s="101"/>
      <c r="EF50" s="101"/>
      <c r="EG50" s="102" t="str" cm="1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198" t="str">
        <f ca="1">IF(EH53&lt;&gt;"",EH8,"")</f>
        <v/>
      </c>
      <c r="EI50" s="198"/>
      <c r="EJ50" s="198"/>
      <c r="EK50" s="198"/>
      <c r="EL50" s="120"/>
      <c r="EM50" s="101"/>
      <c r="EN50" s="102" t="str" cm="1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198" t="str">
        <f ca="1">IF(EO53&lt;&gt;"",EO8,"")</f>
        <v/>
      </c>
      <c r="EP50" s="198"/>
      <c r="EQ50" s="198"/>
      <c r="ER50" s="198"/>
      <c r="ES50" s="116"/>
      <c r="ET50" s="132"/>
      <c r="EU50" s="103">
        <v>42</v>
      </c>
      <c r="EV50" s="103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3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3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3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3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3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3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3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3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3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3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3">
        <f t="shared" ca="1" si="3"/>
        <v>0</v>
      </c>
      <c r="FH50" s="103" t="b">
        <f t="array" aca="1" ref="FH50" ca="1">SUMPRODUCT((LEN(EV50:FF50)&gt;0)*1)&gt;0</f>
        <v>0</v>
      </c>
      <c r="FI50" s="103" t="str">
        <f t="array" aca="1" ref="FI50" ca="1">IFERROR(SMALL(IF(FG$1:FG$169&lt;&gt;0,FG$1:FG$169),ROW(A50)),"")</f>
        <v/>
      </c>
      <c r="FJ50" s="103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3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3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3" t="str">
        <f t="array" aca="1" ref="FM50" ca="1">IF($FI50&lt;&gt;"",
IF(FL50="",
INDIRECT("EY"&amp;$FI50&amp;"")&amp;"箱"
&amp;INDIRECT("EZ"&amp;$FI50&amp;""),""),"")</f>
        <v/>
      </c>
      <c r="FN50" s="103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3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3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3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3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3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3" customFormat="1" ht="18" customHeight="1" x14ac:dyDescent="0.55000000000000004">
      <c r="A51" s="101"/>
      <c r="B51" s="106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5" t="str" cm="1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101"/>
      <c r="E51" s="107" t="str" cm="1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+MATCH(TRUE,INDIRECT("'数出表_Excel'!"&amp;B50&amp;MATCH(C50,数出表_Excel!$A:$A,0)-1&amp;":AL"&amp;MATCH(C50,数出表_Excel!$A:$A,0)-1&amp;"")&lt;&gt;"",0))&gt;=12,"",
IFERROR(
INDEX(INDIRECT("数出表_Excel!$"&amp;B50&amp;"4:$AL4"),
 1,
MATCH(TRUE,INDIRECT("'数出表_Excel'!"&amp;B50&amp;MATCH(C50,数出表_Excel!$A:$A,0)-1&amp;":AL"&amp;MATCH(C50,数出表_Excel!$A:$A,0)-1&amp;"")&lt;&gt;"",0)
),
 "")
&amp;IFERROR(
INDEX(INDIRECT("数出表_Excel!$"&amp;B50&amp;"5:$AL5"),
 1,
MATCH(TRUE,INDIRECT("'数出表_Excel'!"&amp;B50&amp;MATCH(C50,数出表_Excel!$A:$A,0)-1&amp;":AL"&amp;MATCH(C50,数出表_Excel!$A:$A,0)-1&amp;"")&lt;&gt;"",0)),
 "")),"")))</f>
        <v/>
      </c>
      <c r="F51" s="108" t="str" cm="1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ISNUMBER(--INDIRECT("'数出表_Excel（アレルギー入力）'!B"&amp;MATCH(C50,'数出表_Excel（アレルギー入力）'!$A:$A,0)-1&amp;":AL"&amp;MATCH(C50,'数出表_Excel（アレルギー入力）'!$A:$A,0)-1&amp;"")),0)&gt;10,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21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01"/>
      <c r="I51" s="106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5" t="str" cm="1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101"/>
      <c r="L51" s="107" t="str" cm="1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+MATCH(TRUE,INDIRECT("'数出表_Excel'!"&amp;I50&amp;MATCH(J50,数出表_Excel!$A:$A,0)-1&amp;":AL"&amp;MATCH(J50,数出表_Excel!$A:$A,0)-1&amp;"")&lt;&gt;"",0))&gt;=12,"",
IFERROR(
INDEX(INDIRECT("数出表_Excel!$"&amp;I50&amp;"4:$AL4"),
 1,
MATCH(TRUE,INDIRECT("'数出表_Excel'!"&amp;I50&amp;MATCH(J50,数出表_Excel!$A:$A,0)-1&amp;":AL"&amp;MATCH(J50,数出表_Excel!$A:$A,0)-1&amp;"")&lt;&gt;"",0)
),
 "")
&amp;IFERROR(
INDEX(INDIRECT("数出表_Excel!$"&amp;I50&amp;"5:$AL5"),
 1,
MATCH(TRUE,INDIRECT("'数出表_Excel'!"&amp;I50&amp;MATCH(J50,数出表_Excel!$A:$A,0)-1&amp;":AL"&amp;MATCH(J50,数出表_Excel!$A:$A,0)-1&amp;"")&lt;&gt;"",0)),
 "")),"")))</f>
        <v/>
      </c>
      <c r="M51" s="108" t="str" cm="1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ISNUMBER(--INDIRECT("'数出表_Excel（アレルギー入力）'!B"&amp;MATCH(J50,'数出表_Excel（アレルギー入力）'!$A:$A,0)-1&amp;":AL"&amp;MATCH(J50,'数出表_Excel（アレルギー入力）'!$A:$A,0)-1&amp;"")),0)&gt;10,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117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01"/>
      <c r="P51" s="101"/>
      <c r="Q51" s="106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5" t="str" cm="1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101"/>
      <c r="T51" s="107" t="str" cm="1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+MATCH(TRUE,INDIRECT("'数出表_Excel'!"&amp;Q50&amp;MATCH(R50,数出表_Excel!$A:$A,0)-1&amp;":AL"&amp;MATCH(R50,数出表_Excel!$A:$A,0)-1&amp;"")&lt;&gt;"",0))&gt;=12,"",
IFERROR(
INDEX(INDIRECT("数出表_Excel!$"&amp;Q50&amp;"4:$AL4"),
 1,
MATCH(TRUE,INDIRECT("'数出表_Excel'!"&amp;Q50&amp;MATCH(R50,数出表_Excel!$A:$A,0)-1&amp;":AL"&amp;MATCH(R50,数出表_Excel!$A:$A,0)-1&amp;"")&lt;&gt;"",0)
),
 "")
&amp;IFERROR(
INDEX(INDIRECT("数出表_Excel!$"&amp;Q50&amp;"5:$AL5"),
 1,
MATCH(TRUE,INDIRECT("'数出表_Excel'!"&amp;Q50&amp;MATCH(R50,数出表_Excel!$A:$A,0)-1&amp;":AL"&amp;MATCH(R50,数出表_Excel!$A:$A,0)-1&amp;"")&lt;&gt;"",0)),
 "")),"")))</f>
        <v/>
      </c>
      <c r="U51" s="108" t="str" cm="1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ISNUMBER(--INDIRECT("'数出表_Excel（アレルギー入力）'!B"&amp;MATCH(R50,'数出表_Excel（アレルギー入力）'!$A:$A,0)-1&amp;":AL"&amp;MATCH(R50,'数出表_Excel（アレルギー入力）'!$A:$A,0)-1&amp;"")),0)&gt;10,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21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1"/>
      <c r="X51" s="106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5" t="str" cm="1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101"/>
      <c r="AA51" s="107" t="str" cm="1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+MATCH(TRUE,INDIRECT("'数出表_Excel'!"&amp;X50&amp;MATCH(Y50,数出表_Excel!$A:$A,0)-1&amp;":AL"&amp;MATCH(Y50,数出表_Excel!$A:$A,0)-1&amp;"")&lt;&gt;"",0))&gt;=12,"",
IFERROR(
INDEX(INDIRECT("数出表_Excel!$"&amp;X50&amp;"4:$AL4"),
 1,
MATCH(TRUE,INDIRECT("'数出表_Excel'!"&amp;X50&amp;MATCH(Y50,数出表_Excel!$A:$A,0)-1&amp;":AL"&amp;MATCH(Y50,数出表_Excel!$A:$A,0)-1&amp;"")&lt;&gt;"",0)
),
 "")
&amp;IFERROR(
INDEX(INDIRECT("数出表_Excel!$"&amp;X50&amp;"5:$AL5"),
 1,
MATCH(TRUE,INDIRECT("'数出表_Excel'!"&amp;X50&amp;MATCH(Y50,数出表_Excel!$A:$A,0)-1&amp;":AL"&amp;MATCH(Y50,数出表_Excel!$A:$A,0)-1&amp;"")&lt;&gt;"",0)),
 "")),"")))</f>
        <v/>
      </c>
      <c r="AB51" s="108" t="str" cm="1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ISNUMBER(--INDIRECT("'数出表_Excel（アレルギー入力）'!B"&amp;MATCH(Y50,'数出表_Excel（アレルギー入力）'!$A:$A,0)-1&amp;":AL"&amp;MATCH(Y50,'数出表_Excel（アレルギー入力）'!$A:$A,0)-1&amp;"")),0)&gt;10,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117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1"/>
      <c r="AE51" s="101"/>
      <c r="AF51" s="106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5" t="str" cm="1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101"/>
      <c r="AI51" s="107" t="str" cm="1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+MATCH(TRUE,INDIRECT("'数出表_Excel'!"&amp;AF50&amp;MATCH(AG50,数出表_Excel!$A:$A,0)-1&amp;":AL"&amp;MATCH(AG50,数出表_Excel!$A:$A,0)-1&amp;"")&lt;&gt;"",0))&gt;=12,"",
IFERROR(
INDEX(INDIRECT("数出表_Excel!$"&amp;AF50&amp;"4:$AL4"),
 1,
MATCH(TRUE,INDIRECT("'数出表_Excel'!"&amp;AF50&amp;MATCH(AG50,数出表_Excel!$A:$A,0)-1&amp;":AL"&amp;MATCH(AG50,数出表_Excel!$A:$A,0)-1&amp;"")&lt;&gt;"",0)
),
 "")
&amp;IFERROR(
INDEX(INDIRECT("数出表_Excel!$"&amp;AF50&amp;"5:$AL5"),
 1,
MATCH(TRUE,INDIRECT("'数出表_Excel'!"&amp;AF50&amp;MATCH(AG50,数出表_Excel!$A:$A,0)-1&amp;":AL"&amp;MATCH(AG50,数出表_Excel!$A:$A,0)-1&amp;"")&lt;&gt;"",0)),
 "")),"")))</f>
        <v/>
      </c>
      <c r="AJ51" s="108" t="str" cm="1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ISNUMBER(--INDIRECT("'数出表_Excel（アレルギー入力）'!B"&amp;MATCH(AG50,'数出表_Excel（アレルギー入力）'!$A:$A,0)-1&amp;":AL"&amp;MATCH(AG50,'数出表_Excel（アレルギー入力）'!$A:$A,0)-1&amp;"")),0)&gt;10,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21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1"/>
      <c r="AM51" s="106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5" t="str" cm="1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101"/>
      <c r="AP51" s="107" t="str" cm="1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+MATCH(TRUE,INDIRECT("'数出表_Excel'!"&amp;AM50&amp;MATCH(AN50,数出表_Excel!$A:$A,0)-1&amp;":AL"&amp;MATCH(AN50,数出表_Excel!$A:$A,0)-1&amp;"")&lt;&gt;"",0))&gt;=12,"",
IFERROR(
INDEX(INDIRECT("数出表_Excel!$"&amp;AM50&amp;"4:$AL4"),
 1,
MATCH(TRUE,INDIRECT("'数出表_Excel'!"&amp;AM50&amp;MATCH(AN50,数出表_Excel!$A:$A,0)-1&amp;":AL"&amp;MATCH(AN50,数出表_Excel!$A:$A,0)-1&amp;"")&lt;&gt;"",0)
),
 "")
&amp;IFERROR(
INDEX(INDIRECT("数出表_Excel!$"&amp;AM50&amp;"5:$AL5"),
 1,
MATCH(TRUE,INDIRECT("'数出表_Excel'!"&amp;AM50&amp;MATCH(AN50,数出表_Excel!$A:$A,0)-1&amp;":AL"&amp;MATCH(AN50,数出表_Excel!$A:$A,0)-1&amp;"")&lt;&gt;"",0)),
 "")),"")))</f>
        <v/>
      </c>
      <c r="AQ51" s="108" t="str" cm="1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ISNUMBER(--INDIRECT("'数出表_Excel（アレルギー入力）'!B"&amp;MATCH(AN50,'数出表_Excel（アレルギー入力）'!$A:$A,0)-1&amp;":AL"&amp;MATCH(AN50,'数出表_Excel（アレルギー入力）'!$A:$A,0)-1&amp;"")),0)&gt;10,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117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1"/>
      <c r="AT51" s="101"/>
      <c r="AU51" s="106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5" t="str" cm="1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101"/>
      <c r="AX51" s="107" t="str" cm="1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+MATCH(TRUE,INDIRECT("'数出表_Excel'!"&amp;AU50&amp;MATCH(AV50,数出表_Excel!$A:$A,0)-1&amp;":AL"&amp;MATCH(AV50,数出表_Excel!$A:$A,0)-1&amp;"")&lt;&gt;"",0))&gt;=12,"",
IFERROR(
INDEX(INDIRECT("数出表_Excel!$"&amp;AU50&amp;"4:$AL4"),
 1,
MATCH(TRUE,INDIRECT("'数出表_Excel'!"&amp;AU50&amp;MATCH(AV50,数出表_Excel!$A:$A,0)-1&amp;":AL"&amp;MATCH(AV50,数出表_Excel!$A:$A,0)-1&amp;"")&lt;&gt;"",0)
),
 "")
&amp;IFERROR(
INDEX(INDIRECT("数出表_Excel!$"&amp;AU50&amp;"5:$AL5"),
 1,
MATCH(TRUE,INDIRECT("'数出表_Excel'!"&amp;AU50&amp;MATCH(AV50,数出表_Excel!$A:$A,0)-1&amp;":AL"&amp;MATCH(AV50,数出表_Excel!$A:$A,0)-1&amp;"")&lt;&gt;"",0)),
 "")),"")))</f>
        <v/>
      </c>
      <c r="AY51" s="108" t="str" cm="1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ISNUMBER(--INDIRECT("'数出表_Excel（アレルギー入力）'!B"&amp;MATCH(AV50,'数出表_Excel（アレルギー入力）'!$A:$A,0)-1&amp;":AL"&amp;MATCH(AV50,'数出表_Excel（アレルギー入力）'!$A:$A,0)-1&amp;"")),0)&gt;10,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21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1"/>
      <c r="BB51" s="106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5" t="str" cm="1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101"/>
      <c r="BE51" s="107" t="str" cm="1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+MATCH(TRUE,INDIRECT("'数出表_Excel'!"&amp;BB50&amp;MATCH(BC50,数出表_Excel!$A:$A,0)-1&amp;":AL"&amp;MATCH(BC50,数出表_Excel!$A:$A,0)-1&amp;"")&lt;&gt;"",0))&gt;=12,"",
IFERROR(
INDEX(INDIRECT("数出表_Excel!$"&amp;BB50&amp;"4:$AL4"),
 1,
MATCH(TRUE,INDIRECT("'数出表_Excel'!"&amp;BB50&amp;MATCH(BC50,数出表_Excel!$A:$A,0)-1&amp;":AL"&amp;MATCH(BC50,数出表_Excel!$A:$A,0)-1&amp;"")&lt;&gt;"",0)
),
 "")
&amp;IFERROR(
INDEX(INDIRECT("数出表_Excel!$"&amp;BB50&amp;"5:$AL5"),
 1,
MATCH(TRUE,INDIRECT("'数出表_Excel'!"&amp;BB50&amp;MATCH(BC50,数出表_Excel!$A:$A,0)-1&amp;":AL"&amp;MATCH(BC50,数出表_Excel!$A:$A,0)-1&amp;"")&lt;&gt;"",0)),
 "")),"")))</f>
        <v/>
      </c>
      <c r="BF51" s="108" t="str" cm="1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ISNUMBER(--INDIRECT("'数出表_Excel（アレルギー入力）'!B"&amp;MATCH(BC50,'数出表_Excel（アレルギー入力）'!$A:$A,0)-1&amp;":AL"&amp;MATCH(BC50,'数出表_Excel（アレルギー入力）'!$A:$A,0)-1&amp;"")),0)&gt;10,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117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1"/>
      <c r="BI51" s="101"/>
      <c r="BJ51" s="106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5" t="str" cm="1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101"/>
      <c r="BM51" s="107" t="str" cm="1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+MATCH(TRUE,INDIRECT("'数出表_Excel'!"&amp;BJ50&amp;MATCH(BK50,数出表_Excel!$A:$A,0)-1&amp;":AL"&amp;MATCH(BK50,数出表_Excel!$A:$A,0)-1&amp;"")&lt;&gt;"",0))&gt;=12,"",
IFERROR(
INDEX(INDIRECT("数出表_Excel!$"&amp;BJ50&amp;"4:$AL4"),
 1,
MATCH(TRUE,INDIRECT("'数出表_Excel'!"&amp;BJ50&amp;MATCH(BK50,数出表_Excel!$A:$A,0)-1&amp;":AL"&amp;MATCH(BK50,数出表_Excel!$A:$A,0)-1&amp;"")&lt;&gt;"",0)
),
 "")
&amp;IFERROR(
INDEX(INDIRECT("数出表_Excel!$"&amp;BJ50&amp;"5:$AL5"),
 1,
MATCH(TRUE,INDIRECT("'数出表_Excel'!"&amp;BJ50&amp;MATCH(BK50,数出表_Excel!$A:$A,0)-1&amp;":AL"&amp;MATCH(BK50,数出表_Excel!$A:$A,0)-1&amp;"")&lt;&gt;"",0)),
 "")),"")))</f>
        <v/>
      </c>
      <c r="BN51" s="108" t="str" cm="1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ISNUMBER(--INDIRECT("'数出表_Excel（アレルギー入力）'!B"&amp;MATCH(BK50,'数出表_Excel（アレルギー入力）'!$A:$A,0)-1&amp;":AL"&amp;MATCH(BK50,'数出表_Excel（アレルギー入力）'!$A:$A,0)-1&amp;"")),0)&gt;10,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21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1"/>
      <c r="BQ51" s="106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5" t="str" cm="1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101"/>
      <c r="BT51" s="107" t="str" cm="1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+MATCH(TRUE,INDIRECT("'数出表_Excel'!"&amp;BQ50&amp;MATCH(BR50,数出表_Excel!$A:$A,0)-1&amp;":AL"&amp;MATCH(BR50,数出表_Excel!$A:$A,0)-1&amp;"")&lt;&gt;"",0))&gt;=12,"",
IFERROR(
INDEX(INDIRECT("数出表_Excel!$"&amp;BQ50&amp;"4:$AL4"),
 1,
MATCH(TRUE,INDIRECT("'数出表_Excel'!"&amp;BQ50&amp;MATCH(BR50,数出表_Excel!$A:$A,0)-1&amp;":AL"&amp;MATCH(BR50,数出表_Excel!$A:$A,0)-1&amp;"")&lt;&gt;"",0)
),
 "")
&amp;IFERROR(
INDEX(INDIRECT("数出表_Excel!$"&amp;BQ50&amp;"5:$AL5"),
 1,
MATCH(TRUE,INDIRECT("'数出表_Excel'!"&amp;BQ50&amp;MATCH(BR50,数出表_Excel!$A:$A,0)-1&amp;":AL"&amp;MATCH(BR50,数出表_Excel!$A:$A,0)-1&amp;"")&lt;&gt;"",0)),
 "")),"")))</f>
        <v/>
      </c>
      <c r="BU51" s="108" t="str" cm="1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ISNUMBER(--INDIRECT("'数出表_Excel（アレルギー入力）'!B"&amp;MATCH(BR50,'数出表_Excel（アレルギー入力）'!$A:$A,0)-1&amp;":AL"&amp;MATCH(BR50,'数出表_Excel（アレルギー入力）'!$A:$A,0)-1&amp;"")),0)&gt;10,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117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1"/>
      <c r="BX51" s="101"/>
      <c r="BY51" s="106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5" t="str" cm="1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101"/>
      <c r="CB51" s="107" t="str" cm="1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+MATCH(TRUE,INDIRECT("'数出表_Excel'!"&amp;BY50&amp;MATCH(BZ50,数出表_Excel!$A:$A,0)-1&amp;":AL"&amp;MATCH(BZ50,数出表_Excel!$A:$A,0)-1&amp;"")&lt;&gt;"",0))&gt;=12,"",
IFERROR(
INDEX(INDIRECT("数出表_Excel!$"&amp;BY50&amp;"4:$AL4"),
 1,
MATCH(TRUE,INDIRECT("'数出表_Excel'!"&amp;BY50&amp;MATCH(BZ50,数出表_Excel!$A:$A,0)-1&amp;":AL"&amp;MATCH(BZ50,数出表_Excel!$A:$A,0)-1&amp;"")&lt;&gt;"",0)
),
 "")
&amp;IFERROR(
INDEX(INDIRECT("数出表_Excel!$"&amp;BY50&amp;"5:$AL5"),
 1,
MATCH(TRUE,INDIRECT("'数出表_Excel'!"&amp;BY50&amp;MATCH(BZ50,数出表_Excel!$A:$A,0)-1&amp;":AL"&amp;MATCH(BZ50,数出表_Excel!$A:$A,0)-1&amp;"")&lt;&gt;"",0)),
 "")),"")))</f>
        <v/>
      </c>
      <c r="CC51" s="108" t="str" cm="1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ISNUMBER(--INDIRECT("'数出表_Excel（アレルギー入力）'!B"&amp;MATCH(BZ50,'数出表_Excel（アレルギー入力）'!$A:$A,0)-1&amp;":AL"&amp;MATCH(BZ50,'数出表_Excel（アレルギー入力）'!$A:$A,0)-1&amp;"")),0)&gt;10,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21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1"/>
      <c r="CF51" s="106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5" t="str" cm="1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101"/>
      <c r="CI51" s="107" t="str" cm="1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+MATCH(TRUE,INDIRECT("'数出表_Excel'!"&amp;CF50&amp;MATCH(CG50,数出表_Excel!$A:$A,0)-1&amp;":AL"&amp;MATCH(CG50,数出表_Excel!$A:$A,0)-1&amp;"")&lt;&gt;"",0))&gt;=12,"",
IFERROR(
INDEX(INDIRECT("数出表_Excel!$"&amp;CF50&amp;"4:$AL4"),
 1,
MATCH(TRUE,INDIRECT("'数出表_Excel'!"&amp;CF50&amp;MATCH(CG50,数出表_Excel!$A:$A,0)-1&amp;":AL"&amp;MATCH(CG50,数出表_Excel!$A:$A,0)-1&amp;"")&lt;&gt;"",0)
),
 "")
&amp;IFERROR(
INDEX(INDIRECT("数出表_Excel!$"&amp;CF50&amp;"5:$AL5"),
 1,
MATCH(TRUE,INDIRECT("'数出表_Excel'!"&amp;CF50&amp;MATCH(CG50,数出表_Excel!$A:$A,0)-1&amp;":AL"&amp;MATCH(CG50,数出表_Excel!$A:$A,0)-1&amp;"")&lt;&gt;"",0)),
 "")),"")))</f>
        <v/>
      </c>
      <c r="CJ51" s="108" t="str" cm="1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ISNUMBER(--INDIRECT("'数出表_Excel（アレルギー入力）'!B"&amp;MATCH(CG50,'数出表_Excel（アレルギー入力）'!$A:$A,0)-1&amp;":AL"&amp;MATCH(CG50,'数出表_Excel（アレルギー入力）'!$A:$A,0)-1&amp;"")),0)&gt;10,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117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1"/>
      <c r="CM51" s="101"/>
      <c r="CN51" s="106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5" t="str" cm="1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101"/>
      <c r="CQ51" s="107" t="str" cm="1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+MATCH(TRUE,INDIRECT("'数出表_Excel'!"&amp;CN50&amp;MATCH(CO50,数出表_Excel!$A:$A,0)-1&amp;":AL"&amp;MATCH(CO50,数出表_Excel!$A:$A,0)-1&amp;"")&lt;&gt;"",0))&gt;=12,"",
IFERROR(
INDEX(INDIRECT("数出表_Excel!$"&amp;CN50&amp;"4:$AL4"),
 1,
MATCH(TRUE,INDIRECT("'数出表_Excel'!"&amp;CN50&amp;MATCH(CO50,数出表_Excel!$A:$A,0)-1&amp;":AL"&amp;MATCH(CO50,数出表_Excel!$A:$A,0)-1&amp;"")&lt;&gt;"",0)
),
 "")
&amp;IFERROR(
INDEX(INDIRECT("数出表_Excel!$"&amp;CN50&amp;"5:$AL5"),
 1,
MATCH(TRUE,INDIRECT("'数出表_Excel'!"&amp;CN50&amp;MATCH(CO50,数出表_Excel!$A:$A,0)-1&amp;":AL"&amp;MATCH(CO50,数出表_Excel!$A:$A,0)-1&amp;"")&lt;&gt;"",0)),
 "")),"")))</f>
        <v/>
      </c>
      <c r="CR51" s="108" t="str" cm="1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ISNUMBER(--INDIRECT("'数出表_Excel（アレルギー入力）'!B"&amp;MATCH(CO50,'数出表_Excel（アレルギー入力）'!$A:$A,0)-1&amp;":AL"&amp;MATCH(CO50,'数出表_Excel（アレルギー入力）'!$A:$A,0)-1&amp;"")),0)&gt;10,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21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1"/>
      <c r="CU51" s="106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5" t="str" cm="1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101"/>
      <c r="CX51" s="107" t="str" cm="1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+MATCH(TRUE,INDIRECT("'数出表_Excel'!"&amp;CU50&amp;MATCH(CV50,数出表_Excel!$A:$A,0)-1&amp;":AL"&amp;MATCH(CV50,数出表_Excel!$A:$A,0)-1&amp;"")&lt;&gt;"",0))&gt;=12,"",
IFERROR(
INDEX(INDIRECT("数出表_Excel!$"&amp;CU50&amp;"4:$AL4"),
 1,
MATCH(TRUE,INDIRECT("'数出表_Excel'!"&amp;CU50&amp;MATCH(CV50,数出表_Excel!$A:$A,0)-1&amp;":AL"&amp;MATCH(CV50,数出表_Excel!$A:$A,0)-1&amp;"")&lt;&gt;"",0)
),
 "")
&amp;IFERROR(
INDEX(INDIRECT("数出表_Excel!$"&amp;CU50&amp;"5:$AL5"),
 1,
MATCH(TRUE,INDIRECT("'数出表_Excel'!"&amp;CU50&amp;MATCH(CV50,数出表_Excel!$A:$A,0)-1&amp;":AL"&amp;MATCH(CV50,数出表_Excel!$A:$A,0)-1&amp;"")&lt;&gt;"",0)),
 "")),"")))</f>
        <v/>
      </c>
      <c r="CY51" s="108" t="str" cm="1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ISNUMBER(--INDIRECT("'数出表_Excel（アレルギー入力）'!B"&amp;MATCH(CV50,'数出表_Excel（アレルギー入力）'!$A:$A,0)-1&amp;":AL"&amp;MATCH(CV50,'数出表_Excel（アレルギー入力）'!$A:$A,0)-1&amp;"")),0)&gt;10,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117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1"/>
      <c r="DB51" s="101"/>
      <c r="DC51" s="106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5" t="str" cm="1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101"/>
      <c r="DF51" s="107" t="str" cm="1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+MATCH(TRUE,INDIRECT("'数出表_Excel'!"&amp;DC50&amp;MATCH(DD50,数出表_Excel!$A:$A,0)-1&amp;":AL"&amp;MATCH(DD50,数出表_Excel!$A:$A,0)-1&amp;"")&lt;&gt;"",0))&gt;=12,"",
IFERROR(
INDEX(INDIRECT("数出表_Excel!$"&amp;DC50&amp;"4:$AL4"),
 1,
MATCH(TRUE,INDIRECT("'数出表_Excel'!"&amp;DC50&amp;MATCH(DD50,数出表_Excel!$A:$A,0)-1&amp;":AL"&amp;MATCH(DD50,数出表_Excel!$A:$A,0)-1&amp;"")&lt;&gt;"",0)
),
 "")
&amp;IFERROR(
INDEX(INDIRECT("数出表_Excel!$"&amp;DC50&amp;"5:$AL5"),
 1,
MATCH(TRUE,INDIRECT("'数出表_Excel'!"&amp;DC50&amp;MATCH(DD50,数出表_Excel!$A:$A,0)-1&amp;":AL"&amp;MATCH(DD50,数出表_Excel!$A:$A,0)-1&amp;"")&lt;&gt;"",0)),
 "")),"")))</f>
        <v/>
      </c>
      <c r="DG51" s="108" t="str" cm="1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ISNUMBER(--INDIRECT("'数出表_Excel（アレルギー入力）'!B"&amp;MATCH(DD50,'数出表_Excel（アレルギー入力）'!$A:$A,0)-1&amp;":AL"&amp;MATCH(DD50,'数出表_Excel（アレルギー入力）'!$A:$A,0)-1&amp;"")),0)&gt;10,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21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1"/>
      <c r="DJ51" s="106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5" t="str" cm="1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101"/>
      <c r="DM51" s="107" t="str" cm="1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+MATCH(TRUE,INDIRECT("'数出表_Excel'!"&amp;DJ50&amp;MATCH(DK50,数出表_Excel!$A:$A,0)-1&amp;":AL"&amp;MATCH(DK50,数出表_Excel!$A:$A,0)-1&amp;"")&lt;&gt;"",0))&gt;=12,"",
IFERROR(
INDEX(INDIRECT("数出表_Excel!$"&amp;DJ50&amp;"4:$AL4"),
 1,
MATCH(TRUE,INDIRECT("'数出表_Excel'!"&amp;DJ50&amp;MATCH(DK50,数出表_Excel!$A:$A,0)-1&amp;":AL"&amp;MATCH(DK50,数出表_Excel!$A:$A,0)-1&amp;"")&lt;&gt;"",0)
),
 "")
&amp;IFERROR(
INDEX(INDIRECT("数出表_Excel!$"&amp;DJ50&amp;"5:$AL5"),
 1,
MATCH(TRUE,INDIRECT("'数出表_Excel'!"&amp;DJ50&amp;MATCH(DK50,数出表_Excel!$A:$A,0)-1&amp;":AL"&amp;MATCH(DK50,数出表_Excel!$A:$A,0)-1&amp;"")&lt;&gt;"",0)),
 "")),"")))</f>
        <v/>
      </c>
      <c r="DN51" s="108" t="str" cm="1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ISNUMBER(--INDIRECT("'数出表_Excel（アレルギー入力）'!B"&amp;MATCH(DK50,'数出表_Excel（アレルギー入力）'!$A:$A,0)-1&amp;":AL"&amp;MATCH(DK50,'数出表_Excel（アレルギー入力）'!$A:$A,0)-1&amp;"")),0)&gt;10,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117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1"/>
      <c r="DQ51" s="101"/>
      <c r="DR51" s="106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5" t="str" cm="1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101"/>
      <c r="DU51" s="107" t="str" cm="1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+MATCH(TRUE,INDIRECT("'数出表_Excel'!"&amp;DR50&amp;MATCH(DS50,数出表_Excel!$A:$A,0)-1&amp;":AL"&amp;MATCH(DS50,数出表_Excel!$A:$A,0)-1&amp;"")&lt;&gt;"",0))&gt;=12,"",
IFERROR(
INDEX(INDIRECT("数出表_Excel!$"&amp;DR50&amp;"4:$AL4"),
 1,
MATCH(TRUE,INDIRECT("'数出表_Excel'!"&amp;DR50&amp;MATCH(DS50,数出表_Excel!$A:$A,0)-1&amp;":AL"&amp;MATCH(DS50,数出表_Excel!$A:$A,0)-1&amp;"")&lt;&gt;"",0)
),
 "")
&amp;IFERROR(
INDEX(INDIRECT("数出表_Excel!$"&amp;DR50&amp;"5:$AL5"),
 1,
MATCH(TRUE,INDIRECT("'数出表_Excel'!"&amp;DR50&amp;MATCH(DS50,数出表_Excel!$A:$A,0)-1&amp;":AL"&amp;MATCH(DS50,数出表_Excel!$A:$A,0)-1&amp;"")&lt;&gt;"",0)),
 "")),"")))</f>
        <v/>
      </c>
      <c r="DV51" s="108" t="str" cm="1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ISNUMBER(--INDIRECT("'数出表_Excel（アレルギー入力）'!B"&amp;MATCH(DS50,'数出表_Excel（アレルギー入力）'!$A:$A,0)-1&amp;":AL"&amp;MATCH(DS50,'数出表_Excel（アレルギー入力）'!$A:$A,0)-1&amp;"")),0)&gt;10,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21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1"/>
      <c r="DY51" s="106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5" t="str" cm="1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101"/>
      <c r="EB51" s="107" t="str" cm="1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+MATCH(TRUE,INDIRECT("'数出表_Excel'!"&amp;DY50&amp;MATCH(DZ50,数出表_Excel!$A:$A,0)-1&amp;":AL"&amp;MATCH(DZ50,数出表_Excel!$A:$A,0)-1&amp;"")&lt;&gt;"",0))&gt;=12,"",
IFERROR(
INDEX(INDIRECT("数出表_Excel!$"&amp;DY50&amp;"4:$AL4"),
 1,
MATCH(TRUE,INDIRECT("'数出表_Excel'!"&amp;DY50&amp;MATCH(DZ50,数出表_Excel!$A:$A,0)-1&amp;":AL"&amp;MATCH(DZ50,数出表_Excel!$A:$A,0)-1&amp;"")&lt;&gt;"",0)
),
 "")
&amp;IFERROR(
INDEX(INDIRECT("数出表_Excel!$"&amp;DY50&amp;"5:$AL5"),
 1,
MATCH(TRUE,INDIRECT("'数出表_Excel'!"&amp;DY50&amp;MATCH(DZ50,数出表_Excel!$A:$A,0)-1&amp;":AL"&amp;MATCH(DZ50,数出表_Excel!$A:$A,0)-1&amp;"")&lt;&gt;"",0)),
 "")),"")))</f>
        <v/>
      </c>
      <c r="EC51" s="108" t="str" cm="1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ISNUMBER(--INDIRECT("'数出表_Excel（アレルギー入力）'!B"&amp;MATCH(DZ50,'数出表_Excel（アレルギー入力）'!$A:$A,0)-1&amp;":AL"&amp;MATCH(DZ50,'数出表_Excel（アレルギー入力）'!$A:$A,0)-1&amp;"")),0)&gt;10,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117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1"/>
      <c r="EF51" s="101"/>
      <c r="EG51" s="106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5" t="str" cm="1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101"/>
      <c r="EJ51" s="107" t="str" cm="1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+MATCH(TRUE,INDIRECT("'数出表_Excel'!"&amp;EG50&amp;MATCH(EH50,数出表_Excel!$A:$A,0)-1&amp;":AL"&amp;MATCH(EH50,数出表_Excel!$A:$A,0)-1&amp;"")&lt;&gt;"",0))&gt;=12,"",
IFERROR(
INDEX(INDIRECT("数出表_Excel!$"&amp;EG50&amp;"4:$AL4"),
 1,
MATCH(TRUE,INDIRECT("'数出表_Excel'!"&amp;EG50&amp;MATCH(EH50,数出表_Excel!$A:$A,0)-1&amp;":AL"&amp;MATCH(EH50,数出表_Excel!$A:$A,0)-1&amp;"")&lt;&gt;"",0)
),
 "")
&amp;IFERROR(
INDEX(INDIRECT("数出表_Excel!$"&amp;EG50&amp;"5:$AL5"),
 1,
MATCH(TRUE,INDIRECT("'数出表_Excel'!"&amp;EG50&amp;MATCH(EH50,数出表_Excel!$A:$A,0)-1&amp;":AL"&amp;MATCH(EH50,数出表_Excel!$A:$A,0)-1&amp;"")&lt;&gt;"",0)),
 "")),"")))</f>
        <v/>
      </c>
      <c r="EK51" s="108" t="str" cm="1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ISNUMBER(--INDIRECT("'数出表_Excel（アレルギー入力）'!B"&amp;MATCH(EH50,'数出表_Excel（アレルギー入力）'!$A:$A,0)-1&amp;":AL"&amp;MATCH(EH50,'数出表_Excel（アレルギー入力）'!$A:$A,0)-1&amp;"")),0)&gt;10,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21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101"/>
      <c r="EN51" s="106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5" t="str" cm="1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101"/>
      <c r="EQ51" s="107" t="str" cm="1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+MATCH(TRUE,INDIRECT("'数出表_Excel'!"&amp;EN50&amp;MATCH(EO50,数出表_Excel!$A:$A,0)-1&amp;":AL"&amp;MATCH(EO50,数出表_Excel!$A:$A,0)-1&amp;"")&lt;&gt;"",0))&gt;=12,"",
IFERROR(
INDEX(INDIRECT("数出表_Excel!$"&amp;EN50&amp;"4:$AL4"),
 1,
MATCH(TRUE,INDIRECT("'数出表_Excel'!"&amp;EN50&amp;MATCH(EO50,数出表_Excel!$A:$A,0)-1&amp;":AL"&amp;MATCH(EO50,数出表_Excel!$A:$A,0)-1&amp;"")&lt;&gt;"",0)
),
 "")
&amp;IFERROR(
INDEX(INDIRECT("数出表_Excel!$"&amp;EN50&amp;"5:$AL5"),
 1,
MATCH(TRUE,INDIRECT("'数出表_Excel'!"&amp;EN50&amp;MATCH(EO50,数出表_Excel!$A:$A,0)-1&amp;":AL"&amp;MATCH(EO50,数出表_Excel!$A:$A,0)-1&amp;"")&lt;&gt;"",0)),
 "")),"")))</f>
        <v/>
      </c>
      <c r="ER51" s="108" t="str" cm="1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ISNUMBER(--INDIRECT("'数出表_Excel（アレルギー入力）'!B"&amp;MATCH(EO50,'数出表_Excel（アレルギー入力）'!$A:$A,0)-1&amp;":AL"&amp;MATCH(EO50,'数出表_Excel（アレルギー入力）'!$A:$A,0)-1&amp;"")),0)&gt;10,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117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3"/>
      <c r="EV51" s="104" t="str">
        <f ca="1">AN1</f>
        <v/>
      </c>
      <c r="EW51" s="104" t="str">
        <f ca="1">AN2</f>
        <v/>
      </c>
      <c r="EX51" s="104" t="str">
        <f ca="1">AP2</f>
        <v/>
      </c>
      <c r="EY51" s="105" t="str">
        <f ca="1">AQ2</f>
        <v/>
      </c>
      <c r="EZ51" s="105" t="str">
        <f ca="1">AR2</f>
        <v/>
      </c>
      <c r="FA51" s="104" t="e">
        <f ca="1">AN4</f>
        <v>#VALUE!</v>
      </c>
      <c r="FB51" s="104" t="e">
        <f ca="1">AP4</f>
        <v>#VALUE!</v>
      </c>
      <c r="FC51" s="104" t="str">
        <f ca="1">AN6</f>
        <v/>
      </c>
      <c r="FD51" s="104" t="e">
        <f ca="1">AM7</f>
        <v>#VALUE!</v>
      </c>
      <c r="FE51" s="104" t="str">
        <f ca="1">AO7</f>
        <v/>
      </c>
      <c r="FF51" s="104" t="e">
        <f ca="1">AQ7</f>
        <v>#VALUE!</v>
      </c>
      <c r="FG51" s="103">
        <f t="shared" ca="1" si="3"/>
        <v>0</v>
      </c>
      <c r="FH51" s="103" t="e">
        <f t="array" aca="1" ref="FH51" ca="1">SUMPRODUCT((LEN(EV51:FF51)&gt;0)*1)&gt;0</f>
        <v>#VALUE!</v>
      </c>
      <c r="FI51" s="103" t="str">
        <f t="array" aca="1" ref="FI51" ca="1">IFERROR(SMALL(IF(FG$1:FG$169&lt;&gt;0,FG$1:FG$169),ROW(A51)),"")</f>
        <v/>
      </c>
      <c r="FJ51" s="103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3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3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3" t="str">
        <f t="array" aca="1" ref="FM51" ca="1">IF($FI51&lt;&gt;"",
IF(FL51="",
INDIRECT("EY"&amp;$FI51&amp;"")&amp;"箱"
&amp;INDIRECT("EZ"&amp;$FI51&amp;""),""),"")</f>
        <v/>
      </c>
      <c r="FN51" s="103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3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3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3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3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3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3" customFormat="1" ht="22.2" customHeight="1" x14ac:dyDescent="0.55000000000000004">
      <c r="A52" s="101"/>
      <c r="B52" s="109"/>
      <c r="C52" s="196" t="str">
        <f ca="1">IF(C53&lt;&gt;"","園児","")</f>
        <v/>
      </c>
      <c r="D52" s="196"/>
      <c r="E52" s="200" t="str">
        <f ca="1">IF(C53&lt;&gt;"","先生","")</f>
        <v/>
      </c>
      <c r="F52" s="200"/>
      <c r="G52" s="122"/>
      <c r="H52" s="101"/>
      <c r="I52" s="109"/>
      <c r="J52" s="196" t="str">
        <f ca="1">IF(J53&lt;&gt;"","園児","")</f>
        <v/>
      </c>
      <c r="K52" s="196"/>
      <c r="L52" s="200" t="str">
        <f ca="1">IF(J53&lt;&gt;"","先生","")</f>
        <v/>
      </c>
      <c r="M52" s="200"/>
      <c r="N52" s="118"/>
      <c r="O52" s="101"/>
      <c r="P52" s="101"/>
      <c r="Q52" s="109"/>
      <c r="R52" s="196" t="str">
        <f ca="1">IF(R53&lt;&gt;"","園児","")</f>
        <v/>
      </c>
      <c r="S52" s="196"/>
      <c r="T52" s="200" t="str">
        <f ca="1">IF(R53&lt;&gt;"","先生","")</f>
        <v/>
      </c>
      <c r="U52" s="200"/>
      <c r="V52" s="122"/>
      <c r="W52" s="101"/>
      <c r="X52" s="109"/>
      <c r="Y52" s="196" t="str">
        <f ca="1">IF(Y53&lt;&gt;"","園児","")</f>
        <v/>
      </c>
      <c r="Z52" s="196"/>
      <c r="AA52" s="200" t="str">
        <f ca="1">IF(Y53&lt;&gt;"","先生","")</f>
        <v/>
      </c>
      <c r="AB52" s="200"/>
      <c r="AC52" s="118"/>
      <c r="AD52" s="101"/>
      <c r="AE52" s="101"/>
      <c r="AF52" s="109"/>
      <c r="AG52" s="196" t="str">
        <f ca="1">IF(AG53&lt;&gt;"","園児","")</f>
        <v/>
      </c>
      <c r="AH52" s="196"/>
      <c r="AI52" s="200" t="str">
        <f ca="1">IF(AG53&lt;&gt;"","先生","")</f>
        <v/>
      </c>
      <c r="AJ52" s="200"/>
      <c r="AK52" s="122"/>
      <c r="AL52" s="101"/>
      <c r="AM52" s="109"/>
      <c r="AN52" s="196" t="str">
        <f ca="1">IF(AN53&lt;&gt;"","園児","")</f>
        <v/>
      </c>
      <c r="AO52" s="196"/>
      <c r="AP52" s="200" t="str">
        <f ca="1">IF(AN53&lt;&gt;"","先生","")</f>
        <v/>
      </c>
      <c r="AQ52" s="200"/>
      <c r="AR52" s="118"/>
      <c r="AS52" s="101"/>
      <c r="AT52" s="101"/>
      <c r="AU52" s="109"/>
      <c r="AV52" s="196" t="str">
        <f ca="1">IF(AV53&lt;&gt;"","園児","")</f>
        <v/>
      </c>
      <c r="AW52" s="196"/>
      <c r="AX52" s="200" t="str">
        <f ca="1">IF(AV53&lt;&gt;"","先生","")</f>
        <v/>
      </c>
      <c r="AY52" s="200"/>
      <c r="AZ52" s="122"/>
      <c r="BA52" s="101"/>
      <c r="BB52" s="109"/>
      <c r="BC52" s="196" t="str">
        <f ca="1">IF(BC53&lt;&gt;"","園児","")</f>
        <v/>
      </c>
      <c r="BD52" s="196"/>
      <c r="BE52" s="200" t="str">
        <f ca="1">IF(BC53&lt;&gt;"","先生","")</f>
        <v/>
      </c>
      <c r="BF52" s="200"/>
      <c r="BG52" s="118"/>
      <c r="BH52" s="101"/>
      <c r="BI52" s="101"/>
      <c r="BJ52" s="109"/>
      <c r="BK52" s="196" t="str">
        <f ca="1">IF(BK53&lt;&gt;"","園児","")</f>
        <v/>
      </c>
      <c r="BL52" s="196"/>
      <c r="BM52" s="200" t="str">
        <f ca="1">IF(BK53&lt;&gt;"","先生","")</f>
        <v/>
      </c>
      <c r="BN52" s="200"/>
      <c r="BO52" s="122"/>
      <c r="BP52" s="101"/>
      <c r="BQ52" s="109"/>
      <c r="BR52" s="196" t="str">
        <f ca="1">IF(BR53&lt;&gt;"","園児","")</f>
        <v/>
      </c>
      <c r="BS52" s="196"/>
      <c r="BT52" s="200" t="str">
        <f ca="1">IF(BR53&lt;&gt;"","先生","")</f>
        <v/>
      </c>
      <c r="BU52" s="200"/>
      <c r="BV52" s="118"/>
      <c r="BW52" s="101"/>
      <c r="BX52" s="101"/>
      <c r="BY52" s="109"/>
      <c r="BZ52" s="196" t="str">
        <f ca="1">IF(BZ53&lt;&gt;"","園児","")</f>
        <v/>
      </c>
      <c r="CA52" s="196"/>
      <c r="CB52" s="200" t="str">
        <f ca="1">IF(BZ53&lt;&gt;"","先生","")</f>
        <v/>
      </c>
      <c r="CC52" s="200"/>
      <c r="CD52" s="122"/>
      <c r="CE52" s="101"/>
      <c r="CF52" s="109"/>
      <c r="CG52" s="196" t="str">
        <f ca="1">IF(CG53&lt;&gt;"","園児","")</f>
        <v/>
      </c>
      <c r="CH52" s="196"/>
      <c r="CI52" s="200" t="str">
        <f ca="1">IF(CG53&lt;&gt;"","先生","")</f>
        <v/>
      </c>
      <c r="CJ52" s="200"/>
      <c r="CK52" s="118"/>
      <c r="CL52" s="101"/>
      <c r="CM52" s="101"/>
      <c r="CN52" s="109"/>
      <c r="CO52" s="196" t="str">
        <f ca="1">IF(CO53&lt;&gt;"","園児","")</f>
        <v/>
      </c>
      <c r="CP52" s="196"/>
      <c r="CQ52" s="200" t="str">
        <f ca="1">IF(CO53&lt;&gt;"","先生","")</f>
        <v/>
      </c>
      <c r="CR52" s="200"/>
      <c r="CS52" s="122"/>
      <c r="CT52" s="101"/>
      <c r="CU52" s="109"/>
      <c r="CV52" s="196" t="str">
        <f ca="1">IF(CV53&lt;&gt;"","園児","")</f>
        <v/>
      </c>
      <c r="CW52" s="196"/>
      <c r="CX52" s="200" t="str">
        <f ca="1">IF(CV53&lt;&gt;"","先生","")</f>
        <v/>
      </c>
      <c r="CY52" s="200"/>
      <c r="CZ52" s="118"/>
      <c r="DA52" s="101"/>
      <c r="DB52" s="101"/>
      <c r="DC52" s="109"/>
      <c r="DD52" s="196" t="str">
        <f ca="1">IF(DD53&lt;&gt;"","園児","")</f>
        <v/>
      </c>
      <c r="DE52" s="196"/>
      <c r="DF52" s="200" t="str">
        <f ca="1">IF(DD53&lt;&gt;"","先生","")</f>
        <v/>
      </c>
      <c r="DG52" s="200"/>
      <c r="DH52" s="122"/>
      <c r="DI52" s="101"/>
      <c r="DJ52" s="109"/>
      <c r="DK52" s="196" t="str">
        <f ca="1">IF(DK53&lt;&gt;"","園児","")</f>
        <v/>
      </c>
      <c r="DL52" s="196"/>
      <c r="DM52" s="200" t="str">
        <f ca="1">IF(DK53&lt;&gt;"","先生","")</f>
        <v/>
      </c>
      <c r="DN52" s="200"/>
      <c r="DO52" s="118"/>
      <c r="DP52" s="101"/>
      <c r="DQ52" s="101"/>
      <c r="DR52" s="109"/>
      <c r="DS52" s="196" t="str">
        <f ca="1">IF(DS53&lt;&gt;"","園児","")</f>
        <v/>
      </c>
      <c r="DT52" s="196"/>
      <c r="DU52" s="200" t="str">
        <f ca="1">IF(DS53&lt;&gt;"","先生","")</f>
        <v/>
      </c>
      <c r="DV52" s="200"/>
      <c r="DW52" s="122"/>
      <c r="DX52" s="101"/>
      <c r="DY52" s="109"/>
      <c r="DZ52" s="196" t="str">
        <f ca="1">IF(DZ53&lt;&gt;"","園児","")</f>
        <v/>
      </c>
      <c r="EA52" s="196"/>
      <c r="EB52" s="200" t="str">
        <f ca="1">IF(DZ53&lt;&gt;"","先生","")</f>
        <v/>
      </c>
      <c r="EC52" s="200"/>
      <c r="ED52" s="118"/>
      <c r="EE52" s="101"/>
      <c r="EF52" s="101"/>
      <c r="EG52" s="109"/>
      <c r="EH52" s="196" t="str">
        <f ca="1">IF(EH53&lt;&gt;"","園児","")</f>
        <v/>
      </c>
      <c r="EI52" s="196"/>
      <c r="EJ52" s="200" t="str">
        <f ca="1">IF(EH53&lt;&gt;"","先生","")</f>
        <v/>
      </c>
      <c r="EK52" s="200"/>
      <c r="EL52" s="122"/>
      <c r="EM52" s="101"/>
      <c r="EN52" s="109"/>
      <c r="EO52" s="196" t="str">
        <f ca="1">IF(EO53&lt;&gt;"","園児","")</f>
        <v/>
      </c>
      <c r="EP52" s="196"/>
      <c r="EQ52" s="200" t="str">
        <f ca="1">IF(EO53&lt;&gt;"","先生","")</f>
        <v/>
      </c>
      <c r="ER52" s="200"/>
      <c r="ES52" s="118"/>
      <c r="ET52" s="132"/>
      <c r="EU52" s="103">
        <v>42</v>
      </c>
      <c r="EV52" s="103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3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3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3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3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3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3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3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3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3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3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3">
        <f t="shared" ca="1" si="3"/>
        <v>0</v>
      </c>
      <c r="FH52" s="103" t="b">
        <f t="array" aca="1" ref="FH52" ca="1">SUMPRODUCT((LEN(EV52:FF52)&gt;0)*1)&gt;0</f>
        <v>0</v>
      </c>
      <c r="FI52" s="103" t="str">
        <f t="array" aca="1" ref="FI52" ca="1">IFERROR(SMALL(IF(FG$1:FG$169&lt;&gt;0,FG$1:FG$169),ROW(A52)),"")</f>
        <v/>
      </c>
      <c r="FJ52" s="103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3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3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3" t="str">
        <f t="array" aca="1" ref="FM52" ca="1">IF($FI52&lt;&gt;"",
IF(FL52="",
INDIRECT("EY"&amp;$FI52&amp;"")&amp;"箱"
&amp;INDIRECT("EZ"&amp;$FI52&amp;""),""),"")</f>
        <v/>
      </c>
      <c r="FN52" s="103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3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3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3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3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3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1.05">
      <c r="B53" s="111"/>
      <c r="C53" s="213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13"/>
      <c r="E53" s="218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18"/>
      <c r="G53" s="122"/>
      <c r="I53" s="111"/>
      <c r="J53" s="213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13"/>
      <c r="L53" s="218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18"/>
      <c r="N53" s="118"/>
      <c r="Q53" s="111"/>
      <c r="R53" s="213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13"/>
      <c r="T53" s="218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18"/>
      <c r="V53" s="122"/>
      <c r="X53" s="111"/>
      <c r="Y53" s="213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13"/>
      <c r="AA53" s="218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18"/>
      <c r="AC53" s="118"/>
      <c r="AF53" s="111"/>
      <c r="AG53" s="213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13"/>
      <c r="AI53" s="218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18"/>
      <c r="AK53" s="122"/>
      <c r="AM53" s="111"/>
      <c r="AN53" s="213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13"/>
      <c r="AP53" s="218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18"/>
      <c r="AR53" s="118"/>
      <c r="AU53" s="111"/>
      <c r="AV53" s="213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13"/>
      <c r="AX53" s="218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18"/>
      <c r="AZ53" s="122"/>
      <c r="BB53" s="111"/>
      <c r="BC53" s="213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13"/>
      <c r="BE53" s="218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18"/>
      <c r="BG53" s="118"/>
      <c r="BJ53" s="111"/>
      <c r="BK53" s="213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13"/>
      <c r="BM53" s="218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18"/>
      <c r="BO53" s="122"/>
      <c r="BQ53" s="111"/>
      <c r="BR53" s="213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13"/>
      <c r="BT53" s="218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18"/>
      <c r="BV53" s="118"/>
      <c r="BY53" s="111"/>
      <c r="BZ53" s="213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13"/>
      <c r="CB53" s="218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18"/>
      <c r="CD53" s="122"/>
      <c r="CF53" s="111"/>
      <c r="CG53" s="213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13"/>
      <c r="CI53" s="218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18"/>
      <c r="CK53" s="118"/>
      <c r="CN53" s="111"/>
      <c r="CO53" s="213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13"/>
      <c r="CQ53" s="218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18"/>
      <c r="CS53" s="122"/>
      <c r="CU53" s="111"/>
      <c r="CV53" s="213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13"/>
      <c r="CX53" s="218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18"/>
      <c r="CZ53" s="118"/>
      <c r="DC53" s="111"/>
      <c r="DD53" s="213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13"/>
      <c r="DF53" s="218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18"/>
      <c r="DH53" s="122"/>
      <c r="DJ53" s="111"/>
      <c r="DK53" s="213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13"/>
      <c r="DM53" s="218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18"/>
      <c r="DO53" s="118"/>
      <c r="DR53" s="111"/>
      <c r="DS53" s="213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13"/>
      <c r="DU53" s="218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18"/>
      <c r="DW53" s="122"/>
      <c r="DY53" s="111"/>
      <c r="DZ53" s="213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13"/>
      <c r="EB53" s="218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18"/>
      <c r="ED53" s="118"/>
      <c r="EG53" s="111"/>
      <c r="EH53" s="213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13"/>
      <c r="EJ53" s="218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18"/>
      <c r="EL53" s="122"/>
      <c r="EN53" s="111"/>
      <c r="EO53" s="213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13"/>
      <c r="EQ53" s="218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18"/>
      <c r="ES53" s="118"/>
      <c r="ET53" s="132"/>
      <c r="EU53" s="112">
        <v>7</v>
      </c>
      <c r="EV53" s="103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3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3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3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3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3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3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3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3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3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3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3">
        <f t="shared" ca="1" si="3"/>
        <v>0</v>
      </c>
      <c r="FH53" s="103" t="e">
        <f t="array" aca="1" ref="FH53" ca="1">SUMPRODUCT((LEN(EV53:FF53)&gt;0)*1)&gt;0</f>
        <v>#VALUE!</v>
      </c>
      <c r="FI53" s="103" t="str">
        <f t="array" aca="1" ref="FI53" ca="1">IFERROR(SMALL(IF(FG$1:FG$169&lt;&gt;0,FG$1:FG$169),ROW(A53)),"")</f>
        <v/>
      </c>
      <c r="FJ53" s="103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3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3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3" t="str">
        <f t="array" aca="1" ref="FM53" ca="1">IF($FI53&lt;&gt;"",
IF(FL53="",
INDIRECT("EY"&amp;$FI53&amp;"")&amp;"箱"
&amp;INDIRECT("EZ"&amp;$FI53&amp;""),""),"")</f>
        <v/>
      </c>
      <c r="FN53" s="103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3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3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3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3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3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1.05">
      <c r="B54" s="113"/>
      <c r="C54" s="192"/>
      <c r="D54" s="192"/>
      <c r="E54" s="195"/>
      <c r="F54" s="195"/>
      <c r="G54" s="123" t="str">
        <f ca="1">SUBSTITUTE(SUBSTITUTE(ADDRESS(1,MATCH("おやつ",'数出表_Excel（アレルギー入力）'!$3:$3,0)),1,""),"$","")</f>
        <v>AL</v>
      </c>
      <c r="I54" s="113"/>
      <c r="J54" s="192"/>
      <c r="K54" s="192"/>
      <c r="L54" s="195"/>
      <c r="M54" s="195"/>
      <c r="N54" s="123" t="str">
        <f ca="1">SUBSTITUTE(SUBSTITUTE(ADDRESS(1,MATCH("おやつ",'数出表_Excel（アレルギー入力）'!$3:$3,0)),1,""),"$","")</f>
        <v>AL</v>
      </c>
      <c r="Q54" s="113"/>
      <c r="R54" s="192"/>
      <c r="S54" s="192"/>
      <c r="T54" s="195"/>
      <c r="U54" s="195"/>
      <c r="V54" s="123" t="str">
        <f ca="1">SUBSTITUTE(SUBSTITUTE(ADDRESS(1,MATCH("おやつ",'数出表_Excel（アレルギー入力）'!$3:$3,0)),1,""),"$","")</f>
        <v>AL</v>
      </c>
      <c r="X54" s="113"/>
      <c r="Y54" s="192"/>
      <c r="Z54" s="192"/>
      <c r="AA54" s="195"/>
      <c r="AB54" s="195"/>
      <c r="AC54" s="123" t="str">
        <f ca="1">SUBSTITUTE(SUBSTITUTE(ADDRESS(1,MATCH("おやつ",'数出表_Excel（アレルギー入力）'!$3:$3,0)),1,""),"$","")</f>
        <v>AL</v>
      </c>
      <c r="AF54" s="113"/>
      <c r="AG54" s="192"/>
      <c r="AH54" s="192"/>
      <c r="AI54" s="195"/>
      <c r="AJ54" s="195"/>
      <c r="AK54" s="123" t="str">
        <f ca="1">SUBSTITUTE(SUBSTITUTE(ADDRESS(1,MATCH("おやつ",'数出表_Excel（アレルギー入力）'!$3:$3,0)),1,""),"$","")</f>
        <v>AL</v>
      </c>
      <c r="AM54" s="113"/>
      <c r="AN54" s="192"/>
      <c r="AO54" s="192"/>
      <c r="AP54" s="195"/>
      <c r="AQ54" s="195"/>
      <c r="AR54" s="123" t="str">
        <f ca="1">SUBSTITUTE(SUBSTITUTE(ADDRESS(1,MATCH("おやつ",'数出表_Excel（アレルギー入力）'!$3:$3,0)),1,""),"$","")</f>
        <v>AL</v>
      </c>
      <c r="AU54" s="113"/>
      <c r="AV54" s="192"/>
      <c r="AW54" s="192"/>
      <c r="AX54" s="195"/>
      <c r="AY54" s="195"/>
      <c r="AZ54" s="123" t="str">
        <f ca="1">SUBSTITUTE(SUBSTITUTE(ADDRESS(1,MATCH("おやつ",'数出表_Excel（アレルギー入力）'!$3:$3,0)),1,""),"$","")</f>
        <v>AL</v>
      </c>
      <c r="BB54" s="113"/>
      <c r="BC54" s="192"/>
      <c r="BD54" s="192"/>
      <c r="BE54" s="195"/>
      <c r="BF54" s="195"/>
      <c r="BG54" s="123" t="str">
        <f ca="1">SUBSTITUTE(SUBSTITUTE(ADDRESS(1,MATCH("おやつ",'数出表_Excel（アレルギー入力）'!$3:$3,0)),1,""),"$","")</f>
        <v>AL</v>
      </c>
      <c r="BJ54" s="113"/>
      <c r="BK54" s="192"/>
      <c r="BL54" s="192"/>
      <c r="BM54" s="195"/>
      <c r="BN54" s="195"/>
      <c r="BO54" s="123" t="str">
        <f ca="1">SUBSTITUTE(SUBSTITUTE(ADDRESS(1,MATCH("おやつ",'数出表_Excel（アレルギー入力）'!$3:$3,0)),1,""),"$","")</f>
        <v>AL</v>
      </c>
      <c r="BQ54" s="113"/>
      <c r="BR54" s="192"/>
      <c r="BS54" s="192"/>
      <c r="BT54" s="195"/>
      <c r="BU54" s="195"/>
      <c r="BV54" s="123" t="str">
        <f ca="1">SUBSTITUTE(SUBSTITUTE(ADDRESS(1,MATCH("おやつ",'数出表_Excel（アレルギー入力）'!$3:$3,0)),1,""),"$","")</f>
        <v>AL</v>
      </c>
      <c r="BY54" s="113"/>
      <c r="BZ54" s="192"/>
      <c r="CA54" s="192"/>
      <c r="CB54" s="195"/>
      <c r="CC54" s="195"/>
      <c r="CD54" s="123" t="str">
        <f ca="1">SUBSTITUTE(SUBSTITUTE(ADDRESS(1,MATCH("おやつ",'数出表_Excel（アレルギー入力）'!$3:$3,0)),1,""),"$","")</f>
        <v>AL</v>
      </c>
      <c r="CF54" s="113"/>
      <c r="CG54" s="192"/>
      <c r="CH54" s="192"/>
      <c r="CI54" s="195"/>
      <c r="CJ54" s="195"/>
      <c r="CK54" s="123" t="str">
        <f ca="1">SUBSTITUTE(SUBSTITUTE(ADDRESS(1,MATCH("おやつ",'数出表_Excel（アレルギー入力）'!$3:$3,0)),1,""),"$","")</f>
        <v>AL</v>
      </c>
      <c r="CN54" s="113"/>
      <c r="CO54" s="192"/>
      <c r="CP54" s="192"/>
      <c r="CQ54" s="195"/>
      <c r="CR54" s="195"/>
      <c r="CS54" s="123" t="str">
        <f ca="1">SUBSTITUTE(SUBSTITUTE(ADDRESS(1,MATCH("おやつ",'数出表_Excel（アレルギー入力）'!$3:$3,0)),1,""),"$","")</f>
        <v>AL</v>
      </c>
      <c r="CU54" s="113"/>
      <c r="CV54" s="192"/>
      <c r="CW54" s="192"/>
      <c r="CX54" s="195"/>
      <c r="CY54" s="195"/>
      <c r="CZ54" s="123" t="str">
        <f ca="1">SUBSTITUTE(SUBSTITUTE(ADDRESS(1,MATCH("おやつ",'数出表_Excel（アレルギー入力）'!$3:$3,0)),1,""),"$","")</f>
        <v>AL</v>
      </c>
      <c r="DC54" s="113"/>
      <c r="DD54" s="192"/>
      <c r="DE54" s="192"/>
      <c r="DF54" s="195"/>
      <c r="DG54" s="195"/>
      <c r="DH54" s="123" t="str">
        <f ca="1">SUBSTITUTE(SUBSTITUTE(ADDRESS(1,MATCH("おやつ",'数出表_Excel（アレルギー入力）'!$3:$3,0)),1,""),"$","")</f>
        <v>AL</v>
      </c>
      <c r="DJ54" s="113"/>
      <c r="DK54" s="192"/>
      <c r="DL54" s="192"/>
      <c r="DM54" s="195"/>
      <c r="DN54" s="195"/>
      <c r="DO54" s="123" t="str">
        <f ca="1">SUBSTITUTE(SUBSTITUTE(ADDRESS(1,MATCH("おやつ",'数出表_Excel（アレルギー入力）'!$3:$3,0)),1,""),"$","")</f>
        <v>AL</v>
      </c>
      <c r="DR54" s="113"/>
      <c r="DS54" s="192"/>
      <c r="DT54" s="192"/>
      <c r="DU54" s="195"/>
      <c r="DV54" s="195"/>
      <c r="DW54" s="123" t="str">
        <f ca="1">SUBSTITUTE(SUBSTITUTE(ADDRESS(1,MATCH("おやつ",'数出表_Excel（アレルギー入力）'!$3:$3,0)),1,""),"$","")</f>
        <v>AL</v>
      </c>
      <c r="DY54" s="113"/>
      <c r="DZ54" s="192"/>
      <c r="EA54" s="192"/>
      <c r="EB54" s="195"/>
      <c r="EC54" s="195"/>
      <c r="ED54" s="123" t="str">
        <f ca="1">SUBSTITUTE(SUBSTITUTE(ADDRESS(1,MATCH("おやつ",'数出表_Excel（アレルギー入力）'!$3:$3,0)),1,""),"$","")</f>
        <v>AL</v>
      </c>
      <c r="EG54" s="113"/>
      <c r="EH54" s="192"/>
      <c r="EI54" s="192"/>
      <c r="EJ54" s="195"/>
      <c r="EK54" s="195"/>
      <c r="EL54" s="123" t="str">
        <f ca="1">SUBSTITUTE(SUBSTITUTE(ADDRESS(1,MATCH("おやつ",'数出表_Excel（アレルギー入力）'!$3:$3,0)),1,""),"$","")</f>
        <v>AL</v>
      </c>
      <c r="EN54" s="113"/>
      <c r="EO54" s="192"/>
      <c r="EP54" s="192"/>
      <c r="EQ54" s="195"/>
      <c r="ER54" s="195"/>
      <c r="ES54" s="123" t="str">
        <f ca="1">SUBSTITUTE(SUBSTITUTE(ADDRESS(1,MATCH("おやつ",'数出表_Excel（アレルギー入力）'!$3:$3,0)),1,""),"$","")</f>
        <v>AL</v>
      </c>
      <c r="ET54" s="132"/>
      <c r="EU54" s="103">
        <f>EU50+7</f>
        <v>49</v>
      </c>
      <c r="EV54" s="103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3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3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3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3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3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3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3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3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3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3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3">
        <f t="shared" ca="1" si="3"/>
        <v>0</v>
      </c>
      <c r="FH54" s="103" t="b">
        <f t="array" aca="1" ref="FH54" ca="1">SUMPRODUCT((LEN(EV54:FF54)&gt;0)*1)&gt;0</f>
        <v>0</v>
      </c>
      <c r="FI54" s="103" t="str">
        <f t="array" aca="1" ref="FI54" ca="1">IFERROR(SMALL(IF(FG$1:FG$169&lt;&gt;0,FG$1:FG$169),ROW(A54)),"")</f>
        <v/>
      </c>
      <c r="FJ54" s="103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3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3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3" t="str">
        <f t="array" aca="1" ref="FM54" ca="1">IF($FI54&lt;&gt;"",
IF(FL54="",
INDIRECT("EY"&amp;$FI54&amp;"")&amp;"箱"
&amp;INDIRECT("EZ"&amp;$FI54&amp;""),""),"")</f>
        <v/>
      </c>
      <c r="FN54" s="103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3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3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3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3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3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3" customFormat="1" ht="22.2" customHeight="1" x14ac:dyDescent="0.55000000000000004">
      <c r="A55" s="101"/>
      <c r="B55" s="114" t="str">
        <f ca="1">IF(C53&lt;&gt;"","パン箱","")</f>
        <v/>
      </c>
      <c r="C55" s="115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14" t="str">
        <f ca="1">IF(C53&lt;&gt;"","　端数","")</f>
        <v/>
      </c>
      <c r="E55" s="115"/>
      <c r="F55" s="114" t="str">
        <f ca="1">IF(C53&lt;&gt;"","アレルギー","")</f>
        <v/>
      </c>
      <c r="G55" s="122"/>
      <c r="H55" s="101"/>
      <c r="I55" s="114" t="str">
        <f ca="1">IF(J53&lt;&gt;"","パン箱","")</f>
        <v/>
      </c>
      <c r="J55" s="115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14" t="str">
        <f ca="1">IF(J53&lt;&gt;"","　端数","")</f>
        <v/>
      </c>
      <c r="L55" s="115"/>
      <c r="M55" s="114" t="str">
        <f ca="1">IF(J53&lt;&gt;"","アレルギー","")</f>
        <v/>
      </c>
      <c r="N55" s="118"/>
      <c r="O55" s="101"/>
      <c r="P55" s="101"/>
      <c r="Q55" s="114" t="str">
        <f ca="1">IF(R53&lt;&gt;"","パン箱","")</f>
        <v/>
      </c>
      <c r="R55" s="115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4" t="str">
        <f ca="1">IF(R53&lt;&gt;"","　端数","")</f>
        <v/>
      </c>
      <c r="T55" s="115"/>
      <c r="U55" s="114" t="str">
        <f ca="1">IF(R53&lt;&gt;"","アレルギー","")</f>
        <v/>
      </c>
      <c r="V55" s="122"/>
      <c r="W55" s="101"/>
      <c r="X55" s="114" t="str">
        <f ca="1">IF(Y53&lt;&gt;"","パン箱","")</f>
        <v/>
      </c>
      <c r="Y55" s="115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4" t="str">
        <f ca="1">IF(Y53&lt;&gt;"","　端数","")</f>
        <v/>
      </c>
      <c r="AA55" s="115"/>
      <c r="AB55" s="114" t="str">
        <f ca="1">IF(Y53&lt;&gt;"","アレルギー","")</f>
        <v/>
      </c>
      <c r="AC55" s="118"/>
      <c r="AD55" s="101"/>
      <c r="AE55" s="101"/>
      <c r="AF55" s="114" t="str">
        <f ca="1">IF(AG53&lt;&gt;"","パン箱","")</f>
        <v/>
      </c>
      <c r="AG55" s="115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4" t="str">
        <f ca="1">IF(AG53&lt;&gt;"","　端数","")</f>
        <v/>
      </c>
      <c r="AI55" s="115"/>
      <c r="AJ55" s="114" t="str">
        <f ca="1">IF(AG53&lt;&gt;"","アレルギー","")</f>
        <v/>
      </c>
      <c r="AK55" s="122"/>
      <c r="AL55" s="101"/>
      <c r="AM55" s="114" t="str">
        <f ca="1">IF(AN53&lt;&gt;"","パン箱","")</f>
        <v/>
      </c>
      <c r="AN55" s="115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4" t="str">
        <f ca="1">IF(AN53&lt;&gt;"","　端数","")</f>
        <v/>
      </c>
      <c r="AP55" s="115"/>
      <c r="AQ55" s="114" t="str">
        <f ca="1">IF(AN53&lt;&gt;"","アレルギー","")</f>
        <v/>
      </c>
      <c r="AR55" s="118"/>
      <c r="AS55" s="101"/>
      <c r="AT55" s="101"/>
      <c r="AU55" s="114" t="str">
        <f ca="1">IF(AV53&lt;&gt;"","パン箱","")</f>
        <v/>
      </c>
      <c r="AV55" s="115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4" t="str">
        <f ca="1">IF(AV53&lt;&gt;"","　端数","")</f>
        <v/>
      </c>
      <c r="AX55" s="115"/>
      <c r="AY55" s="114" t="str">
        <f ca="1">IF(AV53&lt;&gt;"","アレルギー","")</f>
        <v/>
      </c>
      <c r="AZ55" s="122"/>
      <c r="BA55" s="101"/>
      <c r="BB55" s="114" t="str">
        <f ca="1">IF(BC53&lt;&gt;"","パン箱","")</f>
        <v/>
      </c>
      <c r="BC55" s="115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4" t="str">
        <f ca="1">IF(BC53&lt;&gt;"","　端数","")</f>
        <v/>
      </c>
      <c r="BE55" s="115"/>
      <c r="BF55" s="114" t="str">
        <f ca="1">IF(BC53&lt;&gt;"","アレルギー","")</f>
        <v/>
      </c>
      <c r="BG55" s="118"/>
      <c r="BH55" s="101"/>
      <c r="BI55" s="101"/>
      <c r="BJ55" s="114" t="str">
        <f ca="1">IF(BK53&lt;&gt;"","パン箱","")</f>
        <v/>
      </c>
      <c r="BK55" s="115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4" t="str">
        <f ca="1">IF(BK53&lt;&gt;"","　端数","")</f>
        <v/>
      </c>
      <c r="BM55" s="115"/>
      <c r="BN55" s="114" t="str">
        <f ca="1">IF(BK53&lt;&gt;"","アレルギー","")</f>
        <v/>
      </c>
      <c r="BO55" s="122"/>
      <c r="BP55" s="101"/>
      <c r="BQ55" s="114" t="str">
        <f ca="1">IF(BR53&lt;&gt;"","パン箱","")</f>
        <v/>
      </c>
      <c r="BR55" s="115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4" t="str">
        <f ca="1">IF(BR53&lt;&gt;"","　端数","")</f>
        <v/>
      </c>
      <c r="BT55" s="115"/>
      <c r="BU55" s="114" t="str">
        <f ca="1">IF(BR53&lt;&gt;"","アレルギー","")</f>
        <v/>
      </c>
      <c r="BV55" s="118"/>
      <c r="BW55" s="101"/>
      <c r="BX55" s="101"/>
      <c r="BY55" s="114" t="str">
        <f ca="1">IF(BZ53&lt;&gt;"","パン箱","")</f>
        <v/>
      </c>
      <c r="BZ55" s="115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4" t="str">
        <f ca="1">IF(BZ53&lt;&gt;"","　端数","")</f>
        <v/>
      </c>
      <c r="CB55" s="115"/>
      <c r="CC55" s="114" t="str">
        <f ca="1">IF(BZ53&lt;&gt;"","アレルギー","")</f>
        <v/>
      </c>
      <c r="CD55" s="122"/>
      <c r="CE55" s="101"/>
      <c r="CF55" s="114" t="str">
        <f ca="1">IF(CG53&lt;&gt;"","パン箱","")</f>
        <v/>
      </c>
      <c r="CG55" s="115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4" t="str">
        <f ca="1">IF(CG53&lt;&gt;"","　端数","")</f>
        <v/>
      </c>
      <c r="CI55" s="115"/>
      <c r="CJ55" s="114" t="str">
        <f ca="1">IF(CG53&lt;&gt;"","アレルギー","")</f>
        <v/>
      </c>
      <c r="CK55" s="118"/>
      <c r="CL55" s="101"/>
      <c r="CM55" s="101"/>
      <c r="CN55" s="114" t="str">
        <f ca="1">IF(CO53&lt;&gt;"","パン箱","")</f>
        <v/>
      </c>
      <c r="CO55" s="115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4" t="str">
        <f ca="1">IF(CO53&lt;&gt;"","　端数","")</f>
        <v/>
      </c>
      <c r="CQ55" s="115"/>
      <c r="CR55" s="114" t="str">
        <f ca="1">IF(CO53&lt;&gt;"","アレルギー","")</f>
        <v/>
      </c>
      <c r="CS55" s="122"/>
      <c r="CT55" s="101"/>
      <c r="CU55" s="114" t="str">
        <f ca="1">IF(CV53&lt;&gt;"","パン箱","")</f>
        <v/>
      </c>
      <c r="CV55" s="115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4" t="str">
        <f ca="1">IF(CV53&lt;&gt;"","　端数","")</f>
        <v/>
      </c>
      <c r="CX55" s="115"/>
      <c r="CY55" s="114" t="str">
        <f ca="1">IF(CV53&lt;&gt;"","アレルギー","")</f>
        <v/>
      </c>
      <c r="CZ55" s="118"/>
      <c r="DA55" s="101"/>
      <c r="DB55" s="101"/>
      <c r="DC55" s="114" t="str">
        <f ca="1">IF(DD53&lt;&gt;"","パン箱","")</f>
        <v/>
      </c>
      <c r="DD55" s="115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4" t="str">
        <f ca="1">IF(DD53&lt;&gt;"","　端数","")</f>
        <v/>
      </c>
      <c r="DF55" s="115"/>
      <c r="DG55" s="114" t="str">
        <f ca="1">IF(DD53&lt;&gt;"","アレルギー","")</f>
        <v/>
      </c>
      <c r="DH55" s="122"/>
      <c r="DI55" s="101"/>
      <c r="DJ55" s="114" t="str">
        <f ca="1">IF(DK53&lt;&gt;"","パン箱","")</f>
        <v/>
      </c>
      <c r="DK55" s="115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4" t="str">
        <f ca="1">IF(DK53&lt;&gt;"","　端数","")</f>
        <v/>
      </c>
      <c r="DM55" s="115"/>
      <c r="DN55" s="114" t="str">
        <f ca="1">IF(DK53&lt;&gt;"","アレルギー","")</f>
        <v/>
      </c>
      <c r="DO55" s="118"/>
      <c r="DP55" s="101"/>
      <c r="DQ55" s="101"/>
      <c r="DR55" s="114" t="str">
        <f ca="1">IF(DS53&lt;&gt;"","パン箱","")</f>
        <v/>
      </c>
      <c r="DS55" s="115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4" t="str">
        <f ca="1">IF(DS53&lt;&gt;"","　端数","")</f>
        <v/>
      </c>
      <c r="DU55" s="115"/>
      <c r="DV55" s="114" t="str">
        <f ca="1">IF(DS53&lt;&gt;"","アレルギー","")</f>
        <v/>
      </c>
      <c r="DW55" s="122"/>
      <c r="DX55" s="101"/>
      <c r="DY55" s="114" t="str">
        <f ca="1">IF(DZ53&lt;&gt;"","パン箱","")</f>
        <v/>
      </c>
      <c r="DZ55" s="115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4" t="str">
        <f ca="1">IF(DZ53&lt;&gt;"","　端数","")</f>
        <v/>
      </c>
      <c r="EB55" s="115"/>
      <c r="EC55" s="114" t="str">
        <f ca="1">IF(DZ53&lt;&gt;"","アレルギー","")</f>
        <v/>
      </c>
      <c r="ED55" s="118"/>
      <c r="EE55" s="101"/>
      <c r="EF55" s="101"/>
      <c r="EG55" s="114" t="str">
        <f ca="1">IF(EH53&lt;&gt;"","パン箱","")</f>
        <v/>
      </c>
      <c r="EH55" s="115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114" t="str">
        <f ca="1">IF(EH53&lt;&gt;"","　端数","")</f>
        <v/>
      </c>
      <c r="EJ55" s="115"/>
      <c r="EK55" s="114" t="str">
        <f ca="1">IF(EH53&lt;&gt;"","アレルギー","")</f>
        <v/>
      </c>
      <c r="EL55" s="122"/>
      <c r="EM55" s="101"/>
      <c r="EN55" s="114" t="str">
        <f ca="1">IF(EO53&lt;&gt;"","パン箱","")</f>
        <v/>
      </c>
      <c r="EO55" s="115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114" t="str">
        <f ca="1">IF(EO53&lt;&gt;"","　端数","")</f>
        <v/>
      </c>
      <c r="EQ55" s="115"/>
      <c r="ER55" s="114" t="str">
        <f ca="1">IF(EO53&lt;&gt;"","アレルギー","")</f>
        <v/>
      </c>
      <c r="ES55" s="118"/>
      <c r="ET55" s="132"/>
      <c r="EU55" s="103">
        <v>7</v>
      </c>
      <c r="EV55" s="103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3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3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3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3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3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3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3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3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3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3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3">
        <f t="shared" ca="1" si="3"/>
        <v>0</v>
      </c>
      <c r="FH55" s="103" t="e">
        <f t="array" aca="1" ref="FH55" ca="1">SUMPRODUCT((LEN(EV55:FF55)&gt;0)*1)&gt;0</f>
        <v>#VALUE!</v>
      </c>
      <c r="FI55" s="103" t="str">
        <f t="array" aca="1" ref="FI55" ca="1">IFERROR(SMALL(IF(FG$1:FG$169&lt;&gt;0,FG$1:FG$169),ROW(A55)),"")</f>
        <v/>
      </c>
      <c r="FJ55" s="103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3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3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3" t="str">
        <f t="array" aca="1" ref="FM55" ca="1">IF($FI55&lt;&gt;"",
IF(FL55="",
INDIRECT("EY"&amp;$FI55&amp;"")&amp;"箱"
&amp;INDIRECT("EZ"&amp;$FI55&amp;""),""),"")</f>
        <v/>
      </c>
      <c r="FN55" s="103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3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3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3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3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3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214" t="str">
        <f ca="1">IF(C53&lt;&gt;"",
IFERROR(INT(C53/C55),""),"")</f>
        <v/>
      </c>
      <c r="C56" s="215"/>
      <c r="D56" s="214" t="str">
        <f ca="1">IFERROR(MOD(C53,C55),"")</f>
        <v/>
      </c>
      <c r="E56" s="215"/>
      <c r="F56" s="216" t="str" cm="1">
        <f t="array" aca="1" ref="F56" ca="1">IF(C50&lt;&gt;"",
IF(IFERROR(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MATCH(C53,INDIRECT("'数出表_Excel（アレルギー入力）'!"&amp;B50&amp;MATCH(G8,'数出表_Excel（アレルギー入力）'!$A:$A,0)-1&amp;":"&amp;G54&amp;MATCH(G8,'数出表_Excel（アレルギー入力）'!$A:$A,0)-1&amp;""),0)+1),
 "")&lt;&gt;0,
IF(IFERROR(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MATCH(C53,INDIRECT("'数出表_Excel（アレルギー入力）'!"&amp;B50&amp;MATCH(G8,'数出表_Excel（アレルギー入力）'!$A:$A,0)-1&amp;":"&amp;G54&amp;MATCH(G8,'数出表_Excel（アレルギー入力）'!$A:$A,0)-1&amp;""),0)+1),
 "")="",
IFERROR(
INDEX(INDIRECT("'数出表_Excel（アレルギー入力）'!B"&amp;MATCH(G8,'数出表_Excel（アレルギー入力）'!$A:$A,0)-1&amp;":"&amp;G54&amp;MATCH(G8,'数出表_Excel（アレルギー入力）'!$A:$A,0)-1&amp;""),
 1,
MATCH(TRUE,INDEX(INDIRECT("'数出表_Excel（アレルギー入力）'!"&amp;B50&amp;MATCH(G8,'数出表_Excel（アレルギー入力）'!$A:$A,0)-1&amp;":"&amp;G54&amp;MATCH(G8,'数出表_Excel（アレルギー入力）'!$A:$A,0)-1&amp;"")&lt;&gt;"",0),0)+1),
 ""),
IFERROR(
INDEX(INDIRECT("'数出表_Excel（アレルギー入力）'!"&amp;B50&amp;MATCH(G8,'数出表_Excel（アレルギー入力）'!$A:$A,0)-1&amp;":"&amp;G54&amp;MATCH(G8,'数出表_Excel（アレルギー入力）'!$A:$A,0)-1&amp;""),
 1,
MATCH(C53,INDIRECT("'数出表_Excel（アレルギー入力）'!"&amp;B50&amp;MATCH(G8,'数出表_Excel（アレルギー入力）'!$A:$A,0)-1&amp;":"&amp;G54&amp;MATCH(G8,'数出表_Excel（アレルギー入力）'!$A:$A,0)-1&amp;""),0)+1),
 "")),0),"")</f>
        <v/>
      </c>
      <c r="G56" s="217"/>
      <c r="I56" s="214" t="str">
        <f ca="1">IF(J53&lt;&gt;"",
IFERROR(INT(J53/J55),""),"")</f>
        <v/>
      </c>
      <c r="J56" s="215"/>
      <c r="K56" s="214" t="str">
        <f ca="1">IFERROR(MOD(J53,J55),"")</f>
        <v/>
      </c>
      <c r="L56" s="215"/>
      <c r="M56" s="216" t="str" cm="1">
        <f t="array" aca="1" ref="M56" ca="1">IF(J50&lt;&gt;"",
IF(IFERROR(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MATCH(J53,INDIRECT("'数出表_Excel（アレルギー入力）'!"&amp;I50&amp;MATCH(N8,'数出表_Excel（アレルギー入力）'!$A:$A,0)-1&amp;":"&amp;N54&amp;MATCH(N8,'数出表_Excel（アレルギー入力）'!$A:$A,0)-1&amp;""),0)+1),
 "")&lt;&gt;0,
IF(IFERROR(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MATCH(J53,INDIRECT("'数出表_Excel（アレルギー入力）'!"&amp;I50&amp;MATCH(N8,'数出表_Excel（アレルギー入力）'!$A:$A,0)-1&amp;":"&amp;N54&amp;MATCH(N8,'数出表_Excel（アレルギー入力）'!$A:$A,0)-1&amp;""),0)+1),
 "")="",
IFERROR(
INDEX(INDIRECT("'数出表_Excel（アレルギー入力）'!B"&amp;MATCH(N8,'数出表_Excel（アレルギー入力）'!$A:$A,0)-1&amp;":"&amp;N54&amp;MATCH(N8,'数出表_Excel（アレルギー入力）'!$A:$A,0)-1&amp;""),
 1,
MATCH(TRUE,INDEX(INDIRECT("'数出表_Excel（アレルギー入力）'!"&amp;I50&amp;MATCH(N8,'数出表_Excel（アレルギー入力）'!$A:$A,0)-1&amp;":"&amp;N54&amp;MATCH(N8,'数出表_Excel（アレルギー入力）'!$A:$A,0)-1&amp;"")&lt;&gt;"",0),0)+1),
 ""),
IFERROR(
INDEX(INDIRECT("'数出表_Excel（アレルギー入力）'!"&amp;I50&amp;MATCH(N8,'数出表_Excel（アレルギー入力）'!$A:$A,0)-1&amp;":"&amp;N54&amp;MATCH(N8,'数出表_Excel（アレルギー入力）'!$A:$A,0)-1&amp;""),
 1,
MATCH(J53,INDIRECT("'数出表_Excel（アレルギー入力）'!"&amp;I50&amp;MATCH(N8,'数出表_Excel（アレルギー入力）'!$A:$A,0)-1&amp;":"&amp;N54&amp;MATCH(N8,'数出表_Excel（アレルギー入力）'!$A:$A,0)-1&amp;""),0)+1),
 "")),0),"")</f>
        <v/>
      </c>
      <c r="N56" s="217"/>
      <c r="Q56" s="214" t="str">
        <f ca="1">IF(R53&lt;&gt;"",
IFERROR(INT(R53/R55),""),"")</f>
        <v/>
      </c>
      <c r="R56" s="215"/>
      <c r="S56" s="214" t="str">
        <f ca="1">IFERROR(MOD(R53,R55),"")</f>
        <v/>
      </c>
      <c r="T56" s="215"/>
      <c r="U56" s="216" t="str" cm="1">
        <f t="array" aca="1" ref="U56" ca="1">IF(R50&lt;&gt;"",
IF(IFERROR(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MATCH(R53,INDIRECT("'数出表_Excel（アレルギー入力）'!"&amp;Q50&amp;MATCH(V8,'数出表_Excel（アレルギー入力）'!$A:$A,0)-1&amp;":"&amp;V54&amp;MATCH(V8,'数出表_Excel（アレルギー入力）'!$A:$A,0)-1&amp;""),0)+1),
 "")&lt;&gt;0,
IF(IFERROR(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MATCH(R53,INDIRECT("'数出表_Excel（アレルギー入力）'!"&amp;Q50&amp;MATCH(V8,'数出表_Excel（アレルギー入力）'!$A:$A,0)-1&amp;":"&amp;V54&amp;MATCH(V8,'数出表_Excel（アレルギー入力）'!$A:$A,0)-1&amp;""),0)+1),
 "")="",
IFERROR(
INDEX(INDIRECT("'数出表_Excel（アレルギー入力）'!B"&amp;MATCH(V8,'数出表_Excel（アレルギー入力）'!$A:$A,0)-1&amp;":"&amp;V54&amp;MATCH(V8,'数出表_Excel（アレルギー入力）'!$A:$A,0)-1&amp;""),
 1,
MATCH(TRUE,INDEX(INDIRECT("'数出表_Excel（アレルギー入力）'!"&amp;Q50&amp;MATCH(V8,'数出表_Excel（アレルギー入力）'!$A:$A,0)-1&amp;":"&amp;V54&amp;MATCH(V8,'数出表_Excel（アレルギー入力）'!$A:$A,0)-1&amp;"")&lt;&gt;"",0),0)+1),
 ""),
IFERROR(
INDEX(INDIRECT("'数出表_Excel（アレルギー入力）'!"&amp;Q50&amp;MATCH(V8,'数出表_Excel（アレルギー入力）'!$A:$A,0)-1&amp;":"&amp;V54&amp;MATCH(V8,'数出表_Excel（アレルギー入力）'!$A:$A,0)-1&amp;""),
 1,
MATCH(R53,INDIRECT("'数出表_Excel（アレルギー入力）'!"&amp;Q50&amp;MATCH(V8,'数出表_Excel（アレルギー入力）'!$A:$A,0)-1&amp;":"&amp;V54&amp;MATCH(V8,'数出表_Excel（アレルギー入力）'!$A:$A,0)-1&amp;""),0)+1),
 "")),0),"")</f>
        <v/>
      </c>
      <c r="V56" s="217"/>
      <c r="X56" s="214" t="str">
        <f ca="1">IF(Y53&lt;&gt;"",
IFERROR(INT(Y53/Y55),""),"")</f>
        <v/>
      </c>
      <c r="Y56" s="215"/>
      <c r="Z56" s="214" t="str">
        <f ca="1">IFERROR(MOD(Y53,Y55),"")</f>
        <v/>
      </c>
      <c r="AA56" s="215"/>
      <c r="AB56" s="216" t="str" cm="1">
        <f t="array" aca="1" ref="AB56" ca="1">IF(Y50&lt;&gt;"",
IF(IFERROR(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MATCH(Y53,INDIRECT("'数出表_Excel（アレルギー入力）'!"&amp;X50&amp;MATCH(AC8,'数出表_Excel（アレルギー入力）'!$A:$A,0)-1&amp;":"&amp;AC54&amp;MATCH(AC8,'数出表_Excel（アレルギー入力）'!$A:$A,0)-1&amp;""),0)+1),
 "")&lt;&gt;0,
IF(IFERROR(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MATCH(Y53,INDIRECT("'数出表_Excel（アレルギー入力）'!"&amp;X50&amp;MATCH(AC8,'数出表_Excel（アレルギー入力）'!$A:$A,0)-1&amp;":"&amp;AC54&amp;MATCH(AC8,'数出表_Excel（アレルギー入力）'!$A:$A,0)-1&amp;""),0)+1),
 "")="",
IFERROR(
INDEX(INDIRECT("'数出表_Excel（アレルギー入力）'!B"&amp;MATCH(AC8,'数出表_Excel（アレルギー入力）'!$A:$A,0)-1&amp;":"&amp;AC54&amp;MATCH(AC8,'数出表_Excel（アレルギー入力）'!$A:$A,0)-1&amp;""),
 1,
MATCH(TRUE,INDEX(INDIRECT("'数出表_Excel（アレルギー入力）'!"&amp;X50&amp;MATCH(AC8,'数出表_Excel（アレルギー入力）'!$A:$A,0)-1&amp;":"&amp;AC54&amp;MATCH(AC8,'数出表_Excel（アレルギー入力）'!$A:$A,0)-1&amp;"")&lt;&gt;"",0),0)+1),
 ""),
IFERROR(
INDEX(INDIRECT("'数出表_Excel（アレルギー入力）'!"&amp;X50&amp;MATCH(AC8,'数出表_Excel（アレルギー入力）'!$A:$A,0)-1&amp;":"&amp;AC54&amp;MATCH(AC8,'数出表_Excel（アレルギー入力）'!$A:$A,0)-1&amp;""),
 1,
MATCH(Y53,INDIRECT("'数出表_Excel（アレルギー入力）'!"&amp;X50&amp;MATCH(AC8,'数出表_Excel（アレルギー入力）'!$A:$A,0)-1&amp;":"&amp;AC54&amp;MATCH(AC8,'数出表_Excel（アレルギー入力）'!$A:$A,0)-1&amp;""),0)+1),
 "")),0),"")</f>
        <v/>
      </c>
      <c r="AC56" s="217"/>
      <c r="AF56" s="214" t="str">
        <f ca="1">IF(AG53&lt;&gt;"",
IFERROR(INT(AG53/AG55),""),"")</f>
        <v/>
      </c>
      <c r="AG56" s="215"/>
      <c r="AH56" s="214" t="str">
        <f ca="1">IFERROR(MOD(AG53,AG55),"")</f>
        <v/>
      </c>
      <c r="AI56" s="215"/>
      <c r="AJ56" s="216" t="str" cm="1">
        <f t="array" aca="1" ref="AJ56" ca="1">IF(AG50&lt;&gt;"",
IF(IFERROR(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MATCH(AG53,INDIRECT("'数出表_Excel（アレルギー入力）'!"&amp;AF50&amp;MATCH(AK8,'数出表_Excel（アレルギー入力）'!$A:$A,0)-1&amp;":"&amp;AK54&amp;MATCH(AK8,'数出表_Excel（アレルギー入力）'!$A:$A,0)-1&amp;""),0)+1),
 "")&lt;&gt;0,
IF(IFERROR(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MATCH(AG53,INDIRECT("'数出表_Excel（アレルギー入力）'!"&amp;AF50&amp;MATCH(AK8,'数出表_Excel（アレルギー入力）'!$A:$A,0)-1&amp;":"&amp;AK54&amp;MATCH(AK8,'数出表_Excel（アレルギー入力）'!$A:$A,0)-1&amp;""),0)+1),
 "")="",
IFERROR(
INDEX(INDIRECT("'数出表_Excel（アレルギー入力）'!B"&amp;MATCH(AK8,'数出表_Excel（アレルギー入力）'!$A:$A,0)-1&amp;":"&amp;AK54&amp;MATCH(AK8,'数出表_Excel（アレルギー入力）'!$A:$A,0)-1&amp;""),
 1,
MATCH(TRUE,INDEX(INDIRECT("'数出表_Excel（アレルギー入力）'!"&amp;AF50&amp;MATCH(AK8,'数出表_Excel（アレルギー入力）'!$A:$A,0)-1&amp;":"&amp;AK54&amp;MATCH(AK8,'数出表_Excel（アレルギー入力）'!$A:$A,0)-1&amp;"")&lt;&gt;"",0),0)+1),
 ""),
IFERROR(
INDEX(INDIRECT("'数出表_Excel（アレルギー入力）'!"&amp;AF50&amp;MATCH(AK8,'数出表_Excel（アレルギー入力）'!$A:$A,0)-1&amp;":"&amp;AK54&amp;MATCH(AK8,'数出表_Excel（アレルギー入力）'!$A:$A,0)-1&amp;""),
 1,
MATCH(AG53,INDIRECT("'数出表_Excel（アレルギー入力）'!"&amp;AF50&amp;MATCH(AK8,'数出表_Excel（アレルギー入力）'!$A:$A,0)-1&amp;":"&amp;AK54&amp;MATCH(AK8,'数出表_Excel（アレルギー入力）'!$A:$A,0)-1&amp;""),0)+1),
 "")),0),"")</f>
        <v/>
      </c>
      <c r="AK56" s="217"/>
      <c r="AM56" s="214" t="str">
        <f ca="1">IF(AN53&lt;&gt;"",
IFERROR(INT(AN53/AN55),""),"")</f>
        <v/>
      </c>
      <c r="AN56" s="215"/>
      <c r="AO56" s="214" t="str">
        <f ca="1">IFERROR(MOD(AN53,AN55),"")</f>
        <v/>
      </c>
      <c r="AP56" s="215"/>
      <c r="AQ56" s="216" t="str" cm="1">
        <f t="array" aca="1" ref="AQ56" ca="1">IF(AN50&lt;&gt;"",
IF(IFERROR(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MATCH(AN53,INDIRECT("'数出表_Excel（アレルギー入力）'!"&amp;AM50&amp;MATCH(AR8,'数出表_Excel（アレルギー入力）'!$A:$A,0)-1&amp;":"&amp;AR54&amp;MATCH(AR8,'数出表_Excel（アレルギー入力）'!$A:$A,0)-1&amp;""),0)+1),
 "")&lt;&gt;0,
IF(IFERROR(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MATCH(AN53,INDIRECT("'数出表_Excel（アレルギー入力）'!"&amp;AM50&amp;MATCH(AR8,'数出表_Excel（アレルギー入力）'!$A:$A,0)-1&amp;":"&amp;AR54&amp;MATCH(AR8,'数出表_Excel（アレルギー入力）'!$A:$A,0)-1&amp;""),0)+1),
 "")="",
IFERROR(
INDEX(INDIRECT("'数出表_Excel（アレルギー入力）'!B"&amp;MATCH(AR8,'数出表_Excel（アレルギー入力）'!$A:$A,0)-1&amp;":"&amp;AR54&amp;MATCH(AR8,'数出表_Excel（アレルギー入力）'!$A:$A,0)-1&amp;""),
 1,
MATCH(TRUE,INDEX(INDIRECT("'数出表_Excel（アレルギー入力）'!"&amp;AM50&amp;MATCH(AR8,'数出表_Excel（アレルギー入力）'!$A:$A,0)-1&amp;":"&amp;AR54&amp;MATCH(AR8,'数出表_Excel（アレルギー入力）'!$A:$A,0)-1&amp;"")&lt;&gt;"",0),0)+1),
 ""),
IFERROR(
INDEX(INDIRECT("'数出表_Excel（アレルギー入力）'!"&amp;AM50&amp;MATCH(AR8,'数出表_Excel（アレルギー入力）'!$A:$A,0)-1&amp;":"&amp;AR54&amp;MATCH(AR8,'数出表_Excel（アレルギー入力）'!$A:$A,0)-1&amp;""),
 1,
MATCH(AN53,INDIRECT("'数出表_Excel（アレルギー入力）'!"&amp;AM50&amp;MATCH(AR8,'数出表_Excel（アレルギー入力）'!$A:$A,0)-1&amp;":"&amp;AR54&amp;MATCH(AR8,'数出表_Excel（アレルギー入力）'!$A:$A,0)-1&amp;""),0)+1),
 "")),0),"")</f>
        <v/>
      </c>
      <c r="AR56" s="217"/>
      <c r="AU56" s="214" t="str">
        <f ca="1">IF(AV53&lt;&gt;"",
IFERROR(INT(AV53/AV55),""),"")</f>
        <v/>
      </c>
      <c r="AV56" s="215"/>
      <c r="AW56" s="214" t="str">
        <f ca="1">IFERROR(MOD(AV53,AV55),"")</f>
        <v/>
      </c>
      <c r="AX56" s="215"/>
      <c r="AY56" s="216" t="str" cm="1">
        <f t="array" aca="1" ref="AY56" ca="1">IF(AV50&lt;&gt;"",
IF(IFERROR(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MATCH(AV53,INDIRECT("'数出表_Excel（アレルギー入力）'!"&amp;AU50&amp;MATCH(AZ8,'数出表_Excel（アレルギー入力）'!$A:$A,0)-1&amp;":"&amp;AZ54&amp;MATCH(AZ8,'数出表_Excel（アレルギー入力）'!$A:$A,0)-1&amp;""),0)+1),
 "")&lt;&gt;0,
IF(IFERROR(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MATCH(AV53,INDIRECT("'数出表_Excel（アレルギー入力）'!"&amp;AU50&amp;MATCH(AZ8,'数出表_Excel（アレルギー入力）'!$A:$A,0)-1&amp;":"&amp;AZ54&amp;MATCH(AZ8,'数出表_Excel（アレルギー入力）'!$A:$A,0)-1&amp;""),0)+1),
 "")="",
IFERROR(
INDEX(INDIRECT("'数出表_Excel（アレルギー入力）'!B"&amp;MATCH(AZ8,'数出表_Excel（アレルギー入力）'!$A:$A,0)-1&amp;":"&amp;AZ54&amp;MATCH(AZ8,'数出表_Excel（アレルギー入力）'!$A:$A,0)-1&amp;""),
 1,
MATCH(TRUE,INDEX(INDIRECT("'数出表_Excel（アレルギー入力）'!"&amp;AU50&amp;MATCH(AZ8,'数出表_Excel（アレルギー入力）'!$A:$A,0)-1&amp;":"&amp;AZ54&amp;MATCH(AZ8,'数出表_Excel（アレルギー入力）'!$A:$A,0)-1&amp;"")&lt;&gt;"",0),0)+1),
 ""),
IFERROR(
INDEX(INDIRECT("'数出表_Excel（アレルギー入力）'!"&amp;AU50&amp;MATCH(AZ8,'数出表_Excel（アレルギー入力）'!$A:$A,0)-1&amp;":"&amp;AZ54&amp;MATCH(AZ8,'数出表_Excel（アレルギー入力）'!$A:$A,0)-1&amp;""),
 1,
MATCH(AV53,INDIRECT("'数出表_Excel（アレルギー入力）'!"&amp;AU50&amp;MATCH(AZ8,'数出表_Excel（アレルギー入力）'!$A:$A,0)-1&amp;":"&amp;AZ54&amp;MATCH(AZ8,'数出表_Excel（アレルギー入力）'!$A:$A,0)-1&amp;""),0)+1),
 "")),0),"")</f>
        <v/>
      </c>
      <c r="AZ56" s="217"/>
      <c r="BB56" s="214" t="str">
        <f ca="1">IF(BC53&lt;&gt;"",
IFERROR(INT(BC53/BC55),""),"")</f>
        <v/>
      </c>
      <c r="BC56" s="215"/>
      <c r="BD56" s="214" t="str">
        <f ca="1">IFERROR(MOD(BC53,BC55),"")</f>
        <v/>
      </c>
      <c r="BE56" s="215"/>
      <c r="BF56" s="216" t="str" cm="1">
        <f t="array" aca="1" ref="BF56" ca="1">IF(BC50&lt;&gt;"",
IF(IFERROR(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MATCH(BC53,INDIRECT("'数出表_Excel（アレルギー入力）'!"&amp;BB50&amp;MATCH(BG8,'数出表_Excel（アレルギー入力）'!$A:$A,0)-1&amp;":"&amp;BG54&amp;MATCH(BG8,'数出表_Excel（アレルギー入力）'!$A:$A,0)-1&amp;""),0)+1),
 "")&lt;&gt;0,
IF(IFERROR(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MATCH(BC53,INDIRECT("'数出表_Excel（アレルギー入力）'!"&amp;BB50&amp;MATCH(BG8,'数出表_Excel（アレルギー入力）'!$A:$A,0)-1&amp;":"&amp;BG54&amp;MATCH(BG8,'数出表_Excel（アレルギー入力）'!$A:$A,0)-1&amp;""),0)+1),
 "")="",
IFERROR(
INDEX(INDIRECT("'数出表_Excel（アレルギー入力）'!B"&amp;MATCH(BG8,'数出表_Excel（アレルギー入力）'!$A:$A,0)-1&amp;":"&amp;BG54&amp;MATCH(BG8,'数出表_Excel（アレルギー入力）'!$A:$A,0)-1&amp;""),
 1,
MATCH(TRUE,INDEX(INDIRECT("'数出表_Excel（アレルギー入力）'!"&amp;BB50&amp;MATCH(BG8,'数出表_Excel（アレルギー入力）'!$A:$A,0)-1&amp;":"&amp;BG54&amp;MATCH(BG8,'数出表_Excel（アレルギー入力）'!$A:$A,0)-1&amp;"")&lt;&gt;"",0),0)+1),
 ""),
IFERROR(
INDEX(INDIRECT("'数出表_Excel（アレルギー入力）'!"&amp;BB50&amp;MATCH(BG8,'数出表_Excel（アレルギー入力）'!$A:$A,0)-1&amp;":"&amp;BG54&amp;MATCH(BG8,'数出表_Excel（アレルギー入力）'!$A:$A,0)-1&amp;""),
 1,
MATCH(BC53,INDIRECT("'数出表_Excel（アレルギー入力）'!"&amp;BB50&amp;MATCH(BG8,'数出表_Excel（アレルギー入力）'!$A:$A,0)-1&amp;":"&amp;BG54&amp;MATCH(BG8,'数出表_Excel（アレルギー入力）'!$A:$A,0)-1&amp;""),0)+1),
 "")),0),"")</f>
        <v/>
      </c>
      <c r="BG56" s="217"/>
      <c r="BJ56" s="214" t="str">
        <f ca="1">IF(BK53&lt;&gt;"",
IFERROR(INT(BK53/BK55),""),"")</f>
        <v/>
      </c>
      <c r="BK56" s="215"/>
      <c r="BL56" s="214" t="str">
        <f ca="1">IFERROR(MOD(BK53,BK55),"")</f>
        <v/>
      </c>
      <c r="BM56" s="215"/>
      <c r="BN56" s="216" t="str" cm="1">
        <f t="array" aca="1" ref="BN56" ca="1">IF(BK50&lt;&gt;"",
IF(IFERROR(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MATCH(BK53,INDIRECT("'数出表_Excel（アレルギー入力）'!"&amp;BJ50&amp;MATCH(BO8,'数出表_Excel（アレルギー入力）'!$A:$A,0)-1&amp;":"&amp;BO54&amp;MATCH(BO8,'数出表_Excel（アレルギー入力）'!$A:$A,0)-1&amp;""),0)+1),
 "")&lt;&gt;0,
IF(IFERROR(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MATCH(BK53,INDIRECT("'数出表_Excel（アレルギー入力）'!"&amp;BJ50&amp;MATCH(BO8,'数出表_Excel（アレルギー入力）'!$A:$A,0)-1&amp;":"&amp;BO54&amp;MATCH(BO8,'数出表_Excel（アレルギー入力）'!$A:$A,0)-1&amp;""),0)+1),
 "")="",
IFERROR(
INDEX(INDIRECT("'数出表_Excel（アレルギー入力）'!B"&amp;MATCH(BO8,'数出表_Excel（アレルギー入力）'!$A:$A,0)-1&amp;":"&amp;BO54&amp;MATCH(BO8,'数出表_Excel（アレルギー入力）'!$A:$A,0)-1&amp;""),
 1,
MATCH(TRUE,INDEX(INDIRECT("'数出表_Excel（アレルギー入力）'!"&amp;BJ50&amp;MATCH(BO8,'数出表_Excel（アレルギー入力）'!$A:$A,0)-1&amp;":"&amp;BO54&amp;MATCH(BO8,'数出表_Excel（アレルギー入力）'!$A:$A,0)-1&amp;"")&lt;&gt;"",0),0)+1),
 ""),
IFERROR(
INDEX(INDIRECT("'数出表_Excel（アレルギー入力）'!"&amp;BJ50&amp;MATCH(BO8,'数出表_Excel（アレルギー入力）'!$A:$A,0)-1&amp;":"&amp;BO54&amp;MATCH(BO8,'数出表_Excel（アレルギー入力）'!$A:$A,0)-1&amp;""),
 1,
MATCH(BK53,INDIRECT("'数出表_Excel（アレルギー入力）'!"&amp;BJ50&amp;MATCH(BO8,'数出表_Excel（アレルギー入力）'!$A:$A,0)-1&amp;":"&amp;BO54&amp;MATCH(BO8,'数出表_Excel（アレルギー入力）'!$A:$A,0)-1&amp;""),0)+1),
 "")),0),"")</f>
        <v/>
      </c>
      <c r="BO56" s="217"/>
      <c r="BQ56" s="214" t="str">
        <f ca="1">IF(BR53&lt;&gt;"",
IFERROR(INT(BR53/BR55),""),"")</f>
        <v/>
      </c>
      <c r="BR56" s="215"/>
      <c r="BS56" s="214" t="str">
        <f ca="1">IFERROR(MOD(BR53,BR55),"")</f>
        <v/>
      </c>
      <c r="BT56" s="215"/>
      <c r="BU56" s="216" t="str" cm="1">
        <f t="array" aca="1" ref="BU56" ca="1">IF(BR50&lt;&gt;"",
IF(IFERROR(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MATCH(BR53,INDIRECT("'数出表_Excel（アレルギー入力）'!"&amp;BQ50&amp;MATCH(BV8,'数出表_Excel（アレルギー入力）'!$A:$A,0)-1&amp;":"&amp;BV54&amp;MATCH(BV8,'数出表_Excel（アレルギー入力）'!$A:$A,0)-1&amp;""),0)+1),
 "")&lt;&gt;0,
IF(IFERROR(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MATCH(BR53,INDIRECT("'数出表_Excel（アレルギー入力）'!"&amp;BQ50&amp;MATCH(BV8,'数出表_Excel（アレルギー入力）'!$A:$A,0)-1&amp;":"&amp;BV54&amp;MATCH(BV8,'数出表_Excel（アレルギー入力）'!$A:$A,0)-1&amp;""),0)+1),
 "")="",
IFERROR(
INDEX(INDIRECT("'数出表_Excel（アレルギー入力）'!B"&amp;MATCH(BV8,'数出表_Excel（アレルギー入力）'!$A:$A,0)-1&amp;":"&amp;BV54&amp;MATCH(BV8,'数出表_Excel（アレルギー入力）'!$A:$A,0)-1&amp;""),
 1,
MATCH(TRUE,INDEX(INDIRECT("'数出表_Excel（アレルギー入力）'!"&amp;BQ50&amp;MATCH(BV8,'数出表_Excel（アレルギー入力）'!$A:$A,0)-1&amp;":"&amp;BV54&amp;MATCH(BV8,'数出表_Excel（アレルギー入力）'!$A:$A,0)-1&amp;"")&lt;&gt;"",0),0)+1),
 ""),
IFERROR(
INDEX(INDIRECT("'数出表_Excel（アレルギー入力）'!"&amp;BQ50&amp;MATCH(BV8,'数出表_Excel（アレルギー入力）'!$A:$A,0)-1&amp;":"&amp;BV54&amp;MATCH(BV8,'数出表_Excel（アレルギー入力）'!$A:$A,0)-1&amp;""),
 1,
MATCH(BR53,INDIRECT("'数出表_Excel（アレルギー入力）'!"&amp;BQ50&amp;MATCH(BV8,'数出表_Excel（アレルギー入力）'!$A:$A,0)-1&amp;":"&amp;BV54&amp;MATCH(BV8,'数出表_Excel（アレルギー入力）'!$A:$A,0)-1&amp;""),0)+1),
 "")),0),"")</f>
        <v/>
      </c>
      <c r="BV56" s="217"/>
      <c r="BY56" s="214" t="str">
        <f ca="1">IF(BZ53&lt;&gt;"",
IFERROR(INT(BZ53/BZ55),""),"")</f>
        <v/>
      </c>
      <c r="BZ56" s="215"/>
      <c r="CA56" s="214" t="str">
        <f ca="1">IFERROR(MOD(BZ53,BZ55),"")</f>
        <v/>
      </c>
      <c r="CB56" s="215"/>
      <c r="CC56" s="216" t="str" cm="1">
        <f t="array" aca="1" ref="CC56" ca="1">IF(BZ50&lt;&gt;"",
IF(IFERROR(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MATCH(BZ53,INDIRECT("'数出表_Excel（アレルギー入力）'!"&amp;BY50&amp;MATCH(CD8,'数出表_Excel（アレルギー入力）'!$A:$A,0)-1&amp;":"&amp;CD54&amp;MATCH(CD8,'数出表_Excel（アレルギー入力）'!$A:$A,0)-1&amp;""),0)+1),
 "")&lt;&gt;0,
IF(IFERROR(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MATCH(BZ53,INDIRECT("'数出表_Excel（アレルギー入力）'!"&amp;BY50&amp;MATCH(CD8,'数出表_Excel（アレルギー入力）'!$A:$A,0)-1&amp;":"&amp;CD54&amp;MATCH(CD8,'数出表_Excel（アレルギー入力）'!$A:$A,0)-1&amp;""),0)+1),
 "")="",
IFERROR(
INDEX(INDIRECT("'数出表_Excel（アレルギー入力）'!B"&amp;MATCH(CD8,'数出表_Excel（アレルギー入力）'!$A:$A,0)-1&amp;":"&amp;CD54&amp;MATCH(CD8,'数出表_Excel（アレルギー入力）'!$A:$A,0)-1&amp;""),
 1,
MATCH(TRUE,INDEX(INDIRECT("'数出表_Excel（アレルギー入力）'!"&amp;BY50&amp;MATCH(CD8,'数出表_Excel（アレルギー入力）'!$A:$A,0)-1&amp;":"&amp;CD54&amp;MATCH(CD8,'数出表_Excel（アレルギー入力）'!$A:$A,0)-1&amp;"")&lt;&gt;"",0),0)+1),
 ""),
IFERROR(
INDEX(INDIRECT("'数出表_Excel（アレルギー入力）'!"&amp;BY50&amp;MATCH(CD8,'数出表_Excel（アレルギー入力）'!$A:$A,0)-1&amp;":"&amp;CD54&amp;MATCH(CD8,'数出表_Excel（アレルギー入力）'!$A:$A,0)-1&amp;""),
 1,
MATCH(BZ53,INDIRECT("'数出表_Excel（アレルギー入力）'!"&amp;BY50&amp;MATCH(CD8,'数出表_Excel（アレルギー入力）'!$A:$A,0)-1&amp;":"&amp;CD54&amp;MATCH(CD8,'数出表_Excel（アレルギー入力）'!$A:$A,0)-1&amp;""),0)+1),
 "")),0),"")</f>
        <v/>
      </c>
      <c r="CD56" s="217"/>
      <c r="CF56" s="214" t="str">
        <f ca="1">IF(CG53&lt;&gt;"",
IFERROR(INT(CG53/CG55),""),"")</f>
        <v/>
      </c>
      <c r="CG56" s="215"/>
      <c r="CH56" s="214" t="str">
        <f ca="1">IFERROR(MOD(CG53,CG55),"")</f>
        <v/>
      </c>
      <c r="CI56" s="215"/>
      <c r="CJ56" s="216" t="str" cm="1">
        <f t="array" aca="1" ref="CJ56" ca="1">IF(CG50&lt;&gt;"",
IF(IFERROR(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MATCH(CG53,INDIRECT("'数出表_Excel（アレルギー入力）'!"&amp;CF50&amp;MATCH(CK8,'数出表_Excel（アレルギー入力）'!$A:$A,0)-1&amp;":"&amp;CK54&amp;MATCH(CK8,'数出表_Excel（アレルギー入力）'!$A:$A,0)-1&amp;""),0)+1),
 "")&lt;&gt;0,
IF(IFERROR(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MATCH(CG53,INDIRECT("'数出表_Excel（アレルギー入力）'!"&amp;CF50&amp;MATCH(CK8,'数出表_Excel（アレルギー入力）'!$A:$A,0)-1&amp;":"&amp;CK54&amp;MATCH(CK8,'数出表_Excel（アレルギー入力）'!$A:$A,0)-1&amp;""),0)+1),
 "")="",
IFERROR(
INDEX(INDIRECT("'数出表_Excel（アレルギー入力）'!B"&amp;MATCH(CK8,'数出表_Excel（アレルギー入力）'!$A:$A,0)-1&amp;":"&amp;CK54&amp;MATCH(CK8,'数出表_Excel（アレルギー入力）'!$A:$A,0)-1&amp;""),
 1,
MATCH(TRUE,INDEX(INDIRECT("'数出表_Excel（アレルギー入力）'!"&amp;CF50&amp;MATCH(CK8,'数出表_Excel（アレルギー入力）'!$A:$A,0)-1&amp;":"&amp;CK54&amp;MATCH(CK8,'数出表_Excel（アレルギー入力）'!$A:$A,0)-1&amp;"")&lt;&gt;"",0),0)+1),
 ""),
IFERROR(
INDEX(INDIRECT("'数出表_Excel（アレルギー入力）'!"&amp;CF50&amp;MATCH(CK8,'数出表_Excel（アレルギー入力）'!$A:$A,0)-1&amp;":"&amp;CK54&amp;MATCH(CK8,'数出表_Excel（アレルギー入力）'!$A:$A,0)-1&amp;""),
 1,
MATCH(CG53,INDIRECT("'数出表_Excel（アレルギー入力）'!"&amp;CF50&amp;MATCH(CK8,'数出表_Excel（アレルギー入力）'!$A:$A,0)-1&amp;":"&amp;CK54&amp;MATCH(CK8,'数出表_Excel（アレルギー入力）'!$A:$A,0)-1&amp;""),0)+1),
 "")),0),"")</f>
        <v/>
      </c>
      <c r="CK56" s="217"/>
      <c r="CN56" s="214" t="str">
        <f ca="1">IF(CO53&lt;&gt;"",
IFERROR(INT(CO53/CO55),""),"")</f>
        <v/>
      </c>
      <c r="CO56" s="215"/>
      <c r="CP56" s="214" t="str">
        <f ca="1">IFERROR(MOD(CO53,CO55),"")</f>
        <v/>
      </c>
      <c r="CQ56" s="215"/>
      <c r="CR56" s="216" t="str" cm="1">
        <f t="array" aca="1" ref="CR56" ca="1">IF(CO50&lt;&gt;"",
IF(IFERROR(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MATCH(CO53,INDIRECT("'数出表_Excel（アレルギー入力）'!"&amp;CN50&amp;MATCH(CS8,'数出表_Excel（アレルギー入力）'!$A:$A,0)-1&amp;":"&amp;CS54&amp;MATCH(CS8,'数出表_Excel（アレルギー入力）'!$A:$A,0)-1&amp;""),0)+1),
 "")&lt;&gt;0,
IF(IFERROR(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MATCH(CO53,INDIRECT("'数出表_Excel（アレルギー入力）'!"&amp;CN50&amp;MATCH(CS8,'数出表_Excel（アレルギー入力）'!$A:$A,0)-1&amp;":"&amp;CS54&amp;MATCH(CS8,'数出表_Excel（アレルギー入力）'!$A:$A,0)-1&amp;""),0)+1),
 "")="",
IFERROR(
INDEX(INDIRECT("'数出表_Excel（アレルギー入力）'!B"&amp;MATCH(CS8,'数出表_Excel（アレルギー入力）'!$A:$A,0)-1&amp;":"&amp;CS54&amp;MATCH(CS8,'数出表_Excel（アレルギー入力）'!$A:$A,0)-1&amp;""),
 1,
MATCH(TRUE,INDEX(INDIRECT("'数出表_Excel（アレルギー入力）'!"&amp;CN50&amp;MATCH(CS8,'数出表_Excel（アレルギー入力）'!$A:$A,0)-1&amp;":"&amp;CS54&amp;MATCH(CS8,'数出表_Excel（アレルギー入力）'!$A:$A,0)-1&amp;"")&lt;&gt;"",0),0)+1),
 ""),
IFERROR(
INDEX(INDIRECT("'数出表_Excel（アレルギー入力）'!"&amp;CN50&amp;MATCH(CS8,'数出表_Excel（アレルギー入力）'!$A:$A,0)-1&amp;":"&amp;CS54&amp;MATCH(CS8,'数出表_Excel（アレルギー入力）'!$A:$A,0)-1&amp;""),
 1,
MATCH(CO53,INDIRECT("'数出表_Excel（アレルギー入力）'!"&amp;CN50&amp;MATCH(CS8,'数出表_Excel（アレルギー入力）'!$A:$A,0)-1&amp;":"&amp;CS54&amp;MATCH(CS8,'数出表_Excel（アレルギー入力）'!$A:$A,0)-1&amp;""),0)+1),
 "")),0),"")</f>
        <v/>
      </c>
      <c r="CS56" s="217"/>
      <c r="CU56" s="214" t="str">
        <f ca="1">IF(CV53&lt;&gt;"",
IFERROR(INT(CV53/CV55),""),"")</f>
        <v/>
      </c>
      <c r="CV56" s="215"/>
      <c r="CW56" s="214" t="str">
        <f ca="1">IFERROR(MOD(CV53,CV55),"")</f>
        <v/>
      </c>
      <c r="CX56" s="215"/>
      <c r="CY56" s="216" t="str" cm="1">
        <f t="array" aca="1" ref="CY56" ca="1">IF(CV50&lt;&gt;"",
IF(IFERROR(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MATCH(CV53,INDIRECT("'数出表_Excel（アレルギー入力）'!"&amp;CU50&amp;MATCH(CZ8,'数出表_Excel（アレルギー入力）'!$A:$A,0)-1&amp;":"&amp;CZ54&amp;MATCH(CZ8,'数出表_Excel（アレルギー入力）'!$A:$A,0)-1&amp;""),0)+1),
 "")&lt;&gt;0,
IF(IFERROR(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MATCH(CV53,INDIRECT("'数出表_Excel（アレルギー入力）'!"&amp;CU50&amp;MATCH(CZ8,'数出表_Excel（アレルギー入力）'!$A:$A,0)-1&amp;":"&amp;CZ54&amp;MATCH(CZ8,'数出表_Excel（アレルギー入力）'!$A:$A,0)-1&amp;""),0)+1),
 "")="",
IFERROR(
INDEX(INDIRECT("'数出表_Excel（アレルギー入力）'!B"&amp;MATCH(CZ8,'数出表_Excel（アレルギー入力）'!$A:$A,0)-1&amp;":"&amp;CZ54&amp;MATCH(CZ8,'数出表_Excel（アレルギー入力）'!$A:$A,0)-1&amp;""),
 1,
MATCH(TRUE,INDEX(INDIRECT("'数出表_Excel（アレルギー入力）'!"&amp;CU50&amp;MATCH(CZ8,'数出表_Excel（アレルギー入力）'!$A:$A,0)-1&amp;":"&amp;CZ54&amp;MATCH(CZ8,'数出表_Excel（アレルギー入力）'!$A:$A,0)-1&amp;"")&lt;&gt;"",0),0)+1),
 ""),
IFERROR(
INDEX(INDIRECT("'数出表_Excel（アレルギー入力）'!"&amp;CU50&amp;MATCH(CZ8,'数出表_Excel（アレルギー入力）'!$A:$A,0)-1&amp;":"&amp;CZ54&amp;MATCH(CZ8,'数出表_Excel（アレルギー入力）'!$A:$A,0)-1&amp;""),
 1,
MATCH(CV53,INDIRECT("'数出表_Excel（アレルギー入力）'!"&amp;CU50&amp;MATCH(CZ8,'数出表_Excel（アレルギー入力）'!$A:$A,0)-1&amp;":"&amp;CZ54&amp;MATCH(CZ8,'数出表_Excel（アレルギー入力）'!$A:$A,0)-1&amp;""),0)+1),
 "")),0),"")</f>
        <v/>
      </c>
      <c r="CZ56" s="217"/>
      <c r="DC56" s="214" t="str">
        <f ca="1">IF(DD53&lt;&gt;"",
IFERROR(INT(DD53/DD55),""),"")</f>
        <v/>
      </c>
      <c r="DD56" s="215"/>
      <c r="DE56" s="214" t="str">
        <f ca="1">IFERROR(MOD(DD53,DD55),"")</f>
        <v/>
      </c>
      <c r="DF56" s="215"/>
      <c r="DG56" s="216" t="str" cm="1">
        <f t="array" aca="1" ref="DG56" ca="1">IF(DD50&lt;&gt;"",
IF(IFERROR(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MATCH(DD53,INDIRECT("'数出表_Excel（アレルギー入力）'!"&amp;DC50&amp;MATCH(DH8,'数出表_Excel（アレルギー入力）'!$A:$A,0)-1&amp;":"&amp;DH54&amp;MATCH(DH8,'数出表_Excel（アレルギー入力）'!$A:$A,0)-1&amp;""),0)+1),
 "")&lt;&gt;0,
IF(IFERROR(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MATCH(DD53,INDIRECT("'数出表_Excel（アレルギー入力）'!"&amp;DC50&amp;MATCH(DH8,'数出表_Excel（アレルギー入力）'!$A:$A,0)-1&amp;":"&amp;DH54&amp;MATCH(DH8,'数出表_Excel（アレルギー入力）'!$A:$A,0)-1&amp;""),0)+1),
 "")="",
IFERROR(
INDEX(INDIRECT("'数出表_Excel（アレルギー入力）'!B"&amp;MATCH(DH8,'数出表_Excel（アレルギー入力）'!$A:$A,0)-1&amp;":"&amp;DH54&amp;MATCH(DH8,'数出表_Excel（アレルギー入力）'!$A:$A,0)-1&amp;""),
 1,
MATCH(TRUE,INDEX(INDIRECT("'数出表_Excel（アレルギー入力）'!"&amp;DC50&amp;MATCH(DH8,'数出表_Excel（アレルギー入力）'!$A:$A,0)-1&amp;":"&amp;DH54&amp;MATCH(DH8,'数出表_Excel（アレルギー入力）'!$A:$A,0)-1&amp;"")&lt;&gt;"",0),0)+1),
 ""),
IFERROR(
INDEX(INDIRECT("'数出表_Excel（アレルギー入力）'!"&amp;DC50&amp;MATCH(DH8,'数出表_Excel（アレルギー入力）'!$A:$A,0)-1&amp;":"&amp;DH54&amp;MATCH(DH8,'数出表_Excel（アレルギー入力）'!$A:$A,0)-1&amp;""),
 1,
MATCH(DD53,INDIRECT("'数出表_Excel（アレルギー入力）'!"&amp;DC50&amp;MATCH(DH8,'数出表_Excel（アレルギー入力）'!$A:$A,0)-1&amp;":"&amp;DH54&amp;MATCH(DH8,'数出表_Excel（アレルギー入力）'!$A:$A,0)-1&amp;""),0)+1),
 "")),0),"")</f>
        <v/>
      </c>
      <c r="DH56" s="217"/>
      <c r="DJ56" s="214" t="str">
        <f ca="1">IF(DK53&lt;&gt;"",
IFERROR(INT(DK53/DK55),""),"")</f>
        <v/>
      </c>
      <c r="DK56" s="215"/>
      <c r="DL56" s="214" t="str">
        <f ca="1">IFERROR(MOD(DK53,DK55),"")</f>
        <v/>
      </c>
      <c r="DM56" s="215"/>
      <c r="DN56" s="216" t="str" cm="1">
        <f t="array" aca="1" ref="DN56" ca="1">IF(DK50&lt;&gt;"",
IF(IFERROR(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MATCH(DK53,INDIRECT("'数出表_Excel（アレルギー入力）'!"&amp;DJ50&amp;MATCH(DO8,'数出表_Excel（アレルギー入力）'!$A:$A,0)-1&amp;":"&amp;DO54&amp;MATCH(DO8,'数出表_Excel（アレルギー入力）'!$A:$A,0)-1&amp;""),0)+1),
 "")&lt;&gt;0,
IF(IFERROR(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MATCH(DK53,INDIRECT("'数出表_Excel（アレルギー入力）'!"&amp;DJ50&amp;MATCH(DO8,'数出表_Excel（アレルギー入力）'!$A:$A,0)-1&amp;":"&amp;DO54&amp;MATCH(DO8,'数出表_Excel（アレルギー入力）'!$A:$A,0)-1&amp;""),0)+1),
 "")="",
IFERROR(
INDEX(INDIRECT("'数出表_Excel（アレルギー入力）'!B"&amp;MATCH(DO8,'数出表_Excel（アレルギー入力）'!$A:$A,0)-1&amp;":"&amp;DO54&amp;MATCH(DO8,'数出表_Excel（アレルギー入力）'!$A:$A,0)-1&amp;""),
 1,
MATCH(TRUE,INDEX(INDIRECT("'数出表_Excel（アレルギー入力）'!"&amp;DJ50&amp;MATCH(DO8,'数出表_Excel（アレルギー入力）'!$A:$A,0)-1&amp;":"&amp;DO54&amp;MATCH(DO8,'数出表_Excel（アレルギー入力）'!$A:$A,0)-1&amp;"")&lt;&gt;"",0),0)+1),
 ""),
IFERROR(
INDEX(INDIRECT("'数出表_Excel（アレルギー入力）'!"&amp;DJ50&amp;MATCH(DO8,'数出表_Excel（アレルギー入力）'!$A:$A,0)-1&amp;":"&amp;DO54&amp;MATCH(DO8,'数出表_Excel（アレルギー入力）'!$A:$A,0)-1&amp;""),
 1,
MATCH(DK53,INDIRECT("'数出表_Excel（アレルギー入力）'!"&amp;DJ50&amp;MATCH(DO8,'数出表_Excel（アレルギー入力）'!$A:$A,0)-1&amp;":"&amp;DO54&amp;MATCH(DO8,'数出表_Excel（アレルギー入力）'!$A:$A,0)-1&amp;""),0)+1),
 "")),0),"")</f>
        <v/>
      </c>
      <c r="DO56" s="217"/>
      <c r="DR56" s="214" t="str">
        <f ca="1">IF(DS53&lt;&gt;"",
IFERROR(INT(DS53/DS55),""),"")</f>
        <v/>
      </c>
      <c r="DS56" s="215"/>
      <c r="DT56" s="214" t="str">
        <f ca="1">IFERROR(MOD(DS53,DS55),"")</f>
        <v/>
      </c>
      <c r="DU56" s="215"/>
      <c r="DV56" s="216" t="str" cm="1">
        <f t="array" aca="1" ref="DV56" ca="1">IF(DS50&lt;&gt;"",
IF(IFERROR(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MATCH(DS53,INDIRECT("'数出表_Excel（アレルギー入力）'!"&amp;DR50&amp;MATCH(DW8,'数出表_Excel（アレルギー入力）'!$A:$A,0)-1&amp;":"&amp;DW54&amp;MATCH(DW8,'数出表_Excel（アレルギー入力）'!$A:$A,0)-1&amp;""),0)+1),
 "")&lt;&gt;0,
IF(IFERROR(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MATCH(DS53,INDIRECT("'数出表_Excel（アレルギー入力）'!"&amp;DR50&amp;MATCH(DW8,'数出表_Excel（アレルギー入力）'!$A:$A,0)-1&amp;":"&amp;DW54&amp;MATCH(DW8,'数出表_Excel（アレルギー入力）'!$A:$A,0)-1&amp;""),0)+1),
 "")="",
IFERROR(
INDEX(INDIRECT("'数出表_Excel（アレルギー入力）'!B"&amp;MATCH(DW8,'数出表_Excel（アレルギー入力）'!$A:$A,0)-1&amp;":"&amp;DW54&amp;MATCH(DW8,'数出表_Excel（アレルギー入力）'!$A:$A,0)-1&amp;""),
 1,
MATCH(TRUE,INDEX(INDIRECT("'数出表_Excel（アレルギー入力）'!"&amp;DR50&amp;MATCH(DW8,'数出表_Excel（アレルギー入力）'!$A:$A,0)-1&amp;":"&amp;DW54&amp;MATCH(DW8,'数出表_Excel（アレルギー入力）'!$A:$A,0)-1&amp;"")&lt;&gt;"",0),0)+1),
 ""),
IFERROR(
INDEX(INDIRECT("'数出表_Excel（アレルギー入力）'!"&amp;DR50&amp;MATCH(DW8,'数出表_Excel（アレルギー入力）'!$A:$A,0)-1&amp;":"&amp;DW54&amp;MATCH(DW8,'数出表_Excel（アレルギー入力）'!$A:$A,0)-1&amp;""),
 1,
MATCH(DS53,INDIRECT("'数出表_Excel（アレルギー入力）'!"&amp;DR50&amp;MATCH(DW8,'数出表_Excel（アレルギー入力）'!$A:$A,0)-1&amp;":"&amp;DW54&amp;MATCH(DW8,'数出表_Excel（アレルギー入力）'!$A:$A,0)-1&amp;""),0)+1),
 "")),0),"")</f>
        <v/>
      </c>
      <c r="DW56" s="217"/>
      <c r="DY56" s="214" t="str">
        <f ca="1">IF(DZ53&lt;&gt;"",
IFERROR(INT(DZ53/DZ55),""),"")</f>
        <v/>
      </c>
      <c r="DZ56" s="215"/>
      <c r="EA56" s="214" t="str">
        <f ca="1">IFERROR(MOD(DZ53,DZ55),"")</f>
        <v/>
      </c>
      <c r="EB56" s="215"/>
      <c r="EC56" s="216" t="str" cm="1">
        <f t="array" aca="1" ref="EC56" ca="1">IF(DZ50&lt;&gt;"",
IF(IFERROR(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MATCH(DZ53,INDIRECT("'数出表_Excel（アレルギー入力）'!"&amp;DY50&amp;MATCH(ED8,'数出表_Excel（アレルギー入力）'!$A:$A,0)-1&amp;":"&amp;ED54&amp;MATCH(ED8,'数出表_Excel（アレルギー入力）'!$A:$A,0)-1&amp;""),0)+1),
 "")&lt;&gt;0,
IF(IFERROR(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MATCH(DZ53,INDIRECT("'数出表_Excel（アレルギー入力）'!"&amp;DY50&amp;MATCH(ED8,'数出表_Excel（アレルギー入力）'!$A:$A,0)-1&amp;":"&amp;ED54&amp;MATCH(ED8,'数出表_Excel（アレルギー入力）'!$A:$A,0)-1&amp;""),0)+1),
 "")="",
IFERROR(
INDEX(INDIRECT("'数出表_Excel（アレルギー入力）'!B"&amp;MATCH(ED8,'数出表_Excel（アレルギー入力）'!$A:$A,0)-1&amp;":"&amp;ED54&amp;MATCH(ED8,'数出表_Excel（アレルギー入力）'!$A:$A,0)-1&amp;""),
 1,
MATCH(TRUE,INDEX(INDIRECT("'数出表_Excel（アレルギー入力）'!"&amp;DY50&amp;MATCH(ED8,'数出表_Excel（アレルギー入力）'!$A:$A,0)-1&amp;":"&amp;ED54&amp;MATCH(ED8,'数出表_Excel（アレルギー入力）'!$A:$A,0)-1&amp;"")&lt;&gt;"",0),0)+1),
 ""),
IFERROR(
INDEX(INDIRECT("'数出表_Excel（アレルギー入力）'!"&amp;DY50&amp;MATCH(ED8,'数出表_Excel（アレルギー入力）'!$A:$A,0)-1&amp;":"&amp;ED54&amp;MATCH(ED8,'数出表_Excel（アレルギー入力）'!$A:$A,0)-1&amp;""),
 1,
MATCH(DZ53,INDIRECT("'数出表_Excel（アレルギー入力）'!"&amp;DY50&amp;MATCH(ED8,'数出表_Excel（アレルギー入力）'!$A:$A,0)-1&amp;":"&amp;ED54&amp;MATCH(ED8,'数出表_Excel（アレルギー入力）'!$A:$A,0)-1&amp;""),0)+1),
 "")),0),"")</f>
        <v/>
      </c>
      <c r="ED56" s="217"/>
      <c r="EG56" s="214" t="str">
        <f ca="1">IF(EH53&lt;&gt;"",
IFERROR(INT(EH53/EH55),""),"")</f>
        <v/>
      </c>
      <c r="EH56" s="215"/>
      <c r="EI56" s="214" t="str">
        <f ca="1">IFERROR(MOD(EH53,EH55),"")</f>
        <v/>
      </c>
      <c r="EJ56" s="215"/>
      <c r="EK56" s="216" t="str" cm="1">
        <f t="array" aca="1" ref="EK56" ca="1">IF(EH50&lt;&gt;"",
IF(IFERROR(
INDEX(INDIRECT("'数出表_Excel（アレルギー入力）'!"&amp;EG50&amp;MATCH(EL8,'数出表_Excel（アレルギー入力）'!$A:$A,0)-1&amp;":"&amp;EL54&amp;MATCH(EL8,'数出表_Excel（アレルギー入力）'!$A:$A,0)-1&amp;""),
 1,
MATCH(EH53,INDIRECT("'数出表_Excel（アレルギー入力）'!"&amp;EG50&amp;MATCH(EL8,'数出表_Excel（アレルギー入力）'!$A:$A,0)-1&amp;":"&amp;EL54&amp;MATCH(EL8,'数出表_Excel（アレルギー入力）'!$A:$A,0)-1&amp;""),0)+1),
 "")&lt;&gt;0,
IF(IFERROR(
INDEX(INDIRECT("'数出表_Excel（アレルギー入力）'!"&amp;EG50&amp;MATCH(EL8,'数出表_Excel（アレルギー入力）'!$A:$A,0)-1&amp;":"&amp;EL54&amp;MATCH(EL8,'数出表_Excel（アレルギー入力）'!$A:$A,0)-1&amp;""),
 1,
MATCH(EH53,INDIRECT("'数出表_Excel（アレルギー入力）'!"&amp;EG50&amp;MATCH(EL8,'数出表_Excel（アレルギー入力）'!$A:$A,0)-1&amp;":"&amp;EL54&amp;MATCH(EL8,'数出表_Excel（アレルギー入力）'!$A:$A,0)-1&amp;""),0)+1),
 "")="",
IFERROR(
INDEX(INDIRECT("'数出表_Excel（アレルギー入力）'!B"&amp;MATCH(EL8,'数出表_Excel（アレルギー入力）'!$A:$A,0)-1&amp;":"&amp;EL54&amp;MATCH(EL8,'数出表_Excel（アレルギー入力）'!$A:$A,0)-1&amp;""),
 1,
MATCH(TRUE,INDEX(INDIRECT("'数出表_Excel（アレルギー入力）'!"&amp;EG50&amp;MATCH(EL8,'数出表_Excel（アレルギー入力）'!$A:$A,0)-1&amp;":"&amp;EL54&amp;MATCH(EL8,'数出表_Excel（アレルギー入力）'!$A:$A,0)-1&amp;"")&lt;&gt;"",0),0)+1),
 ""),
IFERROR(
INDEX(INDIRECT("'数出表_Excel（アレルギー入力）'!"&amp;EG50&amp;MATCH(EL8,'数出表_Excel（アレルギー入力）'!$A:$A,0)-1&amp;":"&amp;EL54&amp;MATCH(EL8,'数出表_Excel（アレルギー入力）'!$A:$A,0)-1&amp;""),
 1,
MATCH(EH53,INDIRECT("'数出表_Excel（アレルギー入力）'!"&amp;EG50&amp;MATCH(EL8,'数出表_Excel（アレルギー入力）'!$A:$A,0)-1&amp;":"&amp;EL54&amp;MATCH(EL8,'数出表_Excel（アレルギー入力）'!$A:$A,0)-1&amp;""),0)+1),
 "")),0),"")</f>
        <v/>
      </c>
      <c r="EL56" s="217"/>
      <c r="EN56" s="214" t="str">
        <f ca="1">IF(EO53&lt;&gt;"",
IFERROR(INT(EO53/EO55),""),"")</f>
        <v/>
      </c>
      <c r="EO56" s="215"/>
      <c r="EP56" s="214" t="str">
        <f ca="1">IFERROR(MOD(EO53,EO55),"")</f>
        <v/>
      </c>
      <c r="EQ56" s="215"/>
      <c r="ER56" s="216" t="str" cm="1">
        <f t="array" aca="1" ref="ER56" ca="1">IF(EO50&lt;&gt;"",
IF(IFERROR(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MATCH(EO53,INDIRECT("'数出表_Excel（アレルギー入力）'!"&amp;EN50&amp;MATCH(ES8,'数出表_Excel（アレルギー入力）'!$A:$A,0)-1&amp;":"&amp;ES54&amp;MATCH(ES8,'数出表_Excel（アレルギー入力）'!$A:$A,0)-1&amp;""),0)+1),
 "")&lt;&gt;0,
IF(IFERROR(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MATCH(EO53,INDIRECT("'数出表_Excel（アレルギー入力）'!"&amp;EN50&amp;MATCH(ES8,'数出表_Excel（アレルギー入力）'!$A:$A,0)-1&amp;":"&amp;ES54&amp;MATCH(ES8,'数出表_Excel（アレルギー入力）'!$A:$A,0)-1&amp;""),0)+1),
 "")="",
IFERROR(
INDEX(INDIRECT("'数出表_Excel（アレルギー入力）'!B"&amp;MATCH(ES8,'数出表_Excel（アレルギー入力）'!$A:$A,0)-1&amp;":"&amp;ES54&amp;MATCH(ES8,'数出表_Excel（アレルギー入力）'!$A:$A,0)-1&amp;""),
 1,
MATCH(TRUE,INDEX(INDIRECT("'数出表_Excel（アレルギー入力）'!"&amp;EN50&amp;MATCH(ES8,'数出表_Excel（アレルギー入力）'!$A:$A,0)-1&amp;":"&amp;ES54&amp;MATCH(ES8,'数出表_Excel（アレルギー入力）'!$A:$A,0)-1&amp;"")&lt;&gt;"",0),0)+1),
 ""),
IFERROR(
INDEX(INDIRECT("'数出表_Excel（アレルギー入力）'!"&amp;EN50&amp;MATCH(ES8,'数出表_Excel（アレルギー入力）'!$A:$A,0)-1&amp;":"&amp;ES54&amp;MATCH(ES8,'数出表_Excel（アレルギー入力）'!$A:$A,0)-1&amp;""),
 1,
MATCH(EO53,INDIRECT("'数出表_Excel（アレルギー入力）'!"&amp;EN50&amp;MATCH(ES8,'数出表_Excel（アレルギー入力）'!$A:$A,0)-1&amp;":"&amp;ES54&amp;MATCH(ES8,'数出表_Excel（アレルギー入力）'!$A:$A,0)-1&amp;""),0)+1),
 "")),0),"")</f>
        <v/>
      </c>
      <c r="ES56" s="217"/>
      <c r="ET56" s="78"/>
      <c r="EU56" s="103">
        <f t="shared" ref="EU56:EU72" si="4">EU52+7</f>
        <v>49</v>
      </c>
      <c r="EV56" s="103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3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3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3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3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3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3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3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3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3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3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3">
        <f t="shared" ca="1" si="3"/>
        <v>0</v>
      </c>
      <c r="FH56" s="103" t="b">
        <f t="array" aca="1" ref="FH56" ca="1">SUMPRODUCT((LEN(EV56:FF56)&gt;0)*1)&gt;0</f>
        <v>0</v>
      </c>
      <c r="FI56" s="103" t="str">
        <f t="array" aca="1" ref="FI56" ca="1">IFERROR(SMALL(IF(FG$1:FG$169&lt;&gt;0,FG$1:FG$169),ROW(A56)),"")</f>
        <v/>
      </c>
      <c r="FJ56" s="103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3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3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3" t="str">
        <f t="array" aca="1" ref="FM56" ca="1">IF($FI56&lt;&gt;"",
IF(FL56="",
INDIRECT("EY"&amp;$FI56&amp;"")&amp;"箱"
&amp;INDIRECT("EZ"&amp;$FI56&amp;""),""),"")</f>
        <v/>
      </c>
      <c r="FN56" s="103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3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3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3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3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3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3" customFormat="1" ht="18" customHeight="1" x14ac:dyDescent="0.55000000000000004">
      <c r="A57" s="101"/>
      <c r="B57" s="102" t="str" cm="1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198" t="str">
        <f ca="1">IF(C60&lt;&gt;"",C15,"")</f>
        <v/>
      </c>
      <c r="D57" s="198"/>
      <c r="E57" s="198"/>
      <c r="F57" s="198"/>
      <c r="G57" s="120"/>
      <c r="H57" s="101"/>
      <c r="I57" s="102" t="str" cm="1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198" t="str">
        <f ca="1">IF(J60&lt;&gt;"",J15,"")</f>
        <v/>
      </c>
      <c r="K57" s="198"/>
      <c r="L57" s="198"/>
      <c r="M57" s="198"/>
      <c r="N57" s="116"/>
      <c r="O57" s="101"/>
      <c r="P57" s="101"/>
      <c r="Q57" s="102" t="str" cm="1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198" t="str">
        <f ca="1">IF(R60&lt;&gt;"",R15,"")</f>
        <v/>
      </c>
      <c r="S57" s="198"/>
      <c r="T57" s="198"/>
      <c r="U57" s="198"/>
      <c r="V57" s="120"/>
      <c r="W57" s="101"/>
      <c r="X57" s="102" t="str" cm="1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198" t="str">
        <f ca="1">IF(Y60&lt;&gt;"",Y15,"")</f>
        <v/>
      </c>
      <c r="Z57" s="198"/>
      <c r="AA57" s="198"/>
      <c r="AB57" s="198"/>
      <c r="AC57" s="116"/>
      <c r="AD57" s="101"/>
      <c r="AE57" s="101"/>
      <c r="AF57" s="102" t="str" cm="1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198" t="str">
        <f ca="1">IF(AG60&lt;&gt;"",AG15,"")</f>
        <v/>
      </c>
      <c r="AH57" s="198"/>
      <c r="AI57" s="198"/>
      <c r="AJ57" s="198"/>
      <c r="AK57" s="120"/>
      <c r="AL57" s="101"/>
      <c r="AM57" s="102" t="str" cm="1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198" t="str">
        <f ca="1">IF(AN60&lt;&gt;"",AN15,"")</f>
        <v/>
      </c>
      <c r="AO57" s="198"/>
      <c r="AP57" s="198"/>
      <c r="AQ57" s="198"/>
      <c r="AR57" s="116"/>
      <c r="AS57" s="101"/>
      <c r="AT57" s="101"/>
      <c r="AU57" s="102" t="str" cm="1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198" t="str">
        <f ca="1">IF(AV60&lt;&gt;"",AV15,"")</f>
        <v/>
      </c>
      <c r="AW57" s="198"/>
      <c r="AX57" s="198"/>
      <c r="AY57" s="198"/>
      <c r="AZ57" s="120"/>
      <c r="BA57" s="101"/>
      <c r="BB57" s="102" t="str" cm="1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198" t="str">
        <f ca="1">IF(BC60&lt;&gt;"",BC15,"")</f>
        <v/>
      </c>
      <c r="BD57" s="198"/>
      <c r="BE57" s="198"/>
      <c r="BF57" s="198"/>
      <c r="BG57" s="116"/>
      <c r="BH57" s="101"/>
      <c r="BI57" s="101"/>
      <c r="BJ57" s="102" t="str" cm="1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198" t="str">
        <f ca="1">IF(BK60&lt;&gt;"",BK15,"")</f>
        <v/>
      </c>
      <c r="BL57" s="198"/>
      <c r="BM57" s="198"/>
      <c r="BN57" s="198"/>
      <c r="BO57" s="120"/>
      <c r="BP57" s="101"/>
      <c r="BQ57" s="102" t="str" cm="1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198" t="str">
        <f ca="1">IF(BR60&lt;&gt;"",BR15,"")</f>
        <v/>
      </c>
      <c r="BS57" s="198"/>
      <c r="BT57" s="198"/>
      <c r="BU57" s="198"/>
      <c r="BV57" s="116"/>
      <c r="BW57" s="101"/>
      <c r="BX57" s="101"/>
      <c r="BY57" s="102" t="str" cm="1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198" t="str">
        <f ca="1">IF(BZ60&lt;&gt;"",BZ15,"")</f>
        <v/>
      </c>
      <c r="CA57" s="198"/>
      <c r="CB57" s="198"/>
      <c r="CC57" s="198"/>
      <c r="CD57" s="120"/>
      <c r="CE57" s="101"/>
      <c r="CF57" s="102" t="str" cm="1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198" t="str">
        <f ca="1">IF(CG60&lt;&gt;"",CG15,"")</f>
        <v/>
      </c>
      <c r="CH57" s="198"/>
      <c r="CI57" s="198"/>
      <c r="CJ57" s="198"/>
      <c r="CK57" s="116"/>
      <c r="CL57" s="101"/>
      <c r="CM57" s="101"/>
      <c r="CN57" s="102" t="str" cm="1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198" t="str">
        <f ca="1">IF(CO60&lt;&gt;"",CO15,"")</f>
        <v/>
      </c>
      <c r="CP57" s="198"/>
      <c r="CQ57" s="198"/>
      <c r="CR57" s="198"/>
      <c r="CS57" s="120"/>
      <c r="CT57" s="101"/>
      <c r="CU57" s="102" t="str" cm="1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198" t="str">
        <f ca="1">IF(CV60&lt;&gt;"",CV15,"")</f>
        <v/>
      </c>
      <c r="CW57" s="198"/>
      <c r="CX57" s="198"/>
      <c r="CY57" s="198"/>
      <c r="CZ57" s="116"/>
      <c r="DA57" s="101"/>
      <c r="DB57" s="101"/>
      <c r="DC57" s="102" t="str" cm="1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198" t="str">
        <f ca="1">IF(DD60&lt;&gt;"",DD15,"")</f>
        <v/>
      </c>
      <c r="DE57" s="198"/>
      <c r="DF57" s="198"/>
      <c r="DG57" s="198"/>
      <c r="DH57" s="120"/>
      <c r="DI57" s="101"/>
      <c r="DJ57" s="102" t="str" cm="1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198" t="str">
        <f ca="1">IF(DK60&lt;&gt;"",DK15,"")</f>
        <v/>
      </c>
      <c r="DL57" s="198"/>
      <c r="DM57" s="198"/>
      <c r="DN57" s="198"/>
      <c r="DO57" s="116"/>
      <c r="DP57" s="101"/>
      <c r="DQ57" s="101"/>
      <c r="DR57" s="102" t="str" cm="1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198" t="str">
        <f ca="1">IF(DS60&lt;&gt;"",DS15,"")</f>
        <v/>
      </c>
      <c r="DT57" s="198"/>
      <c r="DU57" s="198"/>
      <c r="DV57" s="198"/>
      <c r="DW57" s="120"/>
      <c r="DX57" s="101"/>
      <c r="DY57" s="102" t="str" cm="1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198" t="str">
        <f ca="1">IF(DZ60&lt;&gt;"",DZ15,"")</f>
        <v/>
      </c>
      <c r="EA57" s="198"/>
      <c r="EB57" s="198"/>
      <c r="EC57" s="198"/>
      <c r="ED57" s="116"/>
      <c r="EE57" s="101"/>
      <c r="EF57" s="101"/>
      <c r="EG57" s="102" t="str" cm="1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198" t="str">
        <f ca="1">IF(EH60&lt;&gt;"",EH15,"")</f>
        <v/>
      </c>
      <c r="EI57" s="198"/>
      <c r="EJ57" s="198"/>
      <c r="EK57" s="198"/>
      <c r="EL57" s="120"/>
      <c r="EM57" s="101"/>
      <c r="EN57" s="102" t="str" cm="1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198" t="str">
        <f ca="1">IF(EO60&lt;&gt;"",EO15,"")</f>
        <v/>
      </c>
      <c r="EP57" s="198"/>
      <c r="EQ57" s="198"/>
      <c r="ER57" s="198"/>
      <c r="ES57" s="116"/>
      <c r="ET57" s="132"/>
      <c r="EU57" s="103">
        <f t="shared" si="4"/>
        <v>14</v>
      </c>
      <c r="EV57" s="103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3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3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3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3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3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3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3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3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3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3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3">
        <f t="shared" ca="1" si="3"/>
        <v>0</v>
      </c>
      <c r="FH57" s="103" t="e">
        <f t="array" aca="1" ref="FH57" ca="1">SUMPRODUCT((LEN(EV57:FF57)&gt;0)*1)&gt;0</f>
        <v>#VALUE!</v>
      </c>
      <c r="FI57" s="103" t="str">
        <f t="array" aca="1" ref="FI57" ca="1">IFERROR(SMALL(IF(FG$1:FG$169&lt;&gt;0,FG$1:FG$169),ROW(A57)),"")</f>
        <v/>
      </c>
      <c r="FJ57" s="103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3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3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3" t="str">
        <f t="array" aca="1" ref="FM57" ca="1">IF($FI57&lt;&gt;"",
IF(FL57="",
INDIRECT("EY"&amp;$FI57&amp;"")&amp;"箱"
&amp;INDIRECT("EZ"&amp;$FI57&amp;""),""),"")</f>
        <v/>
      </c>
      <c r="FN57" s="103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3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3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3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3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3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3" customFormat="1" ht="18" customHeight="1" x14ac:dyDescent="0.55000000000000004">
      <c r="A58" s="101"/>
      <c r="B58" s="106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5" t="str" cm="1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101"/>
      <c r="E58" s="107" t="str" cm="1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+MATCH(TRUE,INDIRECT("'数出表_Excel'!"&amp;B57&amp;MATCH(C57,数出表_Excel!$A:$A,0)-1&amp;":AL"&amp;MATCH(C57,数出表_Excel!$A:$A,0)-1&amp;"")&lt;&gt;"",0))&gt;=12,"",
IFERROR(
INDEX(INDIRECT("数出表_Excel!$"&amp;B57&amp;"4:$AL4"),
 1,
MATCH(TRUE,INDIRECT("'数出表_Excel'!"&amp;B57&amp;MATCH(C57,数出表_Excel!$A:$A,0)-1&amp;":AL"&amp;MATCH(C57,数出表_Excel!$A:$A,0)-1&amp;"")&lt;&gt;"",0)
),
 "")
&amp;IFERROR(
INDEX(INDIRECT("数出表_Excel!$"&amp;B57&amp;"5:$AL5"),
 1,
MATCH(TRUE,INDIRECT("'数出表_Excel'!"&amp;B57&amp;MATCH(C57,数出表_Excel!$A:$A,0)-1&amp;":AL"&amp;MATCH(C57,数出表_Excel!$A:$A,0)-1&amp;"")&lt;&gt;"",0)),
 "")),"")))</f>
        <v/>
      </c>
      <c r="F58" s="108" t="str" cm="1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ISNUMBER(--INDIRECT("'数出表_Excel（アレルギー入力）'!B"&amp;MATCH(C57,'数出表_Excel（アレルギー入力）'!$A:$A,0)-1&amp;":AL"&amp;MATCH(C57,'数出表_Excel（アレルギー入力）'!$A:$A,0)-1&amp;"")),0)&gt;10,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21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01"/>
      <c r="I58" s="106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5" t="str" cm="1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101"/>
      <c r="L58" s="107" t="str" cm="1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+MATCH(TRUE,INDIRECT("'数出表_Excel'!"&amp;I57&amp;MATCH(J57,数出表_Excel!$A:$A,0)-1&amp;":AL"&amp;MATCH(J57,数出表_Excel!$A:$A,0)-1&amp;"")&lt;&gt;"",0))&gt;=12,"",
IFERROR(
INDEX(INDIRECT("数出表_Excel!$"&amp;I57&amp;"4:$AL4"),
 1,
MATCH(TRUE,INDIRECT("'数出表_Excel'!"&amp;I57&amp;MATCH(J57,数出表_Excel!$A:$A,0)-1&amp;":AL"&amp;MATCH(J57,数出表_Excel!$A:$A,0)-1&amp;"")&lt;&gt;"",0)
),
 "")
&amp;IFERROR(
INDEX(INDIRECT("数出表_Excel!$"&amp;I57&amp;"5:$AL5"),
 1,
MATCH(TRUE,INDIRECT("'数出表_Excel'!"&amp;I57&amp;MATCH(J57,数出表_Excel!$A:$A,0)-1&amp;":AL"&amp;MATCH(J57,数出表_Excel!$A:$A,0)-1&amp;"")&lt;&gt;"",0)),
 "")),"")))</f>
        <v/>
      </c>
      <c r="M58" s="108" t="str" cm="1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ISNUMBER(--INDIRECT("'数出表_Excel（アレルギー入力）'!B"&amp;MATCH(J57,'数出表_Excel（アレルギー入力）'!$A:$A,0)-1&amp;":AL"&amp;MATCH(J57,'数出表_Excel（アレルギー入力）'!$A:$A,0)-1&amp;"")),0)&gt;10,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117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01"/>
      <c r="P58" s="101"/>
      <c r="Q58" s="106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5" t="str" cm="1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101"/>
      <c r="T58" s="107" t="str" cm="1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+MATCH(TRUE,INDIRECT("'数出表_Excel'!"&amp;Q57&amp;MATCH(R57,数出表_Excel!$A:$A,0)-1&amp;":AL"&amp;MATCH(R57,数出表_Excel!$A:$A,0)-1&amp;"")&lt;&gt;"",0))&gt;=12,"",
IFERROR(
INDEX(INDIRECT("数出表_Excel!$"&amp;Q57&amp;"4:$AL4"),
 1,
MATCH(TRUE,INDIRECT("'数出表_Excel'!"&amp;Q57&amp;MATCH(R57,数出表_Excel!$A:$A,0)-1&amp;":AL"&amp;MATCH(R57,数出表_Excel!$A:$A,0)-1&amp;"")&lt;&gt;"",0)
),
 "")
&amp;IFERROR(
INDEX(INDIRECT("数出表_Excel!$"&amp;Q57&amp;"5:$AL5"),
 1,
MATCH(TRUE,INDIRECT("'数出表_Excel'!"&amp;Q57&amp;MATCH(R57,数出表_Excel!$A:$A,0)-1&amp;":AL"&amp;MATCH(R57,数出表_Excel!$A:$A,0)-1&amp;"")&lt;&gt;"",0)),
 "")),"")))</f>
        <v/>
      </c>
      <c r="U58" s="108" t="str" cm="1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ISNUMBER(--INDIRECT("'数出表_Excel（アレルギー入力）'!B"&amp;MATCH(R57,'数出表_Excel（アレルギー入力）'!$A:$A,0)-1&amp;":AL"&amp;MATCH(R57,'数出表_Excel（アレルギー入力）'!$A:$A,0)-1&amp;"")),0)&gt;10,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21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1"/>
      <c r="X58" s="106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5" t="str" cm="1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101"/>
      <c r="AA58" s="107" t="str" cm="1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+MATCH(TRUE,INDIRECT("'数出表_Excel'!"&amp;X57&amp;MATCH(Y57,数出表_Excel!$A:$A,0)-1&amp;":AL"&amp;MATCH(Y57,数出表_Excel!$A:$A,0)-1&amp;"")&lt;&gt;"",0))&gt;=12,"",
IFERROR(
INDEX(INDIRECT("数出表_Excel!$"&amp;X57&amp;"4:$AL4"),
 1,
MATCH(TRUE,INDIRECT("'数出表_Excel'!"&amp;X57&amp;MATCH(Y57,数出表_Excel!$A:$A,0)-1&amp;":AL"&amp;MATCH(Y57,数出表_Excel!$A:$A,0)-1&amp;"")&lt;&gt;"",0)
),
 "")
&amp;IFERROR(
INDEX(INDIRECT("数出表_Excel!$"&amp;X57&amp;"5:$AL5"),
 1,
MATCH(TRUE,INDIRECT("'数出表_Excel'!"&amp;X57&amp;MATCH(Y57,数出表_Excel!$A:$A,0)-1&amp;":AL"&amp;MATCH(Y57,数出表_Excel!$A:$A,0)-1&amp;"")&lt;&gt;"",0)),
 "")),"")))</f>
        <v/>
      </c>
      <c r="AB58" s="108" t="str" cm="1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ISNUMBER(--INDIRECT("'数出表_Excel（アレルギー入力）'!B"&amp;MATCH(Y57,'数出表_Excel（アレルギー入力）'!$A:$A,0)-1&amp;":AL"&amp;MATCH(Y57,'数出表_Excel（アレルギー入力）'!$A:$A,0)-1&amp;"")),0)&gt;10,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117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1"/>
      <c r="AE58" s="101"/>
      <c r="AF58" s="106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5" t="str" cm="1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101"/>
      <c r="AI58" s="107" t="str" cm="1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+MATCH(TRUE,INDIRECT("'数出表_Excel'!"&amp;AF57&amp;MATCH(AG57,数出表_Excel!$A:$A,0)-1&amp;":AL"&amp;MATCH(AG57,数出表_Excel!$A:$A,0)-1&amp;"")&lt;&gt;"",0))&gt;=12,"",
IFERROR(
INDEX(INDIRECT("数出表_Excel!$"&amp;AF57&amp;"4:$AL4"),
 1,
MATCH(TRUE,INDIRECT("'数出表_Excel'!"&amp;AF57&amp;MATCH(AG57,数出表_Excel!$A:$A,0)-1&amp;":AL"&amp;MATCH(AG57,数出表_Excel!$A:$A,0)-1&amp;"")&lt;&gt;"",0)
),
 "")
&amp;IFERROR(
INDEX(INDIRECT("数出表_Excel!$"&amp;AF57&amp;"5:$AL5"),
 1,
MATCH(TRUE,INDIRECT("'数出表_Excel'!"&amp;AF57&amp;MATCH(AG57,数出表_Excel!$A:$A,0)-1&amp;":AL"&amp;MATCH(AG57,数出表_Excel!$A:$A,0)-1&amp;"")&lt;&gt;"",0)),
 "")),"")))</f>
        <v/>
      </c>
      <c r="AJ58" s="108" t="str" cm="1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ISNUMBER(--INDIRECT("'数出表_Excel（アレルギー入力）'!B"&amp;MATCH(AG57,'数出表_Excel（アレルギー入力）'!$A:$A,0)-1&amp;":AL"&amp;MATCH(AG57,'数出表_Excel（アレルギー入力）'!$A:$A,0)-1&amp;"")),0)&gt;10,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21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1"/>
      <c r="AM58" s="106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5" t="str" cm="1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101"/>
      <c r="AP58" s="107" t="str" cm="1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+MATCH(TRUE,INDIRECT("'数出表_Excel'!"&amp;AM57&amp;MATCH(AN57,数出表_Excel!$A:$A,0)-1&amp;":AL"&amp;MATCH(AN57,数出表_Excel!$A:$A,0)-1&amp;"")&lt;&gt;"",0))&gt;=12,"",
IFERROR(
INDEX(INDIRECT("数出表_Excel!$"&amp;AM57&amp;"4:$AL4"),
 1,
MATCH(TRUE,INDIRECT("'数出表_Excel'!"&amp;AM57&amp;MATCH(AN57,数出表_Excel!$A:$A,0)-1&amp;":AL"&amp;MATCH(AN57,数出表_Excel!$A:$A,0)-1&amp;"")&lt;&gt;"",0)
),
 "")
&amp;IFERROR(
INDEX(INDIRECT("数出表_Excel!$"&amp;AM57&amp;"5:$AL5"),
 1,
MATCH(TRUE,INDIRECT("'数出表_Excel'!"&amp;AM57&amp;MATCH(AN57,数出表_Excel!$A:$A,0)-1&amp;":AL"&amp;MATCH(AN57,数出表_Excel!$A:$A,0)-1&amp;"")&lt;&gt;"",0)),
 "")),"")))</f>
        <v/>
      </c>
      <c r="AQ58" s="108" t="str" cm="1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ISNUMBER(--INDIRECT("'数出表_Excel（アレルギー入力）'!B"&amp;MATCH(AN57,'数出表_Excel（アレルギー入力）'!$A:$A,0)-1&amp;":AL"&amp;MATCH(AN57,'数出表_Excel（アレルギー入力）'!$A:$A,0)-1&amp;"")),0)&gt;10,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117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1"/>
      <c r="AT58" s="101"/>
      <c r="AU58" s="106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5" t="str" cm="1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101"/>
      <c r="AX58" s="107" t="str" cm="1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+MATCH(TRUE,INDIRECT("'数出表_Excel'!"&amp;AU57&amp;MATCH(AV57,数出表_Excel!$A:$A,0)-1&amp;":AL"&amp;MATCH(AV57,数出表_Excel!$A:$A,0)-1&amp;"")&lt;&gt;"",0))&gt;=12,"",
IFERROR(
INDEX(INDIRECT("数出表_Excel!$"&amp;AU57&amp;"4:$AL4"),
 1,
MATCH(TRUE,INDIRECT("'数出表_Excel'!"&amp;AU57&amp;MATCH(AV57,数出表_Excel!$A:$A,0)-1&amp;":AL"&amp;MATCH(AV57,数出表_Excel!$A:$A,0)-1&amp;"")&lt;&gt;"",0)
),
 "")
&amp;IFERROR(
INDEX(INDIRECT("数出表_Excel!$"&amp;AU57&amp;"5:$AL5"),
 1,
MATCH(TRUE,INDIRECT("'数出表_Excel'!"&amp;AU57&amp;MATCH(AV57,数出表_Excel!$A:$A,0)-1&amp;":AL"&amp;MATCH(AV57,数出表_Excel!$A:$A,0)-1&amp;"")&lt;&gt;"",0)),
 "")),"")))</f>
        <v/>
      </c>
      <c r="AY58" s="108" t="str" cm="1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ISNUMBER(--INDIRECT("'数出表_Excel（アレルギー入力）'!B"&amp;MATCH(AV57,'数出表_Excel（アレルギー入力）'!$A:$A,0)-1&amp;":AL"&amp;MATCH(AV57,'数出表_Excel（アレルギー入力）'!$A:$A,0)-1&amp;"")),0)&gt;10,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21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1"/>
      <c r="BB58" s="106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5" t="str" cm="1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101"/>
      <c r="BE58" s="107" t="str" cm="1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+MATCH(TRUE,INDIRECT("'数出表_Excel'!"&amp;BB57&amp;MATCH(BC57,数出表_Excel!$A:$A,0)-1&amp;":AL"&amp;MATCH(BC57,数出表_Excel!$A:$A,0)-1&amp;"")&lt;&gt;"",0))&gt;=12,"",
IFERROR(
INDEX(INDIRECT("数出表_Excel!$"&amp;BB57&amp;"4:$AL4"),
 1,
MATCH(TRUE,INDIRECT("'数出表_Excel'!"&amp;BB57&amp;MATCH(BC57,数出表_Excel!$A:$A,0)-1&amp;":AL"&amp;MATCH(BC57,数出表_Excel!$A:$A,0)-1&amp;"")&lt;&gt;"",0)
),
 "")
&amp;IFERROR(
INDEX(INDIRECT("数出表_Excel!$"&amp;BB57&amp;"5:$AL5"),
 1,
MATCH(TRUE,INDIRECT("'数出表_Excel'!"&amp;BB57&amp;MATCH(BC57,数出表_Excel!$A:$A,0)-1&amp;":AL"&amp;MATCH(BC57,数出表_Excel!$A:$A,0)-1&amp;"")&lt;&gt;"",0)),
 "")),"")))</f>
        <v/>
      </c>
      <c r="BF58" s="108" t="str" cm="1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ISNUMBER(--INDIRECT("'数出表_Excel（アレルギー入力）'!B"&amp;MATCH(BC57,'数出表_Excel（アレルギー入力）'!$A:$A,0)-1&amp;":AL"&amp;MATCH(BC57,'数出表_Excel（アレルギー入力）'!$A:$A,0)-1&amp;"")),0)&gt;10,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117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1"/>
      <c r="BI58" s="101"/>
      <c r="BJ58" s="106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5" t="str" cm="1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101"/>
      <c r="BM58" s="107" t="str" cm="1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+MATCH(TRUE,INDIRECT("'数出表_Excel'!"&amp;BJ57&amp;MATCH(BK57,数出表_Excel!$A:$A,0)-1&amp;":AL"&amp;MATCH(BK57,数出表_Excel!$A:$A,0)-1&amp;"")&lt;&gt;"",0))&gt;=12,"",
IFERROR(
INDEX(INDIRECT("数出表_Excel!$"&amp;BJ57&amp;"4:$AL4"),
 1,
MATCH(TRUE,INDIRECT("'数出表_Excel'!"&amp;BJ57&amp;MATCH(BK57,数出表_Excel!$A:$A,0)-1&amp;":AL"&amp;MATCH(BK57,数出表_Excel!$A:$A,0)-1&amp;"")&lt;&gt;"",0)
),
 "")
&amp;IFERROR(
INDEX(INDIRECT("数出表_Excel!$"&amp;BJ57&amp;"5:$AL5"),
 1,
MATCH(TRUE,INDIRECT("'数出表_Excel'!"&amp;BJ57&amp;MATCH(BK57,数出表_Excel!$A:$A,0)-1&amp;":AL"&amp;MATCH(BK57,数出表_Excel!$A:$A,0)-1&amp;"")&lt;&gt;"",0)),
 "")),"")))</f>
        <v/>
      </c>
      <c r="BN58" s="108" t="str" cm="1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ISNUMBER(--INDIRECT("'数出表_Excel（アレルギー入力）'!B"&amp;MATCH(BK57,'数出表_Excel（アレルギー入力）'!$A:$A,0)-1&amp;":AL"&amp;MATCH(BK57,'数出表_Excel（アレルギー入力）'!$A:$A,0)-1&amp;"")),0)&gt;10,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21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1"/>
      <c r="BQ58" s="106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5" t="str" cm="1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101"/>
      <c r="BT58" s="107" t="str" cm="1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+MATCH(TRUE,INDIRECT("'数出表_Excel'!"&amp;BQ57&amp;MATCH(BR57,数出表_Excel!$A:$A,0)-1&amp;":AL"&amp;MATCH(BR57,数出表_Excel!$A:$A,0)-1&amp;"")&lt;&gt;"",0))&gt;=12,"",
IFERROR(
INDEX(INDIRECT("数出表_Excel!$"&amp;BQ57&amp;"4:$AL4"),
 1,
MATCH(TRUE,INDIRECT("'数出表_Excel'!"&amp;BQ57&amp;MATCH(BR57,数出表_Excel!$A:$A,0)-1&amp;":AL"&amp;MATCH(BR57,数出表_Excel!$A:$A,0)-1&amp;"")&lt;&gt;"",0)
),
 "")
&amp;IFERROR(
INDEX(INDIRECT("数出表_Excel!$"&amp;BQ57&amp;"5:$AL5"),
 1,
MATCH(TRUE,INDIRECT("'数出表_Excel'!"&amp;BQ57&amp;MATCH(BR57,数出表_Excel!$A:$A,0)-1&amp;":AL"&amp;MATCH(BR57,数出表_Excel!$A:$A,0)-1&amp;"")&lt;&gt;"",0)),
 "")),"")))</f>
        <v/>
      </c>
      <c r="BU58" s="108" t="str" cm="1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ISNUMBER(--INDIRECT("'数出表_Excel（アレルギー入力）'!B"&amp;MATCH(BR57,'数出表_Excel（アレルギー入力）'!$A:$A,0)-1&amp;":AL"&amp;MATCH(BR57,'数出表_Excel（アレルギー入力）'!$A:$A,0)-1&amp;"")),0)&gt;10,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117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1"/>
      <c r="BX58" s="101"/>
      <c r="BY58" s="106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5" t="str" cm="1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101"/>
      <c r="CB58" s="107" t="str" cm="1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+MATCH(TRUE,INDIRECT("'数出表_Excel'!"&amp;BY57&amp;MATCH(BZ57,数出表_Excel!$A:$A,0)-1&amp;":AL"&amp;MATCH(BZ57,数出表_Excel!$A:$A,0)-1&amp;"")&lt;&gt;"",0))&gt;=12,"",
IFERROR(
INDEX(INDIRECT("数出表_Excel!$"&amp;BY57&amp;"4:$AL4"),
 1,
MATCH(TRUE,INDIRECT("'数出表_Excel'!"&amp;BY57&amp;MATCH(BZ57,数出表_Excel!$A:$A,0)-1&amp;":AL"&amp;MATCH(BZ57,数出表_Excel!$A:$A,0)-1&amp;"")&lt;&gt;"",0)
),
 "")
&amp;IFERROR(
INDEX(INDIRECT("数出表_Excel!$"&amp;BY57&amp;"5:$AL5"),
 1,
MATCH(TRUE,INDIRECT("'数出表_Excel'!"&amp;BY57&amp;MATCH(BZ57,数出表_Excel!$A:$A,0)-1&amp;":AL"&amp;MATCH(BZ57,数出表_Excel!$A:$A,0)-1&amp;"")&lt;&gt;"",0)),
 "")),"")))</f>
        <v/>
      </c>
      <c r="CC58" s="108" t="str" cm="1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ISNUMBER(--INDIRECT("'数出表_Excel（アレルギー入力）'!B"&amp;MATCH(BZ57,'数出表_Excel（アレルギー入力）'!$A:$A,0)-1&amp;":AL"&amp;MATCH(BZ57,'数出表_Excel（アレルギー入力）'!$A:$A,0)-1&amp;"")),0)&gt;10,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21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1"/>
      <c r="CF58" s="106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5" t="str" cm="1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101"/>
      <c r="CI58" s="107" t="str" cm="1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+MATCH(TRUE,INDIRECT("'数出表_Excel'!"&amp;CF57&amp;MATCH(CG57,数出表_Excel!$A:$A,0)-1&amp;":AL"&amp;MATCH(CG57,数出表_Excel!$A:$A,0)-1&amp;"")&lt;&gt;"",0))&gt;=12,"",
IFERROR(
INDEX(INDIRECT("数出表_Excel!$"&amp;CF57&amp;"4:$AL4"),
 1,
MATCH(TRUE,INDIRECT("'数出表_Excel'!"&amp;CF57&amp;MATCH(CG57,数出表_Excel!$A:$A,0)-1&amp;":AL"&amp;MATCH(CG57,数出表_Excel!$A:$A,0)-1&amp;"")&lt;&gt;"",0)
),
 "")
&amp;IFERROR(
INDEX(INDIRECT("数出表_Excel!$"&amp;CF57&amp;"5:$AL5"),
 1,
MATCH(TRUE,INDIRECT("'数出表_Excel'!"&amp;CF57&amp;MATCH(CG57,数出表_Excel!$A:$A,0)-1&amp;":AL"&amp;MATCH(CG57,数出表_Excel!$A:$A,0)-1&amp;"")&lt;&gt;"",0)),
 "")),"")))</f>
        <v/>
      </c>
      <c r="CJ58" s="108" t="str" cm="1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ISNUMBER(--INDIRECT("'数出表_Excel（アレルギー入力）'!B"&amp;MATCH(CG57,'数出表_Excel（アレルギー入力）'!$A:$A,0)-1&amp;":AL"&amp;MATCH(CG57,'数出表_Excel（アレルギー入力）'!$A:$A,0)-1&amp;"")),0)&gt;10,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117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1"/>
      <c r="CM58" s="101"/>
      <c r="CN58" s="106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5" t="str" cm="1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101"/>
      <c r="CQ58" s="107" t="str" cm="1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+MATCH(TRUE,INDIRECT("'数出表_Excel'!"&amp;CN57&amp;MATCH(CO57,数出表_Excel!$A:$A,0)-1&amp;":AL"&amp;MATCH(CO57,数出表_Excel!$A:$A,0)-1&amp;"")&lt;&gt;"",0))&gt;=12,"",
IFERROR(
INDEX(INDIRECT("数出表_Excel!$"&amp;CN57&amp;"4:$AL4"),
 1,
MATCH(TRUE,INDIRECT("'数出表_Excel'!"&amp;CN57&amp;MATCH(CO57,数出表_Excel!$A:$A,0)-1&amp;":AL"&amp;MATCH(CO57,数出表_Excel!$A:$A,0)-1&amp;"")&lt;&gt;"",0)
),
 "")
&amp;IFERROR(
INDEX(INDIRECT("数出表_Excel!$"&amp;CN57&amp;"5:$AL5"),
 1,
MATCH(TRUE,INDIRECT("'数出表_Excel'!"&amp;CN57&amp;MATCH(CO57,数出表_Excel!$A:$A,0)-1&amp;":AL"&amp;MATCH(CO57,数出表_Excel!$A:$A,0)-1&amp;"")&lt;&gt;"",0)),
 "")),"")))</f>
        <v/>
      </c>
      <c r="CR58" s="108" t="str" cm="1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ISNUMBER(--INDIRECT("'数出表_Excel（アレルギー入力）'!B"&amp;MATCH(CO57,'数出表_Excel（アレルギー入力）'!$A:$A,0)-1&amp;":AL"&amp;MATCH(CO57,'数出表_Excel（アレルギー入力）'!$A:$A,0)-1&amp;"")),0)&gt;10,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21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1"/>
      <c r="CU58" s="106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5" t="str" cm="1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101"/>
      <c r="CX58" s="107" t="str" cm="1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+MATCH(TRUE,INDIRECT("'数出表_Excel'!"&amp;CU57&amp;MATCH(CV57,数出表_Excel!$A:$A,0)-1&amp;":AL"&amp;MATCH(CV57,数出表_Excel!$A:$A,0)-1&amp;"")&lt;&gt;"",0))&gt;=12,"",
IFERROR(
INDEX(INDIRECT("数出表_Excel!$"&amp;CU57&amp;"4:$AL4"),
 1,
MATCH(TRUE,INDIRECT("'数出表_Excel'!"&amp;CU57&amp;MATCH(CV57,数出表_Excel!$A:$A,0)-1&amp;":AL"&amp;MATCH(CV57,数出表_Excel!$A:$A,0)-1&amp;"")&lt;&gt;"",0)
),
 "")
&amp;IFERROR(
INDEX(INDIRECT("数出表_Excel!$"&amp;CU57&amp;"5:$AL5"),
 1,
MATCH(TRUE,INDIRECT("'数出表_Excel'!"&amp;CU57&amp;MATCH(CV57,数出表_Excel!$A:$A,0)-1&amp;":AL"&amp;MATCH(CV57,数出表_Excel!$A:$A,0)-1&amp;"")&lt;&gt;"",0)),
 "")),"")))</f>
        <v/>
      </c>
      <c r="CY58" s="108" t="str" cm="1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ISNUMBER(--INDIRECT("'数出表_Excel（アレルギー入力）'!B"&amp;MATCH(CV57,'数出表_Excel（アレルギー入力）'!$A:$A,0)-1&amp;":AL"&amp;MATCH(CV57,'数出表_Excel（アレルギー入力）'!$A:$A,0)-1&amp;"")),0)&gt;10,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117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1"/>
      <c r="DB58" s="101"/>
      <c r="DC58" s="106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5" t="str" cm="1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101"/>
      <c r="DF58" s="107" t="str" cm="1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+MATCH(TRUE,INDIRECT("'数出表_Excel'!"&amp;DC57&amp;MATCH(DD57,数出表_Excel!$A:$A,0)-1&amp;":AL"&amp;MATCH(DD57,数出表_Excel!$A:$A,0)-1&amp;"")&lt;&gt;"",0))&gt;=12,"",
IFERROR(
INDEX(INDIRECT("数出表_Excel!$"&amp;DC57&amp;"4:$AL4"),
 1,
MATCH(TRUE,INDIRECT("'数出表_Excel'!"&amp;DC57&amp;MATCH(DD57,数出表_Excel!$A:$A,0)-1&amp;":AL"&amp;MATCH(DD57,数出表_Excel!$A:$A,0)-1&amp;"")&lt;&gt;"",0)
),
 "")
&amp;IFERROR(
INDEX(INDIRECT("数出表_Excel!$"&amp;DC57&amp;"5:$AL5"),
 1,
MATCH(TRUE,INDIRECT("'数出表_Excel'!"&amp;DC57&amp;MATCH(DD57,数出表_Excel!$A:$A,0)-1&amp;":AL"&amp;MATCH(DD57,数出表_Excel!$A:$A,0)-1&amp;"")&lt;&gt;"",0)),
 "")),"")))</f>
        <v/>
      </c>
      <c r="DG58" s="108" t="str" cm="1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ISNUMBER(--INDIRECT("'数出表_Excel（アレルギー入力）'!B"&amp;MATCH(DD57,'数出表_Excel（アレルギー入力）'!$A:$A,0)-1&amp;":AL"&amp;MATCH(DD57,'数出表_Excel（アレルギー入力）'!$A:$A,0)-1&amp;"")),0)&gt;10,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21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1"/>
      <c r="DJ58" s="106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5" t="str" cm="1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101"/>
      <c r="DM58" s="107" t="str" cm="1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+MATCH(TRUE,INDIRECT("'数出表_Excel'!"&amp;DJ57&amp;MATCH(DK57,数出表_Excel!$A:$A,0)-1&amp;":AL"&amp;MATCH(DK57,数出表_Excel!$A:$A,0)-1&amp;"")&lt;&gt;"",0))&gt;=12,"",
IFERROR(
INDEX(INDIRECT("数出表_Excel!$"&amp;DJ57&amp;"4:$AL4"),
 1,
MATCH(TRUE,INDIRECT("'数出表_Excel'!"&amp;DJ57&amp;MATCH(DK57,数出表_Excel!$A:$A,0)-1&amp;":AL"&amp;MATCH(DK57,数出表_Excel!$A:$A,0)-1&amp;"")&lt;&gt;"",0)
),
 "")
&amp;IFERROR(
INDEX(INDIRECT("数出表_Excel!$"&amp;DJ57&amp;"5:$AL5"),
 1,
MATCH(TRUE,INDIRECT("'数出表_Excel'!"&amp;DJ57&amp;MATCH(DK57,数出表_Excel!$A:$A,0)-1&amp;":AL"&amp;MATCH(DK57,数出表_Excel!$A:$A,0)-1&amp;"")&lt;&gt;"",0)),
 "")),"")))</f>
        <v/>
      </c>
      <c r="DN58" s="108" t="str" cm="1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ISNUMBER(--INDIRECT("'数出表_Excel（アレルギー入力）'!B"&amp;MATCH(DK57,'数出表_Excel（アレルギー入力）'!$A:$A,0)-1&amp;":AL"&amp;MATCH(DK57,'数出表_Excel（アレルギー入力）'!$A:$A,0)-1&amp;"")),0)&gt;10,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117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1"/>
      <c r="DQ58" s="101"/>
      <c r="DR58" s="106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5" t="str" cm="1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101"/>
      <c r="DU58" s="107" t="str" cm="1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+MATCH(TRUE,INDIRECT("'数出表_Excel'!"&amp;DR57&amp;MATCH(DS57,数出表_Excel!$A:$A,0)-1&amp;":AL"&amp;MATCH(DS57,数出表_Excel!$A:$A,0)-1&amp;"")&lt;&gt;"",0))&gt;=12,"",
IFERROR(
INDEX(INDIRECT("数出表_Excel!$"&amp;DR57&amp;"4:$AL4"),
 1,
MATCH(TRUE,INDIRECT("'数出表_Excel'!"&amp;DR57&amp;MATCH(DS57,数出表_Excel!$A:$A,0)-1&amp;":AL"&amp;MATCH(DS57,数出表_Excel!$A:$A,0)-1&amp;"")&lt;&gt;"",0)
),
 "")
&amp;IFERROR(
INDEX(INDIRECT("数出表_Excel!$"&amp;DR57&amp;"5:$AL5"),
 1,
MATCH(TRUE,INDIRECT("'数出表_Excel'!"&amp;DR57&amp;MATCH(DS57,数出表_Excel!$A:$A,0)-1&amp;":AL"&amp;MATCH(DS57,数出表_Excel!$A:$A,0)-1&amp;"")&lt;&gt;"",0)),
 "")),"")))</f>
        <v/>
      </c>
      <c r="DV58" s="108" t="str" cm="1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ISNUMBER(--INDIRECT("'数出表_Excel（アレルギー入力）'!B"&amp;MATCH(DS57,'数出表_Excel（アレルギー入力）'!$A:$A,0)-1&amp;":AL"&amp;MATCH(DS57,'数出表_Excel（アレルギー入力）'!$A:$A,0)-1&amp;"")),0)&gt;10,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21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1"/>
      <c r="DY58" s="106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5" t="str" cm="1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101"/>
      <c r="EB58" s="107" t="str" cm="1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+MATCH(TRUE,INDIRECT("'数出表_Excel'!"&amp;DY57&amp;MATCH(DZ57,数出表_Excel!$A:$A,0)-1&amp;":AL"&amp;MATCH(DZ57,数出表_Excel!$A:$A,0)-1&amp;"")&lt;&gt;"",0))&gt;=12,"",
IFERROR(
INDEX(INDIRECT("数出表_Excel!$"&amp;DY57&amp;"4:$AL4"),
 1,
MATCH(TRUE,INDIRECT("'数出表_Excel'!"&amp;DY57&amp;MATCH(DZ57,数出表_Excel!$A:$A,0)-1&amp;":AL"&amp;MATCH(DZ57,数出表_Excel!$A:$A,0)-1&amp;"")&lt;&gt;"",0)
),
 "")
&amp;IFERROR(
INDEX(INDIRECT("数出表_Excel!$"&amp;DY57&amp;"5:$AL5"),
 1,
MATCH(TRUE,INDIRECT("'数出表_Excel'!"&amp;DY57&amp;MATCH(DZ57,数出表_Excel!$A:$A,0)-1&amp;":AL"&amp;MATCH(DZ57,数出表_Excel!$A:$A,0)-1&amp;"")&lt;&gt;"",0)),
 "")),"")))</f>
        <v/>
      </c>
      <c r="EC58" s="108" t="str" cm="1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ISNUMBER(--INDIRECT("'数出表_Excel（アレルギー入力）'!B"&amp;MATCH(DZ57,'数出表_Excel（アレルギー入力）'!$A:$A,0)-1&amp;":AL"&amp;MATCH(DZ57,'数出表_Excel（アレルギー入力）'!$A:$A,0)-1&amp;"")),0)&gt;10,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117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1"/>
      <c r="EF58" s="101"/>
      <c r="EG58" s="106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5" t="str" cm="1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101"/>
      <c r="EJ58" s="107" t="str" cm="1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+MATCH(TRUE,INDIRECT("'数出表_Excel'!"&amp;EG57&amp;MATCH(EH57,数出表_Excel!$A:$A,0)-1&amp;":AL"&amp;MATCH(EH57,数出表_Excel!$A:$A,0)-1&amp;"")&lt;&gt;"",0))&gt;=12,"",
IFERROR(
INDEX(INDIRECT("数出表_Excel!$"&amp;EG57&amp;"4:$AL4"),
 1,
MATCH(TRUE,INDIRECT("'数出表_Excel'!"&amp;EG57&amp;MATCH(EH57,数出表_Excel!$A:$A,0)-1&amp;":AL"&amp;MATCH(EH57,数出表_Excel!$A:$A,0)-1&amp;"")&lt;&gt;"",0)
),
 "")
&amp;IFERROR(
INDEX(INDIRECT("数出表_Excel!$"&amp;EG57&amp;"5:$AL5"),
 1,
MATCH(TRUE,INDIRECT("'数出表_Excel'!"&amp;EG57&amp;MATCH(EH57,数出表_Excel!$A:$A,0)-1&amp;":AL"&amp;MATCH(EH57,数出表_Excel!$A:$A,0)-1&amp;"")&lt;&gt;"",0)),
 "")),"")))</f>
        <v/>
      </c>
      <c r="EK58" s="108" t="str" cm="1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ISNUMBER(--INDIRECT("'数出表_Excel（アレルギー入力）'!B"&amp;MATCH(EH57,'数出表_Excel（アレルギー入力）'!$A:$A,0)-1&amp;":AL"&amp;MATCH(EH57,'数出表_Excel（アレルギー入力）'!$A:$A,0)-1&amp;"")),0)&gt;10,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21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101"/>
      <c r="EN58" s="106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5" t="str" cm="1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101"/>
      <c r="EQ58" s="107" t="str" cm="1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+MATCH(TRUE,INDIRECT("'数出表_Excel'!"&amp;EN57&amp;MATCH(EO57,数出表_Excel!$A:$A,0)-1&amp;":AL"&amp;MATCH(EO57,数出表_Excel!$A:$A,0)-1&amp;"")&lt;&gt;"",0))&gt;=12,"",
IFERROR(
INDEX(INDIRECT("数出表_Excel!$"&amp;EN57&amp;"4:$AL4"),
 1,
MATCH(TRUE,INDIRECT("'数出表_Excel'!"&amp;EN57&amp;MATCH(EO57,数出表_Excel!$A:$A,0)-1&amp;":AL"&amp;MATCH(EO57,数出表_Excel!$A:$A,0)-1&amp;"")&lt;&gt;"",0)
),
 "")
&amp;IFERROR(
INDEX(INDIRECT("数出表_Excel!$"&amp;EN57&amp;"5:$AL5"),
 1,
MATCH(TRUE,INDIRECT("'数出表_Excel'!"&amp;EN57&amp;MATCH(EO57,数出表_Excel!$A:$A,0)-1&amp;":AL"&amp;MATCH(EO57,数出表_Excel!$A:$A,0)-1&amp;"")&lt;&gt;"",0)),
 "")),"")))</f>
        <v/>
      </c>
      <c r="ER58" s="108" t="str" cm="1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ISNUMBER(--INDIRECT("'数出表_Excel（アレルギー入力）'!B"&amp;MATCH(EO57,'数出表_Excel（アレルギー入力）'!$A:$A,0)-1&amp;":AL"&amp;MATCH(EO57,'数出表_Excel（アレルギー入力）'!$A:$A,0)-1&amp;"")),0)&gt;10,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117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3"/>
      <c r="EU58" s="103">
        <f t="shared" si="4"/>
        <v>56</v>
      </c>
      <c r="EV58" s="103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3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3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3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3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3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3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3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3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3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3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3">
        <f t="shared" ca="1" si="3"/>
        <v>0</v>
      </c>
      <c r="FH58" s="103" t="b">
        <f t="array" aca="1" ref="FH58" ca="1">SUMPRODUCT((LEN(EV58:FF58)&gt;0)*1)&gt;0</f>
        <v>0</v>
      </c>
      <c r="FI58" s="103" t="str">
        <f t="array" aca="1" ref="FI58" ca="1">IFERROR(SMALL(IF(FG$1:FG$169&lt;&gt;0,FG$1:FG$169),ROW(A58)),"")</f>
        <v/>
      </c>
      <c r="FJ58" s="103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3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3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3" t="str">
        <f t="array" aca="1" ref="FM58" ca="1">IF($FI58&lt;&gt;"",
IF(FL58="",
INDIRECT("CB"&amp;$FI58&amp;"")&amp;"箱"
&amp;INDIRECT("CC"&amp;$FI58&amp;""),""),"")</f>
        <v/>
      </c>
      <c r="FN58" s="103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3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3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3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3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3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3" customFormat="1" ht="22.2" customHeight="1" x14ac:dyDescent="0.55000000000000004">
      <c r="A59" s="101"/>
      <c r="B59" s="109"/>
      <c r="C59" s="196" t="str">
        <f ca="1">IF(C60&lt;&gt;"","園児","")</f>
        <v/>
      </c>
      <c r="D59" s="196"/>
      <c r="E59" s="200" t="str">
        <f ca="1">IF(C60&lt;&gt;"","先生","")</f>
        <v/>
      </c>
      <c r="F59" s="200"/>
      <c r="G59" s="122"/>
      <c r="H59" s="101"/>
      <c r="I59" s="109"/>
      <c r="J59" s="196" t="str">
        <f ca="1">IF(J60&lt;&gt;"","園児","")</f>
        <v/>
      </c>
      <c r="K59" s="196"/>
      <c r="L59" s="200" t="str">
        <f ca="1">IF(J60&lt;&gt;"","先生","")</f>
        <v/>
      </c>
      <c r="M59" s="200"/>
      <c r="N59" s="118"/>
      <c r="O59" s="101"/>
      <c r="P59" s="101"/>
      <c r="Q59" s="109"/>
      <c r="R59" s="196" t="str">
        <f ca="1">IF(R60&lt;&gt;"","園児","")</f>
        <v/>
      </c>
      <c r="S59" s="196"/>
      <c r="T59" s="200" t="str">
        <f ca="1">IF(R60&lt;&gt;"","先生","")</f>
        <v/>
      </c>
      <c r="U59" s="200"/>
      <c r="V59" s="122"/>
      <c r="W59" s="101"/>
      <c r="X59" s="109"/>
      <c r="Y59" s="196" t="str">
        <f ca="1">IF(Y60&lt;&gt;"","園児","")</f>
        <v/>
      </c>
      <c r="Z59" s="196"/>
      <c r="AA59" s="200" t="str">
        <f ca="1">IF(Y60&lt;&gt;"","先生","")</f>
        <v/>
      </c>
      <c r="AB59" s="200"/>
      <c r="AC59" s="118"/>
      <c r="AD59" s="101"/>
      <c r="AE59" s="101"/>
      <c r="AF59" s="109"/>
      <c r="AG59" s="196" t="str">
        <f ca="1">IF(AG60&lt;&gt;"","園児","")</f>
        <v/>
      </c>
      <c r="AH59" s="196"/>
      <c r="AI59" s="200" t="str">
        <f ca="1">IF(AG60&lt;&gt;"","先生","")</f>
        <v/>
      </c>
      <c r="AJ59" s="200"/>
      <c r="AK59" s="122"/>
      <c r="AL59" s="101"/>
      <c r="AM59" s="109"/>
      <c r="AN59" s="196" t="str">
        <f ca="1">IF(AN60&lt;&gt;"","園児","")</f>
        <v/>
      </c>
      <c r="AO59" s="196"/>
      <c r="AP59" s="200" t="str">
        <f ca="1">IF(AN60&lt;&gt;"","先生","")</f>
        <v/>
      </c>
      <c r="AQ59" s="200"/>
      <c r="AR59" s="118"/>
      <c r="AS59" s="101"/>
      <c r="AT59" s="101"/>
      <c r="AU59" s="109"/>
      <c r="AV59" s="196" t="str">
        <f ca="1">IF(AV60&lt;&gt;"","園児","")</f>
        <v/>
      </c>
      <c r="AW59" s="196"/>
      <c r="AX59" s="200" t="str">
        <f ca="1">IF(AV60&lt;&gt;"","先生","")</f>
        <v/>
      </c>
      <c r="AY59" s="200"/>
      <c r="AZ59" s="122"/>
      <c r="BA59" s="101"/>
      <c r="BB59" s="109"/>
      <c r="BC59" s="196" t="str">
        <f ca="1">IF(BC60&lt;&gt;"","園児","")</f>
        <v/>
      </c>
      <c r="BD59" s="196"/>
      <c r="BE59" s="200" t="str">
        <f ca="1">IF(BC60&lt;&gt;"","先生","")</f>
        <v/>
      </c>
      <c r="BF59" s="200"/>
      <c r="BG59" s="118"/>
      <c r="BH59" s="101"/>
      <c r="BI59" s="101"/>
      <c r="BJ59" s="109"/>
      <c r="BK59" s="196" t="str">
        <f ca="1">IF(BK60&lt;&gt;"","園児","")</f>
        <v/>
      </c>
      <c r="BL59" s="196"/>
      <c r="BM59" s="200" t="str">
        <f ca="1">IF(BK60&lt;&gt;"","先生","")</f>
        <v/>
      </c>
      <c r="BN59" s="200"/>
      <c r="BO59" s="122"/>
      <c r="BP59" s="101"/>
      <c r="BQ59" s="109"/>
      <c r="BR59" s="196" t="str">
        <f ca="1">IF(BR60&lt;&gt;"","園児","")</f>
        <v/>
      </c>
      <c r="BS59" s="196"/>
      <c r="BT59" s="200" t="str">
        <f ca="1">IF(BR60&lt;&gt;"","先生","")</f>
        <v/>
      </c>
      <c r="BU59" s="200"/>
      <c r="BV59" s="118"/>
      <c r="BW59" s="101"/>
      <c r="BX59" s="101"/>
      <c r="BY59" s="109"/>
      <c r="BZ59" s="196" t="str">
        <f ca="1">IF(BZ60&lt;&gt;"","園児","")</f>
        <v/>
      </c>
      <c r="CA59" s="196"/>
      <c r="CB59" s="200" t="str">
        <f ca="1">IF(BZ60&lt;&gt;"","先生","")</f>
        <v/>
      </c>
      <c r="CC59" s="200"/>
      <c r="CD59" s="122"/>
      <c r="CE59" s="101"/>
      <c r="CF59" s="109"/>
      <c r="CG59" s="196" t="str">
        <f ca="1">IF(CG60&lt;&gt;"","園児","")</f>
        <v/>
      </c>
      <c r="CH59" s="196"/>
      <c r="CI59" s="200" t="str">
        <f ca="1">IF(CG60&lt;&gt;"","先生","")</f>
        <v/>
      </c>
      <c r="CJ59" s="200"/>
      <c r="CK59" s="118"/>
      <c r="CL59" s="101"/>
      <c r="CM59" s="101"/>
      <c r="CN59" s="109"/>
      <c r="CO59" s="196" t="str">
        <f ca="1">IF(CO60&lt;&gt;"","園児","")</f>
        <v/>
      </c>
      <c r="CP59" s="196"/>
      <c r="CQ59" s="200" t="str">
        <f ca="1">IF(CO60&lt;&gt;"","先生","")</f>
        <v/>
      </c>
      <c r="CR59" s="200"/>
      <c r="CS59" s="122"/>
      <c r="CT59" s="101"/>
      <c r="CU59" s="109"/>
      <c r="CV59" s="196" t="str">
        <f ca="1">IF(CV60&lt;&gt;"","園児","")</f>
        <v/>
      </c>
      <c r="CW59" s="196"/>
      <c r="CX59" s="200" t="str">
        <f ca="1">IF(CV60&lt;&gt;"","先生","")</f>
        <v/>
      </c>
      <c r="CY59" s="200"/>
      <c r="CZ59" s="118"/>
      <c r="DA59" s="101"/>
      <c r="DB59" s="101"/>
      <c r="DC59" s="109"/>
      <c r="DD59" s="196" t="str">
        <f ca="1">IF(DD60&lt;&gt;"","園児","")</f>
        <v/>
      </c>
      <c r="DE59" s="196"/>
      <c r="DF59" s="200" t="str">
        <f ca="1">IF(DD60&lt;&gt;"","先生","")</f>
        <v/>
      </c>
      <c r="DG59" s="200"/>
      <c r="DH59" s="122"/>
      <c r="DI59" s="101"/>
      <c r="DJ59" s="109"/>
      <c r="DK59" s="196" t="str">
        <f ca="1">IF(DK60&lt;&gt;"","園児","")</f>
        <v/>
      </c>
      <c r="DL59" s="196"/>
      <c r="DM59" s="200" t="str">
        <f ca="1">IF(DK60&lt;&gt;"","先生","")</f>
        <v/>
      </c>
      <c r="DN59" s="200"/>
      <c r="DO59" s="118"/>
      <c r="DP59" s="101"/>
      <c r="DQ59" s="101"/>
      <c r="DR59" s="109"/>
      <c r="DS59" s="196" t="str">
        <f ca="1">IF(DS60&lt;&gt;"","園児","")</f>
        <v/>
      </c>
      <c r="DT59" s="196"/>
      <c r="DU59" s="200" t="str">
        <f ca="1">IF(DS60&lt;&gt;"","先生","")</f>
        <v/>
      </c>
      <c r="DV59" s="200"/>
      <c r="DW59" s="122"/>
      <c r="DX59" s="101"/>
      <c r="DY59" s="109"/>
      <c r="DZ59" s="196" t="str">
        <f ca="1">IF(DZ60&lt;&gt;"","園児","")</f>
        <v/>
      </c>
      <c r="EA59" s="196"/>
      <c r="EB59" s="200" t="str">
        <f ca="1">IF(DZ60&lt;&gt;"","先生","")</f>
        <v/>
      </c>
      <c r="EC59" s="200"/>
      <c r="ED59" s="118"/>
      <c r="EE59" s="101"/>
      <c r="EF59" s="101"/>
      <c r="EG59" s="109"/>
      <c r="EH59" s="196" t="str">
        <f ca="1">IF(EH60&lt;&gt;"","園児","")</f>
        <v/>
      </c>
      <c r="EI59" s="196"/>
      <c r="EJ59" s="200" t="str">
        <f ca="1">IF(EH60&lt;&gt;"","先生","")</f>
        <v/>
      </c>
      <c r="EK59" s="200"/>
      <c r="EL59" s="122"/>
      <c r="EM59" s="101"/>
      <c r="EN59" s="109"/>
      <c r="EO59" s="196" t="str">
        <f ca="1">IF(EO60&lt;&gt;"","園児","")</f>
        <v/>
      </c>
      <c r="EP59" s="196"/>
      <c r="EQ59" s="200" t="str">
        <f ca="1">IF(EO60&lt;&gt;"","先生","")</f>
        <v/>
      </c>
      <c r="ER59" s="200"/>
      <c r="ES59" s="118"/>
      <c r="ET59" s="132"/>
      <c r="EU59" s="112">
        <f t="shared" si="4"/>
        <v>14</v>
      </c>
      <c r="EV59" s="103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3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3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3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3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3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3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3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3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3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3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3">
        <f t="shared" ca="1" si="3"/>
        <v>0</v>
      </c>
      <c r="FH59" s="103" t="e">
        <f t="array" aca="1" ref="FH59" ca="1">SUMPRODUCT((LEN(EV59:FF59)&gt;0)*1)&gt;0</f>
        <v>#VALUE!</v>
      </c>
      <c r="FI59" s="103" t="str">
        <f t="array" aca="1" ref="FI59" ca="1">IFERROR(SMALL(IF(FG$1:FG$169&lt;&gt;0,FG$1:FG$169),ROW(A59)),"")</f>
        <v/>
      </c>
      <c r="FJ59" s="103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3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3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3" t="str">
        <f t="array" aca="1" ref="FM59" ca="1">IF($FI59&lt;&gt;"",
IF(FL59="",
INDIRECT("CB"&amp;$FI59&amp;"")&amp;"箱"
&amp;INDIRECT("CC"&amp;$FI59&amp;""),""),"")</f>
        <v/>
      </c>
      <c r="FN59" s="103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3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3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3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3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3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1.05">
      <c r="B60" s="111"/>
      <c r="C60" s="213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13"/>
      <c r="E60" s="218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18"/>
      <c r="G60" s="122"/>
      <c r="I60" s="111"/>
      <c r="J60" s="213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13"/>
      <c r="L60" s="218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18"/>
      <c r="N60" s="118"/>
      <c r="Q60" s="111"/>
      <c r="R60" s="213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13"/>
      <c r="T60" s="218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18"/>
      <c r="V60" s="122"/>
      <c r="X60" s="111"/>
      <c r="Y60" s="213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13"/>
      <c r="AA60" s="218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18"/>
      <c r="AC60" s="118"/>
      <c r="AF60" s="111"/>
      <c r="AG60" s="213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13"/>
      <c r="AI60" s="218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18"/>
      <c r="AK60" s="122"/>
      <c r="AM60" s="111"/>
      <c r="AN60" s="213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13"/>
      <c r="AP60" s="218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18"/>
      <c r="AR60" s="118"/>
      <c r="AU60" s="111"/>
      <c r="AV60" s="213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13"/>
      <c r="AX60" s="218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18"/>
      <c r="AZ60" s="122"/>
      <c r="BB60" s="111"/>
      <c r="BC60" s="213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13"/>
      <c r="BE60" s="218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18"/>
      <c r="BG60" s="118"/>
      <c r="BJ60" s="111"/>
      <c r="BK60" s="213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13"/>
      <c r="BM60" s="218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18"/>
      <c r="BO60" s="122"/>
      <c r="BQ60" s="111"/>
      <c r="BR60" s="213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13"/>
      <c r="BT60" s="218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18"/>
      <c r="BV60" s="118"/>
      <c r="BY60" s="111"/>
      <c r="BZ60" s="213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13"/>
      <c r="CB60" s="218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18"/>
      <c r="CD60" s="122"/>
      <c r="CF60" s="111"/>
      <c r="CG60" s="213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13"/>
      <c r="CI60" s="218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18"/>
      <c r="CK60" s="118"/>
      <c r="CN60" s="111"/>
      <c r="CO60" s="213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13"/>
      <c r="CQ60" s="218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18"/>
      <c r="CS60" s="122"/>
      <c r="CU60" s="111"/>
      <c r="CV60" s="213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13"/>
      <c r="CX60" s="218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18"/>
      <c r="CZ60" s="118"/>
      <c r="DC60" s="111"/>
      <c r="DD60" s="213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13"/>
      <c r="DF60" s="218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18"/>
      <c r="DH60" s="122"/>
      <c r="DJ60" s="111"/>
      <c r="DK60" s="213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13"/>
      <c r="DM60" s="218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18"/>
      <c r="DO60" s="118"/>
      <c r="DR60" s="111"/>
      <c r="DS60" s="213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13"/>
      <c r="DU60" s="218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18"/>
      <c r="DW60" s="122"/>
      <c r="DY60" s="111"/>
      <c r="DZ60" s="213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13"/>
      <c r="EB60" s="218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18"/>
      <c r="ED60" s="118"/>
      <c r="EG60" s="111"/>
      <c r="EH60" s="213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13"/>
      <c r="EJ60" s="218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18"/>
      <c r="EL60" s="122"/>
      <c r="EN60" s="111"/>
      <c r="EO60" s="213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13"/>
      <c r="EQ60" s="218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18"/>
      <c r="ES60" s="118"/>
      <c r="ET60" s="132"/>
      <c r="EU60" s="103">
        <f t="shared" si="4"/>
        <v>56</v>
      </c>
      <c r="EV60" s="103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3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3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3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3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3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3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3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3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3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3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3">
        <f t="shared" ca="1" si="3"/>
        <v>0</v>
      </c>
      <c r="FH60" s="103" t="b">
        <f t="array" aca="1" ref="FH60" ca="1">SUMPRODUCT((LEN(EV60:FF60)&gt;0)*1)&gt;0</f>
        <v>0</v>
      </c>
      <c r="FI60" s="103" t="str">
        <f t="array" aca="1" ref="FI60" ca="1">IFERROR(SMALL(IF(FG$1:FG$169&lt;&gt;0,FG$1:FG$169),ROW(A60)),"")</f>
        <v/>
      </c>
      <c r="FJ60" s="103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3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3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3" t="str">
        <f t="array" aca="1" ref="FM60" ca="1">IF($FI60&lt;&gt;"",
IF(FL60="",
INDIRECT("CB"&amp;$FI60&amp;"")&amp;"箱"
&amp;INDIRECT("CC"&amp;$FI60&amp;""),""),"")</f>
        <v/>
      </c>
      <c r="FN60" s="103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3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3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3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3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3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1.05">
      <c r="B61" s="113"/>
      <c r="C61" s="192"/>
      <c r="D61" s="192"/>
      <c r="E61" s="195"/>
      <c r="F61" s="195"/>
      <c r="G61" s="123" t="str">
        <f ca="1">SUBSTITUTE(SUBSTITUTE(ADDRESS(1,MATCH("おやつ",'数出表_Excel（アレルギー入力）'!$3:$3,0)),1,""),"$","")</f>
        <v>AL</v>
      </c>
      <c r="I61" s="113"/>
      <c r="J61" s="192"/>
      <c r="K61" s="192"/>
      <c r="L61" s="195"/>
      <c r="M61" s="195"/>
      <c r="N61" s="123" t="str">
        <f ca="1">SUBSTITUTE(SUBSTITUTE(ADDRESS(1,MATCH("おやつ",'数出表_Excel（アレルギー入力）'!$3:$3,0)),1,""),"$","")</f>
        <v>AL</v>
      </c>
      <c r="Q61" s="113"/>
      <c r="R61" s="192"/>
      <c r="S61" s="192"/>
      <c r="T61" s="195"/>
      <c r="U61" s="195"/>
      <c r="V61" s="123" t="str">
        <f ca="1">SUBSTITUTE(SUBSTITUTE(ADDRESS(1,MATCH("おやつ",'数出表_Excel（アレルギー入力）'!$3:$3,0)),1,""),"$","")</f>
        <v>AL</v>
      </c>
      <c r="X61" s="113"/>
      <c r="Y61" s="192"/>
      <c r="Z61" s="192"/>
      <c r="AA61" s="195"/>
      <c r="AB61" s="195"/>
      <c r="AC61" s="123" t="str">
        <f ca="1">SUBSTITUTE(SUBSTITUTE(ADDRESS(1,MATCH("おやつ",'数出表_Excel（アレルギー入力）'!$3:$3,0)),1,""),"$","")</f>
        <v>AL</v>
      </c>
      <c r="AF61" s="113"/>
      <c r="AG61" s="192"/>
      <c r="AH61" s="192"/>
      <c r="AI61" s="195"/>
      <c r="AJ61" s="195"/>
      <c r="AK61" s="123" t="str">
        <f ca="1">SUBSTITUTE(SUBSTITUTE(ADDRESS(1,MATCH("おやつ",'数出表_Excel（アレルギー入力）'!$3:$3,0)),1,""),"$","")</f>
        <v>AL</v>
      </c>
      <c r="AM61" s="113"/>
      <c r="AN61" s="192"/>
      <c r="AO61" s="192"/>
      <c r="AP61" s="195"/>
      <c r="AQ61" s="195"/>
      <c r="AR61" s="123" t="str">
        <f ca="1">SUBSTITUTE(SUBSTITUTE(ADDRESS(1,MATCH("おやつ",'数出表_Excel（アレルギー入力）'!$3:$3,0)),1,""),"$","")</f>
        <v>AL</v>
      </c>
      <c r="AU61" s="113"/>
      <c r="AV61" s="192"/>
      <c r="AW61" s="192"/>
      <c r="AX61" s="195"/>
      <c r="AY61" s="195"/>
      <c r="AZ61" s="123" t="str">
        <f ca="1">SUBSTITUTE(SUBSTITUTE(ADDRESS(1,MATCH("おやつ",'数出表_Excel（アレルギー入力）'!$3:$3,0)),1,""),"$","")</f>
        <v>AL</v>
      </c>
      <c r="BB61" s="113"/>
      <c r="BC61" s="192"/>
      <c r="BD61" s="192"/>
      <c r="BE61" s="195"/>
      <c r="BF61" s="195"/>
      <c r="BG61" s="123" t="str">
        <f ca="1">SUBSTITUTE(SUBSTITUTE(ADDRESS(1,MATCH("おやつ",'数出表_Excel（アレルギー入力）'!$3:$3,0)),1,""),"$","")</f>
        <v>AL</v>
      </c>
      <c r="BJ61" s="113"/>
      <c r="BK61" s="192"/>
      <c r="BL61" s="192"/>
      <c r="BM61" s="195"/>
      <c r="BN61" s="195"/>
      <c r="BO61" s="123" t="str">
        <f ca="1">SUBSTITUTE(SUBSTITUTE(ADDRESS(1,MATCH("おやつ",'数出表_Excel（アレルギー入力）'!$3:$3,0)),1,""),"$","")</f>
        <v>AL</v>
      </c>
      <c r="BQ61" s="113"/>
      <c r="BR61" s="192"/>
      <c r="BS61" s="192"/>
      <c r="BT61" s="195"/>
      <c r="BU61" s="195"/>
      <c r="BV61" s="123" t="str">
        <f ca="1">SUBSTITUTE(SUBSTITUTE(ADDRESS(1,MATCH("おやつ",'数出表_Excel（アレルギー入力）'!$3:$3,0)),1,""),"$","")</f>
        <v>AL</v>
      </c>
      <c r="BY61" s="113"/>
      <c r="BZ61" s="192"/>
      <c r="CA61" s="192"/>
      <c r="CB61" s="195"/>
      <c r="CC61" s="195"/>
      <c r="CD61" s="123" t="str">
        <f ca="1">SUBSTITUTE(SUBSTITUTE(ADDRESS(1,MATCH("おやつ",'数出表_Excel（アレルギー入力）'!$3:$3,0)),1,""),"$","")</f>
        <v>AL</v>
      </c>
      <c r="CF61" s="113"/>
      <c r="CG61" s="192"/>
      <c r="CH61" s="192"/>
      <c r="CI61" s="195"/>
      <c r="CJ61" s="195"/>
      <c r="CK61" s="123" t="str">
        <f ca="1">SUBSTITUTE(SUBSTITUTE(ADDRESS(1,MATCH("おやつ",'数出表_Excel（アレルギー入力）'!$3:$3,0)),1,""),"$","")</f>
        <v>AL</v>
      </c>
      <c r="CN61" s="113"/>
      <c r="CO61" s="192"/>
      <c r="CP61" s="192"/>
      <c r="CQ61" s="195"/>
      <c r="CR61" s="195"/>
      <c r="CS61" s="123" t="str">
        <f ca="1">SUBSTITUTE(SUBSTITUTE(ADDRESS(1,MATCH("おやつ",'数出表_Excel（アレルギー入力）'!$3:$3,0)),1,""),"$","")</f>
        <v>AL</v>
      </c>
      <c r="CU61" s="113"/>
      <c r="CV61" s="192"/>
      <c r="CW61" s="192"/>
      <c r="CX61" s="195"/>
      <c r="CY61" s="195"/>
      <c r="CZ61" s="123" t="str">
        <f ca="1">SUBSTITUTE(SUBSTITUTE(ADDRESS(1,MATCH("おやつ",'数出表_Excel（アレルギー入力）'!$3:$3,0)),1,""),"$","")</f>
        <v>AL</v>
      </c>
      <c r="DC61" s="113"/>
      <c r="DD61" s="192"/>
      <c r="DE61" s="192"/>
      <c r="DF61" s="195"/>
      <c r="DG61" s="195"/>
      <c r="DH61" s="123" t="str">
        <f ca="1">SUBSTITUTE(SUBSTITUTE(ADDRESS(1,MATCH("おやつ",'数出表_Excel（アレルギー入力）'!$3:$3,0)),1,""),"$","")</f>
        <v>AL</v>
      </c>
      <c r="DJ61" s="113"/>
      <c r="DK61" s="192"/>
      <c r="DL61" s="192"/>
      <c r="DM61" s="195"/>
      <c r="DN61" s="195"/>
      <c r="DO61" s="123" t="str">
        <f ca="1">SUBSTITUTE(SUBSTITUTE(ADDRESS(1,MATCH("おやつ",'数出表_Excel（アレルギー入力）'!$3:$3,0)),1,""),"$","")</f>
        <v>AL</v>
      </c>
      <c r="DR61" s="113"/>
      <c r="DS61" s="192"/>
      <c r="DT61" s="192"/>
      <c r="DU61" s="195"/>
      <c r="DV61" s="195"/>
      <c r="DW61" s="123" t="str">
        <f ca="1">SUBSTITUTE(SUBSTITUTE(ADDRESS(1,MATCH("おやつ",'数出表_Excel（アレルギー入力）'!$3:$3,0)),1,""),"$","")</f>
        <v>AL</v>
      </c>
      <c r="DY61" s="113"/>
      <c r="DZ61" s="192"/>
      <c r="EA61" s="192"/>
      <c r="EB61" s="195"/>
      <c r="EC61" s="195"/>
      <c r="ED61" s="123" t="str">
        <f ca="1">SUBSTITUTE(SUBSTITUTE(ADDRESS(1,MATCH("おやつ",'数出表_Excel（アレルギー入力）'!$3:$3,0)),1,""),"$","")</f>
        <v>AL</v>
      </c>
      <c r="EG61" s="113"/>
      <c r="EH61" s="192"/>
      <c r="EI61" s="192"/>
      <c r="EJ61" s="195"/>
      <c r="EK61" s="195"/>
      <c r="EL61" s="123" t="str">
        <f ca="1">SUBSTITUTE(SUBSTITUTE(ADDRESS(1,MATCH("おやつ",'数出表_Excel（アレルギー入力）'!$3:$3,0)),1,""),"$","")</f>
        <v>AL</v>
      </c>
      <c r="EN61" s="113"/>
      <c r="EO61" s="192"/>
      <c r="EP61" s="192"/>
      <c r="EQ61" s="195"/>
      <c r="ER61" s="195"/>
      <c r="ES61" s="123" t="str">
        <f ca="1">SUBSTITUTE(SUBSTITUTE(ADDRESS(1,MATCH("おやつ",'数出表_Excel（アレルギー入力）'!$3:$3,0)),1,""),"$","")</f>
        <v>AL</v>
      </c>
      <c r="ET61" s="132"/>
      <c r="EU61" s="103">
        <f t="shared" si="4"/>
        <v>21</v>
      </c>
      <c r="EV61" s="103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3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3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3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3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3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3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3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3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3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3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3">
        <f t="shared" ca="1" si="3"/>
        <v>0</v>
      </c>
      <c r="FH61" s="103" t="e">
        <f t="array" aca="1" ref="FH61" ca="1">SUMPRODUCT((LEN(EV61:FF61)&gt;0)*1)&gt;0</f>
        <v>#VALUE!</v>
      </c>
      <c r="FI61" s="103" t="str">
        <f t="array" aca="1" ref="FI61" ca="1">IFERROR(SMALL(IF(FG$1:FG$169&lt;&gt;0,FG$1:FG$169),ROW(A61)),"")</f>
        <v/>
      </c>
      <c r="FJ61" s="103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3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3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3" t="str">
        <f t="array" aca="1" ref="FM61" ca="1">IF($FI61&lt;&gt;"",
IF(FL61="",
INDIRECT("CB"&amp;$FI61&amp;"")&amp;"箱"
&amp;INDIRECT("CC"&amp;$FI61&amp;""),""),"")</f>
        <v/>
      </c>
      <c r="FN61" s="103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3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3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3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3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3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3" customFormat="1" ht="22.2" customHeight="1" x14ac:dyDescent="0.55000000000000004">
      <c r="A62" s="101"/>
      <c r="B62" s="114" t="str">
        <f ca="1">IF(C60&lt;&gt;"","パン箱","")</f>
        <v/>
      </c>
      <c r="C62" s="115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14" t="str">
        <f ca="1">IF(C60&lt;&gt;"","　端数","")</f>
        <v/>
      </c>
      <c r="E62" s="115"/>
      <c r="F62" s="114" t="str">
        <f ca="1">IF(C60&lt;&gt;"","アレルギー","")</f>
        <v/>
      </c>
      <c r="G62" s="122"/>
      <c r="H62" s="101"/>
      <c r="I62" s="114" t="str">
        <f ca="1">IF(J60&lt;&gt;"","パン箱","")</f>
        <v/>
      </c>
      <c r="J62" s="115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14" t="str">
        <f ca="1">IF(J60&lt;&gt;"","　端数","")</f>
        <v/>
      </c>
      <c r="L62" s="115"/>
      <c r="M62" s="114" t="str">
        <f ca="1">IF(J60&lt;&gt;"","アレルギー","")</f>
        <v/>
      </c>
      <c r="N62" s="118"/>
      <c r="O62" s="101"/>
      <c r="P62" s="101"/>
      <c r="Q62" s="114" t="str">
        <f ca="1">IF(R60&lt;&gt;"","パン箱","")</f>
        <v/>
      </c>
      <c r="R62" s="115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4" t="str">
        <f ca="1">IF(R60&lt;&gt;"","　端数","")</f>
        <v/>
      </c>
      <c r="T62" s="115"/>
      <c r="U62" s="114" t="str">
        <f ca="1">IF(R60&lt;&gt;"","アレルギー","")</f>
        <v/>
      </c>
      <c r="V62" s="122"/>
      <c r="W62" s="101"/>
      <c r="X62" s="114" t="str">
        <f ca="1">IF(Y60&lt;&gt;"","パン箱","")</f>
        <v/>
      </c>
      <c r="Y62" s="115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4" t="str">
        <f ca="1">IF(Y60&lt;&gt;"","　端数","")</f>
        <v/>
      </c>
      <c r="AA62" s="115"/>
      <c r="AB62" s="114" t="str">
        <f ca="1">IF(Y60&lt;&gt;"","アレルギー","")</f>
        <v/>
      </c>
      <c r="AC62" s="118"/>
      <c r="AD62" s="101"/>
      <c r="AE62" s="101"/>
      <c r="AF62" s="114" t="str">
        <f ca="1">IF(AG60&lt;&gt;"","パン箱","")</f>
        <v/>
      </c>
      <c r="AG62" s="115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4" t="str">
        <f ca="1">IF(AG60&lt;&gt;"","　端数","")</f>
        <v/>
      </c>
      <c r="AI62" s="115"/>
      <c r="AJ62" s="114" t="str">
        <f ca="1">IF(AG60&lt;&gt;"","アレルギー","")</f>
        <v/>
      </c>
      <c r="AK62" s="122"/>
      <c r="AL62" s="101"/>
      <c r="AM62" s="114" t="str">
        <f ca="1">IF(AN60&lt;&gt;"","パン箱","")</f>
        <v/>
      </c>
      <c r="AN62" s="115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4" t="str">
        <f ca="1">IF(AN60&lt;&gt;"","　端数","")</f>
        <v/>
      </c>
      <c r="AP62" s="115"/>
      <c r="AQ62" s="114" t="str">
        <f ca="1">IF(AN60&lt;&gt;"","アレルギー","")</f>
        <v/>
      </c>
      <c r="AR62" s="118"/>
      <c r="AS62" s="101"/>
      <c r="AT62" s="101"/>
      <c r="AU62" s="114" t="str">
        <f ca="1">IF(AV60&lt;&gt;"","パン箱","")</f>
        <v/>
      </c>
      <c r="AV62" s="115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4" t="str">
        <f ca="1">IF(AV60&lt;&gt;"","　端数","")</f>
        <v/>
      </c>
      <c r="AX62" s="115"/>
      <c r="AY62" s="114" t="str">
        <f ca="1">IF(AV60&lt;&gt;"","アレルギー","")</f>
        <v/>
      </c>
      <c r="AZ62" s="122"/>
      <c r="BA62" s="101"/>
      <c r="BB62" s="114" t="str">
        <f ca="1">IF(BC60&lt;&gt;"","パン箱","")</f>
        <v/>
      </c>
      <c r="BC62" s="115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4" t="str">
        <f ca="1">IF(BC60&lt;&gt;"","　端数","")</f>
        <v/>
      </c>
      <c r="BE62" s="115"/>
      <c r="BF62" s="114" t="str">
        <f ca="1">IF(BC60&lt;&gt;"","アレルギー","")</f>
        <v/>
      </c>
      <c r="BG62" s="118"/>
      <c r="BH62" s="101"/>
      <c r="BI62" s="101"/>
      <c r="BJ62" s="114" t="str">
        <f ca="1">IF(BK60&lt;&gt;"","パン箱","")</f>
        <v/>
      </c>
      <c r="BK62" s="115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4" t="str">
        <f ca="1">IF(BK60&lt;&gt;"","　端数","")</f>
        <v/>
      </c>
      <c r="BM62" s="115"/>
      <c r="BN62" s="114" t="str">
        <f ca="1">IF(BK60&lt;&gt;"","アレルギー","")</f>
        <v/>
      </c>
      <c r="BO62" s="122"/>
      <c r="BP62" s="101"/>
      <c r="BQ62" s="114" t="str">
        <f ca="1">IF(BR60&lt;&gt;"","パン箱","")</f>
        <v/>
      </c>
      <c r="BR62" s="115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4" t="str">
        <f ca="1">IF(BR60&lt;&gt;"","　端数","")</f>
        <v/>
      </c>
      <c r="BT62" s="115"/>
      <c r="BU62" s="114" t="str">
        <f ca="1">IF(BR60&lt;&gt;"","アレルギー","")</f>
        <v/>
      </c>
      <c r="BV62" s="118"/>
      <c r="BW62" s="101"/>
      <c r="BX62" s="101"/>
      <c r="BY62" s="114" t="str">
        <f ca="1">IF(BZ60&lt;&gt;"","パン箱","")</f>
        <v/>
      </c>
      <c r="BZ62" s="115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4" t="str">
        <f ca="1">IF(BZ60&lt;&gt;"","　端数","")</f>
        <v/>
      </c>
      <c r="CB62" s="115"/>
      <c r="CC62" s="114" t="str">
        <f ca="1">IF(BZ60&lt;&gt;"","アレルギー","")</f>
        <v/>
      </c>
      <c r="CD62" s="122"/>
      <c r="CE62" s="101"/>
      <c r="CF62" s="114" t="str">
        <f ca="1">IF(CG60&lt;&gt;"","パン箱","")</f>
        <v/>
      </c>
      <c r="CG62" s="115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4" t="str">
        <f ca="1">IF(CG60&lt;&gt;"","　端数","")</f>
        <v/>
      </c>
      <c r="CI62" s="115"/>
      <c r="CJ62" s="114" t="str">
        <f ca="1">IF(CG60&lt;&gt;"","アレルギー","")</f>
        <v/>
      </c>
      <c r="CK62" s="118"/>
      <c r="CL62" s="101"/>
      <c r="CM62" s="101"/>
      <c r="CN62" s="114" t="str">
        <f ca="1">IF(CO60&lt;&gt;"","パン箱","")</f>
        <v/>
      </c>
      <c r="CO62" s="115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4" t="str">
        <f ca="1">IF(CO60&lt;&gt;"","　端数","")</f>
        <v/>
      </c>
      <c r="CQ62" s="115"/>
      <c r="CR62" s="114" t="str">
        <f ca="1">IF(CO60&lt;&gt;"","アレルギー","")</f>
        <v/>
      </c>
      <c r="CS62" s="122"/>
      <c r="CT62" s="101"/>
      <c r="CU62" s="114" t="str">
        <f ca="1">IF(CV60&lt;&gt;"","パン箱","")</f>
        <v/>
      </c>
      <c r="CV62" s="115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4" t="str">
        <f ca="1">IF(CV60&lt;&gt;"","　端数","")</f>
        <v/>
      </c>
      <c r="CX62" s="115"/>
      <c r="CY62" s="114" t="str">
        <f ca="1">IF(CV60&lt;&gt;"","アレルギー","")</f>
        <v/>
      </c>
      <c r="CZ62" s="118"/>
      <c r="DA62" s="101"/>
      <c r="DB62" s="101"/>
      <c r="DC62" s="114" t="str">
        <f ca="1">IF(DD60&lt;&gt;"","パン箱","")</f>
        <v/>
      </c>
      <c r="DD62" s="115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4" t="str">
        <f ca="1">IF(DD60&lt;&gt;"","　端数","")</f>
        <v/>
      </c>
      <c r="DF62" s="115"/>
      <c r="DG62" s="114" t="str">
        <f ca="1">IF(DD60&lt;&gt;"","アレルギー","")</f>
        <v/>
      </c>
      <c r="DH62" s="122"/>
      <c r="DI62" s="101"/>
      <c r="DJ62" s="114" t="str">
        <f ca="1">IF(DK60&lt;&gt;"","パン箱","")</f>
        <v/>
      </c>
      <c r="DK62" s="115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4" t="str">
        <f ca="1">IF(DK60&lt;&gt;"","　端数","")</f>
        <v/>
      </c>
      <c r="DM62" s="115"/>
      <c r="DN62" s="114" t="str">
        <f ca="1">IF(DK60&lt;&gt;"","アレルギー","")</f>
        <v/>
      </c>
      <c r="DO62" s="118"/>
      <c r="DP62" s="101"/>
      <c r="DQ62" s="101"/>
      <c r="DR62" s="114" t="str">
        <f ca="1">IF(DS60&lt;&gt;"","パン箱","")</f>
        <v/>
      </c>
      <c r="DS62" s="115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4" t="str">
        <f ca="1">IF(DS60&lt;&gt;"","　端数","")</f>
        <v/>
      </c>
      <c r="DU62" s="115"/>
      <c r="DV62" s="114" t="str">
        <f ca="1">IF(DS60&lt;&gt;"","アレルギー","")</f>
        <v/>
      </c>
      <c r="DW62" s="122"/>
      <c r="DX62" s="101"/>
      <c r="DY62" s="114" t="str">
        <f ca="1">IF(DZ60&lt;&gt;"","パン箱","")</f>
        <v/>
      </c>
      <c r="DZ62" s="115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4" t="str">
        <f ca="1">IF(DZ60&lt;&gt;"","　端数","")</f>
        <v/>
      </c>
      <c r="EB62" s="115"/>
      <c r="EC62" s="114" t="str">
        <f ca="1">IF(DZ60&lt;&gt;"","アレルギー","")</f>
        <v/>
      </c>
      <c r="ED62" s="118"/>
      <c r="EE62" s="101"/>
      <c r="EF62" s="101"/>
      <c r="EG62" s="114" t="str">
        <f ca="1">IF(EH60&lt;&gt;"","パン箱","")</f>
        <v/>
      </c>
      <c r="EH62" s="115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114" t="str">
        <f ca="1">IF(EH60&lt;&gt;"","　端数","")</f>
        <v/>
      </c>
      <c r="EJ62" s="115"/>
      <c r="EK62" s="114" t="str">
        <f ca="1">IF(EH60&lt;&gt;"","アレルギー","")</f>
        <v/>
      </c>
      <c r="EL62" s="122"/>
      <c r="EM62" s="101"/>
      <c r="EN62" s="114" t="str">
        <f ca="1">IF(EO60&lt;&gt;"","パン箱","")</f>
        <v/>
      </c>
      <c r="EO62" s="115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114" t="str">
        <f ca="1">IF(EO60&lt;&gt;"","　端数","")</f>
        <v/>
      </c>
      <c r="EQ62" s="115"/>
      <c r="ER62" s="114" t="str">
        <f ca="1">IF(EO60&lt;&gt;"","アレルギー","")</f>
        <v/>
      </c>
      <c r="ES62" s="118"/>
      <c r="ET62" s="132"/>
      <c r="EU62" s="103">
        <f t="shared" si="4"/>
        <v>63</v>
      </c>
      <c r="EV62" s="103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3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3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3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3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3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3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3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3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3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3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3">
        <f t="shared" ca="1" si="3"/>
        <v>0</v>
      </c>
      <c r="FH62" s="103" t="b">
        <f t="array" aca="1" ref="FH62" ca="1">SUMPRODUCT((LEN(EV62:FF62)&gt;0)*1)&gt;0</f>
        <v>0</v>
      </c>
      <c r="FI62" s="103" t="str">
        <f t="array" aca="1" ref="FI62" ca="1">IFERROR(SMALL(IF(FG$1:FG$169&lt;&gt;0,FG$1:FG$169),ROW(A62)),"")</f>
        <v/>
      </c>
      <c r="FJ62" s="103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3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3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3" t="str">
        <f t="array" aca="1" ref="FM62" ca="1">IF($FI62&lt;&gt;"",
IF(FL62="",
INDIRECT("CB"&amp;$FI62&amp;"")&amp;"箱"
&amp;INDIRECT("CC"&amp;$FI62&amp;""),""),"")</f>
        <v/>
      </c>
      <c r="FN62" s="103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3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3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3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3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3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214" t="str">
        <f ca="1">IF(C60&lt;&gt;"",
IFERROR(INT(C60/C62),""),"")</f>
        <v/>
      </c>
      <c r="C63" s="215"/>
      <c r="D63" s="214" t="str">
        <f ca="1">IFERROR(MOD(C60,C62),"")</f>
        <v/>
      </c>
      <c r="E63" s="215"/>
      <c r="F63" s="216" t="str" cm="1">
        <f t="array" aca="1" ref="F63" ca="1">IF(C57&lt;&gt;"",
IF(IFERROR(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MATCH(C60,INDIRECT("'数出表_Excel（アレルギー入力）'!"&amp;B57&amp;MATCH(G15,'数出表_Excel（アレルギー入力）'!$A:$A,0)-1&amp;":"&amp;G61&amp;MATCH(G15,'数出表_Excel（アレルギー入力）'!$A:$A,0)-1&amp;""),0)+1),
 "")&lt;&gt;0,
IF(IFERROR(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MATCH(C60,INDIRECT("'数出表_Excel（アレルギー入力）'!"&amp;B57&amp;MATCH(G15,'数出表_Excel（アレルギー入力）'!$A:$A,0)-1&amp;":"&amp;G61&amp;MATCH(G15,'数出表_Excel（アレルギー入力）'!$A:$A,0)-1&amp;""),0)+1),
 "")="",
IFERROR(
INDEX(INDIRECT("'数出表_Excel（アレルギー入力）'!B"&amp;MATCH(G15,'数出表_Excel（アレルギー入力）'!$A:$A,0)-1&amp;":"&amp;G61&amp;MATCH(G15,'数出表_Excel（アレルギー入力）'!$A:$A,0)-1&amp;""),
 1,
MATCH(TRUE,INDEX(INDIRECT("'数出表_Excel（アレルギー入力）'!"&amp;B57&amp;MATCH(G15,'数出表_Excel（アレルギー入力）'!$A:$A,0)-1&amp;":"&amp;G61&amp;MATCH(G15,'数出表_Excel（アレルギー入力）'!$A:$A,0)-1&amp;"")&lt;&gt;"",0),0)+1),
 ""),
IFERROR(
INDEX(INDIRECT("'数出表_Excel（アレルギー入力）'!"&amp;B57&amp;MATCH(G15,'数出表_Excel（アレルギー入力）'!$A:$A,0)-1&amp;":"&amp;G61&amp;MATCH(G15,'数出表_Excel（アレルギー入力）'!$A:$A,0)-1&amp;""),
 1,
MATCH(C60,INDIRECT("'数出表_Excel（アレルギー入力）'!"&amp;B57&amp;MATCH(G15,'数出表_Excel（アレルギー入力）'!$A:$A,0)-1&amp;":"&amp;G61&amp;MATCH(G15,'数出表_Excel（アレルギー入力）'!$A:$A,0)-1&amp;""),0)+1),
 "")),0),"")</f>
        <v/>
      </c>
      <c r="G63" s="217"/>
      <c r="I63" s="214" t="str">
        <f ca="1">IF(J60&lt;&gt;"",
IFERROR(INT(J60/J62),""),"")</f>
        <v/>
      </c>
      <c r="J63" s="215"/>
      <c r="K63" s="214" t="str">
        <f ca="1">IFERROR(MOD(J60,J62),"")</f>
        <v/>
      </c>
      <c r="L63" s="215"/>
      <c r="M63" s="216" t="str" cm="1">
        <f t="array" aca="1" ref="M63" ca="1">IF(J57&lt;&gt;"",
IF(IFERROR(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MATCH(J60,INDIRECT("'数出表_Excel（アレルギー入力）'!"&amp;I57&amp;MATCH(N15,'数出表_Excel（アレルギー入力）'!$A:$A,0)-1&amp;":"&amp;N61&amp;MATCH(N15,'数出表_Excel（アレルギー入力）'!$A:$A,0)-1&amp;""),0)+1),
 "")&lt;&gt;0,
IF(IFERROR(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MATCH(J60,INDIRECT("'数出表_Excel（アレルギー入力）'!"&amp;I57&amp;MATCH(N15,'数出表_Excel（アレルギー入力）'!$A:$A,0)-1&amp;":"&amp;N61&amp;MATCH(N15,'数出表_Excel（アレルギー入力）'!$A:$A,0)-1&amp;""),0)+1),
 "")="",
IFERROR(
INDEX(INDIRECT("'数出表_Excel（アレルギー入力）'!B"&amp;MATCH(N15,'数出表_Excel（アレルギー入力）'!$A:$A,0)-1&amp;":"&amp;N61&amp;MATCH(N15,'数出表_Excel（アレルギー入力）'!$A:$A,0)-1&amp;""),
 1,
MATCH(TRUE,INDEX(INDIRECT("'数出表_Excel（アレルギー入力）'!"&amp;I57&amp;MATCH(N15,'数出表_Excel（アレルギー入力）'!$A:$A,0)-1&amp;":"&amp;N61&amp;MATCH(N15,'数出表_Excel（アレルギー入力）'!$A:$A,0)-1&amp;"")&lt;&gt;"",0),0)+1),
 ""),
IFERROR(
INDEX(INDIRECT("'数出表_Excel（アレルギー入力）'!"&amp;I57&amp;MATCH(N15,'数出表_Excel（アレルギー入力）'!$A:$A,0)-1&amp;":"&amp;N61&amp;MATCH(N15,'数出表_Excel（アレルギー入力）'!$A:$A,0)-1&amp;""),
 1,
MATCH(J60,INDIRECT("'数出表_Excel（アレルギー入力）'!"&amp;I57&amp;MATCH(N15,'数出表_Excel（アレルギー入力）'!$A:$A,0)-1&amp;":"&amp;N61&amp;MATCH(N15,'数出表_Excel（アレルギー入力）'!$A:$A,0)-1&amp;""),0)+1),
 "")),0),"")</f>
        <v/>
      </c>
      <c r="N63" s="217"/>
      <c r="Q63" s="214" t="str">
        <f ca="1">IF(R60&lt;&gt;"",
IFERROR(INT(R60/R62),""),"")</f>
        <v/>
      </c>
      <c r="R63" s="215"/>
      <c r="S63" s="214" t="str">
        <f ca="1">IFERROR(MOD(R60,R62),"")</f>
        <v/>
      </c>
      <c r="T63" s="215"/>
      <c r="U63" s="216" t="str" cm="1">
        <f t="array" aca="1" ref="U63" ca="1">IF(R57&lt;&gt;"",
IF(IFERROR(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MATCH(R60,INDIRECT("'数出表_Excel（アレルギー入力）'!"&amp;Q57&amp;MATCH(V15,'数出表_Excel（アレルギー入力）'!$A:$A,0)-1&amp;":"&amp;V61&amp;MATCH(V15,'数出表_Excel（アレルギー入力）'!$A:$A,0)-1&amp;""),0)+1),
 "")&lt;&gt;0,
IF(IFERROR(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MATCH(R60,INDIRECT("'数出表_Excel（アレルギー入力）'!"&amp;Q57&amp;MATCH(V15,'数出表_Excel（アレルギー入力）'!$A:$A,0)-1&amp;":"&amp;V61&amp;MATCH(V15,'数出表_Excel（アレルギー入力）'!$A:$A,0)-1&amp;""),0)+1),
 "")="",
IFERROR(
INDEX(INDIRECT("'数出表_Excel（アレルギー入力）'!B"&amp;MATCH(V15,'数出表_Excel（アレルギー入力）'!$A:$A,0)-1&amp;":"&amp;V61&amp;MATCH(V15,'数出表_Excel（アレルギー入力）'!$A:$A,0)-1&amp;""),
 1,
MATCH(TRUE,INDEX(INDIRECT("'数出表_Excel（アレルギー入力）'!"&amp;Q57&amp;MATCH(V15,'数出表_Excel（アレルギー入力）'!$A:$A,0)-1&amp;":"&amp;V61&amp;MATCH(V15,'数出表_Excel（アレルギー入力）'!$A:$A,0)-1&amp;"")&lt;&gt;"",0),0)+1),
 ""),
IFERROR(
INDEX(INDIRECT("'数出表_Excel（アレルギー入力）'!"&amp;Q57&amp;MATCH(V15,'数出表_Excel（アレルギー入力）'!$A:$A,0)-1&amp;":"&amp;V61&amp;MATCH(V15,'数出表_Excel（アレルギー入力）'!$A:$A,0)-1&amp;""),
 1,
MATCH(R60,INDIRECT("'数出表_Excel（アレルギー入力）'!"&amp;Q57&amp;MATCH(V15,'数出表_Excel（アレルギー入力）'!$A:$A,0)-1&amp;":"&amp;V61&amp;MATCH(V15,'数出表_Excel（アレルギー入力）'!$A:$A,0)-1&amp;""),0)+1),
 "")),0),"")</f>
        <v/>
      </c>
      <c r="V63" s="217"/>
      <c r="X63" s="214" t="str">
        <f ca="1">IF(Y60&lt;&gt;"",
IFERROR(INT(Y60/Y62),""),"")</f>
        <v/>
      </c>
      <c r="Y63" s="215"/>
      <c r="Z63" s="214" t="str">
        <f ca="1">IFERROR(MOD(Y60,Y62),"")</f>
        <v/>
      </c>
      <c r="AA63" s="215"/>
      <c r="AB63" s="216" t="str" cm="1">
        <f t="array" aca="1" ref="AB63" ca="1">IF(Y57&lt;&gt;"",
IF(IFERROR(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MATCH(Y60,INDIRECT("'数出表_Excel（アレルギー入力）'!"&amp;X57&amp;MATCH(AC15,'数出表_Excel（アレルギー入力）'!$A:$A,0)-1&amp;":"&amp;AC61&amp;MATCH(AC15,'数出表_Excel（アレルギー入力）'!$A:$A,0)-1&amp;""),0)+1),
 "")&lt;&gt;0,
IF(IFERROR(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MATCH(Y60,INDIRECT("'数出表_Excel（アレルギー入力）'!"&amp;X57&amp;MATCH(AC15,'数出表_Excel（アレルギー入力）'!$A:$A,0)-1&amp;":"&amp;AC61&amp;MATCH(AC15,'数出表_Excel（アレルギー入力）'!$A:$A,0)-1&amp;""),0)+1),
 "")="",
IFERROR(
INDEX(INDIRECT("'数出表_Excel（アレルギー入力）'!B"&amp;MATCH(AC15,'数出表_Excel（アレルギー入力）'!$A:$A,0)-1&amp;":"&amp;AC61&amp;MATCH(AC15,'数出表_Excel（アレルギー入力）'!$A:$A,0)-1&amp;""),
 1,
MATCH(TRUE,INDEX(INDIRECT("'数出表_Excel（アレルギー入力）'!"&amp;X57&amp;MATCH(AC15,'数出表_Excel（アレルギー入力）'!$A:$A,0)-1&amp;":"&amp;AC61&amp;MATCH(AC15,'数出表_Excel（アレルギー入力）'!$A:$A,0)-1&amp;"")&lt;&gt;"",0),0)+1),
 ""),
IFERROR(
INDEX(INDIRECT("'数出表_Excel（アレルギー入力）'!"&amp;X57&amp;MATCH(AC15,'数出表_Excel（アレルギー入力）'!$A:$A,0)-1&amp;":"&amp;AC61&amp;MATCH(AC15,'数出表_Excel（アレルギー入力）'!$A:$A,0)-1&amp;""),
 1,
MATCH(Y60,INDIRECT("'数出表_Excel（アレルギー入力）'!"&amp;X57&amp;MATCH(AC15,'数出表_Excel（アレルギー入力）'!$A:$A,0)-1&amp;":"&amp;AC61&amp;MATCH(AC15,'数出表_Excel（アレルギー入力）'!$A:$A,0)-1&amp;""),0)+1),
 "")),0),"")</f>
        <v/>
      </c>
      <c r="AC63" s="217"/>
      <c r="AF63" s="214" t="str">
        <f ca="1">IF(AG60&lt;&gt;"",
IFERROR(INT(AG60/AG62),""),"")</f>
        <v/>
      </c>
      <c r="AG63" s="215"/>
      <c r="AH63" s="214" t="str">
        <f ca="1">IFERROR(MOD(AG60,AG62),"")</f>
        <v/>
      </c>
      <c r="AI63" s="215"/>
      <c r="AJ63" s="216" t="str" cm="1">
        <f t="array" aca="1" ref="AJ63" ca="1">IF(AG57&lt;&gt;"",
IF(IFERROR(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MATCH(AG60,INDIRECT("'数出表_Excel（アレルギー入力）'!"&amp;AF57&amp;MATCH(AK15,'数出表_Excel（アレルギー入力）'!$A:$A,0)-1&amp;":"&amp;AK61&amp;MATCH(AK15,'数出表_Excel（アレルギー入力）'!$A:$A,0)-1&amp;""),0)+1),
 "")&lt;&gt;0,
IF(IFERROR(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MATCH(AG60,INDIRECT("'数出表_Excel（アレルギー入力）'!"&amp;AF57&amp;MATCH(AK15,'数出表_Excel（アレルギー入力）'!$A:$A,0)-1&amp;":"&amp;AK61&amp;MATCH(AK15,'数出表_Excel（アレルギー入力）'!$A:$A,0)-1&amp;""),0)+1),
 "")="",
IFERROR(
INDEX(INDIRECT("'数出表_Excel（アレルギー入力）'!B"&amp;MATCH(AK15,'数出表_Excel（アレルギー入力）'!$A:$A,0)-1&amp;":"&amp;AK61&amp;MATCH(AK15,'数出表_Excel（アレルギー入力）'!$A:$A,0)-1&amp;""),
 1,
MATCH(TRUE,INDEX(INDIRECT("'数出表_Excel（アレルギー入力）'!"&amp;AF57&amp;MATCH(AK15,'数出表_Excel（アレルギー入力）'!$A:$A,0)-1&amp;":"&amp;AK61&amp;MATCH(AK15,'数出表_Excel（アレルギー入力）'!$A:$A,0)-1&amp;"")&lt;&gt;"",0),0)+1),
 ""),
IFERROR(
INDEX(INDIRECT("'数出表_Excel（アレルギー入力）'!"&amp;AF57&amp;MATCH(AK15,'数出表_Excel（アレルギー入力）'!$A:$A,0)-1&amp;":"&amp;AK61&amp;MATCH(AK15,'数出表_Excel（アレルギー入力）'!$A:$A,0)-1&amp;""),
 1,
MATCH(AG60,INDIRECT("'数出表_Excel（アレルギー入力）'!"&amp;AF57&amp;MATCH(AK15,'数出表_Excel（アレルギー入力）'!$A:$A,0)-1&amp;":"&amp;AK61&amp;MATCH(AK15,'数出表_Excel（アレルギー入力）'!$A:$A,0)-1&amp;""),0)+1),
 "")),0),"")</f>
        <v/>
      </c>
      <c r="AK63" s="217"/>
      <c r="AM63" s="214" t="str">
        <f ca="1">IF(AN60&lt;&gt;"",
IFERROR(INT(AN60/AN62),""),"")</f>
        <v/>
      </c>
      <c r="AN63" s="215"/>
      <c r="AO63" s="214" t="str">
        <f ca="1">IFERROR(MOD(AN60,AN62),"")</f>
        <v/>
      </c>
      <c r="AP63" s="215"/>
      <c r="AQ63" s="216" t="str" cm="1">
        <f t="array" aca="1" ref="AQ63" ca="1">IF(AN57&lt;&gt;"",
IF(IFERROR(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MATCH(AN60,INDIRECT("'数出表_Excel（アレルギー入力）'!"&amp;AM57&amp;MATCH(AR15,'数出表_Excel（アレルギー入力）'!$A:$A,0)-1&amp;":"&amp;AR61&amp;MATCH(AR15,'数出表_Excel（アレルギー入力）'!$A:$A,0)-1&amp;""),0)+1),
 "")&lt;&gt;0,
IF(IFERROR(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MATCH(AN60,INDIRECT("'数出表_Excel（アレルギー入力）'!"&amp;AM57&amp;MATCH(AR15,'数出表_Excel（アレルギー入力）'!$A:$A,0)-1&amp;":"&amp;AR61&amp;MATCH(AR15,'数出表_Excel（アレルギー入力）'!$A:$A,0)-1&amp;""),0)+1),
 "")="",
IFERROR(
INDEX(INDIRECT("'数出表_Excel（アレルギー入力）'!B"&amp;MATCH(AR15,'数出表_Excel（アレルギー入力）'!$A:$A,0)-1&amp;":"&amp;AR61&amp;MATCH(AR15,'数出表_Excel（アレルギー入力）'!$A:$A,0)-1&amp;""),
 1,
MATCH(TRUE,INDEX(INDIRECT("'数出表_Excel（アレルギー入力）'!"&amp;AM57&amp;MATCH(AR15,'数出表_Excel（アレルギー入力）'!$A:$A,0)-1&amp;":"&amp;AR61&amp;MATCH(AR15,'数出表_Excel（アレルギー入力）'!$A:$A,0)-1&amp;"")&lt;&gt;"",0),0)+1),
 ""),
IFERROR(
INDEX(INDIRECT("'数出表_Excel（アレルギー入力）'!"&amp;AM57&amp;MATCH(AR15,'数出表_Excel（アレルギー入力）'!$A:$A,0)-1&amp;":"&amp;AR61&amp;MATCH(AR15,'数出表_Excel（アレルギー入力）'!$A:$A,0)-1&amp;""),
 1,
MATCH(AN60,INDIRECT("'数出表_Excel（アレルギー入力）'!"&amp;AM57&amp;MATCH(AR15,'数出表_Excel（アレルギー入力）'!$A:$A,0)-1&amp;":"&amp;AR61&amp;MATCH(AR15,'数出表_Excel（アレルギー入力）'!$A:$A,0)-1&amp;""),0)+1),
 "")),0),"")</f>
        <v/>
      </c>
      <c r="AR63" s="217"/>
      <c r="AU63" s="214" t="str">
        <f ca="1">IF(AV60&lt;&gt;"",
IFERROR(INT(AV60/AV62),""),"")</f>
        <v/>
      </c>
      <c r="AV63" s="215"/>
      <c r="AW63" s="214" t="str">
        <f ca="1">IFERROR(MOD(AV60,AV62),"")</f>
        <v/>
      </c>
      <c r="AX63" s="215"/>
      <c r="AY63" s="216" t="str" cm="1">
        <f t="array" aca="1" ref="AY63" ca="1">IF(AV57&lt;&gt;"",
IF(IFERROR(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MATCH(AV60,INDIRECT("'数出表_Excel（アレルギー入力）'!"&amp;AU57&amp;MATCH(AZ15,'数出表_Excel（アレルギー入力）'!$A:$A,0)-1&amp;":"&amp;AZ61&amp;MATCH(AZ15,'数出表_Excel（アレルギー入力）'!$A:$A,0)-1&amp;""),0)+1),
 "")&lt;&gt;0,
IF(IFERROR(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MATCH(AV60,INDIRECT("'数出表_Excel（アレルギー入力）'!"&amp;AU57&amp;MATCH(AZ15,'数出表_Excel（アレルギー入力）'!$A:$A,0)-1&amp;":"&amp;AZ61&amp;MATCH(AZ15,'数出表_Excel（アレルギー入力）'!$A:$A,0)-1&amp;""),0)+1),
 "")="",
IFERROR(
INDEX(INDIRECT("'数出表_Excel（アレルギー入力）'!B"&amp;MATCH(AZ15,'数出表_Excel（アレルギー入力）'!$A:$A,0)-1&amp;":"&amp;AZ61&amp;MATCH(AZ15,'数出表_Excel（アレルギー入力）'!$A:$A,0)-1&amp;""),
 1,
MATCH(TRUE,INDEX(INDIRECT("'数出表_Excel（アレルギー入力）'!"&amp;AU57&amp;MATCH(AZ15,'数出表_Excel（アレルギー入力）'!$A:$A,0)-1&amp;":"&amp;AZ61&amp;MATCH(AZ15,'数出表_Excel（アレルギー入力）'!$A:$A,0)-1&amp;"")&lt;&gt;"",0),0)+1),
 ""),
IFERROR(
INDEX(INDIRECT("'数出表_Excel（アレルギー入力）'!"&amp;AU57&amp;MATCH(AZ15,'数出表_Excel（アレルギー入力）'!$A:$A,0)-1&amp;":"&amp;AZ61&amp;MATCH(AZ15,'数出表_Excel（アレルギー入力）'!$A:$A,0)-1&amp;""),
 1,
MATCH(AV60,INDIRECT("'数出表_Excel（アレルギー入力）'!"&amp;AU57&amp;MATCH(AZ15,'数出表_Excel（アレルギー入力）'!$A:$A,0)-1&amp;":"&amp;AZ61&amp;MATCH(AZ15,'数出表_Excel（アレルギー入力）'!$A:$A,0)-1&amp;""),0)+1),
 "")),0),"")</f>
        <v/>
      </c>
      <c r="AZ63" s="217"/>
      <c r="BB63" s="214" t="str">
        <f ca="1">IF(BC60&lt;&gt;"",
IFERROR(INT(BC60/BC62),""),"")</f>
        <v/>
      </c>
      <c r="BC63" s="215"/>
      <c r="BD63" s="214" t="str">
        <f ca="1">IFERROR(MOD(BC60,BC62),"")</f>
        <v/>
      </c>
      <c r="BE63" s="215"/>
      <c r="BF63" s="216" t="str" cm="1">
        <f t="array" aca="1" ref="BF63" ca="1">IF(BC57&lt;&gt;"",
IF(IFERROR(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MATCH(BC60,INDIRECT("'数出表_Excel（アレルギー入力）'!"&amp;BB57&amp;MATCH(BG15,'数出表_Excel（アレルギー入力）'!$A:$A,0)-1&amp;":"&amp;BG61&amp;MATCH(BG15,'数出表_Excel（アレルギー入力）'!$A:$A,0)-1&amp;""),0)+1),
 "")&lt;&gt;0,
IF(IFERROR(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MATCH(BC60,INDIRECT("'数出表_Excel（アレルギー入力）'!"&amp;BB57&amp;MATCH(BG15,'数出表_Excel（アレルギー入力）'!$A:$A,0)-1&amp;":"&amp;BG61&amp;MATCH(BG15,'数出表_Excel（アレルギー入力）'!$A:$A,0)-1&amp;""),0)+1),
 "")="",
IFERROR(
INDEX(INDIRECT("'数出表_Excel（アレルギー入力）'!B"&amp;MATCH(BG15,'数出表_Excel（アレルギー入力）'!$A:$A,0)-1&amp;":"&amp;BG61&amp;MATCH(BG15,'数出表_Excel（アレルギー入力）'!$A:$A,0)-1&amp;""),
 1,
MATCH(TRUE,INDEX(INDIRECT("'数出表_Excel（アレルギー入力）'!"&amp;BB57&amp;MATCH(BG15,'数出表_Excel（アレルギー入力）'!$A:$A,0)-1&amp;":"&amp;BG61&amp;MATCH(BG15,'数出表_Excel（アレルギー入力）'!$A:$A,0)-1&amp;"")&lt;&gt;"",0),0)+1),
 ""),
IFERROR(
INDEX(INDIRECT("'数出表_Excel（アレルギー入力）'!"&amp;BB57&amp;MATCH(BG15,'数出表_Excel（アレルギー入力）'!$A:$A,0)-1&amp;":"&amp;BG61&amp;MATCH(BG15,'数出表_Excel（アレルギー入力）'!$A:$A,0)-1&amp;""),
 1,
MATCH(BC60,INDIRECT("'数出表_Excel（アレルギー入力）'!"&amp;BB57&amp;MATCH(BG15,'数出表_Excel（アレルギー入力）'!$A:$A,0)-1&amp;":"&amp;BG61&amp;MATCH(BG15,'数出表_Excel（アレルギー入力）'!$A:$A,0)-1&amp;""),0)+1),
 "")),0),"")</f>
        <v/>
      </c>
      <c r="BG63" s="217"/>
      <c r="BJ63" s="214" t="str">
        <f ca="1">IF(BK60&lt;&gt;"",
IFERROR(INT(BK60/BK62),""),"")</f>
        <v/>
      </c>
      <c r="BK63" s="215"/>
      <c r="BL63" s="214" t="str">
        <f ca="1">IFERROR(MOD(BK60,BK62),"")</f>
        <v/>
      </c>
      <c r="BM63" s="215"/>
      <c r="BN63" s="216" t="str" cm="1">
        <f t="array" aca="1" ref="BN63" ca="1">IF(BK57&lt;&gt;"",
IF(IFERROR(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MATCH(BK60,INDIRECT("'数出表_Excel（アレルギー入力）'!"&amp;BJ57&amp;MATCH(BO15,'数出表_Excel（アレルギー入力）'!$A:$A,0)-1&amp;":"&amp;BO61&amp;MATCH(BO15,'数出表_Excel（アレルギー入力）'!$A:$A,0)-1&amp;""),0)+1),
 "")&lt;&gt;0,
IF(IFERROR(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MATCH(BK60,INDIRECT("'数出表_Excel（アレルギー入力）'!"&amp;BJ57&amp;MATCH(BO15,'数出表_Excel（アレルギー入力）'!$A:$A,0)-1&amp;":"&amp;BO61&amp;MATCH(BO15,'数出表_Excel（アレルギー入力）'!$A:$A,0)-1&amp;""),0)+1),
 "")="",
IFERROR(
INDEX(INDIRECT("'数出表_Excel（アレルギー入力）'!B"&amp;MATCH(BO15,'数出表_Excel（アレルギー入力）'!$A:$A,0)-1&amp;":"&amp;BO61&amp;MATCH(BO15,'数出表_Excel（アレルギー入力）'!$A:$A,0)-1&amp;""),
 1,
MATCH(TRUE,INDEX(INDIRECT("'数出表_Excel（アレルギー入力）'!"&amp;BJ57&amp;MATCH(BO15,'数出表_Excel（アレルギー入力）'!$A:$A,0)-1&amp;":"&amp;BO61&amp;MATCH(BO15,'数出表_Excel（アレルギー入力）'!$A:$A,0)-1&amp;"")&lt;&gt;"",0),0)+1),
 ""),
IFERROR(
INDEX(INDIRECT("'数出表_Excel（アレルギー入力）'!"&amp;BJ57&amp;MATCH(BO15,'数出表_Excel（アレルギー入力）'!$A:$A,0)-1&amp;":"&amp;BO61&amp;MATCH(BO15,'数出表_Excel（アレルギー入力）'!$A:$A,0)-1&amp;""),
 1,
MATCH(BK60,INDIRECT("'数出表_Excel（アレルギー入力）'!"&amp;BJ57&amp;MATCH(BO15,'数出表_Excel（アレルギー入力）'!$A:$A,0)-1&amp;":"&amp;BO61&amp;MATCH(BO15,'数出表_Excel（アレルギー入力）'!$A:$A,0)-1&amp;""),0)+1),
 "")),0),"")</f>
        <v/>
      </c>
      <c r="BO63" s="217"/>
      <c r="BQ63" s="214" t="str">
        <f ca="1">IF(BR60&lt;&gt;"",
IFERROR(INT(BR60/BR62),""),"")</f>
        <v/>
      </c>
      <c r="BR63" s="215"/>
      <c r="BS63" s="214" t="str">
        <f ca="1">IFERROR(MOD(BR60,BR62),"")</f>
        <v/>
      </c>
      <c r="BT63" s="215"/>
      <c r="BU63" s="216" t="str" cm="1">
        <f t="array" aca="1" ref="BU63" ca="1">IF(BR57&lt;&gt;"",
IF(IFERROR(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MATCH(BR60,INDIRECT("'数出表_Excel（アレルギー入力）'!"&amp;BQ57&amp;MATCH(BV15,'数出表_Excel（アレルギー入力）'!$A:$A,0)-1&amp;":"&amp;BV61&amp;MATCH(BV15,'数出表_Excel（アレルギー入力）'!$A:$A,0)-1&amp;""),0)+1),
 "")&lt;&gt;0,
IF(IFERROR(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MATCH(BR60,INDIRECT("'数出表_Excel（アレルギー入力）'!"&amp;BQ57&amp;MATCH(BV15,'数出表_Excel（アレルギー入力）'!$A:$A,0)-1&amp;":"&amp;BV61&amp;MATCH(BV15,'数出表_Excel（アレルギー入力）'!$A:$A,0)-1&amp;""),0)+1),
 "")="",
IFERROR(
INDEX(INDIRECT("'数出表_Excel（アレルギー入力）'!B"&amp;MATCH(BV15,'数出表_Excel（アレルギー入力）'!$A:$A,0)-1&amp;":"&amp;BV61&amp;MATCH(BV15,'数出表_Excel（アレルギー入力）'!$A:$A,0)-1&amp;""),
 1,
MATCH(TRUE,INDEX(INDIRECT("'数出表_Excel（アレルギー入力）'!"&amp;BQ57&amp;MATCH(BV15,'数出表_Excel（アレルギー入力）'!$A:$A,0)-1&amp;":"&amp;BV61&amp;MATCH(BV15,'数出表_Excel（アレルギー入力）'!$A:$A,0)-1&amp;"")&lt;&gt;"",0),0)+1),
 ""),
IFERROR(
INDEX(INDIRECT("'数出表_Excel（アレルギー入力）'!"&amp;BQ57&amp;MATCH(BV15,'数出表_Excel（アレルギー入力）'!$A:$A,0)-1&amp;":"&amp;BV61&amp;MATCH(BV15,'数出表_Excel（アレルギー入力）'!$A:$A,0)-1&amp;""),
 1,
MATCH(BR60,INDIRECT("'数出表_Excel（アレルギー入力）'!"&amp;BQ57&amp;MATCH(BV15,'数出表_Excel（アレルギー入力）'!$A:$A,0)-1&amp;":"&amp;BV61&amp;MATCH(BV15,'数出表_Excel（アレルギー入力）'!$A:$A,0)-1&amp;""),0)+1),
 "")),0),"")</f>
        <v/>
      </c>
      <c r="BV63" s="217"/>
      <c r="BY63" s="214" t="str">
        <f ca="1">IF(BZ60&lt;&gt;"",
IFERROR(INT(BZ60/BZ62),""),"")</f>
        <v/>
      </c>
      <c r="BZ63" s="215"/>
      <c r="CA63" s="214" t="str">
        <f ca="1">IFERROR(MOD(BZ60,BZ62),"")</f>
        <v/>
      </c>
      <c r="CB63" s="215"/>
      <c r="CC63" s="216" t="str" cm="1">
        <f t="array" aca="1" ref="CC63" ca="1">IF(BZ57&lt;&gt;"",
IF(IFERROR(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MATCH(BZ60,INDIRECT("'数出表_Excel（アレルギー入力）'!"&amp;BY57&amp;MATCH(CD15,'数出表_Excel（アレルギー入力）'!$A:$A,0)-1&amp;":"&amp;CD61&amp;MATCH(CD15,'数出表_Excel（アレルギー入力）'!$A:$A,0)-1&amp;""),0)+1),
 "")&lt;&gt;0,
IF(IFERROR(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MATCH(BZ60,INDIRECT("'数出表_Excel（アレルギー入力）'!"&amp;BY57&amp;MATCH(CD15,'数出表_Excel（アレルギー入力）'!$A:$A,0)-1&amp;":"&amp;CD61&amp;MATCH(CD15,'数出表_Excel（アレルギー入力）'!$A:$A,0)-1&amp;""),0)+1),
 "")="",
IFERROR(
INDEX(INDIRECT("'数出表_Excel（アレルギー入力）'!B"&amp;MATCH(CD15,'数出表_Excel（アレルギー入力）'!$A:$A,0)-1&amp;":"&amp;CD61&amp;MATCH(CD15,'数出表_Excel（アレルギー入力）'!$A:$A,0)-1&amp;""),
 1,
MATCH(TRUE,INDEX(INDIRECT("'数出表_Excel（アレルギー入力）'!"&amp;BY57&amp;MATCH(CD15,'数出表_Excel（アレルギー入力）'!$A:$A,0)-1&amp;":"&amp;CD61&amp;MATCH(CD15,'数出表_Excel（アレルギー入力）'!$A:$A,0)-1&amp;"")&lt;&gt;"",0),0)+1),
 ""),
IFERROR(
INDEX(INDIRECT("'数出表_Excel（アレルギー入力）'!"&amp;BY57&amp;MATCH(CD15,'数出表_Excel（アレルギー入力）'!$A:$A,0)-1&amp;":"&amp;CD61&amp;MATCH(CD15,'数出表_Excel（アレルギー入力）'!$A:$A,0)-1&amp;""),
 1,
MATCH(BZ60,INDIRECT("'数出表_Excel（アレルギー入力）'!"&amp;BY57&amp;MATCH(CD15,'数出表_Excel（アレルギー入力）'!$A:$A,0)-1&amp;":"&amp;CD61&amp;MATCH(CD15,'数出表_Excel（アレルギー入力）'!$A:$A,0)-1&amp;""),0)+1),
 "")),0),"")</f>
        <v/>
      </c>
      <c r="CD63" s="217"/>
      <c r="CF63" s="214" t="str">
        <f ca="1">IF(CG60&lt;&gt;"",
IFERROR(INT(CG60/CG62),""),"")</f>
        <v/>
      </c>
      <c r="CG63" s="215"/>
      <c r="CH63" s="214" t="str">
        <f ca="1">IFERROR(MOD(CG60,CG62),"")</f>
        <v/>
      </c>
      <c r="CI63" s="215"/>
      <c r="CJ63" s="216" t="str" cm="1">
        <f t="array" aca="1" ref="CJ63" ca="1">IF(CG57&lt;&gt;"",
IF(IFERROR(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MATCH(CG60,INDIRECT("'数出表_Excel（アレルギー入力）'!"&amp;CF57&amp;MATCH(CK15,'数出表_Excel（アレルギー入力）'!$A:$A,0)-1&amp;":"&amp;CK61&amp;MATCH(CK15,'数出表_Excel（アレルギー入力）'!$A:$A,0)-1&amp;""),0)+1),
 "")&lt;&gt;0,
IF(IFERROR(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MATCH(CG60,INDIRECT("'数出表_Excel（アレルギー入力）'!"&amp;CF57&amp;MATCH(CK15,'数出表_Excel（アレルギー入力）'!$A:$A,0)-1&amp;":"&amp;CK61&amp;MATCH(CK15,'数出表_Excel（アレルギー入力）'!$A:$A,0)-1&amp;""),0)+1),
 "")="",
IFERROR(
INDEX(INDIRECT("'数出表_Excel（アレルギー入力）'!B"&amp;MATCH(CK15,'数出表_Excel（アレルギー入力）'!$A:$A,0)-1&amp;":"&amp;CK61&amp;MATCH(CK15,'数出表_Excel（アレルギー入力）'!$A:$A,0)-1&amp;""),
 1,
MATCH(TRUE,INDEX(INDIRECT("'数出表_Excel（アレルギー入力）'!"&amp;CF57&amp;MATCH(CK15,'数出表_Excel（アレルギー入力）'!$A:$A,0)-1&amp;":"&amp;CK61&amp;MATCH(CK15,'数出表_Excel（アレルギー入力）'!$A:$A,0)-1&amp;"")&lt;&gt;"",0),0)+1),
 ""),
IFERROR(
INDEX(INDIRECT("'数出表_Excel（アレルギー入力）'!"&amp;CF57&amp;MATCH(CK15,'数出表_Excel（アレルギー入力）'!$A:$A,0)-1&amp;":"&amp;CK61&amp;MATCH(CK15,'数出表_Excel（アレルギー入力）'!$A:$A,0)-1&amp;""),
 1,
MATCH(CG60,INDIRECT("'数出表_Excel（アレルギー入力）'!"&amp;CF57&amp;MATCH(CK15,'数出表_Excel（アレルギー入力）'!$A:$A,0)-1&amp;":"&amp;CK61&amp;MATCH(CK15,'数出表_Excel（アレルギー入力）'!$A:$A,0)-1&amp;""),0)+1),
 "")),0),"")</f>
        <v/>
      </c>
      <c r="CK63" s="217"/>
      <c r="CN63" s="214" t="str">
        <f ca="1">IF(CO60&lt;&gt;"",
IFERROR(INT(CO60/CO62),""),"")</f>
        <v/>
      </c>
      <c r="CO63" s="215"/>
      <c r="CP63" s="214" t="str">
        <f ca="1">IFERROR(MOD(CO60,CO62),"")</f>
        <v/>
      </c>
      <c r="CQ63" s="215"/>
      <c r="CR63" s="216" t="str" cm="1">
        <f t="array" aca="1" ref="CR63" ca="1">IF(CO57&lt;&gt;"",
IF(IFERROR(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MATCH(CO60,INDIRECT("'数出表_Excel（アレルギー入力）'!"&amp;CN57&amp;MATCH(CS15,'数出表_Excel（アレルギー入力）'!$A:$A,0)-1&amp;":"&amp;CS61&amp;MATCH(CS15,'数出表_Excel（アレルギー入力）'!$A:$A,0)-1&amp;""),0)+1),
 "")&lt;&gt;0,
IF(IFERROR(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MATCH(CO60,INDIRECT("'数出表_Excel（アレルギー入力）'!"&amp;CN57&amp;MATCH(CS15,'数出表_Excel（アレルギー入力）'!$A:$A,0)-1&amp;":"&amp;CS61&amp;MATCH(CS15,'数出表_Excel（アレルギー入力）'!$A:$A,0)-1&amp;""),0)+1),
 "")="",
IFERROR(
INDEX(INDIRECT("'数出表_Excel（アレルギー入力）'!B"&amp;MATCH(CS15,'数出表_Excel（アレルギー入力）'!$A:$A,0)-1&amp;":"&amp;CS61&amp;MATCH(CS15,'数出表_Excel（アレルギー入力）'!$A:$A,0)-1&amp;""),
 1,
MATCH(TRUE,INDEX(INDIRECT("'数出表_Excel（アレルギー入力）'!"&amp;CN57&amp;MATCH(CS15,'数出表_Excel（アレルギー入力）'!$A:$A,0)-1&amp;":"&amp;CS61&amp;MATCH(CS15,'数出表_Excel（アレルギー入力）'!$A:$A,0)-1&amp;"")&lt;&gt;"",0),0)+1),
 ""),
IFERROR(
INDEX(INDIRECT("'数出表_Excel（アレルギー入力）'!"&amp;CN57&amp;MATCH(CS15,'数出表_Excel（アレルギー入力）'!$A:$A,0)-1&amp;":"&amp;CS61&amp;MATCH(CS15,'数出表_Excel（アレルギー入力）'!$A:$A,0)-1&amp;""),
 1,
MATCH(CO60,INDIRECT("'数出表_Excel（アレルギー入力）'!"&amp;CN57&amp;MATCH(CS15,'数出表_Excel（アレルギー入力）'!$A:$A,0)-1&amp;":"&amp;CS61&amp;MATCH(CS15,'数出表_Excel（アレルギー入力）'!$A:$A,0)-1&amp;""),0)+1),
 "")),0),"")</f>
        <v/>
      </c>
      <c r="CS63" s="217"/>
      <c r="CU63" s="214" t="str">
        <f ca="1">IF(CV60&lt;&gt;"",
IFERROR(INT(CV60/CV62),""),"")</f>
        <v/>
      </c>
      <c r="CV63" s="215"/>
      <c r="CW63" s="214" t="str">
        <f ca="1">IFERROR(MOD(CV60,CV62),"")</f>
        <v/>
      </c>
      <c r="CX63" s="215"/>
      <c r="CY63" s="216" t="str" cm="1">
        <f t="array" aca="1" ref="CY63" ca="1">IF(CV57&lt;&gt;"",
IF(IFERROR(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MATCH(CV60,INDIRECT("'数出表_Excel（アレルギー入力）'!"&amp;CU57&amp;MATCH(CZ15,'数出表_Excel（アレルギー入力）'!$A:$A,0)-1&amp;":"&amp;CZ61&amp;MATCH(CZ15,'数出表_Excel（アレルギー入力）'!$A:$A,0)-1&amp;""),0)+1),
 "")&lt;&gt;0,
IF(IFERROR(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MATCH(CV60,INDIRECT("'数出表_Excel（アレルギー入力）'!"&amp;CU57&amp;MATCH(CZ15,'数出表_Excel（アレルギー入力）'!$A:$A,0)-1&amp;":"&amp;CZ61&amp;MATCH(CZ15,'数出表_Excel（アレルギー入力）'!$A:$A,0)-1&amp;""),0)+1),
 "")="",
IFERROR(
INDEX(INDIRECT("'数出表_Excel（アレルギー入力）'!B"&amp;MATCH(CZ15,'数出表_Excel（アレルギー入力）'!$A:$A,0)-1&amp;":"&amp;CZ61&amp;MATCH(CZ15,'数出表_Excel（アレルギー入力）'!$A:$A,0)-1&amp;""),
 1,
MATCH(TRUE,INDEX(INDIRECT("'数出表_Excel（アレルギー入力）'!"&amp;CU57&amp;MATCH(CZ15,'数出表_Excel（アレルギー入力）'!$A:$A,0)-1&amp;":"&amp;CZ61&amp;MATCH(CZ15,'数出表_Excel（アレルギー入力）'!$A:$A,0)-1&amp;"")&lt;&gt;"",0),0)+1),
 ""),
IFERROR(
INDEX(INDIRECT("'数出表_Excel（アレルギー入力）'!"&amp;CU57&amp;MATCH(CZ15,'数出表_Excel（アレルギー入力）'!$A:$A,0)-1&amp;":"&amp;CZ61&amp;MATCH(CZ15,'数出表_Excel（アレルギー入力）'!$A:$A,0)-1&amp;""),
 1,
MATCH(CV60,INDIRECT("'数出表_Excel（アレルギー入力）'!"&amp;CU57&amp;MATCH(CZ15,'数出表_Excel（アレルギー入力）'!$A:$A,0)-1&amp;":"&amp;CZ61&amp;MATCH(CZ15,'数出表_Excel（アレルギー入力）'!$A:$A,0)-1&amp;""),0)+1),
 "")),0),"")</f>
        <v/>
      </c>
      <c r="CZ63" s="217"/>
      <c r="DC63" s="214" t="str">
        <f ca="1">IF(DD60&lt;&gt;"",
IFERROR(INT(DD60/DD62),""),"")</f>
        <v/>
      </c>
      <c r="DD63" s="215"/>
      <c r="DE63" s="214" t="str">
        <f ca="1">IFERROR(MOD(DD60,DD62),"")</f>
        <v/>
      </c>
      <c r="DF63" s="215"/>
      <c r="DG63" s="216" t="str" cm="1">
        <f t="array" aca="1" ref="DG63" ca="1">IF(DD57&lt;&gt;"",
IF(IFERROR(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MATCH(DD60,INDIRECT("'数出表_Excel（アレルギー入力）'!"&amp;DC57&amp;MATCH(DH15,'数出表_Excel（アレルギー入力）'!$A:$A,0)-1&amp;":"&amp;DH61&amp;MATCH(DH15,'数出表_Excel（アレルギー入力）'!$A:$A,0)-1&amp;""),0)+1),
 "")&lt;&gt;0,
IF(IFERROR(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MATCH(DD60,INDIRECT("'数出表_Excel（アレルギー入力）'!"&amp;DC57&amp;MATCH(DH15,'数出表_Excel（アレルギー入力）'!$A:$A,0)-1&amp;":"&amp;DH61&amp;MATCH(DH15,'数出表_Excel（アレルギー入力）'!$A:$A,0)-1&amp;""),0)+1),
 "")="",
IFERROR(
INDEX(INDIRECT("'数出表_Excel（アレルギー入力）'!B"&amp;MATCH(DH15,'数出表_Excel（アレルギー入力）'!$A:$A,0)-1&amp;":"&amp;DH61&amp;MATCH(DH15,'数出表_Excel（アレルギー入力）'!$A:$A,0)-1&amp;""),
 1,
MATCH(TRUE,INDEX(INDIRECT("'数出表_Excel（アレルギー入力）'!"&amp;DC57&amp;MATCH(DH15,'数出表_Excel（アレルギー入力）'!$A:$A,0)-1&amp;":"&amp;DH61&amp;MATCH(DH15,'数出表_Excel（アレルギー入力）'!$A:$A,0)-1&amp;"")&lt;&gt;"",0),0)+1),
 ""),
IFERROR(
INDEX(INDIRECT("'数出表_Excel（アレルギー入力）'!"&amp;DC57&amp;MATCH(DH15,'数出表_Excel（アレルギー入力）'!$A:$A,0)-1&amp;":"&amp;DH61&amp;MATCH(DH15,'数出表_Excel（アレルギー入力）'!$A:$A,0)-1&amp;""),
 1,
MATCH(DD60,INDIRECT("'数出表_Excel（アレルギー入力）'!"&amp;DC57&amp;MATCH(DH15,'数出表_Excel（アレルギー入力）'!$A:$A,0)-1&amp;":"&amp;DH61&amp;MATCH(DH15,'数出表_Excel（アレルギー入力）'!$A:$A,0)-1&amp;""),0)+1),
 "")),0),"")</f>
        <v/>
      </c>
      <c r="DH63" s="217"/>
      <c r="DJ63" s="214" t="str">
        <f ca="1">IF(DK60&lt;&gt;"",
IFERROR(INT(DK60/DK62),""),"")</f>
        <v/>
      </c>
      <c r="DK63" s="215"/>
      <c r="DL63" s="214" t="str">
        <f ca="1">IFERROR(MOD(DK60,DK62),"")</f>
        <v/>
      </c>
      <c r="DM63" s="215"/>
      <c r="DN63" s="216" t="str" cm="1">
        <f t="array" aca="1" ref="DN63" ca="1">IF(DK57&lt;&gt;"",
IF(IFERROR(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MATCH(DK60,INDIRECT("'数出表_Excel（アレルギー入力）'!"&amp;DJ57&amp;MATCH(DO15,'数出表_Excel（アレルギー入力）'!$A:$A,0)-1&amp;":"&amp;DO61&amp;MATCH(DO15,'数出表_Excel（アレルギー入力）'!$A:$A,0)-1&amp;""),0)+1),
 "")&lt;&gt;0,
IF(IFERROR(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MATCH(DK60,INDIRECT("'数出表_Excel（アレルギー入力）'!"&amp;DJ57&amp;MATCH(DO15,'数出表_Excel（アレルギー入力）'!$A:$A,0)-1&amp;":"&amp;DO61&amp;MATCH(DO15,'数出表_Excel（アレルギー入力）'!$A:$A,0)-1&amp;""),0)+1),
 "")="",
IFERROR(
INDEX(INDIRECT("'数出表_Excel（アレルギー入力）'!B"&amp;MATCH(DO15,'数出表_Excel（アレルギー入力）'!$A:$A,0)-1&amp;":"&amp;DO61&amp;MATCH(DO15,'数出表_Excel（アレルギー入力）'!$A:$A,0)-1&amp;""),
 1,
MATCH(TRUE,INDEX(INDIRECT("'数出表_Excel（アレルギー入力）'!"&amp;DJ57&amp;MATCH(DO15,'数出表_Excel（アレルギー入力）'!$A:$A,0)-1&amp;":"&amp;DO61&amp;MATCH(DO15,'数出表_Excel（アレルギー入力）'!$A:$A,0)-1&amp;"")&lt;&gt;"",0),0)+1),
 ""),
IFERROR(
INDEX(INDIRECT("'数出表_Excel（アレルギー入力）'!"&amp;DJ57&amp;MATCH(DO15,'数出表_Excel（アレルギー入力）'!$A:$A,0)-1&amp;":"&amp;DO61&amp;MATCH(DO15,'数出表_Excel（アレルギー入力）'!$A:$A,0)-1&amp;""),
 1,
MATCH(DK60,INDIRECT("'数出表_Excel（アレルギー入力）'!"&amp;DJ57&amp;MATCH(DO15,'数出表_Excel（アレルギー入力）'!$A:$A,0)-1&amp;":"&amp;DO61&amp;MATCH(DO15,'数出表_Excel（アレルギー入力）'!$A:$A,0)-1&amp;""),0)+1),
 "")),0),"")</f>
        <v/>
      </c>
      <c r="DO63" s="217"/>
      <c r="DR63" s="214" t="str">
        <f ca="1">IF(DS60&lt;&gt;"",
IFERROR(INT(DS60/DS62),""),"")</f>
        <v/>
      </c>
      <c r="DS63" s="215"/>
      <c r="DT63" s="214" t="str">
        <f ca="1">IFERROR(MOD(DS60,DS62),"")</f>
        <v/>
      </c>
      <c r="DU63" s="215"/>
      <c r="DV63" s="216" t="str" cm="1">
        <f t="array" aca="1" ref="DV63" ca="1">IF(DS57&lt;&gt;"",
IF(IFERROR(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MATCH(DS60,INDIRECT("'数出表_Excel（アレルギー入力）'!"&amp;DR57&amp;MATCH(DW15,'数出表_Excel（アレルギー入力）'!$A:$A,0)-1&amp;":"&amp;DW61&amp;MATCH(DW15,'数出表_Excel（アレルギー入力）'!$A:$A,0)-1&amp;""),0)+1),
 "")&lt;&gt;0,
IF(IFERROR(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MATCH(DS60,INDIRECT("'数出表_Excel（アレルギー入力）'!"&amp;DR57&amp;MATCH(DW15,'数出表_Excel（アレルギー入力）'!$A:$A,0)-1&amp;":"&amp;DW61&amp;MATCH(DW15,'数出表_Excel（アレルギー入力）'!$A:$A,0)-1&amp;""),0)+1),
 "")="",
IFERROR(
INDEX(INDIRECT("'数出表_Excel（アレルギー入力）'!B"&amp;MATCH(DW15,'数出表_Excel（アレルギー入力）'!$A:$A,0)-1&amp;":"&amp;DW61&amp;MATCH(DW15,'数出表_Excel（アレルギー入力）'!$A:$A,0)-1&amp;""),
 1,
MATCH(TRUE,INDEX(INDIRECT("'数出表_Excel（アレルギー入力）'!"&amp;DR57&amp;MATCH(DW15,'数出表_Excel（アレルギー入力）'!$A:$A,0)-1&amp;":"&amp;DW61&amp;MATCH(DW15,'数出表_Excel（アレルギー入力）'!$A:$A,0)-1&amp;"")&lt;&gt;"",0),0)+1),
 ""),
IFERROR(
INDEX(INDIRECT("'数出表_Excel（アレルギー入力）'!"&amp;DR57&amp;MATCH(DW15,'数出表_Excel（アレルギー入力）'!$A:$A,0)-1&amp;":"&amp;DW61&amp;MATCH(DW15,'数出表_Excel（アレルギー入力）'!$A:$A,0)-1&amp;""),
 1,
MATCH(DS60,INDIRECT("'数出表_Excel（アレルギー入力）'!"&amp;DR57&amp;MATCH(DW15,'数出表_Excel（アレルギー入力）'!$A:$A,0)-1&amp;":"&amp;DW61&amp;MATCH(DW15,'数出表_Excel（アレルギー入力）'!$A:$A,0)-1&amp;""),0)+1),
 "")),0),"")</f>
        <v/>
      </c>
      <c r="DW63" s="217"/>
      <c r="DY63" s="214" t="str">
        <f ca="1">IF(DZ60&lt;&gt;"",
IFERROR(INT(DZ60/DZ62),""),"")</f>
        <v/>
      </c>
      <c r="DZ63" s="215"/>
      <c r="EA63" s="214" t="str">
        <f ca="1">IFERROR(MOD(DZ60,DZ62),"")</f>
        <v/>
      </c>
      <c r="EB63" s="215"/>
      <c r="EC63" s="216" t="str" cm="1">
        <f t="array" aca="1" ref="EC63" ca="1">IF(DZ57&lt;&gt;"",
IF(IFERROR(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MATCH(DZ60,INDIRECT("'数出表_Excel（アレルギー入力）'!"&amp;DY57&amp;MATCH(ED15,'数出表_Excel（アレルギー入力）'!$A:$A,0)-1&amp;":"&amp;ED61&amp;MATCH(ED15,'数出表_Excel（アレルギー入力）'!$A:$A,0)-1&amp;""),0)+1),
 "")&lt;&gt;0,
IF(IFERROR(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MATCH(DZ60,INDIRECT("'数出表_Excel（アレルギー入力）'!"&amp;DY57&amp;MATCH(ED15,'数出表_Excel（アレルギー入力）'!$A:$A,0)-1&amp;":"&amp;ED61&amp;MATCH(ED15,'数出表_Excel（アレルギー入力）'!$A:$A,0)-1&amp;""),0)+1),
 "")="",
IFERROR(
INDEX(INDIRECT("'数出表_Excel（アレルギー入力）'!B"&amp;MATCH(ED15,'数出表_Excel（アレルギー入力）'!$A:$A,0)-1&amp;":"&amp;ED61&amp;MATCH(ED15,'数出表_Excel（アレルギー入力）'!$A:$A,0)-1&amp;""),
 1,
MATCH(TRUE,INDEX(INDIRECT("'数出表_Excel（アレルギー入力）'!"&amp;DY57&amp;MATCH(ED15,'数出表_Excel（アレルギー入力）'!$A:$A,0)-1&amp;":"&amp;ED61&amp;MATCH(ED15,'数出表_Excel（アレルギー入力）'!$A:$A,0)-1&amp;"")&lt;&gt;"",0),0)+1),
 ""),
IFERROR(
INDEX(INDIRECT("'数出表_Excel（アレルギー入力）'!"&amp;DY57&amp;MATCH(ED15,'数出表_Excel（アレルギー入力）'!$A:$A,0)-1&amp;":"&amp;ED61&amp;MATCH(ED15,'数出表_Excel（アレルギー入力）'!$A:$A,0)-1&amp;""),
 1,
MATCH(DZ60,INDIRECT("'数出表_Excel（アレルギー入力）'!"&amp;DY57&amp;MATCH(ED15,'数出表_Excel（アレルギー入力）'!$A:$A,0)-1&amp;":"&amp;ED61&amp;MATCH(ED15,'数出表_Excel（アレルギー入力）'!$A:$A,0)-1&amp;""),0)+1),
 "")),0),"")</f>
        <v/>
      </c>
      <c r="ED63" s="217"/>
      <c r="EG63" s="214" t="str">
        <f ca="1">IF(EH60&lt;&gt;"",
IFERROR(INT(EH60/EH62),""),"")</f>
        <v/>
      </c>
      <c r="EH63" s="215"/>
      <c r="EI63" s="214" t="str">
        <f ca="1">IFERROR(MOD(EH60,EH62),"")</f>
        <v/>
      </c>
      <c r="EJ63" s="215"/>
      <c r="EK63" s="216" t="str" cm="1">
        <f t="array" aca="1" ref="EK63" ca="1">IF(EH57&lt;&gt;"",
IF(IFERROR(
INDEX(INDIRECT("'数出表_Excel（アレルギー入力）'!"&amp;EG57&amp;MATCH(EL15,'数出表_Excel（アレルギー入力）'!$A:$A,0)-1&amp;":"&amp;EL61&amp;MATCH(EL15,'数出表_Excel（アレルギー入力）'!$A:$A,0)-1&amp;""),
 1,
MATCH(EH60,INDIRECT("'数出表_Excel（アレルギー入力）'!"&amp;EG57&amp;MATCH(EL15,'数出表_Excel（アレルギー入力）'!$A:$A,0)-1&amp;":"&amp;EL61&amp;MATCH(EL15,'数出表_Excel（アレルギー入力）'!$A:$A,0)-1&amp;""),0)+1),
 "")&lt;&gt;0,
IF(IFERROR(
INDEX(INDIRECT("'数出表_Excel（アレルギー入力）'!"&amp;EG57&amp;MATCH(EL15,'数出表_Excel（アレルギー入力）'!$A:$A,0)-1&amp;":"&amp;EL61&amp;MATCH(EL15,'数出表_Excel（アレルギー入力）'!$A:$A,0)-1&amp;""),
 1,
MATCH(EH60,INDIRECT("'数出表_Excel（アレルギー入力）'!"&amp;EG57&amp;MATCH(EL15,'数出表_Excel（アレルギー入力）'!$A:$A,0)-1&amp;":"&amp;EL61&amp;MATCH(EL15,'数出表_Excel（アレルギー入力）'!$A:$A,0)-1&amp;""),0)+1),
 "")="",
IFERROR(
INDEX(INDIRECT("'数出表_Excel（アレルギー入力）'!B"&amp;MATCH(EL15,'数出表_Excel（アレルギー入力）'!$A:$A,0)-1&amp;":"&amp;EL61&amp;MATCH(EL15,'数出表_Excel（アレルギー入力）'!$A:$A,0)-1&amp;""),
 1,
MATCH(TRUE,INDEX(INDIRECT("'数出表_Excel（アレルギー入力）'!"&amp;EG57&amp;MATCH(EL15,'数出表_Excel（アレルギー入力）'!$A:$A,0)-1&amp;":"&amp;EL61&amp;MATCH(EL15,'数出表_Excel（アレルギー入力）'!$A:$A,0)-1&amp;"")&lt;&gt;"",0),0)+1),
 ""),
IFERROR(
INDEX(INDIRECT("'数出表_Excel（アレルギー入力）'!"&amp;EG57&amp;MATCH(EL15,'数出表_Excel（アレルギー入力）'!$A:$A,0)-1&amp;":"&amp;EL61&amp;MATCH(EL15,'数出表_Excel（アレルギー入力）'!$A:$A,0)-1&amp;""),
 1,
MATCH(EH60,INDIRECT("'数出表_Excel（アレルギー入力）'!"&amp;EG57&amp;MATCH(EL15,'数出表_Excel（アレルギー入力）'!$A:$A,0)-1&amp;":"&amp;EL61&amp;MATCH(EL15,'数出表_Excel（アレルギー入力）'!$A:$A,0)-1&amp;""),0)+1),
 "")),0),"")</f>
        <v/>
      </c>
      <c r="EL63" s="217"/>
      <c r="EN63" s="214" t="str">
        <f ca="1">IF(EO60&lt;&gt;"",
IFERROR(INT(EO60/EO62),""),"")</f>
        <v/>
      </c>
      <c r="EO63" s="215"/>
      <c r="EP63" s="214" t="str">
        <f ca="1">IFERROR(MOD(EO60,EO62),"")</f>
        <v/>
      </c>
      <c r="EQ63" s="215"/>
      <c r="ER63" s="216" t="str" cm="1">
        <f t="array" aca="1" ref="ER63" ca="1">IF(EO57&lt;&gt;"",
IF(IFERROR(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MATCH(EO60,INDIRECT("'数出表_Excel（アレルギー入力）'!"&amp;EN57&amp;MATCH(ES15,'数出表_Excel（アレルギー入力）'!$A:$A,0)-1&amp;":"&amp;ES61&amp;MATCH(ES15,'数出表_Excel（アレルギー入力）'!$A:$A,0)-1&amp;""),0)+1),
 "")&lt;&gt;0,
IF(IFERROR(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MATCH(EO60,INDIRECT("'数出表_Excel（アレルギー入力）'!"&amp;EN57&amp;MATCH(ES15,'数出表_Excel（アレルギー入力）'!$A:$A,0)-1&amp;":"&amp;ES61&amp;MATCH(ES15,'数出表_Excel（アレルギー入力）'!$A:$A,0)-1&amp;""),0)+1),
 "")="",
IFERROR(
INDEX(INDIRECT("'数出表_Excel（アレルギー入力）'!B"&amp;MATCH(ES15,'数出表_Excel（アレルギー入力）'!$A:$A,0)-1&amp;":"&amp;ES61&amp;MATCH(ES15,'数出表_Excel（アレルギー入力）'!$A:$A,0)-1&amp;""),
 1,
MATCH(TRUE,INDEX(INDIRECT("'数出表_Excel（アレルギー入力）'!"&amp;EN57&amp;MATCH(ES15,'数出表_Excel（アレルギー入力）'!$A:$A,0)-1&amp;":"&amp;ES61&amp;MATCH(ES15,'数出表_Excel（アレルギー入力）'!$A:$A,0)-1&amp;"")&lt;&gt;"",0),0)+1),
 ""),
IFERROR(
INDEX(INDIRECT("'数出表_Excel（アレルギー入力）'!"&amp;EN57&amp;MATCH(ES15,'数出表_Excel（アレルギー入力）'!$A:$A,0)-1&amp;":"&amp;ES61&amp;MATCH(ES15,'数出表_Excel（アレルギー入力）'!$A:$A,0)-1&amp;""),
 1,
MATCH(EO60,INDIRECT("'数出表_Excel（アレルギー入力）'!"&amp;EN57&amp;MATCH(ES15,'数出表_Excel（アレルギー入力）'!$A:$A,0)-1&amp;":"&amp;ES61&amp;MATCH(ES15,'数出表_Excel（アレルギー入力）'!$A:$A,0)-1&amp;""),0)+1),
 "")),0),"")</f>
        <v/>
      </c>
      <c r="ES63" s="217"/>
      <c r="ET63" s="78"/>
      <c r="EU63" s="112">
        <f t="shared" si="4"/>
        <v>21</v>
      </c>
      <c r="EV63" s="103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3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3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3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3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3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3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3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3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3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3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3">
        <f t="shared" ca="1" si="3"/>
        <v>0</v>
      </c>
      <c r="FH63" s="103" t="e">
        <f t="array" aca="1" ref="FH63" ca="1">SUMPRODUCT((LEN(EV63:FF63)&gt;0)*1)&gt;0</f>
        <v>#VALUE!</v>
      </c>
      <c r="FI63" s="103" t="str">
        <f t="array" aca="1" ref="FI63" ca="1">IFERROR(SMALL(IF(FG$1:FG$169&lt;&gt;0,FG$1:FG$169),ROW(A63)),"")</f>
        <v/>
      </c>
      <c r="FJ63" s="103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3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3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3" t="str">
        <f t="array" aca="1" ref="FM63" ca="1">IF($FI63&lt;&gt;"",
IF(FL63="",
INDIRECT("CB"&amp;$FI63&amp;"")&amp;"箱"
&amp;INDIRECT("CC"&amp;$FI63&amp;""),""),"")</f>
        <v/>
      </c>
      <c r="FN63" s="103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3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3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3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3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3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3" customFormat="1" ht="18" customHeight="1" x14ac:dyDescent="0.55000000000000004">
      <c r="A64" s="101"/>
      <c r="B64" s="102" t="str" cm="1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198" t="str">
        <f ca="1">IF(C67&lt;&gt;"",C22,"")</f>
        <v/>
      </c>
      <c r="D64" s="198"/>
      <c r="E64" s="198"/>
      <c r="F64" s="198"/>
      <c r="G64" s="120"/>
      <c r="H64" s="101"/>
      <c r="I64" s="102" t="str" cm="1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198" t="str">
        <f ca="1">IF(J67&lt;&gt;"",J22,"")</f>
        <v/>
      </c>
      <c r="K64" s="198"/>
      <c r="L64" s="198"/>
      <c r="M64" s="198"/>
      <c r="N64" s="116"/>
      <c r="O64" s="101"/>
      <c r="P64" s="101"/>
      <c r="Q64" s="102" t="str" cm="1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198" t="str">
        <f ca="1">IF(R67&lt;&gt;"",R22,"")</f>
        <v/>
      </c>
      <c r="S64" s="198"/>
      <c r="T64" s="198"/>
      <c r="U64" s="198"/>
      <c r="V64" s="120"/>
      <c r="W64" s="101"/>
      <c r="X64" s="102" t="str" cm="1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198" t="str">
        <f ca="1">IF(Y67&lt;&gt;"",Y22,"")</f>
        <v/>
      </c>
      <c r="Z64" s="198"/>
      <c r="AA64" s="198"/>
      <c r="AB64" s="198"/>
      <c r="AC64" s="116"/>
      <c r="AD64" s="101"/>
      <c r="AE64" s="101"/>
      <c r="AF64" s="102" t="str" cm="1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198" t="str">
        <f ca="1">IF(AG67&lt;&gt;"",AG22,"")</f>
        <v/>
      </c>
      <c r="AH64" s="198"/>
      <c r="AI64" s="198"/>
      <c r="AJ64" s="198"/>
      <c r="AK64" s="120"/>
      <c r="AL64" s="101"/>
      <c r="AM64" s="102" t="str" cm="1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198" t="str">
        <f ca="1">IF(AN67&lt;&gt;"",AN22,"")</f>
        <v/>
      </c>
      <c r="AO64" s="198"/>
      <c r="AP64" s="198"/>
      <c r="AQ64" s="198"/>
      <c r="AR64" s="116"/>
      <c r="AS64" s="101"/>
      <c r="AT64" s="101"/>
      <c r="AU64" s="102" t="str" cm="1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198" t="str">
        <f ca="1">IF(AV67&lt;&gt;"",AV22,"")</f>
        <v/>
      </c>
      <c r="AW64" s="198"/>
      <c r="AX64" s="198"/>
      <c r="AY64" s="198"/>
      <c r="AZ64" s="120"/>
      <c r="BA64" s="101"/>
      <c r="BB64" s="102" t="str" cm="1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198" t="str">
        <f ca="1">IF(BC67&lt;&gt;"",BC22,"")</f>
        <v/>
      </c>
      <c r="BD64" s="198"/>
      <c r="BE64" s="198"/>
      <c r="BF64" s="198"/>
      <c r="BG64" s="116"/>
      <c r="BH64" s="101"/>
      <c r="BI64" s="101"/>
      <c r="BJ64" s="102" t="str" cm="1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198" t="str">
        <f ca="1">IF(BK67&lt;&gt;"",BK22,"")</f>
        <v/>
      </c>
      <c r="BL64" s="198"/>
      <c r="BM64" s="198"/>
      <c r="BN64" s="198"/>
      <c r="BO64" s="120"/>
      <c r="BP64" s="101"/>
      <c r="BQ64" s="102" t="str" cm="1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198" t="str">
        <f ca="1">IF(BR67&lt;&gt;"",BR22,"")</f>
        <v/>
      </c>
      <c r="BS64" s="198"/>
      <c r="BT64" s="198"/>
      <c r="BU64" s="198"/>
      <c r="BV64" s="116"/>
      <c r="BW64" s="101"/>
      <c r="BX64" s="101"/>
      <c r="BY64" s="102" t="str" cm="1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198" t="str">
        <f ca="1">IF(BZ67&lt;&gt;"",BZ22,"")</f>
        <v/>
      </c>
      <c r="CA64" s="198"/>
      <c r="CB64" s="198"/>
      <c r="CC64" s="198"/>
      <c r="CD64" s="120"/>
      <c r="CE64" s="101"/>
      <c r="CF64" s="102" t="str" cm="1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198" t="str">
        <f ca="1">IF(CG67&lt;&gt;"",CG22,"")</f>
        <v/>
      </c>
      <c r="CH64" s="198"/>
      <c r="CI64" s="198"/>
      <c r="CJ64" s="198"/>
      <c r="CK64" s="116"/>
      <c r="CL64" s="101"/>
      <c r="CM64" s="101"/>
      <c r="CN64" s="102" t="str" cm="1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198" t="str">
        <f ca="1">IF(CO67&lt;&gt;"",CO22,"")</f>
        <v/>
      </c>
      <c r="CP64" s="198"/>
      <c r="CQ64" s="198"/>
      <c r="CR64" s="198"/>
      <c r="CS64" s="120"/>
      <c r="CT64" s="101"/>
      <c r="CU64" s="102" t="str" cm="1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198" t="str">
        <f ca="1">IF(CV67&lt;&gt;"",CV22,"")</f>
        <v/>
      </c>
      <c r="CW64" s="198"/>
      <c r="CX64" s="198"/>
      <c r="CY64" s="198"/>
      <c r="CZ64" s="116"/>
      <c r="DA64" s="101"/>
      <c r="DB64" s="101"/>
      <c r="DC64" s="102" t="str" cm="1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198" t="str">
        <f ca="1">IF(DD67&lt;&gt;"",DD22,"")</f>
        <v/>
      </c>
      <c r="DE64" s="198"/>
      <c r="DF64" s="198"/>
      <c r="DG64" s="198"/>
      <c r="DH64" s="120"/>
      <c r="DI64" s="101"/>
      <c r="DJ64" s="102" t="str" cm="1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198" t="str">
        <f ca="1">IF(DK67&lt;&gt;"",DK22,"")</f>
        <v/>
      </c>
      <c r="DL64" s="198"/>
      <c r="DM64" s="198"/>
      <c r="DN64" s="198"/>
      <c r="DO64" s="116"/>
      <c r="DP64" s="101"/>
      <c r="DQ64" s="101"/>
      <c r="DR64" s="102" t="str" cm="1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198" t="str">
        <f ca="1">IF(DS67&lt;&gt;"",DS22,"")</f>
        <v/>
      </c>
      <c r="DT64" s="198"/>
      <c r="DU64" s="198"/>
      <c r="DV64" s="198"/>
      <c r="DW64" s="120"/>
      <c r="DX64" s="101"/>
      <c r="DY64" s="102" t="str" cm="1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198" t="str">
        <f ca="1">IF(DZ67&lt;&gt;"",DZ22,"")</f>
        <v/>
      </c>
      <c r="EA64" s="198"/>
      <c r="EB64" s="198"/>
      <c r="EC64" s="198"/>
      <c r="ED64" s="116"/>
      <c r="EE64" s="101"/>
      <c r="EF64" s="101"/>
      <c r="EG64" s="102" t="str" cm="1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198" t="str">
        <f ca="1">IF(EH67&lt;&gt;"",EH22,"")</f>
        <v/>
      </c>
      <c r="EI64" s="198"/>
      <c r="EJ64" s="198"/>
      <c r="EK64" s="198"/>
      <c r="EL64" s="120"/>
      <c r="EM64" s="101"/>
      <c r="EN64" s="102" t="str" cm="1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198" t="str">
        <f ca="1">IF(EO67&lt;&gt;"",EO22,"")</f>
        <v/>
      </c>
      <c r="EP64" s="198"/>
      <c r="EQ64" s="198"/>
      <c r="ER64" s="198"/>
      <c r="ES64" s="116"/>
      <c r="ET64" s="132"/>
      <c r="EU64" s="103">
        <f t="shared" si="4"/>
        <v>63</v>
      </c>
      <c r="EV64" s="103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3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3" t="str" cm="1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3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3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3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3" t="str" cm="1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3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3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3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3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3">
        <f t="shared" ca="1" si="3"/>
        <v>0</v>
      </c>
      <c r="FH64" s="103" t="b">
        <f t="array" aca="1" ref="FH64" ca="1">SUMPRODUCT((LEN(EV64:FF64)&gt;0)*1)&gt;0</f>
        <v>0</v>
      </c>
      <c r="FI64" s="103" t="str">
        <f t="array" aca="1" ref="FI64" ca="1">IFERROR(SMALL(IF(FG$1:FG$169&lt;&gt;0,FG$1:FG$169),ROW(A64)),"")</f>
        <v/>
      </c>
      <c r="FJ64" s="103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3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3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3" t="str">
        <f t="array" aca="1" ref="FM64" ca="1">IF($FI64&lt;&gt;"",
IF(FL64="",
INDIRECT("CB"&amp;$FI64&amp;"")&amp;"箱"
&amp;INDIRECT("CC"&amp;$FI64&amp;""),""),"")</f>
        <v/>
      </c>
      <c r="FN64" s="103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3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3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3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3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3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3" customFormat="1" ht="18" customHeight="1" x14ac:dyDescent="0.55000000000000004">
      <c r="A65" s="101"/>
      <c r="B65" s="106" t="e" cm="1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5" t="str" cm="1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101"/>
      <c r="E65" s="107" t="str" cm="1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+MATCH(TRUE,INDIRECT("'数出表_Excel'!"&amp;B64&amp;MATCH(C64,数出表_Excel!$A:$A,0)-1&amp;":AL"&amp;MATCH(C64,数出表_Excel!$A:$A,0)-1&amp;"")&lt;&gt;"",0))&gt;=12,"",
IFERROR(
INDEX(INDIRECT("数出表_Excel!$"&amp;B64&amp;"4:$AL4"),
 1,
MATCH(TRUE,INDIRECT("'数出表_Excel'!"&amp;B64&amp;MATCH(C64,数出表_Excel!$A:$A,0)-1&amp;":AL"&amp;MATCH(C64,数出表_Excel!$A:$A,0)-1&amp;"")&lt;&gt;"",0)
),
 "")
&amp;IFERROR(
INDEX(INDIRECT("数出表_Excel!$"&amp;B64&amp;"5:$AL5"),
 1,
MATCH(TRUE,INDIRECT("'数出表_Excel'!"&amp;B64&amp;MATCH(C64,数出表_Excel!$A:$A,0)-1&amp;":AL"&amp;MATCH(C64,数出表_Excel!$A:$A,0)-1&amp;"")&lt;&gt;"",0)),
 "")),"")))</f>
        <v/>
      </c>
      <c r="F65" s="108" t="str" cm="1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ISNUMBER(--INDIRECT("'数出表_Excel（アレルギー入力）'!B"&amp;MATCH(C64,'数出表_Excel（アレルギー入力）'!$A:$A,0)-1&amp;":AL"&amp;MATCH(C64,'数出表_Excel（アレルギー入力）'!$A:$A,0)-1&amp;"")),0)&gt;10,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21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01"/>
      <c r="I65" s="106" t="e" cm="1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5" t="str" cm="1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101"/>
      <c r="L65" s="107" t="str" cm="1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+MATCH(TRUE,INDIRECT("'数出表_Excel'!"&amp;I64&amp;MATCH(J64,数出表_Excel!$A:$A,0)-1&amp;":AL"&amp;MATCH(J64,数出表_Excel!$A:$A,0)-1&amp;"")&lt;&gt;"",0))&gt;=12,"",
IFERROR(
INDEX(INDIRECT("数出表_Excel!$"&amp;I64&amp;"4:$AL4"),
 1,
MATCH(TRUE,INDIRECT("'数出表_Excel'!"&amp;I64&amp;MATCH(J64,数出表_Excel!$A:$A,0)-1&amp;":AL"&amp;MATCH(J64,数出表_Excel!$A:$A,0)-1&amp;"")&lt;&gt;"",0)
),
 "")
&amp;IFERROR(
INDEX(INDIRECT("数出表_Excel!$"&amp;I64&amp;"5:$AL5"),
 1,
MATCH(TRUE,INDIRECT("'数出表_Excel'!"&amp;I64&amp;MATCH(J64,数出表_Excel!$A:$A,0)-1&amp;":AL"&amp;MATCH(J64,数出表_Excel!$A:$A,0)-1&amp;"")&lt;&gt;"",0)),
 "")),"")))</f>
        <v/>
      </c>
      <c r="M65" s="108" t="str" cm="1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ISNUMBER(--INDIRECT("'数出表_Excel（アレルギー入力）'!B"&amp;MATCH(J64,'数出表_Excel（アレルギー入力）'!$A:$A,0)-1&amp;":AL"&amp;MATCH(J64,'数出表_Excel（アレルギー入力）'!$A:$A,0)-1&amp;"")),0)&gt;10,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117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01"/>
      <c r="P65" s="101"/>
      <c r="Q65" s="106" t="e" cm="1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5" t="str" cm="1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101"/>
      <c r="T65" s="107" t="str" cm="1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+MATCH(TRUE,INDIRECT("'数出表_Excel'!"&amp;Q64&amp;MATCH(R64,数出表_Excel!$A:$A,0)-1&amp;":AL"&amp;MATCH(R64,数出表_Excel!$A:$A,0)-1&amp;"")&lt;&gt;"",0))&gt;=12,"",
IFERROR(
INDEX(INDIRECT("数出表_Excel!$"&amp;Q64&amp;"4:$AL4"),
 1,
MATCH(TRUE,INDIRECT("'数出表_Excel'!"&amp;Q64&amp;MATCH(R64,数出表_Excel!$A:$A,0)-1&amp;":AL"&amp;MATCH(R64,数出表_Excel!$A:$A,0)-1&amp;"")&lt;&gt;"",0)
),
 "")
&amp;IFERROR(
INDEX(INDIRECT("数出表_Excel!$"&amp;Q64&amp;"5:$AL5"),
 1,
MATCH(TRUE,INDIRECT("'数出表_Excel'!"&amp;Q64&amp;MATCH(R64,数出表_Excel!$A:$A,0)-1&amp;":AL"&amp;MATCH(R64,数出表_Excel!$A:$A,0)-1&amp;"")&lt;&gt;"",0)),
 "")),"")))</f>
        <v/>
      </c>
      <c r="U65" s="108" t="str" cm="1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ISNUMBER(--INDIRECT("'数出表_Excel（アレルギー入力）'!B"&amp;MATCH(R64,'数出表_Excel（アレルギー入力）'!$A:$A,0)-1&amp;":AL"&amp;MATCH(R64,'数出表_Excel（アレルギー入力）'!$A:$A,0)-1&amp;"")),0)&gt;10,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21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1"/>
      <c r="X65" s="106" t="e" cm="1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5" t="str" cm="1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101"/>
      <c r="AA65" s="107" t="str" cm="1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+MATCH(TRUE,INDIRECT("'数出表_Excel'!"&amp;X64&amp;MATCH(Y64,数出表_Excel!$A:$A,0)-1&amp;":AL"&amp;MATCH(Y64,数出表_Excel!$A:$A,0)-1&amp;"")&lt;&gt;"",0))&gt;=12,"",
IFERROR(
INDEX(INDIRECT("数出表_Excel!$"&amp;X64&amp;"4:$AL4"),
 1,
MATCH(TRUE,INDIRECT("'数出表_Excel'!"&amp;X64&amp;MATCH(Y64,数出表_Excel!$A:$A,0)-1&amp;":AL"&amp;MATCH(Y64,数出表_Excel!$A:$A,0)-1&amp;"")&lt;&gt;"",0)
),
 "")
&amp;IFERROR(
INDEX(INDIRECT("数出表_Excel!$"&amp;X64&amp;"5:$AL5"),
 1,
MATCH(TRUE,INDIRECT("'数出表_Excel'!"&amp;X64&amp;MATCH(Y64,数出表_Excel!$A:$A,0)-1&amp;":AL"&amp;MATCH(Y64,数出表_Excel!$A:$A,0)-1&amp;"")&lt;&gt;"",0)),
 "")),"")))</f>
        <v/>
      </c>
      <c r="AB65" s="108" t="str" cm="1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ISNUMBER(--INDIRECT("'数出表_Excel（アレルギー入力）'!B"&amp;MATCH(Y64,'数出表_Excel（アレルギー入力）'!$A:$A,0)-1&amp;":AL"&amp;MATCH(Y64,'数出表_Excel（アレルギー入力）'!$A:$A,0)-1&amp;"")),0)&gt;10,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117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1"/>
      <c r="AE65" s="101"/>
      <c r="AF65" s="106" t="e" cm="1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5" t="str" cm="1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101"/>
      <c r="AI65" s="107" t="str" cm="1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+MATCH(TRUE,INDIRECT("'数出表_Excel'!"&amp;AF64&amp;MATCH(AG64,数出表_Excel!$A:$A,0)-1&amp;":AL"&amp;MATCH(AG64,数出表_Excel!$A:$A,0)-1&amp;"")&lt;&gt;"",0))&gt;=12,"",
IFERROR(
INDEX(INDIRECT("数出表_Excel!$"&amp;AF64&amp;"4:$AL4"),
 1,
MATCH(TRUE,INDIRECT("'数出表_Excel'!"&amp;AF64&amp;MATCH(AG64,数出表_Excel!$A:$A,0)-1&amp;":AL"&amp;MATCH(AG64,数出表_Excel!$A:$A,0)-1&amp;"")&lt;&gt;"",0)
),
 "")
&amp;IFERROR(
INDEX(INDIRECT("数出表_Excel!$"&amp;AF64&amp;"5:$AL5"),
 1,
MATCH(TRUE,INDIRECT("'数出表_Excel'!"&amp;AF64&amp;MATCH(AG64,数出表_Excel!$A:$A,0)-1&amp;":AL"&amp;MATCH(AG64,数出表_Excel!$A:$A,0)-1&amp;"")&lt;&gt;"",0)),
 "")),"")))</f>
        <v/>
      </c>
      <c r="AJ65" s="108" t="str" cm="1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ISNUMBER(--INDIRECT("'数出表_Excel（アレルギー入力）'!B"&amp;MATCH(AG64,'数出表_Excel（アレルギー入力）'!$A:$A,0)-1&amp;":AL"&amp;MATCH(AG64,'数出表_Excel（アレルギー入力）'!$A:$A,0)-1&amp;"")),0)&gt;10,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21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1"/>
      <c r="AM65" s="106" t="e" cm="1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5" t="str" cm="1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101"/>
      <c r="AP65" s="107" t="str" cm="1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+MATCH(TRUE,INDIRECT("'数出表_Excel'!"&amp;AM64&amp;MATCH(AN64,数出表_Excel!$A:$A,0)-1&amp;":AL"&amp;MATCH(AN64,数出表_Excel!$A:$A,0)-1&amp;"")&lt;&gt;"",0))&gt;=12,"",
IFERROR(
INDEX(INDIRECT("数出表_Excel!$"&amp;AM64&amp;"4:$AL4"),
 1,
MATCH(TRUE,INDIRECT("'数出表_Excel'!"&amp;AM64&amp;MATCH(AN64,数出表_Excel!$A:$A,0)-1&amp;":AL"&amp;MATCH(AN64,数出表_Excel!$A:$A,0)-1&amp;"")&lt;&gt;"",0)
),
 "")
&amp;IFERROR(
INDEX(INDIRECT("数出表_Excel!$"&amp;AM64&amp;"5:$AL5"),
 1,
MATCH(TRUE,INDIRECT("'数出表_Excel'!"&amp;AM64&amp;MATCH(AN64,数出表_Excel!$A:$A,0)-1&amp;":AL"&amp;MATCH(AN64,数出表_Excel!$A:$A,0)-1&amp;"")&lt;&gt;"",0)),
 "")),"")))</f>
        <v/>
      </c>
      <c r="AQ65" s="108" t="str" cm="1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ISNUMBER(--INDIRECT("'数出表_Excel（アレルギー入力）'!B"&amp;MATCH(AN64,'数出表_Excel（アレルギー入力）'!$A:$A,0)-1&amp;":AL"&amp;MATCH(AN64,'数出表_Excel（アレルギー入力）'!$A:$A,0)-1&amp;"")),0)&gt;10,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117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1"/>
      <c r="AT65" s="101"/>
      <c r="AU65" s="106" t="e" cm="1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5" t="str" cm="1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101"/>
      <c r="AX65" s="107" t="str" cm="1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+MATCH(TRUE,INDIRECT("'数出表_Excel'!"&amp;AU64&amp;MATCH(AV64,数出表_Excel!$A:$A,0)-1&amp;":AL"&amp;MATCH(AV64,数出表_Excel!$A:$A,0)-1&amp;"")&lt;&gt;"",0))&gt;=12,"",
IFERROR(
INDEX(INDIRECT("数出表_Excel!$"&amp;AU64&amp;"4:$AL4"),
 1,
MATCH(TRUE,INDIRECT("'数出表_Excel'!"&amp;AU64&amp;MATCH(AV64,数出表_Excel!$A:$A,0)-1&amp;":AL"&amp;MATCH(AV64,数出表_Excel!$A:$A,0)-1&amp;"")&lt;&gt;"",0)
),
 "")
&amp;IFERROR(
INDEX(INDIRECT("数出表_Excel!$"&amp;AU64&amp;"5:$AL5"),
 1,
MATCH(TRUE,INDIRECT("'数出表_Excel'!"&amp;AU64&amp;MATCH(AV64,数出表_Excel!$A:$A,0)-1&amp;":AL"&amp;MATCH(AV64,数出表_Excel!$A:$A,0)-1&amp;"")&lt;&gt;"",0)),
 "")),"")))</f>
        <v/>
      </c>
      <c r="AY65" s="108" t="str" cm="1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ISNUMBER(--INDIRECT("'数出表_Excel（アレルギー入力）'!B"&amp;MATCH(AV64,'数出表_Excel（アレルギー入力）'!$A:$A,0)-1&amp;":AL"&amp;MATCH(AV64,'数出表_Excel（アレルギー入力）'!$A:$A,0)-1&amp;"")),0)&gt;10,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21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1"/>
      <c r="BB65" s="106" t="e" cm="1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5" t="str" cm="1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101"/>
      <c r="BE65" s="107" t="str" cm="1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+MATCH(TRUE,INDIRECT("'数出表_Excel'!"&amp;BB64&amp;MATCH(BC64,数出表_Excel!$A:$A,0)-1&amp;":AL"&amp;MATCH(BC64,数出表_Excel!$A:$A,0)-1&amp;"")&lt;&gt;"",0))&gt;=12,"",
IFERROR(
INDEX(INDIRECT("数出表_Excel!$"&amp;BB64&amp;"4:$AL4"),
 1,
MATCH(TRUE,INDIRECT("'数出表_Excel'!"&amp;BB64&amp;MATCH(BC64,数出表_Excel!$A:$A,0)-1&amp;":AL"&amp;MATCH(BC64,数出表_Excel!$A:$A,0)-1&amp;"")&lt;&gt;"",0)
),
 "")
&amp;IFERROR(
INDEX(INDIRECT("数出表_Excel!$"&amp;BB64&amp;"5:$AL5"),
 1,
MATCH(TRUE,INDIRECT("'数出表_Excel'!"&amp;BB64&amp;MATCH(BC64,数出表_Excel!$A:$A,0)-1&amp;":AL"&amp;MATCH(BC64,数出表_Excel!$A:$A,0)-1&amp;"")&lt;&gt;"",0)),
 "")),"")))</f>
        <v/>
      </c>
      <c r="BF65" s="108" t="str" cm="1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ISNUMBER(--INDIRECT("'数出表_Excel（アレルギー入力）'!B"&amp;MATCH(BC64,'数出表_Excel（アレルギー入力）'!$A:$A,0)-1&amp;":AL"&amp;MATCH(BC64,'数出表_Excel（アレルギー入力）'!$A:$A,0)-1&amp;"")),0)&gt;10,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117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1"/>
      <c r="BI65" s="101"/>
      <c r="BJ65" s="106" t="e" cm="1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5" t="str" cm="1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101"/>
      <c r="BM65" s="107" t="str" cm="1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+MATCH(TRUE,INDIRECT("'数出表_Excel'!"&amp;BJ64&amp;MATCH(BK64,数出表_Excel!$A:$A,0)-1&amp;":AL"&amp;MATCH(BK64,数出表_Excel!$A:$A,0)-1&amp;"")&lt;&gt;"",0))&gt;=12,"",
IFERROR(
INDEX(INDIRECT("数出表_Excel!$"&amp;BJ64&amp;"4:$AL4"),
 1,
MATCH(TRUE,INDIRECT("'数出表_Excel'!"&amp;BJ64&amp;MATCH(BK64,数出表_Excel!$A:$A,0)-1&amp;":AL"&amp;MATCH(BK64,数出表_Excel!$A:$A,0)-1&amp;"")&lt;&gt;"",0)
),
 "")
&amp;IFERROR(
INDEX(INDIRECT("数出表_Excel!$"&amp;BJ64&amp;"5:$AL5"),
 1,
MATCH(TRUE,INDIRECT("'数出表_Excel'!"&amp;BJ64&amp;MATCH(BK64,数出表_Excel!$A:$A,0)-1&amp;":AL"&amp;MATCH(BK64,数出表_Excel!$A:$A,0)-1&amp;"")&lt;&gt;"",0)),
 "")),"")))</f>
        <v/>
      </c>
      <c r="BN65" s="108" t="str" cm="1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ISNUMBER(--INDIRECT("'数出表_Excel（アレルギー入力）'!B"&amp;MATCH(BK64,'数出表_Excel（アレルギー入力）'!$A:$A,0)-1&amp;":AL"&amp;MATCH(BK64,'数出表_Excel（アレルギー入力）'!$A:$A,0)-1&amp;"")),0)&gt;10,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21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1"/>
      <c r="BQ65" s="106" t="e" cm="1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5" t="str" cm="1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101"/>
      <c r="BT65" s="107" t="str" cm="1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+MATCH(TRUE,INDIRECT("'数出表_Excel'!"&amp;BQ64&amp;MATCH(BR64,数出表_Excel!$A:$A,0)-1&amp;":AL"&amp;MATCH(BR64,数出表_Excel!$A:$A,0)-1&amp;"")&lt;&gt;"",0))&gt;=12,"",
IFERROR(
INDEX(INDIRECT("数出表_Excel!$"&amp;BQ64&amp;"4:$AL4"),
 1,
MATCH(TRUE,INDIRECT("'数出表_Excel'!"&amp;BQ64&amp;MATCH(BR64,数出表_Excel!$A:$A,0)-1&amp;":AL"&amp;MATCH(BR64,数出表_Excel!$A:$A,0)-1&amp;"")&lt;&gt;"",0)
),
 "")
&amp;IFERROR(
INDEX(INDIRECT("数出表_Excel!$"&amp;BQ64&amp;"5:$AL5"),
 1,
MATCH(TRUE,INDIRECT("'数出表_Excel'!"&amp;BQ64&amp;MATCH(BR64,数出表_Excel!$A:$A,0)-1&amp;":AL"&amp;MATCH(BR64,数出表_Excel!$A:$A,0)-1&amp;"")&lt;&gt;"",0)),
 "")),"")))</f>
        <v/>
      </c>
      <c r="BU65" s="108" t="str" cm="1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ISNUMBER(--INDIRECT("'数出表_Excel（アレルギー入力）'!B"&amp;MATCH(BR64,'数出表_Excel（アレルギー入力）'!$A:$A,0)-1&amp;":AL"&amp;MATCH(BR64,'数出表_Excel（アレルギー入力）'!$A:$A,0)-1&amp;"")),0)&gt;10,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117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1"/>
      <c r="BX65" s="101"/>
      <c r="BY65" s="106" t="e" cm="1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5" t="str" cm="1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101"/>
      <c r="CB65" s="107" t="str" cm="1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+MATCH(TRUE,INDIRECT("'数出表_Excel'!"&amp;BY64&amp;MATCH(BZ64,数出表_Excel!$A:$A,0)-1&amp;":AL"&amp;MATCH(BZ64,数出表_Excel!$A:$A,0)-1&amp;"")&lt;&gt;"",0))&gt;=12,"",
IFERROR(
INDEX(INDIRECT("数出表_Excel!$"&amp;BY64&amp;"4:$AL4"),
 1,
MATCH(TRUE,INDIRECT("'数出表_Excel'!"&amp;BY64&amp;MATCH(BZ64,数出表_Excel!$A:$A,0)-1&amp;":AL"&amp;MATCH(BZ64,数出表_Excel!$A:$A,0)-1&amp;"")&lt;&gt;"",0)
),
 "")
&amp;IFERROR(
INDEX(INDIRECT("数出表_Excel!$"&amp;BY64&amp;"5:$AL5"),
 1,
MATCH(TRUE,INDIRECT("'数出表_Excel'!"&amp;BY64&amp;MATCH(BZ64,数出表_Excel!$A:$A,0)-1&amp;":AL"&amp;MATCH(BZ64,数出表_Excel!$A:$A,0)-1&amp;"")&lt;&gt;"",0)),
 "")),"")))</f>
        <v/>
      </c>
      <c r="CC65" s="108" t="str" cm="1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ISNUMBER(--INDIRECT("'数出表_Excel（アレルギー入力）'!B"&amp;MATCH(BZ64,'数出表_Excel（アレルギー入力）'!$A:$A,0)-1&amp;":AL"&amp;MATCH(BZ64,'数出表_Excel（アレルギー入力）'!$A:$A,0)-1&amp;"")),0)&gt;10,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21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1"/>
      <c r="CF65" s="106" t="e" cm="1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5" t="str" cm="1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101"/>
      <c r="CI65" s="107" t="str" cm="1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+MATCH(TRUE,INDIRECT("'数出表_Excel'!"&amp;CF64&amp;MATCH(CG64,数出表_Excel!$A:$A,0)-1&amp;":AL"&amp;MATCH(CG64,数出表_Excel!$A:$A,0)-1&amp;"")&lt;&gt;"",0))&gt;=12,"",
IFERROR(
INDEX(INDIRECT("数出表_Excel!$"&amp;CF64&amp;"4:$AL4"),
 1,
MATCH(TRUE,INDIRECT("'数出表_Excel'!"&amp;CF64&amp;MATCH(CG64,数出表_Excel!$A:$A,0)-1&amp;":AL"&amp;MATCH(CG64,数出表_Excel!$A:$A,0)-1&amp;"")&lt;&gt;"",0)
),
 "")
&amp;IFERROR(
INDEX(INDIRECT("数出表_Excel!$"&amp;CF64&amp;"5:$AL5"),
 1,
MATCH(TRUE,INDIRECT("'数出表_Excel'!"&amp;CF64&amp;MATCH(CG64,数出表_Excel!$A:$A,0)-1&amp;":AL"&amp;MATCH(CG64,数出表_Excel!$A:$A,0)-1&amp;"")&lt;&gt;"",0)),
 "")),"")))</f>
        <v/>
      </c>
      <c r="CJ65" s="108" t="str" cm="1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ISNUMBER(--INDIRECT("'数出表_Excel（アレルギー入力）'!B"&amp;MATCH(CG64,'数出表_Excel（アレルギー入力）'!$A:$A,0)-1&amp;":AL"&amp;MATCH(CG64,'数出表_Excel（アレルギー入力）'!$A:$A,0)-1&amp;"")),0)&gt;10,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117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1"/>
      <c r="CM65" s="101"/>
      <c r="CN65" s="106" t="e" cm="1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5" t="str" cm="1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101"/>
      <c r="CQ65" s="107" t="str" cm="1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+MATCH(TRUE,INDIRECT("'数出表_Excel'!"&amp;CN64&amp;MATCH(CO64,数出表_Excel!$A:$A,0)-1&amp;":AL"&amp;MATCH(CO64,数出表_Excel!$A:$A,0)-1&amp;"")&lt;&gt;"",0))&gt;=12,"",
IFERROR(
INDEX(INDIRECT("数出表_Excel!$"&amp;CN64&amp;"4:$AL4"),
 1,
MATCH(TRUE,INDIRECT("'数出表_Excel'!"&amp;CN64&amp;MATCH(CO64,数出表_Excel!$A:$A,0)-1&amp;":AL"&amp;MATCH(CO64,数出表_Excel!$A:$A,0)-1&amp;"")&lt;&gt;"",0)
),
 "")
&amp;IFERROR(
INDEX(INDIRECT("数出表_Excel!$"&amp;CN64&amp;"5:$AL5"),
 1,
MATCH(TRUE,INDIRECT("'数出表_Excel'!"&amp;CN64&amp;MATCH(CO64,数出表_Excel!$A:$A,0)-1&amp;":AL"&amp;MATCH(CO64,数出表_Excel!$A:$A,0)-1&amp;"")&lt;&gt;"",0)),
 "")),"")))</f>
        <v/>
      </c>
      <c r="CR65" s="108" t="str" cm="1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ISNUMBER(--INDIRECT("'数出表_Excel（アレルギー入力）'!B"&amp;MATCH(CO64,'数出表_Excel（アレルギー入力）'!$A:$A,0)-1&amp;":AL"&amp;MATCH(CO64,'数出表_Excel（アレルギー入力）'!$A:$A,0)-1&amp;"")),0)&gt;10,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21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1"/>
      <c r="CU65" s="106" t="e" cm="1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5" t="str" cm="1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101"/>
      <c r="CX65" s="107" t="str" cm="1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+MATCH(TRUE,INDIRECT("'数出表_Excel'!"&amp;CU64&amp;MATCH(CV64,数出表_Excel!$A:$A,0)-1&amp;":AL"&amp;MATCH(CV64,数出表_Excel!$A:$A,0)-1&amp;"")&lt;&gt;"",0))&gt;=12,"",
IFERROR(
INDEX(INDIRECT("数出表_Excel!$"&amp;CU64&amp;"4:$AL4"),
 1,
MATCH(TRUE,INDIRECT("'数出表_Excel'!"&amp;CU64&amp;MATCH(CV64,数出表_Excel!$A:$A,0)-1&amp;":AL"&amp;MATCH(CV64,数出表_Excel!$A:$A,0)-1&amp;"")&lt;&gt;"",0)
),
 "")
&amp;IFERROR(
INDEX(INDIRECT("数出表_Excel!$"&amp;CU64&amp;"5:$AL5"),
 1,
MATCH(TRUE,INDIRECT("'数出表_Excel'!"&amp;CU64&amp;MATCH(CV64,数出表_Excel!$A:$A,0)-1&amp;":AL"&amp;MATCH(CV64,数出表_Excel!$A:$A,0)-1&amp;"")&lt;&gt;"",0)),
 "")),"")))</f>
        <v/>
      </c>
      <c r="CY65" s="108" t="str" cm="1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ISNUMBER(--INDIRECT("'数出表_Excel（アレルギー入力）'!B"&amp;MATCH(CV64,'数出表_Excel（アレルギー入力）'!$A:$A,0)-1&amp;":AL"&amp;MATCH(CV64,'数出表_Excel（アレルギー入力）'!$A:$A,0)-1&amp;"")),0)&gt;10,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117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1"/>
      <c r="DB65" s="101"/>
      <c r="DC65" s="106" t="e" cm="1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5" t="str" cm="1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101"/>
      <c r="DF65" s="107" t="str" cm="1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+MATCH(TRUE,INDIRECT("'数出表_Excel'!"&amp;DC64&amp;MATCH(DD64,数出表_Excel!$A:$A,0)-1&amp;":AL"&amp;MATCH(DD64,数出表_Excel!$A:$A,0)-1&amp;"")&lt;&gt;"",0))&gt;=12,"",
IFERROR(
INDEX(INDIRECT("数出表_Excel!$"&amp;DC64&amp;"4:$AL4"),
 1,
MATCH(TRUE,INDIRECT("'数出表_Excel'!"&amp;DC64&amp;MATCH(DD64,数出表_Excel!$A:$A,0)-1&amp;":AL"&amp;MATCH(DD64,数出表_Excel!$A:$A,0)-1&amp;"")&lt;&gt;"",0)
),
 "")
&amp;IFERROR(
INDEX(INDIRECT("数出表_Excel!$"&amp;DC64&amp;"5:$AL5"),
 1,
MATCH(TRUE,INDIRECT("'数出表_Excel'!"&amp;DC64&amp;MATCH(DD64,数出表_Excel!$A:$A,0)-1&amp;":AL"&amp;MATCH(DD64,数出表_Excel!$A:$A,0)-1&amp;"")&lt;&gt;"",0)),
 "")),"")))</f>
        <v/>
      </c>
      <c r="DG65" s="108" t="str" cm="1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ISNUMBER(--INDIRECT("'数出表_Excel（アレルギー入力）'!B"&amp;MATCH(DD64,'数出表_Excel（アレルギー入力）'!$A:$A,0)-1&amp;":AL"&amp;MATCH(DD64,'数出表_Excel（アレルギー入力）'!$A:$A,0)-1&amp;"")),0)&gt;10,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21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1"/>
      <c r="DJ65" s="106" t="e" cm="1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5" t="str" cm="1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101"/>
      <c r="DM65" s="107" t="str" cm="1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+MATCH(TRUE,INDIRECT("'数出表_Excel'!"&amp;DJ64&amp;MATCH(DK64,数出表_Excel!$A:$A,0)-1&amp;":AL"&amp;MATCH(DK64,数出表_Excel!$A:$A,0)-1&amp;"")&lt;&gt;"",0))&gt;=12,"",
IFERROR(
INDEX(INDIRECT("数出表_Excel!$"&amp;DJ64&amp;"4:$AL4"),
 1,
MATCH(TRUE,INDIRECT("'数出表_Excel'!"&amp;DJ64&amp;MATCH(DK64,数出表_Excel!$A:$A,0)-1&amp;":AL"&amp;MATCH(DK64,数出表_Excel!$A:$A,0)-1&amp;"")&lt;&gt;"",0)
),
 "")
&amp;IFERROR(
INDEX(INDIRECT("数出表_Excel!$"&amp;DJ64&amp;"5:$AL5"),
 1,
MATCH(TRUE,INDIRECT("'数出表_Excel'!"&amp;DJ64&amp;MATCH(DK64,数出表_Excel!$A:$A,0)-1&amp;":AL"&amp;MATCH(DK64,数出表_Excel!$A:$A,0)-1&amp;"")&lt;&gt;"",0)),
 "")),"")))</f>
        <v/>
      </c>
      <c r="DN65" s="108" t="str" cm="1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ISNUMBER(--INDIRECT("'数出表_Excel（アレルギー入力）'!B"&amp;MATCH(DK64,'数出表_Excel（アレルギー入力）'!$A:$A,0)-1&amp;":AL"&amp;MATCH(DK64,'数出表_Excel（アレルギー入力）'!$A:$A,0)-1&amp;"")),0)&gt;10,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117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1"/>
      <c r="DQ65" s="101"/>
      <c r="DR65" s="106" t="e" cm="1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5" t="str" cm="1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101"/>
      <c r="DU65" s="107" t="str" cm="1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+MATCH(TRUE,INDIRECT("'数出表_Excel'!"&amp;DR64&amp;MATCH(DS64,数出表_Excel!$A:$A,0)-1&amp;":AL"&amp;MATCH(DS64,数出表_Excel!$A:$A,0)-1&amp;"")&lt;&gt;"",0))&gt;=12,"",
IFERROR(
INDEX(INDIRECT("数出表_Excel!$"&amp;DR64&amp;"4:$AL4"),
 1,
MATCH(TRUE,INDIRECT("'数出表_Excel'!"&amp;DR64&amp;MATCH(DS64,数出表_Excel!$A:$A,0)-1&amp;":AL"&amp;MATCH(DS64,数出表_Excel!$A:$A,0)-1&amp;"")&lt;&gt;"",0)
),
 "")
&amp;IFERROR(
INDEX(INDIRECT("数出表_Excel!$"&amp;DR64&amp;"5:$AL5"),
 1,
MATCH(TRUE,INDIRECT("'数出表_Excel'!"&amp;DR64&amp;MATCH(DS64,数出表_Excel!$A:$A,0)-1&amp;":AL"&amp;MATCH(DS64,数出表_Excel!$A:$A,0)-1&amp;"")&lt;&gt;"",0)),
 "")),"")))</f>
        <v/>
      </c>
      <c r="DV65" s="108" t="str" cm="1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ISNUMBER(--INDIRECT("'数出表_Excel（アレルギー入力）'!B"&amp;MATCH(DS64,'数出表_Excel（アレルギー入力）'!$A:$A,0)-1&amp;":AL"&amp;MATCH(DS64,'数出表_Excel（アレルギー入力）'!$A:$A,0)-1&amp;"")),0)&gt;10,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21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1"/>
      <c r="DY65" s="106" t="e" cm="1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5" t="str" cm="1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101"/>
      <c r="EB65" s="107" t="str" cm="1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+MATCH(TRUE,INDIRECT("'数出表_Excel'!"&amp;DY64&amp;MATCH(DZ64,数出表_Excel!$A:$A,0)-1&amp;":AL"&amp;MATCH(DZ64,数出表_Excel!$A:$A,0)-1&amp;"")&lt;&gt;"",0))&gt;=12,"",
IFERROR(
INDEX(INDIRECT("数出表_Excel!$"&amp;DY64&amp;"4:$AL4"),
 1,
MATCH(TRUE,INDIRECT("'数出表_Excel'!"&amp;DY64&amp;MATCH(DZ64,数出表_Excel!$A:$A,0)-1&amp;":AL"&amp;MATCH(DZ64,数出表_Excel!$A:$A,0)-1&amp;"")&lt;&gt;"",0)
),
 "")
&amp;IFERROR(
INDEX(INDIRECT("数出表_Excel!$"&amp;DY64&amp;"5:$AL5"),
 1,
MATCH(TRUE,INDIRECT("'数出表_Excel'!"&amp;DY64&amp;MATCH(DZ64,数出表_Excel!$A:$A,0)-1&amp;":AL"&amp;MATCH(DZ64,数出表_Excel!$A:$A,0)-1&amp;"")&lt;&gt;"",0)),
 "")),"")))</f>
        <v/>
      </c>
      <c r="EC65" s="108" t="str" cm="1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ISNUMBER(--INDIRECT("'数出表_Excel（アレルギー入力）'!B"&amp;MATCH(DZ64,'数出表_Excel（アレルギー入力）'!$A:$A,0)-1&amp;":AL"&amp;MATCH(DZ64,'数出表_Excel（アレルギー入力）'!$A:$A,0)-1&amp;"")),0)&gt;10,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117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1"/>
      <c r="EF65" s="101"/>
      <c r="EG65" s="106" t="e" cm="1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5" t="str" cm="1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101"/>
      <c r="EJ65" s="107" t="str" cm="1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+MATCH(TRUE,INDIRECT("'数出表_Excel'!"&amp;EG64&amp;MATCH(EH64,数出表_Excel!$A:$A,0)-1&amp;":AL"&amp;MATCH(EH64,数出表_Excel!$A:$A,0)-1&amp;"")&lt;&gt;"",0))&gt;=12,"",
IFERROR(
INDEX(INDIRECT("数出表_Excel!$"&amp;EG64&amp;"4:$AL4"),
 1,
MATCH(TRUE,INDIRECT("'数出表_Excel'!"&amp;EG64&amp;MATCH(EH64,数出表_Excel!$A:$A,0)-1&amp;":AL"&amp;MATCH(EH64,数出表_Excel!$A:$A,0)-1&amp;"")&lt;&gt;"",0)
),
 "")
&amp;IFERROR(
INDEX(INDIRECT("数出表_Excel!$"&amp;EG64&amp;"5:$AL5"),
 1,
MATCH(TRUE,INDIRECT("'数出表_Excel'!"&amp;EG64&amp;MATCH(EH64,数出表_Excel!$A:$A,0)-1&amp;":AL"&amp;MATCH(EH64,数出表_Excel!$A:$A,0)-1&amp;"")&lt;&gt;"",0)),
 "")),"")))</f>
        <v/>
      </c>
      <c r="EK65" s="108" t="str" cm="1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ISNUMBER(--INDIRECT("'数出表_Excel（アレルギー入力）'!B"&amp;MATCH(EH64,'数出表_Excel（アレルギー入力）'!$A:$A,0)-1&amp;":AL"&amp;MATCH(EH64,'数出表_Excel（アレルギー入力）'!$A:$A,0)-1&amp;"")),0)&gt;10,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21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101"/>
      <c r="EN65" s="106" t="e" cm="1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5" t="str" cm="1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101"/>
      <c r="EQ65" s="107" t="str" cm="1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+MATCH(TRUE,INDIRECT("'数出表_Excel'!"&amp;EN64&amp;MATCH(EO64,数出表_Excel!$A:$A,0)-1&amp;":AL"&amp;MATCH(EO64,数出表_Excel!$A:$A,0)-1&amp;"")&lt;&gt;"",0))&gt;=12,"",
IFERROR(
INDEX(INDIRECT("数出表_Excel!$"&amp;EN64&amp;"4:$AL4"),
 1,
MATCH(TRUE,INDIRECT("'数出表_Excel'!"&amp;EN64&amp;MATCH(EO64,数出表_Excel!$A:$A,0)-1&amp;":AL"&amp;MATCH(EO64,数出表_Excel!$A:$A,0)-1&amp;"")&lt;&gt;"",0)
),
 "")
&amp;IFERROR(
INDEX(INDIRECT("数出表_Excel!$"&amp;EN64&amp;"5:$AL5"),
 1,
MATCH(TRUE,INDIRECT("'数出表_Excel'!"&amp;EN64&amp;MATCH(EO64,数出表_Excel!$A:$A,0)-1&amp;":AL"&amp;MATCH(EO64,数出表_Excel!$A:$A,0)-1&amp;"")&lt;&gt;"",0)),
 "")),"")))</f>
        <v/>
      </c>
      <c r="ER65" s="108" t="str" cm="1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ISNUMBER(--INDIRECT("'数出表_Excel（アレルギー入力）'!B"&amp;MATCH(EO64,'数出表_Excel（アレルギー入力）'!$A:$A,0)-1&amp;":AL"&amp;MATCH(EO64,'数出表_Excel（アレルギー入力）'!$A:$A,0)-1&amp;"")),0)&gt;10,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117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3"/>
      <c r="EU65" s="103">
        <f t="shared" si="4"/>
        <v>28</v>
      </c>
      <c r="EV65" s="103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3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3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3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3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3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3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3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3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3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3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3">
        <f t="shared" ref="FG65:FG96" ca="1" si="5">IF(COUNTIF(FH65,"TRUE"),ROW(),0)</f>
        <v>0</v>
      </c>
      <c r="FH65" s="103" t="e">
        <f t="array" aca="1" ref="FH65" ca="1">SUMPRODUCT((LEN(EV65:FF65)&gt;0)*1)&gt;0</f>
        <v>#VALUE!</v>
      </c>
      <c r="FI65" s="103" t="str">
        <f t="array" aca="1" ref="FI65" ca="1">IFERROR(SMALL(IF(FG$1:FG$169&lt;&gt;0,FG$1:FG$169),ROW(A65)),"")</f>
        <v/>
      </c>
      <c r="FJ65" s="103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3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3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3" t="str">
        <f t="array" aca="1" ref="FM65" ca="1">IF($FI65&lt;&gt;"",
IF(FL65="",
INDIRECT("CB"&amp;$FI65&amp;"")&amp;"箱"
&amp;INDIRECT("CC"&amp;$FI65&amp;""),""),"")</f>
        <v/>
      </c>
      <c r="FN65" s="103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3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3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3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3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3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3" customFormat="1" ht="22.2" customHeight="1" x14ac:dyDescent="0.55000000000000004">
      <c r="A66" s="101"/>
      <c r="B66" s="109"/>
      <c r="C66" s="196" t="str">
        <f ca="1">IF(C67&lt;&gt;"","園児","")</f>
        <v/>
      </c>
      <c r="D66" s="196"/>
      <c r="E66" s="200" t="str">
        <f ca="1">IF(C67&lt;&gt;"","先生","")</f>
        <v/>
      </c>
      <c r="F66" s="200"/>
      <c r="G66" s="122"/>
      <c r="H66" s="101"/>
      <c r="I66" s="109"/>
      <c r="J66" s="196" t="str">
        <f ca="1">IF(J67&lt;&gt;"","園児","")</f>
        <v/>
      </c>
      <c r="K66" s="196"/>
      <c r="L66" s="200" t="str">
        <f ca="1">IF(J67&lt;&gt;"","先生","")</f>
        <v/>
      </c>
      <c r="M66" s="200"/>
      <c r="N66" s="118"/>
      <c r="O66" s="101"/>
      <c r="P66" s="101"/>
      <c r="Q66" s="109"/>
      <c r="R66" s="196" t="str">
        <f ca="1">IF(R67&lt;&gt;"","園児","")</f>
        <v/>
      </c>
      <c r="S66" s="196"/>
      <c r="T66" s="200" t="str">
        <f ca="1">IF(R67&lt;&gt;"","先生","")</f>
        <v/>
      </c>
      <c r="U66" s="200"/>
      <c r="V66" s="122"/>
      <c r="W66" s="101"/>
      <c r="X66" s="109"/>
      <c r="Y66" s="196" t="str">
        <f ca="1">IF(Y67&lt;&gt;"","園児","")</f>
        <v/>
      </c>
      <c r="Z66" s="196"/>
      <c r="AA66" s="200" t="str">
        <f ca="1">IF(Y67&lt;&gt;"","先生","")</f>
        <v/>
      </c>
      <c r="AB66" s="200"/>
      <c r="AC66" s="118"/>
      <c r="AD66" s="101"/>
      <c r="AE66" s="101"/>
      <c r="AF66" s="109"/>
      <c r="AG66" s="196" t="str">
        <f ca="1">IF(AG67&lt;&gt;"","園児","")</f>
        <v/>
      </c>
      <c r="AH66" s="196"/>
      <c r="AI66" s="200" t="str">
        <f ca="1">IF(AG67&lt;&gt;"","先生","")</f>
        <v/>
      </c>
      <c r="AJ66" s="200"/>
      <c r="AK66" s="122"/>
      <c r="AL66" s="101"/>
      <c r="AM66" s="109"/>
      <c r="AN66" s="196" t="str">
        <f ca="1">IF(AN67&lt;&gt;"","園児","")</f>
        <v/>
      </c>
      <c r="AO66" s="196"/>
      <c r="AP66" s="200" t="str">
        <f ca="1">IF(AN67&lt;&gt;"","先生","")</f>
        <v/>
      </c>
      <c r="AQ66" s="200"/>
      <c r="AR66" s="118"/>
      <c r="AS66" s="101"/>
      <c r="AT66" s="101"/>
      <c r="AU66" s="109"/>
      <c r="AV66" s="196" t="str">
        <f ca="1">IF(AV67&lt;&gt;"","園児","")</f>
        <v/>
      </c>
      <c r="AW66" s="196"/>
      <c r="AX66" s="200" t="str">
        <f ca="1">IF(AV67&lt;&gt;"","先生","")</f>
        <v/>
      </c>
      <c r="AY66" s="200"/>
      <c r="AZ66" s="122"/>
      <c r="BA66" s="101"/>
      <c r="BB66" s="109"/>
      <c r="BC66" s="196" t="str">
        <f ca="1">IF(BC67&lt;&gt;"","園児","")</f>
        <v/>
      </c>
      <c r="BD66" s="196"/>
      <c r="BE66" s="200" t="str">
        <f ca="1">IF(BC67&lt;&gt;"","先生","")</f>
        <v/>
      </c>
      <c r="BF66" s="200"/>
      <c r="BG66" s="118"/>
      <c r="BH66" s="101"/>
      <c r="BI66" s="101"/>
      <c r="BJ66" s="109"/>
      <c r="BK66" s="196" t="str">
        <f ca="1">IF(BK67&lt;&gt;"","園児","")</f>
        <v/>
      </c>
      <c r="BL66" s="196"/>
      <c r="BM66" s="200" t="str">
        <f ca="1">IF(BK67&lt;&gt;"","先生","")</f>
        <v/>
      </c>
      <c r="BN66" s="200"/>
      <c r="BO66" s="122"/>
      <c r="BP66" s="101"/>
      <c r="BQ66" s="109"/>
      <c r="BR66" s="196" t="str">
        <f ca="1">IF(BR67&lt;&gt;"","園児","")</f>
        <v/>
      </c>
      <c r="BS66" s="196"/>
      <c r="BT66" s="200" t="str">
        <f ca="1">IF(BR67&lt;&gt;"","先生","")</f>
        <v/>
      </c>
      <c r="BU66" s="200"/>
      <c r="BV66" s="118"/>
      <c r="BW66" s="101"/>
      <c r="BX66" s="101"/>
      <c r="BY66" s="109"/>
      <c r="BZ66" s="196" t="str">
        <f ca="1">IF(BZ67&lt;&gt;"","園児","")</f>
        <v/>
      </c>
      <c r="CA66" s="196"/>
      <c r="CB66" s="200" t="str">
        <f ca="1">IF(BZ67&lt;&gt;"","先生","")</f>
        <v/>
      </c>
      <c r="CC66" s="200"/>
      <c r="CD66" s="122"/>
      <c r="CE66" s="101"/>
      <c r="CF66" s="109"/>
      <c r="CG66" s="196" t="str">
        <f ca="1">IF(CG67&lt;&gt;"","園児","")</f>
        <v/>
      </c>
      <c r="CH66" s="196"/>
      <c r="CI66" s="200" t="str">
        <f ca="1">IF(CG67&lt;&gt;"","先生","")</f>
        <v/>
      </c>
      <c r="CJ66" s="200"/>
      <c r="CK66" s="118"/>
      <c r="CL66" s="101"/>
      <c r="CM66" s="101"/>
      <c r="CN66" s="109"/>
      <c r="CO66" s="196" t="str">
        <f ca="1">IF(CO67&lt;&gt;"","園児","")</f>
        <v/>
      </c>
      <c r="CP66" s="196"/>
      <c r="CQ66" s="200" t="str">
        <f ca="1">IF(CO67&lt;&gt;"","先生","")</f>
        <v/>
      </c>
      <c r="CR66" s="200"/>
      <c r="CS66" s="122"/>
      <c r="CT66" s="101"/>
      <c r="CU66" s="109"/>
      <c r="CV66" s="196" t="str">
        <f ca="1">IF(CV67&lt;&gt;"","園児","")</f>
        <v/>
      </c>
      <c r="CW66" s="196"/>
      <c r="CX66" s="200" t="str">
        <f ca="1">IF(CV67&lt;&gt;"","先生","")</f>
        <v/>
      </c>
      <c r="CY66" s="200"/>
      <c r="CZ66" s="118"/>
      <c r="DA66" s="101"/>
      <c r="DB66" s="101"/>
      <c r="DC66" s="109"/>
      <c r="DD66" s="196" t="str">
        <f ca="1">IF(DD67&lt;&gt;"","園児","")</f>
        <v/>
      </c>
      <c r="DE66" s="196"/>
      <c r="DF66" s="200" t="str">
        <f ca="1">IF(DD67&lt;&gt;"","先生","")</f>
        <v/>
      </c>
      <c r="DG66" s="200"/>
      <c r="DH66" s="122"/>
      <c r="DI66" s="101"/>
      <c r="DJ66" s="109"/>
      <c r="DK66" s="196" t="str">
        <f ca="1">IF(DK67&lt;&gt;"","園児","")</f>
        <v/>
      </c>
      <c r="DL66" s="196"/>
      <c r="DM66" s="200" t="str">
        <f ca="1">IF(DK67&lt;&gt;"","先生","")</f>
        <v/>
      </c>
      <c r="DN66" s="200"/>
      <c r="DO66" s="118"/>
      <c r="DP66" s="101"/>
      <c r="DQ66" s="101"/>
      <c r="DR66" s="109"/>
      <c r="DS66" s="196" t="str">
        <f ca="1">IF(DS67&lt;&gt;"","園児","")</f>
        <v/>
      </c>
      <c r="DT66" s="196"/>
      <c r="DU66" s="200" t="str">
        <f ca="1">IF(DS67&lt;&gt;"","先生","")</f>
        <v/>
      </c>
      <c r="DV66" s="200"/>
      <c r="DW66" s="122"/>
      <c r="DX66" s="101"/>
      <c r="DY66" s="109"/>
      <c r="DZ66" s="196" t="str">
        <f ca="1">IF(DZ67&lt;&gt;"","園児","")</f>
        <v/>
      </c>
      <c r="EA66" s="196"/>
      <c r="EB66" s="200" t="str">
        <f ca="1">IF(DZ67&lt;&gt;"","先生","")</f>
        <v/>
      </c>
      <c r="EC66" s="200"/>
      <c r="ED66" s="118"/>
      <c r="EE66" s="101"/>
      <c r="EF66" s="101"/>
      <c r="EG66" s="109"/>
      <c r="EH66" s="196" t="str">
        <f ca="1">IF(EH67&lt;&gt;"","園児","")</f>
        <v/>
      </c>
      <c r="EI66" s="196"/>
      <c r="EJ66" s="200" t="str">
        <f ca="1">IF(EH67&lt;&gt;"","先生","")</f>
        <v/>
      </c>
      <c r="EK66" s="200"/>
      <c r="EL66" s="122"/>
      <c r="EM66" s="101"/>
      <c r="EN66" s="109"/>
      <c r="EO66" s="196" t="str">
        <f ca="1">IF(EO67&lt;&gt;"","園児","")</f>
        <v/>
      </c>
      <c r="EP66" s="196"/>
      <c r="EQ66" s="200" t="str">
        <f ca="1">IF(EO67&lt;&gt;"","先生","")</f>
        <v/>
      </c>
      <c r="ER66" s="200"/>
      <c r="ES66" s="118"/>
      <c r="ET66" s="132"/>
      <c r="EU66" s="103">
        <f t="shared" si="4"/>
        <v>70</v>
      </c>
      <c r="EV66" s="103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3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3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3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3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3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3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3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3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3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3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3">
        <f t="shared" ca="1" si="5"/>
        <v>0</v>
      </c>
      <c r="FH66" s="103" t="b">
        <f t="array" aca="1" ref="FH66" ca="1">SUMPRODUCT((LEN(EV66:FF66)&gt;0)*1)&gt;0</f>
        <v>0</v>
      </c>
      <c r="FI66" s="103" t="str">
        <f t="array" aca="1" ref="FI66" ca="1">IFERROR(SMALL(IF(FG$1:FG$169&lt;&gt;0,FG$1:FG$169),ROW(A66)),"")</f>
        <v/>
      </c>
      <c r="FJ66" s="103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3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3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3" t="str">
        <f t="array" aca="1" ref="FM66" ca="1">IF($FI66&lt;&gt;"",
IF(FL66="",
INDIRECT("CB"&amp;$FI66&amp;"")&amp;"箱"
&amp;INDIRECT("CC"&amp;$FI66&amp;""),""),"")</f>
        <v/>
      </c>
      <c r="FN66" s="103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3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3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3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3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3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1.05">
      <c r="B67" s="111"/>
      <c r="C67" s="213" t="str" cm="1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13"/>
      <c r="E67" s="218" t="str" cm="1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18"/>
      <c r="G67" s="122"/>
      <c r="I67" s="111"/>
      <c r="J67" s="213" t="str" cm="1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13"/>
      <c r="L67" s="218" t="str" cm="1">
        <f t="array" aca="1" ref="L67" ca="1">IF(J23&lt;&gt;"",
IF(IFERROR(
INDEX(INDIRECT("数出表_Excel!"&amp;I64&amp;MATCH(N22,数出表_Excel!$A:$A,0)&amp;":U"&amp;MATCH(N22,数出表_Excel!$A:$A,0)&amp;""),
 1,I65-1),
 "")=0,"",
IFERROR(
INDEX(INDIRECT("数出表_Excel!"&amp;I64&amp;MATCH(N22,数出表_Excel!$A:$A,0)&amp;":U"&amp;MATCH(N22,数出表_Excel!$A:$A,0)&amp;""),
 1,I65-1),
 "")),"")</f>
        <v/>
      </c>
      <c r="M67" s="218"/>
      <c r="N67" s="118"/>
      <c r="Q67" s="111"/>
      <c r="R67" s="213" t="str" cm="1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13"/>
      <c r="T67" s="218" t="str" cm="1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18"/>
      <c r="V67" s="122"/>
      <c r="X67" s="111"/>
      <c r="Y67" s="213" t="str" cm="1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13"/>
      <c r="AA67" s="218" t="str" cm="1">
        <f t="array" aca="1" ref="AA67" ca="1">IF(Y23&lt;&gt;"",
IF(IFERROR(
INDEX(INDIRECT("数出表_Excel!"&amp;X64&amp;MATCH(AC22,数出表_Excel!$A:$A,0)&amp;":U"&amp;MATCH(AC22,数出表_Excel!$A:$A,0)&amp;""),
 1,X65-1),
 "")=0,"",
IFERROR(
INDEX(INDIRECT("数出表_Excel!"&amp;X64&amp;MATCH(AC22,数出表_Excel!$A:$A,0)&amp;":U"&amp;MATCH(AC22,数出表_Excel!$A:$A,0)&amp;""),
 1,X65-1),
 "")),"")</f>
        <v/>
      </c>
      <c r="AB67" s="218"/>
      <c r="AC67" s="118"/>
      <c r="AF67" s="111"/>
      <c r="AG67" s="213" t="str" cm="1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13"/>
      <c r="AI67" s="218" t="str" cm="1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18"/>
      <c r="AK67" s="122"/>
      <c r="AM67" s="111"/>
      <c r="AN67" s="213" t="str" cm="1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13"/>
      <c r="AP67" s="218" t="str" cm="1">
        <f t="array" aca="1" ref="AP67" ca="1">IF(AN23&lt;&gt;"",
IF(IFERROR(
INDEX(INDIRECT("数出表_Excel!"&amp;AM64&amp;MATCH(AR22,数出表_Excel!$A:$A,0)&amp;":U"&amp;MATCH(AR22,数出表_Excel!$A:$A,0)&amp;""),
 1,AM65-1),
 "")=0,"",
IFERROR(
INDEX(INDIRECT("数出表_Excel!"&amp;AM64&amp;MATCH(AR22,数出表_Excel!$A:$A,0)&amp;":U"&amp;MATCH(AR22,数出表_Excel!$A:$A,0)&amp;""),
 1,AM65-1),
 "")),"")</f>
        <v/>
      </c>
      <c r="AQ67" s="218"/>
      <c r="AR67" s="118"/>
      <c r="AU67" s="111"/>
      <c r="AV67" s="213" t="str" cm="1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13"/>
      <c r="AX67" s="218" t="str" cm="1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18"/>
      <c r="AZ67" s="122"/>
      <c r="BB67" s="111"/>
      <c r="BC67" s="213" t="str" cm="1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13"/>
      <c r="BE67" s="218" t="str" cm="1">
        <f t="array" aca="1" ref="BE67" ca="1">IF(BC23&lt;&gt;"",
IF(IFERROR(
INDEX(INDIRECT("数出表_Excel!"&amp;BB64&amp;MATCH(BG22,数出表_Excel!$A:$A,0)&amp;":U"&amp;MATCH(BG22,数出表_Excel!$A:$A,0)&amp;""),
 1,BB65-1),
 "")=0,"",
IFERROR(
INDEX(INDIRECT("数出表_Excel!"&amp;BB64&amp;MATCH(BG22,数出表_Excel!$A:$A,0)&amp;":U"&amp;MATCH(BG22,数出表_Excel!$A:$A,0)&amp;""),
 1,BB65-1),
 "")),"")</f>
        <v/>
      </c>
      <c r="BF67" s="218"/>
      <c r="BG67" s="118"/>
      <c r="BJ67" s="111"/>
      <c r="BK67" s="213" t="str" cm="1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13"/>
      <c r="BM67" s="218" t="str" cm="1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18"/>
      <c r="BO67" s="122"/>
      <c r="BQ67" s="111"/>
      <c r="BR67" s="213" t="str" cm="1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13"/>
      <c r="BT67" s="218" t="str" cm="1">
        <f t="array" aca="1" ref="BT67" ca="1">IF(BR23&lt;&gt;"",
IF(IFERROR(
INDEX(INDIRECT("数出表_Excel!"&amp;BQ64&amp;MATCH(BV22,数出表_Excel!$A:$A,0)&amp;":U"&amp;MATCH(BV22,数出表_Excel!$A:$A,0)&amp;""),
 1,BQ65-1),
 "")=0,"",
IFERROR(
INDEX(INDIRECT("数出表_Excel!"&amp;BQ64&amp;MATCH(BV22,数出表_Excel!$A:$A,0)&amp;":U"&amp;MATCH(BV22,数出表_Excel!$A:$A,0)&amp;""),
 1,BQ65-1),
 "")),"")</f>
        <v/>
      </c>
      <c r="BU67" s="218"/>
      <c r="BV67" s="118"/>
      <c r="BY67" s="111"/>
      <c r="BZ67" s="213" t="str" cm="1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13"/>
      <c r="CB67" s="218" t="str" cm="1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18"/>
      <c r="CD67" s="122"/>
      <c r="CF67" s="111"/>
      <c r="CG67" s="213" t="str" cm="1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13"/>
      <c r="CI67" s="218" t="str" cm="1">
        <f t="array" aca="1" ref="CI67" ca="1">IF(CG23&lt;&gt;"",
IF(IFERROR(
INDEX(INDIRECT("数出表_Excel!"&amp;CF64&amp;MATCH(CK22,数出表_Excel!$A:$A,0)&amp;":U"&amp;MATCH(CK22,数出表_Excel!$A:$A,0)&amp;""),
 1,CF65-1),
 "")=0,"",
IFERROR(
INDEX(INDIRECT("数出表_Excel!"&amp;CF64&amp;MATCH(CK22,数出表_Excel!$A:$A,0)&amp;":U"&amp;MATCH(CK22,数出表_Excel!$A:$A,0)&amp;""),
 1,CF65-1),
 "")),"")</f>
        <v/>
      </c>
      <c r="CJ67" s="218"/>
      <c r="CK67" s="118"/>
      <c r="CN67" s="111"/>
      <c r="CO67" s="213" t="str" cm="1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13"/>
      <c r="CQ67" s="218" t="str" cm="1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18"/>
      <c r="CS67" s="122"/>
      <c r="CU67" s="111"/>
      <c r="CV67" s="213" t="str" cm="1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13"/>
      <c r="CX67" s="218" t="str" cm="1">
        <f t="array" aca="1" ref="CX67" ca="1">IF(CV23&lt;&gt;"",
IF(IFERROR(
INDEX(INDIRECT("数出表_Excel!"&amp;CU64&amp;MATCH(CZ22,数出表_Excel!$A:$A,0)&amp;":U"&amp;MATCH(CZ22,数出表_Excel!$A:$A,0)&amp;""),
 1,CU65-1),
 "")=0,"",
IFERROR(
INDEX(INDIRECT("数出表_Excel!"&amp;CU64&amp;MATCH(CZ22,数出表_Excel!$A:$A,0)&amp;":U"&amp;MATCH(CZ22,数出表_Excel!$A:$A,0)&amp;""),
 1,CU65-1),
 "")),"")</f>
        <v/>
      </c>
      <c r="CY67" s="218"/>
      <c r="CZ67" s="118"/>
      <c r="DC67" s="111"/>
      <c r="DD67" s="213" t="str" cm="1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13"/>
      <c r="DF67" s="218" t="str" cm="1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18"/>
      <c r="DH67" s="122"/>
      <c r="DJ67" s="111"/>
      <c r="DK67" s="213" t="str" cm="1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13"/>
      <c r="DM67" s="218" t="str" cm="1">
        <f t="array" aca="1" ref="DM67" ca="1">IF(DK23&lt;&gt;"",
IF(IFERROR(
INDEX(INDIRECT("数出表_Excel!"&amp;DJ64&amp;MATCH(DO22,数出表_Excel!$A:$A,0)&amp;":U"&amp;MATCH(DO22,数出表_Excel!$A:$A,0)&amp;""),
 1,DJ65-1),
 "")=0,"",
IFERROR(
INDEX(INDIRECT("数出表_Excel!"&amp;DJ64&amp;MATCH(DO22,数出表_Excel!$A:$A,0)&amp;":U"&amp;MATCH(DO22,数出表_Excel!$A:$A,0)&amp;""),
 1,DJ65-1),
 "")),"")</f>
        <v/>
      </c>
      <c r="DN67" s="218"/>
      <c r="DO67" s="118"/>
      <c r="DR67" s="111"/>
      <c r="DS67" s="213" t="str" cm="1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13"/>
      <c r="DU67" s="218" t="str" cm="1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18"/>
      <c r="DW67" s="122"/>
      <c r="DY67" s="111"/>
      <c r="DZ67" s="213" t="str" cm="1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13"/>
      <c r="EB67" s="218" t="str" cm="1">
        <f t="array" aca="1" ref="EB67" ca="1">IF(DZ23&lt;&gt;"",
IF(IFERROR(
INDEX(INDIRECT("数出表_Excel!"&amp;DY64&amp;MATCH(ED22,数出表_Excel!$A:$A,0)&amp;":U"&amp;MATCH(ED22,数出表_Excel!$A:$A,0)&amp;""),
 1,DY65-1),
 "")=0,"",
IFERROR(
INDEX(INDIRECT("数出表_Excel!"&amp;DY64&amp;MATCH(ED22,数出表_Excel!$A:$A,0)&amp;":U"&amp;MATCH(ED22,数出表_Excel!$A:$A,0)&amp;""),
 1,DY65-1),
 "")),"")</f>
        <v/>
      </c>
      <c r="EC67" s="218"/>
      <c r="ED67" s="118"/>
      <c r="EG67" s="111"/>
      <c r="EH67" s="213" t="str" cm="1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13"/>
      <c r="EJ67" s="218" t="str" cm="1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18"/>
      <c r="EL67" s="122"/>
      <c r="EN67" s="111"/>
      <c r="EO67" s="213" t="str" cm="1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13"/>
      <c r="EQ67" s="218" t="str" cm="1">
        <f t="array" aca="1" ref="EQ67" ca="1">IF(EO23&lt;&gt;"",
IF(IFERROR(
INDEX(INDIRECT("数出表_Excel!"&amp;EN64&amp;MATCH(ES22,数出表_Excel!$A:$A,0)&amp;":U"&amp;MATCH(ES22,数出表_Excel!$A:$A,0)&amp;""),
 1,EN65-1),
 "")=0,"",
IFERROR(
INDEX(INDIRECT("数出表_Excel!"&amp;EN64&amp;MATCH(ES22,数出表_Excel!$A:$A,0)&amp;":U"&amp;MATCH(ES22,数出表_Excel!$A:$A,0)&amp;""),
 1,EN65-1),
 "")),"")</f>
        <v/>
      </c>
      <c r="ER67" s="218"/>
      <c r="ES67" s="118"/>
      <c r="ET67" s="132"/>
      <c r="EU67" s="112">
        <f t="shared" si="4"/>
        <v>28</v>
      </c>
      <c r="EV67" s="103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3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3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3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3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3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3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3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3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3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3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3">
        <f t="shared" ca="1" si="5"/>
        <v>0</v>
      </c>
      <c r="FH67" s="103" t="e">
        <f t="array" aca="1" ref="FH67" ca="1">SUMPRODUCT((LEN(EV67:FF67)&gt;0)*1)&gt;0</f>
        <v>#VALUE!</v>
      </c>
      <c r="FI67" s="103" t="str">
        <f t="array" aca="1" ref="FI67" ca="1">IFERROR(SMALL(IF(FG$1:FG$169&lt;&gt;0,FG$1:FG$169),ROW(A67)),"")</f>
        <v/>
      </c>
      <c r="FJ67" s="103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3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3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3" t="str">
        <f t="array" aca="1" ref="FM67" ca="1">IF($FI67&lt;&gt;"",
IF(FL67="",
INDIRECT("CB"&amp;$FI67&amp;"")&amp;"箱"
&amp;INDIRECT("CC"&amp;$FI67&amp;""),""),"")</f>
        <v/>
      </c>
      <c r="FN67" s="103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3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3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3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3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3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1.05">
      <c r="B68" s="113"/>
      <c r="C68" s="192"/>
      <c r="D68" s="192"/>
      <c r="E68" s="195"/>
      <c r="F68" s="195"/>
      <c r="G68" s="123" t="str">
        <f ca="1">SUBSTITUTE(SUBSTITUTE(ADDRESS(1,MATCH("おやつ",'数出表_Excel（アレルギー入力）'!$3:$3,0)),1,""),"$","")</f>
        <v>AL</v>
      </c>
      <c r="I68" s="113"/>
      <c r="J68" s="192"/>
      <c r="K68" s="192"/>
      <c r="L68" s="195"/>
      <c r="M68" s="195"/>
      <c r="N68" s="123" t="str">
        <f ca="1">SUBSTITUTE(SUBSTITUTE(ADDRESS(1,MATCH("おやつ",'数出表_Excel（アレルギー入力）'!$3:$3,0)),1,""),"$","")</f>
        <v>AL</v>
      </c>
      <c r="Q68" s="113"/>
      <c r="R68" s="192"/>
      <c r="S68" s="192"/>
      <c r="T68" s="195"/>
      <c r="U68" s="195"/>
      <c r="V68" s="123" t="str">
        <f ca="1">SUBSTITUTE(SUBSTITUTE(ADDRESS(1,MATCH("おやつ",'数出表_Excel（アレルギー入力）'!$3:$3,0)),1,""),"$","")</f>
        <v>AL</v>
      </c>
      <c r="X68" s="113"/>
      <c r="Y68" s="192"/>
      <c r="Z68" s="192"/>
      <c r="AA68" s="195"/>
      <c r="AB68" s="195"/>
      <c r="AC68" s="123" t="str">
        <f ca="1">SUBSTITUTE(SUBSTITUTE(ADDRESS(1,MATCH("おやつ",'数出表_Excel（アレルギー入力）'!$3:$3,0)),1,""),"$","")</f>
        <v>AL</v>
      </c>
      <c r="AF68" s="113"/>
      <c r="AG68" s="192"/>
      <c r="AH68" s="192"/>
      <c r="AI68" s="195"/>
      <c r="AJ68" s="195"/>
      <c r="AK68" s="123" t="str">
        <f ca="1">SUBSTITUTE(SUBSTITUTE(ADDRESS(1,MATCH("おやつ",'数出表_Excel（アレルギー入力）'!$3:$3,0)),1,""),"$","")</f>
        <v>AL</v>
      </c>
      <c r="AM68" s="113"/>
      <c r="AN68" s="192"/>
      <c r="AO68" s="192"/>
      <c r="AP68" s="195"/>
      <c r="AQ68" s="195"/>
      <c r="AR68" s="123" t="str">
        <f ca="1">SUBSTITUTE(SUBSTITUTE(ADDRESS(1,MATCH("おやつ",'数出表_Excel（アレルギー入力）'!$3:$3,0)),1,""),"$","")</f>
        <v>AL</v>
      </c>
      <c r="AU68" s="113"/>
      <c r="AV68" s="192"/>
      <c r="AW68" s="192"/>
      <c r="AX68" s="195"/>
      <c r="AY68" s="195"/>
      <c r="AZ68" s="123" t="str">
        <f ca="1">SUBSTITUTE(SUBSTITUTE(ADDRESS(1,MATCH("おやつ",'数出表_Excel（アレルギー入力）'!$3:$3,0)),1,""),"$","")</f>
        <v>AL</v>
      </c>
      <c r="BB68" s="113"/>
      <c r="BC68" s="192"/>
      <c r="BD68" s="192"/>
      <c r="BE68" s="195"/>
      <c r="BF68" s="195"/>
      <c r="BG68" s="123" t="str">
        <f ca="1">SUBSTITUTE(SUBSTITUTE(ADDRESS(1,MATCH("おやつ",'数出表_Excel（アレルギー入力）'!$3:$3,0)),1,""),"$","")</f>
        <v>AL</v>
      </c>
      <c r="BJ68" s="113"/>
      <c r="BK68" s="192"/>
      <c r="BL68" s="192"/>
      <c r="BM68" s="195"/>
      <c r="BN68" s="195"/>
      <c r="BO68" s="123" t="str">
        <f ca="1">SUBSTITUTE(SUBSTITUTE(ADDRESS(1,MATCH("おやつ",'数出表_Excel（アレルギー入力）'!$3:$3,0)),1,""),"$","")</f>
        <v>AL</v>
      </c>
      <c r="BQ68" s="113"/>
      <c r="BR68" s="192"/>
      <c r="BS68" s="192"/>
      <c r="BT68" s="195"/>
      <c r="BU68" s="195"/>
      <c r="BV68" s="123" t="str">
        <f ca="1">SUBSTITUTE(SUBSTITUTE(ADDRESS(1,MATCH("おやつ",'数出表_Excel（アレルギー入力）'!$3:$3,0)),1,""),"$","")</f>
        <v>AL</v>
      </c>
      <c r="BY68" s="113"/>
      <c r="BZ68" s="192"/>
      <c r="CA68" s="192"/>
      <c r="CB68" s="195"/>
      <c r="CC68" s="195"/>
      <c r="CD68" s="123" t="str">
        <f ca="1">SUBSTITUTE(SUBSTITUTE(ADDRESS(1,MATCH("おやつ",'数出表_Excel（アレルギー入力）'!$3:$3,0)),1,""),"$","")</f>
        <v>AL</v>
      </c>
      <c r="CF68" s="113"/>
      <c r="CG68" s="192"/>
      <c r="CH68" s="192"/>
      <c r="CI68" s="195"/>
      <c r="CJ68" s="195"/>
      <c r="CK68" s="123" t="str">
        <f ca="1">SUBSTITUTE(SUBSTITUTE(ADDRESS(1,MATCH("おやつ",'数出表_Excel（アレルギー入力）'!$3:$3,0)),1,""),"$","")</f>
        <v>AL</v>
      </c>
      <c r="CN68" s="113"/>
      <c r="CO68" s="192"/>
      <c r="CP68" s="192"/>
      <c r="CQ68" s="195"/>
      <c r="CR68" s="195"/>
      <c r="CS68" s="123" t="str">
        <f ca="1">SUBSTITUTE(SUBSTITUTE(ADDRESS(1,MATCH("おやつ",'数出表_Excel（アレルギー入力）'!$3:$3,0)),1,""),"$","")</f>
        <v>AL</v>
      </c>
      <c r="CU68" s="113"/>
      <c r="CV68" s="192"/>
      <c r="CW68" s="192"/>
      <c r="CX68" s="195"/>
      <c r="CY68" s="195"/>
      <c r="CZ68" s="123" t="str">
        <f ca="1">SUBSTITUTE(SUBSTITUTE(ADDRESS(1,MATCH("おやつ",'数出表_Excel（アレルギー入力）'!$3:$3,0)),1,""),"$","")</f>
        <v>AL</v>
      </c>
      <c r="DC68" s="113"/>
      <c r="DD68" s="192"/>
      <c r="DE68" s="192"/>
      <c r="DF68" s="195"/>
      <c r="DG68" s="195"/>
      <c r="DH68" s="123" t="str">
        <f ca="1">SUBSTITUTE(SUBSTITUTE(ADDRESS(1,MATCH("おやつ",'数出表_Excel（アレルギー入力）'!$3:$3,0)),1,""),"$","")</f>
        <v>AL</v>
      </c>
      <c r="DJ68" s="113"/>
      <c r="DK68" s="192"/>
      <c r="DL68" s="192"/>
      <c r="DM68" s="195"/>
      <c r="DN68" s="195"/>
      <c r="DO68" s="123" t="str">
        <f ca="1">SUBSTITUTE(SUBSTITUTE(ADDRESS(1,MATCH("おやつ",'数出表_Excel（アレルギー入力）'!$3:$3,0)),1,""),"$","")</f>
        <v>AL</v>
      </c>
      <c r="DR68" s="113"/>
      <c r="DS68" s="192"/>
      <c r="DT68" s="192"/>
      <c r="DU68" s="195"/>
      <c r="DV68" s="195"/>
      <c r="DW68" s="123" t="str">
        <f ca="1">SUBSTITUTE(SUBSTITUTE(ADDRESS(1,MATCH("おやつ",'数出表_Excel（アレルギー入力）'!$3:$3,0)),1,""),"$","")</f>
        <v>AL</v>
      </c>
      <c r="DY68" s="113"/>
      <c r="DZ68" s="192"/>
      <c r="EA68" s="192"/>
      <c r="EB68" s="195"/>
      <c r="EC68" s="195"/>
      <c r="ED68" s="123" t="str">
        <f ca="1">SUBSTITUTE(SUBSTITUTE(ADDRESS(1,MATCH("おやつ",'数出表_Excel（アレルギー入力）'!$3:$3,0)),1,""),"$","")</f>
        <v>AL</v>
      </c>
      <c r="EG68" s="113"/>
      <c r="EH68" s="192"/>
      <c r="EI68" s="192"/>
      <c r="EJ68" s="195"/>
      <c r="EK68" s="195"/>
      <c r="EL68" s="123" t="str">
        <f ca="1">SUBSTITUTE(SUBSTITUTE(ADDRESS(1,MATCH("おやつ",'数出表_Excel（アレルギー入力）'!$3:$3,0)),1,""),"$","")</f>
        <v>AL</v>
      </c>
      <c r="EN68" s="113"/>
      <c r="EO68" s="192"/>
      <c r="EP68" s="192"/>
      <c r="EQ68" s="195"/>
      <c r="ER68" s="195"/>
      <c r="ES68" s="123" t="str">
        <f ca="1">SUBSTITUTE(SUBSTITUTE(ADDRESS(1,MATCH("おやつ",'数出表_Excel（アレルギー入力）'!$3:$3,0)),1,""),"$","")</f>
        <v>AL</v>
      </c>
      <c r="ET68" s="132"/>
      <c r="EU68" s="103">
        <f t="shared" si="4"/>
        <v>70</v>
      </c>
      <c r="EV68" s="103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3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3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3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3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3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3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3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3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3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3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3">
        <f t="shared" ca="1" si="5"/>
        <v>0</v>
      </c>
      <c r="FH68" s="103" t="b">
        <f t="array" aca="1" ref="FH68" ca="1">SUMPRODUCT((LEN(EV68:FF68)&gt;0)*1)&gt;0</f>
        <v>0</v>
      </c>
      <c r="FI68" s="103" t="str">
        <f t="array" aca="1" ref="FI68" ca="1">IFERROR(SMALL(IF(FG$1:FG$169&lt;&gt;0,FG$1:FG$169),ROW(A68)),"")</f>
        <v/>
      </c>
      <c r="FJ68" s="103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3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3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3" t="str">
        <f t="array" aca="1" ref="FM68" ca="1">IF($FI68&lt;&gt;"",
IF(FL68="",
INDIRECT("CB"&amp;$FI68&amp;"")&amp;"箱"
&amp;INDIRECT("CC"&amp;$FI68&amp;""),""),"")</f>
        <v/>
      </c>
      <c r="FN68" s="103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3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3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3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3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3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3" customFormat="1" ht="22.2" customHeight="1" x14ac:dyDescent="0.55000000000000004">
      <c r="A69" s="101"/>
      <c r="B69" s="114" t="str">
        <f ca="1">IF(C67&lt;&gt;"","パン箱","")</f>
        <v/>
      </c>
      <c r="C69" s="115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14" t="str">
        <f ca="1">IF(C67&lt;&gt;"","　端数","")</f>
        <v/>
      </c>
      <c r="E69" s="115"/>
      <c r="F69" s="114" t="str">
        <f ca="1">IF(C67&lt;&gt;"","アレルギー","")</f>
        <v/>
      </c>
      <c r="G69" s="122"/>
      <c r="H69" s="101"/>
      <c r="I69" s="114" t="str">
        <f ca="1">IF(J67&lt;&gt;"","パン箱","")</f>
        <v/>
      </c>
      <c r="J69" s="115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14" t="str">
        <f ca="1">IF(J67&lt;&gt;"","　端数","")</f>
        <v/>
      </c>
      <c r="L69" s="115"/>
      <c r="M69" s="114" t="str">
        <f ca="1">IF(J67&lt;&gt;"","アレルギー","")</f>
        <v/>
      </c>
      <c r="N69" s="118"/>
      <c r="O69" s="101"/>
      <c r="P69" s="101"/>
      <c r="Q69" s="114" t="str">
        <f ca="1">IF(R67&lt;&gt;"","パン箱","")</f>
        <v/>
      </c>
      <c r="R69" s="115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4" t="str">
        <f ca="1">IF(R67&lt;&gt;"","　端数","")</f>
        <v/>
      </c>
      <c r="T69" s="115"/>
      <c r="U69" s="114" t="str">
        <f ca="1">IF(R67&lt;&gt;"","アレルギー","")</f>
        <v/>
      </c>
      <c r="V69" s="122"/>
      <c r="W69" s="101"/>
      <c r="X69" s="114" t="str">
        <f ca="1">IF(Y67&lt;&gt;"","パン箱","")</f>
        <v/>
      </c>
      <c r="Y69" s="115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4" t="str">
        <f ca="1">IF(Y67&lt;&gt;"","　端数","")</f>
        <v/>
      </c>
      <c r="AA69" s="115"/>
      <c r="AB69" s="114" t="str">
        <f ca="1">IF(Y67&lt;&gt;"","アレルギー","")</f>
        <v/>
      </c>
      <c r="AC69" s="118"/>
      <c r="AD69" s="101"/>
      <c r="AE69" s="101"/>
      <c r="AF69" s="114" t="str">
        <f ca="1">IF(AG67&lt;&gt;"","パン箱","")</f>
        <v/>
      </c>
      <c r="AG69" s="115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4" t="str">
        <f ca="1">IF(AG67&lt;&gt;"","　端数","")</f>
        <v/>
      </c>
      <c r="AI69" s="115"/>
      <c r="AJ69" s="114" t="str">
        <f ca="1">IF(AG67&lt;&gt;"","アレルギー","")</f>
        <v/>
      </c>
      <c r="AK69" s="122"/>
      <c r="AL69" s="101"/>
      <c r="AM69" s="114" t="str">
        <f ca="1">IF(AN67&lt;&gt;"","パン箱","")</f>
        <v/>
      </c>
      <c r="AN69" s="115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4" t="str">
        <f ca="1">IF(AN67&lt;&gt;"","　端数","")</f>
        <v/>
      </c>
      <c r="AP69" s="115"/>
      <c r="AQ69" s="114" t="str">
        <f ca="1">IF(AN67&lt;&gt;"","アレルギー","")</f>
        <v/>
      </c>
      <c r="AR69" s="118"/>
      <c r="AS69" s="101"/>
      <c r="AT69" s="101"/>
      <c r="AU69" s="114" t="str">
        <f ca="1">IF(AV67&lt;&gt;"","パン箱","")</f>
        <v/>
      </c>
      <c r="AV69" s="115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4" t="str">
        <f ca="1">IF(AV67&lt;&gt;"","　端数","")</f>
        <v/>
      </c>
      <c r="AX69" s="115"/>
      <c r="AY69" s="114" t="str">
        <f ca="1">IF(AV67&lt;&gt;"","アレルギー","")</f>
        <v/>
      </c>
      <c r="AZ69" s="122"/>
      <c r="BA69" s="101"/>
      <c r="BB69" s="114" t="str">
        <f ca="1">IF(BC67&lt;&gt;"","パン箱","")</f>
        <v/>
      </c>
      <c r="BC69" s="115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4" t="str">
        <f ca="1">IF(BC67&lt;&gt;"","　端数","")</f>
        <v/>
      </c>
      <c r="BE69" s="115"/>
      <c r="BF69" s="114" t="str">
        <f ca="1">IF(BC67&lt;&gt;"","アレルギー","")</f>
        <v/>
      </c>
      <c r="BG69" s="118"/>
      <c r="BH69" s="101"/>
      <c r="BI69" s="101"/>
      <c r="BJ69" s="114" t="str">
        <f ca="1">IF(BK67&lt;&gt;"","パン箱","")</f>
        <v/>
      </c>
      <c r="BK69" s="115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4" t="str">
        <f ca="1">IF(BK67&lt;&gt;"","　端数","")</f>
        <v/>
      </c>
      <c r="BM69" s="115"/>
      <c r="BN69" s="114" t="str">
        <f ca="1">IF(BK67&lt;&gt;"","アレルギー","")</f>
        <v/>
      </c>
      <c r="BO69" s="122"/>
      <c r="BP69" s="101"/>
      <c r="BQ69" s="114" t="str">
        <f ca="1">IF(BR67&lt;&gt;"","パン箱","")</f>
        <v/>
      </c>
      <c r="BR69" s="115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4" t="str">
        <f ca="1">IF(BR67&lt;&gt;"","　端数","")</f>
        <v/>
      </c>
      <c r="BT69" s="115"/>
      <c r="BU69" s="114" t="str">
        <f ca="1">IF(BR67&lt;&gt;"","アレルギー","")</f>
        <v/>
      </c>
      <c r="BV69" s="118"/>
      <c r="BW69" s="101"/>
      <c r="BX69" s="101"/>
      <c r="BY69" s="114" t="str">
        <f ca="1">IF(BZ67&lt;&gt;"","パン箱","")</f>
        <v/>
      </c>
      <c r="BZ69" s="115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4" t="str">
        <f ca="1">IF(BZ67&lt;&gt;"","　端数","")</f>
        <v/>
      </c>
      <c r="CB69" s="115"/>
      <c r="CC69" s="114" t="str">
        <f ca="1">IF(BZ67&lt;&gt;"","アレルギー","")</f>
        <v/>
      </c>
      <c r="CD69" s="122"/>
      <c r="CE69" s="101"/>
      <c r="CF69" s="114" t="str">
        <f ca="1">IF(CG67&lt;&gt;"","パン箱","")</f>
        <v/>
      </c>
      <c r="CG69" s="115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4" t="str">
        <f ca="1">IF(CG67&lt;&gt;"","　端数","")</f>
        <v/>
      </c>
      <c r="CI69" s="115"/>
      <c r="CJ69" s="114" t="str">
        <f ca="1">IF(CG67&lt;&gt;"","アレルギー","")</f>
        <v/>
      </c>
      <c r="CK69" s="118"/>
      <c r="CL69" s="101"/>
      <c r="CM69" s="101"/>
      <c r="CN69" s="114" t="str">
        <f ca="1">IF(CO67&lt;&gt;"","パン箱","")</f>
        <v/>
      </c>
      <c r="CO69" s="115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4" t="str">
        <f ca="1">IF(CO67&lt;&gt;"","　端数","")</f>
        <v/>
      </c>
      <c r="CQ69" s="115"/>
      <c r="CR69" s="114" t="str">
        <f ca="1">IF(CO67&lt;&gt;"","アレルギー","")</f>
        <v/>
      </c>
      <c r="CS69" s="122"/>
      <c r="CT69" s="101"/>
      <c r="CU69" s="114" t="str">
        <f ca="1">IF(CV67&lt;&gt;"","パン箱","")</f>
        <v/>
      </c>
      <c r="CV69" s="115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4" t="str">
        <f ca="1">IF(CV67&lt;&gt;"","　端数","")</f>
        <v/>
      </c>
      <c r="CX69" s="115"/>
      <c r="CY69" s="114" t="str">
        <f ca="1">IF(CV67&lt;&gt;"","アレルギー","")</f>
        <v/>
      </c>
      <c r="CZ69" s="118"/>
      <c r="DA69" s="101"/>
      <c r="DB69" s="101"/>
      <c r="DC69" s="114" t="str">
        <f ca="1">IF(DD67&lt;&gt;"","パン箱","")</f>
        <v/>
      </c>
      <c r="DD69" s="115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4" t="str">
        <f ca="1">IF(DD67&lt;&gt;"","　端数","")</f>
        <v/>
      </c>
      <c r="DF69" s="115"/>
      <c r="DG69" s="114" t="str">
        <f ca="1">IF(DD67&lt;&gt;"","アレルギー","")</f>
        <v/>
      </c>
      <c r="DH69" s="122"/>
      <c r="DI69" s="101"/>
      <c r="DJ69" s="114" t="str">
        <f ca="1">IF(DK67&lt;&gt;"","パン箱","")</f>
        <v/>
      </c>
      <c r="DK69" s="115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4" t="str">
        <f ca="1">IF(DK67&lt;&gt;"","　端数","")</f>
        <v/>
      </c>
      <c r="DM69" s="115"/>
      <c r="DN69" s="114" t="str">
        <f ca="1">IF(DK67&lt;&gt;"","アレルギー","")</f>
        <v/>
      </c>
      <c r="DO69" s="118"/>
      <c r="DP69" s="101"/>
      <c r="DQ69" s="101"/>
      <c r="DR69" s="114" t="str">
        <f ca="1">IF(DS67&lt;&gt;"","パン箱","")</f>
        <v/>
      </c>
      <c r="DS69" s="115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4" t="str">
        <f ca="1">IF(DS67&lt;&gt;"","　端数","")</f>
        <v/>
      </c>
      <c r="DU69" s="115"/>
      <c r="DV69" s="114" t="str">
        <f ca="1">IF(DS67&lt;&gt;"","アレルギー","")</f>
        <v/>
      </c>
      <c r="DW69" s="122"/>
      <c r="DX69" s="101"/>
      <c r="DY69" s="114" t="str">
        <f ca="1">IF(DZ67&lt;&gt;"","パン箱","")</f>
        <v/>
      </c>
      <c r="DZ69" s="115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4" t="str">
        <f ca="1">IF(DZ67&lt;&gt;"","　端数","")</f>
        <v/>
      </c>
      <c r="EB69" s="115"/>
      <c r="EC69" s="114" t="str">
        <f ca="1">IF(DZ67&lt;&gt;"","アレルギー","")</f>
        <v/>
      </c>
      <c r="ED69" s="118"/>
      <c r="EE69" s="101"/>
      <c r="EF69" s="101"/>
      <c r="EG69" s="114" t="str">
        <f ca="1">IF(EH67&lt;&gt;"","パン箱","")</f>
        <v/>
      </c>
      <c r="EH69" s="115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114" t="str">
        <f ca="1">IF(EH67&lt;&gt;"","　端数","")</f>
        <v/>
      </c>
      <c r="EJ69" s="115"/>
      <c r="EK69" s="114" t="str">
        <f ca="1">IF(EH67&lt;&gt;"","アレルギー","")</f>
        <v/>
      </c>
      <c r="EL69" s="122"/>
      <c r="EM69" s="101"/>
      <c r="EN69" s="114" t="str">
        <f ca="1">IF(EO67&lt;&gt;"","パン箱","")</f>
        <v/>
      </c>
      <c r="EO69" s="115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114" t="str">
        <f ca="1">IF(EO67&lt;&gt;"","　端数","")</f>
        <v/>
      </c>
      <c r="EQ69" s="115"/>
      <c r="ER69" s="114" t="str">
        <f ca="1">IF(EO67&lt;&gt;"","アレルギー","")</f>
        <v/>
      </c>
      <c r="ES69" s="118"/>
      <c r="ET69" s="132"/>
      <c r="EU69" s="103">
        <f t="shared" si="4"/>
        <v>35</v>
      </c>
      <c r="EV69" s="103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3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3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3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3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3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3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3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3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3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3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3">
        <f t="shared" ca="1" si="5"/>
        <v>0</v>
      </c>
      <c r="FH69" s="103" t="e">
        <f t="array" aca="1" ref="FH69" ca="1">SUMPRODUCT((LEN(EV69:FF69)&gt;0)*1)&gt;0</f>
        <v>#VALUE!</v>
      </c>
      <c r="FI69" s="103" t="str">
        <f t="array" aca="1" ref="FI69" ca="1">IFERROR(SMALL(IF(FG$1:FG$169&lt;&gt;0,FG$1:FG$169),ROW(A69)),"")</f>
        <v/>
      </c>
      <c r="FJ69" s="103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3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3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3" t="str">
        <f t="array" aca="1" ref="FM69" ca="1">IF($FI69&lt;&gt;"",
IF(FL69="",
INDIRECT("CB"&amp;$FI69&amp;"")&amp;"箱"
&amp;INDIRECT("CC"&amp;$FI69&amp;""),""),"")</f>
        <v/>
      </c>
      <c r="FN69" s="103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3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3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3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3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3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214" t="str">
        <f ca="1">IF(C67&lt;&gt;"",
IFERROR(INT(C67/C69),""),"")</f>
        <v/>
      </c>
      <c r="C70" s="215"/>
      <c r="D70" s="214" t="str">
        <f ca="1">IFERROR(MOD(C67,C69),"")</f>
        <v/>
      </c>
      <c r="E70" s="215"/>
      <c r="F70" s="216" t="str" cm="1">
        <f t="array" aca="1" ref="F70" ca="1">IF(C64&lt;&gt;"",
IF(IFERROR(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MATCH(C67,INDIRECT("'数出表_Excel（アレルギー入力）'!"&amp;B64&amp;MATCH(G22,'数出表_Excel（アレルギー入力）'!$A:$A,0)-1&amp;":"&amp;G68&amp;MATCH(G22,'数出表_Excel（アレルギー入力）'!$A:$A,0)-1&amp;""),0)+1),
 "")&lt;&gt;0,
IF(IFERROR(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MATCH(C67,INDIRECT("'数出表_Excel（アレルギー入力）'!"&amp;B64&amp;MATCH(G22,'数出表_Excel（アレルギー入力）'!$A:$A,0)-1&amp;":"&amp;G68&amp;MATCH(G22,'数出表_Excel（アレルギー入力）'!$A:$A,0)-1&amp;""),0)+1),
 "")="",
IFERROR(
INDEX(INDIRECT("'数出表_Excel（アレルギー入力）'!B"&amp;MATCH(G22,'数出表_Excel（アレルギー入力）'!$A:$A,0)-1&amp;":"&amp;G68&amp;MATCH(G22,'数出表_Excel（アレルギー入力）'!$A:$A,0)-1&amp;""),
 1,
MATCH(TRUE,INDEX(INDIRECT("'数出表_Excel（アレルギー入力）'!"&amp;B64&amp;MATCH(G22,'数出表_Excel（アレルギー入力）'!$A:$A,0)-1&amp;":"&amp;G68&amp;MATCH(G22,'数出表_Excel（アレルギー入力）'!$A:$A,0)-1&amp;"")&lt;&gt;"",0),0)+1),
 ""),
IFERROR(
INDEX(INDIRECT("'数出表_Excel（アレルギー入力）'!"&amp;B64&amp;MATCH(G22,'数出表_Excel（アレルギー入力）'!$A:$A,0)-1&amp;":"&amp;G68&amp;MATCH(G22,'数出表_Excel（アレルギー入力）'!$A:$A,0)-1&amp;""),
 1,
MATCH(C67,INDIRECT("'数出表_Excel（アレルギー入力）'!"&amp;B64&amp;MATCH(G22,'数出表_Excel（アレルギー入力）'!$A:$A,0)-1&amp;":"&amp;G68&amp;MATCH(G22,'数出表_Excel（アレルギー入力）'!$A:$A,0)-1&amp;""),0)+1),
 "")),0),"")</f>
        <v/>
      </c>
      <c r="G70" s="217"/>
      <c r="I70" s="214" t="str">
        <f ca="1">IF(J67&lt;&gt;"",
IFERROR(INT(J67/J69),""),"")</f>
        <v/>
      </c>
      <c r="J70" s="215"/>
      <c r="K70" s="214" t="str">
        <f ca="1">IFERROR(MOD(J67,J69),"")</f>
        <v/>
      </c>
      <c r="L70" s="215"/>
      <c r="M70" s="216" t="str" cm="1">
        <f t="array" aca="1" ref="M70" ca="1">IF(J64&lt;&gt;"",
IF(IFERROR(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MATCH(J67,INDIRECT("'数出表_Excel（アレルギー入力）'!"&amp;I64&amp;MATCH(N22,'数出表_Excel（アレルギー入力）'!$A:$A,0)-1&amp;":"&amp;N68&amp;MATCH(N22,'数出表_Excel（アレルギー入力）'!$A:$A,0)-1&amp;""),0)+1),
 "")&lt;&gt;0,
IF(IFERROR(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MATCH(J67,INDIRECT("'数出表_Excel（アレルギー入力）'!"&amp;I64&amp;MATCH(N22,'数出表_Excel（アレルギー入力）'!$A:$A,0)-1&amp;":"&amp;N68&amp;MATCH(N22,'数出表_Excel（アレルギー入力）'!$A:$A,0)-1&amp;""),0)+1),
 "")="",
IFERROR(
INDEX(INDIRECT("'数出表_Excel（アレルギー入力）'!B"&amp;MATCH(N22,'数出表_Excel（アレルギー入力）'!$A:$A,0)-1&amp;":"&amp;N68&amp;MATCH(N22,'数出表_Excel（アレルギー入力）'!$A:$A,0)-1&amp;""),
 1,
MATCH(TRUE,INDEX(INDIRECT("'数出表_Excel（アレルギー入力）'!"&amp;I64&amp;MATCH(N22,'数出表_Excel（アレルギー入力）'!$A:$A,0)-1&amp;":"&amp;N68&amp;MATCH(N22,'数出表_Excel（アレルギー入力）'!$A:$A,0)-1&amp;"")&lt;&gt;"",0),0)+1),
 ""),
IFERROR(
INDEX(INDIRECT("'数出表_Excel（アレルギー入力）'!"&amp;I64&amp;MATCH(N22,'数出表_Excel（アレルギー入力）'!$A:$A,0)-1&amp;":"&amp;N68&amp;MATCH(N22,'数出表_Excel（アレルギー入力）'!$A:$A,0)-1&amp;""),
 1,
MATCH(J67,INDIRECT("'数出表_Excel（アレルギー入力）'!"&amp;I64&amp;MATCH(N22,'数出表_Excel（アレルギー入力）'!$A:$A,0)-1&amp;":"&amp;N68&amp;MATCH(N22,'数出表_Excel（アレルギー入力）'!$A:$A,0)-1&amp;""),0)+1),
 "")),0),"")</f>
        <v/>
      </c>
      <c r="N70" s="217"/>
      <c r="Q70" s="214" t="str">
        <f ca="1">IF(R67&lt;&gt;"",
IFERROR(INT(R67/R69),""),"")</f>
        <v/>
      </c>
      <c r="R70" s="215"/>
      <c r="S70" s="214" t="str">
        <f ca="1">IFERROR(MOD(R67,R69),"")</f>
        <v/>
      </c>
      <c r="T70" s="215"/>
      <c r="U70" s="216" t="str" cm="1">
        <f t="array" aca="1" ref="U70" ca="1">IF(R64&lt;&gt;"",
IF(IFERROR(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MATCH(R67,INDIRECT("'数出表_Excel（アレルギー入力）'!"&amp;Q64&amp;MATCH(V22,'数出表_Excel（アレルギー入力）'!$A:$A,0)-1&amp;":"&amp;V68&amp;MATCH(V22,'数出表_Excel（アレルギー入力）'!$A:$A,0)-1&amp;""),0)+1),
 "")&lt;&gt;0,
IF(IFERROR(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MATCH(R67,INDIRECT("'数出表_Excel（アレルギー入力）'!"&amp;Q64&amp;MATCH(V22,'数出表_Excel（アレルギー入力）'!$A:$A,0)-1&amp;":"&amp;V68&amp;MATCH(V22,'数出表_Excel（アレルギー入力）'!$A:$A,0)-1&amp;""),0)+1),
 "")="",
IFERROR(
INDEX(INDIRECT("'数出表_Excel（アレルギー入力）'!B"&amp;MATCH(V22,'数出表_Excel（アレルギー入力）'!$A:$A,0)-1&amp;":"&amp;V68&amp;MATCH(V22,'数出表_Excel（アレルギー入力）'!$A:$A,0)-1&amp;""),
 1,
MATCH(TRUE,INDEX(INDIRECT("'数出表_Excel（アレルギー入力）'!"&amp;Q64&amp;MATCH(V22,'数出表_Excel（アレルギー入力）'!$A:$A,0)-1&amp;":"&amp;V68&amp;MATCH(V22,'数出表_Excel（アレルギー入力）'!$A:$A,0)-1&amp;"")&lt;&gt;"",0),0)+1),
 ""),
IFERROR(
INDEX(INDIRECT("'数出表_Excel（アレルギー入力）'!"&amp;Q64&amp;MATCH(V22,'数出表_Excel（アレルギー入力）'!$A:$A,0)-1&amp;":"&amp;V68&amp;MATCH(V22,'数出表_Excel（アレルギー入力）'!$A:$A,0)-1&amp;""),
 1,
MATCH(R67,INDIRECT("'数出表_Excel（アレルギー入力）'!"&amp;Q64&amp;MATCH(V22,'数出表_Excel（アレルギー入力）'!$A:$A,0)-1&amp;":"&amp;V68&amp;MATCH(V22,'数出表_Excel（アレルギー入力）'!$A:$A,0)-1&amp;""),0)+1),
 "")),0),"")</f>
        <v/>
      </c>
      <c r="V70" s="217"/>
      <c r="X70" s="214" t="str">
        <f ca="1">IF(Y67&lt;&gt;"",
IFERROR(INT(Y67/Y69),""),"")</f>
        <v/>
      </c>
      <c r="Y70" s="215"/>
      <c r="Z70" s="214" t="str">
        <f ca="1">IFERROR(MOD(Y67,Y69),"")</f>
        <v/>
      </c>
      <c r="AA70" s="215"/>
      <c r="AB70" s="216" t="str" cm="1">
        <f t="array" aca="1" ref="AB70" ca="1">IF(Y64&lt;&gt;"",
IF(IFERROR(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MATCH(Y67,INDIRECT("'数出表_Excel（アレルギー入力）'!"&amp;X64&amp;MATCH(AC22,'数出表_Excel（アレルギー入力）'!$A:$A,0)-1&amp;":"&amp;AC68&amp;MATCH(AC22,'数出表_Excel（アレルギー入力）'!$A:$A,0)-1&amp;""),0)+1),
 "")&lt;&gt;0,
IF(IFERROR(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MATCH(Y67,INDIRECT("'数出表_Excel（アレルギー入力）'!"&amp;X64&amp;MATCH(AC22,'数出表_Excel（アレルギー入力）'!$A:$A,0)-1&amp;":"&amp;AC68&amp;MATCH(AC22,'数出表_Excel（アレルギー入力）'!$A:$A,0)-1&amp;""),0)+1),
 "")="",
IFERROR(
INDEX(INDIRECT("'数出表_Excel（アレルギー入力）'!B"&amp;MATCH(AC22,'数出表_Excel（アレルギー入力）'!$A:$A,0)-1&amp;":"&amp;AC68&amp;MATCH(AC22,'数出表_Excel（アレルギー入力）'!$A:$A,0)-1&amp;""),
 1,
MATCH(TRUE,INDEX(INDIRECT("'数出表_Excel（アレルギー入力）'!"&amp;X64&amp;MATCH(AC22,'数出表_Excel（アレルギー入力）'!$A:$A,0)-1&amp;":"&amp;AC68&amp;MATCH(AC22,'数出表_Excel（アレルギー入力）'!$A:$A,0)-1&amp;"")&lt;&gt;"",0),0)+1),
 ""),
IFERROR(
INDEX(INDIRECT("'数出表_Excel（アレルギー入力）'!"&amp;X64&amp;MATCH(AC22,'数出表_Excel（アレルギー入力）'!$A:$A,0)-1&amp;":"&amp;AC68&amp;MATCH(AC22,'数出表_Excel（アレルギー入力）'!$A:$A,0)-1&amp;""),
 1,
MATCH(Y67,INDIRECT("'数出表_Excel（アレルギー入力）'!"&amp;X64&amp;MATCH(AC22,'数出表_Excel（アレルギー入力）'!$A:$A,0)-1&amp;":"&amp;AC68&amp;MATCH(AC22,'数出表_Excel（アレルギー入力）'!$A:$A,0)-1&amp;""),0)+1),
 "")),0),"")</f>
        <v/>
      </c>
      <c r="AC70" s="217"/>
      <c r="AF70" s="214" t="str">
        <f ca="1">IF(AG67&lt;&gt;"",
IFERROR(INT(AG67/AG69),""),"")</f>
        <v/>
      </c>
      <c r="AG70" s="215"/>
      <c r="AH70" s="214" t="str">
        <f ca="1">IFERROR(MOD(AG67,AG69),"")</f>
        <v/>
      </c>
      <c r="AI70" s="215"/>
      <c r="AJ70" s="216" t="str" cm="1">
        <f t="array" aca="1" ref="AJ70" ca="1">IF(AG64&lt;&gt;"",
IF(IFERROR(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MATCH(AG67,INDIRECT("'数出表_Excel（アレルギー入力）'!"&amp;AF64&amp;MATCH(AK22,'数出表_Excel（アレルギー入力）'!$A:$A,0)-1&amp;":"&amp;AK68&amp;MATCH(AK22,'数出表_Excel（アレルギー入力）'!$A:$A,0)-1&amp;""),0)+1),
 "")&lt;&gt;0,
IF(IFERROR(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MATCH(AG67,INDIRECT("'数出表_Excel（アレルギー入力）'!"&amp;AF64&amp;MATCH(AK22,'数出表_Excel（アレルギー入力）'!$A:$A,0)-1&amp;":"&amp;AK68&amp;MATCH(AK22,'数出表_Excel（アレルギー入力）'!$A:$A,0)-1&amp;""),0)+1),
 "")="",
IFERROR(
INDEX(INDIRECT("'数出表_Excel（アレルギー入力）'!B"&amp;MATCH(AK22,'数出表_Excel（アレルギー入力）'!$A:$A,0)-1&amp;":"&amp;AK68&amp;MATCH(AK22,'数出表_Excel（アレルギー入力）'!$A:$A,0)-1&amp;""),
 1,
MATCH(TRUE,INDEX(INDIRECT("'数出表_Excel（アレルギー入力）'!"&amp;AF64&amp;MATCH(AK22,'数出表_Excel（アレルギー入力）'!$A:$A,0)-1&amp;":"&amp;AK68&amp;MATCH(AK22,'数出表_Excel（アレルギー入力）'!$A:$A,0)-1&amp;"")&lt;&gt;"",0),0)+1),
 ""),
IFERROR(
INDEX(INDIRECT("'数出表_Excel（アレルギー入力）'!"&amp;AF64&amp;MATCH(AK22,'数出表_Excel（アレルギー入力）'!$A:$A,0)-1&amp;":"&amp;AK68&amp;MATCH(AK22,'数出表_Excel（アレルギー入力）'!$A:$A,0)-1&amp;""),
 1,
MATCH(AG67,INDIRECT("'数出表_Excel（アレルギー入力）'!"&amp;AF64&amp;MATCH(AK22,'数出表_Excel（アレルギー入力）'!$A:$A,0)-1&amp;":"&amp;AK68&amp;MATCH(AK22,'数出表_Excel（アレルギー入力）'!$A:$A,0)-1&amp;""),0)+1),
 "")),0),"")</f>
        <v/>
      </c>
      <c r="AK70" s="217"/>
      <c r="AM70" s="214" t="str">
        <f ca="1">IF(AN67&lt;&gt;"",
IFERROR(INT(AN67/AN69),""),"")</f>
        <v/>
      </c>
      <c r="AN70" s="215"/>
      <c r="AO70" s="214" t="str">
        <f ca="1">IFERROR(MOD(AN67,AN69),"")</f>
        <v/>
      </c>
      <c r="AP70" s="215"/>
      <c r="AQ70" s="216" t="str" cm="1">
        <f t="array" aca="1" ref="AQ70" ca="1">IF(AN64&lt;&gt;"",
IF(IFERROR(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MATCH(AN67,INDIRECT("'数出表_Excel（アレルギー入力）'!"&amp;AM64&amp;MATCH(AR22,'数出表_Excel（アレルギー入力）'!$A:$A,0)-1&amp;":"&amp;AR68&amp;MATCH(AR22,'数出表_Excel（アレルギー入力）'!$A:$A,0)-1&amp;""),0)+1),
 "")&lt;&gt;0,
IF(IFERROR(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MATCH(AN67,INDIRECT("'数出表_Excel（アレルギー入力）'!"&amp;AM64&amp;MATCH(AR22,'数出表_Excel（アレルギー入力）'!$A:$A,0)-1&amp;":"&amp;AR68&amp;MATCH(AR22,'数出表_Excel（アレルギー入力）'!$A:$A,0)-1&amp;""),0)+1),
 "")="",
IFERROR(
INDEX(INDIRECT("'数出表_Excel（アレルギー入力）'!B"&amp;MATCH(AR22,'数出表_Excel（アレルギー入力）'!$A:$A,0)-1&amp;":"&amp;AR68&amp;MATCH(AR22,'数出表_Excel（アレルギー入力）'!$A:$A,0)-1&amp;""),
 1,
MATCH(TRUE,INDEX(INDIRECT("'数出表_Excel（アレルギー入力）'!"&amp;AM64&amp;MATCH(AR22,'数出表_Excel（アレルギー入力）'!$A:$A,0)-1&amp;":"&amp;AR68&amp;MATCH(AR22,'数出表_Excel（アレルギー入力）'!$A:$A,0)-1&amp;"")&lt;&gt;"",0),0)+1),
 ""),
IFERROR(
INDEX(INDIRECT("'数出表_Excel（アレルギー入力）'!"&amp;AM64&amp;MATCH(AR22,'数出表_Excel（アレルギー入力）'!$A:$A,0)-1&amp;":"&amp;AR68&amp;MATCH(AR22,'数出表_Excel（アレルギー入力）'!$A:$A,0)-1&amp;""),
 1,
MATCH(AN67,INDIRECT("'数出表_Excel（アレルギー入力）'!"&amp;AM64&amp;MATCH(AR22,'数出表_Excel（アレルギー入力）'!$A:$A,0)-1&amp;":"&amp;AR68&amp;MATCH(AR22,'数出表_Excel（アレルギー入力）'!$A:$A,0)-1&amp;""),0)+1),
 "")),0),"")</f>
        <v/>
      </c>
      <c r="AR70" s="217"/>
      <c r="AU70" s="214" t="str">
        <f ca="1">IF(AV67&lt;&gt;"",
IFERROR(INT(AV67/AV69),""),"")</f>
        <v/>
      </c>
      <c r="AV70" s="215"/>
      <c r="AW70" s="214" t="str">
        <f ca="1">IFERROR(MOD(AV67,AV69),"")</f>
        <v/>
      </c>
      <c r="AX70" s="215"/>
      <c r="AY70" s="216" t="str" cm="1">
        <f t="array" aca="1" ref="AY70" ca="1">IF(AV64&lt;&gt;"",
IF(IFERROR(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MATCH(AV67,INDIRECT("'数出表_Excel（アレルギー入力）'!"&amp;AU64&amp;MATCH(AZ22,'数出表_Excel（アレルギー入力）'!$A:$A,0)-1&amp;":"&amp;AZ68&amp;MATCH(AZ22,'数出表_Excel（アレルギー入力）'!$A:$A,0)-1&amp;""),0)+1),
 "")&lt;&gt;0,
IF(IFERROR(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MATCH(AV67,INDIRECT("'数出表_Excel（アレルギー入力）'!"&amp;AU64&amp;MATCH(AZ22,'数出表_Excel（アレルギー入力）'!$A:$A,0)-1&amp;":"&amp;AZ68&amp;MATCH(AZ22,'数出表_Excel（アレルギー入力）'!$A:$A,0)-1&amp;""),0)+1),
 "")="",
IFERROR(
INDEX(INDIRECT("'数出表_Excel（アレルギー入力）'!B"&amp;MATCH(AZ22,'数出表_Excel（アレルギー入力）'!$A:$A,0)-1&amp;":"&amp;AZ68&amp;MATCH(AZ22,'数出表_Excel（アレルギー入力）'!$A:$A,0)-1&amp;""),
 1,
MATCH(TRUE,INDEX(INDIRECT("'数出表_Excel（アレルギー入力）'!"&amp;AU64&amp;MATCH(AZ22,'数出表_Excel（アレルギー入力）'!$A:$A,0)-1&amp;":"&amp;AZ68&amp;MATCH(AZ22,'数出表_Excel（アレルギー入力）'!$A:$A,0)-1&amp;"")&lt;&gt;"",0),0)+1),
 ""),
IFERROR(
INDEX(INDIRECT("'数出表_Excel（アレルギー入力）'!"&amp;AU64&amp;MATCH(AZ22,'数出表_Excel（アレルギー入力）'!$A:$A,0)-1&amp;":"&amp;AZ68&amp;MATCH(AZ22,'数出表_Excel（アレルギー入力）'!$A:$A,0)-1&amp;""),
 1,
MATCH(AV67,INDIRECT("'数出表_Excel（アレルギー入力）'!"&amp;AU64&amp;MATCH(AZ22,'数出表_Excel（アレルギー入力）'!$A:$A,0)-1&amp;":"&amp;AZ68&amp;MATCH(AZ22,'数出表_Excel（アレルギー入力）'!$A:$A,0)-1&amp;""),0)+1),
 "")),0),"")</f>
        <v/>
      </c>
      <c r="AZ70" s="217"/>
      <c r="BB70" s="214" t="str">
        <f ca="1">IF(BC67&lt;&gt;"",
IFERROR(INT(BC67/BC69),""),"")</f>
        <v/>
      </c>
      <c r="BC70" s="215"/>
      <c r="BD70" s="214" t="str">
        <f ca="1">IFERROR(MOD(BC67,BC69),"")</f>
        <v/>
      </c>
      <c r="BE70" s="215"/>
      <c r="BF70" s="216" t="str" cm="1">
        <f t="array" aca="1" ref="BF70" ca="1">IF(BC64&lt;&gt;"",
IF(IFERROR(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MATCH(BC67,INDIRECT("'数出表_Excel（アレルギー入力）'!"&amp;BB64&amp;MATCH(BG22,'数出表_Excel（アレルギー入力）'!$A:$A,0)-1&amp;":"&amp;BG68&amp;MATCH(BG22,'数出表_Excel（アレルギー入力）'!$A:$A,0)-1&amp;""),0)+1),
 "")&lt;&gt;0,
IF(IFERROR(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MATCH(BC67,INDIRECT("'数出表_Excel（アレルギー入力）'!"&amp;BB64&amp;MATCH(BG22,'数出表_Excel（アレルギー入力）'!$A:$A,0)-1&amp;":"&amp;BG68&amp;MATCH(BG22,'数出表_Excel（アレルギー入力）'!$A:$A,0)-1&amp;""),0)+1),
 "")="",
IFERROR(
INDEX(INDIRECT("'数出表_Excel（アレルギー入力）'!B"&amp;MATCH(BG22,'数出表_Excel（アレルギー入力）'!$A:$A,0)-1&amp;":"&amp;BG68&amp;MATCH(BG22,'数出表_Excel（アレルギー入力）'!$A:$A,0)-1&amp;""),
 1,
MATCH(TRUE,INDEX(INDIRECT("'数出表_Excel（アレルギー入力）'!"&amp;BB64&amp;MATCH(BG22,'数出表_Excel（アレルギー入力）'!$A:$A,0)-1&amp;":"&amp;BG68&amp;MATCH(BG22,'数出表_Excel（アレルギー入力）'!$A:$A,0)-1&amp;"")&lt;&gt;"",0),0)+1),
 ""),
IFERROR(
INDEX(INDIRECT("'数出表_Excel（アレルギー入力）'!"&amp;BB64&amp;MATCH(BG22,'数出表_Excel（アレルギー入力）'!$A:$A,0)-1&amp;":"&amp;BG68&amp;MATCH(BG22,'数出表_Excel（アレルギー入力）'!$A:$A,0)-1&amp;""),
 1,
MATCH(BC67,INDIRECT("'数出表_Excel（アレルギー入力）'!"&amp;BB64&amp;MATCH(BG22,'数出表_Excel（アレルギー入力）'!$A:$A,0)-1&amp;":"&amp;BG68&amp;MATCH(BG22,'数出表_Excel（アレルギー入力）'!$A:$A,0)-1&amp;""),0)+1),
 "")),0),"")</f>
        <v/>
      </c>
      <c r="BG70" s="217"/>
      <c r="BJ70" s="214" t="str">
        <f ca="1">IF(BK67&lt;&gt;"",
IFERROR(INT(BK67/BK69),""),"")</f>
        <v/>
      </c>
      <c r="BK70" s="215"/>
      <c r="BL70" s="214" t="str">
        <f ca="1">IFERROR(MOD(BK67,BK69),"")</f>
        <v/>
      </c>
      <c r="BM70" s="215"/>
      <c r="BN70" s="216" t="str" cm="1">
        <f t="array" aca="1" ref="BN70" ca="1">IF(BK64&lt;&gt;"",
IF(IFERROR(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MATCH(BK67,INDIRECT("'数出表_Excel（アレルギー入力）'!"&amp;BJ64&amp;MATCH(BO22,'数出表_Excel（アレルギー入力）'!$A:$A,0)-1&amp;":"&amp;BO68&amp;MATCH(BO22,'数出表_Excel（アレルギー入力）'!$A:$A,0)-1&amp;""),0)+1),
 "")&lt;&gt;0,
IF(IFERROR(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MATCH(BK67,INDIRECT("'数出表_Excel（アレルギー入力）'!"&amp;BJ64&amp;MATCH(BO22,'数出表_Excel（アレルギー入力）'!$A:$A,0)-1&amp;":"&amp;BO68&amp;MATCH(BO22,'数出表_Excel（アレルギー入力）'!$A:$A,0)-1&amp;""),0)+1),
 "")="",
IFERROR(
INDEX(INDIRECT("'数出表_Excel（アレルギー入力）'!B"&amp;MATCH(BO22,'数出表_Excel（アレルギー入力）'!$A:$A,0)-1&amp;":"&amp;BO68&amp;MATCH(BO22,'数出表_Excel（アレルギー入力）'!$A:$A,0)-1&amp;""),
 1,
MATCH(TRUE,INDEX(INDIRECT("'数出表_Excel（アレルギー入力）'!"&amp;BJ64&amp;MATCH(BO22,'数出表_Excel（アレルギー入力）'!$A:$A,0)-1&amp;":"&amp;BO68&amp;MATCH(BO22,'数出表_Excel（アレルギー入力）'!$A:$A,0)-1&amp;"")&lt;&gt;"",0),0)+1),
 ""),
IFERROR(
INDEX(INDIRECT("'数出表_Excel（アレルギー入力）'!"&amp;BJ64&amp;MATCH(BO22,'数出表_Excel（アレルギー入力）'!$A:$A,0)-1&amp;":"&amp;BO68&amp;MATCH(BO22,'数出表_Excel（アレルギー入力）'!$A:$A,0)-1&amp;""),
 1,
MATCH(BK67,INDIRECT("'数出表_Excel（アレルギー入力）'!"&amp;BJ64&amp;MATCH(BO22,'数出表_Excel（アレルギー入力）'!$A:$A,0)-1&amp;":"&amp;BO68&amp;MATCH(BO22,'数出表_Excel（アレルギー入力）'!$A:$A,0)-1&amp;""),0)+1),
 "")),0),"")</f>
        <v/>
      </c>
      <c r="BO70" s="217"/>
      <c r="BQ70" s="214" t="str">
        <f ca="1">IF(BR67&lt;&gt;"",
IFERROR(INT(BR67/BR69),""),"")</f>
        <v/>
      </c>
      <c r="BR70" s="215"/>
      <c r="BS70" s="214" t="str">
        <f ca="1">IFERROR(MOD(BR67,BR69),"")</f>
        <v/>
      </c>
      <c r="BT70" s="215"/>
      <c r="BU70" s="216" t="str" cm="1">
        <f t="array" aca="1" ref="BU70" ca="1">IF(BR64&lt;&gt;"",
IF(IFERROR(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MATCH(BR67,INDIRECT("'数出表_Excel（アレルギー入力）'!"&amp;BQ64&amp;MATCH(BV22,'数出表_Excel（アレルギー入力）'!$A:$A,0)-1&amp;":"&amp;BV68&amp;MATCH(BV22,'数出表_Excel（アレルギー入力）'!$A:$A,0)-1&amp;""),0)+1),
 "")&lt;&gt;0,
IF(IFERROR(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MATCH(BR67,INDIRECT("'数出表_Excel（アレルギー入力）'!"&amp;BQ64&amp;MATCH(BV22,'数出表_Excel（アレルギー入力）'!$A:$A,0)-1&amp;":"&amp;BV68&amp;MATCH(BV22,'数出表_Excel（アレルギー入力）'!$A:$A,0)-1&amp;""),0)+1),
 "")="",
IFERROR(
INDEX(INDIRECT("'数出表_Excel（アレルギー入力）'!B"&amp;MATCH(BV22,'数出表_Excel（アレルギー入力）'!$A:$A,0)-1&amp;":"&amp;BV68&amp;MATCH(BV22,'数出表_Excel（アレルギー入力）'!$A:$A,0)-1&amp;""),
 1,
MATCH(TRUE,INDEX(INDIRECT("'数出表_Excel（アレルギー入力）'!"&amp;BQ64&amp;MATCH(BV22,'数出表_Excel（アレルギー入力）'!$A:$A,0)-1&amp;":"&amp;BV68&amp;MATCH(BV22,'数出表_Excel（アレルギー入力）'!$A:$A,0)-1&amp;"")&lt;&gt;"",0),0)+1),
 ""),
IFERROR(
INDEX(INDIRECT("'数出表_Excel（アレルギー入力）'!"&amp;BQ64&amp;MATCH(BV22,'数出表_Excel（アレルギー入力）'!$A:$A,0)-1&amp;":"&amp;BV68&amp;MATCH(BV22,'数出表_Excel（アレルギー入力）'!$A:$A,0)-1&amp;""),
 1,
MATCH(BR67,INDIRECT("'数出表_Excel（アレルギー入力）'!"&amp;BQ64&amp;MATCH(BV22,'数出表_Excel（アレルギー入力）'!$A:$A,0)-1&amp;":"&amp;BV68&amp;MATCH(BV22,'数出表_Excel（アレルギー入力）'!$A:$A,0)-1&amp;""),0)+1),
 "")),0),"")</f>
        <v/>
      </c>
      <c r="BV70" s="217"/>
      <c r="BY70" s="214" t="str">
        <f ca="1">IF(BZ67&lt;&gt;"",
IFERROR(INT(BZ67/BZ69),""),"")</f>
        <v/>
      </c>
      <c r="BZ70" s="215"/>
      <c r="CA70" s="214" t="str">
        <f ca="1">IFERROR(MOD(BZ67,BZ69),"")</f>
        <v/>
      </c>
      <c r="CB70" s="215"/>
      <c r="CC70" s="216" t="str" cm="1">
        <f t="array" aca="1" ref="CC70" ca="1">IF(BZ64&lt;&gt;"",
IF(IFERROR(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MATCH(BZ67,INDIRECT("'数出表_Excel（アレルギー入力）'!"&amp;BY64&amp;MATCH(CD22,'数出表_Excel（アレルギー入力）'!$A:$A,0)-1&amp;":"&amp;CD68&amp;MATCH(CD22,'数出表_Excel（アレルギー入力）'!$A:$A,0)-1&amp;""),0)+1),
 "")&lt;&gt;0,
IF(IFERROR(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MATCH(BZ67,INDIRECT("'数出表_Excel（アレルギー入力）'!"&amp;BY64&amp;MATCH(CD22,'数出表_Excel（アレルギー入力）'!$A:$A,0)-1&amp;":"&amp;CD68&amp;MATCH(CD22,'数出表_Excel（アレルギー入力）'!$A:$A,0)-1&amp;""),0)+1),
 "")="",
IFERROR(
INDEX(INDIRECT("'数出表_Excel（アレルギー入力）'!B"&amp;MATCH(CD22,'数出表_Excel（アレルギー入力）'!$A:$A,0)-1&amp;":"&amp;CD68&amp;MATCH(CD22,'数出表_Excel（アレルギー入力）'!$A:$A,0)-1&amp;""),
 1,
MATCH(TRUE,INDEX(INDIRECT("'数出表_Excel（アレルギー入力）'!"&amp;BY64&amp;MATCH(CD22,'数出表_Excel（アレルギー入力）'!$A:$A,0)-1&amp;":"&amp;CD68&amp;MATCH(CD22,'数出表_Excel（アレルギー入力）'!$A:$A,0)-1&amp;"")&lt;&gt;"",0),0)+1),
 ""),
IFERROR(
INDEX(INDIRECT("'数出表_Excel（アレルギー入力）'!"&amp;BY64&amp;MATCH(CD22,'数出表_Excel（アレルギー入力）'!$A:$A,0)-1&amp;":"&amp;CD68&amp;MATCH(CD22,'数出表_Excel（アレルギー入力）'!$A:$A,0)-1&amp;""),
 1,
MATCH(BZ67,INDIRECT("'数出表_Excel（アレルギー入力）'!"&amp;BY64&amp;MATCH(CD22,'数出表_Excel（アレルギー入力）'!$A:$A,0)-1&amp;":"&amp;CD68&amp;MATCH(CD22,'数出表_Excel（アレルギー入力）'!$A:$A,0)-1&amp;""),0)+1),
 "")),0),"")</f>
        <v/>
      </c>
      <c r="CD70" s="217"/>
      <c r="CF70" s="214" t="str">
        <f ca="1">IF(CG67&lt;&gt;"",
IFERROR(INT(CG67/CG69),""),"")</f>
        <v/>
      </c>
      <c r="CG70" s="215"/>
      <c r="CH70" s="214" t="str">
        <f ca="1">IFERROR(MOD(CG67,CG69),"")</f>
        <v/>
      </c>
      <c r="CI70" s="215"/>
      <c r="CJ70" s="216" t="str" cm="1">
        <f t="array" aca="1" ref="CJ70" ca="1">IF(CG64&lt;&gt;"",
IF(IFERROR(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MATCH(CG67,INDIRECT("'数出表_Excel（アレルギー入力）'!"&amp;CF64&amp;MATCH(CK22,'数出表_Excel（アレルギー入力）'!$A:$A,0)-1&amp;":"&amp;CK68&amp;MATCH(CK22,'数出表_Excel（アレルギー入力）'!$A:$A,0)-1&amp;""),0)+1),
 "")&lt;&gt;0,
IF(IFERROR(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MATCH(CG67,INDIRECT("'数出表_Excel（アレルギー入力）'!"&amp;CF64&amp;MATCH(CK22,'数出表_Excel（アレルギー入力）'!$A:$A,0)-1&amp;":"&amp;CK68&amp;MATCH(CK22,'数出表_Excel（アレルギー入力）'!$A:$A,0)-1&amp;""),0)+1),
 "")="",
IFERROR(
INDEX(INDIRECT("'数出表_Excel（アレルギー入力）'!B"&amp;MATCH(CK22,'数出表_Excel（アレルギー入力）'!$A:$A,0)-1&amp;":"&amp;CK68&amp;MATCH(CK22,'数出表_Excel（アレルギー入力）'!$A:$A,0)-1&amp;""),
 1,
MATCH(TRUE,INDEX(INDIRECT("'数出表_Excel（アレルギー入力）'!"&amp;CF64&amp;MATCH(CK22,'数出表_Excel（アレルギー入力）'!$A:$A,0)-1&amp;":"&amp;CK68&amp;MATCH(CK22,'数出表_Excel（アレルギー入力）'!$A:$A,0)-1&amp;"")&lt;&gt;"",0),0)+1),
 ""),
IFERROR(
INDEX(INDIRECT("'数出表_Excel（アレルギー入力）'!"&amp;CF64&amp;MATCH(CK22,'数出表_Excel（アレルギー入力）'!$A:$A,0)-1&amp;":"&amp;CK68&amp;MATCH(CK22,'数出表_Excel（アレルギー入力）'!$A:$A,0)-1&amp;""),
 1,
MATCH(CG67,INDIRECT("'数出表_Excel（アレルギー入力）'!"&amp;CF64&amp;MATCH(CK22,'数出表_Excel（アレルギー入力）'!$A:$A,0)-1&amp;":"&amp;CK68&amp;MATCH(CK22,'数出表_Excel（アレルギー入力）'!$A:$A,0)-1&amp;""),0)+1),
 "")),0),"")</f>
        <v/>
      </c>
      <c r="CK70" s="217"/>
      <c r="CN70" s="214" t="str">
        <f ca="1">IF(CO67&lt;&gt;"",
IFERROR(INT(CO67/CO69),""),"")</f>
        <v/>
      </c>
      <c r="CO70" s="215"/>
      <c r="CP70" s="214" t="str">
        <f ca="1">IFERROR(MOD(CO67,CO69),"")</f>
        <v/>
      </c>
      <c r="CQ70" s="215"/>
      <c r="CR70" s="216" t="str" cm="1">
        <f t="array" aca="1" ref="CR70" ca="1">IF(CO64&lt;&gt;"",
IF(IFERROR(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MATCH(CO67,INDIRECT("'数出表_Excel（アレルギー入力）'!"&amp;CN64&amp;MATCH(CS22,'数出表_Excel（アレルギー入力）'!$A:$A,0)-1&amp;":"&amp;CS68&amp;MATCH(CS22,'数出表_Excel（アレルギー入力）'!$A:$A,0)-1&amp;""),0)+1),
 "")&lt;&gt;0,
IF(IFERROR(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MATCH(CO67,INDIRECT("'数出表_Excel（アレルギー入力）'!"&amp;CN64&amp;MATCH(CS22,'数出表_Excel（アレルギー入力）'!$A:$A,0)-1&amp;":"&amp;CS68&amp;MATCH(CS22,'数出表_Excel（アレルギー入力）'!$A:$A,0)-1&amp;""),0)+1),
 "")="",
IFERROR(
INDEX(INDIRECT("'数出表_Excel（アレルギー入力）'!B"&amp;MATCH(CS22,'数出表_Excel（アレルギー入力）'!$A:$A,0)-1&amp;":"&amp;CS68&amp;MATCH(CS22,'数出表_Excel（アレルギー入力）'!$A:$A,0)-1&amp;""),
 1,
MATCH(TRUE,INDEX(INDIRECT("'数出表_Excel（アレルギー入力）'!"&amp;CN64&amp;MATCH(CS22,'数出表_Excel（アレルギー入力）'!$A:$A,0)-1&amp;":"&amp;CS68&amp;MATCH(CS22,'数出表_Excel（アレルギー入力）'!$A:$A,0)-1&amp;"")&lt;&gt;"",0),0)+1),
 ""),
IFERROR(
INDEX(INDIRECT("'数出表_Excel（アレルギー入力）'!"&amp;CN64&amp;MATCH(CS22,'数出表_Excel（アレルギー入力）'!$A:$A,0)-1&amp;":"&amp;CS68&amp;MATCH(CS22,'数出表_Excel（アレルギー入力）'!$A:$A,0)-1&amp;""),
 1,
MATCH(CO67,INDIRECT("'数出表_Excel（アレルギー入力）'!"&amp;CN64&amp;MATCH(CS22,'数出表_Excel（アレルギー入力）'!$A:$A,0)-1&amp;":"&amp;CS68&amp;MATCH(CS22,'数出表_Excel（アレルギー入力）'!$A:$A,0)-1&amp;""),0)+1),
 "")),0),"")</f>
        <v/>
      </c>
      <c r="CS70" s="217"/>
      <c r="CU70" s="214" t="str">
        <f ca="1">IF(CV67&lt;&gt;"",
IFERROR(INT(CV67/CV69),""),"")</f>
        <v/>
      </c>
      <c r="CV70" s="215"/>
      <c r="CW70" s="214" t="str">
        <f ca="1">IFERROR(MOD(CV67,CV69),"")</f>
        <v/>
      </c>
      <c r="CX70" s="215"/>
      <c r="CY70" s="216" t="str" cm="1">
        <f t="array" aca="1" ref="CY70" ca="1">IF(CV64&lt;&gt;"",
IF(IFERROR(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MATCH(CV67,INDIRECT("'数出表_Excel（アレルギー入力）'!"&amp;CU64&amp;MATCH(CZ22,'数出表_Excel（アレルギー入力）'!$A:$A,0)-1&amp;":"&amp;CZ68&amp;MATCH(CZ22,'数出表_Excel（アレルギー入力）'!$A:$A,0)-1&amp;""),0)+1),
 "")&lt;&gt;0,
IF(IFERROR(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MATCH(CV67,INDIRECT("'数出表_Excel（アレルギー入力）'!"&amp;CU64&amp;MATCH(CZ22,'数出表_Excel（アレルギー入力）'!$A:$A,0)-1&amp;":"&amp;CZ68&amp;MATCH(CZ22,'数出表_Excel（アレルギー入力）'!$A:$A,0)-1&amp;""),0)+1),
 "")="",
IFERROR(
INDEX(INDIRECT("'数出表_Excel（アレルギー入力）'!B"&amp;MATCH(CZ22,'数出表_Excel（アレルギー入力）'!$A:$A,0)-1&amp;":"&amp;CZ68&amp;MATCH(CZ22,'数出表_Excel（アレルギー入力）'!$A:$A,0)-1&amp;""),
 1,
MATCH(TRUE,INDEX(INDIRECT("'数出表_Excel（アレルギー入力）'!"&amp;CU64&amp;MATCH(CZ22,'数出表_Excel（アレルギー入力）'!$A:$A,0)-1&amp;":"&amp;CZ68&amp;MATCH(CZ22,'数出表_Excel（アレルギー入力）'!$A:$A,0)-1&amp;"")&lt;&gt;"",0),0)+1),
 ""),
IFERROR(
INDEX(INDIRECT("'数出表_Excel（アレルギー入力）'!"&amp;CU64&amp;MATCH(CZ22,'数出表_Excel（アレルギー入力）'!$A:$A,0)-1&amp;":"&amp;CZ68&amp;MATCH(CZ22,'数出表_Excel（アレルギー入力）'!$A:$A,0)-1&amp;""),
 1,
MATCH(CV67,INDIRECT("'数出表_Excel（アレルギー入力）'!"&amp;CU64&amp;MATCH(CZ22,'数出表_Excel（アレルギー入力）'!$A:$A,0)-1&amp;":"&amp;CZ68&amp;MATCH(CZ22,'数出表_Excel（アレルギー入力）'!$A:$A,0)-1&amp;""),0)+1),
 "")),0),"")</f>
        <v/>
      </c>
      <c r="CZ70" s="217"/>
      <c r="DC70" s="214" t="str">
        <f ca="1">IF(DD67&lt;&gt;"",
IFERROR(INT(DD67/DD69),""),"")</f>
        <v/>
      </c>
      <c r="DD70" s="215"/>
      <c r="DE70" s="214" t="str">
        <f ca="1">IFERROR(MOD(DD67,DD69),"")</f>
        <v/>
      </c>
      <c r="DF70" s="215"/>
      <c r="DG70" s="216" t="str" cm="1">
        <f t="array" aca="1" ref="DG70" ca="1">IF(DD64&lt;&gt;"",
IF(IFERROR(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MATCH(DD67,INDIRECT("'数出表_Excel（アレルギー入力）'!"&amp;DC64&amp;MATCH(DH22,'数出表_Excel（アレルギー入力）'!$A:$A,0)-1&amp;":"&amp;DH68&amp;MATCH(DH22,'数出表_Excel（アレルギー入力）'!$A:$A,0)-1&amp;""),0)+1),
 "")&lt;&gt;0,
IF(IFERROR(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MATCH(DD67,INDIRECT("'数出表_Excel（アレルギー入力）'!"&amp;DC64&amp;MATCH(DH22,'数出表_Excel（アレルギー入力）'!$A:$A,0)-1&amp;":"&amp;DH68&amp;MATCH(DH22,'数出表_Excel（アレルギー入力）'!$A:$A,0)-1&amp;""),0)+1),
 "")="",
IFERROR(
INDEX(INDIRECT("'数出表_Excel（アレルギー入力）'!B"&amp;MATCH(DH22,'数出表_Excel（アレルギー入力）'!$A:$A,0)-1&amp;":"&amp;DH68&amp;MATCH(DH22,'数出表_Excel（アレルギー入力）'!$A:$A,0)-1&amp;""),
 1,
MATCH(TRUE,INDEX(INDIRECT("'数出表_Excel（アレルギー入力）'!"&amp;DC64&amp;MATCH(DH22,'数出表_Excel（アレルギー入力）'!$A:$A,0)-1&amp;":"&amp;DH68&amp;MATCH(DH22,'数出表_Excel（アレルギー入力）'!$A:$A,0)-1&amp;"")&lt;&gt;"",0),0)+1),
 ""),
IFERROR(
INDEX(INDIRECT("'数出表_Excel（アレルギー入力）'!"&amp;DC64&amp;MATCH(DH22,'数出表_Excel（アレルギー入力）'!$A:$A,0)-1&amp;":"&amp;DH68&amp;MATCH(DH22,'数出表_Excel（アレルギー入力）'!$A:$A,0)-1&amp;""),
 1,
MATCH(DD67,INDIRECT("'数出表_Excel（アレルギー入力）'!"&amp;DC64&amp;MATCH(DH22,'数出表_Excel（アレルギー入力）'!$A:$A,0)-1&amp;":"&amp;DH68&amp;MATCH(DH22,'数出表_Excel（アレルギー入力）'!$A:$A,0)-1&amp;""),0)+1),
 "")),0),"")</f>
        <v/>
      </c>
      <c r="DH70" s="217"/>
      <c r="DJ70" s="214" t="str">
        <f ca="1">IF(DK67&lt;&gt;"",
IFERROR(INT(DK67/DK69),""),"")</f>
        <v/>
      </c>
      <c r="DK70" s="215"/>
      <c r="DL70" s="214" t="str">
        <f ca="1">IFERROR(MOD(DK67,DK69),"")</f>
        <v/>
      </c>
      <c r="DM70" s="215"/>
      <c r="DN70" s="216" t="str" cm="1">
        <f t="array" aca="1" ref="DN70" ca="1">IF(DK64&lt;&gt;"",
IF(IFERROR(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MATCH(DK67,INDIRECT("'数出表_Excel（アレルギー入力）'!"&amp;DJ64&amp;MATCH(DO22,'数出表_Excel（アレルギー入力）'!$A:$A,0)-1&amp;":"&amp;DO68&amp;MATCH(DO22,'数出表_Excel（アレルギー入力）'!$A:$A,0)-1&amp;""),0)+1),
 "")&lt;&gt;0,
IF(IFERROR(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MATCH(DK67,INDIRECT("'数出表_Excel（アレルギー入力）'!"&amp;DJ64&amp;MATCH(DO22,'数出表_Excel（アレルギー入力）'!$A:$A,0)-1&amp;":"&amp;DO68&amp;MATCH(DO22,'数出表_Excel（アレルギー入力）'!$A:$A,0)-1&amp;""),0)+1),
 "")="",
IFERROR(
INDEX(INDIRECT("'数出表_Excel（アレルギー入力）'!B"&amp;MATCH(DO22,'数出表_Excel（アレルギー入力）'!$A:$A,0)-1&amp;":"&amp;DO68&amp;MATCH(DO22,'数出表_Excel（アレルギー入力）'!$A:$A,0)-1&amp;""),
 1,
MATCH(TRUE,INDEX(INDIRECT("'数出表_Excel（アレルギー入力）'!"&amp;DJ64&amp;MATCH(DO22,'数出表_Excel（アレルギー入力）'!$A:$A,0)-1&amp;":"&amp;DO68&amp;MATCH(DO22,'数出表_Excel（アレルギー入力）'!$A:$A,0)-1&amp;"")&lt;&gt;"",0),0)+1),
 ""),
IFERROR(
INDEX(INDIRECT("'数出表_Excel（アレルギー入力）'!"&amp;DJ64&amp;MATCH(DO22,'数出表_Excel（アレルギー入力）'!$A:$A,0)-1&amp;":"&amp;DO68&amp;MATCH(DO22,'数出表_Excel（アレルギー入力）'!$A:$A,0)-1&amp;""),
 1,
MATCH(DK67,INDIRECT("'数出表_Excel（アレルギー入力）'!"&amp;DJ64&amp;MATCH(DO22,'数出表_Excel（アレルギー入力）'!$A:$A,0)-1&amp;":"&amp;DO68&amp;MATCH(DO22,'数出表_Excel（アレルギー入力）'!$A:$A,0)-1&amp;""),0)+1),
 "")),0),"")</f>
        <v/>
      </c>
      <c r="DO70" s="217"/>
      <c r="DR70" s="214" t="str">
        <f ca="1">IF(DS67&lt;&gt;"",
IFERROR(INT(DS67/DS69),""),"")</f>
        <v/>
      </c>
      <c r="DS70" s="215"/>
      <c r="DT70" s="214" t="str">
        <f ca="1">IFERROR(MOD(DS67,DS69),"")</f>
        <v/>
      </c>
      <c r="DU70" s="215"/>
      <c r="DV70" s="216" t="str" cm="1">
        <f t="array" aca="1" ref="DV70" ca="1">IF(DS64&lt;&gt;"",
IF(IFERROR(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MATCH(DS67,INDIRECT("'数出表_Excel（アレルギー入力）'!"&amp;DR64&amp;MATCH(DW22,'数出表_Excel（アレルギー入力）'!$A:$A,0)-1&amp;":"&amp;DW68&amp;MATCH(DW22,'数出表_Excel（アレルギー入力）'!$A:$A,0)-1&amp;""),0)+1),
 "")&lt;&gt;0,
IF(IFERROR(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MATCH(DS67,INDIRECT("'数出表_Excel（アレルギー入力）'!"&amp;DR64&amp;MATCH(DW22,'数出表_Excel（アレルギー入力）'!$A:$A,0)-1&amp;":"&amp;DW68&amp;MATCH(DW22,'数出表_Excel（アレルギー入力）'!$A:$A,0)-1&amp;""),0)+1),
 "")="",
IFERROR(
INDEX(INDIRECT("'数出表_Excel（アレルギー入力）'!B"&amp;MATCH(DW22,'数出表_Excel（アレルギー入力）'!$A:$A,0)-1&amp;":"&amp;DW68&amp;MATCH(DW22,'数出表_Excel（アレルギー入力）'!$A:$A,0)-1&amp;""),
 1,
MATCH(TRUE,INDEX(INDIRECT("'数出表_Excel（アレルギー入力）'!"&amp;DR64&amp;MATCH(DW22,'数出表_Excel（アレルギー入力）'!$A:$A,0)-1&amp;":"&amp;DW68&amp;MATCH(DW22,'数出表_Excel（アレルギー入力）'!$A:$A,0)-1&amp;"")&lt;&gt;"",0),0)+1),
 ""),
IFERROR(
INDEX(INDIRECT("'数出表_Excel（アレルギー入力）'!"&amp;DR64&amp;MATCH(DW22,'数出表_Excel（アレルギー入力）'!$A:$A,0)-1&amp;":"&amp;DW68&amp;MATCH(DW22,'数出表_Excel（アレルギー入力）'!$A:$A,0)-1&amp;""),
 1,
MATCH(DS67,INDIRECT("'数出表_Excel（アレルギー入力）'!"&amp;DR64&amp;MATCH(DW22,'数出表_Excel（アレルギー入力）'!$A:$A,0)-1&amp;":"&amp;DW68&amp;MATCH(DW22,'数出表_Excel（アレルギー入力）'!$A:$A,0)-1&amp;""),0)+1),
 "")),0),"")</f>
        <v/>
      </c>
      <c r="DW70" s="217"/>
      <c r="DY70" s="214" t="str">
        <f ca="1">IF(DZ67&lt;&gt;"",
IFERROR(INT(DZ67/DZ69),""),"")</f>
        <v/>
      </c>
      <c r="DZ70" s="215"/>
      <c r="EA70" s="214" t="str">
        <f ca="1">IFERROR(MOD(DZ67,DZ69),"")</f>
        <v/>
      </c>
      <c r="EB70" s="215"/>
      <c r="EC70" s="216" t="str" cm="1">
        <f t="array" aca="1" ref="EC70" ca="1">IF(DZ64&lt;&gt;"",
IF(IFERROR(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MATCH(DZ67,INDIRECT("'数出表_Excel（アレルギー入力）'!"&amp;DY64&amp;MATCH(ED22,'数出表_Excel（アレルギー入力）'!$A:$A,0)-1&amp;":"&amp;ED68&amp;MATCH(ED22,'数出表_Excel（アレルギー入力）'!$A:$A,0)-1&amp;""),0)+1),
 "")&lt;&gt;0,
IF(IFERROR(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MATCH(DZ67,INDIRECT("'数出表_Excel（アレルギー入力）'!"&amp;DY64&amp;MATCH(ED22,'数出表_Excel（アレルギー入力）'!$A:$A,0)-1&amp;":"&amp;ED68&amp;MATCH(ED22,'数出表_Excel（アレルギー入力）'!$A:$A,0)-1&amp;""),0)+1),
 "")="",
IFERROR(
INDEX(INDIRECT("'数出表_Excel（アレルギー入力）'!B"&amp;MATCH(ED22,'数出表_Excel（アレルギー入力）'!$A:$A,0)-1&amp;":"&amp;ED68&amp;MATCH(ED22,'数出表_Excel（アレルギー入力）'!$A:$A,0)-1&amp;""),
 1,
MATCH(TRUE,INDEX(INDIRECT("'数出表_Excel（アレルギー入力）'!"&amp;DY64&amp;MATCH(ED22,'数出表_Excel（アレルギー入力）'!$A:$A,0)-1&amp;":"&amp;ED68&amp;MATCH(ED22,'数出表_Excel（アレルギー入力）'!$A:$A,0)-1&amp;"")&lt;&gt;"",0),0)+1),
 ""),
IFERROR(
INDEX(INDIRECT("'数出表_Excel（アレルギー入力）'!"&amp;DY64&amp;MATCH(ED22,'数出表_Excel（アレルギー入力）'!$A:$A,0)-1&amp;":"&amp;ED68&amp;MATCH(ED22,'数出表_Excel（アレルギー入力）'!$A:$A,0)-1&amp;""),
 1,
MATCH(DZ67,INDIRECT("'数出表_Excel（アレルギー入力）'!"&amp;DY64&amp;MATCH(ED22,'数出表_Excel（アレルギー入力）'!$A:$A,0)-1&amp;":"&amp;ED68&amp;MATCH(ED22,'数出表_Excel（アレルギー入力）'!$A:$A,0)-1&amp;""),0)+1),
 "")),0),"")</f>
        <v/>
      </c>
      <c r="ED70" s="217"/>
      <c r="EG70" s="214" t="str">
        <f ca="1">IF(EH67&lt;&gt;"",
IFERROR(INT(EH67/EH69),""),"")</f>
        <v/>
      </c>
      <c r="EH70" s="215"/>
      <c r="EI70" s="214" t="str">
        <f ca="1">IFERROR(MOD(EH67,EH69),"")</f>
        <v/>
      </c>
      <c r="EJ70" s="215"/>
      <c r="EK70" s="216" t="str" cm="1">
        <f t="array" aca="1" ref="EK70" ca="1">IF(EH64&lt;&gt;"",
IF(IFERROR(
INDEX(INDIRECT("'数出表_Excel（アレルギー入力）'!"&amp;EG64&amp;MATCH(EL22,'数出表_Excel（アレルギー入力）'!$A:$A,0)-1&amp;":"&amp;EL68&amp;MATCH(EL22,'数出表_Excel（アレルギー入力）'!$A:$A,0)-1&amp;""),
 1,
MATCH(EH67,INDIRECT("'数出表_Excel（アレルギー入力）'!"&amp;EG64&amp;MATCH(EL22,'数出表_Excel（アレルギー入力）'!$A:$A,0)-1&amp;":"&amp;EL68&amp;MATCH(EL22,'数出表_Excel（アレルギー入力）'!$A:$A,0)-1&amp;""),0)+1),
 "")&lt;&gt;0,
IF(IFERROR(
INDEX(INDIRECT("'数出表_Excel（アレルギー入力）'!"&amp;EG64&amp;MATCH(EL22,'数出表_Excel（アレルギー入力）'!$A:$A,0)-1&amp;":"&amp;EL68&amp;MATCH(EL22,'数出表_Excel（アレルギー入力）'!$A:$A,0)-1&amp;""),
 1,
MATCH(EH67,INDIRECT("'数出表_Excel（アレルギー入力）'!"&amp;EG64&amp;MATCH(EL22,'数出表_Excel（アレルギー入力）'!$A:$A,0)-1&amp;":"&amp;EL68&amp;MATCH(EL22,'数出表_Excel（アレルギー入力）'!$A:$A,0)-1&amp;""),0)+1),
 "")="",
IFERROR(
INDEX(INDIRECT("'数出表_Excel（アレルギー入力）'!B"&amp;MATCH(EL22,'数出表_Excel（アレルギー入力）'!$A:$A,0)-1&amp;":"&amp;EL68&amp;MATCH(EL22,'数出表_Excel（アレルギー入力）'!$A:$A,0)-1&amp;""),
 1,
MATCH(TRUE,INDEX(INDIRECT("'数出表_Excel（アレルギー入力）'!"&amp;EG64&amp;MATCH(EL22,'数出表_Excel（アレルギー入力）'!$A:$A,0)-1&amp;":"&amp;EL68&amp;MATCH(EL22,'数出表_Excel（アレルギー入力）'!$A:$A,0)-1&amp;"")&lt;&gt;"",0),0)+1),
 ""),
IFERROR(
INDEX(INDIRECT("'数出表_Excel（アレルギー入力）'!"&amp;EG64&amp;MATCH(EL22,'数出表_Excel（アレルギー入力）'!$A:$A,0)-1&amp;":"&amp;EL68&amp;MATCH(EL22,'数出表_Excel（アレルギー入力）'!$A:$A,0)-1&amp;""),
 1,
MATCH(EH67,INDIRECT("'数出表_Excel（アレルギー入力）'!"&amp;EG64&amp;MATCH(EL22,'数出表_Excel（アレルギー入力）'!$A:$A,0)-1&amp;":"&amp;EL68&amp;MATCH(EL22,'数出表_Excel（アレルギー入力）'!$A:$A,0)-1&amp;""),0)+1),
 "")),0),"")</f>
        <v/>
      </c>
      <c r="EL70" s="217"/>
      <c r="EN70" s="214" t="str">
        <f ca="1">IF(EO67&lt;&gt;"",
IFERROR(INT(EO67/EO69),""),"")</f>
        <v/>
      </c>
      <c r="EO70" s="215"/>
      <c r="EP70" s="214" t="str">
        <f ca="1">IFERROR(MOD(EO67,EO69),"")</f>
        <v/>
      </c>
      <c r="EQ70" s="215"/>
      <c r="ER70" s="216" t="str" cm="1">
        <f t="array" aca="1" ref="ER70" ca="1">IF(EO64&lt;&gt;"",
IF(IFERROR(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MATCH(EO67,INDIRECT("'数出表_Excel（アレルギー入力）'!"&amp;EN64&amp;MATCH(ES22,'数出表_Excel（アレルギー入力）'!$A:$A,0)-1&amp;":"&amp;ES68&amp;MATCH(ES22,'数出表_Excel（アレルギー入力）'!$A:$A,0)-1&amp;""),0)+1),
 "")&lt;&gt;0,
IF(IFERROR(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MATCH(EO67,INDIRECT("'数出表_Excel（アレルギー入力）'!"&amp;EN64&amp;MATCH(ES22,'数出表_Excel（アレルギー入力）'!$A:$A,0)-1&amp;":"&amp;ES68&amp;MATCH(ES22,'数出表_Excel（アレルギー入力）'!$A:$A,0)-1&amp;""),0)+1),
 "")="",
IFERROR(
INDEX(INDIRECT("'数出表_Excel（アレルギー入力）'!B"&amp;MATCH(ES22,'数出表_Excel（アレルギー入力）'!$A:$A,0)-1&amp;":"&amp;ES68&amp;MATCH(ES22,'数出表_Excel（アレルギー入力）'!$A:$A,0)-1&amp;""),
 1,
MATCH(TRUE,INDEX(INDIRECT("'数出表_Excel（アレルギー入力）'!"&amp;EN64&amp;MATCH(ES22,'数出表_Excel（アレルギー入力）'!$A:$A,0)-1&amp;":"&amp;ES68&amp;MATCH(ES22,'数出表_Excel（アレルギー入力）'!$A:$A,0)-1&amp;"")&lt;&gt;"",0),0)+1),
 ""),
IFERROR(
INDEX(INDIRECT("'数出表_Excel（アレルギー入力）'!"&amp;EN64&amp;MATCH(ES22,'数出表_Excel（アレルギー入力）'!$A:$A,0)-1&amp;":"&amp;ES68&amp;MATCH(ES22,'数出表_Excel（アレルギー入力）'!$A:$A,0)-1&amp;""),
 1,
MATCH(EO67,INDIRECT("'数出表_Excel（アレルギー入力）'!"&amp;EN64&amp;MATCH(ES22,'数出表_Excel（アレルギー入力）'!$A:$A,0)-1&amp;":"&amp;ES68&amp;MATCH(ES22,'数出表_Excel（アレルギー入力）'!$A:$A,0)-1&amp;""),0)+1),
 "")),0),"")</f>
        <v/>
      </c>
      <c r="ES70" s="217"/>
      <c r="ET70" s="78"/>
      <c r="EU70" s="103">
        <f t="shared" si="4"/>
        <v>77</v>
      </c>
      <c r="EV70" s="103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3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3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3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3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3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3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3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3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3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3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3">
        <f t="shared" ca="1" si="5"/>
        <v>0</v>
      </c>
      <c r="FH70" s="103" t="b">
        <f t="array" aca="1" ref="FH70" ca="1">SUMPRODUCT((LEN(EV70:FF70)&gt;0)*1)&gt;0</f>
        <v>0</v>
      </c>
      <c r="FI70" s="103" t="str">
        <f t="array" aca="1" ref="FI70" ca="1">IFERROR(SMALL(IF(FG$1:FG$169&lt;&gt;0,FG$1:FG$169),ROW(A70)),"")</f>
        <v/>
      </c>
      <c r="FJ70" s="103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3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3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3" t="str">
        <f t="array" aca="1" ref="FM70" ca="1">IF($FI70&lt;&gt;"",
IF(FL70="",
INDIRECT("CB"&amp;$FI70&amp;"")&amp;"箱"
&amp;INDIRECT("CC"&amp;$FI70&amp;""),""),"")</f>
        <v/>
      </c>
      <c r="FN70" s="103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3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3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3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3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3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3" customFormat="1" ht="18" customHeight="1" x14ac:dyDescent="0.55000000000000004">
      <c r="A71" s="101"/>
      <c r="B71" s="102" t="str" cm="1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198" t="str">
        <f ca="1">IF(C74&lt;&gt;"",C29,"")</f>
        <v/>
      </c>
      <c r="D71" s="198"/>
      <c r="E71" s="198"/>
      <c r="F71" s="198"/>
      <c r="G71" s="120"/>
      <c r="H71" s="101"/>
      <c r="I71" s="102" t="str" cm="1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198" t="str">
        <f ca="1">IF(J74&lt;&gt;"",J29,"")</f>
        <v/>
      </c>
      <c r="K71" s="198"/>
      <c r="L71" s="198"/>
      <c r="M71" s="198"/>
      <c r="N71" s="116"/>
      <c r="O71" s="101"/>
      <c r="P71" s="101"/>
      <c r="Q71" s="102" t="str" cm="1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198" t="str">
        <f ca="1">IF(R74&lt;&gt;"",R29,"")</f>
        <v/>
      </c>
      <c r="S71" s="198"/>
      <c r="T71" s="198"/>
      <c r="U71" s="198"/>
      <c r="V71" s="120"/>
      <c r="W71" s="101"/>
      <c r="X71" s="102" t="str" cm="1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198" t="str">
        <f ca="1">IF(Y74&lt;&gt;"",Y29,"")</f>
        <v/>
      </c>
      <c r="Z71" s="198"/>
      <c r="AA71" s="198"/>
      <c r="AB71" s="198"/>
      <c r="AC71" s="116"/>
      <c r="AD71" s="101"/>
      <c r="AE71" s="101"/>
      <c r="AF71" s="102" t="str" cm="1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198" t="str">
        <f ca="1">IF(AG74&lt;&gt;"",AG29,"")</f>
        <v/>
      </c>
      <c r="AH71" s="198"/>
      <c r="AI71" s="198"/>
      <c r="AJ71" s="198"/>
      <c r="AK71" s="120"/>
      <c r="AL71" s="101"/>
      <c r="AM71" s="102" t="str" cm="1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198" t="str">
        <f ca="1">IF(AN74&lt;&gt;"",AN29,"")</f>
        <v/>
      </c>
      <c r="AO71" s="198"/>
      <c r="AP71" s="198"/>
      <c r="AQ71" s="198"/>
      <c r="AR71" s="116"/>
      <c r="AS71" s="101"/>
      <c r="AT71" s="101"/>
      <c r="AU71" s="102" t="str" cm="1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198" t="str">
        <f ca="1">IF(AV74&lt;&gt;"",AV29,"")</f>
        <v/>
      </c>
      <c r="AW71" s="198"/>
      <c r="AX71" s="198"/>
      <c r="AY71" s="198"/>
      <c r="AZ71" s="120"/>
      <c r="BA71" s="101"/>
      <c r="BB71" s="102" t="str" cm="1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198" t="str">
        <f ca="1">IF(BC74&lt;&gt;"",BC29,"")</f>
        <v/>
      </c>
      <c r="BD71" s="198"/>
      <c r="BE71" s="198"/>
      <c r="BF71" s="198"/>
      <c r="BG71" s="116"/>
      <c r="BH71" s="101"/>
      <c r="BI71" s="101"/>
      <c r="BJ71" s="102" t="str" cm="1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198" t="str">
        <f ca="1">IF(BK74&lt;&gt;"",BK29,"")</f>
        <v/>
      </c>
      <c r="BL71" s="198"/>
      <c r="BM71" s="198"/>
      <c r="BN71" s="198"/>
      <c r="BO71" s="120"/>
      <c r="BP71" s="101"/>
      <c r="BQ71" s="102" t="str" cm="1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198" t="str">
        <f ca="1">IF(BR74&lt;&gt;"",BR29,"")</f>
        <v/>
      </c>
      <c r="BS71" s="198"/>
      <c r="BT71" s="198"/>
      <c r="BU71" s="198"/>
      <c r="BV71" s="116"/>
      <c r="BW71" s="101"/>
      <c r="BX71" s="101"/>
      <c r="BY71" s="102" t="str" cm="1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198" t="str">
        <f ca="1">IF(BZ74&lt;&gt;"",BZ29,"")</f>
        <v/>
      </c>
      <c r="CA71" s="198"/>
      <c r="CB71" s="198"/>
      <c r="CC71" s="198"/>
      <c r="CD71" s="120"/>
      <c r="CE71" s="101"/>
      <c r="CF71" s="102" t="str" cm="1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198" t="str">
        <f ca="1">IF(CG74&lt;&gt;"",CG29,"")</f>
        <v/>
      </c>
      <c r="CH71" s="198"/>
      <c r="CI71" s="198"/>
      <c r="CJ71" s="198"/>
      <c r="CK71" s="116"/>
      <c r="CL71" s="101"/>
      <c r="CM71" s="101"/>
      <c r="CN71" s="102" t="str" cm="1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198" t="str">
        <f ca="1">IF(CO74&lt;&gt;"",CO29,"")</f>
        <v/>
      </c>
      <c r="CP71" s="198"/>
      <c r="CQ71" s="198"/>
      <c r="CR71" s="198"/>
      <c r="CS71" s="120"/>
      <c r="CT71" s="101"/>
      <c r="CU71" s="102" t="str" cm="1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198" t="str">
        <f ca="1">IF(CV74&lt;&gt;"",CV29,"")</f>
        <v/>
      </c>
      <c r="CW71" s="198"/>
      <c r="CX71" s="198"/>
      <c r="CY71" s="198"/>
      <c r="CZ71" s="116"/>
      <c r="DA71" s="101"/>
      <c r="DB71" s="101"/>
      <c r="DC71" s="102" t="str" cm="1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198" t="str">
        <f ca="1">IF(DD74&lt;&gt;"",DD29,"")</f>
        <v/>
      </c>
      <c r="DE71" s="198"/>
      <c r="DF71" s="198"/>
      <c r="DG71" s="198"/>
      <c r="DH71" s="120"/>
      <c r="DI71" s="101"/>
      <c r="DJ71" s="102" t="str" cm="1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198" t="str">
        <f ca="1">IF(DK74&lt;&gt;"",DK29,"")</f>
        <v/>
      </c>
      <c r="DL71" s="198"/>
      <c r="DM71" s="198"/>
      <c r="DN71" s="198"/>
      <c r="DO71" s="116"/>
      <c r="DP71" s="101"/>
      <c r="DQ71" s="101"/>
      <c r="DR71" s="102" t="str" cm="1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198" t="str">
        <f ca="1">IF(DS74&lt;&gt;"",DS29,"")</f>
        <v/>
      </c>
      <c r="DT71" s="198"/>
      <c r="DU71" s="198"/>
      <c r="DV71" s="198"/>
      <c r="DW71" s="120"/>
      <c r="DX71" s="101"/>
      <c r="DY71" s="102" t="str" cm="1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198" t="str">
        <f ca="1">IF(DZ74&lt;&gt;"",DZ29,"")</f>
        <v/>
      </c>
      <c r="EA71" s="198"/>
      <c r="EB71" s="198"/>
      <c r="EC71" s="198"/>
      <c r="ED71" s="116"/>
      <c r="EE71" s="101"/>
      <c r="EF71" s="101"/>
      <c r="EG71" s="102" t="str" cm="1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198" t="str">
        <f ca="1">IF(EH74&lt;&gt;"",EH29,"")</f>
        <v/>
      </c>
      <c r="EI71" s="198"/>
      <c r="EJ71" s="198"/>
      <c r="EK71" s="198"/>
      <c r="EL71" s="120"/>
      <c r="EM71" s="101"/>
      <c r="EN71" s="102" t="str" cm="1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198" t="str">
        <f ca="1">IF(EO74&lt;&gt;"",EO29,"")</f>
        <v/>
      </c>
      <c r="EP71" s="198"/>
      <c r="EQ71" s="198"/>
      <c r="ER71" s="198"/>
      <c r="ES71" s="116"/>
      <c r="ET71" s="132"/>
      <c r="EU71" s="112">
        <f t="shared" si="4"/>
        <v>35</v>
      </c>
      <c r="EV71" s="103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3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3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3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3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3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3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3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3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3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3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3">
        <f t="shared" ca="1" si="5"/>
        <v>0</v>
      </c>
      <c r="FH71" s="103" t="e">
        <f t="array" aca="1" ref="FH71" ca="1">SUMPRODUCT((LEN(EV71:FF71)&gt;0)*1)&gt;0</f>
        <v>#VALUE!</v>
      </c>
      <c r="FI71" s="103" t="str">
        <f t="array" aca="1" ref="FI71" ca="1">IFERROR(SMALL(IF(FG$1:FG$169&lt;&gt;0,FG$1:FG$169),ROW(A71)),"")</f>
        <v/>
      </c>
      <c r="FJ71" s="103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3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3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3" t="str">
        <f t="array" aca="1" ref="FM71" ca="1">IF($FI71&lt;&gt;"",
IF(FL71="",
INDIRECT("CB"&amp;$FI71&amp;"")&amp;"箱"
&amp;INDIRECT("CC"&amp;$FI71&amp;""),""),"")</f>
        <v/>
      </c>
      <c r="FN71" s="103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3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3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3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3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3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3" customFormat="1" ht="18" customHeight="1" x14ac:dyDescent="0.55000000000000004">
      <c r="A72" s="101"/>
      <c r="B72" s="106" t="e" cm="1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5" t="str" cm="1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101"/>
      <c r="E72" s="107" t="str" cm="1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+MATCH(TRUE,INDIRECT("'数出表_Excel'!"&amp;B71&amp;MATCH(C71,数出表_Excel!$A:$A,0)-1&amp;":AL"&amp;MATCH(C71,数出表_Excel!$A:$A,0)-1&amp;"")&lt;&gt;"",0))&gt;=12,"",
IFERROR(
INDEX(INDIRECT("数出表_Excel!$"&amp;B71&amp;"4:$AL4"),
 1,
MATCH(TRUE,INDIRECT("'数出表_Excel'!"&amp;B71&amp;MATCH(C71,数出表_Excel!$A:$A,0)-1&amp;":AL"&amp;MATCH(C71,数出表_Excel!$A:$A,0)-1&amp;"")&lt;&gt;"",0)
),
 "")
&amp;IFERROR(
INDEX(INDIRECT("数出表_Excel!$"&amp;B71&amp;"5:$AL5"),
 1,
MATCH(TRUE,INDIRECT("'数出表_Excel'!"&amp;B71&amp;MATCH(C71,数出表_Excel!$A:$A,0)-1&amp;":AL"&amp;MATCH(C71,数出表_Excel!$A:$A,0)-1&amp;"")&lt;&gt;"",0)),
 "")),"")))</f>
        <v/>
      </c>
      <c r="F72" s="108" t="str" cm="1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ISNUMBER(--INDIRECT("'数出表_Excel（アレルギー入力）'!B"&amp;MATCH(C71,'数出表_Excel（アレルギー入力）'!$A:$A,0)-1&amp;":AL"&amp;MATCH(C71,'数出表_Excel（アレルギー入力）'!$A:$A,0)-1&amp;"")),0)&gt;10,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21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01"/>
      <c r="I72" s="106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5" t="str" cm="1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101"/>
      <c r="L72" s="107" t="str" cm="1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+MATCH(TRUE,INDIRECT("'数出表_Excel'!"&amp;I71&amp;MATCH(J71,数出表_Excel!$A:$A,0)-1&amp;":AL"&amp;MATCH(J71,数出表_Excel!$A:$A,0)-1&amp;"")&lt;&gt;"",0))&gt;=12,"",
IFERROR(
INDEX(INDIRECT("数出表_Excel!$"&amp;I71&amp;"4:$AL4"),
 1,
MATCH(TRUE,INDIRECT("'数出表_Excel'!"&amp;I71&amp;MATCH(J71,数出表_Excel!$A:$A,0)-1&amp;":AL"&amp;MATCH(J71,数出表_Excel!$A:$A,0)-1&amp;"")&lt;&gt;"",0)
),
 "")
&amp;IFERROR(
INDEX(INDIRECT("数出表_Excel!$"&amp;I71&amp;"5:$AL5"),
 1,
MATCH(TRUE,INDIRECT("'数出表_Excel'!"&amp;I71&amp;MATCH(J71,数出表_Excel!$A:$A,0)-1&amp;":AL"&amp;MATCH(J71,数出表_Excel!$A:$A,0)-1&amp;"")&lt;&gt;"",0)),
 "")),"")))</f>
        <v/>
      </c>
      <c r="M72" s="108" t="str" cm="1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ISNUMBER(--INDIRECT("'数出表_Excel（アレルギー入力）'!B"&amp;MATCH(J71,'数出表_Excel（アレルギー入力）'!$A:$A,0)-1&amp;":AL"&amp;MATCH(J71,'数出表_Excel（アレルギー入力）'!$A:$A,0)-1&amp;"")),0)&gt;10,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117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01"/>
      <c r="P72" s="101"/>
      <c r="Q72" s="106" t="e" cm="1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5" t="str" cm="1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101"/>
      <c r="T72" s="107" t="str" cm="1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+MATCH(TRUE,INDIRECT("'数出表_Excel'!"&amp;Q71&amp;MATCH(R71,数出表_Excel!$A:$A,0)-1&amp;":AL"&amp;MATCH(R71,数出表_Excel!$A:$A,0)-1&amp;"")&lt;&gt;"",0))&gt;=12,"",
IFERROR(
INDEX(INDIRECT("数出表_Excel!$"&amp;Q71&amp;"4:$AL4"),
 1,
MATCH(TRUE,INDIRECT("'数出表_Excel'!"&amp;Q71&amp;MATCH(R71,数出表_Excel!$A:$A,0)-1&amp;":AL"&amp;MATCH(R71,数出表_Excel!$A:$A,0)-1&amp;"")&lt;&gt;"",0)
),
 "")
&amp;IFERROR(
INDEX(INDIRECT("数出表_Excel!$"&amp;Q71&amp;"5:$AL5"),
 1,
MATCH(TRUE,INDIRECT("'数出表_Excel'!"&amp;Q71&amp;MATCH(R71,数出表_Excel!$A:$A,0)-1&amp;":AL"&amp;MATCH(R71,数出表_Excel!$A:$A,0)-1&amp;"")&lt;&gt;"",0)),
 "")),"")))</f>
        <v/>
      </c>
      <c r="U72" s="108" t="str" cm="1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ISNUMBER(--INDIRECT("'数出表_Excel（アレルギー入力）'!B"&amp;MATCH(R71,'数出表_Excel（アレルギー入力）'!$A:$A,0)-1&amp;":AL"&amp;MATCH(R71,'数出表_Excel（アレルギー入力）'!$A:$A,0)-1&amp;"")),0)&gt;10,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21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1"/>
      <c r="X72" s="106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5" t="str" cm="1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101"/>
      <c r="AA72" s="107" t="str" cm="1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+MATCH(TRUE,INDIRECT("'数出表_Excel'!"&amp;X71&amp;MATCH(Y71,数出表_Excel!$A:$A,0)-1&amp;":AL"&amp;MATCH(Y71,数出表_Excel!$A:$A,0)-1&amp;"")&lt;&gt;"",0))&gt;=12,"",
IFERROR(
INDEX(INDIRECT("数出表_Excel!$"&amp;X71&amp;"4:$AL4"),
 1,
MATCH(TRUE,INDIRECT("'数出表_Excel'!"&amp;X71&amp;MATCH(Y71,数出表_Excel!$A:$A,0)-1&amp;":AL"&amp;MATCH(Y71,数出表_Excel!$A:$A,0)-1&amp;"")&lt;&gt;"",0)
),
 "")
&amp;IFERROR(
INDEX(INDIRECT("数出表_Excel!$"&amp;X71&amp;"5:$AL5"),
 1,
MATCH(TRUE,INDIRECT("'数出表_Excel'!"&amp;X71&amp;MATCH(Y71,数出表_Excel!$A:$A,0)-1&amp;":AL"&amp;MATCH(Y71,数出表_Excel!$A:$A,0)-1&amp;"")&lt;&gt;"",0)),
 "")),"")))</f>
        <v/>
      </c>
      <c r="AB72" s="108" t="str" cm="1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ISNUMBER(--INDIRECT("'数出表_Excel（アレルギー入力）'!B"&amp;MATCH(Y71,'数出表_Excel（アレルギー入力）'!$A:$A,0)-1&amp;":AL"&amp;MATCH(Y71,'数出表_Excel（アレルギー入力）'!$A:$A,0)-1&amp;"")),0)&gt;10,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117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1"/>
      <c r="AE72" s="101"/>
      <c r="AF72" s="106" t="e" cm="1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5" t="str" cm="1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101"/>
      <c r="AI72" s="107" t="str" cm="1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+MATCH(TRUE,INDIRECT("'数出表_Excel'!"&amp;AF71&amp;MATCH(AG71,数出表_Excel!$A:$A,0)-1&amp;":AL"&amp;MATCH(AG71,数出表_Excel!$A:$A,0)-1&amp;"")&lt;&gt;"",0))&gt;=12,"",
IFERROR(
INDEX(INDIRECT("数出表_Excel!$"&amp;AF71&amp;"4:$AL4"),
 1,
MATCH(TRUE,INDIRECT("'数出表_Excel'!"&amp;AF71&amp;MATCH(AG71,数出表_Excel!$A:$A,0)-1&amp;":AL"&amp;MATCH(AG71,数出表_Excel!$A:$A,0)-1&amp;"")&lt;&gt;"",0)
),
 "")
&amp;IFERROR(
INDEX(INDIRECT("数出表_Excel!$"&amp;AF71&amp;"5:$AL5"),
 1,
MATCH(TRUE,INDIRECT("'数出表_Excel'!"&amp;AF71&amp;MATCH(AG71,数出表_Excel!$A:$A,0)-1&amp;":AL"&amp;MATCH(AG71,数出表_Excel!$A:$A,0)-1&amp;"")&lt;&gt;"",0)),
 "")),"")))</f>
        <v/>
      </c>
      <c r="AJ72" s="108" t="str" cm="1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ISNUMBER(--INDIRECT("'数出表_Excel（アレルギー入力）'!B"&amp;MATCH(AG71,'数出表_Excel（アレルギー入力）'!$A:$A,0)-1&amp;":AL"&amp;MATCH(AG71,'数出表_Excel（アレルギー入力）'!$A:$A,0)-1&amp;"")),0)&gt;10,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21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1"/>
      <c r="AM72" s="106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5" t="str" cm="1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101"/>
      <c r="AP72" s="107" t="str" cm="1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+MATCH(TRUE,INDIRECT("'数出表_Excel'!"&amp;AM71&amp;MATCH(AN71,数出表_Excel!$A:$A,0)-1&amp;":AL"&amp;MATCH(AN71,数出表_Excel!$A:$A,0)-1&amp;"")&lt;&gt;"",0))&gt;=12,"",
IFERROR(
INDEX(INDIRECT("数出表_Excel!$"&amp;AM71&amp;"4:$AL4"),
 1,
MATCH(TRUE,INDIRECT("'数出表_Excel'!"&amp;AM71&amp;MATCH(AN71,数出表_Excel!$A:$A,0)-1&amp;":AL"&amp;MATCH(AN71,数出表_Excel!$A:$A,0)-1&amp;"")&lt;&gt;"",0)
),
 "")
&amp;IFERROR(
INDEX(INDIRECT("数出表_Excel!$"&amp;AM71&amp;"5:$AL5"),
 1,
MATCH(TRUE,INDIRECT("'数出表_Excel'!"&amp;AM71&amp;MATCH(AN71,数出表_Excel!$A:$A,0)-1&amp;":AL"&amp;MATCH(AN71,数出表_Excel!$A:$A,0)-1&amp;"")&lt;&gt;"",0)),
 "")),"")))</f>
        <v/>
      </c>
      <c r="AQ72" s="108" t="str" cm="1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ISNUMBER(--INDIRECT("'数出表_Excel（アレルギー入力）'!B"&amp;MATCH(AN71,'数出表_Excel（アレルギー入力）'!$A:$A,0)-1&amp;":AL"&amp;MATCH(AN71,'数出表_Excel（アレルギー入力）'!$A:$A,0)-1&amp;"")),0)&gt;10,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117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1"/>
      <c r="AT72" s="101"/>
      <c r="AU72" s="106" t="e" cm="1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5" t="str" cm="1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101"/>
      <c r="AX72" s="107" t="str" cm="1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+MATCH(TRUE,INDIRECT("'数出表_Excel'!"&amp;AU71&amp;MATCH(AV71,数出表_Excel!$A:$A,0)-1&amp;":AL"&amp;MATCH(AV71,数出表_Excel!$A:$A,0)-1&amp;"")&lt;&gt;"",0))&gt;=12,"",
IFERROR(
INDEX(INDIRECT("数出表_Excel!$"&amp;AU71&amp;"4:$AL4"),
 1,
MATCH(TRUE,INDIRECT("'数出表_Excel'!"&amp;AU71&amp;MATCH(AV71,数出表_Excel!$A:$A,0)-1&amp;":AL"&amp;MATCH(AV71,数出表_Excel!$A:$A,0)-1&amp;"")&lt;&gt;"",0)
),
 "")
&amp;IFERROR(
INDEX(INDIRECT("数出表_Excel!$"&amp;AU71&amp;"5:$AL5"),
 1,
MATCH(TRUE,INDIRECT("'数出表_Excel'!"&amp;AU71&amp;MATCH(AV71,数出表_Excel!$A:$A,0)-1&amp;":AL"&amp;MATCH(AV71,数出表_Excel!$A:$A,0)-1&amp;"")&lt;&gt;"",0)),
 "")),"")))</f>
        <v/>
      </c>
      <c r="AY72" s="108" t="str" cm="1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ISNUMBER(--INDIRECT("'数出表_Excel（アレルギー入力）'!B"&amp;MATCH(AV71,'数出表_Excel（アレルギー入力）'!$A:$A,0)-1&amp;":AL"&amp;MATCH(AV71,'数出表_Excel（アレルギー入力）'!$A:$A,0)-1&amp;"")),0)&gt;10,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21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1"/>
      <c r="BB72" s="106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5" t="str" cm="1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101"/>
      <c r="BE72" s="107" t="str" cm="1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+MATCH(TRUE,INDIRECT("'数出表_Excel'!"&amp;BB71&amp;MATCH(BC71,数出表_Excel!$A:$A,0)-1&amp;":AL"&amp;MATCH(BC71,数出表_Excel!$A:$A,0)-1&amp;"")&lt;&gt;"",0))&gt;=12,"",
IFERROR(
INDEX(INDIRECT("数出表_Excel!$"&amp;BB71&amp;"4:$AL4"),
 1,
MATCH(TRUE,INDIRECT("'数出表_Excel'!"&amp;BB71&amp;MATCH(BC71,数出表_Excel!$A:$A,0)-1&amp;":AL"&amp;MATCH(BC71,数出表_Excel!$A:$A,0)-1&amp;"")&lt;&gt;"",0)
),
 "")
&amp;IFERROR(
INDEX(INDIRECT("数出表_Excel!$"&amp;BB71&amp;"5:$AL5"),
 1,
MATCH(TRUE,INDIRECT("'数出表_Excel'!"&amp;BB71&amp;MATCH(BC71,数出表_Excel!$A:$A,0)-1&amp;":AL"&amp;MATCH(BC71,数出表_Excel!$A:$A,0)-1&amp;"")&lt;&gt;"",0)),
 "")),"")))</f>
        <v/>
      </c>
      <c r="BF72" s="108" t="str" cm="1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ISNUMBER(--INDIRECT("'数出表_Excel（アレルギー入力）'!B"&amp;MATCH(BC71,'数出表_Excel（アレルギー入力）'!$A:$A,0)-1&amp;":AL"&amp;MATCH(BC71,'数出表_Excel（アレルギー入力）'!$A:$A,0)-1&amp;"")),0)&gt;10,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117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1"/>
      <c r="BI72" s="101"/>
      <c r="BJ72" s="106" t="e" cm="1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5" t="str" cm="1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101"/>
      <c r="BM72" s="107" t="str" cm="1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+MATCH(TRUE,INDIRECT("'数出表_Excel'!"&amp;BJ71&amp;MATCH(BK71,数出表_Excel!$A:$A,0)-1&amp;":AL"&amp;MATCH(BK71,数出表_Excel!$A:$A,0)-1&amp;"")&lt;&gt;"",0))&gt;=12,"",
IFERROR(
INDEX(INDIRECT("数出表_Excel!$"&amp;BJ71&amp;"4:$AL4"),
 1,
MATCH(TRUE,INDIRECT("'数出表_Excel'!"&amp;BJ71&amp;MATCH(BK71,数出表_Excel!$A:$A,0)-1&amp;":AL"&amp;MATCH(BK71,数出表_Excel!$A:$A,0)-1&amp;"")&lt;&gt;"",0)
),
 "")
&amp;IFERROR(
INDEX(INDIRECT("数出表_Excel!$"&amp;BJ71&amp;"5:$AL5"),
 1,
MATCH(TRUE,INDIRECT("'数出表_Excel'!"&amp;BJ71&amp;MATCH(BK71,数出表_Excel!$A:$A,0)-1&amp;":AL"&amp;MATCH(BK71,数出表_Excel!$A:$A,0)-1&amp;"")&lt;&gt;"",0)),
 "")),"")))</f>
        <v/>
      </c>
      <c r="BN72" s="108" t="str" cm="1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ISNUMBER(--INDIRECT("'数出表_Excel（アレルギー入力）'!B"&amp;MATCH(BK71,'数出表_Excel（アレルギー入力）'!$A:$A,0)-1&amp;":AL"&amp;MATCH(BK71,'数出表_Excel（アレルギー入力）'!$A:$A,0)-1&amp;"")),0)&gt;10,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21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1"/>
      <c r="BQ72" s="106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5" t="str" cm="1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101"/>
      <c r="BT72" s="107" t="str" cm="1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+MATCH(TRUE,INDIRECT("'数出表_Excel'!"&amp;BQ71&amp;MATCH(BR71,数出表_Excel!$A:$A,0)-1&amp;":AL"&amp;MATCH(BR71,数出表_Excel!$A:$A,0)-1&amp;"")&lt;&gt;"",0))&gt;=12,"",
IFERROR(
INDEX(INDIRECT("数出表_Excel!$"&amp;BQ71&amp;"4:$AL4"),
 1,
MATCH(TRUE,INDIRECT("'数出表_Excel'!"&amp;BQ71&amp;MATCH(BR71,数出表_Excel!$A:$A,0)-1&amp;":AL"&amp;MATCH(BR71,数出表_Excel!$A:$A,0)-1&amp;"")&lt;&gt;"",0)
),
 "")
&amp;IFERROR(
INDEX(INDIRECT("数出表_Excel!$"&amp;BQ71&amp;"5:$AL5"),
 1,
MATCH(TRUE,INDIRECT("'数出表_Excel'!"&amp;BQ71&amp;MATCH(BR71,数出表_Excel!$A:$A,0)-1&amp;":AL"&amp;MATCH(BR71,数出表_Excel!$A:$A,0)-1&amp;"")&lt;&gt;"",0)),
 "")),"")))</f>
        <v/>
      </c>
      <c r="BU72" s="108" t="str" cm="1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ISNUMBER(--INDIRECT("'数出表_Excel（アレルギー入力）'!B"&amp;MATCH(BR71,'数出表_Excel（アレルギー入力）'!$A:$A,0)-1&amp;":AL"&amp;MATCH(BR71,'数出表_Excel（アレルギー入力）'!$A:$A,0)-1&amp;"")),0)&gt;10,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117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1"/>
      <c r="BX72" s="101"/>
      <c r="BY72" s="106" t="e" cm="1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5" t="str" cm="1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101"/>
      <c r="CB72" s="107" t="str" cm="1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+MATCH(TRUE,INDIRECT("'数出表_Excel'!"&amp;BY71&amp;MATCH(BZ71,数出表_Excel!$A:$A,0)-1&amp;":AL"&amp;MATCH(BZ71,数出表_Excel!$A:$A,0)-1&amp;"")&lt;&gt;"",0))&gt;=12,"",
IFERROR(
INDEX(INDIRECT("数出表_Excel!$"&amp;BY71&amp;"4:$AL4"),
 1,
MATCH(TRUE,INDIRECT("'数出表_Excel'!"&amp;BY71&amp;MATCH(BZ71,数出表_Excel!$A:$A,0)-1&amp;":AL"&amp;MATCH(BZ71,数出表_Excel!$A:$A,0)-1&amp;"")&lt;&gt;"",0)
),
 "")
&amp;IFERROR(
INDEX(INDIRECT("数出表_Excel!$"&amp;BY71&amp;"5:$AL5"),
 1,
MATCH(TRUE,INDIRECT("'数出表_Excel'!"&amp;BY71&amp;MATCH(BZ71,数出表_Excel!$A:$A,0)-1&amp;":AL"&amp;MATCH(BZ71,数出表_Excel!$A:$A,0)-1&amp;"")&lt;&gt;"",0)),
 "")),"")))</f>
        <v/>
      </c>
      <c r="CC72" s="108" t="str" cm="1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ISNUMBER(--INDIRECT("'数出表_Excel（アレルギー入力）'!B"&amp;MATCH(BZ71,'数出表_Excel（アレルギー入力）'!$A:$A,0)-1&amp;":AL"&amp;MATCH(BZ71,'数出表_Excel（アレルギー入力）'!$A:$A,0)-1&amp;"")),0)&gt;10,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21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1"/>
      <c r="CF72" s="106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5" t="str" cm="1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101"/>
      <c r="CI72" s="107" t="str" cm="1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+MATCH(TRUE,INDIRECT("'数出表_Excel'!"&amp;CF71&amp;MATCH(CG71,数出表_Excel!$A:$A,0)-1&amp;":AL"&amp;MATCH(CG71,数出表_Excel!$A:$A,0)-1&amp;"")&lt;&gt;"",0))&gt;=12,"",
IFERROR(
INDEX(INDIRECT("数出表_Excel!$"&amp;CF71&amp;"4:$AL4"),
 1,
MATCH(TRUE,INDIRECT("'数出表_Excel'!"&amp;CF71&amp;MATCH(CG71,数出表_Excel!$A:$A,0)-1&amp;":AL"&amp;MATCH(CG71,数出表_Excel!$A:$A,0)-1&amp;"")&lt;&gt;"",0)
),
 "")
&amp;IFERROR(
INDEX(INDIRECT("数出表_Excel!$"&amp;CF71&amp;"5:$AL5"),
 1,
MATCH(TRUE,INDIRECT("'数出表_Excel'!"&amp;CF71&amp;MATCH(CG71,数出表_Excel!$A:$A,0)-1&amp;":AL"&amp;MATCH(CG71,数出表_Excel!$A:$A,0)-1&amp;"")&lt;&gt;"",0)),
 "")),"")))</f>
        <v/>
      </c>
      <c r="CJ72" s="108" t="str" cm="1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ISNUMBER(--INDIRECT("'数出表_Excel（アレルギー入力）'!B"&amp;MATCH(CG71,'数出表_Excel（アレルギー入力）'!$A:$A,0)-1&amp;":AL"&amp;MATCH(CG71,'数出表_Excel（アレルギー入力）'!$A:$A,0)-1&amp;"")),0)&gt;10,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117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1"/>
      <c r="CM72" s="101"/>
      <c r="CN72" s="106" t="e" cm="1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5" t="str" cm="1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101"/>
      <c r="CQ72" s="107" t="str" cm="1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+MATCH(TRUE,INDIRECT("'数出表_Excel'!"&amp;CN71&amp;MATCH(CO71,数出表_Excel!$A:$A,0)-1&amp;":AL"&amp;MATCH(CO71,数出表_Excel!$A:$A,0)-1&amp;"")&lt;&gt;"",0))&gt;=12,"",
IFERROR(
INDEX(INDIRECT("数出表_Excel!$"&amp;CN71&amp;"4:$AL4"),
 1,
MATCH(TRUE,INDIRECT("'数出表_Excel'!"&amp;CN71&amp;MATCH(CO71,数出表_Excel!$A:$A,0)-1&amp;":AL"&amp;MATCH(CO71,数出表_Excel!$A:$A,0)-1&amp;"")&lt;&gt;"",0)
),
 "")
&amp;IFERROR(
INDEX(INDIRECT("数出表_Excel!$"&amp;CN71&amp;"5:$AL5"),
 1,
MATCH(TRUE,INDIRECT("'数出表_Excel'!"&amp;CN71&amp;MATCH(CO71,数出表_Excel!$A:$A,0)-1&amp;":AL"&amp;MATCH(CO71,数出表_Excel!$A:$A,0)-1&amp;"")&lt;&gt;"",0)),
 "")),"")))</f>
        <v/>
      </c>
      <c r="CR72" s="108" t="str" cm="1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ISNUMBER(--INDIRECT("'数出表_Excel（アレルギー入力）'!B"&amp;MATCH(CO71,'数出表_Excel（アレルギー入力）'!$A:$A,0)-1&amp;":AL"&amp;MATCH(CO71,'数出表_Excel（アレルギー入力）'!$A:$A,0)-1&amp;"")),0)&gt;10,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21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1"/>
      <c r="CU72" s="106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5" t="str" cm="1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101"/>
      <c r="CX72" s="107" t="str" cm="1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+MATCH(TRUE,INDIRECT("'数出表_Excel'!"&amp;CU71&amp;MATCH(CV71,数出表_Excel!$A:$A,0)-1&amp;":AL"&amp;MATCH(CV71,数出表_Excel!$A:$A,0)-1&amp;"")&lt;&gt;"",0))&gt;=12,"",
IFERROR(
INDEX(INDIRECT("数出表_Excel!$"&amp;CU71&amp;"4:$AL4"),
 1,
MATCH(TRUE,INDIRECT("'数出表_Excel'!"&amp;CU71&amp;MATCH(CV71,数出表_Excel!$A:$A,0)-1&amp;":AL"&amp;MATCH(CV71,数出表_Excel!$A:$A,0)-1&amp;"")&lt;&gt;"",0)
),
 "")
&amp;IFERROR(
INDEX(INDIRECT("数出表_Excel!$"&amp;CU71&amp;"5:$AL5"),
 1,
MATCH(TRUE,INDIRECT("'数出表_Excel'!"&amp;CU71&amp;MATCH(CV71,数出表_Excel!$A:$A,0)-1&amp;":AL"&amp;MATCH(CV71,数出表_Excel!$A:$A,0)-1&amp;"")&lt;&gt;"",0)),
 "")),"")))</f>
        <v/>
      </c>
      <c r="CY72" s="108" t="str" cm="1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ISNUMBER(--INDIRECT("'数出表_Excel（アレルギー入力）'!B"&amp;MATCH(CV71,'数出表_Excel（アレルギー入力）'!$A:$A,0)-1&amp;":AL"&amp;MATCH(CV71,'数出表_Excel（アレルギー入力）'!$A:$A,0)-1&amp;"")),0)&gt;10,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117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1"/>
      <c r="DB72" s="101"/>
      <c r="DC72" s="106" t="e" cm="1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5" t="str" cm="1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101"/>
      <c r="DF72" s="107" t="str" cm="1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+MATCH(TRUE,INDIRECT("'数出表_Excel'!"&amp;DC71&amp;MATCH(DD71,数出表_Excel!$A:$A,0)-1&amp;":AL"&amp;MATCH(DD71,数出表_Excel!$A:$A,0)-1&amp;"")&lt;&gt;"",0))&gt;=12,"",
IFERROR(
INDEX(INDIRECT("数出表_Excel!$"&amp;DC71&amp;"4:$AL4"),
 1,
MATCH(TRUE,INDIRECT("'数出表_Excel'!"&amp;DC71&amp;MATCH(DD71,数出表_Excel!$A:$A,0)-1&amp;":AL"&amp;MATCH(DD71,数出表_Excel!$A:$A,0)-1&amp;"")&lt;&gt;"",0)
),
 "")
&amp;IFERROR(
INDEX(INDIRECT("数出表_Excel!$"&amp;DC71&amp;"5:$AL5"),
 1,
MATCH(TRUE,INDIRECT("'数出表_Excel'!"&amp;DC71&amp;MATCH(DD71,数出表_Excel!$A:$A,0)-1&amp;":AL"&amp;MATCH(DD71,数出表_Excel!$A:$A,0)-1&amp;"")&lt;&gt;"",0)),
 "")),"")))</f>
        <v/>
      </c>
      <c r="DG72" s="108" t="str" cm="1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ISNUMBER(--INDIRECT("'数出表_Excel（アレルギー入力）'!B"&amp;MATCH(DD71,'数出表_Excel（アレルギー入力）'!$A:$A,0)-1&amp;":AL"&amp;MATCH(DD71,'数出表_Excel（アレルギー入力）'!$A:$A,0)-1&amp;"")),0)&gt;10,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21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1"/>
      <c r="DJ72" s="106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5" t="str" cm="1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101"/>
      <c r="DM72" s="107" t="str" cm="1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+MATCH(TRUE,INDIRECT("'数出表_Excel'!"&amp;DJ71&amp;MATCH(DK71,数出表_Excel!$A:$A,0)-1&amp;":AL"&amp;MATCH(DK71,数出表_Excel!$A:$A,0)-1&amp;"")&lt;&gt;"",0))&gt;=12,"",
IFERROR(
INDEX(INDIRECT("数出表_Excel!$"&amp;DJ71&amp;"4:$AL4"),
 1,
MATCH(TRUE,INDIRECT("'数出表_Excel'!"&amp;DJ71&amp;MATCH(DK71,数出表_Excel!$A:$A,0)-1&amp;":AL"&amp;MATCH(DK71,数出表_Excel!$A:$A,0)-1&amp;"")&lt;&gt;"",0)
),
 "")
&amp;IFERROR(
INDEX(INDIRECT("数出表_Excel!$"&amp;DJ71&amp;"5:$AL5"),
 1,
MATCH(TRUE,INDIRECT("'数出表_Excel'!"&amp;DJ71&amp;MATCH(DK71,数出表_Excel!$A:$A,0)-1&amp;":AL"&amp;MATCH(DK71,数出表_Excel!$A:$A,0)-1&amp;"")&lt;&gt;"",0)),
 "")),"")))</f>
        <v/>
      </c>
      <c r="DN72" s="108" t="str" cm="1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ISNUMBER(--INDIRECT("'数出表_Excel（アレルギー入力）'!B"&amp;MATCH(DK71,'数出表_Excel（アレルギー入力）'!$A:$A,0)-1&amp;":AL"&amp;MATCH(DK71,'数出表_Excel（アレルギー入力）'!$A:$A,0)-1&amp;"")),0)&gt;10,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117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1"/>
      <c r="DQ72" s="101"/>
      <c r="DR72" s="106" t="e" cm="1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5" t="str" cm="1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101"/>
      <c r="DU72" s="107" t="str" cm="1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+MATCH(TRUE,INDIRECT("'数出表_Excel'!"&amp;DR71&amp;MATCH(DS71,数出表_Excel!$A:$A,0)-1&amp;":AL"&amp;MATCH(DS71,数出表_Excel!$A:$A,0)-1&amp;"")&lt;&gt;"",0))&gt;=12,"",
IFERROR(
INDEX(INDIRECT("数出表_Excel!$"&amp;DR71&amp;"4:$AL4"),
 1,
MATCH(TRUE,INDIRECT("'数出表_Excel'!"&amp;DR71&amp;MATCH(DS71,数出表_Excel!$A:$A,0)-1&amp;":AL"&amp;MATCH(DS71,数出表_Excel!$A:$A,0)-1&amp;"")&lt;&gt;"",0)
),
 "")
&amp;IFERROR(
INDEX(INDIRECT("数出表_Excel!$"&amp;DR71&amp;"5:$AL5"),
 1,
MATCH(TRUE,INDIRECT("'数出表_Excel'!"&amp;DR71&amp;MATCH(DS71,数出表_Excel!$A:$A,0)-1&amp;":AL"&amp;MATCH(DS71,数出表_Excel!$A:$A,0)-1&amp;"")&lt;&gt;"",0)),
 "")),"")))</f>
        <v/>
      </c>
      <c r="DV72" s="108" t="str" cm="1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ISNUMBER(--INDIRECT("'数出表_Excel（アレルギー入力）'!B"&amp;MATCH(DS71,'数出表_Excel（アレルギー入力）'!$A:$A,0)-1&amp;":AL"&amp;MATCH(DS71,'数出表_Excel（アレルギー入力）'!$A:$A,0)-1&amp;"")),0)&gt;10,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21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1"/>
      <c r="DY72" s="106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5" t="str" cm="1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101"/>
      <c r="EB72" s="107" t="str" cm="1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+MATCH(TRUE,INDIRECT("'数出表_Excel'!"&amp;DY71&amp;MATCH(DZ71,数出表_Excel!$A:$A,0)-1&amp;":AL"&amp;MATCH(DZ71,数出表_Excel!$A:$A,0)-1&amp;"")&lt;&gt;"",0))&gt;=12,"",
IFERROR(
INDEX(INDIRECT("数出表_Excel!$"&amp;DY71&amp;"4:$AL4"),
 1,
MATCH(TRUE,INDIRECT("'数出表_Excel'!"&amp;DY71&amp;MATCH(DZ71,数出表_Excel!$A:$A,0)-1&amp;":AL"&amp;MATCH(DZ71,数出表_Excel!$A:$A,0)-1&amp;"")&lt;&gt;"",0)
),
 "")
&amp;IFERROR(
INDEX(INDIRECT("数出表_Excel!$"&amp;DY71&amp;"5:$AL5"),
 1,
MATCH(TRUE,INDIRECT("'数出表_Excel'!"&amp;DY71&amp;MATCH(DZ71,数出表_Excel!$A:$A,0)-1&amp;":AL"&amp;MATCH(DZ71,数出表_Excel!$A:$A,0)-1&amp;"")&lt;&gt;"",0)),
 "")),"")))</f>
        <v/>
      </c>
      <c r="EC72" s="108" t="str" cm="1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ISNUMBER(--INDIRECT("'数出表_Excel（アレルギー入力）'!B"&amp;MATCH(DZ71,'数出表_Excel（アレルギー入力）'!$A:$A,0)-1&amp;":AL"&amp;MATCH(DZ71,'数出表_Excel（アレルギー入力）'!$A:$A,0)-1&amp;"")),0)&gt;10,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117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1"/>
      <c r="EF72" s="101"/>
      <c r="EG72" s="106" t="e" cm="1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5" t="str" cm="1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101"/>
      <c r="EJ72" s="107" t="str" cm="1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+MATCH(TRUE,INDIRECT("'数出表_Excel'!"&amp;EG71&amp;MATCH(EH71,数出表_Excel!$A:$A,0)-1&amp;":AL"&amp;MATCH(EH71,数出表_Excel!$A:$A,0)-1&amp;"")&lt;&gt;"",0))&gt;=12,"",
IFERROR(
INDEX(INDIRECT("数出表_Excel!$"&amp;EG71&amp;"4:$AL4"),
 1,
MATCH(TRUE,INDIRECT("'数出表_Excel'!"&amp;EG71&amp;MATCH(EH71,数出表_Excel!$A:$A,0)-1&amp;":AL"&amp;MATCH(EH71,数出表_Excel!$A:$A,0)-1&amp;"")&lt;&gt;"",0)
),
 "")
&amp;IFERROR(
INDEX(INDIRECT("数出表_Excel!$"&amp;EG71&amp;"5:$AL5"),
 1,
MATCH(TRUE,INDIRECT("'数出表_Excel'!"&amp;EG71&amp;MATCH(EH71,数出表_Excel!$A:$A,0)-1&amp;":AL"&amp;MATCH(EH71,数出表_Excel!$A:$A,0)-1&amp;"")&lt;&gt;"",0)),
 "")),"")))</f>
        <v/>
      </c>
      <c r="EK72" s="108" t="str" cm="1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ISNUMBER(--INDIRECT("'数出表_Excel（アレルギー入力）'!B"&amp;MATCH(EH71,'数出表_Excel（アレルギー入力）'!$A:$A,0)-1&amp;":AL"&amp;MATCH(EH71,'数出表_Excel（アレルギー入力）'!$A:$A,0)-1&amp;"")),0)&gt;10,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21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101"/>
      <c r="EN72" s="106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5" t="str" cm="1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101"/>
      <c r="EQ72" s="107" t="str" cm="1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+MATCH(TRUE,INDIRECT("'数出表_Excel'!"&amp;EN71&amp;MATCH(EO71,数出表_Excel!$A:$A,0)-1&amp;":AL"&amp;MATCH(EO71,数出表_Excel!$A:$A,0)-1&amp;"")&lt;&gt;"",0))&gt;=12,"",
IFERROR(
INDEX(INDIRECT("数出表_Excel!$"&amp;EN71&amp;"4:$AL4"),
 1,
MATCH(TRUE,INDIRECT("'数出表_Excel'!"&amp;EN71&amp;MATCH(EO71,数出表_Excel!$A:$A,0)-1&amp;":AL"&amp;MATCH(EO71,数出表_Excel!$A:$A,0)-1&amp;"")&lt;&gt;"",0)
),
 "")
&amp;IFERROR(
INDEX(INDIRECT("数出表_Excel!$"&amp;EN71&amp;"5:$AL5"),
 1,
MATCH(TRUE,INDIRECT("'数出表_Excel'!"&amp;EN71&amp;MATCH(EO71,数出表_Excel!$A:$A,0)-1&amp;":AL"&amp;MATCH(EO71,数出表_Excel!$A:$A,0)-1&amp;"")&lt;&gt;"",0)),
 "")),"")))</f>
        <v/>
      </c>
      <c r="ER72" s="108" t="str" cm="1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ISNUMBER(--INDIRECT("'数出表_Excel（アレルギー入力）'!B"&amp;MATCH(EO71,'数出表_Excel（アレルギー入力）'!$A:$A,0)-1&amp;":AL"&amp;MATCH(EO71,'数出表_Excel（アレルギー入力）'!$A:$A,0)-1&amp;"")),0)&gt;10,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117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3"/>
      <c r="EU72" s="103">
        <f t="shared" si="4"/>
        <v>77</v>
      </c>
      <c r="EV72" s="103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3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3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3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3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3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3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3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3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3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3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3">
        <f t="shared" ca="1" si="5"/>
        <v>0</v>
      </c>
      <c r="FH72" s="103" t="b">
        <f t="array" aca="1" ref="FH72" ca="1">SUMPRODUCT((LEN(EV72:FF72)&gt;0)*1)&gt;0</f>
        <v>0</v>
      </c>
      <c r="FI72" s="103" t="str">
        <f t="array" aca="1" ref="FI72" ca="1">IFERROR(SMALL(IF(FG$1:FG$169&lt;&gt;0,FG$1:FG$169),ROW(A72)),"")</f>
        <v/>
      </c>
      <c r="FJ72" s="103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3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3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3" t="str">
        <f t="array" aca="1" ref="FM72" ca="1">IF($FI72&lt;&gt;"",
IF(FL72="",
INDIRECT("CB"&amp;$FI72&amp;"")&amp;"箱"
&amp;INDIRECT("CC"&amp;$FI72&amp;""),""),"")</f>
        <v/>
      </c>
      <c r="FN72" s="103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3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3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3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3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3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3" customFormat="1" ht="22.2" customHeight="1" x14ac:dyDescent="0.55000000000000004">
      <c r="A73" s="101"/>
      <c r="B73" s="109"/>
      <c r="C73" s="196" t="str">
        <f ca="1">IF(C74&lt;&gt;"","園児","")</f>
        <v/>
      </c>
      <c r="D73" s="196"/>
      <c r="E73" s="200" t="str">
        <f ca="1">IF(C74&lt;&gt;"","先生","")</f>
        <v/>
      </c>
      <c r="F73" s="200"/>
      <c r="G73" s="122"/>
      <c r="H73" s="101"/>
      <c r="I73" s="109"/>
      <c r="J73" s="196" t="str">
        <f ca="1">IF(J74&lt;&gt;"","園児","")</f>
        <v/>
      </c>
      <c r="K73" s="196"/>
      <c r="L73" s="200" t="str">
        <f ca="1">IF(J74&lt;&gt;"","先生","")</f>
        <v/>
      </c>
      <c r="M73" s="200"/>
      <c r="N73" s="118"/>
      <c r="O73" s="101"/>
      <c r="P73" s="101"/>
      <c r="Q73" s="109"/>
      <c r="R73" s="196" t="str">
        <f ca="1">IF(R74&lt;&gt;"","園児","")</f>
        <v/>
      </c>
      <c r="S73" s="196"/>
      <c r="T73" s="200" t="str">
        <f ca="1">IF(R74&lt;&gt;"","先生","")</f>
        <v/>
      </c>
      <c r="U73" s="200"/>
      <c r="V73" s="122"/>
      <c r="W73" s="101"/>
      <c r="X73" s="109"/>
      <c r="Y73" s="196" t="str">
        <f ca="1">IF(Y74&lt;&gt;"","園児","")</f>
        <v/>
      </c>
      <c r="Z73" s="196"/>
      <c r="AA73" s="200" t="str">
        <f ca="1">IF(Y74&lt;&gt;"","先生","")</f>
        <v/>
      </c>
      <c r="AB73" s="200"/>
      <c r="AC73" s="118"/>
      <c r="AD73" s="101"/>
      <c r="AE73" s="101"/>
      <c r="AF73" s="109"/>
      <c r="AG73" s="196" t="str">
        <f ca="1">IF(AG74&lt;&gt;"","園児","")</f>
        <v/>
      </c>
      <c r="AH73" s="196"/>
      <c r="AI73" s="200" t="str">
        <f ca="1">IF(AG74&lt;&gt;"","先生","")</f>
        <v/>
      </c>
      <c r="AJ73" s="200"/>
      <c r="AK73" s="122"/>
      <c r="AL73" s="101"/>
      <c r="AM73" s="109"/>
      <c r="AN73" s="196" t="str">
        <f ca="1">IF(AN74&lt;&gt;"","園児","")</f>
        <v/>
      </c>
      <c r="AO73" s="196"/>
      <c r="AP73" s="200" t="str">
        <f ca="1">IF(AN74&lt;&gt;"","先生","")</f>
        <v/>
      </c>
      <c r="AQ73" s="200"/>
      <c r="AR73" s="118"/>
      <c r="AS73" s="101"/>
      <c r="AT73" s="101"/>
      <c r="AU73" s="109"/>
      <c r="AV73" s="196" t="str">
        <f ca="1">IF(AV74&lt;&gt;"","園児","")</f>
        <v/>
      </c>
      <c r="AW73" s="196"/>
      <c r="AX73" s="200" t="str">
        <f ca="1">IF(AV74&lt;&gt;"","先生","")</f>
        <v/>
      </c>
      <c r="AY73" s="200"/>
      <c r="AZ73" s="122"/>
      <c r="BA73" s="101"/>
      <c r="BB73" s="109"/>
      <c r="BC73" s="196" t="str">
        <f ca="1">IF(BC74&lt;&gt;"","園児","")</f>
        <v/>
      </c>
      <c r="BD73" s="196"/>
      <c r="BE73" s="200" t="str">
        <f ca="1">IF(BC74&lt;&gt;"","先生","")</f>
        <v/>
      </c>
      <c r="BF73" s="200"/>
      <c r="BG73" s="118"/>
      <c r="BH73" s="101"/>
      <c r="BI73" s="101"/>
      <c r="BJ73" s="109"/>
      <c r="BK73" s="196" t="str">
        <f ca="1">IF(BK74&lt;&gt;"","園児","")</f>
        <v/>
      </c>
      <c r="BL73" s="196"/>
      <c r="BM73" s="200" t="str">
        <f ca="1">IF(BK74&lt;&gt;"","先生","")</f>
        <v/>
      </c>
      <c r="BN73" s="200"/>
      <c r="BO73" s="122"/>
      <c r="BP73" s="101"/>
      <c r="BQ73" s="109"/>
      <c r="BR73" s="196" t="str">
        <f ca="1">IF(BR74&lt;&gt;"","園児","")</f>
        <v/>
      </c>
      <c r="BS73" s="196"/>
      <c r="BT73" s="200" t="str">
        <f ca="1">IF(BR74&lt;&gt;"","先生","")</f>
        <v/>
      </c>
      <c r="BU73" s="200"/>
      <c r="BV73" s="118"/>
      <c r="BW73" s="101"/>
      <c r="BX73" s="101"/>
      <c r="BY73" s="109"/>
      <c r="BZ73" s="196" t="str">
        <f ca="1">IF(BZ74&lt;&gt;"","園児","")</f>
        <v/>
      </c>
      <c r="CA73" s="196"/>
      <c r="CB73" s="200" t="str">
        <f ca="1">IF(BZ74&lt;&gt;"","先生","")</f>
        <v/>
      </c>
      <c r="CC73" s="200"/>
      <c r="CD73" s="122"/>
      <c r="CE73" s="101"/>
      <c r="CF73" s="109"/>
      <c r="CG73" s="196" t="str">
        <f ca="1">IF(CG74&lt;&gt;"","園児","")</f>
        <v/>
      </c>
      <c r="CH73" s="196"/>
      <c r="CI73" s="200" t="str">
        <f ca="1">IF(CG74&lt;&gt;"","先生","")</f>
        <v/>
      </c>
      <c r="CJ73" s="200"/>
      <c r="CK73" s="118"/>
      <c r="CL73" s="101"/>
      <c r="CM73" s="101"/>
      <c r="CN73" s="109"/>
      <c r="CO73" s="196" t="str">
        <f ca="1">IF(CO74&lt;&gt;"","園児","")</f>
        <v/>
      </c>
      <c r="CP73" s="196"/>
      <c r="CQ73" s="200" t="str">
        <f ca="1">IF(CO74&lt;&gt;"","先生","")</f>
        <v/>
      </c>
      <c r="CR73" s="200"/>
      <c r="CS73" s="122"/>
      <c r="CT73" s="101"/>
      <c r="CU73" s="109"/>
      <c r="CV73" s="196" t="str">
        <f ca="1">IF(CV74&lt;&gt;"","園児","")</f>
        <v/>
      </c>
      <c r="CW73" s="196"/>
      <c r="CX73" s="200" t="str">
        <f ca="1">IF(CV74&lt;&gt;"","先生","")</f>
        <v/>
      </c>
      <c r="CY73" s="200"/>
      <c r="CZ73" s="118"/>
      <c r="DA73" s="101"/>
      <c r="DB73" s="101"/>
      <c r="DC73" s="109"/>
      <c r="DD73" s="196" t="str">
        <f ca="1">IF(DD74&lt;&gt;"","園児","")</f>
        <v/>
      </c>
      <c r="DE73" s="196"/>
      <c r="DF73" s="200" t="str">
        <f ca="1">IF(DD74&lt;&gt;"","先生","")</f>
        <v/>
      </c>
      <c r="DG73" s="200"/>
      <c r="DH73" s="122"/>
      <c r="DI73" s="101"/>
      <c r="DJ73" s="109"/>
      <c r="DK73" s="196" t="str">
        <f ca="1">IF(DK74&lt;&gt;"","園児","")</f>
        <v/>
      </c>
      <c r="DL73" s="196"/>
      <c r="DM73" s="200" t="str">
        <f ca="1">IF(DK74&lt;&gt;"","先生","")</f>
        <v/>
      </c>
      <c r="DN73" s="200"/>
      <c r="DO73" s="118"/>
      <c r="DP73" s="101"/>
      <c r="DQ73" s="101"/>
      <c r="DR73" s="109"/>
      <c r="DS73" s="196" t="str">
        <f ca="1">IF(DS74&lt;&gt;"","園児","")</f>
        <v/>
      </c>
      <c r="DT73" s="196"/>
      <c r="DU73" s="200" t="str">
        <f ca="1">IF(DS74&lt;&gt;"","先生","")</f>
        <v/>
      </c>
      <c r="DV73" s="200"/>
      <c r="DW73" s="122"/>
      <c r="DX73" s="101"/>
      <c r="DY73" s="109"/>
      <c r="DZ73" s="196" t="str">
        <f ca="1">IF(DZ74&lt;&gt;"","園児","")</f>
        <v/>
      </c>
      <c r="EA73" s="196"/>
      <c r="EB73" s="200" t="str">
        <f ca="1">IF(DZ74&lt;&gt;"","先生","")</f>
        <v/>
      </c>
      <c r="EC73" s="200"/>
      <c r="ED73" s="118"/>
      <c r="EE73" s="101"/>
      <c r="EF73" s="101"/>
      <c r="EG73" s="109"/>
      <c r="EH73" s="196" t="str">
        <f ca="1">IF(EH74&lt;&gt;"","園児","")</f>
        <v/>
      </c>
      <c r="EI73" s="196"/>
      <c r="EJ73" s="200" t="str">
        <f ca="1">IF(EH74&lt;&gt;"","先生","")</f>
        <v/>
      </c>
      <c r="EK73" s="200"/>
      <c r="EL73" s="122"/>
      <c r="EM73" s="101"/>
      <c r="EN73" s="109"/>
      <c r="EO73" s="196" t="str">
        <f ca="1">IF(EO74&lt;&gt;"","園児","")</f>
        <v/>
      </c>
      <c r="EP73" s="196"/>
      <c r="EQ73" s="200" t="str">
        <f ca="1">IF(EO74&lt;&gt;"","先生","")</f>
        <v/>
      </c>
      <c r="ER73" s="200"/>
      <c r="ES73" s="118"/>
      <c r="ET73" s="132"/>
      <c r="EV73" s="104" t="str">
        <f ca="1">AV1</f>
        <v/>
      </c>
      <c r="EW73" s="104" t="str">
        <f ca="1">AV2</f>
        <v/>
      </c>
      <c r="EX73" s="104" t="str">
        <f ca="1">AX2</f>
        <v/>
      </c>
      <c r="EY73" s="105" t="str">
        <f ca="1">AY2</f>
        <v/>
      </c>
      <c r="EZ73" s="105" t="str">
        <f ca="1">AZ2</f>
        <v/>
      </c>
      <c r="FA73" s="104" t="e">
        <f ca="1">AV4</f>
        <v>#VALUE!</v>
      </c>
      <c r="FB73" s="104" t="e">
        <f ca="1">AX4</f>
        <v>#VALUE!</v>
      </c>
      <c r="FC73" s="104" t="str">
        <f ca="1">AV6</f>
        <v/>
      </c>
      <c r="FD73" s="104" t="e">
        <f ca="1">AU7</f>
        <v>#VALUE!</v>
      </c>
      <c r="FE73" s="104" t="str">
        <f ca="1">AW7</f>
        <v/>
      </c>
      <c r="FF73" s="104" t="e">
        <f ca="1">AY7</f>
        <v>#VALUE!</v>
      </c>
      <c r="FG73" s="103">
        <f t="shared" ca="1" si="5"/>
        <v>0</v>
      </c>
      <c r="FH73" s="103" t="e">
        <f t="array" aca="1" ref="FH73" ca="1">SUMPRODUCT((LEN(EV73:FF73)&gt;0)*1)&gt;0</f>
        <v>#VALUE!</v>
      </c>
      <c r="FI73" s="103" t="str">
        <f t="array" aca="1" ref="FI73" ca="1">IFERROR(SMALL(IF(FG$1:FG$169&lt;&gt;0,FG$1:FG$169),ROW(A73)),"")</f>
        <v/>
      </c>
      <c r="FJ73" s="103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3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3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3" t="str">
        <f t="array" aca="1" ref="FM73" ca="1">IF($FI73&lt;&gt;"",
IF(FL73="",
INDIRECT("CB"&amp;$FI73&amp;"")&amp;"箱"
&amp;INDIRECT("CC"&amp;$FI73&amp;""),""),"")</f>
        <v/>
      </c>
      <c r="FN73" s="103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3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3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3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3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3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1.05">
      <c r="B74" s="111"/>
      <c r="C74" s="213" t="str" cm="1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13"/>
      <c r="E74" s="218" t="str" cm="1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18"/>
      <c r="G74" s="122"/>
      <c r="I74" s="111"/>
      <c r="J74" s="213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13"/>
      <c r="L74" s="218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18"/>
      <c r="N74" s="118"/>
      <c r="Q74" s="111"/>
      <c r="R74" s="213" t="str" cm="1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13"/>
      <c r="T74" s="218" t="str" cm="1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18"/>
      <c r="V74" s="122"/>
      <c r="X74" s="111"/>
      <c r="Y74" s="213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13"/>
      <c r="AA74" s="218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18"/>
      <c r="AC74" s="118"/>
      <c r="AF74" s="111"/>
      <c r="AG74" s="213" t="str" cm="1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13"/>
      <c r="AI74" s="218" t="str" cm="1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18"/>
      <c r="AK74" s="122"/>
      <c r="AM74" s="111"/>
      <c r="AN74" s="213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13"/>
      <c r="AP74" s="218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18"/>
      <c r="AR74" s="118"/>
      <c r="AU74" s="111"/>
      <c r="AV74" s="213" t="str" cm="1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13"/>
      <c r="AX74" s="218" t="str" cm="1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18"/>
      <c r="AZ74" s="122"/>
      <c r="BB74" s="111"/>
      <c r="BC74" s="213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13"/>
      <c r="BE74" s="218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18"/>
      <c r="BG74" s="118"/>
      <c r="BJ74" s="111"/>
      <c r="BK74" s="213" t="str" cm="1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13"/>
      <c r="BM74" s="218" t="str" cm="1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18"/>
      <c r="BO74" s="122"/>
      <c r="BQ74" s="111"/>
      <c r="BR74" s="213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13"/>
      <c r="BT74" s="218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18"/>
      <c r="BV74" s="118"/>
      <c r="BY74" s="111"/>
      <c r="BZ74" s="213" t="str" cm="1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13"/>
      <c r="CB74" s="218" t="str" cm="1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18"/>
      <c r="CD74" s="122"/>
      <c r="CF74" s="111"/>
      <c r="CG74" s="213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13"/>
      <c r="CI74" s="218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18"/>
      <c r="CK74" s="118"/>
      <c r="CN74" s="111"/>
      <c r="CO74" s="213" t="str" cm="1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13"/>
      <c r="CQ74" s="218" t="str" cm="1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18"/>
      <c r="CS74" s="122"/>
      <c r="CU74" s="111"/>
      <c r="CV74" s="213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13"/>
      <c r="CX74" s="218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18"/>
      <c r="CZ74" s="118"/>
      <c r="DC74" s="111"/>
      <c r="DD74" s="213" t="str" cm="1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13"/>
      <c r="DF74" s="218" t="str" cm="1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18"/>
      <c r="DH74" s="122"/>
      <c r="DJ74" s="111"/>
      <c r="DK74" s="213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13"/>
      <c r="DM74" s="218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18"/>
      <c r="DO74" s="118"/>
      <c r="DR74" s="111"/>
      <c r="DS74" s="213" t="str" cm="1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13"/>
      <c r="DU74" s="218" t="str" cm="1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18"/>
      <c r="DW74" s="122"/>
      <c r="DY74" s="111"/>
      <c r="DZ74" s="213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13"/>
      <c r="EB74" s="218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18"/>
      <c r="ED74" s="118"/>
      <c r="EG74" s="111"/>
      <c r="EH74" s="213" t="str" cm="1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13"/>
      <c r="EJ74" s="218" t="str" cm="1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18"/>
      <c r="EL74" s="122"/>
      <c r="EN74" s="111"/>
      <c r="EO74" s="213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13"/>
      <c r="EQ74" s="218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18"/>
      <c r="ES74" s="118"/>
      <c r="ET74" s="132"/>
      <c r="EU74" s="103">
        <v>42</v>
      </c>
      <c r="EV74" s="103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3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3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3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3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3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3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3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3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3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3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3">
        <f t="shared" ca="1" si="5"/>
        <v>0</v>
      </c>
      <c r="FH74" s="103" t="b">
        <f t="array" aca="1" ref="FH74" ca="1">SUMPRODUCT((LEN(EV74:FF74)&gt;0)*1)&gt;0</f>
        <v>0</v>
      </c>
      <c r="FI74" s="103" t="str">
        <f t="array" aca="1" ref="FI74" ca="1">IFERROR(SMALL(IF(FG$1:FG$169&lt;&gt;0,FG$1:FG$169),ROW(A74)),"")</f>
        <v/>
      </c>
      <c r="FJ74" s="103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3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3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3" t="str">
        <f t="array" aca="1" ref="FM74" ca="1">IF($FI74&lt;&gt;"",
IF(FL74="",
INDIRECT("CB"&amp;$FI74&amp;"")&amp;"箱"
&amp;INDIRECT("CC"&amp;$FI74&amp;""),""),"")</f>
        <v/>
      </c>
      <c r="FN74" s="103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3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3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3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3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3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1.05">
      <c r="B75" s="113"/>
      <c r="C75" s="192"/>
      <c r="D75" s="192"/>
      <c r="E75" s="195"/>
      <c r="F75" s="195"/>
      <c r="G75" s="123" t="str">
        <f ca="1">SUBSTITUTE(SUBSTITUTE(ADDRESS(1,MATCH("おやつ",'数出表_Excel（アレルギー入力）'!$3:$3,0)),1,""),"$","")</f>
        <v>AL</v>
      </c>
      <c r="I75" s="113"/>
      <c r="J75" s="192"/>
      <c r="K75" s="192"/>
      <c r="L75" s="195"/>
      <c r="M75" s="195"/>
      <c r="N75" s="123" t="str">
        <f ca="1">SUBSTITUTE(SUBSTITUTE(ADDRESS(1,MATCH("おやつ",'数出表_Excel（アレルギー入力）'!$3:$3,0)),1,""),"$","")</f>
        <v>AL</v>
      </c>
      <c r="Q75" s="113"/>
      <c r="R75" s="192"/>
      <c r="S75" s="192"/>
      <c r="T75" s="195"/>
      <c r="U75" s="195"/>
      <c r="V75" s="123" t="str">
        <f ca="1">SUBSTITUTE(SUBSTITUTE(ADDRESS(1,MATCH("おやつ",'数出表_Excel（アレルギー入力）'!$3:$3,0)),1,""),"$","")</f>
        <v>AL</v>
      </c>
      <c r="X75" s="113"/>
      <c r="Y75" s="192"/>
      <c r="Z75" s="192"/>
      <c r="AA75" s="195"/>
      <c r="AB75" s="195"/>
      <c r="AC75" s="123" t="str">
        <f ca="1">SUBSTITUTE(SUBSTITUTE(ADDRESS(1,MATCH("おやつ",'数出表_Excel（アレルギー入力）'!$3:$3,0)),1,""),"$","")</f>
        <v>AL</v>
      </c>
      <c r="AF75" s="113"/>
      <c r="AG75" s="192"/>
      <c r="AH75" s="192"/>
      <c r="AI75" s="195"/>
      <c r="AJ75" s="195"/>
      <c r="AK75" s="123" t="str">
        <f ca="1">SUBSTITUTE(SUBSTITUTE(ADDRESS(1,MATCH("おやつ",'数出表_Excel（アレルギー入力）'!$3:$3,0)),1,""),"$","")</f>
        <v>AL</v>
      </c>
      <c r="AM75" s="113"/>
      <c r="AN75" s="192"/>
      <c r="AO75" s="192"/>
      <c r="AP75" s="195"/>
      <c r="AQ75" s="195"/>
      <c r="AR75" s="123" t="str">
        <f ca="1">SUBSTITUTE(SUBSTITUTE(ADDRESS(1,MATCH("おやつ",'数出表_Excel（アレルギー入力）'!$3:$3,0)),1,""),"$","")</f>
        <v>AL</v>
      </c>
      <c r="AU75" s="113"/>
      <c r="AV75" s="192"/>
      <c r="AW75" s="192"/>
      <c r="AX75" s="195"/>
      <c r="AY75" s="195"/>
      <c r="AZ75" s="123" t="str">
        <f ca="1">SUBSTITUTE(SUBSTITUTE(ADDRESS(1,MATCH("おやつ",'数出表_Excel（アレルギー入力）'!$3:$3,0)),1,""),"$","")</f>
        <v>AL</v>
      </c>
      <c r="BB75" s="113"/>
      <c r="BC75" s="192"/>
      <c r="BD75" s="192"/>
      <c r="BE75" s="195"/>
      <c r="BF75" s="195"/>
      <c r="BG75" s="123" t="str">
        <f ca="1">SUBSTITUTE(SUBSTITUTE(ADDRESS(1,MATCH("おやつ",'数出表_Excel（アレルギー入力）'!$3:$3,0)),1,""),"$","")</f>
        <v>AL</v>
      </c>
      <c r="BJ75" s="113"/>
      <c r="BK75" s="192"/>
      <c r="BL75" s="192"/>
      <c r="BM75" s="195"/>
      <c r="BN75" s="195"/>
      <c r="BO75" s="123" t="str">
        <f ca="1">SUBSTITUTE(SUBSTITUTE(ADDRESS(1,MATCH("おやつ",'数出表_Excel（アレルギー入力）'!$3:$3,0)),1,""),"$","")</f>
        <v>AL</v>
      </c>
      <c r="BQ75" s="113"/>
      <c r="BR75" s="192"/>
      <c r="BS75" s="192"/>
      <c r="BT75" s="195"/>
      <c r="BU75" s="195"/>
      <c r="BV75" s="123" t="str">
        <f ca="1">SUBSTITUTE(SUBSTITUTE(ADDRESS(1,MATCH("おやつ",'数出表_Excel（アレルギー入力）'!$3:$3,0)),1,""),"$","")</f>
        <v>AL</v>
      </c>
      <c r="BY75" s="113"/>
      <c r="BZ75" s="192"/>
      <c r="CA75" s="192"/>
      <c r="CB75" s="195"/>
      <c r="CC75" s="195"/>
      <c r="CD75" s="123" t="str">
        <f ca="1">SUBSTITUTE(SUBSTITUTE(ADDRESS(1,MATCH("おやつ",'数出表_Excel（アレルギー入力）'!$3:$3,0)),1,""),"$","")</f>
        <v>AL</v>
      </c>
      <c r="CF75" s="113"/>
      <c r="CG75" s="192"/>
      <c r="CH75" s="192"/>
      <c r="CI75" s="195"/>
      <c r="CJ75" s="195"/>
      <c r="CK75" s="123" t="str">
        <f ca="1">SUBSTITUTE(SUBSTITUTE(ADDRESS(1,MATCH("おやつ",'数出表_Excel（アレルギー入力）'!$3:$3,0)),1,""),"$","")</f>
        <v>AL</v>
      </c>
      <c r="CN75" s="113"/>
      <c r="CO75" s="192"/>
      <c r="CP75" s="192"/>
      <c r="CQ75" s="195"/>
      <c r="CR75" s="195"/>
      <c r="CS75" s="123" t="str">
        <f ca="1">SUBSTITUTE(SUBSTITUTE(ADDRESS(1,MATCH("おやつ",'数出表_Excel（アレルギー入力）'!$3:$3,0)),1,""),"$","")</f>
        <v>AL</v>
      </c>
      <c r="CU75" s="113"/>
      <c r="CV75" s="192"/>
      <c r="CW75" s="192"/>
      <c r="CX75" s="195"/>
      <c r="CY75" s="195"/>
      <c r="CZ75" s="123" t="str">
        <f ca="1">SUBSTITUTE(SUBSTITUTE(ADDRESS(1,MATCH("おやつ",'数出表_Excel（アレルギー入力）'!$3:$3,0)),1,""),"$","")</f>
        <v>AL</v>
      </c>
      <c r="DC75" s="113"/>
      <c r="DD75" s="192"/>
      <c r="DE75" s="192"/>
      <c r="DF75" s="195"/>
      <c r="DG75" s="195"/>
      <c r="DH75" s="123" t="str">
        <f ca="1">SUBSTITUTE(SUBSTITUTE(ADDRESS(1,MATCH("おやつ",'数出表_Excel（アレルギー入力）'!$3:$3,0)),1,""),"$","")</f>
        <v>AL</v>
      </c>
      <c r="DJ75" s="113"/>
      <c r="DK75" s="192"/>
      <c r="DL75" s="192"/>
      <c r="DM75" s="195"/>
      <c r="DN75" s="195"/>
      <c r="DO75" s="123" t="str">
        <f ca="1">SUBSTITUTE(SUBSTITUTE(ADDRESS(1,MATCH("おやつ",'数出表_Excel（アレルギー入力）'!$3:$3,0)),1,""),"$","")</f>
        <v>AL</v>
      </c>
      <c r="DR75" s="113"/>
      <c r="DS75" s="192"/>
      <c r="DT75" s="192"/>
      <c r="DU75" s="195"/>
      <c r="DV75" s="195"/>
      <c r="DW75" s="123" t="str">
        <f ca="1">SUBSTITUTE(SUBSTITUTE(ADDRESS(1,MATCH("おやつ",'数出表_Excel（アレルギー入力）'!$3:$3,0)),1,""),"$","")</f>
        <v>AL</v>
      </c>
      <c r="DY75" s="113"/>
      <c r="DZ75" s="192"/>
      <c r="EA75" s="192"/>
      <c r="EB75" s="195"/>
      <c r="EC75" s="195"/>
      <c r="ED75" s="123" t="str">
        <f ca="1">SUBSTITUTE(SUBSTITUTE(ADDRESS(1,MATCH("おやつ",'数出表_Excel（アレルギー入力）'!$3:$3,0)),1,""),"$","")</f>
        <v>AL</v>
      </c>
      <c r="EG75" s="113"/>
      <c r="EH75" s="192"/>
      <c r="EI75" s="192"/>
      <c r="EJ75" s="195"/>
      <c r="EK75" s="195"/>
      <c r="EL75" s="123" t="str">
        <f ca="1">SUBSTITUTE(SUBSTITUTE(ADDRESS(1,MATCH("おやつ",'数出表_Excel（アレルギー入力）'!$3:$3,0)),1,""),"$","")</f>
        <v>AL</v>
      </c>
      <c r="EN75" s="113"/>
      <c r="EO75" s="192"/>
      <c r="EP75" s="192"/>
      <c r="EQ75" s="195"/>
      <c r="ER75" s="195"/>
      <c r="ES75" s="123" t="str">
        <f ca="1">SUBSTITUTE(SUBSTITUTE(ADDRESS(1,MATCH("おやつ",'数出表_Excel（アレルギー入力）'!$3:$3,0)),1,""),"$","")</f>
        <v>AL</v>
      </c>
      <c r="ET75" s="132"/>
      <c r="EU75" s="103"/>
      <c r="EV75" s="104" t="str">
        <f ca="1">BC1</f>
        <v/>
      </c>
      <c r="EW75" s="104" t="str">
        <f ca="1">BC2</f>
        <v/>
      </c>
      <c r="EX75" s="104" t="str">
        <f ca="1">BE2</f>
        <v/>
      </c>
      <c r="EY75" s="105" t="str">
        <f ca="1">BF2</f>
        <v/>
      </c>
      <c r="EZ75" s="105" t="str">
        <f ca="1">BG2</f>
        <v/>
      </c>
      <c r="FA75" s="104" t="e">
        <f ca="1">BC4</f>
        <v>#VALUE!</v>
      </c>
      <c r="FB75" s="104" t="e">
        <f ca="1">BE4</f>
        <v>#VALUE!</v>
      </c>
      <c r="FC75" s="104" t="str">
        <f ca="1">BC6</f>
        <v/>
      </c>
      <c r="FD75" s="104" t="e">
        <f ca="1">BB7</f>
        <v>#VALUE!</v>
      </c>
      <c r="FE75" s="104" t="str">
        <f ca="1">BD7</f>
        <v/>
      </c>
      <c r="FF75" s="104" t="e">
        <f ca="1">BF7</f>
        <v>#VALUE!</v>
      </c>
      <c r="FG75" s="103">
        <f t="shared" ca="1" si="5"/>
        <v>0</v>
      </c>
      <c r="FH75" s="103" t="e">
        <f t="array" aca="1" ref="FH75" ca="1">SUMPRODUCT((LEN(EV75:FF75)&gt;0)*1)&gt;0</f>
        <v>#VALUE!</v>
      </c>
      <c r="FI75" s="103" t="str">
        <f t="array" aca="1" ref="FI75" ca="1">IFERROR(SMALL(IF(FG$1:FG$169&lt;&gt;0,FG$1:FG$169),ROW(A75)),"")</f>
        <v/>
      </c>
      <c r="FJ75" s="103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3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3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3" t="str">
        <f t="array" aca="1" ref="FM75" ca="1">IF($FI75&lt;&gt;"",
IF(FL75="",
INDIRECT("CB"&amp;$FI75&amp;"")&amp;"箱"
&amp;INDIRECT("CC"&amp;$FI75&amp;""),""),"")</f>
        <v/>
      </c>
      <c r="FN75" s="103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3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3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3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3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3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3" customFormat="1" ht="22.2" customHeight="1" x14ac:dyDescent="0.55000000000000004">
      <c r="A76" s="101"/>
      <c r="B76" s="114" t="str">
        <f ca="1">IF(C74&lt;&gt;"","パン箱","")</f>
        <v/>
      </c>
      <c r="C76" s="115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14" t="str">
        <f ca="1">IF(C74&lt;&gt;"","　端数","")</f>
        <v/>
      </c>
      <c r="E76" s="115"/>
      <c r="F76" s="114" t="str">
        <f ca="1">IF(C74&lt;&gt;"","アレルギー","")</f>
        <v/>
      </c>
      <c r="G76" s="122"/>
      <c r="H76" s="101"/>
      <c r="I76" s="114" t="str">
        <f ca="1">IF(J74&lt;&gt;"","パン箱","")</f>
        <v/>
      </c>
      <c r="J76" s="115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14" t="str">
        <f ca="1">IF(J74&lt;&gt;"","　端数","")</f>
        <v/>
      </c>
      <c r="L76" s="115"/>
      <c r="M76" s="114" t="str">
        <f ca="1">IF(J74&lt;&gt;"","アレルギー","")</f>
        <v/>
      </c>
      <c r="N76" s="118"/>
      <c r="O76" s="101"/>
      <c r="P76" s="101"/>
      <c r="Q76" s="114" t="str">
        <f ca="1">IF(R74&lt;&gt;"","パン箱","")</f>
        <v/>
      </c>
      <c r="R76" s="115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4" t="str">
        <f ca="1">IF(R74&lt;&gt;"","　端数","")</f>
        <v/>
      </c>
      <c r="T76" s="115"/>
      <c r="U76" s="114" t="str">
        <f ca="1">IF(R74&lt;&gt;"","アレルギー","")</f>
        <v/>
      </c>
      <c r="V76" s="122"/>
      <c r="W76" s="101"/>
      <c r="X76" s="114" t="str">
        <f ca="1">IF(Y74&lt;&gt;"","パン箱","")</f>
        <v/>
      </c>
      <c r="Y76" s="115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4" t="str">
        <f ca="1">IF(Y74&lt;&gt;"","　端数","")</f>
        <v/>
      </c>
      <c r="AA76" s="115"/>
      <c r="AB76" s="114" t="str">
        <f ca="1">IF(Y74&lt;&gt;"","アレルギー","")</f>
        <v/>
      </c>
      <c r="AC76" s="118"/>
      <c r="AD76" s="101"/>
      <c r="AE76" s="101"/>
      <c r="AF76" s="114" t="str">
        <f ca="1">IF(AG74&lt;&gt;"","パン箱","")</f>
        <v/>
      </c>
      <c r="AG76" s="115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4" t="str">
        <f ca="1">IF(AG74&lt;&gt;"","　端数","")</f>
        <v/>
      </c>
      <c r="AI76" s="115"/>
      <c r="AJ76" s="114" t="str">
        <f ca="1">IF(AG74&lt;&gt;"","アレルギー","")</f>
        <v/>
      </c>
      <c r="AK76" s="122"/>
      <c r="AL76" s="101"/>
      <c r="AM76" s="114" t="str">
        <f ca="1">IF(AN74&lt;&gt;"","パン箱","")</f>
        <v/>
      </c>
      <c r="AN76" s="115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4" t="str">
        <f ca="1">IF(AN74&lt;&gt;"","　端数","")</f>
        <v/>
      </c>
      <c r="AP76" s="115"/>
      <c r="AQ76" s="114" t="str">
        <f ca="1">IF(AN74&lt;&gt;"","アレルギー","")</f>
        <v/>
      </c>
      <c r="AR76" s="118"/>
      <c r="AS76" s="101"/>
      <c r="AT76" s="101"/>
      <c r="AU76" s="114" t="str">
        <f ca="1">IF(AV74&lt;&gt;"","パン箱","")</f>
        <v/>
      </c>
      <c r="AV76" s="115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4" t="str">
        <f ca="1">IF(AV74&lt;&gt;"","　端数","")</f>
        <v/>
      </c>
      <c r="AX76" s="115"/>
      <c r="AY76" s="114" t="str">
        <f ca="1">IF(AV74&lt;&gt;"","アレルギー","")</f>
        <v/>
      </c>
      <c r="AZ76" s="122"/>
      <c r="BA76" s="101"/>
      <c r="BB76" s="114" t="str">
        <f ca="1">IF(BC74&lt;&gt;"","パン箱","")</f>
        <v/>
      </c>
      <c r="BC76" s="115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4" t="str">
        <f ca="1">IF(BC74&lt;&gt;"","　端数","")</f>
        <v/>
      </c>
      <c r="BE76" s="115"/>
      <c r="BF76" s="114" t="str">
        <f ca="1">IF(BC74&lt;&gt;"","アレルギー","")</f>
        <v/>
      </c>
      <c r="BG76" s="118"/>
      <c r="BH76" s="101"/>
      <c r="BI76" s="101"/>
      <c r="BJ76" s="114" t="str">
        <f ca="1">IF(BK74&lt;&gt;"","パン箱","")</f>
        <v/>
      </c>
      <c r="BK76" s="115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4" t="str">
        <f ca="1">IF(BK74&lt;&gt;"","　端数","")</f>
        <v/>
      </c>
      <c r="BM76" s="115"/>
      <c r="BN76" s="114" t="str">
        <f ca="1">IF(BK74&lt;&gt;"","アレルギー","")</f>
        <v/>
      </c>
      <c r="BO76" s="122"/>
      <c r="BP76" s="101"/>
      <c r="BQ76" s="114" t="str">
        <f ca="1">IF(BR74&lt;&gt;"","パン箱","")</f>
        <v/>
      </c>
      <c r="BR76" s="115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4" t="str">
        <f ca="1">IF(BR74&lt;&gt;"","　端数","")</f>
        <v/>
      </c>
      <c r="BT76" s="115"/>
      <c r="BU76" s="114" t="str">
        <f ca="1">IF(BR74&lt;&gt;"","アレルギー","")</f>
        <v/>
      </c>
      <c r="BV76" s="118"/>
      <c r="BW76" s="101"/>
      <c r="BX76" s="101"/>
      <c r="BY76" s="114" t="str">
        <f ca="1">IF(BZ74&lt;&gt;"","パン箱","")</f>
        <v/>
      </c>
      <c r="BZ76" s="115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4" t="str">
        <f ca="1">IF(BZ74&lt;&gt;"","　端数","")</f>
        <v/>
      </c>
      <c r="CB76" s="115"/>
      <c r="CC76" s="114" t="str">
        <f ca="1">IF(BZ74&lt;&gt;"","アレルギー","")</f>
        <v/>
      </c>
      <c r="CD76" s="122"/>
      <c r="CE76" s="101"/>
      <c r="CF76" s="114" t="str">
        <f ca="1">IF(CG74&lt;&gt;"","パン箱","")</f>
        <v/>
      </c>
      <c r="CG76" s="115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4" t="str">
        <f ca="1">IF(CG74&lt;&gt;"","　端数","")</f>
        <v/>
      </c>
      <c r="CI76" s="115"/>
      <c r="CJ76" s="114" t="str">
        <f ca="1">IF(CG74&lt;&gt;"","アレルギー","")</f>
        <v/>
      </c>
      <c r="CK76" s="118"/>
      <c r="CL76" s="101"/>
      <c r="CM76" s="101"/>
      <c r="CN76" s="114" t="str">
        <f ca="1">IF(CO74&lt;&gt;"","パン箱","")</f>
        <v/>
      </c>
      <c r="CO76" s="115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4" t="str">
        <f ca="1">IF(CO74&lt;&gt;"","　端数","")</f>
        <v/>
      </c>
      <c r="CQ76" s="115"/>
      <c r="CR76" s="114" t="str">
        <f ca="1">IF(CO74&lt;&gt;"","アレルギー","")</f>
        <v/>
      </c>
      <c r="CS76" s="122"/>
      <c r="CT76" s="101"/>
      <c r="CU76" s="114" t="str">
        <f ca="1">IF(CV74&lt;&gt;"","パン箱","")</f>
        <v/>
      </c>
      <c r="CV76" s="115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4" t="str">
        <f ca="1">IF(CV74&lt;&gt;"","　端数","")</f>
        <v/>
      </c>
      <c r="CX76" s="115"/>
      <c r="CY76" s="114" t="str">
        <f ca="1">IF(CV74&lt;&gt;"","アレルギー","")</f>
        <v/>
      </c>
      <c r="CZ76" s="118"/>
      <c r="DA76" s="101"/>
      <c r="DB76" s="101"/>
      <c r="DC76" s="114" t="str">
        <f ca="1">IF(DD74&lt;&gt;"","パン箱","")</f>
        <v/>
      </c>
      <c r="DD76" s="115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4" t="str">
        <f ca="1">IF(DD74&lt;&gt;"","　端数","")</f>
        <v/>
      </c>
      <c r="DF76" s="115"/>
      <c r="DG76" s="114" t="str">
        <f ca="1">IF(DD74&lt;&gt;"","アレルギー","")</f>
        <v/>
      </c>
      <c r="DH76" s="122"/>
      <c r="DI76" s="101"/>
      <c r="DJ76" s="114" t="str">
        <f ca="1">IF(DK74&lt;&gt;"","パン箱","")</f>
        <v/>
      </c>
      <c r="DK76" s="115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4" t="str">
        <f ca="1">IF(DK74&lt;&gt;"","　端数","")</f>
        <v/>
      </c>
      <c r="DM76" s="115"/>
      <c r="DN76" s="114" t="str">
        <f ca="1">IF(DK74&lt;&gt;"","アレルギー","")</f>
        <v/>
      </c>
      <c r="DO76" s="118"/>
      <c r="DP76" s="101"/>
      <c r="DQ76" s="101"/>
      <c r="DR76" s="114" t="str">
        <f ca="1">IF(DS74&lt;&gt;"","パン箱","")</f>
        <v/>
      </c>
      <c r="DS76" s="115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4" t="str">
        <f ca="1">IF(DS74&lt;&gt;"","　端数","")</f>
        <v/>
      </c>
      <c r="DU76" s="115"/>
      <c r="DV76" s="114" t="str">
        <f ca="1">IF(DS74&lt;&gt;"","アレルギー","")</f>
        <v/>
      </c>
      <c r="DW76" s="122"/>
      <c r="DX76" s="101"/>
      <c r="DY76" s="114" t="str">
        <f ca="1">IF(DZ74&lt;&gt;"","パン箱","")</f>
        <v/>
      </c>
      <c r="DZ76" s="115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4" t="str">
        <f ca="1">IF(DZ74&lt;&gt;"","　端数","")</f>
        <v/>
      </c>
      <c r="EB76" s="115"/>
      <c r="EC76" s="114" t="str">
        <f ca="1">IF(DZ74&lt;&gt;"","アレルギー","")</f>
        <v/>
      </c>
      <c r="ED76" s="118"/>
      <c r="EE76" s="101"/>
      <c r="EF76" s="101"/>
      <c r="EG76" s="114" t="str">
        <f ca="1">IF(EH74&lt;&gt;"","パン箱","")</f>
        <v/>
      </c>
      <c r="EH76" s="115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114" t="str">
        <f ca="1">IF(EH74&lt;&gt;"","　端数","")</f>
        <v/>
      </c>
      <c r="EJ76" s="115"/>
      <c r="EK76" s="114" t="str">
        <f ca="1">IF(EH74&lt;&gt;"","アレルギー","")</f>
        <v/>
      </c>
      <c r="EL76" s="122"/>
      <c r="EM76" s="101"/>
      <c r="EN76" s="114" t="str">
        <f ca="1">IF(EO74&lt;&gt;"","パン箱","")</f>
        <v/>
      </c>
      <c r="EO76" s="115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114" t="str">
        <f ca="1">IF(EO74&lt;&gt;"","　端数","")</f>
        <v/>
      </c>
      <c r="EQ76" s="115"/>
      <c r="ER76" s="114" t="str">
        <f ca="1">IF(EO74&lt;&gt;"","アレルギー","")</f>
        <v/>
      </c>
      <c r="ES76" s="118"/>
      <c r="ET76" s="132"/>
      <c r="EU76" s="103">
        <v>42</v>
      </c>
      <c r="EV76" s="103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3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3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3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3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3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3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3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3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3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3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3">
        <f t="shared" ca="1" si="5"/>
        <v>0</v>
      </c>
      <c r="FH76" s="103" t="b">
        <f t="array" aca="1" ref="FH76" ca="1">SUMPRODUCT((LEN(EV76:FF76)&gt;0)*1)&gt;0</f>
        <v>0</v>
      </c>
      <c r="FI76" s="103" t="str">
        <f t="array" aca="1" ref="FI76" ca="1">IFERROR(SMALL(IF(FG$1:FG$169&lt;&gt;0,FG$1:FG$169),ROW(A76)),"")</f>
        <v/>
      </c>
      <c r="FJ76" s="103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3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3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3" t="str">
        <f t="array" aca="1" ref="FM76" ca="1">IF($FI76&lt;&gt;"",
IF(FL76="",
INDIRECT("CB"&amp;$FI76&amp;"")&amp;"箱"
&amp;INDIRECT("CC"&amp;$FI76&amp;""),""),"")</f>
        <v/>
      </c>
      <c r="FN76" s="103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3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3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3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3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3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214" t="str">
        <f ca="1">IF(C74&lt;&gt;"",
IFERROR(INT(C74/C76),""),"")</f>
        <v/>
      </c>
      <c r="C77" s="215"/>
      <c r="D77" s="214" t="str">
        <f ca="1">IFERROR(MOD(C74,C76),"")</f>
        <v/>
      </c>
      <c r="E77" s="215"/>
      <c r="F77" s="216" t="str" cm="1">
        <f t="array" aca="1" ref="F77" ca="1">IF(C71&lt;&gt;"",
IF(IFERROR(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MATCH(C74,INDIRECT("'数出表_Excel（アレルギー入力）'!"&amp;B71&amp;MATCH(G29,'数出表_Excel（アレルギー入力）'!$A:$A,0)-1&amp;":"&amp;G75&amp;MATCH(G29,'数出表_Excel（アレルギー入力）'!$A:$A,0)-1&amp;""),0)+1),
 "")&lt;&gt;0,
IF(IFERROR(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MATCH(C74,INDIRECT("'数出表_Excel（アレルギー入力）'!"&amp;B71&amp;MATCH(G29,'数出表_Excel（アレルギー入力）'!$A:$A,0)-1&amp;":"&amp;G75&amp;MATCH(G29,'数出表_Excel（アレルギー入力）'!$A:$A,0)-1&amp;""),0)+1),
 "")="",
IFERROR(
INDEX(INDIRECT("'数出表_Excel（アレルギー入力）'!B"&amp;MATCH(G29,'数出表_Excel（アレルギー入力）'!$A:$A,0)-1&amp;":"&amp;G75&amp;MATCH(G29,'数出表_Excel（アレルギー入力）'!$A:$A,0)-1&amp;""),
 1,
MATCH(TRUE,INDEX(INDIRECT("'数出表_Excel（アレルギー入力）'!"&amp;B71&amp;MATCH(G29,'数出表_Excel（アレルギー入力）'!$A:$A,0)-1&amp;":"&amp;G75&amp;MATCH(G29,'数出表_Excel（アレルギー入力）'!$A:$A,0)-1&amp;"")&lt;&gt;"",0),0)+1),
 ""),
IFERROR(
INDEX(INDIRECT("'数出表_Excel（アレルギー入力）'!"&amp;B71&amp;MATCH(G29,'数出表_Excel（アレルギー入力）'!$A:$A,0)-1&amp;":"&amp;G75&amp;MATCH(G29,'数出表_Excel（アレルギー入力）'!$A:$A,0)-1&amp;""),
 1,
MATCH(C74,INDIRECT("'数出表_Excel（アレルギー入力）'!"&amp;B71&amp;MATCH(G29,'数出表_Excel（アレルギー入力）'!$A:$A,0)-1&amp;":"&amp;G75&amp;MATCH(G29,'数出表_Excel（アレルギー入力）'!$A:$A,0)-1&amp;""),0)+1),
 "")),0),"")</f>
        <v/>
      </c>
      <c r="G77" s="217"/>
      <c r="I77" s="214" t="str">
        <f ca="1">IF(J74&lt;&gt;"",
IFERROR(INT(J74/J76),""),"")</f>
        <v/>
      </c>
      <c r="J77" s="215"/>
      <c r="K77" s="214" t="str">
        <f ca="1">IFERROR(MOD(J74,J76),"")</f>
        <v/>
      </c>
      <c r="L77" s="215"/>
      <c r="M77" s="216" t="str" cm="1">
        <f t="array" aca="1" ref="M77" ca="1">IF(J71&lt;&gt;"",
IF(IFERROR(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MATCH(J74,INDIRECT("'数出表_Excel（アレルギー入力）'!"&amp;I71&amp;MATCH(N29,'数出表_Excel（アレルギー入力）'!$A:$A,0)-1&amp;":"&amp;N75&amp;MATCH(N29,'数出表_Excel（アレルギー入力）'!$A:$A,0)-1&amp;""),0)+1),
 "")&lt;&gt;0,
IF(IFERROR(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MATCH(J74,INDIRECT("'数出表_Excel（アレルギー入力）'!"&amp;I71&amp;MATCH(N29,'数出表_Excel（アレルギー入力）'!$A:$A,0)-1&amp;":"&amp;N75&amp;MATCH(N29,'数出表_Excel（アレルギー入力）'!$A:$A,0)-1&amp;""),0)+1),
 "")="",
IFERROR(
INDEX(INDIRECT("'数出表_Excel（アレルギー入力）'!B"&amp;MATCH(N29,'数出表_Excel（アレルギー入力）'!$A:$A,0)-1&amp;":"&amp;N75&amp;MATCH(N29,'数出表_Excel（アレルギー入力）'!$A:$A,0)-1&amp;""),
 1,
MATCH(TRUE,INDEX(INDIRECT("'数出表_Excel（アレルギー入力）'!"&amp;I71&amp;MATCH(N29,'数出表_Excel（アレルギー入力）'!$A:$A,0)-1&amp;":"&amp;N75&amp;MATCH(N29,'数出表_Excel（アレルギー入力）'!$A:$A,0)-1&amp;"")&lt;&gt;"",0),0)+1),
 ""),
IFERROR(
INDEX(INDIRECT("'数出表_Excel（アレルギー入力）'!"&amp;I71&amp;MATCH(N29,'数出表_Excel（アレルギー入力）'!$A:$A,0)-1&amp;":"&amp;N75&amp;MATCH(N29,'数出表_Excel（アレルギー入力）'!$A:$A,0)-1&amp;""),
 1,
MATCH(J74,INDIRECT("'数出表_Excel（アレルギー入力）'!"&amp;I71&amp;MATCH(N29,'数出表_Excel（アレルギー入力）'!$A:$A,0)-1&amp;":"&amp;N75&amp;MATCH(N29,'数出表_Excel（アレルギー入力）'!$A:$A,0)-1&amp;""),0)+1),
 "")),0),"")</f>
        <v/>
      </c>
      <c r="N77" s="217"/>
      <c r="Q77" s="214" t="str">
        <f ca="1">IF(R74&lt;&gt;"",
IFERROR(INT(R74/R76),""),"")</f>
        <v/>
      </c>
      <c r="R77" s="215"/>
      <c r="S77" s="214" t="str">
        <f ca="1">IFERROR(MOD(R74,R76),"")</f>
        <v/>
      </c>
      <c r="T77" s="215"/>
      <c r="U77" s="216" t="str" cm="1">
        <f t="array" aca="1" ref="U77" ca="1">IF(R71&lt;&gt;"",
IF(IFERROR(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MATCH(R74,INDIRECT("'数出表_Excel（アレルギー入力）'!"&amp;Q71&amp;MATCH(V29,'数出表_Excel（アレルギー入力）'!$A:$A,0)-1&amp;":"&amp;V75&amp;MATCH(V29,'数出表_Excel（アレルギー入力）'!$A:$A,0)-1&amp;""),0)+1),
 "")&lt;&gt;0,
IF(IFERROR(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MATCH(R74,INDIRECT("'数出表_Excel（アレルギー入力）'!"&amp;Q71&amp;MATCH(V29,'数出表_Excel（アレルギー入力）'!$A:$A,0)-1&amp;":"&amp;V75&amp;MATCH(V29,'数出表_Excel（アレルギー入力）'!$A:$A,0)-1&amp;""),0)+1),
 "")="",
IFERROR(
INDEX(INDIRECT("'数出表_Excel（アレルギー入力）'!B"&amp;MATCH(V29,'数出表_Excel（アレルギー入力）'!$A:$A,0)-1&amp;":"&amp;V75&amp;MATCH(V29,'数出表_Excel（アレルギー入力）'!$A:$A,0)-1&amp;""),
 1,
MATCH(TRUE,INDEX(INDIRECT("'数出表_Excel（アレルギー入力）'!"&amp;Q71&amp;MATCH(V29,'数出表_Excel（アレルギー入力）'!$A:$A,0)-1&amp;":"&amp;V75&amp;MATCH(V29,'数出表_Excel（アレルギー入力）'!$A:$A,0)-1&amp;"")&lt;&gt;"",0),0)+1),
 ""),
IFERROR(
INDEX(INDIRECT("'数出表_Excel（アレルギー入力）'!"&amp;Q71&amp;MATCH(V29,'数出表_Excel（アレルギー入力）'!$A:$A,0)-1&amp;":"&amp;V75&amp;MATCH(V29,'数出表_Excel（アレルギー入力）'!$A:$A,0)-1&amp;""),
 1,
MATCH(R74,INDIRECT("'数出表_Excel（アレルギー入力）'!"&amp;Q71&amp;MATCH(V29,'数出表_Excel（アレルギー入力）'!$A:$A,0)-1&amp;":"&amp;V75&amp;MATCH(V29,'数出表_Excel（アレルギー入力）'!$A:$A,0)-1&amp;""),0)+1),
 "")),0),"")</f>
        <v/>
      </c>
      <c r="V77" s="217"/>
      <c r="X77" s="214" t="str">
        <f ca="1">IF(Y74&lt;&gt;"",
IFERROR(INT(Y74/Y76),""),"")</f>
        <v/>
      </c>
      <c r="Y77" s="215"/>
      <c r="Z77" s="214" t="str">
        <f ca="1">IFERROR(MOD(Y74,Y76),"")</f>
        <v/>
      </c>
      <c r="AA77" s="215"/>
      <c r="AB77" s="216" t="str" cm="1">
        <f t="array" aca="1" ref="AB77" ca="1">IF(Y71&lt;&gt;"",
IF(IFERROR(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MATCH(Y74,INDIRECT("'数出表_Excel（アレルギー入力）'!"&amp;X71&amp;MATCH(AC29,'数出表_Excel（アレルギー入力）'!$A:$A,0)-1&amp;":"&amp;AC75&amp;MATCH(AC29,'数出表_Excel（アレルギー入力）'!$A:$A,0)-1&amp;""),0)+1),
 "")&lt;&gt;0,
IF(IFERROR(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MATCH(Y74,INDIRECT("'数出表_Excel（アレルギー入力）'!"&amp;X71&amp;MATCH(AC29,'数出表_Excel（アレルギー入力）'!$A:$A,0)-1&amp;":"&amp;AC75&amp;MATCH(AC29,'数出表_Excel（アレルギー入力）'!$A:$A,0)-1&amp;""),0)+1),
 "")="",
IFERROR(
INDEX(INDIRECT("'数出表_Excel（アレルギー入力）'!B"&amp;MATCH(AC29,'数出表_Excel（アレルギー入力）'!$A:$A,0)-1&amp;":"&amp;AC75&amp;MATCH(AC29,'数出表_Excel（アレルギー入力）'!$A:$A,0)-1&amp;""),
 1,
MATCH(TRUE,INDEX(INDIRECT("'数出表_Excel（アレルギー入力）'!"&amp;X71&amp;MATCH(AC29,'数出表_Excel（アレルギー入力）'!$A:$A,0)-1&amp;":"&amp;AC75&amp;MATCH(AC29,'数出表_Excel（アレルギー入力）'!$A:$A,0)-1&amp;"")&lt;&gt;"",0),0)+1),
 ""),
IFERROR(
INDEX(INDIRECT("'数出表_Excel（アレルギー入力）'!"&amp;X71&amp;MATCH(AC29,'数出表_Excel（アレルギー入力）'!$A:$A,0)-1&amp;":"&amp;AC75&amp;MATCH(AC29,'数出表_Excel（アレルギー入力）'!$A:$A,0)-1&amp;""),
 1,
MATCH(Y74,INDIRECT("'数出表_Excel（アレルギー入力）'!"&amp;X71&amp;MATCH(AC29,'数出表_Excel（アレルギー入力）'!$A:$A,0)-1&amp;":"&amp;AC75&amp;MATCH(AC29,'数出表_Excel（アレルギー入力）'!$A:$A,0)-1&amp;""),0)+1),
 "")),0),"")</f>
        <v/>
      </c>
      <c r="AC77" s="217"/>
      <c r="AF77" s="214" t="str">
        <f ca="1">IF(AG74&lt;&gt;"",
IFERROR(INT(AG74/AG76),""),"")</f>
        <v/>
      </c>
      <c r="AG77" s="215"/>
      <c r="AH77" s="214" t="str">
        <f ca="1">IFERROR(MOD(AG74,AG76),"")</f>
        <v/>
      </c>
      <c r="AI77" s="215"/>
      <c r="AJ77" s="216" t="str" cm="1">
        <f t="array" aca="1" ref="AJ77" ca="1">IF(AG71&lt;&gt;"",
IF(IFERROR(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MATCH(AG74,INDIRECT("'数出表_Excel（アレルギー入力）'!"&amp;AF71&amp;MATCH(AK29,'数出表_Excel（アレルギー入力）'!$A:$A,0)-1&amp;":"&amp;AK75&amp;MATCH(AK29,'数出表_Excel（アレルギー入力）'!$A:$A,0)-1&amp;""),0)+1),
 "")&lt;&gt;0,
IF(IFERROR(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MATCH(AG74,INDIRECT("'数出表_Excel（アレルギー入力）'!"&amp;AF71&amp;MATCH(AK29,'数出表_Excel（アレルギー入力）'!$A:$A,0)-1&amp;":"&amp;AK75&amp;MATCH(AK29,'数出表_Excel（アレルギー入力）'!$A:$A,0)-1&amp;""),0)+1),
 "")="",
IFERROR(
INDEX(INDIRECT("'数出表_Excel（アレルギー入力）'!B"&amp;MATCH(AK29,'数出表_Excel（アレルギー入力）'!$A:$A,0)-1&amp;":"&amp;AK75&amp;MATCH(AK29,'数出表_Excel（アレルギー入力）'!$A:$A,0)-1&amp;""),
 1,
MATCH(TRUE,INDEX(INDIRECT("'数出表_Excel（アレルギー入力）'!"&amp;AF71&amp;MATCH(AK29,'数出表_Excel（アレルギー入力）'!$A:$A,0)-1&amp;":"&amp;AK75&amp;MATCH(AK29,'数出表_Excel（アレルギー入力）'!$A:$A,0)-1&amp;"")&lt;&gt;"",0),0)+1),
 ""),
IFERROR(
INDEX(INDIRECT("'数出表_Excel（アレルギー入力）'!"&amp;AF71&amp;MATCH(AK29,'数出表_Excel（アレルギー入力）'!$A:$A,0)-1&amp;":"&amp;AK75&amp;MATCH(AK29,'数出表_Excel（アレルギー入力）'!$A:$A,0)-1&amp;""),
 1,
MATCH(AG74,INDIRECT("'数出表_Excel（アレルギー入力）'!"&amp;AF71&amp;MATCH(AK29,'数出表_Excel（アレルギー入力）'!$A:$A,0)-1&amp;":"&amp;AK75&amp;MATCH(AK29,'数出表_Excel（アレルギー入力）'!$A:$A,0)-1&amp;""),0)+1),
 "")),0),"")</f>
        <v/>
      </c>
      <c r="AK77" s="217"/>
      <c r="AM77" s="214" t="str">
        <f ca="1">IF(AN74&lt;&gt;"",
IFERROR(INT(AN74/AN76),""),"")</f>
        <v/>
      </c>
      <c r="AN77" s="215"/>
      <c r="AO77" s="214" t="str">
        <f ca="1">IFERROR(MOD(AN74,AN76),"")</f>
        <v/>
      </c>
      <c r="AP77" s="215"/>
      <c r="AQ77" s="216" t="str" cm="1">
        <f t="array" aca="1" ref="AQ77" ca="1">IF(AN71&lt;&gt;"",
IF(IFERROR(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MATCH(AN74,INDIRECT("'数出表_Excel（アレルギー入力）'!"&amp;AM71&amp;MATCH(AR29,'数出表_Excel（アレルギー入力）'!$A:$A,0)-1&amp;":"&amp;AR75&amp;MATCH(AR29,'数出表_Excel（アレルギー入力）'!$A:$A,0)-1&amp;""),0)+1),
 "")&lt;&gt;0,
IF(IFERROR(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MATCH(AN74,INDIRECT("'数出表_Excel（アレルギー入力）'!"&amp;AM71&amp;MATCH(AR29,'数出表_Excel（アレルギー入力）'!$A:$A,0)-1&amp;":"&amp;AR75&amp;MATCH(AR29,'数出表_Excel（アレルギー入力）'!$A:$A,0)-1&amp;""),0)+1),
 "")="",
IFERROR(
INDEX(INDIRECT("'数出表_Excel（アレルギー入力）'!B"&amp;MATCH(AR29,'数出表_Excel（アレルギー入力）'!$A:$A,0)-1&amp;":"&amp;AR75&amp;MATCH(AR29,'数出表_Excel（アレルギー入力）'!$A:$A,0)-1&amp;""),
 1,
MATCH(TRUE,INDEX(INDIRECT("'数出表_Excel（アレルギー入力）'!"&amp;AM71&amp;MATCH(AR29,'数出表_Excel（アレルギー入力）'!$A:$A,0)-1&amp;":"&amp;AR75&amp;MATCH(AR29,'数出表_Excel（アレルギー入力）'!$A:$A,0)-1&amp;"")&lt;&gt;"",0),0)+1),
 ""),
IFERROR(
INDEX(INDIRECT("'数出表_Excel（アレルギー入力）'!"&amp;AM71&amp;MATCH(AR29,'数出表_Excel（アレルギー入力）'!$A:$A,0)-1&amp;":"&amp;AR75&amp;MATCH(AR29,'数出表_Excel（アレルギー入力）'!$A:$A,0)-1&amp;""),
 1,
MATCH(AN74,INDIRECT("'数出表_Excel（アレルギー入力）'!"&amp;AM71&amp;MATCH(AR29,'数出表_Excel（アレルギー入力）'!$A:$A,0)-1&amp;":"&amp;AR75&amp;MATCH(AR29,'数出表_Excel（アレルギー入力）'!$A:$A,0)-1&amp;""),0)+1),
 "")),0),"")</f>
        <v/>
      </c>
      <c r="AR77" s="217"/>
      <c r="AU77" s="214" t="str">
        <f ca="1">IF(AV74&lt;&gt;"",
IFERROR(INT(AV74/AV76),""),"")</f>
        <v/>
      </c>
      <c r="AV77" s="215"/>
      <c r="AW77" s="214" t="str">
        <f ca="1">IFERROR(MOD(AV74,AV76),"")</f>
        <v/>
      </c>
      <c r="AX77" s="215"/>
      <c r="AY77" s="216" t="str" cm="1">
        <f t="array" aca="1" ref="AY77" ca="1">IF(AV71&lt;&gt;"",
IF(IFERROR(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MATCH(AV74,INDIRECT("'数出表_Excel（アレルギー入力）'!"&amp;AU71&amp;MATCH(AZ29,'数出表_Excel（アレルギー入力）'!$A:$A,0)-1&amp;":"&amp;AZ75&amp;MATCH(AZ29,'数出表_Excel（アレルギー入力）'!$A:$A,0)-1&amp;""),0)+1),
 "")&lt;&gt;0,
IF(IFERROR(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MATCH(AV74,INDIRECT("'数出表_Excel（アレルギー入力）'!"&amp;AU71&amp;MATCH(AZ29,'数出表_Excel（アレルギー入力）'!$A:$A,0)-1&amp;":"&amp;AZ75&amp;MATCH(AZ29,'数出表_Excel（アレルギー入力）'!$A:$A,0)-1&amp;""),0)+1),
 "")="",
IFERROR(
INDEX(INDIRECT("'数出表_Excel（アレルギー入力）'!B"&amp;MATCH(AZ29,'数出表_Excel（アレルギー入力）'!$A:$A,0)-1&amp;":"&amp;AZ75&amp;MATCH(AZ29,'数出表_Excel（アレルギー入力）'!$A:$A,0)-1&amp;""),
 1,
MATCH(TRUE,INDEX(INDIRECT("'数出表_Excel（アレルギー入力）'!"&amp;AU71&amp;MATCH(AZ29,'数出表_Excel（アレルギー入力）'!$A:$A,0)-1&amp;":"&amp;AZ75&amp;MATCH(AZ29,'数出表_Excel（アレルギー入力）'!$A:$A,0)-1&amp;"")&lt;&gt;"",0),0)+1),
 ""),
IFERROR(
INDEX(INDIRECT("'数出表_Excel（アレルギー入力）'!"&amp;AU71&amp;MATCH(AZ29,'数出表_Excel（アレルギー入力）'!$A:$A,0)-1&amp;":"&amp;AZ75&amp;MATCH(AZ29,'数出表_Excel（アレルギー入力）'!$A:$A,0)-1&amp;""),
 1,
MATCH(AV74,INDIRECT("'数出表_Excel（アレルギー入力）'!"&amp;AU71&amp;MATCH(AZ29,'数出表_Excel（アレルギー入力）'!$A:$A,0)-1&amp;":"&amp;AZ75&amp;MATCH(AZ29,'数出表_Excel（アレルギー入力）'!$A:$A,0)-1&amp;""),0)+1),
 "")),0),"")</f>
        <v/>
      </c>
      <c r="AZ77" s="217"/>
      <c r="BB77" s="214" t="str">
        <f ca="1">IF(BC74&lt;&gt;"",
IFERROR(INT(BC74/BC76),""),"")</f>
        <v/>
      </c>
      <c r="BC77" s="215"/>
      <c r="BD77" s="214" t="str">
        <f ca="1">IFERROR(MOD(BC74,BC76),"")</f>
        <v/>
      </c>
      <c r="BE77" s="215"/>
      <c r="BF77" s="216" t="str" cm="1">
        <f t="array" aca="1" ref="BF77" ca="1">IF(BC71&lt;&gt;"",
IF(IFERROR(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MATCH(BC74,INDIRECT("'数出表_Excel（アレルギー入力）'!"&amp;BB71&amp;MATCH(BG29,'数出表_Excel（アレルギー入力）'!$A:$A,0)-1&amp;":"&amp;BG75&amp;MATCH(BG29,'数出表_Excel（アレルギー入力）'!$A:$A,0)-1&amp;""),0)+1),
 "")&lt;&gt;0,
IF(IFERROR(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MATCH(BC74,INDIRECT("'数出表_Excel（アレルギー入力）'!"&amp;BB71&amp;MATCH(BG29,'数出表_Excel（アレルギー入力）'!$A:$A,0)-1&amp;":"&amp;BG75&amp;MATCH(BG29,'数出表_Excel（アレルギー入力）'!$A:$A,0)-1&amp;""),0)+1),
 "")="",
IFERROR(
INDEX(INDIRECT("'数出表_Excel（アレルギー入力）'!B"&amp;MATCH(BG29,'数出表_Excel（アレルギー入力）'!$A:$A,0)-1&amp;":"&amp;BG75&amp;MATCH(BG29,'数出表_Excel（アレルギー入力）'!$A:$A,0)-1&amp;""),
 1,
MATCH(TRUE,INDEX(INDIRECT("'数出表_Excel（アレルギー入力）'!"&amp;BB71&amp;MATCH(BG29,'数出表_Excel（アレルギー入力）'!$A:$A,0)-1&amp;":"&amp;BG75&amp;MATCH(BG29,'数出表_Excel（アレルギー入力）'!$A:$A,0)-1&amp;"")&lt;&gt;"",0),0)+1),
 ""),
IFERROR(
INDEX(INDIRECT("'数出表_Excel（アレルギー入力）'!"&amp;BB71&amp;MATCH(BG29,'数出表_Excel（アレルギー入力）'!$A:$A,0)-1&amp;":"&amp;BG75&amp;MATCH(BG29,'数出表_Excel（アレルギー入力）'!$A:$A,0)-1&amp;""),
 1,
MATCH(BC74,INDIRECT("'数出表_Excel（アレルギー入力）'!"&amp;BB71&amp;MATCH(BG29,'数出表_Excel（アレルギー入力）'!$A:$A,0)-1&amp;":"&amp;BG75&amp;MATCH(BG29,'数出表_Excel（アレルギー入力）'!$A:$A,0)-1&amp;""),0)+1),
 "")),0),"")</f>
        <v/>
      </c>
      <c r="BG77" s="217"/>
      <c r="BJ77" s="214" t="str">
        <f ca="1">IF(BK74&lt;&gt;"",
IFERROR(INT(BK74/BK76),""),"")</f>
        <v/>
      </c>
      <c r="BK77" s="215"/>
      <c r="BL77" s="214" t="str">
        <f ca="1">IFERROR(MOD(BK74,BK76),"")</f>
        <v/>
      </c>
      <c r="BM77" s="215"/>
      <c r="BN77" s="216" t="str" cm="1">
        <f t="array" aca="1" ref="BN77" ca="1">IF(BK71&lt;&gt;"",
IF(IFERROR(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MATCH(BK74,INDIRECT("'数出表_Excel（アレルギー入力）'!"&amp;BJ71&amp;MATCH(BO29,'数出表_Excel（アレルギー入力）'!$A:$A,0)-1&amp;":"&amp;BO75&amp;MATCH(BO29,'数出表_Excel（アレルギー入力）'!$A:$A,0)-1&amp;""),0)+1),
 "")&lt;&gt;0,
IF(IFERROR(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MATCH(BK74,INDIRECT("'数出表_Excel（アレルギー入力）'!"&amp;BJ71&amp;MATCH(BO29,'数出表_Excel（アレルギー入力）'!$A:$A,0)-1&amp;":"&amp;BO75&amp;MATCH(BO29,'数出表_Excel（アレルギー入力）'!$A:$A,0)-1&amp;""),0)+1),
 "")="",
IFERROR(
INDEX(INDIRECT("'数出表_Excel（アレルギー入力）'!B"&amp;MATCH(BO29,'数出表_Excel（アレルギー入力）'!$A:$A,0)-1&amp;":"&amp;BO75&amp;MATCH(BO29,'数出表_Excel（アレルギー入力）'!$A:$A,0)-1&amp;""),
 1,
MATCH(TRUE,INDEX(INDIRECT("'数出表_Excel（アレルギー入力）'!"&amp;BJ71&amp;MATCH(BO29,'数出表_Excel（アレルギー入力）'!$A:$A,0)-1&amp;":"&amp;BO75&amp;MATCH(BO29,'数出表_Excel（アレルギー入力）'!$A:$A,0)-1&amp;"")&lt;&gt;"",0),0)+1),
 ""),
IFERROR(
INDEX(INDIRECT("'数出表_Excel（アレルギー入力）'!"&amp;BJ71&amp;MATCH(BO29,'数出表_Excel（アレルギー入力）'!$A:$A,0)-1&amp;":"&amp;BO75&amp;MATCH(BO29,'数出表_Excel（アレルギー入力）'!$A:$A,0)-1&amp;""),
 1,
MATCH(BK74,INDIRECT("'数出表_Excel（アレルギー入力）'!"&amp;BJ71&amp;MATCH(BO29,'数出表_Excel（アレルギー入力）'!$A:$A,0)-1&amp;":"&amp;BO75&amp;MATCH(BO29,'数出表_Excel（アレルギー入力）'!$A:$A,0)-1&amp;""),0)+1),
 "")),0),"")</f>
        <v/>
      </c>
      <c r="BO77" s="217"/>
      <c r="BQ77" s="214" t="str">
        <f ca="1">IF(BR74&lt;&gt;"",
IFERROR(INT(BR74/BR76),""),"")</f>
        <v/>
      </c>
      <c r="BR77" s="215"/>
      <c r="BS77" s="214" t="str">
        <f ca="1">IFERROR(MOD(BR74,BR76),"")</f>
        <v/>
      </c>
      <c r="BT77" s="215"/>
      <c r="BU77" s="216" t="str" cm="1">
        <f t="array" aca="1" ref="BU77" ca="1">IF(BR71&lt;&gt;"",
IF(IFERROR(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MATCH(BR74,INDIRECT("'数出表_Excel（アレルギー入力）'!"&amp;BQ71&amp;MATCH(BV29,'数出表_Excel（アレルギー入力）'!$A:$A,0)-1&amp;":"&amp;BV75&amp;MATCH(BV29,'数出表_Excel（アレルギー入力）'!$A:$A,0)-1&amp;""),0)+1),
 "")&lt;&gt;0,
IF(IFERROR(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MATCH(BR74,INDIRECT("'数出表_Excel（アレルギー入力）'!"&amp;BQ71&amp;MATCH(BV29,'数出表_Excel（アレルギー入力）'!$A:$A,0)-1&amp;":"&amp;BV75&amp;MATCH(BV29,'数出表_Excel（アレルギー入力）'!$A:$A,0)-1&amp;""),0)+1),
 "")="",
IFERROR(
INDEX(INDIRECT("'数出表_Excel（アレルギー入力）'!B"&amp;MATCH(BV29,'数出表_Excel（アレルギー入力）'!$A:$A,0)-1&amp;":"&amp;BV75&amp;MATCH(BV29,'数出表_Excel（アレルギー入力）'!$A:$A,0)-1&amp;""),
 1,
MATCH(TRUE,INDEX(INDIRECT("'数出表_Excel（アレルギー入力）'!"&amp;BQ71&amp;MATCH(BV29,'数出表_Excel（アレルギー入力）'!$A:$A,0)-1&amp;":"&amp;BV75&amp;MATCH(BV29,'数出表_Excel（アレルギー入力）'!$A:$A,0)-1&amp;"")&lt;&gt;"",0),0)+1),
 ""),
IFERROR(
INDEX(INDIRECT("'数出表_Excel（アレルギー入力）'!"&amp;BQ71&amp;MATCH(BV29,'数出表_Excel（アレルギー入力）'!$A:$A,0)-1&amp;":"&amp;BV75&amp;MATCH(BV29,'数出表_Excel（アレルギー入力）'!$A:$A,0)-1&amp;""),
 1,
MATCH(BR74,INDIRECT("'数出表_Excel（アレルギー入力）'!"&amp;BQ71&amp;MATCH(BV29,'数出表_Excel（アレルギー入力）'!$A:$A,0)-1&amp;":"&amp;BV75&amp;MATCH(BV29,'数出表_Excel（アレルギー入力）'!$A:$A,0)-1&amp;""),0)+1),
 "")),0),"")</f>
        <v/>
      </c>
      <c r="BV77" s="217"/>
      <c r="BY77" s="214" t="str">
        <f ca="1">IF(BZ74&lt;&gt;"",
IFERROR(INT(BZ74/BZ76),""),"")</f>
        <v/>
      </c>
      <c r="BZ77" s="215"/>
      <c r="CA77" s="214" t="str">
        <f ca="1">IFERROR(MOD(BZ74,BZ76),"")</f>
        <v/>
      </c>
      <c r="CB77" s="215"/>
      <c r="CC77" s="216" t="str" cm="1">
        <f t="array" aca="1" ref="CC77" ca="1">IF(BZ71&lt;&gt;"",
IF(IFERROR(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MATCH(BZ74,INDIRECT("'数出表_Excel（アレルギー入力）'!"&amp;BY71&amp;MATCH(CD29,'数出表_Excel（アレルギー入力）'!$A:$A,0)-1&amp;":"&amp;CD75&amp;MATCH(CD29,'数出表_Excel（アレルギー入力）'!$A:$A,0)-1&amp;""),0)+1),
 "")&lt;&gt;0,
IF(IFERROR(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MATCH(BZ74,INDIRECT("'数出表_Excel（アレルギー入力）'!"&amp;BY71&amp;MATCH(CD29,'数出表_Excel（アレルギー入力）'!$A:$A,0)-1&amp;":"&amp;CD75&amp;MATCH(CD29,'数出表_Excel（アレルギー入力）'!$A:$A,0)-1&amp;""),0)+1),
 "")="",
IFERROR(
INDEX(INDIRECT("'数出表_Excel（アレルギー入力）'!B"&amp;MATCH(CD29,'数出表_Excel（アレルギー入力）'!$A:$A,0)-1&amp;":"&amp;CD75&amp;MATCH(CD29,'数出表_Excel（アレルギー入力）'!$A:$A,0)-1&amp;""),
 1,
MATCH(TRUE,INDEX(INDIRECT("'数出表_Excel（アレルギー入力）'!"&amp;BY71&amp;MATCH(CD29,'数出表_Excel（アレルギー入力）'!$A:$A,0)-1&amp;":"&amp;CD75&amp;MATCH(CD29,'数出表_Excel（アレルギー入力）'!$A:$A,0)-1&amp;"")&lt;&gt;"",0),0)+1),
 ""),
IFERROR(
INDEX(INDIRECT("'数出表_Excel（アレルギー入力）'!"&amp;BY71&amp;MATCH(CD29,'数出表_Excel（アレルギー入力）'!$A:$A,0)-1&amp;":"&amp;CD75&amp;MATCH(CD29,'数出表_Excel（アレルギー入力）'!$A:$A,0)-1&amp;""),
 1,
MATCH(BZ74,INDIRECT("'数出表_Excel（アレルギー入力）'!"&amp;BY71&amp;MATCH(CD29,'数出表_Excel（アレルギー入力）'!$A:$A,0)-1&amp;":"&amp;CD75&amp;MATCH(CD29,'数出表_Excel（アレルギー入力）'!$A:$A,0)-1&amp;""),0)+1),
 "")),0),"")</f>
        <v/>
      </c>
      <c r="CD77" s="217"/>
      <c r="CF77" s="214" t="str">
        <f ca="1">IF(CG74&lt;&gt;"",
IFERROR(INT(CG74/CG76),""),"")</f>
        <v/>
      </c>
      <c r="CG77" s="215"/>
      <c r="CH77" s="214" t="str">
        <f ca="1">IFERROR(MOD(CG74,CG76),"")</f>
        <v/>
      </c>
      <c r="CI77" s="215"/>
      <c r="CJ77" s="216" t="str" cm="1">
        <f t="array" aca="1" ref="CJ77" ca="1">IF(CG71&lt;&gt;"",
IF(IFERROR(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MATCH(CG74,INDIRECT("'数出表_Excel（アレルギー入力）'!"&amp;CF71&amp;MATCH(CK29,'数出表_Excel（アレルギー入力）'!$A:$A,0)-1&amp;":"&amp;CK75&amp;MATCH(CK29,'数出表_Excel（アレルギー入力）'!$A:$A,0)-1&amp;""),0)+1),
 "")&lt;&gt;0,
IF(IFERROR(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MATCH(CG74,INDIRECT("'数出表_Excel（アレルギー入力）'!"&amp;CF71&amp;MATCH(CK29,'数出表_Excel（アレルギー入力）'!$A:$A,0)-1&amp;":"&amp;CK75&amp;MATCH(CK29,'数出表_Excel（アレルギー入力）'!$A:$A,0)-1&amp;""),0)+1),
 "")="",
IFERROR(
INDEX(INDIRECT("'数出表_Excel（アレルギー入力）'!B"&amp;MATCH(CK29,'数出表_Excel（アレルギー入力）'!$A:$A,0)-1&amp;":"&amp;CK75&amp;MATCH(CK29,'数出表_Excel（アレルギー入力）'!$A:$A,0)-1&amp;""),
 1,
MATCH(TRUE,INDEX(INDIRECT("'数出表_Excel（アレルギー入力）'!"&amp;CF71&amp;MATCH(CK29,'数出表_Excel（アレルギー入力）'!$A:$A,0)-1&amp;":"&amp;CK75&amp;MATCH(CK29,'数出表_Excel（アレルギー入力）'!$A:$A,0)-1&amp;"")&lt;&gt;"",0),0)+1),
 ""),
IFERROR(
INDEX(INDIRECT("'数出表_Excel（アレルギー入力）'!"&amp;CF71&amp;MATCH(CK29,'数出表_Excel（アレルギー入力）'!$A:$A,0)-1&amp;":"&amp;CK75&amp;MATCH(CK29,'数出表_Excel（アレルギー入力）'!$A:$A,0)-1&amp;""),
 1,
MATCH(CG74,INDIRECT("'数出表_Excel（アレルギー入力）'!"&amp;CF71&amp;MATCH(CK29,'数出表_Excel（アレルギー入力）'!$A:$A,0)-1&amp;":"&amp;CK75&amp;MATCH(CK29,'数出表_Excel（アレルギー入力）'!$A:$A,0)-1&amp;""),0)+1),
 "")),0),"")</f>
        <v/>
      </c>
      <c r="CK77" s="217"/>
      <c r="CN77" s="214" t="str">
        <f ca="1">IF(CO74&lt;&gt;"",
IFERROR(INT(CO74/CO76),""),"")</f>
        <v/>
      </c>
      <c r="CO77" s="215"/>
      <c r="CP77" s="214" t="str">
        <f ca="1">IFERROR(MOD(CO74,CO76),"")</f>
        <v/>
      </c>
      <c r="CQ77" s="215"/>
      <c r="CR77" s="216" t="str" cm="1">
        <f t="array" aca="1" ref="CR77" ca="1">IF(CO71&lt;&gt;"",
IF(IFERROR(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MATCH(CO74,INDIRECT("'数出表_Excel（アレルギー入力）'!"&amp;CN71&amp;MATCH(CS29,'数出表_Excel（アレルギー入力）'!$A:$A,0)-1&amp;":"&amp;CS75&amp;MATCH(CS29,'数出表_Excel（アレルギー入力）'!$A:$A,0)-1&amp;""),0)+1),
 "")&lt;&gt;0,
IF(IFERROR(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MATCH(CO74,INDIRECT("'数出表_Excel（アレルギー入力）'!"&amp;CN71&amp;MATCH(CS29,'数出表_Excel（アレルギー入力）'!$A:$A,0)-1&amp;":"&amp;CS75&amp;MATCH(CS29,'数出表_Excel（アレルギー入力）'!$A:$A,0)-1&amp;""),0)+1),
 "")="",
IFERROR(
INDEX(INDIRECT("'数出表_Excel（アレルギー入力）'!B"&amp;MATCH(CS29,'数出表_Excel（アレルギー入力）'!$A:$A,0)-1&amp;":"&amp;CS75&amp;MATCH(CS29,'数出表_Excel（アレルギー入力）'!$A:$A,0)-1&amp;""),
 1,
MATCH(TRUE,INDEX(INDIRECT("'数出表_Excel（アレルギー入力）'!"&amp;CN71&amp;MATCH(CS29,'数出表_Excel（アレルギー入力）'!$A:$A,0)-1&amp;":"&amp;CS75&amp;MATCH(CS29,'数出表_Excel（アレルギー入力）'!$A:$A,0)-1&amp;"")&lt;&gt;"",0),0)+1),
 ""),
IFERROR(
INDEX(INDIRECT("'数出表_Excel（アレルギー入力）'!"&amp;CN71&amp;MATCH(CS29,'数出表_Excel（アレルギー入力）'!$A:$A,0)-1&amp;":"&amp;CS75&amp;MATCH(CS29,'数出表_Excel（アレルギー入力）'!$A:$A,0)-1&amp;""),
 1,
MATCH(CO74,INDIRECT("'数出表_Excel（アレルギー入力）'!"&amp;CN71&amp;MATCH(CS29,'数出表_Excel（アレルギー入力）'!$A:$A,0)-1&amp;":"&amp;CS75&amp;MATCH(CS29,'数出表_Excel（アレルギー入力）'!$A:$A,0)-1&amp;""),0)+1),
 "")),0),"")</f>
        <v/>
      </c>
      <c r="CS77" s="217"/>
      <c r="CU77" s="214" t="str">
        <f ca="1">IF(CV74&lt;&gt;"",
IFERROR(INT(CV74/CV76),""),"")</f>
        <v/>
      </c>
      <c r="CV77" s="215"/>
      <c r="CW77" s="214" t="str">
        <f ca="1">IFERROR(MOD(CV74,CV76),"")</f>
        <v/>
      </c>
      <c r="CX77" s="215"/>
      <c r="CY77" s="216" t="str" cm="1">
        <f t="array" aca="1" ref="CY77" ca="1">IF(CV71&lt;&gt;"",
IF(IFERROR(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MATCH(CV74,INDIRECT("'数出表_Excel（アレルギー入力）'!"&amp;CU71&amp;MATCH(CZ29,'数出表_Excel（アレルギー入力）'!$A:$A,0)-1&amp;":"&amp;CZ75&amp;MATCH(CZ29,'数出表_Excel（アレルギー入力）'!$A:$A,0)-1&amp;""),0)+1),
 "")&lt;&gt;0,
IF(IFERROR(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MATCH(CV74,INDIRECT("'数出表_Excel（アレルギー入力）'!"&amp;CU71&amp;MATCH(CZ29,'数出表_Excel（アレルギー入力）'!$A:$A,0)-1&amp;":"&amp;CZ75&amp;MATCH(CZ29,'数出表_Excel（アレルギー入力）'!$A:$A,0)-1&amp;""),0)+1),
 "")="",
IFERROR(
INDEX(INDIRECT("'数出表_Excel（アレルギー入力）'!B"&amp;MATCH(CZ29,'数出表_Excel（アレルギー入力）'!$A:$A,0)-1&amp;":"&amp;CZ75&amp;MATCH(CZ29,'数出表_Excel（アレルギー入力）'!$A:$A,0)-1&amp;""),
 1,
MATCH(TRUE,INDEX(INDIRECT("'数出表_Excel（アレルギー入力）'!"&amp;CU71&amp;MATCH(CZ29,'数出表_Excel（アレルギー入力）'!$A:$A,0)-1&amp;":"&amp;CZ75&amp;MATCH(CZ29,'数出表_Excel（アレルギー入力）'!$A:$A,0)-1&amp;"")&lt;&gt;"",0),0)+1),
 ""),
IFERROR(
INDEX(INDIRECT("'数出表_Excel（アレルギー入力）'!"&amp;CU71&amp;MATCH(CZ29,'数出表_Excel（アレルギー入力）'!$A:$A,0)-1&amp;":"&amp;CZ75&amp;MATCH(CZ29,'数出表_Excel（アレルギー入力）'!$A:$A,0)-1&amp;""),
 1,
MATCH(CV74,INDIRECT("'数出表_Excel（アレルギー入力）'!"&amp;CU71&amp;MATCH(CZ29,'数出表_Excel（アレルギー入力）'!$A:$A,0)-1&amp;":"&amp;CZ75&amp;MATCH(CZ29,'数出表_Excel（アレルギー入力）'!$A:$A,0)-1&amp;""),0)+1),
 "")),0),"")</f>
        <v/>
      </c>
      <c r="CZ77" s="217"/>
      <c r="DC77" s="214" t="str">
        <f ca="1">IF(DD74&lt;&gt;"",
IFERROR(INT(DD74/DD76),""),"")</f>
        <v/>
      </c>
      <c r="DD77" s="215"/>
      <c r="DE77" s="214" t="str">
        <f ca="1">IFERROR(MOD(DD74,DD76),"")</f>
        <v/>
      </c>
      <c r="DF77" s="215"/>
      <c r="DG77" s="216" t="str" cm="1">
        <f t="array" aca="1" ref="DG77" ca="1">IF(DD71&lt;&gt;"",
IF(IFERROR(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MATCH(DD74,INDIRECT("'数出表_Excel（アレルギー入力）'!"&amp;DC71&amp;MATCH(DH29,'数出表_Excel（アレルギー入力）'!$A:$A,0)-1&amp;":"&amp;DH75&amp;MATCH(DH29,'数出表_Excel（アレルギー入力）'!$A:$A,0)-1&amp;""),0)+1),
 "")&lt;&gt;0,
IF(IFERROR(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MATCH(DD74,INDIRECT("'数出表_Excel（アレルギー入力）'!"&amp;DC71&amp;MATCH(DH29,'数出表_Excel（アレルギー入力）'!$A:$A,0)-1&amp;":"&amp;DH75&amp;MATCH(DH29,'数出表_Excel（アレルギー入力）'!$A:$A,0)-1&amp;""),0)+1),
 "")="",
IFERROR(
INDEX(INDIRECT("'数出表_Excel（アレルギー入力）'!B"&amp;MATCH(DH29,'数出表_Excel（アレルギー入力）'!$A:$A,0)-1&amp;":"&amp;DH75&amp;MATCH(DH29,'数出表_Excel（アレルギー入力）'!$A:$A,0)-1&amp;""),
 1,
MATCH(TRUE,INDEX(INDIRECT("'数出表_Excel（アレルギー入力）'!"&amp;DC71&amp;MATCH(DH29,'数出表_Excel（アレルギー入力）'!$A:$A,0)-1&amp;":"&amp;DH75&amp;MATCH(DH29,'数出表_Excel（アレルギー入力）'!$A:$A,0)-1&amp;"")&lt;&gt;"",0),0)+1),
 ""),
IFERROR(
INDEX(INDIRECT("'数出表_Excel（アレルギー入力）'!"&amp;DC71&amp;MATCH(DH29,'数出表_Excel（アレルギー入力）'!$A:$A,0)-1&amp;":"&amp;DH75&amp;MATCH(DH29,'数出表_Excel（アレルギー入力）'!$A:$A,0)-1&amp;""),
 1,
MATCH(DD74,INDIRECT("'数出表_Excel（アレルギー入力）'!"&amp;DC71&amp;MATCH(DH29,'数出表_Excel（アレルギー入力）'!$A:$A,0)-1&amp;":"&amp;DH75&amp;MATCH(DH29,'数出表_Excel（アレルギー入力）'!$A:$A,0)-1&amp;""),0)+1),
 "")),0),"")</f>
        <v/>
      </c>
      <c r="DH77" s="217"/>
      <c r="DJ77" s="214" t="str">
        <f ca="1">IF(DK74&lt;&gt;"",
IFERROR(INT(DK74/DK76),""),"")</f>
        <v/>
      </c>
      <c r="DK77" s="215"/>
      <c r="DL77" s="214" t="str">
        <f ca="1">IFERROR(MOD(DK74,DK76),"")</f>
        <v/>
      </c>
      <c r="DM77" s="215"/>
      <c r="DN77" s="216" t="str" cm="1">
        <f t="array" aca="1" ref="DN77" ca="1">IF(DK71&lt;&gt;"",
IF(IFERROR(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MATCH(DK74,INDIRECT("'数出表_Excel（アレルギー入力）'!"&amp;DJ71&amp;MATCH(DO29,'数出表_Excel（アレルギー入力）'!$A:$A,0)-1&amp;":"&amp;DO75&amp;MATCH(DO29,'数出表_Excel（アレルギー入力）'!$A:$A,0)-1&amp;""),0)+1),
 "")&lt;&gt;0,
IF(IFERROR(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MATCH(DK74,INDIRECT("'数出表_Excel（アレルギー入力）'!"&amp;DJ71&amp;MATCH(DO29,'数出表_Excel（アレルギー入力）'!$A:$A,0)-1&amp;":"&amp;DO75&amp;MATCH(DO29,'数出表_Excel（アレルギー入力）'!$A:$A,0)-1&amp;""),0)+1),
 "")="",
IFERROR(
INDEX(INDIRECT("'数出表_Excel（アレルギー入力）'!B"&amp;MATCH(DO29,'数出表_Excel（アレルギー入力）'!$A:$A,0)-1&amp;":"&amp;DO75&amp;MATCH(DO29,'数出表_Excel（アレルギー入力）'!$A:$A,0)-1&amp;""),
 1,
MATCH(TRUE,INDEX(INDIRECT("'数出表_Excel（アレルギー入力）'!"&amp;DJ71&amp;MATCH(DO29,'数出表_Excel（アレルギー入力）'!$A:$A,0)-1&amp;":"&amp;DO75&amp;MATCH(DO29,'数出表_Excel（アレルギー入力）'!$A:$A,0)-1&amp;"")&lt;&gt;"",0),0)+1),
 ""),
IFERROR(
INDEX(INDIRECT("'数出表_Excel（アレルギー入力）'!"&amp;DJ71&amp;MATCH(DO29,'数出表_Excel（アレルギー入力）'!$A:$A,0)-1&amp;":"&amp;DO75&amp;MATCH(DO29,'数出表_Excel（アレルギー入力）'!$A:$A,0)-1&amp;""),
 1,
MATCH(DK74,INDIRECT("'数出表_Excel（アレルギー入力）'!"&amp;DJ71&amp;MATCH(DO29,'数出表_Excel（アレルギー入力）'!$A:$A,0)-1&amp;":"&amp;DO75&amp;MATCH(DO29,'数出表_Excel（アレルギー入力）'!$A:$A,0)-1&amp;""),0)+1),
 "")),0),"")</f>
        <v/>
      </c>
      <c r="DO77" s="217"/>
      <c r="DR77" s="214" t="str">
        <f ca="1">IF(DS74&lt;&gt;"",
IFERROR(INT(DS74/DS76),""),"")</f>
        <v/>
      </c>
      <c r="DS77" s="215"/>
      <c r="DT77" s="214" t="str">
        <f ca="1">IFERROR(MOD(DS74,DS76),"")</f>
        <v/>
      </c>
      <c r="DU77" s="215"/>
      <c r="DV77" s="216" t="str" cm="1">
        <f t="array" aca="1" ref="DV77" ca="1">IF(DS71&lt;&gt;"",
IF(IFERROR(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MATCH(DS74,INDIRECT("'数出表_Excel（アレルギー入力）'!"&amp;DR71&amp;MATCH(DW29,'数出表_Excel（アレルギー入力）'!$A:$A,0)-1&amp;":"&amp;DW75&amp;MATCH(DW29,'数出表_Excel（アレルギー入力）'!$A:$A,0)-1&amp;""),0)+1),
 "")&lt;&gt;0,
IF(IFERROR(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MATCH(DS74,INDIRECT("'数出表_Excel（アレルギー入力）'!"&amp;DR71&amp;MATCH(DW29,'数出表_Excel（アレルギー入力）'!$A:$A,0)-1&amp;":"&amp;DW75&amp;MATCH(DW29,'数出表_Excel（アレルギー入力）'!$A:$A,0)-1&amp;""),0)+1),
 "")="",
IFERROR(
INDEX(INDIRECT("'数出表_Excel（アレルギー入力）'!B"&amp;MATCH(DW29,'数出表_Excel（アレルギー入力）'!$A:$A,0)-1&amp;":"&amp;DW75&amp;MATCH(DW29,'数出表_Excel（アレルギー入力）'!$A:$A,0)-1&amp;""),
 1,
MATCH(TRUE,INDEX(INDIRECT("'数出表_Excel（アレルギー入力）'!"&amp;DR71&amp;MATCH(DW29,'数出表_Excel（アレルギー入力）'!$A:$A,0)-1&amp;":"&amp;DW75&amp;MATCH(DW29,'数出表_Excel（アレルギー入力）'!$A:$A,0)-1&amp;"")&lt;&gt;"",0),0)+1),
 ""),
IFERROR(
INDEX(INDIRECT("'数出表_Excel（アレルギー入力）'!"&amp;DR71&amp;MATCH(DW29,'数出表_Excel（アレルギー入力）'!$A:$A,0)-1&amp;":"&amp;DW75&amp;MATCH(DW29,'数出表_Excel（アレルギー入力）'!$A:$A,0)-1&amp;""),
 1,
MATCH(DS74,INDIRECT("'数出表_Excel（アレルギー入力）'!"&amp;DR71&amp;MATCH(DW29,'数出表_Excel（アレルギー入力）'!$A:$A,0)-1&amp;":"&amp;DW75&amp;MATCH(DW29,'数出表_Excel（アレルギー入力）'!$A:$A,0)-1&amp;""),0)+1),
 "")),0),"")</f>
        <v/>
      </c>
      <c r="DW77" s="217"/>
      <c r="DY77" s="214" t="str">
        <f ca="1">IF(DZ74&lt;&gt;"",
IFERROR(INT(DZ74/DZ76),""),"")</f>
        <v/>
      </c>
      <c r="DZ77" s="215"/>
      <c r="EA77" s="214" t="str">
        <f ca="1">IFERROR(MOD(DZ74,DZ76),"")</f>
        <v/>
      </c>
      <c r="EB77" s="215"/>
      <c r="EC77" s="216" t="str" cm="1">
        <f t="array" aca="1" ref="EC77" ca="1">IF(DZ71&lt;&gt;"",
IF(IFERROR(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MATCH(DZ74,INDIRECT("'数出表_Excel（アレルギー入力）'!"&amp;DY71&amp;MATCH(ED29,'数出表_Excel（アレルギー入力）'!$A:$A,0)-1&amp;":"&amp;ED75&amp;MATCH(ED29,'数出表_Excel（アレルギー入力）'!$A:$A,0)-1&amp;""),0)+1),
 "")&lt;&gt;0,
IF(IFERROR(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MATCH(DZ74,INDIRECT("'数出表_Excel（アレルギー入力）'!"&amp;DY71&amp;MATCH(ED29,'数出表_Excel（アレルギー入力）'!$A:$A,0)-1&amp;":"&amp;ED75&amp;MATCH(ED29,'数出表_Excel（アレルギー入力）'!$A:$A,0)-1&amp;""),0)+1),
 "")="",
IFERROR(
INDEX(INDIRECT("'数出表_Excel（アレルギー入力）'!B"&amp;MATCH(ED29,'数出表_Excel（アレルギー入力）'!$A:$A,0)-1&amp;":"&amp;ED75&amp;MATCH(ED29,'数出表_Excel（アレルギー入力）'!$A:$A,0)-1&amp;""),
 1,
MATCH(TRUE,INDEX(INDIRECT("'数出表_Excel（アレルギー入力）'!"&amp;DY71&amp;MATCH(ED29,'数出表_Excel（アレルギー入力）'!$A:$A,0)-1&amp;":"&amp;ED75&amp;MATCH(ED29,'数出表_Excel（アレルギー入力）'!$A:$A,0)-1&amp;"")&lt;&gt;"",0),0)+1),
 ""),
IFERROR(
INDEX(INDIRECT("'数出表_Excel（アレルギー入力）'!"&amp;DY71&amp;MATCH(ED29,'数出表_Excel（アレルギー入力）'!$A:$A,0)-1&amp;":"&amp;ED75&amp;MATCH(ED29,'数出表_Excel（アレルギー入力）'!$A:$A,0)-1&amp;""),
 1,
MATCH(DZ74,INDIRECT("'数出表_Excel（アレルギー入力）'!"&amp;DY71&amp;MATCH(ED29,'数出表_Excel（アレルギー入力）'!$A:$A,0)-1&amp;":"&amp;ED75&amp;MATCH(ED29,'数出表_Excel（アレルギー入力）'!$A:$A,0)-1&amp;""),0)+1),
 "")),0),"")</f>
        <v/>
      </c>
      <c r="ED77" s="217"/>
      <c r="EG77" s="214" t="str">
        <f ca="1">IF(EH74&lt;&gt;"",
IFERROR(INT(EH74/EH76),""),"")</f>
        <v/>
      </c>
      <c r="EH77" s="215"/>
      <c r="EI77" s="214" t="str">
        <f ca="1">IFERROR(MOD(EH74,EH76),"")</f>
        <v/>
      </c>
      <c r="EJ77" s="215"/>
      <c r="EK77" s="216" t="str" cm="1">
        <f t="array" aca="1" ref="EK77" ca="1">IF(EH71&lt;&gt;"",
IF(IFERROR(
INDEX(INDIRECT("'数出表_Excel（アレルギー入力）'!"&amp;EG71&amp;MATCH(EL29,'数出表_Excel（アレルギー入力）'!$A:$A,0)-1&amp;":"&amp;EL75&amp;MATCH(EL29,'数出表_Excel（アレルギー入力）'!$A:$A,0)-1&amp;""),
 1,
MATCH(EH74,INDIRECT("'数出表_Excel（アレルギー入力）'!"&amp;EG71&amp;MATCH(EL29,'数出表_Excel（アレルギー入力）'!$A:$A,0)-1&amp;":"&amp;EL75&amp;MATCH(EL29,'数出表_Excel（アレルギー入力）'!$A:$A,0)-1&amp;""),0)+1),
 "")&lt;&gt;0,
IF(IFERROR(
INDEX(INDIRECT("'数出表_Excel（アレルギー入力）'!"&amp;EG71&amp;MATCH(EL29,'数出表_Excel（アレルギー入力）'!$A:$A,0)-1&amp;":"&amp;EL75&amp;MATCH(EL29,'数出表_Excel（アレルギー入力）'!$A:$A,0)-1&amp;""),
 1,
MATCH(EH74,INDIRECT("'数出表_Excel（アレルギー入力）'!"&amp;EG71&amp;MATCH(EL29,'数出表_Excel（アレルギー入力）'!$A:$A,0)-1&amp;":"&amp;EL75&amp;MATCH(EL29,'数出表_Excel（アレルギー入力）'!$A:$A,0)-1&amp;""),0)+1),
 "")="",
IFERROR(
INDEX(INDIRECT("'数出表_Excel（アレルギー入力）'!B"&amp;MATCH(EL29,'数出表_Excel（アレルギー入力）'!$A:$A,0)-1&amp;":"&amp;EL75&amp;MATCH(EL29,'数出表_Excel（アレルギー入力）'!$A:$A,0)-1&amp;""),
 1,
MATCH(TRUE,INDEX(INDIRECT("'数出表_Excel（アレルギー入力）'!"&amp;EG71&amp;MATCH(EL29,'数出表_Excel（アレルギー入力）'!$A:$A,0)-1&amp;":"&amp;EL75&amp;MATCH(EL29,'数出表_Excel（アレルギー入力）'!$A:$A,0)-1&amp;"")&lt;&gt;"",0),0)+1),
 ""),
IFERROR(
INDEX(INDIRECT("'数出表_Excel（アレルギー入力）'!"&amp;EG71&amp;MATCH(EL29,'数出表_Excel（アレルギー入力）'!$A:$A,0)-1&amp;":"&amp;EL75&amp;MATCH(EL29,'数出表_Excel（アレルギー入力）'!$A:$A,0)-1&amp;""),
 1,
MATCH(EH74,INDIRECT("'数出表_Excel（アレルギー入力）'!"&amp;EG71&amp;MATCH(EL29,'数出表_Excel（アレルギー入力）'!$A:$A,0)-1&amp;":"&amp;EL75&amp;MATCH(EL29,'数出表_Excel（アレルギー入力）'!$A:$A,0)-1&amp;""),0)+1),
 "")),0),"")</f>
        <v/>
      </c>
      <c r="EL77" s="217"/>
      <c r="EN77" s="214" t="str">
        <f ca="1">IF(EO74&lt;&gt;"",
IFERROR(INT(EO74/EO76),""),"")</f>
        <v/>
      </c>
      <c r="EO77" s="215"/>
      <c r="EP77" s="214" t="str">
        <f ca="1">IFERROR(MOD(EO74,EO76),"")</f>
        <v/>
      </c>
      <c r="EQ77" s="215"/>
      <c r="ER77" s="216" t="str" cm="1">
        <f t="array" aca="1" ref="ER77" ca="1">IF(EO71&lt;&gt;"",
IF(IFERROR(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MATCH(EO74,INDIRECT("'数出表_Excel（アレルギー入力）'!"&amp;EN71&amp;MATCH(ES29,'数出表_Excel（アレルギー入力）'!$A:$A,0)-1&amp;":"&amp;ES75&amp;MATCH(ES29,'数出表_Excel（アレルギー入力）'!$A:$A,0)-1&amp;""),0)+1),
 "")&lt;&gt;0,
IF(IFERROR(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MATCH(EO74,INDIRECT("'数出表_Excel（アレルギー入力）'!"&amp;EN71&amp;MATCH(ES29,'数出表_Excel（アレルギー入力）'!$A:$A,0)-1&amp;":"&amp;ES75&amp;MATCH(ES29,'数出表_Excel（アレルギー入力）'!$A:$A,0)-1&amp;""),0)+1),
 "")="",
IFERROR(
INDEX(INDIRECT("'数出表_Excel（アレルギー入力）'!B"&amp;MATCH(ES29,'数出表_Excel（アレルギー入力）'!$A:$A,0)-1&amp;":"&amp;ES75&amp;MATCH(ES29,'数出表_Excel（アレルギー入力）'!$A:$A,0)-1&amp;""),
 1,
MATCH(TRUE,INDEX(INDIRECT("'数出表_Excel（アレルギー入力）'!"&amp;EN71&amp;MATCH(ES29,'数出表_Excel（アレルギー入力）'!$A:$A,0)-1&amp;":"&amp;ES75&amp;MATCH(ES29,'数出表_Excel（アレルギー入力）'!$A:$A,0)-1&amp;"")&lt;&gt;"",0),0)+1),
 ""),
IFERROR(
INDEX(INDIRECT("'数出表_Excel（アレルギー入力）'!"&amp;EN71&amp;MATCH(ES29,'数出表_Excel（アレルギー入力）'!$A:$A,0)-1&amp;":"&amp;ES75&amp;MATCH(ES29,'数出表_Excel（アレルギー入力）'!$A:$A,0)-1&amp;""),
 1,
MATCH(EO74,INDIRECT("'数出表_Excel（アレルギー入力）'!"&amp;EN71&amp;MATCH(ES29,'数出表_Excel（アレルギー入力）'!$A:$A,0)-1&amp;":"&amp;ES75&amp;MATCH(ES29,'数出表_Excel（アレルギー入力）'!$A:$A,0)-1&amp;""),0)+1),
 "")),0),"")</f>
        <v/>
      </c>
      <c r="ES77" s="217"/>
      <c r="ET77" s="78"/>
      <c r="EU77" s="112">
        <v>7</v>
      </c>
      <c r="EV77" s="103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3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3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3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3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3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3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3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3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3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3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3">
        <f t="shared" ca="1" si="5"/>
        <v>0</v>
      </c>
      <c r="FH77" s="103" t="e">
        <f t="array" aca="1" ref="FH77" ca="1">SUMPRODUCT((LEN(EV77:FF77)&gt;0)*1)&gt;0</f>
        <v>#VALUE!</v>
      </c>
      <c r="FI77" s="103" t="str">
        <f t="array" aca="1" ref="FI77" ca="1">IFERROR(SMALL(IF(FG$1:FG$169&lt;&gt;0,FG$1:FG$169),ROW(A77)),"")</f>
        <v/>
      </c>
      <c r="FJ77" s="103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3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3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3" t="str">
        <f t="array" aca="1" ref="FM77" ca="1">IF($FI77&lt;&gt;"",
IF(FL77="",
INDIRECT("CB"&amp;$FI77&amp;"")&amp;"箱"
&amp;INDIRECT("CC"&amp;$FI77&amp;""),""),"")</f>
        <v/>
      </c>
      <c r="FN77" s="103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3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3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3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3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3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3" customFormat="1" ht="19.2" customHeight="1" x14ac:dyDescent="0.55000000000000004">
      <c r="A78" s="101"/>
      <c r="B78" s="102" t="str" cm="1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198" t="str">
        <f ca="1">IF(C81&lt;&gt;"",C36,"")</f>
        <v/>
      </c>
      <c r="D78" s="198"/>
      <c r="E78" s="198"/>
      <c r="F78" s="198"/>
      <c r="G78" s="120"/>
      <c r="H78" s="101"/>
      <c r="I78" s="102" t="str" cm="1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198" t="str">
        <f ca="1">IF(J81&lt;&gt;"",J36,"")</f>
        <v/>
      </c>
      <c r="K78" s="198"/>
      <c r="L78" s="198"/>
      <c r="M78" s="198"/>
      <c r="N78" s="116"/>
      <c r="O78" s="101"/>
      <c r="P78" s="101"/>
      <c r="Q78" s="102" t="str" cm="1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198" t="str">
        <f ca="1">IF(R81&lt;&gt;"",R36,"")</f>
        <v/>
      </c>
      <c r="S78" s="198"/>
      <c r="T78" s="198"/>
      <c r="U78" s="198"/>
      <c r="V78" s="120"/>
      <c r="W78" s="101"/>
      <c r="X78" s="102" t="str" cm="1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198" t="str">
        <f ca="1">IF(Y81&lt;&gt;"",Y36,"")</f>
        <v/>
      </c>
      <c r="Z78" s="198"/>
      <c r="AA78" s="198"/>
      <c r="AB78" s="198"/>
      <c r="AC78" s="116"/>
      <c r="AD78" s="101"/>
      <c r="AE78" s="101"/>
      <c r="AF78" s="102" t="str" cm="1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198" t="str">
        <f ca="1">IF(AG81&lt;&gt;"",AG36,"")</f>
        <v/>
      </c>
      <c r="AH78" s="198"/>
      <c r="AI78" s="198"/>
      <c r="AJ78" s="198"/>
      <c r="AK78" s="120"/>
      <c r="AL78" s="101"/>
      <c r="AM78" s="102" t="str" cm="1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198" t="str">
        <f ca="1">IF(AN81&lt;&gt;"",AN36,"")</f>
        <v/>
      </c>
      <c r="AO78" s="198"/>
      <c r="AP78" s="198"/>
      <c r="AQ78" s="198"/>
      <c r="AR78" s="116"/>
      <c r="AS78" s="101"/>
      <c r="AT78" s="101"/>
      <c r="AU78" s="102" t="str" cm="1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198" t="str">
        <f ca="1">IF(AV81&lt;&gt;"",AV36,"")</f>
        <v/>
      </c>
      <c r="AW78" s="198"/>
      <c r="AX78" s="198"/>
      <c r="AY78" s="198"/>
      <c r="AZ78" s="120"/>
      <c r="BA78" s="101"/>
      <c r="BB78" s="102" t="str" cm="1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198" t="str">
        <f ca="1">IF(BC81&lt;&gt;"",BC36,"")</f>
        <v/>
      </c>
      <c r="BD78" s="198"/>
      <c r="BE78" s="198"/>
      <c r="BF78" s="198"/>
      <c r="BG78" s="116"/>
      <c r="BH78" s="101"/>
      <c r="BI78" s="101"/>
      <c r="BJ78" s="102" t="str" cm="1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198" t="str">
        <f ca="1">IF(BK81&lt;&gt;"",BK36,"")</f>
        <v/>
      </c>
      <c r="BL78" s="198"/>
      <c r="BM78" s="198"/>
      <c r="BN78" s="198"/>
      <c r="BO78" s="120"/>
      <c r="BP78" s="101"/>
      <c r="BQ78" s="102" t="str" cm="1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198" t="str">
        <f ca="1">IF(BR81&lt;&gt;"",BR36,"")</f>
        <v/>
      </c>
      <c r="BS78" s="198"/>
      <c r="BT78" s="198"/>
      <c r="BU78" s="198"/>
      <c r="BV78" s="116"/>
      <c r="BW78" s="101"/>
      <c r="BX78" s="101"/>
      <c r="BY78" s="102" t="str" cm="1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198" t="str">
        <f ca="1">IF(BZ81&lt;&gt;"",BZ36,"")</f>
        <v/>
      </c>
      <c r="CA78" s="198"/>
      <c r="CB78" s="198"/>
      <c r="CC78" s="198"/>
      <c r="CD78" s="120"/>
      <c r="CE78" s="101"/>
      <c r="CF78" s="102" t="str" cm="1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198" t="str">
        <f ca="1">IF(CG81&lt;&gt;"",CG36,"")</f>
        <v/>
      </c>
      <c r="CH78" s="198"/>
      <c r="CI78" s="198"/>
      <c r="CJ78" s="198"/>
      <c r="CK78" s="116"/>
      <c r="CL78" s="101"/>
      <c r="CM78" s="101"/>
      <c r="CN78" s="102" t="str" cm="1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198" t="str">
        <f ca="1">IF(CO81&lt;&gt;"",CO36,"")</f>
        <v/>
      </c>
      <c r="CP78" s="198"/>
      <c r="CQ78" s="198"/>
      <c r="CR78" s="198"/>
      <c r="CS78" s="120"/>
      <c r="CT78" s="101"/>
      <c r="CU78" s="102" t="str" cm="1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198" t="str">
        <f ca="1">IF(CV81&lt;&gt;"",CV36,"")</f>
        <v/>
      </c>
      <c r="CW78" s="198"/>
      <c r="CX78" s="198"/>
      <c r="CY78" s="198"/>
      <c r="CZ78" s="116"/>
      <c r="DA78" s="101"/>
      <c r="DB78" s="101"/>
      <c r="DC78" s="102" t="str" cm="1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198" t="str">
        <f ca="1">IF(DD81&lt;&gt;"",DD36,"")</f>
        <v/>
      </c>
      <c r="DE78" s="198"/>
      <c r="DF78" s="198"/>
      <c r="DG78" s="198"/>
      <c r="DH78" s="120"/>
      <c r="DI78" s="101"/>
      <c r="DJ78" s="102" t="str" cm="1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198" t="str">
        <f ca="1">IF(DK81&lt;&gt;"",DK36,"")</f>
        <v/>
      </c>
      <c r="DL78" s="198"/>
      <c r="DM78" s="198"/>
      <c r="DN78" s="198"/>
      <c r="DO78" s="116"/>
      <c r="DP78" s="101"/>
      <c r="DQ78" s="101"/>
      <c r="DR78" s="102" t="str" cm="1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198" t="str">
        <f ca="1">IF(DS81&lt;&gt;"",DS36,"")</f>
        <v/>
      </c>
      <c r="DT78" s="198"/>
      <c r="DU78" s="198"/>
      <c r="DV78" s="198"/>
      <c r="DW78" s="120"/>
      <c r="DX78" s="101"/>
      <c r="DY78" s="102" t="str" cm="1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198" t="str">
        <f ca="1">IF(DZ81&lt;&gt;"",DZ36,"")</f>
        <v/>
      </c>
      <c r="EA78" s="198"/>
      <c r="EB78" s="198"/>
      <c r="EC78" s="198"/>
      <c r="ED78" s="116"/>
      <c r="EE78" s="101"/>
      <c r="EF78" s="101"/>
      <c r="EG78" s="102" t="str" cm="1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198" t="str">
        <f ca="1">IF(EH81&lt;&gt;"",EH36,"")</f>
        <v/>
      </c>
      <c r="EI78" s="198"/>
      <c r="EJ78" s="198"/>
      <c r="EK78" s="198"/>
      <c r="EL78" s="120"/>
      <c r="EM78" s="101"/>
      <c r="EN78" s="102" t="str" cm="1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198" t="str">
        <f ca="1">IF(EO81&lt;&gt;"",EO36,"")</f>
        <v/>
      </c>
      <c r="EP78" s="198"/>
      <c r="EQ78" s="198"/>
      <c r="ER78" s="198"/>
      <c r="ES78" s="116"/>
      <c r="ET78" s="132"/>
      <c r="EU78" s="103">
        <f>EU74+7</f>
        <v>49</v>
      </c>
      <c r="EV78" s="103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3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3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3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3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3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3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3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3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3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3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3">
        <f t="shared" ca="1" si="5"/>
        <v>0</v>
      </c>
      <c r="FH78" s="103" t="b">
        <f t="array" aca="1" ref="FH78" ca="1">SUMPRODUCT((LEN(EV78:FF78)&gt;0)*1)&gt;0</f>
        <v>0</v>
      </c>
      <c r="FI78" s="103" t="str">
        <f t="array" aca="1" ref="FI78" ca="1">IFERROR(SMALL(IF(FG$1:FG$169&lt;&gt;0,FG$1:FG$169),ROW(A78)),"")</f>
        <v/>
      </c>
      <c r="FJ78" s="103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3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3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3" t="str">
        <f t="array" aca="1" ref="FM78" ca="1">IF($FI78&lt;&gt;"",
IF(FL78="",
INDIRECT("CB"&amp;$FI78&amp;"")&amp;"箱"
&amp;INDIRECT("CC"&amp;$FI78&amp;""),""),"")</f>
        <v/>
      </c>
      <c r="FN78" s="103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3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3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3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3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3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3" customFormat="1" ht="19.2" customHeight="1" x14ac:dyDescent="0.55000000000000004">
      <c r="A79" s="101"/>
      <c r="B79" s="106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5" t="str" cm="1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101"/>
      <c r="E79" s="107" t="str" cm="1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+MATCH(TRUE,INDIRECT("'数出表_Excel'!"&amp;B78&amp;MATCH(C78,数出表_Excel!$A:$A,0)-1&amp;":AL"&amp;MATCH(C78,数出表_Excel!$A:$A,0)-1&amp;"")&lt;&gt;"",0))&gt;=12,"",
IFERROR(
INDEX(INDIRECT("数出表_Excel!$"&amp;B78&amp;"4:$AL4"),
 1,
MATCH(TRUE,INDIRECT("'数出表_Excel'!"&amp;B78&amp;MATCH(C78,数出表_Excel!$A:$A,0)-1&amp;":AL"&amp;MATCH(C78,数出表_Excel!$A:$A,0)-1&amp;"")&lt;&gt;"",0)
),
 "")
&amp;IFERROR(
INDEX(INDIRECT("数出表_Excel!$"&amp;B78&amp;"5:$AL5"),
 1,
MATCH(TRUE,INDIRECT("'数出表_Excel'!"&amp;B78&amp;MATCH(C78,数出表_Excel!$A:$A,0)-1&amp;":AL"&amp;MATCH(C78,数出表_Excel!$A:$A,0)-1&amp;"")&lt;&gt;"",0)),
 "")),"")))</f>
        <v/>
      </c>
      <c r="F79" s="108" t="str" cm="1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ISNUMBER(--INDIRECT("'数出表_Excel（アレルギー入力）'!B"&amp;MATCH(C78,'数出表_Excel（アレルギー入力）'!$A:$A,0)-1&amp;":AL"&amp;MATCH(C78,'数出表_Excel（アレルギー入力）'!$A:$A,0)-1&amp;"")),0)&gt;10,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21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01"/>
      <c r="I79" s="106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5" t="str" cm="1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101"/>
      <c r="L79" s="107" t="str" cm="1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+MATCH(TRUE,INDIRECT("'数出表_Excel'!"&amp;I78&amp;MATCH(J78,数出表_Excel!$A:$A,0)-1&amp;":AL"&amp;MATCH(J78,数出表_Excel!$A:$A,0)-1&amp;"")&lt;&gt;"",0))&gt;=12,"",
IFERROR(
INDEX(INDIRECT("数出表_Excel!$"&amp;I78&amp;"4:$AL4"),
 1,
MATCH(TRUE,INDIRECT("'数出表_Excel'!"&amp;I78&amp;MATCH(J78,数出表_Excel!$A:$A,0)-1&amp;":AL"&amp;MATCH(J78,数出表_Excel!$A:$A,0)-1&amp;"")&lt;&gt;"",0)
),
 "")
&amp;IFERROR(
INDEX(INDIRECT("数出表_Excel!$"&amp;I78&amp;"5:$AL5"),
 1,
MATCH(TRUE,INDIRECT("'数出表_Excel'!"&amp;I78&amp;MATCH(J78,数出表_Excel!$A:$A,0)-1&amp;":AL"&amp;MATCH(J78,数出表_Excel!$A:$A,0)-1&amp;"")&lt;&gt;"",0)),
 "")),"")))</f>
        <v/>
      </c>
      <c r="M79" s="108" t="str" cm="1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ISNUMBER(--INDIRECT("'数出表_Excel（アレルギー入力）'!B"&amp;MATCH(J78,'数出表_Excel（アレルギー入力）'!$A:$A,0)-1&amp;":AL"&amp;MATCH(J78,'数出表_Excel（アレルギー入力）'!$A:$A,0)-1&amp;"")),0)&gt;10,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117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01"/>
      <c r="P79" s="101"/>
      <c r="Q79" s="106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5" t="str" cm="1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101"/>
      <c r="T79" s="107" t="str" cm="1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+MATCH(TRUE,INDIRECT("'数出表_Excel'!"&amp;Q78&amp;MATCH(R78,数出表_Excel!$A:$A,0)-1&amp;":AL"&amp;MATCH(R78,数出表_Excel!$A:$A,0)-1&amp;"")&lt;&gt;"",0))&gt;=12,"",
IFERROR(
INDEX(INDIRECT("数出表_Excel!$"&amp;Q78&amp;"4:$AL4"),
 1,
MATCH(TRUE,INDIRECT("'数出表_Excel'!"&amp;Q78&amp;MATCH(R78,数出表_Excel!$A:$A,0)-1&amp;":AL"&amp;MATCH(R78,数出表_Excel!$A:$A,0)-1&amp;"")&lt;&gt;"",0)
),
 "")
&amp;IFERROR(
INDEX(INDIRECT("数出表_Excel!$"&amp;Q78&amp;"5:$AL5"),
 1,
MATCH(TRUE,INDIRECT("'数出表_Excel'!"&amp;Q78&amp;MATCH(R78,数出表_Excel!$A:$A,0)-1&amp;":AL"&amp;MATCH(R78,数出表_Excel!$A:$A,0)-1&amp;"")&lt;&gt;"",0)),
 "")),"")))</f>
        <v/>
      </c>
      <c r="U79" s="108" t="str" cm="1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ISNUMBER(--INDIRECT("'数出表_Excel（アレルギー入力）'!B"&amp;MATCH(R78,'数出表_Excel（アレルギー入力）'!$A:$A,0)-1&amp;":AL"&amp;MATCH(R78,'数出表_Excel（アレルギー入力）'!$A:$A,0)-1&amp;"")),0)&gt;10,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21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1"/>
      <c r="X79" s="106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5" t="str" cm="1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101"/>
      <c r="AA79" s="107" t="str" cm="1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+MATCH(TRUE,INDIRECT("'数出表_Excel'!"&amp;X78&amp;MATCH(Y78,数出表_Excel!$A:$A,0)-1&amp;":AL"&amp;MATCH(Y78,数出表_Excel!$A:$A,0)-1&amp;"")&lt;&gt;"",0))&gt;=12,"",
IFERROR(
INDEX(INDIRECT("数出表_Excel!$"&amp;X78&amp;"4:$AL4"),
 1,
MATCH(TRUE,INDIRECT("'数出表_Excel'!"&amp;X78&amp;MATCH(Y78,数出表_Excel!$A:$A,0)-1&amp;":AL"&amp;MATCH(Y78,数出表_Excel!$A:$A,0)-1&amp;"")&lt;&gt;"",0)
),
 "")
&amp;IFERROR(
INDEX(INDIRECT("数出表_Excel!$"&amp;X78&amp;"5:$AL5"),
 1,
MATCH(TRUE,INDIRECT("'数出表_Excel'!"&amp;X78&amp;MATCH(Y78,数出表_Excel!$A:$A,0)-1&amp;":AL"&amp;MATCH(Y78,数出表_Excel!$A:$A,0)-1&amp;"")&lt;&gt;"",0)),
 "")),"")))</f>
        <v/>
      </c>
      <c r="AB79" s="108" t="str" cm="1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ISNUMBER(--INDIRECT("'数出表_Excel（アレルギー入力）'!B"&amp;MATCH(Y78,'数出表_Excel（アレルギー入力）'!$A:$A,0)-1&amp;":AL"&amp;MATCH(Y78,'数出表_Excel（アレルギー入力）'!$A:$A,0)-1&amp;"")),0)&gt;10,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117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1"/>
      <c r="AE79" s="101"/>
      <c r="AF79" s="106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5" t="str" cm="1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101"/>
      <c r="AI79" s="107" t="str" cm="1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+MATCH(TRUE,INDIRECT("'数出表_Excel'!"&amp;AF78&amp;MATCH(AG78,数出表_Excel!$A:$A,0)-1&amp;":AL"&amp;MATCH(AG78,数出表_Excel!$A:$A,0)-1&amp;"")&lt;&gt;"",0))&gt;=12,"",
IFERROR(
INDEX(INDIRECT("数出表_Excel!$"&amp;AF78&amp;"4:$AL4"),
 1,
MATCH(TRUE,INDIRECT("'数出表_Excel'!"&amp;AF78&amp;MATCH(AG78,数出表_Excel!$A:$A,0)-1&amp;":AL"&amp;MATCH(AG78,数出表_Excel!$A:$A,0)-1&amp;"")&lt;&gt;"",0)
),
 "")
&amp;IFERROR(
INDEX(INDIRECT("数出表_Excel!$"&amp;AF78&amp;"5:$AL5"),
 1,
MATCH(TRUE,INDIRECT("'数出表_Excel'!"&amp;AF78&amp;MATCH(AG78,数出表_Excel!$A:$A,0)-1&amp;":AL"&amp;MATCH(AG78,数出表_Excel!$A:$A,0)-1&amp;"")&lt;&gt;"",0)),
 "")),"")))</f>
        <v/>
      </c>
      <c r="AJ79" s="108" t="str" cm="1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ISNUMBER(--INDIRECT("'数出表_Excel（アレルギー入力）'!B"&amp;MATCH(AG78,'数出表_Excel（アレルギー入力）'!$A:$A,0)-1&amp;":AL"&amp;MATCH(AG78,'数出表_Excel（アレルギー入力）'!$A:$A,0)-1&amp;"")),0)&gt;10,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21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1"/>
      <c r="AM79" s="106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5" t="str" cm="1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101"/>
      <c r="AP79" s="107" t="str" cm="1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+MATCH(TRUE,INDIRECT("'数出表_Excel'!"&amp;AM78&amp;MATCH(AN78,数出表_Excel!$A:$A,0)-1&amp;":AL"&amp;MATCH(AN78,数出表_Excel!$A:$A,0)-1&amp;"")&lt;&gt;"",0))&gt;=12,"",
IFERROR(
INDEX(INDIRECT("数出表_Excel!$"&amp;AM78&amp;"4:$AL4"),
 1,
MATCH(TRUE,INDIRECT("'数出表_Excel'!"&amp;AM78&amp;MATCH(AN78,数出表_Excel!$A:$A,0)-1&amp;":AL"&amp;MATCH(AN78,数出表_Excel!$A:$A,0)-1&amp;"")&lt;&gt;"",0)
),
 "")
&amp;IFERROR(
INDEX(INDIRECT("数出表_Excel!$"&amp;AM78&amp;"5:$AL5"),
 1,
MATCH(TRUE,INDIRECT("'数出表_Excel'!"&amp;AM78&amp;MATCH(AN78,数出表_Excel!$A:$A,0)-1&amp;":AL"&amp;MATCH(AN78,数出表_Excel!$A:$A,0)-1&amp;"")&lt;&gt;"",0)),
 "")),"")))</f>
        <v/>
      </c>
      <c r="AQ79" s="108" t="str" cm="1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ISNUMBER(--INDIRECT("'数出表_Excel（アレルギー入力）'!B"&amp;MATCH(AN78,'数出表_Excel（アレルギー入力）'!$A:$A,0)-1&amp;":AL"&amp;MATCH(AN78,'数出表_Excel（アレルギー入力）'!$A:$A,0)-1&amp;"")),0)&gt;10,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117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1"/>
      <c r="AT79" s="101"/>
      <c r="AU79" s="106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5" t="str" cm="1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101"/>
      <c r="AX79" s="107" t="str" cm="1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+MATCH(TRUE,INDIRECT("'数出表_Excel'!"&amp;AU78&amp;MATCH(AV78,数出表_Excel!$A:$A,0)-1&amp;":AL"&amp;MATCH(AV78,数出表_Excel!$A:$A,0)-1&amp;"")&lt;&gt;"",0))&gt;=12,"",
IFERROR(
INDEX(INDIRECT("数出表_Excel!$"&amp;AU78&amp;"4:$AL4"),
 1,
MATCH(TRUE,INDIRECT("'数出表_Excel'!"&amp;AU78&amp;MATCH(AV78,数出表_Excel!$A:$A,0)-1&amp;":AL"&amp;MATCH(AV78,数出表_Excel!$A:$A,0)-1&amp;"")&lt;&gt;"",0)
),
 "")
&amp;IFERROR(
INDEX(INDIRECT("数出表_Excel!$"&amp;AU78&amp;"5:$AL5"),
 1,
MATCH(TRUE,INDIRECT("'数出表_Excel'!"&amp;AU78&amp;MATCH(AV78,数出表_Excel!$A:$A,0)-1&amp;":AL"&amp;MATCH(AV78,数出表_Excel!$A:$A,0)-1&amp;"")&lt;&gt;"",0)),
 "")),"")))</f>
        <v/>
      </c>
      <c r="AY79" s="108" t="str" cm="1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ISNUMBER(--INDIRECT("'数出表_Excel（アレルギー入力）'!B"&amp;MATCH(AV78,'数出表_Excel（アレルギー入力）'!$A:$A,0)-1&amp;":AL"&amp;MATCH(AV78,'数出表_Excel（アレルギー入力）'!$A:$A,0)-1&amp;"")),0)&gt;10,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21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1"/>
      <c r="BB79" s="106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5" t="str" cm="1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101"/>
      <c r="BE79" s="107" t="str" cm="1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+MATCH(TRUE,INDIRECT("'数出表_Excel'!"&amp;BB78&amp;MATCH(BC78,数出表_Excel!$A:$A,0)-1&amp;":AL"&amp;MATCH(BC78,数出表_Excel!$A:$A,0)-1&amp;"")&lt;&gt;"",0))&gt;=12,"",
IFERROR(
INDEX(INDIRECT("数出表_Excel!$"&amp;BB78&amp;"4:$AL4"),
 1,
MATCH(TRUE,INDIRECT("'数出表_Excel'!"&amp;BB78&amp;MATCH(BC78,数出表_Excel!$A:$A,0)-1&amp;":AL"&amp;MATCH(BC78,数出表_Excel!$A:$A,0)-1&amp;"")&lt;&gt;"",0)
),
 "")
&amp;IFERROR(
INDEX(INDIRECT("数出表_Excel!$"&amp;BB78&amp;"5:$AL5"),
 1,
MATCH(TRUE,INDIRECT("'数出表_Excel'!"&amp;BB78&amp;MATCH(BC78,数出表_Excel!$A:$A,0)-1&amp;":AL"&amp;MATCH(BC78,数出表_Excel!$A:$A,0)-1&amp;"")&lt;&gt;"",0)),
 "")),"")))</f>
        <v/>
      </c>
      <c r="BF79" s="108" t="str" cm="1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ISNUMBER(--INDIRECT("'数出表_Excel（アレルギー入力）'!B"&amp;MATCH(BC78,'数出表_Excel（アレルギー入力）'!$A:$A,0)-1&amp;":AL"&amp;MATCH(BC78,'数出表_Excel（アレルギー入力）'!$A:$A,0)-1&amp;"")),0)&gt;10,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117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1"/>
      <c r="BI79" s="101"/>
      <c r="BJ79" s="106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5" t="str" cm="1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101"/>
      <c r="BM79" s="107" t="str" cm="1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+MATCH(TRUE,INDIRECT("'数出表_Excel'!"&amp;BJ78&amp;MATCH(BK78,数出表_Excel!$A:$A,0)-1&amp;":AL"&amp;MATCH(BK78,数出表_Excel!$A:$A,0)-1&amp;"")&lt;&gt;"",0))&gt;=12,"",
IFERROR(
INDEX(INDIRECT("数出表_Excel!$"&amp;BJ78&amp;"4:$AL4"),
 1,
MATCH(TRUE,INDIRECT("'数出表_Excel'!"&amp;BJ78&amp;MATCH(BK78,数出表_Excel!$A:$A,0)-1&amp;":AL"&amp;MATCH(BK78,数出表_Excel!$A:$A,0)-1&amp;"")&lt;&gt;"",0)
),
 "")
&amp;IFERROR(
INDEX(INDIRECT("数出表_Excel!$"&amp;BJ78&amp;"5:$AL5"),
 1,
MATCH(TRUE,INDIRECT("'数出表_Excel'!"&amp;BJ78&amp;MATCH(BK78,数出表_Excel!$A:$A,0)-1&amp;":AL"&amp;MATCH(BK78,数出表_Excel!$A:$A,0)-1&amp;"")&lt;&gt;"",0)),
 "")),"")))</f>
        <v/>
      </c>
      <c r="BN79" s="108" t="str" cm="1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ISNUMBER(--INDIRECT("'数出表_Excel（アレルギー入力）'!B"&amp;MATCH(BK78,'数出表_Excel（アレルギー入力）'!$A:$A,0)-1&amp;":AL"&amp;MATCH(BK78,'数出表_Excel（アレルギー入力）'!$A:$A,0)-1&amp;"")),0)&gt;10,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21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1"/>
      <c r="BQ79" s="106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5" t="str" cm="1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101"/>
      <c r="BT79" s="107" t="str" cm="1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+MATCH(TRUE,INDIRECT("'数出表_Excel'!"&amp;BQ78&amp;MATCH(BR78,数出表_Excel!$A:$A,0)-1&amp;":AL"&amp;MATCH(BR78,数出表_Excel!$A:$A,0)-1&amp;"")&lt;&gt;"",0))&gt;=12,"",
IFERROR(
INDEX(INDIRECT("数出表_Excel!$"&amp;BQ78&amp;"4:$AL4"),
 1,
MATCH(TRUE,INDIRECT("'数出表_Excel'!"&amp;BQ78&amp;MATCH(BR78,数出表_Excel!$A:$A,0)-1&amp;":AL"&amp;MATCH(BR78,数出表_Excel!$A:$A,0)-1&amp;"")&lt;&gt;"",0)
),
 "")
&amp;IFERROR(
INDEX(INDIRECT("数出表_Excel!$"&amp;BQ78&amp;"5:$AL5"),
 1,
MATCH(TRUE,INDIRECT("'数出表_Excel'!"&amp;BQ78&amp;MATCH(BR78,数出表_Excel!$A:$A,0)-1&amp;":AL"&amp;MATCH(BR78,数出表_Excel!$A:$A,0)-1&amp;"")&lt;&gt;"",0)),
 "")),"")))</f>
        <v/>
      </c>
      <c r="BU79" s="108" t="str" cm="1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ISNUMBER(--INDIRECT("'数出表_Excel（アレルギー入力）'!B"&amp;MATCH(BR78,'数出表_Excel（アレルギー入力）'!$A:$A,0)-1&amp;":AL"&amp;MATCH(BR78,'数出表_Excel（アレルギー入力）'!$A:$A,0)-1&amp;"")),0)&gt;10,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117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1"/>
      <c r="BX79" s="101"/>
      <c r="BY79" s="106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5" t="str" cm="1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101"/>
      <c r="CB79" s="107" t="str" cm="1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+MATCH(TRUE,INDIRECT("'数出表_Excel'!"&amp;BY78&amp;MATCH(BZ78,数出表_Excel!$A:$A,0)-1&amp;":AL"&amp;MATCH(BZ78,数出表_Excel!$A:$A,0)-1&amp;"")&lt;&gt;"",0))&gt;=12,"",
IFERROR(
INDEX(INDIRECT("数出表_Excel!$"&amp;BY78&amp;"4:$AL4"),
 1,
MATCH(TRUE,INDIRECT("'数出表_Excel'!"&amp;BY78&amp;MATCH(BZ78,数出表_Excel!$A:$A,0)-1&amp;":AL"&amp;MATCH(BZ78,数出表_Excel!$A:$A,0)-1&amp;"")&lt;&gt;"",0)
),
 "")
&amp;IFERROR(
INDEX(INDIRECT("数出表_Excel!$"&amp;BY78&amp;"5:$AL5"),
 1,
MATCH(TRUE,INDIRECT("'数出表_Excel'!"&amp;BY78&amp;MATCH(BZ78,数出表_Excel!$A:$A,0)-1&amp;":AL"&amp;MATCH(BZ78,数出表_Excel!$A:$A,0)-1&amp;"")&lt;&gt;"",0)),
 "")),"")))</f>
        <v/>
      </c>
      <c r="CC79" s="108" t="str" cm="1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ISNUMBER(--INDIRECT("'数出表_Excel（アレルギー入力）'!B"&amp;MATCH(BZ78,'数出表_Excel（アレルギー入力）'!$A:$A,0)-1&amp;":AL"&amp;MATCH(BZ78,'数出表_Excel（アレルギー入力）'!$A:$A,0)-1&amp;"")),0)&gt;10,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21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1"/>
      <c r="CF79" s="106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5" t="str" cm="1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101"/>
      <c r="CI79" s="107" t="str" cm="1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+MATCH(TRUE,INDIRECT("'数出表_Excel'!"&amp;CF78&amp;MATCH(CG78,数出表_Excel!$A:$A,0)-1&amp;":AL"&amp;MATCH(CG78,数出表_Excel!$A:$A,0)-1&amp;"")&lt;&gt;"",0))&gt;=12,"",
IFERROR(
INDEX(INDIRECT("数出表_Excel!$"&amp;CF78&amp;"4:$AL4"),
 1,
MATCH(TRUE,INDIRECT("'数出表_Excel'!"&amp;CF78&amp;MATCH(CG78,数出表_Excel!$A:$A,0)-1&amp;":AL"&amp;MATCH(CG78,数出表_Excel!$A:$A,0)-1&amp;"")&lt;&gt;"",0)
),
 "")
&amp;IFERROR(
INDEX(INDIRECT("数出表_Excel!$"&amp;CF78&amp;"5:$AL5"),
 1,
MATCH(TRUE,INDIRECT("'数出表_Excel'!"&amp;CF78&amp;MATCH(CG78,数出表_Excel!$A:$A,0)-1&amp;":AL"&amp;MATCH(CG78,数出表_Excel!$A:$A,0)-1&amp;"")&lt;&gt;"",0)),
 "")),"")))</f>
        <v/>
      </c>
      <c r="CJ79" s="108" t="str" cm="1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ISNUMBER(--INDIRECT("'数出表_Excel（アレルギー入力）'!B"&amp;MATCH(CG78,'数出表_Excel（アレルギー入力）'!$A:$A,0)-1&amp;":AL"&amp;MATCH(CG78,'数出表_Excel（アレルギー入力）'!$A:$A,0)-1&amp;"")),0)&gt;10,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117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1"/>
      <c r="CM79" s="101"/>
      <c r="CN79" s="106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5" t="str" cm="1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101"/>
      <c r="CQ79" s="107" t="str" cm="1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+MATCH(TRUE,INDIRECT("'数出表_Excel'!"&amp;CN78&amp;MATCH(CO78,数出表_Excel!$A:$A,0)-1&amp;":AL"&amp;MATCH(CO78,数出表_Excel!$A:$A,0)-1&amp;"")&lt;&gt;"",0))&gt;=12,"",
IFERROR(
INDEX(INDIRECT("数出表_Excel!$"&amp;CN78&amp;"4:$AL4"),
 1,
MATCH(TRUE,INDIRECT("'数出表_Excel'!"&amp;CN78&amp;MATCH(CO78,数出表_Excel!$A:$A,0)-1&amp;":AL"&amp;MATCH(CO78,数出表_Excel!$A:$A,0)-1&amp;"")&lt;&gt;"",0)
),
 "")
&amp;IFERROR(
INDEX(INDIRECT("数出表_Excel!$"&amp;CN78&amp;"5:$AL5"),
 1,
MATCH(TRUE,INDIRECT("'数出表_Excel'!"&amp;CN78&amp;MATCH(CO78,数出表_Excel!$A:$A,0)-1&amp;":AL"&amp;MATCH(CO78,数出表_Excel!$A:$A,0)-1&amp;"")&lt;&gt;"",0)),
 "")),"")))</f>
        <v/>
      </c>
      <c r="CR79" s="108" t="str" cm="1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ISNUMBER(--INDIRECT("'数出表_Excel（アレルギー入力）'!B"&amp;MATCH(CO78,'数出表_Excel（アレルギー入力）'!$A:$A,0)-1&amp;":AL"&amp;MATCH(CO78,'数出表_Excel（アレルギー入力）'!$A:$A,0)-1&amp;"")),0)&gt;10,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21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1"/>
      <c r="CU79" s="106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5" t="str" cm="1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101"/>
      <c r="CX79" s="107" t="str" cm="1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+MATCH(TRUE,INDIRECT("'数出表_Excel'!"&amp;CU78&amp;MATCH(CV78,数出表_Excel!$A:$A,0)-1&amp;":AL"&amp;MATCH(CV78,数出表_Excel!$A:$A,0)-1&amp;"")&lt;&gt;"",0))&gt;=12,"",
IFERROR(
INDEX(INDIRECT("数出表_Excel!$"&amp;CU78&amp;"4:$AL4"),
 1,
MATCH(TRUE,INDIRECT("'数出表_Excel'!"&amp;CU78&amp;MATCH(CV78,数出表_Excel!$A:$A,0)-1&amp;":AL"&amp;MATCH(CV78,数出表_Excel!$A:$A,0)-1&amp;"")&lt;&gt;"",0)
),
 "")
&amp;IFERROR(
INDEX(INDIRECT("数出表_Excel!$"&amp;CU78&amp;"5:$AL5"),
 1,
MATCH(TRUE,INDIRECT("'数出表_Excel'!"&amp;CU78&amp;MATCH(CV78,数出表_Excel!$A:$A,0)-1&amp;":AL"&amp;MATCH(CV78,数出表_Excel!$A:$A,0)-1&amp;"")&lt;&gt;"",0)),
 "")),"")))</f>
        <v/>
      </c>
      <c r="CY79" s="108" t="str" cm="1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ISNUMBER(--INDIRECT("'数出表_Excel（アレルギー入力）'!B"&amp;MATCH(CV78,'数出表_Excel（アレルギー入力）'!$A:$A,0)-1&amp;":AL"&amp;MATCH(CV78,'数出表_Excel（アレルギー入力）'!$A:$A,0)-1&amp;"")),0)&gt;10,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117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1"/>
      <c r="DB79" s="101"/>
      <c r="DC79" s="106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5" t="str" cm="1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101"/>
      <c r="DF79" s="107" t="str" cm="1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+MATCH(TRUE,INDIRECT("'数出表_Excel'!"&amp;DC78&amp;MATCH(DD78,数出表_Excel!$A:$A,0)-1&amp;":AL"&amp;MATCH(DD78,数出表_Excel!$A:$A,0)-1&amp;"")&lt;&gt;"",0))&gt;=12,"",
IFERROR(
INDEX(INDIRECT("数出表_Excel!$"&amp;DC78&amp;"4:$AL4"),
 1,
MATCH(TRUE,INDIRECT("'数出表_Excel'!"&amp;DC78&amp;MATCH(DD78,数出表_Excel!$A:$A,0)-1&amp;":AL"&amp;MATCH(DD78,数出表_Excel!$A:$A,0)-1&amp;"")&lt;&gt;"",0)
),
 "")
&amp;IFERROR(
INDEX(INDIRECT("数出表_Excel!$"&amp;DC78&amp;"5:$AL5"),
 1,
MATCH(TRUE,INDIRECT("'数出表_Excel'!"&amp;DC78&amp;MATCH(DD78,数出表_Excel!$A:$A,0)-1&amp;":AL"&amp;MATCH(DD78,数出表_Excel!$A:$A,0)-1&amp;"")&lt;&gt;"",0)),
 "")),"")))</f>
        <v/>
      </c>
      <c r="DG79" s="108" t="str" cm="1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ISNUMBER(--INDIRECT("'数出表_Excel（アレルギー入力）'!B"&amp;MATCH(DD78,'数出表_Excel（アレルギー入力）'!$A:$A,0)-1&amp;":AL"&amp;MATCH(DD78,'数出表_Excel（アレルギー入力）'!$A:$A,0)-1&amp;"")),0)&gt;10,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21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1"/>
      <c r="DJ79" s="106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5" t="str" cm="1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101"/>
      <c r="DM79" s="107" t="str" cm="1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+MATCH(TRUE,INDIRECT("'数出表_Excel'!"&amp;DJ78&amp;MATCH(DK78,数出表_Excel!$A:$A,0)-1&amp;":AL"&amp;MATCH(DK78,数出表_Excel!$A:$A,0)-1&amp;"")&lt;&gt;"",0))&gt;=12,"",
IFERROR(
INDEX(INDIRECT("数出表_Excel!$"&amp;DJ78&amp;"4:$AL4"),
 1,
MATCH(TRUE,INDIRECT("'数出表_Excel'!"&amp;DJ78&amp;MATCH(DK78,数出表_Excel!$A:$A,0)-1&amp;":AL"&amp;MATCH(DK78,数出表_Excel!$A:$A,0)-1&amp;"")&lt;&gt;"",0)
),
 "")
&amp;IFERROR(
INDEX(INDIRECT("数出表_Excel!$"&amp;DJ78&amp;"5:$AL5"),
 1,
MATCH(TRUE,INDIRECT("'数出表_Excel'!"&amp;DJ78&amp;MATCH(DK78,数出表_Excel!$A:$A,0)-1&amp;":AL"&amp;MATCH(DK78,数出表_Excel!$A:$A,0)-1&amp;"")&lt;&gt;"",0)),
 "")),"")))</f>
        <v/>
      </c>
      <c r="DN79" s="108" t="str" cm="1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ISNUMBER(--INDIRECT("'数出表_Excel（アレルギー入力）'!B"&amp;MATCH(DK78,'数出表_Excel（アレルギー入力）'!$A:$A,0)-1&amp;":AL"&amp;MATCH(DK78,'数出表_Excel（アレルギー入力）'!$A:$A,0)-1&amp;"")),0)&gt;10,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117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1"/>
      <c r="DQ79" s="101"/>
      <c r="DR79" s="106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5" t="str" cm="1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101"/>
      <c r="DU79" s="107" t="str" cm="1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+MATCH(TRUE,INDIRECT("'数出表_Excel'!"&amp;DR78&amp;MATCH(DS78,数出表_Excel!$A:$A,0)-1&amp;":AL"&amp;MATCH(DS78,数出表_Excel!$A:$A,0)-1&amp;"")&lt;&gt;"",0))&gt;=12,"",
IFERROR(
INDEX(INDIRECT("数出表_Excel!$"&amp;DR78&amp;"4:$AL4"),
 1,
MATCH(TRUE,INDIRECT("'数出表_Excel'!"&amp;DR78&amp;MATCH(DS78,数出表_Excel!$A:$A,0)-1&amp;":AL"&amp;MATCH(DS78,数出表_Excel!$A:$A,0)-1&amp;"")&lt;&gt;"",0)
),
 "")
&amp;IFERROR(
INDEX(INDIRECT("数出表_Excel!$"&amp;DR78&amp;"5:$AL5"),
 1,
MATCH(TRUE,INDIRECT("'数出表_Excel'!"&amp;DR78&amp;MATCH(DS78,数出表_Excel!$A:$A,0)-1&amp;":AL"&amp;MATCH(DS78,数出表_Excel!$A:$A,0)-1&amp;"")&lt;&gt;"",0)),
 "")),"")))</f>
        <v/>
      </c>
      <c r="DV79" s="108" t="str" cm="1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ISNUMBER(--INDIRECT("'数出表_Excel（アレルギー入力）'!B"&amp;MATCH(DS78,'数出表_Excel（アレルギー入力）'!$A:$A,0)-1&amp;":AL"&amp;MATCH(DS78,'数出表_Excel（アレルギー入力）'!$A:$A,0)-1&amp;"")),0)&gt;10,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21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1"/>
      <c r="DY79" s="106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5" t="str" cm="1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101"/>
      <c r="EB79" s="107" t="str" cm="1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+MATCH(TRUE,INDIRECT("'数出表_Excel'!"&amp;DY78&amp;MATCH(DZ78,数出表_Excel!$A:$A,0)-1&amp;":AL"&amp;MATCH(DZ78,数出表_Excel!$A:$A,0)-1&amp;"")&lt;&gt;"",0))&gt;=12,"",
IFERROR(
INDEX(INDIRECT("数出表_Excel!$"&amp;DY78&amp;"4:$AL4"),
 1,
MATCH(TRUE,INDIRECT("'数出表_Excel'!"&amp;DY78&amp;MATCH(DZ78,数出表_Excel!$A:$A,0)-1&amp;":AL"&amp;MATCH(DZ78,数出表_Excel!$A:$A,0)-1&amp;"")&lt;&gt;"",0)
),
 "")
&amp;IFERROR(
INDEX(INDIRECT("数出表_Excel!$"&amp;DY78&amp;"5:$AL5"),
 1,
MATCH(TRUE,INDIRECT("'数出表_Excel'!"&amp;DY78&amp;MATCH(DZ78,数出表_Excel!$A:$A,0)-1&amp;":AL"&amp;MATCH(DZ78,数出表_Excel!$A:$A,0)-1&amp;"")&lt;&gt;"",0)),
 "")),"")))</f>
        <v/>
      </c>
      <c r="EC79" s="108" t="str" cm="1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ISNUMBER(--INDIRECT("'数出表_Excel（アレルギー入力）'!B"&amp;MATCH(DZ78,'数出表_Excel（アレルギー入力）'!$A:$A,0)-1&amp;":AL"&amp;MATCH(DZ78,'数出表_Excel（アレルギー入力）'!$A:$A,0)-1&amp;"")),0)&gt;10,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117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1"/>
      <c r="EF79" s="101"/>
      <c r="EG79" s="106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5" t="str" cm="1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101"/>
      <c r="EJ79" s="107" t="str" cm="1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+MATCH(TRUE,INDIRECT("'数出表_Excel'!"&amp;EG78&amp;MATCH(EH78,数出表_Excel!$A:$A,0)-1&amp;":AL"&amp;MATCH(EH78,数出表_Excel!$A:$A,0)-1&amp;"")&lt;&gt;"",0))&gt;=12,"",
IFERROR(
INDEX(INDIRECT("数出表_Excel!$"&amp;EG78&amp;"4:$AL4"),
 1,
MATCH(TRUE,INDIRECT("'数出表_Excel'!"&amp;EG78&amp;MATCH(EH78,数出表_Excel!$A:$A,0)-1&amp;":AL"&amp;MATCH(EH78,数出表_Excel!$A:$A,0)-1&amp;"")&lt;&gt;"",0)
),
 "")
&amp;IFERROR(
INDEX(INDIRECT("数出表_Excel!$"&amp;EG78&amp;"5:$AL5"),
 1,
MATCH(TRUE,INDIRECT("'数出表_Excel'!"&amp;EG78&amp;MATCH(EH78,数出表_Excel!$A:$A,0)-1&amp;":AL"&amp;MATCH(EH78,数出表_Excel!$A:$A,0)-1&amp;"")&lt;&gt;"",0)),
 "")),"")))</f>
        <v/>
      </c>
      <c r="EK79" s="108" t="str" cm="1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ISNUMBER(--INDIRECT("'数出表_Excel（アレルギー入力）'!B"&amp;MATCH(EH78,'数出表_Excel（アレルギー入力）'!$A:$A,0)-1&amp;":AL"&amp;MATCH(EH78,'数出表_Excel（アレルギー入力）'!$A:$A,0)-1&amp;"")),0)&gt;10,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21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101"/>
      <c r="EN79" s="106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5" t="str" cm="1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101"/>
      <c r="EQ79" s="107" t="str" cm="1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+MATCH(TRUE,INDIRECT("'数出表_Excel'!"&amp;EN78&amp;MATCH(EO78,数出表_Excel!$A:$A,0)-1&amp;":AL"&amp;MATCH(EO78,数出表_Excel!$A:$A,0)-1&amp;"")&lt;&gt;"",0))&gt;=12,"",
IFERROR(
INDEX(INDIRECT("数出表_Excel!$"&amp;EN78&amp;"4:$AL4"),
 1,
MATCH(TRUE,INDIRECT("'数出表_Excel'!"&amp;EN78&amp;MATCH(EO78,数出表_Excel!$A:$A,0)-1&amp;":AL"&amp;MATCH(EO78,数出表_Excel!$A:$A,0)-1&amp;"")&lt;&gt;"",0)
),
 "")
&amp;IFERROR(
INDEX(INDIRECT("数出表_Excel!$"&amp;EN78&amp;"5:$AL5"),
 1,
MATCH(TRUE,INDIRECT("'数出表_Excel'!"&amp;EN78&amp;MATCH(EO78,数出表_Excel!$A:$A,0)-1&amp;":AL"&amp;MATCH(EO78,数出表_Excel!$A:$A,0)-1&amp;"")&lt;&gt;"",0)),
 "")),"")))</f>
        <v/>
      </c>
      <c r="ER79" s="108" t="str" cm="1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ISNUMBER(--INDIRECT("'数出表_Excel（アレルギー入力）'!B"&amp;MATCH(EO78,'数出表_Excel（アレルギー入力）'!$A:$A,0)-1&amp;":AL"&amp;MATCH(EO78,'数出表_Excel（アレルギー入力）'!$A:$A,0)-1&amp;"")),0)&gt;10,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117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3"/>
      <c r="EU79" s="103">
        <v>7</v>
      </c>
      <c r="EV79" s="103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3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3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3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3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3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3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3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3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3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3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3">
        <f t="shared" ca="1" si="5"/>
        <v>0</v>
      </c>
      <c r="FH79" s="103" t="e">
        <f t="array" aca="1" ref="FH79" ca="1">SUMPRODUCT((LEN(EV79:FF79)&gt;0)*1)&gt;0</f>
        <v>#VALUE!</v>
      </c>
      <c r="FI79" s="103" t="str">
        <f t="array" aca="1" ref="FI79" ca="1">IFERROR(SMALL(IF(FG$1:FG$169&lt;&gt;0,FG$1:FG$169),ROW(A79)),"")</f>
        <v/>
      </c>
      <c r="FJ79" s="103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3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3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3" t="str">
        <f t="array" aca="1" ref="FM79" ca="1">IF($FI79&lt;&gt;"",
IF(FL79="",
INDIRECT("CB"&amp;$FI79&amp;"")&amp;"箱"
&amp;INDIRECT("CC"&amp;$FI79&amp;""),""),"")</f>
        <v/>
      </c>
      <c r="FN79" s="103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3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3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3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3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3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3" customFormat="1" ht="22.2" customHeight="1" x14ac:dyDescent="0.55000000000000004">
      <c r="A80" s="101"/>
      <c r="B80" s="109"/>
      <c r="C80" s="196" t="str">
        <f ca="1">IF(C81&lt;&gt;"","園児","")</f>
        <v/>
      </c>
      <c r="D80" s="196"/>
      <c r="E80" s="200" t="str">
        <f ca="1">IF(C81&lt;&gt;"","先生","")</f>
        <v/>
      </c>
      <c r="F80" s="200"/>
      <c r="G80" s="122"/>
      <c r="H80" s="101"/>
      <c r="I80" s="109"/>
      <c r="J80" s="196" t="str">
        <f ca="1">IF(J81&lt;&gt;"","園児","")</f>
        <v/>
      </c>
      <c r="K80" s="196"/>
      <c r="L80" s="200" t="str">
        <f ca="1">IF(J81&lt;&gt;"","先生","")</f>
        <v/>
      </c>
      <c r="M80" s="200"/>
      <c r="N80" s="118"/>
      <c r="O80" s="101"/>
      <c r="P80" s="101"/>
      <c r="Q80" s="109"/>
      <c r="R80" s="196" t="str">
        <f ca="1">IF(R81&lt;&gt;"","園児","")</f>
        <v/>
      </c>
      <c r="S80" s="196"/>
      <c r="T80" s="200" t="str">
        <f ca="1">IF(R81&lt;&gt;"","先生","")</f>
        <v/>
      </c>
      <c r="U80" s="200"/>
      <c r="V80" s="122"/>
      <c r="W80" s="101"/>
      <c r="X80" s="109"/>
      <c r="Y80" s="196" t="str">
        <f ca="1">IF(Y81&lt;&gt;"","園児","")</f>
        <v/>
      </c>
      <c r="Z80" s="196"/>
      <c r="AA80" s="200" t="str">
        <f ca="1">IF(Y81&lt;&gt;"","先生","")</f>
        <v/>
      </c>
      <c r="AB80" s="200"/>
      <c r="AC80" s="118"/>
      <c r="AD80" s="101"/>
      <c r="AE80" s="101"/>
      <c r="AF80" s="109"/>
      <c r="AG80" s="196" t="str">
        <f ca="1">IF(AG81&lt;&gt;"","園児","")</f>
        <v/>
      </c>
      <c r="AH80" s="196"/>
      <c r="AI80" s="200" t="str">
        <f ca="1">IF(AG81&lt;&gt;"","先生","")</f>
        <v/>
      </c>
      <c r="AJ80" s="200"/>
      <c r="AK80" s="122"/>
      <c r="AL80" s="101"/>
      <c r="AM80" s="109"/>
      <c r="AN80" s="196" t="str">
        <f ca="1">IF(AN81&lt;&gt;"","園児","")</f>
        <v/>
      </c>
      <c r="AO80" s="196"/>
      <c r="AP80" s="200" t="str">
        <f ca="1">IF(AN81&lt;&gt;"","先生","")</f>
        <v/>
      </c>
      <c r="AQ80" s="200"/>
      <c r="AR80" s="118"/>
      <c r="AS80" s="101"/>
      <c r="AT80" s="101"/>
      <c r="AU80" s="109"/>
      <c r="AV80" s="196" t="str">
        <f ca="1">IF(AV81&lt;&gt;"","園児","")</f>
        <v/>
      </c>
      <c r="AW80" s="196"/>
      <c r="AX80" s="200" t="str">
        <f ca="1">IF(AV81&lt;&gt;"","先生","")</f>
        <v/>
      </c>
      <c r="AY80" s="200"/>
      <c r="AZ80" s="122"/>
      <c r="BA80" s="101"/>
      <c r="BB80" s="109"/>
      <c r="BC80" s="196" t="str">
        <f ca="1">IF(BC81&lt;&gt;"","園児","")</f>
        <v/>
      </c>
      <c r="BD80" s="196"/>
      <c r="BE80" s="200" t="str">
        <f ca="1">IF(BC81&lt;&gt;"","先生","")</f>
        <v/>
      </c>
      <c r="BF80" s="200"/>
      <c r="BG80" s="118"/>
      <c r="BH80" s="101"/>
      <c r="BI80" s="101"/>
      <c r="BJ80" s="109"/>
      <c r="BK80" s="196" t="str">
        <f ca="1">IF(BK81&lt;&gt;"","園児","")</f>
        <v/>
      </c>
      <c r="BL80" s="196"/>
      <c r="BM80" s="200" t="str">
        <f ca="1">IF(BK81&lt;&gt;"","先生","")</f>
        <v/>
      </c>
      <c r="BN80" s="200"/>
      <c r="BO80" s="122"/>
      <c r="BP80" s="101"/>
      <c r="BQ80" s="109"/>
      <c r="BR80" s="196" t="str">
        <f ca="1">IF(BR81&lt;&gt;"","園児","")</f>
        <v/>
      </c>
      <c r="BS80" s="196"/>
      <c r="BT80" s="200" t="str">
        <f ca="1">IF(BR81&lt;&gt;"","先生","")</f>
        <v/>
      </c>
      <c r="BU80" s="200"/>
      <c r="BV80" s="118"/>
      <c r="BW80" s="101"/>
      <c r="BX80" s="101"/>
      <c r="BY80" s="109"/>
      <c r="BZ80" s="196" t="str">
        <f ca="1">IF(BZ81&lt;&gt;"","園児","")</f>
        <v/>
      </c>
      <c r="CA80" s="196"/>
      <c r="CB80" s="200" t="str">
        <f ca="1">IF(BZ81&lt;&gt;"","先生","")</f>
        <v/>
      </c>
      <c r="CC80" s="200"/>
      <c r="CD80" s="122"/>
      <c r="CE80" s="101"/>
      <c r="CF80" s="109"/>
      <c r="CG80" s="196" t="str">
        <f ca="1">IF(CG81&lt;&gt;"","園児","")</f>
        <v/>
      </c>
      <c r="CH80" s="196"/>
      <c r="CI80" s="200" t="str">
        <f ca="1">IF(CG81&lt;&gt;"","先生","")</f>
        <v/>
      </c>
      <c r="CJ80" s="200"/>
      <c r="CK80" s="118"/>
      <c r="CL80" s="101"/>
      <c r="CM80" s="101"/>
      <c r="CN80" s="109"/>
      <c r="CO80" s="196" t="str">
        <f ca="1">IF(CO81&lt;&gt;"","園児","")</f>
        <v/>
      </c>
      <c r="CP80" s="196"/>
      <c r="CQ80" s="200" t="str">
        <f ca="1">IF(CO81&lt;&gt;"","先生","")</f>
        <v/>
      </c>
      <c r="CR80" s="200"/>
      <c r="CS80" s="122"/>
      <c r="CT80" s="101"/>
      <c r="CU80" s="109"/>
      <c r="CV80" s="196" t="str">
        <f ca="1">IF(CV81&lt;&gt;"","園児","")</f>
        <v/>
      </c>
      <c r="CW80" s="196"/>
      <c r="CX80" s="200" t="str">
        <f ca="1">IF(CV81&lt;&gt;"","先生","")</f>
        <v/>
      </c>
      <c r="CY80" s="200"/>
      <c r="CZ80" s="118"/>
      <c r="DA80" s="101"/>
      <c r="DB80" s="101"/>
      <c r="DC80" s="109"/>
      <c r="DD80" s="196" t="str">
        <f ca="1">IF(DD81&lt;&gt;"","園児","")</f>
        <v/>
      </c>
      <c r="DE80" s="196"/>
      <c r="DF80" s="200" t="str">
        <f ca="1">IF(DD81&lt;&gt;"","先生","")</f>
        <v/>
      </c>
      <c r="DG80" s="200"/>
      <c r="DH80" s="122"/>
      <c r="DI80" s="101"/>
      <c r="DJ80" s="109"/>
      <c r="DK80" s="196" t="str">
        <f ca="1">IF(DK81&lt;&gt;"","園児","")</f>
        <v/>
      </c>
      <c r="DL80" s="196"/>
      <c r="DM80" s="200" t="str">
        <f ca="1">IF(DK81&lt;&gt;"","先生","")</f>
        <v/>
      </c>
      <c r="DN80" s="200"/>
      <c r="DO80" s="118"/>
      <c r="DP80" s="101"/>
      <c r="DQ80" s="101"/>
      <c r="DR80" s="109"/>
      <c r="DS80" s="196" t="str">
        <f ca="1">IF(DS81&lt;&gt;"","園児","")</f>
        <v/>
      </c>
      <c r="DT80" s="196"/>
      <c r="DU80" s="200" t="str">
        <f ca="1">IF(DS81&lt;&gt;"","先生","")</f>
        <v/>
      </c>
      <c r="DV80" s="200"/>
      <c r="DW80" s="122"/>
      <c r="DX80" s="101"/>
      <c r="DY80" s="109"/>
      <c r="DZ80" s="196" t="str">
        <f ca="1">IF(DZ81&lt;&gt;"","園児","")</f>
        <v/>
      </c>
      <c r="EA80" s="196"/>
      <c r="EB80" s="200" t="str">
        <f ca="1">IF(DZ81&lt;&gt;"","先生","")</f>
        <v/>
      </c>
      <c r="EC80" s="200"/>
      <c r="ED80" s="118"/>
      <c r="EE80" s="101"/>
      <c r="EF80" s="101"/>
      <c r="EG80" s="109"/>
      <c r="EH80" s="196" t="str">
        <f ca="1">IF(EH81&lt;&gt;"","園児","")</f>
        <v/>
      </c>
      <c r="EI80" s="196"/>
      <c r="EJ80" s="200" t="str">
        <f ca="1">IF(EH81&lt;&gt;"","先生","")</f>
        <v/>
      </c>
      <c r="EK80" s="200"/>
      <c r="EL80" s="122"/>
      <c r="EM80" s="101"/>
      <c r="EN80" s="109"/>
      <c r="EO80" s="196" t="str">
        <f ca="1">IF(EO81&lt;&gt;"","園児","")</f>
        <v/>
      </c>
      <c r="EP80" s="196"/>
      <c r="EQ80" s="200" t="str">
        <f ca="1">IF(EO81&lt;&gt;"","先生","")</f>
        <v/>
      </c>
      <c r="ER80" s="200"/>
      <c r="ES80" s="118"/>
      <c r="ET80" s="132"/>
      <c r="EU80" s="103">
        <f t="shared" ref="EU80:EU96" si="6">EU76+7</f>
        <v>49</v>
      </c>
      <c r="EV80" s="103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3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3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3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3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3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3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3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3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3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3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3">
        <f t="shared" ca="1" si="5"/>
        <v>0</v>
      </c>
      <c r="FH80" s="103" t="b">
        <f t="array" aca="1" ref="FH80" ca="1">SUMPRODUCT((LEN(EV80:FF80)&gt;0)*1)&gt;0</f>
        <v>0</v>
      </c>
      <c r="FI80" s="103" t="str">
        <f t="array" aca="1" ref="FI80" ca="1">IFERROR(SMALL(IF(FG$1:FG$169&lt;&gt;0,FG$1:FG$169),ROW(A80)),"")</f>
        <v/>
      </c>
      <c r="FJ80" s="103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3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3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3" t="str">
        <f t="array" aca="1" ref="FM80" ca="1">IF($FI80&lt;&gt;"",
IF(FL80="",
INDIRECT("CB"&amp;$FI80&amp;"")&amp;"箱"
&amp;INDIRECT("CC"&amp;$FI80&amp;""),""),"")</f>
        <v/>
      </c>
      <c r="FN80" s="103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3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3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3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3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3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1.05">
      <c r="B81" s="111"/>
      <c r="C81" s="213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13"/>
      <c r="E81" s="218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18"/>
      <c r="G81" s="122"/>
      <c r="I81" s="111"/>
      <c r="J81" s="213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13"/>
      <c r="L81" s="218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18"/>
      <c r="N81" s="118"/>
      <c r="Q81" s="111"/>
      <c r="R81" s="213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13"/>
      <c r="T81" s="218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18"/>
      <c r="V81" s="122"/>
      <c r="X81" s="111"/>
      <c r="Y81" s="213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13"/>
      <c r="AA81" s="218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18"/>
      <c r="AC81" s="118"/>
      <c r="AF81" s="111"/>
      <c r="AG81" s="213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13"/>
      <c r="AI81" s="218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18"/>
      <c r="AK81" s="122"/>
      <c r="AM81" s="111"/>
      <c r="AN81" s="213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13"/>
      <c r="AP81" s="218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18"/>
      <c r="AR81" s="118"/>
      <c r="AU81" s="111"/>
      <c r="AV81" s="213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13"/>
      <c r="AX81" s="218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18"/>
      <c r="AZ81" s="122"/>
      <c r="BB81" s="111"/>
      <c r="BC81" s="213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13"/>
      <c r="BE81" s="218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18"/>
      <c r="BG81" s="118"/>
      <c r="BJ81" s="111"/>
      <c r="BK81" s="213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13"/>
      <c r="BM81" s="218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18"/>
      <c r="BO81" s="122"/>
      <c r="BQ81" s="111"/>
      <c r="BR81" s="213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13"/>
      <c r="BT81" s="218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18"/>
      <c r="BV81" s="118"/>
      <c r="BY81" s="111"/>
      <c r="BZ81" s="213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13"/>
      <c r="CB81" s="218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18"/>
      <c r="CD81" s="122"/>
      <c r="CF81" s="111"/>
      <c r="CG81" s="213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13"/>
      <c r="CI81" s="218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18"/>
      <c r="CK81" s="118"/>
      <c r="CN81" s="111"/>
      <c r="CO81" s="213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13"/>
      <c r="CQ81" s="218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18"/>
      <c r="CS81" s="122"/>
      <c r="CU81" s="111"/>
      <c r="CV81" s="213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13"/>
      <c r="CX81" s="218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18"/>
      <c r="CZ81" s="118"/>
      <c r="DC81" s="111"/>
      <c r="DD81" s="213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13"/>
      <c r="DF81" s="218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18"/>
      <c r="DH81" s="122"/>
      <c r="DJ81" s="111"/>
      <c r="DK81" s="213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13"/>
      <c r="DM81" s="218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18"/>
      <c r="DO81" s="118"/>
      <c r="DR81" s="111"/>
      <c r="DS81" s="213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13"/>
      <c r="DU81" s="218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18"/>
      <c r="DW81" s="122"/>
      <c r="DY81" s="111"/>
      <c r="DZ81" s="213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13"/>
      <c r="EB81" s="218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18"/>
      <c r="ED81" s="118"/>
      <c r="EG81" s="111"/>
      <c r="EH81" s="213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13"/>
      <c r="EJ81" s="218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18"/>
      <c r="EL81" s="122"/>
      <c r="EN81" s="111"/>
      <c r="EO81" s="213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13"/>
      <c r="EQ81" s="218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18"/>
      <c r="ES81" s="118"/>
      <c r="ET81" s="132"/>
      <c r="EU81" s="103">
        <f t="shared" si="6"/>
        <v>14</v>
      </c>
      <c r="EV81" s="103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3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3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3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3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3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3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3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3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3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3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3">
        <f t="shared" ca="1" si="5"/>
        <v>0</v>
      </c>
      <c r="FH81" s="103" t="e">
        <f t="array" aca="1" ref="FH81" ca="1">SUMPRODUCT((LEN(EV81:FF81)&gt;0)*1)&gt;0</f>
        <v>#VALUE!</v>
      </c>
      <c r="FI81" s="103" t="str">
        <f t="array" aca="1" ref="FI81" ca="1">IFERROR(SMALL(IF(FG$1:FG$169&lt;&gt;0,FG$1:FG$169),ROW(A81)),"")</f>
        <v/>
      </c>
      <c r="FJ81" s="103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3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3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3" t="str">
        <f t="array" aca="1" ref="FM81" ca="1">IF($FI81&lt;&gt;"",
IF(FL81="",
INDIRECT("CB"&amp;$FI81&amp;"")&amp;"箱"
&amp;INDIRECT("CC"&amp;$FI81&amp;""),""),"")</f>
        <v/>
      </c>
      <c r="FN81" s="103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3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3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3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3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3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1.05">
      <c r="B82" s="113"/>
      <c r="C82" s="192"/>
      <c r="D82" s="192"/>
      <c r="E82" s="195"/>
      <c r="F82" s="195"/>
      <c r="G82" s="123" t="str">
        <f ca="1">SUBSTITUTE(SUBSTITUTE(ADDRESS(1,MATCH("おやつ",'数出表_Excel（アレルギー入力）'!$3:$3,0)),1,""),"$","")</f>
        <v>AL</v>
      </c>
      <c r="I82" s="113"/>
      <c r="J82" s="192"/>
      <c r="K82" s="192"/>
      <c r="L82" s="195"/>
      <c r="M82" s="195"/>
      <c r="N82" s="123" t="str">
        <f ca="1">SUBSTITUTE(SUBSTITUTE(ADDRESS(1,MATCH("おやつ",'数出表_Excel（アレルギー入力）'!$3:$3,0)),1,""),"$","")</f>
        <v>AL</v>
      </c>
      <c r="Q82" s="113"/>
      <c r="R82" s="192"/>
      <c r="S82" s="192"/>
      <c r="T82" s="195"/>
      <c r="U82" s="195"/>
      <c r="V82" s="123" t="str">
        <f ca="1">SUBSTITUTE(SUBSTITUTE(ADDRESS(1,MATCH("おやつ",'数出表_Excel（アレルギー入力）'!$3:$3,0)),1,""),"$","")</f>
        <v>AL</v>
      </c>
      <c r="X82" s="113"/>
      <c r="Y82" s="192"/>
      <c r="Z82" s="192"/>
      <c r="AA82" s="195"/>
      <c r="AB82" s="195"/>
      <c r="AC82" s="123" t="str">
        <f ca="1">SUBSTITUTE(SUBSTITUTE(ADDRESS(1,MATCH("おやつ",'数出表_Excel（アレルギー入力）'!$3:$3,0)),1,""),"$","")</f>
        <v>AL</v>
      </c>
      <c r="AF82" s="113"/>
      <c r="AG82" s="192"/>
      <c r="AH82" s="192"/>
      <c r="AI82" s="195"/>
      <c r="AJ82" s="195"/>
      <c r="AK82" s="123" t="str">
        <f ca="1">SUBSTITUTE(SUBSTITUTE(ADDRESS(1,MATCH("おやつ",'数出表_Excel（アレルギー入力）'!$3:$3,0)),1,""),"$","")</f>
        <v>AL</v>
      </c>
      <c r="AM82" s="113"/>
      <c r="AN82" s="192"/>
      <c r="AO82" s="192"/>
      <c r="AP82" s="195"/>
      <c r="AQ82" s="195"/>
      <c r="AR82" s="123" t="str">
        <f ca="1">SUBSTITUTE(SUBSTITUTE(ADDRESS(1,MATCH("おやつ",'数出表_Excel（アレルギー入力）'!$3:$3,0)),1,""),"$","")</f>
        <v>AL</v>
      </c>
      <c r="AU82" s="113"/>
      <c r="AV82" s="192"/>
      <c r="AW82" s="192"/>
      <c r="AX82" s="195"/>
      <c r="AY82" s="195"/>
      <c r="AZ82" s="123" t="str">
        <f ca="1">SUBSTITUTE(SUBSTITUTE(ADDRESS(1,MATCH("おやつ",'数出表_Excel（アレルギー入力）'!$3:$3,0)),1,""),"$","")</f>
        <v>AL</v>
      </c>
      <c r="BB82" s="113"/>
      <c r="BC82" s="192"/>
      <c r="BD82" s="192"/>
      <c r="BE82" s="195"/>
      <c r="BF82" s="195"/>
      <c r="BG82" s="123" t="str">
        <f ca="1">SUBSTITUTE(SUBSTITUTE(ADDRESS(1,MATCH("おやつ",'数出表_Excel（アレルギー入力）'!$3:$3,0)),1,""),"$","")</f>
        <v>AL</v>
      </c>
      <c r="BJ82" s="113"/>
      <c r="BK82" s="192"/>
      <c r="BL82" s="192"/>
      <c r="BM82" s="195"/>
      <c r="BN82" s="195"/>
      <c r="BO82" s="123" t="str">
        <f ca="1">SUBSTITUTE(SUBSTITUTE(ADDRESS(1,MATCH("おやつ",'数出表_Excel（アレルギー入力）'!$3:$3,0)),1,""),"$","")</f>
        <v>AL</v>
      </c>
      <c r="BQ82" s="113"/>
      <c r="BR82" s="192"/>
      <c r="BS82" s="192"/>
      <c r="BT82" s="195"/>
      <c r="BU82" s="195"/>
      <c r="BV82" s="123" t="str">
        <f ca="1">SUBSTITUTE(SUBSTITUTE(ADDRESS(1,MATCH("おやつ",'数出表_Excel（アレルギー入力）'!$3:$3,0)),1,""),"$","")</f>
        <v>AL</v>
      </c>
      <c r="BY82" s="113"/>
      <c r="BZ82" s="192"/>
      <c r="CA82" s="192"/>
      <c r="CB82" s="195"/>
      <c r="CC82" s="195"/>
      <c r="CD82" s="123" t="str">
        <f ca="1">SUBSTITUTE(SUBSTITUTE(ADDRESS(1,MATCH("おやつ",'数出表_Excel（アレルギー入力）'!$3:$3,0)),1,""),"$","")</f>
        <v>AL</v>
      </c>
      <c r="CF82" s="113"/>
      <c r="CG82" s="192"/>
      <c r="CH82" s="192"/>
      <c r="CI82" s="195"/>
      <c r="CJ82" s="195"/>
      <c r="CK82" s="123" t="str">
        <f ca="1">SUBSTITUTE(SUBSTITUTE(ADDRESS(1,MATCH("おやつ",'数出表_Excel（アレルギー入力）'!$3:$3,0)),1,""),"$","")</f>
        <v>AL</v>
      </c>
      <c r="CN82" s="113"/>
      <c r="CO82" s="192"/>
      <c r="CP82" s="192"/>
      <c r="CQ82" s="195"/>
      <c r="CR82" s="195"/>
      <c r="CS82" s="123" t="str">
        <f ca="1">SUBSTITUTE(SUBSTITUTE(ADDRESS(1,MATCH("おやつ",'数出表_Excel（アレルギー入力）'!$3:$3,0)),1,""),"$","")</f>
        <v>AL</v>
      </c>
      <c r="CU82" s="113"/>
      <c r="CV82" s="192"/>
      <c r="CW82" s="192"/>
      <c r="CX82" s="195"/>
      <c r="CY82" s="195"/>
      <c r="CZ82" s="123" t="str">
        <f ca="1">SUBSTITUTE(SUBSTITUTE(ADDRESS(1,MATCH("おやつ",'数出表_Excel（アレルギー入力）'!$3:$3,0)),1,""),"$","")</f>
        <v>AL</v>
      </c>
      <c r="DC82" s="113"/>
      <c r="DD82" s="192"/>
      <c r="DE82" s="192"/>
      <c r="DF82" s="195"/>
      <c r="DG82" s="195"/>
      <c r="DH82" s="123" t="str">
        <f ca="1">SUBSTITUTE(SUBSTITUTE(ADDRESS(1,MATCH("おやつ",'数出表_Excel（アレルギー入力）'!$3:$3,0)),1,""),"$","")</f>
        <v>AL</v>
      </c>
      <c r="DJ82" s="113"/>
      <c r="DK82" s="192"/>
      <c r="DL82" s="192"/>
      <c r="DM82" s="195"/>
      <c r="DN82" s="195"/>
      <c r="DO82" s="123" t="str">
        <f ca="1">SUBSTITUTE(SUBSTITUTE(ADDRESS(1,MATCH("おやつ",'数出表_Excel（アレルギー入力）'!$3:$3,0)),1,""),"$","")</f>
        <v>AL</v>
      </c>
      <c r="DR82" s="113"/>
      <c r="DS82" s="192"/>
      <c r="DT82" s="192"/>
      <c r="DU82" s="195"/>
      <c r="DV82" s="195"/>
      <c r="DW82" s="123" t="str">
        <f ca="1">SUBSTITUTE(SUBSTITUTE(ADDRESS(1,MATCH("おやつ",'数出表_Excel（アレルギー入力）'!$3:$3,0)),1,""),"$","")</f>
        <v>AL</v>
      </c>
      <c r="DY82" s="113"/>
      <c r="DZ82" s="192"/>
      <c r="EA82" s="192"/>
      <c r="EB82" s="195"/>
      <c r="EC82" s="195"/>
      <c r="ED82" s="123" t="str">
        <f ca="1">SUBSTITUTE(SUBSTITUTE(ADDRESS(1,MATCH("おやつ",'数出表_Excel（アレルギー入力）'!$3:$3,0)),1,""),"$","")</f>
        <v>AL</v>
      </c>
      <c r="EG82" s="113"/>
      <c r="EH82" s="192"/>
      <c r="EI82" s="192"/>
      <c r="EJ82" s="195"/>
      <c r="EK82" s="195"/>
      <c r="EL82" s="123" t="str">
        <f ca="1">SUBSTITUTE(SUBSTITUTE(ADDRESS(1,MATCH("おやつ",'数出表_Excel（アレルギー入力）'!$3:$3,0)),1,""),"$","")</f>
        <v>AL</v>
      </c>
      <c r="EN82" s="113"/>
      <c r="EO82" s="192"/>
      <c r="EP82" s="192"/>
      <c r="EQ82" s="195"/>
      <c r="ER82" s="195"/>
      <c r="ES82" s="123" t="str">
        <f ca="1">SUBSTITUTE(SUBSTITUTE(ADDRESS(1,MATCH("おやつ",'数出表_Excel（アレルギー入力）'!$3:$3,0)),1,""),"$","")</f>
        <v>AL</v>
      </c>
      <c r="ET82" s="132"/>
      <c r="EU82" s="103">
        <f t="shared" si="6"/>
        <v>56</v>
      </c>
      <c r="EV82" s="103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3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3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3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3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3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3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3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3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3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3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3">
        <f t="shared" ca="1" si="5"/>
        <v>0</v>
      </c>
      <c r="FH82" s="103" t="b">
        <f t="array" aca="1" ref="FH82" ca="1">SUMPRODUCT((LEN(EV82:FF82)&gt;0)*1)&gt;0</f>
        <v>0</v>
      </c>
      <c r="FI82" s="103" t="str">
        <f t="array" aca="1" ref="FI82" ca="1">IFERROR(SMALL(IF(FG$1:FG$169&lt;&gt;0,FG$1:FG$169),ROW(A82)),"")</f>
        <v/>
      </c>
      <c r="FJ82" s="103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3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3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3" t="str">
        <f t="array" aca="1" ref="FM82" ca="1">IF($FI82&lt;&gt;"",
IF(FL82="",
INDIRECT("CB"&amp;$FI82&amp;"")&amp;"箱"
&amp;INDIRECT("CC"&amp;$FI82&amp;""),""),"")</f>
        <v/>
      </c>
      <c r="FN82" s="103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3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3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3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3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3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3" customFormat="1" ht="22.2" customHeight="1" x14ac:dyDescent="0.55000000000000004">
      <c r="A83" s="101"/>
      <c r="B83" s="114" t="str">
        <f ca="1">IF(C81&lt;&gt;"","パン箱","")</f>
        <v/>
      </c>
      <c r="C83" s="115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14" t="str">
        <f ca="1">IF(C81&lt;&gt;"","　端数","")</f>
        <v/>
      </c>
      <c r="E83" s="115"/>
      <c r="F83" s="114" t="str">
        <f ca="1">IF(C81&lt;&gt;"","アレルギー","")</f>
        <v/>
      </c>
      <c r="G83" s="122"/>
      <c r="H83" s="101"/>
      <c r="I83" s="114" t="str">
        <f ca="1">IF(J81&lt;&gt;"","パン箱","")</f>
        <v/>
      </c>
      <c r="J83" s="115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14" t="str">
        <f ca="1">IF(J81&lt;&gt;"","　端数","")</f>
        <v/>
      </c>
      <c r="L83" s="115"/>
      <c r="M83" s="114" t="str">
        <f ca="1">IF(J81&lt;&gt;"","アレルギー","")</f>
        <v/>
      </c>
      <c r="N83" s="118"/>
      <c r="O83" s="101"/>
      <c r="P83" s="101"/>
      <c r="Q83" s="114" t="str">
        <f ca="1">IF(R81&lt;&gt;"","パン箱","")</f>
        <v/>
      </c>
      <c r="R83" s="115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4" t="str">
        <f ca="1">IF(R81&lt;&gt;"","　端数","")</f>
        <v/>
      </c>
      <c r="T83" s="115"/>
      <c r="U83" s="114" t="str">
        <f ca="1">IF(R81&lt;&gt;"","アレルギー","")</f>
        <v/>
      </c>
      <c r="V83" s="122"/>
      <c r="W83" s="101"/>
      <c r="X83" s="114" t="str">
        <f ca="1">IF(Y81&lt;&gt;"","パン箱","")</f>
        <v/>
      </c>
      <c r="Y83" s="115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4" t="str">
        <f ca="1">IF(Y81&lt;&gt;"","　端数","")</f>
        <v/>
      </c>
      <c r="AA83" s="115"/>
      <c r="AB83" s="114" t="str">
        <f ca="1">IF(Y81&lt;&gt;"","アレルギー","")</f>
        <v/>
      </c>
      <c r="AC83" s="118"/>
      <c r="AD83" s="101"/>
      <c r="AE83" s="101"/>
      <c r="AF83" s="114" t="str">
        <f ca="1">IF(AG81&lt;&gt;"","パン箱","")</f>
        <v/>
      </c>
      <c r="AG83" s="115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4" t="str">
        <f ca="1">IF(AG81&lt;&gt;"","　端数","")</f>
        <v/>
      </c>
      <c r="AI83" s="115"/>
      <c r="AJ83" s="114" t="str">
        <f ca="1">IF(AG81&lt;&gt;"","アレルギー","")</f>
        <v/>
      </c>
      <c r="AK83" s="122"/>
      <c r="AL83" s="101"/>
      <c r="AM83" s="114" t="str">
        <f ca="1">IF(AN81&lt;&gt;"","パン箱","")</f>
        <v/>
      </c>
      <c r="AN83" s="115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4" t="str">
        <f ca="1">IF(AN81&lt;&gt;"","　端数","")</f>
        <v/>
      </c>
      <c r="AP83" s="115"/>
      <c r="AQ83" s="114" t="str">
        <f ca="1">IF(AN81&lt;&gt;"","アレルギー","")</f>
        <v/>
      </c>
      <c r="AR83" s="118"/>
      <c r="AS83" s="101"/>
      <c r="AT83" s="101"/>
      <c r="AU83" s="114" t="str">
        <f ca="1">IF(AV81&lt;&gt;"","パン箱","")</f>
        <v/>
      </c>
      <c r="AV83" s="115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4" t="str">
        <f ca="1">IF(AV81&lt;&gt;"","　端数","")</f>
        <v/>
      </c>
      <c r="AX83" s="115"/>
      <c r="AY83" s="114" t="str">
        <f ca="1">IF(AV81&lt;&gt;"","アレルギー","")</f>
        <v/>
      </c>
      <c r="AZ83" s="122"/>
      <c r="BA83" s="101"/>
      <c r="BB83" s="114" t="str">
        <f ca="1">IF(BC81&lt;&gt;"","パン箱","")</f>
        <v/>
      </c>
      <c r="BC83" s="115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4" t="str">
        <f ca="1">IF(BC81&lt;&gt;"","　端数","")</f>
        <v/>
      </c>
      <c r="BE83" s="115"/>
      <c r="BF83" s="114" t="str">
        <f ca="1">IF(BC81&lt;&gt;"","アレルギー","")</f>
        <v/>
      </c>
      <c r="BG83" s="118"/>
      <c r="BH83" s="101"/>
      <c r="BI83" s="101"/>
      <c r="BJ83" s="114" t="str">
        <f ca="1">IF(BK81&lt;&gt;"","パン箱","")</f>
        <v/>
      </c>
      <c r="BK83" s="115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4" t="str">
        <f ca="1">IF(BK81&lt;&gt;"","　端数","")</f>
        <v/>
      </c>
      <c r="BM83" s="115"/>
      <c r="BN83" s="114" t="str">
        <f ca="1">IF(BK81&lt;&gt;"","アレルギー","")</f>
        <v/>
      </c>
      <c r="BO83" s="122"/>
      <c r="BP83" s="101"/>
      <c r="BQ83" s="114" t="str">
        <f ca="1">IF(BR81&lt;&gt;"","パン箱","")</f>
        <v/>
      </c>
      <c r="BR83" s="115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4" t="str">
        <f ca="1">IF(BR81&lt;&gt;"","　端数","")</f>
        <v/>
      </c>
      <c r="BT83" s="115"/>
      <c r="BU83" s="114" t="str">
        <f ca="1">IF(BR81&lt;&gt;"","アレルギー","")</f>
        <v/>
      </c>
      <c r="BV83" s="118"/>
      <c r="BW83" s="101"/>
      <c r="BX83" s="101"/>
      <c r="BY83" s="114" t="str">
        <f ca="1">IF(BZ81&lt;&gt;"","パン箱","")</f>
        <v/>
      </c>
      <c r="BZ83" s="115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4" t="str">
        <f ca="1">IF(BZ81&lt;&gt;"","　端数","")</f>
        <v/>
      </c>
      <c r="CB83" s="115"/>
      <c r="CC83" s="114" t="str">
        <f ca="1">IF(BZ81&lt;&gt;"","アレルギー","")</f>
        <v/>
      </c>
      <c r="CD83" s="122"/>
      <c r="CE83" s="101"/>
      <c r="CF83" s="114" t="str">
        <f ca="1">IF(CG81&lt;&gt;"","パン箱","")</f>
        <v/>
      </c>
      <c r="CG83" s="115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4" t="str">
        <f ca="1">IF(CG81&lt;&gt;"","　端数","")</f>
        <v/>
      </c>
      <c r="CI83" s="115"/>
      <c r="CJ83" s="114" t="str">
        <f ca="1">IF(CG81&lt;&gt;"","アレルギー","")</f>
        <v/>
      </c>
      <c r="CK83" s="118"/>
      <c r="CL83" s="101"/>
      <c r="CM83" s="101"/>
      <c r="CN83" s="114" t="str">
        <f ca="1">IF(CO81&lt;&gt;"","パン箱","")</f>
        <v/>
      </c>
      <c r="CO83" s="115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4" t="str">
        <f ca="1">IF(CO81&lt;&gt;"","　端数","")</f>
        <v/>
      </c>
      <c r="CQ83" s="115"/>
      <c r="CR83" s="114" t="str">
        <f ca="1">IF(CO81&lt;&gt;"","アレルギー","")</f>
        <v/>
      </c>
      <c r="CS83" s="122"/>
      <c r="CT83" s="101"/>
      <c r="CU83" s="114" t="str">
        <f ca="1">IF(CV81&lt;&gt;"","パン箱","")</f>
        <v/>
      </c>
      <c r="CV83" s="115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4" t="str">
        <f ca="1">IF(CV81&lt;&gt;"","　端数","")</f>
        <v/>
      </c>
      <c r="CX83" s="115"/>
      <c r="CY83" s="114" t="str">
        <f ca="1">IF(CV81&lt;&gt;"","アレルギー","")</f>
        <v/>
      </c>
      <c r="CZ83" s="118"/>
      <c r="DA83" s="101"/>
      <c r="DB83" s="101"/>
      <c r="DC83" s="114" t="str">
        <f ca="1">IF(DD81&lt;&gt;"","パン箱","")</f>
        <v/>
      </c>
      <c r="DD83" s="115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4" t="str">
        <f ca="1">IF(DD81&lt;&gt;"","　端数","")</f>
        <v/>
      </c>
      <c r="DF83" s="115"/>
      <c r="DG83" s="114" t="str">
        <f ca="1">IF(DD81&lt;&gt;"","アレルギー","")</f>
        <v/>
      </c>
      <c r="DH83" s="122"/>
      <c r="DI83" s="101"/>
      <c r="DJ83" s="114" t="str">
        <f ca="1">IF(DK81&lt;&gt;"","パン箱","")</f>
        <v/>
      </c>
      <c r="DK83" s="115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4" t="str">
        <f ca="1">IF(DK81&lt;&gt;"","　端数","")</f>
        <v/>
      </c>
      <c r="DM83" s="115"/>
      <c r="DN83" s="114" t="str">
        <f ca="1">IF(DK81&lt;&gt;"","アレルギー","")</f>
        <v/>
      </c>
      <c r="DO83" s="118"/>
      <c r="DP83" s="101"/>
      <c r="DQ83" s="101"/>
      <c r="DR83" s="114" t="str">
        <f ca="1">IF(DS81&lt;&gt;"","パン箱","")</f>
        <v/>
      </c>
      <c r="DS83" s="115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4" t="str">
        <f ca="1">IF(DS81&lt;&gt;"","　端数","")</f>
        <v/>
      </c>
      <c r="DU83" s="115"/>
      <c r="DV83" s="114" t="str">
        <f ca="1">IF(DS81&lt;&gt;"","アレルギー","")</f>
        <v/>
      </c>
      <c r="DW83" s="122"/>
      <c r="DX83" s="101"/>
      <c r="DY83" s="114" t="str">
        <f ca="1">IF(DZ81&lt;&gt;"","パン箱","")</f>
        <v/>
      </c>
      <c r="DZ83" s="115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4" t="str">
        <f ca="1">IF(DZ81&lt;&gt;"","　端数","")</f>
        <v/>
      </c>
      <c r="EB83" s="115"/>
      <c r="EC83" s="114" t="str">
        <f ca="1">IF(DZ81&lt;&gt;"","アレルギー","")</f>
        <v/>
      </c>
      <c r="ED83" s="118"/>
      <c r="EE83" s="101"/>
      <c r="EF83" s="101"/>
      <c r="EG83" s="114" t="str">
        <f ca="1">IF(EH81&lt;&gt;"","パン箱","")</f>
        <v/>
      </c>
      <c r="EH83" s="115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114" t="str">
        <f ca="1">IF(EH81&lt;&gt;"","　端数","")</f>
        <v/>
      </c>
      <c r="EJ83" s="115"/>
      <c r="EK83" s="114" t="str">
        <f ca="1">IF(EH81&lt;&gt;"","アレルギー","")</f>
        <v/>
      </c>
      <c r="EL83" s="122"/>
      <c r="EM83" s="101"/>
      <c r="EN83" s="114" t="str">
        <f ca="1">IF(EO81&lt;&gt;"","パン箱","")</f>
        <v/>
      </c>
      <c r="EO83" s="115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114" t="str">
        <f ca="1">IF(EO81&lt;&gt;"","　端数","")</f>
        <v/>
      </c>
      <c r="EQ83" s="115"/>
      <c r="ER83" s="114" t="str">
        <f ca="1">IF(EO81&lt;&gt;"","アレルギー","")</f>
        <v/>
      </c>
      <c r="ES83" s="118"/>
      <c r="ET83" s="132"/>
      <c r="EU83" s="112">
        <f t="shared" si="6"/>
        <v>14</v>
      </c>
      <c r="EV83" s="103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3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3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3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3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3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3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3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3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3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3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3">
        <f t="shared" ca="1" si="5"/>
        <v>0</v>
      </c>
      <c r="FH83" s="103" t="e">
        <f t="array" aca="1" ref="FH83" ca="1">SUMPRODUCT((LEN(EV83:FF83)&gt;0)*1)&gt;0</f>
        <v>#VALUE!</v>
      </c>
      <c r="FI83" s="103" t="str">
        <f t="array" aca="1" ref="FI83" ca="1">IFERROR(SMALL(IF(FG$1:FG$169&lt;&gt;0,FG$1:FG$169),ROW(A83)),"")</f>
        <v/>
      </c>
      <c r="FJ83" s="103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3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3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3" t="str">
        <f t="array" aca="1" ref="FM83" ca="1">IF($FI83&lt;&gt;"",
IF(FL83="",
INDIRECT("CB"&amp;$FI83&amp;"")&amp;"箱"
&amp;INDIRECT("CC"&amp;$FI83&amp;""),""),"")</f>
        <v/>
      </c>
      <c r="FN83" s="103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3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3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3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3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3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214" t="str">
        <f ca="1">IF(C81&lt;&gt;"",
IFERROR(INT(C81/C83),""),"")</f>
        <v/>
      </c>
      <c r="C84" s="215"/>
      <c r="D84" s="214" t="str">
        <f ca="1">IFERROR(MOD(C81,C83),"")</f>
        <v/>
      </c>
      <c r="E84" s="215"/>
      <c r="F84" s="216" t="str" cm="1">
        <f t="array" aca="1" ref="F84" ca="1">IF(C78&lt;&gt;"",
IF(IFERROR(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MATCH(C81,INDIRECT("'数出表_Excel（アレルギー入力）'!"&amp;B78&amp;MATCH(G36,'数出表_Excel（アレルギー入力）'!$A:$A,0)-1&amp;":"&amp;G82&amp;MATCH(G36,'数出表_Excel（アレルギー入力）'!$A:$A,0)-1&amp;""),0)+1),
 "")&lt;&gt;0,
IF(IFERROR(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MATCH(C81,INDIRECT("'数出表_Excel（アレルギー入力）'!"&amp;B78&amp;MATCH(G36,'数出表_Excel（アレルギー入力）'!$A:$A,0)-1&amp;":"&amp;G82&amp;MATCH(G36,'数出表_Excel（アレルギー入力）'!$A:$A,0)-1&amp;""),0)+1),
 "")="",
IFERROR(
INDEX(INDIRECT("'数出表_Excel（アレルギー入力）'!B"&amp;MATCH(G36,'数出表_Excel（アレルギー入力）'!$A:$A,0)-1&amp;":"&amp;G82&amp;MATCH(G36,'数出表_Excel（アレルギー入力）'!$A:$A,0)-1&amp;""),
 1,
MATCH(TRUE,INDEX(INDIRECT("'数出表_Excel（アレルギー入力）'!"&amp;B78&amp;MATCH(G36,'数出表_Excel（アレルギー入力）'!$A:$A,0)-1&amp;":"&amp;G82&amp;MATCH(G36,'数出表_Excel（アレルギー入力）'!$A:$A,0)-1&amp;"")&lt;&gt;"",0),0)+1),
 ""),
IFERROR(
INDEX(INDIRECT("'数出表_Excel（アレルギー入力）'!"&amp;B78&amp;MATCH(G36,'数出表_Excel（アレルギー入力）'!$A:$A,0)-1&amp;":"&amp;G82&amp;MATCH(G36,'数出表_Excel（アレルギー入力）'!$A:$A,0)-1&amp;""),
 1,
MATCH(C81,INDIRECT("'数出表_Excel（アレルギー入力）'!"&amp;B78&amp;MATCH(G36,'数出表_Excel（アレルギー入力）'!$A:$A,0)-1&amp;":"&amp;G82&amp;MATCH(G36,'数出表_Excel（アレルギー入力）'!$A:$A,0)-1&amp;""),0)+1),
 "")),0),"")</f>
        <v/>
      </c>
      <c r="G84" s="217"/>
      <c r="I84" s="214" t="str">
        <f ca="1">IF(J81&lt;&gt;"",
IFERROR(INT(J81/J83),""),"")</f>
        <v/>
      </c>
      <c r="J84" s="215"/>
      <c r="K84" s="214" t="str">
        <f ca="1">IFERROR(MOD(J81,J83),"")</f>
        <v/>
      </c>
      <c r="L84" s="215"/>
      <c r="M84" s="216" t="str" cm="1">
        <f t="array" aca="1" ref="M84" ca="1">IF(J78&lt;&gt;"",
IF(IFERROR(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MATCH(J81,INDIRECT("'数出表_Excel（アレルギー入力）'!"&amp;I78&amp;MATCH(N36,'数出表_Excel（アレルギー入力）'!$A:$A,0)-1&amp;":"&amp;N82&amp;MATCH(N36,'数出表_Excel（アレルギー入力）'!$A:$A,0)-1&amp;""),0)+1),
 "")&lt;&gt;0,
IF(IFERROR(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MATCH(J81,INDIRECT("'数出表_Excel（アレルギー入力）'!"&amp;I78&amp;MATCH(N36,'数出表_Excel（アレルギー入力）'!$A:$A,0)-1&amp;":"&amp;N82&amp;MATCH(N36,'数出表_Excel（アレルギー入力）'!$A:$A,0)-1&amp;""),0)+1),
 "")="",
IFERROR(
INDEX(INDIRECT("'数出表_Excel（アレルギー入力）'!B"&amp;MATCH(N36,'数出表_Excel（アレルギー入力）'!$A:$A,0)-1&amp;":"&amp;N82&amp;MATCH(N36,'数出表_Excel（アレルギー入力）'!$A:$A,0)-1&amp;""),
 1,
MATCH(TRUE,INDEX(INDIRECT("'数出表_Excel（アレルギー入力）'!"&amp;I78&amp;MATCH(N36,'数出表_Excel（アレルギー入力）'!$A:$A,0)-1&amp;":"&amp;N82&amp;MATCH(N36,'数出表_Excel（アレルギー入力）'!$A:$A,0)-1&amp;"")&lt;&gt;"",0),0)+1),
 ""),
IFERROR(
INDEX(INDIRECT("'数出表_Excel（アレルギー入力）'!"&amp;I78&amp;MATCH(N36,'数出表_Excel（アレルギー入力）'!$A:$A,0)-1&amp;":"&amp;N82&amp;MATCH(N36,'数出表_Excel（アレルギー入力）'!$A:$A,0)-1&amp;""),
 1,
MATCH(J81,INDIRECT("'数出表_Excel（アレルギー入力）'!"&amp;I78&amp;MATCH(N36,'数出表_Excel（アレルギー入力）'!$A:$A,0)-1&amp;":"&amp;N82&amp;MATCH(N36,'数出表_Excel（アレルギー入力）'!$A:$A,0)-1&amp;""),0)+1),
 "")),0),"")</f>
        <v/>
      </c>
      <c r="N84" s="217"/>
      <c r="Q84" s="214" t="str">
        <f ca="1">IF(R81&lt;&gt;"",
IFERROR(INT(R81/R83),""),"")</f>
        <v/>
      </c>
      <c r="R84" s="215"/>
      <c r="S84" s="214" t="str">
        <f ca="1">IFERROR(MOD(R81,R83),"")</f>
        <v/>
      </c>
      <c r="T84" s="215"/>
      <c r="U84" s="216" t="str" cm="1">
        <f t="array" aca="1" ref="U84" ca="1">IF(R78&lt;&gt;"",
IF(IFERROR(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MATCH(R81,INDIRECT("'数出表_Excel（アレルギー入力）'!"&amp;Q78&amp;MATCH(V36,'数出表_Excel（アレルギー入力）'!$A:$A,0)-1&amp;":"&amp;V82&amp;MATCH(V36,'数出表_Excel（アレルギー入力）'!$A:$A,0)-1&amp;""),0)+1),
 "")&lt;&gt;0,
IF(IFERROR(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MATCH(R81,INDIRECT("'数出表_Excel（アレルギー入力）'!"&amp;Q78&amp;MATCH(V36,'数出表_Excel（アレルギー入力）'!$A:$A,0)-1&amp;":"&amp;V82&amp;MATCH(V36,'数出表_Excel（アレルギー入力）'!$A:$A,0)-1&amp;""),0)+1),
 "")="",
IFERROR(
INDEX(INDIRECT("'数出表_Excel（アレルギー入力）'!B"&amp;MATCH(V36,'数出表_Excel（アレルギー入力）'!$A:$A,0)-1&amp;":"&amp;V82&amp;MATCH(V36,'数出表_Excel（アレルギー入力）'!$A:$A,0)-1&amp;""),
 1,
MATCH(TRUE,INDEX(INDIRECT("'数出表_Excel（アレルギー入力）'!"&amp;Q78&amp;MATCH(V36,'数出表_Excel（アレルギー入力）'!$A:$A,0)-1&amp;":"&amp;V82&amp;MATCH(V36,'数出表_Excel（アレルギー入力）'!$A:$A,0)-1&amp;"")&lt;&gt;"",0),0)+1),
 ""),
IFERROR(
INDEX(INDIRECT("'数出表_Excel（アレルギー入力）'!"&amp;Q78&amp;MATCH(V36,'数出表_Excel（アレルギー入力）'!$A:$A,0)-1&amp;":"&amp;V82&amp;MATCH(V36,'数出表_Excel（アレルギー入力）'!$A:$A,0)-1&amp;""),
 1,
MATCH(R81,INDIRECT("'数出表_Excel（アレルギー入力）'!"&amp;Q78&amp;MATCH(V36,'数出表_Excel（アレルギー入力）'!$A:$A,0)-1&amp;":"&amp;V82&amp;MATCH(V36,'数出表_Excel（アレルギー入力）'!$A:$A,0)-1&amp;""),0)+1),
 "")),0),"")</f>
        <v/>
      </c>
      <c r="V84" s="217"/>
      <c r="X84" s="214" t="str">
        <f ca="1">IF(Y81&lt;&gt;"",
IFERROR(INT(Y81/Y83),""),"")</f>
        <v/>
      </c>
      <c r="Y84" s="215"/>
      <c r="Z84" s="214" t="str">
        <f ca="1">IFERROR(MOD(Y81,Y83),"")</f>
        <v/>
      </c>
      <c r="AA84" s="215"/>
      <c r="AB84" s="216" t="str" cm="1">
        <f t="array" aca="1" ref="AB84" ca="1">IF(Y78&lt;&gt;"",
IF(IFERROR(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MATCH(Y81,INDIRECT("'数出表_Excel（アレルギー入力）'!"&amp;X78&amp;MATCH(AC36,'数出表_Excel（アレルギー入力）'!$A:$A,0)-1&amp;":"&amp;AC82&amp;MATCH(AC36,'数出表_Excel（アレルギー入力）'!$A:$A,0)-1&amp;""),0)+1),
 "")&lt;&gt;0,
IF(IFERROR(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MATCH(Y81,INDIRECT("'数出表_Excel（アレルギー入力）'!"&amp;X78&amp;MATCH(AC36,'数出表_Excel（アレルギー入力）'!$A:$A,0)-1&amp;":"&amp;AC82&amp;MATCH(AC36,'数出表_Excel（アレルギー入力）'!$A:$A,0)-1&amp;""),0)+1),
 "")="",
IFERROR(
INDEX(INDIRECT("'数出表_Excel（アレルギー入力）'!B"&amp;MATCH(AC36,'数出表_Excel（アレルギー入力）'!$A:$A,0)-1&amp;":"&amp;AC82&amp;MATCH(AC36,'数出表_Excel（アレルギー入力）'!$A:$A,0)-1&amp;""),
 1,
MATCH(TRUE,INDEX(INDIRECT("'数出表_Excel（アレルギー入力）'!"&amp;X78&amp;MATCH(AC36,'数出表_Excel（アレルギー入力）'!$A:$A,0)-1&amp;":"&amp;AC82&amp;MATCH(AC36,'数出表_Excel（アレルギー入力）'!$A:$A,0)-1&amp;"")&lt;&gt;"",0),0)+1),
 ""),
IFERROR(
INDEX(INDIRECT("'数出表_Excel（アレルギー入力）'!"&amp;X78&amp;MATCH(AC36,'数出表_Excel（アレルギー入力）'!$A:$A,0)-1&amp;":"&amp;AC82&amp;MATCH(AC36,'数出表_Excel（アレルギー入力）'!$A:$A,0)-1&amp;""),
 1,
MATCH(Y81,INDIRECT("'数出表_Excel（アレルギー入力）'!"&amp;X78&amp;MATCH(AC36,'数出表_Excel（アレルギー入力）'!$A:$A,0)-1&amp;":"&amp;AC82&amp;MATCH(AC36,'数出表_Excel（アレルギー入力）'!$A:$A,0)-1&amp;""),0)+1),
 "")),0),"")</f>
        <v/>
      </c>
      <c r="AC84" s="217"/>
      <c r="AF84" s="214" t="str">
        <f ca="1">IF(AG81&lt;&gt;"",
IFERROR(INT(AG81/AG83),""),"")</f>
        <v/>
      </c>
      <c r="AG84" s="215"/>
      <c r="AH84" s="214" t="str">
        <f ca="1">IFERROR(MOD(AG81,AG83),"")</f>
        <v/>
      </c>
      <c r="AI84" s="215"/>
      <c r="AJ84" s="216" t="str" cm="1">
        <f t="array" aca="1" ref="AJ84" ca="1">IF(AG78&lt;&gt;"",
IF(IFERROR(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MATCH(AG81,INDIRECT("'数出表_Excel（アレルギー入力）'!"&amp;AF78&amp;MATCH(AK36,'数出表_Excel（アレルギー入力）'!$A:$A,0)-1&amp;":"&amp;AK82&amp;MATCH(AK36,'数出表_Excel（アレルギー入力）'!$A:$A,0)-1&amp;""),0)+1),
 "")&lt;&gt;0,
IF(IFERROR(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MATCH(AG81,INDIRECT("'数出表_Excel（アレルギー入力）'!"&amp;AF78&amp;MATCH(AK36,'数出表_Excel（アレルギー入力）'!$A:$A,0)-1&amp;":"&amp;AK82&amp;MATCH(AK36,'数出表_Excel（アレルギー入力）'!$A:$A,0)-1&amp;""),0)+1),
 "")="",
IFERROR(
INDEX(INDIRECT("'数出表_Excel（アレルギー入力）'!B"&amp;MATCH(AK36,'数出表_Excel（アレルギー入力）'!$A:$A,0)-1&amp;":"&amp;AK82&amp;MATCH(AK36,'数出表_Excel（アレルギー入力）'!$A:$A,0)-1&amp;""),
 1,
MATCH(TRUE,INDEX(INDIRECT("'数出表_Excel（アレルギー入力）'!"&amp;AF78&amp;MATCH(AK36,'数出表_Excel（アレルギー入力）'!$A:$A,0)-1&amp;":"&amp;AK82&amp;MATCH(AK36,'数出表_Excel（アレルギー入力）'!$A:$A,0)-1&amp;"")&lt;&gt;"",0),0)+1),
 ""),
IFERROR(
INDEX(INDIRECT("'数出表_Excel（アレルギー入力）'!"&amp;AF78&amp;MATCH(AK36,'数出表_Excel（アレルギー入力）'!$A:$A,0)-1&amp;":"&amp;AK82&amp;MATCH(AK36,'数出表_Excel（アレルギー入力）'!$A:$A,0)-1&amp;""),
 1,
MATCH(AG81,INDIRECT("'数出表_Excel（アレルギー入力）'!"&amp;AF78&amp;MATCH(AK36,'数出表_Excel（アレルギー入力）'!$A:$A,0)-1&amp;":"&amp;AK82&amp;MATCH(AK36,'数出表_Excel（アレルギー入力）'!$A:$A,0)-1&amp;""),0)+1),
 "")),0),"")</f>
        <v/>
      </c>
      <c r="AK84" s="217"/>
      <c r="AM84" s="214" t="str">
        <f ca="1">IF(AN81&lt;&gt;"",
IFERROR(INT(AN81/AN83),""),"")</f>
        <v/>
      </c>
      <c r="AN84" s="215"/>
      <c r="AO84" s="214" t="str">
        <f ca="1">IFERROR(MOD(AN81,AN83),"")</f>
        <v/>
      </c>
      <c r="AP84" s="215"/>
      <c r="AQ84" s="216" t="str" cm="1">
        <f t="array" aca="1" ref="AQ84" ca="1">IF(AN78&lt;&gt;"",
IF(IFERROR(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MATCH(AN81,INDIRECT("'数出表_Excel（アレルギー入力）'!"&amp;AM78&amp;MATCH(AR36,'数出表_Excel（アレルギー入力）'!$A:$A,0)-1&amp;":"&amp;AR82&amp;MATCH(AR36,'数出表_Excel（アレルギー入力）'!$A:$A,0)-1&amp;""),0)+1),
 "")&lt;&gt;0,
IF(IFERROR(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MATCH(AN81,INDIRECT("'数出表_Excel（アレルギー入力）'!"&amp;AM78&amp;MATCH(AR36,'数出表_Excel（アレルギー入力）'!$A:$A,0)-1&amp;":"&amp;AR82&amp;MATCH(AR36,'数出表_Excel（アレルギー入力）'!$A:$A,0)-1&amp;""),0)+1),
 "")="",
IFERROR(
INDEX(INDIRECT("'数出表_Excel（アレルギー入力）'!B"&amp;MATCH(AR36,'数出表_Excel（アレルギー入力）'!$A:$A,0)-1&amp;":"&amp;AR82&amp;MATCH(AR36,'数出表_Excel（アレルギー入力）'!$A:$A,0)-1&amp;""),
 1,
MATCH(TRUE,INDEX(INDIRECT("'数出表_Excel（アレルギー入力）'!"&amp;AM78&amp;MATCH(AR36,'数出表_Excel（アレルギー入力）'!$A:$A,0)-1&amp;":"&amp;AR82&amp;MATCH(AR36,'数出表_Excel（アレルギー入力）'!$A:$A,0)-1&amp;"")&lt;&gt;"",0),0)+1),
 ""),
IFERROR(
INDEX(INDIRECT("'数出表_Excel（アレルギー入力）'!"&amp;AM78&amp;MATCH(AR36,'数出表_Excel（アレルギー入力）'!$A:$A,0)-1&amp;":"&amp;AR82&amp;MATCH(AR36,'数出表_Excel（アレルギー入力）'!$A:$A,0)-1&amp;""),
 1,
MATCH(AN81,INDIRECT("'数出表_Excel（アレルギー入力）'!"&amp;AM78&amp;MATCH(AR36,'数出表_Excel（アレルギー入力）'!$A:$A,0)-1&amp;":"&amp;AR82&amp;MATCH(AR36,'数出表_Excel（アレルギー入力）'!$A:$A,0)-1&amp;""),0)+1),
 "")),0),"")</f>
        <v/>
      </c>
      <c r="AR84" s="217"/>
      <c r="AU84" s="214" t="str">
        <f ca="1">IF(AV81&lt;&gt;"",
IFERROR(INT(AV81/AV83),""),"")</f>
        <v/>
      </c>
      <c r="AV84" s="215"/>
      <c r="AW84" s="214" t="str">
        <f ca="1">IFERROR(MOD(AV81,AV83),"")</f>
        <v/>
      </c>
      <c r="AX84" s="215"/>
      <c r="AY84" s="216" t="str" cm="1">
        <f t="array" aca="1" ref="AY84" ca="1">IF(AV78&lt;&gt;"",
IF(IFERROR(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MATCH(AV81,INDIRECT("'数出表_Excel（アレルギー入力）'!"&amp;AU78&amp;MATCH(AZ36,'数出表_Excel（アレルギー入力）'!$A:$A,0)-1&amp;":"&amp;AZ82&amp;MATCH(AZ36,'数出表_Excel（アレルギー入力）'!$A:$A,0)-1&amp;""),0)+1),
 "")&lt;&gt;0,
IF(IFERROR(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MATCH(AV81,INDIRECT("'数出表_Excel（アレルギー入力）'!"&amp;AU78&amp;MATCH(AZ36,'数出表_Excel（アレルギー入力）'!$A:$A,0)-1&amp;":"&amp;AZ82&amp;MATCH(AZ36,'数出表_Excel（アレルギー入力）'!$A:$A,0)-1&amp;""),0)+1),
 "")="",
IFERROR(
INDEX(INDIRECT("'数出表_Excel（アレルギー入力）'!B"&amp;MATCH(AZ36,'数出表_Excel（アレルギー入力）'!$A:$A,0)-1&amp;":"&amp;AZ82&amp;MATCH(AZ36,'数出表_Excel（アレルギー入力）'!$A:$A,0)-1&amp;""),
 1,
MATCH(TRUE,INDEX(INDIRECT("'数出表_Excel（アレルギー入力）'!"&amp;AU78&amp;MATCH(AZ36,'数出表_Excel（アレルギー入力）'!$A:$A,0)-1&amp;":"&amp;AZ82&amp;MATCH(AZ36,'数出表_Excel（アレルギー入力）'!$A:$A,0)-1&amp;"")&lt;&gt;"",0),0)+1),
 ""),
IFERROR(
INDEX(INDIRECT("'数出表_Excel（アレルギー入力）'!"&amp;AU78&amp;MATCH(AZ36,'数出表_Excel（アレルギー入力）'!$A:$A,0)-1&amp;":"&amp;AZ82&amp;MATCH(AZ36,'数出表_Excel（アレルギー入力）'!$A:$A,0)-1&amp;""),
 1,
MATCH(AV81,INDIRECT("'数出表_Excel（アレルギー入力）'!"&amp;AU78&amp;MATCH(AZ36,'数出表_Excel（アレルギー入力）'!$A:$A,0)-1&amp;":"&amp;AZ82&amp;MATCH(AZ36,'数出表_Excel（アレルギー入力）'!$A:$A,0)-1&amp;""),0)+1),
 "")),0),"")</f>
        <v/>
      </c>
      <c r="AZ84" s="217"/>
      <c r="BB84" s="214" t="str">
        <f ca="1">IF(BC81&lt;&gt;"",
IFERROR(INT(BC81/BC83),""),"")</f>
        <v/>
      </c>
      <c r="BC84" s="215"/>
      <c r="BD84" s="214" t="str">
        <f ca="1">IFERROR(MOD(BC81,BC83),"")</f>
        <v/>
      </c>
      <c r="BE84" s="215"/>
      <c r="BF84" s="216" t="str" cm="1">
        <f t="array" aca="1" ref="BF84" ca="1">IF(BC78&lt;&gt;"",
IF(IFERROR(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MATCH(BC81,INDIRECT("'数出表_Excel（アレルギー入力）'!"&amp;BB78&amp;MATCH(BG36,'数出表_Excel（アレルギー入力）'!$A:$A,0)-1&amp;":"&amp;BG82&amp;MATCH(BG36,'数出表_Excel（アレルギー入力）'!$A:$A,0)-1&amp;""),0)+1),
 "")&lt;&gt;0,
IF(IFERROR(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MATCH(BC81,INDIRECT("'数出表_Excel（アレルギー入力）'!"&amp;BB78&amp;MATCH(BG36,'数出表_Excel（アレルギー入力）'!$A:$A,0)-1&amp;":"&amp;BG82&amp;MATCH(BG36,'数出表_Excel（アレルギー入力）'!$A:$A,0)-1&amp;""),0)+1),
 "")="",
IFERROR(
INDEX(INDIRECT("'数出表_Excel（アレルギー入力）'!B"&amp;MATCH(BG36,'数出表_Excel（アレルギー入力）'!$A:$A,0)-1&amp;":"&amp;BG82&amp;MATCH(BG36,'数出表_Excel（アレルギー入力）'!$A:$A,0)-1&amp;""),
 1,
MATCH(TRUE,INDEX(INDIRECT("'数出表_Excel（アレルギー入力）'!"&amp;BB78&amp;MATCH(BG36,'数出表_Excel（アレルギー入力）'!$A:$A,0)-1&amp;":"&amp;BG82&amp;MATCH(BG36,'数出表_Excel（アレルギー入力）'!$A:$A,0)-1&amp;"")&lt;&gt;"",0),0)+1),
 ""),
IFERROR(
INDEX(INDIRECT("'数出表_Excel（アレルギー入力）'!"&amp;BB78&amp;MATCH(BG36,'数出表_Excel（アレルギー入力）'!$A:$A,0)-1&amp;":"&amp;BG82&amp;MATCH(BG36,'数出表_Excel（アレルギー入力）'!$A:$A,0)-1&amp;""),
 1,
MATCH(BC81,INDIRECT("'数出表_Excel（アレルギー入力）'!"&amp;BB78&amp;MATCH(BG36,'数出表_Excel（アレルギー入力）'!$A:$A,0)-1&amp;":"&amp;BG82&amp;MATCH(BG36,'数出表_Excel（アレルギー入力）'!$A:$A,0)-1&amp;""),0)+1),
 "")),0),"")</f>
        <v/>
      </c>
      <c r="BG84" s="217"/>
      <c r="BJ84" s="214" t="str">
        <f ca="1">IF(BK81&lt;&gt;"",
IFERROR(INT(BK81/BK83),""),"")</f>
        <v/>
      </c>
      <c r="BK84" s="215"/>
      <c r="BL84" s="214" t="str">
        <f ca="1">IFERROR(MOD(BK81,BK83),"")</f>
        <v/>
      </c>
      <c r="BM84" s="215"/>
      <c r="BN84" s="216" t="str" cm="1">
        <f t="array" aca="1" ref="BN84" ca="1">IF(BK78&lt;&gt;"",
IF(IFERROR(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MATCH(BK81,INDIRECT("'数出表_Excel（アレルギー入力）'!"&amp;BJ78&amp;MATCH(BO36,'数出表_Excel（アレルギー入力）'!$A:$A,0)-1&amp;":"&amp;BO82&amp;MATCH(BO36,'数出表_Excel（アレルギー入力）'!$A:$A,0)-1&amp;""),0)+1),
 "")&lt;&gt;0,
IF(IFERROR(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MATCH(BK81,INDIRECT("'数出表_Excel（アレルギー入力）'!"&amp;BJ78&amp;MATCH(BO36,'数出表_Excel（アレルギー入力）'!$A:$A,0)-1&amp;":"&amp;BO82&amp;MATCH(BO36,'数出表_Excel（アレルギー入力）'!$A:$A,0)-1&amp;""),0)+1),
 "")="",
IFERROR(
INDEX(INDIRECT("'数出表_Excel（アレルギー入力）'!B"&amp;MATCH(BO36,'数出表_Excel（アレルギー入力）'!$A:$A,0)-1&amp;":"&amp;BO82&amp;MATCH(BO36,'数出表_Excel（アレルギー入力）'!$A:$A,0)-1&amp;""),
 1,
MATCH(TRUE,INDEX(INDIRECT("'数出表_Excel（アレルギー入力）'!"&amp;BJ78&amp;MATCH(BO36,'数出表_Excel（アレルギー入力）'!$A:$A,0)-1&amp;":"&amp;BO82&amp;MATCH(BO36,'数出表_Excel（アレルギー入力）'!$A:$A,0)-1&amp;"")&lt;&gt;"",0),0)+1),
 ""),
IFERROR(
INDEX(INDIRECT("'数出表_Excel（アレルギー入力）'!"&amp;BJ78&amp;MATCH(BO36,'数出表_Excel（アレルギー入力）'!$A:$A,0)-1&amp;":"&amp;BO82&amp;MATCH(BO36,'数出表_Excel（アレルギー入力）'!$A:$A,0)-1&amp;""),
 1,
MATCH(BK81,INDIRECT("'数出表_Excel（アレルギー入力）'!"&amp;BJ78&amp;MATCH(BO36,'数出表_Excel（アレルギー入力）'!$A:$A,0)-1&amp;":"&amp;BO82&amp;MATCH(BO36,'数出表_Excel（アレルギー入力）'!$A:$A,0)-1&amp;""),0)+1),
 "")),0),"")</f>
        <v/>
      </c>
      <c r="BO84" s="217"/>
      <c r="BQ84" s="214" t="str">
        <f ca="1">IF(BR81&lt;&gt;"",
IFERROR(INT(BR81/BR83),""),"")</f>
        <v/>
      </c>
      <c r="BR84" s="215"/>
      <c r="BS84" s="214" t="str">
        <f ca="1">IFERROR(MOD(BR81,BR83),"")</f>
        <v/>
      </c>
      <c r="BT84" s="215"/>
      <c r="BU84" s="216" t="str" cm="1">
        <f t="array" aca="1" ref="BU84" ca="1">IF(BR78&lt;&gt;"",
IF(IFERROR(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MATCH(BR81,INDIRECT("'数出表_Excel（アレルギー入力）'!"&amp;BQ78&amp;MATCH(BV36,'数出表_Excel（アレルギー入力）'!$A:$A,0)-1&amp;":"&amp;BV82&amp;MATCH(BV36,'数出表_Excel（アレルギー入力）'!$A:$A,0)-1&amp;""),0)+1),
 "")&lt;&gt;0,
IF(IFERROR(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MATCH(BR81,INDIRECT("'数出表_Excel（アレルギー入力）'!"&amp;BQ78&amp;MATCH(BV36,'数出表_Excel（アレルギー入力）'!$A:$A,0)-1&amp;":"&amp;BV82&amp;MATCH(BV36,'数出表_Excel（アレルギー入力）'!$A:$A,0)-1&amp;""),0)+1),
 "")="",
IFERROR(
INDEX(INDIRECT("'数出表_Excel（アレルギー入力）'!B"&amp;MATCH(BV36,'数出表_Excel（アレルギー入力）'!$A:$A,0)-1&amp;":"&amp;BV82&amp;MATCH(BV36,'数出表_Excel（アレルギー入力）'!$A:$A,0)-1&amp;""),
 1,
MATCH(TRUE,INDEX(INDIRECT("'数出表_Excel（アレルギー入力）'!"&amp;BQ78&amp;MATCH(BV36,'数出表_Excel（アレルギー入力）'!$A:$A,0)-1&amp;":"&amp;BV82&amp;MATCH(BV36,'数出表_Excel（アレルギー入力）'!$A:$A,0)-1&amp;"")&lt;&gt;"",0),0)+1),
 ""),
IFERROR(
INDEX(INDIRECT("'数出表_Excel（アレルギー入力）'!"&amp;BQ78&amp;MATCH(BV36,'数出表_Excel（アレルギー入力）'!$A:$A,0)-1&amp;":"&amp;BV82&amp;MATCH(BV36,'数出表_Excel（アレルギー入力）'!$A:$A,0)-1&amp;""),
 1,
MATCH(BR81,INDIRECT("'数出表_Excel（アレルギー入力）'!"&amp;BQ78&amp;MATCH(BV36,'数出表_Excel（アレルギー入力）'!$A:$A,0)-1&amp;":"&amp;BV82&amp;MATCH(BV36,'数出表_Excel（アレルギー入力）'!$A:$A,0)-1&amp;""),0)+1),
 "")),0),"")</f>
        <v/>
      </c>
      <c r="BV84" s="217"/>
      <c r="BY84" s="214" t="str">
        <f ca="1">IF(BZ81&lt;&gt;"",
IFERROR(INT(BZ81/BZ83),""),"")</f>
        <v/>
      </c>
      <c r="BZ84" s="215"/>
      <c r="CA84" s="214" t="str">
        <f ca="1">IFERROR(MOD(BZ81,BZ83),"")</f>
        <v/>
      </c>
      <c r="CB84" s="215"/>
      <c r="CC84" s="216" t="str" cm="1">
        <f t="array" aca="1" ref="CC84" ca="1">IF(BZ78&lt;&gt;"",
IF(IFERROR(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MATCH(BZ81,INDIRECT("'数出表_Excel（アレルギー入力）'!"&amp;BY78&amp;MATCH(CD36,'数出表_Excel（アレルギー入力）'!$A:$A,0)-1&amp;":"&amp;CD82&amp;MATCH(CD36,'数出表_Excel（アレルギー入力）'!$A:$A,0)-1&amp;""),0)+1),
 "")&lt;&gt;0,
IF(IFERROR(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MATCH(BZ81,INDIRECT("'数出表_Excel（アレルギー入力）'!"&amp;BY78&amp;MATCH(CD36,'数出表_Excel（アレルギー入力）'!$A:$A,0)-1&amp;":"&amp;CD82&amp;MATCH(CD36,'数出表_Excel（アレルギー入力）'!$A:$A,0)-1&amp;""),0)+1),
 "")="",
IFERROR(
INDEX(INDIRECT("'数出表_Excel（アレルギー入力）'!B"&amp;MATCH(CD36,'数出表_Excel（アレルギー入力）'!$A:$A,0)-1&amp;":"&amp;CD82&amp;MATCH(CD36,'数出表_Excel（アレルギー入力）'!$A:$A,0)-1&amp;""),
 1,
MATCH(TRUE,INDEX(INDIRECT("'数出表_Excel（アレルギー入力）'!"&amp;BY78&amp;MATCH(CD36,'数出表_Excel（アレルギー入力）'!$A:$A,0)-1&amp;":"&amp;CD82&amp;MATCH(CD36,'数出表_Excel（アレルギー入力）'!$A:$A,0)-1&amp;"")&lt;&gt;"",0),0)+1),
 ""),
IFERROR(
INDEX(INDIRECT("'数出表_Excel（アレルギー入力）'!"&amp;BY78&amp;MATCH(CD36,'数出表_Excel（アレルギー入力）'!$A:$A,0)-1&amp;":"&amp;CD82&amp;MATCH(CD36,'数出表_Excel（アレルギー入力）'!$A:$A,0)-1&amp;""),
 1,
MATCH(BZ81,INDIRECT("'数出表_Excel（アレルギー入力）'!"&amp;BY78&amp;MATCH(CD36,'数出表_Excel（アレルギー入力）'!$A:$A,0)-1&amp;":"&amp;CD82&amp;MATCH(CD36,'数出表_Excel（アレルギー入力）'!$A:$A,0)-1&amp;""),0)+1),
 "")),0),"")</f>
        <v/>
      </c>
      <c r="CD84" s="217"/>
      <c r="CF84" s="214" t="str">
        <f ca="1">IF(CG81&lt;&gt;"",
IFERROR(INT(CG81/CG83),""),"")</f>
        <v/>
      </c>
      <c r="CG84" s="215"/>
      <c r="CH84" s="214" t="str">
        <f ca="1">IFERROR(MOD(CG81,CG83),"")</f>
        <v/>
      </c>
      <c r="CI84" s="215"/>
      <c r="CJ84" s="216" t="str" cm="1">
        <f t="array" aca="1" ref="CJ84" ca="1">IF(CG78&lt;&gt;"",
IF(IFERROR(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MATCH(CG81,INDIRECT("'数出表_Excel（アレルギー入力）'!"&amp;CF78&amp;MATCH(CK36,'数出表_Excel（アレルギー入力）'!$A:$A,0)-1&amp;":"&amp;CK82&amp;MATCH(CK36,'数出表_Excel（アレルギー入力）'!$A:$A,0)-1&amp;""),0)+1),
 "")&lt;&gt;0,
IF(IFERROR(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MATCH(CG81,INDIRECT("'数出表_Excel（アレルギー入力）'!"&amp;CF78&amp;MATCH(CK36,'数出表_Excel（アレルギー入力）'!$A:$A,0)-1&amp;":"&amp;CK82&amp;MATCH(CK36,'数出表_Excel（アレルギー入力）'!$A:$A,0)-1&amp;""),0)+1),
 "")="",
IFERROR(
INDEX(INDIRECT("'数出表_Excel（アレルギー入力）'!B"&amp;MATCH(CK36,'数出表_Excel（アレルギー入力）'!$A:$A,0)-1&amp;":"&amp;CK82&amp;MATCH(CK36,'数出表_Excel（アレルギー入力）'!$A:$A,0)-1&amp;""),
 1,
MATCH(TRUE,INDEX(INDIRECT("'数出表_Excel（アレルギー入力）'!"&amp;CF78&amp;MATCH(CK36,'数出表_Excel（アレルギー入力）'!$A:$A,0)-1&amp;":"&amp;CK82&amp;MATCH(CK36,'数出表_Excel（アレルギー入力）'!$A:$A,0)-1&amp;"")&lt;&gt;"",0),0)+1),
 ""),
IFERROR(
INDEX(INDIRECT("'数出表_Excel（アレルギー入力）'!"&amp;CF78&amp;MATCH(CK36,'数出表_Excel（アレルギー入力）'!$A:$A,0)-1&amp;":"&amp;CK82&amp;MATCH(CK36,'数出表_Excel（アレルギー入力）'!$A:$A,0)-1&amp;""),
 1,
MATCH(CG81,INDIRECT("'数出表_Excel（アレルギー入力）'!"&amp;CF78&amp;MATCH(CK36,'数出表_Excel（アレルギー入力）'!$A:$A,0)-1&amp;":"&amp;CK82&amp;MATCH(CK36,'数出表_Excel（アレルギー入力）'!$A:$A,0)-1&amp;""),0)+1),
 "")),0),"")</f>
        <v/>
      </c>
      <c r="CK84" s="217"/>
      <c r="CN84" s="214" t="str">
        <f ca="1">IF(CO81&lt;&gt;"",
IFERROR(INT(CO81/CO83),""),"")</f>
        <v/>
      </c>
      <c r="CO84" s="215"/>
      <c r="CP84" s="214" t="str">
        <f ca="1">IFERROR(MOD(CO81,CO83),"")</f>
        <v/>
      </c>
      <c r="CQ84" s="215"/>
      <c r="CR84" s="216" t="str" cm="1">
        <f t="array" aca="1" ref="CR84" ca="1">IF(CO78&lt;&gt;"",
IF(IFERROR(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MATCH(CO81,INDIRECT("'数出表_Excel（アレルギー入力）'!"&amp;CN78&amp;MATCH(CS36,'数出表_Excel（アレルギー入力）'!$A:$A,0)-1&amp;":"&amp;CS82&amp;MATCH(CS36,'数出表_Excel（アレルギー入力）'!$A:$A,0)-1&amp;""),0)+1),
 "")&lt;&gt;0,
IF(IFERROR(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MATCH(CO81,INDIRECT("'数出表_Excel（アレルギー入力）'!"&amp;CN78&amp;MATCH(CS36,'数出表_Excel（アレルギー入力）'!$A:$A,0)-1&amp;":"&amp;CS82&amp;MATCH(CS36,'数出表_Excel（アレルギー入力）'!$A:$A,0)-1&amp;""),0)+1),
 "")="",
IFERROR(
INDEX(INDIRECT("'数出表_Excel（アレルギー入力）'!B"&amp;MATCH(CS36,'数出表_Excel（アレルギー入力）'!$A:$A,0)-1&amp;":"&amp;CS82&amp;MATCH(CS36,'数出表_Excel（アレルギー入力）'!$A:$A,0)-1&amp;""),
 1,
MATCH(TRUE,INDEX(INDIRECT("'数出表_Excel（アレルギー入力）'!"&amp;CN78&amp;MATCH(CS36,'数出表_Excel（アレルギー入力）'!$A:$A,0)-1&amp;":"&amp;CS82&amp;MATCH(CS36,'数出表_Excel（アレルギー入力）'!$A:$A,0)-1&amp;"")&lt;&gt;"",0),0)+1),
 ""),
IFERROR(
INDEX(INDIRECT("'数出表_Excel（アレルギー入力）'!"&amp;CN78&amp;MATCH(CS36,'数出表_Excel（アレルギー入力）'!$A:$A,0)-1&amp;":"&amp;CS82&amp;MATCH(CS36,'数出表_Excel（アレルギー入力）'!$A:$A,0)-1&amp;""),
 1,
MATCH(CO81,INDIRECT("'数出表_Excel（アレルギー入力）'!"&amp;CN78&amp;MATCH(CS36,'数出表_Excel（アレルギー入力）'!$A:$A,0)-1&amp;":"&amp;CS82&amp;MATCH(CS36,'数出表_Excel（アレルギー入力）'!$A:$A,0)-1&amp;""),0)+1),
 "")),0),"")</f>
        <v/>
      </c>
      <c r="CS84" s="217"/>
      <c r="CU84" s="214" t="str">
        <f ca="1">IF(CV81&lt;&gt;"",
IFERROR(INT(CV81/CV83),""),"")</f>
        <v/>
      </c>
      <c r="CV84" s="215"/>
      <c r="CW84" s="214" t="str">
        <f ca="1">IFERROR(MOD(CV81,CV83),"")</f>
        <v/>
      </c>
      <c r="CX84" s="215"/>
      <c r="CY84" s="216" t="str" cm="1">
        <f t="array" aca="1" ref="CY84" ca="1">IF(CV78&lt;&gt;"",
IF(IFERROR(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MATCH(CV81,INDIRECT("'数出表_Excel（アレルギー入力）'!"&amp;CU78&amp;MATCH(CZ36,'数出表_Excel（アレルギー入力）'!$A:$A,0)-1&amp;":"&amp;CZ82&amp;MATCH(CZ36,'数出表_Excel（アレルギー入力）'!$A:$A,0)-1&amp;""),0)+1),
 "")&lt;&gt;0,
IF(IFERROR(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MATCH(CV81,INDIRECT("'数出表_Excel（アレルギー入力）'!"&amp;CU78&amp;MATCH(CZ36,'数出表_Excel（アレルギー入力）'!$A:$A,0)-1&amp;":"&amp;CZ82&amp;MATCH(CZ36,'数出表_Excel（アレルギー入力）'!$A:$A,0)-1&amp;""),0)+1),
 "")="",
IFERROR(
INDEX(INDIRECT("'数出表_Excel（アレルギー入力）'!B"&amp;MATCH(CZ36,'数出表_Excel（アレルギー入力）'!$A:$A,0)-1&amp;":"&amp;CZ82&amp;MATCH(CZ36,'数出表_Excel（アレルギー入力）'!$A:$A,0)-1&amp;""),
 1,
MATCH(TRUE,INDEX(INDIRECT("'数出表_Excel（アレルギー入力）'!"&amp;CU78&amp;MATCH(CZ36,'数出表_Excel（アレルギー入力）'!$A:$A,0)-1&amp;":"&amp;CZ82&amp;MATCH(CZ36,'数出表_Excel（アレルギー入力）'!$A:$A,0)-1&amp;"")&lt;&gt;"",0),0)+1),
 ""),
IFERROR(
INDEX(INDIRECT("'数出表_Excel（アレルギー入力）'!"&amp;CU78&amp;MATCH(CZ36,'数出表_Excel（アレルギー入力）'!$A:$A,0)-1&amp;":"&amp;CZ82&amp;MATCH(CZ36,'数出表_Excel（アレルギー入力）'!$A:$A,0)-1&amp;""),
 1,
MATCH(CV81,INDIRECT("'数出表_Excel（アレルギー入力）'!"&amp;CU78&amp;MATCH(CZ36,'数出表_Excel（アレルギー入力）'!$A:$A,0)-1&amp;":"&amp;CZ82&amp;MATCH(CZ36,'数出表_Excel（アレルギー入力）'!$A:$A,0)-1&amp;""),0)+1),
 "")),0),"")</f>
        <v/>
      </c>
      <c r="CZ84" s="217"/>
      <c r="DC84" s="214" t="str">
        <f ca="1">IF(DD81&lt;&gt;"",
IFERROR(INT(DD81/DD83),""),"")</f>
        <v/>
      </c>
      <c r="DD84" s="215"/>
      <c r="DE84" s="214" t="str">
        <f ca="1">IFERROR(MOD(DD81,DD83),"")</f>
        <v/>
      </c>
      <c r="DF84" s="215"/>
      <c r="DG84" s="216" t="str" cm="1">
        <f t="array" aca="1" ref="DG84" ca="1">IF(DD78&lt;&gt;"",
IF(IFERROR(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MATCH(DD81,INDIRECT("'数出表_Excel（アレルギー入力）'!"&amp;DC78&amp;MATCH(DH36,'数出表_Excel（アレルギー入力）'!$A:$A,0)-1&amp;":"&amp;DH82&amp;MATCH(DH36,'数出表_Excel（アレルギー入力）'!$A:$A,0)-1&amp;""),0)+1),
 "")&lt;&gt;0,
IF(IFERROR(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MATCH(DD81,INDIRECT("'数出表_Excel（アレルギー入力）'!"&amp;DC78&amp;MATCH(DH36,'数出表_Excel（アレルギー入力）'!$A:$A,0)-1&amp;":"&amp;DH82&amp;MATCH(DH36,'数出表_Excel（アレルギー入力）'!$A:$A,0)-1&amp;""),0)+1),
 "")="",
IFERROR(
INDEX(INDIRECT("'数出表_Excel（アレルギー入力）'!B"&amp;MATCH(DH36,'数出表_Excel（アレルギー入力）'!$A:$A,0)-1&amp;":"&amp;DH82&amp;MATCH(DH36,'数出表_Excel（アレルギー入力）'!$A:$A,0)-1&amp;""),
 1,
MATCH(TRUE,INDEX(INDIRECT("'数出表_Excel（アレルギー入力）'!"&amp;DC78&amp;MATCH(DH36,'数出表_Excel（アレルギー入力）'!$A:$A,0)-1&amp;":"&amp;DH82&amp;MATCH(DH36,'数出表_Excel（アレルギー入力）'!$A:$A,0)-1&amp;"")&lt;&gt;"",0),0)+1),
 ""),
IFERROR(
INDEX(INDIRECT("'数出表_Excel（アレルギー入力）'!"&amp;DC78&amp;MATCH(DH36,'数出表_Excel（アレルギー入力）'!$A:$A,0)-1&amp;":"&amp;DH82&amp;MATCH(DH36,'数出表_Excel（アレルギー入力）'!$A:$A,0)-1&amp;""),
 1,
MATCH(DD81,INDIRECT("'数出表_Excel（アレルギー入力）'!"&amp;DC78&amp;MATCH(DH36,'数出表_Excel（アレルギー入力）'!$A:$A,0)-1&amp;":"&amp;DH82&amp;MATCH(DH36,'数出表_Excel（アレルギー入力）'!$A:$A,0)-1&amp;""),0)+1),
 "")),0),"")</f>
        <v/>
      </c>
      <c r="DH84" s="217"/>
      <c r="DJ84" s="214" t="str">
        <f ca="1">IF(DK81&lt;&gt;"",
IFERROR(INT(DK81/DK83),""),"")</f>
        <v/>
      </c>
      <c r="DK84" s="215"/>
      <c r="DL84" s="214" t="str">
        <f ca="1">IFERROR(MOD(DK81,DK83),"")</f>
        <v/>
      </c>
      <c r="DM84" s="215"/>
      <c r="DN84" s="216" t="str" cm="1">
        <f t="array" aca="1" ref="DN84" ca="1">IF(DK78&lt;&gt;"",
IF(IFERROR(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MATCH(DK81,INDIRECT("'数出表_Excel（アレルギー入力）'!"&amp;DJ78&amp;MATCH(DO36,'数出表_Excel（アレルギー入力）'!$A:$A,0)-1&amp;":"&amp;DO82&amp;MATCH(DO36,'数出表_Excel（アレルギー入力）'!$A:$A,0)-1&amp;""),0)+1),
 "")&lt;&gt;0,
IF(IFERROR(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MATCH(DK81,INDIRECT("'数出表_Excel（アレルギー入力）'!"&amp;DJ78&amp;MATCH(DO36,'数出表_Excel（アレルギー入力）'!$A:$A,0)-1&amp;":"&amp;DO82&amp;MATCH(DO36,'数出表_Excel（アレルギー入力）'!$A:$A,0)-1&amp;""),0)+1),
 "")="",
IFERROR(
INDEX(INDIRECT("'数出表_Excel（アレルギー入力）'!B"&amp;MATCH(DO36,'数出表_Excel（アレルギー入力）'!$A:$A,0)-1&amp;":"&amp;DO82&amp;MATCH(DO36,'数出表_Excel（アレルギー入力）'!$A:$A,0)-1&amp;""),
 1,
MATCH(TRUE,INDEX(INDIRECT("'数出表_Excel（アレルギー入力）'!"&amp;DJ78&amp;MATCH(DO36,'数出表_Excel（アレルギー入力）'!$A:$A,0)-1&amp;":"&amp;DO82&amp;MATCH(DO36,'数出表_Excel（アレルギー入力）'!$A:$A,0)-1&amp;"")&lt;&gt;"",0),0)+1),
 ""),
IFERROR(
INDEX(INDIRECT("'数出表_Excel（アレルギー入力）'!"&amp;DJ78&amp;MATCH(DO36,'数出表_Excel（アレルギー入力）'!$A:$A,0)-1&amp;":"&amp;DO82&amp;MATCH(DO36,'数出表_Excel（アレルギー入力）'!$A:$A,0)-1&amp;""),
 1,
MATCH(DK81,INDIRECT("'数出表_Excel（アレルギー入力）'!"&amp;DJ78&amp;MATCH(DO36,'数出表_Excel（アレルギー入力）'!$A:$A,0)-1&amp;":"&amp;DO82&amp;MATCH(DO36,'数出表_Excel（アレルギー入力）'!$A:$A,0)-1&amp;""),0)+1),
 "")),0),"")</f>
        <v/>
      </c>
      <c r="DO84" s="217"/>
      <c r="DR84" s="214" t="str">
        <f ca="1">IF(DS81&lt;&gt;"",
IFERROR(INT(DS81/DS83),""),"")</f>
        <v/>
      </c>
      <c r="DS84" s="215"/>
      <c r="DT84" s="214" t="str">
        <f ca="1">IFERROR(MOD(DS81,DS83),"")</f>
        <v/>
      </c>
      <c r="DU84" s="215"/>
      <c r="DV84" s="216" t="str" cm="1">
        <f t="array" aca="1" ref="DV84" ca="1">IF(DS78&lt;&gt;"",
IF(IFERROR(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MATCH(DS81,INDIRECT("'数出表_Excel（アレルギー入力）'!"&amp;DR78&amp;MATCH(DW36,'数出表_Excel（アレルギー入力）'!$A:$A,0)-1&amp;":"&amp;DW82&amp;MATCH(DW36,'数出表_Excel（アレルギー入力）'!$A:$A,0)-1&amp;""),0)+1),
 "")&lt;&gt;0,
IF(IFERROR(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MATCH(DS81,INDIRECT("'数出表_Excel（アレルギー入力）'!"&amp;DR78&amp;MATCH(DW36,'数出表_Excel（アレルギー入力）'!$A:$A,0)-1&amp;":"&amp;DW82&amp;MATCH(DW36,'数出表_Excel（アレルギー入力）'!$A:$A,0)-1&amp;""),0)+1),
 "")="",
IFERROR(
INDEX(INDIRECT("'数出表_Excel（アレルギー入力）'!B"&amp;MATCH(DW36,'数出表_Excel（アレルギー入力）'!$A:$A,0)-1&amp;":"&amp;DW82&amp;MATCH(DW36,'数出表_Excel（アレルギー入力）'!$A:$A,0)-1&amp;""),
 1,
MATCH(TRUE,INDEX(INDIRECT("'数出表_Excel（アレルギー入力）'!"&amp;DR78&amp;MATCH(DW36,'数出表_Excel（アレルギー入力）'!$A:$A,0)-1&amp;":"&amp;DW82&amp;MATCH(DW36,'数出表_Excel（アレルギー入力）'!$A:$A,0)-1&amp;"")&lt;&gt;"",0),0)+1),
 ""),
IFERROR(
INDEX(INDIRECT("'数出表_Excel（アレルギー入力）'!"&amp;DR78&amp;MATCH(DW36,'数出表_Excel（アレルギー入力）'!$A:$A,0)-1&amp;":"&amp;DW82&amp;MATCH(DW36,'数出表_Excel（アレルギー入力）'!$A:$A,0)-1&amp;""),
 1,
MATCH(DS81,INDIRECT("'数出表_Excel（アレルギー入力）'!"&amp;DR78&amp;MATCH(DW36,'数出表_Excel（アレルギー入力）'!$A:$A,0)-1&amp;":"&amp;DW82&amp;MATCH(DW36,'数出表_Excel（アレルギー入力）'!$A:$A,0)-1&amp;""),0)+1),
 "")),0),"")</f>
        <v/>
      </c>
      <c r="DW84" s="217"/>
      <c r="DY84" s="214" t="str">
        <f ca="1">IF(DZ81&lt;&gt;"",
IFERROR(INT(DZ81/DZ83),""),"")</f>
        <v/>
      </c>
      <c r="DZ84" s="215"/>
      <c r="EA84" s="214" t="str">
        <f ca="1">IFERROR(MOD(DZ81,DZ83),"")</f>
        <v/>
      </c>
      <c r="EB84" s="215"/>
      <c r="EC84" s="216" t="str" cm="1">
        <f t="array" aca="1" ref="EC84" ca="1">IF(DZ78&lt;&gt;"",
IF(IFERROR(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MATCH(DZ81,INDIRECT("'数出表_Excel（アレルギー入力）'!"&amp;DY78&amp;MATCH(ED36,'数出表_Excel（アレルギー入力）'!$A:$A,0)-1&amp;":"&amp;ED82&amp;MATCH(ED36,'数出表_Excel（アレルギー入力）'!$A:$A,0)-1&amp;""),0)+1),
 "")&lt;&gt;0,
IF(IFERROR(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MATCH(DZ81,INDIRECT("'数出表_Excel（アレルギー入力）'!"&amp;DY78&amp;MATCH(ED36,'数出表_Excel（アレルギー入力）'!$A:$A,0)-1&amp;":"&amp;ED82&amp;MATCH(ED36,'数出表_Excel（アレルギー入力）'!$A:$A,0)-1&amp;""),0)+1),
 "")="",
IFERROR(
INDEX(INDIRECT("'数出表_Excel（アレルギー入力）'!B"&amp;MATCH(ED36,'数出表_Excel（アレルギー入力）'!$A:$A,0)-1&amp;":"&amp;ED82&amp;MATCH(ED36,'数出表_Excel（アレルギー入力）'!$A:$A,0)-1&amp;""),
 1,
MATCH(TRUE,INDEX(INDIRECT("'数出表_Excel（アレルギー入力）'!"&amp;DY78&amp;MATCH(ED36,'数出表_Excel（アレルギー入力）'!$A:$A,0)-1&amp;":"&amp;ED82&amp;MATCH(ED36,'数出表_Excel（アレルギー入力）'!$A:$A,0)-1&amp;"")&lt;&gt;"",0),0)+1),
 ""),
IFERROR(
INDEX(INDIRECT("'数出表_Excel（アレルギー入力）'!"&amp;DY78&amp;MATCH(ED36,'数出表_Excel（アレルギー入力）'!$A:$A,0)-1&amp;":"&amp;ED82&amp;MATCH(ED36,'数出表_Excel（アレルギー入力）'!$A:$A,0)-1&amp;""),
 1,
MATCH(DZ81,INDIRECT("'数出表_Excel（アレルギー入力）'!"&amp;DY78&amp;MATCH(ED36,'数出表_Excel（アレルギー入力）'!$A:$A,0)-1&amp;":"&amp;ED82&amp;MATCH(ED36,'数出表_Excel（アレルギー入力）'!$A:$A,0)-1&amp;""),0)+1),
 "")),0),"")</f>
        <v/>
      </c>
      <c r="ED84" s="217"/>
      <c r="EG84" s="214" t="str">
        <f ca="1">IF(EH81&lt;&gt;"",
IFERROR(INT(EH81/EH83),""),"")</f>
        <v/>
      </c>
      <c r="EH84" s="215"/>
      <c r="EI84" s="214" t="str">
        <f ca="1">IFERROR(MOD(EH81,EH83),"")</f>
        <v/>
      </c>
      <c r="EJ84" s="215"/>
      <c r="EK84" s="216" t="str" cm="1">
        <f t="array" aca="1" ref="EK84" ca="1">IF(EH78&lt;&gt;"",
IF(IFERROR(
INDEX(INDIRECT("'数出表_Excel（アレルギー入力）'!"&amp;EG78&amp;MATCH(EL36,'数出表_Excel（アレルギー入力）'!$A:$A,0)-1&amp;":"&amp;EL82&amp;MATCH(EL36,'数出表_Excel（アレルギー入力）'!$A:$A,0)-1&amp;""),
 1,
MATCH(EH81,INDIRECT("'数出表_Excel（アレルギー入力）'!"&amp;EG78&amp;MATCH(EL36,'数出表_Excel（アレルギー入力）'!$A:$A,0)-1&amp;":"&amp;EL82&amp;MATCH(EL36,'数出表_Excel（アレルギー入力）'!$A:$A,0)-1&amp;""),0)+1),
 "")&lt;&gt;0,
IF(IFERROR(
INDEX(INDIRECT("'数出表_Excel（アレルギー入力）'!"&amp;EG78&amp;MATCH(EL36,'数出表_Excel（アレルギー入力）'!$A:$A,0)-1&amp;":"&amp;EL82&amp;MATCH(EL36,'数出表_Excel（アレルギー入力）'!$A:$A,0)-1&amp;""),
 1,
MATCH(EH81,INDIRECT("'数出表_Excel（アレルギー入力）'!"&amp;EG78&amp;MATCH(EL36,'数出表_Excel（アレルギー入力）'!$A:$A,0)-1&amp;":"&amp;EL82&amp;MATCH(EL36,'数出表_Excel（アレルギー入力）'!$A:$A,0)-1&amp;""),0)+1),
 "")="",
IFERROR(
INDEX(INDIRECT("'数出表_Excel（アレルギー入力）'!B"&amp;MATCH(EL36,'数出表_Excel（アレルギー入力）'!$A:$A,0)-1&amp;":"&amp;EL82&amp;MATCH(EL36,'数出表_Excel（アレルギー入力）'!$A:$A,0)-1&amp;""),
 1,
MATCH(TRUE,INDEX(INDIRECT("'数出表_Excel（アレルギー入力）'!"&amp;EG78&amp;MATCH(EL36,'数出表_Excel（アレルギー入力）'!$A:$A,0)-1&amp;":"&amp;EL82&amp;MATCH(EL36,'数出表_Excel（アレルギー入力）'!$A:$A,0)-1&amp;"")&lt;&gt;"",0),0)+1),
 ""),
IFERROR(
INDEX(INDIRECT("'数出表_Excel（アレルギー入力）'!"&amp;EG78&amp;MATCH(EL36,'数出表_Excel（アレルギー入力）'!$A:$A,0)-1&amp;":"&amp;EL82&amp;MATCH(EL36,'数出表_Excel（アレルギー入力）'!$A:$A,0)-1&amp;""),
 1,
MATCH(EH81,INDIRECT("'数出表_Excel（アレルギー入力）'!"&amp;EG78&amp;MATCH(EL36,'数出表_Excel（アレルギー入力）'!$A:$A,0)-1&amp;":"&amp;EL82&amp;MATCH(EL36,'数出表_Excel（アレルギー入力）'!$A:$A,0)-1&amp;""),0)+1),
 "")),0),"")</f>
        <v/>
      </c>
      <c r="EL84" s="217"/>
      <c r="EN84" s="214" t="str">
        <f ca="1">IF(EO81&lt;&gt;"",
IFERROR(INT(EO81/EO83),""),"")</f>
        <v/>
      </c>
      <c r="EO84" s="215"/>
      <c r="EP84" s="214" t="str">
        <f ca="1">IFERROR(MOD(EO81,EO83),"")</f>
        <v/>
      </c>
      <c r="EQ84" s="215"/>
      <c r="ER84" s="216" t="str" cm="1">
        <f t="array" aca="1" ref="ER84" ca="1">IF(EO78&lt;&gt;"",
IF(IFERROR(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MATCH(EO81,INDIRECT("'数出表_Excel（アレルギー入力）'!"&amp;EN78&amp;MATCH(ES36,'数出表_Excel（アレルギー入力）'!$A:$A,0)-1&amp;":"&amp;ES82&amp;MATCH(ES36,'数出表_Excel（アレルギー入力）'!$A:$A,0)-1&amp;""),0)+1),
 "")&lt;&gt;0,
IF(IFERROR(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MATCH(EO81,INDIRECT("'数出表_Excel（アレルギー入力）'!"&amp;EN78&amp;MATCH(ES36,'数出表_Excel（アレルギー入力）'!$A:$A,0)-1&amp;":"&amp;ES82&amp;MATCH(ES36,'数出表_Excel（アレルギー入力）'!$A:$A,0)-1&amp;""),0)+1),
 "")="",
IFERROR(
INDEX(INDIRECT("'数出表_Excel（アレルギー入力）'!B"&amp;MATCH(ES36,'数出表_Excel（アレルギー入力）'!$A:$A,0)-1&amp;":"&amp;ES82&amp;MATCH(ES36,'数出表_Excel（アレルギー入力）'!$A:$A,0)-1&amp;""),
 1,
MATCH(TRUE,INDEX(INDIRECT("'数出表_Excel（アレルギー入力）'!"&amp;EN78&amp;MATCH(ES36,'数出表_Excel（アレルギー入力）'!$A:$A,0)-1&amp;":"&amp;ES82&amp;MATCH(ES36,'数出表_Excel（アレルギー入力）'!$A:$A,0)-1&amp;"")&lt;&gt;"",0),0)+1),
 ""),
IFERROR(
INDEX(INDIRECT("'数出表_Excel（アレルギー入力）'!"&amp;EN78&amp;MATCH(ES36,'数出表_Excel（アレルギー入力）'!$A:$A,0)-1&amp;":"&amp;ES82&amp;MATCH(ES36,'数出表_Excel（アレルギー入力）'!$A:$A,0)-1&amp;""),
 1,
MATCH(EO81,INDIRECT("'数出表_Excel（アレルギー入力）'!"&amp;EN78&amp;MATCH(ES36,'数出表_Excel（アレルギー入力）'!$A:$A,0)-1&amp;":"&amp;ES82&amp;MATCH(ES36,'数出表_Excel（アレルギー入力）'!$A:$A,0)-1&amp;""),0)+1),
 "")),0),"")</f>
        <v/>
      </c>
      <c r="ES84" s="217"/>
      <c r="ET84" s="78"/>
      <c r="EU84" s="103">
        <f t="shared" si="6"/>
        <v>56</v>
      </c>
      <c r="EV84" s="103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3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3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3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3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3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3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3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3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3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3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3">
        <f t="shared" ca="1" si="5"/>
        <v>0</v>
      </c>
      <c r="FH84" s="103" t="b">
        <f t="array" aca="1" ref="FH84" ca="1">SUMPRODUCT((LEN(EV84:FF84)&gt;0)*1)&gt;0</f>
        <v>0</v>
      </c>
      <c r="FI84" s="103" t="str">
        <f t="array" aca="1" ref="FI84" ca="1">IFERROR(SMALL(IF(FG$1:FG$169&lt;&gt;0,FG$1:FG$169),ROW(A84)),"")</f>
        <v/>
      </c>
      <c r="FJ84" s="103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3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3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3" t="str">
        <f t="array" aca="1" ref="FM84" ca="1">IF($FI84&lt;&gt;"",
IF(FL84="",
INDIRECT("CB"&amp;$FI84&amp;"")&amp;"箱"
&amp;INDIRECT("CC"&amp;$FI84&amp;""),""),"")</f>
        <v/>
      </c>
      <c r="FN84" s="103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3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3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3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3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3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03">
        <f t="shared" si="6"/>
        <v>21</v>
      </c>
      <c r="EV85" s="103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3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3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3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3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3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3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3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3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3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3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3">
        <f t="shared" ca="1" si="5"/>
        <v>0</v>
      </c>
      <c r="FH85" s="103" t="e">
        <f t="array" aca="1" ref="FH85" ca="1">SUMPRODUCT((LEN(EV85:FF85)&gt;0)*1)&gt;0</f>
        <v>#VALUE!</v>
      </c>
      <c r="FI85" s="103" t="str">
        <f t="array" aca="1" ref="FI85" ca="1">IFERROR(SMALL(IF(FG$1:FG$169&lt;&gt;0,FG$1:FG$169),ROW(A85)),"")</f>
        <v/>
      </c>
      <c r="FJ85" s="103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3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3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3" t="str">
        <f t="array" aca="1" ref="FM85" ca="1">IF($FI85&lt;&gt;"",
IF(FL85="",
INDIRECT("CB"&amp;$FI85&amp;"")&amp;"箱"
&amp;INDIRECT("CC"&amp;$FI85&amp;""),""),"")</f>
        <v/>
      </c>
      <c r="FN85" s="103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3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3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3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3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3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03">
        <f t="shared" si="6"/>
        <v>63</v>
      </c>
      <c r="EV86" s="103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3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3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3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3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3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3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3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3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3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3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3">
        <f t="shared" ca="1" si="5"/>
        <v>0</v>
      </c>
      <c r="FH86" s="103" t="b">
        <f t="array" aca="1" ref="FH86" ca="1">SUMPRODUCT((LEN(EV86:FF86)&gt;0)*1)&gt;0</f>
        <v>0</v>
      </c>
      <c r="FI86" s="103" t="str">
        <f t="array" aca="1" ref="FI86" ca="1">IFERROR(SMALL(IF(FG$1:FG$169&lt;&gt;0,FG$1:FG$169),ROW(A86)),"")</f>
        <v/>
      </c>
      <c r="FJ86" s="103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3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3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3" t="str">
        <f t="array" aca="1" ref="FM86" ca="1">IF($FI86&lt;&gt;"",
IF(FL86="",
INDIRECT("CB"&amp;$FI86&amp;"")&amp;"箱"
&amp;INDIRECT("CC"&amp;$FI86&amp;""),""),"")</f>
        <v/>
      </c>
      <c r="FN86" s="103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3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3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3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3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3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12">
        <f t="shared" si="6"/>
        <v>21</v>
      </c>
      <c r="EV87" s="103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3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3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3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3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3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3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3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3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3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3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3">
        <f t="shared" ca="1" si="5"/>
        <v>0</v>
      </c>
      <c r="FH87" s="103" t="e">
        <f t="array" aca="1" ref="FH87" ca="1">SUMPRODUCT((LEN(EV87:FF87)&gt;0)*1)&gt;0</f>
        <v>#VALUE!</v>
      </c>
      <c r="FI87" s="103" t="str">
        <f t="array" aca="1" ref="FI87" ca="1">IFERROR(SMALL(IF(FG$1:FG$169&lt;&gt;0,FG$1:FG$169),ROW(A87)),"")</f>
        <v/>
      </c>
      <c r="FJ87" s="103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3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3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3" t="str">
        <f t="array" aca="1" ref="FM87" ca="1">IF($FI87&lt;&gt;"",
IF(FL87="",
INDIRECT("CB"&amp;$FI87&amp;"")&amp;"箱"
&amp;INDIRECT("CC"&amp;$FI87&amp;""),""),"")</f>
        <v/>
      </c>
      <c r="FN87" s="103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3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3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3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3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3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03">
        <f t="shared" si="6"/>
        <v>63</v>
      </c>
      <c r="EV88" s="103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3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3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3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3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3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3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3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3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3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3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3">
        <f t="shared" ca="1" si="5"/>
        <v>0</v>
      </c>
      <c r="FH88" s="103" t="b">
        <f t="array" aca="1" ref="FH88" ca="1">SUMPRODUCT((LEN(EV88:FF88)&gt;0)*1)&gt;0</f>
        <v>0</v>
      </c>
      <c r="FI88" s="103" t="str">
        <f t="array" aca="1" ref="FI88" ca="1">IFERROR(SMALL(IF(FG$1:FG$169&lt;&gt;0,FG$1:FG$169),ROW(A88)),"")</f>
        <v/>
      </c>
      <c r="FJ88" s="103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3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3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3" t="str">
        <f t="array" aca="1" ref="FM88" ca="1">IF($FI88&lt;&gt;"",
IF(FL88="",
INDIRECT("CB"&amp;$FI88&amp;"")&amp;"箱"
&amp;INDIRECT("CC"&amp;$FI88&amp;""),""),"")</f>
        <v/>
      </c>
      <c r="FN88" s="103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3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3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3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3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3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03">
        <f t="shared" si="6"/>
        <v>28</v>
      </c>
      <c r="EV89" s="103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3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3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3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3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3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3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3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3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3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3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3">
        <f t="shared" ca="1" si="5"/>
        <v>0</v>
      </c>
      <c r="FH89" s="103" t="e">
        <f t="array" aca="1" ref="FH89" ca="1">SUMPRODUCT((LEN(EV89:FF89)&gt;0)*1)&gt;0</f>
        <v>#VALUE!</v>
      </c>
      <c r="FI89" s="103" t="str">
        <f t="array" aca="1" ref="FI89" ca="1">IFERROR(SMALL(IF(FG$1:FG$169&lt;&gt;0,FG$1:FG$169),ROW(A89)),"")</f>
        <v/>
      </c>
      <c r="FJ89" s="103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3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3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3" t="str">
        <f t="array" aca="1" ref="FM89" ca="1">IF($FI89&lt;&gt;"",
IF(FL89="",
INDIRECT("CB"&amp;$FI89&amp;"")&amp;"箱"
&amp;INDIRECT("CC"&amp;$FI89&amp;""),""),"")</f>
        <v/>
      </c>
      <c r="FN89" s="103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3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3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3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3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3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03">
        <f t="shared" si="6"/>
        <v>70</v>
      </c>
      <c r="EV90" s="103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3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3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3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3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3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3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3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3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3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3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3">
        <f t="shared" ca="1" si="5"/>
        <v>0</v>
      </c>
      <c r="FH90" s="103" t="b">
        <f t="array" aca="1" ref="FH90" ca="1">SUMPRODUCT((LEN(EV90:FF90)&gt;0)*1)&gt;0</f>
        <v>0</v>
      </c>
      <c r="FI90" s="103" t="str">
        <f t="array" aca="1" ref="FI90" ca="1">IFERROR(SMALL(IF(FG$1:FG$169&lt;&gt;0,FG$1:FG$169),ROW(A90)),"")</f>
        <v/>
      </c>
      <c r="FJ90" s="103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3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3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3" t="str">
        <f t="array" aca="1" ref="FM90" ca="1">IF($FI90&lt;&gt;"",
IF(FL90="",
INDIRECT("CB"&amp;$FI90&amp;"")&amp;"箱"
&amp;INDIRECT("CC"&amp;$FI90&amp;""),""),"")</f>
        <v/>
      </c>
      <c r="FN90" s="103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3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3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3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3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3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12">
        <f t="shared" si="6"/>
        <v>28</v>
      </c>
      <c r="EV91" s="103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3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3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3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3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3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3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3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3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3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3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3">
        <f t="shared" ca="1" si="5"/>
        <v>0</v>
      </c>
      <c r="FH91" s="103" t="e">
        <f t="array" aca="1" ref="FH91" ca="1">SUMPRODUCT((LEN(EV91:FF91)&gt;0)*1)&gt;0</f>
        <v>#VALUE!</v>
      </c>
      <c r="FI91" s="103" t="str">
        <f t="array" aca="1" ref="FI91" ca="1">IFERROR(SMALL(IF(FG$1:FG$169&lt;&gt;0,FG$1:FG$169),ROW(A91)),"")</f>
        <v/>
      </c>
      <c r="FJ91" s="103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3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3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3" t="str">
        <f t="array" aca="1" ref="FM91" ca="1">IF($FI91&lt;&gt;"",
IF(FL91="",
INDIRECT("CB"&amp;$FI91&amp;"")&amp;"箱"
&amp;INDIRECT("CC"&amp;$FI91&amp;""),""),"")</f>
        <v/>
      </c>
      <c r="FN91" s="103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3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3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3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3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3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03">
        <f t="shared" si="6"/>
        <v>70</v>
      </c>
      <c r="EV92" s="103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3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3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3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3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3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3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3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3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3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3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3">
        <f t="shared" ca="1" si="5"/>
        <v>0</v>
      </c>
      <c r="FH92" s="103" t="b">
        <f t="array" aca="1" ref="FH92" ca="1">SUMPRODUCT((LEN(EV92:FF92)&gt;0)*1)&gt;0</f>
        <v>0</v>
      </c>
      <c r="FI92" s="103" t="str">
        <f t="array" aca="1" ref="FI92" ca="1">IFERROR(SMALL(IF(FG$1:FG$169&lt;&gt;0,FG$1:FG$169),ROW(A92)),"")</f>
        <v/>
      </c>
      <c r="FJ92" s="103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3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3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3" t="str">
        <f t="array" aca="1" ref="FM92" ca="1">IF($FI92&lt;&gt;"",
IF(FL92="",
INDIRECT("CB"&amp;$FI92&amp;"")&amp;"箱"
&amp;INDIRECT("CC"&amp;$FI92&amp;""),""),"")</f>
        <v/>
      </c>
      <c r="FN92" s="103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3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3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3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3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3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03">
        <f t="shared" si="6"/>
        <v>35</v>
      </c>
      <c r="EV93" s="103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3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3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3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3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3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3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3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3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3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3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3">
        <f t="shared" ca="1" si="5"/>
        <v>0</v>
      </c>
      <c r="FH93" s="103" t="e">
        <f t="array" aca="1" ref="FH93" ca="1">SUMPRODUCT((LEN(EV93:FF93)&gt;0)*1)&gt;0</f>
        <v>#VALUE!</v>
      </c>
      <c r="FI93" s="103" t="str">
        <f t="array" aca="1" ref="FI93" ca="1">IFERROR(SMALL(IF(FG$1:FG$169&lt;&gt;0,FG$1:FG$169),ROW(A93)),"")</f>
        <v/>
      </c>
      <c r="FJ93" s="103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3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3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3" t="str">
        <f t="array" aca="1" ref="FM93" ca="1">IF($FI93&lt;&gt;"",
IF(FL93="",
INDIRECT("CB"&amp;$FI93&amp;"")&amp;"箱"
&amp;INDIRECT("CC"&amp;$FI93&amp;""),""),"")</f>
        <v/>
      </c>
      <c r="FN93" s="103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3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3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3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3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3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03">
        <f t="shared" si="6"/>
        <v>77</v>
      </c>
      <c r="EV94" s="103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3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3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3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3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3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3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3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3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3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3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3">
        <f t="shared" ca="1" si="5"/>
        <v>0</v>
      </c>
      <c r="FH94" s="103" t="b">
        <f t="array" aca="1" ref="FH94" ca="1">SUMPRODUCT((LEN(EV94:FF94)&gt;0)*1)&gt;0</f>
        <v>0</v>
      </c>
      <c r="FI94" s="103" t="str">
        <f t="array" aca="1" ref="FI94" ca="1">IFERROR(SMALL(IF(FG$1:FG$169&lt;&gt;0,FG$1:FG$169),ROW(A94)),"")</f>
        <v/>
      </c>
      <c r="FJ94" s="103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3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3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3" t="str">
        <f t="array" aca="1" ref="FM94" ca="1">IF($FI94&lt;&gt;"",
IF(FL94="",
INDIRECT("CB"&amp;$FI94&amp;"")&amp;"箱"
&amp;INDIRECT("CC"&amp;$FI94&amp;""),""),"")</f>
        <v/>
      </c>
      <c r="FN94" s="103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3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3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3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3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3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12">
        <f t="shared" si="6"/>
        <v>35</v>
      </c>
      <c r="EV95" s="103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3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3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3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3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3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3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3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3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3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3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3">
        <f t="shared" ca="1" si="5"/>
        <v>0</v>
      </c>
      <c r="FH95" s="103" t="e">
        <f t="array" aca="1" ref="FH95" ca="1">SUMPRODUCT((LEN(EV95:FF95)&gt;0)*1)&gt;0</f>
        <v>#VALUE!</v>
      </c>
      <c r="FI95" s="103" t="str">
        <f t="array" aca="1" ref="FI95" ca="1">IFERROR(SMALL(IF(FG$1:FG$169&lt;&gt;0,FG$1:FG$169),ROW(A95)),"")</f>
        <v/>
      </c>
      <c r="FJ95" s="103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3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3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3" t="str">
        <f t="array" aca="1" ref="FM95" ca="1">IF($FI95&lt;&gt;"",
IF(FL95="",
INDIRECT("CB"&amp;$FI95&amp;"")&amp;"箱"
&amp;INDIRECT("CC"&amp;$FI95&amp;""),""),"")</f>
        <v/>
      </c>
      <c r="FN95" s="103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3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3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3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3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3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03">
        <f t="shared" si="6"/>
        <v>77</v>
      </c>
      <c r="EV96" s="103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3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3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3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3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3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3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3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3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3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3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3">
        <f t="shared" ca="1" si="5"/>
        <v>0</v>
      </c>
      <c r="FH96" s="103" t="b">
        <f t="array" aca="1" ref="FH96" ca="1">SUMPRODUCT((LEN(EV96:FF96)&gt;0)*1)&gt;0</f>
        <v>0</v>
      </c>
      <c r="FI96" s="103" t="str">
        <f t="array" aca="1" ref="FI96" ca="1">IFERROR(SMALL(IF(FG$1:FG$169&lt;&gt;0,FG$1:FG$169),ROW(A96)),"")</f>
        <v/>
      </c>
      <c r="FJ96" s="103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3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3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3" t="str">
        <f t="array" aca="1" ref="FM96" ca="1">IF($FI96&lt;&gt;"",
IF(FL96="",
INDIRECT("CB"&amp;$FI96&amp;"")&amp;"箱"
&amp;INDIRECT("CC"&amp;$FI96&amp;""),""),"")</f>
        <v/>
      </c>
      <c r="FN96" s="103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3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3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3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3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3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03"/>
      <c r="EV97" s="104" t="str">
        <f ca="1">BK1</f>
        <v/>
      </c>
      <c r="EW97" s="104" t="str">
        <f ca="1">BK2</f>
        <v/>
      </c>
      <c r="EX97" s="104" t="str">
        <f ca="1">BM2</f>
        <v/>
      </c>
      <c r="EY97" s="105" t="str">
        <f ca="1">BN2</f>
        <v/>
      </c>
      <c r="EZ97" s="105" t="str">
        <f ca="1">BO2</f>
        <v/>
      </c>
      <c r="FA97" s="104" t="e">
        <f ca="1">BK4</f>
        <v>#VALUE!</v>
      </c>
      <c r="FB97" s="104" t="e">
        <f ca="1">BM4</f>
        <v>#VALUE!</v>
      </c>
      <c r="FC97" s="104" t="str">
        <f ca="1">BK6</f>
        <v/>
      </c>
      <c r="FD97" s="104" t="e">
        <f ca="1">BJ7</f>
        <v>#VALUE!</v>
      </c>
      <c r="FE97" s="104" t="str">
        <f ca="1">BL7</f>
        <v/>
      </c>
      <c r="FF97" s="104" t="e">
        <f ca="1">BN7</f>
        <v>#VALUE!</v>
      </c>
      <c r="FG97" s="103">
        <f t="shared" ref="FG97:FG128" ca="1" si="7">IF(COUNTIF(FH97,"TRUE"),ROW(),0)</f>
        <v>0</v>
      </c>
      <c r="FH97" s="103" t="e">
        <f t="array" aca="1" ref="FH97" ca="1">SUMPRODUCT((LEN(EV97:FF97)&gt;0)*1)&gt;0</f>
        <v>#VALUE!</v>
      </c>
      <c r="FI97" s="103" t="str">
        <f t="array" aca="1" ref="FI97" ca="1">IFERROR(SMALL(IF(FG$1:FG$169&lt;&gt;0,FG$1:FG$169),ROW(A97)),"")</f>
        <v/>
      </c>
      <c r="FJ97" s="103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3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3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3" t="str">
        <f t="array" aca="1" ref="FM97" ca="1">IF($FI97&lt;&gt;"",
IF(FL97="",
INDIRECT("CB"&amp;$FI97&amp;"")&amp;"箱"
&amp;INDIRECT("CC"&amp;$FI97&amp;""),""),"")</f>
        <v/>
      </c>
      <c r="FN97" s="103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3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3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3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3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3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03">
        <v>42</v>
      </c>
      <c r="EV98" s="103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3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3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3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3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3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3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3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3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3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3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3">
        <f t="shared" ca="1" si="7"/>
        <v>0</v>
      </c>
      <c r="FH98" s="103" t="b">
        <f t="array" aca="1" ref="FH98" ca="1">SUMPRODUCT((LEN(EV98:FF98)&gt;0)*1)&gt;0</f>
        <v>0</v>
      </c>
      <c r="FI98" s="103" t="str">
        <f t="array" aca="1" ref="FI98" ca="1">IFERROR(SMALL(IF(FG$1:FG$169&lt;&gt;0,FG$1:FG$169),ROW(A98)),"")</f>
        <v/>
      </c>
      <c r="FJ98" s="103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3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3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3" t="str">
        <f t="array" aca="1" ref="FM98" ca="1">IF($FI98&lt;&gt;"",
IF(FL98="",
INDIRECT("CB"&amp;$FI98&amp;"")&amp;"箱"
&amp;INDIRECT("CC"&amp;$FI98&amp;""),""),"")</f>
        <v/>
      </c>
      <c r="FN98" s="103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3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3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3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3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3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03"/>
      <c r="EV99" s="104" t="str">
        <f ca="1">BR1</f>
        <v/>
      </c>
      <c r="EW99" s="104" t="str">
        <f ca="1">BR2</f>
        <v/>
      </c>
      <c r="EX99" s="104" t="str">
        <f ca="1">BT2</f>
        <v/>
      </c>
      <c r="EY99" s="105" t="str">
        <f ca="1">BU2</f>
        <v/>
      </c>
      <c r="EZ99" s="105" t="str">
        <f ca="1">BV2</f>
        <v/>
      </c>
      <c r="FA99" s="104" t="e">
        <f ca="1">BR4</f>
        <v>#VALUE!</v>
      </c>
      <c r="FB99" s="104" t="e">
        <f ca="1">BT4</f>
        <v>#VALUE!</v>
      </c>
      <c r="FC99" s="104" t="str">
        <f ca="1">BR6</f>
        <v/>
      </c>
      <c r="FD99" s="104" t="e">
        <f ca="1">BQ7</f>
        <v>#VALUE!</v>
      </c>
      <c r="FE99" s="104" t="str">
        <f ca="1">BS7</f>
        <v/>
      </c>
      <c r="FF99" s="104" t="e">
        <f ca="1">BU7</f>
        <v>#VALUE!</v>
      </c>
      <c r="FG99" s="103">
        <f t="shared" ca="1" si="7"/>
        <v>0</v>
      </c>
      <c r="FH99" s="103" t="e">
        <f t="array" aca="1" ref="FH99" ca="1">SUMPRODUCT((LEN(EV99:FF99)&gt;0)*1)&gt;0</f>
        <v>#VALUE!</v>
      </c>
      <c r="FI99" s="103" t="str">
        <f t="array" aca="1" ref="FI99" ca="1">IFERROR(SMALL(IF(FG$1:FG$169&lt;&gt;0,FG$1:FG$169),ROW(A99)),"")</f>
        <v/>
      </c>
      <c r="FJ99" s="103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3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3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3" t="str">
        <f t="array" aca="1" ref="FM99" ca="1">IF($FI99&lt;&gt;"",
IF(FL99="",
INDIRECT("CB"&amp;$FI99&amp;"")&amp;"箱"
&amp;INDIRECT("CC"&amp;$FI99&amp;""),""),"")</f>
        <v/>
      </c>
      <c r="FN99" s="103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3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3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3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3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3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03">
        <v>42</v>
      </c>
      <c r="EV100" s="103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3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3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3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3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3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3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3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3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3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3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3">
        <f t="shared" ca="1" si="7"/>
        <v>0</v>
      </c>
      <c r="FH100" s="103" t="b">
        <f t="array" aca="1" ref="FH100" ca="1">SUMPRODUCT((LEN(EV100:FF100)&gt;0)*1)&gt;0</f>
        <v>0</v>
      </c>
      <c r="FI100" s="103" t="str">
        <f t="array" aca="1" ref="FI100" ca="1">IFERROR(SMALL(IF(FG$1:FG$169&lt;&gt;0,FG$1:FG$169),ROW(A100)),"")</f>
        <v/>
      </c>
      <c r="FJ100" s="103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3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3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3" t="str">
        <f t="array" aca="1" ref="FM100" ca="1">IF($FI100&lt;&gt;"",
IF(FL100="",
INDIRECT("CB"&amp;$FI100&amp;"")&amp;"箱"
&amp;INDIRECT("CC"&amp;$FI100&amp;""),""),"")</f>
        <v/>
      </c>
      <c r="FN100" s="103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3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3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3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3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3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12">
        <v>7</v>
      </c>
      <c r="EV101" s="103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3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3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3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3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3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3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3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3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3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3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3">
        <f t="shared" ca="1" si="7"/>
        <v>0</v>
      </c>
      <c r="FH101" s="103" t="e">
        <f t="array" aca="1" ref="FH101" ca="1">SUMPRODUCT((LEN(EV101:FF101)&gt;0)*1)&gt;0</f>
        <v>#VALUE!</v>
      </c>
      <c r="FI101" s="103" t="str">
        <f t="array" aca="1" ref="FI101" ca="1">IFERROR(SMALL(IF(FG$1:FG$169&lt;&gt;0,FG$1:FG$169),ROW(A101)),"")</f>
        <v/>
      </c>
      <c r="FJ101" s="103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3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3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3" t="str">
        <f t="array" aca="1" ref="FM101" ca="1">IF($FI101&lt;&gt;"",
IF(FL101="",
INDIRECT("CB"&amp;$FI101&amp;"")&amp;"箱"
&amp;INDIRECT("CC"&amp;$FI101&amp;""),""),"")</f>
        <v/>
      </c>
      <c r="FN101" s="103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3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3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3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3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3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03">
        <f>EU98+7</f>
        <v>49</v>
      </c>
      <c r="EV102" s="103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3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3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3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3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3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3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3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3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3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3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3">
        <f t="shared" ca="1" si="7"/>
        <v>0</v>
      </c>
      <c r="FH102" s="103" t="b">
        <f t="array" aca="1" ref="FH102" ca="1">SUMPRODUCT((LEN(EV102:FF102)&gt;0)*1)&gt;0</f>
        <v>0</v>
      </c>
      <c r="FI102" s="103" t="str">
        <f t="array" aca="1" ref="FI102" ca="1">IFERROR(SMALL(IF(FG$1:FG$169&lt;&gt;0,FG$1:FG$169),ROW(A102)),"")</f>
        <v/>
      </c>
      <c r="FJ102" s="103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3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3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3" t="str">
        <f t="array" aca="1" ref="FM102" ca="1">IF($FI102&lt;&gt;"",
IF(FL102="",
INDIRECT("CB"&amp;$FI102&amp;"")&amp;"箱"
&amp;INDIRECT("CC"&amp;$FI102&amp;""),""),"")</f>
        <v/>
      </c>
      <c r="FN102" s="103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3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3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3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3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3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03">
        <v>7</v>
      </c>
      <c r="EV103" s="103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3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3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3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3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3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3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3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3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3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3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3">
        <f t="shared" ca="1" si="7"/>
        <v>0</v>
      </c>
      <c r="FH103" s="103" t="e">
        <f t="array" aca="1" ref="FH103" ca="1">SUMPRODUCT((LEN(EV103:FF103)&gt;0)*1)&gt;0</f>
        <v>#VALUE!</v>
      </c>
      <c r="FI103" s="103" t="str">
        <f t="array" aca="1" ref="FI103" ca="1">IFERROR(SMALL(IF(FG$1:FG$169&lt;&gt;0,FG$1:FG$169),ROW(A103)),"")</f>
        <v/>
      </c>
      <c r="FJ103" s="103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3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3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3" t="str">
        <f t="array" aca="1" ref="FM103" ca="1">IF($FI103&lt;&gt;"",
IF(FL103="",
INDIRECT("CB"&amp;$FI103&amp;"")&amp;"箱"
&amp;INDIRECT("CC"&amp;$FI103&amp;""),""),"")</f>
        <v/>
      </c>
      <c r="FN103" s="103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3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3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3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3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3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03">
        <f t="shared" ref="EU104:EU120" si="8">EU100+7</f>
        <v>49</v>
      </c>
      <c r="EV104" s="103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3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3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3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3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3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3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3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3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3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3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3">
        <f t="shared" ca="1" si="7"/>
        <v>0</v>
      </c>
      <c r="FH104" s="103" t="b">
        <f t="array" aca="1" ref="FH104" ca="1">SUMPRODUCT((LEN(EV104:FF104)&gt;0)*1)&gt;0</f>
        <v>0</v>
      </c>
      <c r="FI104" s="103" t="str">
        <f t="array" aca="1" ref="FI104" ca="1">IFERROR(SMALL(IF(FG$1:FG$169&lt;&gt;0,FG$1:FG$169),ROW(A104)),"")</f>
        <v/>
      </c>
      <c r="FJ104" s="103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3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3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3" t="str">
        <f t="array" aca="1" ref="FM104" ca="1">IF($FI104&lt;&gt;"",
IF(FL104="",
INDIRECT("CB"&amp;$FI104&amp;"")&amp;"箱"
&amp;INDIRECT("CC"&amp;$FI104&amp;""),""),"")</f>
        <v/>
      </c>
      <c r="FN104" s="103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3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3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3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3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3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03">
        <f t="shared" si="8"/>
        <v>14</v>
      </c>
      <c r="EV105" s="103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3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3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3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3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3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3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3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3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3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3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3">
        <f t="shared" ca="1" si="7"/>
        <v>0</v>
      </c>
      <c r="FH105" s="103" t="e">
        <f t="array" aca="1" ref="FH105" ca="1">SUMPRODUCT((LEN(EV105:FF105)&gt;0)*1)&gt;0</f>
        <v>#VALUE!</v>
      </c>
      <c r="FI105" s="103" t="str">
        <f t="array" aca="1" ref="FI105" ca="1">IFERROR(SMALL(IF(FG$1:FG$169&lt;&gt;0,FG$1:FG$169),ROW(A105)),"")</f>
        <v/>
      </c>
      <c r="FJ105" s="103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3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3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3" t="str">
        <f t="array" aca="1" ref="FM105" ca="1">IF($FI105&lt;&gt;"",
IF(FL105="",
INDIRECT("CB"&amp;$FI105&amp;"")&amp;"箱"
&amp;INDIRECT("CC"&amp;$FI105&amp;""),""),"")</f>
        <v/>
      </c>
      <c r="FN105" s="103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3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3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3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3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3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03">
        <f t="shared" si="8"/>
        <v>56</v>
      </c>
      <c r="EV106" s="103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3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3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3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3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3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3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3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3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3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3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3">
        <f t="shared" ca="1" si="7"/>
        <v>0</v>
      </c>
      <c r="FH106" s="103" t="b">
        <f t="array" aca="1" ref="FH106" ca="1">SUMPRODUCT((LEN(EV106:FF106)&gt;0)*1)&gt;0</f>
        <v>0</v>
      </c>
      <c r="FI106" s="103" t="str">
        <f t="array" aca="1" ref="FI106" ca="1">IFERROR(SMALL(IF(FG$1:FG$169&lt;&gt;0,FG$1:FG$169),ROW(A106)),"")</f>
        <v/>
      </c>
      <c r="FJ106" s="103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3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3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3" t="str">
        <f t="array" aca="1" ref="FM106" ca="1">IF($FI106&lt;&gt;"",
IF(FL106="",
INDIRECT("CB"&amp;$FI106&amp;"")&amp;"箱"
&amp;INDIRECT("CC"&amp;$FI106&amp;""),""),"")</f>
        <v/>
      </c>
      <c r="FN106" s="103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3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3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3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3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3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12">
        <f t="shared" si="8"/>
        <v>14</v>
      </c>
      <c r="EV107" s="103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3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3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3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3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3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3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3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3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3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3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3">
        <f t="shared" ca="1" si="7"/>
        <v>0</v>
      </c>
      <c r="FH107" s="103" t="e">
        <f t="array" aca="1" ref="FH107" ca="1">SUMPRODUCT((LEN(EV107:FF107)&gt;0)*1)&gt;0</f>
        <v>#VALUE!</v>
      </c>
      <c r="FI107" s="103" t="str">
        <f t="array" aca="1" ref="FI107" ca="1">IFERROR(SMALL(IF(FG$1:FG$169&lt;&gt;0,FG$1:FG$169),ROW(A107)),"")</f>
        <v/>
      </c>
      <c r="FJ107" s="103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3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3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3" t="str">
        <f t="array" aca="1" ref="FM107" ca="1">IF($FI107&lt;&gt;"",
IF(FL107="",
INDIRECT("CB"&amp;$FI107&amp;"")&amp;"箱"
&amp;INDIRECT("CC"&amp;$FI107&amp;""),""),"")</f>
        <v/>
      </c>
      <c r="FN107" s="103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3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3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3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3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3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03">
        <f t="shared" si="8"/>
        <v>56</v>
      </c>
      <c r="EV108" s="103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3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3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3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3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3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3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3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3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3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3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3">
        <f t="shared" ca="1" si="7"/>
        <v>0</v>
      </c>
      <c r="FH108" s="103" t="b">
        <f t="array" aca="1" ref="FH108" ca="1">SUMPRODUCT((LEN(EV108:FF108)&gt;0)*1)&gt;0</f>
        <v>0</v>
      </c>
      <c r="FI108" s="103" t="str">
        <f t="array" aca="1" ref="FI108" ca="1">IFERROR(SMALL(IF(FG$1:FG$169&lt;&gt;0,FG$1:FG$169),ROW(A108)),"")</f>
        <v/>
      </c>
      <c r="FJ108" s="103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3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3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3" t="str">
        <f t="array" aca="1" ref="FM108" ca="1">IF($FI108&lt;&gt;"",
IF(FL108="",
INDIRECT("CB"&amp;$FI108&amp;"")&amp;"箱"
&amp;INDIRECT("CC"&amp;$FI108&amp;""),""),"")</f>
        <v/>
      </c>
      <c r="FN108" s="103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3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3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3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3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3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03">
        <f t="shared" si="8"/>
        <v>21</v>
      </c>
      <c r="EV109" s="103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3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3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3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3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3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3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3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3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3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3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3">
        <f t="shared" ca="1" si="7"/>
        <v>0</v>
      </c>
      <c r="FH109" s="103" t="e">
        <f t="array" aca="1" ref="FH109" ca="1">SUMPRODUCT((LEN(EV109:FF109)&gt;0)*1)&gt;0</f>
        <v>#VALUE!</v>
      </c>
      <c r="FI109" s="103" t="str">
        <f t="array" aca="1" ref="FI109" ca="1">IFERROR(SMALL(IF(FG$1:FG$169&lt;&gt;0,FG$1:FG$169),ROW(A109)),"")</f>
        <v/>
      </c>
      <c r="FJ109" s="103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3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3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3" t="str">
        <f t="array" aca="1" ref="FM109" ca="1">IF($FI109&lt;&gt;"",
IF(FL109="",
INDIRECT("CB"&amp;$FI109&amp;"")&amp;"箱"
&amp;INDIRECT("CC"&amp;$FI109&amp;""),""),"")</f>
        <v/>
      </c>
      <c r="FN109" s="103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3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3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3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3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3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03">
        <f t="shared" si="8"/>
        <v>63</v>
      </c>
      <c r="EV110" s="103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3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3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3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3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3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3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3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3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3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3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3">
        <f t="shared" ca="1" si="7"/>
        <v>0</v>
      </c>
      <c r="FH110" s="103" t="b">
        <f t="array" aca="1" ref="FH110" ca="1">SUMPRODUCT((LEN(EV110:FF110)&gt;0)*1)&gt;0</f>
        <v>0</v>
      </c>
      <c r="FI110" s="103" t="str">
        <f t="array" aca="1" ref="FI110" ca="1">IFERROR(SMALL(IF(FG$1:FG$169&lt;&gt;0,FG$1:FG$169),ROW(A110)),"")</f>
        <v/>
      </c>
      <c r="FJ110" s="103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3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3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3" t="str">
        <f t="array" aca="1" ref="FM110" ca="1">IF($FI110&lt;&gt;"",
IF(FL110="",
INDIRECT("CB"&amp;$FI110&amp;"")&amp;"箱"
&amp;INDIRECT("CC"&amp;$FI110&amp;""),""),"")</f>
        <v/>
      </c>
      <c r="FN110" s="103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3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3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3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3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3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12">
        <f t="shared" si="8"/>
        <v>21</v>
      </c>
      <c r="EV111" s="103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3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3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3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3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3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3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3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3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3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3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3">
        <f t="shared" ca="1" si="7"/>
        <v>0</v>
      </c>
      <c r="FH111" s="103" t="e">
        <f t="array" aca="1" ref="FH111" ca="1">SUMPRODUCT((LEN(EV111:FF111)&gt;0)*1)&gt;0</f>
        <v>#VALUE!</v>
      </c>
      <c r="FI111" s="103" t="str">
        <f t="array" aca="1" ref="FI111" ca="1">IFERROR(SMALL(IF(FG$1:FG$169&lt;&gt;0,FG$1:FG$169),ROW(A111)),"")</f>
        <v/>
      </c>
      <c r="FJ111" s="103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3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3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3" t="str">
        <f t="array" aca="1" ref="FM111" ca="1">IF($FI111&lt;&gt;"",
IF(FL111="",
INDIRECT("CB"&amp;$FI111&amp;"")&amp;"箱"
&amp;INDIRECT("CC"&amp;$FI111&amp;""),""),"")</f>
        <v/>
      </c>
      <c r="FN111" s="103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3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3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3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3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3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03">
        <f t="shared" si="8"/>
        <v>63</v>
      </c>
      <c r="EV112" s="103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3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3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3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3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3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3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3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3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3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3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3">
        <f t="shared" ca="1" si="7"/>
        <v>0</v>
      </c>
      <c r="FH112" s="103" t="b">
        <f t="array" aca="1" ref="FH112" ca="1">SUMPRODUCT((LEN(EV112:FF112)&gt;0)*1)&gt;0</f>
        <v>0</v>
      </c>
      <c r="FI112" s="103" t="str">
        <f t="array" aca="1" ref="FI112" ca="1">IFERROR(SMALL(IF(FG$1:FG$169&lt;&gt;0,FG$1:FG$169),ROW(A112)),"")</f>
        <v/>
      </c>
      <c r="FJ112" s="103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3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3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3" t="str">
        <f t="array" aca="1" ref="FM112" ca="1">IF($FI112&lt;&gt;"",
IF(FL112="",
INDIRECT("CB"&amp;$FI112&amp;"")&amp;"箱"
&amp;INDIRECT("CC"&amp;$FI112&amp;""),""),"")</f>
        <v/>
      </c>
      <c r="FN112" s="103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3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3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3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3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3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03">
        <f t="shared" si="8"/>
        <v>28</v>
      </c>
      <c r="EV113" s="103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3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3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3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3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3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3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3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3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3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3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3">
        <f t="shared" ca="1" si="7"/>
        <v>0</v>
      </c>
      <c r="FH113" s="103" t="e">
        <f t="array" aca="1" ref="FH113" ca="1">SUMPRODUCT((LEN(EV113:FF113)&gt;0)*1)&gt;0</f>
        <v>#VALUE!</v>
      </c>
      <c r="FI113" s="103" t="str">
        <f t="array" aca="1" ref="FI113" ca="1">IFERROR(SMALL(IF(FG$1:FG$169&lt;&gt;0,FG$1:FG$169),ROW(A113)),"")</f>
        <v/>
      </c>
      <c r="FJ113" s="103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3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3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3" t="str">
        <f t="array" aca="1" ref="FM113" ca="1">IF($FI113&lt;&gt;"",
IF(FL113="",
INDIRECT("CB"&amp;$FI113&amp;"")&amp;"箱"
&amp;INDIRECT("CC"&amp;$FI113&amp;""),""),"")</f>
        <v/>
      </c>
      <c r="FN113" s="103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3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3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3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3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3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03">
        <f t="shared" si="8"/>
        <v>70</v>
      </c>
      <c r="EV114" s="103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3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3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3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3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3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3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3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3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3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3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3">
        <f t="shared" ca="1" si="7"/>
        <v>0</v>
      </c>
      <c r="FH114" s="103" t="b">
        <f t="array" aca="1" ref="FH114" ca="1">SUMPRODUCT((LEN(EV114:FF114)&gt;0)*1)&gt;0</f>
        <v>0</v>
      </c>
      <c r="FI114" s="103" t="str">
        <f t="array" aca="1" ref="FI114" ca="1">IFERROR(SMALL(IF(FG$1:FG$169&lt;&gt;0,FG$1:FG$169),ROW(A114)),"")</f>
        <v/>
      </c>
      <c r="FJ114" s="103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3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3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3" t="str">
        <f t="array" aca="1" ref="FM114" ca="1">IF($FI114&lt;&gt;"",
IF(FL114="",
INDIRECT("CB"&amp;$FI114&amp;"")&amp;"箱"
&amp;INDIRECT("CC"&amp;$FI114&amp;""),""),"")</f>
        <v/>
      </c>
      <c r="FN114" s="103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3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3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3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3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3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12">
        <f t="shared" si="8"/>
        <v>28</v>
      </c>
      <c r="EV115" s="103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3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3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3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3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3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3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3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3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3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3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3">
        <f t="shared" ca="1" si="7"/>
        <v>0</v>
      </c>
      <c r="FH115" s="103" t="e">
        <f t="array" aca="1" ref="FH115" ca="1">SUMPRODUCT((LEN(EV115:FF115)&gt;0)*1)&gt;0</f>
        <v>#VALUE!</v>
      </c>
      <c r="FI115" s="103" t="str">
        <f t="array" aca="1" ref="FI115" ca="1">IFERROR(SMALL(IF(FG$1:FG$169&lt;&gt;0,FG$1:FG$169),ROW(A115)),"")</f>
        <v/>
      </c>
      <c r="FJ115" s="103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3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3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3" t="str">
        <f t="array" aca="1" ref="FM115" ca="1">IF($FI115&lt;&gt;"",
IF(FL115="",
INDIRECT("CB"&amp;$FI115&amp;"")&amp;"箱"
&amp;INDIRECT("CC"&amp;$FI115&amp;""),""),"")</f>
        <v/>
      </c>
      <c r="FN115" s="103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3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3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3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3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3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03">
        <f t="shared" si="8"/>
        <v>70</v>
      </c>
      <c r="EV116" s="103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3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3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3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3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3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3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3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3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3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3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3">
        <f t="shared" ca="1" si="7"/>
        <v>0</v>
      </c>
      <c r="FH116" s="103" t="b">
        <f t="array" aca="1" ref="FH116" ca="1">SUMPRODUCT((LEN(EV116:FF116)&gt;0)*1)&gt;0</f>
        <v>0</v>
      </c>
      <c r="FI116" s="103" t="str">
        <f t="array" aca="1" ref="FI116" ca="1">IFERROR(SMALL(IF(FG$1:FG$169&lt;&gt;0,FG$1:FG$169),ROW(A116)),"")</f>
        <v/>
      </c>
      <c r="FJ116" s="103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3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3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3" t="str">
        <f t="array" aca="1" ref="FM116" ca="1">IF($FI116&lt;&gt;"",
IF(FL116="",
INDIRECT("CB"&amp;$FI116&amp;"")&amp;"箱"
&amp;INDIRECT("CC"&amp;$FI116&amp;""),""),"")</f>
        <v/>
      </c>
      <c r="FN116" s="103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3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3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3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3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3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03">
        <f t="shared" si="8"/>
        <v>35</v>
      </c>
      <c r="EV117" s="103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3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3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3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3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3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3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3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3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3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3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3">
        <f t="shared" ca="1" si="7"/>
        <v>0</v>
      </c>
      <c r="FH117" s="103" t="e">
        <f t="array" aca="1" ref="FH117" ca="1">SUMPRODUCT((LEN(EV117:FF117)&gt;0)*1)&gt;0</f>
        <v>#VALUE!</v>
      </c>
      <c r="FI117" s="103" t="str">
        <f t="array" aca="1" ref="FI117" ca="1">IFERROR(SMALL(IF(FG$1:FG$169&lt;&gt;0,FG$1:FG$169),ROW(A117)),"")</f>
        <v/>
      </c>
      <c r="FJ117" s="103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3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3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3" t="str">
        <f t="array" aca="1" ref="FM117" ca="1">IF($FI117&lt;&gt;"",
IF(FL117="",
INDIRECT("CB"&amp;$FI117&amp;"")&amp;"箱"
&amp;INDIRECT("CC"&amp;$FI117&amp;""),""),"")</f>
        <v/>
      </c>
      <c r="FN117" s="103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3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3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3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3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3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03">
        <f t="shared" si="8"/>
        <v>77</v>
      </c>
      <c r="EV118" s="103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3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3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3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3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3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3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3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3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3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3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3">
        <f ca="1">IF(COUNTIF(FH118,"TRUE"),ROW(),0)</f>
        <v>0</v>
      </c>
      <c r="FH118" s="103" t="b">
        <f t="array" aca="1" ref="FH118" ca="1">SUMPRODUCT((LEN(EV118:FF118)&gt;0)*1)&gt;0</f>
        <v>0</v>
      </c>
      <c r="FI118" s="103" t="str">
        <f t="array" aca="1" ref="FI118" ca="1">IFERROR(SMALL(IF(FG$1:FG$169&lt;&gt;0,FG$1:FG$169),ROW(A118)),"")</f>
        <v/>
      </c>
      <c r="FJ118" s="103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3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3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3" t="str">
        <f t="array" aca="1" ref="FM118" ca="1">IF($FI118&lt;&gt;"",
IF(FL118="",
INDIRECT("CB"&amp;$FI118&amp;"")&amp;"箱"
&amp;INDIRECT("CC"&amp;$FI118&amp;""),""),"")</f>
        <v/>
      </c>
      <c r="FN118" s="103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3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3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3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3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3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12">
        <f t="shared" si="8"/>
        <v>35</v>
      </c>
      <c r="EV119" s="103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3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3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3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3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3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3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3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3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3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3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3">
        <f t="shared" ca="1" si="7"/>
        <v>0</v>
      </c>
      <c r="FH119" s="103" t="e">
        <f t="array" aca="1" ref="FH119" ca="1">SUMPRODUCT((LEN(EV119:FF119)&gt;0)*1)&gt;0</f>
        <v>#VALUE!</v>
      </c>
      <c r="FI119" s="103" t="str">
        <f t="array" aca="1" ref="FI119" ca="1">IFERROR(SMALL(IF(FG$1:FG$169&lt;&gt;0,FG$1:FG$169),ROW(A119)),"")</f>
        <v/>
      </c>
      <c r="FJ119" s="103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3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3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3" t="str">
        <f t="array" aca="1" ref="FM119" ca="1">IF($FI119&lt;&gt;"",
IF(FL119="",
INDIRECT("CB"&amp;$FI119&amp;"")&amp;"箱"
&amp;INDIRECT("CC"&amp;$FI119&amp;""),""),"")</f>
        <v/>
      </c>
      <c r="FN119" s="103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3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3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3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3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3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03">
        <f t="shared" si="8"/>
        <v>77</v>
      </c>
      <c r="EV120" s="103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3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3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3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3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3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3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3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3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3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3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3">
        <f t="shared" ca="1" si="7"/>
        <v>0</v>
      </c>
      <c r="FH120" s="103" t="b">
        <f t="array" aca="1" ref="FH120" ca="1">SUMPRODUCT((LEN(EV120:FF120)&gt;0)*1)&gt;0</f>
        <v>0</v>
      </c>
      <c r="FI120" s="103" t="str">
        <f t="array" aca="1" ref="FI120" ca="1">IFERROR(SMALL(IF(FG$1:FG$169&lt;&gt;0,FG$1:FG$169),ROW(A120)),"")</f>
        <v/>
      </c>
      <c r="FJ120" s="103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3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3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3" t="str">
        <f t="array" aca="1" ref="FM120" ca="1">IF($FI120&lt;&gt;"",
IF(FL120="",
INDIRECT("CB"&amp;$FI120&amp;"")&amp;"箱"
&amp;INDIRECT("CC"&amp;$FI120&amp;""),""),"")</f>
        <v/>
      </c>
      <c r="FN120" s="103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3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3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3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3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3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x14ac:dyDescent="0.45">
      <c r="EU121" s="125"/>
      <c r="EV121" s="126" t="str">
        <f>社食等の札!A3</f>
        <v>ニシム</v>
      </c>
      <c r="EW121" s="126"/>
      <c r="EX121" s="126"/>
      <c r="EY121" s="126"/>
      <c r="EZ121" s="126"/>
      <c r="FA121" s="125" t="e">
        <f ca="1">社食等の札!E3</f>
        <v>#N/A</v>
      </c>
      <c r="FB121" s="125"/>
      <c r="FC121" s="125"/>
      <c r="FD121" s="125"/>
      <c r="FE121" s="125"/>
      <c r="FF121" s="125"/>
      <c r="FG121" s="125">
        <f>ROW()</f>
        <v>121</v>
      </c>
      <c r="FH121" s="125" t="b">
        <v>1</v>
      </c>
      <c r="FI121" s="112" t="str">
        <f t="array" aca="1" ref="FI121" ca="1">IFERROR(SMALL(IF(FG$1:FG$169&lt;&gt;0,FG$1:FG$169),ROW(A121)),"")</f>
        <v/>
      </c>
      <c r="FJ121" s="110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N121" s="112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x14ac:dyDescent="0.45">
      <c r="EU122" s="125"/>
      <c r="EV122" s="126" t="str">
        <f>社食等の札!A4</f>
        <v>新日本製薬</v>
      </c>
      <c r="EW122" s="126"/>
      <c r="EX122" s="126"/>
      <c r="EY122" s="126"/>
      <c r="EZ122" s="126"/>
      <c r="FA122" s="125" t="e">
        <f ca="1">社食等の札!E4</f>
        <v>#N/A</v>
      </c>
      <c r="FB122" s="125"/>
      <c r="FC122" s="125"/>
      <c r="FD122" s="125"/>
      <c r="FE122" s="125"/>
      <c r="FF122" s="125"/>
      <c r="FG122" s="125">
        <f>ROW()</f>
        <v>122</v>
      </c>
      <c r="FH122" s="125" t="b">
        <v>1</v>
      </c>
    </row>
    <row r="123" spans="151:175" x14ac:dyDescent="0.45">
      <c r="EU123" s="125"/>
      <c r="EV123" s="126" t="str">
        <f>社食等の札!A5</f>
        <v>配送</v>
      </c>
      <c r="EW123" s="126"/>
      <c r="EX123" s="126"/>
      <c r="EY123" s="126"/>
      <c r="EZ123" s="126"/>
      <c r="FA123" s="125">
        <f>社食等の札!E5</f>
        <v>2</v>
      </c>
      <c r="FB123" s="125"/>
      <c r="FC123" s="125"/>
      <c r="FD123" s="125"/>
      <c r="FE123" s="125"/>
      <c r="FF123" s="125"/>
      <c r="FG123" s="125">
        <f>ROW()</f>
        <v>123</v>
      </c>
      <c r="FH123" s="125" t="b">
        <v>1</v>
      </c>
    </row>
    <row r="124" spans="151:175" x14ac:dyDescent="0.45">
      <c r="EU124" s="125"/>
      <c r="EV124" s="126" t="str">
        <f>社食等の札!A6</f>
        <v>先生用</v>
      </c>
      <c r="EW124" s="126"/>
      <c r="EX124" s="126" t="str">
        <f>社食等の札!B6</f>
        <v/>
      </c>
      <c r="EY124" s="125" t="e">
        <f ca="1">社食等の札!C6</f>
        <v>#N/A</v>
      </c>
      <c r="EZ124" s="125" t="e">
        <f ca="1">社食等の札!D6</f>
        <v>#N/A</v>
      </c>
      <c r="FA124" s="125" t="e">
        <f ca="1">社食等の札!E6</f>
        <v>#N/A</v>
      </c>
      <c r="FB124" s="125"/>
      <c r="FC124" s="125">
        <f>社食等の札!G6</f>
        <v>12</v>
      </c>
      <c r="FD124" s="125">
        <f>社食等の札!H6</f>
        <v>30</v>
      </c>
      <c r="FE124" s="125"/>
      <c r="FF124" s="125"/>
      <c r="FG124" s="125">
        <f>ROW()</f>
        <v>124</v>
      </c>
      <c r="FH124" s="125" t="b">
        <v>1</v>
      </c>
    </row>
    <row r="125" spans="151:175" x14ac:dyDescent="0.45">
      <c r="EU125" s="128">
        <v>1</v>
      </c>
      <c r="EV125" s="129" t="str">
        <f t="array" aca="1" ref="EV125" ca="1">IF(INDIRECT("まとめ札!A"&amp;EU125&amp;"")&lt;&gt;0,INDIRECT("まとめ札!A"&amp;EU125&amp;"")&amp;"【1】","")</f>
        <v/>
      </c>
      <c r="EW125" s="129"/>
      <c r="EX125" s="129" t="str">
        <f>""</f>
        <v/>
      </c>
      <c r="EY125" s="129" t="str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/>
      </c>
      <c r="EZ125" s="130" t="str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/>
      </c>
      <c r="FA125" s="128" t="str">
        <f t="array" aca="1" ref="FA125" ca="1">IF(INDIRECT("まとめ札!F"&amp;EU125&amp;"")&lt;&gt;0,INDIRECT("まとめ札!F"&amp;EU125&amp;""),"")</f>
        <v/>
      </c>
      <c r="FB125" s="128"/>
      <c r="FC125" s="128" t="str">
        <f ca="1">IF(EV125&lt;&gt;"",
IF(OR(COUNTIF(EV125,"*キャラ*"),COUNTIF(EV125,"*赤*")),24,
VLOOKUP(EV125,商品マスタ一覧!$D:$I,6,FALSE)),"")</f>
        <v/>
      </c>
      <c r="FD125" s="128" t="str">
        <f t="shared" ref="FD125:FD152" ca="1" si="9">IF(FA125&lt;&gt;"",
IFERROR(INT(FA125/FC125),""),"")</f>
        <v/>
      </c>
      <c r="FE125" s="128" t="str">
        <f t="shared" ref="FE125:FE152" ca="1" si="10">IFERROR(MOD(FA125,FD125),"")</f>
        <v/>
      </c>
      <c r="FF125" s="128"/>
      <c r="FG125" s="128" t="str">
        <f t="shared" ref="FG125:FG160" ca="1" si="11">IF(FH125&lt;&gt;"",ROW(),"")</f>
        <v/>
      </c>
      <c r="FH125" s="128" t="str">
        <f t="shared" ref="FH125:FH152" ca="1" si="12">IF(FA125&lt;&gt;"","TRUE","")</f>
        <v/>
      </c>
    </row>
    <row r="126" spans="151:175" x14ac:dyDescent="0.45">
      <c r="EU126" s="128"/>
      <c r="EV126" s="129" t="str">
        <f t="array" aca="1" ref="EV126" ca="1">IF(OR(INDIRECT("まとめ札!G"&amp;EU125&amp;"")="",INDIRECT("まとめ札!G"&amp;EU125&amp;"")=0),"",INDIRECT("まとめ札!A"&amp;EU125&amp;"")&amp;"【2】")</f>
        <v/>
      </c>
      <c r="EW126" s="129"/>
      <c r="EX126" s="129" t="str">
        <f>""</f>
        <v/>
      </c>
      <c r="EY126" s="129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30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8" t="str">
        <f t="array" aca="1" ref="FA126" ca="1">IF(OR(INDIRECT("まとめ札!G"&amp;EU125&amp;"")="",INDIRECT("まとめ札!G"&amp;EU125&amp;"")=0),"",INDIRECT("まとめ札!G"&amp;EU125&amp;""))</f>
        <v/>
      </c>
      <c r="FB126" s="128"/>
      <c r="FC126" s="128" t="str">
        <f ca="1">IF(EV126&lt;&gt;"",
IF(OR(COUNTIF(EV126,"*キャラ*"),COUNTIF(EV126,"*赤*")),24,
VLOOKUP(EV126,商品マスタ一覧!$D:$I,6,FALSE)),"")</f>
        <v/>
      </c>
      <c r="FD126" s="128" t="str">
        <f t="shared" ca="1" si="9"/>
        <v/>
      </c>
      <c r="FE126" s="128" t="str">
        <f t="shared" ca="1" si="10"/>
        <v/>
      </c>
      <c r="FF126" s="128"/>
      <c r="FG126" s="128" t="str">
        <f t="shared" ca="1" si="11"/>
        <v/>
      </c>
      <c r="FH126" s="128" t="str">
        <f t="shared" ca="1" si="12"/>
        <v/>
      </c>
    </row>
    <row r="127" spans="151:175" x14ac:dyDescent="0.45">
      <c r="EU127" s="128"/>
      <c r="EV127" s="129" t="str">
        <f t="array" aca="1" ref="EV127" ca="1">IF(OR(INDIRECT("まとめ札!H"&amp;EU125&amp;"")="",INDIRECT("まとめ札!H"&amp;EU125&amp;"")=0),"",INDIRECT("まとめ札!A"&amp;EU125&amp;"")&amp;"【3】")</f>
        <v/>
      </c>
      <c r="EW127" s="129"/>
      <c r="EX127" s="129" t="str">
        <f>""</f>
        <v/>
      </c>
      <c r="EY127" s="129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30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8" t="str">
        <f t="array" aca="1" ref="FA127" ca="1">IF(OR(INDIRECT("まとめ札!H"&amp;EU125&amp;"")="",INDIRECT("まとめ札!H"&amp;EU125&amp;"")=0),"",INDIRECT("まとめ札!H"&amp;EU125&amp;""))</f>
        <v/>
      </c>
      <c r="FB127" s="128"/>
      <c r="FC127" s="128" t="str">
        <f ca="1">IF(EV127&lt;&gt;"",
IF(OR(COUNTIF(EV127,"*キャラ*"),COUNTIF(EV127,"*赤*")),24,
VLOOKUP(EV127,商品マスタ一覧!$D:$I,6,FALSE)),"")</f>
        <v/>
      </c>
      <c r="FD127" s="128" t="str">
        <f t="shared" ca="1" si="9"/>
        <v/>
      </c>
      <c r="FE127" s="128" t="str">
        <f t="shared" ca="1" si="10"/>
        <v/>
      </c>
      <c r="FF127" s="128"/>
      <c r="FG127" s="128" t="str">
        <f t="shared" ca="1" si="11"/>
        <v/>
      </c>
      <c r="FH127" s="128" t="str">
        <f t="shared" ca="1" si="12"/>
        <v/>
      </c>
    </row>
    <row r="128" spans="151:175" x14ac:dyDescent="0.45">
      <c r="EU128" s="128"/>
      <c r="EV128" s="129" t="str">
        <f t="array" aca="1" ref="EV128" ca="1">IF(OR(INDIRECT("まとめ札!I"&amp;EU125&amp;"")="",INDIRECT("まとめ札!I"&amp;EU125&amp;"")=0),"",INDIRECT("まとめ札!A"&amp;EU125&amp;"")&amp;"【4】")</f>
        <v/>
      </c>
      <c r="EW128" s="129"/>
      <c r="EX128" s="129" t="str">
        <f>""</f>
        <v/>
      </c>
      <c r="EY128" s="129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30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8" t="str">
        <f t="array" aca="1" ref="FA128" ca="1">IF(OR(INDIRECT("まとめ札!I"&amp;EU125&amp;"")="",INDIRECT("まとめ札!I"&amp;EU125&amp;"")=0),"",INDIRECT("まとめ札!I"&amp;EU125&amp;""))</f>
        <v/>
      </c>
      <c r="FB128" s="128"/>
      <c r="FC128" s="128" t="str">
        <f ca="1">IF(EV128&lt;&gt;"",
IF(OR(COUNTIF(EV128,"*キャラ*"),COUNTIF(EV128,"*赤*")),24,
VLOOKUP(EV128,商品マスタ一覧!$D:$I,6,FALSE)),"")</f>
        <v/>
      </c>
      <c r="FD128" s="128" t="str">
        <f t="shared" ca="1" si="9"/>
        <v/>
      </c>
      <c r="FE128" s="128" t="str">
        <f t="shared" ca="1" si="10"/>
        <v/>
      </c>
      <c r="FF128" s="128"/>
      <c r="FG128" s="128" t="str">
        <f t="shared" ca="1" si="11"/>
        <v/>
      </c>
      <c r="FH128" s="128" t="str">
        <f t="shared" ca="1" si="12"/>
        <v/>
      </c>
    </row>
    <row r="129" spans="151:164" x14ac:dyDescent="0.45">
      <c r="EU129" s="128">
        <v>2</v>
      </c>
      <c r="EV129" s="129" t="str">
        <f t="array" aca="1" ref="EV129" ca="1">IF(INDIRECT("まとめ札!A"&amp;EU129&amp;"")&lt;&gt;0,INDIRECT("まとめ札!A"&amp;EU129&amp;"")&amp;"【1】","")</f>
        <v>キャラ弁当 飯あり【1】</v>
      </c>
      <c r="EW129" s="129"/>
      <c r="EX129" s="129" t="str">
        <f>""</f>
        <v/>
      </c>
      <c r="EY129" s="129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30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28" t="e">
        <f t="array" aca="1" ref="FA129" ca="1">IF(INDIRECT("まとめ札!F"&amp;EU129&amp;"")&lt;&gt;0,INDIRECT("まとめ札!F"&amp;EU129&amp;""),"")</f>
        <v>#N/A</v>
      </c>
      <c r="FB129" s="128"/>
      <c r="FC129" s="128">
        <f ca="1">IF(EV129&lt;&gt;"",
IF(OR(COUNTIF(EV129,"*キャラ*"),COUNTIF(EV129,"*赤*")),24,
VLOOKUP(EV129,商品マスタ一覧!$D:$I,6,FALSE)),"")</f>
        <v>24</v>
      </c>
      <c r="FD129" s="128" t="e">
        <f t="shared" ca="1" si="9"/>
        <v>#N/A</v>
      </c>
      <c r="FE129" s="128" t="str">
        <f t="shared" ca="1" si="10"/>
        <v/>
      </c>
      <c r="FF129" s="128"/>
      <c r="FG129" s="128" t="e">
        <f ca="1">IF(FH129&lt;&gt;"",ROW(),"")</f>
        <v>#N/A</v>
      </c>
      <c r="FH129" s="128" t="e">
        <f t="shared" ca="1" si="12"/>
        <v>#N/A</v>
      </c>
    </row>
    <row r="130" spans="151:164" x14ac:dyDescent="0.45">
      <c r="EU130" s="128"/>
      <c r="EV130" s="129" t="str">
        <f t="array" aca="1" ref="EV130" ca="1">IF(OR(INDIRECT("まとめ札!G"&amp;EU129&amp;"")="",INDIRECT("まとめ札!G"&amp;EU129&amp;"")=0),"",INDIRECT("まとめ札!A"&amp;EU129&amp;"")&amp;"【2】")</f>
        <v/>
      </c>
      <c r="EW130" s="129"/>
      <c r="EX130" s="129" t="str">
        <f>""</f>
        <v/>
      </c>
      <c r="EY130" s="129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30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28" t="str">
        <f t="array" aca="1" ref="FA130" ca="1">IF(OR(INDIRECT("まとめ札!G"&amp;EU129&amp;"")="",INDIRECT("まとめ札!G"&amp;EU129&amp;"")=0),"",INDIRECT("まとめ札!G"&amp;EU129&amp;""))</f>
        <v/>
      </c>
      <c r="FB130" s="128"/>
      <c r="FC130" s="128" t="str">
        <f ca="1">IF(EV130&lt;&gt;"",
IF(OR(COUNTIF(EV130,"*キャラ*"),COUNTIF(EV130,"*赤*")),24,
VLOOKUP(EV130,商品マスタ一覧!$D:$I,6,FALSE)),"")</f>
        <v/>
      </c>
      <c r="FD130" s="128" t="str">
        <f t="shared" ca="1" si="9"/>
        <v/>
      </c>
      <c r="FE130" s="128" t="str">
        <f t="shared" ca="1" si="10"/>
        <v/>
      </c>
      <c r="FF130" s="128"/>
      <c r="FG130" s="128" t="str">
        <f t="shared" ca="1" si="11"/>
        <v/>
      </c>
      <c r="FH130" s="128" t="str">
        <f t="shared" ca="1" si="12"/>
        <v/>
      </c>
    </row>
    <row r="131" spans="151:164" x14ac:dyDescent="0.45">
      <c r="EU131" s="128"/>
      <c r="EV131" s="129" t="str">
        <f t="array" aca="1" ref="EV131" ca="1">IF(OR(INDIRECT("まとめ札!H"&amp;EU129&amp;"")="",INDIRECT("まとめ札!H"&amp;EU129&amp;"")=0),"",INDIRECT("まとめ札!A"&amp;EU129&amp;"")&amp;"【3】")</f>
        <v/>
      </c>
      <c r="EW131" s="129"/>
      <c r="EX131" s="129" t="str">
        <f>""</f>
        <v/>
      </c>
      <c r="EY131" s="129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30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28" t="str">
        <f t="array" aca="1" ref="FA131" ca="1">IF(OR(INDIRECT("まとめ札!H"&amp;EU129&amp;"")="",INDIRECT("まとめ札!H"&amp;EU129&amp;"")=0),"",INDIRECT("まとめ札!H"&amp;EU129&amp;""))</f>
        <v/>
      </c>
      <c r="FB131" s="128"/>
      <c r="FC131" s="128" t="str">
        <f ca="1">IF(EV131&lt;&gt;"",
IF(OR(COUNTIF(EV131,"*キャラ*"),COUNTIF(EV131,"*赤*")),24,
VLOOKUP(EV131,商品マスタ一覧!$D:$I,6,FALSE)),"")</f>
        <v/>
      </c>
      <c r="FD131" s="128" t="str">
        <f t="shared" ca="1" si="9"/>
        <v/>
      </c>
      <c r="FE131" s="128" t="str">
        <f t="shared" ca="1" si="10"/>
        <v/>
      </c>
      <c r="FF131" s="128"/>
      <c r="FG131" s="128" t="str">
        <f t="shared" ca="1" si="11"/>
        <v/>
      </c>
      <c r="FH131" s="128" t="str">
        <f t="shared" ca="1" si="12"/>
        <v/>
      </c>
    </row>
    <row r="132" spans="151:164" x14ac:dyDescent="0.45">
      <c r="EU132" s="128"/>
      <c r="EV132" s="129" t="str">
        <f t="array" aca="1" ref="EV132" ca="1">IF(OR(INDIRECT("まとめ札!I"&amp;EU129&amp;"")="",INDIRECT("まとめ札!I"&amp;EU129&amp;"")=0),"",INDIRECT("まとめ札!A"&amp;EU129&amp;"")&amp;"【4】")</f>
        <v/>
      </c>
      <c r="EW132" s="129"/>
      <c r="EX132" s="129" t="str">
        <f>""</f>
        <v/>
      </c>
      <c r="EY132" s="129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30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8" t="str">
        <f t="array" aca="1" ref="FA132" ca="1">IF(OR(INDIRECT("まとめ札!I"&amp;EU129&amp;"")="",INDIRECT("まとめ札!I"&amp;EU129&amp;"")=0),"",INDIRECT("まとめ札!I"&amp;EU129&amp;""))</f>
        <v/>
      </c>
      <c r="FB132" s="128"/>
      <c r="FC132" s="128" t="str">
        <f ca="1">IF(EV132&lt;&gt;"",
IF(OR(COUNTIF(EV132,"*キャラ*"),COUNTIF(EV132,"*赤*")),24,
VLOOKUP(EV132,商品マスタ一覧!$D:$I,6,FALSE)),"")</f>
        <v/>
      </c>
      <c r="FD132" s="128" t="str">
        <f t="shared" ca="1" si="9"/>
        <v/>
      </c>
      <c r="FE132" s="128" t="str">
        <f t="shared" ca="1" si="10"/>
        <v/>
      </c>
      <c r="FF132" s="128"/>
      <c r="FG132" s="128" t="str">
        <f t="shared" ca="1" si="11"/>
        <v/>
      </c>
      <c r="FH132" s="128" t="str">
        <f t="shared" ca="1" si="12"/>
        <v/>
      </c>
    </row>
    <row r="133" spans="151:164" x14ac:dyDescent="0.45">
      <c r="EU133" s="128">
        <v>3</v>
      </c>
      <c r="EV133" s="129" t="str">
        <f t="array" aca="1" ref="EV133" ca="1">IF(INDIRECT("まとめ札!A"&amp;EU133&amp;"")&lt;&gt;0,INDIRECT("まとめ札!A"&amp;EU133&amp;"")&amp;"【1】","")</f>
        <v>キャラ弁当 おにぎり【1】</v>
      </c>
      <c r="EW133" s="129"/>
      <c r="EX133" s="129" t="str">
        <f>""</f>
        <v/>
      </c>
      <c r="EY133" s="129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30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8" t="e">
        <f t="array" aca="1" ref="FA133" ca="1">IF(INDIRECT("まとめ札!F"&amp;EU133&amp;"")&lt;&gt;0,INDIRECT("まとめ札!F"&amp;EU133&amp;""),"")</f>
        <v>#N/A</v>
      </c>
      <c r="FB133" s="128"/>
      <c r="FC133" s="128">
        <f ca="1">IF(EV133&lt;&gt;"",
IF(OR(COUNTIF(EV133,"*キャラ*"),COUNTIF(EV133,"*赤*")),24,
VLOOKUP(EV133,商品マスタ一覧!$D:$I,6,FALSE)),"")</f>
        <v>24</v>
      </c>
      <c r="FD133" s="128" t="e">
        <f t="shared" ca="1" si="9"/>
        <v>#N/A</v>
      </c>
      <c r="FE133" s="128" t="str">
        <f t="shared" ca="1" si="10"/>
        <v/>
      </c>
      <c r="FF133" s="128"/>
      <c r="FG133" s="128" t="e">
        <f t="shared" ca="1" si="11"/>
        <v>#N/A</v>
      </c>
      <c r="FH133" s="128" t="e">
        <f t="shared" ca="1" si="12"/>
        <v>#N/A</v>
      </c>
    </row>
    <row r="134" spans="151:164" x14ac:dyDescent="0.45">
      <c r="EU134" s="128"/>
      <c r="EV134" s="129" t="str">
        <f t="array" aca="1" ref="EV134" ca="1">IF(OR(INDIRECT("まとめ札!G"&amp;EU133&amp;"")="",INDIRECT("まとめ札!G"&amp;EU133&amp;"")=0),"",INDIRECT("まとめ札!A"&amp;EU133&amp;"")&amp;"【2】")</f>
        <v/>
      </c>
      <c r="EW134" s="129"/>
      <c r="EX134" s="129" t="str">
        <f>""</f>
        <v/>
      </c>
      <c r="EY134" s="129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30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8" t="str">
        <f t="array" aca="1" ref="FA134" ca="1">IF(OR(INDIRECT("まとめ札!G"&amp;EU133&amp;"")="",INDIRECT("まとめ札!G"&amp;EU133&amp;"")=0),"",INDIRECT("まとめ札!G"&amp;EU133&amp;""))</f>
        <v/>
      </c>
      <c r="FB134" s="128"/>
      <c r="FC134" s="128" t="str">
        <f ca="1">IF(EV134&lt;&gt;"",
IF(OR(COUNTIF(EV134,"*キャラ*"),COUNTIF(EV134,"*赤*")),24,
VLOOKUP(EV134,商品マスタ一覧!$D:$I,6,FALSE)),"")</f>
        <v/>
      </c>
      <c r="FD134" s="128" t="str">
        <f t="shared" ca="1" si="9"/>
        <v/>
      </c>
      <c r="FE134" s="128" t="str">
        <f t="shared" ca="1" si="10"/>
        <v/>
      </c>
      <c r="FF134" s="128"/>
      <c r="FG134" s="128" t="str">
        <f t="shared" ca="1" si="11"/>
        <v/>
      </c>
      <c r="FH134" s="128" t="str">
        <f t="shared" ca="1" si="12"/>
        <v/>
      </c>
    </row>
    <row r="135" spans="151:164" x14ac:dyDescent="0.45">
      <c r="EU135" s="128"/>
      <c r="EV135" s="129" t="str">
        <f t="array" aca="1" ref="EV135" ca="1">IF(OR(INDIRECT("まとめ札!H"&amp;EU133&amp;"")="",INDIRECT("まとめ札!H"&amp;EU133&amp;"")=0),"",INDIRECT("まとめ札!A"&amp;EU133&amp;"")&amp;"【3】")</f>
        <v/>
      </c>
      <c r="EW135" s="129"/>
      <c r="EX135" s="129" t="str">
        <f>""</f>
        <v/>
      </c>
      <c r="EY135" s="129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30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8" t="str">
        <f t="array" aca="1" ref="FA135" ca="1">IF(OR(INDIRECT("まとめ札!H"&amp;EU133&amp;"")="",INDIRECT("まとめ札!H"&amp;EU133&amp;"")=0),"",INDIRECT("まとめ札!H"&amp;EU133&amp;""))</f>
        <v/>
      </c>
      <c r="FB135" s="128"/>
      <c r="FC135" s="128" t="str">
        <f ca="1">IF(EV135&lt;&gt;"",
IF(OR(COUNTIF(EV135,"*キャラ*"),COUNTIF(EV135,"*赤*")),24,
VLOOKUP(EV135,商品マスタ一覧!$D:$I,6,FALSE)),"")</f>
        <v/>
      </c>
      <c r="FD135" s="128" t="str">
        <f t="shared" ca="1" si="9"/>
        <v/>
      </c>
      <c r="FE135" s="128" t="str">
        <f t="shared" ca="1" si="10"/>
        <v/>
      </c>
      <c r="FF135" s="128"/>
      <c r="FG135" s="128" t="str">
        <f t="shared" ca="1" si="11"/>
        <v/>
      </c>
      <c r="FH135" s="128" t="str">
        <f t="shared" ca="1" si="12"/>
        <v/>
      </c>
    </row>
    <row r="136" spans="151:164" x14ac:dyDescent="0.45">
      <c r="EU136" s="128"/>
      <c r="EV136" s="129" t="str">
        <f t="array" aca="1" ref="EV136" ca="1">IF(OR(INDIRECT("まとめ札!I"&amp;EU133&amp;"")="",INDIRECT("まとめ札!I"&amp;EU133&amp;"")=0),"",INDIRECT("まとめ札!A"&amp;EU133&amp;"")&amp;"【4】")</f>
        <v/>
      </c>
      <c r="EW136" s="129"/>
      <c r="EX136" s="129" t="str">
        <f>""</f>
        <v/>
      </c>
      <c r="EY136" s="129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30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8" t="str">
        <f t="array" aca="1" ref="FA136" ca="1">IF(OR(INDIRECT("まとめ札!I"&amp;EU133&amp;"")="",INDIRECT("まとめ札!I"&amp;EU133&amp;"")=0),"",INDIRECT("まとめ札!I"&amp;EU133&amp;""))</f>
        <v/>
      </c>
      <c r="FB136" s="128"/>
      <c r="FC136" s="128" t="str">
        <f ca="1">IF(EV136&lt;&gt;"",
IF(OR(COUNTIF(EV136,"*キャラ*"),COUNTIF(EV136,"*赤*")),24,
VLOOKUP(EV136,商品マスタ一覧!$D:$I,6,FALSE)),"")</f>
        <v/>
      </c>
      <c r="FD136" s="128" t="str">
        <f t="shared" ca="1" si="9"/>
        <v/>
      </c>
      <c r="FE136" s="128" t="str">
        <f t="shared" ca="1" si="10"/>
        <v/>
      </c>
      <c r="FF136" s="128"/>
      <c r="FG136" s="128" t="str">
        <f t="shared" ca="1" si="11"/>
        <v/>
      </c>
      <c r="FH136" s="128" t="str">
        <f t="shared" ca="1" si="12"/>
        <v/>
      </c>
    </row>
    <row r="137" spans="151:164" x14ac:dyDescent="0.45">
      <c r="EU137" s="128">
        <v>4</v>
      </c>
      <c r="EV137" s="129" t="str">
        <f t="array" aca="1" ref="EV137" ca="1">IF(INDIRECT("まとめ札!A"&amp;EU137&amp;"")&lt;&gt;0,INDIRECT("まとめ札!A"&amp;EU137&amp;"")&amp;"【1】","")</f>
        <v>キャラ弁当 飯なし【1】</v>
      </c>
      <c r="EW137" s="129"/>
      <c r="EX137" s="129" t="str">
        <f>""</f>
        <v/>
      </c>
      <c r="EY137" s="129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30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8" t="e">
        <f t="array" aca="1" ref="FA137" ca="1">IF(INDIRECT("まとめ札!F"&amp;EU137&amp;"")&lt;&gt;0,INDIRECT("まとめ札!F"&amp;EU137&amp;""),"")</f>
        <v>#N/A</v>
      </c>
      <c r="FB137" s="128"/>
      <c r="FC137" s="128">
        <f ca="1">IF(EV137&lt;&gt;"",
IF(OR(COUNTIF(EV137,"*キャラ*"),COUNTIF(EV137,"*赤*")),24,
VLOOKUP(EV137,商品マスタ一覧!$D:$I,6,FALSE)),"")</f>
        <v>24</v>
      </c>
      <c r="FD137" s="128" t="e">
        <f t="shared" ca="1" si="9"/>
        <v>#N/A</v>
      </c>
      <c r="FE137" s="128" t="str">
        <f t="shared" ca="1" si="10"/>
        <v/>
      </c>
      <c r="FF137" s="128"/>
      <c r="FG137" s="128" t="e">
        <f t="shared" ca="1" si="11"/>
        <v>#N/A</v>
      </c>
      <c r="FH137" s="128" t="e">
        <f t="shared" ca="1" si="12"/>
        <v>#N/A</v>
      </c>
    </row>
    <row r="138" spans="151:164" x14ac:dyDescent="0.45">
      <c r="EU138" s="128"/>
      <c r="EV138" s="129" t="str">
        <f t="array" aca="1" ref="EV138" ca="1">IF(OR(INDIRECT("まとめ札!G"&amp;EU137&amp;"")="",INDIRECT("まとめ札!G"&amp;EU137&amp;"")=0),"",INDIRECT("まとめ札!A"&amp;EU137&amp;"")&amp;"【2】")</f>
        <v/>
      </c>
      <c r="EW138" s="129"/>
      <c r="EX138" s="129" t="str">
        <f>""</f>
        <v/>
      </c>
      <c r="EY138" s="129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30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8" t="str">
        <f t="array" aca="1" ref="FA138" ca="1">IF(OR(INDIRECT("まとめ札!G"&amp;EU137&amp;"")="",INDIRECT("まとめ札!G"&amp;EU137&amp;"")=0),"",INDIRECT("まとめ札!G"&amp;EU137&amp;""))</f>
        <v/>
      </c>
      <c r="FB138" s="128"/>
      <c r="FC138" s="128" t="str">
        <f ca="1">IF(EV138&lt;&gt;"",
IF(OR(COUNTIF(EV138,"*キャラ*"),COUNTIF(EV138,"*赤*")),24,
VLOOKUP(EV138,商品マスタ一覧!$D:$I,6,FALSE)),"")</f>
        <v/>
      </c>
      <c r="FD138" s="128" t="str">
        <f t="shared" ca="1" si="9"/>
        <v/>
      </c>
      <c r="FE138" s="128" t="str">
        <f t="shared" ca="1" si="10"/>
        <v/>
      </c>
      <c r="FF138" s="128"/>
      <c r="FG138" s="128" t="str">
        <f t="shared" ca="1" si="11"/>
        <v/>
      </c>
      <c r="FH138" s="128" t="str">
        <f t="shared" ca="1" si="12"/>
        <v/>
      </c>
    </row>
    <row r="139" spans="151:164" x14ac:dyDescent="0.45">
      <c r="EU139" s="128"/>
      <c r="EV139" s="129" t="str">
        <f t="array" aca="1" ref="EV139" ca="1">IF(OR(INDIRECT("まとめ札!H"&amp;EU137&amp;"")="",INDIRECT("まとめ札!H"&amp;EU137&amp;"")=0),"",INDIRECT("まとめ札!A"&amp;EU137&amp;"")&amp;"【3】")</f>
        <v/>
      </c>
      <c r="EW139" s="129"/>
      <c r="EX139" s="129" t="str">
        <f>""</f>
        <v/>
      </c>
      <c r="EY139" s="129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30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8" t="str">
        <f t="array" aca="1" ref="FA139" ca="1">IF(OR(INDIRECT("まとめ札!H"&amp;EU137&amp;"")="",INDIRECT("まとめ札!H"&amp;EU137&amp;"")=0),"",INDIRECT("まとめ札!H"&amp;EU137&amp;""))</f>
        <v/>
      </c>
      <c r="FB139" s="128"/>
      <c r="FC139" s="128" t="str">
        <f ca="1">IF(EV139&lt;&gt;"",
IF(OR(COUNTIF(EV139,"*キャラ*"),COUNTIF(EV139,"*赤*")),24,
VLOOKUP(EV139,商品マスタ一覧!$D:$I,6,FALSE)),"")</f>
        <v/>
      </c>
      <c r="FD139" s="128" t="str">
        <f t="shared" ca="1" si="9"/>
        <v/>
      </c>
      <c r="FE139" s="128" t="str">
        <f t="shared" ca="1" si="10"/>
        <v/>
      </c>
      <c r="FF139" s="128"/>
      <c r="FG139" s="128" t="str">
        <f t="shared" ca="1" si="11"/>
        <v/>
      </c>
      <c r="FH139" s="128" t="str">
        <f t="shared" ca="1" si="12"/>
        <v/>
      </c>
    </row>
    <row r="140" spans="151:164" x14ac:dyDescent="0.45">
      <c r="EU140" s="128"/>
      <c r="EV140" s="129" t="str">
        <f t="array" aca="1" ref="EV140" ca="1">IF(OR(INDIRECT("まとめ札!I"&amp;EU137&amp;"")="",INDIRECT("まとめ札!I"&amp;EU137&amp;"")=0),"",INDIRECT("まとめ札!A"&amp;EU137&amp;"")&amp;"【4】")</f>
        <v/>
      </c>
      <c r="EW140" s="129"/>
      <c r="EX140" s="129" t="str">
        <f>""</f>
        <v/>
      </c>
      <c r="EY140" s="129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30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8" t="str">
        <f t="array" aca="1" ref="FA140" ca="1">IF(OR(INDIRECT("まとめ札!I"&amp;EU137&amp;"")="",INDIRECT("まとめ札!I"&amp;EU137&amp;"")=0),"",INDIRECT("まとめ札!I"&amp;EU137&amp;""))</f>
        <v/>
      </c>
      <c r="FB140" s="128"/>
      <c r="FC140" s="128" t="str">
        <f ca="1">IF(EV140&lt;&gt;"",
IF(OR(COUNTIF(EV140,"*キャラ*"),COUNTIF(EV140,"*赤*")),24,
VLOOKUP(EV140,商品マスタ一覧!$D:$I,6,FALSE)),"")</f>
        <v/>
      </c>
      <c r="FD140" s="128" t="str">
        <f t="shared" ca="1" si="9"/>
        <v/>
      </c>
      <c r="FE140" s="128" t="str">
        <f t="shared" ca="1" si="10"/>
        <v/>
      </c>
      <c r="FF140" s="128"/>
      <c r="FG140" s="128" t="str">
        <f t="shared" ca="1" si="11"/>
        <v/>
      </c>
      <c r="FH140" s="128" t="str">
        <f t="shared" ca="1" si="12"/>
        <v/>
      </c>
    </row>
    <row r="141" spans="151:164" x14ac:dyDescent="0.45">
      <c r="EU141" s="128">
        <v>5</v>
      </c>
      <c r="EV141" s="129" t="str">
        <f t="array" aca="1" ref="EV141" ca="1">IF(INDIRECT("まとめ札!A"&amp;EU141&amp;"")&lt;&gt;0,INDIRECT("まとめ札!A"&amp;EU141&amp;"")&amp;"【1】","")</f>
        <v>赤 飯あり【1】</v>
      </c>
      <c r="EW141" s="129"/>
      <c r="EX141" s="129" t="str">
        <f>""</f>
        <v/>
      </c>
      <c r="EY141" s="129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30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28" t="e">
        <f t="array" aca="1" ref="FA141" ca="1">IF(INDIRECT("まとめ札!F"&amp;EU141&amp;"")&lt;&gt;0,INDIRECT("まとめ札!F"&amp;EU141&amp;""),"")</f>
        <v>#N/A</v>
      </c>
      <c r="FB141" s="128"/>
      <c r="FC141" s="128">
        <f ca="1">IF(EV141&lt;&gt;"",
IF(OR(COUNTIF(EV141,"*キャラ*"),COUNTIF(EV141,"*赤*")),24,
VLOOKUP(EV141,商品マスタ一覧!$D:$I,6,FALSE)),"")</f>
        <v>24</v>
      </c>
      <c r="FD141" s="128" t="e">
        <f t="shared" ca="1" si="9"/>
        <v>#N/A</v>
      </c>
      <c r="FE141" s="128" t="str">
        <f t="shared" ca="1" si="10"/>
        <v/>
      </c>
      <c r="FF141" s="128"/>
      <c r="FG141" s="128" t="e">
        <f t="shared" ca="1" si="11"/>
        <v>#N/A</v>
      </c>
      <c r="FH141" s="128" t="e">
        <f ca="1">IF(FA141&lt;&gt;"","TRUE","")</f>
        <v>#N/A</v>
      </c>
    </row>
    <row r="142" spans="151:164" x14ac:dyDescent="0.45">
      <c r="EU142" s="128"/>
      <c r="EV142" s="129" t="str">
        <f t="array" aca="1" ref="EV142" ca="1">IF(OR(INDIRECT("まとめ札!G"&amp;EU141&amp;"")="",INDIRECT("まとめ札!G"&amp;EU141&amp;"")=0),"",INDIRECT("まとめ札!A"&amp;EU141&amp;"")&amp;"【2】")</f>
        <v/>
      </c>
      <c r="EW142" s="129"/>
      <c r="EX142" s="129" t="str">
        <f>""</f>
        <v/>
      </c>
      <c r="EY142" s="129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30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28" t="str">
        <f t="array" aca="1" ref="FA142" ca="1">IF(OR(INDIRECT("まとめ札!G"&amp;EU141&amp;"")="",INDIRECT("まとめ札!G"&amp;EU141&amp;"")=0),"",INDIRECT("まとめ札!G"&amp;EU141&amp;""))</f>
        <v/>
      </c>
      <c r="FB142" s="128"/>
      <c r="FC142" s="128" t="str">
        <f ca="1">IF(EV142&lt;&gt;"",
IF(OR(COUNTIF(EV142,"*キャラ*"),COUNTIF(EV142,"*赤*")),24,
VLOOKUP(EV142,商品マスタ一覧!$D:$I,6,FALSE)),"")</f>
        <v/>
      </c>
      <c r="FD142" s="128" t="str">
        <f t="shared" ca="1" si="9"/>
        <v/>
      </c>
      <c r="FE142" s="128" t="str">
        <f t="shared" ca="1" si="10"/>
        <v/>
      </c>
      <c r="FF142" s="128"/>
      <c r="FG142" s="128" t="str">
        <f t="shared" ca="1" si="11"/>
        <v/>
      </c>
      <c r="FH142" s="128" t="str">
        <f t="shared" ca="1" si="12"/>
        <v/>
      </c>
    </row>
    <row r="143" spans="151:164" x14ac:dyDescent="0.45">
      <c r="EU143" s="128"/>
      <c r="EV143" s="129" t="str">
        <f t="array" aca="1" ref="EV143" ca="1">IF(OR(INDIRECT("まとめ札!H"&amp;EU141&amp;"")="",INDIRECT("まとめ札!H"&amp;EU141&amp;"")=0),"",INDIRECT("まとめ札!A"&amp;EU141&amp;"")&amp;"【3】")</f>
        <v/>
      </c>
      <c r="EW143" s="129"/>
      <c r="EX143" s="129" t="str">
        <f>""</f>
        <v/>
      </c>
      <c r="EY143" s="129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30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28" t="str">
        <f t="array" aca="1" ref="FA143" ca="1">IF(OR(INDIRECT("まとめ札!H"&amp;EU141&amp;"")="",INDIRECT("まとめ札!H"&amp;EU141&amp;"")=0),"",INDIRECT("まとめ札!H"&amp;EU141&amp;""))</f>
        <v/>
      </c>
      <c r="FB143" s="128"/>
      <c r="FC143" s="128" t="str">
        <f ca="1">IF(EV143&lt;&gt;"",
IF(OR(COUNTIF(EV143,"*キャラ*"),COUNTIF(EV143,"*赤*")),24,
VLOOKUP(EV143,商品マスタ一覧!$D:$I,6,FALSE)),"")</f>
        <v/>
      </c>
      <c r="FD143" s="128" t="str">
        <f t="shared" ca="1" si="9"/>
        <v/>
      </c>
      <c r="FE143" s="128" t="str">
        <f t="shared" ca="1" si="10"/>
        <v/>
      </c>
      <c r="FF143" s="128"/>
      <c r="FG143" s="128" t="str">
        <f t="shared" ca="1" si="11"/>
        <v/>
      </c>
      <c r="FH143" s="128" t="str">
        <f t="shared" ca="1" si="12"/>
        <v/>
      </c>
    </row>
    <row r="144" spans="151:164" x14ac:dyDescent="0.45">
      <c r="EU144" s="128"/>
      <c r="EV144" s="129" t="str">
        <f t="array" aca="1" ref="EV144" ca="1">IF(OR(INDIRECT("まとめ札!I"&amp;EU141&amp;"")="",INDIRECT("まとめ札!I"&amp;EU141&amp;"")=0),"",INDIRECT("まとめ札!A"&amp;EU141&amp;"")&amp;"【4】")</f>
        <v/>
      </c>
      <c r="EW144" s="129"/>
      <c r="EX144" s="129" t="str">
        <f>""</f>
        <v/>
      </c>
      <c r="EY144" s="129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30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8" t="str">
        <f t="array" aca="1" ref="FA144" ca="1">IF(OR(INDIRECT("まとめ札!I"&amp;EU141&amp;"")="",INDIRECT("まとめ札!I"&amp;EU141&amp;"")=0),"",INDIRECT("まとめ札!I"&amp;EU141&amp;""))</f>
        <v/>
      </c>
      <c r="FB144" s="128"/>
      <c r="FC144" s="128" t="str">
        <f ca="1">IF(EV144&lt;&gt;"",
IF(OR(COUNTIF(EV144,"*キャラ*"),COUNTIF(EV144,"*赤*")),24,
VLOOKUP(EV144,商品マスタ一覧!$D:$I,6,FALSE)),"")</f>
        <v/>
      </c>
      <c r="FD144" s="128" t="str">
        <f t="shared" ca="1" si="9"/>
        <v/>
      </c>
      <c r="FE144" s="128" t="str">
        <f t="shared" ca="1" si="10"/>
        <v/>
      </c>
      <c r="FF144" s="128"/>
      <c r="FG144" s="128" t="str">
        <f t="shared" ca="1" si="11"/>
        <v/>
      </c>
      <c r="FH144" s="128" t="str">
        <f t="shared" ca="1" si="12"/>
        <v/>
      </c>
    </row>
    <row r="145" spans="151:164" x14ac:dyDescent="0.45">
      <c r="EU145" s="128">
        <v>6</v>
      </c>
      <c r="EV145" s="129" t="str">
        <f t="array" aca="1" ref="EV145" ca="1">IF(INDIRECT("まとめ札!A"&amp;EU145&amp;"")&lt;&gt;0,INDIRECT("まとめ札!A"&amp;EU145&amp;"")&amp;"【1】","")</f>
        <v>赤 おにぎり 三角【1】</v>
      </c>
      <c r="EW145" s="129"/>
      <c r="EX145" s="129" t="str">
        <f>""</f>
        <v/>
      </c>
      <c r="EY145" s="129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30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8" t="e">
        <f t="array" aca="1" ref="FA145" ca="1">IF(INDIRECT("まとめ札!F"&amp;EU145&amp;"")&lt;&gt;0,INDIRECT("まとめ札!F"&amp;EU145&amp;""),"")</f>
        <v>#N/A</v>
      </c>
      <c r="FB145" s="128"/>
      <c r="FC145" s="128">
        <f ca="1">IF(EV145&lt;&gt;"",
IF(OR(COUNTIF(EV145,"*キャラ*"),COUNTIF(EV145,"*赤*")),24,
VLOOKUP(EV145,商品マスタ一覧!$D:$I,6,FALSE)),"")</f>
        <v>24</v>
      </c>
      <c r="FD145" s="128" t="e">
        <f t="shared" ca="1" si="9"/>
        <v>#N/A</v>
      </c>
      <c r="FE145" s="128" t="str">
        <f t="shared" ca="1" si="10"/>
        <v/>
      </c>
      <c r="FF145" s="128"/>
      <c r="FG145" s="128" t="e">
        <f t="shared" ca="1" si="11"/>
        <v>#N/A</v>
      </c>
      <c r="FH145" s="128" t="e">
        <f t="shared" ca="1" si="12"/>
        <v>#N/A</v>
      </c>
    </row>
    <row r="146" spans="151:164" x14ac:dyDescent="0.45">
      <c r="EU146" s="128"/>
      <c r="EV146" s="129" t="str">
        <f t="array" aca="1" ref="EV146" ca="1">IF(OR(INDIRECT("まとめ札!G"&amp;EU145&amp;"")="",INDIRECT("まとめ札!G"&amp;EU145&amp;"")=0),"",INDIRECT("まとめ札!A"&amp;EU145&amp;"")&amp;"【2】")</f>
        <v/>
      </c>
      <c r="EW146" s="129"/>
      <c r="EX146" s="129" t="str">
        <f>""</f>
        <v/>
      </c>
      <c r="EY146" s="129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30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8" t="str">
        <f t="array" aca="1" ref="FA146" ca="1">IF(OR(INDIRECT("まとめ札!G"&amp;EU145&amp;"")="",INDIRECT("まとめ札!G"&amp;EU145&amp;"")=0),"",INDIRECT("まとめ札!G"&amp;EU145&amp;""))</f>
        <v/>
      </c>
      <c r="FB146" s="128"/>
      <c r="FC146" s="128" t="str">
        <f ca="1">IF(EV146&lt;&gt;"",
IF(OR(COUNTIF(EV146,"*キャラ*"),COUNTIF(EV146,"*赤*")),24,
VLOOKUP(EV146,商品マスタ一覧!$D:$I,6,FALSE)),"")</f>
        <v/>
      </c>
      <c r="FD146" s="128" t="str">
        <f t="shared" ca="1" si="9"/>
        <v/>
      </c>
      <c r="FE146" s="128" t="str">
        <f t="shared" ca="1" si="10"/>
        <v/>
      </c>
      <c r="FF146" s="128"/>
      <c r="FG146" s="128" t="str">
        <f t="shared" ca="1" si="11"/>
        <v/>
      </c>
      <c r="FH146" s="128" t="str">
        <f t="shared" ca="1" si="12"/>
        <v/>
      </c>
    </row>
    <row r="147" spans="151:164" x14ac:dyDescent="0.45">
      <c r="EU147" s="128"/>
      <c r="EV147" s="129" t="str">
        <f t="array" aca="1" ref="EV147" ca="1">IF(OR(INDIRECT("まとめ札!H"&amp;EU145&amp;"")="",INDIRECT("まとめ札!H"&amp;EU145&amp;"")=0),"",INDIRECT("まとめ札!A"&amp;EU145&amp;"")&amp;"【3】")</f>
        <v/>
      </c>
      <c r="EW147" s="129"/>
      <c r="EX147" s="129" t="str">
        <f>""</f>
        <v/>
      </c>
      <c r="EY147" s="129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30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8" t="str">
        <f t="array" aca="1" ref="FA147" ca="1">IF(OR(INDIRECT("まとめ札!H"&amp;EU145&amp;"")="",INDIRECT("まとめ札!H"&amp;EU145&amp;"")=0),"",INDIRECT("まとめ札!H"&amp;EU145&amp;""))</f>
        <v/>
      </c>
      <c r="FB147" s="128"/>
      <c r="FC147" s="128" t="str">
        <f ca="1">IF(EV147&lt;&gt;"",
IF(OR(COUNTIF(EV147,"*キャラ*"),COUNTIF(EV147,"*赤*")),24,
VLOOKUP(EV147,商品マスタ一覧!$D:$I,6,FALSE)),"")</f>
        <v/>
      </c>
      <c r="FD147" s="128" t="str">
        <f t="shared" ca="1" si="9"/>
        <v/>
      </c>
      <c r="FE147" s="128" t="str">
        <f t="shared" ca="1" si="10"/>
        <v/>
      </c>
      <c r="FF147" s="128"/>
      <c r="FG147" s="128" t="str">
        <f t="shared" ca="1" si="11"/>
        <v/>
      </c>
      <c r="FH147" s="128" t="str">
        <f t="shared" ca="1" si="12"/>
        <v/>
      </c>
    </row>
    <row r="148" spans="151:164" x14ac:dyDescent="0.45">
      <c r="EU148" s="128"/>
      <c r="EV148" s="129" t="str">
        <f t="array" aca="1" ref="EV148" ca="1">IF(OR(INDIRECT("まとめ札!I"&amp;EU145&amp;"")="",INDIRECT("まとめ札!I"&amp;EU145&amp;"")=0),"",INDIRECT("まとめ札!A"&amp;EU145&amp;"")&amp;"【4】")</f>
        <v/>
      </c>
      <c r="EW148" s="129"/>
      <c r="EX148" s="129" t="str">
        <f>""</f>
        <v/>
      </c>
      <c r="EY148" s="129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30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8" t="str">
        <f t="array" aca="1" ref="FA148" ca="1">IF(OR(INDIRECT("まとめ札!I"&amp;EU145&amp;"")="",INDIRECT("まとめ札!I"&amp;EU145&amp;"")=0),"",INDIRECT("まとめ札!I"&amp;EU145&amp;""))</f>
        <v/>
      </c>
      <c r="FB148" s="128"/>
      <c r="FC148" s="128" t="str">
        <f ca="1">IF(EV148&lt;&gt;"",
IF(OR(COUNTIF(EV148,"*キャラ*"),COUNTIF(EV148,"*赤*")),24,
VLOOKUP(EV148,商品マスタ一覧!$D:$I,6,FALSE)),"")</f>
        <v/>
      </c>
      <c r="FD148" s="128" t="str">
        <f t="shared" ca="1" si="9"/>
        <v/>
      </c>
      <c r="FE148" s="128" t="str">
        <f t="shared" ca="1" si="10"/>
        <v/>
      </c>
      <c r="FF148" s="128"/>
      <c r="FG148" s="128" t="str">
        <f t="shared" ca="1" si="11"/>
        <v/>
      </c>
      <c r="FH148" s="128" t="str">
        <f t="shared" ca="1" si="12"/>
        <v/>
      </c>
    </row>
    <row r="149" spans="151:164" x14ac:dyDescent="0.45">
      <c r="EU149" s="128">
        <v>7</v>
      </c>
      <c r="EV149" s="129" t="str">
        <f t="array" aca="1" ref="EV149" ca="1">IF(INDIRECT("まとめ札!A"&amp;EU149&amp;"")&lt;&gt;0,INDIRECT("まとめ札!A"&amp;EU149&amp;"")&amp;"【1】","")</f>
        <v>赤 おにぎり 半俵【1】</v>
      </c>
      <c r="EW149" s="129"/>
      <c r="EX149" s="129" t="str">
        <f>""</f>
        <v/>
      </c>
      <c r="EY149" s="129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30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8" t="e">
        <f t="array" aca="1" ref="FA149" ca="1">IF(INDIRECT("まとめ札!F"&amp;EU149&amp;"")&lt;&gt;0,INDIRECT("まとめ札!F"&amp;EU149&amp;""),"")</f>
        <v>#N/A</v>
      </c>
      <c r="FB149" s="128"/>
      <c r="FC149" s="128">
        <f ca="1">IF(EV149&lt;&gt;"",
IF(OR(COUNTIF(EV149,"*キャラ*"),COUNTIF(EV149,"*赤*")),24,
VLOOKUP(EV149,商品マスタ一覧!$D:$I,6,FALSE)),"")</f>
        <v>24</v>
      </c>
      <c r="FD149" s="128" t="e">
        <f t="shared" ca="1" si="9"/>
        <v>#N/A</v>
      </c>
      <c r="FE149" s="128" t="str">
        <f t="shared" ca="1" si="10"/>
        <v/>
      </c>
      <c r="FF149" s="128"/>
      <c r="FG149" s="128" t="e">
        <f t="shared" ca="1" si="11"/>
        <v>#N/A</v>
      </c>
      <c r="FH149" s="128" t="e">
        <f t="shared" ca="1" si="12"/>
        <v>#N/A</v>
      </c>
    </row>
    <row r="150" spans="151:164" x14ac:dyDescent="0.45">
      <c r="EU150" s="128"/>
      <c r="EV150" s="129" t="str">
        <f t="array" aca="1" ref="EV150" ca="1">IF(OR(INDIRECT("まとめ札!G"&amp;EU149&amp;"")="",INDIRECT("まとめ札!G"&amp;EU149&amp;"")=0),"",INDIRECT("まとめ札!A"&amp;EU149&amp;"")&amp;"【2】")</f>
        <v/>
      </c>
      <c r="EW150" s="129"/>
      <c r="EX150" s="129" t="str">
        <f>""</f>
        <v/>
      </c>
      <c r="EY150" s="129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30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8" t="str">
        <f t="array" aca="1" ref="FA150" ca="1">IF(OR(INDIRECT("まとめ札!G"&amp;EU149&amp;"")="",INDIRECT("まとめ札!G"&amp;EU149&amp;"")=0),"",INDIRECT("まとめ札!G"&amp;EU149&amp;""))</f>
        <v/>
      </c>
      <c r="FB150" s="128"/>
      <c r="FC150" s="128" t="str">
        <f ca="1">IF(EV150&lt;&gt;"",
IF(OR(COUNTIF(EV150,"*キャラ*"),COUNTIF(EV150,"*赤*")),24,
VLOOKUP(EV150,商品マスタ一覧!$D:$I,6,FALSE)),"")</f>
        <v/>
      </c>
      <c r="FD150" s="128" t="str">
        <f t="shared" ca="1" si="9"/>
        <v/>
      </c>
      <c r="FE150" s="128" t="str">
        <f t="shared" ca="1" si="10"/>
        <v/>
      </c>
      <c r="FF150" s="128"/>
      <c r="FG150" s="128" t="str">
        <f t="shared" ca="1" si="11"/>
        <v/>
      </c>
      <c r="FH150" s="128" t="str">
        <f t="shared" ca="1" si="12"/>
        <v/>
      </c>
    </row>
    <row r="151" spans="151:164" x14ac:dyDescent="0.45">
      <c r="EU151" s="128"/>
      <c r="EV151" s="129" t="str">
        <f t="array" aca="1" ref="EV151" ca="1">IF(OR(INDIRECT("まとめ札!H"&amp;EU149&amp;"")="",INDIRECT("まとめ札!H"&amp;EU149&amp;"")=0),"",INDIRECT("まとめ札!A"&amp;EU149&amp;"")&amp;"【3】")</f>
        <v/>
      </c>
      <c r="EW151" s="129"/>
      <c r="EX151" s="129" t="str">
        <f>""</f>
        <v/>
      </c>
      <c r="EY151" s="129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30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8" t="str">
        <f t="array" aca="1" ref="FA151" ca="1">IF(OR(INDIRECT("まとめ札!H"&amp;EU149&amp;"")="",INDIRECT("まとめ札!H"&amp;EU149&amp;"")=0),"",INDIRECT("まとめ札!H"&amp;EU149&amp;""))</f>
        <v/>
      </c>
      <c r="FB151" s="128"/>
      <c r="FC151" s="128" t="str">
        <f ca="1">IF(EV151&lt;&gt;"",
IF(OR(COUNTIF(EV151,"*キャラ*"),COUNTIF(EV151,"*赤*")),24,
VLOOKUP(EV151,商品マスタ一覧!$D:$I,6,FALSE)),"")</f>
        <v/>
      </c>
      <c r="FD151" s="128" t="str">
        <f t="shared" ca="1" si="9"/>
        <v/>
      </c>
      <c r="FE151" s="128" t="str">
        <f t="shared" ca="1" si="10"/>
        <v/>
      </c>
      <c r="FF151" s="128"/>
      <c r="FG151" s="128" t="str">
        <f t="shared" ca="1" si="11"/>
        <v/>
      </c>
      <c r="FH151" s="128" t="str">
        <f t="shared" ca="1" si="12"/>
        <v/>
      </c>
    </row>
    <row r="152" spans="151:164" x14ac:dyDescent="0.45">
      <c r="EU152" s="128"/>
      <c r="EV152" s="129" t="str">
        <f t="array" aca="1" ref="EV152" ca="1">IF(OR(INDIRECT("まとめ札!I"&amp;EU149&amp;"")="",INDIRECT("まとめ札!I"&amp;EU149&amp;"")=0),"",INDIRECT("まとめ札!A"&amp;EU149&amp;"")&amp;"【4】")</f>
        <v/>
      </c>
      <c r="EW152" s="129"/>
      <c r="EX152" s="129" t="str">
        <f>""</f>
        <v/>
      </c>
      <c r="EY152" s="129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30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8" t="str">
        <f t="array" aca="1" ref="FA152" ca="1">IF(OR(INDIRECT("まとめ札!I"&amp;EU149&amp;"")="",INDIRECT("まとめ札!I"&amp;EU149&amp;"")=0),"",INDIRECT("まとめ札!I"&amp;EU149&amp;""))</f>
        <v/>
      </c>
      <c r="FB152" s="128"/>
      <c r="FC152" s="128" t="str">
        <f ca="1">IF(EV152&lt;&gt;"",
IF(OR(COUNTIF(EV152,"*キャラ*"),COUNTIF(EV152,"*赤*")),24,
VLOOKUP(EV152,商品マスタ一覧!$D:$I,6,FALSE)),"")</f>
        <v/>
      </c>
      <c r="FD152" s="128" t="str">
        <f t="shared" ca="1" si="9"/>
        <v/>
      </c>
      <c r="FE152" s="128" t="str">
        <f t="shared" ca="1" si="10"/>
        <v/>
      </c>
      <c r="FF152" s="128"/>
      <c r="FG152" s="128" t="str">
        <f t="shared" ca="1" si="11"/>
        <v/>
      </c>
      <c r="FH152" s="128" t="str">
        <f t="shared" ca="1" si="12"/>
        <v/>
      </c>
    </row>
    <row r="153" spans="151:164" x14ac:dyDescent="0.45">
      <c r="EU153" s="219"/>
      <c r="EV153" s="220" t="str" cm="1">
        <f t="array" aca="1" ref="EV153" ca="1">IFERROR(INDEX(先生札!A:A, SMALL(IF(先生札!$A$1:$A$8&lt;&gt;"", ROW(先生札!$A$1:$A$8)), ROW(先生札!A1))), "")</f>
        <v>商品予定名</v>
      </c>
      <c r="EW153" s="220" t="e">
        <f ca="1">IF(EV153&lt;&gt;"",VLOOKUP(EV153,先生札!A1:F5,2,FALSE),"")</f>
        <v>#N/A</v>
      </c>
      <c r="EX153" s="219" t="s">
        <v>584</v>
      </c>
      <c r="EY153" s="219" t="str">
        <f>""</f>
        <v/>
      </c>
      <c r="EZ153" s="219" t="str">
        <f>""</f>
        <v/>
      </c>
      <c r="FA153" s="219" t="str">
        <f>""</f>
        <v/>
      </c>
      <c r="FB153" s="219" t="e">
        <f ca="1">IF(EV153&lt;&gt;"",VLOOKUP(EV153,先生札!A1:F5,6,FALSE),"")</f>
        <v>#N/A</v>
      </c>
      <c r="FC153" s="219" t="str">
        <f>""</f>
        <v/>
      </c>
      <c r="FD153" s="219" t="str">
        <f>""</f>
        <v/>
      </c>
      <c r="FE153" s="219" t="str">
        <f>""</f>
        <v/>
      </c>
      <c r="FF153" s="219" t="str">
        <f>""</f>
        <v/>
      </c>
      <c r="FG153" s="219" t="e">
        <f t="shared" ca="1" si="11"/>
        <v>#N/A</v>
      </c>
      <c r="FH153" s="219" t="e">
        <f ca="1">IF(FB153&lt;&gt;"","TRUE","")</f>
        <v>#N/A</v>
      </c>
    </row>
    <row r="154" spans="151:164" x14ac:dyDescent="0.45">
      <c r="EU154" s="219"/>
      <c r="EV154" s="220" t="str" cm="1">
        <f t="array" aca="1" ref="EV154" ca="1">IFERROR(INDEX(先生札!A:A, SMALL(IF(先生札!$A$1:$A$8&lt;&gt;"", ROW(先生札!$A$1:$A$8)), ROW(先生札!A2))), "")</f>
        <v/>
      </c>
      <c r="EW154" s="220" t="str">
        <f ca="1">IF(EV154&lt;&gt;"",VLOOKUP(EV154,先生札!A2:F6,2,FALSE),"")</f>
        <v/>
      </c>
      <c r="EX154" s="219" t="s">
        <v>584</v>
      </c>
      <c r="EY154" s="219" t="str">
        <f>""</f>
        <v/>
      </c>
      <c r="EZ154" s="219" t="str">
        <f>""</f>
        <v/>
      </c>
      <c r="FA154" s="219" t="str">
        <f>""</f>
        <v/>
      </c>
      <c r="FB154" s="219" t="str">
        <f ca="1">IF(EV154&lt;&gt;"",VLOOKUP(EV154,先生札!A2:F6,6,FALSE),"")</f>
        <v/>
      </c>
      <c r="FC154" s="219" t="str">
        <f>""</f>
        <v/>
      </c>
      <c r="FD154" s="219" t="str">
        <f>""</f>
        <v/>
      </c>
      <c r="FE154" s="219" t="str">
        <f>""</f>
        <v/>
      </c>
      <c r="FF154" s="219" t="str">
        <f>""</f>
        <v/>
      </c>
      <c r="FG154" s="219" t="str">
        <f t="shared" ca="1" si="11"/>
        <v/>
      </c>
      <c r="FH154" s="219" t="str">
        <f t="shared" ref="FH154:FH160" ca="1" si="13">IF(FB154&lt;&gt;"","TRUE","")</f>
        <v/>
      </c>
    </row>
    <row r="155" spans="151:164" x14ac:dyDescent="0.45">
      <c r="EU155" s="219"/>
      <c r="EV155" s="220" t="str" cm="1">
        <f t="array" aca="1" ref="EV155" ca="1">IFERROR(INDEX(先生札!A:A, SMALL(IF(先生札!$A$1:$A$8&lt;&gt;"", ROW(先生札!$A$1:$A$8)), ROW(先生札!A3))), "")</f>
        <v/>
      </c>
      <c r="EW155" s="220" t="str">
        <f ca="1">IF(EV155&lt;&gt;"",VLOOKUP(EV155,先生札!A3:F7,2,FALSE),"")</f>
        <v/>
      </c>
      <c r="EX155" s="219" t="s">
        <v>584</v>
      </c>
      <c r="EY155" s="219" t="str">
        <f>""</f>
        <v/>
      </c>
      <c r="EZ155" s="219" t="str">
        <f>""</f>
        <v/>
      </c>
      <c r="FA155" s="219" t="str">
        <f>""</f>
        <v/>
      </c>
      <c r="FB155" s="219" t="str">
        <f ca="1">IF(EV155&lt;&gt;"",VLOOKUP(EV155,先生札!A3:F7,6,FALSE),"")</f>
        <v/>
      </c>
      <c r="FC155" s="219" t="str">
        <f>""</f>
        <v/>
      </c>
      <c r="FD155" s="219" t="str">
        <f>""</f>
        <v/>
      </c>
      <c r="FE155" s="219" t="str">
        <f>""</f>
        <v/>
      </c>
      <c r="FF155" s="219" t="str">
        <f>""</f>
        <v/>
      </c>
      <c r="FG155" s="219" t="str">
        <f t="shared" ca="1" si="11"/>
        <v/>
      </c>
      <c r="FH155" s="219" t="str">
        <f t="shared" ca="1" si="13"/>
        <v/>
      </c>
    </row>
    <row r="156" spans="151:164" x14ac:dyDescent="0.45">
      <c r="EU156" s="219"/>
      <c r="EV156" s="220" t="str" cm="1">
        <f t="array" aca="1" ref="EV156" ca="1">IFERROR(INDEX(先生札!A:A, SMALL(IF(先生札!$A$1:$A$8&lt;&gt;"", ROW(先生札!$A$1:$A$8)), ROW(先生札!A4))), "")</f>
        <v/>
      </c>
      <c r="EW156" s="220" t="str">
        <f ca="1">IF(EV156&lt;&gt;"",VLOOKUP(EV156,先生札!A4:F8,2,FALSE),"")</f>
        <v/>
      </c>
      <c r="EX156" s="219" t="s">
        <v>584</v>
      </c>
      <c r="EY156" s="219" t="str">
        <f>""</f>
        <v/>
      </c>
      <c r="EZ156" s="219" t="str">
        <f>""</f>
        <v/>
      </c>
      <c r="FA156" s="219" t="str">
        <f>""</f>
        <v/>
      </c>
      <c r="FB156" s="219" t="str">
        <f ca="1">IF(EV156&lt;&gt;"",VLOOKUP(EV156,先生札!A4:F8,6,FALSE),"")</f>
        <v/>
      </c>
      <c r="FC156" s="219" t="str">
        <f>""</f>
        <v/>
      </c>
      <c r="FD156" s="219" t="str">
        <f>""</f>
        <v/>
      </c>
      <c r="FE156" s="219" t="str">
        <f>""</f>
        <v/>
      </c>
      <c r="FF156" s="219" t="str">
        <f>""</f>
        <v/>
      </c>
      <c r="FG156" s="219" t="str">
        <f t="shared" ca="1" si="11"/>
        <v/>
      </c>
      <c r="FH156" s="219" t="str">
        <f t="shared" ca="1" si="13"/>
        <v/>
      </c>
    </row>
    <row r="157" spans="151:164" x14ac:dyDescent="0.45">
      <c r="EU157" s="219"/>
      <c r="EV157" s="220" t="str" cm="1">
        <f t="array" aca="1" ref="EV157" ca="1">IFERROR(INDEX(先生札!A:A, SMALL(IF(先生札!$A$1:$A$8&lt;&gt;"", ROW(先生札!$A$1:$A$8)), ROW(先生札!A5))), "")</f>
        <v/>
      </c>
      <c r="EW157" s="220" t="str">
        <f ca="1">IF(EV157&lt;&gt;"",VLOOKUP(EV157,先生札!A5:F9,2,FALSE),"")</f>
        <v/>
      </c>
      <c r="EX157" s="219" t="s">
        <v>584</v>
      </c>
      <c r="EY157" s="219" t="str">
        <f>""</f>
        <v/>
      </c>
      <c r="EZ157" s="219" t="str">
        <f>""</f>
        <v/>
      </c>
      <c r="FA157" s="219" t="str">
        <f>""</f>
        <v/>
      </c>
      <c r="FB157" s="219" t="str">
        <f ca="1">IF(EV157&lt;&gt;"",VLOOKUP(EV157,先生札!A5:F9,6,FALSE),"")</f>
        <v/>
      </c>
      <c r="FC157" s="219" t="str">
        <f>""</f>
        <v/>
      </c>
      <c r="FD157" s="219" t="str">
        <f>""</f>
        <v/>
      </c>
      <c r="FE157" s="219" t="str">
        <f>""</f>
        <v/>
      </c>
      <c r="FF157" s="219" t="str">
        <f>""</f>
        <v/>
      </c>
      <c r="FG157" s="219" t="str">
        <f t="shared" ca="1" si="11"/>
        <v/>
      </c>
      <c r="FH157" s="219" t="str">
        <f t="shared" ca="1" si="13"/>
        <v/>
      </c>
    </row>
    <row r="158" spans="151:164" x14ac:dyDescent="0.45">
      <c r="EU158" s="219"/>
      <c r="EV158" s="220" t="str" cm="1">
        <f t="array" aca="1" ref="EV158" ca="1">IFERROR(INDEX(先生札!A:A, SMALL(IF(先生札!$A$1:$A$8&lt;&gt;"", ROW(先生札!$A$1:$A$8)), ROW(先生札!A6))), "")</f>
        <v/>
      </c>
      <c r="EW158" s="220" t="str">
        <f ca="1">IF(EV158&lt;&gt;"",VLOOKUP(EV158,先生札!A6:F10,2,FALSE),"")</f>
        <v/>
      </c>
      <c r="EX158" s="219" t="s">
        <v>584</v>
      </c>
      <c r="EY158" s="219" t="str">
        <f>""</f>
        <v/>
      </c>
      <c r="EZ158" s="219" t="str">
        <f>""</f>
        <v/>
      </c>
      <c r="FA158" s="219" t="str">
        <f>""</f>
        <v/>
      </c>
      <c r="FB158" s="219" t="str">
        <f ca="1">IF(EV158&lt;&gt;"",VLOOKUP(EV158,先生札!A6:F10,6,FALSE),"")</f>
        <v/>
      </c>
      <c r="FC158" s="219" t="str">
        <f>""</f>
        <v/>
      </c>
      <c r="FD158" s="219" t="str">
        <f>""</f>
        <v/>
      </c>
      <c r="FE158" s="219" t="str">
        <f>""</f>
        <v/>
      </c>
      <c r="FF158" s="219" t="str">
        <f>""</f>
        <v/>
      </c>
      <c r="FG158" s="219" t="str">
        <f t="shared" ca="1" si="11"/>
        <v/>
      </c>
      <c r="FH158" s="219" t="str">
        <f t="shared" ca="1" si="13"/>
        <v/>
      </c>
    </row>
    <row r="159" spans="151:164" x14ac:dyDescent="0.45">
      <c r="EU159" s="219"/>
      <c r="EV159" s="220" t="str" cm="1">
        <f t="array" aca="1" ref="EV159" ca="1">IFERROR(INDEX(先生札!A:A, SMALL(IF(先生札!$A$1:$A$8&lt;&gt;"", ROW(先生札!$A$1:$A$8)), ROW(先生札!A7))), "")</f>
        <v/>
      </c>
      <c r="EW159" s="220" t="str">
        <f ca="1">IF(EV159&lt;&gt;"",VLOOKUP(EV159,先生札!A7:F11,2,FALSE),"")</f>
        <v/>
      </c>
      <c r="EX159" s="219" t="s">
        <v>584</v>
      </c>
      <c r="EY159" s="219" t="str">
        <f>""</f>
        <v/>
      </c>
      <c r="EZ159" s="219" t="str">
        <f>""</f>
        <v/>
      </c>
      <c r="FA159" s="219" t="str">
        <f>""</f>
        <v/>
      </c>
      <c r="FB159" s="219" t="str">
        <f ca="1">IF(EV159&lt;&gt;"",VLOOKUP(EV159,先生札!A7:F11,6,FALSE),"")</f>
        <v/>
      </c>
      <c r="FC159" s="219" t="str">
        <f>""</f>
        <v/>
      </c>
      <c r="FD159" s="219" t="str">
        <f>""</f>
        <v/>
      </c>
      <c r="FE159" s="219" t="str">
        <f>""</f>
        <v/>
      </c>
      <c r="FF159" s="219" t="str">
        <f>""</f>
        <v/>
      </c>
      <c r="FG159" s="219" t="str">
        <f t="shared" ca="1" si="11"/>
        <v/>
      </c>
      <c r="FH159" s="219" t="str">
        <f t="shared" ca="1" si="13"/>
        <v/>
      </c>
    </row>
    <row r="160" spans="151:164" x14ac:dyDescent="0.45">
      <c r="EU160" s="219"/>
      <c r="EV160" s="220" t="str" cm="1">
        <f t="array" aca="1" ref="EV160" ca="1">IFERROR(INDEX(先生札!A:A, SMALL(IF(先生札!$A$1:$A$8&lt;&gt;"", ROW(先生札!$A$1:$A$8)), ROW(先生札!A8))), "")</f>
        <v/>
      </c>
      <c r="EW160" s="220" t="str">
        <f ca="1">IF(EV160&lt;&gt;"",VLOOKUP(EV160,先生札!A8:F12,2,FALSE),"")</f>
        <v/>
      </c>
      <c r="EX160" s="219" t="s">
        <v>584</v>
      </c>
      <c r="EY160" s="219" t="str">
        <f>""</f>
        <v/>
      </c>
      <c r="EZ160" s="219" t="str">
        <f>""</f>
        <v/>
      </c>
      <c r="FA160" s="219" t="str">
        <f>""</f>
        <v/>
      </c>
      <c r="FB160" s="219" t="str">
        <f ca="1">IF(EV160&lt;&gt;"",VLOOKUP(EV160,先生札!A8:F12,6,FALSE),"")</f>
        <v/>
      </c>
      <c r="FC160" s="219" t="str">
        <f>""</f>
        <v/>
      </c>
      <c r="FD160" s="219" t="str">
        <f>""</f>
        <v/>
      </c>
      <c r="FE160" s="219" t="str">
        <f>""</f>
        <v/>
      </c>
      <c r="FF160" s="219" t="str">
        <f>""</f>
        <v/>
      </c>
      <c r="FG160" s="219" t="str">
        <f t="shared" ca="1" si="11"/>
        <v/>
      </c>
      <c r="FH160" s="219" t="str">
        <f t="shared" ca="1" si="13"/>
        <v/>
      </c>
    </row>
  </sheetData>
  <mergeCells count="1920">
    <mergeCell ref="EH80:EI80"/>
    <mergeCell ref="EJ80:EK80"/>
    <mergeCell ref="EO80:EP80"/>
    <mergeCell ref="EQ80:ER80"/>
    <mergeCell ref="EH81:EI82"/>
    <mergeCell ref="EJ81:EK82"/>
    <mergeCell ref="EO81:EP82"/>
    <mergeCell ref="EQ81:ER82"/>
    <mergeCell ref="EG84:EH84"/>
    <mergeCell ref="EI84:EJ84"/>
    <mergeCell ref="EK84:EL84"/>
    <mergeCell ref="EN84:EO84"/>
    <mergeCell ref="EP84:EQ84"/>
    <mergeCell ref="EH71:EK71"/>
    <mergeCell ref="EO71:ER71"/>
    <mergeCell ref="EH73:EI73"/>
    <mergeCell ref="EJ73:EK73"/>
    <mergeCell ref="EO73:EP73"/>
    <mergeCell ref="EQ73:ER73"/>
    <mergeCell ref="EH74:EI75"/>
    <mergeCell ref="EJ74:EK75"/>
    <mergeCell ref="EO74:EP75"/>
    <mergeCell ref="EQ74:ER75"/>
    <mergeCell ref="EG77:EH77"/>
    <mergeCell ref="EI77:EJ77"/>
    <mergeCell ref="EK77:EL77"/>
    <mergeCell ref="EN77:EO77"/>
    <mergeCell ref="EP77:EQ77"/>
    <mergeCell ref="EH78:EK78"/>
    <mergeCell ref="EO78:ER78"/>
    <mergeCell ref="EG63:EH63"/>
    <mergeCell ref="EI63:EJ63"/>
    <mergeCell ref="EK63:EL63"/>
    <mergeCell ref="EN63:EO63"/>
    <mergeCell ref="EP63:EQ63"/>
    <mergeCell ref="EH64:EK64"/>
    <mergeCell ref="EO64:ER64"/>
    <mergeCell ref="EH66:EI66"/>
    <mergeCell ref="EJ66:EK66"/>
    <mergeCell ref="EO66:EP66"/>
    <mergeCell ref="EQ66:ER66"/>
    <mergeCell ref="EH67:EI68"/>
    <mergeCell ref="EJ67:EK68"/>
    <mergeCell ref="EO67:EP68"/>
    <mergeCell ref="EQ67:ER68"/>
    <mergeCell ref="EG70:EH70"/>
    <mergeCell ref="EI70:EJ70"/>
    <mergeCell ref="EK70:EL70"/>
    <mergeCell ref="EN70:EO70"/>
    <mergeCell ref="EP70:EQ70"/>
    <mergeCell ref="EH53:EI54"/>
    <mergeCell ref="EJ53:EK54"/>
    <mergeCell ref="EO53:EP54"/>
    <mergeCell ref="EQ53:ER54"/>
    <mergeCell ref="EG56:EH56"/>
    <mergeCell ref="EI56:EJ56"/>
    <mergeCell ref="EK56:EL56"/>
    <mergeCell ref="EN56:EO56"/>
    <mergeCell ref="EP56:EQ56"/>
    <mergeCell ref="EH57:EK57"/>
    <mergeCell ref="EO57:ER57"/>
    <mergeCell ref="EH59:EI59"/>
    <mergeCell ref="EJ59:EK59"/>
    <mergeCell ref="EO59:EP59"/>
    <mergeCell ref="EQ59:ER59"/>
    <mergeCell ref="EH60:EI61"/>
    <mergeCell ref="EJ60:EK61"/>
    <mergeCell ref="EO60:EP61"/>
    <mergeCell ref="EQ60:ER61"/>
    <mergeCell ref="EH45:EI45"/>
    <mergeCell ref="EJ45:EK45"/>
    <mergeCell ref="EO45:EP45"/>
    <mergeCell ref="EQ45:ER45"/>
    <mergeCell ref="EH46:EI47"/>
    <mergeCell ref="EJ46:EK47"/>
    <mergeCell ref="EO46:EP47"/>
    <mergeCell ref="EQ46:ER47"/>
    <mergeCell ref="EG49:EH49"/>
    <mergeCell ref="EI49:EJ49"/>
    <mergeCell ref="EK49:EL49"/>
    <mergeCell ref="EN49:EO49"/>
    <mergeCell ref="EP49:EQ49"/>
    <mergeCell ref="EH50:EK50"/>
    <mergeCell ref="EO50:ER50"/>
    <mergeCell ref="EH52:EI52"/>
    <mergeCell ref="EJ52:EK52"/>
    <mergeCell ref="EO52:EP52"/>
    <mergeCell ref="EQ52:ER52"/>
    <mergeCell ref="EH36:EK36"/>
    <mergeCell ref="EO36:ER36"/>
    <mergeCell ref="EH38:EI38"/>
    <mergeCell ref="EJ38:EK38"/>
    <mergeCell ref="EO38:EP38"/>
    <mergeCell ref="EQ38:ER38"/>
    <mergeCell ref="EH39:EI40"/>
    <mergeCell ref="EJ39:EK40"/>
    <mergeCell ref="EO39:EP40"/>
    <mergeCell ref="EQ39:ER40"/>
    <mergeCell ref="EG42:EH42"/>
    <mergeCell ref="EI42:EJ42"/>
    <mergeCell ref="EK42:EL42"/>
    <mergeCell ref="EN42:EO42"/>
    <mergeCell ref="EP42:EQ42"/>
    <mergeCell ref="EH43:EK43"/>
    <mergeCell ref="EO43:ER43"/>
    <mergeCell ref="EG28:EH28"/>
    <mergeCell ref="EI28:EJ28"/>
    <mergeCell ref="EK28:EL28"/>
    <mergeCell ref="EN28:EO28"/>
    <mergeCell ref="EP28:EQ28"/>
    <mergeCell ref="EH29:EK29"/>
    <mergeCell ref="EO29:ER29"/>
    <mergeCell ref="EH31:EI31"/>
    <mergeCell ref="EJ31:EK31"/>
    <mergeCell ref="EO31:EP31"/>
    <mergeCell ref="EQ31:ER31"/>
    <mergeCell ref="EH32:EI33"/>
    <mergeCell ref="EJ32:EK33"/>
    <mergeCell ref="EO32:EP33"/>
    <mergeCell ref="EQ32:ER33"/>
    <mergeCell ref="EG35:EH35"/>
    <mergeCell ref="EI35:EJ35"/>
    <mergeCell ref="EK35:EL35"/>
    <mergeCell ref="EN35:EO35"/>
    <mergeCell ref="EP35:EQ35"/>
    <mergeCell ref="EH18:EI19"/>
    <mergeCell ref="EJ18:EK19"/>
    <mergeCell ref="EO18:EP19"/>
    <mergeCell ref="EQ18:ER19"/>
    <mergeCell ref="EG21:EH21"/>
    <mergeCell ref="EI21:EJ21"/>
    <mergeCell ref="EK21:EL21"/>
    <mergeCell ref="EN21:EO21"/>
    <mergeCell ref="EP21:EQ21"/>
    <mergeCell ref="EH22:EK22"/>
    <mergeCell ref="EO22:ER22"/>
    <mergeCell ref="EH24:EI24"/>
    <mergeCell ref="EJ24:EK24"/>
    <mergeCell ref="EO24:EP24"/>
    <mergeCell ref="EQ24:ER24"/>
    <mergeCell ref="EH25:EI26"/>
    <mergeCell ref="EJ25:EK26"/>
    <mergeCell ref="EO25:EP26"/>
    <mergeCell ref="EQ25:ER26"/>
    <mergeCell ref="EH10:EI10"/>
    <mergeCell ref="EJ10:EK10"/>
    <mergeCell ref="EO10:EP10"/>
    <mergeCell ref="EQ10:ER10"/>
    <mergeCell ref="EH11:EI12"/>
    <mergeCell ref="EJ11:EK12"/>
    <mergeCell ref="EO11:EP12"/>
    <mergeCell ref="EQ11:ER12"/>
    <mergeCell ref="EG14:EH14"/>
    <mergeCell ref="EI14:EJ14"/>
    <mergeCell ref="EK14:EL14"/>
    <mergeCell ref="EN14:EO14"/>
    <mergeCell ref="EP14:EQ14"/>
    <mergeCell ref="EH15:EK15"/>
    <mergeCell ref="EO15:ER15"/>
    <mergeCell ref="EH17:EI17"/>
    <mergeCell ref="EJ17:EK17"/>
    <mergeCell ref="EO17:EP17"/>
    <mergeCell ref="EQ17:ER17"/>
    <mergeCell ref="EH1:EK1"/>
    <mergeCell ref="EO1:ER1"/>
    <mergeCell ref="EH3:EI3"/>
    <mergeCell ref="EJ3:EK3"/>
    <mergeCell ref="EO3:EP3"/>
    <mergeCell ref="EQ3:ER3"/>
    <mergeCell ref="EH4:EI5"/>
    <mergeCell ref="EJ4:EK5"/>
    <mergeCell ref="EO4:EP5"/>
    <mergeCell ref="EQ4:ER5"/>
    <mergeCell ref="EG7:EH7"/>
    <mergeCell ref="EI7:EJ7"/>
    <mergeCell ref="EK7:EL7"/>
    <mergeCell ref="EN7:EO7"/>
    <mergeCell ref="EP7:EQ7"/>
    <mergeCell ref="EH8:EK8"/>
    <mergeCell ref="EO8:ER8"/>
    <mergeCell ref="ER28:ES28"/>
    <mergeCell ref="DZ80:EA80"/>
    <mergeCell ref="AP18:AQ19"/>
    <mergeCell ref="J60:K61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DU24:DV24"/>
    <mergeCell ref="AI81:AJ82"/>
    <mergeCell ref="DJ21:DK21"/>
    <mergeCell ref="DU32:DV33"/>
    <mergeCell ref="CW49:CX49"/>
    <mergeCell ref="L46:M47"/>
    <mergeCell ref="BJ70:BK70"/>
    <mergeCell ref="DK57:DN57"/>
    <mergeCell ref="CG43:CJ43"/>
    <mergeCell ref="DN56:DO56"/>
    <mergeCell ref="DK17:DL17"/>
    <mergeCell ref="DU52:DV52"/>
    <mergeCell ref="CV80:CW80"/>
    <mergeCell ref="DE35:DF35"/>
    <mergeCell ref="AN71:AQ71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AG80:AH80"/>
    <mergeCell ref="CV11:CW12"/>
    <mergeCell ref="Y31:Z31"/>
    <mergeCell ref="BS84:BT84"/>
    <mergeCell ref="BZ81:CA82"/>
    <mergeCell ref="AN74:AO75"/>
    <mergeCell ref="AA59:AB59"/>
    <mergeCell ref="R66:S66"/>
    <mergeCell ref="E25:F26"/>
    <mergeCell ref="E45:F45"/>
    <mergeCell ref="DC84:DD84"/>
    <mergeCell ref="CW84:CX84"/>
    <mergeCell ref="BU70:BV70"/>
    <mergeCell ref="DD81:DE82"/>
    <mergeCell ref="BR74:BS75"/>
    <mergeCell ref="BE59:BF59"/>
    <mergeCell ref="BL49:BM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DR7:DS7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DF46:DG47"/>
    <mergeCell ref="X35:Y35"/>
    <mergeCell ref="CX80:CY80"/>
    <mergeCell ref="CB32:CC33"/>
    <mergeCell ref="EB31:EC31"/>
    <mergeCell ref="CO52:CP52"/>
    <mergeCell ref="CW14:CX14"/>
    <mergeCell ref="BR57:BU57"/>
    <mergeCell ref="DC21:DD21"/>
    <mergeCell ref="CP49:CQ49"/>
    <mergeCell ref="BD84:BE84"/>
    <mergeCell ref="ER77:ES77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P7:CQ7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CV24:CW24"/>
    <mergeCell ref="I7:J7"/>
    <mergeCell ref="CF7:CG7"/>
    <mergeCell ref="AI46:AJ47"/>
    <mergeCell ref="AV73:AW73"/>
    <mergeCell ref="AG29:AJ29"/>
    <mergeCell ref="CH63:CI63"/>
    <mergeCell ref="K63:L63"/>
    <mergeCell ref="CO59:CP59"/>
    <mergeCell ref="BD28:BE28"/>
    <mergeCell ref="CV71:CY71"/>
    <mergeCell ref="Z14:AA14"/>
    <mergeCell ref="AW63:AX63"/>
    <mergeCell ref="EC42:ED42"/>
    <mergeCell ref="DK22:DN22"/>
    <mergeCell ref="BD42:BE42"/>
    <mergeCell ref="BK11:BL12"/>
    <mergeCell ref="DD57:DG57"/>
    <mergeCell ref="Z21:AA21"/>
    <mergeCell ref="AG17:AH17"/>
    <mergeCell ref="AP53:AQ54"/>
    <mergeCell ref="Q35:R35"/>
    <mergeCell ref="BF42:BG42"/>
    <mergeCell ref="J81:K82"/>
    <mergeCell ref="CQ73:CR73"/>
    <mergeCell ref="AV25:AW26"/>
    <mergeCell ref="K42:L42"/>
    <mergeCell ref="BC46:BD47"/>
    <mergeCell ref="BR22:BU22"/>
    <mergeCell ref="DF31:DG31"/>
    <mergeCell ref="D56:E56"/>
    <mergeCell ref="J53:K54"/>
    <mergeCell ref="DJ35:DK35"/>
    <mergeCell ref="CP14:CQ14"/>
    <mergeCell ref="Y50:AB50"/>
    <mergeCell ref="CR70:CS70"/>
    <mergeCell ref="DJ28:DK28"/>
    <mergeCell ref="CR42:CS42"/>
    <mergeCell ref="C29:F29"/>
    <mergeCell ref="BD77:BE77"/>
    <mergeCell ref="C74:D75"/>
    <mergeCell ref="DG56:DH56"/>
    <mergeCell ref="AN36:AQ36"/>
    <mergeCell ref="DY14:DZ14"/>
    <mergeCell ref="AN29:AQ29"/>
    <mergeCell ref="CV59:CW59"/>
    <mergeCell ref="CB38:CC38"/>
    <mergeCell ref="T3:U3"/>
    <mergeCell ref="AN25:AO26"/>
    <mergeCell ref="EB18:EC19"/>
    <mergeCell ref="CV60:CW61"/>
    <mergeCell ref="ER84:ES84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BM46:BN47"/>
    <mergeCell ref="DZ17:EA17"/>
    <mergeCell ref="BE80:BF80"/>
    <mergeCell ref="B7:C7"/>
    <mergeCell ref="D63:E63"/>
    <mergeCell ref="CO17:CP17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BZ66:CA66"/>
    <mergeCell ref="J25:K26"/>
    <mergeCell ref="B49:C49"/>
    <mergeCell ref="BZ31:CA31"/>
    <mergeCell ref="DV35:DW35"/>
    <mergeCell ref="EB53:EC54"/>
    <mergeCell ref="DS17:DT17"/>
    <mergeCell ref="DV28:DW28"/>
    <mergeCell ref="C25:D26"/>
    <mergeCell ref="CU49:CV49"/>
    <mergeCell ref="CQ18:CR19"/>
    <mergeCell ref="DS32:DT33"/>
    <mergeCell ref="CX39:CY40"/>
    <mergeCell ref="BF35:BG35"/>
    <mergeCell ref="BF7:BG7"/>
    <mergeCell ref="CU42:CV42"/>
    <mergeCell ref="C45:D45"/>
    <mergeCell ref="AY42:AZ42"/>
    <mergeCell ref="BK22:BN22"/>
    <mergeCell ref="CR35:CS35"/>
    <mergeCell ref="C53:D54"/>
    <mergeCell ref="BK15:BN15"/>
    <mergeCell ref="DS45:DT45"/>
    <mergeCell ref="CG38:CH38"/>
    <mergeCell ref="DC28:DD28"/>
    <mergeCell ref="BQ21:BR21"/>
    <mergeCell ref="BC24:BD24"/>
    <mergeCell ref="AM7:AN7"/>
    <mergeCell ref="BC32:BD33"/>
    <mergeCell ref="CH28:CI28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BM81:BN82"/>
    <mergeCell ref="DM80:DN80"/>
    <mergeCell ref="AF49:AG49"/>
    <mergeCell ref="DK11:DL12"/>
    <mergeCell ref="EB25:EC26"/>
    <mergeCell ref="AN31:AO31"/>
    <mergeCell ref="CJ35:CK35"/>
    <mergeCell ref="CX11:CY12"/>
    <mergeCell ref="AG66:AH66"/>
    <mergeCell ref="BZ11:CA12"/>
    <mergeCell ref="CG32:CH33"/>
    <mergeCell ref="AQ63:AR63"/>
    <mergeCell ref="BE67:BF68"/>
    <mergeCell ref="EB73:EC73"/>
    <mergeCell ref="DL56:DM56"/>
    <mergeCell ref="EB81:EC82"/>
    <mergeCell ref="DZ64:EC64"/>
    <mergeCell ref="BT31:BU31"/>
    <mergeCell ref="AV31:AW31"/>
    <mergeCell ref="BD14:BE14"/>
    <mergeCell ref="CX74:CY75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AV8:AY8"/>
    <mergeCell ref="CU7:CV7"/>
    <mergeCell ref="BK73:BL73"/>
    <mergeCell ref="CQ39:CR40"/>
    <mergeCell ref="DK78:DN78"/>
    <mergeCell ref="AU56:AV56"/>
    <mergeCell ref="AY7:AZ7"/>
    <mergeCell ref="CN42:CO42"/>
    <mergeCell ref="AN38:AO38"/>
    <mergeCell ref="CG64:CJ64"/>
    <mergeCell ref="AJ84:AK84"/>
    <mergeCell ref="E74:F75"/>
    <mergeCell ref="X21:Y21"/>
    <mergeCell ref="CB80:CC80"/>
    <mergeCell ref="DL14:DM14"/>
    <mergeCell ref="E17:F17"/>
    <mergeCell ref="BT66:BU66"/>
    <mergeCell ref="BR31:BS31"/>
    <mergeCell ref="DN35:DO35"/>
    <mergeCell ref="DL84:DM84"/>
    <mergeCell ref="CA56:CB56"/>
    <mergeCell ref="T67:U68"/>
    <mergeCell ref="M63:N63"/>
    <mergeCell ref="Y80:Z80"/>
    <mergeCell ref="J45:K45"/>
    <mergeCell ref="T80:U80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DM81:DN82"/>
    <mergeCell ref="C1:F1"/>
    <mergeCell ref="CW21:CX21"/>
    <mergeCell ref="Y45:Z45"/>
    <mergeCell ref="BU49:BV49"/>
    <mergeCell ref="BR11:BS12"/>
    <mergeCell ref="AH70:AI70"/>
    <mergeCell ref="DF80:DG80"/>
    <mergeCell ref="CI25:CJ26"/>
    <mergeCell ref="BR46:BS47"/>
    <mergeCell ref="CI45:CJ45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AG39:AH40"/>
    <mergeCell ref="I56:J56"/>
    <mergeCell ref="M7:N7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CA14:CB14"/>
    <mergeCell ref="BK31:BL31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BK39:BL40"/>
    <mergeCell ref="AM56:AN56"/>
    <mergeCell ref="AQ7:AR7"/>
    <mergeCell ref="DU25:DV26"/>
    <mergeCell ref="DU53:DV54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CY63:CZ63"/>
    <mergeCell ref="CW28:CX28"/>
    <mergeCell ref="CN7:CO7"/>
    <mergeCell ref="CP63:CQ63"/>
    <mergeCell ref="DD78:DG78"/>
    <mergeCell ref="CX4:CY5"/>
    <mergeCell ref="BU84:BV84"/>
    <mergeCell ref="BK25:BL26"/>
    <mergeCell ref="CG22:CJ22"/>
    <mergeCell ref="DD71:DG71"/>
    <mergeCell ref="Z42:AA42"/>
    <mergeCell ref="DE14:DF14"/>
    <mergeCell ref="AN50:AQ50"/>
    <mergeCell ref="K7:L7"/>
    <mergeCell ref="AG46:AH47"/>
    <mergeCell ref="I63:J63"/>
    <mergeCell ref="CG45:CH45"/>
    <mergeCell ref="CN35:CO35"/>
    <mergeCell ref="AB14:AC14"/>
    <mergeCell ref="AI10:AJ10"/>
    <mergeCell ref="AU63:AV63"/>
    <mergeCell ref="AX53:AY54"/>
    <mergeCell ref="AI4:AJ5"/>
    <mergeCell ref="DE77:DF77"/>
    <mergeCell ref="BM80:BN80"/>
    <mergeCell ref="CY49:CZ49"/>
    <mergeCell ref="BU14:BV14"/>
    <mergeCell ref="Y46:Z47"/>
    <mergeCell ref="DF38:DG38"/>
    <mergeCell ref="ER14:ES14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AF70:AG70"/>
    <mergeCell ref="DY35:DZ35"/>
    <mergeCell ref="DS22:DV22"/>
    <mergeCell ref="Z70:AA70"/>
    <mergeCell ref="CX52:CY52"/>
    <mergeCell ref="M56:N56"/>
    <mergeCell ref="J17:K17"/>
    <mergeCell ref="Q7:R7"/>
    <mergeCell ref="CQ52:CR52"/>
    <mergeCell ref="AG78:AJ78"/>
    <mergeCell ref="DD60:DE61"/>
    <mergeCell ref="CF49:CG49"/>
    <mergeCell ref="BL28:BM28"/>
    <mergeCell ref="BZ43:CC43"/>
    <mergeCell ref="AV17:AW17"/>
    <mergeCell ref="AY56:AZ56"/>
    <mergeCell ref="BF77:BG77"/>
    <mergeCell ref="AA24:AB24"/>
    <mergeCell ref="DS29:DV29"/>
    <mergeCell ref="AB21:AC21"/>
    <mergeCell ref="DR49:DS49"/>
    <mergeCell ref="X42:Y42"/>
    <mergeCell ref="DZ18:EA19"/>
    <mergeCell ref="R39:S40"/>
    <mergeCell ref="BM24:BN24"/>
    <mergeCell ref="BE66:BF66"/>
    <mergeCell ref="BM60:BN61"/>
    <mergeCell ref="CH42:CI42"/>
    <mergeCell ref="BN21:BO21"/>
    <mergeCell ref="C10:D10"/>
    <mergeCell ref="AM77:AN77"/>
    <mergeCell ref="DJ77:DK77"/>
    <mergeCell ref="I28:J28"/>
    <mergeCell ref="CF28:CG28"/>
    <mergeCell ref="AI67:AJ68"/>
    <mergeCell ref="AG50:AJ50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C50:F50"/>
    <mergeCell ref="AI11:AJ12"/>
    <mergeCell ref="AO49:AP49"/>
    <mergeCell ref="AV45:AW45"/>
    <mergeCell ref="CV50:CY50"/>
    <mergeCell ref="BC25:BD26"/>
    <mergeCell ref="B70:C70"/>
    <mergeCell ref="BS35:BT35"/>
    <mergeCell ref="AN78:AQ78"/>
    <mergeCell ref="DK60:DL61"/>
    <mergeCell ref="AX38:AY38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CV8:CY8"/>
    <mergeCell ref="AV57:AY57"/>
    <mergeCell ref="CY7:CZ7"/>
    <mergeCell ref="DF3:DG3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C17:D17"/>
    <mergeCell ref="F56:G56"/>
    <mergeCell ref="CQ10:CR10"/>
    <mergeCell ref="CF14:CG14"/>
    <mergeCell ref="DC63:DD63"/>
    <mergeCell ref="DJ84:DK84"/>
    <mergeCell ref="CH70:CI70"/>
    <mergeCell ref="DF39:DG40"/>
    <mergeCell ref="T38:U38"/>
    <mergeCell ref="BN7:BO7"/>
    <mergeCell ref="T81:U82"/>
    <mergeCell ref="BC18:BD19"/>
    <mergeCell ref="BM67:BN68"/>
    <mergeCell ref="U77:V77"/>
    <mergeCell ref="EC49:ED49"/>
    <mergeCell ref="DC77:DD77"/>
    <mergeCell ref="DT28:DU28"/>
    <mergeCell ref="CI52:CJ52"/>
    <mergeCell ref="CO18:CP19"/>
    <mergeCell ref="BK52:BL52"/>
    <mergeCell ref="J4:K5"/>
    <mergeCell ref="DV49:DW49"/>
    <mergeCell ref="CX60:CY61"/>
    <mergeCell ref="DD3:DE3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DU10:DV10"/>
    <mergeCell ref="BZ80:CA80"/>
    <mergeCell ref="DJ14:DK14"/>
    <mergeCell ref="DL70:DM70"/>
    <mergeCell ref="DS66:DT66"/>
    <mergeCell ref="DC49:DD49"/>
    <mergeCell ref="BQ42:BR42"/>
    <mergeCell ref="DZ78:EC78"/>
    <mergeCell ref="L32:M33"/>
    <mergeCell ref="BQ77:BR77"/>
    <mergeCell ref="DS74:DT75"/>
    <mergeCell ref="AN10:AO10"/>
    <mergeCell ref="BK59:BL59"/>
    <mergeCell ref="AP66:AQ66"/>
    <mergeCell ref="BC53:BD54"/>
    <mergeCell ref="AI32:AJ33"/>
    <mergeCell ref="K49:L49"/>
    <mergeCell ref="AN3:AO3"/>
    <mergeCell ref="CR7:CS7"/>
    <mergeCell ref="AA80:AB80"/>
    <mergeCell ref="DE42:DF42"/>
    <mergeCell ref="CJ49:CK49"/>
    <mergeCell ref="CG53:CH54"/>
    <mergeCell ref="BM32:BN33"/>
    <mergeCell ref="BJ77:BK77"/>
    <mergeCell ref="AN60:AO61"/>
    <mergeCell ref="AO21:AP21"/>
    <mergeCell ref="CG46:CH47"/>
    <mergeCell ref="AV18:AW19"/>
    <mergeCell ref="J11:K12"/>
    <mergeCell ref="R52:S52"/>
    <mergeCell ref="CO36:CR36"/>
    <mergeCell ref="AV11:AW12"/>
    <mergeCell ref="AF77:AG77"/>
    <mergeCell ref="EB17:EC17"/>
    <mergeCell ref="DD38:DE38"/>
    <mergeCell ref="CV32:CW33"/>
    <mergeCell ref="BF63:BG63"/>
    <mergeCell ref="BR43:BU43"/>
    <mergeCell ref="AN17:AO17"/>
    <mergeCell ref="J74:K75"/>
    <mergeCell ref="AU7:AV7"/>
    <mergeCell ref="BR36:BU36"/>
    <mergeCell ref="L18:M19"/>
    <mergeCell ref="DU45:DV45"/>
    <mergeCell ref="CI38:CJ38"/>
    <mergeCell ref="AV1:AY1"/>
    <mergeCell ref="E53:F54"/>
    <mergeCell ref="DN49:DO49"/>
    <mergeCell ref="CA70:CB70"/>
    <mergeCell ref="BR60:BS61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C4:D5"/>
    <mergeCell ref="CU28:CV28"/>
    <mergeCell ref="BQ14:BR14"/>
    <mergeCell ref="CN63:CO63"/>
    <mergeCell ref="AY21:AZ21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AG3:AH3"/>
    <mergeCell ref="DU17:DV17"/>
    <mergeCell ref="CQ74:CR75"/>
    <mergeCell ref="CV45:CW45"/>
    <mergeCell ref="BQ28:BR28"/>
    <mergeCell ref="BD56:BE56"/>
    <mergeCell ref="AX10:AY10"/>
    <mergeCell ref="CW42:CX42"/>
    <mergeCell ref="AM14:AN14"/>
    <mergeCell ref="BJ63:BK63"/>
    <mergeCell ref="DK50:DN50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DY56:DZ56"/>
    <mergeCell ref="DF4:DG5"/>
    <mergeCell ref="CC84:CD84"/>
    <mergeCell ref="AX74:AY75"/>
    <mergeCell ref="BC45:BD45"/>
    <mergeCell ref="AI24:AJ24"/>
    <mergeCell ref="F42:G42"/>
    <mergeCell ref="CX73:CY73"/>
    <mergeCell ref="AX67:AY68"/>
    <mergeCell ref="AI39:AJ40"/>
    <mergeCell ref="K56:L56"/>
    <mergeCell ref="CV10:CW10"/>
    <mergeCell ref="ER35:ES35"/>
    <mergeCell ref="Y64:AB64"/>
    <mergeCell ref="CO45:CP45"/>
    <mergeCell ref="CW7:CX7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BZ50:CC50"/>
    <mergeCell ref="DG63:DH63"/>
    <mergeCell ref="DN84:DO84"/>
    <mergeCell ref="AA3:AB3"/>
    <mergeCell ref="R74:S75"/>
    <mergeCell ref="BZ15:CC15"/>
    <mergeCell ref="EA49:EB49"/>
    <mergeCell ref="AA39:AB40"/>
    <mergeCell ref="DU4:DV5"/>
    <mergeCell ref="DK59:DL59"/>
    <mergeCell ref="CC14:CD14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CN28:CO28"/>
    <mergeCell ref="CN21:CO21"/>
    <mergeCell ref="CX25:CY26"/>
    <mergeCell ref="BC17:BD17"/>
    <mergeCell ref="BM52:BN52"/>
    <mergeCell ref="BT11:BU12"/>
    <mergeCell ref="AQ84:AR84"/>
    <mergeCell ref="BK43:BN43"/>
    <mergeCell ref="Y36:AB36"/>
    <mergeCell ref="CR56:CS56"/>
    <mergeCell ref="DD8:DG8"/>
    <mergeCell ref="R60:S61"/>
    <mergeCell ref="DG14:DH14"/>
    <mergeCell ref="DG7:DH7"/>
    <mergeCell ref="AO70:AP70"/>
    <mergeCell ref="AV66:AW66"/>
    <mergeCell ref="AV59:AW59"/>
    <mergeCell ref="BC78:BF78"/>
    <mergeCell ref="EA21:EB21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J31:K31"/>
    <mergeCell ref="K28:L28"/>
    <mergeCell ref="L74:M75"/>
    <mergeCell ref="CG66:CH66"/>
    <mergeCell ref="DY84:DZ84"/>
    <mergeCell ref="AB35:AC35"/>
    <mergeCell ref="CJ84:CK84"/>
    <mergeCell ref="DV84:DW84"/>
    <mergeCell ref="BQ84:BR84"/>
    <mergeCell ref="BR80:BS80"/>
    <mergeCell ref="DV21:DW21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AA45:AB45"/>
    <mergeCell ref="BQ35:BR35"/>
    <mergeCell ref="AW14:AX14"/>
    <mergeCell ref="R57:U57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E38:F38"/>
    <mergeCell ref="DD73:DE73"/>
    <mergeCell ref="AA32:AB33"/>
    <mergeCell ref="AO84:AP84"/>
    <mergeCell ref="AF84:AG84"/>
    <mergeCell ref="R25:S26"/>
    <mergeCell ref="DJ49:DK49"/>
    <mergeCell ref="CR63:CS63"/>
    <mergeCell ref="CP28:CQ28"/>
    <mergeCell ref="DK31:DL31"/>
    <mergeCell ref="EB11:EC12"/>
    <mergeCell ref="CV53:CW54"/>
    <mergeCell ref="CI81:CJ82"/>
    <mergeCell ref="BD21:BE21"/>
    <mergeCell ref="Y11:Z12"/>
    <mergeCell ref="AQ49:AR49"/>
    <mergeCell ref="B35:C35"/>
    <mergeCell ref="DS10:DT10"/>
    <mergeCell ref="BE25:BF26"/>
    <mergeCell ref="DJ70:DK70"/>
    <mergeCell ref="DK52:DL52"/>
    <mergeCell ref="CU35:CV35"/>
    <mergeCell ref="CQ25:CR26"/>
    <mergeCell ref="BY70:BZ70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AU77:AV77"/>
    <mergeCell ref="BE81:BF82"/>
    <mergeCell ref="DT21:DU21"/>
    <mergeCell ref="L17:M17"/>
    <mergeCell ref="DZ81:EA82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DT42:DU42"/>
    <mergeCell ref="DD59:DE59"/>
    <mergeCell ref="J38:K38"/>
    <mergeCell ref="Q28:R28"/>
    <mergeCell ref="M49:N49"/>
    <mergeCell ref="AX80:AY80"/>
    <mergeCell ref="CQ66:CR66"/>
    <mergeCell ref="BE24:BF24"/>
    <mergeCell ref="BT67:BU68"/>
    <mergeCell ref="AI59:AJ59"/>
    <mergeCell ref="DL21:DM21"/>
    <mergeCell ref="CW70:CX70"/>
    <mergeCell ref="L67:M68"/>
    <mergeCell ref="C66:D66"/>
    <mergeCell ref="AG59:AH59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F49:G49"/>
    <mergeCell ref="D14:E14"/>
    <mergeCell ref="DY21:DZ21"/>
    <mergeCell ref="T25:U26"/>
    <mergeCell ref="DL49:DM49"/>
    <mergeCell ref="C46:D47"/>
    <mergeCell ref="R22:U22"/>
    <mergeCell ref="BS56:BT56"/>
    <mergeCell ref="DL42:DM42"/>
    <mergeCell ref="T45:U45"/>
    <mergeCell ref="DZ57:EC57"/>
    <mergeCell ref="BJ35:BK35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DU31:DV31"/>
    <mergeCell ref="R11:S12"/>
    <mergeCell ref="AJ49:AK49"/>
    <mergeCell ref="CB74:CC75"/>
    <mergeCell ref="AP67:AQ68"/>
    <mergeCell ref="DM73:DN73"/>
    <mergeCell ref="R4:S5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DR14:DS14"/>
    <mergeCell ref="X7:Y7"/>
    <mergeCell ref="EB38:EC38"/>
    <mergeCell ref="AH84:AI84"/>
    <mergeCell ref="EC56:ED56"/>
    <mergeCell ref="AO77:AP77"/>
    <mergeCell ref="DE56:DF56"/>
    <mergeCell ref="DL77:DM77"/>
    <mergeCell ref="DM3:DN3"/>
    <mergeCell ref="J43:M43"/>
    <mergeCell ref="BC29:BF29"/>
    <mergeCell ref="AH35:AI35"/>
    <mergeCell ref="C60:D61"/>
    <mergeCell ref="C78:F78"/>
    <mergeCell ref="BZ60:CA6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CH14:CI14"/>
    <mergeCell ref="DE63:DF63"/>
    <mergeCell ref="CJ70:CK70"/>
    <mergeCell ref="BT59:BU59"/>
    <mergeCell ref="BR24:BS24"/>
    <mergeCell ref="CG67:CH68"/>
    <mergeCell ref="BU35:BV35"/>
    <mergeCell ref="R73:S73"/>
    <mergeCell ref="AH56:AI56"/>
    <mergeCell ref="BR39:BS40"/>
    <mergeCell ref="CA42:CB42"/>
    <mergeCell ref="CI11:CJ12"/>
    <mergeCell ref="CO57:CR57"/>
    <mergeCell ref="AB63:AC63"/>
    <mergeCell ref="BR32:BS33"/>
    <mergeCell ref="F35:G35"/>
    <mergeCell ref="Z56:AA56"/>
    <mergeCell ref="AV22:AY22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AH77:AI77"/>
    <mergeCell ref="DZ39:EA40"/>
    <mergeCell ref="DV70:DW70"/>
    <mergeCell ref="AV64:AY64"/>
    <mergeCell ref="DT7:DU7"/>
    <mergeCell ref="DD24:DE24"/>
    <mergeCell ref="K21:L21"/>
    <mergeCell ref="CI31:CJ31"/>
    <mergeCell ref="F21:G21"/>
    <mergeCell ref="E10:F10"/>
    <mergeCell ref="DZ53:EA54"/>
    <mergeCell ref="AO35:AP35"/>
    <mergeCell ref="BT81:BU82"/>
    <mergeCell ref="BR64:BU64"/>
    <mergeCell ref="ER42:ES42"/>
    <mergeCell ref="DF73:DG73"/>
    <mergeCell ref="DS60:DT6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AV67:AW68"/>
    <mergeCell ref="CV66:CW66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DK71:DN71"/>
    <mergeCell ref="AU49:AV49"/>
    <mergeCell ref="B63:C63"/>
    <mergeCell ref="I84:J84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DZ66:EA66"/>
    <mergeCell ref="U63:V63"/>
    <mergeCell ref="BK32:BL33"/>
    <mergeCell ref="DZ74:EA75"/>
    <mergeCell ref="BT73:BU73"/>
    <mergeCell ref="CV25:CW26"/>
    <mergeCell ref="AJ14:AK14"/>
    <mergeCell ref="CB39:CC40"/>
    <mergeCell ref="AM84:AN84"/>
    <mergeCell ref="CO66:CP66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CG15:CJ15"/>
    <mergeCell ref="CX17:CY17"/>
    <mergeCell ref="AG64:AJ64"/>
    <mergeCell ref="DY28:DZ28"/>
    <mergeCell ref="DE7:DF7"/>
    <mergeCell ref="Y15:AB15"/>
    <mergeCell ref="AM70:AN70"/>
    <mergeCell ref="S49:T49"/>
    <mergeCell ref="BK74:BL75"/>
    <mergeCell ref="DS15:DV15"/>
    <mergeCell ref="AG25:AH26"/>
    <mergeCell ref="AM63:AN63"/>
    <mergeCell ref="CX81:CY82"/>
    <mergeCell ref="BC38:BD38"/>
    <mergeCell ref="CY42:CZ42"/>
    <mergeCell ref="BM73:BN73"/>
    <mergeCell ref="BF49:BG49"/>
    <mergeCell ref="BM45:BN45"/>
    <mergeCell ref="ER7:ES7"/>
    <mergeCell ref="R38:S38"/>
    <mergeCell ref="DZ52:EA52"/>
    <mergeCell ref="Y57:AB57"/>
    <mergeCell ref="CR49:CS49"/>
    <mergeCell ref="DF25:DG26"/>
    <mergeCell ref="R46:S47"/>
    <mergeCell ref="J80:K80"/>
    <mergeCell ref="BC66:BD66"/>
    <mergeCell ref="AI45:AJ45"/>
    <mergeCell ref="X49:Y49"/>
    <mergeCell ref="BY35:BZ35"/>
    <mergeCell ref="AI60:AJ61"/>
    <mergeCell ref="CB46:CC47"/>
    <mergeCell ref="ER56:ES56"/>
    <mergeCell ref="I14:J14"/>
    <mergeCell ref="BC74:BD75"/>
    <mergeCell ref="K70:L70"/>
    <mergeCell ref="AI53:AJ54"/>
    <mergeCell ref="EA77:EB77"/>
    <mergeCell ref="AG36:AJ36"/>
    <mergeCell ref="EB45:EC45"/>
    <mergeCell ref="AB7:AC7"/>
    <mergeCell ref="AX46:AY47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AO42:AP42"/>
    <mergeCell ref="U21:V21"/>
    <mergeCell ref="BZ73:CA73"/>
    <mergeCell ref="DS59:DT59"/>
    <mergeCell ref="DT14:DU14"/>
    <mergeCell ref="BC50:BF50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AM28:AN28"/>
    <mergeCell ref="CI59:CJ59"/>
    <mergeCell ref="T10:U10"/>
    <mergeCell ref="R8:U8"/>
    <mergeCell ref="AF63:AG63"/>
    <mergeCell ref="U7:V7"/>
    <mergeCell ref="CG50:CJ50"/>
    <mergeCell ref="CX10:CY10"/>
    <mergeCell ref="DD17:DE17"/>
    <mergeCell ref="BY14:BZ14"/>
    <mergeCell ref="AP4:AQ5"/>
    <mergeCell ref="B77:C77"/>
    <mergeCell ref="BT3:BU3"/>
    <mergeCell ref="AI3:AJ3"/>
    <mergeCell ref="E60:F61"/>
    <mergeCell ref="C43:F43"/>
    <mergeCell ref="Z63:AA63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B10:EC10"/>
    <mergeCell ref="CO31:CP31"/>
    <mergeCell ref="B14:C14"/>
    <mergeCell ref="EB3:EC3"/>
    <mergeCell ref="D70:E70"/>
    <mergeCell ref="DT77:DU77"/>
    <mergeCell ref="CO24:CP24"/>
    <mergeCell ref="Y43:AB43"/>
    <mergeCell ref="J67:K68"/>
    <mergeCell ref="BR8:BU8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AH42:AI42"/>
    <mergeCell ref="CU56:CV56"/>
    <mergeCell ref="AV50:AY50"/>
    <mergeCell ref="D35:E35"/>
    <mergeCell ref="F63:G63"/>
    <mergeCell ref="DU3:DV3"/>
    <mergeCell ref="C67:D68"/>
    <mergeCell ref="R43:U43"/>
    <mergeCell ref="DM52:DN52"/>
    <mergeCell ref="CQ60:CR61"/>
    <mergeCell ref="DJ7:DK7"/>
    <mergeCell ref="DL63:DM63"/>
    <mergeCell ref="CU84:CV84"/>
    <mergeCell ref="BJ56:BK56"/>
    <mergeCell ref="DC42:DD42"/>
    <mergeCell ref="BM4:BN5"/>
    <mergeCell ref="DZ71:EC71"/>
    <mergeCell ref="BJ49:BK49"/>
    <mergeCell ref="DK43:DN43"/>
    <mergeCell ref="CQ80:CR80"/>
    <mergeCell ref="EA14:EB14"/>
    <mergeCell ref="AP59:AQ59"/>
    <mergeCell ref="DD18:DE19"/>
    <mergeCell ref="BS7:BT7"/>
    <mergeCell ref="BS28:BT28"/>
    <mergeCell ref="AF28:AG28"/>
    <mergeCell ref="BU63:BV63"/>
    <mergeCell ref="BE10:BF10"/>
    <mergeCell ref="CB59:CC59"/>
    <mergeCell ref="AV81:AW82"/>
    <mergeCell ref="AW77:AX77"/>
    <mergeCell ref="BK50:BN50"/>
    <mergeCell ref="E52:F52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DS64:DV64"/>
    <mergeCell ref="DV42:DW42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AV39:AW40"/>
    <mergeCell ref="M84:N84"/>
    <mergeCell ref="CC63:CD63"/>
    <mergeCell ref="BF14:BG14"/>
    <mergeCell ref="BM10:BN10"/>
    <mergeCell ref="DD45:DE45"/>
    <mergeCell ref="CO71:CR71"/>
    <mergeCell ref="AG18:AH19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E4:BF5"/>
    <mergeCell ref="AH7:AI7"/>
    <mergeCell ref="M14:N14"/>
    <mergeCell ref="AJ63:AK63"/>
    <mergeCell ref="DU60:DV61"/>
    <mergeCell ref="CU14:CV14"/>
    <mergeCell ref="DD66:DE66"/>
    <mergeCell ref="DK25:DL26"/>
    <mergeCell ref="CQ4:CR5"/>
    <mergeCell ref="DF18:DG19"/>
    <mergeCell ref="CB52:CC52"/>
    <mergeCell ref="BK8:BN8"/>
    <mergeCell ref="CB4:CC5"/>
    <mergeCell ref="AJ7:AK7"/>
    <mergeCell ref="Y18:Z19"/>
    <mergeCell ref="AX39:AY40"/>
    <mergeCell ref="DZ4:EA5"/>
    <mergeCell ref="DK1:DN1"/>
    <mergeCell ref="Q42:R42"/>
    <mergeCell ref="AP24:AQ24"/>
    <mergeCell ref="BK18:BL19"/>
    <mergeCell ref="Z7:AA7"/>
    <mergeCell ref="DD36:DG36"/>
    <mergeCell ref="C81:D82"/>
    <mergeCell ref="AP32:AQ33"/>
    <mergeCell ref="AN15:AQ15"/>
    <mergeCell ref="DG35:DH35"/>
    <mergeCell ref="CU77:CV77"/>
    <mergeCell ref="BU28:BV28"/>
    <mergeCell ref="CB24:CC24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M45:DN45"/>
    <mergeCell ref="BR45:BS45"/>
    <mergeCell ref="E46:F47"/>
    <mergeCell ref="BU56:BV56"/>
    <mergeCell ref="BR17:BS17"/>
    <mergeCell ref="BR18:BS19"/>
    <mergeCell ref="BY7:BZ7"/>
    <mergeCell ref="DN42:DO42"/>
    <mergeCell ref="CA63:CB63"/>
    <mergeCell ref="AG53:AH54"/>
    <mergeCell ref="DY77:DZ77"/>
    <mergeCell ref="I70:J70"/>
    <mergeCell ref="L60:M61"/>
    <mergeCell ref="DV7:DW7"/>
    <mergeCell ref="DK18:DL19"/>
    <mergeCell ref="CG52:CH52"/>
    <mergeCell ref="DZ38:EA38"/>
    <mergeCell ref="C39:D40"/>
    <mergeCell ref="CU21:CV21"/>
    <mergeCell ref="AU70:AV70"/>
    <mergeCell ref="AX60:AY61"/>
    <mergeCell ref="X14:Y14"/>
    <mergeCell ref="F28:G28"/>
    <mergeCell ref="T4:U5"/>
    <mergeCell ref="DL28:DM28"/>
    <mergeCell ref="CY56:CZ56"/>
    <mergeCell ref="CV17:CW17"/>
    <mergeCell ref="BJ14:BK14"/>
    <mergeCell ref="DM4:DN5"/>
    <mergeCell ref="DS71:DV71"/>
    <mergeCell ref="DZ60:EA61"/>
    <mergeCell ref="BR53:BS54"/>
    <mergeCell ref="CI4:CJ5"/>
    <mergeCell ref="AM42:AN42"/>
    <mergeCell ref="BZ1:CC1"/>
    <mergeCell ref="S21:T21"/>
    <mergeCell ref="EA35:EB35"/>
    <mergeCell ref="BC80:BD80"/>
    <mergeCell ref="DF74:DG75"/>
    <mergeCell ref="CB60:CC61"/>
    <mergeCell ref="C15:F15"/>
    <mergeCell ref="BB14:BC14"/>
    <mergeCell ref="R80:S80"/>
    <mergeCell ref="AJ28:AK28"/>
    <mergeCell ref="E18:F19"/>
    <mergeCell ref="Y59:Z59"/>
    <mergeCell ref="DK32:DL33"/>
    <mergeCell ref="BR25:BS26"/>
    <mergeCell ref="AX4:AY5"/>
    <mergeCell ref="I42:J42"/>
    <mergeCell ref="CY70:CZ70"/>
    <mergeCell ref="DD31:DE31"/>
    <mergeCell ref="Y67:Z68"/>
    <mergeCell ref="CN14:CO14"/>
    <mergeCell ref="CP70:CQ70"/>
    <mergeCell ref="EB39:EC40"/>
    <mergeCell ref="DD25:DE26"/>
    <mergeCell ref="CF56:CG56"/>
    <mergeCell ref="CI67:CJ68"/>
    <mergeCell ref="AJ56:AK56"/>
    <mergeCell ref="AG38:AH38"/>
    <mergeCell ref="AP74:AQ75"/>
    <mergeCell ref="CC42:CD42"/>
    <mergeCell ref="DM10:DN10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AP81:AQ82"/>
    <mergeCell ref="R10:S10"/>
    <mergeCell ref="L25:M26"/>
    <mergeCell ref="BT32:BU33"/>
    <mergeCell ref="BB84:BC84"/>
    <mergeCell ref="CN84:CO84"/>
    <mergeCell ref="X84:Y84"/>
    <mergeCell ref="BJ84:BK84"/>
    <mergeCell ref="J52:K52"/>
    <mergeCell ref="BK29:BN29"/>
    <mergeCell ref="AI17:AJ17"/>
    <mergeCell ref="DF17:DG17"/>
    <mergeCell ref="CX66:CY66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BK80:BL80"/>
    <mergeCell ref="CI3:CJ3"/>
    <mergeCell ref="AP3:AQ3"/>
    <mergeCell ref="J78:M78"/>
    <mergeCell ref="CH21:CI21"/>
    <mergeCell ref="BC11:BD12"/>
    <mergeCell ref="AF35:AG35"/>
    <mergeCell ref="CV29:CY29"/>
    <mergeCell ref="AF7:AG7"/>
    <mergeCell ref="AV78:AY78"/>
    <mergeCell ref="AW21:AX21"/>
    <mergeCell ref="CG10:CH10"/>
    <mergeCell ref="BQ7:BR7"/>
    <mergeCell ref="BD7:BE7"/>
    <mergeCell ref="CO10:CP10"/>
    <mergeCell ref="ER49:ES49"/>
    <mergeCell ref="DU80:DV80"/>
    <mergeCell ref="CI73:CJ73"/>
    <mergeCell ref="DZ3:EA3"/>
    <mergeCell ref="DR77:DS77"/>
    <mergeCell ref="EB59:EC59"/>
    <mergeCell ref="BZ52:CA52"/>
    <mergeCell ref="EB74:EC75"/>
    <mergeCell ref="DS38:DT38"/>
    <mergeCell ref="DD11:DE12"/>
    <mergeCell ref="AU28:AV28"/>
    <mergeCell ref="BF56:BG56"/>
    <mergeCell ref="J24:K24"/>
    <mergeCell ref="CG36:CJ36"/>
    <mergeCell ref="Q14:R14"/>
    <mergeCell ref="AA18:AB19"/>
    <mergeCell ref="CX38:CY38"/>
    <mergeCell ref="DE28:DF28"/>
    <mergeCell ref="AA11:AB12"/>
    <mergeCell ref="AV24:AW24"/>
    <mergeCell ref="DS36:DV36"/>
    <mergeCell ref="AA31:AB31"/>
    <mergeCell ref="Y29:AB29"/>
    <mergeCell ref="CG59:CH59"/>
    <mergeCell ref="BM11:BN12"/>
    <mergeCell ref="BB77:BC77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DT35:DU35"/>
    <mergeCell ref="BC71:BF71"/>
    <mergeCell ref="CV4:CW5"/>
    <mergeCell ref="CY77:CZ77"/>
    <mergeCell ref="CV39:CW40"/>
    <mergeCell ref="BF70:BG70"/>
    <mergeCell ref="AU14:AV14"/>
    <mergeCell ref="BC67:BD68"/>
    <mergeCell ref="DK8:DN8"/>
    <mergeCell ref="R59:S59"/>
    <mergeCell ref="DZ73:EA73"/>
    <mergeCell ref="BE11:BF12"/>
    <mergeCell ref="U70:V70"/>
    <mergeCell ref="L73:M73"/>
    <mergeCell ref="BC3:BD3"/>
    <mergeCell ref="CG71:CJ71"/>
    <mergeCell ref="C52:D52"/>
    <mergeCell ref="K14:L14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CF63:CG63"/>
    <mergeCell ref="BL42:BM42"/>
    <mergeCell ref="AY70:AZ70"/>
    <mergeCell ref="AA38:AB38"/>
    <mergeCell ref="AW7:AX7"/>
    <mergeCell ref="CO50:CR50"/>
    <mergeCell ref="CY14:CZ14"/>
    <mergeCell ref="DF10:DG10"/>
    <mergeCell ref="AA74:AB75"/>
    <mergeCell ref="L3:M3"/>
    <mergeCell ref="DJ56:DK56"/>
    <mergeCell ref="R67:S68"/>
    <mergeCell ref="EA42:EB42"/>
    <mergeCell ref="BY56:BZ56"/>
    <mergeCell ref="L52:M52"/>
    <mergeCell ref="BQ70:BR70"/>
    <mergeCell ref="BE38:BF38"/>
    <mergeCell ref="BK4:BL5"/>
    <mergeCell ref="DU67:DV68"/>
    <mergeCell ref="C24:D24"/>
    <mergeCell ref="AX25:AY26"/>
    <mergeCell ref="BE46:BF47"/>
    <mergeCell ref="DC70:DD70"/>
    <mergeCell ref="EB52:EC52"/>
    <mergeCell ref="DY7:DZ7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AN52:AO52"/>
    <mergeCell ref="T31:U31"/>
    <mergeCell ref="I35:J35"/>
    <mergeCell ref="BB21:BC21"/>
    <mergeCell ref="C59:D59"/>
    <mergeCell ref="BR1:BU1"/>
    <mergeCell ref="DD1:DG1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CO25:CP26"/>
    <mergeCell ref="CV46:CW47"/>
    <mergeCell ref="AG52:AH52"/>
    <mergeCell ref="EB24:EC24"/>
    <mergeCell ref="Y4:Z5"/>
    <mergeCell ref="AG45:AH45"/>
    <mergeCell ref="BR50:BU50"/>
    <mergeCell ref="CB73:CC73"/>
    <mergeCell ref="DS3:DT3"/>
    <mergeCell ref="DU59:DV59"/>
    <mergeCell ref="DJ63:DK63"/>
    <mergeCell ref="CP42:CQ42"/>
    <mergeCell ref="BF84:BG84"/>
    <mergeCell ref="AB84:AC84"/>
    <mergeCell ref="CF77:CG77"/>
    <mergeCell ref="BN84:BO84"/>
    <mergeCell ref="AI74:AJ75"/>
    <mergeCell ref="AU84:AV84"/>
    <mergeCell ref="AB28:AC28"/>
    <mergeCell ref="U14:V14"/>
    <mergeCell ref="CG57:CJ57"/>
    <mergeCell ref="E3:F3"/>
    <mergeCell ref="DE49:DF49"/>
    <mergeCell ref="BC43:BF43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CO39:CP40"/>
    <mergeCell ref="DF53:DG54"/>
    <mergeCell ref="AO56:AP56"/>
    <mergeCell ref="CG81:CH82"/>
    <mergeCell ref="B28:C28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T47"/>
  <sheetViews>
    <sheetView view="pageLayout" zoomScale="55" zoomScaleNormal="70" zoomScalePageLayoutView="55" workbookViewId="0">
      <selection activeCell="AU22" sqref="AU22"/>
    </sheetView>
  </sheetViews>
  <sheetFormatPr defaultRowHeight="22.2" x14ac:dyDescent="0.55000000000000004"/>
  <cols>
    <col min="1" max="1" width="2.796875" style="60" customWidth="1"/>
    <col min="2" max="2" width="8.09765625" style="60" customWidth="1"/>
    <col min="3" max="6" width="7.59765625" style="60" customWidth="1"/>
    <col min="7" max="7" width="8.5" style="73" customWidth="1"/>
    <col min="8" max="8" width="8.5" style="60" hidden="1" customWidth="1"/>
    <col min="9" max="9" width="8.5" style="60" customWidth="1"/>
    <col min="10" max="13" width="7.59765625" style="60" customWidth="1"/>
    <col min="14" max="14" width="7.5" style="70" customWidth="1"/>
    <col min="15" max="15" width="2.796875" style="60" customWidth="1"/>
    <col min="16" max="16" width="2.796875" style="127" customWidth="1"/>
    <col min="17" max="17" width="8.09765625" style="60" customWidth="1"/>
    <col min="18" max="21" width="7.59765625" style="60" customWidth="1"/>
    <col min="22" max="22" width="9.3984375" style="73" customWidth="1"/>
    <col min="23" max="23" width="9.3984375" style="60" hidden="1" customWidth="1"/>
    <col min="24" max="24" width="9.3984375" style="60" customWidth="1"/>
    <col min="25" max="28" width="7.59765625" style="60" customWidth="1"/>
    <col min="29" max="29" width="7.5" style="70" customWidth="1"/>
    <col min="30" max="30" width="2.796875" style="60" customWidth="1"/>
    <col min="31" max="31" width="2.796875" style="127" customWidth="1"/>
    <col min="32" max="32" width="8.09765625" style="60" customWidth="1"/>
    <col min="33" max="36" width="7.59765625" style="60" customWidth="1"/>
    <col min="37" max="37" width="8.5" style="73" customWidth="1"/>
    <col min="38" max="38" width="8.5" style="60" hidden="1" customWidth="1"/>
    <col min="39" max="39" width="8.5" style="60" customWidth="1"/>
    <col min="40" max="43" width="7.59765625" style="60" customWidth="1"/>
    <col min="44" max="44" width="7.5" style="70" customWidth="1"/>
    <col min="45" max="45" width="2.796875" style="60" customWidth="1"/>
    <col min="46" max="46" width="2.796875" style="127" customWidth="1"/>
    <col min="47" max="47" width="8.09765625" style="60" customWidth="1"/>
    <col min="48" max="51" width="7.59765625" style="60" customWidth="1"/>
    <col min="52" max="52" width="8.5" style="73" customWidth="1"/>
    <col min="53" max="53" width="8.5" style="60" hidden="1" customWidth="1"/>
    <col min="54" max="54" width="8.5" style="60" customWidth="1"/>
    <col min="55" max="58" width="7.59765625" style="60" customWidth="1"/>
    <col min="59" max="59" width="7.5" style="70" customWidth="1"/>
    <col min="60" max="60" width="2.796875" style="60" customWidth="1"/>
    <col min="61" max="61" width="2.796875" style="127" customWidth="1"/>
    <col min="62" max="62" width="8.09765625" style="60" customWidth="1"/>
    <col min="63" max="66" width="7.59765625" style="60" customWidth="1"/>
    <col min="67" max="67" width="8.5" style="73" customWidth="1"/>
    <col min="68" max="68" width="8.5" style="60" hidden="1" customWidth="1"/>
    <col min="69" max="69" width="8.5" style="60" customWidth="1"/>
    <col min="70" max="73" width="7.59765625" style="60" customWidth="1"/>
    <col min="74" max="74" width="7.5" style="70" customWidth="1"/>
    <col min="75" max="75" width="2.796875" style="60" customWidth="1"/>
    <col min="76" max="76" width="2.796875" style="127" customWidth="1"/>
    <col min="77" max="77" width="8.09765625" style="60" customWidth="1"/>
    <col min="78" max="81" width="7.59765625" style="60" customWidth="1"/>
    <col min="82" max="82" width="8.5" style="73" customWidth="1"/>
    <col min="83" max="83" width="8.5" style="60" hidden="1" customWidth="1"/>
    <col min="84" max="84" width="8.5" style="60" customWidth="1"/>
    <col min="85" max="88" width="7.59765625" style="60" customWidth="1"/>
    <col min="89" max="89" width="7.5" style="70" customWidth="1"/>
    <col min="90" max="90" width="2.796875" style="60" customWidth="1"/>
    <col min="91" max="91" width="2.796875" style="127" customWidth="1"/>
    <col min="92" max="92" width="8.09765625" style="60" customWidth="1"/>
    <col min="93" max="96" width="7.59765625" style="60" customWidth="1"/>
    <col min="97" max="97" width="8.5" style="73" customWidth="1"/>
    <col min="98" max="98" width="8.5" style="60" hidden="1" customWidth="1"/>
    <col min="99" max="99" width="8.5" style="60" customWidth="1"/>
    <col min="100" max="103" width="7.59765625" style="60" customWidth="1"/>
    <col min="104" max="104" width="7.5" style="70" customWidth="1"/>
    <col min="105" max="105" width="2.796875" style="60" customWidth="1"/>
    <col min="106" max="106" width="2.796875" style="127" customWidth="1"/>
    <col min="107" max="107" width="8.09765625" style="60" customWidth="1"/>
    <col min="108" max="111" width="7.59765625" style="60" customWidth="1"/>
    <col min="112" max="112" width="8.5" style="73" customWidth="1"/>
    <col min="113" max="113" width="8.5" style="60" hidden="1" customWidth="1"/>
    <col min="114" max="114" width="8.5" style="60" customWidth="1"/>
    <col min="115" max="118" width="7.59765625" style="60" customWidth="1"/>
    <col min="119" max="119" width="7.5" style="70" customWidth="1"/>
    <col min="120" max="120" width="2.796875" style="60" customWidth="1"/>
    <col min="121" max="121" width="2.796875" style="127" customWidth="1"/>
    <col min="122" max="122" width="8.09765625" style="60" customWidth="1"/>
    <col min="123" max="126" width="7.59765625" style="60" customWidth="1"/>
    <col min="127" max="127" width="8.5" style="73" customWidth="1"/>
    <col min="128" max="128" width="8.5" style="60" hidden="1" customWidth="1"/>
    <col min="129" max="129" width="8.5" style="60" customWidth="1"/>
    <col min="130" max="133" width="7.59765625" style="60" customWidth="1"/>
    <col min="134" max="134" width="7.5" style="70" customWidth="1"/>
    <col min="135" max="135" width="2.796875" style="60" customWidth="1"/>
    <col min="136" max="136" width="2.796875" style="127" customWidth="1"/>
    <col min="137" max="137" width="8.09765625" style="60" customWidth="1"/>
    <col min="138" max="141" width="7.59765625" style="60" customWidth="1"/>
    <col min="142" max="142" width="8.5" style="73" customWidth="1"/>
    <col min="143" max="143" width="8.5" style="60" hidden="1" customWidth="1"/>
    <col min="144" max="144" width="8.5" style="60" customWidth="1"/>
    <col min="145" max="148" width="7.59765625" style="60" customWidth="1"/>
    <col min="149" max="149" width="7.5" style="70" customWidth="1"/>
    <col min="150" max="150" width="2.796875" style="60" customWidth="1"/>
  </cols>
  <sheetData>
    <row r="1" spans="1:150" s="63" customFormat="1" ht="25.8" customHeight="1" x14ac:dyDescent="0.55000000000000004">
      <c r="A1" s="62">
        <v>1</v>
      </c>
      <c r="B1" s="75" t="str">
        <f ca="1">IF(C1&lt;&gt;"",
MID(貼り付け用!$A$2, FIND("年",貼り付け用!$A$2)+1,2)&amp;"/"&amp;MID(貼り付け用!$A$2, FIND("月",貼り付け用!$A$2)+1,2),"")</f>
        <v/>
      </c>
      <c r="C1" s="209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199"/>
      <c r="E1" s="199"/>
      <c r="F1" s="199"/>
      <c r="G1" s="74" t="str">
        <f t="array" aca="1" ref="G1" ca="1">IF(C1&lt;&gt;"",
IF(AND(INDIRECT("'盛付札（関数）'!FI"&amp;A1)&gt;=124,INDIRECT("'盛付札（関数）'!FI"&amp;A1)&lt;=144),"",
"様"),"")</f>
        <v/>
      </c>
      <c r="H1" s="68">
        <f ca="1">IF(OR(B2="●",B2="△"),
A1+2,A1+1)</f>
        <v>2</v>
      </c>
      <c r="I1" s="75" t="str">
        <f ca="1">IF(J1&lt;&gt;"",
MID(貼り付け用!$A$2, FIND("年",貼り付け用!$A$2)+1,2)&amp;"/"&amp;MID(貼り付け用!$A$2, FIND("月",貼り付け用!$A$2)+1,2),"")</f>
        <v/>
      </c>
      <c r="J1" s="209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199"/>
      <c r="L1" s="199"/>
      <c r="M1" s="199"/>
      <c r="N1" s="74" t="str">
        <f t="array" aca="1" ref="N1" ca="1">IF(J1&lt;&gt;"",
IF(AND(INDIRECT("'盛付札（関数）'!FI"&amp;H1)&gt;=124,INDIRECT("'盛付札（関数）'!FI"&amp;H1)&lt;=144),"",
"様"),"")</f>
        <v/>
      </c>
      <c r="O1" s="51"/>
      <c r="P1" s="62">
        <f ca="1">IF(OR(I42="●",I42="△"),
H41+2,H41+1)</f>
        <v>13</v>
      </c>
      <c r="Q1" s="75" t="str">
        <f ca="1">IF(R1&lt;&gt;"",
MID(貼り付け用!$A$2, FIND("年",貼り付け用!$A$2)+1,2)&amp;"/"&amp;MID(貼り付け用!$A$2, FIND("月",貼り付け用!$A$2)+1,2),"")</f>
        <v/>
      </c>
      <c r="R1" s="209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199"/>
      <c r="T1" s="199"/>
      <c r="U1" s="199"/>
      <c r="V1" s="74" t="str">
        <f t="array" aca="1" ref="V1" ca="1">IF(R1&lt;&gt;"",
IF(AND(INDIRECT("'盛付札（関数）'!FI"&amp;P1)&gt;=124,INDIRECT("'盛付札（関数）'!FI"&amp;P1)&lt;=144),"",
"様"),"")</f>
        <v/>
      </c>
      <c r="W1" s="68">
        <f ca="1">IF(OR(Q2="●",Q2="△"),
P1+2,P1+1)</f>
        <v>14</v>
      </c>
      <c r="X1" s="75" t="str">
        <f ca="1">IF(Y1&lt;&gt;"",
MID(貼り付け用!$A$2, FIND("年",貼り付け用!$A$2)+1,2)&amp;"/"&amp;MID(貼り付け用!$A$2, FIND("月",貼り付け用!$A$2)+1,2),"")</f>
        <v/>
      </c>
      <c r="Y1" s="209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199"/>
      <c r="AA1" s="199"/>
      <c r="AB1" s="199"/>
      <c r="AC1" s="74" t="str">
        <f t="array" aca="1" ref="AC1" ca="1">IF(Y1&lt;&gt;"",
IF(AND(INDIRECT("'盛付札（関数）'!FI"&amp;W1)&gt;=124,INDIRECT("'盛付札（関数）'!FI"&amp;W1)&lt;=144),"",
"様"),"")</f>
        <v/>
      </c>
      <c r="AD1" s="51"/>
      <c r="AE1" s="62">
        <f ca="1">IF(OR(X42="●",X42="△"),
W41+2,W41+1)</f>
        <v>25</v>
      </c>
      <c r="AF1" s="75" t="str">
        <f ca="1">IF(AG1&lt;&gt;"",
MID(貼り付け用!$A$2, FIND("年",貼り付け用!$A$2)+1,2)&amp;"/"&amp;MID(貼り付け用!$A$2, FIND("月",貼り付け用!$A$2)+1,2),"")</f>
        <v/>
      </c>
      <c r="AG1" s="209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199"/>
      <c r="AI1" s="199"/>
      <c r="AJ1" s="199"/>
      <c r="AK1" s="74" t="str">
        <f t="array" aca="1" ref="AK1" ca="1">IF(AG1&lt;&gt;"",
IF(AND(INDIRECT("'盛付札（関数）'!FI"&amp;AE1)&gt;=124,INDIRECT("'盛付札（関数）'!FI"&amp;AE1)&lt;=144),"",
"様"),"")</f>
        <v/>
      </c>
      <c r="AL1" s="68">
        <f ca="1">IF(OR(AF2="●",AF2="△"),
AE1+2,AE1+1)</f>
        <v>26</v>
      </c>
      <c r="AM1" s="75" t="str">
        <f ca="1">IF(AN1&lt;&gt;"",
MID(貼り付け用!$A$2, FIND("年",貼り付け用!$A$2)+1,2)&amp;"/"&amp;MID(貼り付け用!$A$2, FIND("月",貼り付け用!$A$2)+1,2),"")</f>
        <v/>
      </c>
      <c r="AN1" s="209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199"/>
      <c r="AP1" s="199"/>
      <c r="AQ1" s="199"/>
      <c r="AR1" s="74" t="str">
        <f t="array" aca="1" ref="AR1" ca="1">IF(AN1&lt;&gt;"",
IF(AND(INDIRECT("'盛付札（関数）'!FI"&amp;AL1)&gt;=124,INDIRECT("'盛付札（関数）'!FI"&amp;AL1)&lt;=144),"",
"様"),"")</f>
        <v/>
      </c>
      <c r="AS1" s="51"/>
      <c r="AT1" s="62">
        <f ca="1">IF(OR(AM42="●",AM42="△"),
AL41+2,AL41+1)</f>
        <v>37</v>
      </c>
      <c r="AU1" s="75" t="str">
        <f ca="1">IF(AV1&lt;&gt;"",
MID(貼り付け用!$A$2, FIND("年",貼り付け用!$A$2)+1,2)&amp;"/"&amp;MID(貼り付け用!$A$2, FIND("月",貼り付け用!$A$2)+1,2),"")</f>
        <v/>
      </c>
      <c r="AV1" s="209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199"/>
      <c r="AX1" s="199"/>
      <c r="AY1" s="199"/>
      <c r="AZ1" s="74" t="str">
        <f t="array" aca="1" ref="AZ1" ca="1">IF(AV1&lt;&gt;"",
IF(AND(INDIRECT("'盛付札（関数）'!FI"&amp;AT1)&gt;=124,INDIRECT("'盛付札（関数）'!FI"&amp;AT1)&lt;=144),"",
"様"),"")</f>
        <v/>
      </c>
      <c r="BA1" s="68">
        <f ca="1">IF(OR(AU2="●",AU2="△"),
AT1+2,AT1+1)</f>
        <v>38</v>
      </c>
      <c r="BB1" s="75" t="str">
        <f ca="1">IF(BC1&lt;&gt;"",
MID(貼り付け用!$A$2, FIND("年",貼り付け用!$A$2)+1,2)&amp;"/"&amp;MID(貼り付け用!$A$2, FIND("月",貼り付け用!$A$2)+1,2),"")</f>
        <v/>
      </c>
      <c r="BC1" s="209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199"/>
      <c r="BE1" s="199"/>
      <c r="BF1" s="199"/>
      <c r="BG1" s="74" t="str">
        <f t="array" aca="1" ref="BG1" ca="1">IF(BC1&lt;&gt;"",
IF(AND(INDIRECT("'盛付札（関数）'!FI"&amp;BA1)&gt;=124,INDIRECT("'盛付札（関数）'!FI"&amp;BA1)&lt;=144),"",
"様"),"")</f>
        <v/>
      </c>
      <c r="BH1" s="51"/>
      <c r="BI1" s="62">
        <f ca="1">IF(OR(BB42="●",BB42="△"),
BA41+2,BA41+1)</f>
        <v>49</v>
      </c>
      <c r="BJ1" s="75" t="str">
        <f ca="1">IF(BK1&lt;&gt;"",
MID(貼り付け用!$A$2, FIND("年",貼り付け用!$A$2)+1,2)&amp;"/"&amp;MID(貼り付け用!$A$2, FIND("月",貼り付け用!$A$2)+1,2),"")</f>
        <v/>
      </c>
      <c r="BK1" s="209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199"/>
      <c r="BM1" s="199"/>
      <c r="BN1" s="199"/>
      <c r="BO1" s="74" t="str">
        <f t="array" aca="1" ref="BO1" ca="1">IF(BK1&lt;&gt;"",
IF(AND(INDIRECT("'盛付札（関数）'!FI"&amp;BI1)&gt;=124,INDIRECT("'盛付札（関数）'!FI"&amp;BI1)&lt;=144),"",
"様"),"")</f>
        <v/>
      </c>
      <c r="BP1" s="68">
        <f ca="1">IF(OR(BJ2="●",BJ2="△"),
BI1+2,BI1+1)</f>
        <v>50</v>
      </c>
      <c r="BQ1" s="75" t="str">
        <f ca="1">IF(BR1&lt;&gt;"",
MID(貼り付け用!$A$2, FIND("年",貼り付け用!$A$2)+1,2)&amp;"/"&amp;MID(貼り付け用!$A$2, FIND("月",貼り付け用!$A$2)+1,2),"")</f>
        <v/>
      </c>
      <c r="BR1" s="209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199"/>
      <c r="BT1" s="199"/>
      <c r="BU1" s="199"/>
      <c r="BV1" s="74" t="str" cm="1">
        <f t="array" aca="1" ref="BV1" ca="1">IF(BR1&lt;&gt;"",
IF(AND(INDIRECT("'盛付札（関数）'!FI"&amp;BP1)&gt;=124,INDIRECT("'盛付札（関数）'!FI"&amp;BP1)&lt;=144),"",
"様"),"")</f>
        <v/>
      </c>
      <c r="BW1" s="51"/>
      <c r="BX1" s="62">
        <f ca="1">IF(OR(BQ42="●",BQ42="△"),
BP41+2,BP41+1)</f>
        <v>61</v>
      </c>
      <c r="BY1" s="75" t="str">
        <f ca="1">IF(BZ1&lt;&gt;"",
MID(貼り付け用!$A$2, FIND("年",貼り付け用!$A$2)+1,2)&amp;"/"&amp;MID(貼り付け用!$A$2, FIND("月",貼り付け用!$A$2)+1,2),"")</f>
        <v/>
      </c>
      <c r="BZ1" s="209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199"/>
      <c r="CB1" s="199"/>
      <c r="CC1" s="199"/>
      <c r="CD1" s="74" t="str">
        <f t="array" aca="1" ref="CD1" ca="1">IF(BZ1&lt;&gt;"",
IF(AND(INDIRECT("'盛付札（関数）'!FI"&amp;BX1)&gt;=124,INDIRECT("'盛付札（関数）'!FI"&amp;BX1)&lt;=144),"",
"様"),"")</f>
        <v/>
      </c>
      <c r="CE1" s="68">
        <f ca="1">IF(OR(BY2="●",BY2="△"),
BX1+2,BX1+1)</f>
        <v>62</v>
      </c>
      <c r="CF1" s="75" t="str">
        <f ca="1">IF(CG1&lt;&gt;"",
MID(貼り付け用!$A$2, FIND("年",貼り付け用!$A$2)+1,2)&amp;"/"&amp;MID(貼り付け用!$A$2, FIND("月",貼り付け用!$A$2)+1,2),"")</f>
        <v/>
      </c>
      <c r="CG1" s="209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199"/>
      <c r="CI1" s="199"/>
      <c r="CJ1" s="199"/>
      <c r="CK1" s="74" t="str">
        <f t="array" aca="1" ref="CK1" ca="1">IF(CG1&lt;&gt;"",
IF(AND(INDIRECT("'盛付札（関数）'!FI"&amp;CE1)&gt;=124,INDIRECT("'盛付札（関数）'!FI"&amp;CE1)&lt;=144),"",
"様"),"")</f>
        <v/>
      </c>
      <c r="CL1" s="51"/>
      <c r="CM1" s="62">
        <f ca="1">IF(OR(CF42="●",CF42="△"),
CE41+2,CE41+1)</f>
        <v>73</v>
      </c>
      <c r="CN1" s="75" t="str">
        <f ca="1">IF(CO1&lt;&gt;"",
MID(貼り付け用!$A$2, FIND("年",貼り付け用!$A$2)+1,2)&amp;"/"&amp;MID(貼り付け用!$A$2, FIND("月",貼り付け用!$A$2)+1,2),"")</f>
        <v/>
      </c>
      <c r="CO1" s="209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199"/>
      <c r="CQ1" s="199"/>
      <c r="CR1" s="199"/>
      <c r="CS1" s="74" t="str">
        <f t="array" aca="1" ref="CS1" ca="1">IF(CO1&lt;&gt;"",
IF(AND(INDIRECT("'盛付札（関数）'!FI"&amp;CM1)&gt;=124,INDIRECT("'盛付札（関数）'!FI"&amp;CM1)&lt;=144),"",
"様"),"")</f>
        <v/>
      </c>
      <c r="CT1" s="68">
        <f ca="1">IF(OR(CN2="●",CN2="△"),
CM1+2,CM1+1)</f>
        <v>74</v>
      </c>
      <c r="CU1" s="75" t="str">
        <f ca="1">IF(CV1&lt;&gt;"",
MID(貼り付け用!$A$2, FIND("年",貼り付け用!$A$2)+1,2)&amp;"/"&amp;MID(貼り付け用!$A$2, FIND("月",貼り付け用!$A$2)+1,2),"")</f>
        <v/>
      </c>
      <c r="CV1" s="209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199"/>
      <c r="CX1" s="199"/>
      <c r="CY1" s="199"/>
      <c r="CZ1" s="74" t="str">
        <f t="array" aca="1" ref="CZ1" ca="1">IF(CV1&lt;&gt;"",
IF(AND(INDIRECT("'盛付札（関数）'!FI"&amp;CT1)&gt;=124,INDIRECT("'盛付札（関数）'!FI"&amp;CT1)&lt;=144),"",
"様"),"")</f>
        <v/>
      </c>
      <c r="DA1" s="51"/>
      <c r="DB1" s="62">
        <f ca="1">IF(OR(CU42="●",CU42="△"),
CT41+2,CT41+1)</f>
        <v>85</v>
      </c>
      <c r="DC1" s="75" t="str">
        <f ca="1">IF(DD1&lt;&gt;"",
MID(貼り付け用!$A$2, FIND("年",貼り付け用!$A$2)+1,2)&amp;"/"&amp;MID(貼り付け用!$A$2, FIND("月",貼り付け用!$A$2)+1,2),"")</f>
        <v/>
      </c>
      <c r="DD1" s="209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199"/>
      <c r="DF1" s="199"/>
      <c r="DG1" s="199"/>
      <c r="DH1" s="74" t="str">
        <f t="array" aca="1" ref="DH1" ca="1">IF(DD1&lt;&gt;"",
IF(AND(INDIRECT("'盛付札（関数）'!FI"&amp;DB1)&gt;=124,INDIRECT("'盛付札（関数）'!FI"&amp;DB1)&lt;=144),"",
"様"),"")</f>
        <v/>
      </c>
      <c r="DI1" s="68">
        <f ca="1">IF(OR(DC2="●",DC2="△"),
DB1+2,DB1+1)</f>
        <v>86</v>
      </c>
      <c r="DJ1" s="75" t="str">
        <f ca="1">IF(DK1&lt;&gt;"",
MID(貼り付け用!$A$2, FIND("年",貼り付け用!$A$2)+1,2)&amp;"/"&amp;MID(貼り付け用!$A$2, FIND("月",貼り付け用!$A$2)+1,2),"")</f>
        <v/>
      </c>
      <c r="DK1" s="209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199"/>
      <c r="DM1" s="199"/>
      <c r="DN1" s="199"/>
      <c r="DO1" s="74" t="str">
        <f t="array" aca="1" ref="DO1" ca="1">IF(DK1&lt;&gt;"",
IF(AND(INDIRECT("'盛付札（関数）'!FI"&amp;DI1)&gt;=124,INDIRECT("'盛付札（関数）'!FI"&amp;DI1)&lt;=144),"",
"様"),"")</f>
        <v/>
      </c>
      <c r="DP1" s="51"/>
      <c r="DQ1" s="62">
        <f ca="1">IF(OR(DJ42="●",DJ42="△"),
DI41+2,DI41+1)</f>
        <v>97</v>
      </c>
      <c r="DR1" s="75" t="str">
        <f ca="1">IF(DS1&lt;&gt;"",
MID(貼り付け用!$A$2, FIND("年",貼り付け用!$A$2)+1,2)&amp;"/"&amp;MID(貼り付け用!$A$2, FIND("月",貼り付け用!$A$2)+1,2),"")</f>
        <v/>
      </c>
      <c r="DS1" s="209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199"/>
      <c r="DU1" s="199"/>
      <c r="DV1" s="199"/>
      <c r="DW1" s="74" t="str">
        <f t="array" aca="1" ref="DW1" ca="1">IF(DS1&lt;&gt;"",
IF(AND(INDIRECT("'盛付札（関数）'!FI"&amp;DQ1)&gt;=124,INDIRECT("'盛付札（関数）'!FI"&amp;DQ1)&lt;=144),"",
"様"),"")</f>
        <v/>
      </c>
      <c r="DX1" s="68">
        <f ca="1">IF(OR(DR2="●",DR2="△"),
DQ1+2,DQ1+1)</f>
        <v>98</v>
      </c>
      <c r="DY1" s="75" t="str">
        <f ca="1">IF(DZ1&lt;&gt;"",
MID(貼り付け用!$A$2, FIND("年",貼り付け用!$A$2)+1,2)&amp;"/"&amp;MID(貼り付け用!$A$2, FIND("月",貼り付け用!$A$2)+1,2),"")</f>
        <v/>
      </c>
      <c r="DZ1" s="209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199"/>
      <c r="EB1" s="199"/>
      <c r="EC1" s="199"/>
      <c r="ED1" s="74" t="str">
        <f t="array" aca="1" ref="ED1" ca="1">IF(DZ1&lt;&gt;"",
IF(AND(INDIRECT("'盛付札（関数）'!FI"&amp;DX1)&gt;=124,INDIRECT("'盛付札（関数）'!FI"&amp;DX1)&lt;=144),"",
"様"),"")</f>
        <v/>
      </c>
      <c r="EE1" s="51"/>
      <c r="EF1" s="62">
        <f ca="1">IF(OR(DY42="●",DY42="△"),
DX41+2,DX41+1)</f>
        <v>109</v>
      </c>
      <c r="EG1" s="75" t="str">
        <f ca="1">IF(EH1&lt;&gt;"",
MID(貼り付け用!$A$2, FIND("年",貼り付け用!$A$2)+1,2)&amp;"/"&amp;MID(貼り付け用!$A$2, FIND("月",貼り付け用!$A$2)+1,2),"")</f>
        <v/>
      </c>
      <c r="EH1" s="209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199"/>
      <c r="EJ1" s="199"/>
      <c r="EK1" s="199"/>
      <c r="EL1" s="74" t="str">
        <f t="array" aca="1" ref="EL1" ca="1">IF(EH1&lt;&gt;"",
IF(AND(INDIRECT("'盛付札（関数）'!FI"&amp;EF1)&gt;=124,INDIRECT("'盛付札（関数）'!FI"&amp;EF1)&lt;=144),"",
"様"),"")</f>
        <v/>
      </c>
      <c r="EM1" s="68">
        <f ca="1">IF(OR(EG2="●",EG2="△"),
EF1+2,EF1+1)</f>
        <v>110</v>
      </c>
      <c r="EN1" s="75" t="str">
        <f ca="1">IF(EO1&lt;&gt;"",
MID(貼り付け用!$A$2, FIND("年",貼り付け用!$A$2)+1,2)&amp;"/"&amp;MID(貼り付け用!$A$2, FIND("月",貼り付け用!$A$2)+1,2),"")</f>
        <v/>
      </c>
      <c r="EO1" s="209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199"/>
      <c r="EQ1" s="199"/>
      <c r="ER1" s="199"/>
      <c r="ES1" s="74" t="str">
        <f t="array" aca="1" ref="ES1" ca="1">IF(EO1&lt;&gt;"",
IF(AND(INDIRECT("'盛付札（関数）'!FI"&amp;EM1)&gt;=124,INDIRECT("'盛付札（関数）'!FI"&amp;EM1)&lt;=144),"",
"様"),"")</f>
        <v/>
      </c>
      <c r="ET1" s="51"/>
    </row>
    <row r="2" spans="1:150" s="63" customFormat="1" x14ac:dyDescent="0.55000000000000004">
      <c r="A2" s="51"/>
      <c r="B2" s="64" t="str">
        <f ca="1">IF(COUNTIF(INDIRECT("'盛付札（関数）'!FJ"&amp;A1+1),"*雙葉*"),"●",
IF(COUNTIF(INDIRECT("'盛付札（関数）'!FJ"&amp;A1+1),"*社食*"),"△","〇"))</f>
        <v>〇</v>
      </c>
      <c r="C2" s="79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3"/>
      <c r="E2" s="73"/>
      <c r="F2" s="80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1"/>
      <c r="H2" s="81"/>
      <c r="I2" s="64" t="str">
        <f ca="1">IF(COUNTIF(INDIRECT("'盛付札（関数）'!FJ"&amp;H1+1),"*雙葉*"),"●",
IF(COUNTIF(INDIRECT("'盛付札（関数）'!FJ"&amp;H1+1),"*社食*"),"△","〇"))</f>
        <v>〇</v>
      </c>
      <c r="J2" s="79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3"/>
      <c r="L2" s="73"/>
      <c r="M2" s="80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1"/>
      <c r="O2" s="51"/>
      <c r="P2" s="62"/>
      <c r="Q2" s="64" t="str">
        <f ca="1">IF(COUNTIF(INDIRECT("'盛付札（関数）'!FJ"&amp;P1+1),"*雙葉*"),"●",
"〇")</f>
        <v>〇</v>
      </c>
      <c r="R2" s="79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3"/>
      <c r="T2" s="73"/>
      <c r="U2" s="80" t="str" cm="1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1"/>
      <c r="W2" s="81"/>
      <c r="X2" s="64" t="str">
        <f ca="1">IF(COUNTIF(INDIRECT("'盛付札（関数）'!FJ"&amp;W1+1),"*雙葉*"),"●",
"〇")</f>
        <v>〇</v>
      </c>
      <c r="Y2" s="79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3"/>
      <c r="AA2" s="73"/>
      <c r="AB2" s="80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1"/>
      <c r="AD2" s="51"/>
      <c r="AE2" s="62"/>
      <c r="AF2" s="64" t="str">
        <f ca="1">IF(COUNTIF(INDIRECT("'盛付札（関数）'!FJ"&amp;AE1+1),"*雙葉*"),"●",
"〇")</f>
        <v>〇</v>
      </c>
      <c r="AG2" s="79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3"/>
      <c r="AI2" s="73"/>
      <c r="AJ2" s="80" t="str" cm="1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1"/>
      <c r="AL2" s="81"/>
      <c r="AM2" s="64" t="str">
        <f ca="1">IF(COUNTIF(INDIRECT("'盛付札（関数）'!FJ"&amp;AL1+1),"*雙葉*"),"●",
"〇")</f>
        <v>〇</v>
      </c>
      <c r="AN2" s="79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3"/>
      <c r="AP2" s="73"/>
      <c r="AQ2" s="80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1"/>
      <c r="AS2" s="51"/>
      <c r="AT2" s="62"/>
      <c r="AU2" s="64" t="str">
        <f ca="1">IF(COUNTIF(INDIRECT("'盛付札（関数）'!FJ"&amp;AT1+1),"*雙葉*"),"●",
"〇")</f>
        <v>〇</v>
      </c>
      <c r="AV2" s="79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3"/>
      <c r="AX2" s="73"/>
      <c r="AY2" s="80" t="str" cm="1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1"/>
      <c r="BA2" s="81"/>
      <c r="BB2" s="64" t="str">
        <f ca="1">IF(COUNTIF(INDIRECT("'盛付札（関数）'!FJ"&amp;BA1+1),"*雙葉*"),"●",
"〇")</f>
        <v>〇</v>
      </c>
      <c r="BC2" s="79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3"/>
      <c r="BE2" s="73"/>
      <c r="BF2" s="80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1"/>
      <c r="BH2" s="51"/>
      <c r="BI2" s="62"/>
      <c r="BJ2" s="64" t="str">
        <f ca="1">IF(COUNTIF(INDIRECT("'盛付札（関数）'!FJ"&amp;BI1+1),"*雙葉*"),"●",
"〇")</f>
        <v>〇</v>
      </c>
      <c r="BK2" s="79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3"/>
      <c r="BM2" s="73"/>
      <c r="BN2" s="80" t="str" cm="1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1"/>
      <c r="BP2" s="81"/>
      <c r="BQ2" s="64" t="str">
        <f ca="1">IF(COUNTIF(INDIRECT("'盛付札（関数）'!FJ"&amp;BP1+1),"*雙葉*"),"●",
"〇")</f>
        <v>〇</v>
      </c>
      <c r="BR2" s="79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3"/>
      <c r="BT2" s="73"/>
      <c r="BU2" s="80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1"/>
      <c r="BW2" s="51"/>
      <c r="BX2" s="62"/>
      <c r="BY2" s="64" t="str">
        <f ca="1">IF(COUNTIF(INDIRECT("'盛付札（関数）'!FJ"&amp;BX1+1),"*雙葉*"),"●",
"〇")</f>
        <v>〇</v>
      </c>
      <c r="BZ2" s="79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3"/>
      <c r="CB2" s="73"/>
      <c r="CC2" s="80" t="str" cm="1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1"/>
      <c r="CE2" s="81"/>
      <c r="CF2" s="64" t="str">
        <f ca="1">IF(COUNTIF(INDIRECT("'盛付札（関数）'!FJ"&amp;CE1+1),"*雙葉*"),"●",
"〇")</f>
        <v>〇</v>
      </c>
      <c r="CG2" s="79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3"/>
      <c r="CI2" s="73"/>
      <c r="CJ2" s="80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1"/>
      <c r="CL2" s="51"/>
      <c r="CM2" s="62"/>
      <c r="CN2" s="64" t="str">
        <f ca="1">IF(COUNTIF(INDIRECT("'盛付札（関数）'!FJ"&amp;CM1+1),"*雙葉*"),"●",
"〇")</f>
        <v>〇</v>
      </c>
      <c r="CO2" s="79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3"/>
      <c r="CQ2" s="73"/>
      <c r="CR2" s="80" t="str" cm="1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1"/>
      <c r="CT2" s="81"/>
      <c r="CU2" s="64" t="str">
        <f ca="1">IF(COUNTIF(INDIRECT("'盛付札（関数）'!FJ"&amp;CT1+1),"*雙葉*"),"●",
"〇")</f>
        <v>〇</v>
      </c>
      <c r="CV2" s="79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3"/>
      <c r="CX2" s="73"/>
      <c r="CY2" s="80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1"/>
      <c r="DA2" s="51"/>
      <c r="DB2" s="62"/>
      <c r="DC2" s="64" t="str">
        <f ca="1">IF(COUNTIF(INDIRECT("'盛付札（関数）'!FJ"&amp;DB1+1),"*雙葉*"),"●",
"〇")</f>
        <v>〇</v>
      </c>
      <c r="DD2" s="79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3"/>
      <c r="DF2" s="73"/>
      <c r="DG2" s="80" t="str" cm="1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1"/>
      <c r="DI2" s="81"/>
      <c r="DJ2" s="64" t="str">
        <f ca="1">IF(COUNTIF(INDIRECT("'盛付札（関数）'!FJ"&amp;DI1+1),"*雙葉*"),"●",
"〇")</f>
        <v>〇</v>
      </c>
      <c r="DK2" s="79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3"/>
      <c r="DM2" s="73"/>
      <c r="DN2" s="80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1"/>
      <c r="DP2" s="51"/>
      <c r="DQ2" s="62"/>
      <c r="DR2" s="64" t="str">
        <f ca="1">IF(COUNTIF(INDIRECT("'盛付札（関数）'!FJ"&amp;DQ1+1),"*雙葉*"),"●",
"〇")</f>
        <v>〇</v>
      </c>
      <c r="DS2" s="79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3"/>
      <c r="DU2" s="73"/>
      <c r="DV2" s="80" t="str" cm="1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1"/>
      <c r="DX2" s="81"/>
      <c r="DY2" s="64" t="str">
        <f ca="1">IF(COUNTIF(INDIRECT("'盛付札（関数）'!FJ"&amp;DX1+1),"*雙葉*"),"●",
"〇")</f>
        <v>〇</v>
      </c>
      <c r="DZ2" s="79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3"/>
      <c r="EB2" s="73"/>
      <c r="EC2" s="80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1"/>
      <c r="EE2" s="51"/>
      <c r="EF2" s="62"/>
      <c r="EG2" s="64" t="str">
        <f ca="1">IF(COUNTIF(INDIRECT("'盛付札（関数）'!FJ"&amp;EF1+1),"*雙葉*"),"●",
"〇")</f>
        <v>〇</v>
      </c>
      <c r="EH2" s="79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3"/>
      <c r="EJ2" s="73"/>
      <c r="EK2" s="80" t="str" cm="1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1"/>
      <c r="EM2" s="81"/>
      <c r="EN2" s="64" t="str">
        <f ca="1">IF(COUNTIF(INDIRECT("'盛付札（関数）'!FJ"&amp;EM1+1),"*雙葉*"),"●",
"〇")</f>
        <v>〇</v>
      </c>
      <c r="EO2" s="79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3"/>
      <c r="EQ2" s="73"/>
      <c r="ER2" s="80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1"/>
      <c r="ET2" s="51"/>
    </row>
    <row r="3" spans="1:150" s="63" customFormat="1" x14ac:dyDescent="0.55000000000000004">
      <c r="A3" s="51"/>
      <c r="B3" s="66"/>
      <c r="C3" s="207" t="str" cm="1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08"/>
      <c r="E3" s="51"/>
      <c r="F3" s="63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2"/>
      <c r="H3" s="68"/>
      <c r="I3" s="66"/>
      <c r="J3" s="207" t="str" cm="1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08"/>
      <c r="L3" s="51"/>
      <c r="M3" s="63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2"/>
      <c r="O3" s="51"/>
      <c r="P3" s="62"/>
      <c r="Q3" s="66"/>
      <c r="R3" s="207" t="str" cm="1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08"/>
      <c r="T3" s="51"/>
      <c r="U3" s="63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2"/>
      <c r="W3" s="68"/>
      <c r="X3" s="66"/>
      <c r="Y3" s="207" t="str" cm="1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08"/>
      <c r="AA3" s="51"/>
      <c r="AB3" s="63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2"/>
      <c r="AD3" s="51"/>
      <c r="AE3" s="62"/>
      <c r="AF3" s="66"/>
      <c r="AG3" s="207" t="str" cm="1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08"/>
      <c r="AI3" s="51"/>
      <c r="AJ3" s="63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2"/>
      <c r="AL3" s="68"/>
      <c r="AM3" s="66"/>
      <c r="AN3" s="207" t="str" cm="1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08"/>
      <c r="AP3" s="51"/>
      <c r="AQ3" s="63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2"/>
      <c r="AS3" s="51"/>
      <c r="AT3" s="62"/>
      <c r="AU3" s="66"/>
      <c r="AV3" s="207" t="str" cm="1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08"/>
      <c r="AX3" s="51"/>
      <c r="AY3" s="63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2"/>
      <c r="BA3" s="68"/>
      <c r="BB3" s="66"/>
      <c r="BC3" s="207" t="str" cm="1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08"/>
      <c r="BE3" s="51"/>
      <c r="BF3" s="63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2"/>
      <c r="BH3" s="51"/>
      <c r="BI3" s="62"/>
      <c r="BJ3" s="66"/>
      <c r="BK3" s="207" t="str" cm="1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08"/>
      <c r="BM3" s="51"/>
      <c r="BN3" s="63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2"/>
      <c r="BP3" s="68"/>
      <c r="BQ3" s="66"/>
      <c r="BR3" s="207" t="str" cm="1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08"/>
      <c r="BT3" s="51"/>
      <c r="BU3" s="63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2"/>
      <c r="BW3" s="51"/>
      <c r="BX3" s="62"/>
      <c r="BY3" s="66"/>
      <c r="BZ3" s="207" t="str" cm="1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08"/>
      <c r="CB3" s="51"/>
      <c r="CC3" s="63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2"/>
      <c r="CE3" s="68"/>
      <c r="CF3" s="66"/>
      <c r="CG3" s="207" t="str" cm="1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08"/>
      <c r="CI3" s="51"/>
      <c r="CJ3" s="63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2"/>
      <c r="CL3" s="51"/>
      <c r="CM3" s="62"/>
      <c r="CN3" s="66"/>
      <c r="CO3" s="207" t="str" cm="1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08"/>
      <c r="CQ3" s="51"/>
      <c r="CR3" s="63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2"/>
      <c r="CT3" s="68"/>
      <c r="CU3" s="66"/>
      <c r="CV3" s="207" t="str" cm="1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08"/>
      <c r="CX3" s="51"/>
      <c r="CY3" s="63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2"/>
      <c r="DA3" s="51"/>
      <c r="DB3" s="62"/>
      <c r="DC3" s="66"/>
      <c r="DD3" s="207" t="str" cm="1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08"/>
      <c r="DF3" s="51"/>
      <c r="DG3" s="63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2"/>
      <c r="DI3" s="68"/>
      <c r="DJ3" s="66"/>
      <c r="DK3" s="207" t="str" cm="1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08"/>
      <c r="DM3" s="51"/>
      <c r="DN3" s="63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2"/>
      <c r="DP3" s="51"/>
      <c r="DQ3" s="62"/>
      <c r="DR3" s="66"/>
      <c r="DS3" s="207" t="str" cm="1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08"/>
      <c r="DU3" s="51"/>
      <c r="DV3" s="63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2"/>
      <c r="DX3" s="68"/>
      <c r="DY3" s="66"/>
      <c r="DZ3" s="207" t="str" cm="1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08"/>
      <c r="EB3" s="51"/>
      <c r="EC3" s="63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2"/>
      <c r="EE3" s="51"/>
      <c r="EF3" s="62"/>
      <c r="EG3" s="66"/>
      <c r="EH3" s="207" t="str" cm="1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08"/>
      <c r="EJ3" s="51"/>
      <c r="EK3" s="63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2"/>
      <c r="EM3" s="68"/>
      <c r="EN3" s="66"/>
      <c r="EO3" s="207" t="str" cm="1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08"/>
      <c r="EQ3" s="51"/>
      <c r="ER3" s="63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2"/>
      <c r="ET3" s="51"/>
    </row>
    <row r="4" spans="1:150" ht="15.6" customHeight="1" x14ac:dyDescent="1.05">
      <c r="B4" s="55"/>
      <c r="C4" s="192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06"/>
      <c r="E4" s="82"/>
      <c r="F4" s="204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05"/>
      <c r="H4" s="56"/>
      <c r="I4" s="55"/>
      <c r="J4" s="192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06"/>
      <c r="L4" s="82"/>
      <c r="M4" s="204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05"/>
      <c r="Q4" s="55"/>
      <c r="R4" s="192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06"/>
      <c r="T4" s="82"/>
      <c r="U4" s="204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05"/>
      <c r="W4" s="56"/>
      <c r="X4" s="55"/>
      <c r="Y4" s="192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06"/>
      <c r="AA4" s="82"/>
      <c r="AB4" s="204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05"/>
      <c r="AF4" s="55"/>
      <c r="AG4" s="192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06"/>
      <c r="AI4" s="82"/>
      <c r="AJ4" s="204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05"/>
      <c r="AL4" s="56"/>
      <c r="AM4" s="55"/>
      <c r="AN4" s="192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06"/>
      <c r="AP4" s="82"/>
      <c r="AQ4" s="204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05"/>
      <c r="AU4" s="55"/>
      <c r="AV4" s="192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06"/>
      <c r="AX4" s="82"/>
      <c r="AY4" s="204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05"/>
      <c r="BA4" s="56"/>
      <c r="BB4" s="55"/>
      <c r="BC4" s="192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06"/>
      <c r="BE4" s="82"/>
      <c r="BF4" s="204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05"/>
      <c r="BJ4" s="55"/>
      <c r="BK4" s="192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06"/>
      <c r="BM4" s="82"/>
      <c r="BN4" s="204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05"/>
      <c r="BP4" s="56"/>
      <c r="BQ4" s="55"/>
      <c r="BR4" s="192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06"/>
      <c r="BT4" s="82"/>
      <c r="BU4" s="204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05"/>
      <c r="BY4" s="55"/>
      <c r="BZ4" s="192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06"/>
      <c r="CB4" s="82"/>
      <c r="CC4" s="204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05"/>
      <c r="CE4" s="56"/>
      <c r="CF4" s="55"/>
      <c r="CG4" s="192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06"/>
      <c r="CI4" s="82"/>
      <c r="CJ4" s="204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05"/>
      <c r="CN4" s="55"/>
      <c r="CO4" s="192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06"/>
      <c r="CQ4" s="82"/>
      <c r="CR4" s="204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05"/>
      <c r="CT4" s="56"/>
      <c r="CU4" s="55"/>
      <c r="CV4" s="192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06"/>
      <c r="CX4" s="82"/>
      <c r="CY4" s="204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05"/>
      <c r="DC4" s="55"/>
      <c r="DD4" s="192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06"/>
      <c r="DF4" s="82"/>
      <c r="DG4" s="204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05"/>
      <c r="DI4" s="56"/>
      <c r="DJ4" s="55"/>
      <c r="DK4" s="192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06"/>
      <c r="DM4" s="82"/>
      <c r="DN4" s="204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05"/>
      <c r="DR4" s="55"/>
      <c r="DS4" s="192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06"/>
      <c r="DU4" s="82"/>
      <c r="DV4" s="204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05"/>
      <c r="DX4" s="56"/>
      <c r="DY4" s="55"/>
      <c r="DZ4" s="192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06"/>
      <c r="EB4" s="82"/>
      <c r="EC4" s="204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05"/>
      <c r="EG4" s="55"/>
      <c r="EH4" s="192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06"/>
      <c r="EJ4" s="82"/>
      <c r="EK4" s="204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05"/>
      <c r="EM4" s="56"/>
      <c r="EN4" s="55"/>
      <c r="EO4" s="192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06"/>
      <c r="EQ4" s="82"/>
      <c r="ER4" s="204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05"/>
    </row>
    <row r="5" spans="1:150" ht="15.6" customHeight="1" x14ac:dyDescent="0.45">
      <c r="B5" s="57"/>
      <c r="C5" s="194"/>
      <c r="D5" s="194"/>
      <c r="E5" s="76"/>
      <c r="F5" s="194"/>
      <c r="G5" s="202"/>
      <c r="H5" s="56"/>
      <c r="I5" s="57"/>
      <c r="J5" s="194"/>
      <c r="K5" s="194"/>
      <c r="L5" s="76"/>
      <c r="M5" s="194"/>
      <c r="N5" s="202"/>
      <c r="Q5" s="57"/>
      <c r="R5" s="194"/>
      <c r="S5" s="194"/>
      <c r="T5" s="76"/>
      <c r="U5" s="194"/>
      <c r="V5" s="202"/>
      <c r="W5" s="56"/>
      <c r="X5" s="57"/>
      <c r="Y5" s="194"/>
      <c r="Z5" s="194"/>
      <c r="AA5" s="76"/>
      <c r="AB5" s="194"/>
      <c r="AC5" s="202"/>
      <c r="AF5" s="57"/>
      <c r="AG5" s="194"/>
      <c r="AH5" s="194"/>
      <c r="AI5" s="76"/>
      <c r="AJ5" s="194"/>
      <c r="AK5" s="202"/>
      <c r="AL5" s="56"/>
      <c r="AM5" s="57"/>
      <c r="AN5" s="194"/>
      <c r="AO5" s="194"/>
      <c r="AP5" s="76"/>
      <c r="AQ5" s="194"/>
      <c r="AR5" s="202"/>
      <c r="AU5" s="57"/>
      <c r="AV5" s="194"/>
      <c r="AW5" s="194"/>
      <c r="AX5" s="76"/>
      <c r="AY5" s="194"/>
      <c r="AZ5" s="202"/>
      <c r="BA5" s="56"/>
      <c r="BB5" s="57"/>
      <c r="BC5" s="194"/>
      <c r="BD5" s="194"/>
      <c r="BE5" s="76"/>
      <c r="BF5" s="194"/>
      <c r="BG5" s="202"/>
      <c r="BJ5" s="57"/>
      <c r="BK5" s="194"/>
      <c r="BL5" s="194"/>
      <c r="BM5" s="76"/>
      <c r="BN5" s="194"/>
      <c r="BO5" s="202"/>
      <c r="BP5" s="56"/>
      <c r="BQ5" s="57"/>
      <c r="BR5" s="194"/>
      <c r="BS5" s="194"/>
      <c r="BT5" s="76"/>
      <c r="BU5" s="194"/>
      <c r="BV5" s="202"/>
      <c r="BY5" s="57"/>
      <c r="BZ5" s="194"/>
      <c r="CA5" s="194"/>
      <c r="CB5" s="76"/>
      <c r="CC5" s="194"/>
      <c r="CD5" s="202"/>
      <c r="CE5" s="56"/>
      <c r="CF5" s="57"/>
      <c r="CG5" s="194"/>
      <c r="CH5" s="194"/>
      <c r="CI5" s="76"/>
      <c r="CJ5" s="194"/>
      <c r="CK5" s="202"/>
      <c r="CN5" s="57"/>
      <c r="CO5" s="194"/>
      <c r="CP5" s="194"/>
      <c r="CQ5" s="76"/>
      <c r="CR5" s="194"/>
      <c r="CS5" s="202"/>
      <c r="CT5" s="56"/>
      <c r="CU5" s="57"/>
      <c r="CV5" s="194"/>
      <c r="CW5" s="194"/>
      <c r="CX5" s="76"/>
      <c r="CY5" s="194"/>
      <c r="CZ5" s="202"/>
      <c r="DC5" s="57"/>
      <c r="DD5" s="194"/>
      <c r="DE5" s="194"/>
      <c r="DF5" s="76"/>
      <c r="DG5" s="194"/>
      <c r="DH5" s="202"/>
      <c r="DI5" s="56"/>
      <c r="DJ5" s="57"/>
      <c r="DK5" s="194"/>
      <c r="DL5" s="194"/>
      <c r="DM5" s="76"/>
      <c r="DN5" s="194"/>
      <c r="DO5" s="202"/>
      <c r="DR5" s="57"/>
      <c r="DS5" s="194"/>
      <c r="DT5" s="194"/>
      <c r="DU5" s="76"/>
      <c r="DV5" s="194"/>
      <c r="DW5" s="202"/>
      <c r="DX5" s="56"/>
      <c r="DY5" s="57"/>
      <c r="DZ5" s="194"/>
      <c r="EA5" s="194"/>
      <c r="EB5" s="76"/>
      <c r="EC5" s="194"/>
      <c r="ED5" s="202"/>
      <c r="EG5" s="57"/>
      <c r="EH5" s="194"/>
      <c r="EI5" s="194"/>
      <c r="EJ5" s="76"/>
      <c r="EK5" s="194"/>
      <c r="EL5" s="202"/>
      <c r="EM5" s="56"/>
      <c r="EN5" s="57"/>
      <c r="EO5" s="194"/>
      <c r="EP5" s="194"/>
      <c r="EQ5" s="76"/>
      <c r="ER5" s="194"/>
      <c r="ES5" s="202"/>
    </row>
    <row r="6" spans="1:150" s="63" customFormat="1" x14ac:dyDescent="0.55000000000000004">
      <c r="A6" s="51"/>
      <c r="B6" s="69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7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9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7"/>
      <c r="F6" s="69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2"/>
      <c r="H6" s="51"/>
      <c r="I6" s="69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7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9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7"/>
      <c r="M6" s="69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2"/>
      <c r="O6" s="51"/>
      <c r="P6" s="62"/>
      <c r="Q6" s="69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7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9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7"/>
      <c r="U6" s="69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2"/>
      <c r="W6" s="51"/>
      <c r="X6" s="69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7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9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7"/>
      <c r="AB6" s="69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2"/>
      <c r="AD6" s="51"/>
      <c r="AE6" s="62"/>
      <c r="AF6" s="69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7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9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7"/>
      <c r="AJ6" s="69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2"/>
      <c r="AL6" s="51"/>
      <c r="AM6" s="69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7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9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7"/>
      <c r="AQ6" s="69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2"/>
      <c r="AS6" s="51"/>
      <c r="AT6" s="62"/>
      <c r="AU6" s="69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7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9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7"/>
      <c r="AY6" s="69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2"/>
      <c r="BA6" s="51"/>
      <c r="BB6" s="69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7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9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7"/>
      <c r="BF6" s="69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2"/>
      <c r="BH6" s="51"/>
      <c r="BI6" s="62"/>
      <c r="BJ6" s="69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7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9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7"/>
      <c r="BN6" s="69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2"/>
      <c r="BP6" s="51"/>
      <c r="BQ6" s="69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7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9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7"/>
      <c r="BU6" s="69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2"/>
      <c r="BW6" s="51"/>
      <c r="BX6" s="62"/>
      <c r="BY6" s="69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7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9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7"/>
      <c r="CC6" s="69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2"/>
      <c r="CE6" s="51"/>
      <c r="CF6" s="69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7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9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7"/>
      <c r="CJ6" s="69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2"/>
      <c r="CL6" s="51"/>
      <c r="CM6" s="62"/>
      <c r="CN6" s="69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7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9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7"/>
      <c r="CR6" s="69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2"/>
      <c r="CT6" s="51"/>
      <c r="CU6" s="69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7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9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7"/>
      <c r="CY6" s="69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2"/>
      <c r="DA6" s="51"/>
      <c r="DB6" s="62"/>
      <c r="DC6" s="69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7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9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7"/>
      <c r="DG6" s="69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2"/>
      <c r="DI6" s="51"/>
      <c r="DJ6" s="69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7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9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7"/>
      <c r="DN6" s="69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2"/>
      <c r="DP6" s="51"/>
      <c r="DQ6" s="62"/>
      <c r="DR6" s="69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7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9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7"/>
      <c r="DV6" s="69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2"/>
      <c r="DX6" s="51"/>
      <c r="DY6" s="69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7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9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7"/>
      <c r="EC6" s="69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2"/>
      <c r="EE6" s="51"/>
      <c r="EF6" s="62"/>
      <c r="EG6" s="69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7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9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7"/>
      <c r="EK6" s="69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2"/>
      <c r="EM6" s="51"/>
      <c r="EN6" s="69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7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9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7"/>
      <c r="ER6" s="69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2"/>
      <c r="ET6" s="51"/>
    </row>
    <row r="7" spans="1:150" ht="27.6" customHeight="1" x14ac:dyDescent="0.45">
      <c r="B7" s="203" t="str">
        <f ca="1">IF(C4&lt;&gt;"",
IFERROR(INT(C4/C6),""),"")</f>
        <v/>
      </c>
      <c r="C7" s="202"/>
      <c r="D7" s="203" t="str">
        <f ca="1">IFERROR(MOD(C4,C6),"")</f>
        <v/>
      </c>
      <c r="E7" s="202"/>
      <c r="F7" s="201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02"/>
      <c r="I7" s="203" t="str">
        <f ca="1">IF(J4&lt;&gt;"",
IFERROR(INT(J4/J6),""),"")</f>
        <v/>
      </c>
      <c r="J7" s="202"/>
      <c r="K7" s="203" t="str">
        <f ca="1">IFERROR(MOD(J4,J6),"")</f>
        <v/>
      </c>
      <c r="L7" s="202"/>
      <c r="M7" s="201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02"/>
      <c r="Q7" s="203" t="str">
        <f ca="1">IF(R4&lt;&gt;"",
IFERROR(INT(R4/R6),""),"")</f>
        <v/>
      </c>
      <c r="R7" s="202"/>
      <c r="S7" s="203" t="str">
        <f ca="1">IFERROR(MOD(R4,R6),"")</f>
        <v/>
      </c>
      <c r="T7" s="202"/>
      <c r="U7" s="201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02"/>
      <c r="X7" s="203" t="str">
        <f ca="1">IF(Y4&lt;&gt;"",
IFERROR(INT(Y4/Y6),""),"")</f>
        <v/>
      </c>
      <c r="Y7" s="202"/>
      <c r="Z7" s="203" t="str">
        <f ca="1">IFERROR(MOD(Y4,Y6),"")</f>
        <v/>
      </c>
      <c r="AA7" s="202"/>
      <c r="AB7" s="201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02"/>
      <c r="AF7" s="203" t="str">
        <f ca="1">IF(AG4&lt;&gt;"",
IFERROR(INT(AG4/AG6),""),"")</f>
        <v/>
      </c>
      <c r="AG7" s="202"/>
      <c r="AH7" s="203" t="str">
        <f ca="1">IFERROR(MOD(AG4,AG6),"")</f>
        <v/>
      </c>
      <c r="AI7" s="202"/>
      <c r="AJ7" s="201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02"/>
      <c r="AM7" s="203" t="str">
        <f ca="1">IF(AN4&lt;&gt;"",
IFERROR(INT(AN4/AN6),""),"")</f>
        <v/>
      </c>
      <c r="AN7" s="202"/>
      <c r="AO7" s="203" t="str">
        <f ca="1">IFERROR(MOD(AN4,AN6),"")</f>
        <v/>
      </c>
      <c r="AP7" s="202"/>
      <c r="AQ7" s="201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02"/>
      <c r="AU7" s="203" t="str">
        <f ca="1">IF(AV4&lt;&gt;"",
IFERROR(INT(AV4/AV6),""),"")</f>
        <v/>
      </c>
      <c r="AV7" s="202"/>
      <c r="AW7" s="203" t="str">
        <f ca="1">IFERROR(MOD(AV4,AV6),"")</f>
        <v/>
      </c>
      <c r="AX7" s="202"/>
      <c r="AY7" s="201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02"/>
      <c r="BB7" s="203" t="str">
        <f ca="1">IF(BC4&lt;&gt;"",
IFERROR(INT(BC4/BC6),""),"")</f>
        <v/>
      </c>
      <c r="BC7" s="202"/>
      <c r="BD7" s="203" t="str">
        <f ca="1">IFERROR(MOD(BC4,BC6),"")</f>
        <v/>
      </c>
      <c r="BE7" s="202"/>
      <c r="BF7" s="201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02"/>
      <c r="BJ7" s="203" t="str">
        <f ca="1">IF(BK4&lt;&gt;"",
IFERROR(INT(BK4/BK6),""),"")</f>
        <v/>
      </c>
      <c r="BK7" s="202"/>
      <c r="BL7" s="203" t="str">
        <f ca="1">IFERROR(MOD(BK4,BK6),"")</f>
        <v/>
      </c>
      <c r="BM7" s="202"/>
      <c r="BN7" s="201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02"/>
      <c r="BQ7" s="203" t="str">
        <f ca="1">IF(BR4&lt;&gt;"",
IFERROR(INT(BR4/BR6),""),"")</f>
        <v/>
      </c>
      <c r="BR7" s="202"/>
      <c r="BS7" s="203" t="str">
        <f ca="1">IFERROR(MOD(BR4,BR6),"")</f>
        <v/>
      </c>
      <c r="BT7" s="202"/>
      <c r="BU7" s="201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02"/>
      <c r="BY7" s="203" t="str">
        <f ca="1">IF(BZ4&lt;&gt;"",
IFERROR(INT(BZ4/BZ6),""),"")</f>
        <v/>
      </c>
      <c r="BZ7" s="202"/>
      <c r="CA7" s="203" t="str">
        <f ca="1">IFERROR(MOD(BZ4,BZ6),"")</f>
        <v/>
      </c>
      <c r="CB7" s="202"/>
      <c r="CC7" s="201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02"/>
      <c r="CF7" s="203" t="str">
        <f ca="1">IF(CG4&lt;&gt;"",
IFERROR(INT(CG4/CG6),""),"")</f>
        <v/>
      </c>
      <c r="CG7" s="202"/>
      <c r="CH7" s="203" t="str">
        <f ca="1">IFERROR(MOD(CG4,CG6),"")</f>
        <v/>
      </c>
      <c r="CI7" s="202"/>
      <c r="CJ7" s="201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02"/>
      <c r="CN7" s="203" t="str">
        <f ca="1">IF(CO4&lt;&gt;"",
IFERROR(INT(CO4/CO6),""),"")</f>
        <v/>
      </c>
      <c r="CO7" s="202"/>
      <c r="CP7" s="203" t="str">
        <f ca="1">IFERROR(MOD(CO4,CO6),"")</f>
        <v/>
      </c>
      <c r="CQ7" s="202"/>
      <c r="CR7" s="201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02"/>
      <c r="CU7" s="203" t="str">
        <f ca="1">IF(CV4&lt;&gt;"",
IFERROR(INT(CV4/CV6),""),"")</f>
        <v/>
      </c>
      <c r="CV7" s="202"/>
      <c r="CW7" s="203" t="str">
        <f ca="1">IFERROR(MOD(CV4,CV6),"")</f>
        <v/>
      </c>
      <c r="CX7" s="202"/>
      <c r="CY7" s="201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02"/>
      <c r="DC7" s="203" t="str">
        <f ca="1">IF(DD4&lt;&gt;"",
IFERROR(INT(DD4/DD6),""),"")</f>
        <v/>
      </c>
      <c r="DD7" s="202"/>
      <c r="DE7" s="203" t="str">
        <f ca="1">IFERROR(MOD(DD4,DD6),"")</f>
        <v/>
      </c>
      <c r="DF7" s="202"/>
      <c r="DG7" s="201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02"/>
      <c r="DJ7" s="203" t="str">
        <f ca="1">IF(DK4&lt;&gt;"",
IFERROR(INT(DK4/DK6),""),"")</f>
        <v/>
      </c>
      <c r="DK7" s="202"/>
      <c r="DL7" s="203" t="str">
        <f ca="1">IFERROR(MOD(DK4,DK6),"")</f>
        <v/>
      </c>
      <c r="DM7" s="202"/>
      <c r="DN7" s="201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02"/>
      <c r="DR7" s="203" t="str">
        <f ca="1">IF(DS4&lt;&gt;"",
IFERROR(INT(DS4/DS6),""),"")</f>
        <v/>
      </c>
      <c r="DS7" s="202"/>
      <c r="DT7" s="203" t="str">
        <f ca="1">IFERROR(MOD(DS4,DS6),"")</f>
        <v/>
      </c>
      <c r="DU7" s="202"/>
      <c r="DV7" s="201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02"/>
      <c r="DY7" s="203" t="str">
        <f ca="1">IF(DZ4&lt;&gt;"",
IFERROR(INT(DZ4/DZ6),""),"")</f>
        <v/>
      </c>
      <c r="DZ7" s="202"/>
      <c r="EA7" s="203" t="str">
        <f ca="1">IFERROR(MOD(DZ4,DZ6),"")</f>
        <v/>
      </c>
      <c r="EB7" s="202"/>
      <c r="EC7" s="201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02"/>
      <c r="EG7" s="203" t="str">
        <f ca="1">IF(EH4&lt;&gt;"",
IFERROR(INT(EH4/EH6),""),"")</f>
        <v/>
      </c>
      <c r="EH7" s="202"/>
      <c r="EI7" s="203" t="str">
        <f ca="1">IFERROR(MOD(EH4,EH6),"")</f>
        <v/>
      </c>
      <c r="EJ7" s="202"/>
      <c r="EK7" s="201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02"/>
      <c r="EN7" s="203" t="str">
        <f ca="1">IF(EO4&lt;&gt;"",
IFERROR(INT(EO4/EO6),""),"")</f>
        <v/>
      </c>
      <c r="EO7" s="202"/>
      <c r="EP7" s="203" t="str">
        <f ca="1">IFERROR(MOD(EO4,EO6),"")</f>
        <v/>
      </c>
      <c r="EQ7" s="202"/>
      <c r="ER7" s="201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02"/>
    </row>
    <row r="8" spans="1:150" ht="6.6" customHeight="1" x14ac:dyDescent="0.55000000000000004">
      <c r="B8" s="77"/>
      <c r="D8" s="77"/>
      <c r="F8" s="78"/>
      <c r="I8" s="77"/>
      <c r="K8" s="77"/>
      <c r="M8" s="78"/>
      <c r="Q8" s="77"/>
      <c r="S8" s="77"/>
      <c r="U8" s="78"/>
      <c r="X8" s="77"/>
      <c r="Z8" s="77"/>
      <c r="AB8" s="78"/>
      <c r="AF8" s="77"/>
      <c r="AH8" s="77"/>
      <c r="AJ8" s="78"/>
      <c r="AM8" s="77"/>
      <c r="AO8" s="77"/>
      <c r="AQ8" s="78"/>
      <c r="AU8" s="77"/>
      <c r="AW8" s="77"/>
      <c r="AY8" s="78"/>
      <c r="BB8" s="77"/>
      <c r="BD8" s="77"/>
      <c r="BF8" s="78"/>
      <c r="BJ8" s="77"/>
      <c r="BL8" s="77"/>
      <c r="BN8" s="78"/>
      <c r="BQ8" s="77"/>
      <c r="BS8" s="77"/>
      <c r="BU8" s="78"/>
      <c r="BY8" s="77"/>
      <c r="CA8" s="77"/>
      <c r="CC8" s="78"/>
      <c r="CF8" s="77"/>
      <c r="CH8" s="77"/>
      <c r="CJ8" s="78"/>
      <c r="CN8" s="77"/>
      <c r="CP8" s="77"/>
      <c r="CR8" s="78"/>
      <c r="CU8" s="77"/>
      <c r="CW8" s="77"/>
      <c r="CY8" s="78"/>
      <c r="DC8" s="77"/>
      <c r="DE8" s="77"/>
      <c r="DG8" s="78"/>
      <c r="DJ8" s="77"/>
      <c r="DL8" s="77"/>
      <c r="DN8" s="78"/>
      <c r="DR8" s="77"/>
      <c r="DT8" s="77"/>
      <c r="DV8" s="78"/>
      <c r="DY8" s="77"/>
      <c r="EA8" s="77"/>
      <c r="EC8" s="78"/>
      <c r="EG8" s="77"/>
      <c r="EI8" s="77"/>
      <c r="EK8" s="78"/>
      <c r="EN8" s="77"/>
      <c r="EP8" s="77"/>
      <c r="ER8" s="78"/>
    </row>
    <row r="9" spans="1:150" s="63" customFormat="1" ht="25.8" customHeight="1" x14ac:dyDescent="0.55000000000000004">
      <c r="A9" s="62">
        <f ca="1">IF(OR(I2="●",I2="△"),
H1+2,H1+1)</f>
        <v>3</v>
      </c>
      <c r="B9" s="75" t="str">
        <f ca="1">IF(C9&lt;&gt;"",
MID(貼り付け用!$A$2, FIND("年",貼り付け用!$A$2)+1,2)&amp;"/"&amp;MID(貼り付け用!$A$2, FIND("月",貼り付け用!$A$2)+1,2),"")</f>
        <v/>
      </c>
      <c r="C9" s="209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199"/>
      <c r="E9" s="199"/>
      <c r="F9" s="199"/>
      <c r="G9" s="74" t="str">
        <f t="array" aca="1" ref="G9" ca="1">IF(C9&lt;&gt;"",
IF(AND(INDIRECT("'盛付札（関数）'!FI"&amp;A9)&gt;=124,INDIRECT("'盛付札（関数）'!FI"&amp;A9)&lt;=144),"",
"様"),"")</f>
        <v/>
      </c>
      <c r="H9" s="68">
        <f ca="1">IF(OR(B10="●",B10="△"),
A9+2,A9+1)</f>
        <v>4</v>
      </c>
      <c r="I9" s="75" t="str">
        <f ca="1">IF(J9&lt;&gt;"",
MID(貼り付け用!$A$2, FIND("年",貼り付け用!$A$2)+1,2)&amp;"/"&amp;MID(貼り付け用!$A$2, FIND("月",貼り付け用!$A$2)+1,2),"")</f>
        <v/>
      </c>
      <c r="J9" s="209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199"/>
      <c r="L9" s="199"/>
      <c r="M9" s="199"/>
      <c r="N9" s="74" t="str">
        <f t="array" aca="1" ref="N9" ca="1">IF(J9&lt;&gt;"",
IF(AND(INDIRECT("'盛付札（関数）'!FI"&amp;H9)&gt;=124,INDIRECT("'盛付札（関数）'!FI"&amp;H9)&lt;=144),"",
"様"),"")</f>
        <v/>
      </c>
      <c r="O9" s="51"/>
      <c r="P9" s="62">
        <f ca="1">IF(OR(X2="●",X2="△"),
W1+2,W1+1)</f>
        <v>15</v>
      </c>
      <c r="Q9" s="75" t="str">
        <f ca="1">IF(R9&lt;&gt;"",
MID(貼り付け用!$A$2, FIND("年",貼り付け用!$A$2)+1,2)&amp;"/"&amp;MID(貼り付け用!$A$2, FIND("月",貼り付け用!$A$2)+1,2),"")</f>
        <v/>
      </c>
      <c r="R9" s="209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199"/>
      <c r="T9" s="199"/>
      <c r="U9" s="199"/>
      <c r="V9" s="74" t="str">
        <f t="array" aca="1" ref="V9" ca="1">IF(R9&lt;&gt;"",
IF(AND(INDIRECT("'盛付札（関数）'!FI"&amp;P9)&gt;=124,INDIRECT("'盛付札（関数）'!FI"&amp;P9)&lt;=144),"",
"様"),"")</f>
        <v/>
      </c>
      <c r="W9" s="68">
        <f ca="1">IF(OR(Q10="●",Q10="△"),
P9+2,P9+1)</f>
        <v>16</v>
      </c>
      <c r="X9" s="75" t="str">
        <f ca="1">IF(Y9&lt;&gt;"",
MID(貼り付け用!$A$2, FIND("年",貼り付け用!$A$2)+1,2)&amp;"/"&amp;MID(貼り付け用!$A$2, FIND("月",貼り付け用!$A$2)+1,2),"")</f>
        <v/>
      </c>
      <c r="Y9" s="209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199"/>
      <c r="AA9" s="199"/>
      <c r="AB9" s="199"/>
      <c r="AC9" s="74" t="str">
        <f t="array" aca="1" ref="AC9" ca="1">IF(Y9&lt;&gt;"",
IF(AND(INDIRECT("'盛付札（関数）'!FI"&amp;W9)&gt;=124,INDIRECT("'盛付札（関数）'!FI"&amp;W9)&lt;=144),"",
"様"),"")</f>
        <v/>
      </c>
      <c r="AD9" s="51"/>
      <c r="AE9" s="62">
        <f ca="1">IF(OR(AM2="●",AM2="△"),
AL1+2,AL1+1)</f>
        <v>27</v>
      </c>
      <c r="AF9" s="75" t="str">
        <f ca="1">IF(AG9&lt;&gt;"",
MID(貼り付け用!$A$2, FIND("年",貼り付け用!$A$2)+1,2)&amp;"/"&amp;MID(貼り付け用!$A$2, FIND("月",貼り付け用!$A$2)+1,2),"")</f>
        <v/>
      </c>
      <c r="AG9" s="209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199"/>
      <c r="AI9" s="199"/>
      <c r="AJ9" s="199"/>
      <c r="AK9" s="74" t="str">
        <f t="array" aca="1" ref="AK9" ca="1">IF(AG9&lt;&gt;"",
IF(AND(INDIRECT("'盛付札（関数）'!FI"&amp;AE9)&gt;=124,INDIRECT("'盛付札（関数）'!FI"&amp;AE9)&lt;=144),"",
"様"),"")</f>
        <v/>
      </c>
      <c r="AL9" s="68">
        <f ca="1">IF(OR(AF10="●",AF10="△"),
AE9+2,AE9+1)</f>
        <v>28</v>
      </c>
      <c r="AM9" s="75" t="str">
        <f ca="1">IF(AN9&lt;&gt;"",
MID(貼り付け用!$A$2, FIND("年",貼り付け用!$A$2)+1,2)&amp;"/"&amp;MID(貼り付け用!$A$2, FIND("月",貼り付け用!$A$2)+1,2),"")</f>
        <v/>
      </c>
      <c r="AN9" s="209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199"/>
      <c r="AP9" s="199"/>
      <c r="AQ9" s="199"/>
      <c r="AR9" s="74" t="str">
        <f t="array" aca="1" ref="AR9" ca="1">IF(AN9&lt;&gt;"",
IF(AND(INDIRECT("'盛付札（関数）'!FI"&amp;AL9)&gt;=124,INDIRECT("'盛付札（関数）'!FI"&amp;AL9)&lt;=144),"",
"様"),"")</f>
        <v/>
      </c>
      <c r="AS9" s="51"/>
      <c r="AT9" s="62">
        <f ca="1">IF(OR(BB2="●",BB2="△"),
BA1+2,BA1+1)</f>
        <v>39</v>
      </c>
      <c r="AU9" s="75" t="str">
        <f ca="1">IF(AV9&lt;&gt;"",
MID(貼り付け用!$A$2, FIND("年",貼り付け用!$A$2)+1,2)&amp;"/"&amp;MID(貼り付け用!$A$2, FIND("月",貼り付け用!$A$2)+1,2),"")</f>
        <v/>
      </c>
      <c r="AV9" s="209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199"/>
      <c r="AX9" s="199"/>
      <c r="AY9" s="199"/>
      <c r="AZ9" s="74" t="str">
        <f t="array" aca="1" ref="AZ9" ca="1">IF(AV9&lt;&gt;"",
IF(AND(INDIRECT("'盛付札（関数）'!FI"&amp;AT9)&gt;=124,INDIRECT("'盛付札（関数）'!FI"&amp;AT9)&lt;=144),"",
"様"),"")</f>
        <v/>
      </c>
      <c r="BA9" s="68">
        <f ca="1">IF(OR(AU10="●",AU10="△"),
AT9+2,AT9+1)</f>
        <v>40</v>
      </c>
      <c r="BB9" s="75" t="str">
        <f ca="1">IF(BC9&lt;&gt;"",
MID(貼り付け用!$A$2, FIND("年",貼り付け用!$A$2)+1,2)&amp;"/"&amp;MID(貼り付け用!$A$2, FIND("月",貼り付け用!$A$2)+1,2),"")</f>
        <v/>
      </c>
      <c r="BC9" s="209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199"/>
      <c r="BE9" s="199"/>
      <c r="BF9" s="199"/>
      <c r="BG9" s="74" t="str">
        <f t="array" aca="1" ref="BG9" ca="1">IF(BC9&lt;&gt;"",
IF(AND(INDIRECT("'盛付札（関数）'!FI"&amp;BA9)&gt;=124,INDIRECT("'盛付札（関数）'!FI"&amp;BA9)&lt;=144),"",
"様"),"")</f>
        <v/>
      </c>
      <c r="BH9" s="51"/>
      <c r="BI9" s="62">
        <f ca="1">IF(OR(BQ2="●",BQ2="△"),
BP1+2,BP1+1)</f>
        <v>51</v>
      </c>
      <c r="BJ9" s="75" t="str">
        <f ca="1">IF(BK9&lt;&gt;"",
MID(貼り付け用!$A$2, FIND("年",貼り付け用!$A$2)+1,2)&amp;"/"&amp;MID(貼り付け用!$A$2, FIND("月",貼り付け用!$A$2)+1,2),"")</f>
        <v/>
      </c>
      <c r="BK9" s="209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199"/>
      <c r="BM9" s="199"/>
      <c r="BN9" s="199"/>
      <c r="BO9" s="74" t="str">
        <f t="array" aca="1" ref="BO9" ca="1">IF(BK9&lt;&gt;"",
IF(AND(INDIRECT("'盛付札（関数）'!FI"&amp;BI9)&gt;=124,INDIRECT("'盛付札（関数）'!FI"&amp;BI9)&lt;=144),"",
"様"),"")</f>
        <v/>
      </c>
      <c r="BP9" s="68">
        <f ca="1">IF(OR(BJ10="●",BJ10="△"),
BI9+2,BI9+1)</f>
        <v>52</v>
      </c>
      <c r="BQ9" s="75" t="str">
        <f ca="1">IF(BR9&lt;&gt;"",
MID(貼り付け用!$A$2, FIND("年",貼り付け用!$A$2)+1,2)&amp;"/"&amp;MID(貼り付け用!$A$2, FIND("月",貼り付け用!$A$2)+1,2),"")</f>
        <v/>
      </c>
      <c r="BR9" s="209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199"/>
      <c r="BT9" s="199"/>
      <c r="BU9" s="199"/>
      <c r="BV9" s="74" t="str">
        <f t="array" aca="1" ref="BV9" ca="1">IF(BR9&lt;&gt;"",
IF(AND(INDIRECT("'盛付札（関数）'!FI"&amp;BP9)&gt;=124,INDIRECT("'盛付札（関数）'!FI"&amp;BP9)&lt;=144),"",
"様"),"")</f>
        <v/>
      </c>
      <c r="BW9" s="51"/>
      <c r="BX9" s="62">
        <f ca="1">IF(OR(CF2="●",CF2="△"),
CE1+2,CE1+1)</f>
        <v>63</v>
      </c>
      <c r="BY9" s="75" t="str">
        <f ca="1">IF(BZ9&lt;&gt;"",
MID(貼り付け用!$A$2, FIND("年",貼り付け用!$A$2)+1,2)&amp;"/"&amp;MID(貼り付け用!$A$2, FIND("月",貼り付け用!$A$2)+1,2),"")</f>
        <v/>
      </c>
      <c r="BZ9" s="209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199"/>
      <c r="CB9" s="199"/>
      <c r="CC9" s="199"/>
      <c r="CD9" s="74" t="str">
        <f t="array" aca="1" ref="CD9" ca="1">IF(BZ9&lt;&gt;"",
IF(AND(INDIRECT("'盛付札（関数）'!FI"&amp;BX9)&gt;=124,INDIRECT("'盛付札（関数）'!FI"&amp;BX9)&lt;=144),"",
"様"),"")</f>
        <v/>
      </c>
      <c r="CE9" s="68">
        <f ca="1">IF(OR(BY10="●",BY10="△"),
BX9+2,BX9+1)</f>
        <v>64</v>
      </c>
      <c r="CF9" s="75" t="str">
        <f ca="1">IF(CG9&lt;&gt;"",
MID(貼り付け用!$A$2, FIND("年",貼り付け用!$A$2)+1,2)&amp;"/"&amp;MID(貼り付け用!$A$2, FIND("月",貼り付け用!$A$2)+1,2),"")</f>
        <v/>
      </c>
      <c r="CG9" s="209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199"/>
      <c r="CI9" s="199"/>
      <c r="CJ9" s="199"/>
      <c r="CK9" s="74" t="str">
        <f t="array" aca="1" ref="CK9" ca="1">IF(CG9&lt;&gt;"",
IF(AND(INDIRECT("'盛付札（関数）'!FI"&amp;CE9)&gt;=124,INDIRECT("'盛付札（関数）'!FI"&amp;CE9)&lt;=144),"",
"様"),"")</f>
        <v/>
      </c>
      <c r="CL9" s="51"/>
      <c r="CM9" s="62">
        <f ca="1">IF(OR(CU2="●",CU2="△"),
CT1+2,CT1+1)</f>
        <v>75</v>
      </c>
      <c r="CN9" s="75" t="str">
        <f ca="1">IF(CO9&lt;&gt;"",
MID(貼り付け用!$A$2, FIND("年",貼り付け用!$A$2)+1,2)&amp;"/"&amp;MID(貼り付け用!$A$2, FIND("月",貼り付け用!$A$2)+1,2),"")</f>
        <v/>
      </c>
      <c r="CO9" s="209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199"/>
      <c r="CQ9" s="199"/>
      <c r="CR9" s="199"/>
      <c r="CS9" s="74" t="str">
        <f t="array" aca="1" ref="CS9" ca="1">IF(CO9&lt;&gt;"",
IF(AND(INDIRECT("'盛付札（関数）'!FI"&amp;CM9)&gt;=124,INDIRECT("'盛付札（関数）'!FI"&amp;CM9)&lt;=144),"",
"様"),"")</f>
        <v/>
      </c>
      <c r="CT9" s="68">
        <f ca="1">IF(OR(CN10="●",CN10="△"),
CM9+2,CM9+1)</f>
        <v>76</v>
      </c>
      <c r="CU9" s="75" t="str">
        <f ca="1">IF(CV9&lt;&gt;"",
MID(貼り付け用!$A$2, FIND("年",貼り付け用!$A$2)+1,2)&amp;"/"&amp;MID(貼り付け用!$A$2, FIND("月",貼り付け用!$A$2)+1,2),"")</f>
        <v/>
      </c>
      <c r="CV9" s="209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199"/>
      <c r="CX9" s="199"/>
      <c r="CY9" s="199"/>
      <c r="CZ9" s="74" t="str">
        <f t="array" aca="1" ref="CZ9" ca="1">IF(CV9&lt;&gt;"",
IF(AND(INDIRECT("'盛付札（関数）'!FI"&amp;CT9)&gt;=124,INDIRECT("'盛付札（関数）'!FI"&amp;CT9)&lt;=144),"",
"様"),"")</f>
        <v/>
      </c>
      <c r="DA9" s="51"/>
      <c r="DB9" s="62">
        <f ca="1">IF(OR(DJ2="●",DJ2="△"),
DI1+2,DI1+1)</f>
        <v>87</v>
      </c>
      <c r="DC9" s="75" t="str">
        <f ca="1">IF(DD9&lt;&gt;"",
MID(貼り付け用!$A$2, FIND("年",貼り付け用!$A$2)+1,2)&amp;"/"&amp;MID(貼り付け用!$A$2, FIND("月",貼り付け用!$A$2)+1,2),"")</f>
        <v/>
      </c>
      <c r="DD9" s="209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199"/>
      <c r="DF9" s="199"/>
      <c r="DG9" s="199"/>
      <c r="DH9" s="74" t="str">
        <f t="array" aca="1" ref="DH9" ca="1">IF(DD9&lt;&gt;"",
IF(AND(INDIRECT("'盛付札（関数）'!FI"&amp;DB9)&gt;=124,INDIRECT("'盛付札（関数）'!FI"&amp;DB9)&lt;=144),"",
"様"),"")</f>
        <v/>
      </c>
      <c r="DI9" s="68">
        <f ca="1">IF(OR(DC10="●",DC10="△"),
DB9+2,DB9+1)</f>
        <v>88</v>
      </c>
      <c r="DJ9" s="75" t="str">
        <f ca="1">IF(DK9&lt;&gt;"",
MID(貼り付け用!$A$2, FIND("年",貼り付け用!$A$2)+1,2)&amp;"/"&amp;MID(貼り付け用!$A$2, FIND("月",貼り付け用!$A$2)+1,2),"")</f>
        <v/>
      </c>
      <c r="DK9" s="209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199"/>
      <c r="DM9" s="199"/>
      <c r="DN9" s="199"/>
      <c r="DO9" s="74" t="str">
        <f t="array" aca="1" ref="DO9" ca="1">IF(DK9&lt;&gt;"",
IF(AND(INDIRECT("'盛付札（関数）'!FI"&amp;DI9)&gt;=124,INDIRECT("'盛付札（関数）'!FI"&amp;DI9)&lt;=144),"",
"様"),"")</f>
        <v/>
      </c>
      <c r="DP9" s="51"/>
      <c r="DQ9" s="62">
        <f ca="1">IF(OR(DY2="●",DY2="△"),
DX1+2,DX1+1)</f>
        <v>99</v>
      </c>
      <c r="DR9" s="75" t="str">
        <f ca="1">IF(DS9&lt;&gt;"",
MID(貼り付け用!$A$2, FIND("年",貼り付け用!$A$2)+1,2)&amp;"/"&amp;MID(貼り付け用!$A$2, FIND("月",貼り付け用!$A$2)+1,2),"")</f>
        <v/>
      </c>
      <c r="DS9" s="209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199"/>
      <c r="DU9" s="199"/>
      <c r="DV9" s="199"/>
      <c r="DW9" s="74" t="str">
        <f t="array" aca="1" ref="DW9" ca="1">IF(DS9&lt;&gt;"",
IF(AND(INDIRECT("'盛付札（関数）'!FI"&amp;DQ9)&gt;=124,INDIRECT("'盛付札（関数）'!FI"&amp;DQ9)&lt;=144),"",
"様"),"")</f>
        <v/>
      </c>
      <c r="DX9" s="68">
        <f ca="1">IF(OR(DR10="●",DR10="△"),
DQ9+2,DQ9+1)</f>
        <v>100</v>
      </c>
      <c r="DY9" s="75" t="str">
        <f ca="1">IF(DZ9&lt;&gt;"",
MID(貼り付け用!$A$2, FIND("年",貼り付け用!$A$2)+1,2)&amp;"/"&amp;MID(貼り付け用!$A$2, FIND("月",貼り付け用!$A$2)+1,2),"")</f>
        <v/>
      </c>
      <c r="DZ9" s="209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199"/>
      <c r="EB9" s="199"/>
      <c r="EC9" s="199"/>
      <c r="ED9" s="74" t="str">
        <f t="array" aca="1" ref="ED9" ca="1">IF(DZ9&lt;&gt;"",
IF(AND(INDIRECT("'盛付札（関数）'!FI"&amp;DX9)&gt;=124,INDIRECT("'盛付札（関数）'!FI"&amp;DX9)&lt;=144),"",
"様"),"")</f>
        <v/>
      </c>
      <c r="EE9" s="51"/>
      <c r="EF9" s="62">
        <f ca="1">IF(OR(EN2="●",EN2="△"),
EM1+2,EM1+1)</f>
        <v>111</v>
      </c>
      <c r="EG9" s="75" t="str">
        <f ca="1">IF(EH9&lt;&gt;"",
MID(貼り付け用!$A$2, FIND("年",貼り付け用!$A$2)+1,2)&amp;"/"&amp;MID(貼り付け用!$A$2, FIND("月",貼り付け用!$A$2)+1,2),"")</f>
        <v/>
      </c>
      <c r="EH9" s="209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199"/>
      <c r="EJ9" s="199"/>
      <c r="EK9" s="199"/>
      <c r="EL9" s="74" t="str">
        <f t="array" aca="1" ref="EL9" ca="1">IF(EH9&lt;&gt;"",
IF(AND(INDIRECT("'盛付札（関数）'!FI"&amp;EF9)&gt;=124,INDIRECT("'盛付札（関数）'!FI"&amp;EF9)&lt;=144),"",
"様"),"")</f>
        <v/>
      </c>
      <c r="EM9" s="68">
        <f ca="1">IF(OR(EG10="●",EG10="△"),
EF9+2,EF9+1)</f>
        <v>112</v>
      </c>
      <c r="EN9" s="75" t="str">
        <f ca="1">IF(EO9&lt;&gt;"",
MID(貼り付け用!$A$2, FIND("年",貼り付け用!$A$2)+1,2)&amp;"/"&amp;MID(貼り付け用!$A$2, FIND("月",貼り付け用!$A$2)+1,2),"")</f>
        <v/>
      </c>
      <c r="EO9" s="209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199"/>
      <c r="EQ9" s="199"/>
      <c r="ER9" s="199"/>
      <c r="ES9" s="74" t="str">
        <f t="array" aca="1" ref="ES9" ca="1">IF(EO9&lt;&gt;"",
IF(AND(INDIRECT("'盛付札（関数）'!FI"&amp;EM9)&gt;=124,INDIRECT("'盛付札（関数）'!FI"&amp;EM9)&lt;=144),"",
"様"),"")</f>
        <v/>
      </c>
      <c r="ET9" s="51"/>
    </row>
    <row r="10" spans="1:150" s="63" customFormat="1" x14ac:dyDescent="0.55000000000000004">
      <c r="A10" s="62"/>
      <c r="B10" s="64" t="str">
        <f ca="1">IF(COUNTIF(INDIRECT("'盛付札（関数）'!FJ"&amp;A9+1),"*雙葉*"),"●",
IF(COUNTIF(INDIRECT("'盛付札（関数）'!FJ"&amp;A9+1),"*社食*"),"△","〇"))</f>
        <v>〇</v>
      </c>
      <c r="C10" s="79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3"/>
      <c r="E10" s="73"/>
      <c r="F10" s="80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1"/>
      <c r="H10" s="81"/>
      <c r="I10" s="64" t="str">
        <f ca="1">IF(COUNTIF(INDIRECT("'盛付札（関数）'!FJ"&amp;H9+1),"*雙葉*"),"●",
IF(COUNTIF(INDIRECT("'盛付札（関数）'!FJ"&amp;H9+1),"*社食*"),"△","〇"))</f>
        <v>〇</v>
      </c>
      <c r="J10" s="79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3"/>
      <c r="L10" s="73"/>
      <c r="M10" s="80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1"/>
      <c r="O10" s="51"/>
      <c r="P10" s="62"/>
      <c r="Q10" s="64" t="str">
        <f ca="1">IF(COUNTIF(INDIRECT("'盛付札（関数）'!FJ"&amp;P9+1),"*雙葉*"),"●",
IF(COUNTIF(INDIRECT("'盛付札（関数）'!FJ"&amp;P9+1),"*社食*"),"△","〇"))</f>
        <v>〇</v>
      </c>
      <c r="R10" s="79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3"/>
      <c r="T10" s="73"/>
      <c r="U10" s="80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1"/>
      <c r="W10" s="81"/>
      <c r="X10" s="64" t="str">
        <f ca="1">IF(COUNTIF(INDIRECT("'盛付札（関数）'!FJ"&amp;W9+1),"*雙葉*"),"●",
IF(COUNTIF(INDIRECT("'盛付札（関数）'!FJ"&amp;W9+1),"*社食*"),"△","〇"))</f>
        <v>〇</v>
      </c>
      <c r="Y10" s="79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3"/>
      <c r="AA10" s="73"/>
      <c r="AB10" s="80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1"/>
      <c r="AD10" s="51"/>
      <c r="AE10" s="62"/>
      <c r="AF10" s="64" t="str">
        <f ca="1">IF(COUNTIF(INDIRECT("'盛付札（関数）'!FJ"&amp;AE9+1),"*雙葉*"),"●",
IF(COUNTIF(INDIRECT("'盛付札（関数）'!FJ"&amp;AE9+1),"*社食*"),"△","〇"))</f>
        <v>〇</v>
      </c>
      <c r="AG10" s="79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3"/>
      <c r="AI10" s="73"/>
      <c r="AJ10" s="80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1"/>
      <c r="AL10" s="81"/>
      <c r="AM10" s="64" t="str">
        <f ca="1">IF(COUNTIF(INDIRECT("'盛付札（関数）'!FJ"&amp;AL9+1),"*雙葉*"),"●",
IF(COUNTIF(INDIRECT("'盛付札（関数）'!FJ"&amp;AL9+1),"*社食*"),"△","〇"))</f>
        <v>〇</v>
      </c>
      <c r="AN10" s="79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3"/>
      <c r="AP10" s="73"/>
      <c r="AQ10" s="80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1"/>
      <c r="AS10" s="51"/>
      <c r="AT10" s="62"/>
      <c r="AU10" s="64" t="str">
        <f ca="1">IF(COUNTIF(INDIRECT("'盛付札（関数）'!FJ"&amp;AT9+1),"*雙葉*"),"●",
IF(COUNTIF(INDIRECT("'盛付札（関数）'!FJ"&amp;AT9+1),"*社食*"),"△","〇"))</f>
        <v>〇</v>
      </c>
      <c r="AV10" s="79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3"/>
      <c r="AX10" s="73"/>
      <c r="AY10" s="80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1"/>
      <c r="BA10" s="81"/>
      <c r="BB10" s="64" t="str">
        <f ca="1">IF(COUNTIF(INDIRECT("'盛付札（関数）'!FJ"&amp;BA9+1),"*雙葉*"),"●",
IF(COUNTIF(INDIRECT("'盛付札（関数）'!FJ"&amp;BA9+1),"*社食*"),"△","〇"))</f>
        <v>〇</v>
      </c>
      <c r="BC10" s="79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3"/>
      <c r="BE10" s="73"/>
      <c r="BF10" s="80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1"/>
      <c r="BH10" s="51"/>
      <c r="BI10" s="62"/>
      <c r="BJ10" s="64" t="str">
        <f ca="1">IF(COUNTIF(INDIRECT("'盛付札（関数）'!FJ"&amp;BI9+1),"*雙葉*"),"●",
IF(COUNTIF(INDIRECT("'盛付札（関数）'!FJ"&amp;BI9+1),"*社食*"),"△","〇"))</f>
        <v>〇</v>
      </c>
      <c r="BK10" s="79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3"/>
      <c r="BM10" s="73"/>
      <c r="BN10" s="80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1"/>
      <c r="BP10" s="81"/>
      <c r="BQ10" s="64" t="str">
        <f ca="1">IF(COUNTIF(INDIRECT("'盛付札（関数）'!FJ"&amp;BP9+1),"*雙葉*"),"●",
IF(COUNTIF(INDIRECT("'盛付札（関数）'!FJ"&amp;BP9+1),"*社食*"),"△","〇"))</f>
        <v>〇</v>
      </c>
      <c r="BR10" s="79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3"/>
      <c r="BT10" s="73"/>
      <c r="BU10" s="80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1"/>
      <c r="BW10" s="51"/>
      <c r="BX10" s="62"/>
      <c r="BY10" s="64" t="str">
        <f ca="1">IF(COUNTIF(INDIRECT("'盛付札（関数）'!FJ"&amp;BX9+1),"*雙葉*"),"●",
IF(COUNTIF(INDIRECT("'盛付札（関数）'!FJ"&amp;BX9+1),"*社食*"),"△","〇"))</f>
        <v>〇</v>
      </c>
      <c r="BZ10" s="79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3"/>
      <c r="CB10" s="73"/>
      <c r="CC10" s="80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1"/>
      <c r="CE10" s="81"/>
      <c r="CF10" s="64" t="str">
        <f ca="1">IF(COUNTIF(INDIRECT("'盛付札（関数）'!FJ"&amp;CE9+1),"*雙葉*"),"●",
IF(COUNTIF(INDIRECT("'盛付札（関数）'!FJ"&amp;CE9+1),"*社食*"),"△","〇"))</f>
        <v>〇</v>
      </c>
      <c r="CG10" s="79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3"/>
      <c r="CI10" s="73"/>
      <c r="CJ10" s="80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1"/>
      <c r="CL10" s="51"/>
      <c r="CM10" s="62"/>
      <c r="CN10" s="64" t="str">
        <f ca="1">IF(COUNTIF(INDIRECT("'盛付札（関数）'!FJ"&amp;CM9+1),"*雙葉*"),"●",
IF(COUNTIF(INDIRECT("'盛付札（関数）'!FJ"&amp;CM9+1),"*社食*"),"△","〇"))</f>
        <v>〇</v>
      </c>
      <c r="CO10" s="79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3"/>
      <c r="CQ10" s="73"/>
      <c r="CR10" s="80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1"/>
      <c r="CT10" s="81"/>
      <c r="CU10" s="64" t="str">
        <f ca="1">IF(COUNTIF(INDIRECT("'盛付札（関数）'!FJ"&amp;CT9+1),"*雙葉*"),"●",
IF(COUNTIF(INDIRECT("'盛付札（関数）'!FJ"&amp;CT9+1),"*社食*"),"△","〇"))</f>
        <v>〇</v>
      </c>
      <c r="CV10" s="79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3"/>
      <c r="CX10" s="73"/>
      <c r="CY10" s="80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1"/>
      <c r="DA10" s="51"/>
      <c r="DB10" s="62"/>
      <c r="DC10" s="64" t="str">
        <f ca="1">IF(COUNTIF(INDIRECT("'盛付札（関数）'!FJ"&amp;DB9+1),"*雙葉*"),"●",
IF(COUNTIF(INDIRECT("'盛付札（関数）'!FJ"&amp;DB9+1),"*社食*"),"△","〇"))</f>
        <v>〇</v>
      </c>
      <c r="DD10" s="79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3"/>
      <c r="DF10" s="73"/>
      <c r="DG10" s="80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1"/>
      <c r="DI10" s="81"/>
      <c r="DJ10" s="64" t="str">
        <f ca="1">IF(COUNTIF(INDIRECT("'盛付札（関数）'!FJ"&amp;DI9+1),"*雙葉*"),"●",
IF(COUNTIF(INDIRECT("'盛付札（関数）'!FJ"&amp;DI9+1),"*社食*"),"△","〇"))</f>
        <v>〇</v>
      </c>
      <c r="DK10" s="79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3"/>
      <c r="DM10" s="73"/>
      <c r="DN10" s="80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1"/>
      <c r="DP10" s="51"/>
      <c r="DQ10" s="62"/>
      <c r="DR10" s="64" t="str">
        <f ca="1">IF(COUNTIF(INDIRECT("'盛付札（関数）'!FJ"&amp;DQ9+1),"*雙葉*"),"●",
IF(COUNTIF(INDIRECT("'盛付札（関数）'!FJ"&amp;DQ9+1),"*社食*"),"△","〇"))</f>
        <v>〇</v>
      </c>
      <c r="DS10" s="79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3"/>
      <c r="DU10" s="73"/>
      <c r="DV10" s="80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1"/>
      <c r="DX10" s="81"/>
      <c r="DY10" s="64" t="str">
        <f ca="1">IF(COUNTIF(INDIRECT("'盛付札（関数）'!FJ"&amp;DX9+1),"*雙葉*"),"●",
IF(COUNTIF(INDIRECT("'盛付札（関数）'!FJ"&amp;DX9+1),"*社食*"),"△","〇"))</f>
        <v>〇</v>
      </c>
      <c r="DZ10" s="79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3"/>
      <c r="EB10" s="73"/>
      <c r="EC10" s="80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1"/>
      <c r="EE10" s="51"/>
      <c r="EF10" s="62"/>
      <c r="EG10" s="64" t="str">
        <f ca="1">IF(COUNTIF(INDIRECT("'盛付札（関数）'!FJ"&amp;EF9+1),"*雙葉*"),"●",
IF(COUNTIF(INDIRECT("'盛付札（関数）'!FJ"&amp;EF9+1),"*社食*"),"△","〇"))</f>
        <v>〇</v>
      </c>
      <c r="EH10" s="79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3"/>
      <c r="EJ10" s="73"/>
      <c r="EK10" s="80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1"/>
      <c r="EM10" s="81"/>
      <c r="EN10" s="64" t="str">
        <f ca="1">IF(COUNTIF(INDIRECT("'盛付札（関数）'!FJ"&amp;EM9+1),"*雙葉*"),"●",
IF(COUNTIF(INDIRECT("'盛付札（関数）'!FJ"&amp;EM9+1),"*社食*"),"△","〇"))</f>
        <v>〇</v>
      </c>
      <c r="EO10" s="79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3"/>
      <c r="EQ10" s="73"/>
      <c r="ER10" s="80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1"/>
      <c r="ET10" s="51"/>
    </row>
    <row r="11" spans="1:150" s="63" customFormat="1" x14ac:dyDescent="0.55000000000000004">
      <c r="A11" s="62"/>
      <c r="B11" s="66"/>
      <c r="C11" s="207" t="str" cm="1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08"/>
      <c r="E11" s="51"/>
      <c r="F11" s="63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2"/>
      <c r="H11" s="68"/>
      <c r="I11" s="66"/>
      <c r="J11" s="207" t="str" cm="1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08"/>
      <c r="L11" s="51"/>
      <c r="M11" s="63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2"/>
      <c r="O11" s="51"/>
      <c r="P11" s="62"/>
      <c r="Q11" s="66"/>
      <c r="R11" s="207" t="str" cm="1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08"/>
      <c r="T11" s="51"/>
      <c r="U11" s="63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2"/>
      <c r="W11" s="68"/>
      <c r="X11" s="66"/>
      <c r="Y11" s="207" t="str" cm="1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08"/>
      <c r="AA11" s="51"/>
      <c r="AB11" s="63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2"/>
      <c r="AD11" s="51"/>
      <c r="AE11" s="62"/>
      <c r="AF11" s="66"/>
      <c r="AG11" s="207" t="str" cm="1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08"/>
      <c r="AI11" s="51"/>
      <c r="AJ11" s="63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2"/>
      <c r="AL11" s="68"/>
      <c r="AM11" s="66"/>
      <c r="AN11" s="207" t="str" cm="1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08"/>
      <c r="AP11" s="51"/>
      <c r="AQ11" s="63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2"/>
      <c r="AS11" s="51"/>
      <c r="AT11" s="62"/>
      <c r="AU11" s="66"/>
      <c r="AV11" s="207" t="str" cm="1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08"/>
      <c r="AX11" s="51"/>
      <c r="AY11" s="63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2"/>
      <c r="BA11" s="68"/>
      <c r="BB11" s="66"/>
      <c r="BC11" s="207" t="str" cm="1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08"/>
      <c r="BE11" s="51"/>
      <c r="BF11" s="63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2"/>
      <c r="BH11" s="51"/>
      <c r="BI11" s="62"/>
      <c r="BJ11" s="66"/>
      <c r="BK11" s="207" t="str" cm="1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08"/>
      <c r="BM11" s="51"/>
      <c r="BN11" s="63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2"/>
      <c r="BP11" s="68"/>
      <c r="BQ11" s="66"/>
      <c r="BR11" s="207" t="str" cm="1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08"/>
      <c r="BT11" s="51"/>
      <c r="BU11" s="63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2"/>
      <c r="BW11" s="51"/>
      <c r="BX11" s="62"/>
      <c r="BY11" s="66"/>
      <c r="BZ11" s="207" t="str" cm="1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08"/>
      <c r="CB11" s="51"/>
      <c r="CC11" s="63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2"/>
      <c r="CE11" s="68"/>
      <c r="CF11" s="66"/>
      <c r="CG11" s="207" t="str" cm="1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08"/>
      <c r="CI11" s="51"/>
      <c r="CJ11" s="63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2"/>
      <c r="CL11" s="51"/>
      <c r="CM11" s="62"/>
      <c r="CN11" s="66"/>
      <c r="CO11" s="207" t="str" cm="1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08"/>
      <c r="CQ11" s="51"/>
      <c r="CR11" s="63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2"/>
      <c r="CT11" s="68"/>
      <c r="CU11" s="66"/>
      <c r="CV11" s="207" t="str" cm="1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08"/>
      <c r="CX11" s="51"/>
      <c r="CY11" s="63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2"/>
      <c r="DA11" s="51"/>
      <c r="DB11" s="62"/>
      <c r="DC11" s="66"/>
      <c r="DD11" s="207" t="str" cm="1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08"/>
      <c r="DF11" s="51"/>
      <c r="DG11" s="63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2"/>
      <c r="DI11" s="68"/>
      <c r="DJ11" s="66"/>
      <c r="DK11" s="207" t="str" cm="1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08"/>
      <c r="DM11" s="51"/>
      <c r="DN11" s="63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2"/>
      <c r="DP11" s="51"/>
      <c r="DQ11" s="62"/>
      <c r="DR11" s="66"/>
      <c r="DS11" s="207" t="str" cm="1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08"/>
      <c r="DU11" s="51"/>
      <c r="DV11" s="63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2"/>
      <c r="DX11" s="68"/>
      <c r="DY11" s="66"/>
      <c r="DZ11" s="207" t="str" cm="1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08"/>
      <c r="EB11" s="51"/>
      <c r="EC11" s="63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2"/>
      <c r="EE11" s="51"/>
      <c r="EF11" s="62"/>
      <c r="EG11" s="66"/>
      <c r="EH11" s="207" t="str" cm="1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08"/>
      <c r="EJ11" s="51"/>
      <c r="EK11" s="63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2"/>
      <c r="EM11" s="68"/>
      <c r="EN11" s="66"/>
      <c r="EO11" s="207" t="str" cm="1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08"/>
      <c r="EQ11" s="51"/>
      <c r="ER11" s="63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2"/>
      <c r="ET11" s="51"/>
    </row>
    <row r="12" spans="1:150" ht="15.6" customHeight="1" x14ac:dyDescent="1.05">
      <c r="A12" s="127"/>
      <c r="B12" s="55"/>
      <c r="C12" s="192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06"/>
      <c r="E12" s="82"/>
      <c r="F12" s="204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05"/>
      <c r="H12" s="56"/>
      <c r="I12" s="55"/>
      <c r="J12" s="192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06"/>
      <c r="L12" s="82"/>
      <c r="M12" s="204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05"/>
      <c r="Q12" s="55"/>
      <c r="R12" s="192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06"/>
      <c r="T12" s="82"/>
      <c r="U12" s="204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05"/>
      <c r="W12" s="56"/>
      <c r="X12" s="55"/>
      <c r="Y12" s="192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06"/>
      <c r="AA12" s="82"/>
      <c r="AB12" s="204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05"/>
      <c r="AF12" s="55"/>
      <c r="AG12" s="192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06"/>
      <c r="AI12" s="82"/>
      <c r="AJ12" s="204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05"/>
      <c r="AL12" s="56"/>
      <c r="AM12" s="55"/>
      <c r="AN12" s="192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06"/>
      <c r="AP12" s="82"/>
      <c r="AQ12" s="204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05"/>
      <c r="AU12" s="55"/>
      <c r="AV12" s="192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06"/>
      <c r="AX12" s="82"/>
      <c r="AY12" s="204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05"/>
      <c r="BA12" s="56"/>
      <c r="BB12" s="55"/>
      <c r="BC12" s="192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06"/>
      <c r="BE12" s="82"/>
      <c r="BF12" s="204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05"/>
      <c r="BJ12" s="55"/>
      <c r="BK12" s="192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06"/>
      <c r="BM12" s="82"/>
      <c r="BN12" s="204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05"/>
      <c r="BP12" s="56"/>
      <c r="BQ12" s="55"/>
      <c r="BR12" s="192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06"/>
      <c r="BT12" s="82"/>
      <c r="BU12" s="204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05"/>
      <c r="BY12" s="55"/>
      <c r="BZ12" s="192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06"/>
      <c r="CB12" s="82"/>
      <c r="CC12" s="204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05"/>
      <c r="CE12" s="56"/>
      <c r="CF12" s="55"/>
      <c r="CG12" s="192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06"/>
      <c r="CI12" s="82"/>
      <c r="CJ12" s="204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05"/>
      <c r="CN12" s="55"/>
      <c r="CO12" s="192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06"/>
      <c r="CQ12" s="82"/>
      <c r="CR12" s="204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05"/>
      <c r="CT12" s="56"/>
      <c r="CU12" s="55"/>
      <c r="CV12" s="192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06"/>
      <c r="CX12" s="82"/>
      <c r="CY12" s="204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05"/>
      <c r="DC12" s="55"/>
      <c r="DD12" s="192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06"/>
      <c r="DF12" s="82"/>
      <c r="DG12" s="204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05"/>
      <c r="DI12" s="56"/>
      <c r="DJ12" s="55"/>
      <c r="DK12" s="192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06"/>
      <c r="DM12" s="82"/>
      <c r="DN12" s="204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05"/>
      <c r="DR12" s="55"/>
      <c r="DS12" s="192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06"/>
      <c r="DU12" s="82"/>
      <c r="DV12" s="204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05"/>
      <c r="DX12" s="56"/>
      <c r="DY12" s="55"/>
      <c r="DZ12" s="192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06"/>
      <c r="EB12" s="82"/>
      <c r="EC12" s="204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05"/>
      <c r="EG12" s="55"/>
      <c r="EH12" s="192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06"/>
      <c r="EJ12" s="82"/>
      <c r="EK12" s="204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05"/>
      <c r="EM12" s="56"/>
      <c r="EN12" s="55"/>
      <c r="EO12" s="192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06"/>
      <c r="EQ12" s="82"/>
      <c r="ER12" s="204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05"/>
    </row>
    <row r="13" spans="1:150" ht="15.6" customHeight="1" x14ac:dyDescent="0.45">
      <c r="A13" s="127"/>
      <c r="B13" s="57"/>
      <c r="C13" s="194"/>
      <c r="D13" s="194"/>
      <c r="E13" s="76"/>
      <c r="F13" s="194"/>
      <c r="G13" s="202"/>
      <c r="H13" s="56"/>
      <c r="I13" s="57"/>
      <c r="J13" s="194"/>
      <c r="K13" s="194"/>
      <c r="L13" s="76"/>
      <c r="M13" s="194"/>
      <c r="N13" s="202"/>
      <c r="Q13" s="57"/>
      <c r="R13" s="194"/>
      <c r="S13" s="194"/>
      <c r="T13" s="76"/>
      <c r="U13" s="194"/>
      <c r="V13" s="202"/>
      <c r="W13" s="56"/>
      <c r="X13" s="57"/>
      <c r="Y13" s="194"/>
      <c r="Z13" s="194"/>
      <c r="AA13" s="76"/>
      <c r="AB13" s="194"/>
      <c r="AC13" s="202"/>
      <c r="AF13" s="57"/>
      <c r="AG13" s="194"/>
      <c r="AH13" s="194"/>
      <c r="AI13" s="76"/>
      <c r="AJ13" s="194"/>
      <c r="AK13" s="202"/>
      <c r="AL13" s="56"/>
      <c r="AM13" s="57"/>
      <c r="AN13" s="194"/>
      <c r="AO13" s="194"/>
      <c r="AP13" s="76"/>
      <c r="AQ13" s="194"/>
      <c r="AR13" s="202"/>
      <c r="AU13" s="57"/>
      <c r="AV13" s="194"/>
      <c r="AW13" s="194"/>
      <c r="AX13" s="76"/>
      <c r="AY13" s="194"/>
      <c r="AZ13" s="202"/>
      <c r="BA13" s="56"/>
      <c r="BB13" s="57"/>
      <c r="BC13" s="194"/>
      <c r="BD13" s="194"/>
      <c r="BE13" s="76"/>
      <c r="BF13" s="194"/>
      <c r="BG13" s="202"/>
      <c r="BJ13" s="57"/>
      <c r="BK13" s="194"/>
      <c r="BL13" s="194"/>
      <c r="BM13" s="76"/>
      <c r="BN13" s="194"/>
      <c r="BO13" s="202"/>
      <c r="BP13" s="56"/>
      <c r="BQ13" s="57"/>
      <c r="BR13" s="194"/>
      <c r="BS13" s="194"/>
      <c r="BT13" s="76"/>
      <c r="BU13" s="194"/>
      <c r="BV13" s="202"/>
      <c r="BY13" s="57"/>
      <c r="BZ13" s="194"/>
      <c r="CA13" s="194"/>
      <c r="CB13" s="76"/>
      <c r="CC13" s="194"/>
      <c r="CD13" s="202"/>
      <c r="CE13" s="56"/>
      <c r="CF13" s="57"/>
      <c r="CG13" s="194"/>
      <c r="CH13" s="194"/>
      <c r="CI13" s="76"/>
      <c r="CJ13" s="194"/>
      <c r="CK13" s="202"/>
      <c r="CN13" s="57"/>
      <c r="CO13" s="194"/>
      <c r="CP13" s="194"/>
      <c r="CQ13" s="76"/>
      <c r="CR13" s="194"/>
      <c r="CS13" s="202"/>
      <c r="CT13" s="56"/>
      <c r="CU13" s="57"/>
      <c r="CV13" s="194"/>
      <c r="CW13" s="194"/>
      <c r="CX13" s="76"/>
      <c r="CY13" s="194"/>
      <c r="CZ13" s="202"/>
      <c r="DC13" s="57"/>
      <c r="DD13" s="194"/>
      <c r="DE13" s="194"/>
      <c r="DF13" s="76"/>
      <c r="DG13" s="194"/>
      <c r="DH13" s="202"/>
      <c r="DI13" s="56"/>
      <c r="DJ13" s="57"/>
      <c r="DK13" s="194"/>
      <c r="DL13" s="194"/>
      <c r="DM13" s="76"/>
      <c r="DN13" s="194"/>
      <c r="DO13" s="202"/>
      <c r="DR13" s="57"/>
      <c r="DS13" s="194"/>
      <c r="DT13" s="194"/>
      <c r="DU13" s="76"/>
      <c r="DV13" s="194"/>
      <c r="DW13" s="202"/>
      <c r="DX13" s="56"/>
      <c r="DY13" s="57"/>
      <c r="DZ13" s="194"/>
      <c r="EA13" s="194"/>
      <c r="EB13" s="76"/>
      <c r="EC13" s="194"/>
      <c r="ED13" s="202"/>
      <c r="EG13" s="57"/>
      <c r="EH13" s="194"/>
      <c r="EI13" s="194"/>
      <c r="EJ13" s="76"/>
      <c r="EK13" s="194"/>
      <c r="EL13" s="202"/>
      <c r="EM13" s="56"/>
      <c r="EN13" s="57"/>
      <c r="EO13" s="194"/>
      <c r="EP13" s="194"/>
      <c r="EQ13" s="76"/>
      <c r="ER13" s="194"/>
      <c r="ES13" s="202"/>
    </row>
    <row r="14" spans="1:150" s="63" customFormat="1" x14ac:dyDescent="0.55000000000000004">
      <c r="A14" s="62"/>
      <c r="B14" s="69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7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9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7"/>
      <c r="F14" s="69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2"/>
      <c r="H14" s="51"/>
      <c r="I14" s="69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7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9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7"/>
      <c r="M14" s="69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2"/>
      <c r="O14" s="51"/>
      <c r="P14" s="62"/>
      <c r="Q14" s="69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7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9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7"/>
      <c r="U14" s="69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2"/>
      <c r="W14" s="51"/>
      <c r="X14" s="69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7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9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7"/>
      <c r="AB14" s="69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2"/>
      <c r="AD14" s="51"/>
      <c r="AE14" s="62"/>
      <c r="AF14" s="69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7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9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7"/>
      <c r="AJ14" s="69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2"/>
      <c r="AL14" s="51"/>
      <c r="AM14" s="69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7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9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7"/>
      <c r="AQ14" s="69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2"/>
      <c r="AS14" s="51"/>
      <c r="AT14" s="62"/>
      <c r="AU14" s="69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7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9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7"/>
      <c r="AY14" s="69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2"/>
      <c r="BA14" s="51"/>
      <c r="BB14" s="69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7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9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7"/>
      <c r="BF14" s="69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2"/>
      <c r="BH14" s="51"/>
      <c r="BI14" s="62"/>
      <c r="BJ14" s="69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7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9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7"/>
      <c r="BN14" s="69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2"/>
      <c r="BP14" s="51"/>
      <c r="BQ14" s="69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7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9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7"/>
      <c r="BU14" s="69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2"/>
      <c r="BW14" s="51"/>
      <c r="BX14" s="62"/>
      <c r="BY14" s="69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7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9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7"/>
      <c r="CC14" s="69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2"/>
      <c r="CE14" s="51"/>
      <c r="CF14" s="69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7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9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7"/>
      <c r="CJ14" s="69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2"/>
      <c r="CL14" s="51"/>
      <c r="CM14" s="62"/>
      <c r="CN14" s="69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7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9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7"/>
      <c r="CR14" s="69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2"/>
      <c r="CT14" s="51"/>
      <c r="CU14" s="69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7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9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7"/>
      <c r="CY14" s="69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2"/>
      <c r="DA14" s="51"/>
      <c r="DB14" s="62"/>
      <c r="DC14" s="69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7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9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7"/>
      <c r="DG14" s="69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2"/>
      <c r="DI14" s="51"/>
      <c r="DJ14" s="69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7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9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7"/>
      <c r="DN14" s="69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2"/>
      <c r="DP14" s="51"/>
      <c r="DQ14" s="62"/>
      <c r="DR14" s="69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7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9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7"/>
      <c r="DV14" s="69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2"/>
      <c r="DX14" s="51"/>
      <c r="DY14" s="69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7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9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7"/>
      <c r="EC14" s="69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2"/>
      <c r="EE14" s="51"/>
      <c r="EF14" s="62"/>
      <c r="EG14" s="69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7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9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7"/>
      <c r="EK14" s="69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2"/>
      <c r="EM14" s="51"/>
      <c r="EN14" s="69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7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9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7"/>
      <c r="ER14" s="69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2"/>
      <c r="ET14" s="51"/>
    </row>
    <row r="15" spans="1:150" ht="27.6" customHeight="1" x14ac:dyDescent="0.45">
      <c r="A15" s="127"/>
      <c r="B15" s="203" t="str">
        <f ca="1">IF(C12&lt;&gt;"",
IFERROR(INT(C12/C14),""),"")</f>
        <v/>
      </c>
      <c r="C15" s="202"/>
      <c r="D15" s="203" t="str">
        <f ca="1">IFERROR(MOD(C12,C14),"")</f>
        <v/>
      </c>
      <c r="E15" s="202"/>
      <c r="F15" s="201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02"/>
      <c r="I15" s="203" t="str">
        <f ca="1">IF(J12&lt;&gt;"",
IFERROR(INT(J12/J14),""),"")</f>
        <v/>
      </c>
      <c r="J15" s="202"/>
      <c r="K15" s="203" t="str">
        <f ca="1">IFERROR(MOD(J12,J14),"")</f>
        <v/>
      </c>
      <c r="L15" s="202"/>
      <c r="M15" s="201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02"/>
      <c r="Q15" s="203" t="str">
        <f ca="1">IF(R12&lt;&gt;"",
IFERROR(INT(R12/R14),""),"")</f>
        <v/>
      </c>
      <c r="R15" s="202"/>
      <c r="S15" s="203" t="str">
        <f ca="1">IFERROR(MOD(R12,R14),"")</f>
        <v/>
      </c>
      <c r="T15" s="202"/>
      <c r="U15" s="201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02"/>
      <c r="X15" s="203" t="str">
        <f ca="1">IF(Y12&lt;&gt;"",
IFERROR(INT(Y12/Y14),""),"")</f>
        <v/>
      </c>
      <c r="Y15" s="202"/>
      <c r="Z15" s="203" t="str">
        <f ca="1">IFERROR(MOD(Y12,Y14),"")</f>
        <v/>
      </c>
      <c r="AA15" s="202"/>
      <c r="AB15" s="201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02"/>
      <c r="AF15" s="203" t="str">
        <f ca="1">IF(AG12&lt;&gt;"",
IFERROR(INT(AG12/AG14),""),"")</f>
        <v/>
      </c>
      <c r="AG15" s="202"/>
      <c r="AH15" s="203" t="str">
        <f ca="1">IFERROR(MOD(AG12,AG14),"")</f>
        <v/>
      </c>
      <c r="AI15" s="202"/>
      <c r="AJ15" s="201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02"/>
      <c r="AM15" s="203" t="str">
        <f ca="1">IF(AN12&lt;&gt;"",
IFERROR(INT(AN12/AN14),""),"")</f>
        <v/>
      </c>
      <c r="AN15" s="202"/>
      <c r="AO15" s="203" t="str">
        <f ca="1">IFERROR(MOD(AN12,AN14),"")</f>
        <v/>
      </c>
      <c r="AP15" s="202"/>
      <c r="AQ15" s="201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02"/>
      <c r="AU15" s="203" t="str">
        <f ca="1">IF(AV12&lt;&gt;"",
IFERROR(INT(AV12/AV14),""),"")</f>
        <v/>
      </c>
      <c r="AV15" s="202"/>
      <c r="AW15" s="203" t="str">
        <f ca="1">IFERROR(MOD(AV12,AV14),"")</f>
        <v/>
      </c>
      <c r="AX15" s="202"/>
      <c r="AY15" s="201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02"/>
      <c r="BB15" s="203" t="str">
        <f ca="1">IF(BC12&lt;&gt;"",
IFERROR(INT(BC12/BC14),""),"")</f>
        <v/>
      </c>
      <c r="BC15" s="202"/>
      <c r="BD15" s="203" t="str">
        <f ca="1">IFERROR(MOD(BC12,BC14),"")</f>
        <v/>
      </c>
      <c r="BE15" s="202"/>
      <c r="BF15" s="201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02"/>
      <c r="BJ15" s="203" t="str">
        <f ca="1">IF(BK12&lt;&gt;"",
IFERROR(INT(BK12/BK14),""),"")</f>
        <v/>
      </c>
      <c r="BK15" s="202"/>
      <c r="BL15" s="203" t="str">
        <f ca="1">IFERROR(MOD(BK12,BK14),"")</f>
        <v/>
      </c>
      <c r="BM15" s="202"/>
      <c r="BN15" s="201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02"/>
      <c r="BQ15" s="203" t="str">
        <f ca="1">IF(BR12&lt;&gt;"",
IFERROR(INT(BR12/BR14),""),"")</f>
        <v/>
      </c>
      <c r="BR15" s="202"/>
      <c r="BS15" s="203" t="str">
        <f ca="1">IFERROR(MOD(BR12,BR14),"")</f>
        <v/>
      </c>
      <c r="BT15" s="202"/>
      <c r="BU15" s="201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02"/>
      <c r="BY15" s="203" t="str">
        <f ca="1">IF(BZ12&lt;&gt;"",
IFERROR(INT(BZ12/BZ14),""),"")</f>
        <v/>
      </c>
      <c r="BZ15" s="202"/>
      <c r="CA15" s="203" t="str">
        <f ca="1">IFERROR(MOD(BZ12,BZ14),"")</f>
        <v/>
      </c>
      <c r="CB15" s="202"/>
      <c r="CC15" s="201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02"/>
      <c r="CF15" s="203" t="str">
        <f ca="1">IF(CG12&lt;&gt;"",
IFERROR(INT(CG12/CG14),""),"")</f>
        <v/>
      </c>
      <c r="CG15" s="202"/>
      <c r="CH15" s="203" t="str">
        <f ca="1">IFERROR(MOD(CG12,CG14),"")</f>
        <v/>
      </c>
      <c r="CI15" s="202"/>
      <c r="CJ15" s="201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02"/>
      <c r="CN15" s="203" t="str">
        <f ca="1">IF(CO12&lt;&gt;"",
IFERROR(INT(CO12/CO14),""),"")</f>
        <v/>
      </c>
      <c r="CO15" s="202"/>
      <c r="CP15" s="203" t="str">
        <f ca="1">IFERROR(MOD(CO12,CO14),"")</f>
        <v/>
      </c>
      <c r="CQ15" s="202"/>
      <c r="CR15" s="201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02"/>
      <c r="CU15" s="203" t="str">
        <f ca="1">IF(CV12&lt;&gt;"",
IFERROR(INT(CV12/CV14),""),"")</f>
        <v/>
      </c>
      <c r="CV15" s="202"/>
      <c r="CW15" s="203" t="str">
        <f ca="1">IFERROR(MOD(CV12,CV14),"")</f>
        <v/>
      </c>
      <c r="CX15" s="202"/>
      <c r="CY15" s="201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02"/>
      <c r="DC15" s="203" t="str">
        <f ca="1">IF(DD12&lt;&gt;"",
IFERROR(INT(DD12/DD14),""),"")</f>
        <v/>
      </c>
      <c r="DD15" s="202"/>
      <c r="DE15" s="203" t="str">
        <f ca="1">IFERROR(MOD(DD12,DD14),"")</f>
        <v/>
      </c>
      <c r="DF15" s="202"/>
      <c r="DG15" s="201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02"/>
      <c r="DJ15" s="203" t="str">
        <f ca="1">IF(DK12&lt;&gt;"",
IFERROR(INT(DK12/DK14),""),"")</f>
        <v/>
      </c>
      <c r="DK15" s="202"/>
      <c r="DL15" s="203" t="str">
        <f ca="1">IFERROR(MOD(DK12,DK14),"")</f>
        <v/>
      </c>
      <c r="DM15" s="202"/>
      <c r="DN15" s="201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02"/>
      <c r="DR15" s="203" t="str">
        <f ca="1">IF(DS12&lt;&gt;"",
IFERROR(INT(DS12/DS14),""),"")</f>
        <v/>
      </c>
      <c r="DS15" s="202"/>
      <c r="DT15" s="203" t="str">
        <f ca="1">IFERROR(MOD(DS12,DS14),"")</f>
        <v/>
      </c>
      <c r="DU15" s="202"/>
      <c r="DV15" s="201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02"/>
      <c r="DY15" s="203" t="str">
        <f ca="1">IF(DZ12&lt;&gt;"",
IFERROR(INT(DZ12/DZ14),""),"")</f>
        <v/>
      </c>
      <c r="DZ15" s="202"/>
      <c r="EA15" s="203" t="str">
        <f ca="1">IFERROR(MOD(DZ12,DZ14),"")</f>
        <v/>
      </c>
      <c r="EB15" s="202"/>
      <c r="EC15" s="201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02"/>
      <c r="EG15" s="203" t="str">
        <f ca="1">IF(EH12&lt;&gt;"",
IFERROR(INT(EH12/EH14),""),"")</f>
        <v/>
      </c>
      <c r="EH15" s="202"/>
      <c r="EI15" s="203" t="str">
        <f ca="1">IFERROR(MOD(EH12,EH14),"")</f>
        <v/>
      </c>
      <c r="EJ15" s="202"/>
      <c r="EK15" s="201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02"/>
      <c r="EN15" s="203" t="str">
        <f ca="1">IF(EO12&lt;&gt;"",
IFERROR(INT(EO12/EO14),""),"")</f>
        <v/>
      </c>
      <c r="EO15" s="202"/>
      <c r="EP15" s="203" t="str">
        <f ca="1">IFERROR(MOD(EO12,EO14),"")</f>
        <v/>
      </c>
      <c r="EQ15" s="202"/>
      <c r="ER15" s="201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02"/>
    </row>
    <row r="16" spans="1:150" ht="6.6" customHeight="1" x14ac:dyDescent="0.55000000000000004">
      <c r="A16" s="127"/>
      <c r="B16" s="77"/>
      <c r="D16" s="77"/>
      <c r="F16" s="78"/>
      <c r="I16" s="77"/>
      <c r="K16" s="77"/>
      <c r="M16" s="78"/>
      <c r="Q16" s="77"/>
      <c r="S16" s="77"/>
      <c r="U16" s="78"/>
      <c r="X16" s="77"/>
      <c r="Z16" s="77"/>
      <c r="AB16" s="78"/>
      <c r="AF16" s="77"/>
      <c r="AH16" s="77"/>
      <c r="AJ16" s="78"/>
      <c r="AM16" s="77"/>
      <c r="AO16" s="77"/>
      <c r="AQ16" s="78"/>
      <c r="AU16" s="77"/>
      <c r="AW16" s="77"/>
      <c r="AY16" s="78"/>
      <c r="BB16" s="77"/>
      <c r="BD16" s="77"/>
      <c r="BF16" s="78"/>
      <c r="BJ16" s="77"/>
      <c r="BL16" s="77"/>
      <c r="BN16" s="78"/>
      <c r="BQ16" s="77"/>
      <c r="BS16" s="77"/>
      <c r="BU16" s="78"/>
      <c r="BY16" s="77"/>
      <c r="CA16" s="77"/>
      <c r="CC16" s="78"/>
      <c r="CF16" s="77"/>
      <c r="CH16" s="77"/>
      <c r="CJ16" s="78"/>
      <c r="CN16" s="77"/>
      <c r="CP16" s="77"/>
      <c r="CR16" s="78"/>
      <c r="CU16" s="77"/>
      <c r="CW16" s="77"/>
      <c r="CY16" s="78"/>
      <c r="DC16" s="77"/>
      <c r="DE16" s="77"/>
      <c r="DG16" s="78"/>
      <c r="DJ16" s="77"/>
      <c r="DL16" s="77"/>
      <c r="DN16" s="78"/>
      <c r="DR16" s="77"/>
      <c r="DT16" s="77"/>
      <c r="DV16" s="78"/>
      <c r="DY16" s="77"/>
      <c r="EA16" s="77"/>
      <c r="EC16" s="78"/>
      <c r="EG16" s="77"/>
      <c r="EI16" s="77"/>
      <c r="EK16" s="78"/>
      <c r="EN16" s="77"/>
      <c r="EP16" s="77"/>
      <c r="ER16" s="78"/>
    </row>
    <row r="17" spans="1:150" s="63" customFormat="1" ht="25.8" customHeight="1" x14ac:dyDescent="0.55000000000000004">
      <c r="A17" s="62">
        <f ca="1">IF(OR(I10="●",I10="△"),
H9+2,H9+1)</f>
        <v>5</v>
      </c>
      <c r="B17" s="75" t="str">
        <f ca="1">IF(C17&lt;&gt;"",
MID(貼り付け用!$A$2, FIND("年",貼り付け用!$A$2)+1,2)&amp;"/"&amp;MID(貼り付け用!$A$2, FIND("月",貼り付け用!$A$2)+1,2),"")</f>
        <v/>
      </c>
      <c r="C17" s="209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199"/>
      <c r="E17" s="199"/>
      <c r="F17" s="199"/>
      <c r="G17" s="74" t="str">
        <f t="array" aca="1" ref="G17" ca="1">IF(C17&lt;&gt;"",
IF(AND(INDIRECT("'盛付札（関数）'!FI"&amp;A17)&gt;=124,INDIRECT("'盛付札（関数）'!FI"&amp;A17)&lt;=144),"",
"様"),"")</f>
        <v/>
      </c>
      <c r="H17" s="68">
        <f ca="1">IF(OR(B18="●",B18="△"),
A17+2,A17+1)</f>
        <v>6</v>
      </c>
      <c r="I17" s="75" t="str">
        <f ca="1">IF(J17&lt;&gt;"",
MID(貼り付け用!$A$2, FIND("年",貼り付け用!$A$2)+1,2)&amp;"/"&amp;MID(貼り付け用!$A$2, FIND("月",貼り付け用!$A$2)+1,2),"")</f>
        <v/>
      </c>
      <c r="J17" s="209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199"/>
      <c r="L17" s="199"/>
      <c r="M17" s="199"/>
      <c r="N17" s="74" t="str">
        <f t="array" aca="1" ref="N17" ca="1">IF(J17&lt;&gt;"",
IF(AND(INDIRECT("'盛付札（関数）'!FI"&amp;H17)&gt;=124,INDIRECT("'盛付札（関数）'!FI"&amp;H17)&lt;=144),"",
"様"),"")</f>
        <v/>
      </c>
      <c r="O17" s="51"/>
      <c r="P17" s="62">
        <f ca="1">IF(OR(X10="●",X10="△"),
W9+2,W9+1)</f>
        <v>17</v>
      </c>
      <c r="Q17" s="75" t="str">
        <f ca="1">IF(R17&lt;&gt;"",
MID(貼り付け用!$A$2, FIND("年",貼り付け用!$A$2)+1,2)&amp;"/"&amp;MID(貼り付け用!$A$2, FIND("月",貼り付け用!$A$2)+1,2),"")</f>
        <v/>
      </c>
      <c r="R17" s="209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199"/>
      <c r="T17" s="199"/>
      <c r="U17" s="199"/>
      <c r="V17" s="74" t="str">
        <f t="array" aca="1" ref="V17" ca="1">IF(R17&lt;&gt;"",
IF(AND(INDIRECT("'盛付札（関数）'!FI"&amp;P17)&gt;=124,INDIRECT("'盛付札（関数）'!FI"&amp;P17)&lt;=144),"",
"様"),"")</f>
        <v/>
      </c>
      <c r="W17" s="68">
        <f ca="1">IF(OR(Q18="●",Q18="△"),
P17+2,P17+1)</f>
        <v>18</v>
      </c>
      <c r="X17" s="75" t="str">
        <f ca="1">IF(Y17&lt;&gt;"",
MID(貼り付け用!$A$2, FIND("年",貼り付け用!$A$2)+1,2)&amp;"/"&amp;MID(貼り付け用!$A$2, FIND("月",貼り付け用!$A$2)+1,2),"")</f>
        <v/>
      </c>
      <c r="Y17" s="209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199"/>
      <c r="AA17" s="199"/>
      <c r="AB17" s="199"/>
      <c r="AC17" s="74" t="str">
        <f t="array" aca="1" ref="AC17" ca="1">IF(Y17&lt;&gt;"",
IF(AND(INDIRECT("'盛付札（関数）'!FI"&amp;W17)&gt;=124,INDIRECT("'盛付札（関数）'!FI"&amp;W17)&lt;=144),"",
"様"),"")</f>
        <v/>
      </c>
      <c r="AD17" s="51"/>
      <c r="AE17" s="62">
        <f ca="1">IF(OR(AM10="●",AM10="△"),
AL9+2,AL9+1)</f>
        <v>29</v>
      </c>
      <c r="AF17" s="75" t="str">
        <f ca="1">IF(AG17&lt;&gt;"",
MID(貼り付け用!$A$2, FIND("年",貼り付け用!$A$2)+1,2)&amp;"/"&amp;MID(貼り付け用!$A$2, FIND("月",貼り付け用!$A$2)+1,2),"")</f>
        <v/>
      </c>
      <c r="AG17" s="209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199"/>
      <c r="AI17" s="199"/>
      <c r="AJ17" s="199"/>
      <c r="AK17" s="74" t="str">
        <f t="array" aca="1" ref="AK17" ca="1">IF(AG17&lt;&gt;"",
IF(AND(INDIRECT("'盛付札（関数）'!FI"&amp;AE17)&gt;=124,INDIRECT("'盛付札（関数）'!FI"&amp;AE17)&lt;=144),"",
"様"),"")</f>
        <v/>
      </c>
      <c r="AL17" s="68">
        <f ca="1">IF(OR(AF18="●",AF18="△"),
AE17+2,AE17+1)</f>
        <v>30</v>
      </c>
      <c r="AM17" s="75" t="str">
        <f ca="1">IF(AN17&lt;&gt;"",
MID(貼り付け用!$A$2, FIND("年",貼り付け用!$A$2)+1,2)&amp;"/"&amp;MID(貼り付け用!$A$2, FIND("月",貼り付け用!$A$2)+1,2),"")</f>
        <v/>
      </c>
      <c r="AN17" s="209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199"/>
      <c r="AP17" s="199"/>
      <c r="AQ17" s="199"/>
      <c r="AR17" s="74" t="str">
        <f t="array" aca="1" ref="AR17" ca="1">IF(AN17&lt;&gt;"",
IF(AND(INDIRECT("'盛付札（関数）'!FI"&amp;AL17)&gt;=124,INDIRECT("'盛付札（関数）'!FI"&amp;AL17)&lt;=144),"",
"様"),"")</f>
        <v/>
      </c>
      <c r="AS17" s="51"/>
      <c r="AT17" s="62">
        <f ca="1">IF(OR(BB10="●",BB10="△"),
BA9+2,BA9+1)</f>
        <v>41</v>
      </c>
      <c r="AU17" s="75" t="str">
        <f ca="1">IF(AV17&lt;&gt;"",
MID(貼り付け用!$A$2, FIND("年",貼り付け用!$A$2)+1,2)&amp;"/"&amp;MID(貼り付け用!$A$2, FIND("月",貼り付け用!$A$2)+1,2),"")</f>
        <v/>
      </c>
      <c r="AV17" s="209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199"/>
      <c r="AX17" s="199"/>
      <c r="AY17" s="199"/>
      <c r="AZ17" s="74" t="str">
        <f t="array" aca="1" ref="AZ17" ca="1">IF(AV17&lt;&gt;"",
IF(AND(INDIRECT("'盛付札（関数）'!FI"&amp;AT17)&gt;=124,INDIRECT("'盛付札（関数）'!FI"&amp;AT17)&lt;=144),"",
"様"),"")</f>
        <v/>
      </c>
      <c r="BA17" s="68">
        <f ca="1">IF(OR(AU18="●",AU18="△"),
AT17+2,AT17+1)</f>
        <v>42</v>
      </c>
      <c r="BB17" s="75" t="str">
        <f ca="1">IF(BC17&lt;&gt;"",
MID(貼り付け用!$A$2, FIND("年",貼り付け用!$A$2)+1,2)&amp;"/"&amp;MID(貼り付け用!$A$2, FIND("月",貼り付け用!$A$2)+1,2),"")</f>
        <v/>
      </c>
      <c r="BC17" s="209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199"/>
      <c r="BE17" s="199"/>
      <c r="BF17" s="199"/>
      <c r="BG17" s="74" t="str">
        <f t="array" aca="1" ref="BG17" ca="1">IF(BC17&lt;&gt;"",
IF(AND(INDIRECT("'盛付札（関数）'!FI"&amp;BA17)&gt;=124,INDIRECT("'盛付札（関数）'!FI"&amp;BA17)&lt;=144),"",
"様"),"")</f>
        <v/>
      </c>
      <c r="BH17" s="51"/>
      <c r="BI17" s="62">
        <f ca="1">IF(OR(BQ10="●",BQ10="△"),
BP9+2,BP9+1)</f>
        <v>53</v>
      </c>
      <c r="BJ17" s="75" t="str">
        <f ca="1">IF(BK17&lt;&gt;"",
MID(貼り付け用!$A$2, FIND("年",貼り付け用!$A$2)+1,2)&amp;"/"&amp;MID(貼り付け用!$A$2, FIND("月",貼り付け用!$A$2)+1,2),"")</f>
        <v/>
      </c>
      <c r="BK17" s="209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199"/>
      <c r="BM17" s="199"/>
      <c r="BN17" s="199"/>
      <c r="BO17" s="74" t="str">
        <f t="array" aca="1" ref="BO17" ca="1">IF(BK17&lt;&gt;"",
IF(AND(INDIRECT("'盛付札（関数）'!FI"&amp;BI17)&gt;=124,INDIRECT("'盛付札（関数）'!FI"&amp;BI17)&lt;=144),"",
"様"),"")</f>
        <v/>
      </c>
      <c r="BP17" s="68">
        <f ca="1">IF(OR(BJ18="●",BJ18="△"),
BI17+2,BI17+1)</f>
        <v>54</v>
      </c>
      <c r="BQ17" s="75" t="str">
        <f ca="1">IF(BR17&lt;&gt;"",
MID(貼り付け用!$A$2, FIND("年",貼り付け用!$A$2)+1,2)&amp;"/"&amp;MID(貼り付け用!$A$2, FIND("月",貼り付け用!$A$2)+1,2),"")</f>
        <v/>
      </c>
      <c r="BR17" s="209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199"/>
      <c r="BT17" s="199"/>
      <c r="BU17" s="199"/>
      <c r="BV17" s="74" t="str">
        <f t="array" aca="1" ref="BV17" ca="1">IF(BR17&lt;&gt;"",
IF(AND(INDIRECT("'盛付札（関数）'!FI"&amp;BP17)&gt;=124,INDIRECT("'盛付札（関数）'!FI"&amp;BP17)&lt;=144),"",
"様"),"")</f>
        <v/>
      </c>
      <c r="BW17" s="51"/>
      <c r="BX17" s="62">
        <f ca="1">IF(OR(CF10="●",CF10="△"),
CE9+2,CE9+1)</f>
        <v>65</v>
      </c>
      <c r="BY17" s="75" t="str">
        <f ca="1">IF(BZ17&lt;&gt;"",
MID(貼り付け用!$A$2, FIND("年",貼り付け用!$A$2)+1,2)&amp;"/"&amp;MID(貼り付け用!$A$2, FIND("月",貼り付け用!$A$2)+1,2),"")</f>
        <v/>
      </c>
      <c r="BZ17" s="209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199"/>
      <c r="CB17" s="199"/>
      <c r="CC17" s="199"/>
      <c r="CD17" s="74" t="str">
        <f t="array" aca="1" ref="CD17" ca="1">IF(BZ17&lt;&gt;"",
IF(AND(INDIRECT("'盛付札（関数）'!FI"&amp;BX17)&gt;=124,INDIRECT("'盛付札（関数）'!FI"&amp;BX17)&lt;=144),"",
"様"),"")</f>
        <v/>
      </c>
      <c r="CE17" s="68">
        <f ca="1">IF(OR(BY18="●",BY18="△"),
BX17+2,BX17+1)</f>
        <v>66</v>
      </c>
      <c r="CF17" s="75" t="str">
        <f ca="1">IF(CG17&lt;&gt;"",
MID(貼り付け用!$A$2, FIND("年",貼り付け用!$A$2)+1,2)&amp;"/"&amp;MID(貼り付け用!$A$2, FIND("月",貼り付け用!$A$2)+1,2),"")</f>
        <v/>
      </c>
      <c r="CG17" s="209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199"/>
      <c r="CI17" s="199"/>
      <c r="CJ17" s="199"/>
      <c r="CK17" s="74" t="str">
        <f t="array" aca="1" ref="CK17" ca="1">IF(CG17&lt;&gt;"",
IF(AND(INDIRECT("'盛付札（関数）'!FI"&amp;CE17)&gt;=124,INDIRECT("'盛付札（関数）'!FI"&amp;CE17)&lt;=144),"",
"様"),"")</f>
        <v/>
      </c>
      <c r="CL17" s="51"/>
      <c r="CM17" s="62">
        <f ca="1">IF(OR(CU10="●",CU10="△"),
CT9+2,CT9+1)</f>
        <v>77</v>
      </c>
      <c r="CN17" s="75" t="str">
        <f ca="1">IF(CO17&lt;&gt;"",
MID(貼り付け用!$A$2, FIND("年",貼り付け用!$A$2)+1,2)&amp;"/"&amp;MID(貼り付け用!$A$2, FIND("月",貼り付け用!$A$2)+1,2),"")</f>
        <v/>
      </c>
      <c r="CO17" s="209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199"/>
      <c r="CQ17" s="199"/>
      <c r="CR17" s="199"/>
      <c r="CS17" s="74" t="str">
        <f t="array" aca="1" ref="CS17" ca="1">IF(CO17&lt;&gt;"",
IF(AND(INDIRECT("'盛付札（関数）'!FI"&amp;CM17)&gt;=124,INDIRECT("'盛付札（関数）'!FI"&amp;CM17)&lt;=144),"",
"様"),"")</f>
        <v/>
      </c>
      <c r="CT17" s="68">
        <f ca="1">IF(OR(CN18="●",CN18="△"),
CM17+2,CM17+1)</f>
        <v>78</v>
      </c>
      <c r="CU17" s="75" t="str">
        <f ca="1">IF(CV17&lt;&gt;"",
MID(貼り付け用!$A$2, FIND("年",貼り付け用!$A$2)+1,2)&amp;"/"&amp;MID(貼り付け用!$A$2, FIND("月",貼り付け用!$A$2)+1,2),"")</f>
        <v/>
      </c>
      <c r="CV17" s="209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199"/>
      <c r="CX17" s="199"/>
      <c r="CY17" s="199"/>
      <c r="CZ17" s="74" t="str">
        <f t="array" aca="1" ref="CZ17" ca="1">IF(CV17&lt;&gt;"",
IF(AND(INDIRECT("'盛付札（関数）'!FI"&amp;CT17)&gt;=124,INDIRECT("'盛付札（関数）'!FI"&amp;CT17)&lt;=144),"",
"様"),"")</f>
        <v/>
      </c>
      <c r="DA17" s="51"/>
      <c r="DB17" s="62">
        <f ca="1">IF(OR(DJ10="●",DJ10="△"),
DI9+2,DI9+1)</f>
        <v>89</v>
      </c>
      <c r="DC17" s="75" t="str">
        <f ca="1">IF(DD17&lt;&gt;"",
MID(貼り付け用!$A$2, FIND("年",貼り付け用!$A$2)+1,2)&amp;"/"&amp;MID(貼り付け用!$A$2, FIND("月",貼り付け用!$A$2)+1,2),"")</f>
        <v/>
      </c>
      <c r="DD17" s="209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199"/>
      <c r="DF17" s="199"/>
      <c r="DG17" s="199"/>
      <c r="DH17" s="74" t="str">
        <f t="array" aca="1" ref="DH17" ca="1">IF(DD17&lt;&gt;"",
IF(AND(INDIRECT("'盛付札（関数）'!FI"&amp;DB17)&gt;=124,INDIRECT("'盛付札（関数）'!FI"&amp;DB17)&lt;=144),"",
"様"),"")</f>
        <v/>
      </c>
      <c r="DI17" s="68">
        <f ca="1">IF(OR(DC18="●",DC18="△"),
DB17+2,DB17+1)</f>
        <v>90</v>
      </c>
      <c r="DJ17" s="75" t="str">
        <f ca="1">IF(DK17&lt;&gt;"",
MID(貼り付け用!$A$2, FIND("年",貼り付け用!$A$2)+1,2)&amp;"/"&amp;MID(貼り付け用!$A$2, FIND("月",貼り付け用!$A$2)+1,2),"")</f>
        <v/>
      </c>
      <c r="DK17" s="209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199"/>
      <c r="DM17" s="199"/>
      <c r="DN17" s="199"/>
      <c r="DO17" s="74" t="str">
        <f t="array" aca="1" ref="DO17" ca="1">IF(DK17&lt;&gt;"",
IF(AND(INDIRECT("'盛付札（関数）'!FI"&amp;DI17)&gt;=124,INDIRECT("'盛付札（関数）'!FI"&amp;DI17)&lt;=144),"",
"様"),"")</f>
        <v/>
      </c>
      <c r="DP17" s="51"/>
      <c r="DQ17" s="62">
        <f ca="1">IF(OR(DY10="●",DY10="△"),
DX9+2,DX9+1)</f>
        <v>101</v>
      </c>
      <c r="DR17" s="75" t="str">
        <f ca="1">IF(DS17&lt;&gt;"",
MID(貼り付け用!$A$2, FIND("年",貼り付け用!$A$2)+1,2)&amp;"/"&amp;MID(貼り付け用!$A$2, FIND("月",貼り付け用!$A$2)+1,2),"")</f>
        <v/>
      </c>
      <c r="DS17" s="209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199"/>
      <c r="DU17" s="199"/>
      <c r="DV17" s="199"/>
      <c r="DW17" s="74" t="str">
        <f t="array" aca="1" ref="DW17" ca="1">IF(DS17&lt;&gt;"",
IF(AND(INDIRECT("'盛付札（関数）'!FI"&amp;DQ17)&gt;=124,INDIRECT("'盛付札（関数）'!FI"&amp;DQ17)&lt;=144),"",
"様"),"")</f>
        <v/>
      </c>
      <c r="DX17" s="68">
        <f ca="1">IF(OR(DR18="●",DR18="△"),
DQ17+2,DQ17+1)</f>
        <v>102</v>
      </c>
      <c r="DY17" s="75" t="str">
        <f ca="1">IF(DZ17&lt;&gt;"",
MID(貼り付け用!$A$2, FIND("年",貼り付け用!$A$2)+1,2)&amp;"/"&amp;MID(貼り付け用!$A$2, FIND("月",貼り付け用!$A$2)+1,2),"")</f>
        <v/>
      </c>
      <c r="DZ17" s="209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199"/>
      <c r="EB17" s="199"/>
      <c r="EC17" s="199"/>
      <c r="ED17" s="74" t="str">
        <f t="array" aca="1" ref="ED17" ca="1">IF(DZ17&lt;&gt;"",
IF(AND(INDIRECT("'盛付札（関数）'!FI"&amp;DX17)&gt;=124,INDIRECT("'盛付札（関数）'!FI"&amp;DX17)&lt;=144),"",
"様"),"")</f>
        <v/>
      </c>
      <c r="EE17" s="51"/>
      <c r="EF17" s="62">
        <f ca="1">IF(OR(EN10="●",EN10="△"),
EM9+2,EM9+1)</f>
        <v>113</v>
      </c>
      <c r="EG17" s="75" t="str">
        <f ca="1">IF(EH17&lt;&gt;"",
MID(貼り付け用!$A$2, FIND("年",貼り付け用!$A$2)+1,2)&amp;"/"&amp;MID(貼り付け用!$A$2, FIND("月",貼り付け用!$A$2)+1,2),"")</f>
        <v/>
      </c>
      <c r="EH17" s="209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199"/>
      <c r="EJ17" s="199"/>
      <c r="EK17" s="199"/>
      <c r="EL17" s="74" t="str">
        <f t="array" aca="1" ref="EL17" ca="1">IF(EH17&lt;&gt;"",
IF(AND(INDIRECT("'盛付札（関数）'!FI"&amp;EF17)&gt;=124,INDIRECT("'盛付札（関数）'!FI"&amp;EF17)&lt;=144),"",
"様"),"")</f>
        <v/>
      </c>
      <c r="EM17" s="68">
        <f ca="1">IF(OR(EG18="●",EG18="△"),
EF17+2,EF17+1)</f>
        <v>114</v>
      </c>
      <c r="EN17" s="75" t="str">
        <f ca="1">IF(EO17&lt;&gt;"",
MID(貼り付け用!$A$2, FIND("年",貼り付け用!$A$2)+1,2)&amp;"/"&amp;MID(貼り付け用!$A$2, FIND("月",貼り付け用!$A$2)+1,2),"")</f>
        <v/>
      </c>
      <c r="EO17" s="209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199"/>
      <c r="EQ17" s="199"/>
      <c r="ER17" s="199"/>
      <c r="ES17" s="74" t="str">
        <f t="array" aca="1" ref="ES17" ca="1">IF(EO17&lt;&gt;"",
IF(AND(INDIRECT("'盛付札（関数）'!FI"&amp;EM17)&gt;=124,INDIRECT("'盛付札（関数）'!FI"&amp;EM17)&lt;=144),"",
"様"),"")</f>
        <v/>
      </c>
      <c r="ET17" s="51"/>
    </row>
    <row r="18" spans="1:150" s="63" customFormat="1" x14ac:dyDescent="0.55000000000000004">
      <c r="A18" s="62"/>
      <c r="B18" s="64" t="str">
        <f ca="1">IF(COUNTIF(INDIRECT("'盛付札（関数）'!FJ"&amp;A17+1),"*雙葉*"),"●",
"〇")</f>
        <v>〇</v>
      </c>
      <c r="C18" s="79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3"/>
      <c r="E18" s="73"/>
      <c r="F18" s="80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1"/>
      <c r="H18" s="81"/>
      <c r="I18" s="64" t="str">
        <f ca="1">IF(COUNTIF(INDIRECT("'盛付札（関数）'!FJ"&amp;H17+1),"*雙葉*"),"●",
"〇")</f>
        <v>〇</v>
      </c>
      <c r="J18" s="79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3"/>
      <c r="L18" s="73"/>
      <c r="M18" s="80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1"/>
      <c r="O18" s="51"/>
      <c r="P18" s="62"/>
      <c r="Q18" s="64" t="str">
        <f ca="1">IF(COUNTIF(INDIRECT("'盛付札（関数）'!FJ"&amp;P17+1),"*雙葉*"),"●",
"〇")</f>
        <v>〇</v>
      </c>
      <c r="R18" s="79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3"/>
      <c r="T18" s="73"/>
      <c r="U18" s="80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1"/>
      <c r="W18" s="81"/>
      <c r="X18" s="64" t="str">
        <f ca="1">IF(COUNTIF(INDIRECT("'盛付札（関数）'!FJ"&amp;W17+1),"*雙葉*"),"●",
"〇")</f>
        <v>〇</v>
      </c>
      <c r="Y18" s="79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3"/>
      <c r="AA18" s="73"/>
      <c r="AB18" s="80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1"/>
      <c r="AD18" s="51"/>
      <c r="AE18" s="62"/>
      <c r="AF18" s="64" t="str">
        <f ca="1">IF(COUNTIF(INDIRECT("'盛付札（関数）'!FJ"&amp;AE17+1),"*雙葉*"),"●",
"〇")</f>
        <v>〇</v>
      </c>
      <c r="AG18" s="79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3"/>
      <c r="AI18" s="73"/>
      <c r="AJ18" s="80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1"/>
      <c r="AL18" s="81"/>
      <c r="AM18" s="64" t="str">
        <f ca="1">IF(COUNTIF(INDIRECT("'盛付札（関数）'!FJ"&amp;AL17+1),"*雙葉*"),"●",
"〇")</f>
        <v>〇</v>
      </c>
      <c r="AN18" s="79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3"/>
      <c r="AP18" s="73"/>
      <c r="AQ18" s="80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1"/>
      <c r="AS18" s="51"/>
      <c r="AT18" s="62"/>
      <c r="AU18" s="64" t="str">
        <f ca="1">IF(COUNTIF(INDIRECT("'盛付札（関数）'!FJ"&amp;AT17+1),"*雙葉*"),"●",
"〇")</f>
        <v>〇</v>
      </c>
      <c r="AV18" s="79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3"/>
      <c r="AX18" s="73"/>
      <c r="AY18" s="80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1"/>
      <c r="BA18" s="81"/>
      <c r="BB18" s="64" t="str">
        <f ca="1">IF(COUNTIF(INDIRECT("'盛付札（関数）'!FJ"&amp;BA17+1),"*雙葉*"),"●",
"〇")</f>
        <v>〇</v>
      </c>
      <c r="BC18" s="79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3"/>
      <c r="BE18" s="73"/>
      <c r="BF18" s="80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1"/>
      <c r="BH18" s="51"/>
      <c r="BI18" s="62"/>
      <c r="BJ18" s="64" t="str">
        <f ca="1">IF(COUNTIF(INDIRECT("'盛付札（関数）'!FJ"&amp;BI17+1),"*雙葉*"),"●",
"〇")</f>
        <v>〇</v>
      </c>
      <c r="BK18" s="79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3"/>
      <c r="BM18" s="73"/>
      <c r="BN18" s="80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1"/>
      <c r="BP18" s="81"/>
      <c r="BQ18" s="64" t="str">
        <f ca="1">IF(COUNTIF(INDIRECT("'盛付札（関数）'!FJ"&amp;BP17+1),"*雙葉*"),"●",
"〇")</f>
        <v>〇</v>
      </c>
      <c r="BR18" s="79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3"/>
      <c r="BT18" s="73"/>
      <c r="BU18" s="80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1"/>
      <c r="BW18" s="51"/>
      <c r="BX18" s="62"/>
      <c r="BY18" s="64" t="str">
        <f ca="1">IF(COUNTIF(INDIRECT("'盛付札（関数）'!FJ"&amp;BX17+1),"*雙葉*"),"●",
"〇")</f>
        <v>〇</v>
      </c>
      <c r="BZ18" s="79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3"/>
      <c r="CB18" s="73"/>
      <c r="CC18" s="80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1"/>
      <c r="CE18" s="81"/>
      <c r="CF18" s="64" t="str">
        <f ca="1">IF(COUNTIF(INDIRECT("'盛付札（関数）'!FJ"&amp;CE17+1),"*雙葉*"),"●",
"〇")</f>
        <v>〇</v>
      </c>
      <c r="CG18" s="79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3"/>
      <c r="CI18" s="73"/>
      <c r="CJ18" s="80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1"/>
      <c r="CL18" s="51"/>
      <c r="CM18" s="62"/>
      <c r="CN18" s="64" t="str">
        <f ca="1">IF(COUNTIF(INDIRECT("'盛付札（関数）'!FJ"&amp;CM17+1),"*雙葉*"),"●",
"〇")</f>
        <v>〇</v>
      </c>
      <c r="CO18" s="79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3"/>
      <c r="CQ18" s="73"/>
      <c r="CR18" s="80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1"/>
      <c r="CT18" s="81"/>
      <c r="CU18" s="64" t="str">
        <f ca="1">IF(COUNTIF(INDIRECT("'盛付札（関数）'!FJ"&amp;CT17+1),"*雙葉*"),"●",
"〇")</f>
        <v>〇</v>
      </c>
      <c r="CV18" s="79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3"/>
      <c r="CX18" s="73"/>
      <c r="CY18" s="80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1"/>
      <c r="DA18" s="51"/>
      <c r="DB18" s="62"/>
      <c r="DC18" s="64" t="str">
        <f ca="1">IF(COUNTIF(INDIRECT("'盛付札（関数）'!FJ"&amp;DB17+1),"*雙葉*"),"●",
"〇")</f>
        <v>〇</v>
      </c>
      <c r="DD18" s="79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3"/>
      <c r="DF18" s="73"/>
      <c r="DG18" s="80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1"/>
      <c r="DI18" s="81"/>
      <c r="DJ18" s="64" t="str">
        <f ca="1">IF(COUNTIF(INDIRECT("'盛付札（関数）'!FJ"&amp;DI17+1),"*雙葉*"),"●",
"〇")</f>
        <v>〇</v>
      </c>
      <c r="DK18" s="79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3"/>
      <c r="DM18" s="73"/>
      <c r="DN18" s="80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1"/>
      <c r="DP18" s="51"/>
      <c r="DQ18" s="62"/>
      <c r="DR18" s="64" t="str">
        <f ca="1">IF(COUNTIF(INDIRECT("'盛付札（関数）'!FJ"&amp;DQ17+1),"*雙葉*"),"●",
"〇")</f>
        <v>〇</v>
      </c>
      <c r="DS18" s="79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3"/>
      <c r="DU18" s="73"/>
      <c r="DV18" s="80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1"/>
      <c r="DX18" s="81"/>
      <c r="DY18" s="64" t="str">
        <f ca="1">IF(COUNTIF(INDIRECT("'盛付札（関数）'!FJ"&amp;DX17+1),"*雙葉*"),"●",
"〇")</f>
        <v>〇</v>
      </c>
      <c r="DZ18" s="79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3"/>
      <c r="EB18" s="73"/>
      <c r="EC18" s="80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1"/>
      <c r="EE18" s="51"/>
      <c r="EF18" s="62"/>
      <c r="EG18" s="64" t="str">
        <f ca="1">IF(COUNTIF(INDIRECT("'盛付札（関数）'!FJ"&amp;EF17+1),"*雙葉*"),"●",
"〇")</f>
        <v>〇</v>
      </c>
      <c r="EH18" s="79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3"/>
      <c r="EJ18" s="73"/>
      <c r="EK18" s="80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1"/>
      <c r="EM18" s="81"/>
      <c r="EN18" s="64" t="str">
        <f ca="1">IF(COUNTIF(INDIRECT("'盛付札（関数）'!FJ"&amp;EM17+1),"*雙葉*"),"●",
"〇")</f>
        <v>〇</v>
      </c>
      <c r="EO18" s="79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3"/>
      <c r="EQ18" s="73"/>
      <c r="ER18" s="80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1"/>
      <c r="ET18" s="51"/>
    </row>
    <row r="19" spans="1:150" s="63" customFormat="1" x14ac:dyDescent="0.55000000000000004">
      <c r="A19" s="62"/>
      <c r="B19" s="66"/>
      <c r="C19" s="207" t="str" cm="1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08"/>
      <c r="E19" s="51"/>
      <c r="F19" s="63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2"/>
      <c r="H19" s="68"/>
      <c r="I19" s="66"/>
      <c r="J19" s="207" t="str" cm="1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08"/>
      <c r="L19" s="51"/>
      <c r="M19" s="63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2"/>
      <c r="O19" s="51"/>
      <c r="P19" s="62"/>
      <c r="Q19" s="66"/>
      <c r="R19" s="207" t="str" cm="1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08"/>
      <c r="T19" s="51"/>
      <c r="U19" s="63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2"/>
      <c r="W19" s="68"/>
      <c r="X19" s="66"/>
      <c r="Y19" s="207" t="str" cm="1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08"/>
      <c r="AA19" s="51"/>
      <c r="AB19" s="63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2"/>
      <c r="AD19" s="51"/>
      <c r="AE19" s="62"/>
      <c r="AF19" s="66"/>
      <c r="AG19" s="207" t="str" cm="1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08"/>
      <c r="AI19" s="51"/>
      <c r="AJ19" s="63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2"/>
      <c r="AL19" s="68"/>
      <c r="AM19" s="66"/>
      <c r="AN19" s="207" t="str" cm="1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08"/>
      <c r="AP19" s="51"/>
      <c r="AQ19" s="63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2"/>
      <c r="AS19" s="51"/>
      <c r="AT19" s="62"/>
      <c r="AU19" s="66"/>
      <c r="AV19" s="207" t="str" cm="1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08"/>
      <c r="AX19" s="51"/>
      <c r="AY19" s="63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2"/>
      <c r="BA19" s="68"/>
      <c r="BB19" s="66"/>
      <c r="BC19" s="207" t="str" cm="1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08"/>
      <c r="BE19" s="51"/>
      <c r="BF19" s="63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2"/>
      <c r="BH19" s="51"/>
      <c r="BI19" s="62"/>
      <c r="BJ19" s="66"/>
      <c r="BK19" s="207" t="str" cm="1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08"/>
      <c r="BM19" s="51"/>
      <c r="BN19" s="63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2"/>
      <c r="BP19" s="68"/>
      <c r="BQ19" s="66"/>
      <c r="BR19" s="207" t="str" cm="1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08"/>
      <c r="BT19" s="51"/>
      <c r="BU19" s="63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2"/>
      <c r="BW19" s="51"/>
      <c r="BX19" s="62"/>
      <c r="BY19" s="66"/>
      <c r="BZ19" s="207" t="str" cm="1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08"/>
      <c r="CB19" s="51"/>
      <c r="CC19" s="63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2"/>
      <c r="CE19" s="68"/>
      <c r="CF19" s="66"/>
      <c r="CG19" s="207" t="str" cm="1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08"/>
      <c r="CI19" s="51"/>
      <c r="CJ19" s="63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2"/>
      <c r="CL19" s="51"/>
      <c r="CM19" s="62"/>
      <c r="CN19" s="66"/>
      <c r="CO19" s="207" t="str" cm="1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08"/>
      <c r="CQ19" s="51"/>
      <c r="CR19" s="63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2"/>
      <c r="CT19" s="68"/>
      <c r="CU19" s="66"/>
      <c r="CV19" s="207" t="str" cm="1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08"/>
      <c r="CX19" s="51"/>
      <c r="CY19" s="63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2"/>
      <c r="DA19" s="51"/>
      <c r="DB19" s="62"/>
      <c r="DC19" s="66"/>
      <c r="DD19" s="207" t="str" cm="1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08"/>
      <c r="DF19" s="51"/>
      <c r="DG19" s="63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2"/>
      <c r="DI19" s="68"/>
      <c r="DJ19" s="66"/>
      <c r="DK19" s="207" t="str" cm="1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08"/>
      <c r="DM19" s="51"/>
      <c r="DN19" s="63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2"/>
      <c r="DP19" s="51"/>
      <c r="DQ19" s="62"/>
      <c r="DR19" s="66"/>
      <c r="DS19" s="207" t="str" cm="1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08"/>
      <c r="DU19" s="51"/>
      <c r="DV19" s="63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2"/>
      <c r="DX19" s="68"/>
      <c r="DY19" s="66"/>
      <c r="DZ19" s="207" t="str" cm="1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08"/>
      <c r="EB19" s="51"/>
      <c r="EC19" s="63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2"/>
      <c r="EE19" s="51"/>
      <c r="EF19" s="62"/>
      <c r="EG19" s="66"/>
      <c r="EH19" s="207" t="str" cm="1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08"/>
      <c r="EJ19" s="51"/>
      <c r="EK19" s="63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2"/>
      <c r="EM19" s="68"/>
      <c r="EN19" s="66"/>
      <c r="EO19" s="207" t="str" cm="1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08"/>
      <c r="EQ19" s="51"/>
      <c r="ER19" s="63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2"/>
      <c r="ET19" s="51"/>
    </row>
    <row r="20" spans="1:150" ht="15.6" customHeight="1" x14ac:dyDescent="1.05">
      <c r="A20" s="127"/>
      <c r="B20" s="55"/>
      <c r="C20" s="192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06"/>
      <c r="E20" s="82"/>
      <c r="F20" s="204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05"/>
      <c r="H20" s="56"/>
      <c r="I20" s="55"/>
      <c r="J20" s="192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06"/>
      <c r="L20" s="82"/>
      <c r="M20" s="204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05"/>
      <c r="Q20" s="55"/>
      <c r="R20" s="192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06"/>
      <c r="T20" s="82"/>
      <c r="U20" s="204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05"/>
      <c r="W20" s="56"/>
      <c r="X20" s="55"/>
      <c r="Y20" s="192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06"/>
      <c r="AA20" s="82"/>
      <c r="AB20" s="204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05"/>
      <c r="AF20" s="55"/>
      <c r="AG20" s="192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06"/>
      <c r="AI20" s="82"/>
      <c r="AJ20" s="204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05"/>
      <c r="AL20" s="56"/>
      <c r="AM20" s="55"/>
      <c r="AN20" s="192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06"/>
      <c r="AP20" s="82"/>
      <c r="AQ20" s="204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05"/>
      <c r="AU20" s="55"/>
      <c r="AV20" s="192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06"/>
      <c r="AX20" s="82"/>
      <c r="AY20" s="204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05"/>
      <c r="BA20" s="56"/>
      <c r="BB20" s="55"/>
      <c r="BC20" s="192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06"/>
      <c r="BE20" s="82"/>
      <c r="BF20" s="204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05"/>
      <c r="BJ20" s="55"/>
      <c r="BK20" s="192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06"/>
      <c r="BM20" s="82"/>
      <c r="BN20" s="204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05"/>
      <c r="BP20" s="56"/>
      <c r="BQ20" s="55"/>
      <c r="BR20" s="192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06"/>
      <c r="BT20" s="82"/>
      <c r="BU20" s="204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05"/>
      <c r="BY20" s="55"/>
      <c r="BZ20" s="192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06"/>
      <c r="CB20" s="82"/>
      <c r="CC20" s="204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05"/>
      <c r="CE20" s="56"/>
      <c r="CF20" s="55"/>
      <c r="CG20" s="192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06"/>
      <c r="CI20" s="82"/>
      <c r="CJ20" s="204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05"/>
      <c r="CN20" s="55"/>
      <c r="CO20" s="192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06"/>
      <c r="CQ20" s="82"/>
      <c r="CR20" s="204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05"/>
      <c r="CT20" s="56"/>
      <c r="CU20" s="55"/>
      <c r="CV20" s="192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06"/>
      <c r="CX20" s="82"/>
      <c r="CY20" s="204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05"/>
      <c r="DC20" s="55"/>
      <c r="DD20" s="192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06"/>
      <c r="DF20" s="82"/>
      <c r="DG20" s="204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05"/>
      <c r="DI20" s="56"/>
      <c r="DJ20" s="55"/>
      <c r="DK20" s="192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06"/>
      <c r="DM20" s="82"/>
      <c r="DN20" s="204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05"/>
      <c r="DR20" s="55"/>
      <c r="DS20" s="192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06"/>
      <c r="DU20" s="82"/>
      <c r="DV20" s="204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05"/>
      <c r="DX20" s="56"/>
      <c r="DY20" s="55"/>
      <c r="DZ20" s="192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06"/>
      <c r="EB20" s="82"/>
      <c r="EC20" s="204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05"/>
      <c r="EG20" s="55"/>
      <c r="EH20" s="192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06"/>
      <c r="EJ20" s="82"/>
      <c r="EK20" s="204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05"/>
      <c r="EM20" s="56"/>
      <c r="EN20" s="55"/>
      <c r="EO20" s="192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06"/>
      <c r="EQ20" s="82"/>
      <c r="ER20" s="204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05"/>
    </row>
    <row r="21" spans="1:150" ht="15.6" customHeight="1" x14ac:dyDescent="0.45">
      <c r="A21" s="127"/>
      <c r="B21" s="57"/>
      <c r="C21" s="194"/>
      <c r="D21" s="194"/>
      <c r="E21" s="76"/>
      <c r="F21" s="194"/>
      <c r="G21" s="202"/>
      <c r="H21" s="56"/>
      <c r="I21" s="57"/>
      <c r="J21" s="194"/>
      <c r="K21" s="194"/>
      <c r="L21" s="76"/>
      <c r="M21" s="194"/>
      <c r="N21" s="202"/>
      <c r="Q21" s="57"/>
      <c r="R21" s="194"/>
      <c r="S21" s="194"/>
      <c r="T21" s="76"/>
      <c r="U21" s="194"/>
      <c r="V21" s="202"/>
      <c r="W21" s="56"/>
      <c r="X21" s="57"/>
      <c r="Y21" s="194"/>
      <c r="Z21" s="194"/>
      <c r="AA21" s="76"/>
      <c r="AB21" s="194"/>
      <c r="AC21" s="202"/>
      <c r="AF21" s="57"/>
      <c r="AG21" s="194"/>
      <c r="AH21" s="194"/>
      <c r="AI21" s="76"/>
      <c r="AJ21" s="194"/>
      <c r="AK21" s="202"/>
      <c r="AL21" s="56"/>
      <c r="AM21" s="57"/>
      <c r="AN21" s="194"/>
      <c r="AO21" s="194"/>
      <c r="AP21" s="76"/>
      <c r="AQ21" s="194"/>
      <c r="AR21" s="202"/>
      <c r="AU21" s="57"/>
      <c r="AV21" s="194"/>
      <c r="AW21" s="194"/>
      <c r="AX21" s="76"/>
      <c r="AY21" s="194"/>
      <c r="AZ21" s="202"/>
      <c r="BA21" s="56"/>
      <c r="BB21" s="57"/>
      <c r="BC21" s="194"/>
      <c r="BD21" s="194"/>
      <c r="BE21" s="76"/>
      <c r="BF21" s="194"/>
      <c r="BG21" s="202"/>
      <c r="BJ21" s="57"/>
      <c r="BK21" s="194"/>
      <c r="BL21" s="194"/>
      <c r="BM21" s="76"/>
      <c r="BN21" s="194"/>
      <c r="BO21" s="202"/>
      <c r="BP21" s="56"/>
      <c r="BQ21" s="57"/>
      <c r="BR21" s="194"/>
      <c r="BS21" s="194"/>
      <c r="BT21" s="76"/>
      <c r="BU21" s="194"/>
      <c r="BV21" s="202"/>
      <c r="BY21" s="57"/>
      <c r="BZ21" s="194"/>
      <c r="CA21" s="194"/>
      <c r="CB21" s="76"/>
      <c r="CC21" s="194"/>
      <c r="CD21" s="202"/>
      <c r="CE21" s="56"/>
      <c r="CF21" s="57"/>
      <c r="CG21" s="194"/>
      <c r="CH21" s="194"/>
      <c r="CI21" s="76"/>
      <c r="CJ21" s="194"/>
      <c r="CK21" s="202"/>
      <c r="CN21" s="57"/>
      <c r="CO21" s="194"/>
      <c r="CP21" s="194"/>
      <c r="CQ21" s="76"/>
      <c r="CR21" s="194"/>
      <c r="CS21" s="202"/>
      <c r="CT21" s="56"/>
      <c r="CU21" s="57"/>
      <c r="CV21" s="194"/>
      <c r="CW21" s="194"/>
      <c r="CX21" s="76"/>
      <c r="CY21" s="194"/>
      <c r="CZ21" s="202"/>
      <c r="DC21" s="57"/>
      <c r="DD21" s="194"/>
      <c r="DE21" s="194"/>
      <c r="DF21" s="76"/>
      <c r="DG21" s="194"/>
      <c r="DH21" s="202"/>
      <c r="DI21" s="56"/>
      <c r="DJ21" s="57"/>
      <c r="DK21" s="194"/>
      <c r="DL21" s="194"/>
      <c r="DM21" s="76"/>
      <c r="DN21" s="194"/>
      <c r="DO21" s="202"/>
      <c r="DR21" s="57"/>
      <c r="DS21" s="194"/>
      <c r="DT21" s="194"/>
      <c r="DU21" s="76"/>
      <c r="DV21" s="194"/>
      <c r="DW21" s="202"/>
      <c r="DX21" s="56"/>
      <c r="DY21" s="57"/>
      <c r="DZ21" s="194"/>
      <c r="EA21" s="194"/>
      <c r="EB21" s="76"/>
      <c r="EC21" s="194"/>
      <c r="ED21" s="202"/>
      <c r="EG21" s="57"/>
      <c r="EH21" s="194"/>
      <c r="EI21" s="194"/>
      <c r="EJ21" s="76"/>
      <c r="EK21" s="194"/>
      <c r="EL21" s="202"/>
      <c r="EM21" s="56"/>
      <c r="EN21" s="57"/>
      <c r="EO21" s="194"/>
      <c r="EP21" s="194"/>
      <c r="EQ21" s="76"/>
      <c r="ER21" s="194"/>
      <c r="ES21" s="202"/>
    </row>
    <row r="22" spans="1:150" s="63" customFormat="1" x14ac:dyDescent="0.55000000000000004">
      <c r="A22" s="62"/>
      <c r="B22" s="69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7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9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7"/>
      <c r="F22" s="69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2"/>
      <c r="H22" s="51"/>
      <c r="I22" s="69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7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9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7"/>
      <c r="M22" s="69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2"/>
      <c r="O22" s="51"/>
      <c r="P22" s="62"/>
      <c r="Q22" s="69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7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9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7"/>
      <c r="U22" s="69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2"/>
      <c r="W22" s="51"/>
      <c r="X22" s="69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7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9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7"/>
      <c r="AB22" s="69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2"/>
      <c r="AD22" s="51"/>
      <c r="AE22" s="62"/>
      <c r="AF22" s="69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7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9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7"/>
      <c r="AJ22" s="69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2"/>
      <c r="AL22" s="51"/>
      <c r="AM22" s="69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7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9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7"/>
      <c r="AQ22" s="69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2"/>
      <c r="AS22" s="51"/>
      <c r="AT22" s="62"/>
      <c r="AU22" s="69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7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9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7"/>
      <c r="AY22" s="69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2"/>
      <c r="BA22" s="51"/>
      <c r="BB22" s="69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7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9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7"/>
      <c r="BF22" s="69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2"/>
      <c r="BH22" s="51"/>
      <c r="BI22" s="62"/>
      <c r="BJ22" s="69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7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9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7"/>
      <c r="BN22" s="69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2"/>
      <c r="BP22" s="51"/>
      <c r="BQ22" s="69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7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9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7"/>
      <c r="BU22" s="69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2"/>
      <c r="BW22" s="51"/>
      <c r="BX22" s="62"/>
      <c r="BY22" s="69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7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9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7"/>
      <c r="CC22" s="69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2"/>
      <c r="CE22" s="51"/>
      <c r="CF22" s="69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7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9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7"/>
      <c r="CJ22" s="69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2"/>
      <c r="CL22" s="51"/>
      <c r="CM22" s="62"/>
      <c r="CN22" s="69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7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9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7"/>
      <c r="CR22" s="69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2"/>
      <c r="CT22" s="51"/>
      <c r="CU22" s="69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7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9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7"/>
      <c r="CY22" s="69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2"/>
      <c r="DA22" s="51"/>
      <c r="DB22" s="62"/>
      <c r="DC22" s="69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7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9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7"/>
      <c r="DG22" s="69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2"/>
      <c r="DI22" s="51"/>
      <c r="DJ22" s="69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7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9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7"/>
      <c r="DN22" s="69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2"/>
      <c r="DP22" s="51"/>
      <c r="DQ22" s="62"/>
      <c r="DR22" s="69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7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9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7"/>
      <c r="DV22" s="69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2"/>
      <c r="DX22" s="51"/>
      <c r="DY22" s="69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7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9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7"/>
      <c r="EC22" s="69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2"/>
      <c r="EE22" s="51"/>
      <c r="EF22" s="62"/>
      <c r="EG22" s="69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7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9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7"/>
      <c r="EK22" s="69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2"/>
      <c r="EM22" s="51"/>
      <c r="EN22" s="69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7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9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7"/>
      <c r="ER22" s="69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2"/>
      <c r="ET22" s="51"/>
    </row>
    <row r="23" spans="1:150" ht="27.6" customHeight="1" x14ac:dyDescent="0.45">
      <c r="A23" s="127"/>
      <c r="B23" s="203" t="str">
        <f ca="1">IF(C20&lt;&gt;"",
IFERROR(INT(C20/C22),""),"")</f>
        <v/>
      </c>
      <c r="C23" s="202"/>
      <c r="D23" s="203" t="str">
        <f ca="1">IFERROR(MOD(C20,C22),"")</f>
        <v/>
      </c>
      <c r="E23" s="202"/>
      <c r="F23" s="201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02"/>
      <c r="I23" s="203" t="str">
        <f ca="1">IF(J20&lt;&gt;"",
IFERROR(INT(J20/J22),""),"")</f>
        <v/>
      </c>
      <c r="J23" s="202"/>
      <c r="K23" s="203" t="str">
        <f ca="1">IFERROR(MOD(J20,J22),"")</f>
        <v/>
      </c>
      <c r="L23" s="202"/>
      <c r="M23" s="201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02"/>
      <c r="Q23" s="203" t="str">
        <f ca="1">IF(R20&lt;&gt;"",
IFERROR(INT(R20/R22),""),"")</f>
        <v/>
      </c>
      <c r="R23" s="202"/>
      <c r="S23" s="203" t="str">
        <f ca="1">IFERROR(MOD(R20,R22),"")</f>
        <v/>
      </c>
      <c r="T23" s="202"/>
      <c r="U23" s="201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02"/>
      <c r="X23" s="203" t="str">
        <f ca="1">IF(Y20&lt;&gt;"",
IFERROR(INT(Y20/Y22),""),"")</f>
        <v/>
      </c>
      <c r="Y23" s="202"/>
      <c r="Z23" s="203" t="str">
        <f ca="1">IFERROR(MOD(Y20,Y22),"")</f>
        <v/>
      </c>
      <c r="AA23" s="202"/>
      <c r="AB23" s="201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02"/>
      <c r="AF23" s="203" t="str">
        <f ca="1">IF(AG20&lt;&gt;"",
IFERROR(INT(AG20/AG22),""),"")</f>
        <v/>
      </c>
      <c r="AG23" s="202"/>
      <c r="AH23" s="203" t="str">
        <f ca="1">IFERROR(MOD(AG20,AG22),"")</f>
        <v/>
      </c>
      <c r="AI23" s="202"/>
      <c r="AJ23" s="201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02"/>
      <c r="AM23" s="203" t="str">
        <f ca="1">IF(AN20&lt;&gt;"",
IFERROR(INT(AN20/AN22),""),"")</f>
        <v/>
      </c>
      <c r="AN23" s="202"/>
      <c r="AO23" s="203" t="str">
        <f ca="1">IFERROR(MOD(AN20,AN22),"")</f>
        <v/>
      </c>
      <c r="AP23" s="202"/>
      <c r="AQ23" s="201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02"/>
      <c r="AU23" s="203" t="str">
        <f ca="1">IF(AV20&lt;&gt;"",
IFERROR(INT(AV20/AV22),""),"")</f>
        <v/>
      </c>
      <c r="AV23" s="202"/>
      <c r="AW23" s="203" t="str">
        <f ca="1">IFERROR(MOD(AV20,AV22),"")</f>
        <v/>
      </c>
      <c r="AX23" s="202"/>
      <c r="AY23" s="201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02"/>
      <c r="BB23" s="203" t="str">
        <f ca="1">IF(BC20&lt;&gt;"",
IFERROR(INT(BC20/BC22),""),"")</f>
        <v/>
      </c>
      <c r="BC23" s="202"/>
      <c r="BD23" s="203" t="str">
        <f ca="1">IFERROR(MOD(BC20,BC22),"")</f>
        <v/>
      </c>
      <c r="BE23" s="202"/>
      <c r="BF23" s="201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02"/>
      <c r="BJ23" s="203" t="str">
        <f ca="1">IF(BK20&lt;&gt;"",
IFERROR(INT(BK20/BK22),""),"")</f>
        <v/>
      </c>
      <c r="BK23" s="202"/>
      <c r="BL23" s="203" t="str">
        <f ca="1">IFERROR(MOD(BK20,BK22),"")</f>
        <v/>
      </c>
      <c r="BM23" s="202"/>
      <c r="BN23" s="201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02"/>
      <c r="BQ23" s="203" t="str">
        <f ca="1">IF(BR20&lt;&gt;"",
IFERROR(INT(BR20/BR22),""),"")</f>
        <v/>
      </c>
      <c r="BR23" s="202"/>
      <c r="BS23" s="203" t="str">
        <f ca="1">IFERROR(MOD(BR20,BR22),"")</f>
        <v/>
      </c>
      <c r="BT23" s="202"/>
      <c r="BU23" s="201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02"/>
      <c r="BY23" s="203" t="str">
        <f ca="1">IF(BZ20&lt;&gt;"",
IFERROR(INT(BZ20/BZ22),""),"")</f>
        <v/>
      </c>
      <c r="BZ23" s="202"/>
      <c r="CA23" s="203" t="str">
        <f ca="1">IFERROR(MOD(BZ20,BZ22),"")</f>
        <v/>
      </c>
      <c r="CB23" s="202"/>
      <c r="CC23" s="201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02"/>
      <c r="CF23" s="203" t="str">
        <f ca="1">IF(CG20&lt;&gt;"",
IFERROR(INT(CG20/CG22),""),"")</f>
        <v/>
      </c>
      <c r="CG23" s="202"/>
      <c r="CH23" s="203" t="str">
        <f ca="1">IFERROR(MOD(CG20,CG22),"")</f>
        <v/>
      </c>
      <c r="CI23" s="202"/>
      <c r="CJ23" s="201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02"/>
      <c r="CN23" s="203" t="str">
        <f ca="1">IF(CO20&lt;&gt;"",
IFERROR(INT(CO20/CO22),""),"")</f>
        <v/>
      </c>
      <c r="CO23" s="202"/>
      <c r="CP23" s="203" t="str">
        <f ca="1">IFERROR(MOD(CO20,CO22),"")</f>
        <v/>
      </c>
      <c r="CQ23" s="202"/>
      <c r="CR23" s="201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02"/>
      <c r="CU23" s="203" t="str">
        <f ca="1">IF(CV20&lt;&gt;"",
IFERROR(INT(CV20/CV22),""),"")</f>
        <v/>
      </c>
      <c r="CV23" s="202"/>
      <c r="CW23" s="203" t="str">
        <f ca="1">IFERROR(MOD(CV20,CV22),"")</f>
        <v/>
      </c>
      <c r="CX23" s="202"/>
      <c r="CY23" s="201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02"/>
      <c r="DC23" s="203" t="str">
        <f ca="1">IF(DD20&lt;&gt;"",
IFERROR(INT(DD20/DD22),""),"")</f>
        <v/>
      </c>
      <c r="DD23" s="202"/>
      <c r="DE23" s="203" t="str">
        <f ca="1">IFERROR(MOD(DD20,DD22),"")</f>
        <v/>
      </c>
      <c r="DF23" s="202"/>
      <c r="DG23" s="201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02"/>
      <c r="DJ23" s="203" t="str">
        <f ca="1">IF(DK20&lt;&gt;"",
IFERROR(INT(DK20/DK22),""),"")</f>
        <v/>
      </c>
      <c r="DK23" s="202"/>
      <c r="DL23" s="203" t="str">
        <f ca="1">IFERROR(MOD(DK20,DK22),"")</f>
        <v/>
      </c>
      <c r="DM23" s="202"/>
      <c r="DN23" s="201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02"/>
      <c r="DR23" s="203" t="str">
        <f ca="1">IF(DS20&lt;&gt;"",
IFERROR(INT(DS20/DS22),""),"")</f>
        <v/>
      </c>
      <c r="DS23" s="202"/>
      <c r="DT23" s="203" t="str">
        <f ca="1">IFERROR(MOD(DS20,DS22),"")</f>
        <v/>
      </c>
      <c r="DU23" s="202"/>
      <c r="DV23" s="201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02"/>
      <c r="DY23" s="203" t="str">
        <f ca="1">IF(DZ20&lt;&gt;"",
IFERROR(INT(DZ20/DZ22),""),"")</f>
        <v/>
      </c>
      <c r="DZ23" s="202"/>
      <c r="EA23" s="203" t="str">
        <f ca="1">IFERROR(MOD(DZ20,DZ22),"")</f>
        <v/>
      </c>
      <c r="EB23" s="202"/>
      <c r="EC23" s="201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02"/>
      <c r="EG23" s="203" t="str">
        <f ca="1">IF(EH20&lt;&gt;"",
IFERROR(INT(EH20/EH22),""),"")</f>
        <v/>
      </c>
      <c r="EH23" s="202"/>
      <c r="EI23" s="203" t="str">
        <f ca="1">IFERROR(MOD(EH20,EH22),"")</f>
        <v/>
      </c>
      <c r="EJ23" s="202"/>
      <c r="EK23" s="201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02"/>
      <c r="EN23" s="203" t="str">
        <f ca="1">IF(EO20&lt;&gt;"",
IFERROR(INT(EO20/EO22),""),"")</f>
        <v/>
      </c>
      <c r="EO23" s="202"/>
      <c r="EP23" s="203" t="str">
        <f ca="1">IFERROR(MOD(EO20,EO22),"")</f>
        <v/>
      </c>
      <c r="EQ23" s="202"/>
      <c r="ER23" s="201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02"/>
    </row>
    <row r="24" spans="1:150" ht="6.6" customHeight="1" x14ac:dyDescent="0.55000000000000004">
      <c r="A24" s="127"/>
      <c r="B24" s="77"/>
      <c r="D24" s="77"/>
      <c r="F24" s="78"/>
      <c r="I24" s="77"/>
      <c r="K24" s="77"/>
      <c r="M24" s="78"/>
      <c r="Q24" s="77"/>
      <c r="S24" s="77"/>
      <c r="U24" s="78"/>
      <c r="X24" s="77"/>
      <c r="Z24" s="77"/>
      <c r="AB24" s="78"/>
      <c r="AF24" s="77"/>
      <c r="AH24" s="77"/>
      <c r="AJ24" s="78"/>
      <c r="AM24" s="77"/>
      <c r="AO24" s="77"/>
      <c r="AQ24" s="78"/>
      <c r="AU24" s="77"/>
      <c r="AW24" s="77"/>
      <c r="AY24" s="78"/>
      <c r="BB24" s="77"/>
      <c r="BD24" s="77"/>
      <c r="BF24" s="78"/>
      <c r="BJ24" s="77"/>
      <c r="BL24" s="77"/>
      <c r="BN24" s="78"/>
      <c r="BQ24" s="77"/>
      <c r="BS24" s="77"/>
      <c r="BU24" s="78"/>
      <c r="BY24" s="77"/>
      <c r="CA24" s="77"/>
      <c r="CC24" s="78"/>
      <c r="CF24" s="77"/>
      <c r="CH24" s="77"/>
      <c r="CJ24" s="78"/>
      <c r="CN24" s="77"/>
      <c r="CP24" s="77"/>
      <c r="CR24" s="78"/>
      <c r="CU24" s="77"/>
      <c r="CW24" s="77"/>
      <c r="CY24" s="78"/>
      <c r="DC24" s="77"/>
      <c r="DE24" s="77"/>
      <c r="DG24" s="78"/>
      <c r="DJ24" s="77"/>
      <c r="DL24" s="77"/>
      <c r="DN24" s="78"/>
      <c r="DR24" s="77"/>
      <c r="DT24" s="77"/>
      <c r="DV24" s="78"/>
      <c r="DY24" s="77"/>
      <c r="EA24" s="77"/>
      <c r="EC24" s="78"/>
      <c r="EG24" s="77"/>
      <c r="EI24" s="77"/>
      <c r="EK24" s="78"/>
      <c r="EN24" s="77"/>
      <c r="EP24" s="77"/>
      <c r="ER24" s="78"/>
    </row>
    <row r="25" spans="1:150" s="63" customFormat="1" ht="25.8" customHeight="1" x14ac:dyDescent="0.55000000000000004">
      <c r="A25" s="62">
        <f ca="1">IF(OR(I18="●",I18="△"),
H17+2,H17+1)</f>
        <v>7</v>
      </c>
      <c r="B25" s="75" t="str">
        <f ca="1">IF(C25&lt;&gt;"",
MID(貼り付け用!$A$2, FIND("年",貼り付け用!$A$2)+1,2)&amp;"/"&amp;MID(貼り付け用!$A$2, FIND("月",貼り付け用!$A$2)+1,2),"")</f>
        <v/>
      </c>
      <c r="C25" s="209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199"/>
      <c r="E25" s="199"/>
      <c r="F25" s="199"/>
      <c r="G25" s="74" t="str">
        <f t="array" aca="1" ref="G25" ca="1">IF(C25&lt;&gt;"",
IF(AND(INDIRECT("'盛付札（関数）'!FI"&amp;A25)&gt;=124,INDIRECT("'盛付札（関数）'!FI"&amp;A25)&lt;=144),"",
"様"),"")</f>
        <v/>
      </c>
      <c r="H25" s="68">
        <f ca="1">IF(OR(B26="●",B26="△"),
A25+2,A25+1)</f>
        <v>8</v>
      </c>
      <c r="I25" s="75" t="str">
        <f ca="1">IF(J25&lt;&gt;"",
MID(貼り付け用!$A$2, FIND("年",貼り付け用!$A$2)+1,2)&amp;"/"&amp;MID(貼り付け用!$A$2, FIND("月",貼り付け用!$A$2)+1,2),"")</f>
        <v/>
      </c>
      <c r="J25" s="209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199"/>
      <c r="L25" s="199"/>
      <c r="M25" s="199"/>
      <c r="N25" s="74" t="str">
        <f t="array" aca="1" ref="N25" ca="1">IF(J25&lt;&gt;"",
IF(AND(INDIRECT("'盛付札（関数）'!FI"&amp;H25)&gt;=124,INDIRECT("'盛付札（関数）'!FI"&amp;H25)&lt;=144),"",
"様"),"")</f>
        <v/>
      </c>
      <c r="O25" s="51"/>
      <c r="P25" s="62">
        <f ca="1">IF(OR(X18="●",X18="△"),
W17+2,W17+1)</f>
        <v>19</v>
      </c>
      <c r="Q25" s="75" t="str">
        <f ca="1">IF(R25&lt;&gt;"",
MID(貼り付け用!$A$2, FIND("年",貼り付け用!$A$2)+1,2)&amp;"/"&amp;MID(貼り付け用!$A$2, FIND("月",貼り付け用!$A$2)+1,2),"")</f>
        <v/>
      </c>
      <c r="R25" s="209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199"/>
      <c r="T25" s="199"/>
      <c r="U25" s="199"/>
      <c r="V25" s="74" t="str">
        <f t="array" aca="1" ref="V25" ca="1">IF(R25&lt;&gt;"",
IF(AND(INDIRECT("'盛付札（関数）'!FI"&amp;P25)&gt;=124,INDIRECT("'盛付札（関数）'!FI"&amp;P25)&lt;=144),"",
"様"),"")</f>
        <v/>
      </c>
      <c r="W25" s="68">
        <f ca="1">IF(OR(Q26="●",Q26="△"),
P25+2,P25+1)</f>
        <v>20</v>
      </c>
      <c r="X25" s="75" t="str">
        <f ca="1">IF(Y25&lt;&gt;"",
MID(貼り付け用!$A$2, FIND("年",貼り付け用!$A$2)+1,2)&amp;"/"&amp;MID(貼り付け用!$A$2, FIND("月",貼り付け用!$A$2)+1,2),"")</f>
        <v/>
      </c>
      <c r="Y25" s="209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199"/>
      <c r="AA25" s="199"/>
      <c r="AB25" s="199"/>
      <c r="AC25" s="74" t="str">
        <f t="array" aca="1" ref="AC25" ca="1">IF(Y25&lt;&gt;"",
IF(AND(INDIRECT("'盛付札（関数）'!FI"&amp;W25)&gt;=124,INDIRECT("'盛付札（関数）'!FI"&amp;W25)&lt;=144),"",
"様"),"")</f>
        <v/>
      </c>
      <c r="AD25" s="51"/>
      <c r="AE25" s="62">
        <f ca="1">IF(OR(AM18="●",AM18="△"),
AL17+2,AL17+1)</f>
        <v>31</v>
      </c>
      <c r="AF25" s="75" t="str">
        <f ca="1">IF(AG25&lt;&gt;"",
MID(貼り付け用!$A$2, FIND("年",貼り付け用!$A$2)+1,2)&amp;"/"&amp;MID(貼り付け用!$A$2, FIND("月",貼り付け用!$A$2)+1,2),"")</f>
        <v/>
      </c>
      <c r="AG25" s="209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199"/>
      <c r="AI25" s="199"/>
      <c r="AJ25" s="199"/>
      <c r="AK25" s="74" t="str">
        <f t="array" aca="1" ref="AK25" ca="1">IF(AG25&lt;&gt;"",
IF(AND(INDIRECT("'盛付札（関数）'!FI"&amp;AE25)&gt;=124,INDIRECT("'盛付札（関数）'!FI"&amp;AE25)&lt;=144),"",
"様"),"")</f>
        <v/>
      </c>
      <c r="AL25" s="68">
        <f ca="1">IF(OR(AF26="●",AF26="△"),
AE25+2,AE25+1)</f>
        <v>32</v>
      </c>
      <c r="AM25" s="75" t="str">
        <f ca="1">IF(AN25&lt;&gt;"",
MID(貼り付け用!$A$2, FIND("年",貼り付け用!$A$2)+1,2)&amp;"/"&amp;MID(貼り付け用!$A$2, FIND("月",貼り付け用!$A$2)+1,2),"")</f>
        <v/>
      </c>
      <c r="AN25" s="209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199"/>
      <c r="AP25" s="199"/>
      <c r="AQ25" s="199"/>
      <c r="AR25" s="74" t="str">
        <f t="array" aca="1" ref="AR25" ca="1">IF(AN25&lt;&gt;"",
IF(AND(INDIRECT("'盛付札（関数）'!FI"&amp;AL25)&gt;=124,INDIRECT("'盛付札（関数）'!FI"&amp;AL25)&lt;=144),"",
"様"),"")</f>
        <v/>
      </c>
      <c r="AS25" s="51"/>
      <c r="AT25" s="62">
        <f ca="1">IF(OR(BB18="●",BB18="△"),
BA17+2,BA17+1)</f>
        <v>43</v>
      </c>
      <c r="AU25" s="75" t="str">
        <f ca="1">IF(AV25&lt;&gt;"",
MID(貼り付け用!$A$2, FIND("年",貼り付け用!$A$2)+1,2)&amp;"/"&amp;MID(貼り付け用!$A$2, FIND("月",貼り付け用!$A$2)+1,2),"")</f>
        <v/>
      </c>
      <c r="AV25" s="209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199"/>
      <c r="AX25" s="199"/>
      <c r="AY25" s="199"/>
      <c r="AZ25" s="74" t="str">
        <f t="array" aca="1" ref="AZ25" ca="1">IF(AV25&lt;&gt;"",
IF(AND(INDIRECT("'盛付札（関数）'!FI"&amp;AT25)&gt;=124,INDIRECT("'盛付札（関数）'!FI"&amp;AT25)&lt;=144),"",
"様"),"")</f>
        <v/>
      </c>
      <c r="BA25" s="68">
        <f ca="1">IF(OR(AU26="●",AU26="△"),
AT25+2,AT25+1)</f>
        <v>44</v>
      </c>
      <c r="BB25" s="75" t="str">
        <f ca="1">IF(BC25&lt;&gt;"",
MID(貼り付け用!$A$2, FIND("年",貼り付け用!$A$2)+1,2)&amp;"/"&amp;MID(貼り付け用!$A$2, FIND("月",貼り付け用!$A$2)+1,2),"")</f>
        <v/>
      </c>
      <c r="BC25" s="209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199"/>
      <c r="BE25" s="199"/>
      <c r="BF25" s="199"/>
      <c r="BG25" s="74" t="str">
        <f t="array" aca="1" ref="BG25" ca="1">IF(BC25&lt;&gt;"",
IF(AND(INDIRECT("'盛付札（関数）'!FI"&amp;BA25)&gt;=124,INDIRECT("'盛付札（関数）'!FI"&amp;BA25)&lt;=144),"",
"様"),"")</f>
        <v/>
      </c>
      <c r="BH25" s="51"/>
      <c r="BI25" s="62">
        <f ca="1">IF(OR(BQ18="●",BQ18="△"),
BP17+2,BP17+1)</f>
        <v>55</v>
      </c>
      <c r="BJ25" s="75" t="str">
        <f ca="1">IF(BK25&lt;&gt;"",
MID(貼り付け用!$A$2, FIND("年",貼り付け用!$A$2)+1,2)&amp;"/"&amp;MID(貼り付け用!$A$2, FIND("月",貼り付け用!$A$2)+1,2),"")</f>
        <v/>
      </c>
      <c r="BK25" s="209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199"/>
      <c r="BM25" s="199"/>
      <c r="BN25" s="199"/>
      <c r="BO25" s="74" t="str">
        <f t="array" aca="1" ref="BO25" ca="1">IF(BK25&lt;&gt;"",
IF(AND(INDIRECT("'盛付札（関数）'!FI"&amp;BI25)&gt;=124,INDIRECT("'盛付札（関数）'!FI"&amp;BI25)&lt;=144),"",
"様"),"")</f>
        <v/>
      </c>
      <c r="BP25" s="68">
        <f ca="1">IF(OR(BJ26="●",BJ26="△"),
BI25+2,BI25+1)</f>
        <v>56</v>
      </c>
      <c r="BQ25" s="75" t="str">
        <f ca="1">IF(BR25&lt;&gt;"",
MID(貼り付け用!$A$2, FIND("年",貼り付け用!$A$2)+1,2)&amp;"/"&amp;MID(貼り付け用!$A$2, FIND("月",貼り付け用!$A$2)+1,2),"")</f>
        <v/>
      </c>
      <c r="BR25" s="209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199"/>
      <c r="BT25" s="199"/>
      <c r="BU25" s="199"/>
      <c r="BV25" s="74" t="str">
        <f t="array" aca="1" ref="BV25" ca="1">IF(BR25&lt;&gt;"",
IF(AND(INDIRECT("'盛付札（関数）'!FI"&amp;BP25)&gt;=124,INDIRECT("'盛付札（関数）'!FI"&amp;BP25)&lt;=144),"",
"様"),"")</f>
        <v/>
      </c>
      <c r="BW25" s="51"/>
      <c r="BX25" s="62">
        <f ca="1">IF(OR(CF18="●",CF18="△"),
CE17+2,CE17+1)</f>
        <v>67</v>
      </c>
      <c r="BY25" s="75" t="str">
        <f ca="1">IF(BZ25&lt;&gt;"",
MID(貼り付け用!$A$2, FIND("年",貼り付け用!$A$2)+1,2)&amp;"/"&amp;MID(貼り付け用!$A$2, FIND("月",貼り付け用!$A$2)+1,2),"")</f>
        <v/>
      </c>
      <c r="BZ25" s="209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199"/>
      <c r="CB25" s="199"/>
      <c r="CC25" s="199"/>
      <c r="CD25" s="74" t="str">
        <f t="array" aca="1" ref="CD25" ca="1">IF(BZ25&lt;&gt;"",
IF(AND(INDIRECT("'盛付札（関数）'!FI"&amp;BX25)&gt;=124,INDIRECT("'盛付札（関数）'!FI"&amp;BX25)&lt;=144),"",
"様"),"")</f>
        <v/>
      </c>
      <c r="CE25" s="68">
        <f ca="1">IF(OR(BY26="●",BY26="△"),
BX25+2,BX25+1)</f>
        <v>68</v>
      </c>
      <c r="CF25" s="75" t="str">
        <f ca="1">IF(CG25&lt;&gt;"",
MID(貼り付け用!$A$2, FIND("年",貼り付け用!$A$2)+1,2)&amp;"/"&amp;MID(貼り付け用!$A$2, FIND("月",貼り付け用!$A$2)+1,2),"")</f>
        <v/>
      </c>
      <c r="CG25" s="209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199"/>
      <c r="CI25" s="199"/>
      <c r="CJ25" s="199"/>
      <c r="CK25" s="74" t="str">
        <f t="array" aca="1" ref="CK25" ca="1">IF(CG25&lt;&gt;"",
IF(AND(INDIRECT("'盛付札（関数）'!FI"&amp;CE25)&gt;=124,INDIRECT("'盛付札（関数）'!FI"&amp;CE25)&lt;=144),"",
"様"),"")</f>
        <v/>
      </c>
      <c r="CL25" s="51"/>
      <c r="CM25" s="62">
        <f ca="1">IF(OR(CU18="●",CU18="△"),
CT17+2,CT17+1)</f>
        <v>79</v>
      </c>
      <c r="CN25" s="75" t="str">
        <f ca="1">IF(CO25&lt;&gt;"",
MID(貼り付け用!$A$2, FIND("年",貼り付け用!$A$2)+1,2)&amp;"/"&amp;MID(貼り付け用!$A$2, FIND("月",貼り付け用!$A$2)+1,2),"")</f>
        <v/>
      </c>
      <c r="CO25" s="209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199"/>
      <c r="CQ25" s="199"/>
      <c r="CR25" s="199"/>
      <c r="CS25" s="74" t="str">
        <f t="array" aca="1" ref="CS25" ca="1">IF(CO25&lt;&gt;"",
IF(AND(INDIRECT("'盛付札（関数）'!FI"&amp;CM25)&gt;=124,INDIRECT("'盛付札（関数）'!FI"&amp;CM25)&lt;=144),"",
"様"),"")</f>
        <v/>
      </c>
      <c r="CT25" s="68">
        <f ca="1">IF(OR(CN26="●",CN26="△"),
CM25+2,CM25+1)</f>
        <v>80</v>
      </c>
      <c r="CU25" s="75" t="str">
        <f ca="1">IF(CV25&lt;&gt;"",
MID(貼り付け用!$A$2, FIND("年",貼り付け用!$A$2)+1,2)&amp;"/"&amp;MID(貼り付け用!$A$2, FIND("月",貼り付け用!$A$2)+1,2),"")</f>
        <v/>
      </c>
      <c r="CV25" s="209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199"/>
      <c r="CX25" s="199"/>
      <c r="CY25" s="199"/>
      <c r="CZ25" s="74" t="str">
        <f t="array" aca="1" ref="CZ25" ca="1">IF(CV25&lt;&gt;"",
IF(AND(INDIRECT("'盛付札（関数）'!FI"&amp;CT25)&gt;=124,INDIRECT("'盛付札（関数）'!FI"&amp;CT25)&lt;=144),"",
"様"),"")</f>
        <v/>
      </c>
      <c r="DA25" s="51"/>
      <c r="DB25" s="62">
        <f ca="1">IF(OR(DJ18="●",DJ18="△"),
DI17+2,DI17+1)</f>
        <v>91</v>
      </c>
      <c r="DC25" s="75" t="str">
        <f ca="1">IF(DD25&lt;&gt;"",
MID(貼り付け用!$A$2, FIND("年",貼り付け用!$A$2)+1,2)&amp;"/"&amp;MID(貼り付け用!$A$2, FIND("月",貼り付け用!$A$2)+1,2),"")</f>
        <v/>
      </c>
      <c r="DD25" s="209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199"/>
      <c r="DF25" s="199"/>
      <c r="DG25" s="199"/>
      <c r="DH25" s="74" t="str">
        <f t="array" aca="1" ref="DH25" ca="1">IF(DD25&lt;&gt;"",
IF(AND(INDIRECT("'盛付札（関数）'!FI"&amp;DB25)&gt;=124,INDIRECT("'盛付札（関数）'!FI"&amp;DB25)&lt;=144),"",
"様"),"")</f>
        <v/>
      </c>
      <c r="DI25" s="68">
        <f ca="1">IF(OR(DC26="●",DC26="△"),
DB25+2,DB25+1)</f>
        <v>92</v>
      </c>
      <c r="DJ25" s="75" t="str">
        <f ca="1">IF(DK25&lt;&gt;"",
MID(貼り付け用!$A$2, FIND("年",貼り付け用!$A$2)+1,2)&amp;"/"&amp;MID(貼り付け用!$A$2, FIND("月",貼り付け用!$A$2)+1,2),"")</f>
        <v/>
      </c>
      <c r="DK25" s="209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199"/>
      <c r="DM25" s="199"/>
      <c r="DN25" s="199"/>
      <c r="DO25" s="74" t="str">
        <f t="array" aca="1" ref="DO25" ca="1">IF(DK25&lt;&gt;"",
IF(AND(INDIRECT("'盛付札（関数）'!FI"&amp;DI25)&gt;=124,INDIRECT("'盛付札（関数）'!FI"&amp;DI25)&lt;=144),"",
"様"),"")</f>
        <v/>
      </c>
      <c r="DP25" s="51"/>
      <c r="DQ25" s="62">
        <f ca="1">IF(OR(DY18="●",DY18="△"),
DX17+2,DX17+1)</f>
        <v>103</v>
      </c>
      <c r="DR25" s="75" t="str">
        <f ca="1">IF(DS25&lt;&gt;"",
MID(貼り付け用!$A$2, FIND("年",貼り付け用!$A$2)+1,2)&amp;"/"&amp;MID(貼り付け用!$A$2, FIND("月",貼り付け用!$A$2)+1,2),"")</f>
        <v/>
      </c>
      <c r="DS25" s="209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199"/>
      <c r="DU25" s="199"/>
      <c r="DV25" s="199"/>
      <c r="DW25" s="74" t="str">
        <f t="array" aca="1" ref="DW25" ca="1">IF(DS25&lt;&gt;"",
IF(AND(INDIRECT("'盛付札（関数）'!FI"&amp;DQ25)&gt;=124,INDIRECT("'盛付札（関数）'!FI"&amp;DQ25)&lt;=144),"",
"様"),"")</f>
        <v/>
      </c>
      <c r="DX25" s="68">
        <f ca="1">IF(OR(DR26="●",DR26="△"),
DQ25+2,DQ25+1)</f>
        <v>104</v>
      </c>
      <c r="DY25" s="75" t="str">
        <f ca="1">IF(DZ25&lt;&gt;"",
MID(貼り付け用!$A$2, FIND("年",貼り付け用!$A$2)+1,2)&amp;"/"&amp;MID(貼り付け用!$A$2, FIND("月",貼り付け用!$A$2)+1,2),"")</f>
        <v/>
      </c>
      <c r="DZ25" s="209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199"/>
      <c r="EB25" s="199"/>
      <c r="EC25" s="199"/>
      <c r="ED25" s="74" t="str">
        <f t="array" aca="1" ref="ED25" ca="1">IF(DZ25&lt;&gt;"",
IF(AND(INDIRECT("'盛付札（関数）'!FI"&amp;DX25)&gt;=124,INDIRECT("'盛付札（関数）'!FI"&amp;DX25)&lt;=144),"",
"様"),"")</f>
        <v/>
      </c>
      <c r="EE25" s="51"/>
      <c r="EF25" s="62">
        <f ca="1">IF(OR(EN18="●",EN18="△"),
EM17+2,EM17+1)</f>
        <v>115</v>
      </c>
      <c r="EG25" s="75" t="str">
        <f ca="1">IF(EH25&lt;&gt;"",
MID(貼り付け用!$A$2, FIND("年",貼り付け用!$A$2)+1,2)&amp;"/"&amp;MID(貼り付け用!$A$2, FIND("月",貼り付け用!$A$2)+1,2),"")</f>
        <v/>
      </c>
      <c r="EH25" s="209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199"/>
      <c r="EJ25" s="199"/>
      <c r="EK25" s="199"/>
      <c r="EL25" s="74" t="str">
        <f t="array" aca="1" ref="EL25" ca="1">IF(EH25&lt;&gt;"",
IF(AND(INDIRECT("'盛付札（関数）'!FI"&amp;EF25)&gt;=124,INDIRECT("'盛付札（関数）'!FI"&amp;EF25)&lt;=144),"",
"様"),"")</f>
        <v/>
      </c>
      <c r="EM25" s="68">
        <f ca="1">IF(OR(EG26="●",EG26="△"),
EF25+2,EF25+1)</f>
        <v>116</v>
      </c>
      <c r="EN25" s="75" t="str">
        <f ca="1">IF(EO25&lt;&gt;"",
MID(貼り付け用!$A$2, FIND("年",貼り付け用!$A$2)+1,2)&amp;"/"&amp;MID(貼り付け用!$A$2, FIND("月",貼り付け用!$A$2)+1,2),"")</f>
        <v/>
      </c>
      <c r="EO25" s="209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199"/>
      <c r="EQ25" s="199"/>
      <c r="ER25" s="199"/>
      <c r="ES25" s="74" t="str">
        <f t="array" aca="1" ref="ES25" ca="1">IF(EO25&lt;&gt;"",
IF(AND(INDIRECT("'盛付札（関数）'!FI"&amp;EM25)&gt;=124,INDIRECT("'盛付札（関数）'!FI"&amp;EM25)&lt;=144),"",
"様"),"")</f>
        <v/>
      </c>
      <c r="ET25" s="51"/>
    </row>
    <row r="26" spans="1:150" s="63" customFormat="1" x14ac:dyDescent="0.55000000000000004">
      <c r="A26" s="62"/>
      <c r="B26" s="64" t="str">
        <f ca="1">IF(COUNTIF(INDIRECT("'盛付札（関数）'!FJ"&amp;A25+1),"*雙葉*"),"●",
"〇")</f>
        <v>〇</v>
      </c>
      <c r="C26" s="79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3"/>
      <c r="E26" s="73"/>
      <c r="F26" s="80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1"/>
      <c r="H26" s="81"/>
      <c r="I26" s="64" t="str">
        <f ca="1">IF(COUNTIF(INDIRECT("'盛付札（関数）'!FJ"&amp;H25+1),"*雙葉*"),"●",
"〇")</f>
        <v>〇</v>
      </c>
      <c r="J26" s="79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3"/>
      <c r="L26" s="73"/>
      <c r="M26" s="80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1"/>
      <c r="O26" s="51"/>
      <c r="P26" s="62"/>
      <c r="Q26" s="64" t="str">
        <f ca="1">IF(COUNTIF(INDIRECT("'盛付札（関数）'!FJ"&amp;P25+1),"*雙葉*"),"●",
"〇")</f>
        <v>〇</v>
      </c>
      <c r="R26" s="79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3"/>
      <c r="T26" s="73"/>
      <c r="U26" s="80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1"/>
      <c r="W26" s="81"/>
      <c r="X26" s="64" t="str">
        <f ca="1">IF(COUNTIF(INDIRECT("'盛付札（関数）'!FJ"&amp;W25+1),"*雙葉*"),"●",
"〇")</f>
        <v>〇</v>
      </c>
      <c r="Y26" s="79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3"/>
      <c r="AA26" s="73"/>
      <c r="AB26" s="80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1"/>
      <c r="AD26" s="51"/>
      <c r="AE26" s="62"/>
      <c r="AF26" s="64" t="str">
        <f ca="1">IF(COUNTIF(INDIRECT("'盛付札（関数）'!FJ"&amp;AE25+1),"*雙葉*"),"●",
"〇")</f>
        <v>〇</v>
      </c>
      <c r="AG26" s="79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3"/>
      <c r="AI26" s="73"/>
      <c r="AJ26" s="80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1"/>
      <c r="AL26" s="81"/>
      <c r="AM26" s="64" t="str">
        <f ca="1">IF(COUNTIF(INDIRECT("'盛付札（関数）'!FJ"&amp;AL25+1),"*雙葉*"),"●",
"〇")</f>
        <v>〇</v>
      </c>
      <c r="AN26" s="79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3"/>
      <c r="AP26" s="73"/>
      <c r="AQ26" s="80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1"/>
      <c r="AS26" s="51"/>
      <c r="AT26" s="62"/>
      <c r="AU26" s="64" t="str">
        <f ca="1">IF(COUNTIF(INDIRECT("'盛付札（関数）'!FJ"&amp;AT25+1),"*雙葉*"),"●",
"〇")</f>
        <v>〇</v>
      </c>
      <c r="AV26" s="79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3"/>
      <c r="AX26" s="73"/>
      <c r="AY26" s="80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1"/>
      <c r="BA26" s="81"/>
      <c r="BB26" s="64" t="str">
        <f ca="1">IF(COUNTIF(INDIRECT("'盛付札（関数）'!FJ"&amp;BA25+1),"*雙葉*"),"●",
"〇")</f>
        <v>〇</v>
      </c>
      <c r="BC26" s="79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3"/>
      <c r="BE26" s="73"/>
      <c r="BF26" s="80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1"/>
      <c r="BH26" s="51"/>
      <c r="BI26" s="62"/>
      <c r="BJ26" s="64" t="str">
        <f ca="1">IF(COUNTIF(INDIRECT("'盛付札（関数）'!FJ"&amp;BI25+1),"*雙葉*"),"●",
"〇")</f>
        <v>〇</v>
      </c>
      <c r="BK26" s="79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3"/>
      <c r="BM26" s="73"/>
      <c r="BN26" s="80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1"/>
      <c r="BP26" s="81"/>
      <c r="BQ26" s="64" t="str">
        <f ca="1">IF(COUNTIF(INDIRECT("'盛付札（関数）'!FJ"&amp;BP25+1),"*雙葉*"),"●",
"〇")</f>
        <v>〇</v>
      </c>
      <c r="BR26" s="79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3"/>
      <c r="BT26" s="73"/>
      <c r="BU26" s="80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1"/>
      <c r="BW26" s="51"/>
      <c r="BX26" s="62"/>
      <c r="BY26" s="64" t="str">
        <f ca="1">IF(COUNTIF(INDIRECT("'盛付札（関数）'!FJ"&amp;BX25+1),"*雙葉*"),"●",
"〇")</f>
        <v>〇</v>
      </c>
      <c r="BZ26" s="79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3"/>
      <c r="CB26" s="73"/>
      <c r="CC26" s="80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1"/>
      <c r="CE26" s="81"/>
      <c r="CF26" s="64" t="str">
        <f ca="1">IF(COUNTIF(INDIRECT("'盛付札（関数）'!FJ"&amp;CE25+1),"*雙葉*"),"●",
"〇")</f>
        <v>〇</v>
      </c>
      <c r="CG26" s="79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3"/>
      <c r="CI26" s="73"/>
      <c r="CJ26" s="80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1"/>
      <c r="CL26" s="51"/>
      <c r="CM26" s="62"/>
      <c r="CN26" s="64" t="str">
        <f ca="1">IF(COUNTIF(INDIRECT("'盛付札（関数）'!FJ"&amp;CM25+1),"*雙葉*"),"●",
"〇")</f>
        <v>〇</v>
      </c>
      <c r="CO26" s="79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3"/>
      <c r="CQ26" s="73"/>
      <c r="CR26" s="80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1"/>
      <c r="CT26" s="81"/>
      <c r="CU26" s="64" t="str">
        <f ca="1">IF(COUNTIF(INDIRECT("'盛付札（関数）'!FJ"&amp;CT25+1),"*雙葉*"),"●",
"〇")</f>
        <v>〇</v>
      </c>
      <c r="CV26" s="79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3"/>
      <c r="CX26" s="73"/>
      <c r="CY26" s="80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1"/>
      <c r="DA26" s="51"/>
      <c r="DB26" s="62"/>
      <c r="DC26" s="64" t="str">
        <f ca="1">IF(COUNTIF(INDIRECT("'盛付札（関数）'!FJ"&amp;DB25+1),"*雙葉*"),"●",
"〇")</f>
        <v>〇</v>
      </c>
      <c r="DD26" s="79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3"/>
      <c r="DF26" s="73"/>
      <c r="DG26" s="80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1"/>
      <c r="DI26" s="81"/>
      <c r="DJ26" s="64" t="str">
        <f ca="1">IF(COUNTIF(INDIRECT("'盛付札（関数）'!FJ"&amp;DI25+1),"*雙葉*"),"●",
"〇")</f>
        <v>〇</v>
      </c>
      <c r="DK26" s="79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3"/>
      <c r="DM26" s="73"/>
      <c r="DN26" s="80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1"/>
      <c r="DP26" s="51"/>
      <c r="DQ26" s="62"/>
      <c r="DR26" s="64" t="str">
        <f ca="1">IF(COUNTIF(INDIRECT("'盛付札（関数）'!FJ"&amp;DQ25+1),"*雙葉*"),"●",
"〇")</f>
        <v>〇</v>
      </c>
      <c r="DS26" s="79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3"/>
      <c r="DU26" s="73"/>
      <c r="DV26" s="80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1"/>
      <c r="DX26" s="81"/>
      <c r="DY26" s="64" t="str">
        <f ca="1">IF(COUNTIF(INDIRECT("'盛付札（関数）'!FJ"&amp;DX25+1),"*雙葉*"),"●",
"〇")</f>
        <v>〇</v>
      </c>
      <c r="DZ26" s="79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3"/>
      <c r="EB26" s="73"/>
      <c r="EC26" s="80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1"/>
      <c r="EE26" s="51"/>
      <c r="EF26" s="62"/>
      <c r="EG26" s="64" t="str">
        <f ca="1">IF(COUNTIF(INDIRECT("'盛付札（関数）'!FJ"&amp;EF25+1),"*雙葉*"),"●",
"〇")</f>
        <v>〇</v>
      </c>
      <c r="EH26" s="79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3"/>
      <c r="EJ26" s="73"/>
      <c r="EK26" s="80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1"/>
      <c r="EM26" s="81"/>
      <c r="EN26" s="64" t="str">
        <f ca="1">IF(COUNTIF(INDIRECT("'盛付札（関数）'!FJ"&amp;EM25+1),"*雙葉*"),"●",
"〇")</f>
        <v>〇</v>
      </c>
      <c r="EO26" s="79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3"/>
      <c r="EQ26" s="73"/>
      <c r="ER26" s="80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1"/>
      <c r="ET26" s="51"/>
    </row>
    <row r="27" spans="1:150" s="63" customFormat="1" x14ac:dyDescent="0.55000000000000004">
      <c r="A27" s="62"/>
      <c r="B27" s="66"/>
      <c r="C27" s="207" t="str" cm="1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08"/>
      <c r="E27" s="51"/>
      <c r="F27" s="63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2"/>
      <c r="H27" s="68"/>
      <c r="I27" s="66"/>
      <c r="J27" s="207" t="str" cm="1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08"/>
      <c r="L27" s="51"/>
      <c r="M27" s="63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2"/>
      <c r="O27" s="51"/>
      <c r="P27" s="62"/>
      <c r="Q27" s="66"/>
      <c r="R27" s="207" t="str" cm="1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08"/>
      <c r="T27" s="51"/>
      <c r="U27" s="63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2"/>
      <c r="W27" s="68"/>
      <c r="X27" s="66"/>
      <c r="Y27" s="207" t="str" cm="1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08"/>
      <c r="AA27" s="51"/>
      <c r="AB27" s="63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2"/>
      <c r="AD27" s="51"/>
      <c r="AE27" s="62"/>
      <c r="AF27" s="66"/>
      <c r="AG27" s="207" t="str" cm="1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08"/>
      <c r="AI27" s="51"/>
      <c r="AJ27" s="63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2"/>
      <c r="AL27" s="68"/>
      <c r="AM27" s="66"/>
      <c r="AN27" s="207" t="str" cm="1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08"/>
      <c r="AP27" s="51"/>
      <c r="AQ27" s="63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2"/>
      <c r="AS27" s="51"/>
      <c r="AT27" s="62"/>
      <c r="AU27" s="66"/>
      <c r="AV27" s="207" t="str" cm="1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08"/>
      <c r="AX27" s="51"/>
      <c r="AY27" s="63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2"/>
      <c r="BA27" s="68"/>
      <c r="BB27" s="66"/>
      <c r="BC27" s="207" t="str" cm="1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08"/>
      <c r="BE27" s="51"/>
      <c r="BF27" s="63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2"/>
      <c r="BH27" s="51"/>
      <c r="BI27" s="62"/>
      <c r="BJ27" s="66"/>
      <c r="BK27" s="207" t="str" cm="1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08"/>
      <c r="BM27" s="51"/>
      <c r="BN27" s="63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2"/>
      <c r="BP27" s="68"/>
      <c r="BQ27" s="66"/>
      <c r="BR27" s="207" t="str" cm="1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08"/>
      <c r="BT27" s="51"/>
      <c r="BU27" s="63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2"/>
      <c r="BW27" s="51"/>
      <c r="BX27" s="62"/>
      <c r="BY27" s="66"/>
      <c r="BZ27" s="207" t="str" cm="1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08"/>
      <c r="CB27" s="51"/>
      <c r="CC27" s="63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2"/>
      <c r="CE27" s="68"/>
      <c r="CF27" s="66"/>
      <c r="CG27" s="207" t="str" cm="1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08"/>
      <c r="CI27" s="51"/>
      <c r="CJ27" s="63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2"/>
      <c r="CL27" s="51"/>
      <c r="CM27" s="62"/>
      <c r="CN27" s="66"/>
      <c r="CO27" s="207" t="str" cm="1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08"/>
      <c r="CQ27" s="51"/>
      <c r="CR27" s="63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2"/>
      <c r="CT27" s="68"/>
      <c r="CU27" s="66"/>
      <c r="CV27" s="207" t="str" cm="1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08"/>
      <c r="CX27" s="51"/>
      <c r="CY27" s="63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2"/>
      <c r="DA27" s="51"/>
      <c r="DB27" s="62"/>
      <c r="DC27" s="66"/>
      <c r="DD27" s="207" t="str" cm="1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08"/>
      <c r="DF27" s="51"/>
      <c r="DG27" s="63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2"/>
      <c r="DI27" s="68"/>
      <c r="DJ27" s="66"/>
      <c r="DK27" s="207" t="str" cm="1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08"/>
      <c r="DM27" s="51"/>
      <c r="DN27" s="63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2"/>
      <c r="DP27" s="51"/>
      <c r="DQ27" s="62"/>
      <c r="DR27" s="66"/>
      <c r="DS27" s="207" t="str" cm="1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08"/>
      <c r="DU27" s="51"/>
      <c r="DV27" s="63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2"/>
      <c r="DX27" s="68"/>
      <c r="DY27" s="66"/>
      <c r="DZ27" s="207" t="str" cm="1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08"/>
      <c r="EB27" s="51"/>
      <c r="EC27" s="63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2"/>
      <c r="EE27" s="51"/>
      <c r="EF27" s="62"/>
      <c r="EG27" s="66"/>
      <c r="EH27" s="207" t="str" cm="1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08"/>
      <c r="EJ27" s="51"/>
      <c r="EK27" s="63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2"/>
      <c r="EM27" s="68"/>
      <c r="EN27" s="66"/>
      <c r="EO27" s="207" t="str" cm="1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08"/>
      <c r="EQ27" s="51"/>
      <c r="ER27" s="63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2"/>
      <c r="ET27" s="51"/>
    </row>
    <row r="28" spans="1:150" ht="15.6" customHeight="1" x14ac:dyDescent="1.05">
      <c r="A28" s="127"/>
      <c r="B28" s="55"/>
      <c r="C28" s="192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06"/>
      <c r="E28" s="82"/>
      <c r="F28" s="204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05"/>
      <c r="H28" s="56"/>
      <c r="I28" s="55"/>
      <c r="J28" s="192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06"/>
      <c r="L28" s="82"/>
      <c r="M28" s="204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05"/>
      <c r="Q28" s="55"/>
      <c r="R28" s="192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06"/>
      <c r="T28" s="82"/>
      <c r="U28" s="204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05"/>
      <c r="W28" s="56"/>
      <c r="X28" s="55"/>
      <c r="Y28" s="192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06"/>
      <c r="AA28" s="82"/>
      <c r="AB28" s="204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05"/>
      <c r="AF28" s="55"/>
      <c r="AG28" s="192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06"/>
      <c r="AI28" s="82"/>
      <c r="AJ28" s="204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05"/>
      <c r="AL28" s="56"/>
      <c r="AM28" s="55"/>
      <c r="AN28" s="192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06"/>
      <c r="AP28" s="82"/>
      <c r="AQ28" s="204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05"/>
      <c r="AU28" s="55"/>
      <c r="AV28" s="192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06"/>
      <c r="AX28" s="82"/>
      <c r="AY28" s="204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05"/>
      <c r="BA28" s="56"/>
      <c r="BB28" s="55"/>
      <c r="BC28" s="192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06"/>
      <c r="BE28" s="82"/>
      <c r="BF28" s="204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05"/>
      <c r="BJ28" s="55"/>
      <c r="BK28" s="192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06"/>
      <c r="BM28" s="82"/>
      <c r="BN28" s="204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05"/>
      <c r="BP28" s="56"/>
      <c r="BQ28" s="55"/>
      <c r="BR28" s="192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06"/>
      <c r="BT28" s="82"/>
      <c r="BU28" s="204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05"/>
      <c r="BY28" s="55"/>
      <c r="BZ28" s="192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06"/>
      <c r="CB28" s="82"/>
      <c r="CC28" s="204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05"/>
      <c r="CE28" s="56"/>
      <c r="CF28" s="55"/>
      <c r="CG28" s="192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06"/>
      <c r="CI28" s="82"/>
      <c r="CJ28" s="204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05"/>
      <c r="CN28" s="55"/>
      <c r="CO28" s="192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06"/>
      <c r="CQ28" s="82"/>
      <c r="CR28" s="204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05"/>
      <c r="CT28" s="56"/>
      <c r="CU28" s="55"/>
      <c r="CV28" s="192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06"/>
      <c r="CX28" s="82"/>
      <c r="CY28" s="204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05"/>
      <c r="DC28" s="55"/>
      <c r="DD28" s="192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06"/>
      <c r="DF28" s="82"/>
      <c r="DG28" s="204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05"/>
      <c r="DI28" s="56"/>
      <c r="DJ28" s="55"/>
      <c r="DK28" s="192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06"/>
      <c r="DM28" s="82"/>
      <c r="DN28" s="204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05"/>
      <c r="DR28" s="55"/>
      <c r="DS28" s="192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06"/>
      <c r="DU28" s="82"/>
      <c r="DV28" s="204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05"/>
      <c r="DX28" s="56"/>
      <c r="DY28" s="55"/>
      <c r="DZ28" s="192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06"/>
      <c r="EB28" s="82"/>
      <c r="EC28" s="204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05"/>
      <c r="EG28" s="55"/>
      <c r="EH28" s="192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06"/>
      <c r="EJ28" s="82"/>
      <c r="EK28" s="204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05"/>
      <c r="EM28" s="56"/>
      <c r="EN28" s="55"/>
      <c r="EO28" s="192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06"/>
      <c r="EQ28" s="82"/>
      <c r="ER28" s="204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05"/>
    </row>
    <row r="29" spans="1:150" ht="15.6" customHeight="1" x14ac:dyDescent="0.45">
      <c r="A29" s="127"/>
      <c r="B29" s="57"/>
      <c r="C29" s="194"/>
      <c r="D29" s="194"/>
      <c r="E29" s="76"/>
      <c r="F29" s="194"/>
      <c r="G29" s="202"/>
      <c r="H29" s="56"/>
      <c r="I29" s="57"/>
      <c r="J29" s="194"/>
      <c r="K29" s="194"/>
      <c r="L29" s="76"/>
      <c r="M29" s="194"/>
      <c r="N29" s="202"/>
      <c r="Q29" s="57"/>
      <c r="R29" s="194"/>
      <c r="S29" s="194"/>
      <c r="T29" s="76"/>
      <c r="U29" s="194"/>
      <c r="V29" s="202"/>
      <c r="W29" s="56"/>
      <c r="X29" s="57"/>
      <c r="Y29" s="194"/>
      <c r="Z29" s="194"/>
      <c r="AA29" s="76"/>
      <c r="AB29" s="194"/>
      <c r="AC29" s="202"/>
      <c r="AF29" s="57"/>
      <c r="AG29" s="194"/>
      <c r="AH29" s="194"/>
      <c r="AI29" s="76"/>
      <c r="AJ29" s="194"/>
      <c r="AK29" s="202"/>
      <c r="AL29" s="56"/>
      <c r="AM29" s="57"/>
      <c r="AN29" s="194"/>
      <c r="AO29" s="194"/>
      <c r="AP29" s="76"/>
      <c r="AQ29" s="194"/>
      <c r="AR29" s="202"/>
      <c r="AU29" s="57"/>
      <c r="AV29" s="194"/>
      <c r="AW29" s="194"/>
      <c r="AX29" s="76"/>
      <c r="AY29" s="194"/>
      <c r="AZ29" s="202"/>
      <c r="BA29" s="56"/>
      <c r="BB29" s="57"/>
      <c r="BC29" s="194"/>
      <c r="BD29" s="194"/>
      <c r="BE29" s="76"/>
      <c r="BF29" s="194"/>
      <c r="BG29" s="202"/>
      <c r="BJ29" s="57"/>
      <c r="BK29" s="194"/>
      <c r="BL29" s="194"/>
      <c r="BM29" s="76"/>
      <c r="BN29" s="194"/>
      <c r="BO29" s="202"/>
      <c r="BP29" s="56"/>
      <c r="BQ29" s="57"/>
      <c r="BR29" s="194"/>
      <c r="BS29" s="194"/>
      <c r="BT29" s="76"/>
      <c r="BU29" s="194"/>
      <c r="BV29" s="202"/>
      <c r="BY29" s="57"/>
      <c r="BZ29" s="194"/>
      <c r="CA29" s="194"/>
      <c r="CB29" s="76"/>
      <c r="CC29" s="194"/>
      <c r="CD29" s="202"/>
      <c r="CE29" s="56"/>
      <c r="CF29" s="57"/>
      <c r="CG29" s="194"/>
      <c r="CH29" s="194"/>
      <c r="CI29" s="76"/>
      <c r="CJ29" s="194"/>
      <c r="CK29" s="202"/>
      <c r="CN29" s="57"/>
      <c r="CO29" s="194"/>
      <c r="CP29" s="194"/>
      <c r="CQ29" s="76"/>
      <c r="CR29" s="194"/>
      <c r="CS29" s="202"/>
      <c r="CT29" s="56"/>
      <c r="CU29" s="57"/>
      <c r="CV29" s="194"/>
      <c r="CW29" s="194"/>
      <c r="CX29" s="76"/>
      <c r="CY29" s="194"/>
      <c r="CZ29" s="202"/>
      <c r="DC29" s="57"/>
      <c r="DD29" s="194"/>
      <c r="DE29" s="194"/>
      <c r="DF29" s="76"/>
      <c r="DG29" s="194"/>
      <c r="DH29" s="202"/>
      <c r="DI29" s="56"/>
      <c r="DJ29" s="57"/>
      <c r="DK29" s="194"/>
      <c r="DL29" s="194"/>
      <c r="DM29" s="76"/>
      <c r="DN29" s="194"/>
      <c r="DO29" s="202"/>
      <c r="DR29" s="57"/>
      <c r="DS29" s="194"/>
      <c r="DT29" s="194"/>
      <c r="DU29" s="76"/>
      <c r="DV29" s="194"/>
      <c r="DW29" s="202"/>
      <c r="DX29" s="56"/>
      <c r="DY29" s="57"/>
      <c r="DZ29" s="194"/>
      <c r="EA29" s="194"/>
      <c r="EB29" s="76"/>
      <c r="EC29" s="194"/>
      <c r="ED29" s="202"/>
      <c r="EG29" s="57"/>
      <c r="EH29" s="194"/>
      <c r="EI29" s="194"/>
      <c r="EJ29" s="76"/>
      <c r="EK29" s="194"/>
      <c r="EL29" s="202"/>
      <c r="EM29" s="56"/>
      <c r="EN29" s="57"/>
      <c r="EO29" s="194"/>
      <c r="EP29" s="194"/>
      <c r="EQ29" s="76"/>
      <c r="ER29" s="194"/>
      <c r="ES29" s="202"/>
    </row>
    <row r="30" spans="1:150" s="63" customFormat="1" x14ac:dyDescent="0.55000000000000004">
      <c r="A30" s="62"/>
      <c r="B30" s="69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7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9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7"/>
      <c r="F30" s="69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2"/>
      <c r="H30" s="51"/>
      <c r="I30" s="69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7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9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7"/>
      <c r="M30" s="69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2"/>
      <c r="O30" s="51"/>
      <c r="P30" s="62"/>
      <c r="Q30" s="69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7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9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7"/>
      <c r="U30" s="69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2"/>
      <c r="W30" s="51"/>
      <c r="X30" s="69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7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9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7"/>
      <c r="AB30" s="69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2"/>
      <c r="AD30" s="51"/>
      <c r="AE30" s="62"/>
      <c r="AF30" s="69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7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9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7"/>
      <c r="AJ30" s="69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2"/>
      <c r="AL30" s="51"/>
      <c r="AM30" s="69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7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9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7"/>
      <c r="AQ30" s="69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2"/>
      <c r="AS30" s="51"/>
      <c r="AT30" s="62"/>
      <c r="AU30" s="69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7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9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7"/>
      <c r="AY30" s="69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2"/>
      <c r="BA30" s="51"/>
      <c r="BB30" s="69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7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9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7"/>
      <c r="BF30" s="69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2"/>
      <c r="BH30" s="51"/>
      <c r="BI30" s="62"/>
      <c r="BJ30" s="69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7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9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7"/>
      <c r="BN30" s="69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2"/>
      <c r="BP30" s="51"/>
      <c r="BQ30" s="69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7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9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7"/>
      <c r="BU30" s="69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2"/>
      <c r="BW30" s="51"/>
      <c r="BX30" s="62"/>
      <c r="BY30" s="69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7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9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7"/>
      <c r="CC30" s="69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2"/>
      <c r="CE30" s="51"/>
      <c r="CF30" s="69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7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9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7"/>
      <c r="CJ30" s="69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2"/>
      <c r="CL30" s="51"/>
      <c r="CM30" s="62"/>
      <c r="CN30" s="69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7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9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7"/>
      <c r="CR30" s="69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2"/>
      <c r="CT30" s="51"/>
      <c r="CU30" s="69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7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9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7"/>
      <c r="CY30" s="69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2"/>
      <c r="DA30" s="51"/>
      <c r="DB30" s="62"/>
      <c r="DC30" s="69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7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9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7"/>
      <c r="DG30" s="69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2"/>
      <c r="DI30" s="51"/>
      <c r="DJ30" s="69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7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9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7"/>
      <c r="DN30" s="69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2"/>
      <c r="DP30" s="51"/>
      <c r="DQ30" s="62"/>
      <c r="DR30" s="69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7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9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7"/>
      <c r="DV30" s="69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2"/>
      <c r="DX30" s="51"/>
      <c r="DY30" s="69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7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9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7"/>
      <c r="EC30" s="69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2"/>
      <c r="EE30" s="51"/>
      <c r="EF30" s="62"/>
      <c r="EG30" s="69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7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9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7"/>
      <c r="EK30" s="69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2"/>
      <c r="EM30" s="51"/>
      <c r="EN30" s="69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7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9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7"/>
      <c r="ER30" s="69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2"/>
      <c r="ET30" s="51"/>
    </row>
    <row r="31" spans="1:150" ht="27.6" customHeight="1" x14ac:dyDescent="0.45">
      <c r="A31" s="127"/>
      <c r="B31" s="203" t="str">
        <f ca="1">IF(C28&lt;&gt;"",
IFERROR(INT(C28/C30),""),"")</f>
        <v/>
      </c>
      <c r="C31" s="202"/>
      <c r="D31" s="203" t="str">
        <f ca="1">IFERROR(MOD(C28,C30),"")</f>
        <v/>
      </c>
      <c r="E31" s="202"/>
      <c r="F31" s="201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02"/>
      <c r="I31" s="203" t="str">
        <f ca="1">IF(J28&lt;&gt;"",
IFERROR(INT(J28/J30),""),"")</f>
        <v/>
      </c>
      <c r="J31" s="202"/>
      <c r="K31" s="203" t="str">
        <f ca="1">IFERROR(MOD(J28,J30),"")</f>
        <v/>
      </c>
      <c r="L31" s="202"/>
      <c r="M31" s="201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02"/>
      <c r="Q31" s="203" t="str">
        <f ca="1">IF(R28&lt;&gt;"",
IFERROR(INT(R28/R30),""),"")</f>
        <v/>
      </c>
      <c r="R31" s="202"/>
      <c r="S31" s="203" t="str">
        <f ca="1">IFERROR(MOD(R28,R30),"")</f>
        <v/>
      </c>
      <c r="T31" s="202"/>
      <c r="U31" s="201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02"/>
      <c r="X31" s="203" t="str">
        <f ca="1">IF(Y28&lt;&gt;"",
IFERROR(INT(Y28/Y30),""),"")</f>
        <v/>
      </c>
      <c r="Y31" s="202"/>
      <c r="Z31" s="203" t="str">
        <f ca="1">IFERROR(MOD(Y28,Y30),"")</f>
        <v/>
      </c>
      <c r="AA31" s="202"/>
      <c r="AB31" s="201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02"/>
      <c r="AF31" s="203" t="str">
        <f ca="1">IF(AG28&lt;&gt;"",
IFERROR(INT(AG28/AG30),""),"")</f>
        <v/>
      </c>
      <c r="AG31" s="202"/>
      <c r="AH31" s="203" t="str">
        <f ca="1">IFERROR(MOD(AG28,AG30),"")</f>
        <v/>
      </c>
      <c r="AI31" s="202"/>
      <c r="AJ31" s="201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02"/>
      <c r="AM31" s="203" t="str">
        <f ca="1">IF(AN28&lt;&gt;"",
IFERROR(INT(AN28/AN30),""),"")</f>
        <v/>
      </c>
      <c r="AN31" s="202"/>
      <c r="AO31" s="203" t="str">
        <f ca="1">IFERROR(MOD(AN28,AN30),"")</f>
        <v/>
      </c>
      <c r="AP31" s="202"/>
      <c r="AQ31" s="201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02"/>
      <c r="AU31" s="203" t="str">
        <f ca="1">IF(AV28&lt;&gt;"",
IFERROR(INT(AV28/AV30),""),"")</f>
        <v/>
      </c>
      <c r="AV31" s="202"/>
      <c r="AW31" s="203" t="str">
        <f ca="1">IFERROR(MOD(AV28,AV30),"")</f>
        <v/>
      </c>
      <c r="AX31" s="202"/>
      <c r="AY31" s="201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02"/>
      <c r="BB31" s="203" t="str">
        <f ca="1">IF(BC28&lt;&gt;"",
IFERROR(INT(BC28/BC30),""),"")</f>
        <v/>
      </c>
      <c r="BC31" s="202"/>
      <c r="BD31" s="203" t="str">
        <f ca="1">IFERROR(MOD(BC28,BC30),"")</f>
        <v/>
      </c>
      <c r="BE31" s="202"/>
      <c r="BF31" s="201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02"/>
      <c r="BJ31" s="203" t="str">
        <f ca="1">IF(BK28&lt;&gt;"",
IFERROR(INT(BK28/BK30),""),"")</f>
        <v/>
      </c>
      <c r="BK31" s="202"/>
      <c r="BL31" s="203" t="str">
        <f ca="1">IFERROR(MOD(BK28,BK30),"")</f>
        <v/>
      </c>
      <c r="BM31" s="202"/>
      <c r="BN31" s="201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02"/>
      <c r="BQ31" s="203" t="str">
        <f ca="1">IF(BR28&lt;&gt;"",
IFERROR(INT(BR28/BR30),""),"")</f>
        <v/>
      </c>
      <c r="BR31" s="202"/>
      <c r="BS31" s="203" t="str">
        <f ca="1">IFERROR(MOD(BR28,BR30),"")</f>
        <v/>
      </c>
      <c r="BT31" s="202"/>
      <c r="BU31" s="201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02"/>
      <c r="BY31" s="203" t="str">
        <f ca="1">IF(BZ28&lt;&gt;"",
IFERROR(INT(BZ28/BZ30),""),"")</f>
        <v/>
      </c>
      <c r="BZ31" s="202"/>
      <c r="CA31" s="203" t="str">
        <f ca="1">IFERROR(MOD(BZ28,BZ30),"")</f>
        <v/>
      </c>
      <c r="CB31" s="202"/>
      <c r="CC31" s="201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02"/>
      <c r="CF31" s="203" t="str">
        <f ca="1">IF(CG28&lt;&gt;"",
IFERROR(INT(CG28/CG30),""),"")</f>
        <v/>
      </c>
      <c r="CG31" s="202"/>
      <c r="CH31" s="203" t="str">
        <f ca="1">IFERROR(MOD(CG28,CG30),"")</f>
        <v/>
      </c>
      <c r="CI31" s="202"/>
      <c r="CJ31" s="201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02"/>
      <c r="CN31" s="203" t="str">
        <f ca="1">IF(CO28&lt;&gt;"",
IFERROR(INT(CO28/CO30),""),"")</f>
        <v/>
      </c>
      <c r="CO31" s="202"/>
      <c r="CP31" s="203" t="str">
        <f ca="1">IFERROR(MOD(CO28,CO30),"")</f>
        <v/>
      </c>
      <c r="CQ31" s="202"/>
      <c r="CR31" s="201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02"/>
      <c r="CU31" s="203" t="str">
        <f ca="1">IF(CV28&lt;&gt;"",
IFERROR(INT(CV28/CV30),""),"")</f>
        <v/>
      </c>
      <c r="CV31" s="202"/>
      <c r="CW31" s="203" t="str">
        <f ca="1">IFERROR(MOD(CV28,CV30),"")</f>
        <v/>
      </c>
      <c r="CX31" s="202"/>
      <c r="CY31" s="201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02"/>
      <c r="DC31" s="203" t="str">
        <f ca="1">IF(DD28&lt;&gt;"",
IFERROR(INT(DD28/DD30),""),"")</f>
        <v/>
      </c>
      <c r="DD31" s="202"/>
      <c r="DE31" s="203" t="str">
        <f ca="1">IFERROR(MOD(DD28,DD30),"")</f>
        <v/>
      </c>
      <c r="DF31" s="202"/>
      <c r="DG31" s="201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02"/>
      <c r="DJ31" s="203" t="str">
        <f ca="1">IF(DK28&lt;&gt;"",
IFERROR(INT(DK28/DK30),""),"")</f>
        <v/>
      </c>
      <c r="DK31" s="202"/>
      <c r="DL31" s="203" t="str">
        <f ca="1">IFERROR(MOD(DK28,DK30),"")</f>
        <v/>
      </c>
      <c r="DM31" s="202"/>
      <c r="DN31" s="201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02"/>
      <c r="DR31" s="203" t="str">
        <f ca="1">IF(DS28&lt;&gt;"",
IFERROR(INT(DS28/DS30),""),"")</f>
        <v/>
      </c>
      <c r="DS31" s="202"/>
      <c r="DT31" s="203" t="str">
        <f ca="1">IFERROR(MOD(DS28,DS30),"")</f>
        <v/>
      </c>
      <c r="DU31" s="202"/>
      <c r="DV31" s="201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02"/>
      <c r="DY31" s="203" t="str">
        <f ca="1">IF(DZ28&lt;&gt;"",
IFERROR(INT(DZ28/DZ30),""),"")</f>
        <v/>
      </c>
      <c r="DZ31" s="202"/>
      <c r="EA31" s="203" t="str">
        <f ca="1">IFERROR(MOD(DZ28,DZ30),"")</f>
        <v/>
      </c>
      <c r="EB31" s="202"/>
      <c r="EC31" s="201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02"/>
      <c r="EG31" s="203" t="str">
        <f ca="1">IF(EH28&lt;&gt;"",
IFERROR(INT(EH28/EH30),""),"")</f>
        <v/>
      </c>
      <c r="EH31" s="202"/>
      <c r="EI31" s="203" t="str">
        <f ca="1">IFERROR(MOD(EH28,EH30),"")</f>
        <v/>
      </c>
      <c r="EJ31" s="202"/>
      <c r="EK31" s="201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02"/>
      <c r="EN31" s="203" t="str">
        <f ca="1">IF(EO28&lt;&gt;"",
IFERROR(INT(EO28/EO30),""),"")</f>
        <v/>
      </c>
      <c r="EO31" s="202"/>
      <c r="EP31" s="203" t="str">
        <f ca="1">IFERROR(MOD(EO28,EO30),"")</f>
        <v/>
      </c>
      <c r="EQ31" s="202"/>
      <c r="ER31" s="201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02"/>
    </row>
    <row r="32" spans="1:150" ht="6.6" customHeight="1" x14ac:dyDescent="0.55000000000000004">
      <c r="A32" s="127"/>
      <c r="B32" s="77"/>
      <c r="D32" s="77"/>
      <c r="F32" s="78"/>
      <c r="I32" s="77"/>
      <c r="K32" s="77"/>
      <c r="M32" s="78"/>
      <c r="Q32" s="77"/>
      <c r="S32" s="77"/>
      <c r="U32" s="78"/>
      <c r="X32" s="77"/>
      <c r="Z32" s="77"/>
      <c r="AB32" s="78"/>
      <c r="AF32" s="77"/>
      <c r="AH32" s="77"/>
      <c r="AJ32" s="78"/>
      <c r="AM32" s="77"/>
      <c r="AO32" s="77"/>
      <c r="AQ32" s="78"/>
      <c r="AU32" s="77"/>
      <c r="AW32" s="77"/>
      <c r="AY32" s="78"/>
      <c r="BB32" s="77"/>
      <c r="BD32" s="77"/>
      <c r="BF32" s="78"/>
      <c r="BJ32" s="77"/>
      <c r="BL32" s="77"/>
      <c r="BN32" s="78"/>
      <c r="BQ32" s="77"/>
      <c r="BS32" s="77"/>
      <c r="BU32" s="78"/>
      <c r="BY32" s="77"/>
      <c r="CA32" s="77"/>
      <c r="CC32" s="78"/>
      <c r="CF32" s="77"/>
      <c r="CH32" s="77"/>
      <c r="CJ32" s="78"/>
      <c r="CN32" s="77"/>
      <c r="CP32" s="77"/>
      <c r="CR32" s="78"/>
      <c r="CU32" s="77"/>
      <c r="CW32" s="77"/>
      <c r="CY32" s="78"/>
      <c r="DC32" s="77"/>
      <c r="DE32" s="77"/>
      <c r="DG32" s="78"/>
      <c r="DJ32" s="77"/>
      <c r="DL32" s="77"/>
      <c r="DN32" s="78"/>
      <c r="DR32" s="77"/>
      <c r="DT32" s="77"/>
      <c r="DV32" s="78"/>
      <c r="DY32" s="77"/>
      <c r="EA32" s="77"/>
      <c r="EC32" s="78"/>
      <c r="EG32" s="77"/>
      <c r="EI32" s="77"/>
      <c r="EK32" s="78"/>
      <c r="EN32" s="77"/>
      <c r="EP32" s="77"/>
      <c r="ER32" s="78"/>
    </row>
    <row r="33" spans="1:150" s="63" customFormat="1" ht="25.8" customHeight="1" x14ac:dyDescent="0.55000000000000004">
      <c r="A33" s="62">
        <f ca="1">IF(OR(I26="●",I26="△"),
H25+2,H25+1)</f>
        <v>9</v>
      </c>
      <c r="B33" s="75" t="str">
        <f ca="1">IF(C33&lt;&gt;"",
MID(貼り付け用!$A$2, FIND("年",貼り付け用!$A$2)+1,2)&amp;"/"&amp;MID(貼り付け用!$A$2, FIND("月",貼り付け用!$A$2)+1,2),"")</f>
        <v/>
      </c>
      <c r="C33" s="209" t="str" cm="1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199"/>
      <c r="E33" s="199"/>
      <c r="F33" s="199"/>
      <c r="G33" s="74" t="str">
        <f t="array" aca="1" ref="G33" ca="1">IF(C33&lt;&gt;"",
IF(AND(INDIRECT("'盛付札（関数）'!FI"&amp;A33)&gt;=124,INDIRECT("'盛付札（関数）'!FI"&amp;A33)&lt;=144),"",
"様"),"")</f>
        <v/>
      </c>
      <c r="H33" s="68">
        <f ca="1">IF(OR(B34="●",B34="△"),
A33+2,A33+1)</f>
        <v>10</v>
      </c>
      <c r="I33" s="75" t="str">
        <f ca="1">IF(J33&lt;&gt;"",
MID(貼り付け用!$A$2, FIND("年",貼り付け用!$A$2)+1,2)&amp;"/"&amp;MID(貼り付け用!$A$2, FIND("月",貼り付け用!$A$2)+1,2),"")</f>
        <v/>
      </c>
      <c r="J33" s="209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199"/>
      <c r="L33" s="199"/>
      <c r="M33" s="199"/>
      <c r="N33" s="74" t="str">
        <f t="array" aca="1" ref="N33" ca="1">IF(J33&lt;&gt;"",
IF(AND(INDIRECT("'盛付札（関数）'!FI"&amp;H33)&gt;=124,INDIRECT("'盛付札（関数）'!FI"&amp;H33)&lt;=144),"",
"様"),"")</f>
        <v/>
      </c>
      <c r="O33" s="51"/>
      <c r="P33" s="62">
        <f ca="1">IF(OR(X26="●",X26="△"),
W25+2,W25+1)</f>
        <v>21</v>
      </c>
      <c r="Q33" s="75" t="str">
        <f ca="1">IF(R33&lt;&gt;"",
MID(貼り付け用!$A$2, FIND("年",貼り付け用!$A$2)+1,2)&amp;"/"&amp;MID(貼り付け用!$A$2, FIND("月",貼り付け用!$A$2)+1,2),"")</f>
        <v/>
      </c>
      <c r="R33" s="209" t="str" cm="1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199"/>
      <c r="T33" s="199"/>
      <c r="U33" s="199"/>
      <c r="V33" s="74" t="str">
        <f t="array" aca="1" ref="V33" ca="1">IF(R33&lt;&gt;"",
IF(AND(INDIRECT("'盛付札（関数）'!FI"&amp;P33)&gt;=124,INDIRECT("'盛付札（関数）'!FI"&amp;P33)&lt;=144),"",
"様"),"")</f>
        <v/>
      </c>
      <c r="W33" s="68">
        <f ca="1">IF(OR(Q34="●",Q34="△"),
P33+2,P33+1)</f>
        <v>22</v>
      </c>
      <c r="X33" s="75" t="str">
        <f ca="1">IF(Y33&lt;&gt;"",
MID(貼り付け用!$A$2, FIND("年",貼り付け用!$A$2)+1,2)&amp;"/"&amp;MID(貼り付け用!$A$2, FIND("月",貼り付け用!$A$2)+1,2),"")</f>
        <v/>
      </c>
      <c r="Y33" s="209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199"/>
      <c r="AA33" s="199"/>
      <c r="AB33" s="199"/>
      <c r="AC33" s="74" t="str">
        <f t="array" aca="1" ref="AC33" ca="1">IF(Y33&lt;&gt;"",
IF(AND(INDIRECT("'盛付札（関数）'!FI"&amp;W33)&gt;=124,INDIRECT("'盛付札（関数）'!FI"&amp;W33)&lt;=144),"",
"様"),"")</f>
        <v/>
      </c>
      <c r="AD33" s="51"/>
      <c r="AE33" s="62">
        <f ca="1">IF(OR(AM26="●",AM26="△"),
AL25+2,AL25+1)</f>
        <v>33</v>
      </c>
      <c r="AF33" s="75" t="str">
        <f ca="1">IF(AG33&lt;&gt;"",
MID(貼り付け用!$A$2, FIND("年",貼り付け用!$A$2)+1,2)&amp;"/"&amp;MID(貼り付け用!$A$2, FIND("月",貼り付け用!$A$2)+1,2),"")</f>
        <v/>
      </c>
      <c r="AG33" s="209" t="str" cm="1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199"/>
      <c r="AI33" s="199"/>
      <c r="AJ33" s="199"/>
      <c r="AK33" s="74" t="str">
        <f t="array" aca="1" ref="AK33" ca="1">IF(AG33&lt;&gt;"",
IF(AND(INDIRECT("'盛付札（関数）'!FI"&amp;AE33)&gt;=124,INDIRECT("'盛付札（関数）'!FI"&amp;AE33)&lt;=144),"",
"様"),"")</f>
        <v/>
      </c>
      <c r="AL33" s="68">
        <f ca="1">IF(OR(AF34="●",AF34="△"),
AE33+2,AE33+1)</f>
        <v>34</v>
      </c>
      <c r="AM33" s="75" t="str">
        <f ca="1">IF(AN33&lt;&gt;"",
MID(貼り付け用!$A$2, FIND("年",貼り付け用!$A$2)+1,2)&amp;"/"&amp;MID(貼り付け用!$A$2, FIND("月",貼り付け用!$A$2)+1,2),"")</f>
        <v/>
      </c>
      <c r="AN33" s="209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199"/>
      <c r="AP33" s="199"/>
      <c r="AQ33" s="199"/>
      <c r="AR33" s="74" t="str">
        <f t="array" aca="1" ref="AR33" ca="1">IF(AN33&lt;&gt;"",
IF(AND(INDIRECT("'盛付札（関数）'!FI"&amp;AL33)&gt;=124,INDIRECT("'盛付札（関数）'!FI"&amp;AL33)&lt;=144),"",
"様"),"")</f>
        <v/>
      </c>
      <c r="AS33" s="51"/>
      <c r="AT33" s="62">
        <f ca="1">IF(OR(BB26="●",BB26="△"),
BA25+2,BA25+1)</f>
        <v>45</v>
      </c>
      <c r="AU33" s="75" t="str">
        <f ca="1">IF(AV33&lt;&gt;"",
MID(貼り付け用!$A$2, FIND("年",貼り付け用!$A$2)+1,2)&amp;"/"&amp;MID(貼り付け用!$A$2, FIND("月",貼り付け用!$A$2)+1,2),"")</f>
        <v/>
      </c>
      <c r="AV33" s="209" t="str" cm="1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199"/>
      <c r="AX33" s="199"/>
      <c r="AY33" s="199"/>
      <c r="AZ33" s="74" t="str">
        <f t="array" aca="1" ref="AZ33" ca="1">IF(AV33&lt;&gt;"",
IF(AND(INDIRECT("'盛付札（関数）'!FI"&amp;AT33)&gt;=124,INDIRECT("'盛付札（関数）'!FI"&amp;AT33)&lt;=144),"",
"様"),"")</f>
        <v/>
      </c>
      <c r="BA33" s="68">
        <f ca="1">IF(OR(AU34="●",AU34="△"),
AT33+2,AT33+1)</f>
        <v>46</v>
      </c>
      <c r="BB33" s="75" t="str">
        <f ca="1">IF(BC33&lt;&gt;"",
MID(貼り付け用!$A$2, FIND("年",貼り付け用!$A$2)+1,2)&amp;"/"&amp;MID(貼り付け用!$A$2, FIND("月",貼り付け用!$A$2)+1,2),"")</f>
        <v/>
      </c>
      <c r="BC33" s="209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199"/>
      <c r="BE33" s="199"/>
      <c r="BF33" s="199"/>
      <c r="BG33" s="74" t="str">
        <f t="array" aca="1" ref="BG33" ca="1">IF(BC33&lt;&gt;"",
IF(AND(INDIRECT("'盛付札（関数）'!FI"&amp;BA33)&gt;=124,INDIRECT("'盛付札（関数）'!FI"&amp;BA33)&lt;=144),"",
"様"),"")</f>
        <v/>
      </c>
      <c r="BH33" s="51"/>
      <c r="BI33" s="62">
        <f ca="1">IF(OR(BQ26="●",BQ26="△"),
BP25+2,BP25+1)</f>
        <v>57</v>
      </c>
      <c r="BJ33" s="75" t="str">
        <f ca="1">IF(BK33&lt;&gt;"",
MID(貼り付け用!$A$2, FIND("年",貼り付け用!$A$2)+1,2)&amp;"/"&amp;MID(貼り付け用!$A$2, FIND("月",貼り付け用!$A$2)+1,2),"")</f>
        <v/>
      </c>
      <c r="BK33" s="209" t="str" cm="1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199"/>
      <c r="BM33" s="199"/>
      <c r="BN33" s="199"/>
      <c r="BO33" s="74" t="str">
        <f t="array" aca="1" ref="BO33" ca="1">IF(BK33&lt;&gt;"",
IF(AND(INDIRECT("'盛付札（関数）'!FI"&amp;BI33)&gt;=124,INDIRECT("'盛付札（関数）'!FI"&amp;BI33)&lt;=144),"",
"様"),"")</f>
        <v/>
      </c>
      <c r="BP33" s="68">
        <f ca="1">IF(OR(BJ34="●",BJ34="△"),
BI33+2,BI33+1)</f>
        <v>58</v>
      </c>
      <c r="BQ33" s="75" t="str">
        <f ca="1">IF(BR33&lt;&gt;"",
MID(貼り付け用!$A$2, FIND("年",貼り付け用!$A$2)+1,2)&amp;"/"&amp;MID(貼り付け用!$A$2, FIND("月",貼り付け用!$A$2)+1,2),"")</f>
        <v/>
      </c>
      <c r="BR33" s="209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199"/>
      <c r="BT33" s="199"/>
      <c r="BU33" s="199"/>
      <c r="BV33" s="74" t="str">
        <f t="array" aca="1" ref="BV33" ca="1">IF(BR33&lt;&gt;"",
IF(AND(INDIRECT("'盛付札（関数）'!FI"&amp;BP33)&gt;=124,INDIRECT("'盛付札（関数）'!FI"&amp;BP33)&lt;=144),"",
"様"),"")</f>
        <v/>
      </c>
      <c r="BW33" s="51"/>
      <c r="BX33" s="62">
        <f ca="1">IF(OR(CF26="●",CF26="△"),
CE25+2,CE25+1)</f>
        <v>69</v>
      </c>
      <c r="BY33" s="75" t="str">
        <f ca="1">IF(BZ33&lt;&gt;"",
MID(貼り付け用!$A$2, FIND("年",貼り付け用!$A$2)+1,2)&amp;"/"&amp;MID(貼り付け用!$A$2, FIND("月",貼り付け用!$A$2)+1,2),"")</f>
        <v/>
      </c>
      <c r="BZ33" s="209" t="str" cm="1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199"/>
      <c r="CB33" s="199"/>
      <c r="CC33" s="199"/>
      <c r="CD33" s="74" t="str">
        <f t="array" aca="1" ref="CD33" ca="1">IF(BZ33&lt;&gt;"",
IF(AND(INDIRECT("'盛付札（関数）'!FI"&amp;BX33)&gt;=124,INDIRECT("'盛付札（関数）'!FI"&amp;BX33)&lt;=144),"",
"様"),"")</f>
        <v/>
      </c>
      <c r="CE33" s="68">
        <f ca="1">IF(OR(BY34="●",BY34="△"),
BX33+2,BX33+1)</f>
        <v>70</v>
      </c>
      <c r="CF33" s="75" t="str">
        <f ca="1">IF(CG33&lt;&gt;"",
MID(貼り付け用!$A$2, FIND("年",貼り付け用!$A$2)+1,2)&amp;"/"&amp;MID(貼り付け用!$A$2, FIND("月",貼り付け用!$A$2)+1,2),"")</f>
        <v/>
      </c>
      <c r="CG33" s="209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199"/>
      <c r="CI33" s="199"/>
      <c r="CJ33" s="199"/>
      <c r="CK33" s="74" t="str">
        <f t="array" aca="1" ref="CK33" ca="1">IF(CG33&lt;&gt;"",
IF(AND(INDIRECT("'盛付札（関数）'!FI"&amp;CE33)&gt;=124,INDIRECT("'盛付札（関数）'!FI"&amp;CE33)&lt;=144),"",
"様"),"")</f>
        <v/>
      </c>
      <c r="CL33" s="51"/>
      <c r="CM33" s="62">
        <f ca="1">IF(OR(CU26="●",CU26="△"),
CT25+2,CT25+1)</f>
        <v>81</v>
      </c>
      <c r="CN33" s="75" t="str">
        <f ca="1">IF(CO33&lt;&gt;"",
MID(貼り付け用!$A$2, FIND("年",貼り付け用!$A$2)+1,2)&amp;"/"&amp;MID(貼り付け用!$A$2, FIND("月",貼り付け用!$A$2)+1,2),"")</f>
        <v/>
      </c>
      <c r="CO33" s="209" t="str" cm="1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199"/>
      <c r="CQ33" s="199"/>
      <c r="CR33" s="199"/>
      <c r="CS33" s="74" t="str">
        <f t="array" aca="1" ref="CS33" ca="1">IF(CO33&lt;&gt;"",
IF(AND(INDIRECT("'盛付札（関数）'!FI"&amp;CM33)&gt;=124,INDIRECT("'盛付札（関数）'!FI"&amp;CM33)&lt;=144),"",
"様"),"")</f>
        <v/>
      </c>
      <c r="CT33" s="68">
        <f ca="1">IF(OR(CN34="●",CN34="△"),
CM33+2,CM33+1)</f>
        <v>82</v>
      </c>
      <c r="CU33" s="75" t="str">
        <f ca="1">IF(CV33&lt;&gt;"",
MID(貼り付け用!$A$2, FIND("年",貼り付け用!$A$2)+1,2)&amp;"/"&amp;MID(貼り付け用!$A$2, FIND("月",貼り付け用!$A$2)+1,2),"")</f>
        <v/>
      </c>
      <c r="CV33" s="209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199"/>
      <c r="CX33" s="199"/>
      <c r="CY33" s="199"/>
      <c r="CZ33" s="74" t="str">
        <f t="array" aca="1" ref="CZ33" ca="1">IF(CV33&lt;&gt;"",
IF(AND(INDIRECT("'盛付札（関数）'!FI"&amp;CT33)&gt;=124,INDIRECT("'盛付札（関数）'!FI"&amp;CT33)&lt;=144),"",
"様"),"")</f>
        <v/>
      </c>
      <c r="DA33" s="51"/>
      <c r="DB33" s="62">
        <f ca="1">IF(OR(DJ26="●",DJ26="△"),
DI25+2,DI25+1)</f>
        <v>93</v>
      </c>
      <c r="DC33" s="75" t="str">
        <f ca="1">IF(DD33&lt;&gt;"",
MID(貼り付け用!$A$2, FIND("年",貼り付け用!$A$2)+1,2)&amp;"/"&amp;MID(貼り付け用!$A$2, FIND("月",貼り付け用!$A$2)+1,2),"")</f>
        <v/>
      </c>
      <c r="DD33" s="209" t="str" cm="1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199"/>
      <c r="DF33" s="199"/>
      <c r="DG33" s="199"/>
      <c r="DH33" s="74" t="str">
        <f t="array" aca="1" ref="DH33" ca="1">IF(DD33&lt;&gt;"",
IF(AND(INDIRECT("'盛付札（関数）'!FI"&amp;DB33)&gt;=124,INDIRECT("'盛付札（関数）'!FI"&amp;DB33)&lt;=144),"",
"様"),"")</f>
        <v/>
      </c>
      <c r="DI33" s="68">
        <f ca="1">IF(OR(DC34="●",DC34="△"),
DB33+2,DB33+1)</f>
        <v>94</v>
      </c>
      <c r="DJ33" s="75" t="str">
        <f ca="1">IF(DK33&lt;&gt;"",
MID(貼り付け用!$A$2, FIND("年",貼り付け用!$A$2)+1,2)&amp;"/"&amp;MID(貼り付け用!$A$2, FIND("月",貼り付け用!$A$2)+1,2),"")</f>
        <v/>
      </c>
      <c r="DK33" s="209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199"/>
      <c r="DM33" s="199"/>
      <c r="DN33" s="199"/>
      <c r="DO33" s="74" t="str">
        <f t="array" aca="1" ref="DO33" ca="1">IF(DK33&lt;&gt;"",
IF(AND(INDIRECT("'盛付札（関数）'!FI"&amp;DI33)&gt;=124,INDIRECT("'盛付札（関数）'!FI"&amp;DI33)&lt;=144),"",
"様"),"")</f>
        <v/>
      </c>
      <c r="DP33" s="51"/>
      <c r="DQ33" s="62">
        <f ca="1">IF(OR(DY26="●",DY26="△"),
DX25+2,DX25+1)</f>
        <v>105</v>
      </c>
      <c r="DR33" s="75" t="str">
        <f ca="1">IF(DS33&lt;&gt;"",
MID(貼り付け用!$A$2, FIND("年",貼り付け用!$A$2)+1,2)&amp;"/"&amp;MID(貼り付け用!$A$2, FIND("月",貼り付け用!$A$2)+1,2),"")</f>
        <v/>
      </c>
      <c r="DS33" s="209" t="str" cm="1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199"/>
      <c r="DU33" s="199"/>
      <c r="DV33" s="199"/>
      <c r="DW33" s="74" t="str">
        <f t="array" aca="1" ref="DW33" ca="1">IF(DS33&lt;&gt;"",
IF(AND(INDIRECT("'盛付札（関数）'!FI"&amp;DQ33)&gt;=124,INDIRECT("'盛付札（関数）'!FI"&amp;DQ33)&lt;=144),"",
"様"),"")</f>
        <v/>
      </c>
      <c r="DX33" s="68">
        <f ca="1">IF(OR(DR34="●",DR34="△"),
DQ33+2,DQ33+1)</f>
        <v>106</v>
      </c>
      <c r="DY33" s="75" t="str">
        <f ca="1">IF(DZ33&lt;&gt;"",
MID(貼り付け用!$A$2, FIND("年",貼り付け用!$A$2)+1,2)&amp;"/"&amp;MID(貼り付け用!$A$2, FIND("月",貼り付け用!$A$2)+1,2),"")</f>
        <v/>
      </c>
      <c r="DZ33" s="209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199"/>
      <c r="EB33" s="199"/>
      <c r="EC33" s="199"/>
      <c r="ED33" s="74" t="str">
        <f t="array" aca="1" ref="ED33" ca="1">IF(DZ33&lt;&gt;"",
IF(AND(INDIRECT("'盛付札（関数）'!FI"&amp;DX33)&gt;=124,INDIRECT("'盛付札（関数）'!FI"&amp;DX33)&lt;=144),"",
"様"),"")</f>
        <v/>
      </c>
      <c r="EE33" s="51"/>
      <c r="EF33" s="62">
        <f ca="1">IF(OR(EN26="●",EN26="△"),
EM25+2,EM25+1)</f>
        <v>117</v>
      </c>
      <c r="EG33" s="75" t="str">
        <f ca="1">IF(EH33&lt;&gt;"",
MID(貼り付け用!$A$2, FIND("年",貼り付け用!$A$2)+1,2)&amp;"/"&amp;MID(貼り付け用!$A$2, FIND("月",貼り付け用!$A$2)+1,2),"")</f>
        <v/>
      </c>
      <c r="EH33" s="209" t="str" cm="1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199"/>
      <c r="EJ33" s="199"/>
      <c r="EK33" s="199"/>
      <c r="EL33" s="74" t="str">
        <f t="array" aca="1" ref="EL33" ca="1">IF(EH33&lt;&gt;"",
IF(AND(INDIRECT("'盛付札（関数）'!FI"&amp;EF33)&gt;=124,INDIRECT("'盛付札（関数）'!FI"&amp;EF33)&lt;=144),"",
"様"),"")</f>
        <v/>
      </c>
      <c r="EM33" s="68">
        <f ca="1">IF(OR(EG34="●",EG34="△"),
EF33+2,EF33+1)</f>
        <v>118</v>
      </c>
      <c r="EN33" s="75" t="str">
        <f ca="1">IF(EO33&lt;&gt;"",
MID(貼り付け用!$A$2, FIND("年",貼り付け用!$A$2)+1,2)&amp;"/"&amp;MID(貼り付け用!$A$2, FIND("月",貼り付け用!$A$2)+1,2),"")</f>
        <v/>
      </c>
      <c r="EO33" s="209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199"/>
      <c r="EQ33" s="199"/>
      <c r="ER33" s="199"/>
      <c r="ES33" s="74" t="str">
        <f t="array" aca="1" ref="ES33" ca="1">IF(EO33&lt;&gt;"",
IF(AND(INDIRECT("'盛付札（関数）'!FI"&amp;EM33)&gt;=124,INDIRECT("'盛付札（関数）'!FI"&amp;EM33)&lt;=144),"",
"様"),"")</f>
        <v/>
      </c>
      <c r="ET33" s="51"/>
    </row>
    <row r="34" spans="1:150" s="63" customFormat="1" x14ac:dyDescent="0.55000000000000004">
      <c r="A34" s="62"/>
      <c r="B34" s="64" t="str">
        <f ca="1">IF(COUNTIF(INDIRECT("'盛付札（関数）'!FJ"&amp;A33+1),"*雙葉*"),"●",
"〇")</f>
        <v>〇</v>
      </c>
      <c r="C34" s="79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3"/>
      <c r="E34" s="73"/>
      <c r="F34" s="80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1"/>
      <c r="H34" s="81"/>
      <c r="I34" s="64" t="str">
        <f ca="1">IF(COUNTIF(INDIRECT("'盛付札（関数）'!FJ"&amp;H33+1),"*雙葉*"),"●",
"〇")</f>
        <v>〇</v>
      </c>
      <c r="J34" s="79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3"/>
      <c r="L34" s="73"/>
      <c r="M34" s="80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1"/>
      <c r="O34" s="51"/>
      <c r="P34" s="62"/>
      <c r="Q34" s="64" t="str">
        <f ca="1">IF(COUNTIF(INDIRECT("'盛付札（関数）'!FJ"&amp;P33+1),"*雙葉*"),"●",
"〇")</f>
        <v>〇</v>
      </c>
      <c r="R34" s="79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3"/>
      <c r="T34" s="73"/>
      <c r="U34" s="80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1"/>
      <c r="W34" s="81"/>
      <c r="X34" s="64" t="str">
        <f ca="1">IF(COUNTIF(INDIRECT("'盛付札（関数）'!FJ"&amp;W33+1),"*雙葉*"),"●",
"〇")</f>
        <v>〇</v>
      </c>
      <c r="Y34" s="79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3"/>
      <c r="AA34" s="73"/>
      <c r="AB34" s="80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1"/>
      <c r="AD34" s="51"/>
      <c r="AE34" s="62"/>
      <c r="AF34" s="64" t="str">
        <f ca="1">IF(COUNTIF(INDIRECT("'盛付札（関数）'!FJ"&amp;AE33+1),"*雙葉*"),"●",
"〇")</f>
        <v>〇</v>
      </c>
      <c r="AG34" s="79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3"/>
      <c r="AI34" s="73"/>
      <c r="AJ34" s="80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1"/>
      <c r="AL34" s="81"/>
      <c r="AM34" s="64" t="str">
        <f ca="1">IF(COUNTIF(INDIRECT("'盛付札（関数）'!FJ"&amp;AL33+1),"*雙葉*"),"●",
"〇")</f>
        <v>〇</v>
      </c>
      <c r="AN34" s="79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3"/>
      <c r="AP34" s="73"/>
      <c r="AQ34" s="80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1"/>
      <c r="AS34" s="51"/>
      <c r="AT34" s="62"/>
      <c r="AU34" s="64" t="str">
        <f ca="1">IF(COUNTIF(INDIRECT("'盛付札（関数）'!FJ"&amp;AT33+1),"*雙葉*"),"●",
"〇")</f>
        <v>〇</v>
      </c>
      <c r="AV34" s="79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3"/>
      <c r="AX34" s="73"/>
      <c r="AY34" s="80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1"/>
      <c r="BA34" s="81"/>
      <c r="BB34" s="64" t="str">
        <f ca="1">IF(COUNTIF(INDIRECT("'盛付札（関数）'!FJ"&amp;BA33+1),"*雙葉*"),"●",
"〇")</f>
        <v>〇</v>
      </c>
      <c r="BC34" s="79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3"/>
      <c r="BE34" s="73"/>
      <c r="BF34" s="80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1"/>
      <c r="BH34" s="51"/>
      <c r="BI34" s="62"/>
      <c r="BJ34" s="64" t="str">
        <f ca="1">IF(COUNTIF(INDIRECT("'盛付札（関数）'!FJ"&amp;BI33+1),"*雙葉*"),"●",
"〇")</f>
        <v>〇</v>
      </c>
      <c r="BK34" s="79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3"/>
      <c r="BM34" s="73"/>
      <c r="BN34" s="80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1"/>
      <c r="BP34" s="81"/>
      <c r="BQ34" s="64" t="str">
        <f ca="1">IF(COUNTIF(INDIRECT("'盛付札（関数）'!FJ"&amp;BP33+1),"*雙葉*"),"●",
"〇")</f>
        <v>〇</v>
      </c>
      <c r="BR34" s="79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3"/>
      <c r="BT34" s="73"/>
      <c r="BU34" s="80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1"/>
      <c r="BW34" s="51"/>
      <c r="BX34" s="62"/>
      <c r="BY34" s="64" t="str">
        <f ca="1">IF(COUNTIF(INDIRECT("'盛付札（関数）'!FJ"&amp;BX33+1),"*雙葉*"),"●",
"〇")</f>
        <v>〇</v>
      </c>
      <c r="BZ34" s="79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3"/>
      <c r="CB34" s="73"/>
      <c r="CC34" s="80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1"/>
      <c r="CE34" s="81"/>
      <c r="CF34" s="64" t="str">
        <f ca="1">IF(COUNTIF(INDIRECT("'盛付札（関数）'!FJ"&amp;CE33+1),"*雙葉*"),"●",
"〇")</f>
        <v>〇</v>
      </c>
      <c r="CG34" s="79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3"/>
      <c r="CI34" s="73"/>
      <c r="CJ34" s="80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1"/>
      <c r="CL34" s="51"/>
      <c r="CM34" s="62"/>
      <c r="CN34" s="64" t="str">
        <f ca="1">IF(COUNTIF(INDIRECT("'盛付札（関数）'!FJ"&amp;CM33+1),"*雙葉*"),"●",
"〇")</f>
        <v>〇</v>
      </c>
      <c r="CO34" s="79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3"/>
      <c r="CQ34" s="73"/>
      <c r="CR34" s="80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1"/>
      <c r="CT34" s="81"/>
      <c r="CU34" s="64" t="str">
        <f ca="1">IF(COUNTIF(INDIRECT("'盛付札（関数）'!FJ"&amp;CT33+1),"*雙葉*"),"●",
"〇")</f>
        <v>〇</v>
      </c>
      <c r="CV34" s="79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3"/>
      <c r="CX34" s="73"/>
      <c r="CY34" s="80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1"/>
      <c r="DA34" s="51"/>
      <c r="DB34" s="62"/>
      <c r="DC34" s="64" t="str">
        <f ca="1">IF(COUNTIF(INDIRECT("'盛付札（関数）'!FJ"&amp;DB33+1),"*雙葉*"),"●",
"〇")</f>
        <v>〇</v>
      </c>
      <c r="DD34" s="79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3"/>
      <c r="DF34" s="73"/>
      <c r="DG34" s="80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1"/>
      <c r="DI34" s="81"/>
      <c r="DJ34" s="64" t="str">
        <f ca="1">IF(COUNTIF(INDIRECT("'盛付札（関数）'!FJ"&amp;DI33+1),"*雙葉*"),"●",
"〇")</f>
        <v>〇</v>
      </c>
      <c r="DK34" s="79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3"/>
      <c r="DM34" s="73"/>
      <c r="DN34" s="80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1"/>
      <c r="DP34" s="51"/>
      <c r="DQ34" s="62"/>
      <c r="DR34" s="64" t="str">
        <f ca="1">IF(COUNTIF(INDIRECT("'盛付札（関数）'!FJ"&amp;DQ33+1),"*雙葉*"),"●",
"〇")</f>
        <v>〇</v>
      </c>
      <c r="DS34" s="79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3"/>
      <c r="DU34" s="73"/>
      <c r="DV34" s="80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1"/>
      <c r="DX34" s="81"/>
      <c r="DY34" s="64" t="str">
        <f ca="1">IF(COUNTIF(INDIRECT("'盛付札（関数）'!FJ"&amp;DX33+1),"*雙葉*"),"●",
"〇")</f>
        <v>〇</v>
      </c>
      <c r="DZ34" s="79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3"/>
      <c r="EB34" s="73"/>
      <c r="EC34" s="80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1"/>
      <c r="EE34" s="51"/>
      <c r="EF34" s="62"/>
      <c r="EG34" s="64" t="str">
        <f ca="1">IF(COUNTIF(INDIRECT("'盛付札（関数）'!FJ"&amp;EF33+1),"*雙葉*"),"●",
"〇")</f>
        <v>〇</v>
      </c>
      <c r="EH34" s="79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3"/>
      <c r="EJ34" s="73"/>
      <c r="EK34" s="80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1"/>
      <c r="EM34" s="81"/>
      <c r="EN34" s="64" t="str">
        <f ca="1">IF(COUNTIF(INDIRECT("'盛付札（関数）'!FJ"&amp;EM33+1),"*雙葉*"),"●",
"〇")</f>
        <v>〇</v>
      </c>
      <c r="EO34" s="79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3"/>
      <c r="EQ34" s="73"/>
      <c r="ER34" s="80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1"/>
      <c r="ET34" s="51"/>
    </row>
    <row r="35" spans="1:150" s="63" customFormat="1" x14ac:dyDescent="0.55000000000000004">
      <c r="A35" s="62"/>
      <c r="B35" s="66"/>
      <c r="C35" s="207" t="str" cm="1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08"/>
      <c r="E35" s="51"/>
      <c r="F35" s="63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2"/>
      <c r="H35" s="68"/>
      <c r="I35" s="66"/>
      <c r="J35" s="207" t="str" cm="1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08"/>
      <c r="L35" s="51"/>
      <c r="M35" s="63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2"/>
      <c r="O35" s="51"/>
      <c r="P35" s="62"/>
      <c r="Q35" s="66"/>
      <c r="R35" s="207" t="str" cm="1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08"/>
      <c r="T35" s="51"/>
      <c r="U35" s="63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2"/>
      <c r="W35" s="68"/>
      <c r="X35" s="66"/>
      <c r="Y35" s="207" t="str" cm="1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08"/>
      <c r="AA35" s="51"/>
      <c r="AB35" s="63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2"/>
      <c r="AD35" s="51"/>
      <c r="AE35" s="62"/>
      <c r="AF35" s="66"/>
      <c r="AG35" s="207" t="str" cm="1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08"/>
      <c r="AI35" s="51"/>
      <c r="AJ35" s="63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2"/>
      <c r="AL35" s="68"/>
      <c r="AM35" s="66"/>
      <c r="AN35" s="207" t="str" cm="1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08"/>
      <c r="AP35" s="51"/>
      <c r="AQ35" s="63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2"/>
      <c r="AS35" s="51"/>
      <c r="AT35" s="62"/>
      <c r="AU35" s="66"/>
      <c r="AV35" s="207" t="str" cm="1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08"/>
      <c r="AX35" s="51"/>
      <c r="AY35" s="63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2"/>
      <c r="BA35" s="68"/>
      <c r="BB35" s="66"/>
      <c r="BC35" s="207" t="str" cm="1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08"/>
      <c r="BE35" s="51"/>
      <c r="BF35" s="63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2"/>
      <c r="BH35" s="51"/>
      <c r="BI35" s="62"/>
      <c r="BJ35" s="66"/>
      <c r="BK35" s="207" t="str" cm="1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08"/>
      <c r="BM35" s="51"/>
      <c r="BN35" s="63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2"/>
      <c r="BP35" s="68"/>
      <c r="BQ35" s="66"/>
      <c r="BR35" s="207" t="str" cm="1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08"/>
      <c r="BT35" s="51"/>
      <c r="BU35" s="63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2"/>
      <c r="BW35" s="51"/>
      <c r="BX35" s="62"/>
      <c r="BY35" s="66"/>
      <c r="BZ35" s="207" t="str" cm="1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08"/>
      <c r="CB35" s="51"/>
      <c r="CC35" s="63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2"/>
      <c r="CE35" s="68"/>
      <c r="CF35" s="66"/>
      <c r="CG35" s="207" t="str" cm="1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08"/>
      <c r="CI35" s="51"/>
      <c r="CJ35" s="63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2"/>
      <c r="CL35" s="51"/>
      <c r="CM35" s="62"/>
      <c r="CN35" s="66"/>
      <c r="CO35" s="207" t="str" cm="1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08"/>
      <c r="CQ35" s="51"/>
      <c r="CR35" s="63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2"/>
      <c r="CT35" s="68"/>
      <c r="CU35" s="66"/>
      <c r="CV35" s="207" t="str" cm="1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08"/>
      <c r="CX35" s="51"/>
      <c r="CY35" s="63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2"/>
      <c r="DA35" s="51"/>
      <c r="DB35" s="62"/>
      <c r="DC35" s="66"/>
      <c r="DD35" s="207" t="str" cm="1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08"/>
      <c r="DF35" s="51"/>
      <c r="DG35" s="63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2"/>
      <c r="DI35" s="68"/>
      <c r="DJ35" s="66"/>
      <c r="DK35" s="207" t="str" cm="1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08"/>
      <c r="DM35" s="51"/>
      <c r="DN35" s="63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2"/>
      <c r="DP35" s="51"/>
      <c r="DQ35" s="62"/>
      <c r="DR35" s="66"/>
      <c r="DS35" s="207" t="str" cm="1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08"/>
      <c r="DU35" s="51"/>
      <c r="DV35" s="63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2"/>
      <c r="DX35" s="68"/>
      <c r="DY35" s="66"/>
      <c r="DZ35" s="207" t="str" cm="1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08"/>
      <c r="EB35" s="51"/>
      <c r="EC35" s="63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2"/>
      <c r="EE35" s="51"/>
      <c r="EF35" s="62"/>
      <c r="EG35" s="66"/>
      <c r="EH35" s="207" t="str" cm="1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08"/>
      <c r="EJ35" s="51"/>
      <c r="EK35" s="63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2"/>
      <c r="EM35" s="68"/>
      <c r="EN35" s="66"/>
      <c r="EO35" s="207" t="str" cm="1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08"/>
      <c r="EQ35" s="51"/>
      <c r="ER35" s="63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2"/>
      <c r="ET35" s="51"/>
    </row>
    <row r="36" spans="1:150" ht="15.6" customHeight="1" x14ac:dyDescent="1.05">
      <c r="A36" s="127"/>
      <c r="B36" s="55"/>
      <c r="C36" s="192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06"/>
      <c r="E36" s="82"/>
      <c r="F36" s="204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05"/>
      <c r="H36" s="56"/>
      <c r="I36" s="55"/>
      <c r="J36" s="192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06"/>
      <c r="L36" s="82"/>
      <c r="M36" s="204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05"/>
      <c r="Q36" s="55"/>
      <c r="R36" s="192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06"/>
      <c r="T36" s="82"/>
      <c r="U36" s="204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05"/>
      <c r="W36" s="56"/>
      <c r="X36" s="55"/>
      <c r="Y36" s="192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06"/>
      <c r="AA36" s="82"/>
      <c r="AB36" s="204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05"/>
      <c r="AF36" s="55"/>
      <c r="AG36" s="192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06"/>
      <c r="AI36" s="82"/>
      <c r="AJ36" s="204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05"/>
      <c r="AL36" s="56"/>
      <c r="AM36" s="55"/>
      <c r="AN36" s="192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06"/>
      <c r="AP36" s="82"/>
      <c r="AQ36" s="204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05"/>
      <c r="AU36" s="55"/>
      <c r="AV36" s="192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06"/>
      <c r="AX36" s="82"/>
      <c r="AY36" s="204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05"/>
      <c r="BA36" s="56"/>
      <c r="BB36" s="55"/>
      <c r="BC36" s="192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06"/>
      <c r="BE36" s="82"/>
      <c r="BF36" s="204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05"/>
      <c r="BJ36" s="55"/>
      <c r="BK36" s="192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06"/>
      <c r="BM36" s="82"/>
      <c r="BN36" s="204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05"/>
      <c r="BP36" s="56"/>
      <c r="BQ36" s="55"/>
      <c r="BR36" s="192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06"/>
      <c r="BT36" s="82"/>
      <c r="BU36" s="204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05"/>
      <c r="BY36" s="55"/>
      <c r="BZ36" s="192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06"/>
      <c r="CB36" s="82"/>
      <c r="CC36" s="204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05"/>
      <c r="CE36" s="56"/>
      <c r="CF36" s="55"/>
      <c r="CG36" s="192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06"/>
      <c r="CI36" s="82"/>
      <c r="CJ36" s="204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05"/>
      <c r="CN36" s="55"/>
      <c r="CO36" s="192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06"/>
      <c r="CQ36" s="82"/>
      <c r="CR36" s="204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05"/>
      <c r="CT36" s="56"/>
      <c r="CU36" s="55"/>
      <c r="CV36" s="192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06"/>
      <c r="CX36" s="82"/>
      <c r="CY36" s="204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05"/>
      <c r="DC36" s="55"/>
      <c r="DD36" s="192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06"/>
      <c r="DF36" s="82"/>
      <c r="DG36" s="204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05"/>
      <c r="DI36" s="56"/>
      <c r="DJ36" s="55"/>
      <c r="DK36" s="192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06"/>
      <c r="DM36" s="82"/>
      <c r="DN36" s="204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05"/>
      <c r="DR36" s="55"/>
      <c r="DS36" s="192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06"/>
      <c r="DU36" s="82"/>
      <c r="DV36" s="204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05"/>
      <c r="DX36" s="56"/>
      <c r="DY36" s="55"/>
      <c r="DZ36" s="192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06"/>
      <c r="EB36" s="82"/>
      <c r="EC36" s="204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05"/>
      <c r="EG36" s="55"/>
      <c r="EH36" s="192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06"/>
      <c r="EJ36" s="82"/>
      <c r="EK36" s="204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05"/>
      <c r="EM36" s="56"/>
      <c r="EN36" s="55"/>
      <c r="EO36" s="192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06"/>
      <c r="EQ36" s="82"/>
      <c r="ER36" s="204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05"/>
    </row>
    <row r="37" spans="1:150" ht="15.6" customHeight="1" x14ac:dyDescent="0.45">
      <c r="A37" s="127"/>
      <c r="B37" s="57"/>
      <c r="C37" s="194"/>
      <c r="D37" s="194"/>
      <c r="E37" s="76"/>
      <c r="F37" s="194"/>
      <c r="G37" s="202"/>
      <c r="H37" s="56"/>
      <c r="I37" s="57"/>
      <c r="J37" s="194"/>
      <c r="K37" s="194"/>
      <c r="L37" s="76"/>
      <c r="M37" s="194"/>
      <c r="N37" s="202"/>
      <c r="Q37" s="57"/>
      <c r="R37" s="194"/>
      <c r="S37" s="194"/>
      <c r="T37" s="76"/>
      <c r="U37" s="194"/>
      <c r="V37" s="202"/>
      <c r="W37" s="56"/>
      <c r="X37" s="57"/>
      <c r="Y37" s="194"/>
      <c r="Z37" s="194"/>
      <c r="AA37" s="76"/>
      <c r="AB37" s="194"/>
      <c r="AC37" s="202"/>
      <c r="AF37" s="57"/>
      <c r="AG37" s="194"/>
      <c r="AH37" s="194"/>
      <c r="AI37" s="76"/>
      <c r="AJ37" s="194"/>
      <c r="AK37" s="202"/>
      <c r="AL37" s="56"/>
      <c r="AM37" s="57"/>
      <c r="AN37" s="194"/>
      <c r="AO37" s="194"/>
      <c r="AP37" s="76"/>
      <c r="AQ37" s="194"/>
      <c r="AR37" s="202"/>
      <c r="AU37" s="57"/>
      <c r="AV37" s="194"/>
      <c r="AW37" s="194"/>
      <c r="AX37" s="76"/>
      <c r="AY37" s="194"/>
      <c r="AZ37" s="202"/>
      <c r="BA37" s="56"/>
      <c r="BB37" s="57"/>
      <c r="BC37" s="194"/>
      <c r="BD37" s="194"/>
      <c r="BE37" s="76"/>
      <c r="BF37" s="194"/>
      <c r="BG37" s="202"/>
      <c r="BJ37" s="57"/>
      <c r="BK37" s="194"/>
      <c r="BL37" s="194"/>
      <c r="BM37" s="76"/>
      <c r="BN37" s="194"/>
      <c r="BO37" s="202"/>
      <c r="BP37" s="56"/>
      <c r="BQ37" s="57"/>
      <c r="BR37" s="194"/>
      <c r="BS37" s="194"/>
      <c r="BT37" s="76"/>
      <c r="BU37" s="194"/>
      <c r="BV37" s="202"/>
      <c r="BY37" s="57"/>
      <c r="BZ37" s="194"/>
      <c r="CA37" s="194"/>
      <c r="CB37" s="76"/>
      <c r="CC37" s="194"/>
      <c r="CD37" s="202"/>
      <c r="CE37" s="56"/>
      <c r="CF37" s="57"/>
      <c r="CG37" s="194"/>
      <c r="CH37" s="194"/>
      <c r="CI37" s="76"/>
      <c r="CJ37" s="194"/>
      <c r="CK37" s="202"/>
      <c r="CN37" s="57"/>
      <c r="CO37" s="194"/>
      <c r="CP37" s="194"/>
      <c r="CQ37" s="76"/>
      <c r="CR37" s="194"/>
      <c r="CS37" s="202"/>
      <c r="CT37" s="56"/>
      <c r="CU37" s="57"/>
      <c r="CV37" s="194"/>
      <c r="CW37" s="194"/>
      <c r="CX37" s="76"/>
      <c r="CY37" s="194"/>
      <c r="CZ37" s="202"/>
      <c r="DC37" s="57"/>
      <c r="DD37" s="194"/>
      <c r="DE37" s="194"/>
      <c r="DF37" s="76"/>
      <c r="DG37" s="194"/>
      <c r="DH37" s="202"/>
      <c r="DI37" s="56"/>
      <c r="DJ37" s="57"/>
      <c r="DK37" s="194"/>
      <c r="DL37" s="194"/>
      <c r="DM37" s="76"/>
      <c r="DN37" s="194"/>
      <c r="DO37" s="202"/>
      <c r="DR37" s="57"/>
      <c r="DS37" s="194"/>
      <c r="DT37" s="194"/>
      <c r="DU37" s="76"/>
      <c r="DV37" s="194"/>
      <c r="DW37" s="202"/>
      <c r="DX37" s="56"/>
      <c r="DY37" s="57"/>
      <c r="DZ37" s="194"/>
      <c r="EA37" s="194"/>
      <c r="EB37" s="76"/>
      <c r="EC37" s="194"/>
      <c r="ED37" s="202"/>
      <c r="EG37" s="57"/>
      <c r="EH37" s="194"/>
      <c r="EI37" s="194"/>
      <c r="EJ37" s="76"/>
      <c r="EK37" s="194"/>
      <c r="EL37" s="202"/>
      <c r="EM37" s="56"/>
      <c r="EN37" s="57"/>
      <c r="EO37" s="194"/>
      <c r="EP37" s="194"/>
      <c r="EQ37" s="76"/>
      <c r="ER37" s="194"/>
      <c r="ES37" s="202"/>
    </row>
    <row r="38" spans="1:150" s="63" customFormat="1" x14ac:dyDescent="0.55000000000000004">
      <c r="A38" s="62"/>
      <c r="B38" s="69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7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9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7"/>
      <c r="F38" s="69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2"/>
      <c r="H38" s="51"/>
      <c r="I38" s="69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7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9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7"/>
      <c r="M38" s="69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2"/>
      <c r="O38" s="51"/>
      <c r="P38" s="62"/>
      <c r="Q38" s="69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7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9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7"/>
      <c r="U38" s="69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2"/>
      <c r="W38" s="51"/>
      <c r="X38" s="69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7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9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7"/>
      <c r="AB38" s="69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2"/>
      <c r="AD38" s="51"/>
      <c r="AE38" s="62"/>
      <c r="AF38" s="69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7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9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7"/>
      <c r="AJ38" s="69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2"/>
      <c r="AL38" s="51"/>
      <c r="AM38" s="69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7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9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7"/>
      <c r="AQ38" s="69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2"/>
      <c r="AS38" s="51"/>
      <c r="AT38" s="62"/>
      <c r="AU38" s="69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7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9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7"/>
      <c r="AY38" s="69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2"/>
      <c r="BA38" s="51"/>
      <c r="BB38" s="69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7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9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7"/>
      <c r="BF38" s="69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2"/>
      <c r="BH38" s="51"/>
      <c r="BI38" s="62"/>
      <c r="BJ38" s="69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7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9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7"/>
      <c r="BN38" s="69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2"/>
      <c r="BP38" s="51"/>
      <c r="BQ38" s="69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7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9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7"/>
      <c r="BU38" s="69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2"/>
      <c r="BW38" s="51"/>
      <c r="BX38" s="62"/>
      <c r="BY38" s="69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7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9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7"/>
      <c r="CC38" s="69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2"/>
      <c r="CE38" s="51"/>
      <c r="CF38" s="69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7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9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7"/>
      <c r="CJ38" s="69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2"/>
      <c r="CL38" s="51"/>
      <c r="CM38" s="62"/>
      <c r="CN38" s="69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7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9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7"/>
      <c r="CR38" s="69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2"/>
      <c r="CT38" s="51"/>
      <c r="CU38" s="69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7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9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7"/>
      <c r="CY38" s="69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2"/>
      <c r="DA38" s="51"/>
      <c r="DB38" s="62"/>
      <c r="DC38" s="69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7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9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7"/>
      <c r="DG38" s="69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2"/>
      <c r="DI38" s="51"/>
      <c r="DJ38" s="69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7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9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7"/>
      <c r="DN38" s="69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2"/>
      <c r="DP38" s="51"/>
      <c r="DQ38" s="62"/>
      <c r="DR38" s="69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7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9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7"/>
      <c r="DV38" s="69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2"/>
      <c r="DX38" s="51"/>
      <c r="DY38" s="69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7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9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7"/>
      <c r="EC38" s="69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2"/>
      <c r="EE38" s="51"/>
      <c r="EF38" s="62"/>
      <c r="EG38" s="69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7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9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7"/>
      <c r="EK38" s="69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2"/>
      <c r="EM38" s="51"/>
      <c r="EN38" s="69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7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9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7"/>
      <c r="ER38" s="69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2"/>
      <c r="ET38" s="51"/>
    </row>
    <row r="39" spans="1:150" ht="27.6" customHeight="1" x14ac:dyDescent="0.45">
      <c r="A39" s="127"/>
      <c r="B39" s="203" t="str">
        <f ca="1">IF(C36&lt;&gt;"",
IFERROR(INT(C36/C38),""),"")</f>
        <v/>
      </c>
      <c r="C39" s="202"/>
      <c r="D39" s="203" t="str">
        <f ca="1">IFERROR(MOD(C36,C38),"")</f>
        <v/>
      </c>
      <c r="E39" s="202"/>
      <c r="F39" s="201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02"/>
      <c r="I39" s="203" t="str">
        <f ca="1">IF(J36&lt;&gt;"",
IFERROR(INT(J36/J38),""),"")</f>
        <v/>
      </c>
      <c r="J39" s="202"/>
      <c r="K39" s="203" t="str">
        <f ca="1">IFERROR(MOD(J36,J38),"")</f>
        <v/>
      </c>
      <c r="L39" s="202"/>
      <c r="M39" s="201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02"/>
      <c r="Q39" s="203" t="str">
        <f ca="1">IF(R36&lt;&gt;"",
IFERROR(INT(R36/R38),""),"")</f>
        <v/>
      </c>
      <c r="R39" s="202"/>
      <c r="S39" s="203" t="str">
        <f ca="1">IFERROR(MOD(R36,R38),"")</f>
        <v/>
      </c>
      <c r="T39" s="202"/>
      <c r="U39" s="201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02"/>
      <c r="X39" s="203" t="str">
        <f ca="1">IF(Y36&lt;&gt;"",
IFERROR(INT(Y36/Y38),""),"")</f>
        <v/>
      </c>
      <c r="Y39" s="202"/>
      <c r="Z39" s="203" t="str">
        <f ca="1">IFERROR(MOD(Y36,Y38),"")</f>
        <v/>
      </c>
      <c r="AA39" s="202"/>
      <c r="AB39" s="201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02"/>
      <c r="AF39" s="203" t="str">
        <f ca="1">IF(AG36&lt;&gt;"",
IFERROR(INT(AG36/AG38),""),"")</f>
        <v/>
      </c>
      <c r="AG39" s="202"/>
      <c r="AH39" s="203" t="str">
        <f ca="1">IFERROR(MOD(AG36,AG38),"")</f>
        <v/>
      </c>
      <c r="AI39" s="202"/>
      <c r="AJ39" s="201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02"/>
      <c r="AM39" s="203" t="str">
        <f ca="1">IF(AN36&lt;&gt;"",
IFERROR(INT(AN36/AN38),""),"")</f>
        <v/>
      </c>
      <c r="AN39" s="202"/>
      <c r="AO39" s="203" t="str">
        <f ca="1">IFERROR(MOD(AN36,AN38),"")</f>
        <v/>
      </c>
      <c r="AP39" s="202"/>
      <c r="AQ39" s="201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02"/>
      <c r="AU39" s="203" t="str">
        <f ca="1">IF(AV36&lt;&gt;"",
IFERROR(INT(AV36/AV38),""),"")</f>
        <v/>
      </c>
      <c r="AV39" s="202"/>
      <c r="AW39" s="203" t="str">
        <f ca="1">IFERROR(MOD(AV36,AV38),"")</f>
        <v/>
      </c>
      <c r="AX39" s="202"/>
      <c r="AY39" s="201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02"/>
      <c r="BB39" s="203" t="str">
        <f ca="1">IF(BC36&lt;&gt;"",
IFERROR(INT(BC36/BC38),""),"")</f>
        <v/>
      </c>
      <c r="BC39" s="202"/>
      <c r="BD39" s="203" t="str">
        <f ca="1">IFERROR(MOD(BC36,BC38),"")</f>
        <v/>
      </c>
      <c r="BE39" s="202"/>
      <c r="BF39" s="201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02"/>
      <c r="BJ39" s="203" t="str">
        <f ca="1">IF(BK36&lt;&gt;"",
IFERROR(INT(BK36/BK38),""),"")</f>
        <v/>
      </c>
      <c r="BK39" s="202"/>
      <c r="BL39" s="203" t="str">
        <f ca="1">IFERROR(MOD(BK36,BK38),"")</f>
        <v/>
      </c>
      <c r="BM39" s="202"/>
      <c r="BN39" s="201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02"/>
      <c r="BQ39" s="203" t="str">
        <f ca="1">IF(BR36&lt;&gt;"",
IFERROR(INT(BR36/BR38),""),"")</f>
        <v/>
      </c>
      <c r="BR39" s="202"/>
      <c r="BS39" s="203" t="str">
        <f ca="1">IFERROR(MOD(BR36,BR38),"")</f>
        <v/>
      </c>
      <c r="BT39" s="202"/>
      <c r="BU39" s="201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02"/>
      <c r="BY39" s="203" t="str">
        <f ca="1">IF(BZ36&lt;&gt;"",
IFERROR(INT(BZ36/BZ38),""),"")</f>
        <v/>
      </c>
      <c r="BZ39" s="202"/>
      <c r="CA39" s="203" t="str">
        <f ca="1">IFERROR(MOD(BZ36,BZ38),"")</f>
        <v/>
      </c>
      <c r="CB39" s="202"/>
      <c r="CC39" s="201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02"/>
      <c r="CF39" s="203" t="str">
        <f ca="1">IF(CG36&lt;&gt;"",
IFERROR(INT(CG36/CG38),""),"")</f>
        <v/>
      </c>
      <c r="CG39" s="202"/>
      <c r="CH39" s="203" t="str">
        <f ca="1">IFERROR(MOD(CG36,CG38),"")</f>
        <v/>
      </c>
      <c r="CI39" s="202"/>
      <c r="CJ39" s="201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02"/>
      <c r="CN39" s="203" t="str">
        <f ca="1">IF(CO36&lt;&gt;"",
IFERROR(INT(CO36/CO38),""),"")</f>
        <v/>
      </c>
      <c r="CO39" s="202"/>
      <c r="CP39" s="203" t="str">
        <f ca="1">IFERROR(MOD(CO36,CO38),"")</f>
        <v/>
      </c>
      <c r="CQ39" s="202"/>
      <c r="CR39" s="201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02"/>
      <c r="CU39" s="203" t="str">
        <f ca="1">IF(CV36&lt;&gt;"",
IFERROR(INT(CV36/CV38),""),"")</f>
        <v/>
      </c>
      <c r="CV39" s="202"/>
      <c r="CW39" s="203" t="str">
        <f ca="1">IFERROR(MOD(CV36,CV38),"")</f>
        <v/>
      </c>
      <c r="CX39" s="202"/>
      <c r="CY39" s="201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02"/>
      <c r="DC39" s="203" t="str">
        <f ca="1">IF(DD36&lt;&gt;"",
IFERROR(INT(DD36/DD38),""),"")</f>
        <v/>
      </c>
      <c r="DD39" s="202"/>
      <c r="DE39" s="203" t="str">
        <f ca="1">IFERROR(MOD(DD36,DD38),"")</f>
        <v/>
      </c>
      <c r="DF39" s="202"/>
      <c r="DG39" s="201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02"/>
      <c r="DJ39" s="203" t="str">
        <f ca="1">IF(DK36&lt;&gt;"",
IFERROR(INT(DK36/DK38),""),"")</f>
        <v/>
      </c>
      <c r="DK39" s="202"/>
      <c r="DL39" s="203" t="str">
        <f ca="1">IFERROR(MOD(DK36,DK38),"")</f>
        <v/>
      </c>
      <c r="DM39" s="202"/>
      <c r="DN39" s="201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02"/>
      <c r="DR39" s="203" t="str">
        <f ca="1">IF(DS36&lt;&gt;"",
IFERROR(INT(DS36/DS38),""),"")</f>
        <v/>
      </c>
      <c r="DS39" s="202"/>
      <c r="DT39" s="203" t="str">
        <f ca="1">IFERROR(MOD(DS36,DS38),"")</f>
        <v/>
      </c>
      <c r="DU39" s="202"/>
      <c r="DV39" s="201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02"/>
      <c r="DY39" s="203" t="str">
        <f ca="1">IF(DZ36&lt;&gt;"",
IFERROR(INT(DZ36/DZ38),""),"")</f>
        <v/>
      </c>
      <c r="DZ39" s="202"/>
      <c r="EA39" s="203" t="str">
        <f ca="1">IFERROR(MOD(DZ36,DZ38),"")</f>
        <v/>
      </c>
      <c r="EB39" s="202"/>
      <c r="EC39" s="201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02"/>
      <c r="EG39" s="203" t="str">
        <f ca="1">IF(EH36&lt;&gt;"",
IFERROR(INT(EH36/EH38),""),"")</f>
        <v/>
      </c>
      <c r="EH39" s="202"/>
      <c r="EI39" s="203" t="str">
        <f ca="1">IFERROR(MOD(EH36,EH38),"")</f>
        <v/>
      </c>
      <c r="EJ39" s="202"/>
      <c r="EK39" s="201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02"/>
      <c r="EN39" s="203" t="str">
        <f ca="1">IF(EO36&lt;&gt;"",
IFERROR(INT(EO36/EO38),""),"")</f>
        <v/>
      </c>
      <c r="EO39" s="202"/>
      <c r="EP39" s="203" t="str">
        <f ca="1">IFERROR(MOD(EO36,EO38),"")</f>
        <v/>
      </c>
      <c r="EQ39" s="202"/>
      <c r="ER39" s="201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02"/>
    </row>
    <row r="40" spans="1:150" ht="6.6" customHeight="1" x14ac:dyDescent="0.55000000000000004">
      <c r="A40" s="127"/>
      <c r="B40" s="77"/>
      <c r="D40" s="77"/>
      <c r="F40" s="78"/>
      <c r="I40" s="77"/>
      <c r="K40" s="77"/>
      <c r="M40" s="78"/>
      <c r="Q40" s="77"/>
      <c r="S40" s="77"/>
      <c r="U40" s="78"/>
      <c r="X40" s="77"/>
      <c r="Z40" s="77"/>
      <c r="AB40" s="78"/>
      <c r="AF40" s="77"/>
      <c r="AH40" s="77"/>
      <c r="AJ40" s="78"/>
      <c r="AM40" s="77"/>
      <c r="AO40" s="77"/>
      <c r="AQ40" s="78"/>
      <c r="AU40" s="77"/>
      <c r="AW40" s="77"/>
      <c r="AY40" s="78"/>
      <c r="BB40" s="77"/>
      <c r="BD40" s="77"/>
      <c r="BF40" s="78"/>
      <c r="BJ40" s="77"/>
      <c r="BL40" s="77"/>
      <c r="BN40" s="78"/>
      <c r="BQ40" s="77"/>
      <c r="BS40" s="77"/>
      <c r="BU40" s="78"/>
      <c r="BY40" s="77"/>
      <c r="CA40" s="77"/>
      <c r="CC40" s="78"/>
      <c r="CF40" s="77"/>
      <c r="CH40" s="77"/>
      <c r="CJ40" s="78"/>
      <c r="CN40" s="77"/>
      <c r="CP40" s="77"/>
      <c r="CR40" s="78"/>
      <c r="CU40" s="77"/>
      <c r="CW40" s="77"/>
      <c r="CY40" s="78"/>
      <c r="DC40" s="77"/>
      <c r="DE40" s="77"/>
      <c r="DG40" s="78"/>
      <c r="DJ40" s="77"/>
      <c r="DL40" s="77"/>
      <c r="DN40" s="78"/>
      <c r="DR40" s="77"/>
      <c r="DT40" s="77"/>
      <c r="DV40" s="78"/>
      <c r="DY40" s="77"/>
      <c r="EA40" s="77"/>
      <c r="EC40" s="78"/>
      <c r="EG40" s="77"/>
      <c r="EI40" s="77"/>
      <c r="EK40" s="78"/>
      <c r="EN40" s="77"/>
      <c r="EP40" s="77"/>
      <c r="ER40" s="78"/>
    </row>
    <row r="41" spans="1:150" s="63" customFormat="1" ht="25.8" customHeight="1" x14ac:dyDescent="0.55000000000000004">
      <c r="A41" s="62">
        <f ca="1">IF(OR(I34="●",I34="△"),
H33+2,H33+1)</f>
        <v>11</v>
      </c>
      <c r="B41" s="75" t="str">
        <f ca="1">IF(C41&lt;&gt;"",
MID(貼り付け用!$A$2, FIND("年",貼り付け用!$A$2)+1,2)&amp;"/"&amp;MID(貼り付け用!$A$2, FIND("月",貼り付け用!$A$2)+1,2),"")</f>
        <v/>
      </c>
      <c r="C41" s="209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199"/>
      <c r="E41" s="199"/>
      <c r="F41" s="199"/>
      <c r="G41" s="74" t="str">
        <f t="array" aca="1" ref="G41" ca="1">IF(C41&lt;&gt;"",
IF(AND(INDIRECT("'盛付札（関数）'!FI"&amp;A41)&gt;=124,INDIRECT("'盛付札（関数）'!FI"&amp;A41)&lt;=144),"",
"様"),"")</f>
        <v/>
      </c>
      <c r="H41" s="68">
        <f ca="1">IF(OR(B42="●",B42="△"),
A41+2,A41+1)</f>
        <v>12</v>
      </c>
      <c r="I41" s="75" t="str">
        <f ca="1">IF(J41&lt;&gt;"",
MID(貼り付け用!$A$2, FIND("年",貼り付け用!$A$2)+1,2)&amp;"/"&amp;MID(貼り付け用!$A$2, FIND("月",貼り付け用!$A$2)+1,2),"")</f>
        <v/>
      </c>
      <c r="J41" s="209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199"/>
      <c r="L41" s="199"/>
      <c r="M41" s="199"/>
      <c r="N41" s="74" t="str">
        <f t="array" aca="1" ref="N41" ca="1">IF(J41&lt;&gt;"",
IF(AND(INDIRECT("'盛付札（関数）'!FI"&amp;H41)&gt;=124,INDIRECT("'盛付札（関数）'!FI"&amp;H41)&lt;=144),"",
"様"),"")</f>
        <v/>
      </c>
      <c r="O41" s="51"/>
      <c r="P41" s="62">
        <f ca="1">IF(OR(X34="●",X34="△"),
W33+2,W33+1)</f>
        <v>23</v>
      </c>
      <c r="Q41" s="75" t="str">
        <f ca="1">IF(R41&lt;&gt;"",
MID(貼り付け用!$A$2, FIND("年",貼り付け用!$A$2)+1,2)&amp;"/"&amp;MID(貼り付け用!$A$2, FIND("月",貼り付け用!$A$2)+1,2),"")</f>
        <v/>
      </c>
      <c r="R41" s="209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199"/>
      <c r="T41" s="199"/>
      <c r="U41" s="199"/>
      <c r="V41" s="74" t="str">
        <f t="array" aca="1" ref="V41" ca="1">IF(R41&lt;&gt;"",
IF(AND(INDIRECT("'盛付札（関数）'!FI"&amp;P41)&gt;=124,INDIRECT("'盛付札（関数）'!FI"&amp;P41)&lt;=144),"",
"様"),"")</f>
        <v/>
      </c>
      <c r="W41" s="68">
        <f ca="1">IF(OR(Q42="●",Q42="△"),
P41+2,P41+1)</f>
        <v>24</v>
      </c>
      <c r="X41" s="75" t="str">
        <f ca="1">IF(Y41&lt;&gt;"",
MID(貼り付け用!$A$2, FIND("年",貼り付け用!$A$2)+1,2)&amp;"/"&amp;MID(貼り付け用!$A$2, FIND("月",貼り付け用!$A$2)+1,2),"")</f>
        <v/>
      </c>
      <c r="Y41" s="209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199"/>
      <c r="AA41" s="199"/>
      <c r="AB41" s="199"/>
      <c r="AC41" s="74" t="str">
        <f t="array" aca="1" ref="AC41" ca="1">IF(Y41&lt;&gt;"",
IF(AND(INDIRECT("'盛付札（関数）'!FI"&amp;W41)&gt;=124,INDIRECT("'盛付札（関数）'!FI"&amp;W41)&lt;=144),"",
"様"),"")</f>
        <v/>
      </c>
      <c r="AD41" s="51"/>
      <c r="AE41" s="62">
        <f ca="1">IF(OR(AM34="●",AM34="△"),
AL33+2,AL33+1)</f>
        <v>35</v>
      </c>
      <c r="AF41" s="75" t="str">
        <f ca="1">IF(AG41&lt;&gt;"",
MID(貼り付け用!$A$2, FIND("年",貼り付け用!$A$2)+1,2)&amp;"/"&amp;MID(貼り付け用!$A$2, FIND("月",貼り付け用!$A$2)+1,2),"")</f>
        <v/>
      </c>
      <c r="AG41" s="209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199"/>
      <c r="AI41" s="199"/>
      <c r="AJ41" s="199"/>
      <c r="AK41" s="74" t="str">
        <f t="array" aca="1" ref="AK41" ca="1">IF(AG41&lt;&gt;"",
IF(AND(INDIRECT("'盛付札（関数）'!FI"&amp;AE41)&gt;=124,INDIRECT("'盛付札（関数）'!FI"&amp;AE41)&lt;=144),"",
"様"),"")</f>
        <v/>
      </c>
      <c r="AL41" s="68">
        <f ca="1">IF(OR(AF42="●",AF42="△"),
AE41+2,AE41+1)</f>
        <v>36</v>
      </c>
      <c r="AM41" s="75" t="str">
        <f ca="1">IF(AN41&lt;&gt;"",
MID(貼り付け用!$A$2, FIND("年",貼り付け用!$A$2)+1,2)&amp;"/"&amp;MID(貼り付け用!$A$2, FIND("月",貼り付け用!$A$2)+1,2),"")</f>
        <v/>
      </c>
      <c r="AN41" s="209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199"/>
      <c r="AP41" s="199"/>
      <c r="AQ41" s="199"/>
      <c r="AR41" s="74" t="str">
        <f t="array" aca="1" ref="AR41" ca="1">IF(AN41&lt;&gt;"",
IF(AND(INDIRECT("'盛付札（関数）'!FI"&amp;AL41)&gt;=124,INDIRECT("'盛付札（関数）'!FI"&amp;AL41)&lt;=144),"",
"様"),"")</f>
        <v/>
      </c>
      <c r="AS41" s="51"/>
      <c r="AT41" s="62">
        <f ca="1">IF(OR(BB34="●",BB34="△"),
BA33+2,BA33+1)</f>
        <v>47</v>
      </c>
      <c r="AU41" s="75" t="str">
        <f ca="1">IF(AV41&lt;&gt;"",
MID(貼り付け用!$A$2, FIND("年",貼り付け用!$A$2)+1,2)&amp;"/"&amp;MID(貼り付け用!$A$2, FIND("月",貼り付け用!$A$2)+1,2),"")</f>
        <v/>
      </c>
      <c r="AV41" s="209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199"/>
      <c r="AX41" s="199"/>
      <c r="AY41" s="199"/>
      <c r="AZ41" s="74" t="str">
        <f t="array" aca="1" ref="AZ41" ca="1">IF(AV41&lt;&gt;"",
IF(AND(INDIRECT("'盛付札（関数）'!FI"&amp;AT41)&gt;=124,INDIRECT("'盛付札（関数）'!FI"&amp;AT41)&lt;=144),"",
"様"),"")</f>
        <v/>
      </c>
      <c r="BA41" s="68">
        <f ca="1">IF(OR(AU42="●",AU42="△"),
AT41+2,AT41+1)</f>
        <v>48</v>
      </c>
      <c r="BB41" s="75" t="str">
        <f ca="1">IF(BC41&lt;&gt;"",
MID(貼り付け用!$A$2, FIND("年",貼り付け用!$A$2)+1,2)&amp;"/"&amp;MID(貼り付け用!$A$2, FIND("月",貼り付け用!$A$2)+1,2),"")</f>
        <v/>
      </c>
      <c r="BC41" s="209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199"/>
      <c r="BE41" s="199"/>
      <c r="BF41" s="199"/>
      <c r="BG41" s="74" t="str">
        <f t="array" aca="1" ref="BG41" ca="1">IF(BC41&lt;&gt;"",
IF(AND(INDIRECT("'盛付札（関数）'!FI"&amp;BA41)&gt;=124,INDIRECT("'盛付札（関数）'!FI"&amp;BA41)&lt;=144),"",
"様"),"")</f>
        <v/>
      </c>
      <c r="BH41" s="51"/>
      <c r="BI41" s="62">
        <f ca="1">IF(OR(BQ34="●",BQ34="△"),
BP33+2,BP33+1)</f>
        <v>59</v>
      </c>
      <c r="BJ41" s="75" t="str">
        <f ca="1">IF(BK41&lt;&gt;"",
MID(貼り付け用!$A$2, FIND("年",貼り付け用!$A$2)+1,2)&amp;"/"&amp;MID(貼り付け用!$A$2, FIND("月",貼り付け用!$A$2)+1,2),"")</f>
        <v/>
      </c>
      <c r="BK41" s="209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199"/>
      <c r="BM41" s="199"/>
      <c r="BN41" s="199"/>
      <c r="BO41" s="74" t="str">
        <f t="array" aca="1" ref="BO41" ca="1">IF(BK41&lt;&gt;"",
IF(AND(INDIRECT("'盛付札（関数）'!FI"&amp;BI41)&gt;=124,INDIRECT("'盛付札（関数）'!FI"&amp;BI41)&lt;=144),"",
"様"),"")</f>
        <v/>
      </c>
      <c r="BP41" s="68">
        <f ca="1">IF(OR(BJ42="●",BJ42="△"),
BI41+2,BI41+1)</f>
        <v>60</v>
      </c>
      <c r="BQ41" s="75" t="str">
        <f ca="1">IF(BR41&lt;&gt;"",
MID(貼り付け用!$A$2, FIND("年",貼り付け用!$A$2)+1,2)&amp;"/"&amp;MID(貼り付け用!$A$2, FIND("月",貼り付け用!$A$2)+1,2),"")</f>
        <v/>
      </c>
      <c r="BR41" s="209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199"/>
      <c r="BT41" s="199"/>
      <c r="BU41" s="199"/>
      <c r="BV41" s="74" t="str">
        <f t="array" aca="1" ref="BV41" ca="1">IF(BR41&lt;&gt;"",
IF(AND(INDIRECT("'盛付札（関数）'!FI"&amp;BP41)&gt;=124,INDIRECT("'盛付札（関数）'!FI"&amp;BP41)&lt;=144),"",
"様"),"")</f>
        <v/>
      </c>
      <c r="BW41" s="51"/>
      <c r="BX41" s="62">
        <f ca="1">IF(OR(CF34="●",CF34="△"),
CE33+2,CE33+1)</f>
        <v>71</v>
      </c>
      <c r="BY41" s="75" t="str">
        <f ca="1">IF(BZ41&lt;&gt;"",
MID(貼り付け用!$A$2, FIND("年",貼り付け用!$A$2)+1,2)&amp;"/"&amp;MID(貼り付け用!$A$2, FIND("月",貼り付け用!$A$2)+1,2),"")</f>
        <v/>
      </c>
      <c r="BZ41" s="209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199"/>
      <c r="CB41" s="199"/>
      <c r="CC41" s="199"/>
      <c r="CD41" s="74" t="str">
        <f t="array" aca="1" ref="CD41" ca="1">IF(BZ41&lt;&gt;"",
IF(AND(INDIRECT("'盛付札（関数）'!FI"&amp;BX41)&gt;=124,INDIRECT("'盛付札（関数）'!FI"&amp;BX41)&lt;=144),"",
"様"),"")</f>
        <v/>
      </c>
      <c r="CE41" s="68">
        <f ca="1">IF(OR(BY42="●",BY42="△"),
BX41+2,BX41+1)</f>
        <v>72</v>
      </c>
      <c r="CF41" s="75" t="str">
        <f ca="1">IF(CG41&lt;&gt;"",
MID(貼り付け用!$A$2, FIND("年",貼り付け用!$A$2)+1,2)&amp;"/"&amp;MID(貼り付け用!$A$2, FIND("月",貼り付け用!$A$2)+1,2),"")</f>
        <v/>
      </c>
      <c r="CG41" s="209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199"/>
      <c r="CI41" s="199"/>
      <c r="CJ41" s="199"/>
      <c r="CK41" s="74" t="str">
        <f t="array" aca="1" ref="CK41" ca="1">IF(CG41&lt;&gt;"",
IF(AND(INDIRECT("'盛付札（関数）'!FI"&amp;CE41)&gt;=124,INDIRECT("'盛付札（関数）'!FI"&amp;CE41)&lt;=144),"",
"様"),"")</f>
        <v/>
      </c>
      <c r="CL41" s="51"/>
      <c r="CM41" s="62">
        <f ca="1">IF(OR(CU34="●",CU34="△"),
CT33+2,CT33+1)</f>
        <v>83</v>
      </c>
      <c r="CN41" s="75" t="str">
        <f ca="1">IF(CO41&lt;&gt;"",
MID(貼り付け用!$A$2, FIND("年",貼り付け用!$A$2)+1,2)&amp;"/"&amp;MID(貼り付け用!$A$2, FIND("月",貼り付け用!$A$2)+1,2),"")</f>
        <v/>
      </c>
      <c r="CO41" s="209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199"/>
      <c r="CQ41" s="199"/>
      <c r="CR41" s="199"/>
      <c r="CS41" s="74" t="str">
        <f t="array" aca="1" ref="CS41" ca="1">IF(CO41&lt;&gt;"",
IF(AND(INDIRECT("'盛付札（関数）'!FI"&amp;CM41)&gt;=124,INDIRECT("'盛付札（関数）'!FI"&amp;CM41)&lt;=144),"",
"様"),"")</f>
        <v/>
      </c>
      <c r="CT41" s="68">
        <f ca="1">IF(OR(CN42="●",CN42="△"),
CM41+2,CM41+1)</f>
        <v>84</v>
      </c>
      <c r="CU41" s="75" t="str">
        <f ca="1">IF(CV41&lt;&gt;"",
MID(貼り付け用!$A$2, FIND("年",貼り付け用!$A$2)+1,2)&amp;"/"&amp;MID(貼り付け用!$A$2, FIND("月",貼り付け用!$A$2)+1,2),"")</f>
        <v/>
      </c>
      <c r="CV41" s="209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199"/>
      <c r="CX41" s="199"/>
      <c r="CY41" s="199"/>
      <c r="CZ41" s="74" t="str">
        <f t="array" aca="1" ref="CZ41" ca="1">IF(CV41&lt;&gt;"",
IF(AND(INDIRECT("'盛付札（関数）'!FI"&amp;CT41)&gt;=124,INDIRECT("'盛付札（関数）'!FI"&amp;CT41)&lt;=144),"",
"様"),"")</f>
        <v/>
      </c>
      <c r="DA41" s="51"/>
      <c r="DB41" s="62">
        <f ca="1">IF(OR(DJ34="●",DJ34="△"),
DI33+2,DI33+1)</f>
        <v>95</v>
      </c>
      <c r="DC41" s="75" t="str">
        <f ca="1">IF(DD41&lt;&gt;"",
MID(貼り付け用!$A$2, FIND("年",貼り付け用!$A$2)+1,2)&amp;"/"&amp;MID(貼り付け用!$A$2, FIND("月",貼り付け用!$A$2)+1,2),"")</f>
        <v/>
      </c>
      <c r="DD41" s="209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199"/>
      <c r="DF41" s="199"/>
      <c r="DG41" s="199"/>
      <c r="DH41" s="74" t="str">
        <f t="array" aca="1" ref="DH41" ca="1">IF(DD41&lt;&gt;"",
IF(AND(INDIRECT("'盛付札（関数）'!FI"&amp;DB41)&gt;=124,INDIRECT("'盛付札（関数）'!FI"&amp;DB41)&lt;=144),"",
"様"),"")</f>
        <v/>
      </c>
      <c r="DI41" s="68">
        <f ca="1">IF(OR(DC42="●",DC42="△"),
DB41+2,DB41+1)</f>
        <v>96</v>
      </c>
      <c r="DJ41" s="75" t="str">
        <f ca="1">IF(DK41&lt;&gt;"",
MID(貼り付け用!$A$2, FIND("年",貼り付け用!$A$2)+1,2)&amp;"/"&amp;MID(貼り付け用!$A$2, FIND("月",貼り付け用!$A$2)+1,2),"")</f>
        <v/>
      </c>
      <c r="DK41" s="209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199"/>
      <c r="DM41" s="199"/>
      <c r="DN41" s="199"/>
      <c r="DO41" s="74" t="str">
        <f t="array" aca="1" ref="DO41" ca="1">IF(DK41&lt;&gt;"",
IF(AND(INDIRECT("'盛付札（関数）'!FI"&amp;DI41)&gt;=124,INDIRECT("'盛付札（関数）'!FI"&amp;DI41)&lt;=144),"",
"様"),"")</f>
        <v/>
      </c>
      <c r="DP41" s="51"/>
      <c r="DQ41" s="62">
        <f ca="1">IF(OR(DY34="●",DY34="△"),
DX33+2,DX33+1)</f>
        <v>107</v>
      </c>
      <c r="DR41" s="75" t="str">
        <f ca="1">IF(DS41&lt;&gt;"",
MID(貼り付け用!$A$2, FIND("年",貼り付け用!$A$2)+1,2)&amp;"/"&amp;MID(貼り付け用!$A$2, FIND("月",貼り付け用!$A$2)+1,2),"")</f>
        <v/>
      </c>
      <c r="DS41" s="209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199"/>
      <c r="DU41" s="199"/>
      <c r="DV41" s="199"/>
      <c r="DW41" s="74" t="str">
        <f t="array" aca="1" ref="DW41" ca="1">IF(DS41&lt;&gt;"",
IF(AND(INDIRECT("'盛付札（関数）'!FI"&amp;DQ41)&gt;=124,INDIRECT("'盛付札（関数）'!FI"&amp;DQ41)&lt;=144),"",
"様"),"")</f>
        <v/>
      </c>
      <c r="DX41" s="68">
        <f ca="1">IF(OR(DR42="●",DR42="△"),
DQ41+2,DQ41+1)</f>
        <v>108</v>
      </c>
      <c r="DY41" s="75" t="str">
        <f ca="1">IF(DZ41&lt;&gt;"",
MID(貼り付け用!$A$2, FIND("年",貼り付け用!$A$2)+1,2)&amp;"/"&amp;MID(貼り付け用!$A$2, FIND("月",貼り付け用!$A$2)+1,2),"")</f>
        <v/>
      </c>
      <c r="DZ41" s="209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199"/>
      <c r="EB41" s="199"/>
      <c r="EC41" s="199"/>
      <c r="ED41" s="74" t="str">
        <f t="array" aca="1" ref="ED41" ca="1">IF(DZ41&lt;&gt;"",
IF(AND(INDIRECT("'盛付札（関数）'!FI"&amp;DX41)&gt;=124,INDIRECT("'盛付札（関数）'!FI"&amp;DX41)&lt;=144),"",
"様"),"")</f>
        <v/>
      </c>
      <c r="EE41" s="51"/>
      <c r="EF41" s="62">
        <f ca="1">IF(OR(EN34="●",EN34="△"),
EM33+2,EM33+1)</f>
        <v>119</v>
      </c>
      <c r="EG41" s="75" t="str">
        <f ca="1">IF(EH41&lt;&gt;"",
MID(貼り付け用!$A$2, FIND("年",貼り付け用!$A$2)+1,2)&amp;"/"&amp;MID(貼り付け用!$A$2, FIND("月",貼り付け用!$A$2)+1,2),"")</f>
        <v/>
      </c>
      <c r="EH41" s="209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199"/>
      <c r="EJ41" s="199"/>
      <c r="EK41" s="199"/>
      <c r="EL41" s="74" t="str">
        <f t="array" aca="1" ref="EL41" ca="1">IF(EH41&lt;&gt;"",
IF(AND(INDIRECT("'盛付札（関数）'!FI"&amp;EF41)&gt;=124,INDIRECT("'盛付札（関数）'!FI"&amp;EF41)&lt;=144),"",
"様"),"")</f>
        <v/>
      </c>
      <c r="EM41" s="68">
        <f ca="1">IF(OR(EG42="●",EG42="△"),
EF41+2,EF41+1)</f>
        <v>120</v>
      </c>
      <c r="EN41" s="75" t="str">
        <f ca="1">IF(EO41&lt;&gt;"",
MID(貼り付け用!$A$2, FIND("年",貼り付け用!$A$2)+1,2)&amp;"/"&amp;MID(貼り付け用!$A$2, FIND("月",貼り付け用!$A$2)+1,2),"")</f>
        <v/>
      </c>
      <c r="EO41" s="209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199"/>
      <c r="EQ41" s="199"/>
      <c r="ER41" s="199"/>
      <c r="ES41" s="74" t="str">
        <f t="array" aca="1" ref="ES41" ca="1">IF(EO41&lt;&gt;"",
IF(AND(INDIRECT("'盛付札（関数）'!FI"&amp;EM41)&gt;=124,INDIRECT("'盛付札（関数）'!FI"&amp;EM41)&lt;=144),"",
"様"),"")</f>
        <v/>
      </c>
      <c r="ET41" s="51"/>
    </row>
    <row r="42" spans="1:150" s="63" customFormat="1" x14ac:dyDescent="0.55000000000000004">
      <c r="A42" s="62"/>
      <c r="B42" s="64" t="str">
        <f ca="1">IF(COUNTIF(INDIRECT("'盛付札（関数）'!FJ"&amp;A41+1),"*雙葉*"),"●",
"〇")</f>
        <v>〇</v>
      </c>
      <c r="C42" s="79" t="str" cm="1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3"/>
      <c r="E42" s="73"/>
      <c r="F42" s="80" t="str" cm="1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1"/>
      <c r="H42" s="81"/>
      <c r="I42" s="64" t="str">
        <f ca="1">IF(COUNTIF(INDIRECT("'盛付札（関数）'!FJ"&amp;H41+1),"*雙葉*"),"●",
"〇")</f>
        <v>〇</v>
      </c>
      <c r="J42" s="79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3"/>
      <c r="L42" s="73"/>
      <c r="M42" s="80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1"/>
      <c r="O42" s="51"/>
      <c r="P42" s="62"/>
      <c r="Q42" s="64" t="str">
        <f ca="1">IF(COUNTIF(INDIRECT("'盛付札（関数）'!FJ"&amp;P41+1),"*雙葉*"),"●",
"〇")</f>
        <v>〇</v>
      </c>
      <c r="R42" s="79" t="str" cm="1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3"/>
      <c r="T42" s="73"/>
      <c r="U42" s="80" t="str" cm="1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1"/>
      <c r="W42" s="81"/>
      <c r="X42" s="64" t="str">
        <f ca="1">IF(COUNTIF(INDIRECT("'盛付札（関数）'!FJ"&amp;W41+1),"*雙葉*"),"●",
"〇")</f>
        <v>〇</v>
      </c>
      <c r="Y42" s="79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3"/>
      <c r="AA42" s="73"/>
      <c r="AB42" s="80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1"/>
      <c r="AD42" s="51"/>
      <c r="AE42" s="62"/>
      <c r="AF42" s="64" t="str">
        <f ca="1">IF(COUNTIF(INDIRECT("'盛付札（関数）'!FJ"&amp;AE41+1),"*雙葉*"),"●",
"〇")</f>
        <v>〇</v>
      </c>
      <c r="AG42" s="79" t="str" cm="1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3"/>
      <c r="AI42" s="73"/>
      <c r="AJ42" s="80" t="str" cm="1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1"/>
      <c r="AL42" s="81"/>
      <c r="AM42" s="64" t="str">
        <f ca="1">IF(COUNTIF(INDIRECT("'盛付札（関数）'!FJ"&amp;AL41+1),"*雙葉*"),"●",
"〇")</f>
        <v>〇</v>
      </c>
      <c r="AN42" s="79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3"/>
      <c r="AP42" s="73"/>
      <c r="AQ42" s="80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1"/>
      <c r="AS42" s="51"/>
      <c r="AT42" s="62"/>
      <c r="AU42" s="64" t="str">
        <f ca="1">IF(COUNTIF(INDIRECT("'盛付札（関数）'!FJ"&amp;AT41+1),"*雙葉*"),"●",
"〇")</f>
        <v>〇</v>
      </c>
      <c r="AV42" s="79" t="str" cm="1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3"/>
      <c r="AX42" s="73"/>
      <c r="AY42" s="80" t="str" cm="1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1"/>
      <c r="BA42" s="81"/>
      <c r="BB42" s="64" t="str">
        <f ca="1">IF(COUNTIF(INDIRECT("'盛付札（関数）'!FJ"&amp;BA41+1),"*雙葉*"),"●",
"〇")</f>
        <v>〇</v>
      </c>
      <c r="BC42" s="79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3"/>
      <c r="BE42" s="73"/>
      <c r="BF42" s="80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1"/>
      <c r="BH42" s="51"/>
      <c r="BI42" s="62"/>
      <c r="BJ42" s="64" t="str">
        <f ca="1">IF(COUNTIF(INDIRECT("'盛付札（関数）'!FJ"&amp;BI41+1),"*雙葉*"),"●",
"〇")</f>
        <v>〇</v>
      </c>
      <c r="BK42" s="79" t="str" cm="1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3"/>
      <c r="BM42" s="73"/>
      <c r="BN42" s="80" t="str" cm="1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1"/>
      <c r="BP42" s="81"/>
      <c r="BQ42" s="64" t="str">
        <f ca="1">IF(COUNTIF(INDIRECT("'盛付札（関数）'!FJ"&amp;BP41+1),"*雙葉*"),"●",
"〇")</f>
        <v>〇</v>
      </c>
      <c r="BR42" s="79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3"/>
      <c r="BT42" s="73"/>
      <c r="BU42" s="80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1"/>
      <c r="BW42" s="51"/>
      <c r="BX42" s="62"/>
      <c r="BY42" s="64" t="str">
        <f ca="1">IF(COUNTIF(INDIRECT("'盛付札（関数）'!FJ"&amp;BX41+1),"*雙葉*"),"●",
"〇")</f>
        <v>〇</v>
      </c>
      <c r="BZ42" s="79" t="str" cm="1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3"/>
      <c r="CB42" s="73"/>
      <c r="CC42" s="80" t="str" cm="1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1"/>
      <c r="CE42" s="81"/>
      <c r="CF42" s="64" t="str">
        <f ca="1">IF(COUNTIF(INDIRECT("'盛付札（関数）'!FJ"&amp;CE41+1),"*雙葉*"),"●",
"〇")</f>
        <v>〇</v>
      </c>
      <c r="CG42" s="79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3"/>
      <c r="CI42" s="73"/>
      <c r="CJ42" s="80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1"/>
      <c r="CL42" s="51"/>
      <c r="CM42" s="62"/>
      <c r="CN42" s="64" t="str">
        <f ca="1">IF(COUNTIF(INDIRECT("'盛付札（関数）'!FJ"&amp;CM41+1),"*雙葉*"),"●",
"〇")</f>
        <v>〇</v>
      </c>
      <c r="CO42" s="79" t="str" cm="1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3"/>
      <c r="CQ42" s="73"/>
      <c r="CR42" s="80" t="str" cm="1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1"/>
      <c r="CT42" s="81"/>
      <c r="CU42" s="64" t="str">
        <f ca="1">IF(COUNTIF(INDIRECT("'盛付札（関数）'!FJ"&amp;CT41+1),"*雙葉*"),"●",
"〇")</f>
        <v>〇</v>
      </c>
      <c r="CV42" s="79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3"/>
      <c r="CX42" s="73"/>
      <c r="CY42" s="80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1"/>
      <c r="DA42" s="51"/>
      <c r="DB42" s="62"/>
      <c r="DC42" s="64" t="str">
        <f ca="1">IF(COUNTIF(INDIRECT("'盛付札（関数）'!FJ"&amp;DB41+1),"*雙葉*"),"●",
"〇")</f>
        <v>〇</v>
      </c>
      <c r="DD42" s="79" t="str" cm="1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3"/>
      <c r="DF42" s="73"/>
      <c r="DG42" s="80" t="str" cm="1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1"/>
      <c r="DI42" s="81"/>
      <c r="DJ42" s="64" t="str">
        <f ca="1">IF(COUNTIF(INDIRECT("'盛付札（関数）'!FJ"&amp;DI41+1),"*雙葉*"),"●",
"〇")</f>
        <v>〇</v>
      </c>
      <c r="DK42" s="79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3"/>
      <c r="DM42" s="73"/>
      <c r="DN42" s="80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1"/>
      <c r="DP42" s="51"/>
      <c r="DQ42" s="62"/>
      <c r="DR42" s="64" t="str">
        <f ca="1">IF(COUNTIF(INDIRECT("'盛付札（関数）'!FJ"&amp;DQ41+1),"*雙葉*"),"●",
"〇")</f>
        <v>〇</v>
      </c>
      <c r="DS42" s="79" t="str" cm="1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3"/>
      <c r="DU42" s="73"/>
      <c r="DV42" s="80" t="str" cm="1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1"/>
      <c r="DX42" s="81"/>
      <c r="DY42" s="64" t="str">
        <f ca="1">IF(COUNTIF(INDIRECT("'盛付札（関数）'!FJ"&amp;DX41+1),"*雙葉*"),"●",
"〇")</f>
        <v>〇</v>
      </c>
      <c r="DZ42" s="79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3"/>
      <c r="EB42" s="73"/>
      <c r="EC42" s="80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1"/>
      <c r="EE42" s="51"/>
      <c r="EF42" s="62"/>
      <c r="EG42" s="64" t="str">
        <f ca="1">IF(COUNTIF(INDIRECT("'盛付札（関数）'!FJ"&amp;EF41+1),"*雙葉*"),"●",
"〇")</f>
        <v>〇</v>
      </c>
      <c r="EH42" s="79" t="str" cm="1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3"/>
      <c r="EJ42" s="73"/>
      <c r="EK42" s="80" t="str" cm="1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1"/>
      <c r="EM42" s="81"/>
      <c r="EN42" s="64" t="str">
        <f ca="1">IF(COUNTIF(INDIRECT("'盛付札（関数）'!FJ"&amp;EM41+1),"*雙葉*"),"●",
"〇")</f>
        <v>〇</v>
      </c>
      <c r="EO42" s="79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3"/>
      <c r="EQ42" s="73"/>
      <c r="ER42" s="80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1"/>
      <c r="ET42" s="51"/>
    </row>
    <row r="43" spans="1:150" s="63" customFormat="1" x14ac:dyDescent="0.55000000000000004">
      <c r="A43" s="62"/>
      <c r="B43" s="66"/>
      <c r="C43" s="207" t="str" cm="1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08"/>
      <c r="E43" s="51"/>
      <c r="F43" s="63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2"/>
      <c r="H43" s="68"/>
      <c r="I43" s="66"/>
      <c r="J43" s="207" t="str" cm="1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08"/>
      <c r="L43" s="51"/>
      <c r="M43" s="63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2"/>
      <c r="O43" s="51"/>
      <c r="P43" s="62"/>
      <c r="Q43" s="66"/>
      <c r="R43" s="207" t="str" cm="1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08"/>
      <c r="T43" s="51"/>
      <c r="U43" s="63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2"/>
      <c r="W43" s="68"/>
      <c r="X43" s="66"/>
      <c r="Y43" s="207" t="str" cm="1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08"/>
      <c r="AA43" s="51"/>
      <c r="AB43" s="63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2"/>
      <c r="AD43" s="51"/>
      <c r="AE43" s="62"/>
      <c r="AF43" s="66"/>
      <c r="AG43" s="207" t="str" cm="1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08"/>
      <c r="AI43" s="51"/>
      <c r="AJ43" s="63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2"/>
      <c r="AL43" s="68"/>
      <c r="AM43" s="66"/>
      <c r="AN43" s="207" t="str" cm="1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08"/>
      <c r="AP43" s="51"/>
      <c r="AQ43" s="63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2"/>
      <c r="AS43" s="51"/>
      <c r="AT43" s="62"/>
      <c r="AU43" s="66"/>
      <c r="AV43" s="207" t="str" cm="1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08"/>
      <c r="AX43" s="51"/>
      <c r="AY43" s="63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2"/>
      <c r="BA43" s="68"/>
      <c r="BB43" s="66"/>
      <c r="BC43" s="207" t="str" cm="1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08"/>
      <c r="BE43" s="51"/>
      <c r="BF43" s="63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2"/>
      <c r="BH43" s="51"/>
      <c r="BI43" s="62"/>
      <c r="BJ43" s="66"/>
      <c r="BK43" s="207" t="str" cm="1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08"/>
      <c r="BM43" s="51"/>
      <c r="BN43" s="63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2"/>
      <c r="BP43" s="68"/>
      <c r="BQ43" s="66"/>
      <c r="BR43" s="207" t="str" cm="1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08"/>
      <c r="BT43" s="51"/>
      <c r="BU43" s="63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2"/>
      <c r="BW43" s="51"/>
      <c r="BX43" s="62"/>
      <c r="BY43" s="66"/>
      <c r="BZ43" s="207" t="str" cm="1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08"/>
      <c r="CB43" s="51"/>
      <c r="CC43" s="63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2"/>
      <c r="CE43" s="68"/>
      <c r="CF43" s="66"/>
      <c r="CG43" s="207" t="str" cm="1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08"/>
      <c r="CI43" s="51"/>
      <c r="CJ43" s="63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2"/>
      <c r="CL43" s="51"/>
      <c r="CM43" s="62"/>
      <c r="CN43" s="66"/>
      <c r="CO43" s="207" t="str" cm="1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08"/>
      <c r="CQ43" s="51"/>
      <c r="CR43" s="63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2"/>
      <c r="CT43" s="68"/>
      <c r="CU43" s="66"/>
      <c r="CV43" s="207" t="str" cm="1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08"/>
      <c r="CX43" s="51"/>
      <c r="CY43" s="63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2"/>
      <c r="DA43" s="51"/>
      <c r="DB43" s="62"/>
      <c r="DC43" s="66"/>
      <c r="DD43" s="207" t="str" cm="1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08"/>
      <c r="DF43" s="51"/>
      <c r="DG43" s="63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2"/>
      <c r="DI43" s="68"/>
      <c r="DJ43" s="66"/>
      <c r="DK43" s="207" t="str" cm="1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08"/>
      <c r="DM43" s="51"/>
      <c r="DN43" s="63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2"/>
      <c r="DP43" s="51"/>
      <c r="DQ43" s="62"/>
      <c r="DR43" s="66"/>
      <c r="DS43" s="207" t="str" cm="1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08"/>
      <c r="DU43" s="51"/>
      <c r="DV43" s="63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2"/>
      <c r="DX43" s="68"/>
      <c r="DY43" s="66"/>
      <c r="DZ43" s="207" t="str" cm="1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08"/>
      <c r="EB43" s="51"/>
      <c r="EC43" s="63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2"/>
      <c r="EE43" s="51"/>
      <c r="EF43" s="62"/>
      <c r="EG43" s="66"/>
      <c r="EH43" s="207" t="str" cm="1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08"/>
      <c r="EJ43" s="51"/>
      <c r="EK43" s="63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2"/>
      <c r="EM43" s="68"/>
      <c r="EN43" s="66"/>
      <c r="EO43" s="207" t="str" cm="1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08"/>
      <c r="EQ43" s="51"/>
      <c r="ER43" s="63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2"/>
      <c r="ET43" s="51"/>
    </row>
    <row r="44" spans="1:150" ht="15.6" customHeight="1" x14ac:dyDescent="1.05">
      <c r="A44" s="127"/>
      <c r="B44" s="55"/>
      <c r="C44" s="192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06"/>
      <c r="E44" s="82"/>
      <c r="F44" s="204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05"/>
      <c r="H44" s="56"/>
      <c r="I44" s="55"/>
      <c r="J44" s="192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06"/>
      <c r="L44" s="82"/>
      <c r="M44" s="204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05"/>
      <c r="Q44" s="55"/>
      <c r="R44" s="192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06"/>
      <c r="T44" s="82"/>
      <c r="U44" s="204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05"/>
      <c r="W44" s="56"/>
      <c r="X44" s="55"/>
      <c r="Y44" s="192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06"/>
      <c r="AA44" s="82"/>
      <c r="AB44" s="204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05"/>
      <c r="AF44" s="55"/>
      <c r="AG44" s="192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06"/>
      <c r="AI44" s="82"/>
      <c r="AJ44" s="204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05"/>
      <c r="AL44" s="56"/>
      <c r="AM44" s="55"/>
      <c r="AN44" s="192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06"/>
      <c r="AP44" s="82"/>
      <c r="AQ44" s="204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05"/>
      <c r="AU44" s="55"/>
      <c r="AV44" s="192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06"/>
      <c r="AX44" s="82"/>
      <c r="AY44" s="204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05"/>
      <c r="BA44" s="56"/>
      <c r="BB44" s="55"/>
      <c r="BC44" s="192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06"/>
      <c r="BE44" s="82"/>
      <c r="BF44" s="204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05"/>
      <c r="BJ44" s="55"/>
      <c r="BK44" s="192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06"/>
      <c r="BM44" s="82"/>
      <c r="BN44" s="204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05"/>
      <c r="BP44" s="56"/>
      <c r="BQ44" s="55"/>
      <c r="BR44" s="192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06"/>
      <c r="BT44" s="82"/>
      <c r="BU44" s="204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05"/>
      <c r="BY44" s="55"/>
      <c r="BZ44" s="192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06"/>
      <c r="CB44" s="82"/>
      <c r="CC44" s="204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05"/>
      <c r="CE44" s="56"/>
      <c r="CF44" s="55"/>
      <c r="CG44" s="192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06"/>
      <c r="CI44" s="82"/>
      <c r="CJ44" s="204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05"/>
      <c r="CN44" s="55"/>
      <c r="CO44" s="192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06"/>
      <c r="CQ44" s="82"/>
      <c r="CR44" s="204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05"/>
      <c r="CT44" s="56"/>
      <c r="CU44" s="55"/>
      <c r="CV44" s="192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06"/>
      <c r="CX44" s="82"/>
      <c r="CY44" s="204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05"/>
      <c r="DC44" s="55"/>
      <c r="DD44" s="192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06"/>
      <c r="DF44" s="82"/>
      <c r="DG44" s="204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05"/>
      <c r="DI44" s="56"/>
      <c r="DJ44" s="55"/>
      <c r="DK44" s="192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06"/>
      <c r="DM44" s="82"/>
      <c r="DN44" s="204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05"/>
      <c r="DR44" s="55"/>
      <c r="DS44" s="192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06"/>
      <c r="DU44" s="82"/>
      <c r="DV44" s="204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05"/>
      <c r="DX44" s="56"/>
      <c r="DY44" s="55"/>
      <c r="DZ44" s="192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06"/>
      <c r="EB44" s="82"/>
      <c r="EC44" s="204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05"/>
      <c r="EG44" s="55"/>
      <c r="EH44" s="192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06"/>
      <c r="EJ44" s="82"/>
      <c r="EK44" s="204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05"/>
      <c r="EM44" s="56"/>
      <c r="EN44" s="55"/>
      <c r="EO44" s="192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06"/>
      <c r="EQ44" s="82"/>
      <c r="ER44" s="204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05"/>
    </row>
    <row r="45" spans="1:150" ht="15.6" customHeight="1" x14ac:dyDescent="0.45">
      <c r="A45" s="127"/>
      <c r="B45" s="57"/>
      <c r="C45" s="194"/>
      <c r="D45" s="194"/>
      <c r="E45" s="76"/>
      <c r="F45" s="194"/>
      <c r="G45" s="202"/>
      <c r="H45" s="56"/>
      <c r="I45" s="57"/>
      <c r="J45" s="194"/>
      <c r="K45" s="194"/>
      <c r="L45" s="76"/>
      <c r="M45" s="194"/>
      <c r="N45" s="202"/>
      <c r="Q45" s="57"/>
      <c r="R45" s="194"/>
      <c r="S45" s="194"/>
      <c r="T45" s="76"/>
      <c r="U45" s="194"/>
      <c r="V45" s="202"/>
      <c r="W45" s="56"/>
      <c r="X45" s="57"/>
      <c r="Y45" s="194"/>
      <c r="Z45" s="194"/>
      <c r="AA45" s="76"/>
      <c r="AB45" s="194"/>
      <c r="AC45" s="202"/>
      <c r="AF45" s="57"/>
      <c r="AG45" s="194"/>
      <c r="AH45" s="194"/>
      <c r="AI45" s="76"/>
      <c r="AJ45" s="194"/>
      <c r="AK45" s="202"/>
      <c r="AL45" s="56"/>
      <c r="AM45" s="57"/>
      <c r="AN45" s="194"/>
      <c r="AO45" s="194"/>
      <c r="AP45" s="76"/>
      <c r="AQ45" s="194"/>
      <c r="AR45" s="202"/>
      <c r="AU45" s="57"/>
      <c r="AV45" s="194"/>
      <c r="AW45" s="194"/>
      <c r="AX45" s="76"/>
      <c r="AY45" s="194"/>
      <c r="AZ45" s="202"/>
      <c r="BA45" s="56"/>
      <c r="BB45" s="57"/>
      <c r="BC45" s="194"/>
      <c r="BD45" s="194"/>
      <c r="BE45" s="76"/>
      <c r="BF45" s="194"/>
      <c r="BG45" s="202"/>
      <c r="BJ45" s="57"/>
      <c r="BK45" s="194"/>
      <c r="BL45" s="194"/>
      <c r="BM45" s="76"/>
      <c r="BN45" s="194"/>
      <c r="BO45" s="202"/>
      <c r="BP45" s="56"/>
      <c r="BQ45" s="57"/>
      <c r="BR45" s="194"/>
      <c r="BS45" s="194"/>
      <c r="BT45" s="76"/>
      <c r="BU45" s="194"/>
      <c r="BV45" s="202"/>
      <c r="BY45" s="57"/>
      <c r="BZ45" s="194"/>
      <c r="CA45" s="194"/>
      <c r="CB45" s="76"/>
      <c r="CC45" s="194"/>
      <c r="CD45" s="202"/>
      <c r="CE45" s="56"/>
      <c r="CF45" s="57"/>
      <c r="CG45" s="194"/>
      <c r="CH45" s="194"/>
      <c r="CI45" s="76"/>
      <c r="CJ45" s="194"/>
      <c r="CK45" s="202"/>
      <c r="CN45" s="57"/>
      <c r="CO45" s="194"/>
      <c r="CP45" s="194"/>
      <c r="CQ45" s="76"/>
      <c r="CR45" s="194"/>
      <c r="CS45" s="202"/>
      <c r="CT45" s="56"/>
      <c r="CU45" s="57"/>
      <c r="CV45" s="194"/>
      <c r="CW45" s="194"/>
      <c r="CX45" s="76"/>
      <c r="CY45" s="194"/>
      <c r="CZ45" s="202"/>
      <c r="DC45" s="57"/>
      <c r="DD45" s="194"/>
      <c r="DE45" s="194"/>
      <c r="DF45" s="76"/>
      <c r="DG45" s="194"/>
      <c r="DH45" s="202"/>
      <c r="DI45" s="56"/>
      <c r="DJ45" s="57"/>
      <c r="DK45" s="194"/>
      <c r="DL45" s="194"/>
      <c r="DM45" s="76"/>
      <c r="DN45" s="194"/>
      <c r="DO45" s="202"/>
      <c r="DR45" s="57"/>
      <c r="DS45" s="194"/>
      <c r="DT45" s="194"/>
      <c r="DU45" s="76"/>
      <c r="DV45" s="194"/>
      <c r="DW45" s="202"/>
      <c r="DX45" s="56"/>
      <c r="DY45" s="57"/>
      <c r="DZ45" s="194"/>
      <c r="EA45" s="194"/>
      <c r="EB45" s="76"/>
      <c r="EC45" s="194"/>
      <c r="ED45" s="202"/>
      <c r="EG45" s="57"/>
      <c r="EH45" s="194"/>
      <c r="EI45" s="194"/>
      <c r="EJ45" s="76"/>
      <c r="EK45" s="194"/>
      <c r="EL45" s="202"/>
      <c r="EM45" s="56"/>
      <c r="EN45" s="57"/>
      <c r="EO45" s="194"/>
      <c r="EP45" s="194"/>
      <c r="EQ45" s="76"/>
      <c r="ER45" s="194"/>
      <c r="ES45" s="202"/>
    </row>
    <row r="46" spans="1:150" s="63" customFormat="1" x14ac:dyDescent="0.55000000000000004">
      <c r="A46" s="62"/>
      <c r="B46" s="69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7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9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7"/>
      <c r="F46" s="69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2"/>
      <c r="H46" s="51"/>
      <c r="I46" s="69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7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9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7"/>
      <c r="M46" s="69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2"/>
      <c r="O46" s="51"/>
      <c r="P46" s="62"/>
      <c r="Q46" s="69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7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9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7"/>
      <c r="U46" s="69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2"/>
      <c r="W46" s="51"/>
      <c r="X46" s="69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7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9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7"/>
      <c r="AB46" s="69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2"/>
      <c r="AD46" s="51"/>
      <c r="AE46" s="62"/>
      <c r="AF46" s="69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7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9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7"/>
      <c r="AJ46" s="69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2"/>
      <c r="AL46" s="51"/>
      <c r="AM46" s="69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7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9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7"/>
      <c r="AQ46" s="69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2"/>
      <c r="AS46" s="51"/>
      <c r="AT46" s="62"/>
      <c r="AU46" s="69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7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9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7"/>
      <c r="AY46" s="69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2"/>
      <c r="BA46" s="51"/>
      <c r="BB46" s="69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7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9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7"/>
      <c r="BF46" s="69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2"/>
      <c r="BH46" s="51"/>
      <c r="BI46" s="62"/>
      <c r="BJ46" s="69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7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9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7"/>
      <c r="BN46" s="69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2"/>
      <c r="BP46" s="51"/>
      <c r="BQ46" s="69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7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9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7"/>
      <c r="BU46" s="69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2"/>
      <c r="BW46" s="51"/>
      <c r="BX46" s="62"/>
      <c r="BY46" s="69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7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9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7"/>
      <c r="CC46" s="69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2"/>
      <c r="CE46" s="51"/>
      <c r="CF46" s="69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7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9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7"/>
      <c r="CJ46" s="69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2"/>
      <c r="CL46" s="51"/>
      <c r="CM46" s="62"/>
      <c r="CN46" s="69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7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9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7"/>
      <c r="CR46" s="69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2"/>
      <c r="CT46" s="51"/>
      <c r="CU46" s="69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7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9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7"/>
      <c r="CY46" s="69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2"/>
      <c r="DA46" s="51"/>
      <c r="DB46" s="62"/>
      <c r="DC46" s="69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7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9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7"/>
      <c r="DG46" s="69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2"/>
      <c r="DI46" s="51"/>
      <c r="DJ46" s="69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7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9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7"/>
      <c r="DN46" s="69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2"/>
      <c r="DP46" s="51"/>
      <c r="DQ46" s="62"/>
      <c r="DR46" s="69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7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9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7"/>
      <c r="DV46" s="69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2"/>
      <c r="DX46" s="51"/>
      <c r="DY46" s="69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7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9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7"/>
      <c r="EC46" s="69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2"/>
      <c r="EE46" s="51"/>
      <c r="EF46" s="62"/>
      <c r="EG46" s="69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7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9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7"/>
      <c r="EK46" s="69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2"/>
      <c r="EM46" s="51"/>
      <c r="EN46" s="69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7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9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7"/>
      <c r="ER46" s="69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2"/>
      <c r="ET46" s="51"/>
    </row>
    <row r="47" spans="1:150" ht="27.6" customHeight="1" x14ac:dyDescent="0.45">
      <c r="A47" s="127"/>
      <c r="B47" s="203" t="str">
        <f ca="1">IF(C44&lt;&gt;"",
IFERROR(INT(C44/C46),""),"")</f>
        <v/>
      </c>
      <c r="C47" s="202"/>
      <c r="D47" s="203" t="str">
        <f ca="1">IFERROR(MOD(C44,C46),"")</f>
        <v/>
      </c>
      <c r="E47" s="202"/>
      <c r="F47" s="201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02"/>
      <c r="I47" s="203" t="str">
        <f ca="1">IF(J44&lt;&gt;"",
IFERROR(INT(J44/J46),""),"")</f>
        <v/>
      </c>
      <c r="J47" s="202"/>
      <c r="K47" s="203" t="str">
        <f ca="1">IFERROR(MOD(J44,J46),"")</f>
        <v/>
      </c>
      <c r="L47" s="202"/>
      <c r="M47" s="201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02"/>
      <c r="Q47" s="203" t="str">
        <f ca="1">IF(R44&lt;&gt;"",
IFERROR(INT(R44/R46),""),"")</f>
        <v/>
      </c>
      <c r="R47" s="202"/>
      <c r="S47" s="203" t="str">
        <f ca="1">IFERROR(MOD(R44,R46),"")</f>
        <v/>
      </c>
      <c r="T47" s="202"/>
      <c r="U47" s="201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02"/>
      <c r="X47" s="203" t="str">
        <f ca="1">IF(Y44&lt;&gt;"",
IFERROR(INT(Y44/Y46),""),"")</f>
        <v/>
      </c>
      <c r="Y47" s="202"/>
      <c r="Z47" s="203" t="str">
        <f ca="1">IFERROR(MOD(Y44,Y46),"")</f>
        <v/>
      </c>
      <c r="AA47" s="202"/>
      <c r="AB47" s="201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02"/>
      <c r="AF47" s="203" t="str">
        <f ca="1">IF(AG44&lt;&gt;"",
IFERROR(INT(AG44/AG46),""),"")</f>
        <v/>
      </c>
      <c r="AG47" s="202"/>
      <c r="AH47" s="203" t="str">
        <f ca="1">IFERROR(MOD(AG44,AG46),"")</f>
        <v/>
      </c>
      <c r="AI47" s="202"/>
      <c r="AJ47" s="201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02"/>
      <c r="AM47" s="203" t="str">
        <f ca="1">IF(AN44&lt;&gt;"",
IFERROR(INT(AN44/AN46),""),"")</f>
        <v/>
      </c>
      <c r="AN47" s="202"/>
      <c r="AO47" s="203" t="str">
        <f ca="1">IFERROR(MOD(AN44,AN46),"")</f>
        <v/>
      </c>
      <c r="AP47" s="202"/>
      <c r="AQ47" s="201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02"/>
      <c r="AU47" s="203" t="str">
        <f ca="1">IF(AV44&lt;&gt;"",
IFERROR(INT(AV44/AV46),""),"")</f>
        <v/>
      </c>
      <c r="AV47" s="202"/>
      <c r="AW47" s="203" t="str">
        <f ca="1">IFERROR(MOD(AV44,AV46),"")</f>
        <v/>
      </c>
      <c r="AX47" s="202"/>
      <c r="AY47" s="201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02"/>
      <c r="BB47" s="203" t="str">
        <f ca="1">IF(BC44&lt;&gt;"",
IFERROR(INT(BC44/BC46),""),"")</f>
        <v/>
      </c>
      <c r="BC47" s="202"/>
      <c r="BD47" s="203" t="str">
        <f ca="1">IFERROR(MOD(BC44,BC46),"")</f>
        <v/>
      </c>
      <c r="BE47" s="202"/>
      <c r="BF47" s="201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02"/>
      <c r="BJ47" s="203" t="str">
        <f ca="1">IF(BK44&lt;&gt;"",
IFERROR(INT(BK44/BK46),""),"")</f>
        <v/>
      </c>
      <c r="BK47" s="202"/>
      <c r="BL47" s="203" t="str">
        <f ca="1">IFERROR(MOD(BK44,BK46),"")</f>
        <v/>
      </c>
      <c r="BM47" s="202"/>
      <c r="BN47" s="201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02"/>
      <c r="BQ47" s="203" t="str">
        <f ca="1">IF(BR44&lt;&gt;"",
IFERROR(INT(BR44/BR46),""),"")</f>
        <v/>
      </c>
      <c r="BR47" s="202"/>
      <c r="BS47" s="203" t="str">
        <f ca="1">IFERROR(MOD(BR44,BR46),"")</f>
        <v/>
      </c>
      <c r="BT47" s="202"/>
      <c r="BU47" s="201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02"/>
      <c r="BY47" s="203" t="str">
        <f ca="1">IF(BZ44&lt;&gt;"",
IFERROR(INT(BZ44/BZ46),""),"")</f>
        <v/>
      </c>
      <c r="BZ47" s="202"/>
      <c r="CA47" s="203" t="str">
        <f ca="1">IFERROR(MOD(BZ44,BZ46),"")</f>
        <v/>
      </c>
      <c r="CB47" s="202"/>
      <c r="CC47" s="201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02"/>
      <c r="CF47" s="203" t="str">
        <f ca="1">IF(CG44&lt;&gt;"",
IFERROR(INT(CG44/CG46),""),"")</f>
        <v/>
      </c>
      <c r="CG47" s="202"/>
      <c r="CH47" s="203" t="str">
        <f ca="1">IFERROR(MOD(CG44,CG46),"")</f>
        <v/>
      </c>
      <c r="CI47" s="202"/>
      <c r="CJ47" s="201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02"/>
      <c r="CN47" s="203" t="str">
        <f ca="1">IF(CO44&lt;&gt;"",
IFERROR(INT(CO44/CO46),""),"")</f>
        <v/>
      </c>
      <c r="CO47" s="202"/>
      <c r="CP47" s="203" t="str">
        <f ca="1">IFERROR(MOD(CO44,CO46),"")</f>
        <v/>
      </c>
      <c r="CQ47" s="202"/>
      <c r="CR47" s="201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02"/>
      <c r="CU47" s="203" t="str">
        <f ca="1">IF(CV44&lt;&gt;"",
IFERROR(INT(CV44/CV46),""),"")</f>
        <v/>
      </c>
      <c r="CV47" s="202"/>
      <c r="CW47" s="203" t="str">
        <f ca="1">IFERROR(MOD(CV44,CV46),"")</f>
        <v/>
      </c>
      <c r="CX47" s="202"/>
      <c r="CY47" s="201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02"/>
      <c r="DC47" s="203" t="str">
        <f ca="1">IF(DD44&lt;&gt;"",
IFERROR(INT(DD44/DD46),""),"")</f>
        <v/>
      </c>
      <c r="DD47" s="202"/>
      <c r="DE47" s="203" t="str">
        <f ca="1">IFERROR(MOD(DD44,DD46),"")</f>
        <v/>
      </c>
      <c r="DF47" s="202"/>
      <c r="DG47" s="201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02"/>
      <c r="DJ47" s="203" t="str">
        <f ca="1">IF(DK44&lt;&gt;"",
IFERROR(INT(DK44/DK46),""),"")</f>
        <v/>
      </c>
      <c r="DK47" s="202"/>
      <c r="DL47" s="203" t="str">
        <f ca="1">IFERROR(MOD(DK44,DK46),"")</f>
        <v/>
      </c>
      <c r="DM47" s="202"/>
      <c r="DN47" s="201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02"/>
      <c r="DR47" s="203" t="str">
        <f ca="1">IF(DS44&lt;&gt;"",
IFERROR(INT(DS44/DS46),""),"")</f>
        <v/>
      </c>
      <c r="DS47" s="202"/>
      <c r="DT47" s="203" t="str">
        <f ca="1">IFERROR(MOD(DS44,DS46),"")</f>
        <v/>
      </c>
      <c r="DU47" s="202"/>
      <c r="DV47" s="201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02"/>
      <c r="DY47" s="203" t="str">
        <f ca="1">IF(DZ44&lt;&gt;"",
IFERROR(INT(DZ44/DZ46),""),"")</f>
        <v/>
      </c>
      <c r="DZ47" s="202"/>
      <c r="EA47" s="203" t="str">
        <f ca="1">IFERROR(MOD(DZ44,DZ46),"")</f>
        <v/>
      </c>
      <c r="EB47" s="202"/>
      <c r="EC47" s="201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02"/>
      <c r="EG47" s="203" t="str">
        <f ca="1">IF(EH44&lt;&gt;"",
IFERROR(INT(EH44/EH46),""),"")</f>
        <v/>
      </c>
      <c r="EH47" s="202"/>
      <c r="EI47" s="203" t="str">
        <f ca="1">IFERROR(MOD(EH44,EH46),"")</f>
        <v/>
      </c>
      <c r="EJ47" s="202"/>
      <c r="EK47" s="201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02"/>
      <c r="EN47" s="203" t="str">
        <f ca="1">IF(EO44&lt;&gt;"",
IFERROR(INT(EO44/EO46),""),"")</f>
        <v/>
      </c>
      <c r="EO47" s="202"/>
      <c r="EP47" s="203" t="str">
        <f ca="1">IFERROR(MOD(EO44,EO46),"")</f>
        <v/>
      </c>
      <c r="EQ47" s="202"/>
      <c r="ER47" s="201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02"/>
    </row>
  </sheetData>
  <mergeCells count="840">
    <mergeCell ref="C9:F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Y15:AZ15"/>
    <mergeCell ref="AG36:AH37"/>
    <mergeCell ref="DS41:DV41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R3:S3"/>
    <mergeCell ref="BC25:BF25"/>
    <mergeCell ref="U39:V39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DS4:DT5"/>
    <mergeCell ref="DC47:DD47"/>
    <mergeCell ref="BN39:BO39"/>
    <mergeCell ref="AV9:AY9"/>
    <mergeCell ref="DD44:DE45"/>
    <mergeCell ref="BN4:BO5"/>
    <mergeCell ref="AO7:AP7"/>
    <mergeCell ref="EO12:EP13"/>
    <mergeCell ref="AV35:AW35"/>
    <mergeCell ref="BF44:BG45"/>
    <mergeCell ref="F7:G7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F36:G37"/>
    <mergeCell ref="EO41:ER41"/>
    <mergeCell ref="F12:G13"/>
    <mergeCell ref="CP39:CQ39"/>
    <mergeCell ref="BK35:BL35"/>
    <mergeCell ref="EO4:EP5"/>
    <mergeCell ref="DK11:DL11"/>
    <mergeCell ref="BQ7:BR7"/>
    <mergeCell ref="D23:E23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CY12:CZ13"/>
    <mergeCell ref="BB7:BC7"/>
    <mergeCell ref="BD7:BE7"/>
    <mergeCell ref="CY20:CZ21"/>
    <mergeCell ref="M39:N39"/>
    <mergeCell ref="EH28:EI29"/>
    <mergeCell ref="AH23:AI23"/>
    <mergeCell ref="EO33:ER33"/>
    <mergeCell ref="AH39:AI39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AU47:AV47"/>
    <mergeCell ref="CC39:CD39"/>
    <mergeCell ref="DG20:DH21"/>
    <mergeCell ref="BK9:BN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F15:G15"/>
    <mergeCell ref="BB39:BC39"/>
    <mergeCell ref="AV11:AW11"/>
    <mergeCell ref="BD39:BE39"/>
    <mergeCell ref="CU47:CV47"/>
    <mergeCell ref="EC12:ED13"/>
    <mergeCell ref="AN9:AQ9"/>
    <mergeCell ref="AV25:AY25"/>
    <mergeCell ref="DK9:DN9"/>
    <mergeCell ref="BN36:BO37"/>
    <mergeCell ref="CR28:CS29"/>
    <mergeCell ref="DS17:DV17"/>
    <mergeCell ref="AW23:AX23"/>
    <mergeCell ref="BC20:BD21"/>
    <mergeCell ref="AN35:AO35"/>
    <mergeCell ref="CO35:CP35"/>
    <mergeCell ref="BU39:BV39"/>
    <mergeCell ref="AU31:AV31"/>
    <mergeCell ref="BC9:BF9"/>
    <mergeCell ref="DK44:DL45"/>
    <mergeCell ref="J27:K27"/>
    <mergeCell ref="BC28:BD29"/>
    <mergeCell ref="CW15:CX15"/>
    <mergeCell ref="CY15:CZ1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EH4:EI5"/>
    <mergeCell ref="DS44:DT45"/>
    <mergeCell ref="CG20:CH21"/>
    <mergeCell ref="CG12:CH1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R12:S13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AF47:AG47"/>
    <mergeCell ref="Q47:R47"/>
    <mergeCell ref="CF39:CG39"/>
    <mergeCell ref="J36:K37"/>
    <mergeCell ref="CH39:CI39"/>
    <mergeCell ref="BR11:BS11"/>
    <mergeCell ref="BY7:BZ7"/>
    <mergeCell ref="BR25:BU25"/>
    <mergeCell ref="DT39:DU39"/>
    <mergeCell ref="DV28:DW29"/>
    <mergeCell ref="J33:M33"/>
    <mergeCell ref="Y1:AB1"/>
    <mergeCell ref="BU4:BV5"/>
    <mergeCell ref="DV4:DW5"/>
    <mergeCell ref="EK7:EL7"/>
    <mergeCell ref="CR15:CS15"/>
    <mergeCell ref="EH33:EK33"/>
    <mergeCell ref="EA31:EB31"/>
    <mergeCell ref="BN47:BO47"/>
    <mergeCell ref="X7:Y7"/>
    <mergeCell ref="EC31:ED31"/>
    <mergeCell ref="Z7:AA7"/>
    <mergeCell ref="I47:J47"/>
    <mergeCell ref="EG23:EH23"/>
    <mergeCell ref="DZ43:EA43"/>
    <mergeCell ref="DZ28:EA29"/>
    <mergeCell ref="CG36:CH37"/>
    <mergeCell ref="K7:L7"/>
    <mergeCell ref="M23:N23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X47:Y47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DK1:DN1"/>
    <mergeCell ref="CN15:CO15"/>
    <mergeCell ref="AV28:AW29"/>
    <mergeCell ref="BN7:BO7"/>
    <mergeCell ref="CP15:CQ15"/>
    <mergeCell ref="BC1:BF1"/>
    <mergeCell ref="AW47:AX47"/>
    <mergeCell ref="AY47:AZ47"/>
    <mergeCell ref="I7:J7"/>
    <mergeCell ref="EN39:EO39"/>
    <mergeCell ref="Q23:R23"/>
    <mergeCell ref="DV47:DW47"/>
    <mergeCell ref="CF7:CG7"/>
    <mergeCell ref="S23:T23"/>
    <mergeCell ref="DK20:DL21"/>
    <mergeCell ref="BF20:BG21"/>
    <mergeCell ref="Q31:R31"/>
    <mergeCell ref="DE47:DF47"/>
    <mergeCell ref="DZ27:EA27"/>
    <mergeCell ref="DG47:DH47"/>
    <mergeCell ref="CU23:CV23"/>
    <mergeCell ref="DD33:DG33"/>
    <mergeCell ref="BS15:BT15"/>
    <mergeCell ref="AN11:AO11"/>
    <mergeCell ref="BU15:BV15"/>
    <mergeCell ref="DK33:DN33"/>
    <mergeCell ref="BZ36:CA37"/>
    <mergeCell ref="AN25:AQ25"/>
    <mergeCell ref="EO20:EP21"/>
    <mergeCell ref="BR44:BS45"/>
    <mergeCell ref="ER36:ES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T7:DU7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EH36:EI37"/>
    <mergeCell ref="CJ47:CK47"/>
    <mergeCell ref="DV7:DW7"/>
    <mergeCell ref="AQ44:AR45"/>
    <mergeCell ref="ER12:ES13"/>
    <mergeCell ref="I31:J31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N17:AQ17"/>
    <mergeCell ref="AM23:AN23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BZ3:CA3"/>
    <mergeCell ref="AB31:AC31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DN7:DO7"/>
    <mergeCell ref="CV28:CW29"/>
    <mergeCell ref="DV39:DW39"/>
    <mergeCell ref="AW31:AX31"/>
    <mergeCell ref="DS43:DT43"/>
    <mergeCell ref="BY39:BZ39"/>
    <mergeCell ref="AY31:AZ31"/>
    <mergeCell ref="BK11:BL11"/>
    <mergeCell ref="DG44:DH45"/>
    <mergeCell ref="EA47:EB47"/>
    <mergeCell ref="AG27:AH27"/>
    <mergeCell ref="BY23:BZ23"/>
    <mergeCell ref="BZ17:CC17"/>
    <mergeCell ref="DD36:DE37"/>
    <mergeCell ref="AG41:AJ41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BJ23:BK23"/>
    <mergeCell ref="EP7:EQ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AV4:AW5"/>
    <mergeCell ref="Z39:AA39"/>
    <mergeCell ref="J1:M1"/>
    <mergeCell ref="CR4:CS5"/>
    <mergeCell ref="F31:G31"/>
    <mergeCell ref="D39:E39"/>
    <mergeCell ref="R4:S5"/>
    <mergeCell ref="CR20:CS21"/>
    <mergeCell ref="AB4:AC5"/>
    <mergeCell ref="J3:K3"/>
    <mergeCell ref="EG39:EH39"/>
    <mergeCell ref="BF31:BG31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F39:G39"/>
    <mergeCell ref="R28:S29"/>
    <mergeCell ref="J28:K29"/>
    <mergeCell ref="CY7:CZ7"/>
    <mergeCell ref="AN36:AO37"/>
    <mergeCell ref="AB12:AC13"/>
    <mergeCell ref="EH19:EI19"/>
    <mergeCell ref="AV1:AY1"/>
    <mergeCell ref="AW15:AX15"/>
    <mergeCell ref="AV43:AW43"/>
    <mergeCell ref="M44:N45"/>
    <mergeCell ref="AN33:AQ33"/>
    <mergeCell ref="DG28:DH29"/>
    <mergeCell ref="U47:V47"/>
    <mergeCell ref="DY47:DZ47"/>
    <mergeCell ref="AB20:AC21"/>
    <mergeCell ref="DZ1:EC1"/>
    <mergeCell ref="DC15:DD15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L47:BM4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CW31:CX3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CO1:CR1"/>
    <mergeCell ref="DZ12:EA13"/>
    <mergeCell ref="BC43:BD43"/>
    <mergeCell ref="I39:J39"/>
    <mergeCell ref="BU12:BV13"/>
    <mergeCell ref="K39:L39"/>
    <mergeCell ref="AF23:AG23"/>
    <mergeCell ref="BK36:BL37"/>
    <mergeCell ref="DS11:DT11"/>
    <mergeCell ref="BZ43:CA43"/>
    <mergeCell ref="CO25:CR25"/>
    <mergeCell ref="AY23:AZ23"/>
    <mergeCell ref="CC4:CD5"/>
    <mergeCell ref="CA31:CB31"/>
    <mergeCell ref="J17:M17"/>
    <mergeCell ref="DC7:DD7"/>
    <mergeCell ref="DE7:DF7"/>
    <mergeCell ref="DY15:DZ15"/>
    <mergeCell ref="AG1:AJ1"/>
    <mergeCell ref="CV19:CW19"/>
    <mergeCell ref="DZ9:EC9"/>
    <mergeCell ref="AB7:AC7"/>
    <mergeCell ref="AG3:AH3"/>
    <mergeCell ref="U4:V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DV44:DW45"/>
    <mergeCell ref="BR17:BU17"/>
    <mergeCell ref="DN15:DO15"/>
    <mergeCell ref="CV36:CW37"/>
    <mergeCell ref="DK19:DL19"/>
    <mergeCell ref="AV20:AW2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CG25:CJ25"/>
    <mergeCell ref="B15:C15"/>
    <mergeCell ref="DG4:DH5"/>
    <mergeCell ref="BN28:BO29"/>
    <mergeCell ref="BR36:BS37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K31:L31"/>
    <mergeCell ref="R27:S27"/>
    <mergeCell ref="M31:N31"/>
    <mergeCell ref="DD12:DE13"/>
    <mergeCell ref="AG4:AH5"/>
    <mergeCell ref="AN1:AQ1"/>
    <mergeCell ref="BK1:BN1"/>
    <mergeCell ref="B23:C23"/>
    <mergeCell ref="C33:F33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F39:BG39"/>
    <mergeCell ref="AF31:AG31"/>
    <mergeCell ref="CV1:CY1"/>
    <mergeCell ref="D15:E15"/>
    <mergeCell ref="DN44:DO45"/>
    <mergeCell ref="AY7:AZ7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CC7:CD7"/>
    <mergeCell ref="F23:G23"/>
    <mergeCell ref="BK41:BN41"/>
    <mergeCell ref="CA39:CB39"/>
    <mergeCell ref="BR43:BS43"/>
    <mergeCell ref="CJ39:CK39"/>
    <mergeCell ref="CY44:CZ45"/>
    <mergeCell ref="AY39:AZ39"/>
    <mergeCell ref="AG9:AJ9"/>
    <mergeCell ref="D31:E31"/>
    <mergeCell ref="BN44:BO45"/>
    <mergeCell ref="EC28:ED29"/>
    <mergeCell ref="CG44:CH45"/>
    <mergeCell ref="AU15:AV15"/>
    <mergeCell ref="EI31:EJ31"/>
    <mergeCell ref="BD31:BE31"/>
    <mergeCell ref="AQ7:AR7"/>
    <mergeCell ref="AV3:AW3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R47:DS47"/>
    <mergeCell ref="DJ47:DK47"/>
    <mergeCell ref="BK3:BL3"/>
    <mergeCell ref="CN47:CO47"/>
    <mergeCell ref="BC3:BD3"/>
    <mergeCell ref="CP47:CQ47"/>
    <mergeCell ref="DT47:DU47"/>
    <mergeCell ref="AO47:AP47"/>
    <mergeCell ref="AQ47:AR47"/>
    <mergeCell ref="BJ47:BK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BU23:BV23"/>
    <mergeCell ref="DZ17:EC17"/>
    <mergeCell ref="EC23:ED23"/>
    <mergeCell ref="AB15:AC1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 x14ac:dyDescent="0.45"/>
  <cols>
    <col min="1" max="2" width="5.59765625" style="60" customWidth="1"/>
    <col min="3" max="4" width="29.59765625" style="60" bestFit="1" customWidth="1"/>
    <col min="5" max="11" width="5.59765625" style="60" customWidth="1"/>
    <col min="12" max="12" width="10.59765625" style="60" customWidth="1"/>
    <col min="13" max="13" width="5.59765625" style="60" customWidth="1"/>
    <col min="14" max="14" width="10.59765625" style="60" customWidth="1"/>
    <col min="15" max="15" width="5.59765625" style="60" customWidth="1"/>
    <col min="16" max="16" width="10.59765625" style="60" customWidth="1"/>
    <col min="17" max="17" width="5.59765625" style="60" customWidth="1"/>
    <col min="18" max="18" width="10.59765625" style="60" customWidth="1"/>
    <col min="19" max="19" width="5.59765625" style="60" customWidth="1"/>
    <col min="20" max="20" width="10.59765625" style="60" customWidth="1"/>
    <col min="21" max="21" width="5.59765625" style="60" customWidth="1"/>
  </cols>
  <sheetData>
    <row r="1" spans="1:21" s="25" customFormat="1" ht="311.25" customHeight="1" x14ac:dyDescent="0.45">
      <c r="A1" s="22" t="s">
        <v>26</v>
      </c>
      <c r="B1" s="22" t="s">
        <v>27</v>
      </c>
      <c r="C1" s="22" t="s">
        <v>28</v>
      </c>
      <c r="D1" s="22" t="s">
        <v>29</v>
      </c>
      <c r="E1" s="22" t="s">
        <v>30</v>
      </c>
      <c r="F1" s="22" t="s">
        <v>31</v>
      </c>
      <c r="G1" s="22" t="s">
        <v>32</v>
      </c>
      <c r="H1" s="22" t="s">
        <v>33</v>
      </c>
      <c r="I1" s="22" t="s">
        <v>34</v>
      </c>
      <c r="J1" s="23" t="s">
        <v>35</v>
      </c>
      <c r="K1" s="23" t="s">
        <v>36</v>
      </c>
      <c r="L1" s="23" t="s">
        <v>37</v>
      </c>
      <c r="M1" s="24" t="s">
        <v>38</v>
      </c>
      <c r="N1" s="23" t="s">
        <v>39</v>
      </c>
      <c r="O1" s="24" t="s">
        <v>40</v>
      </c>
      <c r="P1" s="23" t="s">
        <v>41</v>
      </c>
      <c r="Q1" s="24" t="s">
        <v>42</v>
      </c>
      <c r="R1" s="23" t="s">
        <v>43</v>
      </c>
      <c r="S1" s="24" t="s">
        <v>44</v>
      </c>
      <c r="T1" s="23" t="s">
        <v>45</v>
      </c>
      <c r="U1" s="24" t="s">
        <v>46</v>
      </c>
    </row>
    <row r="2" spans="1:21" x14ac:dyDescent="0.45">
      <c r="A2" s="13">
        <v>1</v>
      </c>
      <c r="B2" s="13">
        <v>1</v>
      </c>
      <c r="C2" s="13" t="s">
        <v>47</v>
      </c>
      <c r="D2" s="13" t="s">
        <v>4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48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49</v>
      </c>
      <c r="D3" s="13" t="s">
        <v>50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48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51</v>
      </c>
      <c r="D4" s="13" t="s">
        <v>52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48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49</v>
      </c>
      <c r="D5" s="13" t="s">
        <v>53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48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49</v>
      </c>
      <c r="D6" s="26" t="s">
        <v>54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48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55</v>
      </c>
      <c r="D7" s="26" t="s">
        <v>56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56</v>
      </c>
      <c r="D8" s="26" t="s">
        <v>57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58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49</v>
      </c>
      <c r="D9" s="26" t="s">
        <v>59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49</v>
      </c>
      <c r="D10" s="26" t="s">
        <v>60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49</v>
      </c>
      <c r="D11" s="26" t="s">
        <v>61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62</v>
      </c>
      <c r="D12" s="26" t="s">
        <v>63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47</v>
      </c>
      <c r="D13" s="13" t="s">
        <v>64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48</v>
      </c>
      <c r="L13" s="11" t="s">
        <v>58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49</v>
      </c>
      <c r="D14" s="13" t="s">
        <v>65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48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66</v>
      </c>
      <c r="D15" s="13" t="s">
        <v>67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48</v>
      </c>
      <c r="L15" s="11" t="s">
        <v>68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49</v>
      </c>
      <c r="D16" s="13" t="s">
        <v>69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48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47</v>
      </c>
      <c r="D17" s="26" t="s">
        <v>70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49</v>
      </c>
      <c r="D18" s="26" t="s">
        <v>71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47</v>
      </c>
      <c r="D19" s="26" t="s">
        <v>72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49</v>
      </c>
      <c r="D20" s="26" t="s">
        <v>73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49</v>
      </c>
      <c r="D21" s="26" t="s">
        <v>74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75</v>
      </c>
      <c r="D22" s="13" t="s">
        <v>76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77</v>
      </c>
      <c r="L22" s="11" t="s">
        <v>76</v>
      </c>
      <c r="M22" s="12">
        <v>0</v>
      </c>
      <c r="N22" s="11" t="s">
        <v>78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79</v>
      </c>
      <c r="D23" s="13" t="s">
        <v>79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77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47</v>
      </c>
      <c r="D24" s="13" t="s">
        <v>70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48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49</v>
      </c>
      <c r="D25" s="13" t="s">
        <v>70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48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80</v>
      </c>
      <c r="D26" s="13" t="s">
        <v>80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77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81</v>
      </c>
      <c r="D27" s="13" t="s">
        <v>82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77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83</v>
      </c>
      <c r="D28" s="13" t="s">
        <v>83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77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84</v>
      </c>
      <c r="D29" s="13" t="s">
        <v>84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77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85</v>
      </c>
      <c r="D30" s="13" t="s">
        <v>85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77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86</v>
      </c>
      <c r="D31" s="13" t="s">
        <v>86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77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87</v>
      </c>
      <c r="D32" s="13" t="s">
        <v>88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48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89</v>
      </c>
      <c r="D33" s="13" t="s">
        <v>90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48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87</v>
      </c>
      <c r="D34" s="13" t="s">
        <v>91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48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89</v>
      </c>
      <c r="D35" s="13" t="s">
        <v>92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48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93</v>
      </c>
      <c r="D36" s="13" t="s">
        <v>94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48</v>
      </c>
      <c r="L36" s="11" t="s">
        <v>78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95</v>
      </c>
      <c r="D37" s="13" t="s">
        <v>96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48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97</v>
      </c>
      <c r="D38" s="13" t="s">
        <v>98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48</v>
      </c>
      <c r="L38" s="11" t="s">
        <v>99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100</v>
      </c>
      <c r="D39" s="13" t="s">
        <v>100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48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101</v>
      </c>
      <c r="D40" s="13" t="s">
        <v>102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48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103</v>
      </c>
      <c r="D41" s="13" t="s">
        <v>103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48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104</v>
      </c>
      <c r="D42" s="13" t="s">
        <v>105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48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106</v>
      </c>
      <c r="D43" s="13" t="s">
        <v>106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48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107</v>
      </c>
      <c r="D44" s="13" t="s">
        <v>108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48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109</v>
      </c>
      <c r="D45" s="13" t="s">
        <v>109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48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110</v>
      </c>
      <c r="D46" s="26" t="s">
        <v>111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112</v>
      </c>
      <c r="D47" s="26" t="s">
        <v>112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113</v>
      </c>
      <c r="D48" s="13" t="s">
        <v>5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77</v>
      </c>
      <c r="L48" s="11" t="s">
        <v>58</v>
      </c>
      <c r="M48" s="12">
        <v>1</v>
      </c>
      <c r="N48" s="11" t="s">
        <v>114</v>
      </c>
      <c r="O48" s="12">
        <v>0</v>
      </c>
      <c r="P48" s="11" t="s">
        <v>78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115</v>
      </c>
      <c r="D49" s="13" t="s">
        <v>115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77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115</v>
      </c>
      <c r="D50" s="13" t="s">
        <v>116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77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117</v>
      </c>
      <c r="D51" s="13" t="s">
        <v>118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77</v>
      </c>
      <c r="L51" s="11" t="s">
        <v>58</v>
      </c>
      <c r="M51" s="12">
        <v>1</v>
      </c>
      <c r="N51" s="11" t="s">
        <v>114</v>
      </c>
      <c r="O51" s="12">
        <v>0</v>
      </c>
      <c r="P51" s="11" t="s">
        <v>78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119</v>
      </c>
      <c r="D52" s="13" t="s">
        <v>119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77</v>
      </c>
      <c r="L52" s="11" t="s">
        <v>58</v>
      </c>
      <c r="M52" s="12">
        <v>1</v>
      </c>
      <c r="N52" s="11" t="s">
        <v>114</v>
      </c>
      <c r="O52" s="12">
        <v>0</v>
      </c>
      <c r="P52" s="11" t="s">
        <v>78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119</v>
      </c>
      <c r="D53" s="13" t="s">
        <v>120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77</v>
      </c>
      <c r="L53" s="11" t="s">
        <v>58</v>
      </c>
      <c r="M53" s="12">
        <v>1</v>
      </c>
      <c r="N53" s="11" t="s">
        <v>114</v>
      </c>
      <c r="O53" s="12">
        <v>0</v>
      </c>
      <c r="P53" s="11" t="s">
        <v>78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121</v>
      </c>
      <c r="D54" s="13" t="s">
        <v>122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77</v>
      </c>
      <c r="L54" s="11" t="s">
        <v>122</v>
      </c>
      <c r="M54" s="12">
        <v>0</v>
      </c>
      <c r="N54" s="11" t="s">
        <v>78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123</v>
      </c>
      <c r="D55" s="13" t="s">
        <v>123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77</v>
      </c>
      <c r="L55" s="11" t="s">
        <v>122</v>
      </c>
      <c r="M55" s="12">
        <v>0</v>
      </c>
      <c r="N55" s="11" t="s">
        <v>78</v>
      </c>
      <c r="O55" s="12">
        <v>0</v>
      </c>
      <c r="P55" s="11" t="s">
        <v>124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123</v>
      </c>
      <c r="D56" s="13" t="s">
        <v>125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77</v>
      </c>
      <c r="L56" s="11" t="s">
        <v>122</v>
      </c>
      <c r="M56" s="12">
        <v>0</v>
      </c>
      <c r="N56" s="11" t="s">
        <v>78</v>
      </c>
      <c r="O56" s="12">
        <v>0</v>
      </c>
      <c r="P56" s="11" t="s">
        <v>124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126</v>
      </c>
      <c r="D57" s="13" t="s">
        <v>127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77</v>
      </c>
      <c r="L57" s="11" t="s">
        <v>128</v>
      </c>
      <c r="M57" s="12">
        <v>0</v>
      </c>
      <c r="N57" s="11" t="s">
        <v>127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129</v>
      </c>
      <c r="D58" s="13" t="s">
        <v>129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77</v>
      </c>
      <c r="L58" s="11" t="s">
        <v>124</v>
      </c>
      <c r="M58" s="12">
        <v>0</v>
      </c>
      <c r="N58" s="11" t="s">
        <v>127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130</v>
      </c>
      <c r="D59" s="13" t="s">
        <v>131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48</v>
      </c>
      <c r="L59" s="11" t="s">
        <v>58</v>
      </c>
      <c r="M59" s="12">
        <v>1</v>
      </c>
      <c r="N59" s="11" t="s">
        <v>127</v>
      </c>
      <c r="O59" s="12">
        <v>0</v>
      </c>
      <c r="P59" s="11" t="s">
        <v>132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133</v>
      </c>
      <c r="D60" s="13" t="s">
        <v>133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48</v>
      </c>
      <c r="L60" s="11" t="s">
        <v>58</v>
      </c>
      <c r="M60" s="12">
        <v>1</v>
      </c>
      <c r="N60" s="11" t="s">
        <v>127</v>
      </c>
      <c r="O60" s="12">
        <v>0</v>
      </c>
      <c r="P60" s="11" t="s">
        <v>132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134</v>
      </c>
      <c r="D61" s="13" t="s">
        <v>135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48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136</v>
      </c>
      <c r="D62" s="13" t="s">
        <v>136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48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137</v>
      </c>
      <c r="D63" s="13" t="s">
        <v>138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77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139</v>
      </c>
      <c r="D64" s="13" t="s">
        <v>139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77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140</v>
      </c>
      <c r="D65" s="13" t="s">
        <v>141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77</v>
      </c>
      <c r="L65" s="11" t="s">
        <v>142</v>
      </c>
      <c r="M65" s="12">
        <v>0</v>
      </c>
      <c r="N65" s="11" t="s">
        <v>143</v>
      </c>
      <c r="O65" s="12">
        <v>0</v>
      </c>
      <c r="P65" s="11" t="s">
        <v>144</v>
      </c>
      <c r="Q65" s="12">
        <v>0</v>
      </c>
      <c r="R65" s="11" t="s">
        <v>145</v>
      </c>
      <c r="S65" s="12">
        <v>0</v>
      </c>
      <c r="T65" s="11" t="s">
        <v>146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147</v>
      </c>
      <c r="D66" s="13" t="s">
        <v>147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77</v>
      </c>
      <c r="L66" s="11" t="s">
        <v>78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147</v>
      </c>
      <c r="D67" s="13" t="s">
        <v>148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77</v>
      </c>
      <c r="L67" s="11" t="s">
        <v>78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149</v>
      </c>
      <c r="D68" s="26" t="s">
        <v>150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77</v>
      </c>
      <c r="L68" s="27" t="s">
        <v>150</v>
      </c>
      <c r="M68" s="28">
        <v>1</v>
      </c>
      <c r="N68" s="27" t="s">
        <v>78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151</v>
      </c>
      <c r="D69" s="26" t="s">
        <v>151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77</v>
      </c>
      <c r="L69" s="27" t="s">
        <v>150</v>
      </c>
      <c r="M69" s="28">
        <v>1</v>
      </c>
      <c r="N69" s="27" t="s">
        <v>78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151</v>
      </c>
      <c r="D70" s="26" t="s">
        <v>152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77</v>
      </c>
      <c r="L70" s="27" t="s">
        <v>150</v>
      </c>
      <c r="M70" s="28">
        <v>1</v>
      </c>
      <c r="N70" s="27" t="s">
        <v>78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153</v>
      </c>
      <c r="D71" s="26" t="s">
        <v>154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77</v>
      </c>
      <c r="L71" s="27" t="s">
        <v>154</v>
      </c>
      <c r="M71" s="28">
        <v>1</v>
      </c>
      <c r="N71" s="27" t="s">
        <v>78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155</v>
      </c>
      <c r="D72" s="26" t="s">
        <v>155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77</v>
      </c>
      <c r="L72" s="27" t="s">
        <v>154</v>
      </c>
      <c r="M72" s="28">
        <v>1</v>
      </c>
      <c r="N72" s="27" t="s">
        <v>78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155</v>
      </c>
      <c r="D73" s="26" t="s">
        <v>156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77</v>
      </c>
      <c r="L73" s="27" t="s">
        <v>154</v>
      </c>
      <c r="M73" s="28">
        <v>1</v>
      </c>
      <c r="N73" s="27" t="s">
        <v>78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157</v>
      </c>
      <c r="D74" s="26" t="s">
        <v>158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77</v>
      </c>
      <c r="L74" s="27" t="s">
        <v>158</v>
      </c>
      <c r="M74" s="28">
        <v>1</v>
      </c>
      <c r="N74" s="27" t="s">
        <v>78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159</v>
      </c>
      <c r="D75" s="26" t="s">
        <v>159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77</v>
      </c>
      <c r="L75" s="27" t="s">
        <v>158</v>
      </c>
      <c r="M75" s="28">
        <v>1</v>
      </c>
      <c r="N75" s="27" t="s">
        <v>78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159</v>
      </c>
      <c r="D76" s="26" t="s">
        <v>160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77</v>
      </c>
      <c r="L76" s="27" t="s">
        <v>158</v>
      </c>
      <c r="M76" s="28">
        <v>1</v>
      </c>
      <c r="N76" s="27" t="s">
        <v>78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161</v>
      </c>
      <c r="D77" s="26" t="s">
        <v>162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77</v>
      </c>
      <c r="L77" s="27" t="s">
        <v>58</v>
      </c>
      <c r="M77" s="28">
        <v>1</v>
      </c>
      <c r="N77" s="27" t="s">
        <v>78</v>
      </c>
      <c r="O77" s="28">
        <v>0</v>
      </c>
      <c r="P77" s="27" t="s">
        <v>163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164</v>
      </c>
      <c r="D78" s="26" t="s">
        <v>164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77</v>
      </c>
      <c r="L78" s="27" t="s">
        <v>58</v>
      </c>
      <c r="M78" s="28">
        <v>1</v>
      </c>
      <c r="N78" s="27" t="s">
        <v>78</v>
      </c>
      <c r="O78" s="28">
        <v>0</v>
      </c>
      <c r="P78" s="27" t="s">
        <v>162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164</v>
      </c>
      <c r="D79" s="26" t="s">
        <v>165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77</v>
      </c>
      <c r="L79" s="27" t="s">
        <v>58</v>
      </c>
      <c r="M79" s="28">
        <v>1</v>
      </c>
      <c r="N79" s="27" t="s">
        <v>78</v>
      </c>
      <c r="O79" s="28">
        <v>0</v>
      </c>
      <c r="P79" s="27" t="s">
        <v>162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166</v>
      </c>
      <c r="D80" s="26" t="s">
        <v>167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77</v>
      </c>
      <c r="L80" s="27" t="s">
        <v>58</v>
      </c>
      <c r="M80" s="28">
        <v>1</v>
      </c>
      <c r="N80" s="27" t="s">
        <v>78</v>
      </c>
      <c r="O80" s="28">
        <v>0</v>
      </c>
      <c r="P80" s="27" t="s">
        <v>167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168</v>
      </c>
      <c r="D81" s="26" t="s">
        <v>168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77</v>
      </c>
      <c r="L81" s="27" t="s">
        <v>58</v>
      </c>
      <c r="M81" s="28">
        <v>1</v>
      </c>
      <c r="N81" s="27" t="s">
        <v>78</v>
      </c>
      <c r="O81" s="28">
        <v>0</v>
      </c>
      <c r="P81" s="27" t="s">
        <v>167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168</v>
      </c>
      <c r="D82" s="26" t="s">
        <v>169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77</v>
      </c>
      <c r="L82" s="27" t="s">
        <v>58</v>
      </c>
      <c r="M82" s="28">
        <v>1</v>
      </c>
      <c r="N82" s="27" t="s">
        <v>78</v>
      </c>
      <c r="O82" s="28">
        <v>0</v>
      </c>
      <c r="P82" s="27" t="s">
        <v>167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170</v>
      </c>
      <c r="D83" s="26" t="s">
        <v>171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77</v>
      </c>
      <c r="L83" s="27" t="s">
        <v>58</v>
      </c>
      <c r="M83" s="28">
        <v>1</v>
      </c>
      <c r="N83" s="27" t="s">
        <v>78</v>
      </c>
      <c r="O83" s="28">
        <v>0</v>
      </c>
      <c r="P83" s="27" t="s">
        <v>171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172</v>
      </c>
      <c r="D84" s="26" t="s">
        <v>172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77</v>
      </c>
      <c r="L84" s="27" t="s">
        <v>58</v>
      </c>
      <c r="M84" s="28">
        <v>1</v>
      </c>
      <c r="N84" s="27" t="s">
        <v>78</v>
      </c>
      <c r="O84" s="28">
        <v>0</v>
      </c>
      <c r="P84" s="27" t="s">
        <v>171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172</v>
      </c>
      <c r="D85" s="26" t="s">
        <v>173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77</v>
      </c>
      <c r="L85" s="27" t="s">
        <v>58</v>
      </c>
      <c r="M85" s="28">
        <v>1</v>
      </c>
      <c r="N85" s="27" t="s">
        <v>78</v>
      </c>
      <c r="O85" s="28">
        <v>0</v>
      </c>
      <c r="P85" s="27" t="s">
        <v>171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174</v>
      </c>
      <c r="D86" s="26" t="s">
        <v>175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77</v>
      </c>
      <c r="L86" s="27" t="s">
        <v>58</v>
      </c>
      <c r="M86" s="28">
        <v>1</v>
      </c>
      <c r="N86" s="27" t="s">
        <v>175</v>
      </c>
      <c r="O86" s="28">
        <v>0</v>
      </c>
      <c r="P86" s="27" t="s">
        <v>78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176</v>
      </c>
      <c r="D87" s="26" t="s">
        <v>176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77</v>
      </c>
      <c r="L87" s="27" t="s">
        <v>58</v>
      </c>
      <c r="M87" s="28">
        <v>1</v>
      </c>
      <c r="N87" s="27" t="s">
        <v>175</v>
      </c>
      <c r="O87" s="28">
        <v>0</v>
      </c>
      <c r="P87" s="27" t="s">
        <v>78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176</v>
      </c>
      <c r="D88" s="26" t="s">
        <v>177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77</v>
      </c>
      <c r="L88" s="27" t="s">
        <v>58</v>
      </c>
      <c r="M88" s="28">
        <v>1</v>
      </c>
      <c r="N88" s="27" t="s">
        <v>175</v>
      </c>
      <c r="O88" s="28">
        <v>0</v>
      </c>
      <c r="P88" s="27" t="s">
        <v>78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178</v>
      </c>
      <c r="D89" s="26" t="s">
        <v>179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77</v>
      </c>
      <c r="L89" s="27" t="s">
        <v>179</v>
      </c>
      <c r="M89" s="28">
        <v>0</v>
      </c>
      <c r="N89" s="27" t="s">
        <v>128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180</v>
      </c>
      <c r="D90" s="26" t="s">
        <v>180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77</v>
      </c>
      <c r="L90" s="27" t="s">
        <v>179</v>
      </c>
      <c r="M90" s="28">
        <v>0</v>
      </c>
      <c r="N90" s="27" t="s">
        <v>128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180</v>
      </c>
      <c r="D91" s="26" t="s">
        <v>181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77</v>
      </c>
      <c r="L91" s="27" t="s">
        <v>179</v>
      </c>
      <c r="M91" s="28">
        <v>0</v>
      </c>
      <c r="N91" s="27" t="s">
        <v>128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182</v>
      </c>
      <c r="D92" s="13" t="s">
        <v>183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77</v>
      </c>
      <c r="L92" s="11" t="s">
        <v>183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184</v>
      </c>
      <c r="D93" s="13" t="s">
        <v>184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77</v>
      </c>
      <c r="L93" s="11" t="s">
        <v>183</v>
      </c>
      <c r="M93" s="12">
        <v>1</v>
      </c>
      <c r="N93" s="11" t="s">
        <v>78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184</v>
      </c>
      <c r="D94" s="13" t="s">
        <v>185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77</v>
      </c>
      <c r="L94" s="11" t="s">
        <v>183</v>
      </c>
      <c r="M94" s="12">
        <v>1</v>
      </c>
      <c r="N94" s="11" t="s">
        <v>78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186</v>
      </c>
      <c r="D95" s="13" t="s">
        <v>58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77</v>
      </c>
      <c r="L95" s="11" t="s">
        <v>58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187</v>
      </c>
      <c r="D96" s="13" t="s">
        <v>187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77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188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77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189</v>
      </c>
      <c r="D98" s="13" t="s">
        <v>189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77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190</v>
      </c>
      <c r="D99" s="13" t="s">
        <v>190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77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191</v>
      </c>
      <c r="D100" s="13" t="s">
        <v>191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77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192</v>
      </c>
      <c r="D101" s="13" t="s">
        <v>193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77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194</v>
      </c>
      <c r="D102" s="13" t="s">
        <v>193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77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195</v>
      </c>
      <c r="D103" s="13" t="s">
        <v>196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77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197</v>
      </c>
      <c r="D104" s="13" t="s">
        <v>196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77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198</v>
      </c>
      <c r="D105" s="13" t="s">
        <v>199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77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200</v>
      </c>
      <c r="D106" s="13" t="s">
        <v>199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77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201</v>
      </c>
      <c r="D107" s="13" t="s">
        <v>201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77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202</v>
      </c>
      <c r="D108" s="13" t="s">
        <v>202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77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203</v>
      </c>
      <c r="D109" s="26" t="s">
        <v>204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77</v>
      </c>
      <c r="L109" s="27" t="s">
        <v>204</v>
      </c>
      <c r="M109" s="28">
        <v>0</v>
      </c>
      <c r="N109" s="27" t="s">
        <v>128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205</v>
      </c>
      <c r="D110" s="26" t="s">
        <v>205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77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206</v>
      </c>
      <c r="D111" s="13" t="s">
        <v>206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77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207</v>
      </c>
      <c r="D112" s="13" t="s">
        <v>207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77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77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208</v>
      </c>
      <c r="D114" s="13" t="s">
        <v>208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77</v>
      </c>
      <c r="L114" s="11" t="s">
        <v>208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209</v>
      </c>
      <c r="D115" s="13" t="s">
        <v>209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77</v>
      </c>
      <c r="L115" s="11" t="s">
        <v>209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210</v>
      </c>
      <c r="D116" s="13" t="s">
        <v>210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77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211</v>
      </c>
      <c r="D117" s="13" t="s">
        <v>211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77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212</v>
      </c>
      <c r="D118" s="13" t="s">
        <v>212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77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213</v>
      </c>
      <c r="D119" s="13" t="s">
        <v>213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77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13</v>
      </c>
      <c r="D120" s="13" t="s">
        <v>13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77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214</v>
      </c>
      <c r="D121" s="13" t="s">
        <v>214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77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215</v>
      </c>
      <c r="D122" s="13" t="s">
        <v>215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77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216</v>
      </c>
      <c r="D123" s="26" t="s">
        <v>216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77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217</v>
      </c>
      <c r="D124" s="26" t="s">
        <v>217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77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218</v>
      </c>
      <c r="D125" s="26" t="s">
        <v>218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77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219</v>
      </c>
      <c r="D126" s="13" t="s">
        <v>219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77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220</v>
      </c>
      <c r="D127" s="13" t="s">
        <v>220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77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221</v>
      </c>
      <c r="D128" s="13" t="s">
        <v>221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77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222</v>
      </c>
      <c r="D129" s="13" t="s">
        <v>222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77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223</v>
      </c>
      <c r="D130" s="13" t="s">
        <v>223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77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224</v>
      </c>
      <c r="D131" s="13" t="s">
        <v>224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77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225</v>
      </c>
      <c r="D132" s="26" t="s">
        <v>225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227</v>
      </c>
      <c r="D133" s="13" t="s">
        <v>227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77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228</v>
      </c>
      <c r="D134" s="13" t="s">
        <v>228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77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229</v>
      </c>
      <c r="D135" s="13" t="s">
        <v>229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77</v>
      </c>
      <c r="L135" s="11" t="s">
        <v>229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230</v>
      </c>
      <c r="D136" s="13" t="s">
        <v>230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77</v>
      </c>
      <c r="L136" s="11" t="s">
        <v>58</v>
      </c>
      <c r="M136" s="12">
        <v>1</v>
      </c>
      <c r="N136" s="11" t="s">
        <v>127</v>
      </c>
      <c r="O136" s="12">
        <v>0</v>
      </c>
      <c r="P136" s="11" t="s">
        <v>78</v>
      </c>
      <c r="Q136" s="12">
        <v>0</v>
      </c>
      <c r="R136" s="11" t="s">
        <v>124</v>
      </c>
      <c r="S136" s="12">
        <v>0</v>
      </c>
      <c r="T136" s="11" t="s">
        <v>231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232</v>
      </c>
      <c r="D137" s="13" t="s">
        <v>232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77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233</v>
      </c>
      <c r="D138" s="26" t="s">
        <v>233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234</v>
      </c>
      <c r="D139" s="13" t="s">
        <v>234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77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235</v>
      </c>
      <c r="D140" s="13" t="s">
        <v>235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77</v>
      </c>
      <c r="L140" s="11" t="s">
        <v>235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236</v>
      </c>
      <c r="D141" s="26" t="s">
        <v>236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237</v>
      </c>
      <c r="D142" s="26" t="s">
        <v>238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239</v>
      </c>
      <c r="D143" s="13" t="s">
        <v>239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77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240</v>
      </c>
      <c r="D144" s="13" t="s">
        <v>240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77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241</v>
      </c>
      <c r="D145" s="13" t="s">
        <v>241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77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242</v>
      </c>
      <c r="D146" s="13" t="s">
        <v>241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77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56</v>
      </c>
      <c r="D147" s="13" t="s">
        <v>56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77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243</v>
      </c>
      <c r="D148" s="13" t="s">
        <v>241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77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244</v>
      </c>
      <c r="D149" s="13" t="s">
        <v>241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77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245</v>
      </c>
      <c r="D150" s="13" t="s">
        <v>241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77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246</v>
      </c>
      <c r="D151" s="13" t="s">
        <v>247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77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248</v>
      </c>
      <c r="D152" s="13" t="s">
        <v>249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77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250</v>
      </c>
      <c r="D153" s="13" t="s">
        <v>250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77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251</v>
      </c>
      <c r="D154" s="13" t="s">
        <v>251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77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252</v>
      </c>
      <c r="D155" s="13" t="s">
        <v>253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77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254</v>
      </c>
      <c r="D156" s="13" t="s">
        <v>255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77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256</v>
      </c>
      <c r="D157" s="13" t="s">
        <v>256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77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257</v>
      </c>
      <c r="D158" s="13" t="s">
        <v>255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77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258</v>
      </c>
      <c r="D159" s="13" t="s">
        <v>258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77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259</v>
      </c>
      <c r="D160" s="13" t="s">
        <v>255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77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260</v>
      </c>
      <c r="D161" s="13" t="s">
        <v>261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77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77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262</v>
      </c>
      <c r="D163" s="13" t="s">
        <v>262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77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263</v>
      </c>
      <c r="D164" s="13" t="s">
        <v>264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77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265</v>
      </c>
      <c r="D165" s="13" t="s">
        <v>255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77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5</v>
      </c>
      <c r="D166" s="13" t="s">
        <v>266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77</v>
      </c>
      <c r="L166" s="11" t="s">
        <v>58</v>
      </c>
      <c r="M166" s="12">
        <v>1</v>
      </c>
      <c r="N166" s="11" t="s">
        <v>114</v>
      </c>
      <c r="O166" s="12">
        <v>1</v>
      </c>
      <c r="P166" s="11" t="s">
        <v>78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267</v>
      </c>
      <c r="D167" s="13" t="s">
        <v>255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77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268</v>
      </c>
      <c r="D168" s="13" t="s">
        <v>269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77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270</v>
      </c>
      <c r="D169" s="13" t="s">
        <v>255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77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271</v>
      </c>
      <c r="D170" s="13" t="s">
        <v>272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77</v>
      </c>
      <c r="L170" s="11" t="s">
        <v>272</v>
      </c>
      <c r="M170" s="12">
        <v>0</v>
      </c>
      <c r="N170" s="11" t="s">
        <v>78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273</v>
      </c>
      <c r="D171" s="13" t="s">
        <v>274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77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275</v>
      </c>
      <c r="D172" s="13" t="s">
        <v>274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77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276</v>
      </c>
      <c r="D173" s="13" t="s">
        <v>274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77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277</v>
      </c>
      <c r="D174" s="13" t="s">
        <v>274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77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278</v>
      </c>
      <c r="D175" s="13" t="s">
        <v>274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77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279</v>
      </c>
      <c r="D176" s="13" t="s">
        <v>274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77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280</v>
      </c>
      <c r="D177" s="13" t="s">
        <v>274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77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281</v>
      </c>
      <c r="D178" s="13" t="s">
        <v>274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77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282</v>
      </c>
      <c r="D179" s="13" t="s">
        <v>274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77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283</v>
      </c>
      <c r="D180" s="13" t="s">
        <v>274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77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284</v>
      </c>
      <c r="D181" s="13" t="s">
        <v>274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77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285</v>
      </c>
      <c r="D182" s="13" t="s">
        <v>286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77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287</v>
      </c>
      <c r="D183" s="13" t="s">
        <v>288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77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289</v>
      </c>
      <c r="D184" s="13" t="s">
        <v>274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77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290</v>
      </c>
      <c r="D185" s="13" t="s">
        <v>274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77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291</v>
      </c>
      <c r="D186" s="13" t="s">
        <v>291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77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292</v>
      </c>
      <c r="D187" s="13" t="s">
        <v>292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77</v>
      </c>
      <c r="L187" s="11" t="s">
        <v>293</v>
      </c>
      <c r="M187" s="12">
        <v>0</v>
      </c>
      <c r="N187" s="11" t="s">
        <v>294</v>
      </c>
      <c r="O187" s="12">
        <v>0</v>
      </c>
      <c r="P187" s="11" t="s">
        <v>295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296</v>
      </c>
      <c r="D188" s="13" t="s">
        <v>296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77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297</v>
      </c>
      <c r="D189" s="13" t="s">
        <v>297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77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298</v>
      </c>
      <c r="D190" s="13" t="s">
        <v>298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77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299</v>
      </c>
      <c r="D191" s="13" t="s">
        <v>299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77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300</v>
      </c>
      <c r="D192" s="13" t="s">
        <v>300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77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301</v>
      </c>
      <c r="D193" s="13" t="s">
        <v>301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77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302</v>
      </c>
      <c r="D194" s="10" t="s">
        <v>303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77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68</v>
      </c>
      <c r="D195" s="30" t="s">
        <v>68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58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304</v>
      </c>
      <c r="D196" s="30" t="s">
        <v>304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306</v>
      </c>
      <c r="D197" s="30" t="s">
        <v>306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308</v>
      </c>
      <c r="D198" s="30" t="s">
        <v>308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309</v>
      </c>
      <c r="D199" s="30" t="s">
        <v>309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310</v>
      </c>
      <c r="D200" s="30" t="s">
        <v>310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310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311</v>
      </c>
      <c r="D201" s="30" t="s">
        <v>311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312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313</v>
      </c>
      <c r="D202" s="30" t="s">
        <v>313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312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314</v>
      </c>
      <c r="D203" s="30" t="s">
        <v>314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312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315</v>
      </c>
      <c r="D204" s="30" t="s">
        <v>315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312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316</v>
      </c>
      <c r="D205" s="30" t="s">
        <v>316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312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317</v>
      </c>
      <c r="D206" s="30" t="s">
        <v>317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312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318</v>
      </c>
      <c r="D207" s="30" t="s">
        <v>319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312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320</v>
      </c>
      <c r="D208" s="30" t="s">
        <v>320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320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260</v>
      </c>
      <c r="D209" s="30" t="s">
        <v>260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260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321</v>
      </c>
      <c r="D210" s="30" t="s">
        <v>321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321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322</v>
      </c>
      <c r="D211" s="30" t="s">
        <v>322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322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323</v>
      </c>
      <c r="D212" s="30" t="s">
        <v>324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323</v>
      </c>
      <c r="D213" s="30" t="s">
        <v>225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235</v>
      </c>
      <c r="D214" s="30" t="s">
        <v>325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78</v>
      </c>
      <c r="D215" s="30" t="s">
        <v>78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78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124</v>
      </c>
      <c r="D216" s="30" t="s">
        <v>124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124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326</v>
      </c>
      <c r="D217" s="30" t="s">
        <v>327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328</v>
      </c>
      <c r="D218" s="30" t="s">
        <v>328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127</v>
      </c>
      <c r="D219" s="30" t="s">
        <v>127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127</v>
      </c>
      <c r="M219" s="32">
        <v>0</v>
      </c>
      <c r="N219" s="31" t="s">
        <v>128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330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331</v>
      </c>
      <c r="D221" s="30" t="s">
        <v>331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331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167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332</v>
      </c>
      <c r="D223" s="30" t="s">
        <v>332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334</v>
      </c>
      <c r="D224" s="30" t="s">
        <v>334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336</v>
      </c>
      <c r="D225" s="30" t="s">
        <v>336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338</v>
      </c>
      <c r="D226" s="30" t="s">
        <v>338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340</v>
      </c>
      <c r="D227" s="30" t="s">
        <v>340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341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342</v>
      </c>
      <c r="D228" s="30" t="s">
        <v>342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344</v>
      </c>
      <c r="D229" s="30" t="s">
        <v>344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345</v>
      </c>
      <c r="M229" s="32">
        <v>0</v>
      </c>
      <c r="N229" s="31" t="s">
        <v>346</v>
      </c>
      <c r="O229" s="32">
        <v>0</v>
      </c>
      <c r="P229" s="31" t="s">
        <v>78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344</v>
      </c>
      <c r="D230" s="30" t="s">
        <v>344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345</v>
      </c>
      <c r="M230" s="32">
        <v>0</v>
      </c>
      <c r="N230" s="31" t="s">
        <v>346</v>
      </c>
      <c r="O230" s="32">
        <v>0</v>
      </c>
      <c r="P230" s="31" t="s">
        <v>78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347</v>
      </c>
      <c r="D231" s="30" t="s">
        <v>347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347</v>
      </c>
      <c r="M231" s="32">
        <v>0</v>
      </c>
      <c r="N231" s="31" t="s">
        <v>128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348</v>
      </c>
      <c r="D232" s="30" t="s">
        <v>348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348</v>
      </c>
      <c r="M232" s="32">
        <v>0</v>
      </c>
      <c r="N232" s="31" t="s">
        <v>68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349</v>
      </c>
      <c r="D233" s="30" t="s">
        <v>349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350</v>
      </c>
      <c r="D234" s="30" t="s">
        <v>350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350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351</v>
      </c>
      <c r="D235" s="30" t="s">
        <v>351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351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352</v>
      </c>
      <c r="D236" s="30" t="s">
        <v>352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352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353</v>
      </c>
      <c r="D237" s="30" t="s">
        <v>353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354</v>
      </c>
      <c r="D238" s="30" t="s">
        <v>354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355</v>
      </c>
      <c r="D239" s="30" t="s">
        <v>355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356</v>
      </c>
      <c r="D240" s="30" t="s">
        <v>356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357</v>
      </c>
      <c r="D241" s="30" t="s">
        <v>357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58</v>
      </c>
      <c r="M241" s="32">
        <v>1</v>
      </c>
      <c r="N241" s="31" t="s">
        <v>127</v>
      </c>
      <c r="O241" s="32">
        <v>0</v>
      </c>
      <c r="P241" s="31" t="s">
        <v>358</v>
      </c>
      <c r="Q241" s="32">
        <v>0</v>
      </c>
      <c r="R241" s="31" t="s">
        <v>359</v>
      </c>
      <c r="S241" s="32">
        <v>0</v>
      </c>
      <c r="T241" s="31" t="s">
        <v>360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361</v>
      </c>
      <c r="D242" s="30" t="s">
        <v>361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361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362</v>
      </c>
      <c r="D243" s="30" t="s">
        <v>362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362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363</v>
      </c>
      <c r="D244" s="30" t="s">
        <v>363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364</v>
      </c>
      <c r="D245" s="30" t="s">
        <v>364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365</v>
      </c>
      <c r="D246" s="30" t="s">
        <v>365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367</v>
      </c>
      <c r="D247" s="30" t="s">
        <v>367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368</v>
      </c>
      <c r="D248" s="30" t="s">
        <v>368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300</v>
      </c>
      <c r="D249" s="30" t="s">
        <v>300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300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301</v>
      </c>
      <c r="D250" s="30" t="s">
        <v>301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301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359</v>
      </c>
      <c r="D251" s="30" t="s">
        <v>359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360</v>
      </c>
      <c r="D252" s="30" t="s">
        <v>360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360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369</v>
      </c>
      <c r="D253" s="33" t="s">
        <v>369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127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370</v>
      </c>
      <c r="D254" s="36" t="s">
        <v>370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371</v>
      </c>
      <c r="D255" s="39" t="s">
        <v>371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372</v>
      </c>
      <c r="D256" s="39" t="s">
        <v>372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373</v>
      </c>
      <c r="D257" s="39" t="s">
        <v>373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374</v>
      </c>
      <c r="D258" s="39" t="s">
        <v>374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375</v>
      </c>
      <c r="D259" s="39" t="s">
        <v>375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331</v>
      </c>
      <c r="D260" s="39" t="s">
        <v>331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124</v>
      </c>
      <c r="D261" s="39" t="s">
        <v>124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376</v>
      </c>
      <c r="D262" s="39" t="s">
        <v>376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377</v>
      </c>
      <c r="D263" s="39" t="s">
        <v>377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378</v>
      </c>
      <c r="D264" s="39" t="s">
        <v>378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379</v>
      </c>
      <c r="D265" s="39" t="s">
        <v>379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380</v>
      </c>
      <c r="D266" s="39" t="s">
        <v>380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381</v>
      </c>
      <c r="D267" s="39" t="s">
        <v>381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382</v>
      </c>
      <c r="D268" s="39" t="s">
        <v>382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383</v>
      </c>
      <c r="D269" s="42" t="s">
        <v>383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384</v>
      </c>
      <c r="D270" s="13" t="s">
        <v>385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77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386</v>
      </c>
      <c r="D271" s="13" t="s">
        <v>385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77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387</v>
      </c>
      <c r="D272" s="13" t="s">
        <v>387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77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388</v>
      </c>
      <c r="D273" s="13" t="s">
        <v>388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77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389</v>
      </c>
      <c r="D274" s="13" t="s">
        <v>390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77</v>
      </c>
      <c r="L274" s="11" t="s">
        <v>78</v>
      </c>
      <c r="M274" s="12">
        <v>0</v>
      </c>
      <c r="N274" s="11" t="s">
        <v>391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392</v>
      </c>
      <c r="D275" s="13" t="s">
        <v>390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77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393</v>
      </c>
      <c r="D276" s="13" t="s">
        <v>394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48</v>
      </c>
      <c r="L276" s="11" t="s">
        <v>322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395</v>
      </c>
      <c r="D277" s="13" t="s">
        <v>394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48</v>
      </c>
      <c r="L277" s="11" t="s">
        <v>322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396</v>
      </c>
      <c r="D278" s="13" t="s">
        <v>396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77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77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327</v>
      </c>
      <c r="D280" s="13" t="s">
        <v>327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77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77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77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400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77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401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77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402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77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403</v>
      </c>
      <c r="D286" s="13" t="s">
        <v>404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77</v>
      </c>
      <c r="L286" s="11" t="s">
        <v>404</v>
      </c>
      <c r="M286" s="12">
        <v>0</v>
      </c>
      <c r="N286" s="11" t="s">
        <v>405</v>
      </c>
      <c r="O286" s="12">
        <v>0</v>
      </c>
      <c r="P286" s="11" t="s">
        <v>128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406</v>
      </c>
      <c r="D287" s="13" t="s">
        <v>404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77</v>
      </c>
      <c r="L287" s="11" t="s">
        <v>404</v>
      </c>
      <c r="M287" s="12">
        <v>0</v>
      </c>
      <c r="N287" s="11" t="s">
        <v>127</v>
      </c>
      <c r="O287" s="12">
        <v>0</v>
      </c>
      <c r="P287" s="11" t="s">
        <v>128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127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77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77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77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77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410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77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411</v>
      </c>
      <c r="D293" s="13" t="s">
        <v>412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77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413</v>
      </c>
      <c r="D294" s="13" t="s">
        <v>413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77</v>
      </c>
      <c r="L294" s="11" t="s">
        <v>58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196</v>
      </c>
      <c r="D295" s="13" t="s">
        <v>413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77</v>
      </c>
      <c r="L295" s="11" t="s">
        <v>58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414</v>
      </c>
      <c r="D296" s="13" t="s">
        <v>415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77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77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417</v>
      </c>
      <c r="D298" s="13" t="s">
        <v>417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77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77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77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420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77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421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77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422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77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77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77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77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77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77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77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77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430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77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431</v>
      </c>
      <c r="D312" s="13" t="s">
        <v>432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77</v>
      </c>
      <c r="L312" s="11" t="s">
        <v>78</v>
      </c>
      <c r="M312" s="12">
        <v>0</v>
      </c>
      <c r="N312" s="11" t="s">
        <v>331</v>
      </c>
      <c r="O312" s="12">
        <v>0</v>
      </c>
      <c r="P312" s="11" t="s">
        <v>348</v>
      </c>
      <c r="Q312" s="12">
        <v>0</v>
      </c>
      <c r="R312" s="11" t="s">
        <v>433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434</v>
      </c>
      <c r="D313" s="13" t="s">
        <v>432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77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77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77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77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438</v>
      </c>
      <c r="D317" s="13" t="s">
        <v>438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77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77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440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77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441</v>
      </c>
      <c r="D320" s="13" t="s">
        <v>441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77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442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77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77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444</v>
      </c>
      <c r="D323" s="13" t="s">
        <v>445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77</v>
      </c>
      <c r="L323" s="11" t="s">
        <v>10</v>
      </c>
      <c r="M323" s="12">
        <v>0</v>
      </c>
      <c r="N323" s="11" t="s">
        <v>145</v>
      </c>
      <c r="O323" s="12">
        <v>0</v>
      </c>
      <c r="P323" s="11" t="s">
        <v>146</v>
      </c>
      <c r="Q323" s="12">
        <v>0</v>
      </c>
      <c r="R323" s="11" t="s">
        <v>446</v>
      </c>
      <c r="S323" s="12">
        <v>0</v>
      </c>
      <c r="T323" s="11" t="s">
        <v>447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77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77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450</v>
      </c>
      <c r="D326" s="13" t="s">
        <v>445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77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451</v>
      </c>
      <c r="D327" s="13" t="s">
        <v>452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77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451</v>
      </c>
      <c r="D328" s="13" t="s">
        <v>453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77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454</v>
      </c>
      <c r="D329" s="13" t="s">
        <v>241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77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455</v>
      </c>
      <c r="D330" s="13" t="s">
        <v>455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77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456</v>
      </c>
      <c r="D331" s="13" t="s">
        <v>456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77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77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458</v>
      </c>
      <c r="D333" s="13" t="s">
        <v>459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77</v>
      </c>
      <c r="L333" s="11" t="s">
        <v>391</v>
      </c>
      <c r="M333" s="12">
        <v>0</v>
      </c>
      <c r="N333" s="11" t="s">
        <v>78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460</v>
      </c>
      <c r="D334" s="13" t="s">
        <v>460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77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461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77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462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77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463</v>
      </c>
      <c r="D337" s="13" t="s">
        <v>464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77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465</v>
      </c>
      <c r="D338" s="13" t="s">
        <v>466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77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336</v>
      </c>
      <c r="D339" s="13" t="s">
        <v>467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77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468</v>
      </c>
      <c r="D340" s="13" t="s">
        <v>468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77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469</v>
      </c>
      <c r="D341" s="13" t="s">
        <v>469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77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342</v>
      </c>
      <c r="D342" s="13" t="s">
        <v>342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77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470</v>
      </c>
      <c r="D343" s="13" t="s">
        <v>470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77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219</v>
      </c>
      <c r="D344" s="13" t="s">
        <v>219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77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471</v>
      </c>
      <c r="D345" s="13" t="s">
        <v>253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77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472</v>
      </c>
      <c r="D346" s="13" t="s">
        <v>472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77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473</v>
      </c>
      <c r="D347" s="13" t="s">
        <v>473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77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474</v>
      </c>
      <c r="D348" s="26" t="s">
        <v>474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77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475</v>
      </c>
      <c r="D349" s="26" t="s">
        <v>475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77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476</v>
      </c>
      <c r="D350" s="26" t="s">
        <v>476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77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477</v>
      </c>
      <c r="D351" s="13" t="s">
        <v>477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77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478</v>
      </c>
      <c r="D352" s="13" t="s">
        <v>478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77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479</v>
      </c>
      <c r="D353" s="13" t="s">
        <v>479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77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241</v>
      </c>
      <c r="D354" s="13" t="s">
        <v>241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77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480</v>
      </c>
      <c r="D355" s="13" t="s">
        <v>480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77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481</v>
      </c>
      <c r="D356" s="13" t="s">
        <v>481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77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482</v>
      </c>
      <c r="D357" s="13" t="s">
        <v>482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77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483</v>
      </c>
      <c r="D358" s="13" t="s">
        <v>484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77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485</v>
      </c>
      <c r="D359" s="13" t="s">
        <v>485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77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486</v>
      </c>
      <c r="D360" s="13" t="s">
        <v>486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77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487</v>
      </c>
      <c r="D361" s="13" t="s">
        <v>487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77</v>
      </c>
      <c r="L361" s="11" t="s">
        <v>487</v>
      </c>
      <c r="M361" s="12">
        <v>0</v>
      </c>
      <c r="N361" s="11" t="s">
        <v>78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488</v>
      </c>
      <c r="D362" s="13" t="s">
        <v>488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77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489</v>
      </c>
      <c r="D363" s="13" t="s">
        <v>489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48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490</v>
      </c>
      <c r="D364" s="13" t="s">
        <v>490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48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491</v>
      </c>
      <c r="D365" s="13" t="s">
        <v>491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77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56</v>
      </c>
      <c r="D366" s="13" t="s">
        <v>56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77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492</v>
      </c>
      <c r="D367" s="13" t="s">
        <v>492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77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493</v>
      </c>
      <c r="D368" s="13" t="s">
        <v>493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77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494</v>
      </c>
      <c r="D369" s="13" t="s">
        <v>494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77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495</v>
      </c>
      <c r="D370" s="13" t="s">
        <v>495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77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496</v>
      </c>
      <c r="D371" s="13" t="s">
        <v>497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48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498</v>
      </c>
      <c r="D372" s="26" t="s">
        <v>499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77</v>
      </c>
      <c r="L372" s="27" t="s">
        <v>499</v>
      </c>
      <c r="M372" s="28">
        <v>0</v>
      </c>
      <c r="N372" s="27" t="s">
        <v>127</v>
      </c>
      <c r="O372" s="28">
        <v>0</v>
      </c>
      <c r="P372" s="27" t="s">
        <v>78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500</v>
      </c>
      <c r="D373" s="26" t="s">
        <v>499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77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229</v>
      </c>
      <c r="D374" s="13" t="s">
        <v>229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77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501</v>
      </c>
      <c r="D375" s="13" t="s">
        <v>501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77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502</v>
      </c>
      <c r="D376" s="26" t="s">
        <v>503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77</v>
      </c>
      <c r="L376" s="27" t="s">
        <v>58</v>
      </c>
      <c r="M376" s="28">
        <v>1</v>
      </c>
      <c r="N376" s="27" t="s">
        <v>114</v>
      </c>
      <c r="O376" s="28">
        <v>1</v>
      </c>
      <c r="P376" s="27" t="s">
        <v>78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504</v>
      </c>
      <c r="D377" s="26" t="s">
        <v>505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77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506</v>
      </c>
      <c r="D378" s="26" t="s">
        <v>507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77</v>
      </c>
      <c r="L378" s="27" t="s">
        <v>507</v>
      </c>
      <c r="M378" s="28">
        <v>0</v>
      </c>
      <c r="N378" s="27" t="s">
        <v>127</v>
      </c>
      <c r="O378" s="28">
        <v>0</v>
      </c>
      <c r="P378" s="27" t="s">
        <v>128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508</v>
      </c>
      <c r="D379" s="26" t="s">
        <v>507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77</v>
      </c>
      <c r="L379" s="27" t="s">
        <v>507</v>
      </c>
      <c r="M379" s="28">
        <v>0</v>
      </c>
      <c r="N379" s="27" t="s">
        <v>127</v>
      </c>
      <c r="O379" s="28">
        <v>0</v>
      </c>
      <c r="P379" s="27" t="s">
        <v>128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509</v>
      </c>
      <c r="D380" s="26" t="s">
        <v>510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77</v>
      </c>
      <c r="L380" s="27" t="s">
        <v>150</v>
      </c>
      <c r="M380" s="28">
        <v>1</v>
      </c>
      <c r="N380" s="27" t="s">
        <v>78</v>
      </c>
      <c r="O380" s="28">
        <v>0</v>
      </c>
      <c r="P380" s="27" t="s">
        <v>511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512</v>
      </c>
      <c r="D381" s="26" t="s">
        <v>512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77</v>
      </c>
      <c r="L381" s="27" t="s">
        <v>150</v>
      </c>
      <c r="M381" s="28">
        <v>1</v>
      </c>
      <c r="N381" s="27" t="s">
        <v>78</v>
      </c>
      <c r="O381" s="28">
        <v>0</v>
      </c>
      <c r="P381" s="27" t="s">
        <v>511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513</v>
      </c>
      <c r="D382" s="26" t="s">
        <v>514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77</v>
      </c>
      <c r="L382" s="27" t="s">
        <v>368</v>
      </c>
      <c r="M382" s="28">
        <v>0</v>
      </c>
      <c r="N382" s="27" t="s">
        <v>515</v>
      </c>
      <c r="O382" s="28">
        <v>0</v>
      </c>
      <c r="P382" s="27" t="s">
        <v>78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516</v>
      </c>
      <c r="D383" s="26" t="s">
        <v>516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77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517</v>
      </c>
      <c r="D384" s="13" t="s">
        <v>517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77</v>
      </c>
      <c r="L384" s="11" t="s">
        <v>142</v>
      </c>
      <c r="M384" s="12">
        <v>0</v>
      </c>
      <c r="N384" s="11" t="s">
        <v>143</v>
      </c>
      <c r="O384" s="12">
        <v>0</v>
      </c>
      <c r="P384" s="11" t="s">
        <v>145</v>
      </c>
      <c r="Q384" s="12">
        <v>0</v>
      </c>
      <c r="R384" s="11" t="s">
        <v>146</v>
      </c>
      <c r="S384" s="12">
        <v>0</v>
      </c>
      <c r="T384" s="11" t="s">
        <v>446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518</v>
      </c>
      <c r="D385" s="13" t="s">
        <v>518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77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519</v>
      </c>
      <c r="D386" s="13" t="s">
        <v>520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77</v>
      </c>
      <c r="L386" s="11" t="s">
        <v>58</v>
      </c>
      <c r="M386" s="12">
        <v>1</v>
      </c>
      <c r="N386" s="11" t="s">
        <v>127</v>
      </c>
      <c r="O386" s="12">
        <v>0</v>
      </c>
      <c r="P386" s="11" t="s">
        <v>78</v>
      </c>
      <c r="Q386" s="12">
        <v>0</v>
      </c>
      <c r="R386" s="11" t="s">
        <v>359</v>
      </c>
      <c r="S386" s="12">
        <v>0</v>
      </c>
      <c r="T386" s="11" t="s">
        <v>360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521</v>
      </c>
      <c r="D387" s="13" t="s">
        <v>522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77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523</v>
      </c>
      <c r="D388" s="13" t="s">
        <v>523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77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524</v>
      </c>
      <c r="D389" s="13" t="s">
        <v>524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77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525</v>
      </c>
      <c r="D390" s="13" t="s">
        <v>525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77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526</v>
      </c>
      <c r="D391" s="13" t="s">
        <v>526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77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527</v>
      </c>
      <c r="D392" s="13" t="s">
        <v>527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77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528</v>
      </c>
      <c r="D393" s="26" t="s">
        <v>528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77</v>
      </c>
      <c r="L393" s="27" t="s">
        <v>78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529</v>
      </c>
      <c r="D394" s="26" t="s">
        <v>529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77</v>
      </c>
      <c r="L394" s="27" t="s">
        <v>78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530</v>
      </c>
      <c r="D395" s="13" t="s">
        <v>530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77</v>
      </c>
      <c r="L395" s="11" t="s">
        <v>322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531</v>
      </c>
      <c r="D396" s="13" t="s">
        <v>532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77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533</v>
      </c>
      <c r="D397" s="13" t="s">
        <v>534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77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535</v>
      </c>
      <c r="D398" s="26" t="s">
        <v>535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77</v>
      </c>
      <c r="L398" s="27" t="s">
        <v>536</v>
      </c>
      <c r="M398" s="28">
        <v>0</v>
      </c>
      <c r="N398" s="27" t="s">
        <v>78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537</v>
      </c>
      <c r="D399" s="26" t="s">
        <v>537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77</v>
      </c>
      <c r="L399" s="27" t="s">
        <v>536</v>
      </c>
      <c r="M399" s="28">
        <v>0</v>
      </c>
      <c r="N399" s="27" t="s">
        <v>78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538</v>
      </c>
      <c r="D400" s="13" t="s">
        <v>538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48</v>
      </c>
      <c r="L400" s="11" t="s">
        <v>127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539</v>
      </c>
      <c r="D401" s="13" t="s">
        <v>539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48</v>
      </c>
      <c r="L401" s="11" t="s">
        <v>127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540</v>
      </c>
      <c r="D402" s="26" t="s">
        <v>541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77</v>
      </c>
      <c r="L402" s="27" t="s">
        <v>58</v>
      </c>
      <c r="M402" s="28">
        <v>1</v>
      </c>
      <c r="N402" s="27" t="s">
        <v>78</v>
      </c>
      <c r="O402" s="28">
        <v>0</v>
      </c>
      <c r="P402" s="27" t="s">
        <v>541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542</v>
      </c>
      <c r="D403" s="26" t="s">
        <v>542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77</v>
      </c>
      <c r="L403" s="27" t="s">
        <v>58</v>
      </c>
      <c r="M403" s="28">
        <v>1</v>
      </c>
      <c r="N403" s="27" t="s">
        <v>78</v>
      </c>
      <c r="O403" s="28">
        <v>0</v>
      </c>
      <c r="P403" s="27" t="s">
        <v>167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543</v>
      </c>
      <c r="D404" s="13" t="s">
        <v>543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77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544</v>
      </c>
      <c r="D405" s="26" t="s">
        <v>544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77</v>
      </c>
      <c r="L405" s="27" t="s">
        <v>545</v>
      </c>
      <c r="M405" s="28">
        <v>0</v>
      </c>
      <c r="N405" s="27" t="s">
        <v>128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544</v>
      </c>
      <c r="D406" s="26" t="s">
        <v>544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77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546</v>
      </c>
      <c r="D407" s="13" t="s">
        <v>546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77</v>
      </c>
      <c r="L407" s="11" t="s">
        <v>58</v>
      </c>
      <c r="M407" s="12">
        <v>1</v>
      </c>
      <c r="N407" s="11" t="s">
        <v>547</v>
      </c>
      <c r="O407" s="12">
        <v>0</v>
      </c>
      <c r="P407" s="11" t="s">
        <v>548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549</v>
      </c>
      <c r="D408" s="13" t="s">
        <v>549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77</v>
      </c>
      <c r="L408" s="11" t="s">
        <v>58</v>
      </c>
      <c r="M408" s="12">
        <v>0</v>
      </c>
      <c r="N408" s="11" t="s">
        <v>547</v>
      </c>
      <c r="O408" s="12">
        <v>0</v>
      </c>
      <c r="P408" s="11" t="s">
        <v>550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551</v>
      </c>
      <c r="D409" s="13" t="s">
        <v>551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77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552</v>
      </c>
      <c r="D410" s="13" t="s">
        <v>552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77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553</v>
      </c>
      <c r="D411" s="13" t="s">
        <v>553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77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554</v>
      </c>
      <c r="D412" s="13" t="s">
        <v>554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77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555</v>
      </c>
      <c r="D413" s="13" t="s">
        <v>555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77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556</v>
      </c>
      <c r="D414" s="13" t="s">
        <v>556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77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557</v>
      </c>
      <c r="D415" s="13" t="s">
        <v>558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77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559</v>
      </c>
      <c r="D416" s="13" t="s">
        <v>558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77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560</v>
      </c>
      <c r="D417" s="13" t="s">
        <v>560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77</v>
      </c>
      <c r="L417" s="11" t="s">
        <v>333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561</v>
      </c>
      <c r="D418" s="13" t="s">
        <v>562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77</v>
      </c>
      <c r="L418" s="11" t="s">
        <v>563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564</v>
      </c>
      <c r="D419" s="13" t="s">
        <v>564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77</v>
      </c>
      <c r="L419" s="11" t="s">
        <v>565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566</v>
      </c>
      <c r="D420" s="13" t="s">
        <v>566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77</v>
      </c>
      <c r="L420" s="11" t="s">
        <v>567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568</v>
      </c>
      <c r="D421" s="13" t="s">
        <v>568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77</v>
      </c>
      <c r="L421" s="11" t="s">
        <v>569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519</v>
      </c>
      <c r="D422" s="13" t="s">
        <v>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77</v>
      </c>
      <c r="L422" s="11" t="s">
        <v>58</v>
      </c>
      <c r="M422" s="12">
        <v>1</v>
      </c>
      <c r="N422" s="11" t="s">
        <v>127</v>
      </c>
      <c r="O422" s="12">
        <v>0</v>
      </c>
      <c r="P422" s="11" t="s">
        <v>78</v>
      </c>
      <c r="Q422" s="12">
        <v>0</v>
      </c>
      <c r="R422" s="11" t="s">
        <v>359</v>
      </c>
      <c r="S422" s="12">
        <v>0</v>
      </c>
      <c r="T422" s="11" t="s">
        <v>360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570</v>
      </c>
      <c r="D423" s="26" t="s">
        <v>570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77</v>
      </c>
      <c r="L423" s="27" t="s">
        <v>571</v>
      </c>
      <c r="M423" s="28">
        <v>0</v>
      </c>
      <c r="N423" s="27" t="s">
        <v>78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572</v>
      </c>
      <c r="D424" s="26" t="s">
        <v>572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77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573</v>
      </c>
      <c r="D425" s="13" t="s">
        <v>573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77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441</v>
      </c>
      <c r="D426" s="13" t="s">
        <v>441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77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574</v>
      </c>
      <c r="D427" s="13" t="s">
        <v>574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77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575</v>
      </c>
      <c r="D428" s="13" t="s">
        <v>575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77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575</v>
      </c>
      <c r="D429" s="13" t="s">
        <v>575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77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576</v>
      </c>
      <c r="D430" s="13" t="s">
        <v>576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77</v>
      </c>
      <c r="L430" s="11" t="s">
        <v>58</v>
      </c>
      <c r="M430" s="12">
        <v>1</v>
      </c>
      <c r="N430" s="11" t="s">
        <v>127</v>
      </c>
      <c r="O430" s="12">
        <v>0</v>
      </c>
      <c r="P430" s="11" t="s">
        <v>78</v>
      </c>
      <c r="Q430" s="12">
        <v>0</v>
      </c>
      <c r="R430" s="11" t="s">
        <v>359</v>
      </c>
      <c r="S430" s="12">
        <v>0</v>
      </c>
      <c r="T430" s="11" t="s">
        <v>360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576</v>
      </c>
      <c r="D431" s="13" t="s">
        <v>576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77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577</v>
      </c>
      <c r="D432" s="13" t="s">
        <v>577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77</v>
      </c>
      <c r="L432" s="11" t="s">
        <v>58</v>
      </c>
      <c r="M432" s="12">
        <v>1</v>
      </c>
      <c r="N432" s="11" t="s">
        <v>127</v>
      </c>
      <c r="O432" s="12">
        <v>0</v>
      </c>
      <c r="P432" s="11" t="s">
        <v>78</v>
      </c>
      <c r="Q432" s="12">
        <v>0</v>
      </c>
      <c r="R432" s="11" t="s">
        <v>359</v>
      </c>
      <c r="S432" s="12">
        <v>0</v>
      </c>
      <c r="T432" s="11" t="s">
        <v>360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577</v>
      </c>
      <c r="D433" s="13" t="s">
        <v>577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77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578</v>
      </c>
      <c r="D434" s="13" t="s">
        <v>578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77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578</v>
      </c>
      <c r="D435" s="13" t="s">
        <v>578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77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349</v>
      </c>
      <c r="D436" s="13" t="s">
        <v>349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77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579</v>
      </c>
      <c r="D437" s="13" t="s">
        <v>579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77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580</v>
      </c>
      <c r="D438" s="10" t="s">
        <v>580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77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2025-06-05T20:18:55Z</dcterms:modified>
</cp:coreProperties>
</file>