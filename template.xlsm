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B0308765-9DD9-4D35-870B-F1EAB2B09E5A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数出表_Excel（アレルギー入力）" sheetId="5" r:id="rId5"/>
    <sheet name="まとめ札" sheetId="6" state="hidden" r:id="rId6"/>
    <sheet name="先生札" sheetId="7" state="hidden" r:id="rId7"/>
    <sheet name="社食等の札" sheetId="8" state="hidden" r:id="rId8"/>
    <sheet name="盛付札（関数）" sheetId="9" state="hidden" r:id="rId9"/>
    <sheet name="札_まとめ（印刷用）" sheetId="10" r:id="rId10"/>
    <sheet name="変更先抽出【15時】" sheetId="13" state="hidden" r:id="rId11"/>
    <sheet name="札_まとめ（印刷用）【15時】" sheetId="14" r:id="rId12"/>
    <sheet name="商品マスタ一覧" sheetId="16" state="hidden" r:id="rId13"/>
  </sheets>
  <functionGroups builtInGroupCount="19"/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M1" i="10" l="1"/>
  <c r="DX1" i="10"/>
  <c r="DI1" i="10"/>
  <c r="CT1" i="10"/>
  <c r="CE1" i="10"/>
  <c r="BP1" i="10"/>
  <c r="BA1" i="10"/>
  <c r="AL1" i="10"/>
  <c r="W1" i="10"/>
  <c r="H41" i="10"/>
  <c r="H33" i="10"/>
  <c r="H25" i="10"/>
  <c r="H17" i="10"/>
  <c r="EM1" i="14"/>
  <c r="ER2" i="14" s="1"/>
  <c r="EH1" i="14"/>
  <c r="EL1" i="14" s="1"/>
  <c r="EF1" i="14"/>
  <c r="EK2" i="14" s="1"/>
  <c r="DZ1" i="14"/>
  <c r="EC6" i="14" s="1"/>
  <c r="DX1" i="14"/>
  <c r="EC2" i="14" s="1"/>
  <c r="DQ1" i="14"/>
  <c r="DS1" i="14" s="1"/>
  <c r="DI1" i="14"/>
  <c r="DN2" i="14" s="1"/>
  <c r="DD1" i="14"/>
  <c r="DH1" i="14" s="1"/>
  <c r="DB1" i="14"/>
  <c r="DG2" i="14" s="1"/>
  <c r="CM1" i="14"/>
  <c r="CO1" i="14" s="1"/>
  <c r="CE1" i="14"/>
  <c r="CJ2" i="14" s="1"/>
  <c r="BX1" i="14"/>
  <c r="BZ1" i="14" s="1"/>
  <c r="BK1" i="14"/>
  <c r="BO1" i="14" s="1"/>
  <c r="BI1" i="14"/>
  <c r="BN2" i="14" s="1"/>
  <c r="BA1" i="14"/>
  <c r="BF2" i="14" s="1"/>
  <c r="AT1" i="14"/>
  <c r="AV1" i="14" s="1"/>
  <c r="AL1" i="14"/>
  <c r="AQ2" i="14" s="1"/>
  <c r="AG1" i="14"/>
  <c r="AK1" i="14" s="1"/>
  <c r="AE1" i="14"/>
  <c r="AJ2" i="14" s="1"/>
  <c r="P1" i="14"/>
  <c r="W1" i="14"/>
  <c r="A41" i="14"/>
  <c r="F42" i="14" s="1"/>
  <c r="M34" i="14"/>
  <c r="H33" i="14"/>
  <c r="A33" i="14"/>
  <c r="H25" i="14"/>
  <c r="A25" i="14"/>
  <c r="A17" i="14"/>
  <c r="AA10" i="13"/>
  <c r="AA11" i="13"/>
  <c r="AA12" i="13"/>
  <c r="AA13" i="13"/>
  <c r="AA14" i="13"/>
  <c r="H9" i="14"/>
  <c r="A9" i="14"/>
  <c r="H1" i="14"/>
  <c r="M15" i="13"/>
  <c r="M16" i="13"/>
  <c r="M17" i="13"/>
  <c r="M18" i="13"/>
  <c r="O15" i="13"/>
  <c r="O16" i="13"/>
  <c r="O17" i="13"/>
  <c r="O18" i="13"/>
  <c r="E15" i="13"/>
  <c r="F15" i="13"/>
  <c r="G15" i="13"/>
  <c r="H15" i="13"/>
  <c r="I15" i="13"/>
  <c r="K15" i="13"/>
  <c r="L15" i="13"/>
  <c r="D15" i="13" a="1"/>
  <c r="D15" i="13" s="1"/>
  <c r="D16" i="13" a="1"/>
  <c r="D16" i="13" s="1"/>
  <c r="L16" i="13" a="1"/>
  <c r="L16" i="13" s="1"/>
  <c r="L17" i="13" a="1"/>
  <c r="L17" i="13" s="1"/>
  <c r="L18" i="13" a="1"/>
  <c r="L18" i="13" s="1"/>
  <c r="L19" i="13" a="1"/>
  <c r="L19" i="13" s="1"/>
  <c r="L20" i="13" a="1"/>
  <c r="L20" i="13" s="1"/>
  <c r="A4" i="13"/>
  <c r="A5" i="13"/>
  <c r="A6" i="13"/>
  <c r="A7" i="13"/>
  <c r="A8" i="13"/>
  <c r="L8" i="13" s="1"/>
  <c r="A9" i="13"/>
  <c r="L9" i="13" s="1"/>
  <c r="A10" i="13"/>
  <c r="M10" i="13" s="1"/>
  <c r="A11" i="13"/>
  <c r="K11" i="13" s="1"/>
  <c r="A12" i="13"/>
  <c r="F12" i="13" s="1"/>
  <c r="A13" i="13"/>
  <c r="G13" i="13" s="1"/>
  <c r="A14" i="13"/>
  <c r="H14" i="13" s="1"/>
  <c r="A2" i="13"/>
  <c r="A3" i="13"/>
  <c r="A1" i="13"/>
  <c r="H1" i="10"/>
  <c r="AC270" i="9"/>
  <c r="Y270" i="9" a="1"/>
  <c r="Y270" i="9" s="1"/>
  <c r="H218" i="9"/>
  <c r="I217" i="9"/>
  <c r="J216" i="9"/>
  <c r="I216" i="9"/>
  <c r="C216" i="9"/>
  <c r="Q216" i="9" s="1"/>
  <c r="P216" i="9" s="1"/>
  <c r="Q215" i="9"/>
  <c r="P215" i="9" s="1"/>
  <c r="J215" i="9"/>
  <c r="I215" i="9"/>
  <c r="C215" i="9"/>
  <c r="J265" i="9"/>
  <c r="I265" i="9"/>
  <c r="G265" i="9"/>
  <c r="F265" i="9"/>
  <c r="J264" i="9"/>
  <c r="I264" i="9"/>
  <c r="G264" i="9"/>
  <c r="F264" i="9"/>
  <c r="J263" i="9"/>
  <c r="I263" i="9"/>
  <c r="G263" i="9"/>
  <c r="F263" i="9"/>
  <c r="J262" i="9"/>
  <c r="I262" i="9"/>
  <c r="G262" i="9"/>
  <c r="F262" i="9"/>
  <c r="J261" i="9"/>
  <c r="I261" i="9"/>
  <c r="G261" i="9"/>
  <c r="F261" i="9"/>
  <c r="J260" i="9"/>
  <c r="I260" i="9"/>
  <c r="G260" i="9"/>
  <c r="F260" i="9"/>
  <c r="J259" i="9"/>
  <c r="I259" i="9"/>
  <c r="G259" i="9"/>
  <c r="F259" i="9"/>
  <c r="J258" i="9"/>
  <c r="I258" i="9"/>
  <c r="G258" i="9"/>
  <c r="F258" i="9"/>
  <c r="J257" i="9"/>
  <c r="I257" i="9"/>
  <c r="G257" i="9"/>
  <c r="F257" i="9"/>
  <c r="J256" i="9"/>
  <c r="I256" i="9"/>
  <c r="G256" i="9"/>
  <c r="F256" i="9"/>
  <c r="J255" i="9"/>
  <c r="I255" i="9"/>
  <c r="G255" i="9"/>
  <c r="F255" i="9"/>
  <c r="J254" i="9"/>
  <c r="I254" i="9"/>
  <c r="G254" i="9"/>
  <c r="F254" i="9"/>
  <c r="J253" i="9"/>
  <c r="I253" i="9"/>
  <c r="G253" i="9"/>
  <c r="F253" i="9"/>
  <c r="J252" i="9"/>
  <c r="I252" i="9"/>
  <c r="G252" i="9"/>
  <c r="F252" i="9"/>
  <c r="J251" i="9"/>
  <c r="I251" i="9"/>
  <c r="G251" i="9"/>
  <c r="F251" i="9"/>
  <c r="A219" i="9"/>
  <c r="P214" i="9"/>
  <c r="J214" i="9"/>
  <c r="C214" i="9"/>
  <c r="P213" i="9"/>
  <c r="H213" i="9"/>
  <c r="C213" i="9"/>
  <c r="P212" i="9"/>
  <c r="C212" i="9"/>
  <c r="P211" i="9"/>
  <c r="C211" i="9"/>
  <c r="C210" i="9"/>
  <c r="N210" i="9" s="1"/>
  <c r="C209" i="9"/>
  <c r="Q209" i="9" s="1"/>
  <c r="P209" i="9" s="1"/>
  <c r="C208" i="9"/>
  <c r="Q208" i="9" s="1"/>
  <c r="P208" i="9" s="1"/>
  <c r="C207" i="9"/>
  <c r="I207" i="9" s="1"/>
  <c r="C206" i="9"/>
  <c r="N206" i="9" s="1"/>
  <c r="C205" i="9"/>
  <c r="D205" i="9" s="1" a="1"/>
  <c r="D205" i="9" s="1"/>
  <c r="F205" i="9" s="1"/>
  <c r="G205" i="9" s="1"/>
  <c r="C204" i="9"/>
  <c r="Q204" i="9" s="1"/>
  <c r="P204" i="9" s="1"/>
  <c r="C203" i="9"/>
  <c r="I203" i="9" s="1"/>
  <c r="C202" i="9"/>
  <c r="N202" i="9" s="1"/>
  <c r="C201" i="9"/>
  <c r="Q201" i="9" s="1"/>
  <c r="P201" i="9" s="1"/>
  <c r="C200" i="9"/>
  <c r="J200" i="9" s="1"/>
  <c r="C199" i="9"/>
  <c r="C198" i="9"/>
  <c r="C197" i="9"/>
  <c r="M197" i="9" s="1" a="1"/>
  <c r="M197" i="9" s="1"/>
  <c r="C196" i="9"/>
  <c r="M196" i="9" s="1" a="1"/>
  <c r="M196" i="9" s="1"/>
  <c r="C195" i="9"/>
  <c r="J195" i="9" s="1"/>
  <c r="C194" i="9"/>
  <c r="N194" i="9" s="1"/>
  <c r="C193" i="9"/>
  <c r="M193" i="9" s="1" a="1"/>
  <c r="M193" i="9" s="1"/>
  <c r="C192" i="9"/>
  <c r="J192" i="9" s="1"/>
  <c r="C191" i="9"/>
  <c r="H191" i="9" s="1"/>
  <c r="E191" i="9" s="1"/>
  <c r="C190" i="9"/>
  <c r="N190" i="9" s="1"/>
  <c r="C189" i="9"/>
  <c r="N189" i="9" s="1"/>
  <c r="C188" i="9"/>
  <c r="Q188" i="9" s="1"/>
  <c r="P188" i="9" s="1"/>
  <c r="C187" i="9"/>
  <c r="H187" i="9" s="1"/>
  <c r="E187" i="9" s="1"/>
  <c r="C186" i="9"/>
  <c r="N186" i="9" s="1"/>
  <c r="C185" i="9"/>
  <c r="Q185" i="9" s="1"/>
  <c r="P185" i="9" s="1"/>
  <c r="C184" i="9"/>
  <c r="M184" i="9" s="1" a="1"/>
  <c r="M184" i="9" s="1"/>
  <c r="C183" i="9"/>
  <c r="C182" i="9"/>
  <c r="D182" i="9" s="1" a="1"/>
  <c r="D182" i="9" s="1"/>
  <c r="F182" i="9" s="1"/>
  <c r="G182" i="9" s="1"/>
  <c r="C181" i="9"/>
  <c r="Q181" i="9" s="1"/>
  <c r="P181" i="9" s="1"/>
  <c r="C180" i="9"/>
  <c r="C179" i="9"/>
  <c r="B179" i="9" s="1"/>
  <c r="C178" i="9"/>
  <c r="D178" i="9" s="1" a="1"/>
  <c r="D178" i="9" s="1"/>
  <c r="F178" i="9" s="1"/>
  <c r="G178" i="9" s="1"/>
  <c r="C177" i="9"/>
  <c r="Q177" i="9" s="1"/>
  <c r="P177" i="9" s="1"/>
  <c r="C176" i="9"/>
  <c r="Q176" i="9" s="1"/>
  <c r="P176" i="9" s="1"/>
  <c r="C175" i="9"/>
  <c r="H175" i="9" s="1"/>
  <c r="E175" i="9" s="1"/>
  <c r="J174" i="9"/>
  <c r="C174" i="9"/>
  <c r="Q174" i="9" s="1"/>
  <c r="P174" i="9" s="1"/>
  <c r="C173" i="9"/>
  <c r="D173" i="9" s="1" a="1"/>
  <c r="D173" i="9" s="1"/>
  <c r="F173" i="9" s="1"/>
  <c r="G173" i="9" s="1"/>
  <c r="C172" i="9"/>
  <c r="Q172" i="9" s="1"/>
  <c r="P172" i="9" s="1"/>
  <c r="C171" i="9"/>
  <c r="N171" i="9" s="1"/>
  <c r="C170" i="9"/>
  <c r="J170" i="9" s="1"/>
  <c r="C169" i="9"/>
  <c r="M169" i="9" s="1" a="1"/>
  <c r="M169" i="9" s="1"/>
  <c r="C168" i="9"/>
  <c r="D168" i="9" s="1" a="1"/>
  <c r="D168" i="9" s="1"/>
  <c r="F168" i="9" s="1"/>
  <c r="G168" i="9" s="1"/>
  <c r="C167" i="9"/>
  <c r="N167" i="9" s="1"/>
  <c r="J166" i="9"/>
  <c r="C166" i="9"/>
  <c r="M166" i="9" s="1" a="1"/>
  <c r="M166" i="9" s="1"/>
  <c r="C165" i="9"/>
  <c r="Q165" i="9" s="1"/>
  <c r="P165" i="9" s="1"/>
  <c r="C164" i="9"/>
  <c r="C163" i="9"/>
  <c r="N163" i="9" s="1"/>
  <c r="J162" i="9"/>
  <c r="H162" i="9"/>
  <c r="E162" i="9" s="1"/>
  <c r="C162" i="9"/>
  <c r="D162" i="9" s="1" a="1"/>
  <c r="D162" i="9" s="1"/>
  <c r="F162" i="9" s="1"/>
  <c r="G162" i="9" s="1"/>
  <c r="C161" i="9"/>
  <c r="J161" i="9" s="1"/>
  <c r="C160" i="9"/>
  <c r="C159" i="9"/>
  <c r="N159" i="9" s="1"/>
  <c r="C158" i="9"/>
  <c r="M158" i="9" s="1" a="1"/>
  <c r="M158" i="9" s="1"/>
  <c r="C157" i="9"/>
  <c r="J157" i="9" s="1"/>
  <c r="C156" i="9"/>
  <c r="H156" i="9" s="1"/>
  <c r="E156" i="9" s="1"/>
  <c r="C155" i="9"/>
  <c r="C154" i="9"/>
  <c r="Q154" i="9" s="1"/>
  <c r="P154" i="9" s="1"/>
  <c r="C153" i="9"/>
  <c r="J153" i="9" s="1"/>
  <c r="C152" i="9"/>
  <c r="J152" i="9" s="1"/>
  <c r="C151" i="9"/>
  <c r="Q151" i="9" s="1"/>
  <c r="P151" i="9" s="1"/>
  <c r="C150" i="9"/>
  <c r="J150" i="9" s="1"/>
  <c r="C149" i="9"/>
  <c r="I149" i="9" s="1"/>
  <c r="C148" i="9"/>
  <c r="Q148" i="9" s="1"/>
  <c r="P148" i="9" s="1"/>
  <c r="C147" i="9"/>
  <c r="D147" i="9" s="1" a="1"/>
  <c r="D147" i="9" s="1"/>
  <c r="F147" i="9" s="1"/>
  <c r="G147" i="9" s="1"/>
  <c r="C146" i="9"/>
  <c r="Q146" i="9" s="1"/>
  <c r="P146" i="9" s="1"/>
  <c r="C145" i="9"/>
  <c r="I145" i="9" s="1"/>
  <c r="C144" i="9"/>
  <c r="Q144" i="9" s="1"/>
  <c r="P144" i="9" s="1"/>
  <c r="C143" i="9"/>
  <c r="D143" i="9" s="1" a="1"/>
  <c r="D143" i="9" s="1"/>
  <c r="F143" i="9" s="1"/>
  <c r="G143" i="9" s="1"/>
  <c r="C142" i="9"/>
  <c r="Q142" i="9" s="1"/>
  <c r="P142" i="9" s="1"/>
  <c r="A142" i="9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C141" i="9"/>
  <c r="I141" i="9" s="1"/>
  <c r="C140" i="9"/>
  <c r="Q140" i="9" s="1"/>
  <c r="P140" i="9" s="1"/>
  <c r="C139" i="9"/>
  <c r="D139" i="9" s="1" a="1"/>
  <c r="D139" i="9" s="1"/>
  <c r="F139" i="9" s="1"/>
  <c r="G139" i="9" s="1"/>
  <c r="C138" i="9"/>
  <c r="Q138" i="9" s="1"/>
  <c r="P138" i="9" s="1"/>
  <c r="C137" i="9"/>
  <c r="I137" i="9" s="1" a="1"/>
  <c r="I137" i="9" s="1"/>
  <c r="C136" i="9"/>
  <c r="I136" i="9" s="1" a="1"/>
  <c r="I136" i="9" s="1"/>
  <c r="C135" i="9"/>
  <c r="I135" i="9" s="1" a="1"/>
  <c r="I135" i="9" s="1"/>
  <c r="C134" i="9"/>
  <c r="J134" i="9" s="1"/>
  <c r="C133" i="9"/>
  <c r="B133" i="9" s="1"/>
  <c r="C132" i="9"/>
  <c r="Q132" i="9" s="1"/>
  <c r="P132" i="9" s="1"/>
  <c r="C131" i="9"/>
  <c r="I131" i="9" s="1" a="1"/>
  <c r="I131" i="9" s="1"/>
  <c r="C130" i="9"/>
  <c r="D130" i="9" s="1" a="1"/>
  <c r="D130" i="9" s="1"/>
  <c r="F130" i="9" s="1"/>
  <c r="G130" i="9" s="1"/>
  <c r="D129" i="9" a="1"/>
  <c r="D129" i="9" s="1"/>
  <c r="F129" i="9" s="1"/>
  <c r="G129" i="9" s="1"/>
  <c r="C129" i="9"/>
  <c r="I129" i="9" s="1" a="1"/>
  <c r="I129" i="9" s="1"/>
  <c r="C128" i="9"/>
  <c r="I128" i="9" s="1" a="1"/>
  <c r="I128" i="9" s="1"/>
  <c r="C127" i="9"/>
  <c r="I127" i="9" s="1" a="1"/>
  <c r="I127" i="9" s="1"/>
  <c r="C126" i="9"/>
  <c r="Q126" i="9" s="1"/>
  <c r="P126" i="9" s="1"/>
  <c r="C125" i="9"/>
  <c r="B125" i="9" s="1"/>
  <c r="C124" i="9"/>
  <c r="Q124" i="9" s="1"/>
  <c r="P124" i="9" s="1"/>
  <c r="C123" i="9"/>
  <c r="D123" i="9" s="1" a="1"/>
  <c r="D123" i="9" s="1"/>
  <c r="F123" i="9" s="1"/>
  <c r="G123" i="9" s="1"/>
  <c r="C122" i="9"/>
  <c r="D122" i="9" s="1" a="1"/>
  <c r="D122" i="9" s="1"/>
  <c r="F122" i="9" s="1"/>
  <c r="G122" i="9" s="1"/>
  <c r="D121" i="9" a="1"/>
  <c r="D121" i="9" s="1"/>
  <c r="F121" i="9" s="1"/>
  <c r="G121" i="9" s="1"/>
  <c r="C121" i="9"/>
  <c r="I121" i="9" s="1" a="1"/>
  <c r="I121" i="9" s="1"/>
  <c r="C120" i="9"/>
  <c r="I120" i="9" s="1" a="1"/>
  <c r="I120" i="9" s="1"/>
  <c r="C119" i="9"/>
  <c r="Q119" i="9" s="1"/>
  <c r="P119" i="9" s="1"/>
  <c r="C118" i="9"/>
  <c r="B118" i="9" s="1"/>
  <c r="C117" i="9"/>
  <c r="B117" i="9" s="1"/>
  <c r="C116" i="9"/>
  <c r="Q116" i="9" s="1"/>
  <c r="P116" i="9" s="1"/>
  <c r="C115" i="9"/>
  <c r="D115" i="9" s="1" a="1"/>
  <c r="D115" i="9" s="1"/>
  <c r="F115" i="9" s="1"/>
  <c r="G115" i="9" s="1"/>
  <c r="C114" i="9"/>
  <c r="D114" i="9" s="1" a="1"/>
  <c r="D114" i="9" s="1"/>
  <c r="F114" i="9" s="1"/>
  <c r="G114" i="9" s="1"/>
  <c r="C113" i="9"/>
  <c r="I113" i="9" s="1" a="1"/>
  <c r="I113" i="9" s="1"/>
  <c r="C112" i="9"/>
  <c r="H112" i="9" s="1"/>
  <c r="E112" i="9" s="1"/>
  <c r="C111" i="9"/>
  <c r="Q111" i="9" s="1"/>
  <c r="P111" i="9" s="1"/>
  <c r="C110" i="9"/>
  <c r="H110" i="9" s="1"/>
  <c r="E110" i="9" s="1"/>
  <c r="C108" i="9"/>
  <c r="B108" i="9" s="1"/>
  <c r="C107" i="9"/>
  <c r="D107" i="9" s="1" a="1"/>
  <c r="D107" i="9" s="1"/>
  <c r="F107" i="9" s="1"/>
  <c r="G107" i="9" s="1"/>
  <c r="C106" i="9"/>
  <c r="H106" i="9" s="1"/>
  <c r="E106" i="9" s="1"/>
  <c r="C105" i="9"/>
  <c r="B105" i="9" s="1"/>
  <c r="C104" i="9"/>
  <c r="N104" i="9" s="1"/>
  <c r="C103" i="9"/>
  <c r="M103" i="9" s="1" a="1"/>
  <c r="M103" i="9" s="1"/>
  <c r="B103" i="9"/>
  <c r="C102" i="9"/>
  <c r="M102" i="9" s="1" a="1"/>
  <c r="M102" i="9" s="1"/>
  <c r="C101" i="9"/>
  <c r="N101" i="9" s="1"/>
  <c r="C100" i="9"/>
  <c r="N100" i="9" s="1"/>
  <c r="C99" i="9"/>
  <c r="I99" i="9" s="1" a="1"/>
  <c r="I99" i="9" s="1"/>
  <c r="C98" i="9"/>
  <c r="I98" i="9" s="1" a="1"/>
  <c r="I98" i="9" s="1"/>
  <c r="C97" i="9"/>
  <c r="D97" i="9" s="1" a="1"/>
  <c r="D97" i="9" s="1"/>
  <c r="F97" i="9" s="1"/>
  <c r="G97" i="9" s="1"/>
  <c r="C96" i="9"/>
  <c r="C95" i="9"/>
  <c r="Q95" i="9" s="1"/>
  <c r="P95" i="9" s="1"/>
  <c r="C94" i="9"/>
  <c r="I94" i="9" s="1" a="1"/>
  <c r="I94" i="9" s="1"/>
  <c r="C93" i="9"/>
  <c r="B93" i="9" s="1"/>
  <c r="C92" i="9"/>
  <c r="N92" i="9" s="1"/>
  <c r="N91" i="9"/>
  <c r="C91" i="9"/>
  <c r="I91" i="9" s="1" a="1"/>
  <c r="I91" i="9" s="1"/>
  <c r="C90" i="9"/>
  <c r="I90" i="9" s="1" a="1"/>
  <c r="I90" i="9" s="1"/>
  <c r="C89" i="9"/>
  <c r="D89" i="9" s="1" a="1"/>
  <c r="D89" i="9" s="1"/>
  <c r="F89" i="9" s="1"/>
  <c r="G89" i="9" s="1"/>
  <c r="C88" i="9"/>
  <c r="C87" i="9"/>
  <c r="Q87" i="9" s="1"/>
  <c r="P87" i="9" s="1"/>
  <c r="C86" i="9"/>
  <c r="I86" i="9" s="1" a="1"/>
  <c r="I86" i="9" s="1"/>
  <c r="C85" i="9"/>
  <c r="B85" i="9" s="1"/>
  <c r="C84" i="9"/>
  <c r="N84" i="9" s="1"/>
  <c r="C83" i="9"/>
  <c r="I83" i="9" s="1" a="1"/>
  <c r="I83" i="9" s="1"/>
  <c r="C82" i="9"/>
  <c r="I82" i="9" s="1" a="1"/>
  <c r="I82" i="9" s="1"/>
  <c r="C81" i="9"/>
  <c r="D81" i="9" s="1" a="1"/>
  <c r="D81" i="9" s="1"/>
  <c r="F81" i="9" s="1"/>
  <c r="G81" i="9" s="1"/>
  <c r="C80" i="9"/>
  <c r="I80" i="9" s="1" a="1"/>
  <c r="I80" i="9" s="1"/>
  <c r="C79" i="9"/>
  <c r="Q79" i="9" s="1"/>
  <c r="P79" i="9" s="1"/>
  <c r="C78" i="9"/>
  <c r="I78" i="9" s="1" a="1"/>
  <c r="I78" i="9" s="1"/>
  <c r="C77" i="9"/>
  <c r="B77" i="9" s="1"/>
  <c r="C76" i="9"/>
  <c r="C75" i="9"/>
  <c r="I75" i="9" s="1" a="1"/>
  <c r="I75" i="9" s="1"/>
  <c r="AC74" i="9"/>
  <c r="C74" i="9"/>
  <c r="B74" i="9" s="1"/>
  <c r="N73" i="9"/>
  <c r="C73" i="9"/>
  <c r="Q73" i="9" s="1"/>
  <c r="P73" i="9" s="1"/>
  <c r="C72" i="9"/>
  <c r="I72" i="9" s="1" a="1"/>
  <c r="I72" i="9" s="1"/>
  <c r="A72" i="9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C71" i="9"/>
  <c r="C70" i="9"/>
  <c r="Q70" i="9" s="1"/>
  <c r="P70" i="9" s="1"/>
  <c r="C69" i="9"/>
  <c r="B69" i="9" s="1"/>
  <c r="C68" i="9"/>
  <c r="M68" i="9" s="1" a="1"/>
  <c r="M68" i="9" s="1"/>
  <c r="C67" i="9"/>
  <c r="I67" i="9" s="1" a="1"/>
  <c r="I67" i="9" s="1"/>
  <c r="C66" i="9"/>
  <c r="L206" i="9" s="1"/>
  <c r="C65" i="9"/>
  <c r="L65" i="9" s="1"/>
  <c r="C64" i="9"/>
  <c r="Q64" i="9" s="1"/>
  <c r="P64" i="9" s="1"/>
  <c r="C63" i="9"/>
  <c r="B63" i="9" s="1"/>
  <c r="C62" i="9"/>
  <c r="J62" i="9" s="1"/>
  <c r="C61" i="9"/>
  <c r="B61" i="9" s="1"/>
  <c r="C60" i="9"/>
  <c r="C59" i="9"/>
  <c r="B59" i="9" s="1"/>
  <c r="C58" i="9"/>
  <c r="H58" i="9" s="1"/>
  <c r="E58" i="9" s="1"/>
  <c r="C57" i="9"/>
  <c r="H57" i="9" s="1"/>
  <c r="E57" i="9" s="1"/>
  <c r="C56" i="9"/>
  <c r="C55" i="9"/>
  <c r="C54" i="9"/>
  <c r="H54" i="9" s="1"/>
  <c r="E54" i="9" s="1"/>
  <c r="C53" i="9"/>
  <c r="C52" i="9"/>
  <c r="Q52" i="9" s="1"/>
  <c r="P52" i="9" s="1"/>
  <c r="C51" i="9"/>
  <c r="H51" i="9" s="1"/>
  <c r="E51" i="9" s="1"/>
  <c r="C50" i="9"/>
  <c r="I50" i="9" s="1" a="1"/>
  <c r="I50" i="9" s="1"/>
  <c r="C49" i="9"/>
  <c r="B49" i="9" s="1"/>
  <c r="C48" i="9"/>
  <c r="C47" i="9"/>
  <c r="B47" i="9" s="1"/>
  <c r="C46" i="9"/>
  <c r="B46" i="9" s="1"/>
  <c r="C45" i="9"/>
  <c r="C44" i="9"/>
  <c r="B44" i="9" s="1"/>
  <c r="C43" i="9"/>
  <c r="B43" i="9" s="1"/>
  <c r="C42" i="9"/>
  <c r="H42" i="9" s="1"/>
  <c r="E42" i="9" s="1"/>
  <c r="C41" i="9"/>
  <c r="H41" i="9" s="1"/>
  <c r="E41" i="9" s="1"/>
  <c r="B41" i="9"/>
  <c r="C40" i="9"/>
  <c r="B40" i="9" s="1"/>
  <c r="C39" i="9"/>
  <c r="H39" i="9" s="1"/>
  <c r="E39" i="9" s="1"/>
  <c r="C38" i="9"/>
  <c r="B38" i="9" s="1"/>
  <c r="C37" i="9"/>
  <c r="B37" i="9" s="1"/>
  <c r="C36" i="9"/>
  <c r="B36" i="9" s="1"/>
  <c r="C35" i="9"/>
  <c r="B35" i="9" s="1"/>
  <c r="C34" i="9"/>
  <c r="H34" i="9" s="1"/>
  <c r="E34" i="9" s="1"/>
  <c r="C33" i="9"/>
  <c r="B33" i="9" s="1"/>
  <c r="C32" i="9"/>
  <c r="B32" i="9" s="1"/>
  <c r="C31" i="9"/>
  <c r="H31" i="9" s="1"/>
  <c r="E31" i="9" s="1"/>
  <c r="C30" i="9"/>
  <c r="B30" i="9" s="1"/>
  <c r="C29" i="9"/>
  <c r="B29" i="9" s="1"/>
  <c r="C28" i="9"/>
  <c r="C27" i="9"/>
  <c r="B27" i="9" s="1"/>
  <c r="C26" i="9"/>
  <c r="B26" i="9" s="1"/>
  <c r="C25" i="9"/>
  <c r="B25" i="9" s="1"/>
  <c r="C24" i="9"/>
  <c r="B24" i="9" s="1"/>
  <c r="C23" i="9"/>
  <c r="B23" i="9" s="1"/>
  <c r="C22" i="9"/>
  <c r="B22" i="9" s="1"/>
  <c r="C21" i="9"/>
  <c r="B21" i="9" s="1"/>
  <c r="C20" i="9"/>
  <c r="C19" i="9"/>
  <c r="C18" i="9"/>
  <c r="H18" i="9" s="1"/>
  <c r="E18" i="9" s="1"/>
  <c r="C17" i="9"/>
  <c r="H17" i="9" s="1"/>
  <c r="E17" i="9" s="1"/>
  <c r="C16" i="9"/>
  <c r="C15" i="9"/>
  <c r="H15" i="9" s="1"/>
  <c r="E15" i="9" s="1"/>
  <c r="C14" i="9"/>
  <c r="C13" i="9"/>
  <c r="C12" i="9"/>
  <c r="B12" i="9" s="1"/>
  <c r="C11" i="9"/>
  <c r="H11" i="9" s="1"/>
  <c r="E11" i="9" s="1"/>
  <c r="C10" i="9"/>
  <c r="H10" i="9" s="1"/>
  <c r="E10" i="9" s="1"/>
  <c r="C9" i="9"/>
  <c r="H9" i="9" s="1"/>
  <c r="C8" i="9"/>
  <c r="C7" i="9"/>
  <c r="C6" i="9"/>
  <c r="C5" i="9"/>
  <c r="C4" i="9"/>
  <c r="C3" i="9"/>
  <c r="B3" i="9" s="1"/>
  <c r="C2" i="9"/>
  <c r="B2" i="9" s="1"/>
  <c r="A2" i="9"/>
  <c r="A3" i="9" s="1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1" i="9"/>
  <c r="H1" i="9" s="1"/>
  <c r="E1" i="9" s="1"/>
  <c r="B6" i="8"/>
  <c r="N8" i="6"/>
  <c r="H8" i="6" s="1"/>
  <c r="I8" i="6" s="1"/>
  <c r="M8" i="6"/>
  <c r="L8" i="6"/>
  <c r="G8" i="6" s="1"/>
  <c r="E8" i="6"/>
  <c r="A8" i="6"/>
  <c r="M7" i="6"/>
  <c r="G7" i="6" s="1"/>
  <c r="L7" i="6"/>
  <c r="E7" i="6"/>
  <c r="A7" i="6"/>
  <c r="M6" i="6"/>
  <c r="N6" i="6" s="1"/>
  <c r="H6" i="6" s="1"/>
  <c r="I6" i="6" s="1"/>
  <c r="L6" i="6"/>
  <c r="G6" i="6" s="1"/>
  <c r="E6" i="6"/>
  <c r="A6" i="6"/>
  <c r="M5" i="6"/>
  <c r="L5" i="6"/>
  <c r="E5" i="6"/>
  <c r="A5" i="6"/>
  <c r="N4" i="6"/>
  <c r="H4" i="6" s="1"/>
  <c r="I4" i="6" s="1"/>
  <c r="M4" i="6"/>
  <c r="L4" i="6"/>
  <c r="G4" i="6" s="1"/>
  <c r="E4" i="6"/>
  <c r="A4" i="6"/>
  <c r="M3" i="6"/>
  <c r="G3" i="6" s="1"/>
  <c r="L3" i="6"/>
  <c r="E3" i="6"/>
  <c r="D3" i="6"/>
  <c r="A3" i="6"/>
  <c r="N2" i="6"/>
  <c r="H2" i="6" s="1"/>
  <c r="I2" i="6" s="1"/>
  <c r="M2" i="6"/>
  <c r="L2" i="6"/>
  <c r="G2" i="6" s="1"/>
  <c r="E2" i="6"/>
  <c r="A2" i="6"/>
  <c r="AK150" i="5"/>
  <c r="AG150" i="5"/>
  <c r="AE150" i="5"/>
  <c r="AC150" i="5"/>
  <c r="AA150" i="5"/>
  <c r="Y150" i="5"/>
  <c r="W150" i="5"/>
  <c r="U150" i="5"/>
  <c r="D8" i="6" s="1"/>
  <c r="S150" i="5"/>
  <c r="D7" i="6" s="1"/>
  <c r="Q150" i="5"/>
  <c r="D6" i="6" s="1"/>
  <c r="O150" i="5"/>
  <c r="M150" i="5"/>
  <c r="K150" i="5"/>
  <c r="D4" i="6" s="1"/>
  <c r="I150" i="5"/>
  <c r="G150" i="5"/>
  <c r="D2" i="6" s="1"/>
  <c r="E150" i="5"/>
  <c r="C150" i="5"/>
  <c r="AL149" i="5"/>
  <c r="AJ149" i="5"/>
  <c r="AH149" i="5"/>
  <c r="AF149" i="5"/>
  <c r="AD149" i="5"/>
  <c r="AB149" i="5"/>
  <c r="Z149" i="5"/>
  <c r="X149" i="5"/>
  <c r="V149" i="5"/>
  <c r="T149" i="5"/>
  <c r="R149" i="5"/>
  <c r="P149" i="5"/>
  <c r="N149" i="5"/>
  <c r="L149" i="5"/>
  <c r="J149" i="5"/>
  <c r="H149" i="5"/>
  <c r="F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 s="1"/>
  <c r="AN146" i="5" s="1"/>
  <c r="V146" i="4" a="1"/>
  <c r="V146" i="4" s="1"/>
  <c r="AM146" i="5" s="1"/>
  <c r="T146" i="4" a="1"/>
  <c r="T146" i="4" s="1"/>
  <c r="AL146" i="5" s="1"/>
  <c r="S146" i="4" a="1"/>
  <c r="S146" i="4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T145" i="4"/>
  <c r="P145" i="4"/>
  <c r="N145" i="4"/>
  <c r="J145" i="4"/>
  <c r="H145" i="4"/>
  <c r="C145" i="4"/>
  <c r="B145" i="4"/>
  <c r="A145" i="4"/>
  <c r="Q145" i="4" s="1"/>
  <c r="T144" i="4"/>
  <c r="V143" i="4"/>
  <c r="AM143" i="5" s="1"/>
  <c r="T143" i="4"/>
  <c r="P143" i="4"/>
  <c r="O143" i="4"/>
  <c r="M143" i="4"/>
  <c r="J143" i="4"/>
  <c r="H143" i="4"/>
  <c r="F143" i="4"/>
  <c r="E143" i="4"/>
  <c r="B143" i="4"/>
  <c r="A143" i="4"/>
  <c r="S143" i="4" s="1"/>
  <c r="T142" i="4"/>
  <c r="T141" i="4"/>
  <c r="S141" i="4"/>
  <c r="R141" i="4"/>
  <c r="K141" i="4"/>
  <c r="F141" i="4"/>
  <c r="D141" i="4"/>
  <c r="A141" i="4"/>
  <c r="Q141" i="4" s="1"/>
  <c r="T140" i="4"/>
  <c r="T139" i="4"/>
  <c r="R139" i="4"/>
  <c r="M139" i="4"/>
  <c r="H139" i="4"/>
  <c r="G139" i="4"/>
  <c r="B139" i="4"/>
  <c r="A139" i="4"/>
  <c r="S139" i="4" s="1"/>
  <c r="T138" i="4"/>
  <c r="W137" i="4"/>
  <c r="AN137" i="5" s="1"/>
  <c r="T137" i="4"/>
  <c r="N137" i="4"/>
  <c r="J137" i="4"/>
  <c r="H137" i="4"/>
  <c r="B137" i="4"/>
  <c r="A137" i="4"/>
  <c r="Q137" i="4" s="1"/>
  <c r="T136" i="4"/>
  <c r="W135" i="4"/>
  <c r="AN135" i="5" s="1"/>
  <c r="T135" i="4"/>
  <c r="J135" i="4"/>
  <c r="A135" i="4"/>
  <c r="V135" i="4" s="1"/>
  <c r="AM135" i="5" s="1"/>
  <c r="T134" i="4"/>
  <c r="T133" i="4"/>
  <c r="K133" i="4"/>
  <c r="D133" i="4"/>
  <c r="A133" i="4"/>
  <c r="T132" i="4"/>
  <c r="V131" i="4"/>
  <c r="AM131" i="5" s="1"/>
  <c r="T131" i="4"/>
  <c r="R131" i="4"/>
  <c r="P131" i="4"/>
  <c r="O131" i="4"/>
  <c r="N131" i="4"/>
  <c r="M131" i="4"/>
  <c r="J131" i="4"/>
  <c r="H131" i="4"/>
  <c r="G131" i="4"/>
  <c r="F131" i="4"/>
  <c r="E131" i="4"/>
  <c r="D131" i="4"/>
  <c r="B131" i="4"/>
  <c r="A131" i="4"/>
  <c r="S131" i="4" s="1"/>
  <c r="T130" i="4"/>
  <c r="W129" i="4"/>
  <c r="AN129" i="5" s="1"/>
  <c r="T129" i="4"/>
  <c r="S129" i="4"/>
  <c r="P129" i="4"/>
  <c r="N129" i="4"/>
  <c r="K129" i="4"/>
  <c r="J129" i="4"/>
  <c r="H129" i="4"/>
  <c r="F129" i="4"/>
  <c r="C129" i="4"/>
  <c r="B129" i="4"/>
  <c r="A129" i="4"/>
  <c r="Q129" i="4" s="1"/>
  <c r="T128" i="4"/>
  <c r="R128" i="4"/>
  <c r="L128" i="4"/>
  <c r="J128" i="4"/>
  <c r="B128" i="4"/>
  <c r="A128" i="4"/>
  <c r="O128" i="4" s="1"/>
  <c r="V127" i="4"/>
  <c r="AM127" i="5" s="1"/>
  <c r="T127" i="4"/>
  <c r="P127" i="4"/>
  <c r="O127" i="4"/>
  <c r="N127" i="4"/>
  <c r="M127" i="4"/>
  <c r="J127" i="4"/>
  <c r="H127" i="4"/>
  <c r="F127" i="4"/>
  <c r="E127" i="4"/>
  <c r="D127" i="4"/>
  <c r="B127" i="4"/>
  <c r="A127" i="4"/>
  <c r="S127" i="4" s="1"/>
  <c r="V126" i="4"/>
  <c r="AM126" i="5" s="1"/>
  <c r="T126" i="4"/>
  <c r="L126" i="4"/>
  <c r="E126" i="4"/>
  <c r="A126" i="4"/>
  <c r="P126" i="4" s="1"/>
  <c r="T125" i="4"/>
  <c r="N125" i="4"/>
  <c r="L125" i="4"/>
  <c r="J125" i="4"/>
  <c r="C125" i="4"/>
  <c r="B125" i="4"/>
  <c r="A125" i="4"/>
  <c r="S125" i="4" s="1"/>
  <c r="T124" i="4"/>
  <c r="N124" i="4"/>
  <c r="A124" i="4"/>
  <c r="T123" i="4"/>
  <c r="M123" i="4"/>
  <c r="F123" i="4"/>
  <c r="B123" i="4"/>
  <c r="A123" i="4"/>
  <c r="W123" i="4" s="1"/>
  <c r="AN123" i="5" s="1"/>
  <c r="T122" i="4"/>
  <c r="S122" i="4"/>
  <c r="N122" i="4"/>
  <c r="M122" i="4"/>
  <c r="H122" i="4"/>
  <c r="F122" i="4"/>
  <c r="D122" i="4"/>
  <c r="C122" i="4"/>
  <c r="A122" i="4"/>
  <c r="Q122" i="4" s="1"/>
  <c r="T121" i="4"/>
  <c r="P121" i="4"/>
  <c r="A121" i="4"/>
  <c r="S121" i="4" s="1"/>
  <c r="T120" i="4"/>
  <c r="P120" i="4"/>
  <c r="I120" i="4"/>
  <c r="H120" i="4"/>
  <c r="F120" i="4"/>
  <c r="A120" i="4"/>
  <c r="W120" i="4" s="1"/>
  <c r="AN120" i="5" s="1"/>
  <c r="W119" i="4"/>
  <c r="AN119" i="5" s="1"/>
  <c r="V119" i="4"/>
  <c r="AM119" i="5" s="1"/>
  <c r="T119" i="4"/>
  <c r="L119" i="4"/>
  <c r="J119" i="4"/>
  <c r="E119" i="4"/>
  <c r="A119" i="4"/>
  <c r="W118" i="4"/>
  <c r="AN118" i="5" s="1"/>
  <c r="T118" i="4"/>
  <c r="R118" i="4"/>
  <c r="M118" i="4"/>
  <c r="L118" i="4"/>
  <c r="F118" i="4"/>
  <c r="C118" i="4"/>
  <c r="B118" i="4"/>
  <c r="A118" i="4"/>
  <c r="Q118" i="4" s="1"/>
  <c r="T117" i="4"/>
  <c r="A117" i="4"/>
  <c r="T116" i="4"/>
  <c r="D116" i="4"/>
  <c r="A116" i="4"/>
  <c r="W116" i="4" s="1"/>
  <c r="AN116" i="5" s="1"/>
  <c r="W115" i="4"/>
  <c r="AN115" i="5" s="1"/>
  <c r="V115" i="4"/>
  <c r="AM115" i="5" s="1"/>
  <c r="T115" i="4"/>
  <c r="L115" i="4"/>
  <c r="J115" i="4"/>
  <c r="E115" i="4"/>
  <c r="A115" i="4"/>
  <c r="W114" i="4"/>
  <c r="AN114" i="5" s="1"/>
  <c r="T114" i="4"/>
  <c r="R114" i="4"/>
  <c r="M114" i="4"/>
  <c r="L114" i="4"/>
  <c r="F114" i="4"/>
  <c r="C114" i="4"/>
  <c r="B114" i="4"/>
  <c r="A114" i="4"/>
  <c r="Q114" i="4" s="1"/>
  <c r="T113" i="4"/>
  <c r="A113" i="4"/>
  <c r="T112" i="4"/>
  <c r="A112" i="4"/>
  <c r="P112" i="4" s="1"/>
  <c r="V111" i="4"/>
  <c r="AM111" i="5" s="1"/>
  <c r="T111" i="4"/>
  <c r="O111" i="4"/>
  <c r="N111" i="4"/>
  <c r="M111" i="4"/>
  <c r="H111" i="4"/>
  <c r="F111" i="4"/>
  <c r="A111" i="4"/>
  <c r="L111" i="4" s="1"/>
  <c r="W110" i="4"/>
  <c r="AN110" i="5" s="1"/>
  <c r="V110" i="4"/>
  <c r="AM110" i="5" s="1"/>
  <c r="T110" i="4"/>
  <c r="S110" i="4"/>
  <c r="N110" i="4"/>
  <c r="L110" i="4"/>
  <c r="K110" i="4"/>
  <c r="G110" i="4"/>
  <c r="F110" i="4"/>
  <c r="E110" i="4"/>
  <c r="C110" i="4"/>
  <c r="A110" i="4"/>
  <c r="R110" i="4" s="1"/>
  <c r="T109" i="4"/>
  <c r="S109" i="4"/>
  <c r="A109" i="4"/>
  <c r="T108" i="4"/>
  <c r="A108" i="4"/>
  <c r="P108" i="4" s="1"/>
  <c r="W107" i="4"/>
  <c r="AN107" i="5" s="1"/>
  <c r="V107" i="4"/>
  <c r="AM107" i="5" s="1"/>
  <c r="T107" i="4"/>
  <c r="N107" i="4"/>
  <c r="H107" i="4"/>
  <c r="G107" i="4"/>
  <c r="F107" i="4"/>
  <c r="E107" i="4"/>
  <c r="A107" i="4"/>
  <c r="L107" i="4" s="1"/>
  <c r="V106" i="4"/>
  <c r="AM106" i="5" s="1"/>
  <c r="T106" i="4"/>
  <c r="O106" i="4"/>
  <c r="N106" i="4"/>
  <c r="G106" i="4"/>
  <c r="D106" i="4"/>
  <c r="C106" i="4"/>
  <c r="A106" i="4"/>
  <c r="R106" i="4" s="1"/>
  <c r="T105" i="4"/>
  <c r="K105" i="4"/>
  <c r="A105" i="4"/>
  <c r="R105" i="4" s="1"/>
  <c r="T104" i="4"/>
  <c r="A104" i="4"/>
  <c r="P104" i="4" s="1"/>
  <c r="T103" i="4"/>
  <c r="P103" i="4"/>
  <c r="M103" i="4"/>
  <c r="H103" i="4"/>
  <c r="A103" i="4"/>
  <c r="V102" i="4"/>
  <c r="AM102" i="5" s="1"/>
  <c r="T102" i="4"/>
  <c r="S102" i="4"/>
  <c r="O102" i="4"/>
  <c r="N102" i="4"/>
  <c r="L102" i="4"/>
  <c r="K102" i="4"/>
  <c r="G102" i="4"/>
  <c r="F102" i="4"/>
  <c r="E102" i="4"/>
  <c r="D102" i="4"/>
  <c r="C102" i="4"/>
  <c r="A102" i="4"/>
  <c r="R102" i="4" s="1"/>
  <c r="T101" i="4"/>
  <c r="C101" i="4"/>
  <c r="A101" i="4"/>
  <c r="T100" i="4"/>
  <c r="A100" i="4"/>
  <c r="V99" i="4"/>
  <c r="AM99" i="5" s="1"/>
  <c r="T99" i="4"/>
  <c r="O99" i="4"/>
  <c r="N99" i="4"/>
  <c r="F99" i="4"/>
  <c r="A99" i="4"/>
  <c r="L99" i="4" s="1"/>
  <c r="W98" i="4"/>
  <c r="AN98" i="5" s="1"/>
  <c r="V98" i="4"/>
  <c r="AM98" i="5" s="1"/>
  <c r="T98" i="4"/>
  <c r="N98" i="4"/>
  <c r="L98" i="4"/>
  <c r="K98" i="4"/>
  <c r="G98" i="4"/>
  <c r="F98" i="4"/>
  <c r="E98" i="4"/>
  <c r="C98" i="4"/>
  <c r="A98" i="4"/>
  <c r="R98" i="4" s="1"/>
  <c r="T97" i="4"/>
  <c r="A97" i="4"/>
  <c r="T96" i="4"/>
  <c r="A96" i="4"/>
  <c r="Q96" i="4" s="1"/>
  <c r="T95" i="4"/>
  <c r="O95" i="4"/>
  <c r="N95" i="4"/>
  <c r="M95" i="4"/>
  <c r="H95" i="4"/>
  <c r="E95" i="4"/>
  <c r="A95" i="4"/>
  <c r="L95" i="4" s="1"/>
  <c r="T94" i="4"/>
  <c r="M94" i="4"/>
  <c r="F94" i="4"/>
  <c r="A94" i="4"/>
  <c r="T93" i="4"/>
  <c r="D93" i="4"/>
  <c r="C93" i="4"/>
  <c r="A93" i="4"/>
  <c r="K93" i="4" s="1"/>
  <c r="T92" i="4"/>
  <c r="I92" i="4"/>
  <c r="A92" i="4"/>
  <c r="R92" i="4" s="1"/>
  <c r="W91" i="4"/>
  <c r="AN91" i="5" s="1"/>
  <c r="V91" i="4"/>
  <c r="AM91" i="5" s="1"/>
  <c r="T91" i="4"/>
  <c r="N91" i="4"/>
  <c r="H91" i="4"/>
  <c r="G91" i="4"/>
  <c r="F91" i="4"/>
  <c r="E91" i="4"/>
  <c r="A91" i="4"/>
  <c r="L91" i="4" s="1"/>
  <c r="V90" i="4"/>
  <c r="AM90" i="5" s="1"/>
  <c r="T90" i="4"/>
  <c r="O90" i="4"/>
  <c r="N90" i="4"/>
  <c r="G90" i="4"/>
  <c r="D90" i="4"/>
  <c r="C90" i="4"/>
  <c r="A90" i="4"/>
  <c r="R90" i="4" s="1"/>
  <c r="T89" i="4"/>
  <c r="A89" i="4"/>
  <c r="T88" i="4"/>
  <c r="R88" i="4"/>
  <c r="A88" i="4"/>
  <c r="Q88" i="4" s="1"/>
  <c r="T87" i="4"/>
  <c r="A87" i="4"/>
  <c r="W87" i="4" s="1"/>
  <c r="AN87" i="5" s="1"/>
  <c r="W86" i="4"/>
  <c r="AN86" i="5" s="1"/>
  <c r="V86" i="4"/>
  <c r="AM86" i="5" s="1"/>
  <c r="T86" i="4"/>
  <c r="O86" i="4"/>
  <c r="L86" i="4"/>
  <c r="K86" i="4"/>
  <c r="G86" i="4"/>
  <c r="D86" i="4"/>
  <c r="A86" i="4"/>
  <c r="R86" i="4" s="1"/>
  <c r="T85" i="4"/>
  <c r="Q85" i="4"/>
  <c r="K85" i="4"/>
  <c r="C85" i="4"/>
  <c r="A85" i="4"/>
  <c r="S85" i="4" s="1"/>
  <c r="T84" i="4"/>
  <c r="R84" i="4"/>
  <c r="O84" i="4"/>
  <c r="J84" i="4"/>
  <c r="B84" i="4"/>
  <c r="A84" i="4"/>
  <c r="Q84" i="4" s="1"/>
  <c r="V83" i="4"/>
  <c r="AM83" i="5" s="1"/>
  <c r="T83" i="4"/>
  <c r="M83" i="4"/>
  <c r="F83" i="4"/>
  <c r="E83" i="4"/>
  <c r="A83" i="4"/>
  <c r="L83" i="4" s="1"/>
  <c r="T82" i="4"/>
  <c r="A82" i="4"/>
  <c r="T81" i="4"/>
  <c r="A81" i="4"/>
  <c r="S81" i="4" s="1"/>
  <c r="T80" i="4"/>
  <c r="A80" i="4"/>
  <c r="W79" i="4"/>
  <c r="AN79" i="5" s="1"/>
  <c r="V79" i="4"/>
  <c r="AM79" i="5" s="1"/>
  <c r="T79" i="4"/>
  <c r="O79" i="4"/>
  <c r="M79" i="4"/>
  <c r="H79" i="4"/>
  <c r="G79" i="4"/>
  <c r="F79" i="4"/>
  <c r="A79" i="4"/>
  <c r="L79" i="4" s="1"/>
  <c r="W78" i="4"/>
  <c r="AN78" i="5" s="1"/>
  <c r="T78" i="4"/>
  <c r="S78" i="4"/>
  <c r="O78" i="4"/>
  <c r="N78" i="4"/>
  <c r="K78" i="4"/>
  <c r="F78" i="4"/>
  <c r="E78" i="4"/>
  <c r="D78" i="4"/>
  <c r="C78" i="4"/>
  <c r="A78" i="4"/>
  <c r="R78" i="4" s="1"/>
  <c r="T77" i="4"/>
  <c r="A77" i="4"/>
  <c r="R77" i="4" s="1"/>
  <c r="T76" i="4"/>
  <c r="I76" i="4"/>
  <c r="H76" i="4"/>
  <c r="G76" i="4"/>
  <c r="A76" i="4"/>
  <c r="P76" i="4" s="1"/>
  <c r="V75" i="4"/>
  <c r="AM75" i="5" s="1"/>
  <c r="T75" i="4"/>
  <c r="O75" i="4"/>
  <c r="N75" i="4"/>
  <c r="M75" i="4"/>
  <c r="F75" i="4"/>
  <c r="A75" i="4"/>
  <c r="L75" i="4" s="1"/>
  <c r="W74" i="4"/>
  <c r="AN74" i="5" s="1"/>
  <c r="V74" i="4"/>
  <c r="AM74" i="5" s="1"/>
  <c r="T74" i="4"/>
  <c r="S74" i="4"/>
  <c r="N74" i="4"/>
  <c r="L74" i="4"/>
  <c r="K74" i="4"/>
  <c r="G74" i="4"/>
  <c r="F74" i="4"/>
  <c r="E74" i="4"/>
  <c r="C74" i="4"/>
  <c r="A74" i="4"/>
  <c r="R74" i="4" s="1"/>
  <c r="T73" i="4"/>
  <c r="S73" i="4"/>
  <c r="R73" i="4"/>
  <c r="J73" i="4"/>
  <c r="B73" i="4"/>
  <c r="A73" i="4"/>
  <c r="L73" i="4" s="1"/>
  <c r="T72" i="4"/>
  <c r="O72" i="4"/>
  <c r="J72" i="4"/>
  <c r="A72" i="4"/>
  <c r="P72" i="4" s="1"/>
  <c r="T71" i="4"/>
  <c r="O71" i="4"/>
  <c r="N71" i="4"/>
  <c r="M71" i="4"/>
  <c r="H71" i="4"/>
  <c r="E71" i="4"/>
  <c r="A71" i="4"/>
  <c r="L71" i="4" s="1"/>
  <c r="W70" i="4"/>
  <c r="AN70" i="5" s="1"/>
  <c r="T70" i="4"/>
  <c r="M70" i="4"/>
  <c r="G70" i="4"/>
  <c r="A70" i="4"/>
  <c r="V70" i="4" s="1"/>
  <c r="AM70" i="5" s="1"/>
  <c r="T69" i="4"/>
  <c r="R69" i="4"/>
  <c r="L69" i="4"/>
  <c r="A69" i="4"/>
  <c r="T68" i="4"/>
  <c r="P68" i="4"/>
  <c r="A68" i="4"/>
  <c r="O68" i="4" s="1"/>
  <c r="T67" i="4"/>
  <c r="O67" i="4"/>
  <c r="N67" i="4"/>
  <c r="M67" i="4"/>
  <c r="H67" i="4"/>
  <c r="E67" i="4"/>
  <c r="A67" i="4"/>
  <c r="L67" i="4" s="1"/>
  <c r="W66" i="4"/>
  <c r="AN66" i="5" s="1"/>
  <c r="T66" i="4"/>
  <c r="S66" i="4"/>
  <c r="K66" i="4"/>
  <c r="E66" i="4"/>
  <c r="A66" i="4"/>
  <c r="M66" i="4" s="1"/>
  <c r="T65" i="4"/>
  <c r="S65" i="4"/>
  <c r="L65" i="4"/>
  <c r="B65" i="4"/>
  <c r="A65" i="4"/>
  <c r="R65" i="4" s="1"/>
  <c r="T64" i="4"/>
  <c r="R64" i="4"/>
  <c r="B64" i="4"/>
  <c r="A64" i="4"/>
  <c r="I64" i="4" s="1"/>
  <c r="T63" i="4"/>
  <c r="P63" i="4"/>
  <c r="M63" i="4"/>
  <c r="H63" i="4"/>
  <c r="F63" i="4"/>
  <c r="A63" i="4"/>
  <c r="G63" i="4" s="1"/>
  <c r="T62" i="4"/>
  <c r="N62" i="4"/>
  <c r="A62" i="4"/>
  <c r="S62" i="4" s="1"/>
  <c r="T61" i="4"/>
  <c r="A61" i="4"/>
  <c r="L61" i="4" s="1"/>
  <c r="T60" i="4"/>
  <c r="A60" i="4"/>
  <c r="P60" i="4" s="1"/>
  <c r="T59" i="4"/>
  <c r="A59" i="4"/>
  <c r="O59" i="4" s="1"/>
  <c r="V58" i="4"/>
  <c r="AM58" i="5" s="1"/>
  <c r="T58" i="4"/>
  <c r="L58" i="4"/>
  <c r="K58" i="4"/>
  <c r="F58" i="4"/>
  <c r="A58" i="4"/>
  <c r="M58" i="4" s="1"/>
  <c r="T57" i="4"/>
  <c r="A57" i="4"/>
  <c r="K57" i="4" s="1"/>
  <c r="T56" i="4"/>
  <c r="A56" i="4"/>
  <c r="S56" i="4" s="1"/>
  <c r="T55" i="4"/>
  <c r="Q55" i="4"/>
  <c r="A55" i="4"/>
  <c r="P55" i="4" s="1"/>
  <c r="V54" i="4"/>
  <c r="AM54" i="5" s="1"/>
  <c r="T54" i="4"/>
  <c r="F54" i="4"/>
  <c r="E54" i="4"/>
  <c r="A54" i="4"/>
  <c r="M54" i="4" s="1"/>
  <c r="T53" i="4"/>
  <c r="A53" i="4"/>
  <c r="V53" i="4" s="1"/>
  <c r="AM53" i="5" s="1"/>
  <c r="T52" i="4"/>
  <c r="I52" i="4"/>
  <c r="A52" i="4"/>
  <c r="K52" i="4" s="1"/>
  <c r="T51" i="4"/>
  <c r="A51" i="4"/>
  <c r="N51" i="4" s="1"/>
  <c r="T50" i="4"/>
  <c r="L50" i="4"/>
  <c r="F50" i="4"/>
  <c r="A50" i="4"/>
  <c r="R50" i="4" s="1"/>
  <c r="T49" i="4"/>
  <c r="A49" i="4"/>
  <c r="M49" i="4" s="1"/>
  <c r="T48" i="4"/>
  <c r="K48" i="4"/>
  <c r="A48" i="4"/>
  <c r="J48" i="4" s="1"/>
  <c r="W47" i="4"/>
  <c r="AN47" i="5" s="1"/>
  <c r="V47" i="4"/>
  <c r="AM47" i="5" s="1"/>
  <c r="T47" i="4"/>
  <c r="I47" i="4"/>
  <c r="H47" i="4"/>
  <c r="A47" i="4"/>
  <c r="N47" i="4" s="1"/>
  <c r="T46" i="4"/>
  <c r="S46" i="4"/>
  <c r="E46" i="4"/>
  <c r="A46" i="4"/>
  <c r="R46" i="4" s="1"/>
  <c r="T45" i="4"/>
  <c r="E45" i="4"/>
  <c r="A45" i="4"/>
  <c r="K45" i="4" s="1"/>
  <c r="T44" i="4"/>
  <c r="A44" i="4"/>
  <c r="P44" i="4" s="1"/>
  <c r="T43" i="4"/>
  <c r="A43" i="4"/>
  <c r="N43" i="4" s="1"/>
  <c r="T42" i="4"/>
  <c r="S42" i="4"/>
  <c r="O42" i="4"/>
  <c r="L42" i="4"/>
  <c r="E42" i="4"/>
  <c r="D42" i="4"/>
  <c r="A42" i="4"/>
  <c r="R42" i="4" s="1"/>
  <c r="V41" i="4"/>
  <c r="AM41" i="5" s="1"/>
  <c r="T41" i="4"/>
  <c r="S41" i="4"/>
  <c r="I41" i="4"/>
  <c r="E41" i="4"/>
  <c r="A41" i="4"/>
  <c r="K41" i="4" s="1"/>
  <c r="T40" i="4"/>
  <c r="S40" i="4"/>
  <c r="R40" i="4"/>
  <c r="G40" i="4"/>
  <c r="A40" i="4"/>
  <c r="K40" i="4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V3" i="5" s="1"/>
  <c r="W3" i="5" s="1"/>
  <c r="V2" i="4"/>
  <c r="A2" i="4"/>
  <c r="S1" i="4" a="1"/>
  <c r="S1" i="4" s="1"/>
  <c r="R1" i="4" a="1"/>
  <c r="R1" i="4"/>
  <c r="I2" i="2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C11" i="13" a="1"/>
  <c r="C9" i="13" a="1"/>
  <c r="C13" i="13" a="1"/>
  <c r="C5" i="13" a="1"/>
  <c r="C7" i="13" a="1"/>
  <c r="C3" i="13" a="1"/>
  <c r="C1" i="13" a="1"/>
  <c r="H246" i="9" a="1"/>
  <c r="C246" i="9" a="1"/>
  <c r="C250" i="9" a="1"/>
  <c r="H245" i="9" a="1"/>
  <c r="C237" i="9" a="1"/>
  <c r="H244" i="9" a="1"/>
  <c r="H249" i="9" a="1"/>
  <c r="C243" i="9" a="1"/>
  <c r="H248" i="9" a="1"/>
  <c r="C245" i="9" a="1"/>
  <c r="H237" i="9" a="1"/>
  <c r="C249" i="9" a="1"/>
  <c r="H247" i="9" a="1"/>
  <c r="C244" i="9" a="1"/>
  <c r="H240" i="9" a="1"/>
  <c r="C236" i="9" a="1"/>
  <c r="H228" i="9" a="1"/>
  <c r="C224" i="9" a="1"/>
  <c r="H220" i="9" a="1"/>
  <c r="H238" i="9" a="1"/>
  <c r="H236" i="9" a="1"/>
  <c r="C227" i="9" a="1"/>
  <c r="C219" i="9" a="1"/>
  <c r="C230" i="9" a="1"/>
  <c r="C222" i="9" a="1"/>
  <c r="H229" i="9" a="1"/>
  <c r="H221" i="9" a="1"/>
  <c r="C248" i="9" a="1"/>
  <c r="C239" i="9" a="1"/>
  <c r="C238" i="9" a="1"/>
  <c r="C228" i="9" a="1"/>
  <c r="H224" i="9" a="1"/>
  <c r="C220" i="9" a="1"/>
  <c r="C231" i="9" a="1"/>
  <c r="C223" i="9" a="1"/>
  <c r="C240" i="9" a="1"/>
  <c r="C235" i="9" a="1"/>
  <c r="H230" i="9" a="1"/>
  <c r="H250" i="9" a="1"/>
  <c r="C229" i="9" a="1"/>
  <c r="C221" i="9" a="1"/>
  <c r="H222" i="9" a="1"/>
  <c r="B1" i="7" a="1"/>
  <c r="A7" i="5" a="1"/>
  <c r="A6" i="5" a="1"/>
  <c r="A7" i="4" a="1"/>
  <c r="A6" i="4" a="1"/>
  <c r="H49" i="9" l="1"/>
  <c r="E49" i="9" s="1"/>
  <c r="Q97" i="9"/>
  <c r="P97" i="9" s="1"/>
  <c r="N123" i="9"/>
  <c r="M182" i="9" a="1"/>
  <c r="M182" i="9" s="1"/>
  <c r="B73" i="9"/>
  <c r="H128" i="9"/>
  <c r="E128" i="9" s="1"/>
  <c r="M114" i="9" a="1"/>
  <c r="M114" i="9" s="1"/>
  <c r="J129" i="9"/>
  <c r="H172" i="9"/>
  <c r="E172" i="9" s="1"/>
  <c r="M178" i="9" a="1"/>
  <c r="M178" i="9" s="1"/>
  <c r="D73" i="9" a="1"/>
  <c r="D73" i="9" s="1"/>
  <c r="F73" i="9" s="1"/>
  <c r="G73" i="9" s="1"/>
  <c r="D120" i="9" a="1"/>
  <c r="D120" i="9" s="1"/>
  <c r="F120" i="9" s="1"/>
  <c r="G120" i="9" s="1"/>
  <c r="N178" i="9"/>
  <c r="D116" i="9" a="1"/>
  <c r="D116" i="9" s="1"/>
  <c r="F116" i="9" s="1"/>
  <c r="G116" i="9" s="1"/>
  <c r="D128" i="9" a="1"/>
  <c r="D128" i="9" s="1"/>
  <c r="F128" i="9" s="1"/>
  <c r="G128" i="9" s="1"/>
  <c r="M73" i="9" a="1"/>
  <c r="M73" i="9" s="1"/>
  <c r="B116" i="9"/>
  <c r="Q51" i="4"/>
  <c r="F55" i="4"/>
  <c r="R56" i="4"/>
  <c r="E58" i="4"/>
  <c r="O60" i="4"/>
  <c r="F62" i="4"/>
  <c r="E63" i="4"/>
  <c r="W63" i="4"/>
  <c r="AN63" i="5" s="1"/>
  <c r="K65" i="4"/>
  <c r="G66" i="4"/>
  <c r="F70" i="4"/>
  <c r="R94" i="4"/>
  <c r="W94" i="4"/>
  <c r="AN94" i="5" s="1"/>
  <c r="K94" i="4"/>
  <c r="S94" i="4"/>
  <c r="E94" i="4"/>
  <c r="O94" i="4"/>
  <c r="D94" i="4"/>
  <c r="N94" i="4"/>
  <c r="C94" i="4"/>
  <c r="L94" i="4"/>
  <c r="S115" i="4"/>
  <c r="M115" i="4"/>
  <c r="B115" i="4"/>
  <c r="H115" i="4"/>
  <c r="R115" i="4"/>
  <c r="G115" i="4"/>
  <c r="P115" i="4"/>
  <c r="F115" i="4"/>
  <c r="N115" i="4"/>
  <c r="D115" i="4"/>
  <c r="S119" i="4"/>
  <c r="M119" i="4"/>
  <c r="B119" i="4"/>
  <c r="H119" i="4"/>
  <c r="R119" i="4"/>
  <c r="G119" i="4"/>
  <c r="P119" i="4"/>
  <c r="F119" i="4"/>
  <c r="N119" i="4"/>
  <c r="D119" i="4"/>
  <c r="L121" i="4"/>
  <c r="L123" i="4"/>
  <c r="B126" i="4"/>
  <c r="Q133" i="4"/>
  <c r="N133" i="4"/>
  <c r="B133" i="4"/>
  <c r="W133" i="4"/>
  <c r="AN133" i="5" s="1"/>
  <c r="J133" i="4"/>
  <c r="H133" i="4"/>
  <c r="S133" i="4"/>
  <c r="F133" i="4"/>
  <c r="P133" i="4"/>
  <c r="C133" i="4"/>
  <c r="E135" i="4"/>
  <c r="L59" i="4"/>
  <c r="V59" i="4"/>
  <c r="AM59" i="5" s="1"/>
  <c r="F59" i="4"/>
  <c r="E59" i="4"/>
  <c r="L87" i="4"/>
  <c r="E87" i="4"/>
  <c r="N87" i="4"/>
  <c r="M87" i="4"/>
  <c r="H87" i="4"/>
  <c r="V87" i="4"/>
  <c r="AM87" i="5" s="1"/>
  <c r="F87" i="4"/>
  <c r="M46" i="4"/>
  <c r="M42" i="4"/>
  <c r="M43" i="4"/>
  <c r="C45" i="4"/>
  <c r="C46" i="4"/>
  <c r="N46" i="4"/>
  <c r="B49" i="4"/>
  <c r="G50" i="4"/>
  <c r="V50" i="4"/>
  <c r="AM50" i="5" s="1"/>
  <c r="R54" i="4"/>
  <c r="O54" i="4"/>
  <c r="D54" i="4"/>
  <c r="N54" i="4"/>
  <c r="P59" i="4"/>
  <c r="L62" i="4"/>
  <c r="K69" i="4"/>
  <c r="J69" i="4"/>
  <c r="I69" i="4"/>
  <c r="D69" i="4"/>
  <c r="B69" i="4"/>
  <c r="R109" i="4"/>
  <c r="K109" i="4"/>
  <c r="D109" i="4"/>
  <c r="C109" i="4"/>
  <c r="K56" i="4"/>
  <c r="Q56" i="4"/>
  <c r="C40" i="4"/>
  <c r="C42" i="4"/>
  <c r="N42" i="4"/>
  <c r="D45" i="4"/>
  <c r="D46" i="4"/>
  <c r="O46" i="4"/>
  <c r="K50" i="4"/>
  <c r="W50" i="4"/>
  <c r="AN50" i="5" s="1"/>
  <c r="V51" i="4"/>
  <c r="AM51" i="5" s="1"/>
  <c r="C54" i="4"/>
  <c r="S54" i="4"/>
  <c r="G58" i="4"/>
  <c r="W58" i="4"/>
  <c r="AN58" i="5" s="1"/>
  <c r="M62" i="4"/>
  <c r="C69" i="4"/>
  <c r="K70" i="4"/>
  <c r="G94" i="4"/>
  <c r="L109" i="4"/>
  <c r="P123" i="4"/>
  <c r="K126" i="4"/>
  <c r="L135" i="4"/>
  <c r="W59" i="4"/>
  <c r="AN59" i="5" s="1"/>
  <c r="R82" i="4"/>
  <c r="O82" i="4"/>
  <c r="D82" i="4"/>
  <c r="L82" i="4"/>
  <c r="W82" i="4"/>
  <c r="AN82" i="5" s="1"/>
  <c r="K82" i="4"/>
  <c r="V82" i="4"/>
  <c r="AM82" i="5" s="1"/>
  <c r="G82" i="4"/>
  <c r="S82" i="4"/>
  <c r="E82" i="4"/>
  <c r="R113" i="4"/>
  <c r="D113" i="4"/>
  <c r="S113" i="4"/>
  <c r="K113" i="4"/>
  <c r="S117" i="4"/>
  <c r="C117" i="4"/>
  <c r="N117" i="4"/>
  <c r="J117" i="4"/>
  <c r="L133" i="4"/>
  <c r="O135" i="4"/>
  <c r="R101" i="4"/>
  <c r="K101" i="4"/>
  <c r="S101" i="4"/>
  <c r="L103" i="4"/>
  <c r="N103" i="4"/>
  <c r="W103" i="4"/>
  <c r="AN103" i="5" s="1"/>
  <c r="G103" i="4"/>
  <c r="V103" i="4"/>
  <c r="AM103" i="5" s="1"/>
  <c r="F103" i="4"/>
  <c r="E103" i="4"/>
  <c r="O103" i="4"/>
  <c r="C113" i="4"/>
  <c r="O115" i="4"/>
  <c r="B117" i="4"/>
  <c r="O119" i="4"/>
  <c r="R133" i="4"/>
  <c r="K89" i="4"/>
  <c r="S89" i="4"/>
  <c r="L89" i="4"/>
  <c r="J40" i="4"/>
  <c r="J41" i="4"/>
  <c r="F42" i="4"/>
  <c r="B44" i="4"/>
  <c r="R45" i="4"/>
  <c r="G46" i="4"/>
  <c r="V46" i="4"/>
  <c r="AM46" i="5" s="1"/>
  <c r="C50" i="4"/>
  <c r="N50" i="4"/>
  <c r="G51" i="4"/>
  <c r="G54" i="4"/>
  <c r="W54" i="4"/>
  <c r="AN54" i="5" s="1"/>
  <c r="G56" i="4"/>
  <c r="H59" i="4"/>
  <c r="G60" i="4"/>
  <c r="C62" i="4"/>
  <c r="J65" i="4"/>
  <c r="I65" i="4"/>
  <c r="C65" i="4"/>
  <c r="R66" i="4"/>
  <c r="O66" i="4"/>
  <c r="D66" i="4"/>
  <c r="N66" i="4"/>
  <c r="C66" i="4"/>
  <c r="L66" i="4"/>
  <c r="V66" i="4"/>
  <c r="AM66" i="5" s="1"/>
  <c r="S69" i="4"/>
  <c r="F82" i="4"/>
  <c r="O87" i="4"/>
  <c r="C89" i="4"/>
  <c r="V94" i="4"/>
  <c r="AM94" i="5" s="1"/>
  <c r="L113" i="4"/>
  <c r="L117" i="4"/>
  <c r="S123" i="4"/>
  <c r="N123" i="4"/>
  <c r="D123" i="4"/>
  <c r="V123" i="4"/>
  <c r="AM123" i="5" s="1"/>
  <c r="J123" i="4"/>
  <c r="H123" i="4"/>
  <c r="R123" i="4"/>
  <c r="G123" i="4"/>
  <c r="O123" i="4"/>
  <c r="E123" i="4"/>
  <c r="W124" i="4"/>
  <c r="AN124" i="5" s="1"/>
  <c r="B124" i="4"/>
  <c r="O124" i="4"/>
  <c r="D124" i="4"/>
  <c r="H40" i="4"/>
  <c r="Q45" i="4"/>
  <c r="F46" i="4"/>
  <c r="M50" i="4"/>
  <c r="F51" i="4"/>
  <c r="C56" i="4"/>
  <c r="I57" i="4"/>
  <c r="G59" i="4"/>
  <c r="R62" i="4"/>
  <c r="W62" i="4"/>
  <c r="AN62" i="5" s="1"/>
  <c r="K62" i="4"/>
  <c r="V62" i="4"/>
  <c r="AM62" i="5" s="1"/>
  <c r="G62" i="4"/>
  <c r="O62" i="4"/>
  <c r="C82" i="4"/>
  <c r="G87" i="4"/>
  <c r="Q40" i="4"/>
  <c r="G42" i="4"/>
  <c r="V42" i="4"/>
  <c r="AM42" i="5" s="1"/>
  <c r="S45" i="4"/>
  <c r="K46" i="4"/>
  <c r="W46" i="4"/>
  <c r="AN46" i="5" s="1"/>
  <c r="D50" i="4"/>
  <c r="O50" i="4"/>
  <c r="H51" i="4"/>
  <c r="K54" i="4"/>
  <c r="H56" i="4"/>
  <c r="R58" i="4"/>
  <c r="N58" i="4"/>
  <c r="C58" i="4"/>
  <c r="O58" i="4"/>
  <c r="M59" i="4"/>
  <c r="H60" i="4"/>
  <c r="D62" i="4"/>
  <c r="B80" i="4"/>
  <c r="G80" i="4"/>
  <c r="M82" i="4"/>
  <c r="P87" i="4"/>
  <c r="Q89" i="4"/>
  <c r="Q121" i="4"/>
  <c r="B121" i="4"/>
  <c r="J121" i="4"/>
  <c r="I121" i="4"/>
  <c r="H121" i="4"/>
  <c r="R121" i="4"/>
  <c r="D121" i="4"/>
  <c r="K42" i="4"/>
  <c r="W42" i="4"/>
  <c r="AN42" i="5" s="1"/>
  <c r="L46" i="4"/>
  <c r="E50" i="4"/>
  <c r="S50" i="4"/>
  <c r="M51" i="4"/>
  <c r="K53" i="4"/>
  <c r="L54" i="4"/>
  <c r="E55" i="4"/>
  <c r="J56" i="4"/>
  <c r="D58" i="4"/>
  <c r="S58" i="4"/>
  <c r="N59" i="4"/>
  <c r="I60" i="4"/>
  <c r="E62" i="4"/>
  <c r="L63" i="4"/>
  <c r="O63" i="4"/>
  <c r="N63" i="4"/>
  <c r="V63" i="4"/>
  <c r="AM63" i="5" s="1"/>
  <c r="D65" i="4"/>
  <c r="F66" i="4"/>
  <c r="R70" i="4"/>
  <c r="S70" i="4"/>
  <c r="E70" i="4"/>
  <c r="O70" i="4"/>
  <c r="D70" i="4"/>
  <c r="N70" i="4"/>
  <c r="C70" i="4"/>
  <c r="L70" i="4"/>
  <c r="J80" i="4"/>
  <c r="N82" i="4"/>
  <c r="F121" i="4"/>
  <c r="Q126" i="4"/>
  <c r="M126" i="4"/>
  <c r="C126" i="4"/>
  <c r="J126" i="4"/>
  <c r="S126" i="4"/>
  <c r="H126" i="4"/>
  <c r="R126" i="4"/>
  <c r="F126" i="4"/>
  <c r="N126" i="4"/>
  <c r="D126" i="4"/>
  <c r="W126" i="4"/>
  <c r="AN126" i="5" s="1"/>
  <c r="S135" i="4"/>
  <c r="M135" i="4"/>
  <c r="B135" i="4"/>
  <c r="H135" i="4"/>
  <c r="R135" i="4"/>
  <c r="G135" i="4"/>
  <c r="P135" i="4"/>
  <c r="F135" i="4"/>
  <c r="N135" i="4"/>
  <c r="D135" i="4"/>
  <c r="P67" i="4"/>
  <c r="P71" i="4"/>
  <c r="M74" i="4"/>
  <c r="E75" i="4"/>
  <c r="G78" i="4"/>
  <c r="V78" i="4"/>
  <c r="AM78" i="5" s="1"/>
  <c r="N79" i="4"/>
  <c r="H83" i="4"/>
  <c r="C86" i="4"/>
  <c r="N86" i="4"/>
  <c r="F90" i="4"/>
  <c r="M91" i="4"/>
  <c r="G92" i="4"/>
  <c r="P95" i="4"/>
  <c r="M98" i="4"/>
  <c r="E99" i="4"/>
  <c r="W102" i="4"/>
  <c r="AN102" i="5" s="1"/>
  <c r="C105" i="4"/>
  <c r="F106" i="4"/>
  <c r="M107" i="4"/>
  <c r="M110" i="4"/>
  <c r="E111" i="4"/>
  <c r="E114" i="4"/>
  <c r="P114" i="4"/>
  <c r="B116" i="4"/>
  <c r="E118" i="4"/>
  <c r="P118" i="4"/>
  <c r="R122" i="4"/>
  <c r="P128" i="4"/>
  <c r="L137" i="4"/>
  <c r="L139" i="4"/>
  <c r="W139" i="4"/>
  <c r="AN139" i="5" s="1"/>
  <c r="J141" i="4"/>
  <c r="W141" i="4"/>
  <c r="AN141" i="5" s="1"/>
  <c r="F145" i="4"/>
  <c r="S145" i="4"/>
  <c r="G64" i="4"/>
  <c r="F67" i="4"/>
  <c r="V67" i="4"/>
  <c r="AM67" i="5" s="1"/>
  <c r="F71" i="4"/>
  <c r="V71" i="4"/>
  <c r="AM71" i="5" s="1"/>
  <c r="C73" i="4"/>
  <c r="D74" i="4"/>
  <c r="O74" i="4"/>
  <c r="G75" i="4"/>
  <c r="W75" i="4"/>
  <c r="AN75" i="5" s="1"/>
  <c r="L78" i="4"/>
  <c r="P79" i="4"/>
  <c r="N83" i="4"/>
  <c r="G84" i="4"/>
  <c r="D85" i="4"/>
  <c r="E86" i="4"/>
  <c r="S86" i="4"/>
  <c r="K90" i="4"/>
  <c r="W90" i="4"/>
  <c r="AN90" i="5" s="1"/>
  <c r="O91" i="4"/>
  <c r="O92" i="4"/>
  <c r="F95" i="4"/>
  <c r="V95" i="4"/>
  <c r="AM95" i="5" s="1"/>
  <c r="D98" i="4"/>
  <c r="O98" i="4"/>
  <c r="G99" i="4"/>
  <c r="W99" i="4"/>
  <c r="AN99" i="5" s="1"/>
  <c r="M102" i="4"/>
  <c r="S105" i="4"/>
  <c r="K106" i="4"/>
  <c r="W106" i="4"/>
  <c r="AN106" i="5" s="1"/>
  <c r="O107" i="4"/>
  <c r="D110" i="4"/>
  <c r="O110" i="4"/>
  <c r="G111" i="4"/>
  <c r="W111" i="4"/>
  <c r="AN111" i="5" s="1"/>
  <c r="H114" i="4"/>
  <c r="S114" i="4"/>
  <c r="N116" i="4"/>
  <c r="H118" i="4"/>
  <c r="S118" i="4"/>
  <c r="J122" i="4"/>
  <c r="D128" i="4"/>
  <c r="C137" i="4"/>
  <c r="P137" i="4"/>
  <c r="D139" i="4"/>
  <c r="N139" i="4"/>
  <c r="L141" i="4"/>
  <c r="L143" i="4"/>
  <c r="W143" i="4"/>
  <c r="AN143" i="5" s="1"/>
  <c r="W145" i="4"/>
  <c r="AN145" i="5" s="1"/>
  <c r="G67" i="4"/>
  <c r="W67" i="4"/>
  <c r="AN67" i="5" s="1"/>
  <c r="G71" i="4"/>
  <c r="W71" i="4"/>
  <c r="AN71" i="5" s="1"/>
  <c r="D73" i="4"/>
  <c r="H75" i="4"/>
  <c r="M78" i="4"/>
  <c r="E79" i="4"/>
  <c r="O83" i="4"/>
  <c r="I84" i="4"/>
  <c r="I85" i="4"/>
  <c r="F86" i="4"/>
  <c r="L90" i="4"/>
  <c r="P91" i="4"/>
  <c r="G95" i="4"/>
  <c r="W95" i="4"/>
  <c r="AN95" i="5" s="1"/>
  <c r="S98" i="4"/>
  <c r="H99" i="4"/>
  <c r="L106" i="4"/>
  <c r="P107" i="4"/>
  <c r="J114" i="4"/>
  <c r="O116" i="4"/>
  <c r="J118" i="4"/>
  <c r="K122" i="4"/>
  <c r="V122" i="4"/>
  <c r="AM122" i="5" s="1"/>
  <c r="P125" i="4"/>
  <c r="F128" i="4"/>
  <c r="W128" i="4"/>
  <c r="AN128" i="5" s="1"/>
  <c r="D137" i="4"/>
  <c r="R137" i="4"/>
  <c r="E139" i="4"/>
  <c r="O139" i="4"/>
  <c r="B141" i="4"/>
  <c r="N141" i="4"/>
  <c r="K145" i="4"/>
  <c r="P83" i="4"/>
  <c r="M90" i="4"/>
  <c r="M99" i="4"/>
  <c r="M106" i="4"/>
  <c r="K114" i="4"/>
  <c r="V114" i="4"/>
  <c r="AM114" i="5" s="1"/>
  <c r="K118" i="4"/>
  <c r="V118" i="4"/>
  <c r="AM118" i="5" s="1"/>
  <c r="R120" i="4"/>
  <c r="B122" i="4"/>
  <c r="L122" i="4"/>
  <c r="W122" i="4"/>
  <c r="AN122" i="5" s="1"/>
  <c r="G127" i="4"/>
  <c r="R127" i="4"/>
  <c r="H128" i="4"/>
  <c r="L129" i="4"/>
  <c r="L131" i="4"/>
  <c r="W131" i="4"/>
  <c r="AN131" i="5" s="1"/>
  <c r="F137" i="4"/>
  <c r="S137" i="4"/>
  <c r="F139" i="4"/>
  <c r="P139" i="4"/>
  <c r="C141" i="4"/>
  <c r="P141" i="4"/>
  <c r="D143" i="4"/>
  <c r="N143" i="4"/>
  <c r="L145" i="4"/>
  <c r="P75" i="4"/>
  <c r="O76" i="4"/>
  <c r="G83" i="4"/>
  <c r="W83" i="4"/>
  <c r="AN83" i="5" s="1"/>
  <c r="M86" i="4"/>
  <c r="E90" i="4"/>
  <c r="S90" i="4"/>
  <c r="P99" i="4"/>
  <c r="E106" i="4"/>
  <c r="S106" i="4"/>
  <c r="P111" i="4"/>
  <c r="D114" i="4"/>
  <c r="N114" i="4"/>
  <c r="D118" i="4"/>
  <c r="N118" i="4"/>
  <c r="E122" i="4"/>
  <c r="P122" i="4"/>
  <c r="D125" i="4"/>
  <c r="L127" i="4"/>
  <c r="W127" i="4"/>
  <c r="AN127" i="5" s="1"/>
  <c r="N128" i="4"/>
  <c r="D129" i="4"/>
  <c r="R129" i="4"/>
  <c r="K137" i="4"/>
  <c r="J139" i="4"/>
  <c r="V139" i="4"/>
  <c r="AM139" i="5" s="1"/>
  <c r="H141" i="4"/>
  <c r="G143" i="4"/>
  <c r="R143" i="4"/>
  <c r="D145" i="4"/>
  <c r="R145" i="4"/>
  <c r="D5" i="6"/>
  <c r="G5" i="6"/>
  <c r="EH3" i="14"/>
  <c r="EK3" i="14"/>
  <c r="EG6" i="14"/>
  <c r="EH6" i="14"/>
  <c r="EG7" i="14"/>
  <c r="EI7" i="14"/>
  <c r="EO1" i="14"/>
  <c r="EI6" i="14"/>
  <c r="EK7" i="14"/>
  <c r="EK6" i="14"/>
  <c r="EH2" i="14"/>
  <c r="EH4" i="14"/>
  <c r="EG1" i="14"/>
  <c r="EK4" i="14"/>
  <c r="EF9" i="14"/>
  <c r="DY1" i="14"/>
  <c r="DW1" i="14"/>
  <c r="DT7" i="14"/>
  <c r="DV3" i="14"/>
  <c r="DV4" i="14"/>
  <c r="DR1" i="14"/>
  <c r="DS4" i="14"/>
  <c r="DS2" i="14"/>
  <c r="DT6" i="14"/>
  <c r="DV6" i="14"/>
  <c r="DV7" i="14"/>
  <c r="DR7" i="14"/>
  <c r="DR6" i="14"/>
  <c r="DS3" i="14"/>
  <c r="DS6" i="14"/>
  <c r="DZ3" i="14"/>
  <c r="ED1" i="14"/>
  <c r="EC3" i="14"/>
  <c r="DY7" i="14"/>
  <c r="DY6" i="14"/>
  <c r="EA7" i="14"/>
  <c r="DV2" i="14"/>
  <c r="DZ6" i="14"/>
  <c r="EC7" i="14"/>
  <c r="DZ2" i="14"/>
  <c r="DZ4" i="14"/>
  <c r="EA6" i="14"/>
  <c r="DQ9" i="14"/>
  <c r="EC4" i="14"/>
  <c r="DD3" i="14"/>
  <c r="DC6" i="14"/>
  <c r="DC7" i="14"/>
  <c r="DG3" i="14"/>
  <c r="DD6" i="14"/>
  <c r="DE7" i="14"/>
  <c r="DK1" i="14"/>
  <c r="DE6" i="14"/>
  <c r="DG7" i="14"/>
  <c r="DG6" i="14"/>
  <c r="DD2" i="14"/>
  <c r="DD4" i="14"/>
  <c r="DC1" i="14"/>
  <c r="DG4" i="14"/>
  <c r="DB9" i="14"/>
  <c r="CS1" i="14"/>
  <c r="CO6" i="14"/>
  <c r="CR4" i="14"/>
  <c r="CN1" i="14"/>
  <c r="CO4" i="14"/>
  <c r="CO2" i="14"/>
  <c r="CP7" i="14"/>
  <c r="CR3" i="14"/>
  <c r="CR6" i="14"/>
  <c r="CR7" i="14"/>
  <c r="CP6" i="14"/>
  <c r="CN7" i="14"/>
  <c r="CN6" i="14"/>
  <c r="CO3" i="14"/>
  <c r="CT1" i="14"/>
  <c r="CR2" i="14"/>
  <c r="CD1" i="14"/>
  <c r="BZ6" i="14"/>
  <c r="BZ3" i="14"/>
  <c r="CC4" i="14"/>
  <c r="BY1" i="14"/>
  <c r="CA7" i="14"/>
  <c r="BZ4" i="14"/>
  <c r="BZ2" i="14"/>
  <c r="CC3" i="14"/>
  <c r="BY7" i="14"/>
  <c r="CC6" i="14"/>
  <c r="BY6" i="14"/>
  <c r="CC7" i="14"/>
  <c r="CA6" i="14"/>
  <c r="CG1" i="14"/>
  <c r="CC2" i="14"/>
  <c r="BX9" i="14"/>
  <c r="BN3" i="14"/>
  <c r="BK6" i="14"/>
  <c r="BL7" i="14"/>
  <c r="BP1" i="14"/>
  <c r="BK3" i="14"/>
  <c r="BJ6" i="14"/>
  <c r="BJ7" i="14"/>
  <c r="BL6" i="14"/>
  <c r="BN7" i="14"/>
  <c r="BN6" i="14"/>
  <c r="BK2" i="14"/>
  <c r="BK4" i="14"/>
  <c r="BJ1" i="14"/>
  <c r="BN4" i="14"/>
  <c r="AZ1" i="14"/>
  <c r="AY4" i="14"/>
  <c r="AU1" i="14"/>
  <c r="AV4" i="14"/>
  <c r="AV2" i="14"/>
  <c r="AY6" i="14"/>
  <c r="AY7" i="14"/>
  <c r="AW6" i="14"/>
  <c r="AW7" i="14"/>
  <c r="AV6" i="14"/>
  <c r="AY3" i="14"/>
  <c r="AU7" i="14"/>
  <c r="AU6" i="14"/>
  <c r="AV3" i="14"/>
  <c r="BC1" i="14"/>
  <c r="AY2" i="14"/>
  <c r="AT9" i="14"/>
  <c r="AG3" i="14"/>
  <c r="AF6" i="14"/>
  <c r="AF7" i="14"/>
  <c r="AJ3" i="14"/>
  <c r="AG6" i="14"/>
  <c r="AH7" i="14"/>
  <c r="AN1" i="14"/>
  <c r="AH6" i="14"/>
  <c r="AJ7" i="14"/>
  <c r="AJ6" i="14"/>
  <c r="AG2" i="14"/>
  <c r="AG4" i="14"/>
  <c r="AF1" i="14"/>
  <c r="AJ4" i="14"/>
  <c r="AE9" i="14"/>
  <c r="P9" i="14"/>
  <c r="H41" i="14"/>
  <c r="H17" i="14"/>
  <c r="E10" i="13"/>
  <c r="Y10" i="13" s="1"/>
  <c r="E11" i="13"/>
  <c r="K9" i="13"/>
  <c r="M9" i="13"/>
  <c r="K8" i="13"/>
  <c r="M8" i="13"/>
  <c r="E9" i="13"/>
  <c r="Z9" i="13" s="1"/>
  <c r="AA9" i="13" s="1"/>
  <c r="E8" i="13"/>
  <c r="Z8" i="13" s="1"/>
  <c r="L10" i="13"/>
  <c r="M12" i="13"/>
  <c r="M11" i="13"/>
  <c r="E12" i="13"/>
  <c r="K10" i="13"/>
  <c r="F8" i="13"/>
  <c r="F11" i="13"/>
  <c r="F10" i="13"/>
  <c r="L12" i="13"/>
  <c r="K12" i="13"/>
  <c r="F9" i="13"/>
  <c r="L11" i="13"/>
  <c r="G14" i="13"/>
  <c r="M14" i="13"/>
  <c r="F14" i="13"/>
  <c r="M13" i="13"/>
  <c r="F13" i="13"/>
  <c r="E13" i="13"/>
  <c r="I12" i="13"/>
  <c r="G10" i="13"/>
  <c r="D11" i="13" a="1"/>
  <c r="D11" i="13" s="1"/>
  <c r="O10" i="13"/>
  <c r="I8" i="13"/>
  <c r="D10" i="13" a="1"/>
  <c r="D10" i="13" s="1"/>
  <c r="O14" i="13"/>
  <c r="O13" i="13"/>
  <c r="L14" i="13"/>
  <c r="H11" i="13"/>
  <c r="D9" i="13" a="1"/>
  <c r="D9" i="13" s="1"/>
  <c r="E14" i="13"/>
  <c r="I10" i="13"/>
  <c r="H9" i="13"/>
  <c r="G8" i="13"/>
  <c r="O12" i="13"/>
  <c r="H8" i="13"/>
  <c r="D8" i="13" a="1"/>
  <c r="D8" i="13" s="1"/>
  <c r="L13" i="13"/>
  <c r="I11" i="13"/>
  <c r="H10" i="13"/>
  <c r="G9" i="13"/>
  <c r="O11" i="13"/>
  <c r="I9" i="13"/>
  <c r="K13" i="13"/>
  <c r="D14" i="13" a="1"/>
  <c r="D14" i="13" s="1"/>
  <c r="K14" i="13"/>
  <c r="I13" i="13"/>
  <c r="H12" i="13"/>
  <c r="G11" i="13"/>
  <c r="O9" i="13"/>
  <c r="D13" i="13" a="1"/>
  <c r="D13" i="13" s="1"/>
  <c r="I14" i="13"/>
  <c r="H13" i="13"/>
  <c r="G12" i="13"/>
  <c r="O8" i="13"/>
  <c r="D12" i="13" a="1"/>
  <c r="D12" i="13" s="1"/>
  <c r="J15" i="13"/>
  <c r="C7" i="13"/>
  <c r="C5" i="13"/>
  <c r="C13" i="13"/>
  <c r="C9" i="13"/>
  <c r="C11" i="13"/>
  <c r="C3" i="13"/>
  <c r="C1" i="13"/>
  <c r="N72" i="9"/>
  <c r="B1" i="9"/>
  <c r="H116" i="9"/>
  <c r="E116" i="9" s="1"/>
  <c r="M121" i="9" a="1"/>
  <c r="M121" i="9" s="1"/>
  <c r="B51" i="9"/>
  <c r="B66" i="9"/>
  <c r="B79" i="9"/>
  <c r="B86" i="9"/>
  <c r="J168" i="9"/>
  <c r="H174" i="9"/>
  <c r="E174" i="9" s="1"/>
  <c r="D184" i="9" a="1"/>
  <c r="D184" i="9" s="1"/>
  <c r="F184" i="9" s="1"/>
  <c r="G184" i="9" s="1"/>
  <c r="H66" i="9"/>
  <c r="E66" i="9" s="1"/>
  <c r="H33" i="9"/>
  <c r="E33" i="9" s="1"/>
  <c r="M66" i="9" a="1"/>
  <c r="M66" i="9" s="1"/>
  <c r="D72" i="9" a="1"/>
  <c r="D72" i="9" s="1"/>
  <c r="F72" i="9" s="1"/>
  <c r="G72" i="9" s="1"/>
  <c r="B94" i="9"/>
  <c r="B124" i="9"/>
  <c r="B175" i="9"/>
  <c r="M72" i="9" a="1"/>
  <c r="M72" i="9" s="1"/>
  <c r="B42" i="9"/>
  <c r="H46" i="9"/>
  <c r="E46" i="9" s="1"/>
  <c r="B65" i="9"/>
  <c r="H72" i="9"/>
  <c r="E72" i="9" s="1"/>
  <c r="Q85" i="9"/>
  <c r="P85" i="9" s="1"/>
  <c r="N87" i="9"/>
  <c r="H113" i="9"/>
  <c r="E113" i="9" s="1"/>
  <c r="J113" i="9"/>
  <c r="M113" i="9" a="1"/>
  <c r="M113" i="9" s="1"/>
  <c r="B54" i="9"/>
  <c r="M70" i="9" a="1"/>
  <c r="M70" i="9" s="1"/>
  <c r="Q72" i="9"/>
  <c r="P72" i="9" s="1"/>
  <c r="D86" i="9" a="1"/>
  <c r="D86" i="9" s="1"/>
  <c r="F86" i="9" s="1"/>
  <c r="G86" i="9" s="1"/>
  <c r="J126" i="9"/>
  <c r="N201" i="9"/>
  <c r="M194" i="9" a="1"/>
  <c r="M194" i="9" s="1"/>
  <c r="H86" i="9"/>
  <c r="E86" i="9" s="1"/>
  <c r="M83" i="9" a="1"/>
  <c r="M83" i="9" s="1"/>
  <c r="M86" i="9" a="1"/>
  <c r="M86" i="9" s="1"/>
  <c r="H91" i="9"/>
  <c r="E91" i="9" s="1"/>
  <c r="M111" i="9" a="1"/>
  <c r="M111" i="9" s="1"/>
  <c r="B115" i="9"/>
  <c r="H123" i="9"/>
  <c r="E123" i="9" s="1"/>
  <c r="J131" i="9"/>
  <c r="D196" i="9" a="1"/>
  <c r="D196" i="9" s="1"/>
  <c r="F196" i="9" s="1"/>
  <c r="G196" i="9" s="1"/>
  <c r="D202" i="9" a="1"/>
  <c r="D202" i="9" s="1"/>
  <c r="F202" i="9" s="1"/>
  <c r="G202" i="9" s="1"/>
  <c r="I63" i="9" a="1"/>
  <c r="I63" i="9" s="1"/>
  <c r="B67" i="9"/>
  <c r="B87" i="9"/>
  <c r="I202" i="9"/>
  <c r="L1" i="9"/>
  <c r="H43" i="9"/>
  <c r="E43" i="9" s="1"/>
  <c r="B52" i="9"/>
  <c r="M64" i="9" a="1"/>
  <c r="M64" i="9" s="1"/>
  <c r="M78" i="9" a="1"/>
  <c r="M78" i="9" s="1"/>
  <c r="I111" i="9" a="1"/>
  <c r="I111" i="9" s="1"/>
  <c r="I114" i="9" a="1"/>
  <c r="I114" i="9" s="1"/>
  <c r="B163" i="9"/>
  <c r="B206" i="9"/>
  <c r="H22" i="9"/>
  <c r="E22" i="9" s="1"/>
  <c r="D206" i="9" a="1"/>
  <c r="D206" i="9" s="1"/>
  <c r="F206" i="9" s="1"/>
  <c r="G206" i="9" s="1"/>
  <c r="H65" i="9"/>
  <c r="E65" i="9" s="1"/>
  <c r="J75" i="9"/>
  <c r="D79" i="9" a="1"/>
  <c r="D79" i="9" s="1"/>
  <c r="F79" i="9" s="1"/>
  <c r="G79" i="9" s="1"/>
  <c r="H98" i="9"/>
  <c r="E98" i="9" s="1"/>
  <c r="N108" i="9"/>
  <c r="J112" i="9"/>
  <c r="Q128" i="9"/>
  <c r="P128" i="9" s="1"/>
  <c r="D132" i="9" a="1"/>
  <c r="D132" i="9" s="1"/>
  <c r="F132" i="9" s="1"/>
  <c r="G132" i="9" s="1"/>
  <c r="H154" i="9"/>
  <c r="E154" i="9" s="1"/>
  <c r="H23" i="9"/>
  <c r="E23" i="9" s="1"/>
  <c r="B50" i="9"/>
  <c r="J65" i="9"/>
  <c r="B72" i="9"/>
  <c r="M75" i="9" a="1"/>
  <c r="M75" i="9" s="1"/>
  <c r="N79" i="9"/>
  <c r="J85" i="9"/>
  <c r="N86" i="9"/>
  <c r="Q90" i="9"/>
  <c r="P90" i="9" s="1"/>
  <c r="N98" i="9"/>
  <c r="I103" i="9" a="1"/>
  <c r="I103" i="9" s="1"/>
  <c r="Q112" i="9"/>
  <c r="P112" i="9" s="1"/>
  <c r="N113" i="9"/>
  <c r="M122" i="9" a="1"/>
  <c r="M122" i="9" s="1"/>
  <c r="H132" i="9"/>
  <c r="E132" i="9" s="1"/>
  <c r="D138" i="9" a="1"/>
  <c r="D138" i="9" s="1"/>
  <c r="F138" i="9" s="1"/>
  <c r="G138" i="9" s="1"/>
  <c r="B151" i="9"/>
  <c r="J154" i="9"/>
  <c r="I186" i="9"/>
  <c r="N65" i="9"/>
  <c r="M85" i="9" a="1"/>
  <c r="M85" i="9" s="1"/>
  <c r="Q86" i="9"/>
  <c r="P86" i="9" s="1"/>
  <c r="B95" i="9"/>
  <c r="Q98" i="9"/>
  <c r="P98" i="9" s="1"/>
  <c r="Q103" i="9"/>
  <c r="P103" i="9" s="1"/>
  <c r="B111" i="9"/>
  <c r="B113" i="9"/>
  <c r="Q113" i="9"/>
  <c r="P113" i="9" s="1"/>
  <c r="H115" i="9"/>
  <c r="E115" i="9" s="1"/>
  <c r="M132" i="9" a="1"/>
  <c r="M132" i="9" s="1"/>
  <c r="M138" i="9" a="1"/>
  <c r="M138" i="9" s="1"/>
  <c r="J186" i="9"/>
  <c r="H151" i="9"/>
  <c r="E151" i="9" s="1"/>
  <c r="B7" i="9"/>
  <c r="B14" i="9"/>
  <c r="H25" i="9"/>
  <c r="E25" i="9" s="1"/>
  <c r="J69" i="9"/>
  <c r="M91" i="9" a="1"/>
  <c r="M91" i="9" s="1"/>
  <c r="D111" i="9" a="1"/>
  <c r="D111" i="9" s="1"/>
  <c r="F111" i="9" s="1"/>
  <c r="G111" i="9" s="1"/>
  <c r="D113" i="9" a="1"/>
  <c r="D113" i="9" s="1"/>
  <c r="F113" i="9" s="1"/>
  <c r="G113" i="9" s="1"/>
  <c r="N120" i="9"/>
  <c r="M123" i="9" a="1"/>
  <c r="M123" i="9" s="1"/>
  <c r="J127" i="9"/>
  <c r="B140" i="9"/>
  <c r="J151" i="9"/>
  <c r="M162" i="9" a="1"/>
  <c r="M162" i="9" s="1"/>
  <c r="H178" i="9"/>
  <c r="E178" i="9" s="1"/>
  <c r="J187" i="9"/>
  <c r="D194" i="9" a="1"/>
  <c r="D194" i="9" s="1"/>
  <c r="F194" i="9" s="1"/>
  <c r="G194" i="9" s="1"/>
  <c r="B15" i="9"/>
  <c r="B19" i="9"/>
  <c r="B58" i="9"/>
  <c r="B62" i="9"/>
  <c r="D65" i="9" a="1"/>
  <c r="D65" i="9" s="1"/>
  <c r="F65" i="9" s="1"/>
  <c r="G65" i="9" s="1"/>
  <c r="D66" i="9" a="1"/>
  <c r="D66" i="9" s="1"/>
  <c r="F66" i="9" s="1"/>
  <c r="G66" i="9" s="1"/>
  <c r="H70" i="9"/>
  <c r="E70" i="9" s="1"/>
  <c r="J72" i="9"/>
  <c r="H73" i="9"/>
  <c r="E73" i="9" s="1"/>
  <c r="H78" i="9"/>
  <c r="E78" i="9" s="1"/>
  <c r="H79" i="9"/>
  <c r="E79" i="9" s="1"/>
  <c r="J83" i="9"/>
  <c r="D87" i="9" a="1"/>
  <c r="D87" i="9" s="1"/>
  <c r="F87" i="9" s="1"/>
  <c r="G87" i="9" s="1"/>
  <c r="N90" i="9"/>
  <c r="J97" i="9"/>
  <c r="B99" i="9"/>
  <c r="Q99" i="9"/>
  <c r="P99" i="9" s="1"/>
  <c r="D103" i="9" a="1"/>
  <c r="D103" i="9" s="1"/>
  <c r="F103" i="9" s="1"/>
  <c r="G103" i="9" s="1"/>
  <c r="B107" i="9"/>
  <c r="M108" i="9" a="1"/>
  <c r="M108" i="9" s="1"/>
  <c r="J111" i="9"/>
  <c r="N115" i="9"/>
  <c r="Q118" i="9"/>
  <c r="P118" i="9" s="1"/>
  <c r="Q123" i="9"/>
  <c r="P123" i="9" s="1"/>
  <c r="D127" i="9" a="1"/>
  <c r="D127" i="9" s="1"/>
  <c r="F127" i="9" s="1"/>
  <c r="G127" i="9" s="1"/>
  <c r="H131" i="9"/>
  <c r="E131" i="9" s="1"/>
  <c r="B139" i="9"/>
  <c r="M151" i="9" a="1"/>
  <c r="M151" i="9" s="1"/>
  <c r="M154" i="9" a="1"/>
  <c r="M154" i="9" s="1"/>
  <c r="H168" i="9"/>
  <c r="E168" i="9" s="1"/>
  <c r="D172" i="9" a="1"/>
  <c r="D172" i="9" s="1"/>
  <c r="F172" i="9" s="1"/>
  <c r="G172" i="9" s="1"/>
  <c r="Q192" i="9"/>
  <c r="P192" i="9" s="1"/>
  <c r="D62" i="9" a="1"/>
  <c r="D62" i="9" s="1"/>
  <c r="F62" i="9" s="1"/>
  <c r="G62" i="9" s="1"/>
  <c r="J77" i="9"/>
  <c r="N78" i="9"/>
  <c r="D99" i="9" a="1"/>
  <c r="D99" i="9" s="1"/>
  <c r="F99" i="9" s="1"/>
  <c r="G99" i="9" s="1"/>
  <c r="J103" i="9"/>
  <c r="B123" i="9"/>
  <c r="Q127" i="9"/>
  <c r="P127" i="9" s="1"/>
  <c r="Q131" i="9"/>
  <c r="P131" i="9" s="1"/>
  <c r="J139" i="9"/>
  <c r="Q168" i="9"/>
  <c r="P168" i="9" s="1"/>
  <c r="D181" i="9" a="1"/>
  <c r="D181" i="9" s="1"/>
  <c r="F181" i="9" s="1"/>
  <c r="G181" i="9" s="1"/>
  <c r="H184" i="9"/>
  <c r="E184" i="9" s="1"/>
  <c r="H188" i="9"/>
  <c r="E188" i="9" s="1"/>
  <c r="D191" i="9" a="1"/>
  <c r="D191" i="9" s="1"/>
  <c r="F191" i="9" s="1"/>
  <c r="G191" i="9" s="1"/>
  <c r="N193" i="9"/>
  <c r="D207" i="9" a="1"/>
  <c r="D207" i="9" s="1"/>
  <c r="F207" i="9" s="1"/>
  <c r="G207" i="9" s="1"/>
  <c r="H38" i="9"/>
  <c r="E38" i="9" s="1"/>
  <c r="B39" i="9"/>
  <c r="H62" i="9"/>
  <c r="E62" i="9" s="1"/>
  <c r="J64" i="9"/>
  <c r="M65" i="9" a="1"/>
  <c r="M65" i="9" s="1"/>
  <c r="L66" i="9"/>
  <c r="H69" i="9"/>
  <c r="E69" i="9" s="1"/>
  <c r="M77" i="9" a="1"/>
  <c r="M77" i="9" s="1"/>
  <c r="Q78" i="9"/>
  <c r="P78" i="9" s="1"/>
  <c r="D91" i="9" a="1"/>
  <c r="D91" i="9" s="1"/>
  <c r="F91" i="9" s="1"/>
  <c r="G91" i="9" s="1"/>
  <c r="D98" i="9" a="1"/>
  <c r="D98" i="9" s="1"/>
  <c r="F98" i="9" s="1"/>
  <c r="G98" i="9" s="1"/>
  <c r="D101" i="9" a="1"/>
  <c r="D101" i="9" s="1"/>
  <c r="F101" i="9" s="1"/>
  <c r="G101" i="9" s="1"/>
  <c r="H107" i="9"/>
  <c r="E107" i="9" s="1"/>
  <c r="D112" i="9" a="1"/>
  <c r="D112" i="9" s="1"/>
  <c r="F112" i="9" s="1"/>
  <c r="G112" i="9" s="1"/>
  <c r="M129" i="9" a="1"/>
  <c r="M129" i="9" s="1"/>
  <c r="B137" i="9"/>
  <c r="M139" i="9" a="1"/>
  <c r="M139" i="9" s="1"/>
  <c r="D150" i="9" a="1"/>
  <c r="D150" i="9" s="1"/>
  <c r="F150" i="9" s="1"/>
  <c r="G150" i="9" s="1"/>
  <c r="H181" i="9"/>
  <c r="E181" i="9" s="1"/>
  <c r="J188" i="9"/>
  <c r="J191" i="9"/>
  <c r="D203" i="9" a="1"/>
  <c r="D203" i="9" s="1"/>
  <c r="F203" i="9" s="1"/>
  <c r="G203" i="9" s="1"/>
  <c r="H207" i="9"/>
  <c r="E207" i="9" s="1"/>
  <c r="L62" i="9"/>
  <c r="H99" i="9"/>
  <c r="E99" i="9" s="1"/>
  <c r="J107" i="9"/>
  <c r="N139" i="9"/>
  <c r="M181" i="9" a="1"/>
  <c r="M181" i="9" s="1"/>
  <c r="M191" i="9" a="1"/>
  <c r="M191" i="9" s="1"/>
  <c r="Q77" i="9"/>
  <c r="P77" i="9" s="1"/>
  <c r="B18" i="9"/>
  <c r="B57" i="9"/>
  <c r="M62" i="9" a="1"/>
  <c r="M62" i="9" s="1"/>
  <c r="Q65" i="9"/>
  <c r="P65" i="9" s="1"/>
  <c r="N66" i="9"/>
  <c r="Q69" i="9"/>
  <c r="P69" i="9" s="1"/>
  <c r="B78" i="9"/>
  <c r="M82" i="9" a="1"/>
  <c r="M82" i="9" s="1"/>
  <c r="D90" i="9" a="1"/>
  <c r="D90" i="9" s="1"/>
  <c r="F90" i="9" s="1"/>
  <c r="G90" i="9" s="1"/>
  <c r="J91" i="9"/>
  <c r="M98" i="9" a="1"/>
  <c r="M98" i="9" s="1"/>
  <c r="J99" i="9"/>
  <c r="H102" i="9"/>
  <c r="E102" i="9" s="1"/>
  <c r="M107" i="9" a="1"/>
  <c r="M107" i="9" s="1"/>
  <c r="N112" i="9"/>
  <c r="J123" i="9"/>
  <c r="I126" i="9" a="1"/>
  <c r="I126" i="9" s="1"/>
  <c r="M130" i="9" a="1"/>
  <c r="M130" i="9" s="1"/>
  <c r="Q139" i="9"/>
  <c r="P139" i="9" s="1"/>
  <c r="D154" i="9" a="1"/>
  <c r="D154" i="9" s="1"/>
  <c r="F154" i="9" s="1"/>
  <c r="G154" i="9" s="1"/>
  <c r="Q158" i="9"/>
  <c r="P158" i="9" s="1"/>
  <c r="B171" i="9"/>
  <c r="B189" i="9"/>
  <c r="Q191" i="9"/>
  <c r="P191" i="9" s="1"/>
  <c r="N62" i="9"/>
  <c r="N82" i="9"/>
  <c r="J90" i="9"/>
  <c r="M99" i="9" a="1"/>
  <c r="M99" i="9" s="1"/>
  <c r="Q107" i="9"/>
  <c r="P107" i="9" s="1"/>
  <c r="H14" i="9"/>
  <c r="E14" i="9" s="1"/>
  <c r="H61" i="9"/>
  <c r="E61" i="9" s="1"/>
  <c r="Q62" i="9"/>
  <c r="P62" i="9" s="1"/>
  <c r="D78" i="9" a="1"/>
  <c r="D78" i="9" s="1"/>
  <c r="F78" i="9" s="1"/>
  <c r="G78" i="9" s="1"/>
  <c r="M90" i="9" a="1"/>
  <c r="M90" i="9" s="1"/>
  <c r="N99" i="9"/>
  <c r="J118" i="9"/>
  <c r="D131" i="9" a="1"/>
  <c r="D131" i="9" s="1"/>
  <c r="F131" i="9" s="1"/>
  <c r="G131" i="9" s="1"/>
  <c r="D159" i="9" a="1"/>
  <c r="D159" i="9" s="1"/>
  <c r="F159" i="9" s="1"/>
  <c r="G159" i="9" s="1"/>
  <c r="I189" i="9"/>
  <c r="N192" i="9"/>
  <c r="J81" i="9"/>
  <c r="D104" i="9" a="1"/>
  <c r="D104" i="9" s="1"/>
  <c r="F104" i="9" s="1"/>
  <c r="G104" i="9" s="1"/>
  <c r="D142" i="9" a="1"/>
  <c r="D142" i="9" s="1"/>
  <c r="F142" i="9" s="1"/>
  <c r="G142" i="9" s="1"/>
  <c r="D146" i="9" a="1"/>
  <c r="D146" i="9" s="1"/>
  <c r="F146" i="9" s="1"/>
  <c r="G146" i="9" s="1"/>
  <c r="H157" i="9"/>
  <c r="E157" i="9" s="1"/>
  <c r="D161" i="9" a="1"/>
  <c r="D161" i="9" s="1"/>
  <c r="F161" i="9" s="1"/>
  <c r="G161" i="9" s="1"/>
  <c r="D177" i="9" a="1"/>
  <c r="D177" i="9" s="1"/>
  <c r="F177" i="9" s="1"/>
  <c r="G177" i="9" s="1"/>
  <c r="J104" i="9"/>
  <c r="M140" i="9" a="1"/>
  <c r="M140" i="9" s="1"/>
  <c r="H26" i="9"/>
  <c r="E26" i="9" s="1"/>
  <c r="B31" i="9"/>
  <c r="B34" i="9"/>
  <c r="D69" i="9" a="1"/>
  <c r="D69" i="9" s="1"/>
  <c r="F69" i="9" s="1"/>
  <c r="G69" i="9" s="1"/>
  <c r="D70" i="9" a="1"/>
  <c r="D70" i="9" s="1"/>
  <c r="F70" i="9" s="1"/>
  <c r="G70" i="9" s="1"/>
  <c r="H75" i="9"/>
  <c r="E75" i="9" s="1"/>
  <c r="J82" i="9"/>
  <c r="H83" i="9"/>
  <c r="E83" i="9" s="1"/>
  <c r="Q93" i="9"/>
  <c r="P93" i="9" s="1"/>
  <c r="Q94" i="9"/>
  <c r="P94" i="9" s="1"/>
  <c r="D102" i="9" a="1"/>
  <c r="D102" i="9" s="1"/>
  <c r="F102" i="9" s="1"/>
  <c r="G102" i="9" s="1"/>
  <c r="I108" i="9" a="1"/>
  <c r="I108" i="9" s="1"/>
  <c r="Q134" i="9"/>
  <c r="P134" i="9" s="1"/>
  <c r="Q136" i="9"/>
  <c r="P136" i="9" s="1"/>
  <c r="B144" i="9"/>
  <c r="B148" i="9"/>
  <c r="Q156" i="9"/>
  <c r="P156" i="9" s="1"/>
  <c r="Q163" i="9"/>
  <c r="P163" i="9" s="1"/>
  <c r="H166" i="9"/>
  <c r="E166" i="9" s="1"/>
  <c r="M170" i="9" a="1"/>
  <c r="M170" i="9" s="1"/>
  <c r="D174" i="9" a="1"/>
  <c r="D174" i="9" s="1"/>
  <c r="F174" i="9" s="1"/>
  <c r="G174" i="9" s="1"/>
  <c r="B190" i="9"/>
  <c r="M192" i="9" a="1"/>
  <c r="M192" i="9" s="1"/>
  <c r="B210" i="9"/>
  <c r="I74" i="9" a="1"/>
  <c r="I74" i="9" s="1"/>
  <c r="D148" i="9" a="1"/>
  <c r="D148" i="9" s="1"/>
  <c r="F148" i="9" s="1"/>
  <c r="G148" i="9" s="1"/>
  <c r="D190" i="9" a="1"/>
  <c r="D190" i="9" s="1"/>
  <c r="F190" i="9" s="1"/>
  <c r="G190" i="9" s="1"/>
  <c r="D52" i="9" a="1"/>
  <c r="D52" i="9" s="1"/>
  <c r="F52" i="9" s="1"/>
  <c r="G52" i="9" s="1"/>
  <c r="M69" i="9" a="1"/>
  <c r="M69" i="9" s="1"/>
  <c r="J70" i="9"/>
  <c r="N75" i="9"/>
  <c r="M81" i="9" a="1"/>
  <c r="M81" i="9" s="1"/>
  <c r="Q82" i="9"/>
  <c r="P82" i="9" s="1"/>
  <c r="N83" i="9"/>
  <c r="Q89" i="9"/>
  <c r="P89" i="9" s="1"/>
  <c r="B91" i="9"/>
  <c r="Q91" i="9"/>
  <c r="P91" i="9" s="1"/>
  <c r="D94" i="9" a="1"/>
  <c r="D94" i="9" s="1"/>
  <c r="F94" i="9" s="1"/>
  <c r="G94" i="9" s="1"/>
  <c r="D95" i="9" a="1"/>
  <c r="D95" i="9" s="1"/>
  <c r="F95" i="9" s="1"/>
  <c r="G95" i="9" s="1"/>
  <c r="H104" i="9"/>
  <c r="E104" i="9" s="1"/>
  <c r="I106" i="9" a="1"/>
  <c r="I106" i="9" s="1"/>
  <c r="N107" i="9"/>
  <c r="J115" i="9"/>
  <c r="M116" i="9" a="1"/>
  <c r="M116" i="9" s="1"/>
  <c r="D119" i="9" a="1"/>
  <c r="D119" i="9" s="1"/>
  <c r="F119" i="9" s="1"/>
  <c r="G119" i="9" s="1"/>
  <c r="H120" i="9"/>
  <c r="E120" i="9" s="1"/>
  <c r="H121" i="9"/>
  <c r="E121" i="9" s="1"/>
  <c r="D124" i="9" a="1"/>
  <c r="D124" i="9" s="1"/>
  <c r="F124" i="9" s="1"/>
  <c r="G124" i="9" s="1"/>
  <c r="J128" i="9"/>
  <c r="Q129" i="9"/>
  <c r="P129" i="9" s="1"/>
  <c r="M131" i="9" a="1"/>
  <c r="M131" i="9" s="1"/>
  <c r="N132" i="9"/>
  <c r="J135" i="9"/>
  <c r="D137" i="9" a="1"/>
  <c r="D137" i="9" s="1"/>
  <c r="F137" i="9" s="1"/>
  <c r="G137" i="9" s="1"/>
  <c r="D140" i="9" a="1"/>
  <c r="D140" i="9" s="1"/>
  <c r="F140" i="9" s="1"/>
  <c r="G140" i="9" s="1"/>
  <c r="H144" i="9"/>
  <c r="E144" i="9" s="1"/>
  <c r="H148" i="9"/>
  <c r="E148" i="9" s="1"/>
  <c r="D153" i="9" a="1"/>
  <c r="D153" i="9" s="1"/>
  <c r="F153" i="9" s="1"/>
  <c r="G153" i="9" s="1"/>
  <c r="D163" i="9" a="1"/>
  <c r="D163" i="9" s="1"/>
  <c r="F163" i="9" s="1"/>
  <c r="G163" i="9" s="1"/>
  <c r="D165" i="9" a="1"/>
  <c r="D165" i="9" s="1"/>
  <c r="F165" i="9" s="1"/>
  <c r="G165" i="9" s="1"/>
  <c r="H167" i="9"/>
  <c r="E167" i="9" s="1"/>
  <c r="D171" i="9" a="1"/>
  <c r="D171" i="9" s="1"/>
  <c r="F171" i="9" s="1"/>
  <c r="G171" i="9" s="1"/>
  <c r="J172" i="9"/>
  <c r="M174" i="9" a="1"/>
  <c r="M174" i="9" s="1"/>
  <c r="H179" i="9"/>
  <c r="E179" i="9" s="1"/>
  <c r="J184" i="9"/>
  <c r="H190" i="9"/>
  <c r="E190" i="9" s="1"/>
  <c r="M195" i="9" a="1"/>
  <c r="M195" i="9" s="1"/>
  <c r="M202" i="9" a="1"/>
  <c r="M202" i="9" s="1"/>
  <c r="M207" i="9" a="1"/>
  <c r="M207" i="9" s="1"/>
  <c r="I210" i="9"/>
  <c r="D210" i="9" a="1"/>
  <c r="D210" i="9" s="1"/>
  <c r="F210" i="9" s="1"/>
  <c r="G210" i="9" s="1"/>
  <c r="I52" i="9" a="1"/>
  <c r="I52" i="9" s="1"/>
  <c r="N69" i="9"/>
  <c r="L70" i="9"/>
  <c r="B75" i="9"/>
  <c r="Q75" i="9"/>
  <c r="P75" i="9" s="1"/>
  <c r="Q81" i="9"/>
  <c r="P81" i="9" s="1"/>
  <c r="B83" i="9"/>
  <c r="Q83" i="9"/>
  <c r="P83" i="9" s="1"/>
  <c r="H94" i="9"/>
  <c r="E94" i="9" s="1"/>
  <c r="I104" i="9" a="1"/>
  <c r="I104" i="9" s="1"/>
  <c r="M106" i="9" a="1"/>
  <c r="M106" i="9" s="1"/>
  <c r="M115" i="9" a="1"/>
  <c r="M115" i="9" s="1"/>
  <c r="N116" i="9"/>
  <c r="I119" i="9" a="1"/>
  <c r="I119" i="9" s="1"/>
  <c r="J120" i="9"/>
  <c r="J121" i="9"/>
  <c r="H124" i="9"/>
  <c r="E124" i="9" s="1"/>
  <c r="N128" i="9"/>
  <c r="N131" i="9"/>
  <c r="Q135" i="9"/>
  <c r="P135" i="9" s="1"/>
  <c r="J137" i="9"/>
  <c r="H139" i="9"/>
  <c r="E139" i="9" s="1"/>
  <c r="H140" i="9"/>
  <c r="E140" i="9" s="1"/>
  <c r="H142" i="9"/>
  <c r="E142" i="9" s="1"/>
  <c r="I144" i="9"/>
  <c r="H146" i="9"/>
  <c r="E146" i="9" s="1"/>
  <c r="I148" i="9"/>
  <c r="D151" i="9" a="1"/>
  <c r="D151" i="9" s="1"/>
  <c r="F151" i="9" s="1"/>
  <c r="G151" i="9" s="1"/>
  <c r="H153" i="9"/>
  <c r="E153" i="9" s="1"/>
  <c r="H163" i="9"/>
  <c r="E163" i="9" s="1"/>
  <c r="J167" i="9"/>
  <c r="H171" i="9"/>
  <c r="E171" i="9" s="1"/>
  <c r="H177" i="9"/>
  <c r="E177" i="9" s="1"/>
  <c r="J179" i="9"/>
  <c r="H182" i="9"/>
  <c r="E182" i="9" s="1"/>
  <c r="H189" i="9"/>
  <c r="E189" i="9" s="1"/>
  <c r="J190" i="9"/>
  <c r="D192" i="9" a="1"/>
  <c r="D192" i="9" s="1"/>
  <c r="F192" i="9" s="1"/>
  <c r="G192" i="9" s="1"/>
  <c r="D193" i="9" a="1"/>
  <c r="D193" i="9" s="1"/>
  <c r="F193" i="9" s="1"/>
  <c r="G193" i="9" s="1"/>
  <c r="M210" i="9" a="1"/>
  <c r="M210" i="9" s="1"/>
  <c r="D135" i="9" a="1"/>
  <c r="D135" i="9" s="1"/>
  <c r="F135" i="9" s="1"/>
  <c r="G135" i="9" s="1"/>
  <c r="I163" i="9"/>
  <c r="H165" i="9"/>
  <c r="E165" i="9" s="1"/>
  <c r="I171" i="9"/>
  <c r="M177" i="9" a="1"/>
  <c r="M177" i="9" s="1"/>
  <c r="D144" i="9" a="1"/>
  <c r="D144" i="9" s="1"/>
  <c r="F144" i="9" s="1"/>
  <c r="G144" i="9" s="1"/>
  <c r="J94" i="9"/>
  <c r="H95" i="9"/>
  <c r="E95" i="9" s="1"/>
  <c r="Q190" i="9"/>
  <c r="P190" i="9" s="1"/>
  <c r="B4" i="9"/>
  <c r="B10" i="9"/>
  <c r="M52" i="9" a="1"/>
  <c r="M52" i="9" s="1"/>
  <c r="Q68" i="9"/>
  <c r="P68" i="9" s="1"/>
  <c r="B70" i="9"/>
  <c r="N70" i="9"/>
  <c r="D75" i="9" a="1"/>
  <c r="D75" i="9" s="1"/>
  <c r="F75" i="9" s="1"/>
  <c r="G75" i="9" s="1"/>
  <c r="J78" i="9"/>
  <c r="D82" i="9" a="1"/>
  <c r="D82" i="9" s="1"/>
  <c r="F82" i="9" s="1"/>
  <c r="G82" i="9" s="1"/>
  <c r="D83" i="9" a="1"/>
  <c r="D83" i="9" s="1"/>
  <c r="F83" i="9" s="1"/>
  <c r="G83" i="9" s="1"/>
  <c r="J86" i="9"/>
  <c r="H87" i="9"/>
  <c r="E87" i="9" s="1"/>
  <c r="H90" i="9"/>
  <c r="E90" i="9" s="1"/>
  <c r="J93" i="9"/>
  <c r="M94" i="9" a="1"/>
  <c r="M94" i="9" s="1"/>
  <c r="N95" i="9"/>
  <c r="J98" i="9"/>
  <c r="H101" i="9"/>
  <c r="E101" i="9" s="1"/>
  <c r="D108" i="9" a="1"/>
  <c r="D108" i="9" s="1"/>
  <c r="F108" i="9" s="1"/>
  <c r="G108" i="9" s="1"/>
  <c r="I112" i="9" a="1"/>
  <c r="I112" i="9" s="1"/>
  <c r="Q115" i="9"/>
  <c r="P115" i="9" s="1"/>
  <c r="I117" i="9" a="1"/>
  <c r="I117" i="9" s="1"/>
  <c r="M119" i="9" a="1"/>
  <c r="M119" i="9" s="1"/>
  <c r="Q120" i="9"/>
  <c r="P120" i="9" s="1"/>
  <c r="N121" i="9"/>
  <c r="N124" i="9"/>
  <c r="B129" i="9"/>
  <c r="B131" i="9"/>
  <c r="B132" i="9"/>
  <c r="I134" i="9" a="1"/>
  <c r="I134" i="9" s="1"/>
  <c r="D136" i="9" a="1"/>
  <c r="D136" i="9" s="1"/>
  <c r="F136" i="9" s="1"/>
  <c r="G136" i="9" s="1"/>
  <c r="Q137" i="9"/>
  <c r="P137" i="9" s="1"/>
  <c r="N140" i="9"/>
  <c r="M143" i="9" a="1"/>
  <c r="M143" i="9" s="1"/>
  <c r="N144" i="9"/>
  <c r="M147" i="9" a="1"/>
  <c r="M147" i="9" s="1"/>
  <c r="N148" i="9"/>
  <c r="D156" i="9" a="1"/>
  <c r="D156" i="9" s="1"/>
  <c r="F156" i="9" s="1"/>
  <c r="G156" i="9" s="1"/>
  <c r="J163" i="9"/>
  <c r="D170" i="9" a="1"/>
  <c r="D170" i="9" s="1"/>
  <c r="F170" i="9" s="1"/>
  <c r="G170" i="9" s="1"/>
  <c r="J171" i="9"/>
  <c r="N182" i="9"/>
  <c r="I185" i="9"/>
  <c r="J189" i="9"/>
  <c r="H192" i="9"/>
  <c r="E192" i="9" s="1"/>
  <c r="H203" i="9"/>
  <c r="E203" i="9" s="1"/>
  <c r="I206" i="9"/>
  <c r="D209" i="9" a="1"/>
  <c r="D209" i="9" s="1"/>
  <c r="F209" i="9" s="1"/>
  <c r="G209" i="9" s="1"/>
  <c r="J89" i="9"/>
  <c r="D195" i="9" a="1"/>
  <c r="D195" i="9" s="1"/>
  <c r="F195" i="9" s="1"/>
  <c r="G195" i="9" s="1"/>
  <c r="J52" i="9"/>
  <c r="J119" i="9"/>
  <c r="M124" i="9" a="1"/>
  <c r="M124" i="9" s="1"/>
  <c r="M137" i="9" a="1"/>
  <c r="M137" i="9" s="1"/>
  <c r="M144" i="9" a="1"/>
  <c r="M144" i="9" s="1"/>
  <c r="M148" i="9" a="1"/>
  <c r="M148" i="9" s="1"/>
  <c r="Q167" i="9"/>
  <c r="P167" i="9" s="1"/>
  <c r="H30" i="9"/>
  <c r="E30" i="9" s="1"/>
  <c r="H82" i="9"/>
  <c r="E82" i="9" s="1"/>
  <c r="M93" i="9" a="1"/>
  <c r="M93" i="9" s="1"/>
  <c r="N94" i="9"/>
  <c r="Q104" i="9"/>
  <c r="P104" i="9" s="1"/>
  <c r="H108" i="9"/>
  <c r="E108" i="9" s="1"/>
  <c r="B121" i="9"/>
  <c r="Q121" i="9"/>
  <c r="P121" i="9" s="1"/>
  <c r="J136" i="9"/>
  <c r="N143" i="9"/>
  <c r="N147" i="9"/>
  <c r="M163" i="9" a="1"/>
  <c r="M163" i="9" s="1"/>
  <c r="M171" i="9" a="1"/>
  <c r="M171" i="9" s="1"/>
  <c r="J185" i="9"/>
  <c r="Q189" i="9"/>
  <c r="P189" i="9" s="1"/>
  <c r="B202" i="9"/>
  <c r="M203" i="9" a="1"/>
  <c r="M203" i="9" s="1"/>
  <c r="M206" i="9" a="1"/>
  <c r="M206" i="9" s="1"/>
  <c r="N209" i="9"/>
  <c r="A6" i="4"/>
  <c r="A7" i="4"/>
  <c r="A6" i="5"/>
  <c r="A7" i="5"/>
  <c r="B1" i="7"/>
  <c r="H222" i="9"/>
  <c r="Q222" i="9" s="1"/>
  <c r="P222" i="9" s="1"/>
  <c r="C221" i="9"/>
  <c r="C229" i="9"/>
  <c r="H250" i="9"/>
  <c r="Q250" i="9" s="1"/>
  <c r="P250" i="9" s="1"/>
  <c r="H230" i="9"/>
  <c r="Q230" i="9" s="1"/>
  <c r="P230" i="9" s="1"/>
  <c r="C235" i="9"/>
  <c r="C240" i="9"/>
  <c r="C223" i="9"/>
  <c r="C231" i="9"/>
  <c r="C220" i="9"/>
  <c r="H224" i="9"/>
  <c r="Q224" i="9" s="1"/>
  <c r="P224" i="9" s="1"/>
  <c r="C228" i="9"/>
  <c r="C238" i="9"/>
  <c r="C239" i="9"/>
  <c r="C248" i="9"/>
  <c r="H221" i="9"/>
  <c r="Q221" i="9" s="1"/>
  <c r="P221" i="9" s="1"/>
  <c r="H229" i="9"/>
  <c r="Q229" i="9" s="1"/>
  <c r="P229" i="9" s="1"/>
  <c r="C222" i="9"/>
  <c r="C230" i="9"/>
  <c r="C219" i="9"/>
  <c r="C227" i="9"/>
  <c r="H236" i="9"/>
  <c r="Q236" i="9" s="1"/>
  <c r="P236" i="9" s="1"/>
  <c r="H238" i="9"/>
  <c r="Q238" i="9" s="1"/>
  <c r="P238" i="9" s="1"/>
  <c r="H220" i="9"/>
  <c r="Q220" i="9" s="1"/>
  <c r="P220" i="9" s="1"/>
  <c r="C224" i="9"/>
  <c r="H228" i="9"/>
  <c r="Q228" i="9" s="1"/>
  <c r="P228" i="9" s="1"/>
  <c r="C236" i="9"/>
  <c r="H240" i="9"/>
  <c r="Q240" i="9" s="1"/>
  <c r="P240" i="9" s="1"/>
  <c r="C244" i="9"/>
  <c r="H247" i="9"/>
  <c r="Q247" i="9" s="1"/>
  <c r="P247" i="9" s="1"/>
  <c r="C249" i="9"/>
  <c r="H237" i="9"/>
  <c r="Q237" i="9" s="1"/>
  <c r="P237" i="9" s="1"/>
  <c r="C245" i="9"/>
  <c r="H248" i="9"/>
  <c r="Q248" i="9" s="1"/>
  <c r="P248" i="9" s="1"/>
  <c r="C243" i="9"/>
  <c r="H249" i="9"/>
  <c r="Q249" i="9" s="1"/>
  <c r="P249" i="9" s="1"/>
  <c r="H244" i="9"/>
  <c r="Q244" i="9" s="1"/>
  <c r="P244" i="9" s="1"/>
  <c r="C237" i="9"/>
  <c r="H245" i="9"/>
  <c r="Q245" i="9" s="1"/>
  <c r="P245" i="9" s="1"/>
  <c r="C250" i="9"/>
  <c r="C246" i="9"/>
  <c r="H246" i="9"/>
  <c r="Q246" i="9" s="1"/>
  <c r="P246" i="9" s="1"/>
  <c r="W44" i="4"/>
  <c r="AN44" i="5" s="1"/>
  <c r="N44" i="4"/>
  <c r="F44" i="4"/>
  <c r="V44" i="4"/>
  <c r="AM44" i="5" s="1"/>
  <c r="M44" i="4"/>
  <c r="E44" i="4"/>
  <c r="L44" i="4"/>
  <c r="D44" i="4"/>
  <c r="O44" i="4"/>
  <c r="P49" i="4"/>
  <c r="H49" i="4"/>
  <c r="O49" i="4"/>
  <c r="G49" i="4"/>
  <c r="W49" i="4"/>
  <c r="AN49" i="5" s="1"/>
  <c r="N49" i="4"/>
  <c r="F49" i="4"/>
  <c r="L49" i="4"/>
  <c r="H52" i="4"/>
  <c r="S52" i="4"/>
  <c r="J53" i="4"/>
  <c r="L55" i="4"/>
  <c r="D55" i="4"/>
  <c r="S55" i="4"/>
  <c r="K55" i="4"/>
  <c r="C55" i="4"/>
  <c r="R55" i="4"/>
  <c r="J55" i="4"/>
  <c r="B55" i="4"/>
  <c r="O55" i="4"/>
  <c r="E57" i="4"/>
  <c r="S57" i="4"/>
  <c r="W64" i="4"/>
  <c r="AN64" i="5" s="1"/>
  <c r="N64" i="4"/>
  <c r="F64" i="4"/>
  <c r="V64" i="4"/>
  <c r="AM64" i="5" s="1"/>
  <c r="M64" i="4"/>
  <c r="E64" i="4"/>
  <c r="L64" i="4"/>
  <c r="D64" i="4"/>
  <c r="S64" i="4"/>
  <c r="K64" i="4"/>
  <c r="C64" i="4"/>
  <c r="Q64" i="4"/>
  <c r="I72" i="4"/>
  <c r="L77" i="4"/>
  <c r="P80" i="4"/>
  <c r="H80" i="4"/>
  <c r="W80" i="4"/>
  <c r="AN80" i="5" s="1"/>
  <c r="N80" i="4"/>
  <c r="F80" i="4"/>
  <c r="V80" i="4"/>
  <c r="AM80" i="5" s="1"/>
  <c r="M80" i="4"/>
  <c r="E80" i="4"/>
  <c r="L80" i="4"/>
  <c r="D80" i="4"/>
  <c r="S80" i="4"/>
  <c r="K80" i="4"/>
  <c r="C80" i="4"/>
  <c r="B92" i="4"/>
  <c r="R93" i="4"/>
  <c r="J93" i="4"/>
  <c r="B93" i="4"/>
  <c r="P93" i="4"/>
  <c r="H93" i="4"/>
  <c r="O93" i="4"/>
  <c r="G93" i="4"/>
  <c r="W93" i="4"/>
  <c r="AN93" i="5" s="1"/>
  <c r="N93" i="4"/>
  <c r="F93" i="4"/>
  <c r="V93" i="4"/>
  <c r="AM93" i="5" s="1"/>
  <c r="M93" i="4"/>
  <c r="E93" i="4"/>
  <c r="P61" i="4"/>
  <c r="H61" i="4"/>
  <c r="O61" i="4"/>
  <c r="G61" i="4"/>
  <c r="W61" i="4"/>
  <c r="AN61" i="5" s="1"/>
  <c r="N61" i="4"/>
  <c r="F61" i="4"/>
  <c r="V61" i="4"/>
  <c r="AM61" i="5" s="1"/>
  <c r="M61" i="4"/>
  <c r="E61" i="4"/>
  <c r="Q61" i="4"/>
  <c r="R81" i="4"/>
  <c r="J81" i="4"/>
  <c r="B81" i="4"/>
  <c r="P81" i="4"/>
  <c r="H81" i="4"/>
  <c r="O81" i="4"/>
  <c r="G81" i="4"/>
  <c r="W81" i="4"/>
  <c r="AN81" i="5" s="1"/>
  <c r="N81" i="4"/>
  <c r="F81" i="4"/>
  <c r="V81" i="4"/>
  <c r="AM81" i="5" s="1"/>
  <c r="M81" i="4"/>
  <c r="E81" i="4"/>
  <c r="L43" i="4"/>
  <c r="D43" i="4"/>
  <c r="S43" i="4"/>
  <c r="K43" i="4"/>
  <c r="C43" i="4"/>
  <c r="R43" i="4"/>
  <c r="J43" i="4"/>
  <c r="B43" i="4"/>
  <c r="O43" i="4"/>
  <c r="C44" i="4"/>
  <c r="Q44" i="4"/>
  <c r="M47" i="4"/>
  <c r="P53" i="4"/>
  <c r="H53" i="4"/>
  <c r="O53" i="4"/>
  <c r="G53" i="4"/>
  <c r="W53" i="4"/>
  <c r="AN53" i="5" s="1"/>
  <c r="N53" i="4"/>
  <c r="F53" i="4"/>
  <c r="L53" i="4"/>
  <c r="J57" i="4"/>
  <c r="V57" i="4"/>
  <c r="AM57" i="5" s="1"/>
  <c r="B61" i="4"/>
  <c r="R61" i="4"/>
  <c r="W68" i="4"/>
  <c r="AN68" i="5" s="1"/>
  <c r="N68" i="4"/>
  <c r="F68" i="4"/>
  <c r="V68" i="4"/>
  <c r="AM68" i="5" s="1"/>
  <c r="M68" i="4"/>
  <c r="E68" i="4"/>
  <c r="L68" i="4"/>
  <c r="D68" i="4"/>
  <c r="S68" i="4"/>
  <c r="K68" i="4"/>
  <c r="C68" i="4"/>
  <c r="B77" i="4"/>
  <c r="C81" i="4"/>
  <c r="P88" i="4"/>
  <c r="H88" i="4"/>
  <c r="W88" i="4"/>
  <c r="AN88" i="5" s="1"/>
  <c r="N88" i="4"/>
  <c r="F88" i="4"/>
  <c r="V88" i="4"/>
  <c r="AM88" i="5" s="1"/>
  <c r="M88" i="4"/>
  <c r="E88" i="4"/>
  <c r="L88" i="4"/>
  <c r="D88" i="4"/>
  <c r="S88" i="4"/>
  <c r="K88" i="4"/>
  <c r="C88" i="4"/>
  <c r="R97" i="4"/>
  <c r="J97" i="4"/>
  <c r="B97" i="4"/>
  <c r="P97" i="4"/>
  <c r="H97" i="4"/>
  <c r="O97" i="4"/>
  <c r="G97" i="4"/>
  <c r="W97" i="4"/>
  <c r="AN97" i="5" s="1"/>
  <c r="N97" i="4"/>
  <c r="F97" i="4"/>
  <c r="V97" i="4"/>
  <c r="AM97" i="5" s="1"/>
  <c r="M97" i="4"/>
  <c r="E97" i="4"/>
  <c r="L97" i="4"/>
  <c r="D97" i="4"/>
  <c r="P77" i="4"/>
  <c r="H77" i="4"/>
  <c r="O77" i="4"/>
  <c r="G77" i="4"/>
  <c r="W77" i="4"/>
  <c r="AN77" i="5" s="1"/>
  <c r="N77" i="4"/>
  <c r="F77" i="4"/>
  <c r="V77" i="4"/>
  <c r="AM77" i="5" s="1"/>
  <c r="M77" i="4"/>
  <c r="E77" i="4"/>
  <c r="W48" i="4"/>
  <c r="AN48" i="5" s="1"/>
  <c r="N48" i="4"/>
  <c r="F48" i="4"/>
  <c r="V48" i="4"/>
  <c r="AM48" i="5" s="1"/>
  <c r="M48" i="4"/>
  <c r="E48" i="4"/>
  <c r="L48" i="4"/>
  <c r="D48" i="4"/>
  <c r="O48" i="4"/>
  <c r="C49" i="4"/>
  <c r="Q49" i="4"/>
  <c r="J52" i="4"/>
  <c r="Q68" i="4"/>
  <c r="I40" i="4"/>
  <c r="E43" i="4"/>
  <c r="P43" i="4"/>
  <c r="G44" i="4"/>
  <c r="R44" i="4"/>
  <c r="I45" i="4"/>
  <c r="B48" i="4"/>
  <c r="P48" i="4"/>
  <c r="D49" i="4"/>
  <c r="R49" i="4"/>
  <c r="I51" i="4"/>
  <c r="W51" i="4"/>
  <c r="AN51" i="5" s="1"/>
  <c r="B53" i="4"/>
  <c r="M53" i="4"/>
  <c r="G55" i="4"/>
  <c r="I56" i="4"/>
  <c r="J60" i="4"/>
  <c r="C61" i="4"/>
  <c r="S61" i="4"/>
  <c r="H64" i="4"/>
  <c r="P65" i="4"/>
  <c r="H65" i="4"/>
  <c r="O65" i="4"/>
  <c r="G65" i="4"/>
  <c r="W65" i="4"/>
  <c r="AN65" i="5" s="1"/>
  <c r="N65" i="4"/>
  <c r="F65" i="4"/>
  <c r="V65" i="4"/>
  <c r="AM65" i="5" s="1"/>
  <c r="M65" i="4"/>
  <c r="E65" i="4"/>
  <c r="Q65" i="4"/>
  <c r="B68" i="4"/>
  <c r="R68" i="4"/>
  <c r="I73" i="4"/>
  <c r="J76" i="4"/>
  <c r="C77" i="4"/>
  <c r="S77" i="4"/>
  <c r="I80" i="4"/>
  <c r="D81" i="4"/>
  <c r="L85" i="4"/>
  <c r="B88" i="4"/>
  <c r="R89" i="4"/>
  <c r="J89" i="4"/>
  <c r="B89" i="4"/>
  <c r="P89" i="4"/>
  <c r="H89" i="4"/>
  <c r="O89" i="4"/>
  <c r="G89" i="4"/>
  <c r="W89" i="4"/>
  <c r="AN89" i="5" s="1"/>
  <c r="N89" i="4"/>
  <c r="F89" i="4"/>
  <c r="V89" i="4"/>
  <c r="AM89" i="5" s="1"/>
  <c r="M89" i="4"/>
  <c r="E89" i="4"/>
  <c r="J92" i="4"/>
  <c r="I93" i="4"/>
  <c r="C97" i="4"/>
  <c r="Q77" i="4"/>
  <c r="L47" i="4"/>
  <c r="D47" i="4"/>
  <c r="S47" i="4"/>
  <c r="K47" i="4"/>
  <c r="C47" i="4"/>
  <c r="R47" i="4"/>
  <c r="J47" i="4"/>
  <c r="B47" i="4"/>
  <c r="O47" i="4"/>
  <c r="C48" i="4"/>
  <c r="Q48" i="4"/>
  <c r="E49" i="4"/>
  <c r="S49" i="4"/>
  <c r="P57" i="4"/>
  <c r="H57" i="4"/>
  <c r="O57" i="4"/>
  <c r="G57" i="4"/>
  <c r="W57" i="4"/>
  <c r="AN57" i="5" s="1"/>
  <c r="N57" i="4"/>
  <c r="F57" i="4"/>
  <c r="L57" i="4"/>
  <c r="D61" i="4"/>
  <c r="G68" i="4"/>
  <c r="W72" i="4"/>
  <c r="AN72" i="5" s="1"/>
  <c r="N72" i="4"/>
  <c r="F72" i="4"/>
  <c r="V72" i="4"/>
  <c r="AM72" i="5" s="1"/>
  <c r="M72" i="4"/>
  <c r="E72" i="4"/>
  <c r="L72" i="4"/>
  <c r="D72" i="4"/>
  <c r="S72" i="4"/>
  <c r="K72" i="4"/>
  <c r="C72" i="4"/>
  <c r="Q72" i="4"/>
  <c r="D77" i="4"/>
  <c r="I81" i="4"/>
  <c r="G88" i="4"/>
  <c r="P96" i="4"/>
  <c r="H96" i="4"/>
  <c r="W96" i="4"/>
  <c r="AN96" i="5" s="1"/>
  <c r="N96" i="4"/>
  <c r="F96" i="4"/>
  <c r="V96" i="4"/>
  <c r="AM96" i="5" s="1"/>
  <c r="M96" i="4"/>
  <c r="E96" i="4"/>
  <c r="L96" i="4"/>
  <c r="D96" i="4"/>
  <c r="S96" i="4"/>
  <c r="K96" i="4"/>
  <c r="C96" i="4"/>
  <c r="R96" i="4"/>
  <c r="J96" i="4"/>
  <c r="B96" i="4"/>
  <c r="I97" i="4"/>
  <c r="P100" i="4"/>
  <c r="H100" i="4"/>
  <c r="O100" i="4"/>
  <c r="G100" i="4"/>
  <c r="W100" i="4"/>
  <c r="AN100" i="5" s="1"/>
  <c r="N100" i="4"/>
  <c r="F100" i="4"/>
  <c r="V100" i="4"/>
  <c r="AM100" i="5" s="1"/>
  <c r="M100" i="4"/>
  <c r="E100" i="4"/>
  <c r="L100" i="4"/>
  <c r="D100" i="4"/>
  <c r="S100" i="4"/>
  <c r="K100" i="4"/>
  <c r="C100" i="4"/>
  <c r="R100" i="4"/>
  <c r="J100" i="4"/>
  <c r="B100" i="4"/>
  <c r="P41" i="4"/>
  <c r="H41" i="4"/>
  <c r="O41" i="4"/>
  <c r="G41" i="4"/>
  <c r="W41" i="4"/>
  <c r="AN41" i="5" s="1"/>
  <c r="N41" i="4"/>
  <c r="F41" i="4"/>
  <c r="L41" i="4"/>
  <c r="F43" i="4"/>
  <c r="Q43" i="4"/>
  <c r="H44" i="4"/>
  <c r="S44" i="4"/>
  <c r="J45" i="4"/>
  <c r="V45" i="4"/>
  <c r="AM45" i="5" s="1"/>
  <c r="W52" i="4"/>
  <c r="AN52" i="5" s="1"/>
  <c r="N52" i="4"/>
  <c r="F52" i="4"/>
  <c r="V52" i="4"/>
  <c r="AM52" i="5" s="1"/>
  <c r="M52" i="4"/>
  <c r="E52" i="4"/>
  <c r="L52" i="4"/>
  <c r="D52" i="4"/>
  <c r="O52" i="4"/>
  <c r="C53" i="4"/>
  <c r="Q53" i="4"/>
  <c r="H55" i="4"/>
  <c r="V55" i="4"/>
  <c r="AM55" i="5" s="1"/>
  <c r="B41" i="4"/>
  <c r="M41" i="4"/>
  <c r="G43" i="4"/>
  <c r="I44" i="4"/>
  <c r="E47" i="4"/>
  <c r="P47" i="4"/>
  <c r="G48" i="4"/>
  <c r="R48" i="4"/>
  <c r="I49" i="4"/>
  <c r="B52" i="4"/>
  <c r="P52" i="4"/>
  <c r="D53" i="4"/>
  <c r="R53" i="4"/>
  <c r="I55" i="4"/>
  <c r="W55" i="4"/>
  <c r="AN55" i="5" s="1"/>
  <c r="B57" i="4"/>
  <c r="M57" i="4"/>
  <c r="I61" i="4"/>
  <c r="J64" i="4"/>
  <c r="H68" i="4"/>
  <c r="P69" i="4"/>
  <c r="H69" i="4"/>
  <c r="O69" i="4"/>
  <c r="G69" i="4"/>
  <c r="W69" i="4"/>
  <c r="AN69" i="5" s="1"/>
  <c r="N69" i="4"/>
  <c r="F69" i="4"/>
  <c r="V69" i="4"/>
  <c r="AM69" i="5" s="1"/>
  <c r="M69" i="4"/>
  <c r="E69" i="4"/>
  <c r="Q69" i="4"/>
  <c r="B72" i="4"/>
  <c r="R72" i="4"/>
  <c r="K73" i="4"/>
  <c r="I77" i="4"/>
  <c r="O80" i="4"/>
  <c r="K81" i="4"/>
  <c r="P84" i="4"/>
  <c r="H84" i="4"/>
  <c r="W84" i="4"/>
  <c r="AN84" i="5" s="1"/>
  <c r="N84" i="4"/>
  <c r="F84" i="4"/>
  <c r="V84" i="4"/>
  <c r="AM84" i="5" s="1"/>
  <c r="M84" i="4"/>
  <c r="E84" i="4"/>
  <c r="L84" i="4"/>
  <c r="D84" i="4"/>
  <c r="S84" i="4"/>
  <c r="K84" i="4"/>
  <c r="C84" i="4"/>
  <c r="I88" i="4"/>
  <c r="D89" i="4"/>
  <c r="Q92" i="4"/>
  <c r="L93" i="4"/>
  <c r="G96" i="4"/>
  <c r="K97" i="4"/>
  <c r="I100" i="4"/>
  <c r="P45" i="4"/>
  <c r="H45" i="4"/>
  <c r="O45" i="4"/>
  <c r="G45" i="4"/>
  <c r="W45" i="4"/>
  <c r="AN45" i="5" s="1"/>
  <c r="N45" i="4"/>
  <c r="F45" i="4"/>
  <c r="L45" i="4"/>
  <c r="L51" i="4"/>
  <c r="D51" i="4"/>
  <c r="S51" i="4"/>
  <c r="K51" i="4"/>
  <c r="C51" i="4"/>
  <c r="R51" i="4"/>
  <c r="J51" i="4"/>
  <c r="B51" i="4"/>
  <c r="O51" i="4"/>
  <c r="C52" i="4"/>
  <c r="Q52" i="4"/>
  <c r="E53" i="4"/>
  <c r="S53" i="4"/>
  <c r="M55" i="4"/>
  <c r="W56" i="4"/>
  <c r="AN56" i="5" s="1"/>
  <c r="N56" i="4"/>
  <c r="F56" i="4"/>
  <c r="V56" i="4"/>
  <c r="AM56" i="5" s="1"/>
  <c r="M56" i="4"/>
  <c r="E56" i="4"/>
  <c r="L56" i="4"/>
  <c r="D56" i="4"/>
  <c r="O56" i="4"/>
  <c r="C57" i="4"/>
  <c r="Q57" i="4"/>
  <c r="W60" i="4"/>
  <c r="AN60" i="5" s="1"/>
  <c r="N60" i="4"/>
  <c r="F60" i="4"/>
  <c r="V60" i="4"/>
  <c r="AM60" i="5" s="1"/>
  <c r="M60" i="4"/>
  <c r="E60" i="4"/>
  <c r="L60" i="4"/>
  <c r="D60" i="4"/>
  <c r="S60" i="4"/>
  <c r="K60" i="4"/>
  <c r="C60" i="4"/>
  <c r="Q60" i="4"/>
  <c r="J61" i="4"/>
  <c r="O64" i="4"/>
  <c r="I68" i="4"/>
  <c r="G72" i="4"/>
  <c r="W76" i="4"/>
  <c r="AN76" i="5" s="1"/>
  <c r="N76" i="4"/>
  <c r="F76" i="4"/>
  <c r="V76" i="4"/>
  <c r="AM76" i="5" s="1"/>
  <c r="M76" i="4"/>
  <c r="E76" i="4"/>
  <c r="L76" i="4"/>
  <c r="D76" i="4"/>
  <c r="S76" i="4"/>
  <c r="K76" i="4"/>
  <c r="C76" i="4"/>
  <c r="Q76" i="4"/>
  <c r="J77" i="4"/>
  <c r="Q80" i="4"/>
  <c r="L81" i="4"/>
  <c r="R85" i="4"/>
  <c r="J85" i="4"/>
  <c r="B85" i="4"/>
  <c r="P85" i="4"/>
  <c r="H85" i="4"/>
  <c r="O85" i="4"/>
  <c r="G85" i="4"/>
  <c r="W85" i="4"/>
  <c r="AN85" i="5" s="1"/>
  <c r="N85" i="4"/>
  <c r="F85" i="4"/>
  <c r="V85" i="4"/>
  <c r="AM85" i="5" s="1"/>
  <c r="M85" i="4"/>
  <c r="E85" i="4"/>
  <c r="J88" i="4"/>
  <c r="I89" i="4"/>
  <c r="Q93" i="4"/>
  <c r="I96" i="4"/>
  <c r="Q97" i="4"/>
  <c r="Q100" i="4"/>
  <c r="X4" i="5"/>
  <c r="M3" i="4"/>
  <c r="I3" i="2"/>
  <c r="W40" i="4"/>
  <c r="AN40" i="5" s="1"/>
  <c r="N40" i="4"/>
  <c r="F40" i="4"/>
  <c r="V40" i="4"/>
  <c r="AM40" i="5" s="1"/>
  <c r="M40" i="4"/>
  <c r="E40" i="4"/>
  <c r="L40" i="4"/>
  <c r="D40" i="4"/>
  <c r="O40" i="4"/>
  <c r="C41" i="4"/>
  <c r="Q41" i="4"/>
  <c r="H43" i="4"/>
  <c r="V43" i="4"/>
  <c r="AM43" i="5" s="1"/>
  <c r="J44" i="4"/>
  <c r="F47" i="4"/>
  <c r="Q47" i="4"/>
  <c r="H48" i="4"/>
  <c r="S48" i="4"/>
  <c r="J49" i="4"/>
  <c r="V49" i="4"/>
  <c r="AM49" i="5" s="1"/>
  <c r="B40" i="4"/>
  <c r="P40" i="4"/>
  <c r="D41" i="4"/>
  <c r="R41" i="4"/>
  <c r="I43" i="4"/>
  <c r="W43" i="4"/>
  <c r="AN43" i="5" s="1"/>
  <c r="K44" i="4"/>
  <c r="B45" i="4"/>
  <c r="M45" i="4"/>
  <c r="G47" i="4"/>
  <c r="I48" i="4"/>
  <c r="K49" i="4"/>
  <c r="E51" i="4"/>
  <c r="P51" i="4"/>
  <c r="G52" i="4"/>
  <c r="R52" i="4"/>
  <c r="I53" i="4"/>
  <c r="N55" i="4"/>
  <c r="B56" i="4"/>
  <c r="P56" i="4"/>
  <c r="D57" i="4"/>
  <c r="R57" i="4"/>
  <c r="B60" i="4"/>
  <c r="R60" i="4"/>
  <c r="K61" i="4"/>
  <c r="P64" i="4"/>
  <c r="J68" i="4"/>
  <c r="H72" i="4"/>
  <c r="P73" i="4"/>
  <c r="H73" i="4"/>
  <c r="O73" i="4"/>
  <c r="G73" i="4"/>
  <c r="W73" i="4"/>
  <c r="AN73" i="5" s="1"/>
  <c r="N73" i="4"/>
  <c r="F73" i="4"/>
  <c r="V73" i="4"/>
  <c r="AM73" i="5" s="1"/>
  <c r="M73" i="4"/>
  <c r="E73" i="4"/>
  <c r="Q73" i="4"/>
  <c r="B76" i="4"/>
  <c r="R76" i="4"/>
  <c r="K77" i="4"/>
  <c r="R80" i="4"/>
  <c r="Q81" i="4"/>
  <c r="O88" i="4"/>
  <c r="P92" i="4"/>
  <c r="H92" i="4"/>
  <c r="W92" i="4"/>
  <c r="AN92" i="5" s="1"/>
  <c r="N92" i="4"/>
  <c r="F92" i="4"/>
  <c r="V92" i="4"/>
  <c r="AM92" i="5" s="1"/>
  <c r="M92" i="4"/>
  <c r="E92" i="4"/>
  <c r="L92" i="4"/>
  <c r="D92" i="4"/>
  <c r="S92" i="4"/>
  <c r="K92" i="4"/>
  <c r="C92" i="4"/>
  <c r="S93" i="4"/>
  <c r="O96" i="4"/>
  <c r="S97" i="4"/>
  <c r="I104" i="4"/>
  <c r="Q104" i="4"/>
  <c r="I108" i="4"/>
  <c r="Q108" i="4"/>
  <c r="I112" i="4"/>
  <c r="Q112" i="4"/>
  <c r="D101" i="4"/>
  <c r="L101" i="4"/>
  <c r="B104" i="4"/>
  <c r="J104" i="4"/>
  <c r="R104" i="4"/>
  <c r="D105" i="4"/>
  <c r="L105" i="4"/>
  <c r="B108" i="4"/>
  <c r="J108" i="4"/>
  <c r="R108" i="4"/>
  <c r="B112" i="4"/>
  <c r="J112" i="4"/>
  <c r="R112" i="4"/>
  <c r="I59" i="4"/>
  <c r="Q59" i="4"/>
  <c r="I63" i="4"/>
  <c r="I67" i="4"/>
  <c r="Q67" i="4"/>
  <c r="I75" i="4"/>
  <c r="Q75" i="4"/>
  <c r="I83" i="4"/>
  <c r="Q83" i="4"/>
  <c r="I91" i="4"/>
  <c r="Q91" i="4"/>
  <c r="I95" i="4"/>
  <c r="Q95" i="4"/>
  <c r="I99" i="4"/>
  <c r="Q99" i="4"/>
  <c r="E101" i="4"/>
  <c r="M101" i="4"/>
  <c r="V101" i="4"/>
  <c r="AM101" i="5" s="1"/>
  <c r="I103" i="4"/>
  <c r="Q103" i="4"/>
  <c r="C104" i="4"/>
  <c r="K104" i="4"/>
  <c r="S104" i="4"/>
  <c r="E105" i="4"/>
  <c r="M105" i="4"/>
  <c r="V105" i="4"/>
  <c r="AM105" i="5" s="1"/>
  <c r="I107" i="4"/>
  <c r="Q107" i="4"/>
  <c r="C108" i="4"/>
  <c r="K108" i="4"/>
  <c r="S108" i="4"/>
  <c r="E109" i="4"/>
  <c r="M109" i="4"/>
  <c r="V109" i="4"/>
  <c r="AM109" i="5" s="1"/>
  <c r="I111" i="4"/>
  <c r="Q111" i="4"/>
  <c r="C112" i="4"/>
  <c r="K112" i="4"/>
  <c r="S112" i="4"/>
  <c r="E113" i="4"/>
  <c r="M113" i="4"/>
  <c r="V113" i="4"/>
  <c r="AM113" i="5" s="1"/>
  <c r="F116" i="4"/>
  <c r="P116" i="4"/>
  <c r="D117" i="4"/>
  <c r="P117" i="4"/>
  <c r="J120" i="4"/>
  <c r="F124" i="4"/>
  <c r="P124" i="4"/>
  <c r="Q63" i="4"/>
  <c r="I71" i="4"/>
  <c r="Q71" i="4"/>
  <c r="I79" i="4"/>
  <c r="Q79" i="4"/>
  <c r="I87" i="4"/>
  <c r="Q87" i="4"/>
  <c r="H42" i="4"/>
  <c r="P42" i="4"/>
  <c r="H46" i="4"/>
  <c r="P46" i="4"/>
  <c r="H50" i="4"/>
  <c r="P50" i="4"/>
  <c r="H54" i="4"/>
  <c r="P54" i="4"/>
  <c r="H58" i="4"/>
  <c r="P58" i="4"/>
  <c r="B59" i="4"/>
  <c r="J59" i="4"/>
  <c r="R59" i="4"/>
  <c r="H62" i="4"/>
  <c r="P62" i="4"/>
  <c r="B63" i="4"/>
  <c r="J63" i="4"/>
  <c r="R63" i="4"/>
  <c r="H66" i="4"/>
  <c r="P66" i="4"/>
  <c r="B67" i="4"/>
  <c r="J67" i="4"/>
  <c r="R67" i="4"/>
  <c r="H70" i="4"/>
  <c r="P70" i="4"/>
  <c r="B71" i="4"/>
  <c r="J71" i="4"/>
  <c r="R71" i="4"/>
  <c r="H74" i="4"/>
  <c r="P74" i="4"/>
  <c r="B75" i="4"/>
  <c r="J75" i="4"/>
  <c r="R75" i="4"/>
  <c r="H78" i="4"/>
  <c r="P78" i="4"/>
  <c r="B79" i="4"/>
  <c r="J79" i="4"/>
  <c r="R79" i="4"/>
  <c r="H82" i="4"/>
  <c r="P82" i="4"/>
  <c r="B83" i="4"/>
  <c r="J83" i="4"/>
  <c r="R83" i="4"/>
  <c r="H86" i="4"/>
  <c r="P86" i="4"/>
  <c r="B87" i="4"/>
  <c r="J87" i="4"/>
  <c r="R87" i="4"/>
  <c r="H90" i="4"/>
  <c r="P90" i="4"/>
  <c r="B91" i="4"/>
  <c r="J91" i="4"/>
  <c r="R91" i="4"/>
  <c r="H94" i="4"/>
  <c r="P94" i="4"/>
  <c r="B95" i="4"/>
  <c r="J95" i="4"/>
  <c r="R95" i="4"/>
  <c r="H98" i="4"/>
  <c r="P98" i="4"/>
  <c r="B99" i="4"/>
  <c r="J99" i="4"/>
  <c r="R99" i="4"/>
  <c r="F101" i="4"/>
  <c r="N101" i="4"/>
  <c r="W101" i="4"/>
  <c r="AN101" i="5" s="1"/>
  <c r="H102" i="4"/>
  <c r="P102" i="4"/>
  <c r="B103" i="4"/>
  <c r="J103" i="4"/>
  <c r="R103" i="4"/>
  <c r="D104" i="4"/>
  <c r="L104" i="4"/>
  <c r="F105" i="4"/>
  <c r="N105" i="4"/>
  <c r="W105" i="4"/>
  <c r="AN105" i="5" s="1"/>
  <c r="H106" i="4"/>
  <c r="P106" i="4"/>
  <c r="B107" i="4"/>
  <c r="J107" i="4"/>
  <c r="R107" i="4"/>
  <c r="D108" i="4"/>
  <c r="L108" i="4"/>
  <c r="F109" i="4"/>
  <c r="N109" i="4"/>
  <c r="W109" i="4"/>
  <c r="AN109" i="5" s="1"/>
  <c r="H110" i="4"/>
  <c r="P110" i="4"/>
  <c r="B111" i="4"/>
  <c r="J111" i="4"/>
  <c r="R111" i="4"/>
  <c r="D112" i="4"/>
  <c r="L112" i="4"/>
  <c r="F113" i="4"/>
  <c r="N113" i="4"/>
  <c r="W113" i="4"/>
  <c r="AN113" i="5" s="1"/>
  <c r="G116" i="4"/>
  <c r="Q116" i="4"/>
  <c r="F117" i="4"/>
  <c r="Q117" i="4"/>
  <c r="V120" i="4"/>
  <c r="AM120" i="5" s="1"/>
  <c r="M120" i="4"/>
  <c r="E120" i="4"/>
  <c r="S120" i="4"/>
  <c r="K120" i="4"/>
  <c r="C120" i="4"/>
  <c r="L120" i="4"/>
  <c r="O121" i="4"/>
  <c r="G121" i="4"/>
  <c r="V121" i="4"/>
  <c r="AM121" i="5" s="1"/>
  <c r="M121" i="4"/>
  <c r="E121" i="4"/>
  <c r="K121" i="4"/>
  <c r="W121" i="4"/>
  <c r="AN121" i="5" s="1"/>
  <c r="G124" i="4"/>
  <c r="Q124" i="4"/>
  <c r="F125" i="4"/>
  <c r="Q125" i="4"/>
  <c r="I42" i="4"/>
  <c r="Q42" i="4"/>
  <c r="I50" i="4"/>
  <c r="Q50" i="4"/>
  <c r="I58" i="4"/>
  <c r="Q58" i="4"/>
  <c r="C59" i="4"/>
  <c r="K59" i="4"/>
  <c r="S59" i="4"/>
  <c r="I66" i="4"/>
  <c r="Q66" i="4"/>
  <c r="C67" i="4"/>
  <c r="K67" i="4"/>
  <c r="S67" i="4"/>
  <c r="I74" i="4"/>
  <c r="Q74" i="4"/>
  <c r="C75" i="4"/>
  <c r="K75" i="4"/>
  <c r="S75" i="4"/>
  <c r="I82" i="4"/>
  <c r="Q82" i="4"/>
  <c r="C83" i="4"/>
  <c r="K83" i="4"/>
  <c r="S83" i="4"/>
  <c r="I90" i="4"/>
  <c r="Q90" i="4"/>
  <c r="C91" i="4"/>
  <c r="K91" i="4"/>
  <c r="S91" i="4"/>
  <c r="I94" i="4"/>
  <c r="Q94" i="4"/>
  <c r="C95" i="4"/>
  <c r="K95" i="4"/>
  <c r="S95" i="4"/>
  <c r="I98" i="4"/>
  <c r="Q98" i="4"/>
  <c r="C99" i="4"/>
  <c r="K99" i="4"/>
  <c r="S99" i="4"/>
  <c r="G101" i="4"/>
  <c r="O101" i="4"/>
  <c r="I102" i="4"/>
  <c r="Q102" i="4"/>
  <c r="C103" i="4"/>
  <c r="K103" i="4"/>
  <c r="S103" i="4"/>
  <c r="E104" i="4"/>
  <c r="M104" i="4"/>
  <c r="V104" i="4"/>
  <c r="AM104" i="5" s="1"/>
  <c r="G105" i="4"/>
  <c r="O105" i="4"/>
  <c r="I106" i="4"/>
  <c r="Q106" i="4"/>
  <c r="C107" i="4"/>
  <c r="K107" i="4"/>
  <c r="S107" i="4"/>
  <c r="E108" i="4"/>
  <c r="M108" i="4"/>
  <c r="V108" i="4"/>
  <c r="AM108" i="5" s="1"/>
  <c r="G109" i="4"/>
  <c r="O109" i="4"/>
  <c r="I110" i="4"/>
  <c r="Q110" i="4"/>
  <c r="C111" i="4"/>
  <c r="K111" i="4"/>
  <c r="S111" i="4"/>
  <c r="E112" i="4"/>
  <c r="M112" i="4"/>
  <c r="V112" i="4"/>
  <c r="AM112" i="5" s="1"/>
  <c r="G113" i="4"/>
  <c r="O113" i="4"/>
  <c r="H116" i="4"/>
  <c r="R116" i="4"/>
  <c r="H117" i="4"/>
  <c r="R117" i="4"/>
  <c r="B120" i="4"/>
  <c r="N120" i="4"/>
  <c r="H124" i="4"/>
  <c r="R124" i="4"/>
  <c r="H125" i="4"/>
  <c r="R125" i="4"/>
  <c r="I46" i="4"/>
  <c r="Q46" i="4"/>
  <c r="I54" i="4"/>
  <c r="Q54" i="4"/>
  <c r="I62" i="4"/>
  <c r="Q62" i="4"/>
  <c r="C63" i="4"/>
  <c r="K63" i="4"/>
  <c r="S63" i="4"/>
  <c r="I70" i="4"/>
  <c r="Q70" i="4"/>
  <c r="C71" i="4"/>
  <c r="K71" i="4"/>
  <c r="S71" i="4"/>
  <c r="I78" i="4"/>
  <c r="Q78" i="4"/>
  <c r="C79" i="4"/>
  <c r="K79" i="4"/>
  <c r="S79" i="4"/>
  <c r="I86" i="4"/>
  <c r="Q86" i="4"/>
  <c r="C87" i="4"/>
  <c r="K87" i="4"/>
  <c r="S87" i="4"/>
  <c r="B42" i="4"/>
  <c r="J42" i="4"/>
  <c r="B46" i="4"/>
  <c r="J46" i="4"/>
  <c r="B50" i="4"/>
  <c r="J50" i="4"/>
  <c r="B54" i="4"/>
  <c r="J54" i="4"/>
  <c r="B58" i="4"/>
  <c r="J58" i="4"/>
  <c r="D59" i="4"/>
  <c r="B62" i="4"/>
  <c r="J62" i="4"/>
  <c r="D63" i="4"/>
  <c r="B66" i="4"/>
  <c r="J66" i="4"/>
  <c r="D67" i="4"/>
  <c r="B70" i="4"/>
  <c r="J70" i="4"/>
  <c r="D71" i="4"/>
  <c r="B74" i="4"/>
  <c r="J74" i="4"/>
  <c r="D75" i="4"/>
  <c r="B78" i="4"/>
  <c r="J78" i="4"/>
  <c r="D79" i="4"/>
  <c r="B82" i="4"/>
  <c r="J82" i="4"/>
  <c r="D83" i="4"/>
  <c r="B86" i="4"/>
  <c r="J86" i="4"/>
  <c r="D87" i="4"/>
  <c r="B90" i="4"/>
  <c r="J90" i="4"/>
  <c r="D91" i="4"/>
  <c r="B94" i="4"/>
  <c r="J94" i="4"/>
  <c r="D95" i="4"/>
  <c r="B98" i="4"/>
  <c r="J98" i="4"/>
  <c r="D99" i="4"/>
  <c r="H101" i="4"/>
  <c r="P101" i="4"/>
  <c r="B102" i="4"/>
  <c r="J102" i="4"/>
  <c r="D103" i="4"/>
  <c r="F104" i="4"/>
  <c r="N104" i="4"/>
  <c r="W104" i="4"/>
  <c r="AN104" i="5" s="1"/>
  <c r="H105" i="4"/>
  <c r="P105" i="4"/>
  <c r="B106" i="4"/>
  <c r="J106" i="4"/>
  <c r="D107" i="4"/>
  <c r="F108" i="4"/>
  <c r="N108" i="4"/>
  <c r="W108" i="4"/>
  <c r="AN108" i="5" s="1"/>
  <c r="H109" i="4"/>
  <c r="P109" i="4"/>
  <c r="B110" i="4"/>
  <c r="J110" i="4"/>
  <c r="D111" i="4"/>
  <c r="F112" i="4"/>
  <c r="N112" i="4"/>
  <c r="W112" i="4"/>
  <c r="AN112" i="5" s="1"/>
  <c r="H113" i="4"/>
  <c r="P113" i="4"/>
  <c r="I116" i="4"/>
  <c r="I117" i="4"/>
  <c r="D120" i="4"/>
  <c r="O120" i="4"/>
  <c r="C121" i="4"/>
  <c r="N121" i="4"/>
  <c r="I124" i="4"/>
  <c r="I125" i="4"/>
  <c r="I101" i="4"/>
  <c r="Q101" i="4"/>
  <c r="G104" i="4"/>
  <c r="O104" i="4"/>
  <c r="I105" i="4"/>
  <c r="Q105" i="4"/>
  <c r="G108" i="4"/>
  <c r="O108" i="4"/>
  <c r="I109" i="4"/>
  <c r="Q109" i="4"/>
  <c r="G112" i="4"/>
  <c r="O112" i="4"/>
  <c r="I113" i="4"/>
  <c r="Q113" i="4"/>
  <c r="J116" i="4"/>
  <c r="J124" i="4"/>
  <c r="B101" i="4"/>
  <c r="J101" i="4"/>
  <c r="H104" i="4"/>
  <c r="B105" i="4"/>
  <c r="J105" i="4"/>
  <c r="H108" i="4"/>
  <c r="B109" i="4"/>
  <c r="J109" i="4"/>
  <c r="H112" i="4"/>
  <c r="B113" i="4"/>
  <c r="J113" i="4"/>
  <c r="V116" i="4"/>
  <c r="AM116" i="5" s="1"/>
  <c r="M116" i="4"/>
  <c r="E116" i="4"/>
  <c r="S116" i="4"/>
  <c r="K116" i="4"/>
  <c r="C116" i="4"/>
  <c r="L116" i="4"/>
  <c r="O117" i="4"/>
  <c r="G117" i="4"/>
  <c r="V117" i="4"/>
  <c r="AM117" i="5" s="1"/>
  <c r="M117" i="4"/>
  <c r="E117" i="4"/>
  <c r="K117" i="4"/>
  <c r="W117" i="4"/>
  <c r="AN117" i="5" s="1"/>
  <c r="G120" i="4"/>
  <c r="Q120" i="4"/>
  <c r="V124" i="4"/>
  <c r="AM124" i="5" s="1"/>
  <c r="M124" i="4"/>
  <c r="E124" i="4"/>
  <c r="S124" i="4"/>
  <c r="K124" i="4"/>
  <c r="C124" i="4"/>
  <c r="L124" i="4"/>
  <c r="O125" i="4"/>
  <c r="G125" i="4"/>
  <c r="V125" i="4"/>
  <c r="AM125" i="5" s="1"/>
  <c r="M125" i="4"/>
  <c r="E125" i="4"/>
  <c r="K125" i="4"/>
  <c r="W125" i="4"/>
  <c r="AN125" i="5" s="1"/>
  <c r="I128" i="4"/>
  <c r="Q128" i="4"/>
  <c r="L3" i="9"/>
  <c r="H5" i="9"/>
  <c r="B16" i="9"/>
  <c r="B17" i="9"/>
  <c r="H16" i="9"/>
  <c r="L2" i="9"/>
  <c r="B11" i="9"/>
  <c r="B20" i="9"/>
  <c r="H20" i="9"/>
  <c r="E20" i="9" s="1"/>
  <c r="G114" i="4"/>
  <c r="O114" i="4"/>
  <c r="I115" i="4"/>
  <c r="Q115" i="4"/>
  <c r="G118" i="4"/>
  <c r="O118" i="4"/>
  <c r="I119" i="4"/>
  <c r="Q119" i="4"/>
  <c r="G122" i="4"/>
  <c r="O122" i="4"/>
  <c r="I123" i="4"/>
  <c r="Q123" i="4"/>
  <c r="G126" i="4"/>
  <c r="O126" i="4"/>
  <c r="I127" i="4"/>
  <c r="Q127" i="4"/>
  <c r="C128" i="4"/>
  <c r="K128" i="4"/>
  <c r="S128" i="4"/>
  <c r="E129" i="4"/>
  <c r="M129" i="4"/>
  <c r="V129" i="4"/>
  <c r="AM129" i="5" s="1"/>
  <c r="I131" i="4"/>
  <c r="Q131" i="4"/>
  <c r="E133" i="4"/>
  <c r="M133" i="4"/>
  <c r="V133" i="4"/>
  <c r="AM133" i="5" s="1"/>
  <c r="I135" i="4"/>
  <c r="Q135" i="4"/>
  <c r="E137" i="4"/>
  <c r="M137" i="4"/>
  <c r="V137" i="4"/>
  <c r="AM137" i="5" s="1"/>
  <c r="I139" i="4"/>
  <c r="Q139" i="4"/>
  <c r="E141" i="4"/>
  <c r="M141" i="4"/>
  <c r="V141" i="4"/>
  <c r="AM141" i="5" s="1"/>
  <c r="I143" i="4"/>
  <c r="Q143" i="4"/>
  <c r="E145" i="4"/>
  <c r="M145" i="4"/>
  <c r="V145" i="4"/>
  <c r="AM145" i="5" s="1"/>
  <c r="H4" i="9"/>
  <c r="E4" i="9" s="1"/>
  <c r="B5" i="9"/>
  <c r="B6" i="9"/>
  <c r="B13" i="9"/>
  <c r="H13" i="9"/>
  <c r="E13" i="9" s="1"/>
  <c r="H19" i="9"/>
  <c r="H3" i="9"/>
  <c r="E3" i="9" s="1"/>
  <c r="H8" i="9"/>
  <c r="E8" i="9" s="1"/>
  <c r="I114" i="4"/>
  <c r="C115" i="4"/>
  <c r="K115" i="4"/>
  <c r="I118" i="4"/>
  <c r="C119" i="4"/>
  <c r="K119" i="4"/>
  <c r="I122" i="4"/>
  <c r="C123" i="4"/>
  <c r="K123" i="4"/>
  <c r="I126" i="4"/>
  <c r="C127" i="4"/>
  <c r="K127" i="4"/>
  <c r="E128" i="4"/>
  <c r="M128" i="4"/>
  <c r="V128" i="4"/>
  <c r="AM128" i="5" s="1"/>
  <c r="G129" i="4"/>
  <c r="O129" i="4"/>
  <c r="A130" i="4"/>
  <c r="C131" i="4"/>
  <c r="K131" i="4"/>
  <c r="G133" i="4"/>
  <c r="O133" i="4"/>
  <c r="C135" i="4"/>
  <c r="K135" i="4"/>
  <c r="G137" i="4"/>
  <c r="O137" i="4"/>
  <c r="C139" i="4"/>
  <c r="K139" i="4"/>
  <c r="G141" i="4"/>
  <c r="O141" i="4"/>
  <c r="C143" i="4"/>
  <c r="K143" i="4"/>
  <c r="G145" i="4"/>
  <c r="O145" i="4"/>
  <c r="H2" i="9"/>
  <c r="E2" i="9" s="1"/>
  <c r="N3" i="6"/>
  <c r="H3" i="6" s="1"/>
  <c r="N5" i="6"/>
  <c r="H5" i="6" s="1"/>
  <c r="N7" i="6"/>
  <c r="H7" i="6" s="1"/>
  <c r="L143" i="9"/>
  <c r="L73" i="9"/>
  <c r="B28" i="9"/>
  <c r="H28" i="9"/>
  <c r="E28" i="9" s="1"/>
  <c r="G128" i="4"/>
  <c r="I129" i="4"/>
  <c r="I133" i="4"/>
  <c r="I137" i="4"/>
  <c r="I141" i="4"/>
  <c r="I145" i="4"/>
  <c r="L142" i="9"/>
  <c r="L72" i="9"/>
  <c r="B8" i="9"/>
  <c r="L141" i="9"/>
  <c r="L71" i="9"/>
  <c r="H6" i="9"/>
  <c r="B9" i="9"/>
  <c r="H12" i="9"/>
  <c r="H21" i="9"/>
  <c r="E21" i="9" s="1"/>
  <c r="H29" i="9"/>
  <c r="E29" i="9" s="1"/>
  <c r="H37" i="9"/>
  <c r="E37" i="9" s="1"/>
  <c r="H44" i="9"/>
  <c r="E44" i="9" s="1"/>
  <c r="H45" i="9"/>
  <c r="E45" i="9" s="1"/>
  <c r="B48" i="9"/>
  <c r="H50" i="9"/>
  <c r="E50" i="9" s="1"/>
  <c r="B60" i="9"/>
  <c r="H60" i="9"/>
  <c r="E60" i="9" s="1"/>
  <c r="I68" i="9" a="1"/>
  <c r="I68" i="9" s="1"/>
  <c r="H36" i="9"/>
  <c r="E36" i="9" s="1"/>
  <c r="L203" i="9"/>
  <c r="L133" i="9"/>
  <c r="N63" i="9"/>
  <c r="H63" i="9"/>
  <c r="E63" i="9" s="1"/>
  <c r="M63" i="9" a="1"/>
  <c r="M63" i="9" s="1"/>
  <c r="D63" i="9" a="1"/>
  <c r="D63" i="9" s="1"/>
  <c r="F63" i="9" s="1"/>
  <c r="G63" i="9" s="1"/>
  <c r="Q63" i="9"/>
  <c r="P63" i="9" s="1"/>
  <c r="J63" i="9"/>
  <c r="L207" i="9"/>
  <c r="D67" i="9" a="1"/>
  <c r="D67" i="9" s="1"/>
  <c r="F67" i="9" s="1"/>
  <c r="G67" i="9" s="1"/>
  <c r="L137" i="9"/>
  <c r="Q67" i="9"/>
  <c r="P67" i="9" s="1"/>
  <c r="J67" i="9"/>
  <c r="N67" i="9"/>
  <c r="H67" i="9"/>
  <c r="E67" i="9" s="1"/>
  <c r="M67" i="9" a="1"/>
  <c r="M67" i="9" s="1"/>
  <c r="L67" i="9"/>
  <c r="J68" i="9"/>
  <c r="N76" i="9"/>
  <c r="H76" i="9"/>
  <c r="E76" i="9" s="1"/>
  <c r="M76" i="9" a="1"/>
  <c r="M76" i="9" s="1"/>
  <c r="D76" i="9" a="1"/>
  <c r="D76" i="9" s="1"/>
  <c r="F76" i="9" s="1"/>
  <c r="G76" i="9" s="1"/>
  <c r="Q76" i="9"/>
  <c r="P76" i="9" s="1"/>
  <c r="J76" i="9"/>
  <c r="B76" i="9"/>
  <c r="H27" i="9"/>
  <c r="E27" i="9" s="1"/>
  <c r="H35" i="9"/>
  <c r="E35" i="9" s="1"/>
  <c r="D74" i="9" a="1"/>
  <c r="D74" i="9" s="1"/>
  <c r="F74" i="9" s="1"/>
  <c r="G74" i="9" s="1"/>
  <c r="Q74" i="9"/>
  <c r="P74" i="9" s="1"/>
  <c r="J74" i="9"/>
  <c r="N74" i="9"/>
  <c r="H74" i="9"/>
  <c r="E74" i="9" s="1"/>
  <c r="M74" i="9" a="1"/>
  <c r="M74" i="9" s="1"/>
  <c r="B45" i="9"/>
  <c r="L190" i="9"/>
  <c r="Q50" i="9"/>
  <c r="P50" i="9" s="1"/>
  <c r="J50" i="9"/>
  <c r="L120" i="9"/>
  <c r="L50" i="9"/>
  <c r="H53" i="9"/>
  <c r="E53" i="9" s="1"/>
  <c r="I76" i="9" a="1"/>
  <c r="I76" i="9" s="1"/>
  <c r="D96" i="9" a="1"/>
  <c r="D96" i="9" s="1"/>
  <c r="F96" i="9" s="1"/>
  <c r="G96" i="9" s="1"/>
  <c r="Q96" i="9"/>
  <c r="P96" i="9" s="1"/>
  <c r="J96" i="9"/>
  <c r="B96" i="9"/>
  <c r="N96" i="9"/>
  <c r="H96" i="9"/>
  <c r="E96" i="9" s="1"/>
  <c r="M96" i="9" a="1"/>
  <c r="M96" i="9" s="1"/>
  <c r="H24" i="9"/>
  <c r="E24" i="9" s="1"/>
  <c r="H32" i="9"/>
  <c r="E32" i="9" s="1"/>
  <c r="H40" i="9"/>
  <c r="E40" i="9" s="1"/>
  <c r="H48" i="9"/>
  <c r="D50" i="9" a="1"/>
  <c r="D50" i="9" s="1"/>
  <c r="F50" i="9" s="1"/>
  <c r="G50" i="9" s="1"/>
  <c r="M50" i="9" a="1"/>
  <c r="M50" i="9" s="1"/>
  <c r="H59" i="9"/>
  <c r="E59" i="9" s="1"/>
  <c r="L208" i="9"/>
  <c r="L138" i="9"/>
  <c r="L68" i="9"/>
  <c r="D68" i="9" a="1"/>
  <c r="D68" i="9" s="1"/>
  <c r="F68" i="9" s="1"/>
  <c r="G68" i="9" s="1"/>
  <c r="B68" i="9"/>
  <c r="N68" i="9"/>
  <c r="H68" i="9"/>
  <c r="E68" i="9" s="1"/>
  <c r="I96" i="9" a="1"/>
  <c r="I96" i="9" s="1"/>
  <c r="H7" i="9"/>
  <c r="E7" i="9" s="1"/>
  <c r="N50" i="9"/>
  <c r="L192" i="9"/>
  <c r="L52" i="9"/>
  <c r="L122" i="9"/>
  <c r="N52" i="9"/>
  <c r="H52" i="9"/>
  <c r="E52" i="9" s="1"/>
  <c r="B55" i="9"/>
  <c r="L63" i="9"/>
  <c r="D88" i="9" a="1"/>
  <c r="D88" i="9" s="1"/>
  <c r="F88" i="9" s="1"/>
  <c r="G88" i="9" s="1"/>
  <c r="Q88" i="9"/>
  <c r="P88" i="9" s="1"/>
  <c r="J88" i="9"/>
  <c r="B88" i="9"/>
  <c r="N88" i="9"/>
  <c r="H88" i="9"/>
  <c r="E88" i="9" s="1"/>
  <c r="M88" i="9" a="1"/>
  <c r="M88" i="9" s="1"/>
  <c r="H47" i="9"/>
  <c r="E47" i="9" s="1"/>
  <c r="B53" i="9"/>
  <c r="H55" i="9"/>
  <c r="E55" i="9" s="1"/>
  <c r="B56" i="9"/>
  <c r="H56" i="9"/>
  <c r="E56" i="9" s="1"/>
  <c r="D80" i="9" a="1"/>
  <c r="D80" i="9" s="1"/>
  <c r="F80" i="9" s="1"/>
  <c r="G80" i="9" s="1"/>
  <c r="Q80" i="9"/>
  <c r="P80" i="9" s="1"/>
  <c r="J80" i="9"/>
  <c r="B80" i="9"/>
  <c r="N80" i="9"/>
  <c r="H80" i="9"/>
  <c r="E80" i="9" s="1"/>
  <c r="M80" i="9" a="1"/>
  <c r="M80" i="9" s="1"/>
  <c r="I88" i="9" a="1"/>
  <c r="I88" i="9" s="1"/>
  <c r="L204" i="9"/>
  <c r="L134" i="9"/>
  <c r="I64" i="9" a="1"/>
  <c r="I64" i="9" s="1"/>
  <c r="I77" i="9" a="1"/>
  <c r="I77" i="9" s="1"/>
  <c r="B84" i="9"/>
  <c r="I85" i="9" a="1"/>
  <c r="I85" i="9" s="1"/>
  <c r="B92" i="9"/>
  <c r="I93" i="9" a="1"/>
  <c r="I93" i="9" s="1"/>
  <c r="B100" i="9"/>
  <c r="B110" i="9"/>
  <c r="I84" i="9" a="1"/>
  <c r="I84" i="9" s="1"/>
  <c r="M89" i="9" a="1"/>
  <c r="M89" i="9" s="1"/>
  <c r="I92" i="9" a="1"/>
  <c r="I92" i="9" s="1"/>
  <c r="M97" i="9" a="1"/>
  <c r="M97" i="9" s="1"/>
  <c r="I100" i="9" a="1"/>
  <c r="I100" i="9" s="1"/>
  <c r="N125" i="9"/>
  <c r="H125" i="9"/>
  <c r="E125" i="9" s="1"/>
  <c r="M125" i="9" a="1"/>
  <c r="M125" i="9" s="1"/>
  <c r="D125" i="9" a="1"/>
  <c r="D125" i="9" s="1"/>
  <c r="F125" i="9" s="1"/>
  <c r="G125" i="9" s="1"/>
  <c r="Q125" i="9"/>
  <c r="P125" i="9" s="1"/>
  <c r="J125" i="9"/>
  <c r="I160" i="9"/>
  <c r="B160" i="9"/>
  <c r="N160" i="9"/>
  <c r="J160" i="9"/>
  <c r="H160" i="9"/>
  <c r="E160" i="9" s="1"/>
  <c r="Q160" i="9"/>
  <c r="P160" i="9" s="1"/>
  <c r="D160" i="9" a="1"/>
  <c r="D160" i="9" s="1"/>
  <c r="F160" i="9" s="1"/>
  <c r="G160" i="9" s="1"/>
  <c r="L202" i="9"/>
  <c r="L132" i="9"/>
  <c r="I62" i="9" a="1"/>
  <c r="I62" i="9" s="1"/>
  <c r="D64" i="9" a="1"/>
  <c r="D64" i="9" s="1"/>
  <c r="F64" i="9" s="1"/>
  <c r="G64" i="9" s="1"/>
  <c r="L210" i="9"/>
  <c r="L140" i="9"/>
  <c r="I70" i="9" a="1"/>
  <c r="I70" i="9" s="1"/>
  <c r="D77" i="9" a="1"/>
  <c r="D77" i="9" s="1"/>
  <c r="F77" i="9" s="1"/>
  <c r="G77" i="9" s="1"/>
  <c r="H81" i="9"/>
  <c r="E81" i="9" s="1"/>
  <c r="N81" i="9"/>
  <c r="B82" i="9"/>
  <c r="J84" i="9"/>
  <c r="Q84" i="9"/>
  <c r="P84" i="9" s="1"/>
  <c r="D85" i="9" a="1"/>
  <c r="D85" i="9" s="1"/>
  <c r="F85" i="9" s="1"/>
  <c r="G85" i="9" s="1"/>
  <c r="H89" i="9"/>
  <c r="E89" i="9" s="1"/>
  <c r="N89" i="9"/>
  <c r="B90" i="9"/>
  <c r="J92" i="9"/>
  <c r="Q92" i="9"/>
  <c r="P92" i="9" s="1"/>
  <c r="D93" i="9" a="1"/>
  <c r="D93" i="9" s="1"/>
  <c r="F93" i="9" s="1"/>
  <c r="G93" i="9" s="1"/>
  <c r="H97" i="9"/>
  <c r="E97" i="9" s="1"/>
  <c r="N97" i="9"/>
  <c r="B98" i="9"/>
  <c r="J100" i="9"/>
  <c r="Q100" i="9"/>
  <c r="P100" i="9" s="1"/>
  <c r="B101" i="9"/>
  <c r="I101" i="9" a="1"/>
  <c r="I101" i="9" s="1"/>
  <c r="Q101" i="9"/>
  <c r="P101" i="9" s="1"/>
  <c r="B102" i="9"/>
  <c r="I102" i="9" a="1"/>
  <c r="I102" i="9" s="1"/>
  <c r="Q102" i="9"/>
  <c r="P102" i="9" s="1"/>
  <c r="N111" i="9"/>
  <c r="H111" i="9"/>
  <c r="E111" i="9" s="1"/>
  <c r="N117" i="9"/>
  <c r="B119" i="9"/>
  <c r="N119" i="9"/>
  <c r="H119" i="9"/>
  <c r="E119" i="9" s="1"/>
  <c r="B134" i="9"/>
  <c r="N134" i="9"/>
  <c r="H134" i="9"/>
  <c r="E134" i="9" s="1"/>
  <c r="M134" i="9" a="1"/>
  <c r="M134" i="9" s="1"/>
  <c r="D134" i="9" a="1"/>
  <c r="D134" i="9" s="1"/>
  <c r="F134" i="9" s="1"/>
  <c r="G134" i="9" s="1"/>
  <c r="M160" i="9" a="1"/>
  <c r="M160" i="9" s="1"/>
  <c r="L64" i="9"/>
  <c r="L209" i="9"/>
  <c r="L139" i="9"/>
  <c r="I69" i="9" a="1"/>
  <c r="I69" i="9" s="1"/>
  <c r="M79" i="9" a="1"/>
  <c r="M79" i="9" s="1"/>
  <c r="B81" i="9"/>
  <c r="D84" i="9" a="1"/>
  <c r="D84" i="9" s="1"/>
  <c r="F84" i="9" s="1"/>
  <c r="G84" i="9" s="1"/>
  <c r="M87" i="9" a="1"/>
  <c r="M87" i="9" s="1"/>
  <c r="B89" i="9"/>
  <c r="D92" i="9" a="1"/>
  <c r="D92" i="9" s="1"/>
  <c r="F92" i="9" s="1"/>
  <c r="G92" i="9" s="1"/>
  <c r="M95" i="9" a="1"/>
  <c r="M95" i="9" s="1"/>
  <c r="B97" i="9"/>
  <c r="D100" i="9" a="1"/>
  <c r="D100" i="9" s="1"/>
  <c r="F100" i="9" s="1"/>
  <c r="G100" i="9" s="1"/>
  <c r="J101" i="9"/>
  <c r="J102" i="9"/>
  <c r="Q106" i="9"/>
  <c r="P106" i="9" s="1"/>
  <c r="J106" i="9"/>
  <c r="B106" i="9"/>
  <c r="I118" i="9" a="1"/>
  <c r="I118" i="9" s="1"/>
  <c r="I125" i="9" a="1"/>
  <c r="I125" i="9" s="1"/>
  <c r="N155" i="9"/>
  <c r="J155" i="9"/>
  <c r="I155" i="9"/>
  <c r="H155" i="9"/>
  <c r="E155" i="9" s="1"/>
  <c r="Q155" i="9"/>
  <c r="P155" i="9" s="1"/>
  <c r="D155" i="9" a="1"/>
  <c r="D155" i="9" s="1"/>
  <c r="F155" i="9" s="1"/>
  <c r="G155" i="9" s="1"/>
  <c r="M155" i="9" a="1"/>
  <c r="M155" i="9" s="1"/>
  <c r="B155" i="9"/>
  <c r="I169" i="9"/>
  <c r="B169" i="9"/>
  <c r="N169" i="9"/>
  <c r="J169" i="9"/>
  <c r="H169" i="9"/>
  <c r="E169" i="9" s="1"/>
  <c r="Q169" i="9"/>
  <c r="P169" i="9" s="1"/>
  <c r="D169" i="9" a="1"/>
  <c r="D169" i="9" s="1"/>
  <c r="F169" i="9" s="1"/>
  <c r="G169" i="9" s="1"/>
  <c r="I81" i="9" a="1"/>
  <c r="I81" i="9" s="1"/>
  <c r="I89" i="9" a="1"/>
  <c r="I89" i="9" s="1"/>
  <c r="I97" i="9" a="1"/>
  <c r="I97" i="9" s="1"/>
  <c r="D106" i="9" a="1"/>
  <c r="D106" i="9" s="1"/>
  <c r="F106" i="9" s="1"/>
  <c r="G106" i="9" s="1"/>
  <c r="M117" i="9" a="1"/>
  <c r="M117" i="9" s="1"/>
  <c r="D117" i="9" a="1"/>
  <c r="D117" i="9" s="1"/>
  <c r="F117" i="9" s="1"/>
  <c r="G117" i="9" s="1"/>
  <c r="Q117" i="9"/>
  <c r="P117" i="9" s="1"/>
  <c r="J117" i="9"/>
  <c r="L136" i="9"/>
  <c r="N133" i="9"/>
  <c r="H133" i="9"/>
  <c r="E133" i="9" s="1"/>
  <c r="M133" i="9" a="1"/>
  <c r="M133" i="9" s="1"/>
  <c r="D133" i="9" a="1"/>
  <c r="D133" i="9" s="1"/>
  <c r="F133" i="9" s="1"/>
  <c r="G133" i="9" s="1"/>
  <c r="Q133" i="9"/>
  <c r="P133" i="9" s="1"/>
  <c r="J133" i="9"/>
  <c r="I199" i="9"/>
  <c r="B199" i="9"/>
  <c r="N199" i="9"/>
  <c r="J199" i="9"/>
  <c r="H199" i="9"/>
  <c r="E199" i="9" s="1"/>
  <c r="Q199" i="9"/>
  <c r="P199" i="9" s="1"/>
  <c r="M199" i="9" a="1"/>
  <c r="M199" i="9" s="1"/>
  <c r="D199" i="9" a="1"/>
  <c r="D199" i="9" s="1"/>
  <c r="F199" i="9" s="1"/>
  <c r="G199" i="9" s="1"/>
  <c r="H64" i="9"/>
  <c r="E64" i="9" s="1"/>
  <c r="N64" i="9"/>
  <c r="I66" i="9" a="1"/>
  <c r="I66" i="9" s="1"/>
  <c r="L69" i="9"/>
  <c r="H71" i="9"/>
  <c r="E71" i="9" s="1"/>
  <c r="I73" i="9" a="1"/>
  <c r="I73" i="9" s="1"/>
  <c r="H77" i="9"/>
  <c r="E77" i="9" s="1"/>
  <c r="N77" i="9"/>
  <c r="I79" i="9" a="1"/>
  <c r="I79" i="9" s="1"/>
  <c r="M84" i="9" a="1"/>
  <c r="M84" i="9" s="1"/>
  <c r="H85" i="9"/>
  <c r="E85" i="9" s="1"/>
  <c r="N85" i="9"/>
  <c r="I87" i="9" a="1"/>
  <c r="I87" i="9" s="1"/>
  <c r="M92" i="9" a="1"/>
  <c r="M92" i="9" s="1"/>
  <c r="H93" i="9"/>
  <c r="E93" i="9" s="1"/>
  <c r="N93" i="9"/>
  <c r="I95" i="9" a="1"/>
  <c r="I95" i="9" s="1"/>
  <c r="M100" i="9" a="1"/>
  <c r="M100" i="9" s="1"/>
  <c r="M101" i="9" a="1"/>
  <c r="M101" i="9" s="1"/>
  <c r="N103" i="9"/>
  <c r="H103" i="9"/>
  <c r="E103" i="9" s="1"/>
  <c r="N106" i="9"/>
  <c r="B112" i="9"/>
  <c r="M112" i="9" a="1"/>
  <c r="M112" i="9" s="1"/>
  <c r="H117" i="9"/>
  <c r="E117" i="9" s="1"/>
  <c r="B126" i="9"/>
  <c r="N126" i="9"/>
  <c r="H126" i="9"/>
  <c r="E126" i="9" s="1"/>
  <c r="M126" i="9" a="1"/>
  <c r="M126" i="9" s="1"/>
  <c r="D126" i="9" a="1"/>
  <c r="D126" i="9" s="1"/>
  <c r="F126" i="9" s="1"/>
  <c r="G126" i="9" s="1"/>
  <c r="B64" i="9"/>
  <c r="L205" i="9"/>
  <c r="L135" i="9"/>
  <c r="I65" i="9" a="1"/>
  <c r="I65" i="9" s="1"/>
  <c r="J66" i="9"/>
  <c r="Q66" i="9"/>
  <c r="P66" i="9" s="1"/>
  <c r="J73" i="9"/>
  <c r="J79" i="9"/>
  <c r="H84" i="9"/>
  <c r="E84" i="9" s="1"/>
  <c r="J87" i="9"/>
  <c r="H92" i="9"/>
  <c r="E92" i="9" s="1"/>
  <c r="J95" i="9"/>
  <c r="H100" i="9"/>
  <c r="E100" i="9" s="1"/>
  <c r="N102" i="9"/>
  <c r="B104" i="9"/>
  <c r="M104" i="9" a="1"/>
  <c r="M104" i="9" s="1"/>
  <c r="Q108" i="9"/>
  <c r="P108" i="9" s="1"/>
  <c r="J108" i="9"/>
  <c r="Q114" i="9"/>
  <c r="P114" i="9" s="1"/>
  <c r="J114" i="9"/>
  <c r="B114" i="9"/>
  <c r="N114" i="9"/>
  <c r="H114" i="9"/>
  <c r="E114" i="9" s="1"/>
  <c r="N118" i="9"/>
  <c r="H118" i="9"/>
  <c r="E118" i="9" s="1"/>
  <c r="M118" i="9" a="1"/>
  <c r="M118" i="9" s="1"/>
  <c r="D118" i="9" a="1"/>
  <c r="D118" i="9" s="1"/>
  <c r="F118" i="9" s="1"/>
  <c r="G118" i="9" s="1"/>
  <c r="I133" i="9" a="1"/>
  <c r="I133" i="9" s="1"/>
  <c r="J141" i="9"/>
  <c r="Q141" i="9"/>
  <c r="P141" i="9" s="1"/>
  <c r="J145" i="9"/>
  <c r="Q145" i="9"/>
  <c r="P145" i="9" s="1"/>
  <c r="I164" i="9"/>
  <c r="B164" i="9"/>
  <c r="N164" i="9"/>
  <c r="M164" i="9" a="1"/>
  <c r="M164" i="9" s="1"/>
  <c r="I173" i="9"/>
  <c r="B173" i="9"/>
  <c r="N173" i="9"/>
  <c r="M173" i="9" a="1"/>
  <c r="M173" i="9" s="1"/>
  <c r="I180" i="9"/>
  <c r="B180" i="9"/>
  <c r="H180" i="9"/>
  <c r="E180" i="9" s="1"/>
  <c r="N180" i="9"/>
  <c r="M180" i="9" a="1"/>
  <c r="M180" i="9" s="1"/>
  <c r="I116" i="9" a="1"/>
  <c r="I116" i="9" s="1"/>
  <c r="H122" i="9"/>
  <c r="E122" i="9" s="1"/>
  <c r="N122" i="9"/>
  <c r="I124" i="9" a="1"/>
  <c r="I124" i="9" s="1"/>
  <c r="H130" i="9"/>
  <c r="E130" i="9" s="1"/>
  <c r="N130" i="9"/>
  <c r="I132" i="9" a="1"/>
  <c r="I132" i="9" s="1"/>
  <c r="H138" i="9"/>
  <c r="E138" i="9" s="1"/>
  <c r="N138" i="9"/>
  <c r="I140" i="9" a="1"/>
  <c r="I140" i="9" s="1"/>
  <c r="D141" i="9" a="1"/>
  <c r="D141" i="9" s="1"/>
  <c r="F141" i="9" s="1"/>
  <c r="G141" i="9" s="1"/>
  <c r="M142" i="9" a="1"/>
  <c r="M142" i="9" s="1"/>
  <c r="H143" i="9"/>
  <c r="E143" i="9" s="1"/>
  <c r="J144" i="9"/>
  <c r="D145" i="9" a="1"/>
  <c r="D145" i="9" s="1"/>
  <c r="F145" i="9" s="1"/>
  <c r="G145" i="9" s="1"/>
  <c r="M146" i="9" a="1"/>
  <c r="M146" i="9" s="1"/>
  <c r="H147" i="9"/>
  <c r="E147" i="9" s="1"/>
  <c r="J148" i="9"/>
  <c r="D149" i="9" a="1"/>
  <c r="D149" i="9" s="1"/>
  <c r="F149" i="9" s="1"/>
  <c r="G149" i="9" s="1"/>
  <c r="M150" i="9" a="1"/>
  <c r="M150" i="9" s="1"/>
  <c r="N151" i="9"/>
  <c r="I156" i="9"/>
  <c r="B156" i="9"/>
  <c r="N156" i="9"/>
  <c r="M156" i="9" a="1"/>
  <c r="M156" i="9" s="1"/>
  <c r="H158" i="9"/>
  <c r="E158" i="9" s="1"/>
  <c r="Q159" i="9"/>
  <c r="P159" i="9" s="1"/>
  <c r="D164" i="9" a="1"/>
  <c r="D164" i="9" s="1"/>
  <c r="F164" i="9" s="1"/>
  <c r="G164" i="9" s="1"/>
  <c r="Q164" i="9"/>
  <c r="P164" i="9" s="1"/>
  <c r="I165" i="9"/>
  <c r="B165" i="9"/>
  <c r="N165" i="9"/>
  <c r="M165" i="9" a="1"/>
  <c r="M165" i="9" s="1"/>
  <c r="I167" i="9"/>
  <c r="Q173" i="9"/>
  <c r="P173" i="9" s="1"/>
  <c r="I174" i="9"/>
  <c r="B174" i="9"/>
  <c r="N174" i="9"/>
  <c r="D180" i="9" a="1"/>
  <c r="D180" i="9" s="1"/>
  <c r="F180" i="9" s="1"/>
  <c r="G180" i="9" s="1"/>
  <c r="H105" i="9"/>
  <c r="E105" i="9" s="1"/>
  <c r="I107" i="9" a="1"/>
  <c r="I107" i="9" s="1"/>
  <c r="I115" i="9" a="1"/>
  <c r="I115" i="9" s="1"/>
  <c r="J116" i="9"/>
  <c r="M120" i="9" a="1"/>
  <c r="M120" i="9" s="1"/>
  <c r="B122" i="9"/>
  <c r="I123" i="9" a="1"/>
  <c r="I123" i="9" s="1"/>
  <c r="J124" i="9"/>
  <c r="M128" i="9" a="1"/>
  <c r="M128" i="9" s="1"/>
  <c r="H129" i="9"/>
  <c r="E129" i="9" s="1"/>
  <c r="N129" i="9"/>
  <c r="B130" i="9"/>
  <c r="J132" i="9"/>
  <c r="M136" i="9" a="1"/>
  <c r="M136" i="9" s="1"/>
  <c r="H137" i="9"/>
  <c r="E137" i="9" s="1"/>
  <c r="N137" i="9"/>
  <c r="B138" i="9"/>
  <c r="I139" i="9" a="1"/>
  <c r="I139" i="9" s="1"/>
  <c r="J140" i="9"/>
  <c r="N142" i="9"/>
  <c r="B143" i="9"/>
  <c r="I143" i="9"/>
  <c r="N146" i="9"/>
  <c r="B147" i="9"/>
  <c r="I147" i="9"/>
  <c r="M149" i="9" a="1"/>
  <c r="M149" i="9" s="1"/>
  <c r="N150" i="9"/>
  <c r="I152" i="9"/>
  <c r="B152" i="9"/>
  <c r="N152" i="9"/>
  <c r="M152" i="9" a="1"/>
  <c r="M152" i="9" s="1"/>
  <c r="J158" i="9"/>
  <c r="H159" i="9"/>
  <c r="E159" i="9" s="1"/>
  <c r="I161" i="9"/>
  <c r="B161" i="9"/>
  <c r="N161" i="9"/>
  <c r="M161" i="9" a="1"/>
  <c r="M161" i="9" s="1"/>
  <c r="I170" i="9"/>
  <c r="B170" i="9"/>
  <c r="N170" i="9"/>
  <c r="Q179" i="9"/>
  <c r="P179" i="9" s="1"/>
  <c r="J180" i="9"/>
  <c r="I122" i="9" a="1"/>
  <c r="I122" i="9" s="1"/>
  <c r="M127" i="9" a="1"/>
  <c r="M127" i="9" s="1"/>
  <c r="I130" i="9" a="1"/>
  <c r="I130" i="9" s="1"/>
  <c r="M135" i="9" a="1"/>
  <c r="M135" i="9" s="1"/>
  <c r="H136" i="9"/>
  <c r="E136" i="9" s="1"/>
  <c r="N136" i="9"/>
  <c r="I138" i="9" a="1"/>
  <c r="I138" i="9" s="1"/>
  <c r="M141" i="9" a="1"/>
  <c r="M141" i="9" s="1"/>
  <c r="J143" i="9"/>
  <c r="Q143" i="9"/>
  <c r="P143" i="9" s="1"/>
  <c r="M145" i="9" a="1"/>
  <c r="M145" i="9" s="1"/>
  <c r="J147" i="9"/>
  <c r="Q147" i="9"/>
  <c r="P147" i="9" s="1"/>
  <c r="N149" i="9"/>
  <c r="I157" i="9"/>
  <c r="B157" i="9"/>
  <c r="N157" i="9"/>
  <c r="M157" i="9" a="1"/>
  <c r="M157" i="9" s="1"/>
  <c r="I159" i="9"/>
  <c r="H164" i="9"/>
  <c r="E164" i="9" s="1"/>
  <c r="I166" i="9"/>
  <c r="B166" i="9"/>
  <c r="N166" i="9"/>
  <c r="H173" i="9"/>
  <c r="E173" i="9" s="1"/>
  <c r="I176" i="9"/>
  <c r="B176" i="9"/>
  <c r="H176" i="9"/>
  <c r="E176" i="9" s="1"/>
  <c r="N176" i="9"/>
  <c r="M176" i="9" a="1"/>
  <c r="M176" i="9" s="1"/>
  <c r="N198" i="9"/>
  <c r="J198" i="9"/>
  <c r="I198" i="9"/>
  <c r="Q198" i="9"/>
  <c r="P198" i="9" s="1"/>
  <c r="H198" i="9"/>
  <c r="E198" i="9" s="1"/>
  <c r="D198" i="9" a="1"/>
  <c r="D198" i="9" s="1"/>
  <c r="F198" i="9" s="1"/>
  <c r="G198" i="9" s="1"/>
  <c r="M198" i="9" a="1"/>
  <c r="M198" i="9" s="1"/>
  <c r="B198" i="9"/>
  <c r="B120" i="9"/>
  <c r="J122" i="9"/>
  <c r="Q122" i="9"/>
  <c r="P122" i="9" s="1"/>
  <c r="H127" i="9"/>
  <c r="E127" i="9" s="1"/>
  <c r="N127" i="9"/>
  <c r="B128" i="9"/>
  <c r="J130" i="9"/>
  <c r="Q130" i="9"/>
  <c r="P130" i="9" s="1"/>
  <c r="H135" i="9"/>
  <c r="E135" i="9" s="1"/>
  <c r="N135" i="9"/>
  <c r="B136" i="9"/>
  <c r="J138" i="9"/>
  <c r="N141" i="9"/>
  <c r="B142" i="9"/>
  <c r="I142" i="9"/>
  <c r="N145" i="9"/>
  <c r="B146" i="9"/>
  <c r="I146" i="9"/>
  <c r="H150" i="9"/>
  <c r="E150" i="9" s="1"/>
  <c r="I151" i="9"/>
  <c r="D152" i="9" a="1"/>
  <c r="D152" i="9" s="1"/>
  <c r="F152" i="9" s="1"/>
  <c r="G152" i="9" s="1"/>
  <c r="Q152" i="9"/>
  <c r="P152" i="9" s="1"/>
  <c r="I153" i="9"/>
  <c r="B153" i="9"/>
  <c r="N153" i="9"/>
  <c r="M153" i="9" a="1"/>
  <c r="M153" i="9" s="1"/>
  <c r="D157" i="9" a="1"/>
  <c r="D157" i="9" s="1"/>
  <c r="F157" i="9" s="1"/>
  <c r="G157" i="9" s="1"/>
  <c r="J159" i="9"/>
  <c r="Q161" i="9"/>
  <c r="P161" i="9" s="1"/>
  <c r="I162" i="9"/>
  <c r="B162" i="9"/>
  <c r="N162" i="9"/>
  <c r="J164" i="9"/>
  <c r="D166" i="9" a="1"/>
  <c r="D166" i="9" s="1"/>
  <c r="F166" i="9" s="1"/>
  <c r="G166" i="9" s="1"/>
  <c r="B167" i="9"/>
  <c r="M167" i="9" a="1"/>
  <c r="M167" i="9" s="1"/>
  <c r="Q170" i="9"/>
  <c r="P170" i="9" s="1"/>
  <c r="J173" i="9"/>
  <c r="N179" i="9"/>
  <c r="M179" i="9" a="1"/>
  <c r="M179" i="9" s="1"/>
  <c r="D179" i="9" a="1"/>
  <c r="D179" i="9" s="1"/>
  <c r="F179" i="9" s="1"/>
  <c r="G179" i="9" s="1"/>
  <c r="I183" i="9"/>
  <c r="B183" i="9"/>
  <c r="N183" i="9"/>
  <c r="J183" i="9"/>
  <c r="H183" i="9"/>
  <c r="E183" i="9" s="1"/>
  <c r="Q183" i="9"/>
  <c r="P183" i="9" s="1"/>
  <c r="M183" i="9" a="1"/>
  <c r="M183" i="9" s="1"/>
  <c r="D183" i="9" a="1"/>
  <c r="D183" i="9" s="1"/>
  <c r="F183" i="9" s="1"/>
  <c r="G183" i="9" s="1"/>
  <c r="B127" i="9"/>
  <c r="B135" i="9"/>
  <c r="H141" i="9"/>
  <c r="E141" i="9" s="1"/>
  <c r="J142" i="9"/>
  <c r="H145" i="9"/>
  <c r="E145" i="9" s="1"/>
  <c r="J146" i="9"/>
  <c r="H149" i="9"/>
  <c r="E149" i="9" s="1"/>
  <c r="Q149" i="9"/>
  <c r="P149" i="9" s="1"/>
  <c r="I150" i="9"/>
  <c r="Q150" i="9"/>
  <c r="P150" i="9" s="1"/>
  <c r="Q157" i="9"/>
  <c r="P157" i="9" s="1"/>
  <c r="I158" i="9"/>
  <c r="B158" i="9"/>
  <c r="N158" i="9"/>
  <c r="Q166" i="9"/>
  <c r="P166" i="9" s="1"/>
  <c r="I172" i="9"/>
  <c r="B172" i="9"/>
  <c r="N172" i="9"/>
  <c r="M172" i="9" a="1"/>
  <c r="M172" i="9" s="1"/>
  <c r="D176" i="9" a="1"/>
  <c r="D176" i="9" s="1"/>
  <c r="F176" i="9" s="1"/>
  <c r="G176" i="9" s="1"/>
  <c r="Q180" i="9"/>
  <c r="P180" i="9" s="1"/>
  <c r="B141" i="9"/>
  <c r="B145" i="9"/>
  <c r="B149" i="9"/>
  <c r="J149" i="9"/>
  <c r="B150" i="9"/>
  <c r="H152" i="9"/>
  <c r="E152" i="9" s="1"/>
  <c r="Q153" i="9"/>
  <c r="P153" i="9" s="1"/>
  <c r="I154" i="9"/>
  <c r="B154" i="9"/>
  <c r="N154" i="9"/>
  <c r="J156" i="9"/>
  <c r="D158" i="9" a="1"/>
  <c r="D158" i="9" s="1"/>
  <c r="F158" i="9" s="1"/>
  <c r="G158" i="9" s="1"/>
  <c r="B159" i="9"/>
  <c r="M159" i="9" a="1"/>
  <c r="M159" i="9" s="1"/>
  <c r="H161" i="9"/>
  <c r="E161" i="9" s="1"/>
  <c r="Q162" i="9"/>
  <c r="P162" i="9" s="1"/>
  <c r="J165" i="9"/>
  <c r="D167" i="9" a="1"/>
  <c r="D167" i="9" s="1"/>
  <c r="F167" i="9" s="1"/>
  <c r="G167" i="9" s="1"/>
  <c r="I168" i="9"/>
  <c r="B168" i="9"/>
  <c r="N168" i="9"/>
  <c r="M168" i="9" a="1"/>
  <c r="M168" i="9" s="1"/>
  <c r="H170" i="9"/>
  <c r="E170" i="9" s="1"/>
  <c r="Q171" i="9"/>
  <c r="P171" i="9" s="1"/>
  <c r="J176" i="9"/>
  <c r="I179" i="9"/>
  <c r="J197" i="9"/>
  <c r="I197" i="9"/>
  <c r="Q197" i="9"/>
  <c r="P197" i="9" s="1"/>
  <c r="H197" i="9"/>
  <c r="E197" i="9" s="1"/>
  <c r="N197" i="9"/>
  <c r="D197" i="9" a="1"/>
  <c r="D197" i="9" s="1"/>
  <c r="F197" i="9" s="1"/>
  <c r="G197" i="9" s="1"/>
  <c r="B197" i="9"/>
  <c r="I196" i="9"/>
  <c r="B196" i="9"/>
  <c r="I205" i="9"/>
  <c r="B205" i="9"/>
  <c r="H205" i="9"/>
  <c r="E205" i="9" s="1"/>
  <c r="M205" i="9" a="1"/>
  <c r="M205" i="9" s="1"/>
  <c r="N177" i="9"/>
  <c r="B178" i="9"/>
  <c r="I178" i="9"/>
  <c r="N181" i="9"/>
  <c r="B182" i="9"/>
  <c r="I182" i="9"/>
  <c r="I184" i="9"/>
  <c r="B184" i="9"/>
  <c r="B185" i="9"/>
  <c r="B186" i="9"/>
  <c r="I190" i="9"/>
  <c r="N196" i="9"/>
  <c r="I200" i="9"/>
  <c r="B200" i="9"/>
  <c r="J178" i="9"/>
  <c r="Q178" i="9"/>
  <c r="P178" i="9" s="1"/>
  <c r="J182" i="9"/>
  <c r="Q182" i="9"/>
  <c r="P182" i="9" s="1"/>
  <c r="M185" i="9" a="1"/>
  <c r="M185" i="9" s="1"/>
  <c r="I187" i="9"/>
  <c r="B187" i="9"/>
  <c r="N187" i="9"/>
  <c r="H193" i="9"/>
  <c r="E193" i="9" s="1"/>
  <c r="Q193" i="9"/>
  <c r="P193" i="9" s="1"/>
  <c r="H194" i="9"/>
  <c r="E194" i="9" s="1"/>
  <c r="Q194" i="9"/>
  <c r="P194" i="9" s="1"/>
  <c r="Q195" i="9"/>
  <c r="P195" i="9" s="1"/>
  <c r="D200" i="9" a="1"/>
  <c r="D200" i="9" s="1"/>
  <c r="F200" i="9" s="1"/>
  <c r="G200" i="9" s="1"/>
  <c r="M200" i="9" a="1"/>
  <c r="M200" i="9" s="1"/>
  <c r="J205" i="9"/>
  <c r="B177" i="9"/>
  <c r="I177" i="9"/>
  <c r="B181" i="9"/>
  <c r="I181" i="9"/>
  <c r="N184" i="9"/>
  <c r="D185" i="9" a="1"/>
  <c r="D185" i="9" s="1"/>
  <c r="F185" i="9" s="1"/>
  <c r="G185" i="9" s="1"/>
  <c r="N185" i="9"/>
  <c r="M186" i="9" a="1"/>
  <c r="M186" i="9" s="1"/>
  <c r="I188" i="9"/>
  <c r="B188" i="9"/>
  <c r="I193" i="9"/>
  <c r="I194" i="9"/>
  <c r="H195" i="9"/>
  <c r="E195" i="9" s="1"/>
  <c r="Q196" i="9"/>
  <c r="P196" i="9" s="1"/>
  <c r="N200" i="9"/>
  <c r="I201" i="9"/>
  <c r="B201" i="9"/>
  <c r="H201" i="9"/>
  <c r="E201" i="9" s="1"/>
  <c r="M201" i="9" a="1"/>
  <c r="M201" i="9" s="1"/>
  <c r="I204" i="9"/>
  <c r="B204" i="9"/>
  <c r="N204" i="9"/>
  <c r="M204" i="9" a="1"/>
  <c r="M204" i="9" s="1"/>
  <c r="D204" i="9" a="1"/>
  <c r="D204" i="9" s="1"/>
  <c r="F204" i="9" s="1"/>
  <c r="G204" i="9" s="1"/>
  <c r="J177" i="9"/>
  <c r="J181" i="9"/>
  <c r="D186" i="9" a="1"/>
  <c r="D186" i="9" s="1"/>
  <c r="F186" i="9" s="1"/>
  <c r="G186" i="9" s="1"/>
  <c r="D187" i="9" a="1"/>
  <c r="D187" i="9" s="1"/>
  <c r="F187" i="9" s="1"/>
  <c r="G187" i="9" s="1"/>
  <c r="M187" i="9" a="1"/>
  <c r="M187" i="9" s="1"/>
  <c r="D188" i="9" a="1"/>
  <c r="D188" i="9" s="1"/>
  <c r="F188" i="9" s="1"/>
  <c r="G188" i="9" s="1"/>
  <c r="M188" i="9" a="1"/>
  <c r="M188" i="9" s="1"/>
  <c r="M189" i="9" a="1"/>
  <c r="M189" i="9" s="1"/>
  <c r="I191" i="9"/>
  <c r="B191" i="9"/>
  <c r="N191" i="9"/>
  <c r="J193" i="9"/>
  <c r="J194" i="9"/>
  <c r="H196" i="9"/>
  <c r="E196" i="9" s="1"/>
  <c r="D201" i="9" a="1"/>
  <c r="D201" i="9" s="1"/>
  <c r="F201" i="9" s="1"/>
  <c r="G201" i="9" s="1"/>
  <c r="N205" i="9"/>
  <c r="Q184" i="9"/>
  <c r="P184" i="9" s="1"/>
  <c r="N188" i="9"/>
  <c r="D189" i="9" a="1"/>
  <c r="D189" i="9" s="1"/>
  <c r="F189" i="9" s="1"/>
  <c r="G189" i="9" s="1"/>
  <c r="M190" i="9" a="1"/>
  <c r="M190" i="9" s="1"/>
  <c r="I192" i="9"/>
  <c r="B192" i="9"/>
  <c r="B193" i="9"/>
  <c r="B194" i="9"/>
  <c r="J196" i="9"/>
  <c r="Q200" i="9"/>
  <c r="P200" i="9" s="1"/>
  <c r="H204" i="9"/>
  <c r="E204" i="9" s="1"/>
  <c r="Q205" i="9"/>
  <c r="P205" i="9" s="1"/>
  <c r="H185" i="9"/>
  <c r="E185" i="9" s="1"/>
  <c r="H186" i="9"/>
  <c r="E186" i="9" s="1"/>
  <c r="Q186" i="9"/>
  <c r="P186" i="9" s="1"/>
  <c r="Q187" i="9"/>
  <c r="P187" i="9" s="1"/>
  <c r="I195" i="9"/>
  <c r="B195" i="9"/>
  <c r="N195" i="9"/>
  <c r="H200" i="9"/>
  <c r="E200" i="9" s="1"/>
  <c r="J201" i="9"/>
  <c r="J204" i="9"/>
  <c r="H202" i="9"/>
  <c r="E202" i="9" s="1"/>
  <c r="J203" i="9"/>
  <c r="Q203" i="9"/>
  <c r="P203" i="9" s="1"/>
  <c r="H206" i="9"/>
  <c r="E206" i="9" s="1"/>
  <c r="J207" i="9"/>
  <c r="Q207" i="9"/>
  <c r="P207" i="9" s="1"/>
  <c r="D208" i="9" a="1"/>
  <c r="D208" i="9" s="1"/>
  <c r="F208" i="9" s="1"/>
  <c r="G208" i="9" s="1"/>
  <c r="M209" i="9" a="1"/>
  <c r="M209" i="9" s="1"/>
  <c r="H210" i="9"/>
  <c r="E210" i="9" s="1"/>
  <c r="J202" i="9"/>
  <c r="Q202" i="9"/>
  <c r="P202" i="9" s="1"/>
  <c r="J206" i="9"/>
  <c r="Q206" i="9"/>
  <c r="P206" i="9" s="1"/>
  <c r="M208" i="9" a="1"/>
  <c r="M208" i="9" s="1"/>
  <c r="H209" i="9"/>
  <c r="E209" i="9" s="1"/>
  <c r="J210" i="9"/>
  <c r="Q210" i="9"/>
  <c r="P210" i="9" s="1"/>
  <c r="N208" i="9"/>
  <c r="B209" i="9"/>
  <c r="I209" i="9"/>
  <c r="H208" i="9"/>
  <c r="E208" i="9" s="1"/>
  <c r="J209" i="9"/>
  <c r="N203" i="9"/>
  <c r="N207" i="9"/>
  <c r="B208" i="9"/>
  <c r="I208" i="9"/>
  <c r="J208" i="9"/>
  <c r="B203" i="9"/>
  <c r="B207" i="9"/>
  <c r="A9" i="10"/>
  <c r="H232" i="9" a="1"/>
  <c r="C232" i="9" a="1"/>
  <c r="C4" i="13" a="1"/>
  <c r="C14" i="13" a="1"/>
  <c r="C12" i="13" a="1"/>
  <c r="C10" i="13" a="1"/>
  <c r="C8" i="13" a="1"/>
  <c r="C6" i="13" a="1"/>
  <c r="C2" i="13" a="1"/>
  <c r="B71" i="9"/>
  <c r="C241" i="9" a="1"/>
  <c r="H241" i="9" a="1"/>
  <c r="C233" i="9" a="1"/>
  <c r="H233" i="9" a="1"/>
  <c r="H225" i="9" a="1"/>
  <c r="C225" i="9" a="1"/>
  <c r="C232" i="9" l="1"/>
  <c r="H232" i="9"/>
  <c r="Q232" i="9" s="1"/>
  <c r="P232" i="9" s="1"/>
  <c r="EK10" i="14"/>
  <c r="EH9" i="14"/>
  <c r="EM9" i="14"/>
  <c r="ER6" i="14"/>
  <c r="ER4" i="14"/>
  <c r="EP6" i="14"/>
  <c r="EO4" i="14"/>
  <c r="EO2" i="14"/>
  <c r="EN1" i="14"/>
  <c r="ER7" i="14"/>
  <c r="EO6" i="14"/>
  <c r="EP7" i="14"/>
  <c r="EN6" i="14"/>
  <c r="EN7" i="14"/>
  <c r="ER3" i="14"/>
  <c r="ES1" i="14"/>
  <c r="EO3" i="14"/>
  <c r="DV10" i="14"/>
  <c r="DX9" i="14"/>
  <c r="DS9" i="14"/>
  <c r="DG10" i="14"/>
  <c r="DI9" i="14"/>
  <c r="DD9" i="14"/>
  <c r="DN6" i="14"/>
  <c r="DN4" i="14"/>
  <c r="DL6" i="14"/>
  <c r="DK4" i="14"/>
  <c r="DK2" i="14"/>
  <c r="DN7" i="14"/>
  <c r="DK6" i="14"/>
  <c r="DL7" i="14"/>
  <c r="DJ6" i="14"/>
  <c r="DJ7" i="14"/>
  <c r="DN3" i="14"/>
  <c r="DO1" i="14"/>
  <c r="DK3" i="14"/>
  <c r="DJ1" i="14"/>
  <c r="CY2" i="14"/>
  <c r="CM9" i="14"/>
  <c r="CV1" i="14"/>
  <c r="CJ6" i="14"/>
  <c r="CJ4" i="14"/>
  <c r="CH6" i="14"/>
  <c r="CG4" i="14"/>
  <c r="CG2" i="14"/>
  <c r="CJ7" i="14"/>
  <c r="CG6" i="14"/>
  <c r="CH7" i="14"/>
  <c r="CF6" i="14"/>
  <c r="CF7" i="14"/>
  <c r="CJ3" i="14"/>
  <c r="CK1" i="14"/>
  <c r="CG3" i="14"/>
  <c r="CF1" i="14"/>
  <c r="CC10" i="14"/>
  <c r="BZ9" i="14"/>
  <c r="CE9" i="14"/>
  <c r="BU2" i="14"/>
  <c r="BI9" i="14"/>
  <c r="BR1" i="14"/>
  <c r="BF6" i="14"/>
  <c r="BF4" i="14"/>
  <c r="BD6" i="14"/>
  <c r="BC4" i="14"/>
  <c r="BC2" i="14"/>
  <c r="BF7" i="14"/>
  <c r="BC6" i="14"/>
  <c r="BD7" i="14"/>
  <c r="BB6" i="14"/>
  <c r="BB7" i="14"/>
  <c r="BF3" i="14"/>
  <c r="BG1" i="14"/>
  <c r="BC3" i="14"/>
  <c r="BB1" i="14"/>
  <c r="AY10" i="14"/>
  <c r="BA9" i="14"/>
  <c r="AV9" i="14"/>
  <c r="AJ10" i="14"/>
  <c r="AL9" i="14"/>
  <c r="AG9" i="14"/>
  <c r="AQ6" i="14"/>
  <c r="AQ4" i="14"/>
  <c r="AO6" i="14"/>
  <c r="AN4" i="14"/>
  <c r="AN2" i="14"/>
  <c r="AQ7" i="14"/>
  <c r="AN6" i="14"/>
  <c r="AO7" i="14"/>
  <c r="AM6" i="14"/>
  <c r="AM7" i="14"/>
  <c r="AQ3" i="14"/>
  <c r="AR1" i="14"/>
  <c r="AN3" i="14"/>
  <c r="AM1" i="14"/>
  <c r="W9" i="14"/>
  <c r="J41" i="14"/>
  <c r="M42" i="14"/>
  <c r="F34" i="14"/>
  <c r="AA8" i="13"/>
  <c r="M26" i="14"/>
  <c r="Y8" i="13"/>
  <c r="Y9" i="13"/>
  <c r="J14" i="13"/>
  <c r="J8" i="13"/>
  <c r="J13" i="13"/>
  <c r="J12" i="13"/>
  <c r="J11" i="13"/>
  <c r="J9" i="13"/>
  <c r="J10" i="13"/>
  <c r="B3" i="13"/>
  <c r="C6" i="13"/>
  <c r="C8" i="13"/>
  <c r="C10" i="13"/>
  <c r="C12" i="13"/>
  <c r="C14" i="13"/>
  <c r="C4" i="13"/>
  <c r="B11" i="13"/>
  <c r="B9" i="13"/>
  <c r="B13" i="13"/>
  <c r="B5" i="13"/>
  <c r="B7" i="13"/>
  <c r="C2" i="13"/>
  <c r="B1" i="13"/>
  <c r="C225" i="9"/>
  <c r="H225" i="9"/>
  <c r="Q225" i="9" s="1"/>
  <c r="P225" i="9" s="1"/>
  <c r="H233" i="9"/>
  <c r="Q233" i="9" s="1"/>
  <c r="P233" i="9" s="1"/>
  <c r="C233" i="9"/>
  <c r="H241" i="9"/>
  <c r="Q241" i="9" s="1"/>
  <c r="P241" i="9" s="1"/>
  <c r="C241" i="9"/>
  <c r="I3" i="6"/>
  <c r="I5" i="6"/>
  <c r="X3" i="5"/>
  <c r="Y3" i="5" s="1"/>
  <c r="N3" i="4"/>
  <c r="H9" i="10"/>
  <c r="F246" i="9"/>
  <c r="G246" i="9" s="1"/>
  <c r="J246" i="9"/>
  <c r="A246" i="9"/>
  <c r="J245" i="9"/>
  <c r="F245" i="9"/>
  <c r="G245" i="9" s="1"/>
  <c r="A245" i="9"/>
  <c r="F222" i="9"/>
  <c r="G222" i="9" s="1"/>
  <c r="A222" i="9"/>
  <c r="J222" i="9"/>
  <c r="A229" i="9"/>
  <c r="J229" i="9"/>
  <c r="F229" i="9"/>
  <c r="G229" i="9" s="1"/>
  <c r="S130" i="4"/>
  <c r="K130" i="4"/>
  <c r="C130" i="4"/>
  <c r="Q130" i="4"/>
  <c r="I130" i="4"/>
  <c r="O130" i="4"/>
  <c r="G130" i="4"/>
  <c r="A132" i="4"/>
  <c r="V130" i="4"/>
  <c r="AM130" i="5" s="1"/>
  <c r="M130" i="4"/>
  <c r="E130" i="4"/>
  <c r="D130" i="4"/>
  <c r="R130" i="4"/>
  <c r="B130" i="4"/>
  <c r="P130" i="4"/>
  <c r="N130" i="4"/>
  <c r="L130" i="4"/>
  <c r="J130" i="4"/>
  <c r="H130" i="4"/>
  <c r="W130" i="4"/>
  <c r="AN130" i="5" s="1"/>
  <c r="F130" i="4"/>
  <c r="A249" i="9"/>
  <c r="J249" i="9"/>
  <c r="F249" i="9"/>
  <c r="G249" i="9" s="1"/>
  <c r="J231" i="9"/>
  <c r="I7" i="6"/>
  <c r="A237" i="9"/>
  <c r="J237" i="9"/>
  <c r="F237" i="9"/>
  <c r="G237" i="9" s="1"/>
  <c r="A248" i="9"/>
  <c r="J248" i="9"/>
  <c r="F248" i="9"/>
  <c r="G248" i="9" s="1"/>
  <c r="J223" i="9"/>
  <c r="F250" i="9"/>
  <c r="G250" i="9" s="1"/>
  <c r="J250" i="9"/>
  <c r="A250" i="9"/>
  <c r="J244" i="9"/>
  <c r="F244" i="9"/>
  <c r="G244" i="9" s="1"/>
  <c r="A244" i="9"/>
  <c r="J239" i="9"/>
  <c r="F240" i="9"/>
  <c r="G240" i="9" s="1"/>
  <c r="J240" i="9"/>
  <c r="A240" i="9"/>
  <c r="A9" i="5" a="1"/>
  <c r="A9" i="5" s="1"/>
  <c r="AL7" i="5"/>
  <c r="A221" i="9"/>
  <c r="J221" i="9"/>
  <c r="F221" i="9"/>
  <c r="G221" i="9" s="1"/>
  <c r="J227" i="9"/>
  <c r="A238" i="9"/>
  <c r="J238" i="9"/>
  <c r="F238" i="9"/>
  <c r="G238" i="9" s="1"/>
  <c r="J235" i="9"/>
  <c r="A8" i="5" a="1"/>
  <c r="A8" i="5" s="1"/>
  <c r="AL6" i="5"/>
  <c r="A224" i="9"/>
  <c r="J224" i="9"/>
  <c r="F224" i="9"/>
  <c r="G224" i="9" s="1"/>
  <c r="I4" i="2"/>
  <c r="J243" i="9"/>
  <c r="J236" i="9"/>
  <c r="F236" i="9"/>
  <c r="G236" i="9" s="1"/>
  <c r="A236" i="9"/>
  <c r="J219" i="9"/>
  <c r="M7" i="4"/>
  <c r="X7" i="5" s="1"/>
  <c r="E7" i="4"/>
  <c r="H7" i="5" s="1"/>
  <c r="L7" i="4"/>
  <c r="V7" i="5" s="1"/>
  <c r="D7" i="4"/>
  <c r="F7" i="5" s="1"/>
  <c r="S7" i="4"/>
  <c r="AJ7" i="5" s="1"/>
  <c r="K7" i="4"/>
  <c r="T7" i="5" s="1"/>
  <c r="C7" i="4"/>
  <c r="D7" i="5" s="1"/>
  <c r="O7" i="4"/>
  <c r="AB7" i="5" s="1"/>
  <c r="A9" i="4" a="1"/>
  <c r="A9" i="4" s="1"/>
  <c r="V7" i="4"/>
  <c r="AM7" i="5" s="1"/>
  <c r="G7" i="4"/>
  <c r="L7" i="5" s="1"/>
  <c r="F7" i="4"/>
  <c r="J7" i="5" s="1"/>
  <c r="N7" i="4"/>
  <c r="Z7" i="5" s="1"/>
  <c r="W7" i="4"/>
  <c r="AN7" i="5" s="1"/>
  <c r="J7" i="4"/>
  <c r="U7" i="4" s="1"/>
  <c r="I7" i="4"/>
  <c r="P7" i="5" s="1"/>
  <c r="R7" i="4"/>
  <c r="AH7" i="5" s="1"/>
  <c r="Q7" i="4"/>
  <c r="AF7" i="5" s="1"/>
  <c r="H7" i="4"/>
  <c r="N7" i="5" s="1"/>
  <c r="P7" i="4"/>
  <c r="AD7" i="5" s="1"/>
  <c r="B7" i="4"/>
  <c r="B7" i="5" s="1"/>
  <c r="F220" i="9"/>
  <c r="G220" i="9" s="1"/>
  <c r="J220" i="9"/>
  <c r="A220" i="9"/>
  <c r="A232" i="9"/>
  <c r="J232" i="9"/>
  <c r="F232" i="9"/>
  <c r="G232" i="9" s="1"/>
  <c r="F230" i="9"/>
  <c r="G230" i="9" s="1"/>
  <c r="A230" i="9"/>
  <c r="J230" i="9"/>
  <c r="F228" i="9"/>
  <c r="G228" i="9" s="1"/>
  <c r="J228" i="9"/>
  <c r="A228" i="9"/>
  <c r="M6" i="4"/>
  <c r="X6" i="5" s="1"/>
  <c r="E6" i="4"/>
  <c r="H6" i="5" s="1"/>
  <c r="L6" i="4"/>
  <c r="V6" i="5" s="1"/>
  <c r="D6" i="4"/>
  <c r="F6" i="5" s="1"/>
  <c r="S6" i="4"/>
  <c r="AJ6" i="5" s="1"/>
  <c r="K6" i="4"/>
  <c r="T6" i="5" s="1"/>
  <c r="C6" i="4"/>
  <c r="D6" i="5" s="1"/>
  <c r="A8" i="4" a="1"/>
  <c r="A8" i="4" s="1"/>
  <c r="O6" i="4"/>
  <c r="AB6" i="5" s="1"/>
  <c r="V6" i="4"/>
  <c r="N6" i="4"/>
  <c r="Z6" i="5" s="1"/>
  <c r="W6" i="4"/>
  <c r="AN6" i="5" s="1"/>
  <c r="J6" i="4"/>
  <c r="U6" i="4" s="1"/>
  <c r="I6" i="4"/>
  <c r="P6" i="5" s="1"/>
  <c r="G6" i="4"/>
  <c r="L6" i="5" s="1"/>
  <c r="F6" i="4"/>
  <c r="J6" i="5" s="1"/>
  <c r="R6" i="4"/>
  <c r="AH6" i="5" s="1"/>
  <c r="H6" i="4"/>
  <c r="N6" i="5" s="1"/>
  <c r="Q6" i="4"/>
  <c r="AF6" i="5" s="1"/>
  <c r="P6" i="4"/>
  <c r="AD6" i="5" s="1"/>
  <c r="B6" i="4"/>
  <c r="D7" i="13" a="1"/>
  <c r="D3" i="13" a="1"/>
  <c r="D5" i="13" a="1"/>
  <c r="D1" i="13" a="1"/>
  <c r="B2" i="7" a="1"/>
  <c r="H242" i="9" a="1"/>
  <c r="C242" i="9" a="1"/>
  <c r="Q1" i="2"/>
  <c r="R1" i="2"/>
  <c r="P1" i="2"/>
  <c r="S1" i="2"/>
  <c r="U1" i="2"/>
  <c r="T1" i="2"/>
  <c r="C226" i="9" a="1"/>
  <c r="H226" i="9" a="1"/>
  <c r="C234" i="9" a="1"/>
  <c r="H234" i="9" a="1"/>
  <c r="R6" i="5" l="1"/>
  <c r="R7" i="5"/>
  <c r="D7" i="13"/>
  <c r="ER10" i="14"/>
  <c r="EO9" i="14"/>
  <c r="EF17" i="14"/>
  <c r="EK12" i="14"/>
  <c r="EG9" i="14"/>
  <c r="EH12" i="14"/>
  <c r="EH10" i="14"/>
  <c r="EK14" i="14"/>
  <c r="EK15" i="14"/>
  <c r="EI14" i="14"/>
  <c r="EI15" i="14"/>
  <c r="EH14" i="14"/>
  <c r="EK11" i="14"/>
  <c r="EG15" i="14"/>
  <c r="EG14" i="14"/>
  <c r="EH11" i="14"/>
  <c r="EL9" i="14"/>
  <c r="DV12" i="14"/>
  <c r="DR9" i="14"/>
  <c r="DS12" i="14"/>
  <c r="DS10" i="14"/>
  <c r="DV14" i="14"/>
  <c r="DW9" i="14"/>
  <c r="DV15" i="14"/>
  <c r="DT14" i="14"/>
  <c r="DR14" i="14"/>
  <c r="DT15" i="14"/>
  <c r="DS14" i="14"/>
  <c r="DV11" i="14"/>
  <c r="DR15" i="14"/>
  <c r="DS11" i="14"/>
  <c r="DZ9" i="14"/>
  <c r="DQ17" i="14"/>
  <c r="EC10" i="14"/>
  <c r="DG12" i="14"/>
  <c r="DC9" i="14"/>
  <c r="DD12" i="14"/>
  <c r="DD10" i="14"/>
  <c r="DG14" i="14"/>
  <c r="DG15" i="14"/>
  <c r="DE14" i="14"/>
  <c r="DE15" i="14"/>
  <c r="DD14" i="14"/>
  <c r="DG11" i="14"/>
  <c r="DC15" i="14"/>
  <c r="DC14" i="14"/>
  <c r="DD11" i="14"/>
  <c r="DH9" i="14"/>
  <c r="DK9" i="14"/>
  <c r="DN10" i="14"/>
  <c r="DB17" i="14"/>
  <c r="CY6" i="14"/>
  <c r="CY4" i="14"/>
  <c r="CW6" i="14"/>
  <c r="CV4" i="14"/>
  <c r="CV2" i="14"/>
  <c r="CY7" i="14"/>
  <c r="CV6" i="14"/>
  <c r="CU1" i="14"/>
  <c r="CW7" i="14"/>
  <c r="CU6" i="14"/>
  <c r="CU7" i="14"/>
  <c r="CY3" i="14"/>
  <c r="CZ1" i="14"/>
  <c r="CV3" i="14"/>
  <c r="CR10" i="14"/>
  <c r="CT9" i="14"/>
  <c r="CO9" i="14"/>
  <c r="CC12" i="14"/>
  <c r="BY9" i="14"/>
  <c r="BZ12" i="14"/>
  <c r="BZ10" i="14"/>
  <c r="CC14" i="14"/>
  <c r="CC15" i="14"/>
  <c r="CA14" i="14"/>
  <c r="CA15" i="14"/>
  <c r="BZ14" i="14"/>
  <c r="CC11" i="14"/>
  <c r="BY15" i="14"/>
  <c r="BY14" i="14"/>
  <c r="BZ11" i="14"/>
  <c r="CD9" i="14"/>
  <c r="BX17" i="14"/>
  <c r="CG9" i="14"/>
  <c r="CJ10" i="14"/>
  <c r="BU6" i="14"/>
  <c r="BU4" i="14"/>
  <c r="BS6" i="14"/>
  <c r="BR4" i="14"/>
  <c r="BR2" i="14"/>
  <c r="BU7" i="14"/>
  <c r="BR6" i="14"/>
  <c r="BS7" i="14"/>
  <c r="BQ6" i="14"/>
  <c r="BQ7" i="14"/>
  <c r="BU3" i="14"/>
  <c r="BV1" i="14"/>
  <c r="BQ1" i="14"/>
  <c r="BR3" i="14"/>
  <c r="BN10" i="14"/>
  <c r="BP9" i="14"/>
  <c r="BK9" i="14"/>
  <c r="BC9" i="14"/>
  <c r="BF10" i="14"/>
  <c r="AT17" i="14"/>
  <c r="AY12" i="14"/>
  <c r="AU9" i="14"/>
  <c r="AV12" i="14"/>
  <c r="AV10" i="14"/>
  <c r="AY14" i="14"/>
  <c r="AY15" i="14"/>
  <c r="AW14" i="14"/>
  <c r="AW15" i="14"/>
  <c r="AV14" i="14"/>
  <c r="AY11" i="14"/>
  <c r="AU15" i="14"/>
  <c r="AU14" i="14"/>
  <c r="AV11" i="14"/>
  <c r="AZ9" i="14"/>
  <c r="AJ12" i="14"/>
  <c r="AF9" i="14"/>
  <c r="AG12" i="14"/>
  <c r="AG10" i="14"/>
  <c r="AJ14" i="14"/>
  <c r="AJ15" i="14"/>
  <c r="AH14" i="14"/>
  <c r="AH15" i="14"/>
  <c r="AG14" i="14"/>
  <c r="AJ11" i="14"/>
  <c r="AF15" i="14"/>
  <c r="AF14" i="14"/>
  <c r="AG11" i="14"/>
  <c r="AK9" i="14"/>
  <c r="AE17" i="14"/>
  <c r="AN9" i="14"/>
  <c r="AQ10" i="14"/>
  <c r="P17" i="14"/>
  <c r="M47" i="14"/>
  <c r="J46" i="14"/>
  <c r="J44" i="14"/>
  <c r="K47" i="14"/>
  <c r="I46" i="14"/>
  <c r="K46" i="14"/>
  <c r="I47" i="14"/>
  <c r="M43" i="14"/>
  <c r="N41" i="14"/>
  <c r="J42" i="14"/>
  <c r="J43" i="14"/>
  <c r="I41" i="14"/>
  <c r="M44" i="14"/>
  <c r="M46" i="14"/>
  <c r="D5" i="13"/>
  <c r="M5" i="13" s="1"/>
  <c r="D3" i="13"/>
  <c r="M3" i="13" s="1"/>
  <c r="D1" i="13"/>
  <c r="M1" i="13" s="1"/>
  <c r="B14" i="13"/>
  <c r="B12" i="13"/>
  <c r="B10" i="13"/>
  <c r="B4" i="13"/>
  <c r="B8" i="13"/>
  <c r="B6" i="13"/>
  <c r="B2" i="13"/>
  <c r="A223" i="9"/>
  <c r="H234" i="9"/>
  <c r="Q234" i="9" s="1"/>
  <c r="P234" i="9" s="1"/>
  <c r="C234" i="9"/>
  <c r="H226" i="9"/>
  <c r="Q226" i="9" s="1"/>
  <c r="P226" i="9" s="1"/>
  <c r="C226" i="9"/>
  <c r="K1" i="9"/>
  <c r="V1" i="2"/>
  <c r="O1" i="9" s="1"/>
  <c r="K141" i="9"/>
  <c r="K71" i="9"/>
  <c r="C242" i="9"/>
  <c r="H242" i="9"/>
  <c r="Q242" i="9" s="1"/>
  <c r="P242" i="9" s="1"/>
  <c r="B2" i="7"/>
  <c r="A17" i="10"/>
  <c r="W9" i="4"/>
  <c r="AN9" i="5" s="1"/>
  <c r="N9" i="4"/>
  <c r="Z9" i="5" s="1"/>
  <c r="F9" i="4"/>
  <c r="J9" i="5" s="1"/>
  <c r="V9" i="4"/>
  <c r="AM9" i="5" s="1"/>
  <c r="M9" i="4"/>
  <c r="X9" i="5" s="1"/>
  <c r="E9" i="4"/>
  <c r="H9" i="5" s="1"/>
  <c r="L9" i="4"/>
  <c r="V9" i="5" s="1"/>
  <c r="D9" i="4"/>
  <c r="F9" i="5" s="1"/>
  <c r="P9" i="4"/>
  <c r="AD9" i="5" s="1"/>
  <c r="B9" i="4"/>
  <c r="B9" i="5" s="1"/>
  <c r="S9" i="4"/>
  <c r="AJ9" i="5" s="1"/>
  <c r="R9" i="4"/>
  <c r="AH9" i="5" s="1"/>
  <c r="O9" i="4"/>
  <c r="AB9" i="5" s="1"/>
  <c r="K9" i="4"/>
  <c r="T9" i="5" s="1"/>
  <c r="J9" i="4"/>
  <c r="R9" i="5" s="1"/>
  <c r="H9" i="4"/>
  <c r="N9" i="5" s="1"/>
  <c r="G9" i="4"/>
  <c r="L9" i="5" s="1"/>
  <c r="A11" i="4" a="1"/>
  <c r="A11" i="4" s="1"/>
  <c r="I9" i="4"/>
  <c r="P9" i="5" s="1"/>
  <c r="Q9" i="4"/>
  <c r="AF9" i="5" s="1"/>
  <c r="C9" i="4"/>
  <c r="D9" i="5" s="1"/>
  <c r="AM6" i="5"/>
  <c r="O132" i="4"/>
  <c r="G132" i="4"/>
  <c r="A134" i="4"/>
  <c r="V132" i="4"/>
  <c r="AM132" i="5" s="1"/>
  <c r="M132" i="4"/>
  <c r="E132" i="4"/>
  <c r="S132" i="4"/>
  <c r="K132" i="4"/>
  <c r="C132" i="4"/>
  <c r="Q132" i="4"/>
  <c r="I132" i="4"/>
  <c r="L132" i="4"/>
  <c r="J132" i="4"/>
  <c r="H132" i="4"/>
  <c r="W132" i="4"/>
  <c r="AN132" i="5" s="1"/>
  <c r="F132" i="4"/>
  <c r="D132" i="4"/>
  <c r="R132" i="4"/>
  <c r="B132" i="4"/>
  <c r="P132" i="4"/>
  <c r="N132" i="4"/>
  <c r="A241" i="9"/>
  <c r="J241" i="9"/>
  <c r="F241" i="9"/>
  <c r="G241" i="9" s="1"/>
  <c r="A11" i="5" a="1"/>
  <c r="A11" i="5" s="1"/>
  <c r="AL9" i="5"/>
  <c r="F233" i="9"/>
  <c r="G233" i="9" s="1"/>
  <c r="A233" i="9"/>
  <c r="J233" i="9"/>
  <c r="V8" i="4"/>
  <c r="AM8" i="5" s="1"/>
  <c r="M8" i="4"/>
  <c r="X8" i="5" s="1"/>
  <c r="E8" i="4"/>
  <c r="H8" i="5" s="1"/>
  <c r="L8" i="4"/>
  <c r="V8" i="5" s="1"/>
  <c r="D8" i="4"/>
  <c r="F8" i="5" s="1"/>
  <c r="S8" i="4"/>
  <c r="AJ8" i="5" s="1"/>
  <c r="K8" i="4"/>
  <c r="T8" i="5" s="1"/>
  <c r="C8" i="4"/>
  <c r="D8" i="5" s="1"/>
  <c r="O8" i="4"/>
  <c r="AB8" i="5" s="1"/>
  <c r="R8" i="4"/>
  <c r="AH8" i="5" s="1"/>
  <c r="F8" i="4"/>
  <c r="J8" i="5" s="1"/>
  <c r="N8" i="4"/>
  <c r="Z8" i="5" s="1"/>
  <c r="A10" i="4" a="1"/>
  <c r="A10" i="4" s="1"/>
  <c r="J8" i="4"/>
  <c r="R8" i="5" s="1"/>
  <c r="W8" i="4"/>
  <c r="AN8" i="5" s="1"/>
  <c r="I8" i="4"/>
  <c r="P8" i="5" s="1"/>
  <c r="G8" i="4"/>
  <c r="L8" i="5" s="1"/>
  <c r="H8" i="4"/>
  <c r="N8" i="5" s="1"/>
  <c r="P8" i="4"/>
  <c r="AD8" i="5" s="1"/>
  <c r="B8" i="4"/>
  <c r="Q8" i="4"/>
  <c r="AF8" i="5" s="1"/>
  <c r="I5" i="2"/>
  <c r="L144" i="9"/>
  <c r="L74" i="9"/>
  <c r="L4" i="9"/>
  <c r="A10" i="5" a="1"/>
  <c r="A10" i="5" s="1"/>
  <c r="AL8" i="5"/>
  <c r="Z3" i="5"/>
  <c r="AA3" i="5" s="1"/>
  <c r="O3" i="4"/>
  <c r="B6" i="5"/>
  <c r="Z4" i="5"/>
  <c r="F225" i="9"/>
  <c r="G225" i="9" s="1"/>
  <c r="A225" i="9"/>
  <c r="J225" i="9"/>
  <c r="D6" i="13" a="1"/>
  <c r="D2" i="13" a="1"/>
  <c r="D4" i="13" a="1"/>
  <c r="B3" i="7" a="1"/>
  <c r="J1" i="2" a="1"/>
  <c r="L1" i="2" a="1"/>
  <c r="N1" i="2" a="1"/>
  <c r="M71" i="9" a="1"/>
  <c r="O1" i="2" a="1"/>
  <c r="K1" i="2" a="1"/>
  <c r="M1" i="2" a="1"/>
  <c r="T2" i="2"/>
  <c r="S2" i="2"/>
  <c r="U2" i="2"/>
  <c r="R2" i="2"/>
  <c r="P2" i="2"/>
  <c r="Q2" i="2"/>
  <c r="M1" i="9" a="1"/>
  <c r="H7" i="13" l="1"/>
  <c r="G7" i="13"/>
  <c r="I7" i="13"/>
  <c r="M7" i="13"/>
  <c r="EM17" i="14"/>
  <c r="EH17" i="14"/>
  <c r="EK18" i="14"/>
  <c r="ER15" i="14"/>
  <c r="EO14" i="14"/>
  <c r="ER12" i="14"/>
  <c r="EP15" i="14"/>
  <c r="EN14" i="14"/>
  <c r="EN15" i="14"/>
  <c r="ER11" i="14"/>
  <c r="ES9" i="14"/>
  <c r="EP14" i="14"/>
  <c r="EO11" i="14"/>
  <c r="EN9" i="14"/>
  <c r="ER14" i="14"/>
  <c r="EO12" i="14"/>
  <c r="EO10" i="14"/>
  <c r="DX17" i="14"/>
  <c r="DS17" i="14"/>
  <c r="DV18" i="14"/>
  <c r="EC15" i="14"/>
  <c r="DZ14" i="14"/>
  <c r="EA15" i="14"/>
  <c r="DY14" i="14"/>
  <c r="EC12" i="14"/>
  <c r="DY15" i="14"/>
  <c r="EC11" i="14"/>
  <c r="ED9" i="14"/>
  <c r="EC14" i="14"/>
  <c r="DZ11" i="14"/>
  <c r="DY9" i="14"/>
  <c r="EA14" i="14"/>
  <c r="DZ12" i="14"/>
  <c r="DZ10" i="14"/>
  <c r="DN15" i="14"/>
  <c r="DK14" i="14"/>
  <c r="DL15" i="14"/>
  <c r="DJ14" i="14"/>
  <c r="DJ15" i="14"/>
  <c r="DN11" i="14"/>
  <c r="DO9" i="14"/>
  <c r="DK11" i="14"/>
  <c r="DJ9" i="14"/>
  <c r="DN14" i="14"/>
  <c r="DN12" i="14"/>
  <c r="DL14" i="14"/>
  <c r="DK12" i="14"/>
  <c r="DK10" i="14"/>
  <c r="DI17" i="14"/>
  <c r="DD17" i="14"/>
  <c r="DG18" i="14"/>
  <c r="CV9" i="14"/>
  <c r="CY10" i="14"/>
  <c r="CM17" i="14"/>
  <c r="CR12" i="14"/>
  <c r="CN9" i="14"/>
  <c r="CO12" i="14"/>
  <c r="CO10" i="14"/>
  <c r="CS9" i="14"/>
  <c r="CR14" i="14"/>
  <c r="CR15" i="14"/>
  <c r="CP14" i="14"/>
  <c r="CP15" i="14"/>
  <c r="CO14" i="14"/>
  <c r="CR11" i="14"/>
  <c r="CN15" i="14"/>
  <c r="CN14" i="14"/>
  <c r="CO11" i="14"/>
  <c r="CE17" i="14"/>
  <c r="BZ17" i="14"/>
  <c r="CC18" i="14"/>
  <c r="CJ15" i="14"/>
  <c r="CG14" i="14"/>
  <c r="CJ14" i="14"/>
  <c r="CH15" i="14"/>
  <c r="CF14" i="14"/>
  <c r="CJ12" i="14"/>
  <c r="CG12" i="14"/>
  <c r="CF15" i="14"/>
  <c r="CJ11" i="14"/>
  <c r="CK9" i="14"/>
  <c r="CG11" i="14"/>
  <c r="CG10" i="14"/>
  <c r="CF9" i="14"/>
  <c r="CH14" i="14"/>
  <c r="BR9" i="14"/>
  <c r="BI17" i="14"/>
  <c r="BU10" i="14"/>
  <c r="BN12" i="14"/>
  <c r="BJ9" i="14"/>
  <c r="BO9" i="14"/>
  <c r="BK12" i="14"/>
  <c r="BK10" i="14"/>
  <c r="BN14" i="14"/>
  <c r="BN15" i="14"/>
  <c r="BL14" i="14"/>
  <c r="BL15" i="14"/>
  <c r="BK14" i="14"/>
  <c r="BN11" i="14"/>
  <c r="BJ15" i="14"/>
  <c r="BJ14" i="14"/>
  <c r="BK11" i="14"/>
  <c r="BA17" i="14"/>
  <c r="AV17" i="14"/>
  <c r="AY18" i="14"/>
  <c r="BF15" i="14"/>
  <c r="BC14" i="14"/>
  <c r="BD15" i="14"/>
  <c r="BB14" i="14"/>
  <c r="BB15" i="14"/>
  <c r="BF11" i="14"/>
  <c r="BG9" i="14"/>
  <c r="BC11" i="14"/>
  <c r="BB9" i="14"/>
  <c r="BF14" i="14"/>
  <c r="BF12" i="14"/>
  <c r="BD14" i="14"/>
  <c r="BC12" i="14"/>
  <c r="BC10" i="14"/>
  <c r="AQ15" i="14"/>
  <c r="AN14" i="14"/>
  <c r="AO15" i="14"/>
  <c r="AM14" i="14"/>
  <c r="AM15" i="14"/>
  <c r="AQ11" i="14"/>
  <c r="AR9" i="14"/>
  <c r="AN12" i="14"/>
  <c r="AN11" i="14"/>
  <c r="AM9" i="14"/>
  <c r="AN10" i="14"/>
  <c r="AQ14" i="14"/>
  <c r="AQ12" i="14"/>
  <c r="AO14" i="14"/>
  <c r="AL17" i="14"/>
  <c r="AG17" i="14"/>
  <c r="AJ18" i="14"/>
  <c r="W17" i="14"/>
  <c r="D6" i="13"/>
  <c r="M6" i="13" s="1"/>
  <c r="G3" i="13"/>
  <c r="O3" i="13" s="1"/>
  <c r="H3" i="13"/>
  <c r="I3" i="13"/>
  <c r="G5" i="13"/>
  <c r="O5" i="13" s="1"/>
  <c r="H5" i="13"/>
  <c r="I5" i="13"/>
  <c r="H1" i="13"/>
  <c r="G1" i="13"/>
  <c r="O1" i="13" s="1"/>
  <c r="I1" i="13"/>
  <c r="D4" i="13"/>
  <c r="D2" i="13"/>
  <c r="M2" i="13" s="1"/>
  <c r="M1" i="9"/>
  <c r="K72" i="9"/>
  <c r="K2" i="9"/>
  <c r="V2" i="2"/>
  <c r="O2" i="9" s="1"/>
  <c r="K142" i="9"/>
  <c r="M1" i="2"/>
  <c r="K1" i="2"/>
  <c r="O1" i="2"/>
  <c r="M71" i="9"/>
  <c r="N1" i="2"/>
  <c r="L1" i="2"/>
  <c r="J1" i="2"/>
  <c r="B3" i="7"/>
  <c r="AL11" i="5"/>
  <c r="A13" i="5" a="1"/>
  <c r="A13" i="5" s="1"/>
  <c r="AB3" i="5"/>
  <c r="AC3" i="5" s="1"/>
  <c r="P3" i="4"/>
  <c r="A12" i="4" a="1"/>
  <c r="A12" i="4" s="1"/>
  <c r="O10" i="4"/>
  <c r="AB10" i="5" s="1"/>
  <c r="G10" i="4"/>
  <c r="L10" i="5" s="1"/>
  <c r="W10" i="4"/>
  <c r="AN10" i="5" s="1"/>
  <c r="N10" i="4"/>
  <c r="Z10" i="5" s="1"/>
  <c r="F10" i="4"/>
  <c r="J10" i="5" s="1"/>
  <c r="V10" i="4"/>
  <c r="AM10" i="5" s="1"/>
  <c r="M10" i="4"/>
  <c r="X10" i="5" s="1"/>
  <c r="E10" i="4"/>
  <c r="H10" i="5" s="1"/>
  <c r="Q10" i="4"/>
  <c r="AF10" i="5" s="1"/>
  <c r="C10" i="4"/>
  <c r="D10" i="5" s="1"/>
  <c r="P10" i="4"/>
  <c r="AD10" i="5" s="1"/>
  <c r="B10" i="4"/>
  <c r="L10" i="4"/>
  <c r="V10" i="5" s="1"/>
  <c r="K10" i="4"/>
  <c r="T10" i="5" s="1"/>
  <c r="I10" i="4"/>
  <c r="P10" i="5" s="1"/>
  <c r="H10" i="4"/>
  <c r="N10" i="5" s="1"/>
  <c r="J10" i="4"/>
  <c r="R10" i="5" s="1"/>
  <c r="S10" i="4"/>
  <c r="AJ10" i="5" s="1"/>
  <c r="R10" i="4"/>
  <c r="AH10" i="5" s="1"/>
  <c r="D10" i="4"/>
  <c r="F10" i="5" s="1"/>
  <c r="P11" i="4"/>
  <c r="AD11" i="5" s="1"/>
  <c r="H11" i="4"/>
  <c r="N11" i="5" s="1"/>
  <c r="A13" i="4" a="1"/>
  <c r="A13" i="4" s="1"/>
  <c r="O11" i="4"/>
  <c r="AB11" i="5" s="1"/>
  <c r="G11" i="4"/>
  <c r="L11" i="5" s="1"/>
  <c r="W11" i="4"/>
  <c r="AN11" i="5" s="1"/>
  <c r="N11" i="4"/>
  <c r="Z11" i="5" s="1"/>
  <c r="F11" i="4"/>
  <c r="J11" i="5" s="1"/>
  <c r="S11" i="4"/>
  <c r="AJ11" i="5" s="1"/>
  <c r="E11" i="4"/>
  <c r="H11" i="5" s="1"/>
  <c r="D11" i="4"/>
  <c r="F11" i="5" s="1"/>
  <c r="K11" i="4"/>
  <c r="T11" i="5" s="1"/>
  <c r="J11" i="4"/>
  <c r="R11" i="5" s="1"/>
  <c r="R11" i="4"/>
  <c r="AH11" i="5" s="1"/>
  <c r="Q11" i="4"/>
  <c r="AF11" i="5" s="1"/>
  <c r="C11" i="4"/>
  <c r="D11" i="5" s="1"/>
  <c r="M11" i="4"/>
  <c r="X11" i="5" s="1"/>
  <c r="B11" i="4"/>
  <c r="B11" i="5" s="1"/>
  <c r="V11" i="4"/>
  <c r="AM11" i="5" s="1"/>
  <c r="L11" i="4"/>
  <c r="V11" i="5" s="1"/>
  <c r="I11" i="4"/>
  <c r="P11" i="5" s="1"/>
  <c r="J242" i="9"/>
  <c r="F242" i="9"/>
  <c r="G242" i="9" s="1"/>
  <c r="A242" i="9"/>
  <c r="S134" i="4"/>
  <c r="K134" i="4"/>
  <c r="C134" i="4"/>
  <c r="Q134" i="4"/>
  <c r="I134" i="4"/>
  <c r="O134" i="4"/>
  <c r="G134" i="4"/>
  <c r="A136" i="4"/>
  <c r="V134" i="4"/>
  <c r="AM134" i="5" s="1"/>
  <c r="M134" i="4"/>
  <c r="E134" i="4"/>
  <c r="H134" i="4"/>
  <c r="W134" i="4"/>
  <c r="AN134" i="5" s="1"/>
  <c r="F134" i="4"/>
  <c r="D134" i="4"/>
  <c r="R134" i="4"/>
  <c r="B134" i="4"/>
  <c r="P134" i="4"/>
  <c r="N134" i="4"/>
  <c r="L134" i="4"/>
  <c r="J134" i="4"/>
  <c r="B8" i="5"/>
  <c r="L5" i="9"/>
  <c r="I6" i="2"/>
  <c r="L75" i="9"/>
  <c r="L145" i="9"/>
  <c r="A226" i="9"/>
  <c r="A227" i="9" s="1"/>
  <c r="A231" i="9" s="1"/>
  <c r="J226" i="9"/>
  <c r="F226" i="9"/>
  <c r="G226" i="9" s="1"/>
  <c r="F234" i="9"/>
  <c r="G234" i="9" s="1"/>
  <c r="A234" i="9"/>
  <c r="J234" i="9"/>
  <c r="AB4" i="5"/>
  <c r="AL10" i="5"/>
  <c r="A12" i="5" a="1"/>
  <c r="A12" i="5" s="1"/>
  <c r="O141" i="9"/>
  <c r="O71" i="9"/>
  <c r="I71" i="9" s="1" a="1"/>
  <c r="I71" i="9" s="1"/>
  <c r="I1" i="9" a="1"/>
  <c r="I1" i="9" s="1"/>
  <c r="O2" i="2" a="1"/>
  <c r="M2" i="2" a="1"/>
  <c r="D1" i="9" a="1"/>
  <c r="B4" i="7" a="1"/>
  <c r="T3" i="2"/>
  <c r="S3" i="2"/>
  <c r="U3" i="2"/>
  <c r="K2" i="2" a="1"/>
  <c r="N2" i="2" a="1"/>
  <c r="M2" i="9" a="1"/>
  <c r="D71" i="9" a="1"/>
  <c r="J2" i="2" a="1"/>
  <c r="L2" i="2" a="1"/>
  <c r="R3" i="2"/>
  <c r="Q3" i="2"/>
  <c r="P3" i="2"/>
  <c r="O7" i="13" l="1"/>
  <c r="J7" i="13"/>
  <c r="EK22" i="14"/>
  <c r="EK23" i="14"/>
  <c r="EI22" i="14"/>
  <c r="EI23" i="14"/>
  <c r="EH22" i="14"/>
  <c r="EK19" i="14"/>
  <c r="EK20" i="14"/>
  <c r="EG17" i="14"/>
  <c r="EH20" i="14"/>
  <c r="EG23" i="14"/>
  <c r="EG22" i="14"/>
  <c r="EH19" i="14"/>
  <c r="EL17" i="14"/>
  <c r="EH18" i="14"/>
  <c r="EO17" i="14"/>
  <c r="ER18" i="14"/>
  <c r="EF25" i="14"/>
  <c r="DV22" i="14"/>
  <c r="DV23" i="14"/>
  <c r="DT22" i="14"/>
  <c r="DR17" i="14"/>
  <c r="DT23" i="14"/>
  <c r="DS22" i="14"/>
  <c r="DV19" i="14"/>
  <c r="DV20" i="14"/>
  <c r="DR23" i="14"/>
  <c r="DR22" i="14"/>
  <c r="DS19" i="14"/>
  <c r="DW17" i="14"/>
  <c r="DS20" i="14"/>
  <c r="DS18" i="14"/>
  <c r="DZ17" i="14"/>
  <c r="DQ25" i="14"/>
  <c r="EC18" i="14"/>
  <c r="DG22" i="14"/>
  <c r="DG23" i="14"/>
  <c r="DE22" i="14"/>
  <c r="DE23" i="14"/>
  <c r="DD22" i="14"/>
  <c r="DG19" i="14"/>
  <c r="DC23" i="14"/>
  <c r="DC22" i="14"/>
  <c r="DD19" i="14"/>
  <c r="DH17" i="14"/>
  <c r="DG20" i="14"/>
  <c r="DC17" i="14"/>
  <c r="DD20" i="14"/>
  <c r="DD18" i="14"/>
  <c r="DK17" i="14"/>
  <c r="DN18" i="14"/>
  <c r="DB25" i="14"/>
  <c r="CR18" i="14"/>
  <c r="CT17" i="14"/>
  <c r="CO17" i="14"/>
  <c r="CY15" i="14"/>
  <c r="CV14" i="14"/>
  <c r="CW15" i="14"/>
  <c r="CU14" i="14"/>
  <c r="CY12" i="14"/>
  <c r="CU15" i="14"/>
  <c r="CY11" i="14"/>
  <c r="CZ9" i="14"/>
  <c r="CV11" i="14"/>
  <c r="CY14" i="14"/>
  <c r="CU9" i="14"/>
  <c r="CW14" i="14"/>
  <c r="CV12" i="14"/>
  <c r="CV10" i="14"/>
  <c r="CC22" i="14"/>
  <c r="CC23" i="14"/>
  <c r="CA22" i="14"/>
  <c r="BZ20" i="14"/>
  <c r="CA23" i="14"/>
  <c r="BZ22" i="14"/>
  <c r="CC19" i="14"/>
  <c r="BY17" i="14"/>
  <c r="BY23" i="14"/>
  <c r="BY22" i="14"/>
  <c r="BZ19" i="14"/>
  <c r="CC20" i="14"/>
  <c r="BZ18" i="14"/>
  <c r="CD17" i="14"/>
  <c r="CG17" i="14"/>
  <c r="CJ18" i="14"/>
  <c r="BX25" i="14"/>
  <c r="BP17" i="14"/>
  <c r="BN18" i="14"/>
  <c r="BK17" i="14"/>
  <c r="BU15" i="14"/>
  <c r="BR14" i="14"/>
  <c r="BS15" i="14"/>
  <c r="BQ14" i="14"/>
  <c r="BQ15" i="14"/>
  <c r="BU11" i="14"/>
  <c r="BV9" i="14"/>
  <c r="BU12" i="14"/>
  <c r="BR11" i="14"/>
  <c r="BU14" i="14"/>
  <c r="BQ9" i="14"/>
  <c r="BS14" i="14"/>
  <c r="BR12" i="14"/>
  <c r="BR10" i="14"/>
  <c r="AY22" i="14"/>
  <c r="AY23" i="14"/>
  <c r="AW22" i="14"/>
  <c r="AV18" i="14"/>
  <c r="AW23" i="14"/>
  <c r="AV22" i="14"/>
  <c r="AY19" i="14"/>
  <c r="AU23" i="14"/>
  <c r="AU22" i="14"/>
  <c r="AV19" i="14"/>
  <c r="AZ17" i="14"/>
  <c r="AY20" i="14"/>
  <c r="AU17" i="14"/>
  <c r="AV20" i="14"/>
  <c r="BC17" i="14"/>
  <c r="BF18" i="14"/>
  <c r="AT25" i="14"/>
  <c r="AJ22" i="14"/>
  <c r="AJ23" i="14"/>
  <c r="AH22" i="14"/>
  <c r="AH23" i="14"/>
  <c r="AG22" i="14"/>
  <c r="AJ19" i="14"/>
  <c r="AG20" i="14"/>
  <c r="AF23" i="14"/>
  <c r="AF22" i="14"/>
  <c r="AG19" i="14"/>
  <c r="AK17" i="14"/>
  <c r="AG18" i="14"/>
  <c r="AJ20" i="14"/>
  <c r="AF17" i="14"/>
  <c r="AN17" i="14"/>
  <c r="AQ18" i="14"/>
  <c r="AE25" i="14"/>
  <c r="P25" i="14"/>
  <c r="M4" i="13"/>
  <c r="I6" i="13"/>
  <c r="H6" i="13"/>
  <c r="G6" i="13"/>
  <c r="O6" i="13" s="1"/>
  <c r="J5" i="13"/>
  <c r="J1" i="13"/>
  <c r="G2" i="13"/>
  <c r="O2" i="13" s="1"/>
  <c r="H2" i="13"/>
  <c r="I2" i="13"/>
  <c r="G4" i="13"/>
  <c r="O4" i="13" s="1"/>
  <c r="H4" i="13"/>
  <c r="I4" i="13"/>
  <c r="J3" i="13"/>
  <c r="A235" i="9"/>
  <c r="A239" i="9" s="1"/>
  <c r="A243" i="9" s="1"/>
  <c r="K3" i="9"/>
  <c r="V3" i="2"/>
  <c r="O3" i="9" s="1"/>
  <c r="K73" i="9"/>
  <c r="K143" i="9"/>
  <c r="L2" i="2"/>
  <c r="J2" i="2"/>
  <c r="D71" i="9"/>
  <c r="M2" i="9"/>
  <c r="N2" i="2"/>
  <c r="K2" i="2"/>
  <c r="B4" i="7"/>
  <c r="D1" i="9"/>
  <c r="F1" i="9" s="1"/>
  <c r="G1" i="9" s="1"/>
  <c r="M2" i="2"/>
  <c r="O2" i="2"/>
  <c r="A15" i="5" a="1"/>
  <c r="A15" i="5" s="1"/>
  <c r="AL13" i="5"/>
  <c r="O142" i="9"/>
  <c r="O72" i="9"/>
  <c r="I2" i="9" a="1"/>
  <c r="I2" i="9" s="1"/>
  <c r="Q12" i="4"/>
  <c r="AF12" i="5" s="1"/>
  <c r="I12" i="4"/>
  <c r="P12" i="5" s="1"/>
  <c r="P12" i="4"/>
  <c r="AD12" i="5" s="1"/>
  <c r="H12" i="4"/>
  <c r="N12" i="5" s="1"/>
  <c r="A14" i="4" a="1"/>
  <c r="A14" i="4" s="1"/>
  <c r="O12" i="4"/>
  <c r="AB12" i="5" s="1"/>
  <c r="G12" i="4"/>
  <c r="L12" i="5" s="1"/>
  <c r="V12" i="4"/>
  <c r="J12" i="4"/>
  <c r="R12" i="5" s="1"/>
  <c r="F12" i="4"/>
  <c r="J12" i="5" s="1"/>
  <c r="M12" i="4"/>
  <c r="X12" i="5" s="1"/>
  <c r="L12" i="4"/>
  <c r="V12" i="5" s="1"/>
  <c r="S12" i="4"/>
  <c r="AJ12" i="5" s="1"/>
  <c r="E12" i="4"/>
  <c r="H12" i="5" s="1"/>
  <c r="R12" i="4"/>
  <c r="AH12" i="5" s="1"/>
  <c r="D12" i="4"/>
  <c r="F12" i="5" s="1"/>
  <c r="B12" i="4"/>
  <c r="B12" i="5" s="1"/>
  <c r="N12" i="4"/>
  <c r="Z12" i="5" s="1"/>
  <c r="C12" i="4"/>
  <c r="D12" i="5" s="1"/>
  <c r="W12" i="4"/>
  <c r="AN12" i="5" s="1"/>
  <c r="K12" i="4"/>
  <c r="T12" i="5" s="1"/>
  <c r="R13" i="4"/>
  <c r="AH13" i="5" s="1"/>
  <c r="J13" i="4"/>
  <c r="R13" i="5" s="1"/>
  <c r="B13" i="4"/>
  <c r="Q13" i="4"/>
  <c r="AF13" i="5" s="1"/>
  <c r="I13" i="4"/>
  <c r="P13" i="5" s="1"/>
  <c r="P13" i="4"/>
  <c r="AD13" i="5" s="1"/>
  <c r="H13" i="4"/>
  <c r="N13" i="5" s="1"/>
  <c r="L13" i="4"/>
  <c r="V13" i="5" s="1"/>
  <c r="W13" i="4"/>
  <c r="AN13" i="5" s="1"/>
  <c r="K13" i="4"/>
  <c r="T13" i="5" s="1"/>
  <c r="O13" i="4"/>
  <c r="AB13" i="5" s="1"/>
  <c r="N13" i="4"/>
  <c r="Z13" i="5" s="1"/>
  <c r="A15" i="4" a="1"/>
  <c r="A15" i="4" s="1"/>
  <c r="C13" i="4"/>
  <c r="D13" i="5" s="1"/>
  <c r="V13" i="4"/>
  <c r="AM13" i="5" s="1"/>
  <c r="G13" i="4"/>
  <c r="L13" i="5" s="1"/>
  <c r="F13" i="4"/>
  <c r="J13" i="5" s="1"/>
  <c r="D13" i="4"/>
  <c r="F13" i="5" s="1"/>
  <c r="S13" i="4"/>
  <c r="AJ13" i="5" s="1"/>
  <c r="E13" i="4"/>
  <c r="H13" i="5" s="1"/>
  <c r="M13" i="4"/>
  <c r="X13" i="5" s="1"/>
  <c r="AD3" i="5"/>
  <c r="AE3" i="5" s="1"/>
  <c r="Q3" i="4"/>
  <c r="AL12" i="5"/>
  <c r="A14" i="5" a="1"/>
  <c r="A14" i="5" s="1"/>
  <c r="B10" i="5"/>
  <c r="A25" i="10"/>
  <c r="L6" i="9"/>
  <c r="I7" i="2"/>
  <c r="L146" i="9"/>
  <c r="L76" i="9"/>
  <c r="AD4" i="5"/>
  <c r="O136" i="4"/>
  <c r="G136" i="4"/>
  <c r="A138" i="4"/>
  <c r="V136" i="4"/>
  <c r="AM136" i="5" s="1"/>
  <c r="M136" i="4"/>
  <c r="E136" i="4"/>
  <c r="S136" i="4"/>
  <c r="K136" i="4"/>
  <c r="C136" i="4"/>
  <c r="Q136" i="4"/>
  <c r="I136" i="4"/>
  <c r="P136" i="4"/>
  <c r="N136" i="4"/>
  <c r="L136" i="4"/>
  <c r="J136" i="4"/>
  <c r="H136" i="4"/>
  <c r="W136" i="4"/>
  <c r="AN136" i="5" s="1"/>
  <c r="F136" i="4"/>
  <c r="D136" i="4"/>
  <c r="R136" i="4"/>
  <c r="B136" i="4"/>
  <c r="M3" i="9" a="1"/>
  <c r="D2" i="9" a="1"/>
  <c r="J3" i="2" a="1"/>
  <c r="R4" i="2"/>
  <c r="Q4" i="2"/>
  <c r="P4" i="2"/>
  <c r="B5" i="7" a="1"/>
  <c r="K3" i="2" a="1"/>
  <c r="O3" i="2" a="1"/>
  <c r="L3" i="2" a="1"/>
  <c r="M3" i="2" a="1"/>
  <c r="N3" i="2" a="1"/>
  <c r="S4" i="2"/>
  <c r="T4" i="2"/>
  <c r="U4" i="2"/>
  <c r="EN23" i="14" l="1"/>
  <c r="ER19" i="14"/>
  <c r="ES17" i="14"/>
  <c r="EO22" i="14"/>
  <c r="EO19" i="14"/>
  <c r="ER23" i="14"/>
  <c r="EN17" i="14"/>
  <c r="ER22" i="14"/>
  <c r="ER20" i="14"/>
  <c r="EN22" i="14"/>
  <c r="EP22" i="14"/>
  <c r="EO20" i="14"/>
  <c r="EO18" i="14"/>
  <c r="EP23" i="14"/>
  <c r="EM25" i="14"/>
  <c r="EH25" i="14"/>
  <c r="EK26" i="14"/>
  <c r="DY23" i="14"/>
  <c r="EC19" i="14"/>
  <c r="ED17" i="14"/>
  <c r="DZ19" i="14"/>
  <c r="EC23" i="14"/>
  <c r="DZ22" i="14"/>
  <c r="DY17" i="14"/>
  <c r="DZ20" i="14"/>
  <c r="EC22" i="14"/>
  <c r="EC20" i="14"/>
  <c r="EA22" i="14"/>
  <c r="DZ18" i="14"/>
  <c r="EA23" i="14"/>
  <c r="DY22" i="14"/>
  <c r="DX25" i="14"/>
  <c r="DS25" i="14"/>
  <c r="DV26" i="14"/>
  <c r="DJ23" i="14"/>
  <c r="DN19" i="14"/>
  <c r="DO17" i="14"/>
  <c r="DK19" i="14"/>
  <c r="DJ17" i="14"/>
  <c r="DN22" i="14"/>
  <c r="DN20" i="14"/>
  <c r="DL22" i="14"/>
  <c r="DK20" i="14"/>
  <c r="DK18" i="14"/>
  <c r="DN23" i="14"/>
  <c r="DK22" i="14"/>
  <c r="DL23" i="14"/>
  <c r="DJ22" i="14"/>
  <c r="DI25" i="14"/>
  <c r="DD25" i="14"/>
  <c r="DG26" i="14"/>
  <c r="CR22" i="14"/>
  <c r="CR23" i="14"/>
  <c r="CP22" i="14"/>
  <c r="CP23" i="14"/>
  <c r="CO22" i="14"/>
  <c r="CR19" i="14"/>
  <c r="CN23" i="14"/>
  <c r="CN22" i="14"/>
  <c r="CO19" i="14"/>
  <c r="CN17" i="14"/>
  <c r="CS17" i="14"/>
  <c r="CR20" i="14"/>
  <c r="CO20" i="14"/>
  <c r="CO18" i="14"/>
  <c r="CV17" i="14"/>
  <c r="CY18" i="14"/>
  <c r="CM25" i="14"/>
  <c r="CF23" i="14"/>
  <c r="CJ19" i="14"/>
  <c r="CK17" i="14"/>
  <c r="CF22" i="14"/>
  <c r="CG19" i="14"/>
  <c r="CF17" i="14"/>
  <c r="CG22" i="14"/>
  <c r="CH23" i="14"/>
  <c r="CJ22" i="14"/>
  <c r="CJ20" i="14"/>
  <c r="CH22" i="14"/>
  <c r="CG20" i="14"/>
  <c r="CG18" i="14"/>
  <c r="CJ23" i="14"/>
  <c r="CE25" i="14"/>
  <c r="BZ25" i="14"/>
  <c r="CC26" i="14"/>
  <c r="BN22" i="14"/>
  <c r="BN23" i="14"/>
  <c r="BL22" i="14"/>
  <c r="BL23" i="14"/>
  <c r="BK22" i="14"/>
  <c r="BN19" i="14"/>
  <c r="BJ23" i="14"/>
  <c r="BJ22" i="14"/>
  <c r="BK19" i="14"/>
  <c r="BO17" i="14"/>
  <c r="BN20" i="14"/>
  <c r="BJ17" i="14"/>
  <c r="BK20" i="14"/>
  <c r="BK18" i="14"/>
  <c r="BR17" i="14"/>
  <c r="BU18" i="14"/>
  <c r="BI25" i="14"/>
  <c r="BB23" i="14"/>
  <c r="BF19" i="14"/>
  <c r="BG17" i="14"/>
  <c r="BC19" i="14"/>
  <c r="BB17" i="14"/>
  <c r="BF22" i="14"/>
  <c r="BF20" i="14"/>
  <c r="BD22" i="14"/>
  <c r="BC20" i="14"/>
  <c r="BC18" i="14"/>
  <c r="BF23" i="14"/>
  <c r="BC22" i="14"/>
  <c r="BD23" i="14"/>
  <c r="BB22" i="14"/>
  <c r="BA25" i="14"/>
  <c r="AV25" i="14"/>
  <c r="AY26" i="14"/>
  <c r="AM23" i="14"/>
  <c r="AQ19" i="14"/>
  <c r="AR17" i="14"/>
  <c r="AN19" i="14"/>
  <c r="AM17" i="14"/>
  <c r="AQ22" i="14"/>
  <c r="AQ20" i="14"/>
  <c r="AO22" i="14"/>
  <c r="AN20" i="14"/>
  <c r="AN18" i="14"/>
  <c r="AM22" i="14"/>
  <c r="AQ23" i="14"/>
  <c r="AN22" i="14"/>
  <c r="AO23" i="14"/>
  <c r="AL25" i="14"/>
  <c r="AG25" i="14"/>
  <c r="AJ26" i="14"/>
  <c r="W25" i="14"/>
  <c r="U26" i="14"/>
  <c r="J6" i="13"/>
  <c r="J4" i="13"/>
  <c r="J2" i="13"/>
  <c r="N3" i="2"/>
  <c r="M3" i="2"/>
  <c r="L3" i="2"/>
  <c r="O3" i="2"/>
  <c r="K3" i="2"/>
  <c r="B5" i="7"/>
  <c r="K4" i="9"/>
  <c r="V4" i="2"/>
  <c r="O4" i="9" s="1"/>
  <c r="K74" i="9"/>
  <c r="K144" i="9"/>
  <c r="J3" i="2"/>
  <c r="D2" i="9"/>
  <c r="M3" i="9"/>
  <c r="S14" i="4"/>
  <c r="AJ14" i="5" s="1"/>
  <c r="K14" i="4"/>
  <c r="T14" i="5" s="1"/>
  <c r="C14" i="4"/>
  <c r="D14" i="5" s="1"/>
  <c r="R14" i="4"/>
  <c r="AH14" i="5" s="1"/>
  <c r="J14" i="4"/>
  <c r="R14" i="5" s="1"/>
  <c r="B14" i="4"/>
  <c r="B14" i="5" s="1"/>
  <c r="Q14" i="4"/>
  <c r="AF14" i="5" s="1"/>
  <c r="I14" i="4"/>
  <c r="P14" i="5" s="1"/>
  <c r="N14" i="4"/>
  <c r="Z14" i="5" s="1"/>
  <c r="M14" i="4"/>
  <c r="X14" i="5" s="1"/>
  <c r="F14" i="4"/>
  <c r="J14" i="5" s="1"/>
  <c r="P14" i="4"/>
  <c r="AD14" i="5" s="1"/>
  <c r="W14" i="4"/>
  <c r="AN14" i="5" s="1"/>
  <c r="H14" i="4"/>
  <c r="N14" i="5" s="1"/>
  <c r="A16" i="4" a="1"/>
  <c r="A16" i="4" s="1"/>
  <c r="L14" i="4"/>
  <c r="V14" i="5" s="1"/>
  <c r="E14" i="4"/>
  <c r="H14" i="5" s="1"/>
  <c r="V14" i="4"/>
  <c r="AM14" i="5" s="1"/>
  <c r="G14" i="4"/>
  <c r="L14" i="5" s="1"/>
  <c r="O14" i="4"/>
  <c r="AB14" i="5" s="1"/>
  <c r="D14" i="4"/>
  <c r="F14" i="5" s="1"/>
  <c r="A17" i="5" a="1"/>
  <c r="A17" i="5" s="1"/>
  <c r="AL15" i="5"/>
  <c r="B13" i="5"/>
  <c r="L7" i="9"/>
  <c r="I8" i="2"/>
  <c r="L147" i="9"/>
  <c r="L77" i="9"/>
  <c r="AF3" i="5"/>
  <c r="AG3" i="5" s="1"/>
  <c r="R3" i="4"/>
  <c r="AF4" i="5"/>
  <c r="S138" i="4"/>
  <c r="K138" i="4"/>
  <c r="C138" i="4"/>
  <c r="Q138" i="4"/>
  <c r="I138" i="4"/>
  <c r="O138" i="4"/>
  <c r="G138" i="4"/>
  <c r="A140" i="4"/>
  <c r="V138" i="4"/>
  <c r="AM138" i="5" s="1"/>
  <c r="M138" i="4"/>
  <c r="E138" i="4"/>
  <c r="L138" i="4"/>
  <c r="J138" i="4"/>
  <c r="H138" i="4"/>
  <c r="W138" i="4"/>
  <c r="AN138" i="5" s="1"/>
  <c r="F138" i="4"/>
  <c r="D138" i="4"/>
  <c r="R138" i="4"/>
  <c r="B138" i="4"/>
  <c r="P138" i="4"/>
  <c r="N138" i="4"/>
  <c r="L15" i="4"/>
  <c r="V15" i="5" s="1"/>
  <c r="D15" i="4"/>
  <c r="F15" i="5" s="1"/>
  <c r="S15" i="4"/>
  <c r="AJ15" i="5" s="1"/>
  <c r="K15" i="4"/>
  <c r="T15" i="5" s="1"/>
  <c r="C15" i="4"/>
  <c r="D15" i="5" s="1"/>
  <c r="R15" i="4"/>
  <c r="AH15" i="5" s="1"/>
  <c r="J15" i="4"/>
  <c r="R15" i="5" s="1"/>
  <c r="B15" i="4"/>
  <c r="B15" i="5" s="1"/>
  <c r="P15" i="4"/>
  <c r="AD15" i="5" s="1"/>
  <c r="E15" i="4"/>
  <c r="H15" i="5" s="1"/>
  <c r="A17" i="4" a="1"/>
  <c r="A17" i="4" s="1"/>
  <c r="O15" i="4"/>
  <c r="AB15" i="5" s="1"/>
  <c r="M15" i="4"/>
  <c r="X15" i="5" s="1"/>
  <c r="N15" i="4"/>
  <c r="Z15" i="5" s="1"/>
  <c r="V15" i="4"/>
  <c r="AM15" i="5" s="1"/>
  <c r="G15" i="4"/>
  <c r="L15" i="5" s="1"/>
  <c r="H15" i="4"/>
  <c r="N15" i="5" s="1"/>
  <c r="W15" i="4"/>
  <c r="AN15" i="5" s="1"/>
  <c r="I15" i="4"/>
  <c r="P15" i="5" s="1"/>
  <c r="Q15" i="4"/>
  <c r="AF15" i="5" s="1"/>
  <c r="F15" i="4"/>
  <c r="J15" i="5" s="1"/>
  <c r="AM12" i="5"/>
  <c r="A16" i="5" a="1"/>
  <c r="A16" i="5" s="1"/>
  <c r="AL14" i="5"/>
  <c r="N1" i="9"/>
  <c r="Q1" i="9" s="1"/>
  <c r="P1" i="9" s="1"/>
  <c r="J1" i="9"/>
  <c r="F71" i="9"/>
  <c r="G71" i="9" s="1"/>
  <c r="J71" i="9"/>
  <c r="N71" i="9"/>
  <c r="Q71" i="9" s="1"/>
  <c r="P71" i="9" s="1"/>
  <c r="O143" i="9"/>
  <c r="O73" i="9"/>
  <c r="I3" i="9" a="1"/>
  <c r="I3" i="9" s="1"/>
  <c r="O4" i="2" a="1"/>
  <c r="D3" i="9" a="1"/>
  <c r="N4" i="2" a="1"/>
  <c r="M4" i="9" a="1"/>
  <c r="T5" i="2"/>
  <c r="U5" i="2"/>
  <c r="S5" i="2"/>
  <c r="M4" i="2" a="1"/>
  <c r="J4" i="2" a="1"/>
  <c r="R5" i="2"/>
  <c r="P5" i="2"/>
  <c r="Q5" i="2"/>
  <c r="B6" i="7" a="1"/>
  <c r="K4" i="2" a="1"/>
  <c r="L4" i="2" a="1"/>
  <c r="ER26" i="14" l="1"/>
  <c r="EO25" i="14"/>
  <c r="EF33" i="14"/>
  <c r="EI31" i="14"/>
  <c r="EH30" i="14"/>
  <c r="EK27" i="14"/>
  <c r="EG31" i="14"/>
  <c r="EG30" i="14"/>
  <c r="EH27" i="14"/>
  <c r="EL25" i="14"/>
  <c r="EI30" i="14"/>
  <c r="EK28" i="14"/>
  <c r="EG25" i="14"/>
  <c r="EK31" i="14"/>
  <c r="EH28" i="14"/>
  <c r="EH26" i="14"/>
  <c r="EK30" i="14"/>
  <c r="DT31" i="14"/>
  <c r="DS30" i="14"/>
  <c r="DV27" i="14"/>
  <c r="DR31" i="14"/>
  <c r="DR30" i="14"/>
  <c r="DS27" i="14"/>
  <c r="DV30" i="14"/>
  <c r="DW25" i="14"/>
  <c r="DS28" i="14"/>
  <c r="DV28" i="14"/>
  <c r="DR25" i="14"/>
  <c r="DS26" i="14"/>
  <c r="DV31" i="14"/>
  <c r="DT30" i="14"/>
  <c r="EC26" i="14"/>
  <c r="DQ33" i="14"/>
  <c r="DZ25" i="14"/>
  <c r="DE31" i="14"/>
  <c r="DD30" i="14"/>
  <c r="DG27" i="14"/>
  <c r="DC31" i="14"/>
  <c r="DC30" i="14"/>
  <c r="DD27" i="14"/>
  <c r="DH25" i="14"/>
  <c r="DG28" i="14"/>
  <c r="DC25" i="14"/>
  <c r="DD28" i="14"/>
  <c r="DD26" i="14"/>
  <c r="DG30" i="14"/>
  <c r="DG31" i="14"/>
  <c r="DE30" i="14"/>
  <c r="DN26" i="14"/>
  <c r="DB33" i="14"/>
  <c r="DK25" i="14"/>
  <c r="CU23" i="14"/>
  <c r="CY19" i="14"/>
  <c r="CZ17" i="14"/>
  <c r="CV19" i="14"/>
  <c r="CV22" i="14"/>
  <c r="CU17" i="14"/>
  <c r="CY23" i="14"/>
  <c r="CY22" i="14"/>
  <c r="CY20" i="14"/>
  <c r="CW22" i="14"/>
  <c r="CV20" i="14"/>
  <c r="CV18" i="14"/>
  <c r="CW23" i="14"/>
  <c r="CU22" i="14"/>
  <c r="CT25" i="14"/>
  <c r="CO25" i="14"/>
  <c r="CR26" i="14"/>
  <c r="CJ26" i="14"/>
  <c r="BX33" i="14"/>
  <c r="CG25" i="14"/>
  <c r="CA31" i="14"/>
  <c r="BZ30" i="14"/>
  <c r="CC27" i="14"/>
  <c r="BY31" i="14"/>
  <c r="BY30" i="14"/>
  <c r="BZ27" i="14"/>
  <c r="CA30" i="14"/>
  <c r="CD25" i="14"/>
  <c r="CC30" i="14"/>
  <c r="CC31" i="14"/>
  <c r="CC28" i="14"/>
  <c r="BY25" i="14"/>
  <c r="BZ28" i="14"/>
  <c r="BZ26" i="14"/>
  <c r="BQ23" i="14"/>
  <c r="BU19" i="14"/>
  <c r="BV17" i="14"/>
  <c r="BR19" i="14"/>
  <c r="BQ17" i="14"/>
  <c r="BR22" i="14"/>
  <c r="BU22" i="14"/>
  <c r="BU20" i="14"/>
  <c r="BU23" i="14"/>
  <c r="BS22" i="14"/>
  <c r="BR20" i="14"/>
  <c r="BR18" i="14"/>
  <c r="BS23" i="14"/>
  <c r="BQ22" i="14"/>
  <c r="BP25" i="14"/>
  <c r="BK25" i="14"/>
  <c r="BN26" i="14"/>
  <c r="AW31" i="14"/>
  <c r="AV30" i="14"/>
  <c r="AY27" i="14"/>
  <c r="AU31" i="14"/>
  <c r="AU30" i="14"/>
  <c r="AV27" i="14"/>
  <c r="AZ25" i="14"/>
  <c r="AY28" i="14"/>
  <c r="AU25" i="14"/>
  <c r="AV28" i="14"/>
  <c r="AV26" i="14"/>
  <c r="AY30" i="14"/>
  <c r="AY31" i="14"/>
  <c r="AW30" i="14"/>
  <c r="BF26" i="14"/>
  <c r="AT33" i="14"/>
  <c r="BC25" i="14"/>
  <c r="AN25" i="14"/>
  <c r="AQ26" i="14"/>
  <c r="AE33" i="14"/>
  <c r="AH31" i="14"/>
  <c r="AG30" i="14"/>
  <c r="AJ27" i="14"/>
  <c r="AJ31" i="14"/>
  <c r="AF31" i="14"/>
  <c r="AF30" i="14"/>
  <c r="AG27" i="14"/>
  <c r="AK25" i="14"/>
  <c r="AH30" i="14"/>
  <c r="AJ28" i="14"/>
  <c r="AF25" i="14"/>
  <c r="AG28" i="14"/>
  <c r="AG26" i="14"/>
  <c r="AJ30" i="14"/>
  <c r="AB26" i="14"/>
  <c r="P33" i="14"/>
  <c r="L4" i="2"/>
  <c r="K4" i="2"/>
  <c r="B6" i="7"/>
  <c r="K75" i="9"/>
  <c r="K5" i="9"/>
  <c r="M5" i="9" s="1" a="1"/>
  <c r="M5" i="9" s="1"/>
  <c r="V5" i="2"/>
  <c r="O5" i="9" s="1"/>
  <c r="K145" i="9"/>
  <c r="J4" i="2"/>
  <c r="M4" i="2"/>
  <c r="M4" i="9"/>
  <c r="N4" i="2"/>
  <c r="D3" i="9"/>
  <c r="O4" i="2"/>
  <c r="V16" i="4"/>
  <c r="AM16" i="5" s="1"/>
  <c r="M16" i="4"/>
  <c r="X16" i="5" s="1"/>
  <c r="E16" i="4"/>
  <c r="H16" i="5" s="1"/>
  <c r="L16" i="4"/>
  <c r="V16" i="5" s="1"/>
  <c r="D16" i="4"/>
  <c r="F16" i="5" s="1"/>
  <c r="S16" i="4"/>
  <c r="AJ16" i="5" s="1"/>
  <c r="K16" i="4"/>
  <c r="T16" i="5" s="1"/>
  <c r="C16" i="4"/>
  <c r="D16" i="5" s="1"/>
  <c r="Q16" i="4"/>
  <c r="AF16" i="5" s="1"/>
  <c r="F16" i="4"/>
  <c r="J16" i="5" s="1"/>
  <c r="W16" i="4"/>
  <c r="AN16" i="5" s="1"/>
  <c r="P16" i="4"/>
  <c r="AD16" i="5" s="1"/>
  <c r="B16" i="4"/>
  <c r="N16" i="4"/>
  <c r="Z16" i="5" s="1"/>
  <c r="O16" i="4"/>
  <c r="AB16" i="5" s="1"/>
  <c r="H16" i="4"/>
  <c r="N16" i="5" s="1"/>
  <c r="A18" i="4" a="1"/>
  <c r="A18" i="4" s="1"/>
  <c r="J16" i="4"/>
  <c r="R16" i="5" s="1"/>
  <c r="I16" i="4"/>
  <c r="P16" i="5" s="1"/>
  <c r="R16" i="4"/>
  <c r="AH16" i="5" s="1"/>
  <c r="G16" i="4"/>
  <c r="L16" i="5" s="1"/>
  <c r="I9" i="2"/>
  <c r="L148" i="9"/>
  <c r="L8" i="9"/>
  <c r="L78" i="9"/>
  <c r="A18" i="5" a="1"/>
  <c r="A18" i="5" s="1"/>
  <c r="AL16" i="5"/>
  <c r="AH3" i="5"/>
  <c r="AI3" i="5" s="1"/>
  <c r="S3" i="4"/>
  <c r="AJ3" i="5" s="1"/>
  <c r="AK3" i="5" s="1"/>
  <c r="AH4" i="5"/>
  <c r="O144" i="9"/>
  <c r="O74" i="9"/>
  <c r="I4" i="9" a="1"/>
  <c r="I4" i="9" s="1"/>
  <c r="A19" i="5" a="1"/>
  <c r="A19" i="5" s="1"/>
  <c r="AL17" i="5"/>
  <c r="A33" i="10"/>
  <c r="W17" i="4"/>
  <c r="AN17" i="5" s="1"/>
  <c r="N17" i="4"/>
  <c r="Z17" i="5" s="1"/>
  <c r="F17" i="4"/>
  <c r="J17" i="5" s="1"/>
  <c r="V17" i="4"/>
  <c r="AM17" i="5" s="1"/>
  <c r="M17" i="4"/>
  <c r="X17" i="5" s="1"/>
  <c r="E17" i="4"/>
  <c r="H17" i="5" s="1"/>
  <c r="L17" i="4"/>
  <c r="V17" i="5" s="1"/>
  <c r="D17" i="4"/>
  <c r="F17" i="5" s="1"/>
  <c r="R17" i="4"/>
  <c r="AH17" i="5" s="1"/>
  <c r="G17" i="4"/>
  <c r="L17" i="5" s="1"/>
  <c r="Q17" i="4"/>
  <c r="AF17" i="5" s="1"/>
  <c r="C17" i="4"/>
  <c r="D17" i="5" s="1"/>
  <c r="O17" i="4"/>
  <c r="AB17" i="5" s="1"/>
  <c r="P17" i="4"/>
  <c r="AD17" i="5" s="1"/>
  <c r="B17" i="4"/>
  <c r="B17" i="5" s="1"/>
  <c r="J17" i="4"/>
  <c r="R17" i="5" s="1"/>
  <c r="I17" i="4"/>
  <c r="P17" i="5" s="1"/>
  <c r="K17" i="4"/>
  <c r="T17" i="5" s="1"/>
  <c r="A19" i="4" a="1"/>
  <c r="A19" i="4" s="1"/>
  <c r="S17" i="4"/>
  <c r="AJ17" i="5" s="1"/>
  <c r="H17" i="4"/>
  <c r="N17" i="5" s="1"/>
  <c r="O140" i="4"/>
  <c r="G140" i="4"/>
  <c r="A142" i="4"/>
  <c r="V140" i="4"/>
  <c r="AM140" i="5" s="1"/>
  <c r="M140" i="4"/>
  <c r="E140" i="4"/>
  <c r="S140" i="4"/>
  <c r="K140" i="4"/>
  <c r="C140" i="4"/>
  <c r="Q140" i="4"/>
  <c r="I140" i="4"/>
  <c r="D140" i="4"/>
  <c r="R140" i="4"/>
  <c r="B140" i="4"/>
  <c r="P140" i="4"/>
  <c r="N140" i="4"/>
  <c r="L140" i="4"/>
  <c r="J140" i="4"/>
  <c r="H140" i="4"/>
  <c r="W140" i="4"/>
  <c r="AN140" i="5" s="1"/>
  <c r="F140" i="4"/>
  <c r="F2" i="9"/>
  <c r="G2" i="9" s="1"/>
  <c r="J2" i="9"/>
  <c r="N2" i="9"/>
  <c r="Q2" i="9" s="1"/>
  <c r="P2" i="9" s="1"/>
  <c r="U6" i="2"/>
  <c r="S6" i="2"/>
  <c r="T6" i="2"/>
  <c r="L5" i="2" a="1"/>
  <c r="D4" i="9" a="1"/>
  <c r="B7" i="7" a="1"/>
  <c r="K5" i="2" a="1"/>
  <c r="M5" i="2" a="1"/>
  <c r="R6" i="2"/>
  <c r="Q6" i="2"/>
  <c r="P6" i="2"/>
  <c r="O5" i="2" a="1"/>
  <c r="N5" i="2" a="1"/>
  <c r="B8" i="7" a="1"/>
  <c r="J5" i="2" a="1"/>
  <c r="EH33" i="14" l="1"/>
  <c r="EK34" i="14"/>
  <c r="EM33" i="14"/>
  <c r="EN25" i="14"/>
  <c r="EN31" i="14"/>
  <c r="ER30" i="14"/>
  <c r="ER28" i="14"/>
  <c r="ER27" i="14"/>
  <c r="ES25" i="14"/>
  <c r="EP30" i="14"/>
  <c r="EO28" i="14"/>
  <c r="EO26" i="14"/>
  <c r="ER31" i="14"/>
  <c r="EO30" i="14"/>
  <c r="EP31" i="14"/>
  <c r="EN30" i="14"/>
  <c r="EO27" i="14"/>
  <c r="DS33" i="14"/>
  <c r="DV34" i="14"/>
  <c r="DX33" i="14"/>
  <c r="DY25" i="14"/>
  <c r="DY31" i="14"/>
  <c r="EC30" i="14"/>
  <c r="EC28" i="14"/>
  <c r="EC27" i="14"/>
  <c r="EA30" i="14"/>
  <c r="DZ28" i="14"/>
  <c r="DZ26" i="14"/>
  <c r="EA31" i="14"/>
  <c r="EC31" i="14"/>
  <c r="DZ30" i="14"/>
  <c r="DY30" i="14"/>
  <c r="ED25" i="14"/>
  <c r="DZ27" i="14"/>
  <c r="DD33" i="14"/>
  <c r="DG34" i="14"/>
  <c r="DI33" i="14"/>
  <c r="DJ25" i="14"/>
  <c r="DN30" i="14"/>
  <c r="DN28" i="14"/>
  <c r="DL30" i="14"/>
  <c r="DK28" i="14"/>
  <c r="DK26" i="14"/>
  <c r="DN31" i="14"/>
  <c r="DK30" i="14"/>
  <c r="DL31" i="14"/>
  <c r="DJ30" i="14"/>
  <c r="DJ31" i="14"/>
  <c r="DN27" i="14"/>
  <c r="DO25" i="14"/>
  <c r="DK27" i="14"/>
  <c r="CP31" i="14"/>
  <c r="CO30" i="14"/>
  <c r="CR27" i="14"/>
  <c r="CN31" i="14"/>
  <c r="CN30" i="14"/>
  <c r="CO27" i="14"/>
  <c r="CS25" i="14"/>
  <c r="CR28" i="14"/>
  <c r="CN25" i="14"/>
  <c r="CR30" i="14"/>
  <c r="CO28" i="14"/>
  <c r="CO26" i="14"/>
  <c r="CR31" i="14"/>
  <c r="CP30" i="14"/>
  <c r="CY26" i="14"/>
  <c r="CM33" i="14"/>
  <c r="CV25" i="14"/>
  <c r="CF25" i="14"/>
  <c r="CK25" i="14"/>
  <c r="CJ30" i="14"/>
  <c r="CJ28" i="14"/>
  <c r="CF31" i="14"/>
  <c r="CH30" i="14"/>
  <c r="CG28" i="14"/>
  <c r="CG26" i="14"/>
  <c r="CG27" i="14"/>
  <c r="CJ31" i="14"/>
  <c r="CG30" i="14"/>
  <c r="CH31" i="14"/>
  <c r="CF30" i="14"/>
  <c r="CJ27" i="14"/>
  <c r="BZ33" i="14"/>
  <c r="CC34" i="14"/>
  <c r="CE33" i="14"/>
  <c r="BL31" i="14"/>
  <c r="BK30" i="14"/>
  <c r="BN27" i="14"/>
  <c r="BJ31" i="14"/>
  <c r="BJ30" i="14"/>
  <c r="BK27" i="14"/>
  <c r="BO25" i="14"/>
  <c r="BN30" i="14"/>
  <c r="BN28" i="14"/>
  <c r="BJ25" i="14"/>
  <c r="BK28" i="14"/>
  <c r="BK26" i="14"/>
  <c r="BN31" i="14"/>
  <c r="BL30" i="14"/>
  <c r="BU26" i="14"/>
  <c r="BI33" i="14"/>
  <c r="BR25" i="14"/>
  <c r="AV33" i="14"/>
  <c r="AY34" i="14"/>
  <c r="BA33" i="14"/>
  <c r="BB25" i="14"/>
  <c r="BF30" i="14"/>
  <c r="BF28" i="14"/>
  <c r="BD30" i="14"/>
  <c r="BC28" i="14"/>
  <c r="BC26" i="14"/>
  <c r="BF31" i="14"/>
  <c r="BC30" i="14"/>
  <c r="BD31" i="14"/>
  <c r="BB30" i="14"/>
  <c r="BB31" i="14"/>
  <c r="BF27" i="14"/>
  <c r="BG25" i="14"/>
  <c r="BC27" i="14"/>
  <c r="AG33" i="14"/>
  <c r="AJ34" i="14"/>
  <c r="AL33" i="14"/>
  <c r="AM25" i="14"/>
  <c r="AQ30" i="14"/>
  <c r="AQ28" i="14"/>
  <c r="AO30" i="14"/>
  <c r="AN28" i="14"/>
  <c r="AN26" i="14"/>
  <c r="AQ31" i="14"/>
  <c r="AN30" i="14"/>
  <c r="AO31" i="14"/>
  <c r="AM30" i="14"/>
  <c r="AN27" i="14"/>
  <c r="AM31" i="14"/>
  <c r="AQ27" i="14"/>
  <c r="AR25" i="14"/>
  <c r="U34" i="14"/>
  <c r="W33" i="14"/>
  <c r="J5" i="2"/>
  <c r="B8" i="7"/>
  <c r="N5" i="2"/>
  <c r="O5" i="2"/>
  <c r="K6" i="9"/>
  <c r="M6" i="9" s="1" a="1"/>
  <c r="M6" i="9" s="1"/>
  <c r="V6" i="2"/>
  <c r="O6" i="9" s="1"/>
  <c r="K76" i="9"/>
  <c r="K146" i="9"/>
  <c r="M5" i="2"/>
  <c r="K5" i="2"/>
  <c r="B7" i="7"/>
  <c r="D4" i="9"/>
  <c r="L5" i="2"/>
  <c r="O145" i="9"/>
  <c r="O75" i="9"/>
  <c r="I5" i="9" a="1"/>
  <c r="I5" i="9" s="1"/>
  <c r="E5" i="9" s="1"/>
  <c r="AL19" i="5"/>
  <c r="A21" i="5" a="1"/>
  <c r="A21" i="5" s="1"/>
  <c r="A20" i="4" a="1"/>
  <c r="A20" i="4" s="1"/>
  <c r="O18" i="4"/>
  <c r="AB18" i="5" s="1"/>
  <c r="G18" i="4"/>
  <c r="L18" i="5" s="1"/>
  <c r="W18" i="4"/>
  <c r="AN18" i="5" s="1"/>
  <c r="N18" i="4"/>
  <c r="Z18" i="5" s="1"/>
  <c r="F18" i="4"/>
  <c r="J18" i="5" s="1"/>
  <c r="V18" i="4"/>
  <c r="AM18" i="5" s="1"/>
  <c r="M18" i="4"/>
  <c r="X18" i="5" s="1"/>
  <c r="E18" i="4"/>
  <c r="H18" i="5" s="1"/>
  <c r="S18" i="4"/>
  <c r="AJ18" i="5" s="1"/>
  <c r="H18" i="4"/>
  <c r="N18" i="5" s="1"/>
  <c r="B18" i="4"/>
  <c r="B18" i="5" s="1"/>
  <c r="K18" i="4"/>
  <c r="T18" i="5" s="1"/>
  <c r="R18" i="4"/>
  <c r="AH18" i="5" s="1"/>
  <c r="D18" i="4"/>
  <c r="F18" i="5" s="1"/>
  <c r="P18" i="4"/>
  <c r="AD18" i="5" s="1"/>
  <c r="Q18" i="4"/>
  <c r="AF18" i="5" s="1"/>
  <c r="C18" i="4"/>
  <c r="D18" i="5" s="1"/>
  <c r="J18" i="4"/>
  <c r="R18" i="5" s="1"/>
  <c r="L18" i="4"/>
  <c r="V18" i="5" s="1"/>
  <c r="I18" i="4"/>
  <c r="P18" i="5" s="1"/>
  <c r="P19" i="4"/>
  <c r="AD19" i="5" s="1"/>
  <c r="H19" i="4"/>
  <c r="N19" i="5" s="1"/>
  <c r="A21" i="4" a="1"/>
  <c r="A21" i="4" s="1"/>
  <c r="O19" i="4"/>
  <c r="AB19" i="5" s="1"/>
  <c r="G19" i="4"/>
  <c r="L19" i="5" s="1"/>
  <c r="W19" i="4"/>
  <c r="AN19" i="5" s="1"/>
  <c r="N19" i="4"/>
  <c r="Z19" i="5" s="1"/>
  <c r="F19" i="4"/>
  <c r="J19" i="5" s="1"/>
  <c r="V19" i="4"/>
  <c r="AM19" i="5" s="1"/>
  <c r="J19" i="4"/>
  <c r="R19" i="5" s="1"/>
  <c r="D19" i="4"/>
  <c r="F19" i="5" s="1"/>
  <c r="M19" i="4"/>
  <c r="X19" i="5" s="1"/>
  <c r="L19" i="4"/>
  <c r="V19" i="5" s="1"/>
  <c r="I19" i="4"/>
  <c r="P19" i="5" s="1"/>
  <c r="R19" i="4"/>
  <c r="AH19" i="5" s="1"/>
  <c r="S19" i="4"/>
  <c r="AJ19" i="5" s="1"/>
  <c r="E19" i="4"/>
  <c r="H19" i="5" s="1"/>
  <c r="B19" i="4"/>
  <c r="Q19" i="4"/>
  <c r="AF19" i="5" s="1"/>
  <c r="C19" i="4"/>
  <c r="D19" i="5" s="1"/>
  <c r="K19" i="4"/>
  <c r="T19" i="5" s="1"/>
  <c r="AJ4" i="5"/>
  <c r="L9" i="9"/>
  <c r="I10" i="2"/>
  <c r="L79" i="9"/>
  <c r="L149" i="9"/>
  <c r="B16" i="5"/>
  <c r="J3" i="9"/>
  <c r="F3" i="9"/>
  <c r="G3" i="9" s="1"/>
  <c r="N3" i="9"/>
  <c r="Q3" i="9" s="1"/>
  <c r="P3" i="9" s="1"/>
  <c r="S142" i="4"/>
  <c r="K142" i="4"/>
  <c r="C142" i="4"/>
  <c r="Q142" i="4"/>
  <c r="I142" i="4"/>
  <c r="O142" i="4"/>
  <c r="G142" i="4"/>
  <c r="A144" i="4"/>
  <c r="V142" i="4"/>
  <c r="AM142" i="5" s="1"/>
  <c r="M142" i="4"/>
  <c r="E142" i="4"/>
  <c r="P142" i="4"/>
  <c r="N142" i="4"/>
  <c r="L142" i="4"/>
  <c r="J142" i="4"/>
  <c r="H142" i="4"/>
  <c r="W142" i="4"/>
  <c r="AN142" i="5" s="1"/>
  <c r="F142" i="4"/>
  <c r="D142" i="4"/>
  <c r="R142" i="4"/>
  <c r="B142" i="4"/>
  <c r="AL18" i="5"/>
  <c r="A20" i="5" a="1"/>
  <c r="A20" i="5" s="1"/>
  <c r="K6" i="2" a="1"/>
  <c r="N6" i="2" a="1"/>
  <c r="M6" i="2" a="1"/>
  <c r="L6" i="2" a="1"/>
  <c r="O6" i="2" a="1"/>
  <c r="D5" i="9" a="1"/>
  <c r="S7" i="2"/>
  <c r="U7" i="2"/>
  <c r="T7" i="2"/>
  <c r="J6" i="2" a="1"/>
  <c r="P7" i="2"/>
  <c r="R7" i="2"/>
  <c r="Q7" i="2"/>
  <c r="ER34" i="14" l="1"/>
  <c r="EF41" i="14"/>
  <c r="EO33" i="14"/>
  <c r="EL33" i="14"/>
  <c r="EG39" i="14"/>
  <c r="EI39" i="14"/>
  <c r="EG38" i="14"/>
  <c r="EK36" i="14"/>
  <c r="EG33" i="14"/>
  <c r="EK35" i="14"/>
  <c r="EH35" i="14"/>
  <c r="EH36" i="14"/>
  <c r="EH34" i="14"/>
  <c r="EH38" i="14"/>
  <c r="EK38" i="14"/>
  <c r="EK39" i="14"/>
  <c r="EI38" i="14"/>
  <c r="EC34" i="14"/>
  <c r="DQ41" i="14"/>
  <c r="DZ33" i="14"/>
  <c r="DW33" i="14"/>
  <c r="DT38" i="14"/>
  <c r="DT39" i="14"/>
  <c r="DS38" i="14"/>
  <c r="DV35" i="14"/>
  <c r="DV36" i="14"/>
  <c r="DR33" i="14"/>
  <c r="DS36" i="14"/>
  <c r="DS34" i="14"/>
  <c r="DV38" i="14"/>
  <c r="DR39" i="14"/>
  <c r="DR38" i="14"/>
  <c r="DS35" i="14"/>
  <c r="DV39" i="14"/>
  <c r="DN34" i="14"/>
  <c r="DB41" i="14"/>
  <c r="DK33" i="14"/>
  <c r="DH33" i="14"/>
  <c r="DG36" i="14"/>
  <c r="DC33" i="14"/>
  <c r="DD36" i="14"/>
  <c r="DD34" i="14"/>
  <c r="DG38" i="14"/>
  <c r="DG39" i="14"/>
  <c r="DE38" i="14"/>
  <c r="DC39" i="14"/>
  <c r="DE39" i="14"/>
  <c r="DD38" i="14"/>
  <c r="DG35" i="14"/>
  <c r="DC38" i="14"/>
  <c r="DD35" i="14"/>
  <c r="CO33" i="14"/>
  <c r="CR34" i="14"/>
  <c r="CT33" i="14"/>
  <c r="CU25" i="14"/>
  <c r="CU31" i="14"/>
  <c r="CZ25" i="14"/>
  <c r="CY30" i="14"/>
  <c r="CY28" i="14"/>
  <c r="CW30" i="14"/>
  <c r="CV28" i="14"/>
  <c r="CV26" i="14"/>
  <c r="CY27" i="14"/>
  <c r="CY31" i="14"/>
  <c r="CV30" i="14"/>
  <c r="CW31" i="14"/>
  <c r="CU30" i="14"/>
  <c r="CV27" i="14"/>
  <c r="CD33" i="14"/>
  <c r="CA39" i="14"/>
  <c r="CC36" i="14"/>
  <c r="BY33" i="14"/>
  <c r="BY38" i="14"/>
  <c r="BZ36" i="14"/>
  <c r="BZ34" i="14"/>
  <c r="CC35" i="14"/>
  <c r="BZ35" i="14"/>
  <c r="CC38" i="14"/>
  <c r="BZ38" i="14"/>
  <c r="CC39" i="14"/>
  <c r="CA38" i="14"/>
  <c r="BY39" i="14"/>
  <c r="CJ34" i="14"/>
  <c r="BX41" i="14"/>
  <c r="CG33" i="14"/>
  <c r="BK33" i="14"/>
  <c r="BN34" i="14"/>
  <c r="BP33" i="14"/>
  <c r="BQ25" i="14"/>
  <c r="BU30" i="14"/>
  <c r="BU28" i="14"/>
  <c r="BS30" i="14"/>
  <c r="BR28" i="14"/>
  <c r="BR26" i="14"/>
  <c r="BQ31" i="14"/>
  <c r="BV25" i="14"/>
  <c r="BU31" i="14"/>
  <c r="BR30" i="14"/>
  <c r="BU27" i="14"/>
  <c r="BS31" i="14"/>
  <c r="BQ30" i="14"/>
  <c r="BR27" i="14"/>
  <c r="BF34" i="14"/>
  <c r="AT41" i="14"/>
  <c r="BC33" i="14"/>
  <c r="AZ33" i="14"/>
  <c r="AY36" i="14"/>
  <c r="AU33" i="14"/>
  <c r="AU38" i="14"/>
  <c r="AV36" i="14"/>
  <c r="AV34" i="14"/>
  <c r="AU39" i="14"/>
  <c r="AY38" i="14"/>
  <c r="AY39" i="14"/>
  <c r="AW38" i="14"/>
  <c r="AW39" i="14"/>
  <c r="AV38" i="14"/>
  <c r="AY35" i="14"/>
  <c r="AV35" i="14"/>
  <c r="AQ34" i="14"/>
  <c r="AE41" i="14"/>
  <c r="AN33" i="14"/>
  <c r="AK33" i="14"/>
  <c r="AG35" i="14"/>
  <c r="AJ36" i="14"/>
  <c r="AF33" i="14"/>
  <c r="AF39" i="14"/>
  <c r="AG36" i="14"/>
  <c r="AG34" i="14"/>
  <c r="AJ38" i="14"/>
  <c r="AJ39" i="14"/>
  <c r="AH38" i="14"/>
  <c r="AF38" i="14"/>
  <c r="AH39" i="14"/>
  <c r="AG38" i="14"/>
  <c r="AJ35" i="14"/>
  <c r="AB34" i="14"/>
  <c r="P41" i="14"/>
  <c r="K77" i="9"/>
  <c r="K147" i="9"/>
  <c r="K7" i="9"/>
  <c r="V7" i="2"/>
  <c r="O7" i="9" s="1"/>
  <c r="J6" i="2"/>
  <c r="D5" i="9"/>
  <c r="O6" i="2"/>
  <c r="L6" i="2"/>
  <c r="M6" i="2"/>
  <c r="N6" i="2"/>
  <c r="K6" i="2"/>
  <c r="AL20" i="5"/>
  <c r="A22" i="5" a="1"/>
  <c r="A22" i="5" s="1"/>
  <c r="I11" i="2"/>
  <c r="L80" i="9"/>
  <c r="L10" i="9"/>
  <c r="L150" i="9"/>
  <c r="F4" i="9"/>
  <c r="G4" i="9" s="1"/>
  <c r="N4" i="9"/>
  <c r="Q4" i="9" s="1"/>
  <c r="P4" i="9" s="1"/>
  <c r="J4" i="9"/>
  <c r="A23" i="5" a="1"/>
  <c r="A23" i="5" s="1"/>
  <c r="AL21" i="5"/>
  <c r="A41" i="10"/>
  <c r="O146" i="9"/>
  <c r="O76" i="9"/>
  <c r="I6" i="9" a="1"/>
  <c r="I6" i="9" s="1"/>
  <c r="E6" i="9" s="1"/>
  <c r="R21" i="4"/>
  <c r="AH21" i="5" s="1"/>
  <c r="J21" i="4"/>
  <c r="R21" i="5" s="1"/>
  <c r="B21" i="4"/>
  <c r="B21" i="5" s="1"/>
  <c r="Q21" i="4"/>
  <c r="AF21" i="5" s="1"/>
  <c r="I21" i="4"/>
  <c r="P21" i="5" s="1"/>
  <c r="P21" i="4"/>
  <c r="AD21" i="5" s="1"/>
  <c r="H21" i="4"/>
  <c r="N21" i="5" s="1"/>
  <c r="N21" i="4"/>
  <c r="Z21" i="5" s="1"/>
  <c r="C21" i="4"/>
  <c r="D21" i="5" s="1"/>
  <c r="F21" i="4"/>
  <c r="J21" i="5" s="1"/>
  <c r="M21" i="4"/>
  <c r="X21" i="5" s="1"/>
  <c r="L21" i="4"/>
  <c r="V21" i="5" s="1"/>
  <c r="W21" i="4"/>
  <c r="AN21" i="5" s="1"/>
  <c r="K21" i="4"/>
  <c r="T21" i="5" s="1"/>
  <c r="A23" i="4" a="1"/>
  <c r="A23" i="4" s="1"/>
  <c r="E21" i="4"/>
  <c r="H21" i="5" s="1"/>
  <c r="V21" i="4"/>
  <c r="AM21" i="5" s="1"/>
  <c r="G21" i="4"/>
  <c r="L21" i="5" s="1"/>
  <c r="S21" i="4"/>
  <c r="AJ21" i="5" s="1"/>
  <c r="O21" i="4"/>
  <c r="AB21" i="5" s="1"/>
  <c r="D21" i="4"/>
  <c r="F21" i="5" s="1"/>
  <c r="Q20" i="4"/>
  <c r="AF20" i="5" s="1"/>
  <c r="I20" i="4"/>
  <c r="P20" i="5" s="1"/>
  <c r="P20" i="4"/>
  <c r="AD20" i="5" s="1"/>
  <c r="H20" i="4"/>
  <c r="N20" i="5" s="1"/>
  <c r="A22" i="4" a="1"/>
  <c r="A22" i="4" s="1"/>
  <c r="O20" i="4"/>
  <c r="AB20" i="5" s="1"/>
  <c r="G20" i="4"/>
  <c r="L20" i="5" s="1"/>
  <c r="L20" i="4"/>
  <c r="V20" i="5" s="1"/>
  <c r="F20" i="4"/>
  <c r="J20" i="5" s="1"/>
  <c r="W20" i="4"/>
  <c r="AN20" i="5" s="1"/>
  <c r="K20" i="4"/>
  <c r="T20" i="5" s="1"/>
  <c r="V20" i="4"/>
  <c r="AM20" i="5" s="1"/>
  <c r="J20" i="4"/>
  <c r="R20" i="5" s="1"/>
  <c r="R20" i="4"/>
  <c r="AH20" i="5" s="1"/>
  <c r="N20" i="4"/>
  <c r="Z20" i="5" s="1"/>
  <c r="C20" i="4"/>
  <c r="D20" i="5" s="1"/>
  <c r="S20" i="4"/>
  <c r="AJ20" i="5" s="1"/>
  <c r="E20" i="4"/>
  <c r="H20" i="5" s="1"/>
  <c r="D20" i="4"/>
  <c r="F20" i="5" s="1"/>
  <c r="M20" i="4"/>
  <c r="X20" i="5" s="1"/>
  <c r="B20" i="4"/>
  <c r="O144" i="4"/>
  <c r="G144" i="4"/>
  <c r="V144" i="4"/>
  <c r="M144" i="4"/>
  <c r="E144" i="4"/>
  <c r="S144" i="4"/>
  <c r="K144" i="4"/>
  <c r="C144" i="4"/>
  <c r="Q144" i="4"/>
  <c r="I144" i="4"/>
  <c r="H144" i="4"/>
  <c r="W144" i="4"/>
  <c r="AN144" i="5" s="1"/>
  <c r="F144" i="4"/>
  <c r="D144" i="4"/>
  <c r="R144" i="4"/>
  <c r="B144" i="4"/>
  <c r="P144" i="4"/>
  <c r="N144" i="4"/>
  <c r="L144" i="4"/>
  <c r="J144" i="4"/>
  <c r="B19" i="5"/>
  <c r="N7" i="2" a="1"/>
  <c r="K7" i="2" a="1"/>
  <c r="O7" i="2" a="1"/>
  <c r="M7" i="2" a="1"/>
  <c r="L7" i="2" a="1"/>
  <c r="M7" i="9" a="1"/>
  <c r="S8" i="2"/>
  <c r="U8" i="2"/>
  <c r="T8" i="2"/>
  <c r="R8" i="2"/>
  <c r="Q8" i="2"/>
  <c r="P8" i="2"/>
  <c r="J7" i="2" a="1"/>
  <c r="D6" i="9" a="1"/>
  <c r="ER38" i="14" l="1"/>
  <c r="ER36" i="14"/>
  <c r="EP38" i="14"/>
  <c r="EO36" i="14"/>
  <c r="EO34" i="14"/>
  <c r="ER39" i="14"/>
  <c r="EO38" i="14"/>
  <c r="EN33" i="14"/>
  <c r="EP39" i="14"/>
  <c r="EN38" i="14"/>
  <c r="EN39" i="14"/>
  <c r="ER35" i="14"/>
  <c r="ES33" i="14"/>
  <c r="EO35" i="14"/>
  <c r="EK42" i="14"/>
  <c r="EH41" i="14"/>
  <c r="EM41" i="14"/>
  <c r="EC38" i="14"/>
  <c r="EC36" i="14"/>
  <c r="EA38" i="14"/>
  <c r="DZ36" i="14"/>
  <c r="DZ34" i="14"/>
  <c r="EC39" i="14"/>
  <c r="DZ38" i="14"/>
  <c r="EA39" i="14"/>
  <c r="DY38" i="14"/>
  <c r="DZ35" i="14"/>
  <c r="DY33" i="14"/>
  <c r="DY39" i="14"/>
  <c r="EC35" i="14"/>
  <c r="ED33" i="14"/>
  <c r="DV42" i="14"/>
  <c r="DX41" i="14"/>
  <c r="DS41" i="14"/>
  <c r="DN38" i="14"/>
  <c r="DN36" i="14"/>
  <c r="DL38" i="14"/>
  <c r="DK36" i="14"/>
  <c r="DK34" i="14"/>
  <c r="DN39" i="14"/>
  <c r="DK38" i="14"/>
  <c r="DL39" i="14"/>
  <c r="DJ38" i="14"/>
  <c r="DJ39" i="14"/>
  <c r="DN35" i="14"/>
  <c r="DO33" i="14"/>
  <c r="DK35" i="14"/>
  <c r="DJ33" i="14"/>
  <c r="DG42" i="14"/>
  <c r="DD41" i="14"/>
  <c r="DI41" i="14"/>
  <c r="CY34" i="14"/>
  <c r="CM41" i="14"/>
  <c r="CV33" i="14"/>
  <c r="CS33" i="14"/>
  <c r="CO38" i="14"/>
  <c r="CR35" i="14"/>
  <c r="CR36" i="14"/>
  <c r="CN33" i="14"/>
  <c r="CP39" i="14"/>
  <c r="CO36" i="14"/>
  <c r="CO34" i="14"/>
  <c r="CR38" i="14"/>
  <c r="CR39" i="14"/>
  <c r="CP38" i="14"/>
  <c r="CN39" i="14"/>
  <c r="CN38" i="14"/>
  <c r="CO35" i="14"/>
  <c r="CC42" i="14"/>
  <c r="BZ41" i="14"/>
  <c r="CE41" i="14"/>
  <c r="CJ38" i="14"/>
  <c r="CJ36" i="14"/>
  <c r="CH38" i="14"/>
  <c r="CG36" i="14"/>
  <c r="CG34" i="14"/>
  <c r="CJ39" i="14"/>
  <c r="CG38" i="14"/>
  <c r="CH39" i="14"/>
  <c r="CF38" i="14"/>
  <c r="CF39" i="14"/>
  <c r="CJ35" i="14"/>
  <c r="CK33" i="14"/>
  <c r="CG35" i="14"/>
  <c r="CF33" i="14"/>
  <c r="BU34" i="14"/>
  <c r="BI41" i="14"/>
  <c r="BR33" i="14"/>
  <c r="BO33" i="14"/>
  <c r="BN36" i="14"/>
  <c r="BJ33" i="14"/>
  <c r="BK36" i="14"/>
  <c r="BK34" i="14"/>
  <c r="BL39" i="14"/>
  <c r="BN35" i="14"/>
  <c r="BN38" i="14"/>
  <c r="BK38" i="14"/>
  <c r="BN39" i="14"/>
  <c r="BL38" i="14"/>
  <c r="BJ39" i="14"/>
  <c r="BJ38" i="14"/>
  <c r="BK35" i="14"/>
  <c r="BF38" i="14"/>
  <c r="BF36" i="14"/>
  <c r="BD38" i="14"/>
  <c r="BC36" i="14"/>
  <c r="BC34" i="14"/>
  <c r="BF39" i="14"/>
  <c r="BC38" i="14"/>
  <c r="BD39" i="14"/>
  <c r="BB38" i="14"/>
  <c r="BB39" i="14"/>
  <c r="BF35" i="14"/>
  <c r="BG33" i="14"/>
  <c r="BC35" i="14"/>
  <c r="BB33" i="14"/>
  <c r="AY42" i="14"/>
  <c r="AV41" i="14"/>
  <c r="BA41" i="14"/>
  <c r="AQ38" i="14"/>
  <c r="AQ36" i="14"/>
  <c r="AO38" i="14"/>
  <c r="AN36" i="14"/>
  <c r="AN34" i="14"/>
  <c r="AQ39" i="14"/>
  <c r="AN38" i="14"/>
  <c r="AO39" i="14"/>
  <c r="AM38" i="14"/>
  <c r="AM39" i="14"/>
  <c r="AQ35" i="14"/>
  <c r="AR33" i="14"/>
  <c r="AN35" i="14"/>
  <c r="AM33" i="14"/>
  <c r="AJ42" i="14"/>
  <c r="AG41" i="14"/>
  <c r="AL41" i="14"/>
  <c r="U42" i="14"/>
  <c r="W41" i="14"/>
  <c r="D6" i="9"/>
  <c r="J7" i="2"/>
  <c r="K8" i="9"/>
  <c r="V8" i="2"/>
  <c r="O8" i="9" s="1"/>
  <c r="K78" i="9"/>
  <c r="K148" i="9"/>
  <c r="M7" i="9"/>
  <c r="L7" i="2"/>
  <c r="M7" i="2"/>
  <c r="O7" i="2"/>
  <c r="K7" i="2"/>
  <c r="N7" i="2"/>
  <c r="A24" i="5" a="1"/>
  <c r="A24" i="5" s="1"/>
  <c r="AL22" i="5"/>
  <c r="O147" i="9"/>
  <c r="O77" i="9"/>
  <c r="I7" i="9" a="1"/>
  <c r="I7" i="9" s="1"/>
  <c r="S22" i="4"/>
  <c r="AJ22" i="5" s="1"/>
  <c r="K22" i="4"/>
  <c r="T22" i="5" s="1"/>
  <c r="C22" i="4"/>
  <c r="D22" i="5" s="1"/>
  <c r="R22" i="4"/>
  <c r="AH22" i="5" s="1"/>
  <c r="J22" i="4"/>
  <c r="R22" i="5" s="1"/>
  <c r="B22" i="4"/>
  <c r="B22" i="5" s="1"/>
  <c r="Q22" i="4"/>
  <c r="AF22" i="5" s="1"/>
  <c r="I22" i="4"/>
  <c r="P22" i="5" s="1"/>
  <c r="P22" i="4"/>
  <c r="AD22" i="5" s="1"/>
  <c r="E22" i="4"/>
  <c r="H22" i="5" s="1"/>
  <c r="O22" i="4"/>
  <c r="AB22" i="5" s="1"/>
  <c r="D22" i="4"/>
  <c r="F22" i="5" s="1"/>
  <c r="W22" i="4"/>
  <c r="AN22" i="5" s="1"/>
  <c r="H22" i="4"/>
  <c r="N22" i="5" s="1"/>
  <c r="N22" i="4"/>
  <c r="Z22" i="5" s="1"/>
  <c r="M22" i="4"/>
  <c r="X22" i="5" s="1"/>
  <c r="G22" i="4"/>
  <c r="L22" i="5" s="1"/>
  <c r="A24" i="4" a="1"/>
  <c r="A24" i="4" s="1"/>
  <c r="L22" i="4"/>
  <c r="V22" i="5" s="1"/>
  <c r="V22" i="4"/>
  <c r="AM22" i="5" s="1"/>
  <c r="F22" i="4"/>
  <c r="J22" i="5" s="1"/>
  <c r="AM144" i="5"/>
  <c r="A25" i="5" a="1"/>
  <c r="A25" i="5" s="1"/>
  <c r="AL23" i="5"/>
  <c r="F5" i="9"/>
  <c r="G5" i="9" s="1"/>
  <c r="J5" i="9"/>
  <c r="N5" i="9"/>
  <c r="Q5" i="9" s="1"/>
  <c r="P5" i="9" s="1"/>
  <c r="I12" i="2"/>
  <c r="L11" i="9"/>
  <c r="L151" i="9"/>
  <c r="L81" i="9"/>
  <c r="L23" i="4"/>
  <c r="V23" i="5" s="1"/>
  <c r="D23" i="4"/>
  <c r="F23" i="5" s="1"/>
  <c r="S23" i="4"/>
  <c r="AJ23" i="5" s="1"/>
  <c r="K23" i="4"/>
  <c r="T23" i="5" s="1"/>
  <c r="C23" i="4"/>
  <c r="D23" i="5" s="1"/>
  <c r="R23" i="4"/>
  <c r="AH23" i="5" s="1"/>
  <c r="J23" i="4"/>
  <c r="R23" i="5" s="1"/>
  <c r="B23" i="4"/>
  <c r="B23" i="5" s="1"/>
  <c r="G23" i="4"/>
  <c r="L23" i="5" s="1"/>
  <c r="Q23" i="4"/>
  <c r="AF23" i="5" s="1"/>
  <c r="F23" i="4"/>
  <c r="J23" i="5" s="1"/>
  <c r="M23" i="4"/>
  <c r="X23" i="5" s="1"/>
  <c r="P23" i="4"/>
  <c r="AD23" i="5" s="1"/>
  <c r="E23" i="4"/>
  <c r="H23" i="5" s="1"/>
  <c r="O23" i="4"/>
  <c r="AB23" i="5" s="1"/>
  <c r="A25" i="4" a="1"/>
  <c r="A25" i="4" s="1"/>
  <c r="W23" i="4"/>
  <c r="AN23" i="5" s="1"/>
  <c r="I23" i="4"/>
  <c r="P23" i="5" s="1"/>
  <c r="N23" i="4"/>
  <c r="Z23" i="5" s="1"/>
  <c r="V23" i="4"/>
  <c r="AM23" i="5" s="1"/>
  <c r="H23" i="4"/>
  <c r="N23" i="5" s="1"/>
  <c r="B20" i="5"/>
  <c r="L8" i="2" a="1"/>
  <c r="D7" i="9" a="1"/>
  <c r="N8" i="2" a="1"/>
  <c r="M8" i="9" a="1"/>
  <c r="O8" i="2" a="1"/>
  <c r="R9" i="2"/>
  <c r="Q9" i="2"/>
  <c r="P9" i="2"/>
  <c r="S9" i="2"/>
  <c r="T9" i="2"/>
  <c r="U9" i="2"/>
  <c r="M8" i="2" a="1"/>
  <c r="J8" i="2" a="1"/>
  <c r="K8" i="2" a="1"/>
  <c r="F5" i="13" l="1"/>
  <c r="EK44" i="14"/>
  <c r="EG41" i="14"/>
  <c r="EH44" i="14"/>
  <c r="EH42" i="14"/>
  <c r="EK46" i="14"/>
  <c r="EL41" i="14"/>
  <c r="EK47" i="14"/>
  <c r="EI46" i="14"/>
  <c r="EI47" i="14"/>
  <c r="EH46" i="14"/>
  <c r="EK43" i="14"/>
  <c r="EG47" i="14"/>
  <c r="EG46" i="14"/>
  <c r="EH43" i="14"/>
  <c r="ER42" i="14"/>
  <c r="EO41" i="14"/>
  <c r="DZ41" i="14"/>
  <c r="EC42" i="14"/>
  <c r="DV44" i="14"/>
  <c r="DR41" i="14"/>
  <c r="DS44" i="14"/>
  <c r="DS42" i="14"/>
  <c r="DS43" i="14"/>
  <c r="DW41" i="14"/>
  <c r="DV46" i="14"/>
  <c r="DV47" i="14"/>
  <c r="DT46" i="14"/>
  <c r="DR47" i="14"/>
  <c r="DT47" i="14"/>
  <c r="DS46" i="14"/>
  <c r="DV43" i="14"/>
  <c r="DR46" i="14"/>
  <c r="DG44" i="14"/>
  <c r="DC41" i="14"/>
  <c r="DD44" i="14"/>
  <c r="DD42" i="14"/>
  <c r="DG46" i="14"/>
  <c r="DG47" i="14"/>
  <c r="DE46" i="14"/>
  <c r="DE47" i="14"/>
  <c r="DD46" i="14"/>
  <c r="DG43" i="14"/>
  <c r="DC47" i="14"/>
  <c r="DC46" i="14"/>
  <c r="DD43" i="14"/>
  <c r="DH41" i="14"/>
  <c r="DK41" i="14"/>
  <c r="DN42" i="14"/>
  <c r="CY38" i="14"/>
  <c r="CY36" i="14"/>
  <c r="CW38" i="14"/>
  <c r="CV36" i="14"/>
  <c r="CV34" i="14"/>
  <c r="CY39" i="14"/>
  <c r="CV38" i="14"/>
  <c r="CW39" i="14"/>
  <c r="CU38" i="14"/>
  <c r="CU33" i="14"/>
  <c r="CU39" i="14"/>
  <c r="CY35" i="14"/>
  <c r="CZ33" i="14"/>
  <c r="CV35" i="14"/>
  <c r="CR42" i="14"/>
  <c r="CT41" i="14"/>
  <c r="CO41" i="14"/>
  <c r="CG41" i="14"/>
  <c r="CJ42" i="14"/>
  <c r="CC44" i="14"/>
  <c r="BY41" i="14"/>
  <c r="BZ44" i="14"/>
  <c r="BZ42" i="14"/>
  <c r="CC46" i="14"/>
  <c r="CD41" i="14"/>
  <c r="CC47" i="14"/>
  <c r="CA46" i="14"/>
  <c r="CA47" i="14"/>
  <c r="BZ46" i="14"/>
  <c r="CC43" i="14"/>
  <c r="BY47" i="14"/>
  <c r="BY46" i="14"/>
  <c r="BZ43" i="14"/>
  <c r="BU38" i="14"/>
  <c r="BU36" i="14"/>
  <c r="BS38" i="14"/>
  <c r="BR36" i="14"/>
  <c r="BR34" i="14"/>
  <c r="BU39" i="14"/>
  <c r="BR38" i="14"/>
  <c r="BS39" i="14"/>
  <c r="BQ38" i="14"/>
  <c r="BQ39" i="14"/>
  <c r="BU35" i="14"/>
  <c r="BV33" i="14"/>
  <c r="BQ33" i="14"/>
  <c r="BR35" i="14"/>
  <c r="BN42" i="14"/>
  <c r="BP41" i="14"/>
  <c r="BK41" i="14"/>
  <c r="AY44" i="14"/>
  <c r="AU41" i="14"/>
  <c r="AV44" i="14"/>
  <c r="AV42" i="14"/>
  <c r="AY46" i="14"/>
  <c r="AY47" i="14"/>
  <c r="AW46" i="14"/>
  <c r="AW47" i="14"/>
  <c r="AV46" i="14"/>
  <c r="AY43" i="14"/>
  <c r="AU47" i="14"/>
  <c r="AU46" i="14"/>
  <c r="AV43" i="14"/>
  <c r="AZ41" i="14"/>
  <c r="BC41" i="14"/>
  <c r="BF42" i="14"/>
  <c r="AJ44" i="14"/>
  <c r="AF41" i="14"/>
  <c r="AG44" i="14"/>
  <c r="AG42" i="14"/>
  <c r="AJ46" i="14"/>
  <c r="AJ47" i="14"/>
  <c r="AH46" i="14"/>
  <c r="AH47" i="14"/>
  <c r="AG46" i="14"/>
  <c r="AJ43" i="14"/>
  <c r="AF47" i="14"/>
  <c r="AF46" i="14"/>
  <c r="AG43" i="14"/>
  <c r="AK41" i="14"/>
  <c r="AN41" i="14"/>
  <c r="AQ42" i="14"/>
  <c r="Y41" i="14"/>
  <c r="AB42" i="14"/>
  <c r="E5" i="13"/>
  <c r="Z5" i="13" s="1"/>
  <c r="U18" i="14" s="1"/>
  <c r="K8" i="2"/>
  <c r="J8" i="2"/>
  <c r="M8" i="2"/>
  <c r="K9" i="9"/>
  <c r="M9" i="9" s="1" a="1"/>
  <c r="M9" i="9" s="1"/>
  <c r="V9" i="2"/>
  <c r="O9" i="9" s="1"/>
  <c r="K79" i="9"/>
  <c r="K149" i="9"/>
  <c r="O8" i="2"/>
  <c r="M8" i="9"/>
  <c r="N8" i="2"/>
  <c r="D7" i="9"/>
  <c r="L8" i="2"/>
  <c r="I13" i="2"/>
  <c r="L152" i="9"/>
  <c r="L82" i="9"/>
  <c r="L12" i="9"/>
  <c r="V24" i="4"/>
  <c r="AM24" i="5" s="1"/>
  <c r="M24" i="4"/>
  <c r="X24" i="5" s="1"/>
  <c r="E24" i="4"/>
  <c r="H24" i="5" s="1"/>
  <c r="L24" i="4"/>
  <c r="V24" i="5" s="1"/>
  <c r="D24" i="4"/>
  <c r="F24" i="5" s="1"/>
  <c r="K5" i="13" s="1"/>
  <c r="S24" i="4"/>
  <c r="AJ24" i="5" s="1"/>
  <c r="K24" i="4"/>
  <c r="T24" i="5" s="1"/>
  <c r="C24" i="4"/>
  <c r="D24" i="5" s="1"/>
  <c r="H24" i="4"/>
  <c r="N24" i="5" s="1"/>
  <c r="R24" i="4"/>
  <c r="AH24" i="5" s="1"/>
  <c r="G24" i="4"/>
  <c r="L24" i="5" s="1"/>
  <c r="N24" i="4"/>
  <c r="Z24" i="5" s="1"/>
  <c r="Q24" i="4"/>
  <c r="AF24" i="5" s="1"/>
  <c r="F24" i="4"/>
  <c r="J24" i="5" s="1"/>
  <c r="P24" i="4"/>
  <c r="AD24" i="5" s="1"/>
  <c r="B24" i="4"/>
  <c r="B24" i="5" s="1"/>
  <c r="J24" i="4"/>
  <c r="R24" i="5" s="1"/>
  <c r="O24" i="4"/>
  <c r="AB24" i="5" s="1"/>
  <c r="W24" i="4"/>
  <c r="AN24" i="5" s="1"/>
  <c r="I24" i="4"/>
  <c r="P24" i="5" s="1"/>
  <c r="A26" i="4" a="1"/>
  <c r="A26" i="4" s="1"/>
  <c r="O148" i="9"/>
  <c r="O78" i="9"/>
  <c r="I8" i="9" a="1"/>
  <c r="I8" i="9" s="1"/>
  <c r="W25" i="4"/>
  <c r="AN25" i="5" s="1"/>
  <c r="N25" i="4"/>
  <c r="Z25" i="5" s="1"/>
  <c r="F25" i="4"/>
  <c r="J25" i="5" s="1"/>
  <c r="V25" i="4"/>
  <c r="AM25" i="5" s="1"/>
  <c r="M25" i="4"/>
  <c r="X25" i="5" s="1"/>
  <c r="E25" i="4"/>
  <c r="H25" i="5" s="1"/>
  <c r="L25" i="4"/>
  <c r="V25" i="5" s="1"/>
  <c r="D25" i="4"/>
  <c r="A27" i="4" a="1"/>
  <c r="A27" i="4" s="1"/>
  <c r="I25" i="4"/>
  <c r="P25" i="5" s="1"/>
  <c r="K25" i="4"/>
  <c r="T25" i="5" s="1"/>
  <c r="S25" i="4"/>
  <c r="AJ25" i="5" s="1"/>
  <c r="H25" i="4"/>
  <c r="N25" i="5" s="1"/>
  <c r="R25" i="4"/>
  <c r="AH25" i="5" s="1"/>
  <c r="G25" i="4"/>
  <c r="L25" i="5" s="1"/>
  <c r="Q25" i="4"/>
  <c r="AF25" i="5" s="1"/>
  <c r="C25" i="4"/>
  <c r="D25" i="5" s="1"/>
  <c r="O25" i="4"/>
  <c r="AB25" i="5" s="1"/>
  <c r="P25" i="4"/>
  <c r="AD25" i="5" s="1"/>
  <c r="B25" i="4"/>
  <c r="B25" i="5" s="1"/>
  <c r="J25" i="4"/>
  <c r="R25" i="5" s="1"/>
  <c r="P1" i="10"/>
  <c r="A27" i="5" a="1"/>
  <c r="A27" i="5" s="1"/>
  <c r="AL25" i="5"/>
  <c r="A26" i="5" a="1"/>
  <c r="A26" i="5" s="1"/>
  <c r="AL24" i="5"/>
  <c r="F6" i="9"/>
  <c r="G6" i="9" s="1"/>
  <c r="N6" i="9"/>
  <c r="Q6" i="9" s="1"/>
  <c r="P6" i="9" s="1"/>
  <c r="J6" i="9"/>
  <c r="J9" i="2" a="1"/>
  <c r="Q10" i="2"/>
  <c r="P10" i="2"/>
  <c r="R10" i="2"/>
  <c r="T10" i="2"/>
  <c r="S10" i="2"/>
  <c r="U10" i="2"/>
  <c r="D8" i="9" a="1"/>
  <c r="K9" i="2" a="1"/>
  <c r="O9" i="2" a="1"/>
  <c r="N9" i="2" a="1"/>
  <c r="L9" i="2" a="1"/>
  <c r="M9" i="2" a="1"/>
  <c r="F25" i="5" l="1"/>
  <c r="L5" i="13" s="1"/>
  <c r="ER47" i="14"/>
  <c r="EO46" i="14"/>
  <c r="EP47" i="14"/>
  <c r="EN46" i="14"/>
  <c r="EN47" i="14"/>
  <c r="ER43" i="14"/>
  <c r="ES41" i="14"/>
  <c r="EO44" i="14"/>
  <c r="EO43" i="14"/>
  <c r="EN41" i="14"/>
  <c r="ER44" i="14"/>
  <c r="EO42" i="14"/>
  <c r="ER46" i="14"/>
  <c r="EP46" i="14"/>
  <c r="EC47" i="14"/>
  <c r="DZ46" i="14"/>
  <c r="EA47" i="14"/>
  <c r="DY46" i="14"/>
  <c r="EC44" i="14"/>
  <c r="DY47" i="14"/>
  <c r="EC43" i="14"/>
  <c r="ED41" i="14"/>
  <c r="EC46" i="14"/>
  <c r="DZ43" i="14"/>
  <c r="DY41" i="14"/>
  <c r="EA46" i="14"/>
  <c r="DZ44" i="14"/>
  <c r="DZ42" i="14"/>
  <c r="DN47" i="14"/>
  <c r="DK46" i="14"/>
  <c r="DL47" i="14"/>
  <c r="DJ46" i="14"/>
  <c r="DJ47" i="14"/>
  <c r="DN43" i="14"/>
  <c r="DO41" i="14"/>
  <c r="DK44" i="14"/>
  <c r="DK43" i="14"/>
  <c r="DJ41" i="14"/>
  <c r="DK42" i="14"/>
  <c r="DN46" i="14"/>
  <c r="DN44" i="14"/>
  <c r="DL46" i="14"/>
  <c r="CY42" i="14"/>
  <c r="CV41" i="14"/>
  <c r="CR44" i="14"/>
  <c r="CN41" i="14"/>
  <c r="CO44" i="14"/>
  <c r="CO42" i="14"/>
  <c r="CR46" i="14"/>
  <c r="CR47" i="14"/>
  <c r="CP46" i="14"/>
  <c r="CP47" i="14"/>
  <c r="CO46" i="14"/>
  <c r="CR43" i="14"/>
  <c r="CS41" i="14"/>
  <c r="CN47" i="14"/>
  <c r="CN46" i="14"/>
  <c r="CO43" i="14"/>
  <c r="CJ47" i="14"/>
  <c r="CG46" i="14"/>
  <c r="CJ44" i="14"/>
  <c r="CH47" i="14"/>
  <c r="CF46" i="14"/>
  <c r="CG44" i="14"/>
  <c r="CF47" i="14"/>
  <c r="CJ43" i="14"/>
  <c r="CK41" i="14"/>
  <c r="CG43" i="14"/>
  <c r="CJ46" i="14"/>
  <c r="CG42" i="14"/>
  <c r="CF41" i="14"/>
  <c r="CH46" i="14"/>
  <c r="BR41" i="14"/>
  <c r="BU42" i="14"/>
  <c r="BN44" i="14"/>
  <c r="BJ41" i="14"/>
  <c r="BK44" i="14"/>
  <c r="BK42" i="14"/>
  <c r="BN46" i="14"/>
  <c r="BN47" i="14"/>
  <c r="BL46" i="14"/>
  <c r="BL47" i="14"/>
  <c r="BK46" i="14"/>
  <c r="BN43" i="14"/>
  <c r="BJ47" i="14"/>
  <c r="BJ46" i="14"/>
  <c r="BK43" i="14"/>
  <c r="BO41" i="14"/>
  <c r="BF47" i="14"/>
  <c r="BC46" i="14"/>
  <c r="BD47" i="14"/>
  <c r="BB46" i="14"/>
  <c r="BB47" i="14"/>
  <c r="BF43" i="14"/>
  <c r="BG41" i="14"/>
  <c r="BC43" i="14"/>
  <c r="BB41" i="14"/>
  <c r="BF46" i="14"/>
  <c r="BF44" i="14"/>
  <c r="BC44" i="14"/>
  <c r="BC42" i="14"/>
  <c r="BD46" i="14"/>
  <c r="AQ47" i="14"/>
  <c r="AN46" i="14"/>
  <c r="AO47" i="14"/>
  <c r="AM46" i="14"/>
  <c r="AM47" i="14"/>
  <c r="AQ43" i="14"/>
  <c r="AR41" i="14"/>
  <c r="AN43" i="14"/>
  <c r="AN42" i="14"/>
  <c r="AM41" i="14"/>
  <c r="AO46" i="14"/>
  <c r="AQ46" i="14"/>
  <c r="AQ44" i="14"/>
  <c r="AN44" i="14"/>
  <c r="AB47" i="14"/>
  <c r="Y46" i="14"/>
  <c r="Z47" i="14"/>
  <c r="X46" i="14"/>
  <c r="X47" i="14"/>
  <c r="AB43" i="14"/>
  <c r="AC41" i="14"/>
  <c r="Y43" i="14"/>
  <c r="X41" i="14"/>
  <c r="Y44" i="14"/>
  <c r="Y42" i="14"/>
  <c r="AB46" i="14"/>
  <c r="AB44" i="14"/>
  <c r="Z46" i="14"/>
  <c r="AA5" i="13"/>
  <c r="F18" i="14"/>
  <c r="Y5" i="13"/>
  <c r="M9" i="2"/>
  <c r="L9" i="2"/>
  <c r="N9" i="2"/>
  <c r="O9" i="2"/>
  <c r="K9" i="2"/>
  <c r="D8" i="9"/>
  <c r="K150" i="9"/>
  <c r="K10" i="9"/>
  <c r="V10" i="2"/>
  <c r="O10" i="9" s="1"/>
  <c r="K80" i="9"/>
  <c r="J9" i="2"/>
  <c r="I14" i="2"/>
  <c r="L153" i="9"/>
  <c r="L13" i="9"/>
  <c r="L83" i="9"/>
  <c r="O149" i="9"/>
  <c r="O79" i="9"/>
  <c r="I9" i="9" a="1"/>
  <c r="I9" i="9" s="1"/>
  <c r="E9" i="9" s="1"/>
  <c r="P27" i="4"/>
  <c r="AD27" i="5" s="1"/>
  <c r="H27" i="4"/>
  <c r="N27" i="5" s="1"/>
  <c r="A29" i="4" a="1"/>
  <c r="A29" i="4" s="1"/>
  <c r="O27" i="4"/>
  <c r="AB27" i="5" s="1"/>
  <c r="G27" i="4"/>
  <c r="L27" i="5" s="1"/>
  <c r="W27" i="4"/>
  <c r="AN27" i="5" s="1"/>
  <c r="N27" i="4"/>
  <c r="Z27" i="5" s="1"/>
  <c r="F27" i="4"/>
  <c r="J27" i="5" s="1"/>
  <c r="L27" i="4"/>
  <c r="V27" i="5" s="1"/>
  <c r="I27" i="4"/>
  <c r="P27" i="5" s="1"/>
  <c r="K27" i="4"/>
  <c r="T27" i="5" s="1"/>
  <c r="V27" i="4"/>
  <c r="AM27" i="5" s="1"/>
  <c r="J27" i="4"/>
  <c r="R27" i="5" s="1"/>
  <c r="R27" i="4"/>
  <c r="AH27" i="5" s="1"/>
  <c r="D27" i="4"/>
  <c r="F27" i="5" s="1"/>
  <c r="S27" i="4"/>
  <c r="AJ27" i="5" s="1"/>
  <c r="E27" i="4"/>
  <c r="H27" i="5" s="1"/>
  <c r="M27" i="4"/>
  <c r="X27" i="5" s="1"/>
  <c r="B27" i="4"/>
  <c r="B27" i="5" s="1"/>
  <c r="Q27" i="4"/>
  <c r="AF27" i="5" s="1"/>
  <c r="C27" i="4"/>
  <c r="D27" i="5" s="1"/>
  <c r="A28" i="4" a="1"/>
  <c r="A28" i="4" s="1"/>
  <c r="O26" i="4"/>
  <c r="AB26" i="5" s="1"/>
  <c r="G26" i="4"/>
  <c r="L26" i="5" s="1"/>
  <c r="W26" i="4"/>
  <c r="AN26" i="5" s="1"/>
  <c r="N26" i="4"/>
  <c r="Z26" i="5" s="1"/>
  <c r="F26" i="4"/>
  <c r="J26" i="5" s="1"/>
  <c r="V26" i="4"/>
  <c r="AM26" i="5" s="1"/>
  <c r="M26" i="4"/>
  <c r="X26" i="5" s="1"/>
  <c r="E26" i="4"/>
  <c r="H26" i="5" s="1"/>
  <c r="J26" i="4"/>
  <c r="R26" i="5" s="1"/>
  <c r="I26" i="4"/>
  <c r="P26" i="5" s="1"/>
  <c r="R26" i="4"/>
  <c r="AH26" i="5" s="1"/>
  <c r="S26" i="4"/>
  <c r="AJ26" i="5" s="1"/>
  <c r="H26" i="4"/>
  <c r="N26" i="5" s="1"/>
  <c r="D26" i="4"/>
  <c r="F26" i="5" s="1"/>
  <c r="P26" i="4"/>
  <c r="AD26" i="5" s="1"/>
  <c r="B26" i="4"/>
  <c r="B26" i="5" s="1"/>
  <c r="L26" i="4"/>
  <c r="V26" i="5" s="1"/>
  <c r="Q26" i="4"/>
  <c r="AF26" i="5" s="1"/>
  <c r="C26" i="4"/>
  <c r="D26" i="5" s="1"/>
  <c r="K26" i="4"/>
  <c r="T26" i="5" s="1"/>
  <c r="AL27" i="5"/>
  <c r="A29" i="5" a="1"/>
  <c r="A29" i="5" s="1"/>
  <c r="AL26" i="5"/>
  <c r="A28" i="5" a="1"/>
  <c r="A28" i="5" s="1"/>
  <c r="J7" i="9"/>
  <c r="F7" i="9"/>
  <c r="G7" i="9" s="1"/>
  <c r="N7" i="9"/>
  <c r="Q7" i="9" s="1"/>
  <c r="P7" i="9" s="1"/>
  <c r="N10" i="2" a="1"/>
  <c r="L10" i="2" a="1"/>
  <c r="T11" i="2"/>
  <c r="S11" i="2"/>
  <c r="U11" i="2"/>
  <c r="M10" i="9" a="1"/>
  <c r="D9" i="9" a="1"/>
  <c r="J10" i="2" a="1"/>
  <c r="O10" i="2" a="1"/>
  <c r="M10" i="2" a="1"/>
  <c r="K10" i="2" a="1"/>
  <c r="P11" i="2"/>
  <c r="R11" i="2"/>
  <c r="Q11" i="2"/>
  <c r="CY47" i="14" l="1"/>
  <c r="CV46" i="14"/>
  <c r="CW47" i="14"/>
  <c r="CU46" i="14"/>
  <c r="CU47" i="14"/>
  <c r="CY43" i="14"/>
  <c r="CZ41" i="14"/>
  <c r="CV43" i="14"/>
  <c r="CY44" i="14"/>
  <c r="CU41" i="14"/>
  <c r="CY46" i="14"/>
  <c r="CW46" i="14"/>
  <c r="CV44" i="14"/>
  <c r="CV42" i="14"/>
  <c r="BU47" i="14"/>
  <c r="BR46" i="14"/>
  <c r="BS47" i="14"/>
  <c r="BQ46" i="14"/>
  <c r="BQ47" i="14"/>
  <c r="BU43" i="14"/>
  <c r="BV41" i="14"/>
  <c r="BU46" i="14"/>
  <c r="BR43" i="14"/>
  <c r="BQ41" i="14"/>
  <c r="BU44" i="14"/>
  <c r="BS46" i="14"/>
  <c r="BR44" i="14"/>
  <c r="BR42" i="14"/>
  <c r="K81" i="9"/>
  <c r="K151" i="9"/>
  <c r="K11" i="9"/>
  <c r="V11" i="2"/>
  <c r="O11" i="9" s="1"/>
  <c r="K10" i="2"/>
  <c r="M10" i="2"/>
  <c r="O10" i="2"/>
  <c r="J10" i="2"/>
  <c r="D9" i="9"/>
  <c r="M10" i="9"/>
  <c r="L10" i="2"/>
  <c r="N10" i="2"/>
  <c r="Q28" i="4"/>
  <c r="AF28" i="5" s="1"/>
  <c r="I28" i="4"/>
  <c r="P28" i="5" s="1"/>
  <c r="P28" i="4"/>
  <c r="AD28" i="5" s="1"/>
  <c r="H28" i="4"/>
  <c r="N28" i="5" s="1"/>
  <c r="A30" i="4" a="1"/>
  <c r="A30" i="4" s="1"/>
  <c r="O28" i="4"/>
  <c r="AB28" i="5" s="1"/>
  <c r="G28" i="4"/>
  <c r="L28" i="5" s="1"/>
  <c r="N28" i="4"/>
  <c r="Z28" i="5" s="1"/>
  <c r="C28" i="4"/>
  <c r="D28" i="5" s="1"/>
  <c r="M28" i="4"/>
  <c r="X28" i="5" s="1"/>
  <c r="B28" i="4"/>
  <c r="B28" i="5" s="1"/>
  <c r="L28" i="4"/>
  <c r="V28" i="5" s="1"/>
  <c r="W28" i="4"/>
  <c r="AN28" i="5" s="1"/>
  <c r="K28" i="4"/>
  <c r="T28" i="5" s="1"/>
  <c r="F28" i="4"/>
  <c r="J28" i="5" s="1"/>
  <c r="S28" i="4"/>
  <c r="AJ28" i="5" s="1"/>
  <c r="V28" i="4"/>
  <c r="AM28" i="5" s="1"/>
  <c r="J28" i="4"/>
  <c r="R28" i="5" s="1"/>
  <c r="R28" i="4"/>
  <c r="AH28" i="5" s="1"/>
  <c r="D28" i="4"/>
  <c r="F28" i="5" s="1"/>
  <c r="E28" i="4"/>
  <c r="H28" i="5" s="1"/>
  <c r="AL28" i="5"/>
  <c r="A30" i="5" a="1"/>
  <c r="A30" i="5" s="1"/>
  <c r="A31" i="5" a="1"/>
  <c r="A31" i="5" s="1"/>
  <c r="AL29" i="5"/>
  <c r="P9" i="10"/>
  <c r="F8" i="9"/>
  <c r="G8" i="9" s="1"/>
  <c r="N8" i="9"/>
  <c r="Q8" i="9" s="1"/>
  <c r="P8" i="9" s="1"/>
  <c r="J8" i="9"/>
  <c r="O150" i="9"/>
  <c r="O80" i="9"/>
  <c r="I10" i="9" a="1"/>
  <c r="I10" i="9" s="1"/>
  <c r="L14" i="9"/>
  <c r="I15" i="2"/>
  <c r="L154" i="9"/>
  <c r="L84" i="9"/>
  <c r="R29" i="4"/>
  <c r="AH29" i="5" s="1"/>
  <c r="J29" i="4"/>
  <c r="R29" i="5" s="1"/>
  <c r="B29" i="4"/>
  <c r="B29" i="5" s="1"/>
  <c r="Q29" i="4"/>
  <c r="AF29" i="5" s="1"/>
  <c r="I29" i="4"/>
  <c r="P29" i="5" s="1"/>
  <c r="P29" i="4"/>
  <c r="AD29" i="5" s="1"/>
  <c r="H29" i="4"/>
  <c r="N29" i="5" s="1"/>
  <c r="S29" i="4"/>
  <c r="AJ29" i="5" s="1"/>
  <c r="E29" i="4"/>
  <c r="H29" i="5" s="1"/>
  <c r="W29" i="4"/>
  <c r="AN29" i="5" s="1"/>
  <c r="O29" i="4"/>
  <c r="AB29" i="5" s="1"/>
  <c r="D29" i="4"/>
  <c r="F29" i="5" s="1"/>
  <c r="N29" i="4"/>
  <c r="Z29" i="5" s="1"/>
  <c r="C29" i="4"/>
  <c r="D29" i="5" s="1"/>
  <c r="M29" i="4"/>
  <c r="X29" i="5" s="1"/>
  <c r="K29" i="4"/>
  <c r="T29" i="5" s="1"/>
  <c r="L29" i="4"/>
  <c r="V29" i="5" s="1"/>
  <c r="A31" i="4" a="1"/>
  <c r="A31" i="4" s="1"/>
  <c r="F29" i="4"/>
  <c r="J29" i="5" s="1"/>
  <c r="V29" i="4"/>
  <c r="AM29" i="5" s="1"/>
  <c r="G29" i="4"/>
  <c r="L29" i="5" s="1"/>
  <c r="Q12" i="2"/>
  <c r="P12" i="2"/>
  <c r="R12" i="2"/>
  <c r="K11" i="2" a="1"/>
  <c r="D10" i="9" a="1"/>
  <c r="L11" i="2" a="1"/>
  <c r="U12" i="2"/>
  <c r="S12" i="2"/>
  <c r="T12" i="2"/>
  <c r="N11" i="2" a="1"/>
  <c r="M11" i="9" a="1"/>
  <c r="O11" i="2" a="1"/>
  <c r="J11" i="2" a="1"/>
  <c r="M11" i="2" a="1"/>
  <c r="W9" i="10" l="1"/>
  <c r="M11" i="2"/>
  <c r="J11" i="2"/>
  <c r="O11" i="2"/>
  <c r="M11" i="9"/>
  <c r="N11" i="2"/>
  <c r="L11" i="2"/>
  <c r="D10" i="9"/>
  <c r="K11" i="2"/>
  <c r="K152" i="9"/>
  <c r="K12" i="9"/>
  <c r="M12" i="9" s="1" a="1"/>
  <c r="M12" i="9" s="1"/>
  <c r="V12" i="2"/>
  <c r="O12" i="9" s="1"/>
  <c r="K82" i="9"/>
  <c r="L15" i="9"/>
  <c r="I16" i="2"/>
  <c r="L85" i="9"/>
  <c r="L155" i="9"/>
  <c r="O151" i="9"/>
  <c r="O81" i="9"/>
  <c r="I11" i="9" a="1"/>
  <c r="I11" i="9" s="1"/>
  <c r="J9" i="9"/>
  <c r="N9" i="9"/>
  <c r="Q9" i="9" s="1"/>
  <c r="P9" i="9" s="1"/>
  <c r="F9" i="9"/>
  <c r="G9" i="9" s="1"/>
  <c r="L31" i="4"/>
  <c r="V31" i="5" s="1"/>
  <c r="D31" i="4"/>
  <c r="F31" i="5" s="1"/>
  <c r="S31" i="4"/>
  <c r="AJ31" i="5" s="1"/>
  <c r="K31" i="4"/>
  <c r="T31" i="5" s="1"/>
  <c r="C31" i="4"/>
  <c r="D31" i="5" s="1"/>
  <c r="R31" i="4"/>
  <c r="AH31" i="5" s="1"/>
  <c r="J31" i="4"/>
  <c r="R31" i="5" s="1"/>
  <c r="B31" i="4"/>
  <c r="B31" i="5" s="1"/>
  <c r="W31" i="4"/>
  <c r="AN31" i="5" s="1"/>
  <c r="I31" i="4"/>
  <c r="P31" i="5" s="1"/>
  <c r="O31" i="4"/>
  <c r="AB31" i="5" s="1"/>
  <c r="V31" i="4"/>
  <c r="AM31" i="5" s="1"/>
  <c r="H31" i="4"/>
  <c r="N31" i="5" s="1"/>
  <c r="G31" i="4"/>
  <c r="L31" i="5" s="1"/>
  <c r="Q31" i="4"/>
  <c r="AF31" i="5" s="1"/>
  <c r="F31" i="4"/>
  <c r="J31" i="5" s="1"/>
  <c r="P31" i="4"/>
  <c r="AD31" i="5" s="1"/>
  <c r="E31" i="4"/>
  <c r="H31" i="5" s="1"/>
  <c r="A33" i="4" a="1"/>
  <c r="A33" i="4" s="1"/>
  <c r="M31" i="4"/>
  <c r="X31" i="5" s="1"/>
  <c r="N31" i="4"/>
  <c r="Z31" i="5" s="1"/>
  <c r="S30" i="4"/>
  <c r="AJ30" i="5" s="1"/>
  <c r="K30" i="4"/>
  <c r="T30" i="5" s="1"/>
  <c r="C30" i="4"/>
  <c r="D30" i="5" s="1"/>
  <c r="R30" i="4"/>
  <c r="AH30" i="5" s="1"/>
  <c r="J30" i="4"/>
  <c r="R30" i="5" s="1"/>
  <c r="B30" i="4"/>
  <c r="B30" i="5" s="1"/>
  <c r="Q30" i="4"/>
  <c r="AF30" i="5" s="1"/>
  <c r="I30" i="4"/>
  <c r="P30" i="5" s="1"/>
  <c r="V30" i="4"/>
  <c r="G30" i="4"/>
  <c r="L30" i="5" s="1"/>
  <c r="F30" i="4"/>
  <c r="J30" i="5" s="1"/>
  <c r="A32" i="4" a="1"/>
  <c r="A32" i="4" s="1"/>
  <c r="P30" i="4"/>
  <c r="AD30" i="5" s="1"/>
  <c r="E30" i="4"/>
  <c r="H30" i="5" s="1"/>
  <c r="O30" i="4"/>
  <c r="AB30" i="5" s="1"/>
  <c r="D30" i="4"/>
  <c r="F30" i="5" s="1"/>
  <c r="M30" i="4"/>
  <c r="X30" i="5" s="1"/>
  <c r="L30" i="4"/>
  <c r="V30" i="5" s="1"/>
  <c r="N30" i="4"/>
  <c r="Z30" i="5" s="1"/>
  <c r="W30" i="4"/>
  <c r="AN30" i="5" s="1"/>
  <c r="H30" i="4"/>
  <c r="N30" i="5" s="1"/>
  <c r="A33" i="5" a="1"/>
  <c r="A33" i="5" s="1"/>
  <c r="AL31" i="5"/>
  <c r="A32" i="5" a="1"/>
  <c r="A32" i="5" s="1"/>
  <c r="AL30" i="5"/>
  <c r="D11" i="9" a="1"/>
  <c r="K12" i="2" a="1"/>
  <c r="P13" i="2"/>
  <c r="Q13" i="2"/>
  <c r="R13" i="2"/>
  <c r="T13" i="2"/>
  <c r="U13" i="2"/>
  <c r="S13" i="2"/>
  <c r="L12" i="2" a="1"/>
  <c r="N12" i="2" a="1"/>
  <c r="M12" i="2" a="1"/>
  <c r="J12" i="2" a="1"/>
  <c r="O12" i="2" a="1"/>
  <c r="O12" i="2" l="1"/>
  <c r="J12" i="2"/>
  <c r="M12" i="2"/>
  <c r="N12" i="2"/>
  <c r="L12" i="2"/>
  <c r="K153" i="9"/>
  <c r="K83" i="9"/>
  <c r="K13" i="9"/>
  <c r="V13" i="2"/>
  <c r="O13" i="9" s="1"/>
  <c r="K12" i="2"/>
  <c r="D11" i="9"/>
  <c r="O152" i="9"/>
  <c r="O82" i="9"/>
  <c r="I12" i="9" a="1"/>
  <c r="I12" i="9" s="1"/>
  <c r="E12" i="9" s="1"/>
  <c r="W33" i="4"/>
  <c r="AN33" i="5" s="1"/>
  <c r="N33" i="4"/>
  <c r="Z33" i="5" s="1"/>
  <c r="F33" i="4"/>
  <c r="J33" i="5" s="1"/>
  <c r="V33" i="4"/>
  <c r="AM33" i="5" s="1"/>
  <c r="M33" i="4"/>
  <c r="X33" i="5" s="1"/>
  <c r="E33" i="4"/>
  <c r="H33" i="5" s="1"/>
  <c r="L33" i="4"/>
  <c r="V33" i="5" s="1"/>
  <c r="D33" i="4"/>
  <c r="F33" i="5" s="1"/>
  <c r="K33" i="4"/>
  <c r="T33" i="5" s="1"/>
  <c r="Q33" i="4"/>
  <c r="AF33" i="5" s="1"/>
  <c r="J33" i="4"/>
  <c r="R33" i="5" s="1"/>
  <c r="P33" i="4"/>
  <c r="AD33" i="5" s="1"/>
  <c r="A35" i="4" a="1"/>
  <c r="A35" i="4" s="1"/>
  <c r="I33" i="4"/>
  <c r="P33" i="5" s="1"/>
  <c r="S33" i="4"/>
  <c r="AJ33" i="5" s="1"/>
  <c r="H33" i="4"/>
  <c r="N33" i="5" s="1"/>
  <c r="C33" i="4"/>
  <c r="D33" i="5" s="1"/>
  <c r="B33" i="4"/>
  <c r="B33" i="5" s="1"/>
  <c r="R33" i="4"/>
  <c r="AH33" i="5" s="1"/>
  <c r="G33" i="4"/>
  <c r="L33" i="5" s="1"/>
  <c r="O33" i="4"/>
  <c r="AB33" i="5" s="1"/>
  <c r="A35" i="5" a="1"/>
  <c r="A35" i="5" s="1"/>
  <c r="AL33" i="5"/>
  <c r="AM30" i="5"/>
  <c r="P17" i="10"/>
  <c r="A34" i="5" a="1"/>
  <c r="A34" i="5" s="1"/>
  <c r="AL32" i="5"/>
  <c r="L16" i="9"/>
  <c r="I17" i="2"/>
  <c r="L86" i="9"/>
  <c r="L156" i="9"/>
  <c r="N10" i="9"/>
  <c r="Q10" i="9" s="1"/>
  <c r="P10" i="9" s="1"/>
  <c r="F10" i="9"/>
  <c r="G10" i="9" s="1"/>
  <c r="J10" i="9"/>
  <c r="V32" i="4"/>
  <c r="AM32" i="5" s="1"/>
  <c r="M32" i="4"/>
  <c r="X32" i="5" s="1"/>
  <c r="E32" i="4"/>
  <c r="H32" i="5" s="1"/>
  <c r="L32" i="4"/>
  <c r="V32" i="5" s="1"/>
  <c r="D32" i="4"/>
  <c r="F32" i="5" s="1"/>
  <c r="S32" i="4"/>
  <c r="AJ32" i="5" s="1"/>
  <c r="K32" i="4"/>
  <c r="T32" i="5" s="1"/>
  <c r="C32" i="4"/>
  <c r="D32" i="5" s="1"/>
  <c r="A34" i="4" a="1"/>
  <c r="A34" i="4" s="1"/>
  <c r="J32" i="4"/>
  <c r="R32" i="5" s="1"/>
  <c r="W32" i="4"/>
  <c r="AN32" i="5" s="1"/>
  <c r="I32" i="4"/>
  <c r="P32" i="5" s="1"/>
  <c r="H32" i="4"/>
  <c r="N32" i="5" s="1"/>
  <c r="R32" i="4"/>
  <c r="AH32" i="5" s="1"/>
  <c r="G32" i="4"/>
  <c r="L32" i="5" s="1"/>
  <c r="B32" i="4"/>
  <c r="Q32" i="4"/>
  <c r="AF32" i="5" s="1"/>
  <c r="F32" i="4"/>
  <c r="J32" i="5" s="1"/>
  <c r="P32" i="4"/>
  <c r="AD32" i="5" s="1"/>
  <c r="N32" i="4"/>
  <c r="Z32" i="5" s="1"/>
  <c r="O32" i="4"/>
  <c r="AB32" i="5" s="1"/>
  <c r="L13" i="2" a="1"/>
  <c r="K13" i="2" a="1"/>
  <c r="M13" i="9" a="1"/>
  <c r="D12" i="9" a="1"/>
  <c r="Q14" i="2"/>
  <c r="P14" i="2"/>
  <c r="R14" i="2"/>
  <c r="M13" i="2" a="1"/>
  <c r="O13" i="2" a="1"/>
  <c r="J13" i="2" a="1"/>
  <c r="S14" i="2"/>
  <c r="T14" i="2"/>
  <c r="U14" i="2"/>
  <c r="N13" i="2" a="1"/>
  <c r="W17" i="10" l="1"/>
  <c r="N13" i="2"/>
  <c r="J13" i="2"/>
  <c r="O13" i="2"/>
  <c r="M13" i="2"/>
  <c r="K154" i="9"/>
  <c r="K14" i="9"/>
  <c r="V14" i="2"/>
  <c r="O14" i="9" s="1"/>
  <c r="K84" i="9"/>
  <c r="D12" i="9"/>
  <c r="M13" i="9"/>
  <c r="K13" i="2"/>
  <c r="L13" i="2"/>
  <c r="L17" i="9"/>
  <c r="I18" i="2"/>
  <c r="L157" i="9"/>
  <c r="L87" i="9"/>
  <c r="O153" i="9"/>
  <c r="O83" i="9"/>
  <c r="I13" i="9" a="1"/>
  <c r="I13" i="9" s="1"/>
  <c r="B32" i="5"/>
  <c r="A36" i="4" a="1"/>
  <c r="A36" i="4" s="1"/>
  <c r="O34" i="4"/>
  <c r="AB34" i="5" s="1"/>
  <c r="G34" i="4"/>
  <c r="L34" i="5" s="1"/>
  <c r="W34" i="4"/>
  <c r="AN34" i="5" s="1"/>
  <c r="N34" i="4"/>
  <c r="Z34" i="5" s="1"/>
  <c r="F34" i="4"/>
  <c r="J34" i="5" s="1"/>
  <c r="V34" i="4"/>
  <c r="AM34" i="5" s="1"/>
  <c r="M34" i="4"/>
  <c r="X34" i="5" s="1"/>
  <c r="E34" i="4"/>
  <c r="H34" i="5" s="1"/>
  <c r="L34" i="4"/>
  <c r="V34" i="5" s="1"/>
  <c r="K34" i="4"/>
  <c r="T34" i="5" s="1"/>
  <c r="Q34" i="4"/>
  <c r="AF34" i="5" s="1"/>
  <c r="J34" i="4"/>
  <c r="R34" i="5" s="1"/>
  <c r="I34" i="4"/>
  <c r="P34" i="5" s="1"/>
  <c r="D34" i="4"/>
  <c r="F34" i="5" s="1"/>
  <c r="S34" i="4"/>
  <c r="AJ34" i="5" s="1"/>
  <c r="H34" i="4"/>
  <c r="N34" i="5" s="1"/>
  <c r="R34" i="4"/>
  <c r="AH34" i="5" s="1"/>
  <c r="P34" i="4"/>
  <c r="AD34" i="5" s="1"/>
  <c r="B34" i="4"/>
  <c r="B34" i="5" s="1"/>
  <c r="C34" i="4"/>
  <c r="D34" i="5" s="1"/>
  <c r="P35" i="4"/>
  <c r="AD35" i="5" s="1"/>
  <c r="H35" i="4"/>
  <c r="N35" i="5" s="1"/>
  <c r="A37" i="4" a="1"/>
  <c r="A37" i="4" s="1"/>
  <c r="O35" i="4"/>
  <c r="AB35" i="5" s="1"/>
  <c r="G35" i="4"/>
  <c r="L35" i="5" s="1"/>
  <c r="W35" i="4"/>
  <c r="AN35" i="5" s="1"/>
  <c r="N35" i="4"/>
  <c r="Z35" i="5" s="1"/>
  <c r="F35" i="4"/>
  <c r="J35" i="5" s="1"/>
  <c r="Q35" i="4"/>
  <c r="AF35" i="5" s="1"/>
  <c r="C35" i="4"/>
  <c r="D35" i="5" s="1"/>
  <c r="M35" i="4"/>
  <c r="X35" i="5" s="1"/>
  <c r="B35" i="4"/>
  <c r="B35" i="5" s="1"/>
  <c r="S35" i="4"/>
  <c r="AJ35" i="5" s="1"/>
  <c r="L35" i="4"/>
  <c r="V35" i="5" s="1"/>
  <c r="K35" i="4"/>
  <c r="T35" i="5" s="1"/>
  <c r="I35" i="4"/>
  <c r="P35" i="5" s="1"/>
  <c r="V35" i="4"/>
  <c r="AM35" i="5" s="1"/>
  <c r="J35" i="4"/>
  <c r="R35" i="5" s="1"/>
  <c r="R35" i="4"/>
  <c r="AH35" i="5" s="1"/>
  <c r="D35" i="4"/>
  <c r="F35" i="5" s="1"/>
  <c r="E35" i="4"/>
  <c r="H35" i="5" s="1"/>
  <c r="AL34" i="5"/>
  <c r="A36" i="5" a="1"/>
  <c r="A36" i="5" s="1"/>
  <c r="AL35" i="5"/>
  <c r="A37" i="5" a="1"/>
  <c r="A37" i="5" s="1"/>
  <c r="F11" i="9"/>
  <c r="G11" i="9" s="1"/>
  <c r="J11" i="9"/>
  <c r="N11" i="9"/>
  <c r="Q11" i="9" s="1"/>
  <c r="P11" i="9" s="1"/>
  <c r="L14" i="2" a="1"/>
  <c r="O14" i="2" a="1"/>
  <c r="M14" i="9" a="1"/>
  <c r="Q15" i="2"/>
  <c r="R15" i="2"/>
  <c r="P15" i="2"/>
  <c r="N14" i="2" a="1"/>
  <c r="J14" i="2" a="1"/>
  <c r="M14" i="2" a="1"/>
  <c r="D13" i="9" a="1"/>
  <c r="K14" i="2" a="1"/>
  <c r="S15" i="2"/>
  <c r="U15" i="2"/>
  <c r="T15" i="2"/>
  <c r="K14" i="2" l="1"/>
  <c r="D13" i="9"/>
  <c r="M14" i="2"/>
  <c r="J14" i="2"/>
  <c r="N14" i="2"/>
  <c r="K15" i="9"/>
  <c r="V15" i="2"/>
  <c r="O15" i="9" s="1"/>
  <c r="K155" i="9"/>
  <c r="K85" i="9"/>
  <c r="M14" i="9"/>
  <c r="O14" i="2"/>
  <c r="L14" i="2"/>
  <c r="AL36" i="5"/>
  <c r="A38" i="5" a="1"/>
  <c r="A38" i="5" s="1"/>
  <c r="F12" i="9"/>
  <c r="G12" i="9" s="1"/>
  <c r="N12" i="9"/>
  <c r="Q12" i="9" s="1"/>
  <c r="P12" i="9" s="1"/>
  <c r="J12" i="9"/>
  <c r="I19" i="2"/>
  <c r="L158" i="9"/>
  <c r="L18" i="9"/>
  <c r="L88" i="9"/>
  <c r="A39" i="5" a="1"/>
  <c r="A39" i="5" s="1"/>
  <c r="AL37" i="5"/>
  <c r="R37" i="4"/>
  <c r="AH37" i="5" s="1"/>
  <c r="J37" i="4"/>
  <c r="R37" i="5" s="1"/>
  <c r="B37" i="4"/>
  <c r="B37" i="5" s="1"/>
  <c r="Q37" i="4"/>
  <c r="AF37" i="5" s="1"/>
  <c r="I37" i="4"/>
  <c r="P37" i="5" s="1"/>
  <c r="P37" i="4"/>
  <c r="AD37" i="5" s="1"/>
  <c r="H37" i="4"/>
  <c r="N37" i="5" s="1"/>
  <c r="V37" i="4"/>
  <c r="AM37" i="5" s="1"/>
  <c r="G37" i="4"/>
  <c r="L37" i="5" s="1"/>
  <c r="F37" i="4"/>
  <c r="J37" i="5" s="1"/>
  <c r="M37" i="4"/>
  <c r="X37" i="5" s="1"/>
  <c r="S37" i="4"/>
  <c r="AJ37" i="5" s="1"/>
  <c r="E37" i="4"/>
  <c r="H37" i="5" s="1"/>
  <c r="O37" i="4"/>
  <c r="AB37" i="5" s="1"/>
  <c r="D37" i="4"/>
  <c r="F37" i="5" s="1"/>
  <c r="N37" i="4"/>
  <c r="Z37" i="5" s="1"/>
  <c r="C37" i="4"/>
  <c r="D37" i="5" s="1"/>
  <c r="A39" i="4" a="1"/>
  <c r="A39" i="4" s="1"/>
  <c r="W37" i="4"/>
  <c r="AN37" i="5" s="1"/>
  <c r="K37" i="4"/>
  <c r="T37" i="5" s="1"/>
  <c r="L37" i="4"/>
  <c r="V37" i="5" s="1"/>
  <c r="Q36" i="4"/>
  <c r="AF36" i="5" s="1"/>
  <c r="I36" i="4"/>
  <c r="P36" i="5" s="1"/>
  <c r="P36" i="4"/>
  <c r="AD36" i="5" s="1"/>
  <c r="H36" i="4"/>
  <c r="N36" i="5" s="1"/>
  <c r="A38" i="4" a="1"/>
  <c r="A38" i="4" s="1"/>
  <c r="O36" i="4"/>
  <c r="AB36" i="5" s="1"/>
  <c r="G36" i="4"/>
  <c r="L36" i="5" s="1"/>
  <c r="S36" i="4"/>
  <c r="AJ36" i="5" s="1"/>
  <c r="E36" i="4"/>
  <c r="H36" i="5" s="1"/>
  <c r="R36" i="4"/>
  <c r="AH36" i="5" s="1"/>
  <c r="D36" i="4"/>
  <c r="F36" i="5" s="1"/>
  <c r="W36" i="4"/>
  <c r="AN36" i="5" s="1"/>
  <c r="K36" i="4"/>
  <c r="T36" i="5" s="1"/>
  <c r="V36" i="4"/>
  <c r="AM36" i="5" s="1"/>
  <c r="J36" i="4"/>
  <c r="R36" i="5" s="1"/>
  <c r="N36" i="4"/>
  <c r="Z36" i="5" s="1"/>
  <c r="C36" i="4"/>
  <c r="D36" i="5" s="1"/>
  <c r="M36" i="4"/>
  <c r="X36" i="5" s="1"/>
  <c r="B36" i="4"/>
  <c r="L36" i="4"/>
  <c r="V36" i="5" s="1"/>
  <c r="F36" i="4"/>
  <c r="J36" i="5" s="1"/>
  <c r="P25" i="10"/>
  <c r="O154" i="9"/>
  <c r="O84" i="9"/>
  <c r="I14" i="9" a="1"/>
  <c r="I14" i="9" s="1"/>
  <c r="N15" i="2" a="1"/>
  <c r="M15" i="9" a="1"/>
  <c r="T16" i="2"/>
  <c r="U16" i="2"/>
  <c r="S16" i="2"/>
  <c r="O15" i="2" a="1"/>
  <c r="U18" i="2"/>
  <c r="M15" i="2" a="1"/>
  <c r="J15" i="2" a="1"/>
  <c r="T18" i="2"/>
  <c r="S18" i="2"/>
  <c r="L15" i="2" a="1"/>
  <c r="R18" i="2"/>
  <c r="D14" i="9" a="1"/>
  <c r="K15" i="2" a="1"/>
  <c r="Q18" i="2"/>
  <c r="Q16" i="2"/>
  <c r="P16" i="2"/>
  <c r="R16" i="2"/>
  <c r="P18" i="2"/>
  <c r="W25" i="10" l="1"/>
  <c r="K18" i="9"/>
  <c r="V18" i="2"/>
  <c r="O18" i="9" s="1"/>
  <c r="K156" i="9"/>
  <c r="K16" i="9"/>
  <c r="M16" i="9" s="1" a="1"/>
  <c r="M16" i="9" s="1"/>
  <c r="V16" i="2"/>
  <c r="O16" i="9" s="1"/>
  <c r="K86" i="9"/>
  <c r="K88" i="9"/>
  <c r="K15" i="2"/>
  <c r="D14" i="9"/>
  <c r="K158" i="9"/>
  <c r="L15" i="2"/>
  <c r="J15" i="2"/>
  <c r="M15" i="2"/>
  <c r="O15" i="2"/>
  <c r="M15" i="9"/>
  <c r="N15" i="2"/>
  <c r="L39" i="4"/>
  <c r="V39" i="5" s="1"/>
  <c r="D39" i="4"/>
  <c r="F39" i="5" s="1"/>
  <c r="S39" i="4"/>
  <c r="AJ39" i="5" s="1"/>
  <c r="K39" i="4"/>
  <c r="T39" i="5" s="1"/>
  <c r="C39" i="4"/>
  <c r="D39" i="5" s="1"/>
  <c r="R39" i="4"/>
  <c r="AH39" i="5" s="1"/>
  <c r="J39" i="4"/>
  <c r="R39" i="5" s="1"/>
  <c r="B39" i="4"/>
  <c r="B39" i="5" s="1"/>
  <c r="N39" i="4"/>
  <c r="Z39" i="5" s="1"/>
  <c r="F39" i="4"/>
  <c r="J39" i="5" s="1"/>
  <c r="M39" i="4"/>
  <c r="X39" i="5" s="1"/>
  <c r="Q39" i="4"/>
  <c r="AF39" i="5" s="1"/>
  <c r="P39" i="4"/>
  <c r="AD39" i="5" s="1"/>
  <c r="E39" i="4"/>
  <c r="H39" i="5" s="1"/>
  <c r="W39" i="4"/>
  <c r="AN39" i="5" s="1"/>
  <c r="I39" i="4"/>
  <c r="P39" i="5" s="1"/>
  <c r="V39" i="4"/>
  <c r="H39" i="4"/>
  <c r="N39" i="5" s="1"/>
  <c r="G39" i="4"/>
  <c r="L39" i="5" s="1"/>
  <c r="O39" i="4"/>
  <c r="AB39" i="5" s="1"/>
  <c r="A41" i="5" a="1"/>
  <c r="A41" i="5" s="1"/>
  <c r="AL39" i="5"/>
  <c r="B36" i="5"/>
  <c r="A40" i="5" a="1"/>
  <c r="A40" i="5" s="1"/>
  <c r="AL38" i="5"/>
  <c r="F13" i="9"/>
  <c r="G13" i="9" s="1"/>
  <c r="N13" i="9"/>
  <c r="Q13" i="9" s="1"/>
  <c r="P13" i="9" s="1"/>
  <c r="J13" i="9"/>
  <c r="S38" i="4"/>
  <c r="AJ38" i="5" s="1"/>
  <c r="K38" i="4"/>
  <c r="T38" i="5" s="1"/>
  <c r="C38" i="4"/>
  <c r="D38" i="5" s="1"/>
  <c r="R38" i="4"/>
  <c r="AH38" i="5" s="1"/>
  <c r="J38" i="4"/>
  <c r="R38" i="5" s="1"/>
  <c r="B38" i="4"/>
  <c r="Q38" i="4"/>
  <c r="AF38" i="5" s="1"/>
  <c r="I38" i="4"/>
  <c r="P38" i="5" s="1"/>
  <c r="L38" i="4"/>
  <c r="V38" i="5" s="1"/>
  <c r="W38" i="4"/>
  <c r="AN38" i="5" s="1"/>
  <c r="H38" i="4"/>
  <c r="N38" i="5" s="1"/>
  <c r="D38" i="4"/>
  <c r="F38" i="5" s="1"/>
  <c r="N38" i="4"/>
  <c r="Z38" i="5" s="1"/>
  <c r="V38" i="4"/>
  <c r="AM38" i="5" s="1"/>
  <c r="G38" i="4"/>
  <c r="L38" i="5" s="1"/>
  <c r="F38" i="4"/>
  <c r="J38" i="5" s="1"/>
  <c r="O38" i="4"/>
  <c r="AB38" i="5" s="1"/>
  <c r="P38" i="4"/>
  <c r="AD38" i="5" s="1"/>
  <c r="E38" i="4"/>
  <c r="H38" i="5" s="1"/>
  <c r="M38" i="4"/>
  <c r="X38" i="5" s="1"/>
  <c r="O85" i="9"/>
  <c r="O155" i="9"/>
  <c r="I15" i="9" a="1"/>
  <c r="I15" i="9" s="1"/>
  <c r="L19" i="9"/>
  <c r="I20" i="2"/>
  <c r="L159" i="9"/>
  <c r="L89" i="9"/>
  <c r="M18" i="9" a="1"/>
  <c r="O16" i="2" a="1"/>
  <c r="U19" i="2"/>
  <c r="Q19" i="2"/>
  <c r="S19" i="2"/>
  <c r="K16" i="2" a="1"/>
  <c r="M18" i="2" a="1"/>
  <c r="N16" i="2" a="1"/>
  <c r="F8" i="8" a="1"/>
  <c r="J18" i="2" a="1"/>
  <c r="N18" i="2" a="1"/>
  <c r="E2" i="8" a="1"/>
  <c r="R19" i="2"/>
  <c r="K18" i="2" a="1"/>
  <c r="D15" i="9" a="1"/>
  <c r="E7" i="8" a="1"/>
  <c r="T19" i="2"/>
  <c r="P19" i="2"/>
  <c r="L16" i="2" a="1"/>
  <c r="S17" i="2"/>
  <c r="T17" i="2"/>
  <c r="U17" i="2"/>
  <c r="O18" i="2" a="1"/>
  <c r="B3" i="8" a="1"/>
  <c r="J16" i="2" a="1"/>
  <c r="L18" i="2" a="1"/>
  <c r="M16" i="2" a="1"/>
  <c r="E1" i="8" a="1"/>
  <c r="Q17" i="2"/>
  <c r="P17" i="2"/>
  <c r="R17" i="2"/>
  <c r="AH41" i="5" l="1"/>
  <c r="AJ41" i="5"/>
  <c r="AH40" i="5"/>
  <c r="AJ40" i="5"/>
  <c r="AD41" i="5"/>
  <c r="AF41" i="5"/>
  <c r="AD40" i="5"/>
  <c r="AF40" i="5"/>
  <c r="Z41" i="5"/>
  <c r="AB41" i="5"/>
  <c r="Z40" i="5"/>
  <c r="AB40" i="5"/>
  <c r="V41" i="5"/>
  <c r="X41" i="5"/>
  <c r="V40" i="5"/>
  <c r="X40" i="5"/>
  <c r="R40" i="5"/>
  <c r="T40" i="5"/>
  <c r="R41" i="5"/>
  <c r="T41" i="5"/>
  <c r="N40" i="5"/>
  <c r="P40" i="5"/>
  <c r="N41" i="5"/>
  <c r="P41" i="5"/>
  <c r="J40" i="5"/>
  <c r="L40" i="5"/>
  <c r="J41" i="5"/>
  <c r="L41" i="5"/>
  <c r="F41" i="5"/>
  <c r="H41" i="5"/>
  <c r="F40" i="5"/>
  <c r="H40" i="5"/>
  <c r="A211" i="9"/>
  <c r="K157" i="9"/>
  <c r="K17" i="9"/>
  <c r="V17" i="2"/>
  <c r="O17" i="9" s="1"/>
  <c r="K87" i="9"/>
  <c r="E1" i="8"/>
  <c r="M16" i="2"/>
  <c r="L18" i="2"/>
  <c r="J16" i="2"/>
  <c r="B3" i="8"/>
  <c r="O18" i="2"/>
  <c r="L16" i="2"/>
  <c r="K19" i="9"/>
  <c r="M19" i="9" s="1" a="1"/>
  <c r="M19" i="9" s="1"/>
  <c r="V19" i="2"/>
  <c r="O19" i="9" s="1"/>
  <c r="E7" i="8"/>
  <c r="D15" i="9"/>
  <c r="K18" i="2"/>
  <c r="K159" i="9"/>
  <c r="E2" i="8"/>
  <c r="N18" i="2"/>
  <c r="J18" i="2"/>
  <c r="F8" i="8"/>
  <c r="N16" i="2"/>
  <c r="M18" i="2"/>
  <c r="K16" i="2"/>
  <c r="K89" i="9"/>
  <c r="O16" i="2"/>
  <c r="M18" i="9"/>
  <c r="I21" i="2"/>
  <c r="L160" i="9"/>
  <c r="L90" i="9"/>
  <c r="L20" i="9"/>
  <c r="AM39" i="5"/>
  <c r="A212" i="9"/>
  <c r="A213" i="9" s="1"/>
  <c r="F14" i="9"/>
  <c r="G14" i="9" s="1"/>
  <c r="N14" i="9"/>
  <c r="Q14" i="9" s="1"/>
  <c r="P14" i="9" s="1"/>
  <c r="J14" i="9"/>
  <c r="D41" i="5"/>
  <c r="B41" i="5"/>
  <c r="A43" i="5" a="1"/>
  <c r="A43" i="5" s="1"/>
  <c r="AL41" i="5"/>
  <c r="O156" i="9"/>
  <c r="O86" i="9"/>
  <c r="I16" i="9" a="1"/>
  <c r="I16" i="9" s="1"/>
  <c r="E16" i="9" s="1"/>
  <c r="P33" i="10"/>
  <c r="B40" i="5"/>
  <c r="A42" i="5" a="1"/>
  <c r="A42" i="5" s="1"/>
  <c r="AL40" i="5"/>
  <c r="D40" i="5"/>
  <c r="B38" i="5"/>
  <c r="O158" i="9"/>
  <c r="O88" i="9"/>
  <c r="I18" i="9" a="1"/>
  <c r="I18" i="9" s="1"/>
  <c r="T20" i="2"/>
  <c r="L17" i="2" a="1"/>
  <c r="L19" i="2" a="1"/>
  <c r="M19" i="2" a="1"/>
  <c r="S20" i="2"/>
  <c r="M17" i="9" a="1"/>
  <c r="J19" i="2" a="1"/>
  <c r="K19" i="2" a="1"/>
  <c r="R20" i="2"/>
  <c r="K17" i="2" a="1"/>
  <c r="U20" i="2"/>
  <c r="J17" i="2" a="1"/>
  <c r="N19" i="2" a="1"/>
  <c r="D18" i="9" a="1"/>
  <c r="O19" i="2" a="1"/>
  <c r="P20" i="2"/>
  <c r="N17" i="2" a="1"/>
  <c r="O17" i="2" a="1"/>
  <c r="Q20" i="2"/>
  <c r="D16" i="9" a="1"/>
  <c r="M17" i="2" a="1"/>
  <c r="AH43" i="5" l="1"/>
  <c r="AJ43" i="5"/>
  <c r="AH42" i="5"/>
  <c r="AJ42" i="5"/>
  <c r="AD43" i="5"/>
  <c r="AF43" i="5"/>
  <c r="AD42" i="5"/>
  <c r="AF42" i="5"/>
  <c r="Z43" i="5"/>
  <c r="AB43" i="5"/>
  <c r="Z42" i="5"/>
  <c r="AB42" i="5"/>
  <c r="V42" i="5"/>
  <c r="X42" i="5"/>
  <c r="V43" i="5"/>
  <c r="X43" i="5"/>
  <c r="R43" i="5"/>
  <c r="T43" i="5"/>
  <c r="R42" i="5"/>
  <c r="T42" i="5"/>
  <c r="N43" i="5"/>
  <c r="P43" i="5"/>
  <c r="N42" i="5"/>
  <c r="P42" i="5"/>
  <c r="J42" i="5"/>
  <c r="L42" i="5"/>
  <c r="J43" i="5"/>
  <c r="L43" i="5"/>
  <c r="F42" i="5"/>
  <c r="H42" i="5"/>
  <c r="F43" i="5"/>
  <c r="H43" i="5"/>
  <c r="W33" i="10"/>
  <c r="A217" i="9"/>
  <c r="A218" i="9"/>
  <c r="A215" i="9"/>
  <c r="A216" i="9"/>
  <c r="M17" i="2"/>
  <c r="D16" i="9"/>
  <c r="K90" i="9"/>
  <c r="O17" i="2"/>
  <c r="N17" i="2"/>
  <c r="K20" i="9"/>
  <c r="V20" i="2"/>
  <c r="O20" i="9" s="1"/>
  <c r="O19" i="2"/>
  <c r="D18" i="9"/>
  <c r="N19" i="2"/>
  <c r="J17" i="2"/>
  <c r="K17" i="2"/>
  <c r="K160" i="9"/>
  <c r="K19" i="2"/>
  <c r="J19" i="2"/>
  <c r="M17" i="9"/>
  <c r="M19" i="2"/>
  <c r="L19" i="2"/>
  <c r="L17" i="2"/>
  <c r="I22" i="2"/>
  <c r="L161" i="9"/>
  <c r="L21" i="9"/>
  <c r="L91" i="9"/>
  <c r="H215" i="9"/>
  <c r="J1" i="8"/>
  <c r="C9" i="6"/>
  <c r="I218" i="9"/>
  <c r="A8" i="8"/>
  <c r="H217" i="9"/>
  <c r="A7" i="8"/>
  <c r="N15" i="9"/>
  <c r="Q15" i="9" s="1"/>
  <c r="P15" i="9" s="1"/>
  <c r="J15" i="9"/>
  <c r="F15" i="9"/>
  <c r="G15" i="9" s="1"/>
  <c r="E4" i="8"/>
  <c r="H212" i="9" s="1"/>
  <c r="E3" i="8"/>
  <c r="H211" i="9" s="1"/>
  <c r="O157" i="9"/>
  <c r="O87" i="9"/>
  <c r="I17" i="9" a="1"/>
  <c r="I17" i="9" s="1"/>
  <c r="H216" i="9"/>
  <c r="J2" i="8"/>
  <c r="O159" i="9"/>
  <c r="O89" i="9"/>
  <c r="I19" i="9" a="1"/>
  <c r="I19" i="9" s="1"/>
  <c r="E19" i="9" s="1"/>
  <c r="AL42" i="5"/>
  <c r="D42" i="5"/>
  <c r="B42" i="5"/>
  <c r="A44" i="5" a="1"/>
  <c r="A44" i="5" s="1"/>
  <c r="AJ44" i="5" s="1"/>
  <c r="AL43" i="5"/>
  <c r="D43" i="5"/>
  <c r="B43" i="5"/>
  <c r="A45" i="5" a="1"/>
  <c r="A45" i="5" s="1"/>
  <c r="L20" i="2" a="1"/>
  <c r="N20" i="2" a="1"/>
  <c r="R21" i="2"/>
  <c r="Q21" i="2"/>
  <c r="P21" i="2"/>
  <c r="K20" i="2" a="1"/>
  <c r="D17" i="9" a="1"/>
  <c r="M20" i="2" a="1"/>
  <c r="S21" i="2"/>
  <c r="M20" i="9" a="1"/>
  <c r="O20" i="2" a="1"/>
  <c r="U21" i="2"/>
  <c r="J20" i="2" a="1"/>
  <c r="T21" i="2"/>
  <c r="D19" i="9" a="1"/>
  <c r="AH45" i="5" l="1"/>
  <c r="AJ45" i="5"/>
  <c r="AF44" i="5"/>
  <c r="AH44" i="5"/>
  <c r="AD45" i="5"/>
  <c r="AF45" i="5"/>
  <c r="AB44" i="5"/>
  <c r="AD44" i="5"/>
  <c r="Z45" i="5"/>
  <c r="AB45" i="5"/>
  <c r="X44" i="5"/>
  <c r="K6" i="13" s="1"/>
  <c r="Z44" i="5"/>
  <c r="V45" i="5"/>
  <c r="X45" i="5"/>
  <c r="T44" i="5"/>
  <c r="V44" i="5"/>
  <c r="R45" i="5"/>
  <c r="T45" i="5"/>
  <c r="P44" i="5"/>
  <c r="R44" i="5"/>
  <c r="N45" i="5"/>
  <c r="P45" i="5"/>
  <c r="L44" i="5"/>
  <c r="N44" i="5"/>
  <c r="J45" i="5"/>
  <c r="L45" i="5"/>
  <c r="H44" i="5"/>
  <c r="J44" i="5"/>
  <c r="F45" i="5"/>
  <c r="H45" i="5"/>
  <c r="E7" i="13"/>
  <c r="Y7" i="13" s="1"/>
  <c r="F44" i="5"/>
  <c r="F6" i="13"/>
  <c r="F7" i="13"/>
  <c r="E1" i="13"/>
  <c r="E6" i="13"/>
  <c r="F1" i="13"/>
  <c r="D19" i="9"/>
  <c r="J20" i="2"/>
  <c r="O20" i="2"/>
  <c r="M20" i="9"/>
  <c r="M20" i="2"/>
  <c r="D17" i="9"/>
  <c r="K20" i="2"/>
  <c r="K21" i="9"/>
  <c r="V21" i="2"/>
  <c r="O21" i="9" s="1"/>
  <c r="K91" i="9"/>
  <c r="K161" i="9"/>
  <c r="N20" i="2"/>
  <c r="L20" i="2"/>
  <c r="AL44" i="5"/>
  <c r="D44" i="5"/>
  <c r="K7" i="13"/>
  <c r="B44" i="5"/>
  <c r="A46" i="5" a="1"/>
  <c r="A46" i="5" s="1"/>
  <c r="C217" i="9"/>
  <c r="H7" i="8" a="1"/>
  <c r="H7" i="8" s="1"/>
  <c r="D217" i="9" s="1"/>
  <c r="G7" i="8"/>
  <c r="L22" i="9"/>
  <c r="I23" i="2"/>
  <c r="L162" i="9"/>
  <c r="L92" i="9"/>
  <c r="C218" i="9"/>
  <c r="H8" i="8" a="1"/>
  <c r="H8" i="8" s="1"/>
  <c r="D218" i="9" s="1"/>
  <c r="G8" i="8"/>
  <c r="P41" i="10"/>
  <c r="F18" i="9"/>
  <c r="G18" i="9" s="1"/>
  <c r="N18" i="9"/>
  <c r="Q18" i="9" s="1"/>
  <c r="P18" i="9" s="1"/>
  <c r="J18" i="9"/>
  <c r="A47" i="5" a="1"/>
  <c r="A47" i="5" s="1"/>
  <c r="AJ47" i="5" s="1"/>
  <c r="L6" i="13"/>
  <c r="AL45" i="5"/>
  <c r="D45" i="5"/>
  <c r="L7" i="13"/>
  <c r="B45" i="5"/>
  <c r="F16" i="9"/>
  <c r="G16" i="9" s="1"/>
  <c r="N16" i="9"/>
  <c r="Q16" i="9" s="1"/>
  <c r="P16" i="9" s="1"/>
  <c r="J16" i="9"/>
  <c r="O160" i="9"/>
  <c r="O90" i="9"/>
  <c r="I20" i="9" a="1"/>
  <c r="I20" i="9" s="1"/>
  <c r="L21" i="2" a="1"/>
  <c r="S22" i="2"/>
  <c r="P22" i="2"/>
  <c r="N21" i="2" a="1"/>
  <c r="Q22" i="2"/>
  <c r="D20" i="9" a="1"/>
  <c r="M21" i="9" a="1"/>
  <c r="O21" i="2" a="1"/>
  <c r="U22" i="2"/>
  <c r="J21" i="2" a="1"/>
  <c r="R22" i="2"/>
  <c r="M21" i="2" a="1"/>
  <c r="K21" i="2" a="1"/>
  <c r="T22" i="2"/>
  <c r="AH46" i="5" l="1"/>
  <c r="AJ46" i="5"/>
  <c r="AF47" i="5"/>
  <c r="AH47" i="5"/>
  <c r="AD46" i="5"/>
  <c r="AF46" i="5"/>
  <c r="K1" i="13"/>
  <c r="AB47" i="5"/>
  <c r="L4" i="13" s="1"/>
  <c r="AD47" i="5"/>
  <c r="Z46" i="5"/>
  <c r="AB46" i="5"/>
  <c r="K4" i="13" s="1"/>
  <c r="X47" i="5"/>
  <c r="Z47" i="5"/>
  <c r="V46" i="5"/>
  <c r="X46" i="5"/>
  <c r="T47" i="5"/>
  <c r="V47" i="5"/>
  <c r="R46" i="5"/>
  <c r="T46" i="5"/>
  <c r="P47" i="5"/>
  <c r="R47" i="5"/>
  <c r="N46" i="5"/>
  <c r="P46" i="5"/>
  <c r="L47" i="5"/>
  <c r="N47" i="5"/>
  <c r="J46" i="5"/>
  <c r="L46" i="5"/>
  <c r="H47" i="5"/>
  <c r="J47" i="5"/>
  <c r="F46" i="5"/>
  <c r="H46" i="5"/>
  <c r="F4" i="13"/>
  <c r="F47" i="5"/>
  <c r="Z7" i="13"/>
  <c r="AA7" i="13" s="1"/>
  <c r="W41" i="10"/>
  <c r="Y1" i="13"/>
  <c r="Z1" i="13" s="1"/>
  <c r="U2" i="14" s="1"/>
  <c r="L1" i="13"/>
  <c r="Y6" i="13"/>
  <c r="Z6" i="13" s="1"/>
  <c r="AB18" i="14" s="1"/>
  <c r="P1" i="13"/>
  <c r="E4" i="13"/>
  <c r="K21" i="2"/>
  <c r="M21" i="2"/>
  <c r="K162" i="9"/>
  <c r="J21" i="2"/>
  <c r="O21" i="2"/>
  <c r="M21" i="9"/>
  <c r="D20" i="9"/>
  <c r="K92" i="9"/>
  <c r="N21" i="2"/>
  <c r="K22" i="9"/>
  <c r="V22" i="2"/>
  <c r="O22" i="9" s="1"/>
  <c r="L21" i="2"/>
  <c r="J217" i="9"/>
  <c r="J7" i="8"/>
  <c r="A48" i="5" a="1"/>
  <c r="A48" i="5" s="1"/>
  <c r="AJ48" i="5" s="1"/>
  <c r="AL46" i="5"/>
  <c r="D46" i="5"/>
  <c r="B46" i="5"/>
  <c r="Q217" i="9"/>
  <c r="P217" i="9" s="1"/>
  <c r="O161" i="9"/>
  <c r="O91" i="9"/>
  <c r="I21" i="9" a="1"/>
  <c r="I21" i="9" s="1"/>
  <c r="J218" i="9"/>
  <c r="J8" i="8"/>
  <c r="L23" i="9"/>
  <c r="I24" i="2"/>
  <c r="L163" i="9"/>
  <c r="L93" i="9"/>
  <c r="A49" i="5" a="1"/>
  <c r="A49" i="5" s="1"/>
  <c r="AL47" i="5"/>
  <c r="D47" i="5"/>
  <c r="B47" i="5"/>
  <c r="Q218" i="9"/>
  <c r="P218" i="9" s="1"/>
  <c r="F17" i="9"/>
  <c r="G17" i="9" s="1"/>
  <c r="N17" i="9"/>
  <c r="Q17" i="9" s="1"/>
  <c r="P17" i="9" s="1"/>
  <c r="J17" i="9"/>
  <c r="F19" i="9"/>
  <c r="G19" i="9" s="1"/>
  <c r="N19" i="9"/>
  <c r="Q19" i="9" s="1"/>
  <c r="P19" i="9" s="1"/>
  <c r="J19" i="9"/>
  <c r="N22" i="2" a="1"/>
  <c r="M22" i="2" a="1"/>
  <c r="R23" i="2"/>
  <c r="Q23" i="2"/>
  <c r="P23" i="2"/>
  <c r="S23" i="2"/>
  <c r="K22" i="2" a="1"/>
  <c r="L22" i="2" a="1"/>
  <c r="D21" i="9" a="1"/>
  <c r="M22" i="9" a="1"/>
  <c r="T23" i="2"/>
  <c r="O22" i="2" a="1"/>
  <c r="J22" i="2" a="1"/>
  <c r="U23" i="2"/>
  <c r="AH49" i="5" l="1"/>
  <c r="AJ49" i="5"/>
  <c r="AF48" i="5"/>
  <c r="AH48" i="5"/>
  <c r="AD49" i="5"/>
  <c r="AF49" i="5"/>
  <c r="AB48" i="5"/>
  <c r="AD48" i="5"/>
  <c r="Z49" i="5"/>
  <c r="AB49" i="5"/>
  <c r="X48" i="5"/>
  <c r="Z48" i="5"/>
  <c r="V49" i="5"/>
  <c r="X49" i="5"/>
  <c r="T48" i="5"/>
  <c r="V48" i="5"/>
  <c r="R49" i="5"/>
  <c r="T49" i="5"/>
  <c r="P48" i="5"/>
  <c r="R48" i="5"/>
  <c r="N49" i="5"/>
  <c r="P49" i="5"/>
  <c r="L48" i="5"/>
  <c r="K2" i="13" s="1"/>
  <c r="N48" i="5"/>
  <c r="J49" i="5"/>
  <c r="L49" i="5"/>
  <c r="L3" i="13" s="1"/>
  <c r="H48" i="5"/>
  <c r="J48" i="5"/>
  <c r="F49" i="5"/>
  <c r="H49" i="5"/>
  <c r="E2" i="13"/>
  <c r="P2" i="13" s="1"/>
  <c r="F48" i="5"/>
  <c r="F26" i="14"/>
  <c r="AA6" i="13"/>
  <c r="M18" i="14"/>
  <c r="AA1" i="13"/>
  <c r="F2" i="14" s="1"/>
  <c r="Y4" i="13"/>
  <c r="Z4" i="13" s="1"/>
  <c r="AB10" i="14" s="1"/>
  <c r="E3" i="13"/>
  <c r="F3" i="13"/>
  <c r="F2" i="13"/>
  <c r="J22" i="2"/>
  <c r="O22" i="2"/>
  <c r="M22" i="9"/>
  <c r="D21" i="9"/>
  <c r="L22" i="2"/>
  <c r="K22" i="2"/>
  <c r="K23" i="9"/>
  <c r="V23" i="2"/>
  <c r="O23" i="9" s="1"/>
  <c r="K93" i="9"/>
  <c r="K163" i="9"/>
  <c r="M22" i="2"/>
  <c r="N22" i="2"/>
  <c r="B48" i="5"/>
  <c r="A50" i="5" a="1"/>
  <c r="A50" i="5" s="1"/>
  <c r="AL48" i="5"/>
  <c r="D48" i="5"/>
  <c r="L24" i="9"/>
  <c r="I25" i="2"/>
  <c r="L164" i="9"/>
  <c r="L94" i="9"/>
  <c r="D49" i="5"/>
  <c r="B49" i="5"/>
  <c r="A51" i="5" a="1"/>
  <c r="A51" i="5" s="1"/>
  <c r="AL49" i="5"/>
  <c r="O162" i="9"/>
  <c r="O92" i="9"/>
  <c r="I22" i="9" a="1"/>
  <c r="I22" i="9" s="1"/>
  <c r="AE1" i="10"/>
  <c r="F20" i="9"/>
  <c r="G20" i="9" s="1"/>
  <c r="J20" i="9"/>
  <c r="N20" i="9"/>
  <c r="Q20" i="9" s="1"/>
  <c r="P20" i="9" s="1"/>
  <c r="O23" i="2" a="1"/>
  <c r="M23" i="2" a="1"/>
  <c r="S24" i="2"/>
  <c r="D22" i="9" a="1"/>
  <c r="M23" i="9" a="1"/>
  <c r="Q24" i="2"/>
  <c r="N23" i="2" a="1"/>
  <c r="J23" i="2" a="1"/>
  <c r="R24" i="2"/>
  <c r="K23" i="2" a="1"/>
  <c r="P24" i="2"/>
  <c r="U24" i="2"/>
  <c r="L23" i="2" a="1"/>
  <c r="T24" i="2"/>
  <c r="AH51" i="5" l="1"/>
  <c r="AJ51" i="5"/>
  <c r="AH50" i="5"/>
  <c r="AJ50" i="5"/>
  <c r="AD51" i="5"/>
  <c r="AF51" i="5"/>
  <c r="AD50" i="5"/>
  <c r="AF50" i="5"/>
  <c r="Z51" i="5"/>
  <c r="AB51" i="5"/>
  <c r="Z50" i="5"/>
  <c r="AB50" i="5"/>
  <c r="V51" i="5"/>
  <c r="X51" i="5"/>
  <c r="V50" i="5"/>
  <c r="X50" i="5"/>
  <c r="Y2" i="13"/>
  <c r="R51" i="5"/>
  <c r="T51" i="5"/>
  <c r="R50" i="5"/>
  <c r="T50" i="5"/>
  <c r="K3" i="13"/>
  <c r="N51" i="5"/>
  <c r="P51" i="5"/>
  <c r="N50" i="5"/>
  <c r="P50" i="5"/>
  <c r="J51" i="5"/>
  <c r="L51" i="5"/>
  <c r="J50" i="5"/>
  <c r="L50" i="5"/>
  <c r="F50" i="5"/>
  <c r="H50" i="5"/>
  <c r="F51" i="5"/>
  <c r="H51" i="5"/>
  <c r="Z2" i="13"/>
  <c r="AB2" i="14" s="1"/>
  <c r="AA4" i="13"/>
  <c r="M10" i="14"/>
  <c r="Z3" i="13"/>
  <c r="U10" i="14" s="1"/>
  <c r="L2" i="13"/>
  <c r="P3" i="13"/>
  <c r="P6" i="13"/>
  <c r="P10" i="13"/>
  <c r="P9" i="13"/>
  <c r="P8" i="13"/>
  <c r="P7" i="13"/>
  <c r="P5" i="13"/>
  <c r="P4" i="13"/>
  <c r="Y3" i="13"/>
  <c r="P11" i="13"/>
  <c r="AI150" i="5"/>
  <c r="L23" i="2"/>
  <c r="K24" i="9"/>
  <c r="V24" i="2"/>
  <c r="O24" i="9" s="1"/>
  <c r="K23" i="2"/>
  <c r="K164" i="9"/>
  <c r="J23" i="2"/>
  <c r="N23" i="2"/>
  <c r="K94" i="9"/>
  <c r="M23" i="9"/>
  <c r="D22" i="9"/>
  <c r="M23" i="2"/>
  <c r="O23" i="2"/>
  <c r="AL51" i="5"/>
  <c r="D51" i="5"/>
  <c r="B51" i="5"/>
  <c r="A53" i="5" a="1"/>
  <c r="A53" i="5" s="1"/>
  <c r="F21" i="9"/>
  <c r="G21" i="9" s="1"/>
  <c r="J21" i="9"/>
  <c r="N21" i="9"/>
  <c r="Q21" i="9" s="1"/>
  <c r="P21" i="9" s="1"/>
  <c r="L25" i="9"/>
  <c r="I26" i="2"/>
  <c r="L165" i="9"/>
  <c r="L95" i="9"/>
  <c r="AL50" i="5"/>
  <c r="D50" i="5"/>
  <c r="B50" i="5"/>
  <c r="A52" i="5" a="1"/>
  <c r="A52" i="5" s="1"/>
  <c r="O163" i="9"/>
  <c r="O93" i="9"/>
  <c r="I23" i="9" a="1"/>
  <c r="I23" i="9" s="1"/>
  <c r="N24" i="2" a="1"/>
  <c r="L24" i="2" a="1"/>
  <c r="P25" i="2"/>
  <c r="S25" i="2"/>
  <c r="D23" i="9" a="1"/>
  <c r="R25" i="2"/>
  <c r="O24" i="2" a="1"/>
  <c r="M24" i="2" a="1"/>
  <c r="M24" i="9" a="1"/>
  <c r="T25" i="2"/>
  <c r="K24" i="2" a="1"/>
  <c r="J24" i="2" a="1"/>
  <c r="Q25" i="2"/>
  <c r="U25" i="2"/>
  <c r="AH52" i="5" l="1"/>
  <c r="AJ52" i="5"/>
  <c r="AH53" i="5"/>
  <c r="AJ53" i="5"/>
  <c r="AD53" i="5"/>
  <c r="AF53" i="5"/>
  <c r="AD52" i="5"/>
  <c r="AF52" i="5"/>
  <c r="Z53" i="5"/>
  <c r="AB53" i="5"/>
  <c r="Z52" i="5"/>
  <c r="AB52" i="5"/>
  <c r="V53" i="5"/>
  <c r="X53" i="5"/>
  <c r="V52" i="5"/>
  <c r="X52" i="5"/>
  <c r="R53" i="5"/>
  <c r="T53" i="5"/>
  <c r="R52" i="5"/>
  <c r="T52" i="5"/>
  <c r="N52" i="5"/>
  <c r="P52" i="5"/>
  <c r="N53" i="5"/>
  <c r="P53" i="5"/>
  <c r="J52" i="5"/>
  <c r="L52" i="5"/>
  <c r="J53" i="5"/>
  <c r="L53" i="5"/>
  <c r="F52" i="5"/>
  <c r="H52" i="5"/>
  <c r="F53" i="5"/>
  <c r="H53" i="5"/>
  <c r="M2" i="14"/>
  <c r="AA2" i="13"/>
  <c r="AA3" i="13"/>
  <c r="F10" i="14"/>
  <c r="Q2" i="13" a="1"/>
  <c r="Q2" i="13" s="1"/>
  <c r="Q1" i="13" a="1"/>
  <c r="Q1" i="13" s="1"/>
  <c r="Q5" i="13" a="1"/>
  <c r="Q5" i="13" s="1"/>
  <c r="R17" i="14" s="1"/>
  <c r="Q10" i="13" a="1"/>
  <c r="Q10" i="13" s="1"/>
  <c r="Q7" i="13" a="1"/>
  <c r="Q7" i="13" s="1"/>
  <c r="R25" i="14" s="1"/>
  <c r="Q11" i="13" a="1"/>
  <c r="Q11" i="13" s="1"/>
  <c r="Q3" i="13" a="1"/>
  <c r="Q3" i="13" s="1"/>
  <c r="Q6" i="13" a="1"/>
  <c r="Q6" i="13" s="1"/>
  <c r="Y17" i="14" s="1"/>
  <c r="Q8" i="13" a="1"/>
  <c r="Q8" i="13" s="1"/>
  <c r="Y25" i="14" s="1"/>
  <c r="Q4" i="13" a="1"/>
  <c r="Q4" i="13" s="1"/>
  <c r="Q9" i="13" a="1"/>
  <c r="Q9" i="13" s="1"/>
  <c r="R33" i="14" s="1"/>
  <c r="K95" i="9"/>
  <c r="J24" i="2"/>
  <c r="K24" i="2"/>
  <c r="M24" i="9"/>
  <c r="M24" i="2"/>
  <c r="O24" i="2"/>
  <c r="K165" i="9"/>
  <c r="D23" i="9"/>
  <c r="K25" i="9"/>
  <c r="V25" i="2"/>
  <c r="O25" i="9" s="1"/>
  <c r="L24" i="2"/>
  <c r="N24" i="2"/>
  <c r="A55" i="5" a="1"/>
  <c r="A55" i="5" s="1"/>
  <c r="AL53" i="5"/>
  <c r="D53" i="5"/>
  <c r="B53" i="5"/>
  <c r="N22" i="9"/>
  <c r="Q22" i="9" s="1"/>
  <c r="P22" i="9" s="1"/>
  <c r="F22" i="9"/>
  <c r="G22" i="9" s="1"/>
  <c r="J22" i="9"/>
  <c r="AE9" i="10"/>
  <c r="I27" i="2"/>
  <c r="L26" i="9"/>
  <c r="L96" i="9"/>
  <c r="L166" i="9"/>
  <c r="O94" i="9"/>
  <c r="O164" i="9"/>
  <c r="I24" i="9" a="1"/>
  <c r="I24" i="9" s="1"/>
  <c r="AL52" i="5"/>
  <c r="D52" i="5"/>
  <c r="B52" i="5"/>
  <c r="A54" i="5" a="1"/>
  <c r="A54" i="5" s="1"/>
  <c r="O25" i="2" a="1"/>
  <c r="U26" i="2"/>
  <c r="Q26" i="2"/>
  <c r="K25" i="2" a="1"/>
  <c r="L25" i="2" a="1"/>
  <c r="T26" i="2"/>
  <c r="S26" i="2"/>
  <c r="D24" i="9" a="1"/>
  <c r="M25" i="2" a="1"/>
  <c r="R26" i="2"/>
  <c r="J25" i="2" a="1"/>
  <c r="N25" i="2" a="1"/>
  <c r="M25" i="9" a="1"/>
  <c r="P26" i="2"/>
  <c r="AH54" i="5" l="1"/>
  <c r="AJ54" i="5"/>
  <c r="AH55" i="5"/>
  <c r="AJ55" i="5"/>
  <c r="AD55" i="5"/>
  <c r="AF55" i="5"/>
  <c r="AD54" i="5"/>
  <c r="AF54" i="5"/>
  <c r="Z54" i="5"/>
  <c r="AB54" i="5"/>
  <c r="Z55" i="5"/>
  <c r="AB55" i="5"/>
  <c r="V55" i="5"/>
  <c r="X55" i="5"/>
  <c r="V54" i="5"/>
  <c r="X54" i="5"/>
  <c r="R54" i="5"/>
  <c r="T54" i="5"/>
  <c r="R55" i="5"/>
  <c r="T55" i="5"/>
  <c r="N55" i="5"/>
  <c r="P55" i="5"/>
  <c r="N54" i="5"/>
  <c r="P54" i="5"/>
  <c r="J54" i="5"/>
  <c r="L54" i="5"/>
  <c r="J55" i="5"/>
  <c r="L55" i="5"/>
  <c r="F54" i="5"/>
  <c r="H54" i="5"/>
  <c r="F55" i="5"/>
  <c r="H55" i="5"/>
  <c r="AL9" i="10"/>
  <c r="C41" i="14"/>
  <c r="B41" i="14" s="1"/>
  <c r="R41" i="14"/>
  <c r="S31" i="14"/>
  <c r="R30" i="14"/>
  <c r="U27" i="14"/>
  <c r="Q31" i="14"/>
  <c r="Q30" i="14"/>
  <c r="R27" i="14"/>
  <c r="V25" i="14"/>
  <c r="U28" i="14"/>
  <c r="Q25" i="14"/>
  <c r="R28" i="14"/>
  <c r="R26" i="14"/>
  <c r="U31" i="14"/>
  <c r="S30" i="14"/>
  <c r="U30" i="14"/>
  <c r="V33" i="14"/>
  <c r="U36" i="14"/>
  <c r="Q33" i="14"/>
  <c r="R36" i="14"/>
  <c r="R34" i="14"/>
  <c r="U38" i="14"/>
  <c r="U39" i="14"/>
  <c r="S38" i="14"/>
  <c r="Q39" i="14"/>
  <c r="Q38" i="14"/>
  <c r="S39" i="14"/>
  <c r="R38" i="14"/>
  <c r="U35" i="14"/>
  <c r="R35" i="14"/>
  <c r="J33" i="14"/>
  <c r="K39" i="14" s="1"/>
  <c r="Y33" i="14"/>
  <c r="U22" i="14"/>
  <c r="U23" i="14"/>
  <c r="S22" i="14"/>
  <c r="S23" i="14"/>
  <c r="R22" i="14"/>
  <c r="U19" i="14"/>
  <c r="Q23" i="14"/>
  <c r="Q22" i="14"/>
  <c r="R19" i="14"/>
  <c r="V17" i="14"/>
  <c r="R18" i="14"/>
  <c r="U20" i="14"/>
  <c r="Q17" i="14"/>
  <c r="R20" i="14"/>
  <c r="W1" i="13"/>
  <c r="X25" i="14"/>
  <c r="AB30" i="14"/>
  <c r="AB28" i="14"/>
  <c r="Z30" i="14"/>
  <c r="Y28" i="14"/>
  <c r="Y26" i="14"/>
  <c r="AB31" i="14"/>
  <c r="Y30" i="14"/>
  <c r="Z31" i="14"/>
  <c r="X30" i="14"/>
  <c r="X31" i="14"/>
  <c r="AB27" i="14"/>
  <c r="AC25" i="14"/>
  <c r="Y27" i="14"/>
  <c r="X23" i="14"/>
  <c r="AB19" i="14"/>
  <c r="AC17" i="14"/>
  <c r="Y19" i="14"/>
  <c r="X17" i="14"/>
  <c r="AB22" i="14"/>
  <c r="AB20" i="14"/>
  <c r="Z22" i="14"/>
  <c r="Y20" i="14"/>
  <c r="Y18" i="14"/>
  <c r="X22" i="14"/>
  <c r="AB23" i="14"/>
  <c r="Y22" i="14"/>
  <c r="Z23" i="14"/>
  <c r="W9" i="13"/>
  <c r="C33" i="14"/>
  <c r="W7" i="13"/>
  <c r="C25" i="14"/>
  <c r="W8" i="13"/>
  <c r="J25" i="14"/>
  <c r="W5" i="13"/>
  <c r="C17" i="14"/>
  <c r="W6" i="13"/>
  <c r="J17" i="14"/>
  <c r="W4" i="13"/>
  <c r="W3" i="13"/>
  <c r="W2" i="13"/>
  <c r="U6" i="13"/>
  <c r="V6" i="13"/>
  <c r="U3" i="13"/>
  <c r="V3" i="13"/>
  <c r="U4" i="13"/>
  <c r="V4" i="13"/>
  <c r="U5" i="13"/>
  <c r="V5" i="13"/>
  <c r="U2" i="13"/>
  <c r="V2" i="13"/>
  <c r="U1" i="13"/>
  <c r="V1" i="13"/>
  <c r="R4" i="13"/>
  <c r="J9" i="14" s="1"/>
  <c r="S4" i="13"/>
  <c r="T4" i="13"/>
  <c r="T6" i="13"/>
  <c r="R6" i="13"/>
  <c r="S6" i="13"/>
  <c r="R3" i="13"/>
  <c r="C9" i="14" s="1"/>
  <c r="S3" i="13"/>
  <c r="T3" i="13"/>
  <c r="R7" i="13"/>
  <c r="S7" i="13"/>
  <c r="T7" i="13"/>
  <c r="U7" i="13"/>
  <c r="T8" i="13"/>
  <c r="U8" i="13"/>
  <c r="R8" i="13"/>
  <c r="S8" i="13"/>
  <c r="R10" i="13"/>
  <c r="S10" i="13"/>
  <c r="T10" i="13"/>
  <c r="U10" i="13"/>
  <c r="W10" i="13"/>
  <c r="R9" i="13"/>
  <c r="S9" i="13"/>
  <c r="U9" i="13"/>
  <c r="T9" i="13"/>
  <c r="S5" i="13"/>
  <c r="T5" i="13"/>
  <c r="R5" i="13"/>
  <c r="R2" i="13"/>
  <c r="J1" i="14" s="1"/>
  <c r="S2" i="13"/>
  <c r="T2" i="13"/>
  <c r="S1" i="13"/>
  <c r="T1" i="13"/>
  <c r="R1" i="13"/>
  <c r="R1" i="14" s="1"/>
  <c r="K26" i="9"/>
  <c r="V26" i="2"/>
  <c r="O26" i="9" s="1"/>
  <c r="M25" i="9"/>
  <c r="N25" i="2"/>
  <c r="J25" i="2"/>
  <c r="K166" i="9"/>
  <c r="M25" i="2"/>
  <c r="D24" i="9"/>
  <c r="L25" i="2"/>
  <c r="K25" i="2"/>
  <c r="K96" i="9"/>
  <c r="O25" i="2"/>
  <c r="I28" i="2"/>
  <c r="L27" i="9"/>
  <c r="L167" i="9"/>
  <c r="L97" i="9"/>
  <c r="O165" i="9"/>
  <c r="O95" i="9"/>
  <c r="I25" i="9" a="1"/>
  <c r="I25" i="9" s="1"/>
  <c r="A56" i="5" a="1"/>
  <c r="A56" i="5" s="1"/>
  <c r="AL54" i="5"/>
  <c r="D54" i="5"/>
  <c r="B54" i="5"/>
  <c r="N23" i="9"/>
  <c r="Q23" i="9" s="1"/>
  <c r="P23" i="9" s="1"/>
  <c r="F23" i="9"/>
  <c r="G23" i="9" s="1"/>
  <c r="J23" i="9"/>
  <c r="A57" i="5" a="1"/>
  <c r="A57" i="5" s="1"/>
  <c r="AL55" i="5"/>
  <c r="D55" i="5"/>
  <c r="B55" i="5"/>
  <c r="M26" i="9" a="1"/>
  <c r="O26" i="2" a="1"/>
  <c r="Q27" i="2"/>
  <c r="J26" i="2" a="1"/>
  <c r="M26" i="2" a="1"/>
  <c r="T27" i="2"/>
  <c r="N26" i="2" a="1"/>
  <c r="P27" i="2"/>
  <c r="S27" i="2"/>
  <c r="D25" i="9" a="1"/>
  <c r="R27" i="2"/>
  <c r="L26" i="2" a="1"/>
  <c r="K26" i="2" a="1"/>
  <c r="U27" i="2"/>
  <c r="AH56" i="5" l="1"/>
  <c r="AJ56" i="5"/>
  <c r="AH57" i="5"/>
  <c r="AJ57" i="5"/>
  <c r="AD56" i="5"/>
  <c r="AF56" i="5"/>
  <c r="AD57" i="5"/>
  <c r="AF57" i="5"/>
  <c r="Z56" i="5"/>
  <c r="AB56" i="5"/>
  <c r="Z57" i="5"/>
  <c r="AB57" i="5"/>
  <c r="V57" i="5"/>
  <c r="X57" i="5"/>
  <c r="V56" i="5"/>
  <c r="X56" i="5"/>
  <c r="R57" i="5"/>
  <c r="T57" i="5"/>
  <c r="R56" i="5"/>
  <c r="T56" i="5"/>
  <c r="N57" i="5"/>
  <c r="P57" i="5"/>
  <c r="N56" i="5"/>
  <c r="P56" i="5"/>
  <c r="J56" i="5"/>
  <c r="L56" i="5"/>
  <c r="J57" i="5"/>
  <c r="L57" i="5"/>
  <c r="F56" i="5"/>
  <c r="H56" i="5"/>
  <c r="F57" i="5"/>
  <c r="H57" i="5"/>
  <c r="D47" i="14"/>
  <c r="F43" i="14"/>
  <c r="C44" i="14"/>
  <c r="F47" i="14"/>
  <c r="F44" i="14"/>
  <c r="V1" i="14"/>
  <c r="U4" i="14"/>
  <c r="Q1" i="14"/>
  <c r="R4" i="14"/>
  <c r="Q7" i="14" s="1"/>
  <c r="R2" i="14"/>
  <c r="U6" i="14"/>
  <c r="U7" i="14"/>
  <c r="S6" i="14"/>
  <c r="R3" i="14"/>
  <c r="R6" i="14"/>
  <c r="U3" i="14"/>
  <c r="Q6" i="14"/>
  <c r="I33" i="14"/>
  <c r="J35" i="14"/>
  <c r="J38" i="14"/>
  <c r="D46" i="14"/>
  <c r="R9" i="14"/>
  <c r="M38" i="14"/>
  <c r="M36" i="14"/>
  <c r="M39" i="14"/>
  <c r="N33" i="14"/>
  <c r="C43" i="14"/>
  <c r="G41" i="14"/>
  <c r="M35" i="14"/>
  <c r="B46" i="14"/>
  <c r="F46" i="14"/>
  <c r="J34" i="14"/>
  <c r="I39" i="14"/>
  <c r="B47" i="14"/>
  <c r="C42" i="14"/>
  <c r="U44" i="14"/>
  <c r="Q41" i="14"/>
  <c r="R44" i="14"/>
  <c r="R42" i="14"/>
  <c r="U46" i="14"/>
  <c r="U47" i="14"/>
  <c r="S46" i="14"/>
  <c r="S47" i="14"/>
  <c r="R46" i="14"/>
  <c r="U43" i="14"/>
  <c r="Q47" i="14"/>
  <c r="Q46" i="14"/>
  <c r="R43" i="14"/>
  <c r="V41" i="14"/>
  <c r="J36" i="14"/>
  <c r="I38" i="14"/>
  <c r="Y1" i="14"/>
  <c r="K38" i="14"/>
  <c r="C46" i="14"/>
  <c r="AB38" i="14"/>
  <c r="AB36" i="14"/>
  <c r="Z38" i="14"/>
  <c r="Y36" i="14"/>
  <c r="Y34" i="14"/>
  <c r="AB39" i="14"/>
  <c r="Y38" i="14"/>
  <c r="Z39" i="14"/>
  <c r="X38" i="14"/>
  <c r="X39" i="14"/>
  <c r="AB35" i="14"/>
  <c r="AC33" i="14"/>
  <c r="Y35" i="14"/>
  <c r="X33" i="14"/>
  <c r="Y9" i="14"/>
  <c r="F36" i="14"/>
  <c r="B33" i="14"/>
  <c r="C36" i="14"/>
  <c r="C34" i="14"/>
  <c r="F38" i="14"/>
  <c r="F39" i="14"/>
  <c r="D38" i="14"/>
  <c r="D39" i="14"/>
  <c r="C38" i="14"/>
  <c r="F35" i="14"/>
  <c r="B39" i="14"/>
  <c r="B38" i="14"/>
  <c r="C35" i="14"/>
  <c r="G33" i="14"/>
  <c r="M31" i="14"/>
  <c r="J30" i="14"/>
  <c r="K31" i="14"/>
  <c r="I30" i="14"/>
  <c r="K30" i="14"/>
  <c r="I31" i="14"/>
  <c r="M27" i="14"/>
  <c r="N25" i="14"/>
  <c r="J27" i="14"/>
  <c r="J26" i="14"/>
  <c r="I25" i="14"/>
  <c r="M30" i="14"/>
  <c r="J28" i="14"/>
  <c r="M28" i="14"/>
  <c r="F28" i="14"/>
  <c r="B25" i="14"/>
  <c r="C28" i="14"/>
  <c r="C26" i="14"/>
  <c r="G25" i="14"/>
  <c r="F30" i="14"/>
  <c r="F31" i="14"/>
  <c r="D30" i="14"/>
  <c r="D31" i="14"/>
  <c r="C30" i="14"/>
  <c r="F27" i="14"/>
  <c r="B31" i="14"/>
  <c r="B30" i="14"/>
  <c r="C27" i="14"/>
  <c r="M23" i="14"/>
  <c r="J22" i="14"/>
  <c r="K23" i="14"/>
  <c r="I22" i="14"/>
  <c r="I23" i="14"/>
  <c r="M19" i="14"/>
  <c r="N17" i="14"/>
  <c r="J19" i="14"/>
  <c r="I17" i="14"/>
  <c r="M22" i="14"/>
  <c r="M20" i="14"/>
  <c r="K22" i="14"/>
  <c r="J20" i="14"/>
  <c r="J18" i="14"/>
  <c r="F20" i="14"/>
  <c r="B17" i="14"/>
  <c r="C20" i="14"/>
  <c r="C18" i="14"/>
  <c r="F22" i="14"/>
  <c r="C22" i="14"/>
  <c r="F23" i="14"/>
  <c r="D22" i="14"/>
  <c r="D23" i="14"/>
  <c r="F19" i="14"/>
  <c r="B23" i="14"/>
  <c r="B22" i="14"/>
  <c r="C19" i="14"/>
  <c r="G17" i="14"/>
  <c r="M15" i="14"/>
  <c r="J12" i="14"/>
  <c r="M11" i="14"/>
  <c r="J11" i="14"/>
  <c r="M14" i="14"/>
  <c r="J10" i="14"/>
  <c r="K14" i="14"/>
  <c r="N9" i="14"/>
  <c r="J14" i="14"/>
  <c r="I14" i="14"/>
  <c r="I9" i="14"/>
  <c r="M12" i="14"/>
  <c r="F15" i="14"/>
  <c r="C12" i="14"/>
  <c r="F11" i="14"/>
  <c r="C11" i="14"/>
  <c r="F14" i="14"/>
  <c r="C10" i="14"/>
  <c r="B9" i="14"/>
  <c r="D14" i="14"/>
  <c r="G9" i="14"/>
  <c r="C14" i="14"/>
  <c r="B14" i="14"/>
  <c r="F12" i="14"/>
  <c r="M7" i="14"/>
  <c r="J4" i="14"/>
  <c r="M3" i="14"/>
  <c r="J3" i="14"/>
  <c r="M6" i="14"/>
  <c r="J2" i="14"/>
  <c r="K6" i="14"/>
  <c r="N1" i="14"/>
  <c r="I1" i="14"/>
  <c r="J6" i="14"/>
  <c r="I6" i="14"/>
  <c r="M4" i="14"/>
  <c r="C1" i="14"/>
  <c r="C6" i="14" s="1"/>
  <c r="K26" i="2"/>
  <c r="L26" i="2"/>
  <c r="K167" i="9"/>
  <c r="D25" i="9"/>
  <c r="K27" i="9"/>
  <c r="V27" i="2"/>
  <c r="O27" i="9" s="1"/>
  <c r="N26" i="2"/>
  <c r="M26" i="2"/>
  <c r="J26" i="2"/>
  <c r="K97" i="9"/>
  <c r="O26" i="2"/>
  <c r="M26" i="9"/>
  <c r="B56" i="5"/>
  <c r="A58" i="5" a="1"/>
  <c r="A58" i="5" s="1"/>
  <c r="AL56" i="5"/>
  <c r="D56" i="5"/>
  <c r="I29" i="2"/>
  <c r="L168" i="9"/>
  <c r="L98" i="9"/>
  <c r="L28" i="9"/>
  <c r="AE17" i="10"/>
  <c r="D57" i="5"/>
  <c r="B57" i="5"/>
  <c r="A59" i="5" a="1"/>
  <c r="A59" i="5" s="1"/>
  <c r="AL57" i="5"/>
  <c r="F24" i="9"/>
  <c r="G24" i="9" s="1"/>
  <c r="N24" i="9"/>
  <c r="Q24" i="9" s="1"/>
  <c r="P24" i="9" s="1"/>
  <c r="J24" i="9"/>
  <c r="O166" i="9"/>
  <c r="O96" i="9"/>
  <c r="I26" i="9" a="1"/>
  <c r="I26" i="9" s="1"/>
  <c r="O27" i="2" a="1"/>
  <c r="Q28" i="2"/>
  <c r="S28" i="2"/>
  <c r="J27" i="2" a="1"/>
  <c r="U28" i="2"/>
  <c r="T28" i="2"/>
  <c r="N27" i="2" a="1"/>
  <c r="L27" i="2" a="1"/>
  <c r="D26" i="9" a="1"/>
  <c r="M27" i="2" a="1"/>
  <c r="R28" i="2"/>
  <c r="M27" i="9" a="1"/>
  <c r="K27" i="2" a="1"/>
  <c r="P28" i="2"/>
  <c r="AH59" i="5" l="1"/>
  <c r="AJ59" i="5"/>
  <c r="AH58" i="5"/>
  <c r="AJ58" i="5"/>
  <c r="AD59" i="5"/>
  <c r="AF59" i="5"/>
  <c r="AD58" i="5"/>
  <c r="AF58" i="5"/>
  <c r="Z59" i="5"/>
  <c r="AB59" i="5"/>
  <c r="Z58" i="5"/>
  <c r="AB58" i="5"/>
  <c r="V59" i="5"/>
  <c r="X59" i="5"/>
  <c r="V58" i="5"/>
  <c r="X58" i="5"/>
  <c r="R59" i="5"/>
  <c r="T59" i="5"/>
  <c r="R58" i="5"/>
  <c r="T58" i="5"/>
  <c r="N58" i="5"/>
  <c r="P58" i="5"/>
  <c r="N59" i="5"/>
  <c r="P59" i="5"/>
  <c r="J59" i="5"/>
  <c r="L59" i="5"/>
  <c r="J58" i="5"/>
  <c r="L58" i="5"/>
  <c r="F58" i="5"/>
  <c r="H58" i="5"/>
  <c r="F59" i="5"/>
  <c r="H59" i="5"/>
  <c r="AL17" i="10"/>
  <c r="U12" i="14"/>
  <c r="Q9" i="14"/>
  <c r="R12" i="14"/>
  <c r="S15" i="14" s="1"/>
  <c r="R10" i="14"/>
  <c r="U14" i="14"/>
  <c r="U15" i="14"/>
  <c r="S14" i="14"/>
  <c r="R14" i="14"/>
  <c r="U11" i="14"/>
  <c r="Q15" i="14"/>
  <c r="Q14" i="14"/>
  <c r="R11" i="14"/>
  <c r="V9" i="14"/>
  <c r="S7" i="14"/>
  <c r="AB15" i="14"/>
  <c r="Y14" i="14"/>
  <c r="Z15" i="14"/>
  <c r="X14" i="14"/>
  <c r="X15" i="14"/>
  <c r="AB11" i="14"/>
  <c r="AC9" i="14"/>
  <c r="Y11" i="14"/>
  <c r="X9" i="14"/>
  <c r="Y12" i="14"/>
  <c r="AB14" i="14"/>
  <c r="AB12" i="14"/>
  <c r="Z14" i="14"/>
  <c r="Y10" i="14"/>
  <c r="AB6" i="14"/>
  <c r="AB4" i="14"/>
  <c r="Z6" i="14"/>
  <c r="Y4" i="14"/>
  <c r="Y2" i="14"/>
  <c r="AB7" i="14"/>
  <c r="Y6" i="14"/>
  <c r="Z7" i="14"/>
  <c r="X6" i="14"/>
  <c r="X7" i="14"/>
  <c r="AB3" i="14"/>
  <c r="AC1" i="14"/>
  <c r="Y3" i="14"/>
  <c r="X1" i="14"/>
  <c r="K7" i="14"/>
  <c r="D15" i="14"/>
  <c r="K15" i="14"/>
  <c r="B15" i="14"/>
  <c r="I15" i="14"/>
  <c r="I7" i="14"/>
  <c r="F7" i="14"/>
  <c r="B1" i="14"/>
  <c r="F4" i="14"/>
  <c r="B6" i="14"/>
  <c r="D6" i="14"/>
  <c r="F3" i="14"/>
  <c r="C4" i="14"/>
  <c r="G1" i="14"/>
  <c r="C2" i="14"/>
  <c r="F6" i="14"/>
  <c r="C3" i="14"/>
  <c r="K28" i="9"/>
  <c r="V28" i="2"/>
  <c r="O28" i="9" s="1"/>
  <c r="K27" i="2"/>
  <c r="M27" i="9"/>
  <c r="K168" i="9"/>
  <c r="M27" i="2"/>
  <c r="D26" i="9"/>
  <c r="L27" i="2"/>
  <c r="N27" i="2"/>
  <c r="J27" i="2"/>
  <c r="K98" i="9"/>
  <c r="O27" i="2"/>
  <c r="AL58" i="5"/>
  <c r="D58" i="5"/>
  <c r="B58" i="5"/>
  <c r="A60" i="5" a="1"/>
  <c r="A60" i="5" s="1"/>
  <c r="AL59" i="5"/>
  <c r="D59" i="5"/>
  <c r="B59" i="5"/>
  <c r="A61" i="5" a="1"/>
  <c r="A61" i="5" s="1"/>
  <c r="J25" i="9"/>
  <c r="N25" i="9"/>
  <c r="Q25" i="9" s="1"/>
  <c r="P25" i="9" s="1"/>
  <c r="F25" i="9"/>
  <c r="G25" i="9" s="1"/>
  <c r="I30" i="2"/>
  <c r="L169" i="9"/>
  <c r="L99" i="9"/>
  <c r="L29" i="9"/>
  <c r="O167" i="9"/>
  <c r="O97" i="9"/>
  <c r="I27" i="9" a="1"/>
  <c r="I27" i="9" s="1"/>
  <c r="M28" i="9" a="1"/>
  <c r="K28" i="2" a="1"/>
  <c r="T29" i="2"/>
  <c r="J28" i="2" a="1"/>
  <c r="R29" i="2"/>
  <c r="Q29" i="2"/>
  <c r="N28" i="2" a="1"/>
  <c r="P29" i="2"/>
  <c r="O28" i="2" a="1"/>
  <c r="D27" i="9" a="1"/>
  <c r="S29" i="2"/>
  <c r="L28" i="2" a="1"/>
  <c r="M28" i="2" a="1"/>
  <c r="U29" i="2"/>
  <c r="AH61" i="5" l="1"/>
  <c r="AJ61" i="5"/>
  <c r="AH60" i="5"/>
  <c r="AJ60" i="5"/>
  <c r="AD61" i="5"/>
  <c r="AF61" i="5"/>
  <c r="AD60" i="5"/>
  <c r="AF60" i="5"/>
  <c r="Z61" i="5"/>
  <c r="AB61" i="5"/>
  <c r="Z60" i="5"/>
  <c r="AB60" i="5"/>
  <c r="V61" i="5"/>
  <c r="X61" i="5"/>
  <c r="V60" i="5"/>
  <c r="X60" i="5"/>
  <c r="R61" i="5"/>
  <c r="T61" i="5"/>
  <c r="R60" i="5"/>
  <c r="T60" i="5"/>
  <c r="N60" i="5"/>
  <c r="P60" i="5"/>
  <c r="N61" i="5"/>
  <c r="P61" i="5"/>
  <c r="J61" i="5"/>
  <c r="L61" i="5"/>
  <c r="J60" i="5"/>
  <c r="L60" i="5"/>
  <c r="F61" i="5"/>
  <c r="H61" i="5"/>
  <c r="F60" i="5"/>
  <c r="H60" i="5"/>
  <c r="B7" i="14"/>
  <c r="D7" i="14"/>
  <c r="M28" i="2"/>
  <c r="L28" i="2"/>
  <c r="D27" i="9"/>
  <c r="O28" i="2"/>
  <c r="K29" i="9"/>
  <c r="V29" i="2"/>
  <c r="O29" i="9" s="1"/>
  <c r="N28" i="2"/>
  <c r="K99" i="9"/>
  <c r="K169" i="9"/>
  <c r="J28" i="2"/>
  <c r="K28" i="2"/>
  <c r="M28" i="9"/>
  <c r="L30" i="9"/>
  <c r="I31" i="2"/>
  <c r="L100" i="9"/>
  <c r="L170" i="9"/>
  <c r="AE25" i="10"/>
  <c r="AL60" i="5"/>
  <c r="D60" i="5"/>
  <c r="B60" i="5"/>
  <c r="A62" i="5" a="1"/>
  <c r="A62" i="5" s="1"/>
  <c r="O168" i="9"/>
  <c r="O98" i="9"/>
  <c r="I28" i="9" a="1"/>
  <c r="I28" i="9" s="1"/>
  <c r="A63" i="5" a="1"/>
  <c r="A63" i="5" s="1"/>
  <c r="AL61" i="5"/>
  <c r="D61" i="5"/>
  <c r="B61" i="5"/>
  <c r="F26" i="9"/>
  <c r="G26" i="9" s="1"/>
  <c r="N26" i="9"/>
  <c r="Q26" i="9" s="1"/>
  <c r="P26" i="9" s="1"/>
  <c r="J26" i="9"/>
  <c r="O29" i="2" a="1"/>
  <c r="J29" i="2" a="1"/>
  <c r="U30" i="2"/>
  <c r="M29" i="2" a="1"/>
  <c r="K29" i="2" a="1"/>
  <c r="R30" i="2"/>
  <c r="P30" i="2"/>
  <c r="L29" i="2" a="1"/>
  <c r="T30" i="2"/>
  <c r="M29" i="9" a="1"/>
  <c r="D28" i="9" a="1"/>
  <c r="S30" i="2"/>
  <c r="N29" i="2" a="1"/>
  <c r="Q30" i="2"/>
  <c r="AH62" i="5" l="1"/>
  <c r="AJ62" i="5"/>
  <c r="AH63" i="5"/>
  <c r="AJ63" i="5"/>
  <c r="AD62" i="5"/>
  <c r="AF62" i="5"/>
  <c r="AD63" i="5"/>
  <c r="AF63" i="5"/>
  <c r="Z63" i="5"/>
  <c r="AB63" i="5"/>
  <c r="Z62" i="5"/>
  <c r="AB62" i="5"/>
  <c r="V62" i="5"/>
  <c r="X62" i="5"/>
  <c r="V63" i="5"/>
  <c r="X63" i="5"/>
  <c r="R62" i="5"/>
  <c r="T62" i="5"/>
  <c r="R63" i="5"/>
  <c r="T63" i="5"/>
  <c r="N63" i="5"/>
  <c r="P63" i="5"/>
  <c r="N62" i="5"/>
  <c r="P62" i="5"/>
  <c r="J63" i="5"/>
  <c r="L63" i="5"/>
  <c r="J62" i="5"/>
  <c r="L62" i="5"/>
  <c r="F62" i="5"/>
  <c r="H62" i="5"/>
  <c r="F63" i="5"/>
  <c r="H63" i="5"/>
  <c r="AL25" i="10"/>
  <c r="K100" i="9"/>
  <c r="N29" i="2"/>
  <c r="D28" i="9"/>
  <c r="M29" i="9"/>
  <c r="L29" i="2"/>
  <c r="K30" i="9"/>
  <c r="V30" i="2"/>
  <c r="O30" i="9" s="1"/>
  <c r="K170" i="9"/>
  <c r="K29" i="2"/>
  <c r="M29" i="2"/>
  <c r="J29" i="2"/>
  <c r="O29" i="2"/>
  <c r="O169" i="9"/>
  <c r="O99" i="9"/>
  <c r="I29" i="9" a="1"/>
  <c r="I29" i="9" s="1"/>
  <c r="A64" i="5" a="1"/>
  <c r="A64" i="5" s="1"/>
  <c r="AL62" i="5"/>
  <c r="D62" i="5"/>
  <c r="B62" i="5"/>
  <c r="A65" i="5" a="1"/>
  <c r="A65" i="5" s="1"/>
  <c r="AL63" i="5"/>
  <c r="D63" i="5"/>
  <c r="B63" i="5"/>
  <c r="F27" i="9"/>
  <c r="G27" i="9" s="1"/>
  <c r="J27" i="9"/>
  <c r="N27" i="9"/>
  <c r="Q27" i="9" s="1"/>
  <c r="P27" i="9" s="1"/>
  <c r="L31" i="9"/>
  <c r="I32" i="2"/>
  <c r="L171" i="9"/>
  <c r="L101" i="9"/>
  <c r="M30" i="9" a="1"/>
  <c r="D29" i="9" a="1"/>
  <c r="K30" i="2" a="1"/>
  <c r="J30" i="2" a="1"/>
  <c r="T31" i="2"/>
  <c r="M30" i="2" a="1"/>
  <c r="U31" i="2"/>
  <c r="L30" i="2" a="1"/>
  <c r="S31" i="2"/>
  <c r="P31" i="2"/>
  <c r="Q31" i="2"/>
  <c r="R31" i="2"/>
  <c r="O30" i="2" a="1"/>
  <c r="N30" i="2" a="1"/>
  <c r="AH65" i="5" l="1"/>
  <c r="AJ65" i="5"/>
  <c r="AH64" i="5"/>
  <c r="AJ64" i="5"/>
  <c r="AD64" i="5"/>
  <c r="AF64" i="5"/>
  <c r="AD65" i="5"/>
  <c r="AF65" i="5"/>
  <c r="Z65" i="5"/>
  <c r="AB65" i="5"/>
  <c r="Z64" i="5"/>
  <c r="AB64" i="5"/>
  <c r="V64" i="5"/>
  <c r="X64" i="5"/>
  <c r="V65" i="5"/>
  <c r="X65" i="5"/>
  <c r="R65" i="5"/>
  <c r="T65" i="5"/>
  <c r="R64" i="5"/>
  <c r="T64" i="5"/>
  <c r="N64" i="5"/>
  <c r="P64" i="5"/>
  <c r="N65" i="5"/>
  <c r="P65" i="5"/>
  <c r="J65" i="5"/>
  <c r="L65" i="5"/>
  <c r="J64" i="5"/>
  <c r="L64" i="5"/>
  <c r="F64" i="5"/>
  <c r="H64" i="5"/>
  <c r="F65" i="5"/>
  <c r="H65" i="5"/>
  <c r="N30" i="2"/>
  <c r="O30" i="2"/>
  <c r="K171" i="9"/>
  <c r="K101" i="9"/>
  <c r="K31" i="9"/>
  <c r="V31" i="2"/>
  <c r="O31" i="9" s="1"/>
  <c r="L30" i="2"/>
  <c r="M30" i="2"/>
  <c r="J30" i="2"/>
  <c r="K30" i="2"/>
  <c r="D29" i="9"/>
  <c r="M30" i="9"/>
  <c r="D65" i="5"/>
  <c r="B65" i="5"/>
  <c r="A67" i="5" a="1"/>
  <c r="A67" i="5" s="1"/>
  <c r="AL65" i="5"/>
  <c r="B64" i="5"/>
  <c r="A66" i="5" a="1"/>
  <c r="A66" i="5" s="1"/>
  <c r="AL64" i="5"/>
  <c r="D64" i="5"/>
  <c r="F28" i="9"/>
  <c r="G28" i="9" s="1"/>
  <c r="J28" i="9"/>
  <c r="N28" i="9"/>
  <c r="Q28" i="9" s="1"/>
  <c r="P28" i="9" s="1"/>
  <c r="O170" i="9"/>
  <c r="O100" i="9"/>
  <c r="I30" i="9" a="1"/>
  <c r="I30" i="9" s="1"/>
  <c r="L32" i="9"/>
  <c r="I33" i="2"/>
  <c r="L172" i="9"/>
  <c r="L102" i="9"/>
  <c r="AE33" i="10"/>
  <c r="J31" i="2" a="1"/>
  <c r="Q32" i="2"/>
  <c r="M31" i="2" a="1"/>
  <c r="L31" i="2" a="1"/>
  <c r="O31" i="2" a="1"/>
  <c r="R32" i="2"/>
  <c r="S32" i="2"/>
  <c r="P32" i="2"/>
  <c r="K31" i="2" a="1"/>
  <c r="N31" i="2" a="1"/>
  <c r="U32" i="2"/>
  <c r="M31" i="9" a="1"/>
  <c r="D30" i="9" a="1"/>
  <c r="T32" i="2"/>
  <c r="AH67" i="5" l="1"/>
  <c r="AJ67" i="5"/>
  <c r="AH66" i="5"/>
  <c r="AJ66" i="5"/>
  <c r="AD66" i="5"/>
  <c r="AF66" i="5"/>
  <c r="AD67" i="5"/>
  <c r="AF67" i="5"/>
  <c r="Z67" i="5"/>
  <c r="AB67" i="5"/>
  <c r="Z66" i="5"/>
  <c r="AB66" i="5"/>
  <c r="V66" i="5"/>
  <c r="X66" i="5"/>
  <c r="V67" i="5"/>
  <c r="X67" i="5"/>
  <c r="R66" i="5"/>
  <c r="T66" i="5"/>
  <c r="R67" i="5"/>
  <c r="T67" i="5"/>
  <c r="N66" i="5"/>
  <c r="P66" i="5"/>
  <c r="N67" i="5"/>
  <c r="P67" i="5"/>
  <c r="J67" i="5"/>
  <c r="L67" i="5"/>
  <c r="J66" i="5"/>
  <c r="L66" i="5"/>
  <c r="F66" i="5"/>
  <c r="H66" i="5"/>
  <c r="F67" i="5"/>
  <c r="H67" i="5"/>
  <c r="AL33" i="10"/>
  <c r="D30" i="9"/>
  <c r="M31" i="9"/>
  <c r="N31" i="2"/>
  <c r="K31" i="2"/>
  <c r="K32" i="9"/>
  <c r="V32" i="2"/>
  <c r="O32" i="9" s="1"/>
  <c r="K172" i="9"/>
  <c r="O31" i="2"/>
  <c r="L31" i="2"/>
  <c r="M31" i="2"/>
  <c r="K102" i="9"/>
  <c r="J31" i="2"/>
  <c r="O171" i="9"/>
  <c r="O101" i="9"/>
  <c r="I31" i="9" a="1"/>
  <c r="I31" i="9" s="1"/>
  <c r="AL67" i="5"/>
  <c r="D67" i="5"/>
  <c r="B67" i="5"/>
  <c r="A69" i="5" a="1"/>
  <c r="A69" i="5" s="1"/>
  <c r="L33" i="9"/>
  <c r="I34" i="2"/>
  <c r="L103" i="9"/>
  <c r="L173" i="9"/>
  <c r="AL66" i="5"/>
  <c r="D66" i="5"/>
  <c r="B66" i="5"/>
  <c r="A68" i="5" a="1"/>
  <c r="A68" i="5" s="1"/>
  <c r="F29" i="9"/>
  <c r="G29" i="9" s="1"/>
  <c r="J29" i="9"/>
  <c r="N29" i="9"/>
  <c r="Q29" i="9" s="1"/>
  <c r="P29" i="9" s="1"/>
  <c r="N32" i="2" a="1"/>
  <c r="J32" i="2" a="1"/>
  <c r="K32" i="2" a="1"/>
  <c r="R33" i="2"/>
  <c r="Q33" i="2"/>
  <c r="S33" i="2"/>
  <c r="M32" i="2" a="1"/>
  <c r="D31" i="9" a="1"/>
  <c r="O32" i="2" a="1"/>
  <c r="L32" i="2" a="1"/>
  <c r="T33" i="2"/>
  <c r="P33" i="2"/>
  <c r="M32" i="9" a="1"/>
  <c r="U33" i="2"/>
  <c r="AH68" i="5" l="1"/>
  <c r="AJ68" i="5"/>
  <c r="AH69" i="5"/>
  <c r="AJ69" i="5"/>
  <c r="AD68" i="5"/>
  <c r="AF68" i="5"/>
  <c r="AD69" i="5"/>
  <c r="AF69" i="5"/>
  <c r="Z69" i="5"/>
  <c r="AB69" i="5"/>
  <c r="Z68" i="5"/>
  <c r="AB68" i="5"/>
  <c r="V69" i="5"/>
  <c r="X69" i="5"/>
  <c r="V68" i="5"/>
  <c r="X68" i="5"/>
  <c r="R69" i="5"/>
  <c r="T69" i="5"/>
  <c r="R68" i="5"/>
  <c r="T68" i="5"/>
  <c r="N69" i="5"/>
  <c r="P69" i="5"/>
  <c r="N68" i="5"/>
  <c r="P68" i="5"/>
  <c r="J69" i="5"/>
  <c r="L69" i="5"/>
  <c r="J68" i="5"/>
  <c r="L68" i="5"/>
  <c r="F68" i="5"/>
  <c r="H68" i="5"/>
  <c r="F69" i="5"/>
  <c r="H69" i="5"/>
  <c r="M32" i="9"/>
  <c r="K33" i="9"/>
  <c r="V33" i="2"/>
  <c r="O33" i="9" s="1"/>
  <c r="L32" i="2"/>
  <c r="O32" i="2"/>
  <c r="D31" i="9"/>
  <c r="M32" i="2"/>
  <c r="K103" i="9"/>
  <c r="K173" i="9"/>
  <c r="K32" i="2"/>
  <c r="J32" i="2"/>
  <c r="N32" i="2"/>
  <c r="O172" i="9"/>
  <c r="O102" i="9"/>
  <c r="I32" i="9" a="1"/>
  <c r="I32" i="9" s="1"/>
  <c r="AL68" i="5"/>
  <c r="D68" i="5"/>
  <c r="B68" i="5"/>
  <c r="A70" i="5" a="1"/>
  <c r="A70" i="5" s="1"/>
  <c r="I35" i="2"/>
  <c r="L34" i="9"/>
  <c r="L174" i="9"/>
  <c r="L104" i="9"/>
  <c r="A71" i="5" a="1"/>
  <c r="A71" i="5" s="1"/>
  <c r="AL69" i="5"/>
  <c r="D69" i="5"/>
  <c r="B69" i="5"/>
  <c r="AE41" i="10"/>
  <c r="N30" i="9"/>
  <c r="Q30" i="9" s="1"/>
  <c r="P30" i="9" s="1"/>
  <c r="F30" i="9"/>
  <c r="G30" i="9" s="1"/>
  <c r="J30" i="9"/>
  <c r="O33" i="2" a="1"/>
  <c r="D32" i="9" a="1"/>
  <c r="U34" i="2"/>
  <c r="Q34" i="2"/>
  <c r="M33" i="9" a="1"/>
  <c r="M33" i="2" a="1"/>
  <c r="T34" i="2"/>
  <c r="S34" i="2"/>
  <c r="J33" i="2" a="1"/>
  <c r="K33" i="2" a="1"/>
  <c r="N33" i="2" a="1"/>
  <c r="R34" i="2"/>
  <c r="L33" i="2" a="1"/>
  <c r="P34" i="2"/>
  <c r="AH70" i="5" l="1"/>
  <c r="AJ70" i="5"/>
  <c r="AH71" i="5"/>
  <c r="AJ71" i="5"/>
  <c r="AD71" i="5"/>
  <c r="AF71" i="5"/>
  <c r="AD70" i="5"/>
  <c r="AF70" i="5"/>
  <c r="Z70" i="5"/>
  <c r="AB70" i="5"/>
  <c r="Z71" i="5"/>
  <c r="AB71" i="5"/>
  <c r="V70" i="5"/>
  <c r="X70" i="5"/>
  <c r="V71" i="5"/>
  <c r="X71" i="5"/>
  <c r="R71" i="5"/>
  <c r="T71" i="5"/>
  <c r="R70" i="5"/>
  <c r="T70" i="5"/>
  <c r="N71" i="5"/>
  <c r="P71" i="5"/>
  <c r="N70" i="5"/>
  <c r="P70" i="5"/>
  <c r="J70" i="5"/>
  <c r="L70" i="5"/>
  <c r="J71" i="5"/>
  <c r="L71" i="5"/>
  <c r="F70" i="5"/>
  <c r="H70" i="5"/>
  <c r="F71" i="5"/>
  <c r="H71" i="5"/>
  <c r="AL41" i="10"/>
  <c r="K34" i="9"/>
  <c r="V34" i="2"/>
  <c r="O34" i="9" s="1"/>
  <c r="L33" i="2"/>
  <c r="K174" i="9"/>
  <c r="N33" i="2"/>
  <c r="K33" i="2"/>
  <c r="J33" i="2"/>
  <c r="M33" i="2"/>
  <c r="M33" i="9"/>
  <c r="K104" i="9"/>
  <c r="D32" i="9"/>
  <c r="O33" i="2"/>
  <c r="A73" i="5" a="1"/>
  <c r="A73" i="5" s="1"/>
  <c r="AL71" i="5"/>
  <c r="D71" i="5"/>
  <c r="B71" i="5"/>
  <c r="I36" i="2"/>
  <c r="L175" i="9"/>
  <c r="L105" i="9"/>
  <c r="L35" i="9"/>
  <c r="A72" i="5" a="1"/>
  <c r="A72" i="5" s="1"/>
  <c r="AL70" i="5"/>
  <c r="D70" i="5"/>
  <c r="B70" i="5"/>
  <c r="O173" i="9"/>
  <c r="O103" i="9"/>
  <c r="I33" i="9" a="1"/>
  <c r="I33" i="9" s="1"/>
  <c r="N31" i="9"/>
  <c r="Q31" i="9" s="1"/>
  <c r="P31" i="9" s="1"/>
  <c r="F31" i="9"/>
  <c r="G31" i="9" s="1"/>
  <c r="J31" i="9"/>
  <c r="M34" i="9" a="1"/>
  <c r="D33" i="9" a="1"/>
  <c r="P35" i="2"/>
  <c r="M34" i="2" a="1"/>
  <c r="J34" i="2" a="1"/>
  <c r="N34" i="2" a="1"/>
  <c r="R35" i="2"/>
  <c r="U35" i="2"/>
  <c r="S35" i="2"/>
  <c r="L34" i="2" a="1"/>
  <c r="Q35" i="2"/>
  <c r="K34" i="2" a="1"/>
  <c r="O34" i="2" a="1"/>
  <c r="T35" i="2"/>
  <c r="AH73" i="5" l="1"/>
  <c r="AJ73" i="5"/>
  <c r="AH72" i="5"/>
  <c r="AJ72" i="5"/>
  <c r="AD73" i="5"/>
  <c r="AF73" i="5"/>
  <c r="AD72" i="5"/>
  <c r="AF72" i="5"/>
  <c r="Z73" i="5"/>
  <c r="AB73" i="5"/>
  <c r="Z72" i="5"/>
  <c r="AB72" i="5"/>
  <c r="V73" i="5"/>
  <c r="X73" i="5"/>
  <c r="V72" i="5"/>
  <c r="X72" i="5"/>
  <c r="R73" i="5"/>
  <c r="T73" i="5"/>
  <c r="R72" i="5"/>
  <c r="T72" i="5"/>
  <c r="N72" i="5"/>
  <c r="P72" i="5"/>
  <c r="N73" i="5"/>
  <c r="P73" i="5"/>
  <c r="J72" i="5"/>
  <c r="L72" i="5"/>
  <c r="J73" i="5"/>
  <c r="L73" i="5"/>
  <c r="F73" i="5"/>
  <c r="H73" i="5"/>
  <c r="F72" i="5"/>
  <c r="H72" i="5"/>
  <c r="O34" i="2"/>
  <c r="K34" i="2"/>
  <c r="K105" i="9"/>
  <c r="L34" i="2"/>
  <c r="K175" i="9"/>
  <c r="N34" i="2"/>
  <c r="J34" i="2"/>
  <c r="M34" i="2"/>
  <c r="K35" i="9"/>
  <c r="V35" i="2"/>
  <c r="O35" i="9" s="1"/>
  <c r="D33" i="9"/>
  <c r="M34" i="9"/>
  <c r="B72" i="5"/>
  <c r="A74" i="5" a="1"/>
  <c r="A74" i="5" s="1"/>
  <c r="AL72" i="5"/>
  <c r="D72" i="5"/>
  <c r="D73" i="5"/>
  <c r="B73" i="5"/>
  <c r="A75" i="5" a="1"/>
  <c r="A75" i="5" s="1"/>
  <c r="AL73" i="5"/>
  <c r="I37" i="2"/>
  <c r="L106" i="9"/>
  <c r="L36" i="9"/>
  <c r="L176" i="9"/>
  <c r="O104" i="9"/>
  <c r="O174" i="9"/>
  <c r="I34" i="9" a="1"/>
  <c r="I34" i="9" s="1"/>
  <c r="AT1" i="10"/>
  <c r="F32" i="9"/>
  <c r="G32" i="9" s="1"/>
  <c r="J32" i="9"/>
  <c r="N32" i="9"/>
  <c r="Q32" i="9" s="1"/>
  <c r="P32" i="9" s="1"/>
  <c r="N35" i="2" a="1"/>
  <c r="M175" i="9" a="1"/>
  <c r="U36" i="2"/>
  <c r="L35" i="2" a="1"/>
  <c r="T36" i="2"/>
  <c r="M105" i="9" a="1"/>
  <c r="D34" i="9" a="1"/>
  <c r="S36" i="2"/>
  <c r="K35" i="2" a="1"/>
  <c r="P36" i="2"/>
  <c r="M35" i="9" a="1"/>
  <c r="R36" i="2"/>
  <c r="M35" i="2" a="1"/>
  <c r="O35" i="2" a="1"/>
  <c r="J35" i="2" a="1"/>
  <c r="Q36" i="2"/>
  <c r="AH74" i="5" l="1"/>
  <c r="AJ74" i="5"/>
  <c r="AH75" i="5"/>
  <c r="AJ75" i="5"/>
  <c r="AD74" i="5"/>
  <c r="AF74" i="5"/>
  <c r="AD75" i="5"/>
  <c r="AF75" i="5"/>
  <c r="Z75" i="5"/>
  <c r="AB75" i="5"/>
  <c r="Z74" i="5"/>
  <c r="AB74" i="5"/>
  <c r="V75" i="5"/>
  <c r="X75" i="5"/>
  <c r="V74" i="5"/>
  <c r="X74" i="5"/>
  <c r="R75" i="5"/>
  <c r="T75" i="5"/>
  <c r="R74" i="5"/>
  <c r="T74" i="5"/>
  <c r="N75" i="5"/>
  <c r="P75" i="5"/>
  <c r="N74" i="5"/>
  <c r="P74" i="5"/>
  <c r="J75" i="5"/>
  <c r="L75" i="5"/>
  <c r="J74" i="5"/>
  <c r="L74" i="5"/>
  <c r="F75" i="5"/>
  <c r="H75" i="5"/>
  <c r="F74" i="5"/>
  <c r="H74" i="5"/>
  <c r="K106" i="9"/>
  <c r="J35" i="2"/>
  <c r="O35" i="2"/>
  <c r="M35" i="2"/>
  <c r="K176" i="9"/>
  <c r="M35" i="9"/>
  <c r="K36" i="9"/>
  <c r="V36" i="2"/>
  <c r="O36" i="9" s="1"/>
  <c r="K35" i="2"/>
  <c r="D34" i="9"/>
  <c r="M105" i="9"/>
  <c r="L35" i="2"/>
  <c r="M175" i="9"/>
  <c r="N35" i="2"/>
  <c r="O175" i="9"/>
  <c r="I175" i="9" s="1"/>
  <c r="O105" i="9"/>
  <c r="I105" i="9" s="1" a="1"/>
  <c r="I105" i="9" s="1"/>
  <c r="I35" i="9" a="1"/>
  <c r="I35" i="9" s="1"/>
  <c r="AL74" i="5"/>
  <c r="D74" i="5"/>
  <c r="B74" i="5"/>
  <c r="A76" i="5" a="1"/>
  <c r="A76" i="5" s="1"/>
  <c r="AL75" i="5"/>
  <c r="D75" i="5"/>
  <c r="B75" i="5"/>
  <c r="A77" i="5" a="1"/>
  <c r="A77" i="5" s="1"/>
  <c r="I38" i="2"/>
  <c r="L177" i="9"/>
  <c r="L107" i="9"/>
  <c r="L37" i="9"/>
  <c r="J33" i="9"/>
  <c r="N33" i="9"/>
  <c r="Q33" i="9" s="1"/>
  <c r="P33" i="9" s="1"/>
  <c r="F33" i="9"/>
  <c r="G33" i="9" s="1"/>
  <c r="M36" i="9" a="1"/>
  <c r="D175" i="9" a="1"/>
  <c r="R37" i="2"/>
  <c r="K36" i="2" a="1"/>
  <c r="J36" i="2" a="1"/>
  <c r="O36" i="2" a="1"/>
  <c r="Q37" i="2"/>
  <c r="D35" i="9" a="1"/>
  <c r="D105" i="9" a="1"/>
  <c r="P37" i="2"/>
  <c r="M36" i="2" a="1"/>
  <c r="U37" i="2"/>
  <c r="S37" i="2"/>
  <c r="L36" i="2" a="1"/>
  <c r="N36" i="2" a="1"/>
  <c r="T37" i="2"/>
  <c r="AH76" i="5" l="1"/>
  <c r="AJ76" i="5"/>
  <c r="AH77" i="5"/>
  <c r="AJ77" i="5"/>
  <c r="AD76" i="5"/>
  <c r="AF76" i="5"/>
  <c r="AD77" i="5"/>
  <c r="AF77" i="5"/>
  <c r="Z77" i="5"/>
  <c r="AB77" i="5"/>
  <c r="Z76" i="5"/>
  <c r="AB76" i="5"/>
  <c r="V76" i="5"/>
  <c r="X76" i="5"/>
  <c r="V77" i="5"/>
  <c r="X77" i="5"/>
  <c r="R77" i="5"/>
  <c r="T77" i="5"/>
  <c r="R76" i="5"/>
  <c r="T76" i="5"/>
  <c r="N76" i="5"/>
  <c r="P76" i="5"/>
  <c r="N77" i="5"/>
  <c r="P77" i="5"/>
  <c r="J76" i="5"/>
  <c r="L76" i="5"/>
  <c r="J77" i="5"/>
  <c r="L77" i="5"/>
  <c r="F77" i="5"/>
  <c r="H77" i="5"/>
  <c r="F76" i="5"/>
  <c r="H76" i="5"/>
  <c r="N36" i="2"/>
  <c r="L36" i="2"/>
  <c r="M36" i="2"/>
  <c r="K37" i="9"/>
  <c r="V37" i="2"/>
  <c r="O37" i="9" s="1"/>
  <c r="D105" i="9"/>
  <c r="D35" i="9"/>
  <c r="K107" i="9"/>
  <c r="O36" i="2"/>
  <c r="J36" i="2"/>
  <c r="K36" i="2"/>
  <c r="K177" i="9"/>
  <c r="D175" i="9"/>
  <c r="M36" i="9"/>
  <c r="AT9" i="10"/>
  <c r="N34" i="9"/>
  <c r="Q34" i="9" s="1"/>
  <c r="P34" i="9" s="1"/>
  <c r="F34" i="9"/>
  <c r="G34" i="9" s="1"/>
  <c r="J34" i="9"/>
  <c r="L38" i="9"/>
  <c r="I39" i="2"/>
  <c r="L108" i="9"/>
  <c r="L178" i="9"/>
  <c r="O176" i="9"/>
  <c r="O106" i="9"/>
  <c r="I36" i="9" a="1"/>
  <c r="I36" i="9" s="1"/>
  <c r="AL76" i="5"/>
  <c r="D76" i="5"/>
  <c r="B76" i="5"/>
  <c r="A78" i="5" a="1"/>
  <c r="A78" i="5" s="1"/>
  <c r="A79" i="5" a="1"/>
  <c r="A79" i="5" s="1"/>
  <c r="AL77" i="5"/>
  <c r="D77" i="5"/>
  <c r="B77" i="5"/>
  <c r="N37" i="2" a="1"/>
  <c r="J37" i="2" a="1"/>
  <c r="U38" i="2"/>
  <c r="L37" i="2" a="1"/>
  <c r="D36" i="9" a="1"/>
  <c r="R38" i="2"/>
  <c r="M37" i="9" a="1"/>
  <c r="M37" i="2" a="1"/>
  <c r="P38" i="2"/>
  <c r="O37" i="2" a="1"/>
  <c r="K37" i="2" a="1"/>
  <c r="T38" i="2"/>
  <c r="Q38" i="2"/>
  <c r="S38" i="2"/>
  <c r="AH79" i="5" l="1"/>
  <c r="AJ79" i="5"/>
  <c r="AH78" i="5"/>
  <c r="AJ78" i="5"/>
  <c r="AD79" i="5"/>
  <c r="AF79" i="5"/>
  <c r="AD78" i="5"/>
  <c r="AF78" i="5"/>
  <c r="Z79" i="5"/>
  <c r="AB79" i="5"/>
  <c r="Z78" i="5"/>
  <c r="AB78" i="5"/>
  <c r="V79" i="5"/>
  <c r="X79" i="5"/>
  <c r="V78" i="5"/>
  <c r="X78" i="5"/>
  <c r="R79" i="5"/>
  <c r="T79" i="5"/>
  <c r="R78" i="5"/>
  <c r="T78" i="5"/>
  <c r="N79" i="5"/>
  <c r="P79" i="5"/>
  <c r="N78" i="5"/>
  <c r="P78" i="5"/>
  <c r="J78" i="5"/>
  <c r="L78" i="5"/>
  <c r="J79" i="5"/>
  <c r="L79" i="5"/>
  <c r="F78" i="5"/>
  <c r="H78" i="5"/>
  <c r="F79" i="5"/>
  <c r="H79" i="5"/>
  <c r="BA9" i="10"/>
  <c r="K108" i="9"/>
  <c r="K37" i="2"/>
  <c r="O37" i="2"/>
  <c r="K38" i="9"/>
  <c r="V38" i="2"/>
  <c r="O38" i="9" s="1"/>
  <c r="M37" i="2"/>
  <c r="M37" i="9"/>
  <c r="K178" i="9"/>
  <c r="D36" i="9"/>
  <c r="L37" i="2"/>
  <c r="J37" i="2"/>
  <c r="N37" i="2"/>
  <c r="A81" i="5" a="1"/>
  <c r="A81" i="5" s="1"/>
  <c r="AL79" i="5"/>
  <c r="D79" i="5"/>
  <c r="B79" i="5"/>
  <c r="L39" i="9"/>
  <c r="I40" i="2"/>
  <c r="L179" i="9"/>
  <c r="L109" i="9"/>
  <c r="O177" i="9"/>
  <c r="O107" i="9"/>
  <c r="I37" i="9" a="1"/>
  <c r="I37" i="9" s="1"/>
  <c r="A80" i="5" a="1"/>
  <c r="A80" i="5" s="1"/>
  <c r="AL78" i="5"/>
  <c r="D78" i="5"/>
  <c r="B78" i="5"/>
  <c r="F175" i="9"/>
  <c r="G175" i="9" s="1"/>
  <c r="N175" i="9"/>
  <c r="Q175" i="9" s="1"/>
  <c r="P175" i="9" s="1"/>
  <c r="J175" i="9"/>
  <c r="F35" i="9"/>
  <c r="G35" i="9" s="1"/>
  <c r="N35" i="9"/>
  <c r="Q35" i="9" s="1"/>
  <c r="P35" i="9" s="1"/>
  <c r="J35" i="9"/>
  <c r="F105" i="9"/>
  <c r="G105" i="9" s="1"/>
  <c r="J105" i="9"/>
  <c r="N105" i="9"/>
  <c r="Q105" i="9" s="1"/>
  <c r="P105" i="9" s="1"/>
  <c r="M38" i="2" a="1"/>
  <c r="D37" i="9" a="1"/>
  <c r="K38" i="2" a="1"/>
  <c r="T39" i="2"/>
  <c r="N38" i="2" a="1"/>
  <c r="U39" i="2"/>
  <c r="L38" i="2" a="1"/>
  <c r="S39" i="2"/>
  <c r="Q39" i="2"/>
  <c r="M38" i="9" a="1"/>
  <c r="R39" i="2"/>
  <c r="J38" i="2" a="1"/>
  <c r="O38" i="2" a="1"/>
  <c r="P39" i="2"/>
  <c r="AH81" i="5" l="1"/>
  <c r="AJ81" i="5"/>
  <c r="AH80" i="5"/>
  <c r="AJ80" i="5"/>
  <c r="AD81" i="5"/>
  <c r="AF81" i="5"/>
  <c r="AD80" i="5"/>
  <c r="AF80" i="5"/>
  <c r="Z80" i="5"/>
  <c r="AB80" i="5"/>
  <c r="Z81" i="5"/>
  <c r="AB81" i="5"/>
  <c r="V80" i="5"/>
  <c r="X80" i="5"/>
  <c r="V81" i="5"/>
  <c r="X81" i="5"/>
  <c r="R81" i="5"/>
  <c r="T81" i="5"/>
  <c r="R80" i="5"/>
  <c r="T80" i="5"/>
  <c r="N80" i="5"/>
  <c r="P80" i="5"/>
  <c r="N81" i="5"/>
  <c r="P81" i="5"/>
  <c r="J80" i="5"/>
  <c r="L80" i="5"/>
  <c r="J81" i="5"/>
  <c r="L81" i="5"/>
  <c r="F81" i="5"/>
  <c r="H81" i="5"/>
  <c r="F80" i="5"/>
  <c r="H80" i="5"/>
  <c r="K39" i="9"/>
  <c r="V39" i="2"/>
  <c r="O39" i="9" s="1"/>
  <c r="O38" i="2"/>
  <c r="J38" i="2"/>
  <c r="K179" i="9"/>
  <c r="M38" i="9"/>
  <c r="K109" i="9"/>
  <c r="L38" i="2"/>
  <c r="N38" i="2"/>
  <c r="K38" i="2"/>
  <c r="D37" i="9"/>
  <c r="M38" i="2"/>
  <c r="AT17" i="10"/>
  <c r="B80" i="5"/>
  <c r="A82" i="5" a="1"/>
  <c r="A82" i="5" s="1"/>
  <c r="AL80" i="5"/>
  <c r="D80" i="5"/>
  <c r="F36" i="9"/>
  <c r="G36" i="9" s="1"/>
  <c r="J36" i="9"/>
  <c r="N36" i="9"/>
  <c r="Q36" i="9" s="1"/>
  <c r="P36" i="9" s="1"/>
  <c r="L40" i="9"/>
  <c r="I41" i="2"/>
  <c r="L180" i="9"/>
  <c r="L110" i="9"/>
  <c r="D81" i="5"/>
  <c r="B81" i="5"/>
  <c r="A83" i="5" a="1"/>
  <c r="A83" i="5" s="1"/>
  <c r="AL81" i="5"/>
  <c r="O178" i="9"/>
  <c r="O108" i="9"/>
  <c r="I38" i="9" a="1"/>
  <c r="I38" i="9" s="1"/>
  <c r="M39" i="9" a="1"/>
  <c r="P40" i="2"/>
  <c r="K39" i="2" a="1"/>
  <c r="J39" i="2" a="1"/>
  <c r="M39" i="2" a="1"/>
  <c r="S40" i="2"/>
  <c r="T40" i="2"/>
  <c r="D38" i="9" a="1"/>
  <c r="O39" i="2" a="1"/>
  <c r="Q40" i="2"/>
  <c r="L39" i="2" a="1"/>
  <c r="N39" i="2" a="1"/>
  <c r="R40" i="2"/>
  <c r="U40" i="2"/>
  <c r="AH82" i="5" l="1"/>
  <c r="AJ82" i="5"/>
  <c r="AH83" i="5"/>
  <c r="AJ83" i="5"/>
  <c r="AD82" i="5"/>
  <c r="AF82" i="5"/>
  <c r="AD83" i="5"/>
  <c r="AF83" i="5"/>
  <c r="Z83" i="5"/>
  <c r="AB83" i="5"/>
  <c r="Z82" i="5"/>
  <c r="AB82" i="5"/>
  <c r="V82" i="5"/>
  <c r="X82" i="5"/>
  <c r="V83" i="5"/>
  <c r="X83" i="5"/>
  <c r="R83" i="5"/>
  <c r="T83" i="5"/>
  <c r="R82" i="5"/>
  <c r="T82" i="5"/>
  <c r="N83" i="5"/>
  <c r="P83" i="5"/>
  <c r="N82" i="5"/>
  <c r="P82" i="5"/>
  <c r="J83" i="5"/>
  <c r="L83" i="5"/>
  <c r="J82" i="5"/>
  <c r="L82" i="5"/>
  <c r="F83" i="5"/>
  <c r="H83" i="5"/>
  <c r="F82" i="5"/>
  <c r="H82" i="5"/>
  <c r="BA17" i="10"/>
  <c r="K180" i="9"/>
  <c r="N39" i="2"/>
  <c r="L39" i="2"/>
  <c r="K110" i="9"/>
  <c r="O39" i="2"/>
  <c r="D38" i="9"/>
  <c r="M39" i="2"/>
  <c r="J39" i="2"/>
  <c r="K39" i="2"/>
  <c r="K40" i="9"/>
  <c r="V40" i="2"/>
  <c r="O40" i="9" s="1"/>
  <c r="M39" i="9"/>
  <c r="L41" i="9"/>
  <c r="I42" i="2"/>
  <c r="L111" i="9"/>
  <c r="L181" i="9"/>
  <c r="AL82" i="5"/>
  <c r="D82" i="5"/>
  <c r="B82" i="5"/>
  <c r="A84" i="5" a="1"/>
  <c r="A84" i="5" s="1"/>
  <c r="AL83" i="5"/>
  <c r="D83" i="5"/>
  <c r="B83" i="5"/>
  <c r="A85" i="5" a="1"/>
  <c r="A85" i="5" s="1"/>
  <c r="O179" i="9"/>
  <c r="O109" i="9"/>
  <c r="C109" i="9" s="1"/>
  <c r="I39" i="9" a="1"/>
  <c r="I39" i="9" s="1"/>
  <c r="F37" i="9"/>
  <c r="G37" i="9" s="1"/>
  <c r="J37" i="9"/>
  <c r="N37" i="9"/>
  <c r="Q37" i="9" s="1"/>
  <c r="P37" i="9" s="1"/>
  <c r="O40" i="2" a="1"/>
  <c r="J40" i="2" a="1"/>
  <c r="T41" i="2"/>
  <c r="N40" i="2" a="1"/>
  <c r="Q41" i="2"/>
  <c r="L40" i="2" a="1"/>
  <c r="M40" i="2" a="1"/>
  <c r="S41" i="2"/>
  <c r="D39" i="9" a="1"/>
  <c r="U41" i="2"/>
  <c r="K40" i="2" a="1"/>
  <c r="M40" i="9" a="1"/>
  <c r="P41" i="2"/>
  <c r="M110" i="9" a="1"/>
  <c r="R41" i="2"/>
  <c r="AH84" i="5" l="1"/>
  <c r="AJ84" i="5"/>
  <c r="AH85" i="5"/>
  <c r="AJ85" i="5"/>
  <c r="AD84" i="5"/>
  <c r="AF84" i="5"/>
  <c r="AD85" i="5"/>
  <c r="AF85" i="5"/>
  <c r="Z85" i="5"/>
  <c r="AB85" i="5"/>
  <c r="Z84" i="5"/>
  <c r="AB84" i="5"/>
  <c r="V84" i="5"/>
  <c r="X84" i="5"/>
  <c r="V85" i="5"/>
  <c r="X85" i="5"/>
  <c r="R85" i="5"/>
  <c r="T85" i="5"/>
  <c r="R84" i="5"/>
  <c r="T84" i="5"/>
  <c r="N85" i="5"/>
  <c r="P85" i="5"/>
  <c r="N84" i="5"/>
  <c r="P84" i="5"/>
  <c r="J85" i="5"/>
  <c r="L85" i="5"/>
  <c r="J84" i="5"/>
  <c r="L84" i="5"/>
  <c r="F85" i="5"/>
  <c r="H85" i="5"/>
  <c r="F84" i="5"/>
  <c r="H84" i="5"/>
  <c r="K181" i="9"/>
  <c r="M110" i="9"/>
  <c r="K41" i="9"/>
  <c r="V41" i="2"/>
  <c r="O41" i="9" s="1"/>
  <c r="M40" i="9"/>
  <c r="K40" i="2"/>
  <c r="D39" i="9"/>
  <c r="M40" i="2"/>
  <c r="L40" i="2"/>
  <c r="K111" i="9"/>
  <c r="N40" i="2"/>
  <c r="J40" i="2"/>
  <c r="O40" i="2"/>
  <c r="O180" i="9"/>
  <c r="O110" i="9"/>
  <c r="AL84" i="5"/>
  <c r="D84" i="5"/>
  <c r="B84" i="5"/>
  <c r="A86" i="5" a="1"/>
  <c r="A86" i="5" s="1"/>
  <c r="AT25" i="10"/>
  <c r="L42" i="9"/>
  <c r="I43" i="2"/>
  <c r="L112" i="9"/>
  <c r="L182" i="9"/>
  <c r="D109" i="9" a="1"/>
  <c r="D109" i="9" s="1"/>
  <c r="F109" i="9" s="1"/>
  <c r="G109" i="9" s="1"/>
  <c r="J109" i="9"/>
  <c r="B109" i="9"/>
  <c r="I109" i="9" a="1"/>
  <c r="I109" i="9" s="1"/>
  <c r="Q109" i="9"/>
  <c r="P109" i="9" s="1"/>
  <c r="H109" i="9"/>
  <c r="E109" i="9" s="1"/>
  <c r="N109" i="9"/>
  <c r="M109" i="9" a="1"/>
  <c r="M109" i="9" s="1"/>
  <c r="A87" i="5" a="1"/>
  <c r="A87" i="5" s="1"/>
  <c r="AL85" i="5"/>
  <c r="D85" i="5"/>
  <c r="B85" i="5"/>
  <c r="N38" i="9"/>
  <c r="Q38" i="9" s="1"/>
  <c r="P38" i="9" s="1"/>
  <c r="F38" i="9"/>
  <c r="G38" i="9" s="1"/>
  <c r="J38" i="9"/>
  <c r="O41" i="2" a="1"/>
  <c r="N41" i="2" a="1"/>
  <c r="I110" i="9" a="1"/>
  <c r="T42" i="2"/>
  <c r="L41" i="2" a="1"/>
  <c r="D40" i="9" a="1"/>
  <c r="I40" i="9" a="1"/>
  <c r="Q42" i="2"/>
  <c r="M41" i="2" a="1"/>
  <c r="M41" i="9" a="1"/>
  <c r="R42" i="2"/>
  <c r="P42" i="2"/>
  <c r="J41" i="2" a="1"/>
  <c r="S42" i="2"/>
  <c r="K41" i="2" a="1"/>
  <c r="D110" i="9" a="1"/>
  <c r="U42" i="2"/>
  <c r="AH87" i="5" l="1"/>
  <c r="AJ87" i="5"/>
  <c r="AH86" i="5"/>
  <c r="AJ86" i="5"/>
  <c r="AD87" i="5"/>
  <c r="AF87" i="5"/>
  <c r="AD86" i="5"/>
  <c r="AF86" i="5"/>
  <c r="Z86" i="5"/>
  <c r="AB86" i="5"/>
  <c r="Z87" i="5"/>
  <c r="AB87" i="5"/>
  <c r="V86" i="5"/>
  <c r="X86" i="5"/>
  <c r="V87" i="5"/>
  <c r="X87" i="5"/>
  <c r="R86" i="5"/>
  <c r="T86" i="5"/>
  <c r="R87" i="5"/>
  <c r="T87" i="5"/>
  <c r="N87" i="5"/>
  <c r="P87" i="5"/>
  <c r="N86" i="5"/>
  <c r="P86" i="5"/>
  <c r="J86" i="5"/>
  <c r="L86" i="5"/>
  <c r="J87" i="5"/>
  <c r="L87" i="5"/>
  <c r="F87" i="5"/>
  <c r="H87" i="5"/>
  <c r="F86" i="5"/>
  <c r="H86" i="5"/>
  <c r="BA25" i="10"/>
  <c r="D110" i="9"/>
  <c r="K41" i="2"/>
  <c r="J41" i="2"/>
  <c r="K42" i="9"/>
  <c r="V42" i="2"/>
  <c r="O42" i="9" s="1"/>
  <c r="K182" i="9"/>
  <c r="M41" i="9"/>
  <c r="M41" i="2"/>
  <c r="K112" i="9"/>
  <c r="I40" i="9"/>
  <c r="D40" i="9"/>
  <c r="L41" i="2"/>
  <c r="I110" i="9"/>
  <c r="N41" i="2"/>
  <c r="O41" i="2"/>
  <c r="L43" i="9"/>
  <c r="I44" i="2"/>
  <c r="L183" i="9"/>
  <c r="L113" i="9"/>
  <c r="O181" i="9"/>
  <c r="O111" i="9"/>
  <c r="I41" i="9" a="1"/>
  <c r="I41" i="9" s="1"/>
  <c r="A89" i="5" a="1"/>
  <c r="A89" i="5" s="1"/>
  <c r="AL87" i="5"/>
  <c r="D87" i="5"/>
  <c r="B87" i="5"/>
  <c r="A88" i="5" a="1"/>
  <c r="A88" i="5" s="1"/>
  <c r="AL86" i="5"/>
  <c r="D86" i="5"/>
  <c r="B86" i="5"/>
  <c r="N39" i="9"/>
  <c r="Q39" i="9" s="1"/>
  <c r="P39" i="9" s="1"/>
  <c r="F39" i="9"/>
  <c r="G39" i="9" s="1"/>
  <c r="J39" i="9"/>
  <c r="O42" i="2" a="1"/>
  <c r="U43" i="2"/>
  <c r="L42" i="2" a="1"/>
  <c r="N42" i="2" a="1"/>
  <c r="T43" i="2"/>
  <c r="S43" i="2"/>
  <c r="M42" i="2" a="1"/>
  <c r="R43" i="2"/>
  <c r="D41" i="9" a="1"/>
  <c r="P43" i="2"/>
  <c r="M42" i="9" a="1"/>
  <c r="K42" i="2" a="1"/>
  <c r="Q43" i="2"/>
  <c r="J42" i="2" a="1"/>
  <c r="AH89" i="5" l="1"/>
  <c r="AJ89" i="5"/>
  <c r="AH88" i="5"/>
  <c r="AJ88" i="5"/>
  <c r="AD88" i="5"/>
  <c r="AF88" i="5"/>
  <c r="AD89" i="5"/>
  <c r="AF89" i="5"/>
  <c r="Z89" i="5"/>
  <c r="AB89" i="5"/>
  <c r="Z88" i="5"/>
  <c r="AB88" i="5"/>
  <c r="V88" i="5"/>
  <c r="X88" i="5"/>
  <c r="V89" i="5"/>
  <c r="X89" i="5"/>
  <c r="R88" i="5"/>
  <c r="T88" i="5"/>
  <c r="R89" i="5"/>
  <c r="T89" i="5"/>
  <c r="N89" i="5"/>
  <c r="P89" i="5"/>
  <c r="N88" i="5"/>
  <c r="P88" i="5"/>
  <c r="J89" i="5"/>
  <c r="L89" i="5"/>
  <c r="J88" i="5"/>
  <c r="L88" i="5"/>
  <c r="F88" i="5"/>
  <c r="H88" i="5"/>
  <c r="F89" i="5"/>
  <c r="H89" i="5"/>
  <c r="J42" i="2"/>
  <c r="K113" i="9"/>
  <c r="K42" i="2"/>
  <c r="M42" i="9"/>
  <c r="K43" i="9"/>
  <c r="V43" i="2"/>
  <c r="O43" i="9" s="1"/>
  <c r="D41" i="9"/>
  <c r="K183" i="9"/>
  <c r="M42" i="2"/>
  <c r="N42" i="2"/>
  <c r="L42" i="2"/>
  <c r="O42" i="2"/>
  <c r="D89" i="5"/>
  <c r="B89" i="5"/>
  <c r="A91" i="5" a="1"/>
  <c r="A91" i="5" s="1"/>
  <c r="AL89" i="5"/>
  <c r="F40" i="9"/>
  <c r="G40" i="9" s="1"/>
  <c r="N40" i="9"/>
  <c r="Q40" i="9" s="1"/>
  <c r="P40" i="9" s="1"/>
  <c r="J40" i="9"/>
  <c r="L44" i="9"/>
  <c r="I45" i="2"/>
  <c r="L184" i="9"/>
  <c r="L114" i="9"/>
  <c r="O112" i="9"/>
  <c r="O182" i="9"/>
  <c r="I42" i="9" a="1"/>
  <c r="I42" i="9" s="1"/>
  <c r="AT33" i="10"/>
  <c r="B88" i="5"/>
  <c r="A90" i="5" a="1"/>
  <c r="A90" i="5" s="1"/>
  <c r="AL88" i="5"/>
  <c r="D88" i="5"/>
  <c r="F110" i="9"/>
  <c r="G110" i="9" s="1"/>
  <c r="J110" i="9"/>
  <c r="N110" i="9"/>
  <c r="Q110" i="9" s="1"/>
  <c r="P110" i="9" s="1"/>
  <c r="D42" i="9" a="1"/>
  <c r="O43" i="2" a="1"/>
  <c r="Q44" i="2"/>
  <c r="P44" i="2"/>
  <c r="K43" i="2" a="1"/>
  <c r="L43" i="2" a="1"/>
  <c r="U44" i="2"/>
  <c r="M43" i="2" a="1"/>
  <c r="T44" i="2"/>
  <c r="M43" i="9" a="1"/>
  <c r="N43" i="2" a="1"/>
  <c r="S44" i="2"/>
  <c r="J43" i="2" a="1"/>
  <c r="R44" i="2"/>
  <c r="AH91" i="5" l="1"/>
  <c r="AJ91" i="5"/>
  <c r="AH90" i="5"/>
  <c r="AJ90" i="5"/>
  <c r="AD91" i="5"/>
  <c r="AF91" i="5"/>
  <c r="AD90" i="5"/>
  <c r="AF90" i="5"/>
  <c r="Z90" i="5"/>
  <c r="AB90" i="5"/>
  <c r="Z91" i="5"/>
  <c r="AB91" i="5"/>
  <c r="V91" i="5"/>
  <c r="X91" i="5"/>
  <c r="V90" i="5"/>
  <c r="X90" i="5"/>
  <c r="R90" i="5"/>
  <c r="T90" i="5"/>
  <c r="R91" i="5"/>
  <c r="T91" i="5"/>
  <c r="N90" i="5"/>
  <c r="P90" i="5"/>
  <c r="N91" i="5"/>
  <c r="P91" i="5"/>
  <c r="J90" i="5"/>
  <c r="L90" i="5"/>
  <c r="J91" i="5"/>
  <c r="L91" i="5"/>
  <c r="F90" i="5"/>
  <c r="H90" i="5"/>
  <c r="F91" i="5"/>
  <c r="H91" i="5"/>
  <c r="BA33" i="10"/>
  <c r="K184" i="9"/>
  <c r="J43" i="2"/>
  <c r="N43" i="2"/>
  <c r="M43" i="9"/>
  <c r="M43" i="2"/>
  <c r="L43" i="2"/>
  <c r="K43" i="2"/>
  <c r="K44" i="9"/>
  <c r="V44" i="2"/>
  <c r="O44" i="9" s="1"/>
  <c r="K114" i="9"/>
  <c r="O43" i="2"/>
  <c r="D42" i="9"/>
  <c r="AL90" i="5"/>
  <c r="D90" i="5"/>
  <c r="B90" i="5"/>
  <c r="A92" i="5" a="1"/>
  <c r="A92" i="5" s="1"/>
  <c r="O183" i="9"/>
  <c r="O113" i="9"/>
  <c r="I43" i="9" a="1"/>
  <c r="I43" i="9" s="1"/>
  <c r="I46" i="2"/>
  <c r="L185" i="9"/>
  <c r="L115" i="9"/>
  <c r="L45" i="9"/>
  <c r="AL91" i="5"/>
  <c r="D91" i="5"/>
  <c r="B91" i="5"/>
  <c r="A93" i="5" a="1"/>
  <c r="A93" i="5" s="1"/>
  <c r="J41" i="9"/>
  <c r="N41" i="9"/>
  <c r="Q41" i="9" s="1"/>
  <c r="P41" i="9" s="1"/>
  <c r="F41" i="9"/>
  <c r="G41" i="9" s="1"/>
  <c r="O44" i="2" a="1"/>
  <c r="L44" i="2" a="1"/>
  <c r="S45" i="2"/>
  <c r="D43" i="9" a="1"/>
  <c r="M44" i="2" a="1"/>
  <c r="M44" i="9" a="1"/>
  <c r="U45" i="2"/>
  <c r="J44" i="2" a="1"/>
  <c r="T45" i="2"/>
  <c r="R45" i="2"/>
  <c r="N44" i="2" a="1"/>
  <c r="Q45" i="2"/>
  <c r="K44" i="2" a="1"/>
  <c r="P45" i="2"/>
  <c r="AH93" i="5" l="1"/>
  <c r="AJ93" i="5"/>
  <c r="AH92" i="5"/>
  <c r="AJ92" i="5"/>
  <c r="AD93" i="5"/>
  <c r="AF93" i="5"/>
  <c r="AD92" i="5"/>
  <c r="AF92" i="5"/>
  <c r="Z92" i="5"/>
  <c r="AB92" i="5"/>
  <c r="Z93" i="5"/>
  <c r="AB93" i="5"/>
  <c r="V93" i="5"/>
  <c r="X93" i="5"/>
  <c r="V92" i="5"/>
  <c r="X92" i="5"/>
  <c r="R93" i="5"/>
  <c r="T93" i="5"/>
  <c r="R92" i="5"/>
  <c r="T92" i="5"/>
  <c r="N92" i="5"/>
  <c r="P92" i="5"/>
  <c r="N93" i="5"/>
  <c r="P93" i="5"/>
  <c r="J92" i="5"/>
  <c r="L92" i="5"/>
  <c r="J93" i="5"/>
  <c r="L93" i="5"/>
  <c r="F93" i="5"/>
  <c r="H93" i="5"/>
  <c r="F92" i="5"/>
  <c r="H92" i="5"/>
  <c r="K45" i="9"/>
  <c r="V45" i="2"/>
  <c r="O45" i="9" s="1"/>
  <c r="K44" i="2"/>
  <c r="K115" i="9"/>
  <c r="N44" i="2"/>
  <c r="K185" i="9"/>
  <c r="J44" i="2"/>
  <c r="M44" i="9"/>
  <c r="M44" i="2"/>
  <c r="D43" i="9"/>
  <c r="L44" i="2"/>
  <c r="O44" i="2"/>
  <c r="AT41" i="10"/>
  <c r="AL92" i="5"/>
  <c r="D92" i="5"/>
  <c r="B92" i="5"/>
  <c r="A94" i="5" a="1"/>
  <c r="A94" i="5" s="1"/>
  <c r="A95" i="5" a="1"/>
  <c r="A95" i="5" s="1"/>
  <c r="AL93" i="5"/>
  <c r="D93" i="5"/>
  <c r="B93" i="5"/>
  <c r="O184" i="9"/>
  <c r="O114" i="9"/>
  <c r="I44" i="9" a="1"/>
  <c r="I44" i="9" s="1"/>
  <c r="F42" i="9"/>
  <c r="G42" i="9" s="1"/>
  <c r="N42" i="9"/>
  <c r="Q42" i="9" s="1"/>
  <c r="P42" i="9" s="1"/>
  <c r="J42" i="9"/>
  <c r="L46" i="9"/>
  <c r="I47" i="2"/>
  <c r="L116" i="9"/>
  <c r="L186" i="9"/>
  <c r="M45" i="9" a="1"/>
  <c r="L45" i="2" a="1"/>
  <c r="N45" i="2" a="1"/>
  <c r="J45" i="2" a="1"/>
  <c r="D44" i="9" a="1"/>
  <c r="Q46" i="2"/>
  <c r="O45" i="2" a="1"/>
  <c r="P46" i="2"/>
  <c r="U46" i="2"/>
  <c r="T46" i="2"/>
  <c r="S46" i="2"/>
  <c r="K45" i="2" a="1"/>
  <c r="R46" i="2"/>
  <c r="M45" i="2" a="1"/>
  <c r="AH95" i="5" l="1"/>
  <c r="AJ95" i="5"/>
  <c r="AH94" i="5"/>
  <c r="AJ94" i="5"/>
  <c r="AD95" i="5"/>
  <c r="AF95" i="5"/>
  <c r="AD94" i="5"/>
  <c r="AF94" i="5"/>
  <c r="Z95" i="5"/>
  <c r="AB95" i="5"/>
  <c r="Z94" i="5"/>
  <c r="AB94" i="5"/>
  <c r="V95" i="5"/>
  <c r="X95" i="5"/>
  <c r="V94" i="5"/>
  <c r="X94" i="5"/>
  <c r="R94" i="5"/>
  <c r="T94" i="5"/>
  <c r="R95" i="5"/>
  <c r="T95" i="5"/>
  <c r="N95" i="5"/>
  <c r="P95" i="5"/>
  <c r="N94" i="5"/>
  <c r="P94" i="5"/>
  <c r="J95" i="5"/>
  <c r="L95" i="5"/>
  <c r="J94" i="5"/>
  <c r="L94" i="5"/>
  <c r="F95" i="5"/>
  <c r="H95" i="5"/>
  <c r="F94" i="5"/>
  <c r="H94" i="5"/>
  <c r="BA41" i="10"/>
  <c r="M45" i="2"/>
  <c r="K186" i="9"/>
  <c r="K45" i="2"/>
  <c r="K46" i="9"/>
  <c r="V46" i="2"/>
  <c r="O46" i="9" s="1"/>
  <c r="O45" i="2"/>
  <c r="K116" i="9"/>
  <c r="D44" i="9"/>
  <c r="J45" i="2"/>
  <c r="N45" i="2"/>
  <c r="L45" i="2"/>
  <c r="M45" i="9"/>
  <c r="N43" i="9"/>
  <c r="Q43" i="9" s="1"/>
  <c r="P43" i="9" s="1"/>
  <c r="F43" i="9"/>
  <c r="G43" i="9" s="1"/>
  <c r="J43" i="9"/>
  <c r="A96" i="5" a="1"/>
  <c r="A96" i="5" s="1"/>
  <c r="AL94" i="5"/>
  <c r="D94" i="5"/>
  <c r="B94" i="5"/>
  <c r="I48" i="2"/>
  <c r="L117" i="9"/>
  <c r="L47" i="9"/>
  <c r="L187" i="9"/>
  <c r="A97" i="5" a="1"/>
  <c r="A97" i="5" s="1"/>
  <c r="AL95" i="5"/>
  <c r="D95" i="5"/>
  <c r="B95" i="5"/>
  <c r="O185" i="9"/>
  <c r="O115" i="9"/>
  <c r="I45" i="9" a="1"/>
  <c r="I45" i="9" s="1"/>
  <c r="S47" i="2"/>
  <c r="J46" i="2" a="1"/>
  <c r="R47" i="2"/>
  <c r="L46" i="2" a="1"/>
  <c r="U47" i="2"/>
  <c r="M46" i="2" a="1"/>
  <c r="K46" i="2" a="1"/>
  <c r="T47" i="2"/>
  <c r="N46" i="2" a="1"/>
  <c r="Q47" i="2"/>
  <c r="O46" i="2" a="1"/>
  <c r="D45" i="9" a="1"/>
  <c r="P47" i="2"/>
  <c r="M46" i="9" a="1"/>
  <c r="AH97" i="5" l="1"/>
  <c r="AJ97" i="5"/>
  <c r="AH96" i="5"/>
  <c r="AJ96" i="5"/>
  <c r="AD97" i="5"/>
  <c r="AF97" i="5"/>
  <c r="AD96" i="5"/>
  <c r="AF96" i="5"/>
  <c r="Z97" i="5"/>
  <c r="AB97" i="5"/>
  <c r="Z96" i="5"/>
  <c r="AB96" i="5"/>
  <c r="V96" i="5"/>
  <c r="X96" i="5"/>
  <c r="V97" i="5"/>
  <c r="X97" i="5"/>
  <c r="R97" i="5"/>
  <c r="T97" i="5"/>
  <c r="R96" i="5"/>
  <c r="T96" i="5"/>
  <c r="N97" i="5"/>
  <c r="P97" i="5"/>
  <c r="N96" i="5"/>
  <c r="P96" i="5"/>
  <c r="J96" i="5"/>
  <c r="L96" i="5"/>
  <c r="J97" i="5"/>
  <c r="L97" i="5"/>
  <c r="F96" i="5"/>
  <c r="H96" i="5"/>
  <c r="F97" i="5"/>
  <c r="H97" i="5"/>
  <c r="M46" i="9"/>
  <c r="K47" i="9"/>
  <c r="V47" i="2"/>
  <c r="O47" i="9" s="1"/>
  <c r="D45" i="9"/>
  <c r="O46" i="2"/>
  <c r="K117" i="9"/>
  <c r="N46" i="2"/>
  <c r="K46" i="2"/>
  <c r="M46" i="2"/>
  <c r="L46" i="2"/>
  <c r="K187" i="9"/>
  <c r="J46" i="2"/>
  <c r="I49" i="2"/>
  <c r="L188" i="9"/>
  <c r="L48" i="9"/>
  <c r="L118" i="9"/>
  <c r="B96" i="5"/>
  <c r="A98" i="5" a="1"/>
  <c r="A98" i="5" s="1"/>
  <c r="AL96" i="5"/>
  <c r="D96" i="5"/>
  <c r="D97" i="5"/>
  <c r="B97" i="5"/>
  <c r="A99" i="5" a="1"/>
  <c r="A99" i="5" s="1"/>
  <c r="AL97" i="5"/>
  <c r="F44" i="9"/>
  <c r="G44" i="9" s="1"/>
  <c r="N44" i="9"/>
  <c r="Q44" i="9" s="1"/>
  <c r="P44" i="9" s="1"/>
  <c r="J44" i="9"/>
  <c r="BI1" i="10"/>
  <c r="O186" i="9"/>
  <c r="O116" i="9"/>
  <c r="I46" i="9" a="1"/>
  <c r="I46" i="9" s="1"/>
  <c r="D46" i="9" a="1"/>
  <c r="T48" i="2"/>
  <c r="M47" i="9" a="1"/>
  <c r="N47" i="2" a="1"/>
  <c r="M47" i="2" a="1"/>
  <c r="J47" i="2" a="1"/>
  <c r="R48" i="2"/>
  <c r="O47" i="2" a="1"/>
  <c r="Q48" i="2"/>
  <c r="P48" i="2"/>
  <c r="U48" i="2"/>
  <c r="K47" i="2" a="1"/>
  <c r="L47" i="2" a="1"/>
  <c r="S48" i="2"/>
  <c r="AH98" i="5" l="1"/>
  <c r="AJ98" i="5"/>
  <c r="AH99" i="5"/>
  <c r="AJ99" i="5"/>
  <c r="AD99" i="5"/>
  <c r="AF99" i="5"/>
  <c r="AD98" i="5"/>
  <c r="AF98" i="5"/>
  <c r="Z99" i="5"/>
  <c r="AB99" i="5"/>
  <c r="Z98" i="5"/>
  <c r="AB98" i="5"/>
  <c r="V99" i="5"/>
  <c r="X99" i="5"/>
  <c r="V98" i="5"/>
  <c r="X98" i="5"/>
  <c r="R99" i="5"/>
  <c r="T99" i="5"/>
  <c r="R98" i="5"/>
  <c r="T98" i="5"/>
  <c r="N99" i="5"/>
  <c r="P99" i="5"/>
  <c r="N98" i="5"/>
  <c r="P98" i="5"/>
  <c r="J99" i="5"/>
  <c r="L99" i="5"/>
  <c r="J98" i="5"/>
  <c r="L98" i="5"/>
  <c r="F98" i="5"/>
  <c r="H98" i="5"/>
  <c r="F99" i="5"/>
  <c r="H99" i="5"/>
  <c r="L47" i="2"/>
  <c r="K47" i="2"/>
  <c r="K48" i="9"/>
  <c r="M48" i="9" s="1" a="1"/>
  <c r="M48" i="9" s="1"/>
  <c r="V48" i="2"/>
  <c r="O48" i="9" s="1"/>
  <c r="K118" i="9"/>
  <c r="O47" i="2"/>
  <c r="K188" i="9"/>
  <c r="J47" i="2"/>
  <c r="M47" i="2"/>
  <c r="N47" i="2"/>
  <c r="M47" i="9"/>
  <c r="D46" i="9"/>
  <c r="AL99" i="5"/>
  <c r="D99" i="5"/>
  <c r="B99" i="5"/>
  <c r="A101" i="5" a="1"/>
  <c r="A101" i="5" s="1"/>
  <c r="AL98" i="5"/>
  <c r="D98" i="5"/>
  <c r="B98" i="5"/>
  <c r="A100" i="5" a="1"/>
  <c r="A100" i="5" s="1"/>
  <c r="F45" i="9"/>
  <c r="G45" i="9" s="1"/>
  <c r="J45" i="9"/>
  <c r="N45" i="9"/>
  <c r="Q45" i="9" s="1"/>
  <c r="P45" i="9" s="1"/>
  <c r="O187" i="9"/>
  <c r="O117" i="9"/>
  <c r="I47" i="9" a="1"/>
  <c r="I47" i="9" s="1"/>
  <c r="I50" i="2"/>
  <c r="L49" i="9"/>
  <c r="L189" i="9"/>
  <c r="L119" i="9"/>
  <c r="M48" i="2" a="1"/>
  <c r="K48" i="2" a="1"/>
  <c r="N48" i="2" a="1"/>
  <c r="U49" i="2"/>
  <c r="T49" i="2"/>
  <c r="P49" i="2"/>
  <c r="O48" i="2" a="1"/>
  <c r="L48" i="2" a="1"/>
  <c r="D47" i="9" a="1"/>
  <c r="S49" i="2"/>
  <c r="J48" i="2" a="1"/>
  <c r="R49" i="2"/>
  <c r="Q49" i="2"/>
  <c r="AH101" i="5" l="1"/>
  <c r="AJ101" i="5"/>
  <c r="AH100" i="5"/>
  <c r="AJ100" i="5"/>
  <c r="AD101" i="5"/>
  <c r="AF101" i="5"/>
  <c r="AD100" i="5"/>
  <c r="AF100" i="5"/>
  <c r="Z101" i="5"/>
  <c r="AB101" i="5"/>
  <c r="Z100" i="5"/>
  <c r="AB100" i="5"/>
  <c r="V101" i="5"/>
  <c r="X101" i="5"/>
  <c r="V100" i="5"/>
  <c r="X100" i="5"/>
  <c r="R101" i="5"/>
  <c r="T101" i="5"/>
  <c r="R100" i="5"/>
  <c r="T100" i="5"/>
  <c r="N101" i="5"/>
  <c r="P101" i="5"/>
  <c r="N100" i="5"/>
  <c r="P100" i="5"/>
  <c r="J101" i="5"/>
  <c r="L101" i="5"/>
  <c r="J100" i="5"/>
  <c r="L100" i="5"/>
  <c r="F101" i="5"/>
  <c r="H101" i="5"/>
  <c r="F100" i="5"/>
  <c r="H100" i="5"/>
  <c r="K119" i="9"/>
  <c r="K189" i="9"/>
  <c r="J48" i="2"/>
  <c r="D47" i="9"/>
  <c r="L48" i="2"/>
  <c r="O48" i="2"/>
  <c r="K49" i="9"/>
  <c r="V49" i="2"/>
  <c r="O49" i="9" s="1"/>
  <c r="N48" i="2"/>
  <c r="K48" i="2"/>
  <c r="M48" i="2"/>
  <c r="AL100" i="5"/>
  <c r="D100" i="5"/>
  <c r="B100" i="5"/>
  <c r="A102" i="5" a="1"/>
  <c r="A102" i="5" s="1"/>
  <c r="A103" i="5" a="1"/>
  <c r="A103" i="5" s="1"/>
  <c r="AL101" i="5"/>
  <c r="D101" i="5"/>
  <c r="B101" i="5"/>
  <c r="O188" i="9"/>
  <c r="O118" i="9"/>
  <c r="I48" i="9" a="1"/>
  <c r="I48" i="9" s="1"/>
  <c r="E48" i="9" s="1"/>
  <c r="BI9" i="10"/>
  <c r="I51" i="2"/>
  <c r="J46" i="9"/>
  <c r="F46" i="9"/>
  <c r="G46" i="9" s="1"/>
  <c r="N46" i="9"/>
  <c r="Q46" i="9" s="1"/>
  <c r="P46" i="9" s="1"/>
  <c r="T50" i="2"/>
  <c r="K49" i="2" a="1"/>
  <c r="M49" i="9" a="1"/>
  <c r="S50" i="2"/>
  <c r="L49" i="2" a="1"/>
  <c r="J49" i="2" a="1"/>
  <c r="N49" i="2" a="1"/>
  <c r="R50" i="2"/>
  <c r="M49" i="2" a="1"/>
  <c r="O49" i="2" a="1"/>
  <c r="D48" i="9" a="1"/>
  <c r="Q50" i="2"/>
  <c r="P50" i="2"/>
  <c r="U50" i="2"/>
  <c r="AH102" i="5" l="1"/>
  <c r="AJ102" i="5"/>
  <c r="AH103" i="5"/>
  <c r="AJ103" i="5"/>
  <c r="AD103" i="5"/>
  <c r="AF103" i="5"/>
  <c r="AD102" i="5"/>
  <c r="AF102" i="5"/>
  <c r="Z103" i="5"/>
  <c r="AB103" i="5"/>
  <c r="Z102" i="5"/>
  <c r="AB102" i="5"/>
  <c r="V102" i="5"/>
  <c r="X102" i="5"/>
  <c r="V103" i="5"/>
  <c r="X103" i="5"/>
  <c r="R103" i="5"/>
  <c r="T103" i="5"/>
  <c r="R102" i="5"/>
  <c r="T102" i="5"/>
  <c r="N102" i="5"/>
  <c r="P102" i="5"/>
  <c r="N103" i="5"/>
  <c r="P103" i="5"/>
  <c r="J103" i="5"/>
  <c r="L103" i="5"/>
  <c r="J102" i="5"/>
  <c r="L102" i="5"/>
  <c r="F102" i="5"/>
  <c r="H102" i="5"/>
  <c r="F103" i="5"/>
  <c r="H103" i="5"/>
  <c r="BP9" i="10"/>
  <c r="K50" i="9"/>
  <c r="V50" i="2"/>
  <c r="O50" i="9" s="1"/>
  <c r="K120" i="9"/>
  <c r="D48" i="9"/>
  <c r="O49" i="2"/>
  <c r="M49" i="2"/>
  <c r="K190" i="9"/>
  <c r="N49" i="2"/>
  <c r="J49" i="2"/>
  <c r="L49" i="2"/>
  <c r="M49" i="9"/>
  <c r="K49" i="2"/>
  <c r="A105" i="5" a="1"/>
  <c r="A105" i="5" s="1"/>
  <c r="AL103" i="5"/>
  <c r="D103" i="5"/>
  <c r="B103" i="5"/>
  <c r="F47" i="9"/>
  <c r="G47" i="9" s="1"/>
  <c r="N47" i="9"/>
  <c r="Q47" i="9" s="1"/>
  <c r="P47" i="9" s="1"/>
  <c r="J47" i="9"/>
  <c r="A104" i="5" a="1"/>
  <c r="A104" i="5" s="1"/>
  <c r="AL102" i="5"/>
  <c r="D102" i="5"/>
  <c r="B102" i="5"/>
  <c r="I52" i="2"/>
  <c r="L121" i="9"/>
  <c r="L51" i="9"/>
  <c r="L191" i="9"/>
  <c r="O189" i="9"/>
  <c r="O119" i="9"/>
  <c r="I49" i="9" a="1"/>
  <c r="I49" i="9" s="1"/>
  <c r="O50" i="2" a="1"/>
  <c r="R51" i="2"/>
  <c r="N50" i="2" a="1"/>
  <c r="P51" i="2"/>
  <c r="J50" i="2" a="1"/>
  <c r="L50" i="2" a="1"/>
  <c r="U51" i="2"/>
  <c r="D49" i="9" a="1"/>
  <c r="T51" i="2"/>
  <c r="Q51" i="2"/>
  <c r="K50" i="2" a="1"/>
  <c r="M50" i="2" a="1"/>
  <c r="S51" i="2"/>
  <c r="AH105" i="5" l="1"/>
  <c r="AJ105" i="5"/>
  <c r="AH104" i="5"/>
  <c r="AJ104" i="5"/>
  <c r="AD104" i="5"/>
  <c r="AF104" i="5"/>
  <c r="AD105" i="5"/>
  <c r="AF105" i="5"/>
  <c r="Z105" i="5"/>
  <c r="AB105" i="5"/>
  <c r="Z104" i="5"/>
  <c r="AB104" i="5"/>
  <c r="V104" i="5"/>
  <c r="X104" i="5"/>
  <c r="V105" i="5"/>
  <c r="X105" i="5"/>
  <c r="R105" i="5"/>
  <c r="T105" i="5"/>
  <c r="R104" i="5"/>
  <c r="T104" i="5"/>
  <c r="N104" i="5"/>
  <c r="P104" i="5"/>
  <c r="N105" i="5"/>
  <c r="P105" i="5"/>
  <c r="J105" i="5"/>
  <c r="L105" i="5"/>
  <c r="J104" i="5"/>
  <c r="L104" i="5"/>
  <c r="F105" i="5"/>
  <c r="H105" i="5"/>
  <c r="F104" i="5"/>
  <c r="H104" i="5"/>
  <c r="M50" i="2"/>
  <c r="K50" i="2"/>
  <c r="K121" i="9"/>
  <c r="D49" i="9"/>
  <c r="L50" i="2"/>
  <c r="J50" i="2"/>
  <c r="K51" i="9"/>
  <c r="V51" i="2"/>
  <c r="O51" i="9" s="1"/>
  <c r="N50" i="2"/>
  <c r="K191" i="9"/>
  <c r="O50" i="2"/>
  <c r="J48" i="9"/>
  <c r="N48" i="9"/>
  <c r="Q48" i="9" s="1"/>
  <c r="P48" i="9" s="1"/>
  <c r="F48" i="9"/>
  <c r="G48" i="9" s="1"/>
  <c r="I53" i="2"/>
  <c r="B104" i="5"/>
  <c r="A106" i="5" a="1"/>
  <c r="A106" i="5" s="1"/>
  <c r="AL104" i="5"/>
  <c r="D104" i="5"/>
  <c r="O190" i="9"/>
  <c r="O120" i="9"/>
  <c r="D105" i="5"/>
  <c r="B105" i="5"/>
  <c r="A107" i="5" a="1"/>
  <c r="A107" i="5" s="1"/>
  <c r="AL105" i="5"/>
  <c r="BI17" i="10"/>
  <c r="M51" i="2" a="1"/>
  <c r="R52" i="2"/>
  <c r="M51" i="9" a="1"/>
  <c r="Q52" i="2"/>
  <c r="P52" i="2"/>
  <c r="K51" i="2" a="1"/>
  <c r="J51" i="2" a="1"/>
  <c r="T52" i="2"/>
  <c r="N51" i="2" a="1"/>
  <c r="S52" i="2"/>
  <c r="O51" i="2" a="1"/>
  <c r="L51" i="2" a="1"/>
  <c r="U52" i="2"/>
  <c r="AH107" i="5" l="1"/>
  <c r="AJ107" i="5"/>
  <c r="AH106" i="5"/>
  <c r="AJ106" i="5"/>
  <c r="AD106" i="5"/>
  <c r="AF106" i="5"/>
  <c r="AD107" i="5"/>
  <c r="AF107" i="5"/>
  <c r="Z106" i="5"/>
  <c r="AB106" i="5"/>
  <c r="Z107" i="5"/>
  <c r="AB107" i="5"/>
  <c r="V106" i="5"/>
  <c r="X106" i="5"/>
  <c r="V107" i="5"/>
  <c r="X107" i="5"/>
  <c r="R107" i="5"/>
  <c r="T107" i="5"/>
  <c r="R106" i="5"/>
  <c r="T106" i="5"/>
  <c r="N107" i="5"/>
  <c r="P107" i="5"/>
  <c r="N106" i="5"/>
  <c r="P106" i="5"/>
  <c r="J106" i="5"/>
  <c r="L106" i="5"/>
  <c r="J107" i="5"/>
  <c r="L107" i="5"/>
  <c r="F106" i="5"/>
  <c r="H106" i="5"/>
  <c r="F107" i="5"/>
  <c r="H107" i="5"/>
  <c r="BP17" i="10"/>
  <c r="L51" i="2"/>
  <c r="O51" i="2"/>
  <c r="N51" i="2"/>
  <c r="J51" i="2"/>
  <c r="K51" i="2"/>
  <c r="K52" i="9"/>
  <c r="V52" i="2"/>
  <c r="O52" i="9" s="1"/>
  <c r="K122" i="9"/>
  <c r="M51" i="9"/>
  <c r="K192" i="9"/>
  <c r="M51" i="2"/>
  <c r="AL106" i="5"/>
  <c r="D106" i="5"/>
  <c r="B106" i="5"/>
  <c r="A108" i="5" a="1"/>
  <c r="A108" i="5" s="1"/>
  <c r="I54" i="2"/>
  <c r="L193" i="9"/>
  <c r="L53" i="9"/>
  <c r="L123" i="9"/>
  <c r="N49" i="9"/>
  <c r="Q49" i="9" s="1"/>
  <c r="P49" i="9" s="1"/>
  <c r="F49" i="9"/>
  <c r="G49" i="9" s="1"/>
  <c r="J49" i="9"/>
  <c r="O191" i="9"/>
  <c r="O121" i="9"/>
  <c r="I51" i="9" a="1"/>
  <c r="I51" i="9" s="1"/>
  <c r="AL107" i="5"/>
  <c r="D107" i="5"/>
  <c r="B107" i="5"/>
  <c r="A109" i="5" a="1"/>
  <c r="A109" i="5" s="1"/>
  <c r="O52" i="2" a="1"/>
  <c r="U53" i="2"/>
  <c r="J52" i="2" a="1"/>
  <c r="Q53" i="2"/>
  <c r="P53" i="2"/>
  <c r="M52" i="2" a="1"/>
  <c r="R53" i="2"/>
  <c r="S53" i="2"/>
  <c r="K52" i="2" a="1"/>
  <c r="N52" i="2" a="1"/>
  <c r="D51" i="9" a="1"/>
  <c r="T53" i="2"/>
  <c r="L52" i="2" a="1"/>
  <c r="AH108" i="5" l="1"/>
  <c r="AJ108" i="5"/>
  <c r="AH109" i="5"/>
  <c r="AJ109" i="5"/>
  <c r="AD109" i="5"/>
  <c r="AF109" i="5"/>
  <c r="AD108" i="5"/>
  <c r="AF108" i="5"/>
  <c r="Z109" i="5"/>
  <c r="AB109" i="5"/>
  <c r="Z108" i="5"/>
  <c r="AB108" i="5"/>
  <c r="V108" i="5"/>
  <c r="X108" i="5"/>
  <c r="V109" i="5"/>
  <c r="X109" i="5"/>
  <c r="R108" i="5"/>
  <c r="T108" i="5"/>
  <c r="R109" i="5"/>
  <c r="T109" i="5"/>
  <c r="N108" i="5"/>
  <c r="P108" i="5"/>
  <c r="N109" i="5"/>
  <c r="P109" i="5"/>
  <c r="J109" i="5"/>
  <c r="L109" i="5"/>
  <c r="J108" i="5"/>
  <c r="L108" i="5"/>
  <c r="F109" i="5"/>
  <c r="H109" i="5"/>
  <c r="F108" i="5"/>
  <c r="H108" i="5"/>
  <c r="L52" i="2"/>
  <c r="D51" i="9"/>
  <c r="N52" i="2"/>
  <c r="K52" i="2"/>
  <c r="K193" i="9"/>
  <c r="M52" i="2"/>
  <c r="K53" i="9"/>
  <c r="V53" i="2"/>
  <c r="O53" i="9" s="1"/>
  <c r="K123" i="9"/>
  <c r="J52" i="2"/>
  <c r="O52" i="2"/>
  <c r="AL108" i="5"/>
  <c r="D108" i="5"/>
  <c r="B108" i="5"/>
  <c r="A110" i="5" a="1"/>
  <c r="A110" i="5" s="1"/>
  <c r="BI25" i="10"/>
  <c r="O192" i="9"/>
  <c r="O122" i="9"/>
  <c r="A111" i="5" a="1"/>
  <c r="A111" i="5" s="1"/>
  <c r="AL109" i="5"/>
  <c r="D109" i="5"/>
  <c r="B109" i="5"/>
  <c r="L54" i="9"/>
  <c r="I55" i="2"/>
  <c r="L194" i="9"/>
  <c r="L124" i="9"/>
  <c r="P54" i="2"/>
  <c r="N53" i="2" a="1"/>
  <c r="M53" i="9" a="1"/>
  <c r="S54" i="2"/>
  <c r="J53" i="2" a="1"/>
  <c r="U54" i="2"/>
  <c r="T54" i="2"/>
  <c r="M53" i="2" a="1"/>
  <c r="K53" i="2" a="1"/>
  <c r="R54" i="2"/>
  <c r="L53" i="2" a="1"/>
  <c r="O53" i="2" a="1"/>
  <c r="Q54" i="2"/>
  <c r="AH110" i="5" l="1"/>
  <c r="AJ110" i="5"/>
  <c r="AH111" i="5"/>
  <c r="AJ111" i="5"/>
  <c r="AD111" i="5"/>
  <c r="AF111" i="5"/>
  <c r="AD110" i="5"/>
  <c r="AF110" i="5"/>
  <c r="Z111" i="5"/>
  <c r="AB111" i="5"/>
  <c r="Z110" i="5"/>
  <c r="AB110" i="5"/>
  <c r="V110" i="5"/>
  <c r="X110" i="5"/>
  <c r="V111" i="5"/>
  <c r="X111" i="5"/>
  <c r="R110" i="5"/>
  <c r="T110" i="5"/>
  <c r="R111" i="5"/>
  <c r="T111" i="5"/>
  <c r="N110" i="5"/>
  <c r="P110" i="5"/>
  <c r="N111" i="5"/>
  <c r="P111" i="5"/>
  <c r="J111" i="5"/>
  <c r="L111" i="5"/>
  <c r="J110" i="5"/>
  <c r="L110" i="5"/>
  <c r="F110" i="5"/>
  <c r="H110" i="5"/>
  <c r="F111" i="5"/>
  <c r="H111" i="5"/>
  <c r="BP25" i="10"/>
  <c r="K124" i="9"/>
  <c r="O53" i="2"/>
  <c r="L53" i="2"/>
  <c r="K194" i="9"/>
  <c r="K53" i="2"/>
  <c r="M53" i="2"/>
  <c r="J53" i="2"/>
  <c r="M53" i="9"/>
  <c r="N53" i="2"/>
  <c r="K54" i="9"/>
  <c r="V54" i="2"/>
  <c r="O54" i="9" s="1"/>
  <c r="A112" i="5" a="1"/>
  <c r="A112" i="5" s="1"/>
  <c r="AL110" i="5"/>
  <c r="D110" i="5"/>
  <c r="B110" i="5"/>
  <c r="I56" i="2"/>
  <c r="L195" i="9"/>
  <c r="L125" i="9"/>
  <c r="L55" i="9"/>
  <c r="O123" i="9"/>
  <c r="O193" i="9"/>
  <c r="I53" i="9" a="1"/>
  <c r="I53" i="9" s="1"/>
  <c r="N51" i="9"/>
  <c r="Q51" i="9" s="1"/>
  <c r="P51" i="9" s="1"/>
  <c r="J51" i="9"/>
  <c r="F51" i="9"/>
  <c r="G51" i="9" s="1"/>
  <c r="A113" i="5" a="1"/>
  <c r="A113" i="5" s="1"/>
  <c r="AL111" i="5"/>
  <c r="D111" i="5"/>
  <c r="B111" i="5"/>
  <c r="N54" i="2" a="1"/>
  <c r="R55" i="2"/>
  <c r="K54" i="2" a="1"/>
  <c r="O54" i="2" a="1"/>
  <c r="S55" i="2"/>
  <c r="D53" i="9" a="1"/>
  <c r="P55" i="2"/>
  <c r="M54" i="2" a="1"/>
  <c r="Q55" i="2"/>
  <c r="L54" i="2" a="1"/>
  <c r="U55" i="2"/>
  <c r="M54" i="9" a="1"/>
  <c r="T55" i="2"/>
  <c r="J54" i="2" a="1"/>
  <c r="AH112" i="5" l="1"/>
  <c r="AJ112" i="5"/>
  <c r="AH113" i="5"/>
  <c r="AJ113" i="5"/>
  <c r="AD113" i="5"/>
  <c r="AF113" i="5"/>
  <c r="AD112" i="5"/>
  <c r="AF112" i="5"/>
  <c r="Z112" i="5"/>
  <c r="AB112" i="5"/>
  <c r="Z113" i="5"/>
  <c r="AB113" i="5"/>
  <c r="V113" i="5"/>
  <c r="X113" i="5"/>
  <c r="V112" i="5"/>
  <c r="X112" i="5"/>
  <c r="R112" i="5"/>
  <c r="T112" i="5"/>
  <c r="R113" i="5"/>
  <c r="T113" i="5"/>
  <c r="N113" i="5"/>
  <c r="P113" i="5"/>
  <c r="N112" i="5"/>
  <c r="P112" i="5"/>
  <c r="J113" i="5"/>
  <c r="L113" i="5"/>
  <c r="J112" i="5"/>
  <c r="L112" i="5"/>
  <c r="F113" i="5"/>
  <c r="H113" i="5"/>
  <c r="F112" i="5"/>
  <c r="H112" i="5"/>
  <c r="J54" i="2"/>
  <c r="M54" i="9"/>
  <c r="L54" i="2"/>
  <c r="K125" i="9"/>
  <c r="M54" i="2"/>
  <c r="K55" i="9"/>
  <c r="V55" i="2"/>
  <c r="O55" i="9" s="1"/>
  <c r="D53" i="9"/>
  <c r="O54" i="2"/>
  <c r="K54" i="2"/>
  <c r="K195" i="9"/>
  <c r="N54" i="2"/>
  <c r="I57" i="2"/>
  <c r="L196" i="9"/>
  <c r="L126" i="9"/>
  <c r="L56" i="9"/>
  <c r="B112" i="5"/>
  <c r="A114" i="5" a="1"/>
  <c r="A114" i="5" s="1"/>
  <c r="AL112" i="5"/>
  <c r="D112" i="5"/>
  <c r="BI33" i="10"/>
  <c r="D113" i="5"/>
  <c r="B113" i="5"/>
  <c r="A115" i="5" a="1"/>
  <c r="A115" i="5" s="1"/>
  <c r="AL113" i="5"/>
  <c r="O194" i="9"/>
  <c r="O124" i="9"/>
  <c r="I54" i="9" a="1"/>
  <c r="I54" i="9" s="1"/>
  <c r="D54" i="9" a="1"/>
  <c r="M55" i="9" a="1"/>
  <c r="L55" i="2" a="1"/>
  <c r="S56" i="2"/>
  <c r="N55" i="2" a="1"/>
  <c r="J55" i="2" a="1"/>
  <c r="R56" i="2"/>
  <c r="K55" i="2" a="1"/>
  <c r="U56" i="2"/>
  <c r="O55" i="2" a="1"/>
  <c r="Q56" i="2"/>
  <c r="M55" i="2" a="1"/>
  <c r="P56" i="2"/>
  <c r="T56" i="2"/>
  <c r="AH115" i="5" l="1"/>
  <c r="AJ115" i="5"/>
  <c r="AH114" i="5"/>
  <c r="AJ114" i="5"/>
  <c r="AD115" i="5"/>
  <c r="AF115" i="5"/>
  <c r="AD114" i="5"/>
  <c r="AF114" i="5"/>
  <c r="Z115" i="5"/>
  <c r="AB115" i="5"/>
  <c r="Z114" i="5"/>
  <c r="AB114" i="5"/>
  <c r="V115" i="5"/>
  <c r="X115" i="5"/>
  <c r="V114" i="5"/>
  <c r="X114" i="5"/>
  <c r="R114" i="5"/>
  <c r="T114" i="5"/>
  <c r="R115" i="5"/>
  <c r="T115" i="5"/>
  <c r="N115" i="5"/>
  <c r="P115" i="5"/>
  <c r="N114" i="5"/>
  <c r="P114" i="5"/>
  <c r="J114" i="5"/>
  <c r="L114" i="5"/>
  <c r="J115" i="5"/>
  <c r="L115" i="5"/>
  <c r="F115" i="5"/>
  <c r="H115" i="5"/>
  <c r="F114" i="5"/>
  <c r="H114" i="5"/>
  <c r="BP33" i="10"/>
  <c r="K56" i="9"/>
  <c r="V56" i="2"/>
  <c r="O56" i="9" s="1"/>
  <c r="M55" i="2"/>
  <c r="K126" i="9"/>
  <c r="O55" i="2"/>
  <c r="K55" i="2"/>
  <c r="K196" i="9"/>
  <c r="J55" i="2"/>
  <c r="N55" i="2"/>
  <c r="L55" i="2"/>
  <c r="M55" i="9"/>
  <c r="D54" i="9"/>
  <c r="AL115" i="5"/>
  <c r="D115" i="5"/>
  <c r="B115" i="5"/>
  <c r="A117" i="5" a="1"/>
  <c r="A117" i="5" s="1"/>
  <c r="I58" i="2"/>
  <c r="L127" i="9"/>
  <c r="L57" i="9"/>
  <c r="L197" i="9"/>
  <c r="AL114" i="5"/>
  <c r="D114" i="5"/>
  <c r="B114" i="5"/>
  <c r="A116" i="5" a="1"/>
  <c r="A116" i="5" s="1"/>
  <c r="F53" i="9"/>
  <c r="G53" i="9" s="1"/>
  <c r="J53" i="9"/>
  <c r="N53" i="9"/>
  <c r="Q53" i="9" s="1"/>
  <c r="P53" i="9" s="1"/>
  <c r="O195" i="9"/>
  <c r="O125" i="9"/>
  <c r="I55" i="9" a="1"/>
  <c r="I55" i="9" s="1"/>
  <c r="N56" i="2" a="1"/>
  <c r="O56" i="2" a="1"/>
  <c r="M56" i="9" a="1"/>
  <c r="S57" i="2"/>
  <c r="R57" i="2"/>
  <c r="J56" i="2" a="1"/>
  <c r="L56" i="2" a="1"/>
  <c r="Q57" i="2"/>
  <c r="D55" i="9" a="1"/>
  <c r="P57" i="2"/>
  <c r="K56" i="2" a="1"/>
  <c r="M56" i="2" a="1"/>
  <c r="T57" i="2"/>
  <c r="U57" i="2"/>
  <c r="AH116" i="5" l="1"/>
  <c r="AJ116" i="5"/>
  <c r="AH117" i="5"/>
  <c r="AJ117" i="5"/>
  <c r="AD117" i="5"/>
  <c r="AF117" i="5"/>
  <c r="AD116" i="5"/>
  <c r="AF116" i="5"/>
  <c r="Z117" i="5"/>
  <c r="AB117" i="5"/>
  <c r="Z116" i="5"/>
  <c r="AB116" i="5"/>
  <c r="V116" i="5"/>
  <c r="X116" i="5"/>
  <c r="V117" i="5"/>
  <c r="X117" i="5"/>
  <c r="R117" i="5"/>
  <c r="T117" i="5"/>
  <c r="R116" i="5"/>
  <c r="T116" i="5"/>
  <c r="N116" i="5"/>
  <c r="P116" i="5"/>
  <c r="N117" i="5"/>
  <c r="P117" i="5"/>
  <c r="J117" i="5"/>
  <c r="L117" i="5"/>
  <c r="J116" i="5"/>
  <c r="L116" i="5"/>
  <c r="F117" i="5"/>
  <c r="H117" i="5"/>
  <c r="F116" i="5"/>
  <c r="H116" i="5"/>
  <c r="M56" i="2"/>
  <c r="K56" i="2"/>
  <c r="K57" i="9"/>
  <c r="V57" i="2"/>
  <c r="O57" i="9" s="1"/>
  <c r="D55" i="9"/>
  <c r="K127" i="9"/>
  <c r="L56" i="2"/>
  <c r="J56" i="2"/>
  <c r="K197" i="9"/>
  <c r="M56" i="9"/>
  <c r="O56" i="2"/>
  <c r="N56" i="2"/>
  <c r="BI41" i="10"/>
  <c r="AL116" i="5"/>
  <c r="D116" i="5"/>
  <c r="B116" i="5"/>
  <c r="A118" i="5" a="1"/>
  <c r="A118" i="5" s="1"/>
  <c r="O196" i="9"/>
  <c r="O126" i="9"/>
  <c r="I56" i="9" a="1"/>
  <c r="I56" i="9" s="1"/>
  <c r="A119" i="5" a="1"/>
  <c r="A119" i="5" s="1"/>
  <c r="AL117" i="5"/>
  <c r="D117" i="5"/>
  <c r="B117" i="5"/>
  <c r="F54" i="9"/>
  <c r="G54" i="9" s="1"/>
  <c r="N54" i="9"/>
  <c r="Q54" i="9" s="1"/>
  <c r="P54" i="9" s="1"/>
  <c r="J54" i="9"/>
  <c r="L58" i="9"/>
  <c r="I59" i="2"/>
  <c r="L198" i="9"/>
  <c r="L128" i="9"/>
  <c r="O57" i="2" a="1"/>
  <c r="N57" i="2" a="1"/>
  <c r="K57" i="2" a="1"/>
  <c r="U58" i="2"/>
  <c r="D56" i="9" a="1"/>
  <c r="M57" i="9" a="1"/>
  <c r="R58" i="2"/>
  <c r="L57" i="2" a="1"/>
  <c r="Q58" i="2"/>
  <c r="S58" i="2"/>
  <c r="T58" i="2"/>
  <c r="J57" i="2" a="1"/>
  <c r="M57" i="2" a="1"/>
  <c r="P58" i="2"/>
  <c r="AH119" i="5" l="1"/>
  <c r="AJ119" i="5"/>
  <c r="AH118" i="5"/>
  <c r="AJ118" i="5"/>
  <c r="AD118" i="5"/>
  <c r="AF118" i="5"/>
  <c r="AD119" i="5"/>
  <c r="AF119" i="5"/>
  <c r="Z118" i="5"/>
  <c r="AB118" i="5"/>
  <c r="Z119" i="5"/>
  <c r="AB119" i="5"/>
  <c r="V119" i="5"/>
  <c r="X119" i="5"/>
  <c r="V118" i="5"/>
  <c r="X118" i="5"/>
  <c r="R118" i="5"/>
  <c r="T118" i="5"/>
  <c r="R119" i="5"/>
  <c r="T119" i="5"/>
  <c r="N118" i="5"/>
  <c r="P118" i="5"/>
  <c r="N119" i="5"/>
  <c r="P119" i="5"/>
  <c r="J118" i="5"/>
  <c r="L118" i="5"/>
  <c r="J119" i="5"/>
  <c r="L119" i="5"/>
  <c r="F119" i="5"/>
  <c r="H119" i="5"/>
  <c r="F118" i="5"/>
  <c r="H118" i="5"/>
  <c r="BP41" i="10"/>
  <c r="K58" i="9"/>
  <c r="V58" i="2"/>
  <c r="O58" i="9" s="1"/>
  <c r="M57" i="2"/>
  <c r="J57" i="2"/>
  <c r="K128" i="9"/>
  <c r="L57" i="2"/>
  <c r="K198" i="9"/>
  <c r="M57" i="9"/>
  <c r="D56" i="9"/>
  <c r="K57" i="2"/>
  <c r="N57" i="2"/>
  <c r="O57" i="2"/>
  <c r="L59" i="9"/>
  <c r="I60" i="2"/>
  <c r="L129" i="9"/>
  <c r="L199" i="9"/>
  <c r="F55" i="9"/>
  <c r="G55" i="9" s="1"/>
  <c r="N55" i="9"/>
  <c r="Q55" i="9" s="1"/>
  <c r="P55" i="9" s="1"/>
  <c r="J55" i="9"/>
  <c r="A120" i="5" a="1"/>
  <c r="A120" i="5" s="1"/>
  <c r="AL118" i="5"/>
  <c r="D118" i="5"/>
  <c r="B118" i="5"/>
  <c r="O197" i="9"/>
  <c r="O127" i="9"/>
  <c r="I57" i="9" a="1"/>
  <c r="I57" i="9" s="1"/>
  <c r="A121" i="5" a="1"/>
  <c r="A121" i="5" s="1"/>
  <c r="AL119" i="5"/>
  <c r="D119" i="5"/>
  <c r="B119" i="5"/>
  <c r="M58" i="9" a="1"/>
  <c r="K58" i="2" a="1"/>
  <c r="P59" i="2"/>
  <c r="Q59" i="2"/>
  <c r="J58" i="2" a="1"/>
  <c r="L58" i="2" a="1"/>
  <c r="D57" i="9" a="1"/>
  <c r="U59" i="2"/>
  <c r="N58" i="2" a="1"/>
  <c r="T59" i="2"/>
  <c r="M58" i="2" a="1"/>
  <c r="O58" i="2" a="1"/>
  <c r="S59" i="2"/>
  <c r="R59" i="2"/>
  <c r="AH120" i="5" l="1"/>
  <c r="AJ120" i="5"/>
  <c r="AH121" i="5"/>
  <c r="AJ121" i="5"/>
  <c r="AD120" i="5"/>
  <c r="AF120" i="5"/>
  <c r="AD121" i="5"/>
  <c r="AF121" i="5"/>
  <c r="Z120" i="5"/>
  <c r="AB120" i="5"/>
  <c r="Z121" i="5"/>
  <c r="AB121" i="5"/>
  <c r="V121" i="5"/>
  <c r="X121" i="5"/>
  <c r="V120" i="5"/>
  <c r="X120" i="5"/>
  <c r="R121" i="5"/>
  <c r="T121" i="5"/>
  <c r="R120" i="5"/>
  <c r="T120" i="5"/>
  <c r="N121" i="5"/>
  <c r="P121" i="5"/>
  <c r="N120" i="5"/>
  <c r="P120" i="5"/>
  <c r="J120" i="5"/>
  <c r="L120" i="5"/>
  <c r="J121" i="5"/>
  <c r="L121" i="5"/>
  <c r="F120" i="5"/>
  <c r="H120" i="5"/>
  <c r="F121" i="5"/>
  <c r="H121" i="5"/>
  <c r="K199" i="9"/>
  <c r="O58" i="2"/>
  <c r="M58" i="2"/>
  <c r="N58" i="2"/>
  <c r="D57" i="9"/>
  <c r="L58" i="2"/>
  <c r="J58" i="2"/>
  <c r="K129" i="9"/>
  <c r="K59" i="9"/>
  <c r="V59" i="2"/>
  <c r="O59" i="9" s="1"/>
  <c r="K58" i="2"/>
  <c r="M58" i="9"/>
  <c r="F56" i="9"/>
  <c r="G56" i="9" s="1"/>
  <c r="J56" i="9"/>
  <c r="N56" i="9"/>
  <c r="Q56" i="9" s="1"/>
  <c r="P56" i="9" s="1"/>
  <c r="BX1" i="10"/>
  <c r="D121" i="5"/>
  <c r="B121" i="5"/>
  <c r="A123" i="5" a="1"/>
  <c r="A123" i="5" s="1"/>
  <c r="AL121" i="5"/>
  <c r="B120" i="5"/>
  <c r="A122" i="5" a="1"/>
  <c r="A122" i="5" s="1"/>
  <c r="AL120" i="5"/>
  <c r="D120" i="5"/>
  <c r="I61" i="2"/>
  <c r="L60" i="9"/>
  <c r="L200" i="9"/>
  <c r="L130" i="9"/>
  <c r="O198" i="9"/>
  <c r="O128" i="9"/>
  <c r="I58" i="9" a="1"/>
  <c r="I58" i="9" s="1"/>
  <c r="Q60" i="2"/>
  <c r="R60" i="2"/>
  <c r="L59" i="2" a="1"/>
  <c r="P60" i="2"/>
  <c r="U60" i="2"/>
  <c r="M59" i="2" a="1"/>
  <c r="D58" i="9" a="1"/>
  <c r="S60" i="2"/>
  <c r="K59" i="2" a="1"/>
  <c r="O59" i="2" a="1"/>
  <c r="J59" i="2" a="1"/>
  <c r="N59" i="2" a="1"/>
  <c r="M59" i="9" a="1"/>
  <c r="T60" i="2"/>
  <c r="AH122" i="5" l="1"/>
  <c r="AJ122" i="5"/>
  <c r="AH123" i="5"/>
  <c r="AJ123" i="5"/>
  <c r="AD123" i="5"/>
  <c r="AF123" i="5"/>
  <c r="AD122" i="5"/>
  <c r="AF122" i="5"/>
  <c r="Z123" i="5"/>
  <c r="AB123" i="5"/>
  <c r="Z122" i="5"/>
  <c r="AB122" i="5"/>
  <c r="V122" i="5"/>
  <c r="X122" i="5"/>
  <c r="V123" i="5"/>
  <c r="X123" i="5"/>
  <c r="R123" i="5"/>
  <c r="T123" i="5"/>
  <c r="R122" i="5"/>
  <c r="T122" i="5"/>
  <c r="N122" i="5"/>
  <c r="P122" i="5"/>
  <c r="N123" i="5"/>
  <c r="P123" i="5"/>
  <c r="J122" i="5"/>
  <c r="L122" i="5"/>
  <c r="J123" i="5"/>
  <c r="L123" i="5"/>
  <c r="F122" i="5"/>
  <c r="H122" i="5"/>
  <c r="F123" i="5"/>
  <c r="H123" i="5"/>
  <c r="M59" i="9"/>
  <c r="N59" i="2"/>
  <c r="J59" i="2"/>
  <c r="O59" i="2"/>
  <c r="K59" i="2"/>
  <c r="D58" i="9"/>
  <c r="M59" i="2"/>
  <c r="K60" i="9"/>
  <c r="V60" i="2"/>
  <c r="O60" i="9" s="1"/>
  <c r="L59" i="2"/>
  <c r="K200" i="9"/>
  <c r="K130" i="9"/>
  <c r="O199" i="9"/>
  <c r="O129" i="9"/>
  <c r="I59" i="9" a="1"/>
  <c r="I59" i="9" s="1"/>
  <c r="AL122" i="5"/>
  <c r="D122" i="5"/>
  <c r="B122" i="5"/>
  <c r="A124" i="5" a="1"/>
  <c r="A124" i="5" s="1"/>
  <c r="I62" i="2"/>
  <c r="L201" i="9"/>
  <c r="L131" i="9"/>
  <c r="L61" i="9"/>
  <c r="AL123" i="5"/>
  <c r="D123" i="5"/>
  <c r="B123" i="5"/>
  <c r="A125" i="5" a="1"/>
  <c r="A125" i="5" s="1"/>
  <c r="F57" i="9"/>
  <c r="G57" i="9" s="1"/>
  <c r="N57" i="9"/>
  <c r="Q57" i="9" s="1"/>
  <c r="P57" i="9" s="1"/>
  <c r="J57" i="9"/>
  <c r="N60" i="2" a="1"/>
  <c r="P61" i="2"/>
  <c r="O60" i="2" a="1"/>
  <c r="K60" i="2" a="1"/>
  <c r="M60" i="9" a="1"/>
  <c r="S61" i="2"/>
  <c r="D59" i="9" a="1"/>
  <c r="J60" i="2" a="1"/>
  <c r="U61" i="2"/>
  <c r="T61" i="2"/>
  <c r="M60" i="2" a="1"/>
  <c r="R61" i="2"/>
  <c r="L60" i="2" a="1"/>
  <c r="Q61" i="2"/>
  <c r="AH125" i="5" l="1"/>
  <c r="AJ125" i="5"/>
  <c r="AH124" i="5"/>
  <c r="AJ124" i="5"/>
  <c r="AD125" i="5"/>
  <c r="AF125" i="5"/>
  <c r="AD124" i="5"/>
  <c r="AF124" i="5"/>
  <c r="Z124" i="5"/>
  <c r="AB124" i="5"/>
  <c r="Z125" i="5"/>
  <c r="AB125" i="5"/>
  <c r="V124" i="5"/>
  <c r="X124" i="5"/>
  <c r="V125" i="5"/>
  <c r="X125" i="5"/>
  <c r="R124" i="5"/>
  <c r="T124" i="5"/>
  <c r="R125" i="5"/>
  <c r="T125" i="5"/>
  <c r="N125" i="5"/>
  <c r="P125" i="5"/>
  <c r="N124" i="5"/>
  <c r="P124" i="5"/>
  <c r="J125" i="5"/>
  <c r="L125" i="5"/>
  <c r="J124" i="5"/>
  <c r="L124" i="5"/>
  <c r="F124" i="5"/>
  <c r="H124" i="5"/>
  <c r="F125" i="5"/>
  <c r="H125" i="5"/>
  <c r="K131" i="9"/>
  <c r="L60" i="2"/>
  <c r="K201" i="9"/>
  <c r="M60" i="2"/>
  <c r="J60" i="2"/>
  <c r="D59" i="9"/>
  <c r="M60" i="9"/>
  <c r="K60" i="2"/>
  <c r="O60" i="2"/>
  <c r="K61" i="9"/>
  <c r="V61" i="2"/>
  <c r="O61" i="9" s="1"/>
  <c r="N60" i="2"/>
  <c r="A127" i="5" a="1"/>
  <c r="A127" i="5" s="1"/>
  <c r="AL125" i="5"/>
  <c r="D125" i="5"/>
  <c r="B125" i="5"/>
  <c r="F58" i="9"/>
  <c r="G58" i="9" s="1"/>
  <c r="N58" i="9"/>
  <c r="Q58" i="9" s="1"/>
  <c r="P58" i="9" s="1"/>
  <c r="J58" i="9"/>
  <c r="AL124" i="5"/>
  <c r="D124" i="5"/>
  <c r="B124" i="5"/>
  <c r="A126" i="5" a="1"/>
  <c r="A126" i="5" s="1"/>
  <c r="O200" i="9"/>
  <c r="O130" i="9"/>
  <c r="I60" i="9" a="1"/>
  <c r="I60" i="9" s="1"/>
  <c r="I63" i="2"/>
  <c r="BX9" i="10"/>
  <c r="D60" i="9" a="1"/>
  <c r="J61" i="2" a="1"/>
  <c r="U62" i="2"/>
  <c r="K61" i="2" a="1"/>
  <c r="S62" i="2"/>
  <c r="M61" i="2" a="1"/>
  <c r="R62" i="2"/>
  <c r="L61" i="2" a="1"/>
  <c r="Q62" i="2"/>
  <c r="P62" i="2"/>
  <c r="N61" i="2" a="1"/>
  <c r="M61" i="9" a="1"/>
  <c r="O61" i="2" a="1"/>
  <c r="T62" i="2"/>
  <c r="AH126" i="5" l="1"/>
  <c r="AJ126" i="5"/>
  <c r="AH127" i="5"/>
  <c r="AJ127" i="5"/>
  <c r="AD126" i="5"/>
  <c r="AF126" i="5"/>
  <c r="AD127" i="5"/>
  <c r="AF127" i="5"/>
  <c r="Z126" i="5"/>
  <c r="AB126" i="5"/>
  <c r="Z127" i="5"/>
  <c r="AB127" i="5"/>
  <c r="V126" i="5"/>
  <c r="X126" i="5"/>
  <c r="V127" i="5"/>
  <c r="X127" i="5"/>
  <c r="R126" i="5"/>
  <c r="T126" i="5"/>
  <c r="R127" i="5"/>
  <c r="T127" i="5"/>
  <c r="N126" i="5"/>
  <c r="P126" i="5"/>
  <c r="N127" i="5"/>
  <c r="P127" i="5"/>
  <c r="J127" i="5"/>
  <c r="L127" i="5"/>
  <c r="J126" i="5"/>
  <c r="L126" i="5"/>
  <c r="F126" i="5"/>
  <c r="H126" i="5"/>
  <c r="F127" i="5"/>
  <c r="H127" i="5"/>
  <c r="CE9" i="10"/>
  <c r="O61" i="2"/>
  <c r="M61" i="9"/>
  <c r="N61" i="2"/>
  <c r="K62" i="9"/>
  <c r="V62" i="2"/>
  <c r="O62" i="9" s="1"/>
  <c r="K132" i="9"/>
  <c r="L61" i="2"/>
  <c r="K202" i="9"/>
  <c r="M61" i="2"/>
  <c r="K61" i="2"/>
  <c r="J61" i="2"/>
  <c r="D60" i="9"/>
  <c r="A128" i="5" a="1"/>
  <c r="A128" i="5" s="1"/>
  <c r="AL126" i="5"/>
  <c r="D126" i="5"/>
  <c r="B126" i="5"/>
  <c r="O201" i="9"/>
  <c r="O131" i="9"/>
  <c r="I61" i="9" a="1"/>
  <c r="I61" i="9" s="1"/>
  <c r="I64" i="2"/>
  <c r="A129" i="5" a="1"/>
  <c r="A129" i="5" s="1"/>
  <c r="AL127" i="5"/>
  <c r="D127" i="5"/>
  <c r="B127" i="5"/>
  <c r="F59" i="9"/>
  <c r="G59" i="9" s="1"/>
  <c r="N59" i="9"/>
  <c r="Q59" i="9" s="1"/>
  <c r="P59" i="9" s="1"/>
  <c r="J59" i="9"/>
  <c r="N62" i="2" a="1"/>
  <c r="K62" i="2" a="1"/>
  <c r="D61" i="9" a="1"/>
  <c r="Q63" i="2"/>
  <c r="P63" i="2"/>
  <c r="L62" i="2" a="1"/>
  <c r="S63" i="2"/>
  <c r="R63" i="2"/>
  <c r="M62" i="2" a="1"/>
  <c r="J62" i="2" a="1"/>
  <c r="U63" i="2"/>
  <c r="O62" i="2" a="1"/>
  <c r="T63" i="2"/>
  <c r="AH129" i="5" l="1"/>
  <c r="AJ129" i="5"/>
  <c r="AH128" i="5"/>
  <c r="AJ128" i="5"/>
  <c r="AD128" i="5"/>
  <c r="AF128" i="5"/>
  <c r="AD129" i="5"/>
  <c r="AF129" i="5"/>
  <c r="Z128" i="5"/>
  <c r="AB128" i="5"/>
  <c r="Z129" i="5"/>
  <c r="AB129" i="5"/>
  <c r="V128" i="5"/>
  <c r="X128" i="5"/>
  <c r="V129" i="5"/>
  <c r="X129" i="5"/>
  <c r="R129" i="5"/>
  <c r="T129" i="5"/>
  <c r="R128" i="5"/>
  <c r="T128" i="5"/>
  <c r="N129" i="5"/>
  <c r="P129" i="5"/>
  <c r="N128" i="5"/>
  <c r="P128" i="5"/>
  <c r="J128" i="5"/>
  <c r="L128" i="5"/>
  <c r="J129" i="5"/>
  <c r="L129" i="5"/>
  <c r="F129" i="5"/>
  <c r="H129" i="5"/>
  <c r="F128" i="5"/>
  <c r="H128" i="5"/>
  <c r="O62" i="2"/>
  <c r="J62" i="2"/>
  <c r="M62" i="2"/>
  <c r="K203" i="9"/>
  <c r="L62" i="2"/>
  <c r="K63" i="9"/>
  <c r="V63" i="2"/>
  <c r="O63" i="9" s="1"/>
  <c r="K133" i="9"/>
  <c r="D61" i="9"/>
  <c r="K62" i="2"/>
  <c r="N62" i="2"/>
  <c r="D129" i="5"/>
  <c r="B129" i="5"/>
  <c r="A131" i="5" a="1"/>
  <c r="A131" i="5" s="1"/>
  <c r="AL129" i="5"/>
  <c r="B128" i="5"/>
  <c r="A130" i="5" a="1"/>
  <c r="A130" i="5" s="1"/>
  <c r="AL128" i="5"/>
  <c r="D128" i="5"/>
  <c r="O202" i="9"/>
  <c r="O132" i="9"/>
  <c r="I65" i="2"/>
  <c r="F60" i="9"/>
  <c r="G60" i="9" s="1"/>
  <c r="N60" i="9"/>
  <c r="Q60" i="9" s="1"/>
  <c r="P60" i="9" s="1"/>
  <c r="J60" i="9"/>
  <c r="BX17" i="10"/>
  <c r="N63" i="2" a="1"/>
  <c r="R64" i="2"/>
  <c r="Q64" i="2"/>
  <c r="O63" i="2" a="1"/>
  <c r="P64" i="2"/>
  <c r="J63" i="2" a="1"/>
  <c r="U64" i="2"/>
  <c r="T64" i="2"/>
  <c r="K63" i="2" a="1"/>
  <c r="S64" i="2"/>
  <c r="L63" i="2" a="1"/>
  <c r="M63" i="2" a="1"/>
  <c r="AH131" i="5" l="1"/>
  <c r="AJ131" i="5"/>
  <c r="AH130" i="5"/>
  <c r="AJ130" i="5"/>
  <c r="AD130" i="5"/>
  <c r="AF130" i="5"/>
  <c r="AD131" i="5"/>
  <c r="AF131" i="5"/>
  <c r="Z130" i="5"/>
  <c r="AB130" i="5"/>
  <c r="Z131" i="5"/>
  <c r="AB131" i="5"/>
  <c r="V130" i="5"/>
  <c r="X130" i="5"/>
  <c r="V131" i="5"/>
  <c r="X131" i="5"/>
  <c r="R130" i="5"/>
  <c r="T130" i="5"/>
  <c r="R131" i="5"/>
  <c r="T131" i="5"/>
  <c r="N131" i="5"/>
  <c r="P131" i="5"/>
  <c r="N130" i="5"/>
  <c r="P130" i="5"/>
  <c r="J131" i="5"/>
  <c r="L131" i="5"/>
  <c r="J130" i="5"/>
  <c r="L130" i="5"/>
  <c r="F131" i="5"/>
  <c r="H131" i="5"/>
  <c r="F130" i="5"/>
  <c r="H130" i="5"/>
  <c r="CE17" i="10"/>
  <c r="M63" i="2"/>
  <c r="L63" i="2"/>
  <c r="K63" i="2"/>
  <c r="J63" i="2"/>
  <c r="K64" i="9"/>
  <c r="V64" i="2"/>
  <c r="O64" i="9" s="1"/>
  <c r="O63" i="2"/>
  <c r="K134" i="9"/>
  <c r="K204" i="9"/>
  <c r="N63" i="2"/>
  <c r="F61" i="9"/>
  <c r="G61" i="9" s="1"/>
  <c r="N61" i="9"/>
  <c r="Q61" i="9" s="1"/>
  <c r="P61" i="9" s="1"/>
  <c r="J61" i="9"/>
  <c r="I66" i="2"/>
  <c r="AL131" i="5"/>
  <c r="D131" i="5"/>
  <c r="B131" i="5"/>
  <c r="A133" i="5" a="1"/>
  <c r="A133" i="5" s="1"/>
  <c r="AJ133" i="5" s="1"/>
  <c r="O203" i="9"/>
  <c r="O133" i="9"/>
  <c r="AL130" i="5"/>
  <c r="D130" i="5"/>
  <c r="B130" i="5"/>
  <c r="A132" i="5" a="1"/>
  <c r="A132" i="5" s="1"/>
  <c r="AJ132" i="5" s="1"/>
  <c r="R65" i="2"/>
  <c r="J64" i="2" a="1"/>
  <c r="M64" i="2" a="1"/>
  <c r="Q65" i="2"/>
  <c r="N64" i="2" a="1"/>
  <c r="K64" i="2" a="1"/>
  <c r="U65" i="2"/>
  <c r="O64" i="2" a="1"/>
  <c r="T65" i="2"/>
  <c r="L64" i="2" a="1"/>
  <c r="P65" i="2"/>
  <c r="S65" i="2"/>
  <c r="AF133" i="5" l="1"/>
  <c r="AH133" i="5"/>
  <c r="AF132" i="5"/>
  <c r="AH132" i="5"/>
  <c r="AB132" i="5"/>
  <c r="AD132" i="5"/>
  <c r="AB133" i="5"/>
  <c r="AD133" i="5"/>
  <c r="X133" i="5"/>
  <c r="Z133" i="5"/>
  <c r="X132" i="5"/>
  <c r="Z132" i="5"/>
  <c r="T133" i="5"/>
  <c r="V133" i="5"/>
  <c r="T132" i="5"/>
  <c r="V132" i="5"/>
  <c r="P133" i="5"/>
  <c r="R133" i="5"/>
  <c r="P132" i="5"/>
  <c r="R132" i="5"/>
  <c r="L132" i="5"/>
  <c r="N132" i="5"/>
  <c r="L133" i="5"/>
  <c r="N133" i="5"/>
  <c r="K65" i="9"/>
  <c r="V65" i="2"/>
  <c r="O65" i="9" s="1"/>
  <c r="L64" i="2"/>
  <c r="O64" i="2"/>
  <c r="K64" i="2"/>
  <c r="N64" i="2"/>
  <c r="K135" i="9"/>
  <c r="M64" i="2"/>
  <c r="J64" i="2"/>
  <c r="K205" i="9"/>
  <c r="BX25" i="10"/>
  <c r="I67" i="2"/>
  <c r="J132" i="5"/>
  <c r="H132" i="5"/>
  <c r="AL132" i="5"/>
  <c r="F132" i="5"/>
  <c r="D132" i="5"/>
  <c r="B132" i="5"/>
  <c r="A134" i="5" a="1"/>
  <c r="A134" i="5" s="1"/>
  <c r="AJ134" i="5" s="1"/>
  <c r="A135" i="5" a="1"/>
  <c r="A135" i="5" s="1"/>
  <c r="AJ135" i="5" s="1"/>
  <c r="J133" i="5"/>
  <c r="H133" i="5"/>
  <c r="AL133" i="5"/>
  <c r="F133" i="5"/>
  <c r="D133" i="5"/>
  <c r="B133" i="5"/>
  <c r="O134" i="9"/>
  <c r="O204" i="9"/>
  <c r="M65" i="2" a="1"/>
  <c r="T66" i="2"/>
  <c r="S66" i="2"/>
  <c r="J65" i="2" a="1"/>
  <c r="K65" i="2" a="1"/>
  <c r="R66" i="2"/>
  <c r="N65" i="2" a="1"/>
  <c r="Q66" i="2"/>
  <c r="P66" i="2"/>
  <c r="O65" i="2" a="1"/>
  <c r="L65" i="2" a="1"/>
  <c r="U66" i="2"/>
  <c r="AF135" i="5" l="1"/>
  <c r="AH135" i="5"/>
  <c r="AF134" i="5"/>
  <c r="AH134" i="5"/>
  <c r="AB135" i="5"/>
  <c r="AD135" i="5"/>
  <c r="AB134" i="5"/>
  <c r="AD134" i="5"/>
  <c r="X134" i="5"/>
  <c r="Z134" i="5"/>
  <c r="X135" i="5"/>
  <c r="Z135" i="5"/>
  <c r="T135" i="5"/>
  <c r="V135" i="5"/>
  <c r="T134" i="5"/>
  <c r="V134" i="5"/>
  <c r="P135" i="5"/>
  <c r="R135" i="5"/>
  <c r="P134" i="5"/>
  <c r="R134" i="5"/>
  <c r="L135" i="5"/>
  <c r="N135" i="5"/>
  <c r="L134" i="5"/>
  <c r="N134" i="5"/>
  <c r="CE25" i="10"/>
  <c r="L65" i="2"/>
  <c r="O65" i="2"/>
  <c r="K66" i="9"/>
  <c r="V66" i="2"/>
  <c r="O66" i="9" s="1"/>
  <c r="K136" i="9"/>
  <c r="N65" i="2"/>
  <c r="K206" i="9"/>
  <c r="K65" i="2"/>
  <c r="J65" i="2"/>
  <c r="M65" i="2"/>
  <c r="A136" i="5" a="1"/>
  <c r="A136" i="5" s="1"/>
  <c r="AJ136" i="5" s="1"/>
  <c r="J134" i="5"/>
  <c r="H134" i="5"/>
  <c r="AL134" i="5"/>
  <c r="F134" i="5"/>
  <c r="D134" i="5"/>
  <c r="B134" i="5"/>
  <c r="O205" i="9"/>
  <c r="O135" i="9"/>
  <c r="I68" i="2"/>
  <c r="A137" i="5" a="1"/>
  <c r="A137" i="5" s="1"/>
  <c r="AJ137" i="5" s="1"/>
  <c r="J135" i="5"/>
  <c r="H135" i="5"/>
  <c r="AL135" i="5"/>
  <c r="F135" i="5"/>
  <c r="D135" i="5"/>
  <c r="B135" i="5"/>
  <c r="O66" i="2" a="1"/>
  <c r="R67" i="2"/>
  <c r="L66" i="2" a="1"/>
  <c r="Q67" i="2"/>
  <c r="T67" i="2"/>
  <c r="S67" i="2"/>
  <c r="P67" i="2"/>
  <c r="J66" i="2" a="1"/>
  <c r="M66" i="2" a="1"/>
  <c r="N66" i="2" a="1"/>
  <c r="U67" i="2"/>
  <c r="K66" i="2" a="1"/>
  <c r="AF137" i="5" l="1"/>
  <c r="AH137" i="5"/>
  <c r="AF136" i="5"/>
  <c r="AH136" i="5"/>
  <c r="AB136" i="5"/>
  <c r="AD136" i="5"/>
  <c r="AB137" i="5"/>
  <c r="AD137" i="5"/>
  <c r="X137" i="5"/>
  <c r="Z137" i="5"/>
  <c r="X136" i="5"/>
  <c r="Z136" i="5"/>
  <c r="T136" i="5"/>
  <c r="V136" i="5"/>
  <c r="T137" i="5"/>
  <c r="V137" i="5"/>
  <c r="P136" i="5"/>
  <c r="R136" i="5"/>
  <c r="P137" i="5"/>
  <c r="R137" i="5"/>
  <c r="L137" i="5"/>
  <c r="N137" i="5"/>
  <c r="L136" i="5"/>
  <c r="N136" i="5"/>
  <c r="K66" i="2"/>
  <c r="N66" i="2"/>
  <c r="M66" i="2"/>
  <c r="J66" i="2"/>
  <c r="K67" i="9"/>
  <c r="V67" i="2"/>
  <c r="O67" i="9" s="1"/>
  <c r="K137" i="9"/>
  <c r="L66" i="2"/>
  <c r="K207" i="9"/>
  <c r="O66" i="2"/>
  <c r="BX33" i="10"/>
  <c r="O206" i="9"/>
  <c r="O136" i="9"/>
  <c r="D137" i="5"/>
  <c r="B137" i="5"/>
  <c r="A139" i="5" a="1"/>
  <c r="A139" i="5" s="1"/>
  <c r="AJ139" i="5" s="1"/>
  <c r="J137" i="5"/>
  <c r="H137" i="5"/>
  <c r="AL137" i="5"/>
  <c r="F137" i="5"/>
  <c r="B136" i="5"/>
  <c r="A138" i="5" a="1"/>
  <c r="A138" i="5" s="1"/>
  <c r="AJ138" i="5" s="1"/>
  <c r="J136" i="5"/>
  <c r="H136" i="5"/>
  <c r="AL136" i="5"/>
  <c r="F136" i="5"/>
  <c r="D136" i="5"/>
  <c r="I69" i="2"/>
  <c r="M67" i="2" a="1"/>
  <c r="S68" i="2"/>
  <c r="O67" i="2" a="1"/>
  <c r="N67" i="2" a="1"/>
  <c r="U68" i="2"/>
  <c r="K67" i="2" a="1"/>
  <c r="P68" i="2"/>
  <c r="Q68" i="2"/>
  <c r="L67" i="2" a="1"/>
  <c r="J67" i="2" a="1"/>
  <c r="T68" i="2"/>
  <c r="R68" i="2"/>
  <c r="AF139" i="5" l="1"/>
  <c r="AH139" i="5"/>
  <c r="AF138" i="5"/>
  <c r="AH138" i="5"/>
  <c r="AB138" i="5"/>
  <c r="AD138" i="5"/>
  <c r="AB139" i="5"/>
  <c r="AD139" i="5"/>
  <c r="X138" i="5"/>
  <c r="Z138" i="5"/>
  <c r="X139" i="5"/>
  <c r="Z139" i="5"/>
  <c r="T139" i="5"/>
  <c r="V139" i="5"/>
  <c r="T138" i="5"/>
  <c r="V138" i="5"/>
  <c r="P139" i="5"/>
  <c r="R139" i="5"/>
  <c r="P138" i="5"/>
  <c r="R138" i="5"/>
  <c r="L139" i="5"/>
  <c r="N139" i="5"/>
  <c r="L138" i="5"/>
  <c r="N138" i="5"/>
  <c r="CE33" i="10"/>
  <c r="K208" i="9"/>
  <c r="J67" i="2"/>
  <c r="L67" i="2"/>
  <c r="K138" i="9"/>
  <c r="K68" i="9"/>
  <c r="V68" i="2"/>
  <c r="O68" i="9" s="1"/>
  <c r="K67" i="2"/>
  <c r="N67" i="2"/>
  <c r="O67" i="2"/>
  <c r="M67" i="2"/>
  <c r="AL138" i="5"/>
  <c r="F138" i="5"/>
  <c r="D138" i="5"/>
  <c r="B138" i="5"/>
  <c r="A140" i="5" a="1"/>
  <c r="A140" i="5" s="1"/>
  <c r="AJ140" i="5" s="1"/>
  <c r="J138" i="5"/>
  <c r="H138" i="5"/>
  <c r="O207" i="9"/>
  <c r="O137" i="9"/>
  <c r="H139" i="5"/>
  <c r="AL139" i="5"/>
  <c r="F139" i="5"/>
  <c r="D139" i="5"/>
  <c r="B139" i="5"/>
  <c r="A141" i="5" a="1"/>
  <c r="A141" i="5" s="1"/>
  <c r="AJ141" i="5" s="1"/>
  <c r="J139" i="5"/>
  <c r="I70" i="2"/>
  <c r="J68" i="2" a="1"/>
  <c r="P69" i="2"/>
  <c r="L68" i="2" a="1"/>
  <c r="N68" i="2" a="1"/>
  <c r="U69" i="2"/>
  <c r="T69" i="2"/>
  <c r="O68" i="2" a="1"/>
  <c r="S69" i="2"/>
  <c r="Q69" i="2"/>
  <c r="K68" i="2" a="1"/>
  <c r="M68" i="2" a="1"/>
  <c r="R69" i="2"/>
  <c r="AF140" i="5" l="1"/>
  <c r="AH140" i="5"/>
  <c r="AF141" i="5"/>
  <c r="AH141" i="5"/>
  <c r="AB140" i="5"/>
  <c r="AD140" i="5"/>
  <c r="AB141" i="5"/>
  <c r="AD141" i="5"/>
  <c r="X140" i="5"/>
  <c r="Z140" i="5"/>
  <c r="X141" i="5"/>
  <c r="Z141" i="5"/>
  <c r="T140" i="5"/>
  <c r="V140" i="5"/>
  <c r="T141" i="5"/>
  <c r="V141" i="5"/>
  <c r="P140" i="5"/>
  <c r="R140" i="5"/>
  <c r="P141" i="5"/>
  <c r="R141" i="5"/>
  <c r="L141" i="5"/>
  <c r="N141" i="5"/>
  <c r="L140" i="5"/>
  <c r="N140" i="5"/>
  <c r="K209" i="9"/>
  <c r="M68" i="2"/>
  <c r="K68" i="2"/>
  <c r="K139" i="9"/>
  <c r="O68" i="2"/>
  <c r="N68" i="2"/>
  <c r="L68" i="2"/>
  <c r="K69" i="9"/>
  <c r="V69" i="2"/>
  <c r="O69" i="9" s="1"/>
  <c r="J68" i="2"/>
  <c r="A143" i="5" a="1"/>
  <c r="A143" i="5" s="1"/>
  <c r="AJ143" i="5" s="1"/>
  <c r="J141" i="5"/>
  <c r="H141" i="5"/>
  <c r="AL141" i="5"/>
  <c r="F141" i="5"/>
  <c r="D141" i="5"/>
  <c r="B141" i="5"/>
  <c r="J140" i="5"/>
  <c r="H140" i="5"/>
  <c r="AL140" i="5"/>
  <c r="F140" i="5"/>
  <c r="D140" i="5"/>
  <c r="B140" i="5"/>
  <c r="A142" i="5" a="1"/>
  <c r="A142" i="5" s="1"/>
  <c r="AJ142" i="5" s="1"/>
  <c r="BX41" i="10"/>
  <c r="O208" i="9"/>
  <c r="O138" i="9"/>
  <c r="N69" i="2" a="1"/>
  <c r="R70" i="2"/>
  <c r="M69" i="2" a="1"/>
  <c r="J69" i="2" a="1"/>
  <c r="L69" i="2" a="1"/>
  <c r="O69" i="2" a="1"/>
  <c r="Q70" i="2"/>
  <c r="P70" i="2"/>
  <c r="S70" i="2"/>
  <c r="U70" i="2"/>
  <c r="T70" i="2"/>
  <c r="K69" i="2" a="1"/>
  <c r="AF142" i="5" l="1"/>
  <c r="AH142" i="5"/>
  <c r="AF143" i="5"/>
  <c r="AH143" i="5"/>
  <c r="AB142" i="5"/>
  <c r="AD142" i="5"/>
  <c r="AB143" i="5"/>
  <c r="AD143" i="5"/>
  <c r="X142" i="5"/>
  <c r="Z142" i="5"/>
  <c r="X143" i="5"/>
  <c r="Z143" i="5"/>
  <c r="T143" i="5"/>
  <c r="V143" i="5"/>
  <c r="T142" i="5"/>
  <c r="V142" i="5"/>
  <c r="P143" i="5"/>
  <c r="R143" i="5"/>
  <c r="P142" i="5"/>
  <c r="R142" i="5"/>
  <c r="L142" i="5"/>
  <c r="N142" i="5"/>
  <c r="L143" i="5"/>
  <c r="N143" i="5"/>
  <c r="CE41" i="10"/>
  <c r="K69" i="2"/>
  <c r="K70" i="9"/>
  <c r="V70" i="2"/>
  <c r="O70" i="9" s="1"/>
  <c r="K140" i="9"/>
  <c r="O69" i="2"/>
  <c r="L69" i="2"/>
  <c r="J69" i="2"/>
  <c r="M69" i="2"/>
  <c r="K210" i="9"/>
  <c r="N69" i="2"/>
  <c r="O209" i="9"/>
  <c r="O139" i="9"/>
  <c r="A144" i="5" a="1"/>
  <c r="A144" i="5" s="1"/>
  <c r="AJ144" i="5" s="1"/>
  <c r="J142" i="5"/>
  <c r="H142" i="5"/>
  <c r="AL142" i="5"/>
  <c r="F142" i="5"/>
  <c r="D142" i="5"/>
  <c r="B142" i="5"/>
  <c r="A145" i="5" a="1"/>
  <c r="A145" i="5" s="1"/>
  <c r="AJ145" i="5" s="1"/>
  <c r="J143" i="5"/>
  <c r="H143" i="5"/>
  <c r="AL143" i="5"/>
  <c r="F143" i="5"/>
  <c r="D143" i="5"/>
  <c r="B143" i="5"/>
  <c r="K70" i="2" a="1"/>
  <c r="N70" i="2" a="1"/>
  <c r="O70" i="2" a="1"/>
  <c r="L70" i="2" a="1"/>
  <c r="M70" i="2" a="1"/>
  <c r="J70" i="2" a="1"/>
  <c r="AF145" i="5" l="1"/>
  <c r="AH145" i="5"/>
  <c r="AF144" i="5"/>
  <c r="AH144" i="5"/>
  <c r="AB145" i="5"/>
  <c r="AD145" i="5"/>
  <c r="AB144" i="5"/>
  <c r="AD144" i="5"/>
  <c r="X145" i="5"/>
  <c r="Z145" i="5"/>
  <c r="X144" i="5"/>
  <c r="Z144" i="5"/>
  <c r="T144" i="5"/>
  <c r="V144" i="5"/>
  <c r="T145" i="5"/>
  <c r="V145" i="5"/>
  <c r="P145" i="5"/>
  <c r="R145" i="5"/>
  <c r="P144" i="5"/>
  <c r="R144" i="5"/>
  <c r="L145" i="5"/>
  <c r="N145" i="5"/>
  <c r="L144" i="5"/>
  <c r="N144" i="5"/>
  <c r="J70" i="2"/>
  <c r="M70" i="2"/>
  <c r="L70" i="2"/>
  <c r="O70" i="2"/>
  <c r="N70" i="2"/>
  <c r="K70" i="2"/>
  <c r="O210" i="9"/>
  <c r="O140" i="9"/>
  <c r="D145" i="5"/>
  <c r="B145" i="5"/>
  <c r="J145" i="5"/>
  <c r="H145" i="5"/>
  <c r="AL145" i="5"/>
  <c r="F145" i="5"/>
  <c r="B144" i="5"/>
  <c r="J144" i="5"/>
  <c r="H144" i="5"/>
  <c r="AL144" i="5"/>
  <c r="F144" i="5"/>
  <c r="D144" i="5"/>
  <c r="CM1" i="10"/>
  <c r="I1" i="8"/>
  <c r="I2" i="8"/>
  <c r="A9" i="6" l="1"/>
  <c r="H146" i="5" a="1"/>
  <c r="H146" i="5" s="1"/>
  <c r="C3" i="6" s="1"/>
  <c r="K3" i="6" s="1"/>
  <c r="F3" i="6" s="1"/>
  <c r="H147" i="5" a="1"/>
  <c r="H147" i="5" s="1"/>
  <c r="P147" i="5" a="1"/>
  <c r="P147" i="5" s="1"/>
  <c r="P146" i="5" a="1"/>
  <c r="P146" i="5" s="1"/>
  <c r="C6" i="6" s="1"/>
  <c r="K6" i="6" s="1"/>
  <c r="F6" i="6" s="1"/>
  <c r="X146" i="5" a="1"/>
  <c r="X146" i="5" s="1"/>
  <c r="X147" i="5" a="1"/>
  <c r="X147" i="5" s="1"/>
  <c r="AF147" i="5" a="1"/>
  <c r="AF147" i="5" s="1"/>
  <c r="AF146" i="5" a="1"/>
  <c r="AF146" i="5" s="1"/>
  <c r="J146" i="5" a="1"/>
  <c r="J146" i="5" s="1"/>
  <c r="C4" i="6" s="1"/>
  <c r="K4" i="6" s="1"/>
  <c r="F4" i="6" s="1"/>
  <c r="J147" i="5" a="1"/>
  <c r="J147" i="5" s="1"/>
  <c r="B146" i="5" a="1"/>
  <c r="B146" i="5" s="1"/>
  <c r="B147" i="5" a="1"/>
  <c r="B147" i="5" s="1"/>
  <c r="Z147" i="5" a="1"/>
  <c r="Z147" i="5" s="1"/>
  <c r="Z146" i="5" a="1"/>
  <c r="Z146" i="5" s="1"/>
  <c r="R146" i="5" a="1"/>
  <c r="R146" i="5" s="1"/>
  <c r="C7" i="6" s="1"/>
  <c r="K7" i="6" s="1"/>
  <c r="F7" i="6" s="1"/>
  <c r="R147" i="5" a="1"/>
  <c r="R147" i="5" s="1"/>
  <c r="L147" i="5" a="1"/>
  <c r="L147" i="5" s="1"/>
  <c r="L146" i="5" a="1"/>
  <c r="L146" i="5" s="1"/>
  <c r="AH147" i="5" a="1"/>
  <c r="AH147" i="5" s="1"/>
  <c r="AH146" i="5" a="1"/>
  <c r="AH146" i="5" s="1"/>
  <c r="F146" i="5" a="1"/>
  <c r="F146" i="5" s="1"/>
  <c r="C2" i="6" s="1"/>
  <c r="K2" i="6" s="1"/>
  <c r="F2" i="6" s="1"/>
  <c r="F147" i="5" a="1"/>
  <c r="F147" i="5" s="1"/>
  <c r="AB147" i="5" a="1"/>
  <c r="AB147" i="5" s="1"/>
  <c r="AB146" i="5" a="1"/>
  <c r="AB146" i="5" s="1"/>
  <c r="D147" i="5" a="1"/>
  <c r="D147" i="5" s="1"/>
  <c r="D146" i="5" a="1"/>
  <c r="D146" i="5" s="1"/>
  <c r="V147" i="5" a="1"/>
  <c r="V147" i="5" s="1"/>
  <c r="V146" i="5" a="1"/>
  <c r="V146" i="5" s="1"/>
  <c r="N146" i="5" a="1"/>
  <c r="N146" i="5" s="1"/>
  <c r="N147" i="5" a="1"/>
  <c r="N147" i="5" s="1"/>
  <c r="T147" i="5" a="1"/>
  <c r="T147" i="5" s="1"/>
  <c r="T146" i="5" a="1"/>
  <c r="T146" i="5" s="1"/>
  <c r="C8" i="6" s="1"/>
  <c r="K8" i="6" s="1"/>
  <c r="F8" i="6" s="1"/>
  <c r="AD147" i="5" a="1"/>
  <c r="AD147" i="5" s="1"/>
  <c r="AD146" i="5" a="1"/>
  <c r="AD146" i="5" s="1"/>
  <c r="AJ147" i="5" a="1"/>
  <c r="AJ147" i="5" s="1"/>
  <c r="AJ146" i="5" a="1"/>
  <c r="AJ146" i="5" s="1"/>
  <c r="C247" i="9" a="1"/>
  <c r="H223" i="9" a="1"/>
  <c r="H227" i="9" a="1"/>
  <c r="H235" i="9" a="1"/>
  <c r="H219" i="9" a="1"/>
  <c r="H239" i="9" a="1"/>
  <c r="H243" i="9" a="1"/>
  <c r="H243" i="9" l="1"/>
  <c r="H239" i="9"/>
  <c r="H219" i="9"/>
  <c r="H235" i="9"/>
  <c r="H227" i="9"/>
  <c r="H223" i="9"/>
  <c r="C247" i="9"/>
  <c r="CM9" i="10"/>
  <c r="E6" i="8"/>
  <c r="C5" i="6"/>
  <c r="K5" i="6" s="1"/>
  <c r="F5" i="6" s="1"/>
  <c r="H231" i="9" a="1"/>
  <c r="CT9" i="10" l="1"/>
  <c r="H231" i="9"/>
  <c r="A247" i="9"/>
  <c r="F247" i="9"/>
  <c r="G247" i="9" s="1"/>
  <c r="Q227" i="9"/>
  <c r="P227" i="9" s="1"/>
  <c r="F227" i="9"/>
  <c r="G227" i="9" s="1"/>
  <c r="Q219" i="9"/>
  <c r="P219" i="9" s="1"/>
  <c r="F219" i="9"/>
  <c r="G219" i="9" s="1"/>
  <c r="Q223" i="9"/>
  <c r="P223" i="9" s="1"/>
  <c r="F223" i="9"/>
  <c r="G223" i="9" s="1"/>
  <c r="Q235" i="9"/>
  <c r="P235" i="9" s="1"/>
  <c r="F235" i="9"/>
  <c r="G235" i="9" s="1"/>
  <c r="H214" i="9"/>
  <c r="C6" i="8"/>
  <c r="F214" i="9" s="1"/>
  <c r="Q239" i="9"/>
  <c r="P239" i="9" s="1"/>
  <c r="F239" i="9"/>
  <c r="G239" i="9" s="1"/>
  <c r="Q243" i="9"/>
  <c r="P243" i="9" s="1"/>
  <c r="F243" i="9"/>
  <c r="G243" i="9" s="1"/>
  <c r="D6" i="8" l="1"/>
  <c r="G214" i="9" s="1"/>
  <c r="CM17" i="10"/>
  <c r="Q231" i="9"/>
  <c r="P231" i="9" s="1"/>
  <c r="F231" i="9"/>
  <c r="G231" i="9" s="1"/>
  <c r="CT17" i="10" l="1"/>
  <c r="CM25" i="10" l="1"/>
  <c r="CT25" i="10" l="1"/>
  <c r="CM33" i="10" l="1"/>
  <c r="CT33" i="10" l="1"/>
  <c r="CM41" i="10" l="1"/>
  <c r="CT41" i="10" l="1"/>
  <c r="DB1" i="10" l="1"/>
  <c r="DB9" i="10" s="1"/>
  <c r="DI9" i="10" l="1"/>
  <c r="DB17" i="10" l="1"/>
  <c r="DI17" i="10" l="1"/>
  <c r="DB25" i="10" l="1"/>
  <c r="DI25" i="10" l="1"/>
  <c r="DB33" i="10" l="1"/>
  <c r="DI33" i="10" l="1"/>
  <c r="O8" i="7" a="1"/>
  <c r="DB41" i="10" l="1"/>
  <c r="O8" i="7"/>
  <c r="O16" i="7" s="1" a="1"/>
  <c r="O16" i="7" s="1"/>
  <c r="O24" i="7" s="1" a="1"/>
  <c r="O24" i="7" s="1"/>
  <c r="O32" i="7" s="1" a="1"/>
  <c r="O32" i="7" s="1"/>
  <c r="O40" i="7" s="1" a="1"/>
  <c r="O40" i="7" s="1"/>
  <c r="O48" i="7" s="1" a="1"/>
  <c r="O48" i="7" s="1"/>
  <c r="O56" i="7" s="1" a="1"/>
  <c r="O56" i="7" s="1"/>
  <c r="O64" i="7" s="1" a="1"/>
  <c r="O64" i="7" s="1"/>
  <c r="O6" i="7" a="1"/>
  <c r="DI41" i="10" l="1"/>
  <c r="O6" i="7"/>
  <c r="F6" i="7" a="1"/>
  <c r="O14" i="7" a="1"/>
  <c r="O4" i="7" a="1"/>
  <c r="F6" i="7" l="1"/>
  <c r="A6" i="7" s="1" a="1"/>
  <c r="A6" i="7" s="1"/>
  <c r="DQ1" i="10"/>
  <c r="DQ9" i="10" s="1"/>
  <c r="O14" i="7"/>
  <c r="O4" i="7"/>
  <c r="F4" i="7" a="1"/>
  <c r="O22" i="7" a="1"/>
  <c r="O12" i="7" a="1"/>
  <c r="O2" i="7" a="1"/>
  <c r="F4" i="7" l="1"/>
  <c r="A4" i="7" s="1" a="1"/>
  <c r="A4" i="7" s="1"/>
  <c r="DX9" i="10"/>
  <c r="O12" i="7"/>
  <c r="O22" i="7"/>
  <c r="O2" i="7"/>
  <c r="O20" i="7" a="1"/>
  <c r="O30" i="7" a="1"/>
  <c r="O10" i="7" a="1"/>
  <c r="O7" i="7" a="1"/>
  <c r="DQ17" i="10" l="1"/>
  <c r="O10" i="7"/>
  <c r="O18" i="7" s="1" a="1"/>
  <c r="O18" i="7" s="1"/>
  <c r="O26" i="7" s="1" a="1"/>
  <c r="O26" i="7" s="1"/>
  <c r="O34" i="7" s="1" a="1"/>
  <c r="O34" i="7" s="1"/>
  <c r="O42" i="7" s="1" a="1"/>
  <c r="O42" i="7" s="1"/>
  <c r="O50" i="7" s="1" a="1"/>
  <c r="O50" i="7" s="1"/>
  <c r="O58" i="7" s="1" a="1"/>
  <c r="O58" i="7" s="1"/>
  <c r="O30" i="7"/>
  <c r="O20" i="7"/>
  <c r="O7" i="7"/>
  <c r="O15" i="7" s="1" a="1"/>
  <c r="O15" i="7" s="1"/>
  <c r="O23" i="7" s="1" a="1"/>
  <c r="O23" i="7" s="1"/>
  <c r="O31" i="7" s="1" a="1"/>
  <c r="O31" i="7" s="1"/>
  <c r="O39" i="7" s="1" a="1"/>
  <c r="O39" i="7" s="1"/>
  <c r="O47" i="7" s="1" a="1"/>
  <c r="O47" i="7" s="1"/>
  <c r="O55" i="7" s="1" a="1"/>
  <c r="O55" i="7" s="1"/>
  <c r="O63" i="7" s="1" a="1"/>
  <c r="O63" i="7" s="1"/>
  <c r="O38" i="7" a="1"/>
  <c r="O28" i="7" a="1"/>
  <c r="O5" i="7" a="1"/>
  <c r="DX17" i="10" l="1"/>
  <c r="O28" i="7"/>
  <c r="O38" i="7"/>
  <c r="O5" i="7"/>
  <c r="O13" i="7" s="1" a="1"/>
  <c r="O13" i="7" s="1"/>
  <c r="O21" i="7" s="1" a="1"/>
  <c r="O21" i="7" s="1"/>
  <c r="O29" i="7" s="1" a="1"/>
  <c r="O29" i="7" s="1"/>
  <c r="O37" i="7" s="1" a="1"/>
  <c r="O37" i="7" s="1"/>
  <c r="O45" i="7" s="1" a="1"/>
  <c r="O45" i="7" s="1"/>
  <c r="O53" i="7" s="1" a="1"/>
  <c r="O53" i="7" s="1"/>
  <c r="O61" i="7" s="1" a="1"/>
  <c r="O61" i="7" s="1"/>
  <c r="O36" i="7" a="1"/>
  <c r="O46" i="7" a="1"/>
  <c r="O3" i="7" a="1"/>
  <c r="DQ25" i="10" l="1"/>
  <c r="O46" i="7"/>
  <c r="O36" i="7"/>
  <c r="O3" i="7"/>
  <c r="O54" i="7" a="1"/>
  <c r="O11" i="7" a="1"/>
  <c r="O44" i="7" a="1"/>
  <c r="O1" i="7" a="1"/>
  <c r="DX25" i="10" l="1"/>
  <c r="O44" i="7"/>
  <c r="O11" i="7"/>
  <c r="O19" i="7" s="1" a="1"/>
  <c r="O19" i="7" s="1"/>
  <c r="O27" i="7" s="1" a="1"/>
  <c r="O27" i="7" s="1"/>
  <c r="O35" i="7" s="1" a="1"/>
  <c r="O35" i="7" s="1"/>
  <c r="O43" i="7" s="1" a="1"/>
  <c r="O43" i="7" s="1"/>
  <c r="O51" i="7" s="1" a="1"/>
  <c r="O51" i="7" s="1"/>
  <c r="O59" i="7" s="1" a="1"/>
  <c r="O59" i="7" s="1"/>
  <c r="O54" i="7"/>
  <c r="O62" i="7" s="1" a="1"/>
  <c r="O62" i="7" s="1"/>
  <c r="O1" i="7"/>
  <c r="O9" i="7" s="1" a="1"/>
  <c r="O9" i="7" s="1"/>
  <c r="B10" i="7" a="1"/>
  <c r="B10" i="7" s="1"/>
  <c r="F10" i="7" s="1" a="1"/>
  <c r="F10" i="7" s="1"/>
  <c r="A10" i="7" s="1" a="1"/>
  <c r="A10" i="7" s="1"/>
  <c r="B12" i="7" a="1"/>
  <c r="B12" i="7" s="1"/>
  <c r="B13" i="7" a="1"/>
  <c r="B13" i="7" s="1"/>
  <c r="B14" i="7" a="1"/>
  <c r="B14" i="7" s="1"/>
  <c r="F14" i="7" s="1" a="1"/>
  <c r="F14" i="7" s="1"/>
  <c r="A14" i="7" s="1" a="1"/>
  <c r="A14" i="7" s="1"/>
  <c r="B15" i="7" a="1"/>
  <c r="B15" i="7" s="1"/>
  <c r="B16" i="7" a="1"/>
  <c r="B16" i="7" s="1"/>
  <c r="O52" i="7" a="1"/>
  <c r="F2" i="7" a="1"/>
  <c r="F5" i="7" a="1"/>
  <c r="F8" i="7" a="1"/>
  <c r="F1" i="7" a="1"/>
  <c r="F3" i="7" a="1"/>
  <c r="F7" i="7" a="1"/>
  <c r="DQ33" i="10" l="1"/>
  <c r="B11" i="7" a="1"/>
  <c r="B11" i="7" s="1"/>
  <c r="F11" i="7" s="1" a="1"/>
  <c r="F11" i="7" s="1"/>
  <c r="A11" i="7" s="1" a="1"/>
  <c r="A11" i="7" s="1"/>
  <c r="B22" i="7" a="1"/>
  <c r="B22" i="7" s="1"/>
  <c r="F22" i="7" s="1" a="1"/>
  <c r="F22" i="7" s="1"/>
  <c r="A22" i="7" s="1" a="1"/>
  <c r="A22" i="7" s="1"/>
  <c r="B18" i="7" a="1"/>
  <c r="B18" i="7" s="1"/>
  <c r="B26" i="7" s="1" a="1"/>
  <c r="B26" i="7" s="1"/>
  <c r="F7" i="7"/>
  <c r="A7" i="7" s="1" a="1"/>
  <c r="A7" i="7" s="1"/>
  <c r="F3" i="7"/>
  <c r="F1" i="7"/>
  <c r="A1" i="7" s="1" a="1"/>
  <c r="A1" i="7" s="1"/>
  <c r="F8" i="7"/>
  <c r="A8" i="7" s="1" a="1"/>
  <c r="A8" i="7" s="1"/>
  <c r="F5" i="7"/>
  <c r="A5" i="7" s="1" a="1"/>
  <c r="A5" i="7" s="1"/>
  <c r="F2" i="7"/>
  <c r="O52" i="7"/>
  <c r="O60" i="7" s="1" a="1"/>
  <c r="O60" i="7" s="1"/>
  <c r="F13" i="7" a="1"/>
  <c r="F13" i="7" s="1"/>
  <c r="A13" i="7" s="1" a="1"/>
  <c r="A13" i="7" s="1"/>
  <c r="B21" i="7" a="1"/>
  <c r="B21" i="7" s="1"/>
  <c r="F12" i="7" a="1"/>
  <c r="F12" i="7" s="1"/>
  <c r="A12" i="7" s="1" a="1"/>
  <c r="A12" i="7" s="1"/>
  <c r="B20" i="7" a="1"/>
  <c r="B20" i="7" s="1"/>
  <c r="B9" i="7" a="1"/>
  <c r="B9" i="7" s="1"/>
  <c r="O17" i="7" a="1"/>
  <c r="O17" i="7" s="1"/>
  <c r="O25" i="7" s="1" a="1"/>
  <c r="O25" i="7" s="1"/>
  <c r="O33" i="7" s="1" a="1"/>
  <c r="O33" i="7" s="1"/>
  <c r="O41" i="7" s="1" a="1"/>
  <c r="O41" i="7" s="1"/>
  <c r="O49" i="7" s="1" a="1"/>
  <c r="O49" i="7" s="1"/>
  <c r="O57" i="7" s="1" a="1"/>
  <c r="O57" i="7" s="1"/>
  <c r="F16" i="7" a="1"/>
  <c r="F16" i="7" s="1"/>
  <c r="A16" i="7" s="1" a="1"/>
  <c r="A16" i="7" s="1"/>
  <c r="B24" i="7" a="1"/>
  <c r="B24" i="7" s="1"/>
  <c r="F15" i="7" a="1"/>
  <c r="F15" i="7" s="1"/>
  <c r="A15" i="7" s="1" a="1"/>
  <c r="A15" i="7" s="1"/>
  <c r="B23" i="7" a="1"/>
  <c r="B23" i="7" s="1"/>
  <c r="A3" i="7" a="1"/>
  <c r="A2" i="7" a="1"/>
  <c r="DX33" i="10" l="1"/>
  <c r="B30" i="7" a="1"/>
  <c r="B30" i="7" s="1"/>
  <c r="B38" i="7" s="1" a="1"/>
  <c r="B38" i="7" s="1"/>
  <c r="F18" i="7" a="1"/>
  <c r="F18" i="7" s="1"/>
  <c r="A18" i="7" s="1" a="1"/>
  <c r="A18" i="7" s="1"/>
  <c r="B19" i="7" a="1"/>
  <c r="B19" i="7" s="1"/>
  <c r="B27" i="7" s="1" a="1"/>
  <c r="B27" i="7" s="1"/>
  <c r="A2" i="7"/>
  <c r="A3" i="7"/>
  <c r="B17" i="7" a="1"/>
  <c r="B17" i="7" s="1"/>
  <c r="F9" i="7" a="1"/>
  <c r="F9" i="7" s="1"/>
  <c r="A9" i="7" s="1" a="1"/>
  <c r="A9" i="7" s="1"/>
  <c r="F20" i="7" a="1"/>
  <c r="F20" i="7" s="1"/>
  <c r="A20" i="7" s="1" a="1"/>
  <c r="A20" i="7" s="1"/>
  <c r="B28" i="7" a="1"/>
  <c r="B28" i="7" s="1"/>
  <c r="B31" i="7" a="1"/>
  <c r="B31" i="7" s="1"/>
  <c r="F23" i="7" a="1"/>
  <c r="F23" i="7" s="1"/>
  <c r="A23" i="7" s="1" a="1"/>
  <c r="A23" i="7" s="1"/>
  <c r="F24" i="7" a="1"/>
  <c r="F24" i="7" s="1"/>
  <c r="A24" i="7" s="1" a="1"/>
  <c r="A24" i="7" s="1"/>
  <c r="B32" i="7" a="1"/>
  <c r="B32" i="7" s="1"/>
  <c r="F21" i="7" a="1"/>
  <c r="F21" i="7" s="1"/>
  <c r="A21" i="7" s="1" a="1"/>
  <c r="A21" i="7" s="1"/>
  <c r="B29" i="7" a="1"/>
  <c r="B29" i="7" s="1"/>
  <c r="F26" i="7" a="1"/>
  <c r="F26" i="7" s="1"/>
  <c r="A26" i="7" s="1" a="1"/>
  <c r="A26" i="7" s="1"/>
  <c r="B34" i="7" a="1"/>
  <c r="B34" i="7" s="1"/>
  <c r="DQ41" i="10" l="1"/>
  <c r="F30" i="7" a="1"/>
  <c r="F30" i="7" s="1"/>
  <c r="A30" i="7" s="1" a="1"/>
  <c r="A30" i="7" s="1"/>
  <c r="F19" i="7" a="1"/>
  <c r="F19" i="7" s="1"/>
  <c r="A19" i="7" s="1" a="1"/>
  <c r="A19" i="7" s="1"/>
  <c r="F28" i="7" a="1"/>
  <c r="F28" i="7" s="1"/>
  <c r="A28" i="7" s="1" a="1"/>
  <c r="A28" i="7" s="1"/>
  <c r="B36" i="7" a="1"/>
  <c r="B36" i="7" s="1"/>
  <c r="F34" i="7" a="1"/>
  <c r="F34" i="7" s="1"/>
  <c r="A34" i="7" s="1" a="1"/>
  <c r="A34" i="7" s="1"/>
  <c r="B42" i="7" a="1"/>
  <c r="B42" i="7" s="1"/>
  <c r="F29" i="7" a="1"/>
  <c r="F29" i="7" s="1"/>
  <c r="A29" i="7" s="1" a="1"/>
  <c r="A29" i="7" s="1"/>
  <c r="B37" i="7" a="1"/>
  <c r="B37" i="7" s="1"/>
  <c r="F27" i="7" a="1"/>
  <c r="F27" i="7" s="1"/>
  <c r="A27" i="7" s="1" a="1"/>
  <c r="A27" i="7" s="1"/>
  <c r="B35" i="7" a="1"/>
  <c r="B35" i="7" s="1"/>
  <c r="B40" i="7" a="1"/>
  <c r="B40" i="7" s="1"/>
  <c r="F32" i="7" a="1"/>
  <c r="F32" i="7" s="1"/>
  <c r="A32" i="7" s="1" a="1"/>
  <c r="A32" i="7" s="1"/>
  <c r="F17" i="7" a="1"/>
  <c r="F17" i="7" s="1"/>
  <c r="A17" i="7" s="1" a="1"/>
  <c r="A17" i="7" s="1"/>
  <c r="B25" i="7" a="1"/>
  <c r="B25" i="7" s="1"/>
  <c r="F38" i="7" a="1"/>
  <c r="F38" i="7" s="1"/>
  <c r="A38" i="7" s="1" a="1"/>
  <c r="A38" i="7" s="1"/>
  <c r="B46" i="7" a="1"/>
  <c r="B46" i="7" s="1"/>
  <c r="F31" i="7" a="1"/>
  <c r="F31" i="7" s="1"/>
  <c r="A31" i="7" s="1" a="1"/>
  <c r="A31" i="7" s="1"/>
  <c r="B39" i="7" a="1"/>
  <c r="B39" i="7" s="1"/>
  <c r="DX41" i="10" l="1"/>
  <c r="F37" i="7" a="1"/>
  <c r="F37" i="7" s="1"/>
  <c r="A37" i="7" s="1" a="1"/>
  <c r="A37" i="7" s="1"/>
  <c r="B45" i="7" a="1"/>
  <c r="B45" i="7" s="1"/>
  <c r="B33" i="7" a="1"/>
  <c r="B33" i="7" s="1"/>
  <c r="F25" i="7" a="1"/>
  <c r="F25" i="7" s="1"/>
  <c r="A25" i="7" s="1" a="1"/>
  <c r="A25" i="7" s="1"/>
  <c r="B50" i="7" a="1"/>
  <c r="B50" i="7" s="1"/>
  <c r="F42" i="7" a="1"/>
  <c r="F42" i="7" s="1"/>
  <c r="A42" i="7" s="1" a="1"/>
  <c r="A42" i="7" s="1"/>
  <c r="F36" i="7" a="1"/>
  <c r="F36" i="7" s="1"/>
  <c r="A36" i="7" s="1" a="1"/>
  <c r="A36" i="7" s="1"/>
  <c r="B44" i="7" a="1"/>
  <c r="B44" i="7" s="1"/>
  <c r="F39" i="7" a="1"/>
  <c r="F39" i="7" s="1"/>
  <c r="A39" i="7" s="1" a="1"/>
  <c r="A39" i="7" s="1"/>
  <c r="B47" i="7" a="1"/>
  <c r="B47" i="7" s="1"/>
  <c r="F40" i="7" a="1"/>
  <c r="F40" i="7" s="1"/>
  <c r="A40" i="7" s="1" a="1"/>
  <c r="A40" i="7" s="1"/>
  <c r="B48" i="7" a="1"/>
  <c r="B48" i="7" s="1"/>
  <c r="B54" i="7" a="1"/>
  <c r="B54" i="7" s="1"/>
  <c r="F46" i="7" a="1"/>
  <c r="F46" i="7" s="1"/>
  <c r="A46" i="7" s="1" a="1"/>
  <c r="A46" i="7" s="1"/>
  <c r="F35" i="7" a="1"/>
  <c r="F35" i="7" s="1"/>
  <c r="A35" i="7" s="1" a="1"/>
  <c r="A35" i="7" s="1"/>
  <c r="B43" i="7" a="1"/>
  <c r="B43" i="7" s="1"/>
  <c r="EF1" i="10" l="1"/>
  <c r="EF9" i="10" s="1"/>
  <c r="F47" i="7" a="1"/>
  <c r="F47" i="7" s="1"/>
  <c r="A47" i="7" s="1" a="1"/>
  <c r="A47" i="7" s="1"/>
  <c r="B55" i="7" a="1"/>
  <c r="B55" i="7" s="1"/>
  <c r="F43" i="7" a="1"/>
  <c r="F43" i="7" s="1"/>
  <c r="A43" i="7" s="1" a="1"/>
  <c r="A43" i="7" s="1"/>
  <c r="B51" i="7" a="1"/>
  <c r="B51" i="7" s="1"/>
  <c r="F44" i="7" a="1"/>
  <c r="F44" i="7" s="1"/>
  <c r="A44" i="7" s="1" a="1"/>
  <c r="A44" i="7" s="1"/>
  <c r="B52" i="7" a="1"/>
  <c r="B52" i="7" s="1"/>
  <c r="F50" i="7" a="1"/>
  <c r="F50" i="7" s="1"/>
  <c r="A50" i="7" s="1" a="1"/>
  <c r="A50" i="7" s="1"/>
  <c r="B58" i="7" a="1"/>
  <c r="B58" i="7" s="1"/>
  <c r="F58" i="7" s="1" a="1"/>
  <c r="F58" i="7" s="1"/>
  <c r="A58" i="7" s="1" a="1"/>
  <c r="A58" i="7" s="1"/>
  <c r="F33" i="7" a="1"/>
  <c r="F33" i="7" s="1"/>
  <c r="A33" i="7" s="1" a="1"/>
  <c r="A33" i="7" s="1"/>
  <c r="B41" i="7" a="1"/>
  <c r="B41" i="7" s="1"/>
  <c r="F54" i="7" a="1"/>
  <c r="F54" i="7" s="1"/>
  <c r="A54" i="7" s="1" a="1"/>
  <c r="A54" i="7" s="1"/>
  <c r="B62" i="7" a="1"/>
  <c r="B62" i="7" s="1"/>
  <c r="F62" i="7" s="1" a="1"/>
  <c r="F62" i="7" s="1"/>
  <c r="A62" i="7" s="1" a="1"/>
  <c r="A62" i="7" s="1"/>
  <c r="F45" i="7" a="1"/>
  <c r="F45" i="7" s="1"/>
  <c r="A45" i="7" s="1" a="1"/>
  <c r="A45" i="7" s="1"/>
  <c r="B53" i="7" a="1"/>
  <c r="B53" i="7" s="1"/>
  <c r="F48" i="7" a="1"/>
  <c r="F48" i="7" s="1"/>
  <c r="A48" i="7" s="1" a="1"/>
  <c r="A48" i="7" s="1"/>
  <c r="B56" i="7" a="1"/>
  <c r="B56" i="7" s="1"/>
  <c r="EM9" i="10" l="1"/>
  <c r="F53" i="7" a="1"/>
  <c r="F53" i="7" s="1"/>
  <c r="A53" i="7" s="1" a="1"/>
  <c r="A53" i="7" s="1"/>
  <c r="B61" i="7" a="1"/>
  <c r="B61" i="7" s="1"/>
  <c r="F61" i="7" s="1" a="1"/>
  <c r="F61" i="7" s="1"/>
  <c r="A61" i="7" s="1" a="1"/>
  <c r="A61" i="7" s="1"/>
  <c r="F52" i="7" a="1"/>
  <c r="F52" i="7" s="1"/>
  <c r="A52" i="7" s="1" a="1"/>
  <c r="A52" i="7" s="1"/>
  <c r="B60" i="7" a="1"/>
  <c r="B60" i="7" s="1"/>
  <c r="F60" i="7" s="1" a="1"/>
  <c r="F60" i="7" s="1"/>
  <c r="A60" i="7" s="1" a="1"/>
  <c r="A60" i="7" s="1"/>
  <c r="F51" i="7" a="1"/>
  <c r="F51" i="7" s="1"/>
  <c r="A51" i="7" s="1" a="1"/>
  <c r="A51" i="7" s="1"/>
  <c r="B59" i="7" a="1"/>
  <c r="B59" i="7" s="1"/>
  <c r="F59" i="7" s="1" a="1"/>
  <c r="F59" i="7" s="1"/>
  <c r="A59" i="7" s="1" a="1"/>
  <c r="A59" i="7" s="1"/>
  <c r="B49" i="7" a="1"/>
  <c r="B49" i="7" s="1"/>
  <c r="F41" i="7" a="1"/>
  <c r="F41" i="7" s="1"/>
  <c r="A41" i="7" s="1" a="1"/>
  <c r="A41" i="7" s="1"/>
  <c r="B63" i="7" a="1"/>
  <c r="B63" i="7" s="1"/>
  <c r="F63" i="7" s="1" a="1"/>
  <c r="F63" i="7" s="1"/>
  <c r="A63" i="7" s="1" a="1"/>
  <c r="A63" i="7" s="1"/>
  <c r="F55" i="7" a="1"/>
  <c r="F55" i="7" s="1"/>
  <c r="A55" i="7" s="1" a="1"/>
  <c r="A55" i="7" s="1"/>
  <c r="F56" i="7" a="1"/>
  <c r="F56" i="7" s="1"/>
  <c r="A56" i="7" s="1" a="1"/>
  <c r="A56" i="7" s="1"/>
  <c r="B64" i="7" a="1"/>
  <c r="B64" i="7" s="1"/>
  <c r="F64" i="7" s="1" a="1"/>
  <c r="F64" i="7" s="1"/>
  <c r="A64" i="7" s="1" a="1"/>
  <c r="A64" i="7" s="1"/>
  <c r="EF17" i="10" l="1"/>
  <c r="F49" i="7" a="1"/>
  <c r="F49" i="7" s="1"/>
  <c r="A49" i="7" s="1" a="1"/>
  <c r="A49" i="7" s="1"/>
  <c r="B57" i="7" a="1"/>
  <c r="B57" i="7" s="1"/>
  <c r="F57" i="7" s="1" a="1"/>
  <c r="F57" i="7" s="1"/>
  <c r="A57" i="7" s="1" a="1"/>
  <c r="A57" i="7" s="1"/>
  <c r="EM17" i="10" l="1"/>
  <c r="R9" i="7" a="1"/>
  <c r="R9" i="7" s="1"/>
  <c r="S9" i="7" s="1"/>
  <c r="D259" i="9" s="1"/>
  <c r="R8" i="7" a="1"/>
  <c r="R8" i="7" s="1"/>
  <c r="S8" i="7" s="1"/>
  <c r="D258" i="9" s="1"/>
  <c r="R5" i="7" a="1"/>
  <c r="R5" i="7" s="1"/>
  <c r="S5" i="7" s="1"/>
  <c r="D255" i="9" s="1"/>
  <c r="R7" i="7" a="1"/>
  <c r="R7" i="7" s="1"/>
  <c r="R3" i="7" a="1"/>
  <c r="R3" i="7" s="1"/>
  <c r="R15" i="7" a="1"/>
  <c r="R15" i="7" s="1"/>
  <c r="R1" i="7" a="1"/>
  <c r="R1" i="7" s="1"/>
  <c r="R4" i="7" a="1"/>
  <c r="R4" i="7" s="1"/>
  <c r="R11" i="7" a="1"/>
  <c r="R11" i="7" s="1"/>
  <c r="R6" i="7" a="1"/>
  <c r="R6" i="7" s="1"/>
  <c r="R2" i="7" a="1"/>
  <c r="R2" i="7" s="1"/>
  <c r="R13" i="7" a="1"/>
  <c r="R13" i="7" s="1"/>
  <c r="R12" i="7" a="1"/>
  <c r="R12" i="7" s="1"/>
  <c r="R14" i="7" a="1"/>
  <c r="R14" i="7" s="1"/>
  <c r="R10" i="7" a="1"/>
  <c r="R10" i="7" s="1"/>
  <c r="EF25" i="10" l="1"/>
  <c r="C259" i="9"/>
  <c r="A259" i="9" s="1"/>
  <c r="T9" i="7"/>
  <c r="H259" i="9" s="1"/>
  <c r="Q259" i="9" s="1"/>
  <c r="P259" i="9" s="1"/>
  <c r="C258" i="9"/>
  <c r="A258" i="9" s="1"/>
  <c r="T8" i="7"/>
  <c r="H258" i="9" s="1"/>
  <c r="Q258" i="9" s="1"/>
  <c r="P258" i="9" s="1"/>
  <c r="C255" i="9"/>
  <c r="A255" i="9" s="1"/>
  <c r="T5" i="7"/>
  <c r="H255" i="9" s="1"/>
  <c r="Q255" i="9" s="1"/>
  <c r="P255" i="9" s="1"/>
  <c r="C253" i="9"/>
  <c r="A253" i="9" s="1"/>
  <c r="S3" i="7"/>
  <c r="D253" i="9" s="1"/>
  <c r="T3" i="7"/>
  <c r="H253" i="9" s="1"/>
  <c r="Q253" i="9" s="1"/>
  <c r="P253" i="9" s="1"/>
  <c r="C263" i="9"/>
  <c r="A263" i="9" s="1"/>
  <c r="S13" i="7"/>
  <c r="D263" i="9" s="1"/>
  <c r="T13" i="7"/>
  <c r="H263" i="9" s="1"/>
  <c r="Q263" i="9" s="1"/>
  <c r="P263" i="9" s="1"/>
  <c r="T7" i="7"/>
  <c r="H257" i="9" s="1"/>
  <c r="Q257" i="9" s="1"/>
  <c r="P257" i="9" s="1"/>
  <c r="C257" i="9"/>
  <c r="A257" i="9" s="1"/>
  <c r="S7" i="7"/>
  <c r="D257" i="9" s="1"/>
  <c r="S2" i="7"/>
  <c r="D252" i="9" s="1"/>
  <c r="T2" i="7"/>
  <c r="H252" i="9" s="1"/>
  <c r="Q252" i="9" s="1"/>
  <c r="P252" i="9" s="1"/>
  <c r="C252" i="9"/>
  <c r="A252" i="9" s="1"/>
  <c r="S10" i="7"/>
  <c r="D260" i="9" s="1"/>
  <c r="T10" i="7"/>
  <c r="H260" i="9" s="1"/>
  <c r="Q260" i="9" s="1"/>
  <c r="P260" i="9" s="1"/>
  <c r="C260" i="9"/>
  <c r="A260" i="9" s="1"/>
  <c r="S6" i="7"/>
  <c r="D256" i="9" s="1"/>
  <c r="T6" i="7"/>
  <c r="H256" i="9" s="1"/>
  <c r="Q256" i="9" s="1"/>
  <c r="P256" i="9" s="1"/>
  <c r="C256" i="9"/>
  <c r="A256" i="9" s="1"/>
  <c r="S14" i="7"/>
  <c r="D264" i="9" s="1"/>
  <c r="T14" i="7"/>
  <c r="H264" i="9" s="1"/>
  <c r="Q264" i="9" s="1"/>
  <c r="P264" i="9" s="1"/>
  <c r="C264" i="9"/>
  <c r="A264" i="9" s="1"/>
  <c r="S11" i="7"/>
  <c r="D261" i="9" s="1"/>
  <c r="T11" i="7"/>
  <c r="H261" i="9" s="1"/>
  <c r="Q261" i="9" s="1"/>
  <c r="P261" i="9" s="1"/>
  <c r="C261" i="9"/>
  <c r="A261" i="9" s="1"/>
  <c r="C262" i="9"/>
  <c r="A262" i="9" s="1"/>
  <c r="S12" i="7"/>
  <c r="D262" i="9" s="1"/>
  <c r="T12" i="7"/>
  <c r="H262" i="9" s="1"/>
  <c r="Q262" i="9" s="1"/>
  <c r="P262" i="9" s="1"/>
  <c r="T4" i="7"/>
  <c r="H254" i="9" s="1"/>
  <c r="Q254" i="9" s="1"/>
  <c r="P254" i="9" s="1"/>
  <c r="S4" i="7"/>
  <c r="D254" i="9" s="1"/>
  <c r="C254" i="9"/>
  <c r="A254" i="9" s="1"/>
  <c r="S1" i="7"/>
  <c r="D251" i="9" s="1"/>
  <c r="T1" i="7"/>
  <c r="H251" i="9" s="1"/>
  <c r="Q251" i="9" s="1"/>
  <c r="P251" i="9" s="1"/>
  <c r="C251" i="9"/>
  <c r="A251" i="9" s="1"/>
  <c r="S15" i="7"/>
  <c r="D265" i="9" s="1"/>
  <c r="T15" i="7"/>
  <c r="H265" i="9" s="1"/>
  <c r="Q265" i="9" s="1"/>
  <c r="P265" i="9" s="1"/>
  <c r="C265" i="9"/>
  <c r="A265" i="9" s="1"/>
  <c r="EM25" i="10" l="1"/>
  <c r="R33" i="9" a="1"/>
  <c r="R33" i="9" s="1"/>
  <c r="R96" i="9" a="1"/>
  <c r="R96" i="9" s="1"/>
  <c r="AU96" i="9" s="1"/>
  <c r="R64" i="9" a="1"/>
  <c r="R64" i="9" s="1"/>
  <c r="AU64" i="9" s="1"/>
  <c r="R106" i="9" a="1"/>
  <c r="R106" i="9" s="1"/>
  <c r="AU106" i="9" s="1"/>
  <c r="R37" i="9" a="1"/>
  <c r="R37" i="9" s="1"/>
  <c r="R194" i="9" a="1"/>
  <c r="R194" i="9" s="1"/>
  <c r="AU194" i="9" s="1"/>
  <c r="R176" i="9" a="1"/>
  <c r="R176" i="9" s="1"/>
  <c r="AU176" i="9" s="1"/>
  <c r="R246" i="9" a="1"/>
  <c r="R246" i="9" s="1"/>
  <c r="AU246" i="9" s="1"/>
  <c r="R151" i="9" a="1"/>
  <c r="R151" i="9" s="1"/>
  <c r="AU151" i="9" s="1"/>
  <c r="R152" i="9" a="1"/>
  <c r="R152" i="9" s="1"/>
  <c r="AU152" i="9" s="1"/>
  <c r="R29" i="9" a="1"/>
  <c r="R29" i="9" s="1"/>
  <c r="R14" i="9" a="1"/>
  <c r="R14" i="9" s="1"/>
  <c r="R100" i="9" a="1"/>
  <c r="R100" i="9" s="1"/>
  <c r="AU100" i="9" s="1"/>
  <c r="R227" i="9" a="1"/>
  <c r="R227" i="9" s="1"/>
  <c r="AU227" i="9" s="1"/>
  <c r="R76" i="9" a="1"/>
  <c r="R76" i="9" s="1"/>
  <c r="AU76" i="9" s="1"/>
  <c r="R89" i="9" a="1"/>
  <c r="R89" i="9" s="1"/>
  <c r="AU89" i="9" s="1"/>
  <c r="R180" i="9" a="1"/>
  <c r="R180" i="9" s="1"/>
  <c r="AU180" i="9" s="1"/>
  <c r="R141" i="9" a="1"/>
  <c r="R141" i="9" s="1"/>
  <c r="AU141" i="9" s="1"/>
  <c r="R17" i="9" a="1"/>
  <c r="R17" i="9" s="1"/>
  <c r="R179" i="9" a="1"/>
  <c r="R179" i="9" s="1"/>
  <c r="AU179" i="9" s="1"/>
  <c r="R165" i="9" a="1"/>
  <c r="R165" i="9" s="1"/>
  <c r="AU165" i="9" s="1"/>
  <c r="R201" i="9" a="1"/>
  <c r="R201" i="9" s="1"/>
  <c r="AU201" i="9" s="1"/>
  <c r="R80" i="9" a="1"/>
  <c r="R80" i="9" s="1"/>
  <c r="AU80" i="9" s="1"/>
  <c r="R93" i="9" a="1"/>
  <c r="R93" i="9" s="1"/>
  <c r="AU93" i="9" s="1"/>
  <c r="R98" i="9" a="1"/>
  <c r="R98" i="9" s="1"/>
  <c r="AU98" i="9" s="1"/>
  <c r="R6" i="9" a="1"/>
  <c r="R6" i="9" s="1"/>
  <c r="R47" i="9" a="1"/>
  <c r="R47" i="9" s="1"/>
  <c r="AU47" i="9" s="1"/>
  <c r="R184" i="9" a="1"/>
  <c r="R184" i="9" s="1"/>
  <c r="AU184" i="9" s="1"/>
  <c r="R134" i="9" a="1"/>
  <c r="R134" i="9" s="1"/>
  <c r="AU134" i="9" s="1"/>
  <c r="R239" i="9" a="1"/>
  <c r="R239" i="9" s="1"/>
  <c r="AU239" i="9" s="1"/>
  <c r="R247" i="9" a="1"/>
  <c r="R247" i="9" s="1"/>
  <c r="AU247" i="9" s="1"/>
  <c r="R187" i="9" a="1"/>
  <c r="R187" i="9" s="1"/>
  <c r="AU187" i="9" s="1"/>
  <c r="R116" i="9" a="1"/>
  <c r="R116" i="9" s="1"/>
  <c r="AU116" i="9" s="1"/>
  <c r="R253" i="9" a="1"/>
  <c r="R253" i="9" s="1"/>
  <c r="AU253" i="9" s="1"/>
  <c r="R32" i="9" a="1"/>
  <c r="R32" i="9" s="1"/>
  <c r="R21" i="9" a="1"/>
  <c r="R21" i="9" s="1"/>
  <c r="R133" i="9" a="1"/>
  <c r="R133" i="9" s="1"/>
  <c r="AU133" i="9" s="1"/>
  <c r="R108" i="9" a="1"/>
  <c r="R108" i="9" s="1"/>
  <c r="AU108" i="9" s="1"/>
  <c r="R92" i="9" a="1"/>
  <c r="R92" i="9" s="1"/>
  <c r="AU92" i="9" s="1"/>
  <c r="R139" i="9" a="1"/>
  <c r="R139" i="9" s="1"/>
  <c r="AU139" i="9" s="1"/>
  <c r="R199" i="9" a="1"/>
  <c r="R199" i="9" s="1"/>
  <c r="AU199" i="9" s="1"/>
  <c r="R263" i="9" a="1"/>
  <c r="R263" i="9" s="1"/>
  <c r="R31" i="9" a="1"/>
  <c r="R31" i="9" s="1"/>
  <c r="R132" i="9" a="1"/>
  <c r="R132" i="9" s="1"/>
  <c r="AU132" i="9" s="1"/>
  <c r="R103" i="9" a="1"/>
  <c r="R103" i="9" s="1"/>
  <c r="AU103" i="9" s="1"/>
  <c r="R168" i="9" a="1"/>
  <c r="R168" i="9" s="1"/>
  <c r="AU168" i="9" s="1"/>
  <c r="R51" i="9" a="1"/>
  <c r="R51" i="9" s="1"/>
  <c r="AU51" i="9" s="1"/>
  <c r="R7" i="9" a="1"/>
  <c r="R7" i="9" s="1"/>
  <c r="R143" i="9" a="1"/>
  <c r="R143" i="9" s="1"/>
  <c r="AU143" i="9" s="1"/>
  <c r="R229" i="9" a="1"/>
  <c r="R229" i="9" s="1"/>
  <c r="AU229" i="9" s="1"/>
  <c r="R66" i="9" a="1"/>
  <c r="R66" i="9" s="1"/>
  <c r="AU66" i="9" s="1"/>
  <c r="R153" i="9" a="1"/>
  <c r="R153" i="9" s="1"/>
  <c r="AU153" i="9" s="1"/>
  <c r="R231" i="9" a="1"/>
  <c r="R231" i="9" s="1"/>
  <c r="AU231" i="9" s="1"/>
  <c r="R48" i="9" a="1"/>
  <c r="R48" i="9" s="1"/>
  <c r="AU48" i="9" s="1"/>
  <c r="R220" i="9" a="1"/>
  <c r="R220" i="9" s="1"/>
  <c r="AU220" i="9" s="1"/>
  <c r="R216" i="9" a="1"/>
  <c r="R216" i="9" s="1"/>
  <c r="AU216" i="9" s="1"/>
  <c r="R147" i="9" a="1"/>
  <c r="R147" i="9" s="1"/>
  <c r="AU147" i="9" s="1"/>
  <c r="R54" i="9" a="1"/>
  <c r="R54" i="9" s="1"/>
  <c r="AU54" i="9" s="1"/>
  <c r="R242" i="9" a="1"/>
  <c r="R242" i="9" s="1"/>
  <c r="AU242" i="9" s="1"/>
  <c r="R185" i="9" a="1"/>
  <c r="R185" i="9" s="1"/>
  <c r="AU185" i="9" s="1"/>
  <c r="R39" i="9" a="1"/>
  <c r="R39" i="9" s="1"/>
  <c r="R52" i="9" a="1"/>
  <c r="R52" i="9" s="1"/>
  <c r="AU52" i="9" s="1"/>
  <c r="R203" i="9" a="1"/>
  <c r="R203" i="9" s="1"/>
  <c r="AU203" i="9" s="1"/>
  <c r="R79" i="9" a="1"/>
  <c r="R79" i="9" s="1"/>
  <c r="AU79" i="9" s="1"/>
  <c r="R163" i="9" a="1"/>
  <c r="R163" i="9" s="1"/>
  <c r="AU163" i="9" s="1"/>
  <c r="R138" i="9" a="1"/>
  <c r="R138" i="9" s="1"/>
  <c r="AU138" i="9" s="1"/>
  <c r="R169" i="9" a="1"/>
  <c r="R169" i="9" s="1"/>
  <c r="AU169" i="9" s="1"/>
  <c r="R196" i="9" a="1"/>
  <c r="R196" i="9" s="1"/>
  <c r="AU196" i="9" s="1"/>
  <c r="R35" i="9" a="1"/>
  <c r="R35" i="9" s="1"/>
  <c r="R183" i="9" a="1"/>
  <c r="R183" i="9" s="1"/>
  <c r="AU183" i="9" s="1"/>
  <c r="R27" i="9" a="1"/>
  <c r="R27" i="9" s="1"/>
  <c r="R173" i="9" a="1"/>
  <c r="R173" i="9" s="1"/>
  <c r="AU173" i="9" s="1"/>
  <c r="R90" i="9" a="1"/>
  <c r="R90" i="9" s="1"/>
  <c r="AU90" i="9" s="1"/>
  <c r="R218" i="9" a="1"/>
  <c r="R218" i="9" s="1"/>
  <c r="AU218" i="9" s="1"/>
  <c r="R13" i="9" a="1"/>
  <c r="R13" i="9" s="1"/>
  <c r="R73" i="9" a="1"/>
  <c r="R73" i="9" s="1"/>
  <c r="AU73" i="9" s="1"/>
  <c r="R45" i="9" a="1"/>
  <c r="R45" i="9" s="1"/>
  <c r="AU45" i="9" s="1"/>
  <c r="R154" i="9" a="1"/>
  <c r="R154" i="9" s="1"/>
  <c r="AU154" i="9" s="1"/>
  <c r="R233" i="9" a="1"/>
  <c r="R233" i="9" s="1"/>
  <c r="AU233" i="9" s="1"/>
  <c r="R9" i="9" a="1"/>
  <c r="R9" i="9" s="1"/>
  <c r="R148" i="9" a="1"/>
  <c r="R148" i="9" s="1"/>
  <c r="AU148" i="9" s="1"/>
  <c r="R219" i="9" a="1"/>
  <c r="R219" i="9" s="1"/>
  <c r="AU219" i="9" s="1"/>
  <c r="R232" i="9" a="1"/>
  <c r="R232" i="9" s="1"/>
  <c r="AU232" i="9" s="1"/>
  <c r="R4" i="9" a="1"/>
  <c r="R4" i="9" s="1"/>
  <c r="R204" i="9" a="1"/>
  <c r="R204" i="9" s="1"/>
  <c r="AU204" i="9" s="1"/>
  <c r="R60" i="9" a="1"/>
  <c r="R60" i="9" s="1"/>
  <c r="AU60" i="9" s="1"/>
  <c r="R2" i="9" a="1"/>
  <c r="R2" i="9" s="1"/>
  <c r="R88" i="9" a="1"/>
  <c r="R88" i="9" s="1"/>
  <c r="AU88" i="9" s="1"/>
  <c r="R223" i="9" a="1"/>
  <c r="R223" i="9" s="1"/>
  <c r="AU223" i="9" s="1"/>
  <c r="R197" i="9" a="1"/>
  <c r="R197" i="9" s="1"/>
  <c r="AU197" i="9" s="1"/>
  <c r="R3" i="9" a="1"/>
  <c r="R3" i="9" s="1"/>
  <c r="R155" i="9" a="1"/>
  <c r="R155" i="9" s="1"/>
  <c r="AU155" i="9" s="1"/>
  <c r="R16" i="9" a="1"/>
  <c r="R16" i="9" s="1"/>
  <c r="R254" i="9" a="1"/>
  <c r="R254" i="9" s="1"/>
  <c r="AU254" i="9" s="1"/>
  <c r="R137" i="9" a="1"/>
  <c r="R137" i="9" s="1"/>
  <c r="AU137" i="9" s="1"/>
  <c r="R11" i="9" a="1"/>
  <c r="R11" i="9" s="1"/>
  <c r="R200" i="9" a="1"/>
  <c r="R200" i="9" s="1"/>
  <c r="AU200" i="9" s="1"/>
  <c r="R71" i="9" a="1"/>
  <c r="R71" i="9" s="1"/>
  <c r="AU71" i="9" s="1"/>
  <c r="R44" i="9" a="1"/>
  <c r="R44" i="9" s="1"/>
  <c r="AU44" i="9" s="1"/>
  <c r="R175" i="9" a="1"/>
  <c r="R175" i="9" s="1"/>
  <c r="AU175" i="9" s="1"/>
  <c r="R120" i="9" a="1"/>
  <c r="R120" i="9" s="1"/>
  <c r="AU120" i="9" s="1"/>
  <c r="R114" i="9" a="1"/>
  <c r="R114" i="9" s="1"/>
  <c r="AU114" i="9" s="1"/>
  <c r="R252" i="9" a="1"/>
  <c r="R252" i="9" s="1"/>
  <c r="AU252" i="9" s="1"/>
  <c r="R210" i="9" a="1"/>
  <c r="R210" i="9" s="1"/>
  <c r="AU210" i="9" s="1"/>
  <c r="R109" i="9" a="1"/>
  <c r="R109" i="9" s="1"/>
  <c r="AU109" i="9" s="1"/>
  <c r="R205" i="9" a="1"/>
  <c r="R205" i="9" s="1"/>
  <c r="AU205" i="9" s="1"/>
  <c r="R156" i="9" a="1"/>
  <c r="R156" i="9" s="1"/>
  <c r="AU156" i="9" s="1"/>
  <c r="R265" i="9" a="1"/>
  <c r="R265" i="9" s="1"/>
  <c r="R244" i="9" a="1"/>
  <c r="R244" i="9" s="1"/>
  <c r="AU244" i="9" s="1"/>
  <c r="R177" i="9" a="1"/>
  <c r="R177" i="9" s="1"/>
  <c r="AU177" i="9" s="1"/>
  <c r="R20" i="9" a="1"/>
  <c r="R20" i="9" s="1"/>
  <c r="R251" i="9" a="1"/>
  <c r="R251" i="9" s="1"/>
  <c r="AU251" i="9" s="1"/>
  <c r="R195" i="9" a="1"/>
  <c r="R195" i="9" s="1"/>
  <c r="AU195" i="9" s="1"/>
  <c r="R56" i="9" a="1"/>
  <c r="R56" i="9" s="1"/>
  <c r="AU56" i="9" s="1"/>
  <c r="R182" i="9" a="1"/>
  <c r="R182" i="9" s="1"/>
  <c r="AU182" i="9" s="1"/>
  <c r="R12" i="9" a="1"/>
  <c r="R12" i="9" s="1"/>
  <c r="R42" i="9" a="1"/>
  <c r="R42" i="9" s="1"/>
  <c r="R49" i="9" a="1"/>
  <c r="R49" i="9" s="1"/>
  <c r="AU49" i="9" s="1"/>
  <c r="R69" i="9" a="1"/>
  <c r="R69" i="9" s="1"/>
  <c r="AU69" i="9" s="1"/>
  <c r="R70" i="9" a="1"/>
  <c r="R70" i="9" s="1"/>
  <c r="AU70" i="9" s="1"/>
  <c r="R224" i="9" a="1"/>
  <c r="R224" i="9" s="1"/>
  <c r="AU224" i="9" s="1"/>
  <c r="R162" i="9" a="1"/>
  <c r="R162" i="9" s="1"/>
  <c r="AU162" i="9" s="1"/>
  <c r="R144" i="9" a="1"/>
  <c r="R144" i="9" s="1"/>
  <c r="AU144" i="9" s="1"/>
  <c r="R107" i="9" a="1"/>
  <c r="R107" i="9" s="1"/>
  <c r="AU107" i="9" s="1"/>
  <c r="R126" i="9" a="1"/>
  <c r="R126" i="9" s="1"/>
  <c r="AU126" i="9" s="1"/>
  <c r="R22" i="9" a="1"/>
  <c r="R22" i="9" s="1"/>
  <c r="R34" i="9" a="1"/>
  <c r="R34" i="9" s="1"/>
  <c r="R159" i="9" a="1"/>
  <c r="R159" i="9" s="1"/>
  <c r="AU159" i="9" s="1"/>
  <c r="R8" i="9" a="1"/>
  <c r="R8" i="9" s="1"/>
  <c r="R161" i="9" a="1"/>
  <c r="R161" i="9" s="1"/>
  <c r="AU161" i="9" s="1"/>
  <c r="R5" i="9" a="1"/>
  <c r="R5" i="9" s="1"/>
  <c r="R125" i="9" a="1"/>
  <c r="R125" i="9" s="1"/>
  <c r="AU125" i="9" s="1"/>
  <c r="R65" i="9" a="1"/>
  <c r="R65" i="9" s="1"/>
  <c r="AU65" i="9" s="1"/>
  <c r="R72" i="9" a="1"/>
  <c r="R72" i="9" s="1"/>
  <c r="AU72" i="9" s="1"/>
  <c r="R178" i="9" a="1"/>
  <c r="R178" i="9" s="1"/>
  <c r="AU178" i="9" s="1"/>
  <c r="R222" i="9" a="1"/>
  <c r="R222" i="9" s="1"/>
  <c r="AU222" i="9" s="1"/>
  <c r="R74" i="9" a="1"/>
  <c r="R74" i="9" s="1"/>
  <c r="AU74" i="9" s="1"/>
  <c r="R207" i="9" a="1"/>
  <c r="R207" i="9" s="1"/>
  <c r="AU207" i="9" s="1"/>
  <c r="R214" i="9" a="1"/>
  <c r="R214" i="9" s="1"/>
  <c r="AU214" i="9" s="1"/>
  <c r="R111" i="9" a="1"/>
  <c r="R111" i="9" s="1"/>
  <c r="AU111" i="9" s="1"/>
  <c r="R115" i="9" a="1"/>
  <c r="R115" i="9" s="1"/>
  <c r="AU115" i="9" s="1"/>
  <c r="R68" i="9" a="1"/>
  <c r="R68" i="9" s="1"/>
  <c r="AU68" i="9" s="1"/>
  <c r="R28" i="9" a="1"/>
  <c r="R28" i="9" s="1"/>
  <c r="R122" i="9" a="1"/>
  <c r="R122" i="9" s="1"/>
  <c r="AU122" i="9" s="1"/>
  <c r="R241" i="9" a="1"/>
  <c r="R241" i="9" s="1"/>
  <c r="AU241" i="9" s="1"/>
  <c r="R117" i="9" a="1"/>
  <c r="R117" i="9" s="1"/>
  <c r="AU117" i="9" s="1"/>
  <c r="R105" i="9" a="1"/>
  <c r="R105" i="9" s="1"/>
  <c r="AU105" i="9" s="1"/>
  <c r="R145" i="9" a="1"/>
  <c r="R145" i="9" s="1"/>
  <c r="AU145" i="9" s="1"/>
  <c r="R59" i="9" a="1"/>
  <c r="R59" i="9" s="1"/>
  <c r="AU59" i="9" s="1"/>
  <c r="R230" i="9" a="1"/>
  <c r="R230" i="9" s="1"/>
  <c r="AU230" i="9" s="1"/>
  <c r="R129" i="9" a="1"/>
  <c r="R129" i="9" s="1"/>
  <c r="AU129" i="9" s="1"/>
  <c r="R18" i="9" a="1"/>
  <c r="R18" i="9" s="1"/>
  <c r="R36" i="9" a="1"/>
  <c r="R36" i="9" s="1"/>
  <c r="R53" i="9" a="1"/>
  <c r="R53" i="9" s="1"/>
  <c r="AU53" i="9" s="1"/>
  <c r="R23" i="9" a="1"/>
  <c r="R23" i="9" s="1"/>
  <c r="R61" i="9" a="1"/>
  <c r="R61" i="9" s="1"/>
  <c r="AU61" i="9" s="1"/>
  <c r="R225" i="9" a="1"/>
  <c r="R225" i="9" s="1"/>
  <c r="AU225" i="9" s="1"/>
  <c r="R62" i="9" a="1"/>
  <c r="R62" i="9" s="1"/>
  <c r="AU62" i="9" s="1"/>
  <c r="R91" i="9" a="1"/>
  <c r="R91" i="9" s="1"/>
  <c r="AU91" i="9" s="1"/>
  <c r="R124" i="9" a="1"/>
  <c r="R124" i="9" s="1"/>
  <c r="AU124" i="9" s="1"/>
  <c r="R188" i="9" a="1"/>
  <c r="R188" i="9" s="1"/>
  <c r="AU188" i="9" s="1"/>
  <c r="R127" i="9" a="1"/>
  <c r="R127" i="9" s="1"/>
  <c r="AU127" i="9" s="1"/>
  <c r="R86" i="9" a="1"/>
  <c r="R86" i="9" s="1"/>
  <c r="AU86" i="9" s="1"/>
  <c r="R95" i="9" a="1"/>
  <c r="R95" i="9" s="1"/>
  <c r="AU95" i="9" s="1"/>
  <c r="R171" i="9" a="1"/>
  <c r="R171" i="9" s="1"/>
  <c r="AU171" i="9" s="1"/>
  <c r="R30" i="9" a="1"/>
  <c r="R30" i="9" s="1"/>
  <c r="R121" i="9" a="1"/>
  <c r="R121" i="9" s="1"/>
  <c r="AU121" i="9" s="1"/>
  <c r="R101" i="9" a="1"/>
  <c r="R101" i="9" s="1"/>
  <c r="AU101" i="9" s="1"/>
  <c r="R94" i="9" a="1"/>
  <c r="R94" i="9" s="1"/>
  <c r="AU94" i="9" s="1"/>
  <c r="R55" i="9" a="1"/>
  <c r="R55" i="9" s="1"/>
  <c r="AU55" i="9" s="1"/>
  <c r="R85" i="9" a="1"/>
  <c r="R85" i="9" s="1"/>
  <c r="AU85" i="9" s="1"/>
  <c r="R113" i="9" a="1"/>
  <c r="R113" i="9" s="1"/>
  <c r="AU113" i="9" s="1"/>
  <c r="R249" i="9" a="1"/>
  <c r="R249" i="9" s="1"/>
  <c r="AU249" i="9" s="1"/>
  <c r="R186" i="9" a="1"/>
  <c r="R186" i="9" s="1"/>
  <c r="AU186" i="9" s="1"/>
  <c r="R75" i="9" a="1"/>
  <c r="R75" i="9" s="1"/>
  <c r="AU75" i="9" s="1"/>
  <c r="R84" i="9" a="1"/>
  <c r="R84" i="9" s="1"/>
  <c r="AU84" i="9" s="1"/>
  <c r="R192" i="9" a="1"/>
  <c r="R192" i="9" s="1"/>
  <c r="AU192" i="9" s="1"/>
  <c r="R81" i="9" a="1"/>
  <c r="R81" i="9" s="1"/>
  <c r="AU81" i="9" s="1"/>
  <c r="R57" i="9" a="1"/>
  <c r="R57" i="9" s="1"/>
  <c r="AU57" i="9" s="1"/>
  <c r="R46" i="9" a="1"/>
  <c r="R46" i="9" s="1"/>
  <c r="AU46" i="9" s="1"/>
  <c r="R130" i="9" a="1"/>
  <c r="R130" i="9" s="1"/>
  <c r="AU130" i="9" s="1"/>
  <c r="R142" i="9" a="1"/>
  <c r="R142" i="9" s="1"/>
  <c r="AU142" i="9" s="1"/>
  <c r="R10" i="9" a="1"/>
  <c r="R10" i="9" s="1"/>
  <c r="R119" i="9" a="1"/>
  <c r="R119" i="9" s="1"/>
  <c r="AU119" i="9" s="1"/>
  <c r="R248" i="9" a="1"/>
  <c r="R248" i="9" s="1"/>
  <c r="AU248" i="9" s="1"/>
  <c r="R170" i="9" a="1"/>
  <c r="R170" i="9" s="1"/>
  <c r="AU170" i="9" s="1"/>
  <c r="R82" i="9" a="1"/>
  <c r="R82" i="9" s="1"/>
  <c r="AU82" i="9" s="1"/>
  <c r="R19" i="9" a="1"/>
  <c r="R19" i="9" s="1"/>
  <c r="R38" i="9" a="1"/>
  <c r="R38" i="9" s="1"/>
  <c r="R58" i="9" a="1"/>
  <c r="R58" i="9" s="1"/>
  <c r="AU58" i="9" s="1"/>
  <c r="R167" i="9" a="1"/>
  <c r="R167" i="9" s="1"/>
  <c r="AU167" i="9" s="1"/>
  <c r="R191" i="9" a="1"/>
  <c r="R191" i="9" s="1"/>
  <c r="AU191" i="9" s="1"/>
  <c r="R24" i="9" a="1"/>
  <c r="R24" i="9" s="1"/>
  <c r="R221" i="9" a="1"/>
  <c r="R221" i="9" s="1"/>
  <c r="AU221" i="9" s="1"/>
  <c r="R110" i="9" a="1"/>
  <c r="R110" i="9" s="1"/>
  <c r="AU110" i="9" s="1"/>
  <c r="R25" i="9" a="1"/>
  <c r="R25" i="9" s="1"/>
  <c r="R78" i="9" a="1"/>
  <c r="R78" i="9" s="1"/>
  <c r="AU78" i="9" s="1"/>
  <c r="R102" i="9" a="1"/>
  <c r="R102" i="9" s="1"/>
  <c r="AU102" i="9" s="1"/>
  <c r="R149" i="9" a="1"/>
  <c r="R149" i="9" s="1"/>
  <c r="AU149" i="9" s="1"/>
  <c r="R174" i="9" a="1"/>
  <c r="R174" i="9" s="1"/>
  <c r="AU174" i="9" s="1"/>
  <c r="R208" i="9" a="1"/>
  <c r="R208" i="9" s="1"/>
  <c r="AU208" i="9" s="1"/>
  <c r="R235" i="9" a="1"/>
  <c r="R235" i="9" s="1"/>
  <c r="AU235" i="9" s="1"/>
  <c r="R264" i="9" a="1"/>
  <c r="R264" i="9" s="1"/>
  <c r="R87" i="9" a="1"/>
  <c r="R87" i="9" s="1"/>
  <c r="AU87" i="9" s="1"/>
  <c r="R50" i="9" a="1"/>
  <c r="R50" i="9" s="1"/>
  <c r="AU50" i="9" s="1"/>
  <c r="R63" i="9" a="1"/>
  <c r="R63" i="9" s="1"/>
  <c r="AU63" i="9" s="1"/>
  <c r="R123" i="9" a="1"/>
  <c r="R123" i="9" s="1"/>
  <c r="AU123" i="9" s="1"/>
  <c r="R131" i="9" a="1"/>
  <c r="R131" i="9" s="1"/>
  <c r="AU131" i="9" s="1"/>
  <c r="R158" i="9" a="1"/>
  <c r="R158" i="9" s="1"/>
  <c r="AU158" i="9" s="1"/>
  <c r="R190" i="9" a="1"/>
  <c r="R190" i="9" s="1"/>
  <c r="AU190" i="9" s="1"/>
  <c r="R212" i="9" a="1"/>
  <c r="R212" i="9" s="1"/>
  <c r="AU212" i="9" s="1"/>
  <c r="R238" i="9" a="1"/>
  <c r="R238" i="9" s="1"/>
  <c r="AU238" i="9" s="1"/>
  <c r="R164" i="9" a="1"/>
  <c r="R164" i="9" s="1"/>
  <c r="AU164" i="9" s="1"/>
  <c r="R41" i="9" a="1"/>
  <c r="R41" i="9" s="1"/>
  <c r="R104" i="9" a="1"/>
  <c r="R104" i="9" s="1"/>
  <c r="AU104" i="9" s="1"/>
  <c r="R140" i="9" a="1"/>
  <c r="R140" i="9" s="1"/>
  <c r="AU140" i="9" s="1"/>
  <c r="R166" i="9" a="1"/>
  <c r="R166" i="9" s="1"/>
  <c r="AU166" i="9" s="1"/>
  <c r="R202" i="9" a="1"/>
  <c r="R202" i="9" s="1"/>
  <c r="AU202" i="9" s="1"/>
  <c r="R228" i="9" a="1"/>
  <c r="R228" i="9" s="1"/>
  <c r="AU228" i="9" s="1"/>
  <c r="R245" i="9" a="1"/>
  <c r="R245" i="9" s="1"/>
  <c r="AU245" i="9" s="1"/>
  <c r="R118" i="9" a="1"/>
  <c r="R118" i="9" s="1"/>
  <c r="AU118" i="9" s="1"/>
  <c r="R226" i="9" a="1"/>
  <c r="R226" i="9" s="1"/>
  <c r="AU226" i="9" s="1"/>
  <c r="R26" i="9" a="1"/>
  <c r="R26" i="9" s="1"/>
  <c r="R83" i="9" a="1"/>
  <c r="R83" i="9" s="1"/>
  <c r="AU83" i="9" s="1"/>
  <c r="R97" i="9" a="1"/>
  <c r="R97" i="9" s="1"/>
  <c r="AU97" i="9" s="1"/>
  <c r="R150" i="9" a="1"/>
  <c r="R150" i="9" s="1"/>
  <c r="AU150" i="9" s="1"/>
  <c r="R181" i="9" a="1"/>
  <c r="R181" i="9" s="1"/>
  <c r="AU181" i="9" s="1"/>
  <c r="R209" i="9" a="1"/>
  <c r="R209" i="9" s="1"/>
  <c r="AU209" i="9" s="1"/>
  <c r="R236" i="9" a="1"/>
  <c r="R236" i="9" s="1"/>
  <c r="AU236" i="9" s="1"/>
  <c r="R215" i="9" a="1"/>
  <c r="R215" i="9" s="1"/>
  <c r="AU215" i="9" s="1"/>
  <c r="R136" i="9" a="1"/>
  <c r="R136" i="9" s="1"/>
  <c r="AU136" i="9" s="1"/>
  <c r="R40" i="9" a="1"/>
  <c r="R40" i="9" s="1"/>
  <c r="R67" i="9" a="1"/>
  <c r="R67" i="9" s="1"/>
  <c r="AU67" i="9" s="1"/>
  <c r="R135" i="9" a="1"/>
  <c r="R135" i="9" s="1"/>
  <c r="AU135" i="9" s="1"/>
  <c r="R160" i="9" a="1"/>
  <c r="R160" i="9" s="1"/>
  <c r="AU160" i="9" s="1"/>
  <c r="R193" i="9" a="1"/>
  <c r="R193" i="9" s="1"/>
  <c r="AU193" i="9" s="1"/>
  <c r="R213" i="9" a="1"/>
  <c r="R213" i="9" s="1"/>
  <c r="AU213" i="9" s="1"/>
  <c r="R240" i="9" a="1"/>
  <c r="R240" i="9" s="1"/>
  <c r="AU240" i="9" s="1"/>
  <c r="R217" i="9" a="1"/>
  <c r="R217" i="9" s="1"/>
  <c r="AU217" i="9" s="1"/>
  <c r="R198" i="9" a="1"/>
  <c r="R198" i="9" s="1"/>
  <c r="AU198" i="9" s="1"/>
  <c r="R112" i="9" a="1"/>
  <c r="R112" i="9" s="1"/>
  <c r="AU112" i="9" s="1"/>
  <c r="R146" i="9" a="1"/>
  <c r="R146" i="9" s="1"/>
  <c r="AU146" i="9" s="1"/>
  <c r="R172" i="9" a="1"/>
  <c r="R172" i="9" s="1"/>
  <c r="AU172" i="9" s="1"/>
  <c r="R206" i="9" a="1"/>
  <c r="R206" i="9" s="1"/>
  <c r="AU206" i="9" s="1"/>
  <c r="R234" i="9" a="1"/>
  <c r="R234" i="9" s="1"/>
  <c r="AU234" i="9" s="1"/>
  <c r="R250" i="9" a="1"/>
  <c r="R250" i="9" s="1"/>
  <c r="AU250" i="9" s="1"/>
  <c r="R237" i="9" a="1"/>
  <c r="R237" i="9" s="1"/>
  <c r="AU237" i="9" s="1"/>
  <c r="R43" i="9" a="1"/>
  <c r="R43" i="9" s="1"/>
  <c r="AU43" i="9" s="1"/>
  <c r="R243" i="9" a="1"/>
  <c r="R243" i="9" s="1"/>
  <c r="AU243" i="9" s="1"/>
  <c r="R1" i="9" a="1"/>
  <c r="R1" i="9" s="1"/>
  <c r="R77" i="9" a="1"/>
  <c r="R77" i="9" s="1"/>
  <c r="AU77" i="9" s="1"/>
  <c r="R99" i="9" a="1"/>
  <c r="R99" i="9" s="1"/>
  <c r="AU99" i="9" s="1"/>
  <c r="R128" i="9" a="1"/>
  <c r="R128" i="9" s="1"/>
  <c r="AU128" i="9" s="1"/>
  <c r="R157" i="9" a="1"/>
  <c r="R157" i="9" s="1"/>
  <c r="AU157" i="9" s="1"/>
  <c r="R189" i="9" a="1"/>
  <c r="R189" i="9" s="1"/>
  <c r="AU189" i="9" s="1"/>
  <c r="R211" i="9" a="1"/>
  <c r="R211" i="9" s="1"/>
  <c r="AU211" i="9" s="1"/>
  <c r="R15" i="9" a="1"/>
  <c r="R15" i="9" s="1"/>
  <c r="U1" i="9" a="1"/>
  <c r="S37" i="9" a="1"/>
  <c r="EF33" i="10" l="1"/>
  <c r="U1" i="9"/>
  <c r="S37" i="9"/>
  <c r="Z119" i="9"/>
  <c r="V119" i="9" a="1"/>
  <c r="V119" i="9" s="1"/>
  <c r="Y119" i="9" a="1"/>
  <c r="Y119" i="9" s="1"/>
  <c r="U119" i="9" a="1"/>
  <c r="U119" i="9" s="1"/>
  <c r="S119" i="9" a="1"/>
  <c r="S119" i="9" s="1"/>
  <c r="AC119" i="9" s="1"/>
  <c r="W119" i="9" a="1"/>
  <c r="W119" i="9" s="1"/>
  <c r="AB119" i="9" a="1"/>
  <c r="AB119" i="9" s="1"/>
  <c r="X119" i="9" a="1"/>
  <c r="X119" i="9" s="1"/>
  <c r="T119" i="9" a="1"/>
  <c r="T119" i="9" s="1"/>
  <c r="V222" i="9" a="1"/>
  <c r="V222" i="9" s="1"/>
  <c r="Y222" i="9" a="1"/>
  <c r="Y222" i="9" s="1"/>
  <c r="Z222" i="9"/>
  <c r="AB222" i="9" a="1"/>
  <c r="AB222" i="9" s="1"/>
  <c r="X222" i="9" a="1"/>
  <c r="X222" i="9" s="1"/>
  <c r="U222" i="9" a="1"/>
  <c r="U222" i="9" s="1"/>
  <c r="S222" i="9" a="1"/>
  <c r="S222" i="9" s="1"/>
  <c r="AC222" i="9" s="1"/>
  <c r="W222" i="9" a="1"/>
  <c r="W222" i="9" s="1"/>
  <c r="T222" i="9" a="1"/>
  <c r="T222" i="9" s="1"/>
  <c r="X187" i="9" a="1"/>
  <c r="X187" i="9" s="1"/>
  <c r="Z187" i="9"/>
  <c r="T187" i="9" a="1"/>
  <c r="T187" i="9" s="1"/>
  <c r="W187" i="9" a="1"/>
  <c r="W187" i="9" s="1"/>
  <c r="V187" i="9" a="1"/>
  <c r="V187" i="9" s="1"/>
  <c r="Y187" i="9" a="1"/>
  <c r="Y187" i="9" s="1"/>
  <c r="AB187" i="9" a="1"/>
  <c r="AB187" i="9" s="1"/>
  <c r="S187" i="9" a="1"/>
  <c r="S187" i="9" s="1"/>
  <c r="AC187" i="9" s="1"/>
  <c r="U187" i="9" a="1"/>
  <c r="U187" i="9" s="1"/>
  <c r="AB167" i="9" a="1"/>
  <c r="AB167" i="9" s="1"/>
  <c r="Y167" i="9" a="1"/>
  <c r="Y167" i="9" s="1"/>
  <c r="V167" i="9" a="1"/>
  <c r="V167" i="9" s="1"/>
  <c r="X167" i="9" a="1"/>
  <c r="X167" i="9" s="1"/>
  <c r="U167" i="9" a="1"/>
  <c r="U167" i="9" s="1"/>
  <c r="S167" i="9" a="1"/>
  <c r="S167" i="9" s="1"/>
  <c r="AC167" i="9" s="1"/>
  <c r="T167" i="9" a="1"/>
  <c r="T167" i="9" s="1"/>
  <c r="Z167" i="9"/>
  <c r="W167" i="9" a="1"/>
  <c r="W167" i="9" s="1"/>
  <c r="Z75" i="9"/>
  <c r="AB75" i="9" a="1"/>
  <c r="AB75" i="9" s="1"/>
  <c r="T75" i="9" a="1"/>
  <c r="T75" i="9" s="1"/>
  <c r="V75" i="9" a="1"/>
  <c r="V75" i="9" s="1"/>
  <c r="W75" i="9" a="1"/>
  <c r="W75" i="9" s="1"/>
  <c r="U75" i="9" a="1"/>
  <c r="U75" i="9" s="1"/>
  <c r="Y75" i="9" a="1"/>
  <c r="Y75" i="9" s="1"/>
  <c r="X75" i="9" a="1"/>
  <c r="X75" i="9" s="1"/>
  <c r="S75" i="9" a="1"/>
  <c r="S75" i="9" s="1"/>
  <c r="AC75" i="9" s="1"/>
  <c r="W121" i="9" a="1"/>
  <c r="W121" i="9" s="1"/>
  <c r="V121" i="9" a="1"/>
  <c r="V121" i="9" s="1"/>
  <c r="AB121" i="9" a="1"/>
  <c r="AB121" i="9" s="1"/>
  <c r="Z121" i="9"/>
  <c r="S121" i="9" a="1"/>
  <c r="S121" i="9" s="1"/>
  <c r="AC121" i="9" s="1"/>
  <c r="T121" i="9" a="1"/>
  <c r="T121" i="9" s="1"/>
  <c r="U121" i="9" a="1"/>
  <c r="U121" i="9" s="1"/>
  <c r="Y121" i="9" a="1"/>
  <c r="Y121" i="9" s="1"/>
  <c r="X121" i="9" a="1"/>
  <c r="X121" i="9" s="1"/>
  <c r="T129" i="9" a="1"/>
  <c r="T129" i="9" s="1"/>
  <c r="Y129" i="9" a="1"/>
  <c r="Y129" i="9" s="1"/>
  <c r="U129" i="9" a="1"/>
  <c r="U129" i="9" s="1"/>
  <c r="V129" i="9" a="1"/>
  <c r="V129" i="9" s="1"/>
  <c r="Z129" i="9"/>
  <c r="AB129" i="9" a="1"/>
  <c r="AB129" i="9" s="1"/>
  <c r="S129" i="9" a="1"/>
  <c r="S129" i="9" s="1"/>
  <c r="AC129" i="9" s="1"/>
  <c r="W129" i="9" a="1"/>
  <c r="W129" i="9" s="1"/>
  <c r="X129" i="9" a="1"/>
  <c r="X129" i="9" s="1"/>
  <c r="X178" i="9" a="1"/>
  <c r="X178" i="9" s="1"/>
  <c r="S178" i="9" a="1"/>
  <c r="S178" i="9" s="1"/>
  <c r="AC178" i="9" s="1"/>
  <c r="Z178" i="9"/>
  <c r="V178" i="9" a="1"/>
  <c r="V178" i="9" s="1"/>
  <c r="AB178" i="9" a="1"/>
  <c r="AB178" i="9" s="1"/>
  <c r="W178" i="9" a="1"/>
  <c r="W178" i="9" s="1"/>
  <c r="Y178" i="9" a="1"/>
  <c r="Y178" i="9" s="1"/>
  <c r="U178" i="9" a="1"/>
  <c r="U178" i="9" s="1"/>
  <c r="T178" i="9" a="1"/>
  <c r="T178" i="9" s="1"/>
  <c r="U69" i="9" a="1"/>
  <c r="U69" i="9" s="1"/>
  <c r="AB69" i="9" a="1"/>
  <c r="AB69" i="9" s="1"/>
  <c r="X69" i="9" a="1"/>
  <c r="X69" i="9" s="1"/>
  <c r="Y69" i="9" a="1"/>
  <c r="Y69" i="9" s="1"/>
  <c r="Z69" i="9"/>
  <c r="T69" i="9" a="1"/>
  <c r="T69" i="9" s="1"/>
  <c r="V69" i="9" a="1"/>
  <c r="V69" i="9" s="1"/>
  <c r="S69" i="9" a="1"/>
  <c r="S69" i="9" s="1"/>
  <c r="AC69" i="9" s="1"/>
  <c r="W69" i="9" a="1"/>
  <c r="W69" i="9" s="1"/>
  <c r="Z252" i="9"/>
  <c r="W252" i="9" a="1"/>
  <c r="W252" i="9" s="1"/>
  <c r="X252" i="9" a="1"/>
  <c r="X252" i="9" s="1"/>
  <c r="Y252" i="9" a="1"/>
  <c r="Y252" i="9" s="1"/>
  <c r="T252" i="9" a="1"/>
  <c r="T252" i="9" s="1"/>
  <c r="U252" i="9" a="1"/>
  <c r="U252" i="9" s="1"/>
  <c r="S252" i="9" a="1"/>
  <c r="S252" i="9" s="1"/>
  <c r="AC252" i="9" s="1"/>
  <c r="V252" i="9" a="1"/>
  <c r="V252" i="9" s="1"/>
  <c r="AB252" i="9" a="1"/>
  <c r="AB252" i="9" s="1"/>
  <c r="T137" i="9" a="1"/>
  <c r="T137" i="9" s="1"/>
  <c r="V137" i="9" a="1"/>
  <c r="V137" i="9" s="1"/>
  <c r="Z137" i="9"/>
  <c r="AB137" i="9" a="1"/>
  <c r="AB137" i="9" s="1"/>
  <c r="S137" i="9" a="1"/>
  <c r="S137" i="9" s="1"/>
  <c r="AC137" i="9" s="1"/>
  <c r="W137" i="9" a="1"/>
  <c r="W137" i="9" s="1"/>
  <c r="X137" i="9" a="1"/>
  <c r="X137" i="9" s="1"/>
  <c r="Y137" i="9" a="1"/>
  <c r="Y137" i="9" s="1"/>
  <c r="U137" i="9" a="1"/>
  <c r="U137" i="9" s="1"/>
  <c r="V233" i="9" a="1"/>
  <c r="V233" i="9" s="1"/>
  <c r="X233" i="9" a="1"/>
  <c r="X233" i="9" s="1"/>
  <c r="Y233" i="9" a="1"/>
  <c r="Y233" i="9" s="1"/>
  <c r="W233" i="9" a="1"/>
  <c r="W233" i="9" s="1"/>
  <c r="U233" i="9" a="1"/>
  <c r="U233" i="9" s="1"/>
  <c r="Z233" i="9"/>
  <c r="S233" i="9" a="1"/>
  <c r="S233" i="9" s="1"/>
  <c r="AC233" i="9" s="1"/>
  <c r="AB233" i="9" a="1"/>
  <c r="AB233" i="9" s="1"/>
  <c r="T233" i="9" a="1"/>
  <c r="T233" i="9" s="1"/>
  <c r="Y203" i="9" a="1"/>
  <c r="Y203" i="9" s="1"/>
  <c r="X203" i="9" a="1"/>
  <c r="X203" i="9" s="1"/>
  <c r="U203" i="9" a="1"/>
  <c r="U203" i="9" s="1"/>
  <c r="W203" i="9" a="1"/>
  <c r="W203" i="9" s="1"/>
  <c r="S203" i="9" a="1"/>
  <c r="S203" i="9" s="1"/>
  <c r="AC203" i="9" s="1"/>
  <c r="V203" i="9" a="1"/>
  <c r="V203" i="9" s="1"/>
  <c r="T203" i="9" a="1"/>
  <c r="T203" i="9" s="1"/>
  <c r="AB203" i="9" a="1"/>
  <c r="AB203" i="9" s="1"/>
  <c r="Z203" i="9"/>
  <c r="Y220" i="9" a="1"/>
  <c r="Y220" i="9" s="1"/>
  <c r="W220" i="9" a="1"/>
  <c r="W220" i="9" s="1"/>
  <c r="Z220" i="9"/>
  <c r="T220" i="9" a="1"/>
  <c r="T220" i="9" s="1"/>
  <c r="V220" i="9" a="1"/>
  <c r="V220" i="9" s="1"/>
  <c r="AB220" i="9" a="1"/>
  <c r="AB220" i="9" s="1"/>
  <c r="X220" i="9" a="1"/>
  <c r="X220" i="9" s="1"/>
  <c r="S220" i="9" a="1"/>
  <c r="S220" i="9" s="1"/>
  <c r="AC220" i="9" s="1"/>
  <c r="U220" i="9" a="1"/>
  <c r="U220" i="9" s="1"/>
  <c r="S51" i="9" a="1"/>
  <c r="S51" i="9" s="1"/>
  <c r="AC51" i="9" s="1"/>
  <c r="Z51" i="9"/>
  <c r="U51" i="9" a="1"/>
  <c r="U51" i="9" s="1"/>
  <c r="Y51" i="9" a="1"/>
  <c r="Y51" i="9" s="1"/>
  <c r="V51" i="9" a="1"/>
  <c r="V51" i="9" s="1"/>
  <c r="X51" i="9" a="1"/>
  <c r="X51" i="9" s="1"/>
  <c r="W51" i="9" a="1"/>
  <c r="W51" i="9" s="1"/>
  <c r="T51" i="9" a="1"/>
  <c r="T51" i="9" s="1"/>
  <c r="AB51" i="9" a="1"/>
  <c r="AB51" i="9" s="1"/>
  <c r="T92" i="9" a="1"/>
  <c r="T92" i="9" s="1"/>
  <c r="Z92" i="9"/>
  <c r="W92" i="9" a="1"/>
  <c r="W92" i="9" s="1"/>
  <c r="U92" i="9" a="1"/>
  <c r="U92" i="9" s="1"/>
  <c r="Y92" i="9" a="1"/>
  <c r="Y92" i="9" s="1"/>
  <c r="AB92" i="9" a="1"/>
  <c r="AB92" i="9" s="1"/>
  <c r="V92" i="9" a="1"/>
  <c r="V92" i="9" s="1"/>
  <c r="S92" i="9" a="1"/>
  <c r="S92" i="9" s="1"/>
  <c r="AC92" i="9" s="1"/>
  <c r="X92" i="9" a="1"/>
  <c r="X92" i="9" s="1"/>
  <c r="Z247" i="9"/>
  <c r="U247" i="9" a="1"/>
  <c r="U247" i="9" s="1"/>
  <c r="S247" i="9" a="1"/>
  <c r="S247" i="9" s="1"/>
  <c r="AC247" i="9" s="1"/>
  <c r="V247" i="9" a="1"/>
  <c r="V247" i="9" s="1"/>
  <c r="W247" i="9" a="1"/>
  <c r="W247" i="9" s="1"/>
  <c r="T247" i="9" a="1"/>
  <c r="T247" i="9" s="1"/>
  <c r="X247" i="9" a="1"/>
  <c r="X247" i="9" s="1"/>
  <c r="Y247" i="9" a="1"/>
  <c r="Y247" i="9" s="1"/>
  <c r="AB247" i="9" a="1"/>
  <c r="AB247" i="9" s="1"/>
  <c r="V80" i="9" a="1"/>
  <c r="V80" i="9" s="1"/>
  <c r="Y80" i="9" a="1"/>
  <c r="Y80" i="9" s="1"/>
  <c r="U80" i="9" a="1"/>
  <c r="U80" i="9" s="1"/>
  <c r="X80" i="9" a="1"/>
  <c r="X80" i="9" s="1"/>
  <c r="S80" i="9" a="1"/>
  <c r="S80" i="9" s="1"/>
  <c r="AC80" i="9" s="1"/>
  <c r="Z80" i="9"/>
  <c r="W80" i="9" a="1"/>
  <c r="W80" i="9" s="1"/>
  <c r="AB80" i="9" a="1"/>
  <c r="AB80" i="9" s="1"/>
  <c r="T80" i="9" a="1"/>
  <c r="T80" i="9" s="1"/>
  <c r="T76" i="9" a="1"/>
  <c r="T76" i="9" s="1"/>
  <c r="Z76" i="9"/>
  <c r="X76" i="9" a="1"/>
  <c r="X76" i="9" s="1"/>
  <c r="U76" i="9" a="1"/>
  <c r="U76" i="9" s="1"/>
  <c r="Y76" i="9" a="1"/>
  <c r="Y76" i="9" s="1"/>
  <c r="W76" i="9" a="1"/>
  <c r="W76" i="9" s="1"/>
  <c r="S76" i="9" a="1"/>
  <c r="S76" i="9" s="1"/>
  <c r="AC76" i="9" s="1"/>
  <c r="AB76" i="9" a="1"/>
  <c r="AB76" i="9" s="1"/>
  <c r="V76" i="9" a="1"/>
  <c r="V76" i="9" s="1"/>
  <c r="U176" i="9" a="1"/>
  <c r="U176" i="9" s="1"/>
  <c r="W176" i="9" a="1"/>
  <c r="W176" i="9" s="1"/>
  <c r="V176" i="9" a="1"/>
  <c r="V176" i="9" s="1"/>
  <c r="AB176" i="9" a="1"/>
  <c r="AB176" i="9" s="1"/>
  <c r="Y176" i="9" a="1"/>
  <c r="Y176" i="9" s="1"/>
  <c r="X176" i="9" a="1"/>
  <c r="X176" i="9" s="1"/>
  <c r="Z176" i="9"/>
  <c r="S176" i="9" a="1"/>
  <c r="S176" i="9" s="1"/>
  <c r="AC176" i="9" s="1"/>
  <c r="T176" i="9" a="1"/>
  <c r="T176" i="9" s="1"/>
  <c r="X191" i="9" a="1"/>
  <c r="X191" i="9" s="1"/>
  <c r="Z191" i="9"/>
  <c r="V191" i="9" a="1"/>
  <c r="V191" i="9" s="1"/>
  <c r="AB191" i="9" a="1"/>
  <c r="AB191" i="9" s="1"/>
  <c r="S191" i="9" a="1"/>
  <c r="S191" i="9" s="1"/>
  <c r="AC191" i="9" s="1"/>
  <c r="U191" i="9" a="1"/>
  <c r="U191" i="9" s="1"/>
  <c r="W191" i="9" a="1"/>
  <c r="W191" i="9" s="1"/>
  <c r="Y191" i="9" a="1"/>
  <c r="Y191" i="9" s="1"/>
  <c r="T191" i="9" a="1"/>
  <c r="T191" i="9" s="1"/>
  <c r="V159" i="9" a="1"/>
  <c r="V159" i="9" s="1"/>
  <c r="S159" i="9" a="1"/>
  <c r="S159" i="9" s="1"/>
  <c r="AC159" i="9" s="1"/>
  <c r="U159" i="9" a="1"/>
  <c r="U159" i="9" s="1"/>
  <c r="X159" i="9" a="1"/>
  <c r="X159" i="9" s="1"/>
  <c r="Z159" i="9"/>
  <c r="Y159" i="9" a="1"/>
  <c r="Y159" i="9" s="1"/>
  <c r="T159" i="9" a="1"/>
  <c r="T159" i="9" s="1"/>
  <c r="AB159" i="9" a="1"/>
  <c r="AB159" i="9" s="1"/>
  <c r="W159" i="9" a="1"/>
  <c r="W159" i="9" s="1"/>
  <c r="U173" i="9" a="1"/>
  <c r="U173" i="9" s="1"/>
  <c r="X173" i="9" a="1"/>
  <c r="X173" i="9" s="1"/>
  <c r="Z173" i="9"/>
  <c r="V173" i="9" a="1"/>
  <c r="V173" i="9" s="1"/>
  <c r="S173" i="9" a="1"/>
  <c r="S173" i="9" s="1"/>
  <c r="AC173" i="9" s="1"/>
  <c r="W173" i="9" a="1"/>
  <c r="W173" i="9" s="1"/>
  <c r="T173" i="9" a="1"/>
  <c r="T173" i="9" s="1"/>
  <c r="Y173" i="9" a="1"/>
  <c r="Y173" i="9" s="1"/>
  <c r="AB173" i="9" a="1"/>
  <c r="AB173" i="9" s="1"/>
  <c r="Y139" i="9" a="1"/>
  <c r="Y139" i="9" s="1"/>
  <c r="U139" i="9" a="1"/>
  <c r="U139" i="9" s="1"/>
  <c r="Z139" i="9"/>
  <c r="AB139" i="9" a="1"/>
  <c r="AB139" i="9" s="1"/>
  <c r="V139" i="9" a="1"/>
  <c r="V139" i="9" s="1"/>
  <c r="T139" i="9" a="1"/>
  <c r="T139" i="9" s="1"/>
  <c r="S139" i="9" a="1"/>
  <c r="S139" i="9" s="1"/>
  <c r="AC139" i="9" s="1"/>
  <c r="W139" i="9" a="1"/>
  <c r="W139" i="9" s="1"/>
  <c r="X139" i="9" a="1"/>
  <c r="X139" i="9" s="1"/>
  <c r="V142" i="9" a="1"/>
  <c r="V142" i="9" s="1"/>
  <c r="Y142" i="9" a="1"/>
  <c r="Y142" i="9" s="1"/>
  <c r="U142" i="9" a="1"/>
  <c r="U142" i="9" s="1"/>
  <c r="X142" i="9" a="1"/>
  <c r="X142" i="9" s="1"/>
  <c r="W142" i="9" a="1"/>
  <c r="W142" i="9" s="1"/>
  <c r="Z142" i="9"/>
  <c r="AB142" i="9" a="1"/>
  <c r="AB142" i="9" s="1"/>
  <c r="S142" i="9" a="1"/>
  <c r="S142" i="9" s="1"/>
  <c r="AC142" i="9" s="1"/>
  <c r="T142" i="9" a="1"/>
  <c r="T142" i="9" s="1"/>
  <c r="S186" i="9" a="1"/>
  <c r="S186" i="9" s="1"/>
  <c r="AC186" i="9" s="1"/>
  <c r="AB186" i="9" a="1"/>
  <c r="AB186" i="9" s="1"/>
  <c r="Y186" i="9" a="1"/>
  <c r="Y186" i="9" s="1"/>
  <c r="V186" i="9" a="1"/>
  <c r="V186" i="9" s="1"/>
  <c r="X186" i="9" a="1"/>
  <c r="X186" i="9" s="1"/>
  <c r="T186" i="9" a="1"/>
  <c r="T186" i="9" s="1"/>
  <c r="Z186" i="9"/>
  <c r="W186" i="9" a="1"/>
  <c r="W186" i="9" s="1"/>
  <c r="U186" i="9" a="1"/>
  <c r="U186" i="9" s="1"/>
  <c r="W230" i="9" a="1"/>
  <c r="W230" i="9" s="1"/>
  <c r="Z230" i="9"/>
  <c r="AB230" i="9" a="1"/>
  <c r="AB230" i="9" s="1"/>
  <c r="V230" i="9" a="1"/>
  <c r="V230" i="9" s="1"/>
  <c r="S230" i="9" a="1"/>
  <c r="S230" i="9" s="1"/>
  <c r="AC230" i="9" s="1"/>
  <c r="T230" i="9" a="1"/>
  <c r="T230" i="9" s="1"/>
  <c r="X230" i="9" a="1"/>
  <c r="X230" i="9" s="1"/>
  <c r="Y230" i="9" a="1"/>
  <c r="Y230" i="9" s="1"/>
  <c r="U230" i="9" a="1"/>
  <c r="U230" i="9" s="1"/>
  <c r="S68" i="9" a="1"/>
  <c r="S68" i="9" s="1"/>
  <c r="AC68" i="9" s="1"/>
  <c r="X68" i="9" a="1"/>
  <c r="X68" i="9" s="1"/>
  <c r="Y68" i="9" a="1"/>
  <c r="Y68" i="9" s="1"/>
  <c r="T68" i="9" a="1"/>
  <c r="T68" i="9" s="1"/>
  <c r="AB68" i="9" a="1"/>
  <c r="AB68" i="9" s="1"/>
  <c r="Z68" i="9"/>
  <c r="W68" i="9" a="1"/>
  <c r="W68" i="9" s="1"/>
  <c r="U68" i="9" a="1"/>
  <c r="U68" i="9" s="1"/>
  <c r="V68" i="9" a="1"/>
  <c r="V68" i="9" s="1"/>
  <c r="Z72" i="9"/>
  <c r="V72" i="9" a="1"/>
  <c r="V72" i="9" s="1"/>
  <c r="AB72" i="9" a="1"/>
  <c r="AB72" i="9" s="1"/>
  <c r="T72" i="9" a="1"/>
  <c r="T72" i="9" s="1"/>
  <c r="X72" i="9" a="1"/>
  <c r="X72" i="9" s="1"/>
  <c r="S72" i="9" a="1"/>
  <c r="S72" i="9" s="1"/>
  <c r="AC72" i="9" s="1"/>
  <c r="W72" i="9" a="1"/>
  <c r="W72" i="9" s="1"/>
  <c r="U72" i="9" a="1"/>
  <c r="U72" i="9" s="1"/>
  <c r="Y72" i="9" a="1"/>
  <c r="Y72" i="9" s="1"/>
  <c r="Z49" i="9"/>
  <c r="X49" i="9" a="1"/>
  <c r="X49" i="9" s="1"/>
  <c r="W49" i="9" a="1"/>
  <c r="W49" i="9" s="1"/>
  <c r="T49" i="9" a="1"/>
  <c r="T49" i="9" s="1"/>
  <c r="Y49" i="9" a="1"/>
  <c r="Y49" i="9" s="1"/>
  <c r="S49" i="9" a="1"/>
  <c r="S49" i="9" s="1"/>
  <c r="AC49" i="9" s="1"/>
  <c r="AB49" i="9" a="1"/>
  <c r="AB49" i="9" s="1"/>
  <c r="U49" i="9" a="1"/>
  <c r="U49" i="9" s="1"/>
  <c r="V49" i="9" a="1"/>
  <c r="V49" i="9" s="1"/>
  <c r="W177" i="9" a="1"/>
  <c r="W177" i="9" s="1"/>
  <c r="X177" i="9" a="1"/>
  <c r="X177" i="9" s="1"/>
  <c r="Y177" i="9" a="1"/>
  <c r="Y177" i="9" s="1"/>
  <c r="U177" i="9" a="1"/>
  <c r="U177" i="9" s="1"/>
  <c r="V177" i="9" a="1"/>
  <c r="V177" i="9" s="1"/>
  <c r="AB177" i="9" a="1"/>
  <c r="AB177" i="9" s="1"/>
  <c r="S177" i="9" a="1"/>
  <c r="S177" i="9" s="1"/>
  <c r="AC177" i="9" s="1"/>
  <c r="T177" i="9" a="1"/>
  <c r="T177" i="9" s="1"/>
  <c r="Z177" i="9"/>
  <c r="W114" i="9" a="1"/>
  <c r="W114" i="9" s="1"/>
  <c r="AB114" i="9" a="1"/>
  <c r="AB114" i="9" s="1"/>
  <c r="S114" i="9" a="1"/>
  <c r="S114" i="9" s="1"/>
  <c r="AC114" i="9" s="1"/>
  <c r="T114" i="9" a="1"/>
  <c r="T114" i="9" s="1"/>
  <c r="V114" i="9" a="1"/>
  <c r="V114" i="9" s="1"/>
  <c r="X114" i="9" a="1"/>
  <c r="X114" i="9" s="1"/>
  <c r="U114" i="9" a="1"/>
  <c r="U114" i="9" s="1"/>
  <c r="Z114" i="9"/>
  <c r="Y114" i="9" a="1"/>
  <c r="Y114" i="9" s="1"/>
  <c r="W254" i="9" a="1"/>
  <c r="W254" i="9" s="1"/>
  <c r="Y254" i="9" a="1"/>
  <c r="Y254" i="9" s="1"/>
  <c r="X254" i="9" a="1"/>
  <c r="X254" i="9" s="1"/>
  <c r="S254" i="9" a="1"/>
  <c r="S254" i="9" s="1"/>
  <c r="AC254" i="9" s="1"/>
  <c r="Z254" i="9"/>
  <c r="V254" i="9" a="1"/>
  <c r="V254" i="9" s="1"/>
  <c r="U254" i="9" a="1"/>
  <c r="U254" i="9" s="1"/>
  <c r="T254" i="9" a="1"/>
  <c r="T254" i="9" s="1"/>
  <c r="AB254" i="9" a="1"/>
  <c r="AB254" i="9" s="1"/>
  <c r="X60" i="9" a="1"/>
  <c r="X60" i="9" s="1"/>
  <c r="S60" i="9" a="1"/>
  <c r="S60" i="9" s="1"/>
  <c r="AC60" i="9" s="1"/>
  <c r="T60" i="9" a="1"/>
  <c r="T60" i="9" s="1"/>
  <c r="U60" i="9" a="1"/>
  <c r="U60" i="9" s="1"/>
  <c r="Z60" i="9"/>
  <c r="W60" i="9" a="1"/>
  <c r="W60" i="9" s="1"/>
  <c r="AB60" i="9" a="1"/>
  <c r="AB60" i="9" s="1"/>
  <c r="V60" i="9" a="1"/>
  <c r="V60" i="9" s="1"/>
  <c r="Y60" i="9" a="1"/>
  <c r="Y60" i="9" s="1"/>
  <c r="S154" i="9" a="1"/>
  <c r="S154" i="9" s="1"/>
  <c r="AC154" i="9" s="1"/>
  <c r="X154" i="9" a="1"/>
  <c r="X154" i="9" s="1"/>
  <c r="U154" i="9" a="1"/>
  <c r="U154" i="9" s="1"/>
  <c r="V154" i="9" a="1"/>
  <c r="V154" i="9" s="1"/>
  <c r="W154" i="9" a="1"/>
  <c r="W154" i="9" s="1"/>
  <c r="Z154" i="9"/>
  <c r="T154" i="9" a="1"/>
  <c r="T154" i="9" s="1"/>
  <c r="Y154" i="9" a="1"/>
  <c r="Y154" i="9" s="1"/>
  <c r="AB154" i="9" a="1"/>
  <c r="AB154" i="9" s="1"/>
  <c r="X183" i="9" a="1"/>
  <c r="X183" i="9" s="1"/>
  <c r="U183" i="9" a="1"/>
  <c r="U183" i="9" s="1"/>
  <c r="T183" i="9" a="1"/>
  <c r="T183" i="9" s="1"/>
  <c r="W183" i="9" a="1"/>
  <c r="W183" i="9" s="1"/>
  <c r="S183" i="9" a="1"/>
  <c r="S183" i="9" s="1"/>
  <c r="AC183" i="9" s="1"/>
  <c r="Z183" i="9"/>
  <c r="V183" i="9" a="1"/>
  <c r="V183" i="9" s="1"/>
  <c r="Y183" i="9" a="1"/>
  <c r="Y183" i="9" s="1"/>
  <c r="AB183" i="9" a="1"/>
  <c r="AB183" i="9" s="1"/>
  <c r="Y52" i="9" a="1"/>
  <c r="Y52" i="9" s="1"/>
  <c r="Z52" i="9"/>
  <c r="V52" i="9" a="1"/>
  <c r="V52" i="9" s="1"/>
  <c r="U52" i="9" a="1"/>
  <c r="U52" i="9" s="1"/>
  <c r="X52" i="9" a="1"/>
  <c r="X52" i="9" s="1"/>
  <c r="S52" i="9" a="1"/>
  <c r="S52" i="9" s="1"/>
  <c r="AC52" i="9" s="1"/>
  <c r="T52" i="9" a="1"/>
  <c r="T52" i="9" s="1"/>
  <c r="AB52" i="9" a="1"/>
  <c r="AB52" i="9" s="1"/>
  <c r="W52" i="9" a="1"/>
  <c r="W52" i="9" s="1"/>
  <c r="S168" i="9" a="1"/>
  <c r="S168" i="9" s="1"/>
  <c r="AC168" i="9" s="1"/>
  <c r="AB168" i="9" a="1"/>
  <c r="AB168" i="9" s="1"/>
  <c r="Y168" i="9" a="1"/>
  <c r="Y168" i="9" s="1"/>
  <c r="Z168" i="9"/>
  <c r="T168" i="9" a="1"/>
  <c r="T168" i="9" s="1"/>
  <c r="U168" i="9" a="1"/>
  <c r="U168" i="9" s="1"/>
  <c r="W168" i="9" a="1"/>
  <c r="W168" i="9" s="1"/>
  <c r="V168" i="9" a="1"/>
  <c r="V168" i="9" s="1"/>
  <c r="X168" i="9" a="1"/>
  <c r="X168" i="9" s="1"/>
  <c r="W108" i="9" a="1"/>
  <c r="W108" i="9" s="1"/>
  <c r="Y108" i="9" a="1"/>
  <c r="Y108" i="9" s="1"/>
  <c r="U108" i="9" a="1"/>
  <c r="U108" i="9" s="1"/>
  <c r="T108" i="9" a="1"/>
  <c r="T108" i="9" s="1"/>
  <c r="V108" i="9" a="1"/>
  <c r="V108" i="9" s="1"/>
  <c r="Z108" i="9"/>
  <c r="S108" i="9" a="1"/>
  <c r="S108" i="9" s="1"/>
  <c r="AC108" i="9" s="1"/>
  <c r="AB108" i="9" a="1"/>
  <c r="AB108" i="9" s="1"/>
  <c r="X108" i="9" a="1"/>
  <c r="X108" i="9" s="1"/>
  <c r="U239" i="9" a="1"/>
  <c r="U239" i="9" s="1"/>
  <c r="W239" i="9" a="1"/>
  <c r="W239" i="9" s="1"/>
  <c r="V239" i="9" a="1"/>
  <c r="V239" i="9" s="1"/>
  <c r="AB239" i="9" a="1"/>
  <c r="AB239" i="9" s="1"/>
  <c r="Y239" i="9" a="1"/>
  <c r="Y239" i="9" s="1"/>
  <c r="T239" i="9" a="1"/>
  <c r="T239" i="9" s="1"/>
  <c r="X239" i="9" a="1"/>
  <c r="X239" i="9" s="1"/>
  <c r="S239" i="9" a="1"/>
  <c r="S239" i="9" s="1"/>
  <c r="AC239" i="9" s="1"/>
  <c r="Z239" i="9"/>
  <c r="W201" i="9" a="1"/>
  <c r="W201" i="9" s="1"/>
  <c r="Y201" i="9" a="1"/>
  <c r="Y201" i="9" s="1"/>
  <c r="T201" i="9" a="1"/>
  <c r="T201" i="9" s="1"/>
  <c r="U201" i="9" a="1"/>
  <c r="U201" i="9" s="1"/>
  <c r="V201" i="9" a="1"/>
  <c r="V201" i="9" s="1"/>
  <c r="X201" i="9" a="1"/>
  <c r="X201" i="9" s="1"/>
  <c r="AB201" i="9" a="1"/>
  <c r="AB201" i="9" s="1"/>
  <c r="Z201" i="9"/>
  <c r="S201" i="9" a="1"/>
  <c r="S201" i="9" s="1"/>
  <c r="AC201" i="9" s="1"/>
  <c r="Z227" i="9"/>
  <c r="W227" i="9" a="1"/>
  <c r="W227" i="9" s="1"/>
  <c r="X227" i="9" a="1"/>
  <c r="X227" i="9" s="1"/>
  <c r="Y227" i="9" a="1"/>
  <c r="Y227" i="9" s="1"/>
  <c r="U227" i="9" a="1"/>
  <c r="U227" i="9" s="1"/>
  <c r="AB227" i="9" a="1"/>
  <c r="AB227" i="9" s="1"/>
  <c r="S227" i="9" a="1"/>
  <c r="S227" i="9" s="1"/>
  <c r="AC227" i="9" s="1"/>
  <c r="T227" i="9" a="1"/>
  <c r="T227" i="9" s="1"/>
  <c r="V227" i="9" a="1"/>
  <c r="V227" i="9" s="1"/>
  <c r="AB194" i="9" a="1"/>
  <c r="AB194" i="9" s="1"/>
  <c r="V194" i="9" a="1"/>
  <c r="V194" i="9" s="1"/>
  <c r="W194" i="9" a="1"/>
  <c r="W194" i="9" s="1"/>
  <c r="Y194" i="9" a="1"/>
  <c r="Y194" i="9" s="1"/>
  <c r="T194" i="9" a="1"/>
  <c r="T194" i="9" s="1"/>
  <c r="X194" i="9" a="1"/>
  <c r="X194" i="9" s="1"/>
  <c r="S194" i="9" a="1"/>
  <c r="S194" i="9" s="1"/>
  <c r="AC194" i="9" s="1"/>
  <c r="U194" i="9" a="1"/>
  <c r="U194" i="9" s="1"/>
  <c r="Z194" i="9"/>
  <c r="S216" i="9" a="1"/>
  <c r="S216" i="9" s="1"/>
  <c r="AC216" i="9" s="1"/>
  <c r="U216" i="9" a="1"/>
  <c r="U216" i="9" s="1"/>
  <c r="V216" i="9" a="1"/>
  <c r="V216" i="9" s="1"/>
  <c r="X216" i="9" a="1"/>
  <c r="X216" i="9" s="1"/>
  <c r="W216" i="9" a="1"/>
  <c r="W216" i="9" s="1"/>
  <c r="Y216" i="9" a="1"/>
  <c r="Y216" i="9" s="1"/>
  <c r="AB216" i="9" a="1"/>
  <c r="AB216" i="9" s="1"/>
  <c r="Z216" i="9"/>
  <c r="T216" i="9" a="1"/>
  <c r="T216" i="9" s="1"/>
  <c r="X246" i="9" a="1"/>
  <c r="X246" i="9" s="1"/>
  <c r="Z246" i="9"/>
  <c r="T246" i="9" a="1"/>
  <c r="T246" i="9" s="1"/>
  <c r="AB246" i="9" a="1"/>
  <c r="AB246" i="9" s="1"/>
  <c r="W246" i="9" a="1"/>
  <c r="W246" i="9" s="1"/>
  <c r="Y246" i="9" a="1"/>
  <c r="Y246" i="9" s="1"/>
  <c r="U246" i="9" a="1"/>
  <c r="U246" i="9" s="1"/>
  <c r="V246" i="9" a="1"/>
  <c r="V246" i="9" s="1"/>
  <c r="S246" i="9" a="1"/>
  <c r="S246" i="9" s="1"/>
  <c r="AC246" i="9" s="1"/>
  <c r="U118" i="9" a="1"/>
  <c r="U118" i="9" s="1"/>
  <c r="W118" i="9" a="1"/>
  <c r="W118" i="9" s="1"/>
  <c r="Y118" i="9" a="1"/>
  <c r="Y118" i="9" s="1"/>
  <c r="Z118" i="9"/>
  <c r="AB118" i="9" a="1"/>
  <c r="AB118" i="9" s="1"/>
  <c r="T118" i="9" a="1"/>
  <c r="T118" i="9" s="1"/>
  <c r="S118" i="9" a="1"/>
  <c r="S118" i="9" s="1"/>
  <c r="AC118" i="9" s="1"/>
  <c r="X118" i="9" a="1"/>
  <c r="X118" i="9" s="1"/>
  <c r="V118" i="9" a="1"/>
  <c r="V118" i="9" s="1"/>
  <c r="U130" i="9" a="1"/>
  <c r="U130" i="9" s="1"/>
  <c r="W130" i="9" a="1"/>
  <c r="W130" i="9" s="1"/>
  <c r="T130" i="9" a="1"/>
  <c r="T130" i="9" s="1"/>
  <c r="S130" i="9" a="1"/>
  <c r="S130" i="9" s="1"/>
  <c r="AC130" i="9" s="1"/>
  <c r="X130" i="9" a="1"/>
  <c r="X130" i="9" s="1"/>
  <c r="AB130" i="9" a="1"/>
  <c r="AB130" i="9" s="1"/>
  <c r="Z130" i="9"/>
  <c r="V130" i="9" a="1"/>
  <c r="V130" i="9" s="1"/>
  <c r="Y130" i="9" a="1"/>
  <c r="Y130" i="9" s="1"/>
  <c r="S249" i="9" a="1"/>
  <c r="S249" i="9" s="1"/>
  <c r="AC249" i="9" s="1"/>
  <c r="V249" i="9" a="1"/>
  <c r="V249" i="9" s="1"/>
  <c r="W249" i="9" a="1"/>
  <c r="W249" i="9" s="1"/>
  <c r="X249" i="9" a="1"/>
  <c r="X249" i="9" s="1"/>
  <c r="AB249" i="9" a="1"/>
  <c r="AB249" i="9" s="1"/>
  <c r="U249" i="9" a="1"/>
  <c r="U249" i="9" s="1"/>
  <c r="Y249" i="9" a="1"/>
  <c r="Y249" i="9" s="1"/>
  <c r="Z249" i="9"/>
  <c r="T249" i="9" a="1"/>
  <c r="T249" i="9" s="1"/>
  <c r="U171" i="9" a="1"/>
  <c r="U171" i="9" s="1"/>
  <c r="T171" i="9" a="1"/>
  <c r="T171" i="9" s="1"/>
  <c r="W171" i="9" a="1"/>
  <c r="W171" i="9" s="1"/>
  <c r="S171" i="9" a="1"/>
  <c r="S171" i="9" s="1"/>
  <c r="AC171" i="9" s="1"/>
  <c r="X171" i="9" a="1"/>
  <c r="X171" i="9" s="1"/>
  <c r="Z171" i="9"/>
  <c r="Y171" i="9" a="1"/>
  <c r="Y171" i="9" s="1"/>
  <c r="AB171" i="9" a="1"/>
  <c r="AB171" i="9" s="1"/>
  <c r="V171" i="9" a="1"/>
  <c r="V171" i="9" s="1"/>
  <c r="V225" i="9" a="1"/>
  <c r="V225" i="9" s="1"/>
  <c r="Y225" i="9" a="1"/>
  <c r="Y225" i="9" s="1"/>
  <c r="W225" i="9" a="1"/>
  <c r="W225" i="9" s="1"/>
  <c r="T225" i="9" a="1"/>
  <c r="T225" i="9" s="1"/>
  <c r="X225" i="9" a="1"/>
  <c r="X225" i="9" s="1"/>
  <c r="U225" i="9" a="1"/>
  <c r="U225" i="9" s="1"/>
  <c r="Z225" i="9"/>
  <c r="S225" i="9" a="1"/>
  <c r="S225" i="9" s="1"/>
  <c r="AC225" i="9" s="1"/>
  <c r="AB225" i="9" a="1"/>
  <c r="AB225" i="9" s="1"/>
  <c r="U59" i="9" a="1"/>
  <c r="U59" i="9" s="1"/>
  <c r="X59" i="9" a="1"/>
  <c r="X59" i="9" s="1"/>
  <c r="AB59" i="9" a="1"/>
  <c r="AB59" i="9" s="1"/>
  <c r="S59" i="9" a="1"/>
  <c r="S59" i="9" s="1"/>
  <c r="AC59" i="9" s="1"/>
  <c r="W59" i="9" a="1"/>
  <c r="W59" i="9" s="1"/>
  <c r="T59" i="9" a="1"/>
  <c r="T59" i="9" s="1"/>
  <c r="V59" i="9" a="1"/>
  <c r="V59" i="9" s="1"/>
  <c r="Y59" i="9" a="1"/>
  <c r="Y59" i="9" s="1"/>
  <c r="Z59" i="9"/>
  <c r="V115" i="9" a="1"/>
  <c r="V115" i="9" s="1"/>
  <c r="X115" i="9" a="1"/>
  <c r="X115" i="9" s="1"/>
  <c r="U115" i="9" a="1"/>
  <c r="U115" i="9" s="1"/>
  <c r="S115" i="9" a="1"/>
  <c r="S115" i="9" s="1"/>
  <c r="AC115" i="9" s="1"/>
  <c r="W115" i="9" a="1"/>
  <c r="W115" i="9" s="1"/>
  <c r="T115" i="9" a="1"/>
  <c r="T115" i="9" s="1"/>
  <c r="Z115" i="9"/>
  <c r="AB115" i="9" a="1"/>
  <c r="AB115" i="9" s="1"/>
  <c r="Y115" i="9" a="1"/>
  <c r="Y115" i="9" s="1"/>
  <c r="S65" i="9" a="1"/>
  <c r="S65" i="9" s="1"/>
  <c r="AC65" i="9" s="1"/>
  <c r="U65" i="9" a="1"/>
  <c r="U65" i="9" s="1"/>
  <c r="T65" i="9" a="1"/>
  <c r="T65" i="9" s="1"/>
  <c r="W65" i="9" a="1"/>
  <c r="W65" i="9" s="1"/>
  <c r="Y65" i="9" a="1"/>
  <c r="Y65" i="9" s="1"/>
  <c r="X65" i="9" a="1"/>
  <c r="X65" i="9" s="1"/>
  <c r="AB65" i="9" a="1"/>
  <c r="AB65" i="9" s="1"/>
  <c r="V65" i="9" a="1"/>
  <c r="V65" i="9" s="1"/>
  <c r="Z65" i="9"/>
  <c r="V126" i="9" a="1"/>
  <c r="V126" i="9" s="1"/>
  <c r="X126" i="9" a="1"/>
  <c r="X126" i="9" s="1"/>
  <c r="S126" i="9" a="1"/>
  <c r="S126" i="9" s="1"/>
  <c r="AC126" i="9" s="1"/>
  <c r="U126" i="9" a="1"/>
  <c r="U126" i="9" s="1"/>
  <c r="W126" i="9" a="1"/>
  <c r="W126" i="9" s="1"/>
  <c r="Z126" i="9"/>
  <c r="AB126" i="9" a="1"/>
  <c r="AB126" i="9" s="1"/>
  <c r="T126" i="9" a="1"/>
  <c r="T126" i="9" s="1"/>
  <c r="Y126" i="9" a="1"/>
  <c r="Y126" i="9" s="1"/>
  <c r="Z244" i="9"/>
  <c r="X244" i="9" a="1"/>
  <c r="X244" i="9" s="1"/>
  <c r="U244" i="9" a="1"/>
  <c r="U244" i="9" s="1"/>
  <c r="V244" i="9" a="1"/>
  <c r="V244" i="9" s="1"/>
  <c r="AB244" i="9" a="1"/>
  <c r="AB244" i="9" s="1"/>
  <c r="S244" i="9" a="1"/>
  <c r="S244" i="9" s="1"/>
  <c r="AC244" i="9" s="1"/>
  <c r="W244" i="9" a="1"/>
  <c r="W244" i="9" s="1"/>
  <c r="Y244" i="9" a="1"/>
  <c r="Y244" i="9" s="1"/>
  <c r="T244" i="9" a="1"/>
  <c r="T244" i="9" s="1"/>
  <c r="Z120" i="9"/>
  <c r="S120" i="9" a="1"/>
  <c r="S120" i="9" s="1"/>
  <c r="AC120" i="9" s="1"/>
  <c r="T120" i="9" a="1"/>
  <c r="T120" i="9" s="1"/>
  <c r="U120" i="9" a="1"/>
  <c r="U120" i="9" s="1"/>
  <c r="V120" i="9" a="1"/>
  <c r="V120" i="9" s="1"/>
  <c r="W120" i="9" a="1"/>
  <c r="W120" i="9" s="1"/>
  <c r="Y120" i="9" a="1"/>
  <c r="Y120" i="9" s="1"/>
  <c r="AB120" i="9" a="1"/>
  <c r="AB120" i="9" s="1"/>
  <c r="X120" i="9" a="1"/>
  <c r="X120" i="9" s="1"/>
  <c r="W204" i="9" a="1"/>
  <c r="W204" i="9" s="1"/>
  <c r="U204" i="9" a="1"/>
  <c r="U204" i="9" s="1"/>
  <c r="X204" i="9" a="1"/>
  <c r="X204" i="9" s="1"/>
  <c r="AB204" i="9" a="1"/>
  <c r="AB204" i="9" s="1"/>
  <c r="V204" i="9" a="1"/>
  <c r="V204" i="9" s="1"/>
  <c r="Z204" i="9"/>
  <c r="Y204" i="9" a="1"/>
  <c r="Y204" i="9" s="1"/>
  <c r="S204" i="9" a="1"/>
  <c r="S204" i="9" s="1"/>
  <c r="AC204" i="9" s="1"/>
  <c r="T204" i="9" a="1"/>
  <c r="T204" i="9" s="1"/>
  <c r="U231" i="9" a="1"/>
  <c r="U231" i="9" s="1"/>
  <c r="Z231" i="9"/>
  <c r="AB231" i="9" a="1"/>
  <c r="AB231" i="9" s="1"/>
  <c r="Y231" i="9" a="1"/>
  <c r="Y231" i="9" s="1"/>
  <c r="T231" i="9" a="1"/>
  <c r="T231" i="9" s="1"/>
  <c r="X231" i="9" a="1"/>
  <c r="X231" i="9" s="1"/>
  <c r="V231" i="9" a="1"/>
  <c r="V231" i="9" s="1"/>
  <c r="S231" i="9" a="1"/>
  <c r="S231" i="9" s="1"/>
  <c r="AC231" i="9" s="1"/>
  <c r="W231" i="9" a="1"/>
  <c r="W231" i="9" s="1"/>
  <c r="W103" i="9" a="1"/>
  <c r="W103" i="9" s="1"/>
  <c r="AB103" i="9" a="1"/>
  <c r="AB103" i="9" s="1"/>
  <c r="X103" i="9" a="1"/>
  <c r="X103" i="9" s="1"/>
  <c r="V103" i="9" a="1"/>
  <c r="V103" i="9" s="1"/>
  <c r="S103" i="9" a="1"/>
  <c r="S103" i="9" s="1"/>
  <c r="AC103" i="9" s="1"/>
  <c r="T103" i="9" a="1"/>
  <c r="T103" i="9" s="1"/>
  <c r="Z103" i="9"/>
  <c r="Y103" i="9" a="1"/>
  <c r="Y103" i="9" s="1"/>
  <c r="U103" i="9" a="1"/>
  <c r="U103" i="9" s="1"/>
  <c r="Z133" i="9"/>
  <c r="X133" i="9" a="1"/>
  <c r="X133" i="9" s="1"/>
  <c r="W133" i="9" a="1"/>
  <c r="W133" i="9" s="1"/>
  <c r="U133" i="9" a="1"/>
  <c r="U133" i="9" s="1"/>
  <c r="Y133" i="9" a="1"/>
  <c r="Y133" i="9" s="1"/>
  <c r="AB133" i="9" a="1"/>
  <c r="AB133" i="9" s="1"/>
  <c r="V133" i="9" a="1"/>
  <c r="V133" i="9" s="1"/>
  <c r="T133" i="9" a="1"/>
  <c r="T133" i="9" s="1"/>
  <c r="S133" i="9" a="1"/>
  <c r="S133" i="9" s="1"/>
  <c r="AC133" i="9" s="1"/>
  <c r="S134" i="9" a="1"/>
  <c r="S134" i="9" s="1"/>
  <c r="AC134" i="9" s="1"/>
  <c r="U134" i="9" a="1"/>
  <c r="U134" i="9" s="1"/>
  <c r="X134" i="9" a="1"/>
  <c r="X134" i="9" s="1"/>
  <c r="Y134" i="9" a="1"/>
  <c r="Y134" i="9" s="1"/>
  <c r="W134" i="9" a="1"/>
  <c r="W134" i="9" s="1"/>
  <c r="Z134" i="9"/>
  <c r="V134" i="9" a="1"/>
  <c r="V134" i="9" s="1"/>
  <c r="AB134" i="9" a="1"/>
  <c r="AB134" i="9" s="1"/>
  <c r="T134" i="9" a="1"/>
  <c r="T134" i="9" s="1"/>
  <c r="W165" i="9" a="1"/>
  <c r="W165" i="9" s="1"/>
  <c r="Y165" i="9" a="1"/>
  <c r="Y165" i="9" s="1"/>
  <c r="Z165" i="9"/>
  <c r="X165" i="9" a="1"/>
  <c r="X165" i="9" s="1"/>
  <c r="U165" i="9" a="1"/>
  <c r="U165" i="9" s="1"/>
  <c r="S165" i="9" a="1"/>
  <c r="S165" i="9" s="1"/>
  <c r="AC165" i="9" s="1"/>
  <c r="AB165" i="9" a="1"/>
  <c r="AB165" i="9" s="1"/>
  <c r="T165" i="9" a="1"/>
  <c r="T165" i="9" s="1"/>
  <c r="V165" i="9" a="1"/>
  <c r="V165" i="9" s="1"/>
  <c r="Y100" i="9" a="1"/>
  <c r="Y100" i="9" s="1"/>
  <c r="W100" i="9" a="1"/>
  <c r="W100" i="9" s="1"/>
  <c r="AB100" i="9" a="1"/>
  <c r="AB100" i="9" s="1"/>
  <c r="S100" i="9" a="1"/>
  <c r="S100" i="9" s="1"/>
  <c r="AC100" i="9" s="1"/>
  <c r="X100" i="9" a="1"/>
  <c r="X100" i="9" s="1"/>
  <c r="T100" i="9" a="1"/>
  <c r="T100" i="9" s="1"/>
  <c r="V100" i="9" a="1"/>
  <c r="V100" i="9" s="1"/>
  <c r="U100" i="9" a="1"/>
  <c r="U100" i="9" s="1"/>
  <c r="Z100" i="9"/>
  <c r="T101" i="9" a="1"/>
  <c r="T101" i="9" s="1"/>
  <c r="U101" i="9" a="1"/>
  <c r="U101" i="9" s="1"/>
  <c r="AB101" i="9" a="1"/>
  <c r="AB101" i="9" s="1"/>
  <c r="S101" i="9" a="1"/>
  <c r="S101" i="9" s="1"/>
  <c r="AC101" i="9" s="1"/>
  <c r="W101" i="9" a="1"/>
  <c r="W101" i="9" s="1"/>
  <c r="Y101" i="9" a="1"/>
  <c r="Y101" i="9" s="1"/>
  <c r="Z101" i="9"/>
  <c r="V101" i="9" a="1"/>
  <c r="V101" i="9" s="1"/>
  <c r="X101" i="9" a="1"/>
  <c r="X101" i="9" s="1"/>
  <c r="Y210" i="9" a="1"/>
  <c r="Y210" i="9" s="1"/>
  <c r="W210" i="9" a="1"/>
  <c r="W210" i="9" s="1"/>
  <c r="X210" i="9" a="1"/>
  <c r="X210" i="9" s="1"/>
  <c r="AB210" i="9" a="1"/>
  <c r="AB210" i="9" s="1"/>
  <c r="U210" i="9" a="1"/>
  <c r="U210" i="9" s="1"/>
  <c r="S210" i="9" a="1"/>
  <c r="S210" i="9" s="1"/>
  <c r="AC210" i="9" s="1"/>
  <c r="Z210" i="9"/>
  <c r="V210" i="9" a="1"/>
  <c r="V210" i="9" s="1"/>
  <c r="T210" i="9" a="1"/>
  <c r="T210" i="9" s="1"/>
  <c r="Z93" i="9"/>
  <c r="AB93" i="9" a="1"/>
  <c r="AB93" i="9" s="1"/>
  <c r="V93" i="9" a="1"/>
  <c r="V93" i="9" s="1"/>
  <c r="S93" i="9" a="1"/>
  <c r="S93" i="9" s="1"/>
  <c r="AC93" i="9" s="1"/>
  <c r="U93" i="9" a="1"/>
  <c r="U93" i="9" s="1"/>
  <c r="T93" i="9" a="1"/>
  <c r="T93" i="9" s="1"/>
  <c r="X93" i="9" a="1"/>
  <c r="X93" i="9" s="1"/>
  <c r="W93" i="9" a="1"/>
  <c r="W93" i="9" s="1"/>
  <c r="Y93" i="9" a="1"/>
  <c r="Y93" i="9" s="1"/>
  <c r="W95" i="9" a="1"/>
  <c r="W95" i="9" s="1"/>
  <c r="X95" i="9" a="1"/>
  <c r="X95" i="9" s="1"/>
  <c r="Y95" i="9" a="1"/>
  <c r="Y95" i="9" s="1"/>
  <c r="Z95" i="9"/>
  <c r="V95" i="9" a="1"/>
  <c r="V95" i="9" s="1"/>
  <c r="AB95" i="9" a="1"/>
  <c r="AB95" i="9" s="1"/>
  <c r="T95" i="9" a="1"/>
  <c r="T95" i="9" s="1"/>
  <c r="U95" i="9" a="1"/>
  <c r="U95" i="9" s="1"/>
  <c r="S95" i="9" a="1"/>
  <c r="S95" i="9" s="1"/>
  <c r="AC95" i="9" s="1"/>
  <c r="Z61" i="9"/>
  <c r="X61" i="9" a="1"/>
  <c r="X61" i="9" s="1"/>
  <c r="S61" i="9" a="1"/>
  <c r="S61" i="9" s="1"/>
  <c r="AC61" i="9" s="1"/>
  <c r="V61" i="9" a="1"/>
  <c r="V61" i="9" s="1"/>
  <c r="W61" i="9" a="1"/>
  <c r="W61" i="9" s="1"/>
  <c r="AB61" i="9" a="1"/>
  <c r="AB61" i="9" s="1"/>
  <c r="Y61" i="9" a="1"/>
  <c r="Y61" i="9" s="1"/>
  <c r="T61" i="9" a="1"/>
  <c r="T61" i="9" s="1"/>
  <c r="U61" i="9" a="1"/>
  <c r="U61" i="9" s="1"/>
  <c r="V145" i="9" a="1"/>
  <c r="V145" i="9" s="1"/>
  <c r="U145" i="9" a="1"/>
  <c r="U145" i="9" s="1"/>
  <c r="Z145" i="9"/>
  <c r="W145" i="9" a="1"/>
  <c r="W145" i="9" s="1"/>
  <c r="Y145" i="9" a="1"/>
  <c r="Y145" i="9" s="1"/>
  <c r="AB145" i="9" a="1"/>
  <c r="AB145" i="9" s="1"/>
  <c r="T145" i="9" a="1"/>
  <c r="T145" i="9" s="1"/>
  <c r="X145" i="9" a="1"/>
  <c r="X145" i="9" s="1"/>
  <c r="S145" i="9" a="1"/>
  <c r="S145" i="9" s="1"/>
  <c r="AC145" i="9" s="1"/>
  <c r="Z111" i="9"/>
  <c r="X111" i="9" a="1"/>
  <c r="X111" i="9" s="1"/>
  <c r="Y111" i="9" a="1"/>
  <c r="Y111" i="9" s="1"/>
  <c r="T111" i="9" a="1"/>
  <c r="T111" i="9" s="1"/>
  <c r="V111" i="9" a="1"/>
  <c r="V111" i="9" s="1"/>
  <c r="S111" i="9" a="1"/>
  <c r="S111" i="9" s="1"/>
  <c r="AC111" i="9" s="1"/>
  <c r="U111" i="9" a="1"/>
  <c r="U111" i="9" s="1"/>
  <c r="AB111" i="9" a="1"/>
  <c r="AB111" i="9" s="1"/>
  <c r="W111" i="9" a="1"/>
  <c r="W111" i="9" s="1"/>
  <c r="V125" i="9" a="1"/>
  <c r="V125" i="9" s="1"/>
  <c r="U125" i="9" a="1"/>
  <c r="U125" i="9" s="1"/>
  <c r="W125" i="9" a="1"/>
  <c r="W125" i="9" s="1"/>
  <c r="Y125" i="9" a="1"/>
  <c r="Y125" i="9" s="1"/>
  <c r="AB125" i="9" a="1"/>
  <c r="AB125" i="9" s="1"/>
  <c r="Z125" i="9"/>
  <c r="X125" i="9" a="1"/>
  <c r="X125" i="9" s="1"/>
  <c r="T125" i="9" a="1"/>
  <c r="T125" i="9" s="1"/>
  <c r="S125" i="9" a="1"/>
  <c r="S125" i="9" s="1"/>
  <c r="AC125" i="9" s="1"/>
  <c r="X107" i="9" a="1"/>
  <c r="X107" i="9" s="1"/>
  <c r="Z107" i="9"/>
  <c r="Y107" i="9" a="1"/>
  <c r="Y107" i="9" s="1"/>
  <c r="U107" i="9" a="1"/>
  <c r="U107" i="9" s="1"/>
  <c r="S107" i="9" a="1"/>
  <c r="S107" i="9" s="1"/>
  <c r="AC107" i="9" s="1"/>
  <c r="W107" i="9" a="1"/>
  <c r="W107" i="9" s="1"/>
  <c r="T107" i="9" a="1"/>
  <c r="T107" i="9" s="1"/>
  <c r="V107" i="9" a="1"/>
  <c r="V107" i="9" s="1"/>
  <c r="AB107" i="9" a="1"/>
  <c r="AB107" i="9" s="1"/>
  <c r="S265" i="9" a="1"/>
  <c r="S265" i="9" s="1"/>
  <c r="AC265" i="9" s="1"/>
  <c r="W265" i="9" a="1"/>
  <c r="W265" i="9" s="1"/>
  <c r="U265" i="9" a="1"/>
  <c r="U265" i="9" s="1"/>
  <c r="V265" i="9" a="1"/>
  <c r="V265" i="9" s="1"/>
  <c r="Y265" i="9" a="1"/>
  <c r="Y265" i="9" s="1"/>
  <c r="X265" i="9" a="1"/>
  <c r="X265" i="9" s="1"/>
  <c r="Z265" i="9"/>
  <c r="AB265" i="9" a="1"/>
  <c r="AB265" i="9" s="1"/>
  <c r="T265" i="9" a="1"/>
  <c r="T265" i="9" s="1"/>
  <c r="W175" i="9" a="1"/>
  <c r="W175" i="9" s="1"/>
  <c r="T175" i="9" a="1"/>
  <c r="T175" i="9" s="1"/>
  <c r="V175" i="9" a="1"/>
  <c r="V175" i="9" s="1"/>
  <c r="AB175" i="9" a="1"/>
  <c r="AB175" i="9" s="1"/>
  <c r="U175" i="9" a="1"/>
  <c r="U175" i="9" s="1"/>
  <c r="X175" i="9" a="1"/>
  <c r="X175" i="9" s="1"/>
  <c r="Y175" i="9" a="1"/>
  <c r="Y175" i="9" s="1"/>
  <c r="Z175" i="9"/>
  <c r="S175" i="9" a="1"/>
  <c r="S175" i="9" s="1"/>
  <c r="AC175" i="9" s="1"/>
  <c r="X155" i="9" a="1"/>
  <c r="X155" i="9" s="1"/>
  <c r="U155" i="9" a="1"/>
  <c r="U155" i="9" s="1"/>
  <c r="S155" i="9" a="1"/>
  <c r="S155" i="9" s="1"/>
  <c r="AC155" i="9" s="1"/>
  <c r="W155" i="9" a="1"/>
  <c r="W155" i="9" s="1"/>
  <c r="T155" i="9" a="1"/>
  <c r="T155" i="9" s="1"/>
  <c r="Y155" i="9" a="1"/>
  <c r="Y155" i="9" s="1"/>
  <c r="AB155" i="9" a="1"/>
  <c r="AB155" i="9" s="1"/>
  <c r="Z155" i="9"/>
  <c r="V155" i="9" a="1"/>
  <c r="V155" i="9" s="1"/>
  <c r="W73" i="9" a="1"/>
  <c r="W73" i="9" s="1"/>
  <c r="X73" i="9" a="1"/>
  <c r="X73" i="9" s="1"/>
  <c r="U73" i="9" a="1"/>
  <c r="U73" i="9" s="1"/>
  <c r="V73" i="9" a="1"/>
  <c r="V73" i="9" s="1"/>
  <c r="Y73" i="9" a="1"/>
  <c r="Y73" i="9" s="1"/>
  <c r="S73" i="9" a="1"/>
  <c r="S73" i="9" s="1"/>
  <c r="AC73" i="9" s="1"/>
  <c r="T73" i="9" a="1"/>
  <c r="T73" i="9" s="1"/>
  <c r="AB73" i="9" a="1"/>
  <c r="AB73" i="9" s="1"/>
  <c r="Z73" i="9"/>
  <c r="V196" i="9" a="1"/>
  <c r="V196" i="9" s="1"/>
  <c r="T196" i="9" a="1"/>
  <c r="T196" i="9" s="1"/>
  <c r="Z196" i="9"/>
  <c r="W196" i="9" a="1"/>
  <c r="W196" i="9" s="1"/>
  <c r="Y196" i="9" a="1"/>
  <c r="Y196" i="9" s="1"/>
  <c r="S196" i="9" a="1"/>
  <c r="S196" i="9" s="1"/>
  <c r="AC196" i="9" s="1"/>
  <c r="U196" i="9" a="1"/>
  <c r="U196" i="9" s="1"/>
  <c r="X196" i="9" a="1"/>
  <c r="X196" i="9" s="1"/>
  <c r="AB196" i="9" a="1"/>
  <c r="AB196" i="9" s="1"/>
  <c r="Z185" i="9"/>
  <c r="T185" i="9" a="1"/>
  <c r="T185" i="9" s="1"/>
  <c r="V185" i="9" a="1"/>
  <c r="V185" i="9" s="1"/>
  <c r="X185" i="9" a="1"/>
  <c r="X185" i="9" s="1"/>
  <c r="W185" i="9" a="1"/>
  <c r="W185" i="9" s="1"/>
  <c r="Y185" i="9" a="1"/>
  <c r="Y185" i="9" s="1"/>
  <c r="U185" i="9" a="1"/>
  <c r="U185" i="9" s="1"/>
  <c r="S185" i="9" a="1"/>
  <c r="S185" i="9" s="1"/>
  <c r="AC185" i="9" s="1"/>
  <c r="AB185" i="9" a="1"/>
  <c r="AB185" i="9" s="1"/>
  <c r="T153" i="9" a="1"/>
  <c r="T153" i="9" s="1"/>
  <c r="W153" i="9" a="1"/>
  <c r="W153" i="9" s="1"/>
  <c r="Y153" i="9" a="1"/>
  <c r="Y153" i="9" s="1"/>
  <c r="U153" i="9" a="1"/>
  <c r="U153" i="9" s="1"/>
  <c r="Z153" i="9"/>
  <c r="X153" i="9" a="1"/>
  <c r="X153" i="9" s="1"/>
  <c r="AB153" i="9" a="1"/>
  <c r="AB153" i="9" s="1"/>
  <c r="S153" i="9" a="1"/>
  <c r="S153" i="9" s="1"/>
  <c r="AC153" i="9" s="1"/>
  <c r="V153" i="9" a="1"/>
  <c r="V153" i="9" s="1"/>
  <c r="U132" i="9" a="1"/>
  <c r="U132" i="9" s="1"/>
  <c r="S132" i="9" a="1"/>
  <c r="S132" i="9" s="1"/>
  <c r="AC132" i="9" s="1"/>
  <c r="W132" i="9" a="1"/>
  <c r="W132" i="9" s="1"/>
  <c r="Y132" i="9" a="1"/>
  <c r="Y132" i="9" s="1"/>
  <c r="Z132" i="9"/>
  <c r="AB132" i="9" a="1"/>
  <c r="AB132" i="9" s="1"/>
  <c r="V132" i="9" a="1"/>
  <c r="V132" i="9" s="1"/>
  <c r="T132" i="9" a="1"/>
  <c r="T132" i="9" s="1"/>
  <c r="X132" i="9" a="1"/>
  <c r="X132" i="9" s="1"/>
  <c r="X184" i="9" a="1"/>
  <c r="X184" i="9" s="1"/>
  <c r="Z184" i="9"/>
  <c r="Y184" i="9" a="1"/>
  <c r="Y184" i="9" s="1"/>
  <c r="T184" i="9" a="1"/>
  <c r="T184" i="9" s="1"/>
  <c r="U184" i="9" a="1"/>
  <c r="U184" i="9" s="1"/>
  <c r="V184" i="9" a="1"/>
  <c r="V184" i="9" s="1"/>
  <c r="AB184" i="9" a="1"/>
  <c r="AB184" i="9" s="1"/>
  <c r="S184" i="9" a="1"/>
  <c r="S184" i="9" s="1"/>
  <c r="AC184" i="9" s="1"/>
  <c r="W184" i="9" a="1"/>
  <c r="W184" i="9" s="1"/>
  <c r="W179" i="9" a="1"/>
  <c r="W179" i="9" s="1"/>
  <c r="Z179" i="9"/>
  <c r="V179" i="9" a="1"/>
  <c r="V179" i="9" s="1"/>
  <c r="Y179" i="9" a="1"/>
  <c r="Y179" i="9" s="1"/>
  <c r="S179" i="9" a="1"/>
  <c r="S179" i="9" s="1"/>
  <c r="AC179" i="9" s="1"/>
  <c r="T179" i="9" a="1"/>
  <c r="T179" i="9" s="1"/>
  <c r="U179" i="9" a="1"/>
  <c r="U179" i="9" s="1"/>
  <c r="X179" i="9" a="1"/>
  <c r="X179" i="9" s="1"/>
  <c r="AB179" i="9" a="1"/>
  <c r="AB179" i="9" s="1"/>
  <c r="Z106" i="9"/>
  <c r="V106" i="9" a="1"/>
  <c r="V106" i="9" s="1"/>
  <c r="AB106" i="9" a="1"/>
  <c r="AB106" i="9" s="1"/>
  <c r="T106" i="9" a="1"/>
  <c r="T106" i="9" s="1"/>
  <c r="W106" i="9" a="1"/>
  <c r="W106" i="9" s="1"/>
  <c r="X106" i="9" a="1"/>
  <c r="X106" i="9" s="1"/>
  <c r="Y106" i="9" a="1"/>
  <c r="Y106" i="9" s="1"/>
  <c r="U106" i="9" a="1"/>
  <c r="U106" i="9" s="1"/>
  <c r="S106" i="9" a="1"/>
  <c r="S106" i="9" s="1"/>
  <c r="AC106" i="9" s="1"/>
  <c r="AB122" i="9" a="1"/>
  <c r="AB122" i="9" s="1"/>
  <c r="X122" i="9" a="1"/>
  <c r="X122" i="9" s="1"/>
  <c r="Z122" i="9"/>
  <c r="W122" i="9" a="1"/>
  <c r="W122" i="9" s="1"/>
  <c r="T122" i="9" a="1"/>
  <c r="T122" i="9" s="1"/>
  <c r="Y122" i="9" a="1"/>
  <c r="Y122" i="9" s="1"/>
  <c r="U122" i="9" a="1"/>
  <c r="U122" i="9" s="1"/>
  <c r="V122" i="9" a="1"/>
  <c r="V122" i="9" s="1"/>
  <c r="S122" i="9" a="1"/>
  <c r="S122" i="9" s="1"/>
  <c r="AC122" i="9" s="1"/>
  <c r="V88" i="9" a="1"/>
  <c r="V88" i="9" s="1"/>
  <c r="Y88" i="9" a="1"/>
  <c r="Y88" i="9" s="1"/>
  <c r="S88" i="9" a="1"/>
  <c r="S88" i="9" s="1"/>
  <c r="AC88" i="9" s="1"/>
  <c r="T88" i="9" a="1"/>
  <c r="T88" i="9" s="1"/>
  <c r="Z88" i="9"/>
  <c r="AB88" i="9" a="1"/>
  <c r="AB88" i="9" s="1"/>
  <c r="W88" i="9" a="1"/>
  <c r="W88" i="9" s="1"/>
  <c r="U88" i="9" a="1"/>
  <c r="U88" i="9" s="1"/>
  <c r="X88" i="9" a="1"/>
  <c r="X88" i="9" s="1"/>
  <c r="X79" i="9" a="1"/>
  <c r="X79" i="9" s="1"/>
  <c r="W79" i="9" a="1"/>
  <c r="W79" i="9" s="1"/>
  <c r="Z79" i="9"/>
  <c r="Y79" i="9" a="1"/>
  <c r="Y79" i="9" s="1"/>
  <c r="S79" i="9" a="1"/>
  <c r="S79" i="9" s="1"/>
  <c r="AC79" i="9" s="1"/>
  <c r="V79" i="9" a="1"/>
  <c r="V79" i="9" s="1"/>
  <c r="AB79" i="9" a="1"/>
  <c r="AB79" i="9" s="1"/>
  <c r="T79" i="9" a="1"/>
  <c r="T79" i="9" s="1"/>
  <c r="U79" i="9" a="1"/>
  <c r="U79" i="9" s="1"/>
  <c r="S89" i="9" a="1"/>
  <c r="S89" i="9" s="1"/>
  <c r="AC89" i="9" s="1"/>
  <c r="V89" i="9" a="1"/>
  <c r="V89" i="9" s="1"/>
  <c r="X89" i="9" a="1"/>
  <c r="X89" i="9" s="1"/>
  <c r="W89" i="9" a="1"/>
  <c r="W89" i="9" s="1"/>
  <c r="U89" i="9" a="1"/>
  <c r="U89" i="9" s="1"/>
  <c r="Y89" i="9" a="1"/>
  <c r="Y89" i="9" s="1"/>
  <c r="AB89" i="9" a="1"/>
  <c r="AB89" i="9" s="1"/>
  <c r="T89" i="9" a="1"/>
  <c r="T89" i="9" s="1"/>
  <c r="Z89" i="9"/>
  <c r="T110" i="9" a="1"/>
  <c r="T110" i="9" s="1"/>
  <c r="U110" i="9" a="1"/>
  <c r="U110" i="9" s="1"/>
  <c r="X110" i="9" a="1"/>
  <c r="X110" i="9" s="1"/>
  <c r="AB110" i="9" a="1"/>
  <c r="AB110" i="9" s="1"/>
  <c r="S110" i="9" a="1"/>
  <c r="S110" i="9" s="1"/>
  <c r="AC110" i="9" s="1"/>
  <c r="W110" i="9" a="1"/>
  <c r="W110" i="9" s="1"/>
  <c r="Z110" i="9"/>
  <c r="Y110" i="9" a="1"/>
  <c r="Y110" i="9" s="1"/>
  <c r="V110" i="9" a="1"/>
  <c r="V110" i="9" s="1"/>
  <c r="U82" i="9" a="1"/>
  <c r="U82" i="9" s="1"/>
  <c r="S82" i="9" a="1"/>
  <c r="S82" i="9" s="1"/>
  <c r="AC82" i="9" s="1"/>
  <c r="T82" i="9" a="1"/>
  <c r="T82" i="9" s="1"/>
  <c r="W82" i="9" a="1"/>
  <c r="W82" i="9" s="1"/>
  <c r="X82" i="9" a="1"/>
  <c r="X82" i="9" s="1"/>
  <c r="V82" i="9" a="1"/>
  <c r="V82" i="9" s="1"/>
  <c r="Z82" i="9"/>
  <c r="AB82" i="9" a="1"/>
  <c r="AB82" i="9" s="1"/>
  <c r="Y82" i="9" a="1"/>
  <c r="Y82" i="9" s="1"/>
  <c r="AB57" i="9" a="1"/>
  <c r="AB57" i="9" s="1"/>
  <c r="W57" i="9" a="1"/>
  <c r="W57" i="9" s="1"/>
  <c r="Y57" i="9" a="1"/>
  <c r="Y57" i="9" s="1"/>
  <c r="V57" i="9" a="1"/>
  <c r="V57" i="9" s="1"/>
  <c r="U57" i="9" a="1"/>
  <c r="U57" i="9" s="1"/>
  <c r="X57" i="9" a="1"/>
  <c r="X57" i="9" s="1"/>
  <c r="Z57" i="9"/>
  <c r="S57" i="9" a="1"/>
  <c r="S57" i="9" s="1"/>
  <c r="AC57" i="9" s="1"/>
  <c r="T57" i="9" a="1"/>
  <c r="T57" i="9" s="1"/>
  <c r="W86" i="9" a="1"/>
  <c r="W86" i="9" s="1"/>
  <c r="Z86" i="9"/>
  <c r="AB86" i="9" a="1"/>
  <c r="AB86" i="9" s="1"/>
  <c r="V86" i="9" a="1"/>
  <c r="V86" i="9" s="1"/>
  <c r="T86" i="9" a="1"/>
  <c r="T86" i="9" s="1"/>
  <c r="S86" i="9" a="1"/>
  <c r="S86" i="9" s="1"/>
  <c r="AC86" i="9" s="1"/>
  <c r="X86" i="9" a="1"/>
  <c r="X86" i="9" s="1"/>
  <c r="U86" i="9" a="1"/>
  <c r="U86" i="9" s="1"/>
  <c r="Y86" i="9" a="1"/>
  <c r="Y86" i="9" s="1"/>
  <c r="T105" i="9" a="1"/>
  <c r="T105" i="9" s="1"/>
  <c r="Y105" i="9" a="1"/>
  <c r="Y105" i="9" s="1"/>
  <c r="Z105" i="9"/>
  <c r="U105" i="9" a="1"/>
  <c r="U105" i="9" s="1"/>
  <c r="V105" i="9" a="1"/>
  <c r="V105" i="9" s="1"/>
  <c r="AB105" i="9" a="1"/>
  <c r="AB105" i="9" s="1"/>
  <c r="W105" i="9" a="1"/>
  <c r="W105" i="9" s="1"/>
  <c r="X105" i="9" a="1"/>
  <c r="X105" i="9" s="1"/>
  <c r="S105" i="9" a="1"/>
  <c r="S105" i="9" s="1"/>
  <c r="AC105" i="9" s="1"/>
  <c r="V214" i="9" a="1"/>
  <c r="V214" i="9" s="1"/>
  <c r="U214" i="9" a="1"/>
  <c r="U214" i="9" s="1"/>
  <c r="Y214" i="9" a="1"/>
  <c r="Y214" i="9" s="1"/>
  <c r="T214" i="9" a="1"/>
  <c r="T214" i="9" s="1"/>
  <c r="X214" i="9" a="1"/>
  <c r="X214" i="9" s="1"/>
  <c r="W214" i="9" a="1"/>
  <c r="W214" i="9" s="1"/>
  <c r="S214" i="9" a="1"/>
  <c r="S214" i="9" s="1"/>
  <c r="AC214" i="9" s="1"/>
  <c r="AB214" i="9" a="1"/>
  <c r="AB214" i="9" s="1"/>
  <c r="Z214" i="9"/>
  <c r="V144" i="9" a="1"/>
  <c r="V144" i="9" s="1"/>
  <c r="AB144" i="9" a="1"/>
  <c r="AB144" i="9" s="1"/>
  <c r="Z144" i="9"/>
  <c r="T144" i="9" a="1"/>
  <c r="T144" i="9" s="1"/>
  <c r="U144" i="9" a="1"/>
  <c r="U144" i="9" s="1"/>
  <c r="W144" i="9" a="1"/>
  <c r="W144" i="9" s="1"/>
  <c r="X144" i="9" a="1"/>
  <c r="X144" i="9" s="1"/>
  <c r="Y144" i="9" a="1"/>
  <c r="Y144" i="9" s="1"/>
  <c r="S144" i="9" a="1"/>
  <c r="S144" i="9" s="1"/>
  <c r="AC144" i="9" s="1"/>
  <c r="X182" i="9" a="1"/>
  <c r="X182" i="9" s="1"/>
  <c r="Z182" i="9"/>
  <c r="V182" i="9" a="1"/>
  <c r="V182" i="9" s="1"/>
  <c r="U182" i="9" a="1"/>
  <c r="U182" i="9" s="1"/>
  <c r="S182" i="9" a="1"/>
  <c r="S182" i="9" s="1"/>
  <c r="AC182" i="9" s="1"/>
  <c r="Y182" i="9" a="1"/>
  <c r="Y182" i="9" s="1"/>
  <c r="W182" i="9" a="1"/>
  <c r="W182" i="9" s="1"/>
  <c r="T182" i="9" a="1"/>
  <c r="T182" i="9" s="1"/>
  <c r="AB182" i="9" a="1"/>
  <c r="AB182" i="9" s="1"/>
  <c r="AB156" i="9" a="1"/>
  <c r="AB156" i="9" s="1"/>
  <c r="Y156" i="9" a="1"/>
  <c r="Y156" i="9" s="1"/>
  <c r="Z156" i="9"/>
  <c r="X156" i="9" a="1"/>
  <c r="X156" i="9" s="1"/>
  <c r="S156" i="9" a="1"/>
  <c r="S156" i="9" s="1"/>
  <c r="AC156" i="9" s="1"/>
  <c r="U156" i="9" a="1"/>
  <c r="U156" i="9" s="1"/>
  <c r="T156" i="9" a="1"/>
  <c r="T156" i="9" s="1"/>
  <c r="V156" i="9" a="1"/>
  <c r="V156" i="9" s="1"/>
  <c r="W156" i="9" a="1"/>
  <c r="W156" i="9" s="1"/>
  <c r="S232" i="9" a="1"/>
  <c r="S232" i="9" s="1"/>
  <c r="AC232" i="9" s="1"/>
  <c r="AB232" i="9" a="1"/>
  <c r="AB232" i="9" s="1"/>
  <c r="Z232" i="9"/>
  <c r="T232" i="9" a="1"/>
  <c r="T232" i="9" s="1"/>
  <c r="W232" i="9" a="1"/>
  <c r="W232" i="9" s="1"/>
  <c r="X232" i="9" a="1"/>
  <c r="X232" i="9" s="1"/>
  <c r="Y232" i="9" a="1"/>
  <c r="Y232" i="9" s="1"/>
  <c r="U232" i="9" a="1"/>
  <c r="U232" i="9" s="1"/>
  <c r="V232" i="9" a="1"/>
  <c r="V232" i="9" s="1"/>
  <c r="U169" i="9" a="1"/>
  <c r="U169" i="9" s="1"/>
  <c r="Z169" i="9"/>
  <c r="T169" i="9" a="1"/>
  <c r="T169" i="9" s="1"/>
  <c r="V169" i="9" a="1"/>
  <c r="V169" i="9" s="1"/>
  <c r="Y169" i="9" a="1"/>
  <c r="Y169" i="9" s="1"/>
  <c r="X169" i="9" a="1"/>
  <c r="X169" i="9" s="1"/>
  <c r="AB169" i="9" a="1"/>
  <c r="AB169" i="9" s="1"/>
  <c r="W169" i="9" a="1"/>
  <c r="W169" i="9" s="1"/>
  <c r="S169" i="9" a="1"/>
  <c r="S169" i="9" s="1"/>
  <c r="AC169" i="9" s="1"/>
  <c r="Z242" i="9"/>
  <c r="X242" i="9" a="1"/>
  <c r="X242" i="9" s="1"/>
  <c r="S242" i="9" a="1"/>
  <c r="S242" i="9" s="1"/>
  <c r="AC242" i="9" s="1"/>
  <c r="T242" i="9" a="1"/>
  <c r="T242" i="9" s="1"/>
  <c r="W242" i="9" a="1"/>
  <c r="W242" i="9" s="1"/>
  <c r="U242" i="9" a="1"/>
  <c r="U242" i="9" s="1"/>
  <c r="Y242" i="9" a="1"/>
  <c r="Y242" i="9" s="1"/>
  <c r="V242" i="9" a="1"/>
  <c r="V242" i="9" s="1"/>
  <c r="AB242" i="9" a="1"/>
  <c r="AB242" i="9" s="1"/>
  <c r="W66" i="9" a="1"/>
  <c r="W66" i="9" s="1"/>
  <c r="T66" i="9" a="1"/>
  <c r="T66" i="9" s="1"/>
  <c r="Z66" i="9"/>
  <c r="Y66" i="9" a="1"/>
  <c r="Y66" i="9" s="1"/>
  <c r="X66" i="9" a="1"/>
  <c r="X66" i="9" s="1"/>
  <c r="AB66" i="9" a="1"/>
  <c r="AB66" i="9" s="1"/>
  <c r="V66" i="9" a="1"/>
  <c r="V66" i="9" s="1"/>
  <c r="U66" i="9" a="1"/>
  <c r="U66" i="9" s="1"/>
  <c r="S66" i="9" a="1"/>
  <c r="S66" i="9" s="1"/>
  <c r="AC66" i="9" s="1"/>
  <c r="Z64" i="9"/>
  <c r="U64" i="9" a="1"/>
  <c r="U64" i="9" s="1"/>
  <c r="Y64" i="9" a="1"/>
  <c r="Y64" i="9" s="1"/>
  <c r="T64" i="9" a="1"/>
  <c r="T64" i="9" s="1"/>
  <c r="W64" i="9" a="1"/>
  <c r="W64" i="9" s="1"/>
  <c r="S64" i="9" a="1"/>
  <c r="S64" i="9" s="1"/>
  <c r="AC64" i="9" s="1"/>
  <c r="AB64" i="9" a="1"/>
  <c r="AB64" i="9" s="1"/>
  <c r="V64" i="9" a="1"/>
  <c r="V64" i="9" s="1"/>
  <c r="X64" i="9" a="1"/>
  <c r="X64" i="9" s="1"/>
  <c r="S84" i="9" a="1"/>
  <c r="S84" i="9" s="1"/>
  <c r="AC84" i="9" s="1"/>
  <c r="U84" i="9" a="1"/>
  <c r="U84" i="9" s="1"/>
  <c r="X84" i="9" a="1"/>
  <c r="X84" i="9" s="1"/>
  <c r="W84" i="9" a="1"/>
  <c r="W84" i="9" s="1"/>
  <c r="Y84" i="9" a="1"/>
  <c r="Y84" i="9" s="1"/>
  <c r="AB84" i="9" a="1"/>
  <c r="AB84" i="9" s="1"/>
  <c r="Z84" i="9"/>
  <c r="V84" i="9" a="1"/>
  <c r="V84" i="9" s="1"/>
  <c r="T84" i="9" a="1"/>
  <c r="T84" i="9" s="1"/>
  <c r="Y70" i="9" a="1"/>
  <c r="Y70" i="9" s="1"/>
  <c r="T70" i="9" a="1"/>
  <c r="T70" i="9" s="1"/>
  <c r="V70" i="9" a="1"/>
  <c r="V70" i="9" s="1"/>
  <c r="S70" i="9" a="1"/>
  <c r="S70" i="9" s="1"/>
  <c r="AC70" i="9" s="1"/>
  <c r="Z70" i="9"/>
  <c r="X70" i="9" a="1"/>
  <c r="X70" i="9" s="1"/>
  <c r="U70" i="9" a="1"/>
  <c r="U70" i="9" s="1"/>
  <c r="W70" i="9" a="1"/>
  <c r="W70" i="9" s="1"/>
  <c r="AB70" i="9" a="1"/>
  <c r="AB70" i="9" s="1"/>
  <c r="Y221" i="9" a="1"/>
  <c r="Y221" i="9" s="1"/>
  <c r="U221" i="9" a="1"/>
  <c r="U221" i="9" s="1"/>
  <c r="V221" i="9" a="1"/>
  <c r="V221" i="9" s="1"/>
  <c r="AB221" i="9" a="1"/>
  <c r="AB221" i="9" s="1"/>
  <c r="S221" i="9" a="1"/>
  <c r="S221" i="9" s="1"/>
  <c r="AC221" i="9" s="1"/>
  <c r="T221" i="9" a="1"/>
  <c r="T221" i="9" s="1"/>
  <c r="W221" i="9" a="1"/>
  <c r="W221" i="9" s="1"/>
  <c r="X221" i="9" a="1"/>
  <c r="X221" i="9" s="1"/>
  <c r="Z221" i="9"/>
  <c r="T170" i="9" a="1"/>
  <c r="T170" i="9" s="1"/>
  <c r="AB170" i="9" a="1"/>
  <c r="AB170" i="9" s="1"/>
  <c r="U170" i="9" a="1"/>
  <c r="U170" i="9" s="1"/>
  <c r="X170" i="9" a="1"/>
  <c r="X170" i="9" s="1"/>
  <c r="V170" i="9" a="1"/>
  <c r="V170" i="9" s="1"/>
  <c r="S170" i="9" a="1"/>
  <c r="S170" i="9" s="1"/>
  <c r="AC170" i="9" s="1"/>
  <c r="W170" i="9" a="1"/>
  <c r="W170" i="9" s="1"/>
  <c r="Z170" i="9"/>
  <c r="Y170" i="9" a="1"/>
  <c r="Y170" i="9" s="1"/>
  <c r="Z81" i="9"/>
  <c r="T81" i="9" a="1"/>
  <c r="T81" i="9" s="1"/>
  <c r="X81" i="9" a="1"/>
  <c r="X81" i="9" s="1"/>
  <c r="U81" i="9" a="1"/>
  <c r="U81" i="9" s="1"/>
  <c r="Y81" i="9" a="1"/>
  <c r="Y81" i="9" s="1"/>
  <c r="AB81" i="9" a="1"/>
  <c r="AB81" i="9" s="1"/>
  <c r="W81" i="9" a="1"/>
  <c r="W81" i="9" s="1"/>
  <c r="V81" i="9" a="1"/>
  <c r="V81" i="9" s="1"/>
  <c r="S81" i="9" a="1"/>
  <c r="S81" i="9" s="1"/>
  <c r="AC81" i="9" s="1"/>
  <c r="V127" i="9" a="1"/>
  <c r="V127" i="9" s="1"/>
  <c r="Y127" i="9" a="1"/>
  <c r="Y127" i="9" s="1"/>
  <c r="AB127" i="9" a="1"/>
  <c r="AB127" i="9" s="1"/>
  <c r="Z127" i="9"/>
  <c r="T127" i="9" a="1"/>
  <c r="T127" i="9" s="1"/>
  <c r="U127" i="9" a="1"/>
  <c r="U127" i="9" s="1"/>
  <c r="S127" i="9" a="1"/>
  <c r="S127" i="9" s="1"/>
  <c r="AC127" i="9" s="1"/>
  <c r="W127" i="9" a="1"/>
  <c r="W127" i="9" s="1"/>
  <c r="X127" i="9" a="1"/>
  <c r="X127" i="9" s="1"/>
  <c r="V117" i="9" a="1"/>
  <c r="V117" i="9" s="1"/>
  <c r="X117" i="9" a="1"/>
  <c r="X117" i="9" s="1"/>
  <c r="S117" i="9" a="1"/>
  <c r="S117" i="9" s="1"/>
  <c r="AC117" i="9" s="1"/>
  <c r="T117" i="9" a="1"/>
  <c r="T117" i="9" s="1"/>
  <c r="W117" i="9" a="1"/>
  <c r="W117" i="9" s="1"/>
  <c r="Y117" i="9" a="1"/>
  <c r="Y117" i="9" s="1"/>
  <c r="U117" i="9" a="1"/>
  <c r="U117" i="9" s="1"/>
  <c r="Z117" i="9"/>
  <c r="AB117" i="9" a="1"/>
  <c r="AB117" i="9" s="1"/>
  <c r="V207" i="9" a="1"/>
  <c r="V207" i="9" s="1"/>
  <c r="Z207" i="9"/>
  <c r="S207" i="9" a="1"/>
  <c r="S207" i="9" s="1"/>
  <c r="AC207" i="9" s="1"/>
  <c r="T207" i="9" a="1"/>
  <c r="T207" i="9" s="1"/>
  <c r="U207" i="9" a="1"/>
  <c r="U207" i="9" s="1"/>
  <c r="X207" i="9" a="1"/>
  <c r="X207" i="9" s="1"/>
  <c r="W207" i="9" a="1"/>
  <c r="W207" i="9" s="1"/>
  <c r="AB207" i="9" a="1"/>
  <c r="AB207" i="9" s="1"/>
  <c r="Y207" i="9" a="1"/>
  <c r="Y207" i="9" s="1"/>
  <c r="U161" i="9" a="1"/>
  <c r="U161" i="9" s="1"/>
  <c r="V161" i="9" a="1"/>
  <c r="V161" i="9" s="1"/>
  <c r="X161" i="9" a="1"/>
  <c r="X161" i="9" s="1"/>
  <c r="AB161" i="9" a="1"/>
  <c r="AB161" i="9" s="1"/>
  <c r="Z161" i="9"/>
  <c r="Y161" i="9" a="1"/>
  <c r="Y161" i="9" s="1"/>
  <c r="T161" i="9" a="1"/>
  <c r="T161" i="9" s="1"/>
  <c r="S161" i="9" a="1"/>
  <c r="S161" i="9" s="1"/>
  <c r="AC161" i="9" s="1"/>
  <c r="W161" i="9" a="1"/>
  <c r="W161" i="9" s="1"/>
  <c r="T162" i="9" a="1"/>
  <c r="T162" i="9" s="1"/>
  <c r="W162" i="9" a="1"/>
  <c r="W162" i="9" s="1"/>
  <c r="Y162" i="9" a="1"/>
  <c r="Y162" i="9" s="1"/>
  <c r="U162" i="9" a="1"/>
  <c r="U162" i="9" s="1"/>
  <c r="Z162" i="9"/>
  <c r="AB162" i="9" a="1"/>
  <c r="AB162" i="9" s="1"/>
  <c r="S162" i="9" a="1"/>
  <c r="S162" i="9" s="1"/>
  <c r="AC162" i="9" s="1"/>
  <c r="X162" i="9" a="1"/>
  <c r="X162" i="9" s="1"/>
  <c r="V162" i="9" a="1"/>
  <c r="V162" i="9" s="1"/>
  <c r="W56" i="9" a="1"/>
  <c r="W56" i="9" s="1"/>
  <c r="X56" i="9" a="1"/>
  <c r="X56" i="9" s="1"/>
  <c r="U56" i="9" a="1"/>
  <c r="U56" i="9" s="1"/>
  <c r="Y56" i="9" a="1"/>
  <c r="Y56" i="9" s="1"/>
  <c r="V56" i="9" a="1"/>
  <c r="V56" i="9" s="1"/>
  <c r="AB56" i="9" a="1"/>
  <c r="AB56" i="9" s="1"/>
  <c r="T56" i="9" a="1"/>
  <c r="T56" i="9" s="1"/>
  <c r="Z56" i="9"/>
  <c r="S56" i="9" a="1"/>
  <c r="S56" i="9" s="1"/>
  <c r="AC56" i="9" s="1"/>
  <c r="Y205" i="9" a="1"/>
  <c r="Y205" i="9" s="1"/>
  <c r="AB205" i="9" a="1"/>
  <c r="AB205" i="9" s="1"/>
  <c r="T205" i="9" a="1"/>
  <c r="T205" i="9" s="1"/>
  <c r="S205" i="9" a="1"/>
  <c r="S205" i="9" s="1"/>
  <c r="AC205" i="9" s="1"/>
  <c r="X205" i="9" a="1"/>
  <c r="X205" i="9" s="1"/>
  <c r="V205" i="9" a="1"/>
  <c r="V205" i="9" s="1"/>
  <c r="U205" i="9" a="1"/>
  <c r="U205" i="9" s="1"/>
  <c r="W205" i="9" a="1"/>
  <c r="W205" i="9" s="1"/>
  <c r="Z205" i="9"/>
  <c r="Z71" i="9"/>
  <c r="S71" i="9" a="1"/>
  <c r="S71" i="9" s="1"/>
  <c r="AC71" i="9" s="1"/>
  <c r="Y71" i="9" a="1"/>
  <c r="Y71" i="9" s="1"/>
  <c r="U71" i="9" a="1"/>
  <c r="U71" i="9" s="1"/>
  <c r="AB71" i="9" a="1"/>
  <c r="AB71" i="9" s="1"/>
  <c r="W71" i="9" a="1"/>
  <c r="W71" i="9" s="1"/>
  <c r="V71" i="9" a="1"/>
  <c r="V71" i="9" s="1"/>
  <c r="T71" i="9" a="1"/>
  <c r="T71" i="9" s="1"/>
  <c r="X71" i="9" a="1"/>
  <c r="X71" i="9" s="1"/>
  <c r="Y197" i="9" a="1"/>
  <c r="Y197" i="9" s="1"/>
  <c r="S197" i="9" a="1"/>
  <c r="S197" i="9" s="1"/>
  <c r="AC197" i="9" s="1"/>
  <c r="U197" i="9" a="1"/>
  <c r="U197" i="9" s="1"/>
  <c r="AB197" i="9" a="1"/>
  <c r="AB197" i="9" s="1"/>
  <c r="X197" i="9" a="1"/>
  <c r="X197" i="9" s="1"/>
  <c r="Z197" i="9"/>
  <c r="V197" i="9" a="1"/>
  <c r="V197" i="9" s="1"/>
  <c r="W197" i="9" a="1"/>
  <c r="W197" i="9" s="1"/>
  <c r="T197" i="9" a="1"/>
  <c r="T197" i="9" s="1"/>
  <c r="Y219" i="9" a="1"/>
  <c r="Y219" i="9" s="1"/>
  <c r="X219" i="9" a="1"/>
  <c r="X219" i="9" s="1"/>
  <c r="S219" i="9" a="1"/>
  <c r="S219" i="9" s="1"/>
  <c r="AC219" i="9" s="1"/>
  <c r="V219" i="9" a="1"/>
  <c r="V219" i="9" s="1"/>
  <c r="U219" i="9" a="1"/>
  <c r="U219" i="9" s="1"/>
  <c r="Z219" i="9"/>
  <c r="AB219" i="9" a="1"/>
  <c r="AB219" i="9" s="1"/>
  <c r="T219" i="9" a="1"/>
  <c r="T219" i="9" s="1"/>
  <c r="W219" i="9" a="1"/>
  <c r="W219" i="9" s="1"/>
  <c r="X218" i="9" a="1"/>
  <c r="X218" i="9" s="1"/>
  <c r="W218" i="9" a="1"/>
  <c r="W218" i="9" s="1"/>
  <c r="V218" i="9" a="1"/>
  <c r="V218" i="9" s="1"/>
  <c r="S218" i="9" a="1"/>
  <c r="S218" i="9" s="1"/>
  <c r="AC218" i="9" s="1"/>
  <c r="U218" i="9" a="1"/>
  <c r="U218" i="9" s="1"/>
  <c r="Y218" i="9" a="1"/>
  <c r="Y218" i="9" s="1"/>
  <c r="T218" i="9" a="1"/>
  <c r="T218" i="9" s="1"/>
  <c r="Z218" i="9"/>
  <c r="AB218" i="9" a="1"/>
  <c r="AB218" i="9" s="1"/>
  <c r="Z138" i="9"/>
  <c r="AB138" i="9" a="1"/>
  <c r="AB138" i="9" s="1"/>
  <c r="V138" i="9" a="1"/>
  <c r="V138" i="9" s="1"/>
  <c r="S138" i="9" a="1"/>
  <c r="S138" i="9" s="1"/>
  <c r="AC138" i="9" s="1"/>
  <c r="T138" i="9" a="1"/>
  <c r="T138" i="9" s="1"/>
  <c r="W138" i="9" a="1"/>
  <c r="W138" i="9" s="1"/>
  <c r="X138" i="9" a="1"/>
  <c r="X138" i="9" s="1"/>
  <c r="U138" i="9" a="1"/>
  <c r="U138" i="9" s="1"/>
  <c r="Y138" i="9" a="1"/>
  <c r="Y138" i="9" s="1"/>
  <c r="V54" i="9" a="1"/>
  <c r="V54" i="9" s="1"/>
  <c r="Z54" i="9"/>
  <c r="U54" i="9" a="1"/>
  <c r="U54" i="9" s="1"/>
  <c r="T54" i="9" a="1"/>
  <c r="T54" i="9" s="1"/>
  <c r="AB54" i="9" a="1"/>
  <c r="AB54" i="9" s="1"/>
  <c r="X54" i="9" a="1"/>
  <c r="X54" i="9" s="1"/>
  <c r="S54" i="9" a="1"/>
  <c r="S54" i="9" s="1"/>
  <c r="AC54" i="9" s="1"/>
  <c r="Y54" i="9" a="1"/>
  <c r="Y54" i="9" s="1"/>
  <c r="W54" i="9" a="1"/>
  <c r="W54" i="9" s="1"/>
  <c r="V229" i="9" a="1"/>
  <c r="V229" i="9" s="1"/>
  <c r="Y229" i="9" a="1"/>
  <c r="Y229" i="9" s="1"/>
  <c r="W229" i="9" a="1"/>
  <c r="W229" i="9" s="1"/>
  <c r="X229" i="9" a="1"/>
  <c r="X229" i="9" s="1"/>
  <c r="U229" i="9" a="1"/>
  <c r="U229" i="9" s="1"/>
  <c r="Z229" i="9"/>
  <c r="AB229" i="9" a="1"/>
  <c r="AB229" i="9" s="1"/>
  <c r="S229" i="9" a="1"/>
  <c r="S229" i="9" s="1"/>
  <c r="AC229" i="9" s="1"/>
  <c r="T229" i="9" a="1"/>
  <c r="T229" i="9" s="1"/>
  <c r="V263" i="9" a="1"/>
  <c r="V263" i="9" s="1"/>
  <c r="W263" i="9" a="1"/>
  <c r="W263" i="9" s="1"/>
  <c r="T263" i="9" a="1"/>
  <c r="T263" i="9" s="1"/>
  <c r="Y263" i="9" a="1"/>
  <c r="Y263" i="9" s="1"/>
  <c r="AB263" i="9" a="1"/>
  <c r="AB263" i="9" s="1"/>
  <c r="X263" i="9" a="1"/>
  <c r="X263" i="9" s="1"/>
  <c r="Z263" i="9"/>
  <c r="U263" i="9" a="1"/>
  <c r="U263" i="9" s="1"/>
  <c r="S263" i="9" a="1"/>
  <c r="S263" i="9" s="1"/>
  <c r="AC263" i="9" s="1"/>
  <c r="Y253" i="9" a="1"/>
  <c r="Y253" i="9" s="1"/>
  <c r="U253" i="9" a="1"/>
  <c r="U253" i="9" s="1"/>
  <c r="V253" i="9" a="1"/>
  <c r="V253" i="9" s="1"/>
  <c r="S253" i="9" a="1"/>
  <c r="S253" i="9" s="1"/>
  <c r="AC253" i="9" s="1"/>
  <c r="X253" i="9" a="1"/>
  <c r="X253" i="9" s="1"/>
  <c r="W253" i="9" a="1"/>
  <c r="W253" i="9" s="1"/>
  <c r="Z253" i="9"/>
  <c r="T253" i="9" a="1"/>
  <c r="T253" i="9" s="1"/>
  <c r="AB253" i="9" a="1"/>
  <c r="AB253" i="9" s="1"/>
  <c r="U141" i="9" a="1"/>
  <c r="U141" i="9" s="1"/>
  <c r="Y141" i="9" a="1"/>
  <c r="Y141" i="9" s="1"/>
  <c r="W141" i="9" a="1"/>
  <c r="W141" i="9" s="1"/>
  <c r="V141" i="9" a="1"/>
  <c r="V141" i="9" s="1"/>
  <c r="AB141" i="9" a="1"/>
  <c r="AB141" i="9" s="1"/>
  <c r="Z141" i="9"/>
  <c r="T141" i="9" a="1"/>
  <c r="T141" i="9" s="1"/>
  <c r="X141" i="9" a="1"/>
  <c r="X141" i="9" s="1"/>
  <c r="S141" i="9" a="1"/>
  <c r="S141" i="9" s="1"/>
  <c r="AC141" i="9" s="1"/>
  <c r="X152" i="9" a="1"/>
  <c r="X152" i="9" s="1"/>
  <c r="Z152" i="9"/>
  <c r="T152" i="9" a="1"/>
  <c r="T152" i="9" s="1"/>
  <c r="S152" i="9" a="1"/>
  <c r="S152" i="9" s="1"/>
  <c r="AC152" i="9" s="1"/>
  <c r="U152" i="9" a="1"/>
  <c r="U152" i="9" s="1"/>
  <c r="AB152" i="9" a="1"/>
  <c r="AB152" i="9" s="1"/>
  <c r="V152" i="9" a="1"/>
  <c r="V152" i="9" s="1"/>
  <c r="W152" i="9" a="1"/>
  <c r="W152" i="9" s="1"/>
  <c r="Y152" i="9" a="1"/>
  <c r="Y152" i="9" s="1"/>
  <c r="S96" i="9" a="1"/>
  <c r="S96" i="9" s="1"/>
  <c r="AC96" i="9" s="1"/>
  <c r="AB96" i="9" a="1"/>
  <c r="AB96" i="9" s="1"/>
  <c r="Z96" i="9"/>
  <c r="T96" i="9" a="1"/>
  <c r="T96" i="9" s="1"/>
  <c r="X96" i="9" a="1"/>
  <c r="X96" i="9" s="1"/>
  <c r="U96" i="9" a="1"/>
  <c r="U96" i="9" s="1"/>
  <c r="V96" i="9" a="1"/>
  <c r="V96" i="9" s="1"/>
  <c r="Y96" i="9" a="1"/>
  <c r="Y96" i="9" s="1"/>
  <c r="W96" i="9" a="1"/>
  <c r="W96" i="9" s="1"/>
  <c r="Y251" i="9" a="1"/>
  <c r="Y251" i="9" s="1"/>
  <c r="AB251" i="9" a="1"/>
  <c r="AB251" i="9" s="1"/>
  <c r="Z251" i="9"/>
  <c r="T251" i="9" a="1"/>
  <c r="T251" i="9" s="1"/>
  <c r="V251" i="9" a="1"/>
  <c r="V251" i="9" s="1"/>
  <c r="W251" i="9" a="1"/>
  <c r="W251" i="9" s="1"/>
  <c r="U251" i="9" a="1"/>
  <c r="U251" i="9" s="1"/>
  <c r="S251" i="9" a="1"/>
  <c r="S251" i="9" s="1"/>
  <c r="AC251" i="9" s="1"/>
  <c r="X251" i="9" a="1"/>
  <c r="X251" i="9" s="1"/>
  <c r="Z248" i="9"/>
  <c r="X248" i="9" a="1"/>
  <c r="X248" i="9" s="1"/>
  <c r="T248" i="9" a="1"/>
  <c r="T248" i="9" s="1"/>
  <c r="W248" i="9" a="1"/>
  <c r="W248" i="9" s="1"/>
  <c r="V248" i="9" a="1"/>
  <c r="V248" i="9" s="1"/>
  <c r="AB248" i="9" a="1"/>
  <c r="AB248" i="9" s="1"/>
  <c r="Y248" i="9" a="1"/>
  <c r="Y248" i="9" s="1"/>
  <c r="U248" i="9" a="1"/>
  <c r="U248" i="9" s="1"/>
  <c r="S248" i="9" a="1"/>
  <c r="S248" i="9" s="1"/>
  <c r="AC248" i="9" s="1"/>
  <c r="X192" i="9" a="1"/>
  <c r="X192" i="9" s="1"/>
  <c r="S192" i="9" a="1"/>
  <c r="S192" i="9" s="1"/>
  <c r="AC192" i="9" s="1"/>
  <c r="U192" i="9" a="1"/>
  <c r="U192" i="9" s="1"/>
  <c r="W192" i="9" a="1"/>
  <c r="W192" i="9" s="1"/>
  <c r="Y192" i="9" a="1"/>
  <c r="Y192" i="9" s="1"/>
  <c r="T192" i="9" a="1"/>
  <c r="T192" i="9" s="1"/>
  <c r="V192" i="9" a="1"/>
  <c r="V192" i="9" s="1"/>
  <c r="Z192" i="9"/>
  <c r="AB192" i="9" a="1"/>
  <c r="AB192" i="9" s="1"/>
  <c r="V94" i="9" a="1"/>
  <c r="V94" i="9" s="1"/>
  <c r="Z94" i="9"/>
  <c r="AB94" i="9" a="1"/>
  <c r="AB94" i="9" s="1"/>
  <c r="T94" i="9" a="1"/>
  <c r="T94" i="9" s="1"/>
  <c r="S94" i="9" a="1"/>
  <c r="S94" i="9" s="1"/>
  <c r="AC94" i="9" s="1"/>
  <c r="U94" i="9" a="1"/>
  <c r="U94" i="9" s="1"/>
  <c r="X94" i="9" a="1"/>
  <c r="X94" i="9" s="1"/>
  <c r="Y94" i="9" a="1"/>
  <c r="Y94" i="9" s="1"/>
  <c r="W94" i="9" a="1"/>
  <c r="W94" i="9" s="1"/>
  <c r="T188" i="9" a="1"/>
  <c r="T188" i="9" s="1"/>
  <c r="Z188" i="9"/>
  <c r="V188" i="9" a="1"/>
  <c r="V188" i="9" s="1"/>
  <c r="S188" i="9" a="1"/>
  <c r="S188" i="9" s="1"/>
  <c r="AC188" i="9" s="1"/>
  <c r="AB188" i="9" a="1"/>
  <c r="AB188" i="9" s="1"/>
  <c r="W188" i="9" a="1"/>
  <c r="W188" i="9" s="1"/>
  <c r="Y188" i="9" a="1"/>
  <c r="Y188" i="9" s="1"/>
  <c r="X188" i="9" a="1"/>
  <c r="X188" i="9" s="1"/>
  <c r="U188" i="9" a="1"/>
  <c r="U188" i="9" s="1"/>
  <c r="X241" i="9" a="1"/>
  <c r="X241" i="9" s="1"/>
  <c r="AB241" i="9" a="1"/>
  <c r="AB241" i="9" s="1"/>
  <c r="W241" i="9" a="1"/>
  <c r="W241" i="9" s="1"/>
  <c r="Y241" i="9" a="1"/>
  <c r="Y241" i="9" s="1"/>
  <c r="T241" i="9" a="1"/>
  <c r="T241" i="9" s="1"/>
  <c r="U241" i="9" a="1"/>
  <c r="U241" i="9" s="1"/>
  <c r="S241" i="9" a="1"/>
  <c r="S241" i="9" s="1"/>
  <c r="AC241" i="9" s="1"/>
  <c r="V241" i="9" a="1"/>
  <c r="V241" i="9" s="1"/>
  <c r="Z241" i="9"/>
  <c r="Z74" i="9"/>
  <c r="V74" i="9" a="1"/>
  <c r="V74" i="9" s="1"/>
  <c r="W74" i="9" a="1"/>
  <c r="W74" i="9" s="1"/>
  <c r="T74" i="9" a="1"/>
  <c r="T74" i="9" s="1"/>
  <c r="U74" i="9" a="1"/>
  <c r="U74" i="9" s="1"/>
  <c r="X74" i="9" a="1"/>
  <c r="X74" i="9" s="1"/>
  <c r="Y74" i="9" a="1"/>
  <c r="Y74" i="9" s="1"/>
  <c r="AB74" i="9" a="1"/>
  <c r="AB74" i="9" s="1"/>
  <c r="S224" i="9" a="1"/>
  <c r="S224" i="9" s="1"/>
  <c r="AC224" i="9" s="1"/>
  <c r="AB224" i="9" a="1"/>
  <c r="AB224" i="9" s="1"/>
  <c r="Z224" i="9"/>
  <c r="X224" i="9" a="1"/>
  <c r="X224" i="9" s="1"/>
  <c r="V224" i="9" a="1"/>
  <c r="V224" i="9" s="1"/>
  <c r="T224" i="9" a="1"/>
  <c r="T224" i="9" s="1"/>
  <c r="U224" i="9" a="1"/>
  <c r="U224" i="9" s="1"/>
  <c r="W224" i="9" a="1"/>
  <c r="W224" i="9" s="1"/>
  <c r="Y224" i="9" a="1"/>
  <c r="Y224" i="9" s="1"/>
  <c r="W195" i="9" a="1"/>
  <c r="W195" i="9" s="1"/>
  <c r="S195" i="9" a="1"/>
  <c r="S195" i="9" s="1"/>
  <c r="AC195" i="9" s="1"/>
  <c r="V195" i="9" a="1"/>
  <c r="V195" i="9" s="1"/>
  <c r="AB195" i="9" a="1"/>
  <c r="AB195" i="9" s="1"/>
  <c r="T195" i="9" a="1"/>
  <c r="T195" i="9" s="1"/>
  <c r="X195" i="9" a="1"/>
  <c r="X195" i="9" s="1"/>
  <c r="Z195" i="9"/>
  <c r="Y195" i="9" a="1"/>
  <c r="Y195" i="9" s="1"/>
  <c r="U195" i="9" a="1"/>
  <c r="U195" i="9" s="1"/>
  <c r="X109" i="9" a="1"/>
  <c r="X109" i="9" s="1"/>
  <c r="AB109" i="9" a="1"/>
  <c r="AB109" i="9" s="1"/>
  <c r="V109" i="9" a="1"/>
  <c r="V109" i="9" s="1"/>
  <c r="Z109" i="9"/>
  <c r="Y109" i="9" a="1"/>
  <c r="Y109" i="9" s="1"/>
  <c r="S109" i="9" a="1"/>
  <c r="S109" i="9" s="1"/>
  <c r="AC109" i="9" s="1"/>
  <c r="T109" i="9" a="1"/>
  <c r="T109" i="9" s="1"/>
  <c r="U109" i="9" a="1"/>
  <c r="U109" i="9" s="1"/>
  <c r="W109" i="9" a="1"/>
  <c r="W109" i="9" s="1"/>
  <c r="U200" i="9" a="1"/>
  <c r="U200" i="9" s="1"/>
  <c r="Y200" i="9" a="1"/>
  <c r="Y200" i="9" s="1"/>
  <c r="Z200" i="9"/>
  <c r="AB200" i="9" a="1"/>
  <c r="AB200" i="9" s="1"/>
  <c r="X200" i="9" a="1"/>
  <c r="X200" i="9" s="1"/>
  <c r="S200" i="9" a="1"/>
  <c r="S200" i="9" s="1"/>
  <c r="AC200" i="9" s="1"/>
  <c r="T200" i="9" a="1"/>
  <c r="T200" i="9" s="1"/>
  <c r="W200" i="9" a="1"/>
  <c r="W200" i="9" s="1"/>
  <c r="V200" i="9" a="1"/>
  <c r="V200" i="9" s="1"/>
  <c r="V223" i="9" a="1"/>
  <c r="V223" i="9" s="1"/>
  <c r="U223" i="9" a="1"/>
  <c r="U223" i="9" s="1"/>
  <c r="W223" i="9" a="1"/>
  <c r="W223" i="9" s="1"/>
  <c r="Z223" i="9"/>
  <c r="AB223" i="9" a="1"/>
  <c r="AB223" i="9" s="1"/>
  <c r="S223" i="9" a="1"/>
  <c r="S223" i="9" s="1"/>
  <c r="AC223" i="9" s="1"/>
  <c r="Y223" i="9" a="1"/>
  <c r="Y223" i="9" s="1"/>
  <c r="X223" i="9" a="1"/>
  <c r="X223" i="9" s="1"/>
  <c r="T223" i="9" a="1"/>
  <c r="T223" i="9" s="1"/>
  <c r="Y148" i="9" a="1"/>
  <c r="Y148" i="9" s="1"/>
  <c r="W148" i="9" a="1"/>
  <c r="W148" i="9" s="1"/>
  <c r="T148" i="9" a="1"/>
  <c r="T148" i="9" s="1"/>
  <c r="V148" i="9" a="1"/>
  <c r="V148" i="9" s="1"/>
  <c r="AB148" i="9" a="1"/>
  <c r="AB148" i="9" s="1"/>
  <c r="U148" i="9" a="1"/>
  <c r="U148" i="9" s="1"/>
  <c r="Z148" i="9"/>
  <c r="S148" i="9" a="1"/>
  <c r="S148" i="9" s="1"/>
  <c r="AC148" i="9" s="1"/>
  <c r="X148" i="9" a="1"/>
  <c r="X148" i="9" s="1"/>
  <c r="X90" i="9" a="1"/>
  <c r="X90" i="9" s="1"/>
  <c r="Y90" i="9" a="1"/>
  <c r="Y90" i="9" s="1"/>
  <c r="U90" i="9" a="1"/>
  <c r="U90" i="9" s="1"/>
  <c r="V90" i="9" a="1"/>
  <c r="V90" i="9" s="1"/>
  <c r="Z90" i="9"/>
  <c r="AB90" i="9" a="1"/>
  <c r="AB90" i="9" s="1"/>
  <c r="S90" i="9" a="1"/>
  <c r="S90" i="9" s="1"/>
  <c r="AC90" i="9" s="1"/>
  <c r="T90" i="9" a="1"/>
  <c r="T90" i="9" s="1"/>
  <c r="W90" i="9" a="1"/>
  <c r="W90" i="9" s="1"/>
  <c r="X163" i="9" a="1"/>
  <c r="X163" i="9" s="1"/>
  <c r="T163" i="9" a="1"/>
  <c r="T163" i="9" s="1"/>
  <c r="Y163" i="9" a="1"/>
  <c r="Y163" i="9" s="1"/>
  <c r="S163" i="9" a="1"/>
  <c r="S163" i="9" s="1"/>
  <c r="AC163" i="9" s="1"/>
  <c r="V163" i="9" a="1"/>
  <c r="V163" i="9" s="1"/>
  <c r="U163" i="9" a="1"/>
  <c r="U163" i="9" s="1"/>
  <c r="W163" i="9" a="1"/>
  <c r="W163" i="9" s="1"/>
  <c r="Z163" i="9"/>
  <c r="AB163" i="9" a="1"/>
  <c r="AB163" i="9" s="1"/>
  <c r="AB147" i="9" a="1"/>
  <c r="AB147" i="9" s="1"/>
  <c r="V147" i="9" a="1"/>
  <c r="V147" i="9" s="1"/>
  <c r="T147" i="9" a="1"/>
  <c r="T147" i="9" s="1"/>
  <c r="X147" i="9" a="1"/>
  <c r="X147" i="9" s="1"/>
  <c r="S147" i="9" a="1"/>
  <c r="S147" i="9" s="1"/>
  <c r="AC147" i="9" s="1"/>
  <c r="U147" i="9" a="1"/>
  <c r="U147" i="9" s="1"/>
  <c r="Z147" i="9"/>
  <c r="W147" i="9" a="1"/>
  <c r="W147" i="9" s="1"/>
  <c r="Y147" i="9" a="1"/>
  <c r="Y147" i="9" s="1"/>
  <c r="AB143" i="9" a="1"/>
  <c r="AB143" i="9" s="1"/>
  <c r="V143" i="9" a="1"/>
  <c r="V143" i="9" s="1"/>
  <c r="W143" i="9" a="1"/>
  <c r="W143" i="9" s="1"/>
  <c r="U143" i="9" a="1"/>
  <c r="U143" i="9" s="1"/>
  <c r="Z143" i="9"/>
  <c r="Y143" i="9" a="1"/>
  <c r="Y143" i="9" s="1"/>
  <c r="T143" i="9" a="1"/>
  <c r="T143" i="9" s="1"/>
  <c r="S143" i="9" a="1"/>
  <c r="S143" i="9" s="1"/>
  <c r="AC143" i="9" s="1"/>
  <c r="X143" i="9" a="1"/>
  <c r="X143" i="9" s="1"/>
  <c r="W199" i="9" a="1"/>
  <c r="W199" i="9" s="1"/>
  <c r="X199" i="9" a="1"/>
  <c r="X199" i="9" s="1"/>
  <c r="AB199" i="9" a="1"/>
  <c r="AB199" i="9" s="1"/>
  <c r="S199" i="9" a="1"/>
  <c r="S199" i="9" s="1"/>
  <c r="AC199" i="9" s="1"/>
  <c r="Z199" i="9"/>
  <c r="Y199" i="9" a="1"/>
  <c r="Y199" i="9" s="1"/>
  <c r="T199" i="9" a="1"/>
  <c r="T199" i="9" s="1"/>
  <c r="U199" i="9" a="1"/>
  <c r="U199" i="9" s="1"/>
  <c r="V199" i="9" a="1"/>
  <c r="V199" i="9" s="1"/>
  <c r="U116" i="9" a="1"/>
  <c r="U116" i="9" s="1"/>
  <c r="V116" i="9" a="1"/>
  <c r="V116" i="9" s="1"/>
  <c r="S116" i="9" a="1"/>
  <c r="S116" i="9" s="1"/>
  <c r="AC116" i="9" s="1"/>
  <c r="X116" i="9" a="1"/>
  <c r="X116" i="9" s="1"/>
  <c r="Z116" i="9"/>
  <c r="AB116" i="9" a="1"/>
  <c r="AB116" i="9" s="1"/>
  <c r="T116" i="9" a="1"/>
  <c r="T116" i="9" s="1"/>
  <c r="W116" i="9" a="1"/>
  <c r="W116" i="9" s="1"/>
  <c r="Y116" i="9" a="1"/>
  <c r="Y116" i="9" s="1"/>
  <c r="T98" i="9" a="1"/>
  <c r="T98" i="9" s="1"/>
  <c r="X98" i="9" a="1"/>
  <c r="X98" i="9" s="1"/>
  <c r="U98" i="9" a="1"/>
  <c r="U98" i="9" s="1"/>
  <c r="S98" i="9" a="1"/>
  <c r="S98" i="9" s="1"/>
  <c r="AC98" i="9" s="1"/>
  <c r="AB98" i="9" a="1"/>
  <c r="AB98" i="9" s="1"/>
  <c r="V98" i="9" a="1"/>
  <c r="V98" i="9" s="1"/>
  <c r="Y98" i="9" a="1"/>
  <c r="Y98" i="9" s="1"/>
  <c r="Z98" i="9"/>
  <c r="W98" i="9" a="1"/>
  <c r="W98" i="9" s="1"/>
  <c r="V180" i="9" a="1"/>
  <c r="V180" i="9" s="1"/>
  <c r="X180" i="9" a="1"/>
  <c r="X180" i="9" s="1"/>
  <c r="W180" i="9" a="1"/>
  <c r="W180" i="9" s="1"/>
  <c r="Y180" i="9" a="1"/>
  <c r="Y180" i="9" s="1"/>
  <c r="S180" i="9" a="1"/>
  <c r="S180" i="9" s="1"/>
  <c r="AC180" i="9" s="1"/>
  <c r="U180" i="9" a="1"/>
  <c r="U180" i="9" s="1"/>
  <c r="AB180" i="9" a="1"/>
  <c r="AB180" i="9" s="1"/>
  <c r="T180" i="9" a="1"/>
  <c r="T180" i="9" s="1"/>
  <c r="Z180" i="9"/>
  <c r="U151" i="9" a="1"/>
  <c r="U151" i="9" s="1"/>
  <c r="Z151" i="9"/>
  <c r="T151" i="9" a="1"/>
  <c r="T151" i="9" s="1"/>
  <c r="Y151" i="9" a="1"/>
  <c r="Y151" i="9" s="1"/>
  <c r="S151" i="9" a="1"/>
  <c r="S151" i="9" s="1"/>
  <c r="AC151" i="9" s="1"/>
  <c r="AB151" i="9" a="1"/>
  <c r="AB151" i="9" s="1"/>
  <c r="X151" i="9" a="1"/>
  <c r="X151" i="9" s="1"/>
  <c r="W151" i="9" a="1"/>
  <c r="W151" i="9" s="1"/>
  <c r="V151" i="9" a="1"/>
  <c r="V151" i="9" s="1"/>
  <c r="S9" i="9" a="1"/>
  <c r="S26" i="9" a="1"/>
  <c r="T26" i="9" a="1"/>
  <c r="W10" i="9" a="1"/>
  <c r="T20" i="9" a="1"/>
  <c r="AB2" i="9" a="1"/>
  <c r="S40" i="9" a="1"/>
  <c r="T41" i="9" a="1"/>
  <c r="T30" i="9" a="1"/>
  <c r="X30" i="9" a="1"/>
  <c r="Y22" i="9" a="1"/>
  <c r="V22" i="9" a="1"/>
  <c r="X48" i="9" a="1"/>
  <c r="X11" i="9" a="1"/>
  <c r="V42" i="9" a="1"/>
  <c r="AB16" i="9" a="1"/>
  <c r="U45" i="9" a="1"/>
  <c r="W45" i="9" a="1"/>
  <c r="W35" i="9" a="1"/>
  <c r="U37" i="9" a="1"/>
  <c r="V7" i="9" a="1"/>
  <c r="T7" i="9" a="1"/>
  <c r="Y25" i="9" a="1"/>
  <c r="U46" i="9" a="1"/>
  <c r="U4" i="9" a="1"/>
  <c r="V21" i="9" a="1"/>
  <c r="U21" i="9" a="1"/>
  <c r="S14" i="9" a="1"/>
  <c r="X23" i="9" a="1"/>
  <c r="Y44" i="9" a="1"/>
  <c r="X3" i="9" a="1"/>
  <c r="V3" i="9" a="1"/>
  <c r="U13" i="9" a="1"/>
  <c r="S31" i="9" a="1"/>
  <c r="T32" i="9" a="1"/>
  <c r="AB47" i="9" a="1"/>
  <c r="W47" i="9" a="1"/>
  <c r="T17" i="9" a="1"/>
  <c r="S29" i="9" a="1"/>
  <c r="AB6" i="9" a="1"/>
  <c r="W1" i="9" a="1"/>
  <c r="U15" i="9" a="1"/>
  <c r="V24" i="9" a="1"/>
  <c r="S36" i="9" a="1"/>
  <c r="U8" i="9" a="1"/>
  <c r="T33" i="9" a="1"/>
  <c r="W33" i="9" a="1"/>
  <c r="U9" i="9" a="1"/>
  <c r="V10" i="9" a="1"/>
  <c r="AB28" i="9" a="1"/>
  <c r="X34" i="9" a="1"/>
  <c r="X20" i="9" a="1"/>
  <c r="T2" i="9" a="1"/>
  <c r="T27" i="9" a="1"/>
  <c r="Y41" i="9" a="1"/>
  <c r="AB30" i="9" a="1"/>
  <c r="S22" i="9" a="1"/>
  <c r="U48" i="9" a="1"/>
  <c r="V48" i="9" a="1"/>
  <c r="AB18" i="9" a="1"/>
  <c r="AB11" i="9" a="1"/>
  <c r="X18" i="9" a="1"/>
  <c r="X42" i="9" a="1"/>
  <c r="X16" i="9" a="1"/>
  <c r="T45" i="9" a="1"/>
  <c r="X35" i="9" a="1"/>
  <c r="U39" i="9" a="1"/>
  <c r="Y37" i="9" a="1"/>
  <c r="X7" i="9" a="1"/>
  <c r="S19" i="9" a="1"/>
  <c r="V46" i="9" a="1"/>
  <c r="AB12" i="9" a="1"/>
  <c r="T21" i="9" a="1"/>
  <c r="S21" i="9" a="1"/>
  <c r="V14" i="9" a="1"/>
  <c r="U23" i="9" a="1"/>
  <c r="S5" i="9" a="1"/>
  <c r="T44" i="9" a="1"/>
  <c r="S3" i="9" a="1"/>
  <c r="X31" i="9" a="1"/>
  <c r="X32" i="9" a="1"/>
  <c r="V47" i="9" a="1"/>
  <c r="U47" i="9" a="1"/>
  <c r="W17" i="9" a="1"/>
  <c r="W29" i="9" a="1"/>
  <c r="V1" i="9" a="1"/>
  <c r="T15" i="9" a="1"/>
  <c r="Y36" i="9" a="1"/>
  <c r="AB8" i="9" a="1"/>
  <c r="U26" i="9" a="1"/>
  <c r="S10" i="9" a="1"/>
  <c r="S28" i="9" a="1"/>
  <c r="W34" i="9" a="1"/>
  <c r="U20" i="9" a="1"/>
  <c r="W2" i="9" a="1"/>
  <c r="V27" i="9" a="1"/>
  <c r="U41" i="9" a="1"/>
  <c r="S41" i="9" a="1"/>
  <c r="W30" i="9" a="1"/>
  <c r="Y48" i="9" a="1"/>
  <c r="AB48" i="9" a="1"/>
  <c r="T18" i="9" a="1"/>
  <c r="S11" i="9" a="1"/>
  <c r="AB42" i="9" a="1"/>
  <c r="V16" i="9" a="1"/>
  <c r="Y45" i="9" a="1"/>
  <c r="AB35" i="9" a="1"/>
  <c r="Y35" i="9" a="1"/>
  <c r="Y39" i="9" a="1"/>
  <c r="V37" i="9" a="1"/>
  <c r="X37" i="9" a="1"/>
  <c r="U7" i="9" a="1"/>
  <c r="T12" i="9" a="1"/>
  <c r="S4" i="9" a="1"/>
  <c r="T14" i="9" a="1"/>
  <c r="S23" i="9" a="1"/>
  <c r="U5" i="9" a="1"/>
  <c r="W44" i="9" a="1"/>
  <c r="AB3" i="9" a="1"/>
  <c r="W13" i="9" a="1"/>
  <c r="U32" i="9" a="1"/>
  <c r="S47" i="9" a="1"/>
  <c r="AB17" i="9" a="1"/>
  <c r="X17" i="9" a="1"/>
  <c r="T6" i="9" a="1"/>
  <c r="S6" i="9" a="1"/>
  <c r="V15" i="9" a="1"/>
  <c r="U24" i="9" a="1"/>
  <c r="U36" i="9" a="1"/>
  <c r="X6" i="9" a="1"/>
  <c r="Y15" i="9" a="1"/>
  <c r="X36" i="9" a="1"/>
  <c r="AB36" i="9" a="1"/>
  <c r="T9" i="9" a="1"/>
  <c r="W26" i="9" a="1"/>
  <c r="X10" i="9" a="1"/>
  <c r="Y10" i="9" a="1"/>
  <c r="W28" i="9" a="1"/>
  <c r="T28" i="9" a="1"/>
  <c r="U34" i="9" a="1"/>
  <c r="V20" i="9" a="1"/>
  <c r="X2" i="9" a="1"/>
  <c r="X27" i="9" a="1"/>
  <c r="Y30" i="9" a="1"/>
  <c r="V11" i="9" a="1"/>
  <c r="U42" i="9" a="1"/>
  <c r="T16" i="9" a="1"/>
  <c r="AB45" i="9" a="1"/>
  <c r="U35" i="9" a="1"/>
  <c r="V39" i="9" a="1"/>
  <c r="AB37" i="9" a="1"/>
  <c r="AB7" i="9" a="1"/>
  <c r="Y19" i="9" a="1"/>
  <c r="X46" i="9" a="1"/>
  <c r="AB4" i="9" a="1"/>
  <c r="Y21" i="9" a="1"/>
  <c r="W14" i="9" a="1"/>
  <c r="AB23" i="9" a="1"/>
  <c r="T5" i="9" a="1"/>
  <c r="U44" i="9" a="1"/>
  <c r="T3" i="9" a="1"/>
  <c r="Y13" i="9" a="1"/>
  <c r="T31" i="9" a="1"/>
  <c r="Y32" i="9" a="1"/>
  <c r="Y47" i="9" a="1"/>
  <c r="Y17" i="9" a="1"/>
  <c r="U29" i="9" a="1"/>
  <c r="U6" i="9" a="1"/>
  <c r="X1" i="9" a="1"/>
  <c r="AB24" i="9" a="1"/>
  <c r="Y8" i="9" a="1"/>
  <c r="V33" i="9" a="1"/>
  <c r="V8" i="9" a="1"/>
  <c r="X9" i="9" a="1"/>
  <c r="AB9" i="9" a="1"/>
  <c r="AB26" i="9" a="1"/>
  <c r="U10" i="9" a="1"/>
  <c r="V28" i="9" a="1"/>
  <c r="Y34" i="9" a="1"/>
  <c r="Y20" i="9" a="1"/>
  <c r="V2" i="9" a="1"/>
  <c r="S27" i="9" a="1"/>
  <c r="AB41" i="9" a="1"/>
  <c r="V30" i="9" a="1"/>
  <c r="T22" i="9" a="1"/>
  <c r="W11" i="9" a="1"/>
  <c r="Y11" i="9" a="1"/>
  <c r="S38" i="9" a="1"/>
  <c r="Y42" i="9" a="1"/>
  <c r="U16" i="9" a="1"/>
  <c r="W16" i="9" a="1"/>
  <c r="S45" i="9" a="1"/>
  <c r="V35" i="9" a="1"/>
  <c r="S39" i="9" a="1"/>
  <c r="T39" i="9" a="1"/>
  <c r="W37" i="9" a="1"/>
  <c r="S7" i="9" a="1"/>
  <c r="S46" i="9" a="1"/>
  <c r="S12" i="9" a="1"/>
  <c r="Y12" i="9" a="1"/>
  <c r="X4" i="9" a="1"/>
  <c r="V4" i="9" a="1"/>
  <c r="X21" i="9" a="1"/>
  <c r="Y23" i="9" a="1"/>
  <c r="W5" i="9" a="1"/>
  <c r="AB44" i="9" a="1"/>
  <c r="X13" i="9" a="1"/>
  <c r="W31" i="9" a="1"/>
  <c r="Y31" i="9" a="1"/>
  <c r="S17" i="9" a="1"/>
  <c r="Y29" i="9" a="1"/>
  <c r="T29" i="9" a="1"/>
  <c r="AB1" i="9" a="1"/>
  <c r="AB15" i="9" a="1"/>
  <c r="Y24" i="9" a="1"/>
  <c r="T36" i="9" a="1"/>
  <c r="X8" i="9" a="1"/>
  <c r="T8" i="9" a="1"/>
  <c r="S33" i="9" a="1"/>
  <c r="AB33" i="9" a="1"/>
  <c r="V9" i="9" a="1"/>
  <c r="Y9" i="9" a="1"/>
  <c r="Y26" i="9" a="1"/>
  <c r="AB10" i="9" a="1"/>
  <c r="X28" i="9" a="1"/>
  <c r="V34" i="9" a="1"/>
  <c r="AB20" i="9" a="1"/>
  <c r="S2" i="9" a="1"/>
  <c r="AB27" i="9" a="1"/>
  <c r="U27" i="9" a="1"/>
  <c r="V41" i="9" a="1"/>
  <c r="AB22" i="9" a="1"/>
  <c r="W48" i="9" a="1"/>
  <c r="W42" i="9" a="1"/>
  <c r="Y16" i="9" a="1"/>
  <c r="X45" i="9" a="1"/>
  <c r="S35" i="9" a="1"/>
  <c r="X39" i="9" a="1"/>
  <c r="W7" i="9" a="1"/>
  <c r="S25" i="9" a="1"/>
  <c r="W19" i="9" a="1"/>
  <c r="AB46" i="9" a="1"/>
  <c r="X12" i="9" a="1"/>
  <c r="U12" i="9" a="1"/>
  <c r="T4" i="9" a="1"/>
  <c r="AB21" i="9" a="1"/>
  <c r="Y14" i="9" a="1"/>
  <c r="W23" i="9" a="1"/>
  <c r="X5" i="9" a="1"/>
  <c r="W3" i="9" a="1"/>
  <c r="T13" i="9" a="1"/>
  <c r="S13" i="9" a="1"/>
  <c r="AB31" i="9" a="1"/>
  <c r="V31" i="9" a="1"/>
  <c r="W32" i="9" a="1"/>
  <c r="X47" i="9" a="1"/>
  <c r="V17" i="9" a="1"/>
  <c r="X29" i="9" a="1"/>
  <c r="V6" i="9" a="1"/>
  <c r="S1" i="9" a="1"/>
  <c r="T1" i="9" a="1"/>
  <c r="S24" i="9" a="1"/>
  <c r="T24" i="9" a="1"/>
  <c r="S8" i="9" a="1"/>
  <c r="X26" i="9" a="1"/>
  <c r="T10" i="9" a="1"/>
  <c r="U28" i="9" a="1"/>
  <c r="S34" i="9" a="1"/>
  <c r="W20" i="9" a="1"/>
  <c r="U2" i="9" a="1"/>
  <c r="Y27" i="9" a="1"/>
  <c r="X41" i="9" a="1"/>
  <c r="S30" i="9" a="1"/>
  <c r="U22" i="9" a="1"/>
  <c r="T48" i="9" a="1"/>
  <c r="U11" i="9" a="1"/>
  <c r="T42" i="9" a="1"/>
  <c r="S16" i="9" a="1"/>
  <c r="V45" i="9" a="1"/>
  <c r="T35" i="9" a="1"/>
  <c r="W39" i="9" a="1"/>
  <c r="T37" i="9" a="1"/>
  <c r="W25" i="9" a="1"/>
  <c r="Y46" i="9" a="1"/>
  <c r="T46" i="9" a="1"/>
  <c r="V12" i="9" a="1"/>
  <c r="W4" i="9" a="1"/>
  <c r="W21" i="9" a="1"/>
  <c r="X14" i="9" a="1"/>
  <c r="AB14" i="9" a="1"/>
  <c r="T23" i="9" a="1"/>
  <c r="Y5" i="9" a="1"/>
  <c r="X44" i="9" a="1"/>
  <c r="V44" i="9" a="1"/>
  <c r="Y3" i="9" a="1"/>
  <c r="AB13" i="9" a="1"/>
  <c r="S32" i="9" a="1"/>
  <c r="AB32" i="9" a="1"/>
  <c r="AB29" i="9" a="1"/>
  <c r="Y6" i="9" a="1"/>
  <c r="Y1" i="9" a="1"/>
  <c r="S15" i="9" a="1"/>
  <c r="X24" i="9" a="1"/>
  <c r="W24" i="9" a="1"/>
  <c r="W9" i="9" a="1"/>
  <c r="Y28" i="9" a="1"/>
  <c r="AB34" i="9" a="1"/>
  <c r="T34" i="9" a="1"/>
  <c r="S20" i="9" a="1"/>
  <c r="Y2" i="9" a="1"/>
  <c r="W27" i="9" a="1"/>
  <c r="W41" i="9" a="1"/>
  <c r="U30" i="9" a="1"/>
  <c r="X22" i="9" a="1"/>
  <c r="W22" i="9" a="1"/>
  <c r="S48" i="9" a="1"/>
  <c r="S18" i="9" a="1"/>
  <c r="T11" i="9" a="1"/>
  <c r="S42" i="9" a="1"/>
  <c r="AB39" i="9" a="1"/>
  <c r="Y7" i="9" a="1"/>
  <c r="W46" i="9" a="1"/>
  <c r="W12" i="9" a="1"/>
  <c r="Y4" i="9" a="1"/>
  <c r="U14" i="9" a="1"/>
  <c r="V23" i="9" a="1"/>
  <c r="S44" i="9" a="1"/>
  <c r="U3" i="9" a="1"/>
  <c r="V13" i="9" a="1"/>
  <c r="U31" i="9" a="1"/>
  <c r="V32" i="9" a="1"/>
  <c r="T47" i="9" a="1"/>
  <c r="U17" i="9" a="1"/>
  <c r="V29" i="9" a="1"/>
  <c r="W6" i="9" a="1"/>
  <c r="W36" i="9" a="1"/>
  <c r="W8" i="9" a="1"/>
  <c r="X33" i="9" a="1"/>
  <c r="Y33" i="9" a="1"/>
  <c r="U33" i="9" a="1"/>
  <c r="EF41" i="10" l="1"/>
  <c r="EM33" i="10"/>
  <c r="AA90" i="9"/>
  <c r="AA156" i="9"/>
  <c r="AA70" i="9"/>
  <c r="AA205" i="9"/>
  <c r="AA142" i="9"/>
  <c r="AA119" i="9"/>
  <c r="AA197" i="9"/>
  <c r="AA139" i="9"/>
  <c r="AA173" i="9"/>
  <c r="AA182" i="9"/>
  <c r="AA100" i="9"/>
  <c r="AA188" i="9"/>
  <c r="AA200" i="9"/>
  <c r="AA107" i="9"/>
  <c r="AA54" i="9"/>
  <c r="AA153" i="9"/>
  <c r="AA180" i="9"/>
  <c r="AA98" i="9"/>
  <c r="AA225" i="9"/>
  <c r="AA116" i="9"/>
  <c r="AA162" i="9"/>
  <c r="AA221" i="9"/>
  <c r="AA84" i="9"/>
  <c r="AA232" i="9"/>
  <c r="AA185" i="9"/>
  <c r="AA65" i="9"/>
  <c r="AA133" i="9"/>
  <c r="AA204" i="9"/>
  <c r="AA93" i="9"/>
  <c r="AA165" i="9"/>
  <c r="AA73" i="9"/>
  <c r="AA86" i="9"/>
  <c r="AA196" i="9"/>
  <c r="AA219" i="9"/>
  <c r="AA132" i="9"/>
  <c r="AA253" i="9"/>
  <c r="AA229" i="9"/>
  <c r="AA251" i="9"/>
  <c r="AA122" i="9"/>
  <c r="AA106" i="9"/>
  <c r="AA184" i="9"/>
  <c r="AA59" i="9"/>
  <c r="AA252" i="9"/>
  <c r="AA129" i="9"/>
  <c r="AA52" i="9"/>
  <c r="AA74" i="9"/>
  <c r="AA138" i="9"/>
  <c r="AA71" i="9"/>
  <c r="AA242" i="9"/>
  <c r="AA175" i="9"/>
  <c r="AA265" i="9"/>
  <c r="AA120" i="9"/>
  <c r="AA246" i="9"/>
  <c r="AA176" i="9"/>
  <c r="AA241" i="9"/>
  <c r="AA207" i="9"/>
  <c r="AA152" i="9"/>
  <c r="AA144" i="9"/>
  <c r="AA118" i="9"/>
  <c r="AA177" i="9"/>
  <c r="AA88" i="9"/>
  <c r="AA155" i="9"/>
  <c r="AA220" i="9"/>
  <c r="AA178" i="9"/>
  <c r="AA186" i="9"/>
  <c r="AA117" i="9"/>
  <c r="AA95" i="9"/>
  <c r="AA137" i="9"/>
  <c r="AA263" i="9"/>
  <c r="AA82" i="9"/>
  <c r="AA110" i="9"/>
  <c r="AA79" i="9"/>
  <c r="AA126" i="9"/>
  <c r="AA194" i="9"/>
  <c r="AA80" i="9"/>
  <c r="AA169" i="9"/>
  <c r="AA103" i="9"/>
  <c r="AA60" i="9"/>
  <c r="AA92" i="9"/>
  <c r="U33" i="9"/>
  <c r="Y33" i="9"/>
  <c r="X33" i="9"/>
  <c r="W8" i="9"/>
  <c r="W36" i="9"/>
  <c r="W6" i="9"/>
  <c r="V29" i="9"/>
  <c r="U17" i="9"/>
  <c r="T47" i="9"/>
  <c r="V32" i="9"/>
  <c r="U31" i="9"/>
  <c r="V13" i="9"/>
  <c r="U3" i="9"/>
  <c r="S44" i="9"/>
  <c r="AC44" i="9" s="1"/>
  <c r="V23" i="9"/>
  <c r="U14" i="9"/>
  <c r="Y4" i="9"/>
  <c r="W12" i="9"/>
  <c r="W46" i="9"/>
  <c r="Y7" i="9"/>
  <c r="AB39" i="9"/>
  <c r="S42" i="9"/>
  <c r="AC42" i="9" s="1"/>
  <c r="AU42" i="9" s="1"/>
  <c r="T11" i="9"/>
  <c r="S18" i="9"/>
  <c r="AC18" i="9" s="1"/>
  <c r="AU18" i="9" s="1"/>
  <c r="S48" i="9"/>
  <c r="AC48" i="9" s="1"/>
  <c r="W22" i="9"/>
  <c r="X22" i="9"/>
  <c r="U30" i="9"/>
  <c r="W41" i="9"/>
  <c r="W27" i="9"/>
  <c r="Y2" i="9"/>
  <c r="S20" i="9"/>
  <c r="AC20" i="9" s="1"/>
  <c r="AU20" i="9" s="1"/>
  <c r="T34" i="9"/>
  <c r="AB34" i="9"/>
  <c r="Y28" i="9"/>
  <c r="W9" i="9"/>
  <c r="W24" i="9"/>
  <c r="X24" i="9"/>
  <c r="S15" i="9"/>
  <c r="AC15" i="9" s="1"/>
  <c r="AU15" i="9" s="1"/>
  <c r="Y1" i="9"/>
  <c r="Y6" i="9"/>
  <c r="AB29" i="9"/>
  <c r="AB32" i="9"/>
  <c r="S32" i="9"/>
  <c r="AC32" i="9" s="1"/>
  <c r="AU32" i="9" s="1"/>
  <c r="AB13" i="9"/>
  <c r="Y3" i="9"/>
  <c r="V44" i="9"/>
  <c r="X44" i="9"/>
  <c r="Y5" i="9"/>
  <c r="T23" i="9"/>
  <c r="AB14" i="9"/>
  <c r="X14" i="9"/>
  <c r="W21" i="9"/>
  <c r="W4" i="9"/>
  <c r="V12" i="9"/>
  <c r="T46" i="9"/>
  <c r="Y46" i="9"/>
  <c r="W25" i="9"/>
  <c r="T37" i="9"/>
  <c r="W39" i="9"/>
  <c r="T35" i="9"/>
  <c r="V45" i="9"/>
  <c r="S16" i="9"/>
  <c r="AC16" i="9" s="1"/>
  <c r="AU16" i="9" s="1"/>
  <c r="T42" i="9"/>
  <c r="U11" i="9"/>
  <c r="T48" i="9"/>
  <c r="U22" i="9"/>
  <c r="S30" i="9"/>
  <c r="AC30" i="9" s="1"/>
  <c r="AU30" i="9" s="1"/>
  <c r="X41" i="9"/>
  <c r="Y27" i="9"/>
  <c r="U2" i="9"/>
  <c r="W20" i="9"/>
  <c r="S34" i="9"/>
  <c r="AC34" i="9" s="1"/>
  <c r="AU34" i="9" s="1"/>
  <c r="U28" i="9"/>
  <c r="T10" i="9"/>
  <c r="X26" i="9"/>
  <c r="S8" i="9"/>
  <c r="AC8" i="9" s="1"/>
  <c r="AU8" i="9" s="1"/>
  <c r="T24" i="9"/>
  <c r="S24" i="9"/>
  <c r="AC24" i="9" s="1"/>
  <c r="AU24" i="9" s="1"/>
  <c r="T1" i="9"/>
  <c r="S1" i="9"/>
  <c r="AC1" i="9" s="1"/>
  <c r="AU1" i="9" s="1"/>
  <c r="V6" i="9"/>
  <c r="X29" i="9"/>
  <c r="V17" i="9"/>
  <c r="X47" i="9"/>
  <c r="W32" i="9"/>
  <c r="V31" i="9"/>
  <c r="AB31" i="9"/>
  <c r="S13" i="9"/>
  <c r="AC13" i="9" s="1"/>
  <c r="AU13" i="9" s="1"/>
  <c r="T13" i="9"/>
  <c r="W3" i="9"/>
  <c r="X5" i="9"/>
  <c r="W23" i="9"/>
  <c r="Y14" i="9"/>
  <c r="AB21" i="9"/>
  <c r="T4" i="9"/>
  <c r="U12" i="9"/>
  <c r="X12" i="9"/>
  <c r="AB46" i="9"/>
  <c r="W19" i="9"/>
  <c r="S25" i="9"/>
  <c r="AC25" i="9" s="1"/>
  <c r="AU25" i="9" s="1"/>
  <c r="W7" i="9"/>
  <c r="X39" i="9"/>
  <c r="S35" i="9"/>
  <c r="AC35" i="9" s="1"/>
  <c r="AU35" i="9" s="1"/>
  <c r="X45" i="9"/>
  <c r="Y16" i="9"/>
  <c r="W42" i="9"/>
  <c r="W48" i="9"/>
  <c r="AB22" i="9"/>
  <c r="V41" i="9"/>
  <c r="U27" i="9"/>
  <c r="AB27" i="9"/>
  <c r="S2" i="9"/>
  <c r="AB20" i="9"/>
  <c r="V34" i="9"/>
  <c r="X28" i="9"/>
  <c r="AB10" i="9"/>
  <c r="Y26" i="9"/>
  <c r="Y9" i="9"/>
  <c r="V9" i="9"/>
  <c r="AB33" i="9"/>
  <c r="S33" i="9"/>
  <c r="AC33" i="9" s="1"/>
  <c r="AU33" i="9" s="1"/>
  <c r="T8" i="9"/>
  <c r="X8" i="9"/>
  <c r="T36" i="9"/>
  <c r="Y24" i="9"/>
  <c r="AB15" i="9"/>
  <c r="AB1" i="9"/>
  <c r="T29" i="9"/>
  <c r="Y29" i="9"/>
  <c r="S17" i="9"/>
  <c r="AC17" i="9" s="1"/>
  <c r="AU17" i="9" s="1"/>
  <c r="Y31" i="9"/>
  <c r="W31" i="9"/>
  <c r="X13" i="9"/>
  <c r="AB44" i="9"/>
  <c r="W5" i="9"/>
  <c r="Y23" i="9"/>
  <c r="X21" i="9"/>
  <c r="V4" i="9"/>
  <c r="X4" i="9"/>
  <c r="Y12" i="9"/>
  <c r="S12" i="9"/>
  <c r="AC12" i="9" s="1"/>
  <c r="AU12" i="9" s="1"/>
  <c r="S46" i="9"/>
  <c r="AC46" i="9" s="1"/>
  <c r="S7" i="9"/>
  <c r="AC7" i="9" s="1"/>
  <c r="AU7" i="9" s="1"/>
  <c r="W37" i="9"/>
  <c r="T39" i="9"/>
  <c r="S39" i="9"/>
  <c r="AC39" i="9" s="1"/>
  <c r="AU39" i="9" s="1"/>
  <c r="V35" i="9"/>
  <c r="S45" i="9"/>
  <c r="AC45" i="9" s="1"/>
  <c r="W16" i="9"/>
  <c r="U16" i="9"/>
  <c r="Y42" i="9"/>
  <c r="S38" i="9"/>
  <c r="AC38" i="9" s="1"/>
  <c r="AU38" i="9" s="1"/>
  <c r="Y11" i="9"/>
  <c r="W11" i="9"/>
  <c r="T22" i="9"/>
  <c r="V30" i="9"/>
  <c r="AB41" i="9"/>
  <c r="S27" i="9"/>
  <c r="AC27" i="9" s="1"/>
  <c r="AU27" i="9" s="1"/>
  <c r="V2" i="9"/>
  <c r="Y20" i="9"/>
  <c r="Y34" i="9"/>
  <c r="V28" i="9"/>
  <c r="U10" i="9"/>
  <c r="AB26" i="9"/>
  <c r="AB9" i="9"/>
  <c r="X9" i="9"/>
  <c r="V8" i="9"/>
  <c r="V33" i="9"/>
  <c r="Y8" i="9"/>
  <c r="AB24" i="9"/>
  <c r="X1" i="9"/>
  <c r="U6" i="9"/>
  <c r="U29" i="9"/>
  <c r="Y17" i="9"/>
  <c r="Y47" i="9"/>
  <c r="Y32" i="9"/>
  <c r="T31" i="9"/>
  <c r="Y13" i="9"/>
  <c r="T3" i="9"/>
  <c r="U44" i="9"/>
  <c r="T5" i="9"/>
  <c r="AB23" i="9"/>
  <c r="W14" i="9"/>
  <c r="Y21" i="9"/>
  <c r="AB4" i="9"/>
  <c r="X46" i="9"/>
  <c r="Y19" i="9"/>
  <c r="AB7" i="9"/>
  <c r="AB37" i="9"/>
  <c r="AC37" i="9"/>
  <c r="AU37" i="9" s="1"/>
  <c r="V39" i="9"/>
  <c r="U35" i="9"/>
  <c r="AB45" i="9"/>
  <c r="T16" i="9"/>
  <c r="U42" i="9"/>
  <c r="V11" i="9"/>
  <c r="Y30" i="9"/>
  <c r="X27" i="9"/>
  <c r="X2" i="9"/>
  <c r="V20" i="9"/>
  <c r="U34" i="9"/>
  <c r="T28" i="9"/>
  <c r="W28" i="9"/>
  <c r="Y10" i="9"/>
  <c r="X10" i="9"/>
  <c r="W26" i="9"/>
  <c r="T9" i="9"/>
  <c r="AB36" i="9"/>
  <c r="X36" i="9"/>
  <c r="Y15" i="9"/>
  <c r="X6" i="9"/>
  <c r="U36" i="9"/>
  <c r="U24" i="9"/>
  <c r="V15" i="9"/>
  <c r="S6" i="9"/>
  <c r="AC6" i="9" s="1"/>
  <c r="AU6" i="9" s="1"/>
  <c r="T6" i="9"/>
  <c r="X17" i="9"/>
  <c r="AB17" i="9"/>
  <c r="S47" i="9"/>
  <c r="AC47" i="9" s="1"/>
  <c r="U32" i="9"/>
  <c r="W13" i="9"/>
  <c r="AB3" i="9"/>
  <c r="W44" i="9"/>
  <c r="U5" i="9"/>
  <c r="S23" i="9"/>
  <c r="AC23" i="9" s="1"/>
  <c r="AU23" i="9" s="1"/>
  <c r="T14" i="9"/>
  <c r="S4" i="9"/>
  <c r="AC4" i="9" s="1"/>
  <c r="AU4" i="9" s="1"/>
  <c r="T12" i="9"/>
  <c r="U7" i="9"/>
  <c r="X37" i="9"/>
  <c r="V37" i="9"/>
  <c r="Y39" i="9"/>
  <c r="Y35" i="9"/>
  <c r="AB35" i="9"/>
  <c r="Y45" i="9"/>
  <c r="V16" i="9"/>
  <c r="AB42" i="9"/>
  <c r="S11" i="9"/>
  <c r="AC11" i="9" s="1"/>
  <c r="AU11" i="9" s="1"/>
  <c r="T18" i="9"/>
  <c r="AB48" i="9"/>
  <c r="Y48" i="9"/>
  <c r="W30" i="9"/>
  <c r="S41" i="9"/>
  <c r="AC41" i="9" s="1"/>
  <c r="AU41" i="9" s="1"/>
  <c r="U41" i="9"/>
  <c r="V27" i="9"/>
  <c r="W2" i="9"/>
  <c r="U20" i="9"/>
  <c r="W34" i="9"/>
  <c r="S28" i="9"/>
  <c r="AC28" i="9" s="1"/>
  <c r="AU28" i="9" s="1"/>
  <c r="S10" i="9"/>
  <c r="AC10" i="9" s="1"/>
  <c r="AU10" i="9" s="1"/>
  <c r="U26" i="9"/>
  <c r="AB8" i="9"/>
  <c r="Y36" i="9"/>
  <c r="T15" i="9"/>
  <c r="V1" i="9"/>
  <c r="W29" i="9"/>
  <c r="W17" i="9"/>
  <c r="U47" i="9"/>
  <c r="V47" i="9"/>
  <c r="X32" i="9"/>
  <c r="X31" i="9"/>
  <c r="S3" i="9"/>
  <c r="AC3" i="9" s="1"/>
  <c r="AU3" i="9" s="1"/>
  <c r="T44" i="9"/>
  <c r="S5" i="9"/>
  <c r="AC5" i="9" s="1"/>
  <c r="AU5" i="9" s="1"/>
  <c r="U23" i="9"/>
  <c r="V14" i="9"/>
  <c r="S21" i="9"/>
  <c r="AC21" i="9" s="1"/>
  <c r="AU21" i="9" s="1"/>
  <c r="T21" i="9"/>
  <c r="AB12" i="9"/>
  <c r="V46" i="9"/>
  <c r="S19" i="9"/>
  <c r="AC19" i="9" s="1"/>
  <c r="AU19" i="9" s="1"/>
  <c r="X7" i="9"/>
  <c r="Y37" i="9"/>
  <c r="U39" i="9"/>
  <c r="X35" i="9"/>
  <c r="T45" i="9"/>
  <c r="X16" i="9"/>
  <c r="X42" i="9"/>
  <c r="X18" i="9"/>
  <c r="AB11" i="9"/>
  <c r="AB18" i="9"/>
  <c r="V48" i="9"/>
  <c r="U48" i="9"/>
  <c r="S22" i="9"/>
  <c r="AC22" i="9" s="1"/>
  <c r="AU22" i="9" s="1"/>
  <c r="AB30" i="9"/>
  <c r="Y41" i="9"/>
  <c r="T27" i="9"/>
  <c r="T2" i="9"/>
  <c r="X20" i="9"/>
  <c r="X34" i="9"/>
  <c r="AB28" i="9"/>
  <c r="V10" i="9"/>
  <c r="U9" i="9"/>
  <c r="W33" i="9"/>
  <c r="T33" i="9"/>
  <c r="U8" i="9"/>
  <c r="S36" i="9"/>
  <c r="AC36" i="9" s="1"/>
  <c r="AU36" i="9" s="1"/>
  <c r="V24" i="9"/>
  <c r="U15" i="9"/>
  <c r="W1" i="9"/>
  <c r="AB6" i="9"/>
  <c r="S29" i="9"/>
  <c r="AC29" i="9" s="1"/>
  <c r="AU29" i="9" s="1"/>
  <c r="T17" i="9"/>
  <c r="W47" i="9"/>
  <c r="AB47" i="9"/>
  <c r="T32" i="9"/>
  <c r="S31" i="9"/>
  <c r="AC31" i="9" s="1"/>
  <c r="AU31" i="9" s="1"/>
  <c r="U13" i="9"/>
  <c r="V3" i="9"/>
  <c r="X3" i="9"/>
  <c r="Y44" i="9"/>
  <c r="X23" i="9"/>
  <c r="S14" i="9"/>
  <c r="AC14" i="9" s="1"/>
  <c r="AU14" i="9" s="1"/>
  <c r="U21" i="9"/>
  <c r="V21" i="9"/>
  <c r="U4" i="9"/>
  <c r="U46" i="9"/>
  <c r="Y25" i="9"/>
  <c r="T7" i="9"/>
  <c r="V7" i="9"/>
  <c r="U37" i="9"/>
  <c r="W35" i="9"/>
  <c r="W45" i="9"/>
  <c r="U45" i="9"/>
  <c r="AB16" i="9"/>
  <c r="V42" i="9"/>
  <c r="X11" i="9"/>
  <c r="X48" i="9"/>
  <c r="V22" i="9"/>
  <c r="Y22" i="9"/>
  <c r="X30" i="9"/>
  <c r="T30" i="9"/>
  <c r="T41" i="9"/>
  <c r="S40" i="9"/>
  <c r="AC40" i="9" s="1"/>
  <c r="AU40" i="9" s="1"/>
  <c r="AB2" i="9"/>
  <c r="T20" i="9"/>
  <c r="W10" i="9"/>
  <c r="T26" i="9"/>
  <c r="S26" i="9"/>
  <c r="AC26" i="9" s="1"/>
  <c r="AU26" i="9" s="1"/>
  <c r="S9" i="9"/>
  <c r="AC9" i="9" s="1"/>
  <c r="AU9" i="9" s="1"/>
  <c r="AA223" i="9"/>
  <c r="AA195" i="9"/>
  <c r="AA141" i="9"/>
  <c r="AA218" i="9"/>
  <c r="AA81" i="9"/>
  <c r="AA57" i="9"/>
  <c r="AA111" i="9"/>
  <c r="AA145" i="9"/>
  <c r="AA61" i="9"/>
  <c r="AA210" i="9"/>
  <c r="AA231" i="9"/>
  <c r="AA244" i="9"/>
  <c r="AA130" i="9"/>
  <c r="AA154" i="9"/>
  <c r="AA254" i="9"/>
  <c r="AA233" i="9"/>
  <c r="AA121" i="9"/>
  <c r="AA224" i="9"/>
  <c r="AA56" i="9"/>
  <c r="AA108" i="9"/>
  <c r="AA114" i="9"/>
  <c r="AA147" i="9"/>
  <c r="AA94" i="9"/>
  <c r="AA192" i="9"/>
  <c r="AA170" i="9"/>
  <c r="AA214" i="9"/>
  <c r="AA89" i="9"/>
  <c r="AA179" i="9"/>
  <c r="AA115" i="9"/>
  <c r="AA171" i="9"/>
  <c r="AA227" i="9"/>
  <c r="AA49" i="9"/>
  <c r="AA72" i="9"/>
  <c r="AA159" i="9"/>
  <c r="AA247" i="9"/>
  <c r="AA105" i="9"/>
  <c r="AA163" i="9"/>
  <c r="AA109" i="9"/>
  <c r="AA248" i="9"/>
  <c r="AA127" i="9"/>
  <c r="AA64" i="9"/>
  <c r="AA66" i="9"/>
  <c r="AA125" i="9"/>
  <c r="AA249" i="9"/>
  <c r="AA203" i="9"/>
  <c r="AA69" i="9"/>
  <c r="AA75" i="9"/>
  <c r="AA187" i="9"/>
  <c r="AA222" i="9"/>
  <c r="AA151" i="9"/>
  <c r="AA199" i="9"/>
  <c r="AA143" i="9"/>
  <c r="AA148" i="9"/>
  <c r="AA96" i="9"/>
  <c r="AA161" i="9"/>
  <c r="AA134" i="9"/>
  <c r="AA216" i="9"/>
  <c r="AA201" i="9"/>
  <c r="AA168" i="9"/>
  <c r="AA183" i="9"/>
  <c r="AA68" i="9"/>
  <c r="AA230" i="9"/>
  <c r="AA51" i="9"/>
  <c r="AA167" i="9"/>
  <c r="AA101" i="9"/>
  <c r="AA239" i="9"/>
  <c r="AA191" i="9"/>
  <c r="AA76" i="9"/>
  <c r="AB5" i="9" a="1"/>
  <c r="EM41" i="10" l="1"/>
  <c r="AA4" i="9"/>
  <c r="Z4" i="9"/>
  <c r="AC2" i="9"/>
  <c r="Z19" i="9"/>
  <c r="AB5" i="9"/>
  <c r="AA20" i="9"/>
  <c r="Z20" i="9"/>
  <c r="AA13" i="9"/>
  <c r="Z13" i="9"/>
  <c r="AA16" i="9"/>
  <c r="Z16" i="9"/>
  <c r="AA1" i="9"/>
  <c r="Z1" i="9"/>
  <c r="AA31" i="9"/>
  <c r="Z31" i="9"/>
  <c r="AA7" i="9"/>
  <c r="Z7" i="9"/>
  <c r="AA32" i="9"/>
  <c r="Z32" i="9"/>
  <c r="AA27" i="9"/>
  <c r="Z27" i="9"/>
  <c r="AA6" i="9"/>
  <c r="Z6" i="9"/>
  <c r="AA28" i="9"/>
  <c r="Z28" i="9"/>
  <c r="AA23" i="9"/>
  <c r="Z23" i="9"/>
  <c r="AA21" i="9"/>
  <c r="Z21" i="9"/>
  <c r="AA24" i="9"/>
  <c r="Z24" i="9"/>
  <c r="AA41" i="9"/>
  <c r="Z41" i="9"/>
  <c r="AA36" i="9"/>
  <c r="Z36" i="9"/>
  <c r="AA33" i="9"/>
  <c r="Z33" i="9"/>
  <c r="AA2" i="9"/>
  <c r="Z2" i="9"/>
  <c r="AA45" i="9"/>
  <c r="Z45" i="9"/>
  <c r="AA48" i="9"/>
  <c r="Z48" i="9"/>
  <c r="AA39" i="9"/>
  <c r="Z39" i="9"/>
  <c r="AA9" i="9"/>
  <c r="Z9" i="9"/>
  <c r="AA8" i="9"/>
  <c r="Z8" i="9"/>
  <c r="AA35" i="9"/>
  <c r="Z35" i="9"/>
  <c r="AA30" i="9"/>
  <c r="Z30" i="9"/>
  <c r="AA10" i="9"/>
  <c r="Z10" i="9"/>
  <c r="AA17" i="9"/>
  <c r="Z17" i="9"/>
  <c r="AA42" i="9"/>
  <c r="Z42" i="9"/>
  <c r="AA3" i="9"/>
  <c r="Z3" i="9"/>
  <c r="AA46" i="9"/>
  <c r="Z46" i="9"/>
  <c r="AA26" i="9"/>
  <c r="Z26" i="9"/>
  <c r="AA11" i="9"/>
  <c r="Z11" i="9"/>
  <c r="AA47" i="9"/>
  <c r="Z47" i="9"/>
  <c r="AA29" i="9"/>
  <c r="Z29" i="9"/>
  <c r="AA34" i="9"/>
  <c r="Z34" i="9"/>
  <c r="AA37" i="9"/>
  <c r="Z37" i="9"/>
  <c r="Z25" i="9"/>
  <c r="AA22" i="9"/>
  <c r="Z22" i="9"/>
  <c r="AA12" i="9"/>
  <c r="Z12" i="9"/>
  <c r="AA44" i="9"/>
  <c r="Z44" i="9"/>
  <c r="AA14" i="9"/>
  <c r="Z14" i="9"/>
  <c r="AA5" i="9"/>
  <c r="Z5" i="9"/>
  <c r="AU2" i="9" l="1"/>
  <c r="AI8" i="9" s="1"/>
  <c r="AH5" i="9" l="1"/>
  <c r="AE1" i="9"/>
  <c r="AM3" i="9"/>
  <c r="AK6" i="9"/>
  <c r="AK21" i="9"/>
  <c r="AK17" i="9"/>
  <c r="AG21" i="9"/>
  <c r="AL7" i="9"/>
  <c r="AF29" i="9"/>
  <c r="AP7" i="9"/>
  <c r="AE8" i="9"/>
  <c r="AI3" i="9"/>
  <c r="AG14" i="9"/>
  <c r="AD19" i="9"/>
  <c r="AN13" i="9"/>
  <c r="AG5" i="9"/>
  <c r="AI4" i="9"/>
  <c r="AO8" i="9"/>
  <c r="AJ5" i="9"/>
  <c r="AI1" i="9"/>
  <c r="AJ9" i="9"/>
  <c r="AE6" i="9"/>
  <c r="AJ2" i="9"/>
  <c r="AN21" i="9"/>
  <c r="AG18" i="9"/>
  <c r="AM28" i="9"/>
  <c r="AH4" i="9"/>
  <c r="AH6" i="9"/>
  <c r="AP23" i="9"/>
  <c r="AN17" i="9"/>
  <c r="AN6" i="9"/>
  <c r="AO9" i="9"/>
  <c r="AH12" i="9"/>
  <c r="AO12" i="9"/>
  <c r="AF9" i="9"/>
  <c r="AH1" i="9"/>
  <c r="AO13" i="9"/>
  <c r="AD4" i="9"/>
  <c r="AP5" i="9"/>
  <c r="AD2" i="9"/>
  <c r="AJ25" i="9"/>
  <c r="AL13" i="9"/>
  <c r="AE16" i="9"/>
  <c r="AL1" i="9"/>
  <c r="AJ10" i="9"/>
  <c r="AF38" i="9"/>
  <c r="AK9" i="9"/>
  <c r="AE13" i="9"/>
  <c r="AK7" i="9"/>
  <c r="AJ11" i="9"/>
  <c r="AM8" i="9"/>
  <c r="AM11" i="9"/>
  <c r="AD48" i="9"/>
  <c r="AE4" i="9"/>
  <c r="AM2" i="9"/>
  <c r="AD18" i="9"/>
  <c r="AK18" i="9"/>
  <c r="AE3" i="9"/>
  <c r="AN1" i="9"/>
  <c r="AP3" i="9"/>
  <c r="AM19" i="9"/>
  <c r="AN14" i="9"/>
  <c r="AM14" i="9"/>
  <c r="AN2" i="9"/>
  <c r="AG15" i="9"/>
  <c r="AD7" i="9"/>
  <c r="AL3" i="9"/>
  <c r="AP2" i="9"/>
  <c r="AH11" i="9"/>
  <c r="AO10" i="9"/>
  <c r="AE21" i="9"/>
  <c r="AJ20" i="9"/>
  <c r="AM7" i="9"/>
  <c r="AP6" i="9"/>
  <c r="AP9" i="9"/>
  <c r="AK14" i="9"/>
  <c r="AJ16" i="9"/>
  <c r="AO29" i="9"/>
  <c r="AE7" i="9"/>
  <c r="AK3" i="9"/>
  <c r="AF13" i="9"/>
  <c r="AK10" i="9"/>
  <c r="AD9" i="9"/>
  <c r="AK4" i="9"/>
  <c r="AE5" i="9"/>
  <c r="AE12" i="9"/>
  <c r="AD39" i="9"/>
  <c r="AM16" i="9"/>
  <c r="AJ17" i="9"/>
  <c r="AE10" i="9"/>
  <c r="AO6" i="9"/>
  <c r="AO14" i="9"/>
  <c r="AN9" i="9"/>
  <c r="AO5" i="9"/>
  <c r="AG12" i="9"/>
  <c r="AD12" i="9"/>
  <c r="AE20" i="9"/>
  <c r="AG3" i="9"/>
  <c r="AF7" i="9"/>
  <c r="AL20" i="9"/>
  <c r="AM6" i="9"/>
  <c r="AE29" i="9"/>
  <c r="AH8" i="9"/>
  <c r="AD27" i="9"/>
  <c r="AH14" i="9"/>
  <c r="AD3" i="9"/>
  <c r="AP8" i="9"/>
  <c r="AH7" i="9"/>
  <c r="AM5" i="9"/>
  <c r="AG30" i="9"/>
  <c r="AK20" i="9"/>
  <c r="AP4" i="9"/>
  <c r="AL11" i="9"/>
  <c r="AE28" i="9"/>
  <c r="AO1" i="9"/>
  <c r="AM13" i="9"/>
  <c r="AK26" i="9"/>
  <c r="AE11" i="9"/>
  <c r="AM9" i="9"/>
  <c r="AL6" i="9"/>
  <c r="AH20" i="9"/>
  <c r="AO3" i="9"/>
  <c r="AL2" i="9"/>
  <c r="AJ29" i="9"/>
  <c r="AG4" i="9"/>
  <c r="AE14" i="9"/>
  <c r="AF17" i="9"/>
  <c r="AM29" i="9"/>
  <c r="AF6" i="9"/>
  <c r="AJ4" i="9"/>
  <c r="AK29" i="9"/>
  <c r="AH21" i="9"/>
  <c r="AM1" i="9"/>
  <c r="AF2" i="9"/>
  <c r="AK2" i="9"/>
  <c r="AI24" i="9"/>
  <c r="AG9" i="9"/>
  <c r="AL27" i="9"/>
  <c r="AF21" i="9"/>
  <c r="AL10" i="9"/>
  <c r="AL21" i="9"/>
  <c r="AH3" i="9"/>
  <c r="AK13" i="9"/>
  <c r="AN20" i="9"/>
  <c r="AM20" i="9"/>
  <c r="AJ6" i="9"/>
  <c r="AO2" i="9"/>
  <c r="AK8" i="9"/>
  <c r="AK1" i="9"/>
  <c r="AD15" i="9"/>
  <c r="AG7" i="9"/>
  <c r="AI12" i="9"/>
  <c r="AK5" i="9"/>
  <c r="AG20" i="9"/>
  <c r="AI10" i="9"/>
  <c r="AL5" i="9"/>
  <c r="AP15" i="9"/>
  <c r="AF1" i="9"/>
  <c r="AO21" i="9"/>
  <c r="AJ21" i="9"/>
  <c r="AK11" i="9"/>
  <c r="AO18" i="9"/>
  <c r="AG10" i="9"/>
  <c r="AG8" i="9"/>
  <c r="AJ7" i="9"/>
  <c r="AO7" i="9"/>
  <c r="AO20" i="9"/>
  <c r="AO30" i="9"/>
  <c r="AF5" i="9"/>
  <c r="AE27" i="9"/>
  <c r="AN5" i="9"/>
  <c r="AH29" i="9"/>
  <c r="AJ8" i="9"/>
  <c r="AD5" i="9"/>
  <c r="AF14" i="9"/>
  <c r="AI9" i="9"/>
  <c r="AE2" i="9"/>
  <c r="AL9" i="9"/>
  <c r="AI6" i="9"/>
  <c r="AL12" i="9"/>
  <c r="AN29" i="9"/>
  <c r="AJ13" i="9"/>
  <c r="AH2" i="9"/>
  <c r="AM21" i="9"/>
  <c r="AF3" i="9"/>
  <c r="AF20" i="9"/>
  <c r="AF12" i="9"/>
  <c r="AH23" i="9"/>
  <c r="AN4" i="9"/>
  <c r="AG13" i="9"/>
  <c r="AL14" i="9"/>
  <c r="AO22" i="9"/>
  <c r="AH13" i="9"/>
  <c r="AJ1" i="9"/>
  <c r="AJ3" i="9"/>
  <c r="AN3" i="9"/>
  <c r="AN7" i="9"/>
  <c r="AH9" i="9"/>
  <c r="AG2" i="9"/>
  <c r="AE19" i="9"/>
  <c r="AL29" i="9"/>
  <c r="AO4" i="9"/>
  <c r="AG6" i="9"/>
  <c r="AM4" i="9"/>
  <c r="AD10" i="9"/>
  <c r="AG1" i="9"/>
  <c r="AF4" i="9"/>
  <c r="AL4" i="9"/>
  <c r="AG29" i="9"/>
  <c r="AE9" i="9"/>
  <c r="AD11" i="9"/>
  <c r="AP1" i="9"/>
  <c r="AO15" i="9"/>
  <c r="AP11" i="9"/>
  <c r="AP14" i="9"/>
  <c r="AJ14" i="9"/>
  <c r="AI7" i="9"/>
  <c r="AD1" i="9"/>
  <c r="AE17" i="9"/>
  <c r="AG17" i="9"/>
  <c r="AH17" i="9"/>
  <c r="AI17" i="9"/>
  <c r="AO17" i="9"/>
  <c r="AM17" i="9"/>
  <c r="AL17" i="9"/>
  <c r="AL19" i="9"/>
  <c r="AG22" i="9"/>
  <c r="AD6" i="9"/>
  <c r="AF8" i="9"/>
  <c r="BC1" i="10" a="1"/>
  <c r="AG17" i="10" a="1"/>
  <c r="R1" i="10" a="1"/>
  <c r="Y25" i="10" a="1"/>
  <c r="R33" i="10" a="1"/>
  <c r="R17" i="10" a="1"/>
  <c r="Y1" i="10" a="1"/>
  <c r="J41" i="10" a="1"/>
  <c r="C33" i="10" a="1"/>
  <c r="C25" i="10" a="1"/>
  <c r="J25" i="10" a="1"/>
  <c r="J17" i="10" a="1"/>
  <c r="C17" i="10" a="1"/>
  <c r="C9" i="10" a="1"/>
  <c r="J9" i="10" a="1"/>
  <c r="J1" i="10" a="1"/>
  <c r="C1" i="10" a="1"/>
  <c r="Y18" i="9" a="1"/>
  <c r="BC1" i="10" l="1"/>
  <c r="AG17" i="10"/>
  <c r="Y1" i="10"/>
  <c r="R17" i="10"/>
  <c r="R33" i="10"/>
  <c r="Y25" i="10"/>
  <c r="R1" i="10"/>
  <c r="J41" i="10"/>
  <c r="C33" i="10"/>
  <c r="J25" i="10"/>
  <c r="C25" i="10"/>
  <c r="C17" i="10"/>
  <c r="J17" i="10"/>
  <c r="C9" i="10"/>
  <c r="J9" i="10"/>
  <c r="C1" i="10"/>
  <c r="J1" i="10"/>
  <c r="Y18" i="9"/>
  <c r="AN8" i="9"/>
  <c r="AL8" i="9"/>
  <c r="AH10" i="9"/>
  <c r="AP10" i="9"/>
  <c r="AI11" i="9"/>
  <c r="AD14" i="9"/>
  <c r="AE15" i="9"/>
  <c r="AF16" i="9"/>
  <c r="Y9" i="10" a="1"/>
  <c r="F6" i="10" a="1"/>
  <c r="G1" i="10" a="1"/>
  <c r="D7" i="10" a="1"/>
  <c r="C4" i="10" a="1"/>
  <c r="C2" i="10" a="1"/>
  <c r="B6" i="10" a="1"/>
  <c r="F7" i="10" a="1"/>
  <c r="F2" i="10" a="1"/>
  <c r="D6" i="10" a="1"/>
  <c r="F4" i="10" a="1"/>
  <c r="C6" i="10" a="1"/>
  <c r="F3" i="10" a="1"/>
  <c r="J4" i="10" a="1"/>
  <c r="M2" i="10" a="1"/>
  <c r="I7" i="10" a="1"/>
  <c r="J2" i="10" a="1"/>
  <c r="K6" i="10" a="1"/>
  <c r="M4" i="10" a="1"/>
  <c r="M6" i="10" a="1"/>
  <c r="N1" i="10" a="1"/>
  <c r="J6" i="10" a="1"/>
  <c r="K7" i="10" a="1"/>
  <c r="I6" i="10" a="1"/>
  <c r="M7" i="10" a="1"/>
  <c r="M3" i="10" a="1"/>
  <c r="W15" i="9" a="1"/>
  <c r="BB1" i="10" l="1"/>
  <c r="AF17" i="10"/>
  <c r="Y9" i="10"/>
  <c r="Q1" i="10"/>
  <c r="X25" i="10"/>
  <c r="Q33" i="10"/>
  <c r="Q17" i="10"/>
  <c r="X1" i="10"/>
  <c r="I41" i="10"/>
  <c r="B33" i="10"/>
  <c r="B25" i="10"/>
  <c r="I25" i="10"/>
  <c r="I17" i="10"/>
  <c r="B17" i="10"/>
  <c r="B1" i="10"/>
  <c r="B9" i="10"/>
  <c r="I9" i="10"/>
  <c r="AL18" i="9"/>
  <c r="AL15" i="9"/>
  <c r="M3" i="10"/>
  <c r="M7" i="10"/>
  <c r="I6" i="10"/>
  <c r="K7" i="10"/>
  <c r="J6" i="10"/>
  <c r="N1" i="10"/>
  <c r="M6" i="10"/>
  <c r="M4" i="10"/>
  <c r="K6" i="10"/>
  <c r="J2" i="10"/>
  <c r="I7" i="10"/>
  <c r="M2" i="10"/>
  <c r="J4" i="10"/>
  <c r="F3" i="10"/>
  <c r="C6" i="10"/>
  <c r="F4" i="10"/>
  <c r="D6" i="10"/>
  <c r="F2" i="10"/>
  <c r="F7" i="10"/>
  <c r="B6" i="10"/>
  <c r="C2" i="10"/>
  <c r="C4" i="10"/>
  <c r="D7" i="10"/>
  <c r="G1" i="10"/>
  <c r="F6" i="10"/>
  <c r="I1" i="10"/>
  <c r="W15" i="9"/>
  <c r="AL16" i="9"/>
  <c r="AP18" i="9"/>
  <c r="AD22" i="9"/>
  <c r="AL22" i="9"/>
  <c r="AE23" i="9"/>
  <c r="AM23" i="9"/>
  <c r="AF24" i="9"/>
  <c r="AF23" i="10" a="1"/>
  <c r="AF22" i="10" a="1"/>
  <c r="AH23" i="10" a="1"/>
  <c r="AG20" i="10" a="1"/>
  <c r="AJ19" i="10" a="1"/>
  <c r="AJ23" i="10" a="1"/>
  <c r="AG18" i="10" a="1"/>
  <c r="AH22" i="10" a="1"/>
  <c r="AK17" i="10" a="1"/>
  <c r="AJ18" i="10" a="1"/>
  <c r="AJ22" i="10" a="1"/>
  <c r="AG22" i="10" a="1"/>
  <c r="AJ20" i="10" a="1"/>
  <c r="R2" i="10" a="1"/>
  <c r="AC25" i="10" a="1"/>
  <c r="R38" i="10" a="1"/>
  <c r="R20" i="10" a="1"/>
  <c r="U18" i="10" a="1"/>
  <c r="AB3" i="10" a="1"/>
  <c r="U6" i="10" a="1"/>
  <c r="S7" i="10" a="1"/>
  <c r="Z31" i="10" a="1"/>
  <c r="Z30" i="10" a="1"/>
  <c r="R34" i="10" a="1"/>
  <c r="Q6" i="10" a="1"/>
  <c r="R6" i="10" a="1"/>
  <c r="X30" i="10" a="1"/>
  <c r="Y28" i="10" a="1"/>
  <c r="U35" i="10" a="1"/>
  <c r="V33" i="10" a="1"/>
  <c r="R18" i="10" a="1"/>
  <c r="S22" i="10" a="1"/>
  <c r="AC1" i="10" a="1"/>
  <c r="AB7" i="10" a="1"/>
  <c r="Y41" i="10" a="1"/>
  <c r="U36" i="10" a="1"/>
  <c r="U23" i="10" a="1"/>
  <c r="Z7" i="10" a="1"/>
  <c r="U4" i="10" a="1"/>
  <c r="X31" i="10" a="1"/>
  <c r="U34" i="10" a="1"/>
  <c r="U38" i="10" a="1"/>
  <c r="V17" i="10" a="1"/>
  <c r="U20" i="10" a="1"/>
  <c r="X6" i="10" a="1"/>
  <c r="Y6" i="10" a="1"/>
  <c r="U7" i="10" a="1"/>
  <c r="U3" i="10" a="1"/>
  <c r="AB30" i="10" a="1"/>
  <c r="Y26" i="10" a="1"/>
  <c r="U39" i="10" a="1"/>
  <c r="S23" i="10" a="1"/>
  <c r="Z6" i="10" a="1"/>
  <c r="AB27" i="10" a="1"/>
  <c r="Q23" i="10" a="1"/>
  <c r="R22" i="10" a="1"/>
  <c r="U19" i="10" a="1"/>
  <c r="S6" i="10" a="1"/>
  <c r="U2" i="10" a="1"/>
  <c r="AB28" i="10" a="1"/>
  <c r="AB31" i="10" a="1"/>
  <c r="Q39" i="10" a="1"/>
  <c r="S38" i="10" a="1"/>
  <c r="U22" i="10" a="1"/>
  <c r="X7" i="10" a="1"/>
  <c r="Y4" i="10" a="1"/>
  <c r="Q38" i="10" a="1"/>
  <c r="Q7" i="10" a="1"/>
  <c r="Y30" i="10" a="1"/>
  <c r="AB6" i="10" a="1"/>
  <c r="V1" i="10" a="1"/>
  <c r="R4" i="10" a="1"/>
  <c r="AB26" i="10" a="1"/>
  <c r="S39" i="10" a="1"/>
  <c r="R36" i="10" a="1"/>
  <c r="Q22" i="10" a="1"/>
  <c r="AB4" i="10" a="1"/>
  <c r="Y2" i="10" a="1"/>
  <c r="M43" i="10" a="1"/>
  <c r="M47" i="10" a="1"/>
  <c r="M42" i="10" a="1"/>
  <c r="J46" i="10" a="1"/>
  <c r="N41" i="10" a="1"/>
  <c r="K46" i="10" a="1"/>
  <c r="I46" i="10" a="1"/>
  <c r="M46" i="10" a="1"/>
  <c r="J42" i="10" a="1"/>
  <c r="D39" i="10" a="1"/>
  <c r="C38" i="10" a="1"/>
  <c r="F36" i="10" a="1"/>
  <c r="G33" i="10" a="1"/>
  <c r="F35" i="10" a="1"/>
  <c r="C34" i="10" a="1"/>
  <c r="F34" i="10" a="1"/>
  <c r="F39" i="10" a="1"/>
  <c r="B39" i="10" a="1"/>
  <c r="D38" i="10" a="1"/>
  <c r="B38" i="10" a="1"/>
  <c r="F38" i="10" a="1"/>
  <c r="C36" i="10" a="1"/>
  <c r="D31" i="10" a="1"/>
  <c r="M31" i="10" a="1"/>
  <c r="M26" i="10" a="1"/>
  <c r="C30" i="10" a="1"/>
  <c r="C26" i="10" a="1"/>
  <c r="J30" i="10" a="1"/>
  <c r="N25" i="10" a="1"/>
  <c r="F28" i="10" a="1"/>
  <c r="G25" i="10" a="1"/>
  <c r="K31" i="10" a="1"/>
  <c r="K30" i="10" a="1"/>
  <c r="F27" i="10" a="1"/>
  <c r="F30" i="10" a="1"/>
  <c r="I30" i="10" a="1"/>
  <c r="J28" i="10" a="1"/>
  <c r="F26" i="10" a="1"/>
  <c r="I31" i="10" a="1"/>
  <c r="B31" i="10" a="1"/>
  <c r="F31" i="10" a="1"/>
  <c r="M30" i="10" a="1"/>
  <c r="J26" i="10" a="1"/>
  <c r="B30" i="10" a="1"/>
  <c r="D30" i="10" a="1"/>
  <c r="M28" i="10" a="1"/>
  <c r="C28" i="10" a="1"/>
  <c r="M27" i="10" a="1"/>
  <c r="M19" i="10" a="1"/>
  <c r="C22" i="10" a="1"/>
  <c r="C18" i="10" a="1"/>
  <c r="M22" i="10" a="1"/>
  <c r="M23" i="10" a="1"/>
  <c r="M18" i="10" a="1"/>
  <c r="F20" i="10" a="1"/>
  <c r="G17" i="10" a="1"/>
  <c r="J22" i="10" a="1"/>
  <c r="N17" i="10" a="1"/>
  <c r="F19" i="10" a="1"/>
  <c r="F22" i="10" a="1"/>
  <c r="B22" i="10" a="1"/>
  <c r="K23" i="10" a="1"/>
  <c r="K22" i="10" a="1"/>
  <c r="F18" i="10" a="1"/>
  <c r="J18" i="10" a="1"/>
  <c r="C20" i="10" a="1"/>
  <c r="I22" i="10" a="1"/>
  <c r="J20" i="10" a="1"/>
  <c r="B23" i="10" a="1"/>
  <c r="F23" i="10" a="1"/>
  <c r="I23" i="10" a="1"/>
  <c r="D22" i="10" a="1"/>
  <c r="M20" i="10" a="1"/>
  <c r="D23" i="10" a="1"/>
  <c r="B7" i="10" a="1"/>
  <c r="F15" i="10" a="1"/>
  <c r="B15" i="10" a="1"/>
  <c r="D14" i="10" a="1"/>
  <c r="B14" i="10" a="1"/>
  <c r="C12" i="10" a="1"/>
  <c r="C10" i="10" a="1"/>
  <c r="D15" i="10" a="1"/>
  <c r="F14" i="10" a="1"/>
  <c r="C14" i="10" a="1"/>
  <c r="F12" i="10" a="1"/>
  <c r="F11" i="10" a="1"/>
  <c r="F10" i="10" a="1"/>
  <c r="G9" i="10" a="1"/>
  <c r="M15" i="10" a="1"/>
  <c r="M11" i="10" a="1"/>
  <c r="K14" i="10" a="1"/>
  <c r="N9" i="10" a="1"/>
  <c r="J12" i="10" a="1"/>
  <c r="J10" i="10" a="1"/>
  <c r="I15" i="10" a="1"/>
  <c r="I14" i="10" a="1"/>
  <c r="M14" i="10" a="1"/>
  <c r="M12" i="10" a="1"/>
  <c r="K15" i="10" a="1"/>
  <c r="M10" i="10" a="1"/>
  <c r="J14" i="10" a="1"/>
  <c r="C3" i="10" a="1"/>
  <c r="J3" i="10" a="1"/>
  <c r="V19" i="9" a="1"/>
  <c r="U18" i="9" a="1"/>
  <c r="AJ20" i="10" l="1"/>
  <c r="AG22" i="10"/>
  <c r="AJ22" i="10"/>
  <c r="AJ18" i="10"/>
  <c r="AK17" i="10"/>
  <c r="AH22" i="10"/>
  <c r="AG18" i="10"/>
  <c r="AJ23" i="10"/>
  <c r="AJ19" i="10"/>
  <c r="AG20" i="10"/>
  <c r="AH23" i="10"/>
  <c r="AF22" i="10"/>
  <c r="AF23" i="10"/>
  <c r="Y2" i="10"/>
  <c r="AB4" i="10"/>
  <c r="Q22" i="10"/>
  <c r="R36" i="10"/>
  <c r="S39" i="10"/>
  <c r="AB26" i="10"/>
  <c r="R4" i="10"/>
  <c r="V1" i="10"/>
  <c r="AB6" i="10"/>
  <c r="Y30" i="10"/>
  <c r="Q7" i="10"/>
  <c r="Q38" i="10"/>
  <c r="Y4" i="10"/>
  <c r="X7" i="10"/>
  <c r="U22" i="10"/>
  <c r="S38" i="10"/>
  <c r="Q39" i="10"/>
  <c r="AB31" i="10"/>
  <c r="AB28" i="10"/>
  <c r="U2" i="10"/>
  <c r="S6" i="10"/>
  <c r="U19" i="10"/>
  <c r="R22" i="10"/>
  <c r="Q23" i="10"/>
  <c r="AB27" i="10"/>
  <c r="Z6" i="10"/>
  <c r="S23" i="10"/>
  <c r="U39" i="10"/>
  <c r="Y26" i="10"/>
  <c r="AB30" i="10"/>
  <c r="U3" i="10"/>
  <c r="U7" i="10"/>
  <c r="Y6" i="10"/>
  <c r="X6" i="10"/>
  <c r="U20" i="10"/>
  <c r="V17" i="10"/>
  <c r="U38" i="10"/>
  <c r="U34" i="10"/>
  <c r="X31" i="10"/>
  <c r="U4" i="10"/>
  <c r="Z7" i="10"/>
  <c r="U23" i="10"/>
  <c r="U36" i="10"/>
  <c r="Y41" i="10"/>
  <c r="AB7" i="10"/>
  <c r="AC1" i="10"/>
  <c r="S22" i="10"/>
  <c r="R18" i="10"/>
  <c r="V33" i="10"/>
  <c r="U35" i="10"/>
  <c r="Y28" i="10"/>
  <c r="X30" i="10"/>
  <c r="R6" i="10"/>
  <c r="Q6" i="10"/>
  <c r="R34" i="10"/>
  <c r="Z30" i="10"/>
  <c r="Z31" i="10"/>
  <c r="S7" i="10"/>
  <c r="U6" i="10"/>
  <c r="AB3" i="10"/>
  <c r="U18" i="10"/>
  <c r="R20" i="10"/>
  <c r="R38" i="10"/>
  <c r="AC25" i="10"/>
  <c r="R2" i="10"/>
  <c r="X9" i="10"/>
  <c r="J42" i="10"/>
  <c r="M46" i="10"/>
  <c r="I46" i="10"/>
  <c r="K46" i="10"/>
  <c r="N41" i="10"/>
  <c r="J46" i="10"/>
  <c r="M42" i="10"/>
  <c r="M47" i="10"/>
  <c r="M43" i="10"/>
  <c r="C36" i="10"/>
  <c r="F38" i="10"/>
  <c r="B38" i="10"/>
  <c r="D38" i="10"/>
  <c r="B39" i="10"/>
  <c r="F39" i="10"/>
  <c r="F34" i="10"/>
  <c r="C34" i="10"/>
  <c r="F35" i="10"/>
  <c r="G33" i="10"/>
  <c r="F36" i="10"/>
  <c r="C38" i="10"/>
  <c r="D39" i="10"/>
  <c r="M27" i="10"/>
  <c r="C28" i="10"/>
  <c r="M28" i="10"/>
  <c r="D30" i="10"/>
  <c r="B30" i="10"/>
  <c r="J26" i="10"/>
  <c r="M30" i="10"/>
  <c r="F31" i="10"/>
  <c r="B31" i="10"/>
  <c r="I31" i="10"/>
  <c r="F26" i="10"/>
  <c r="J28" i="10"/>
  <c r="I30" i="10"/>
  <c r="F30" i="10"/>
  <c r="F27" i="10"/>
  <c r="K30" i="10"/>
  <c r="K31" i="10"/>
  <c r="G25" i="10"/>
  <c r="F28" i="10"/>
  <c r="N25" i="10"/>
  <c r="J30" i="10"/>
  <c r="C26" i="10"/>
  <c r="C30" i="10"/>
  <c r="M26" i="10"/>
  <c r="M31" i="10"/>
  <c r="D31" i="10"/>
  <c r="D23" i="10"/>
  <c r="M20" i="10"/>
  <c r="D22" i="10"/>
  <c r="I23" i="10"/>
  <c r="F23" i="10"/>
  <c r="B23" i="10"/>
  <c r="J20" i="10"/>
  <c r="I22" i="10"/>
  <c r="C20" i="10"/>
  <c r="J18" i="10"/>
  <c r="F18" i="10"/>
  <c r="K22" i="10"/>
  <c r="K23" i="10"/>
  <c r="B22" i="10"/>
  <c r="F22" i="10"/>
  <c r="F19" i="10"/>
  <c r="N17" i="10"/>
  <c r="J22" i="10"/>
  <c r="G17" i="10"/>
  <c r="F20" i="10"/>
  <c r="M18" i="10"/>
  <c r="M23" i="10"/>
  <c r="M22" i="10"/>
  <c r="C18" i="10"/>
  <c r="C22" i="10"/>
  <c r="M19" i="10"/>
  <c r="B7" i="10"/>
  <c r="G9" i="10"/>
  <c r="F10" i="10"/>
  <c r="F11" i="10"/>
  <c r="F12" i="10"/>
  <c r="C14" i="10"/>
  <c r="F14" i="10"/>
  <c r="D15" i="10"/>
  <c r="C10" i="10"/>
  <c r="C12" i="10"/>
  <c r="B14" i="10"/>
  <c r="D14" i="10"/>
  <c r="B15" i="10"/>
  <c r="F15" i="10"/>
  <c r="J14" i="10"/>
  <c r="M10" i="10"/>
  <c r="K15" i="10"/>
  <c r="M12" i="10"/>
  <c r="M14" i="10"/>
  <c r="I14" i="10"/>
  <c r="I15" i="10"/>
  <c r="J10" i="10"/>
  <c r="J12" i="10"/>
  <c r="N9" i="10"/>
  <c r="K14" i="10"/>
  <c r="M11" i="10"/>
  <c r="M15" i="10"/>
  <c r="Z15" i="9"/>
  <c r="AJ12" i="9"/>
  <c r="C3" i="10"/>
  <c r="U18" i="9"/>
  <c r="V19" i="9"/>
  <c r="J3" i="10"/>
  <c r="AE24" i="9"/>
  <c r="AJ24" i="9"/>
  <c r="AG24" i="9"/>
  <c r="AH24" i="9"/>
  <c r="AK24" i="9"/>
  <c r="AN24" i="9"/>
  <c r="AO24" i="9"/>
  <c r="AL24" i="9"/>
  <c r="AM24" i="9"/>
  <c r="AH26" i="9"/>
  <c r="AP26" i="9"/>
  <c r="AI27" i="9"/>
  <c r="AJ28" i="9"/>
  <c r="AD30" i="9"/>
  <c r="AL30" i="9"/>
  <c r="AE31" i="9"/>
  <c r="AM31" i="9"/>
  <c r="AF32" i="9"/>
  <c r="AG19" i="10" a="1"/>
  <c r="AN25" i="10" a="1"/>
  <c r="Y3" i="10" a="1"/>
  <c r="R3" i="10" a="1"/>
  <c r="Z14" i="10" a="1"/>
  <c r="Y12" i="10" a="1"/>
  <c r="X15" i="10" a="1"/>
  <c r="AB14" i="10" a="1"/>
  <c r="Y27" i="10" a="1"/>
  <c r="X14" i="10" a="1"/>
  <c r="AB11" i="10" a="1"/>
  <c r="R35" i="10" a="1"/>
  <c r="AC9" i="10" a="1"/>
  <c r="Y14" i="10" a="1"/>
  <c r="J44" i="10" a="1"/>
  <c r="C35" i="10" a="1"/>
  <c r="J27" i="10" a="1"/>
  <c r="C27" i="10" a="1"/>
  <c r="J11" i="10" a="1"/>
  <c r="AN25" i="10" l="1"/>
  <c r="AG19" i="10"/>
  <c r="Y14" i="10"/>
  <c r="AC9" i="10"/>
  <c r="R35" i="10"/>
  <c r="AB11" i="10"/>
  <c r="X14" i="10"/>
  <c r="Y27" i="10"/>
  <c r="AB14" i="10"/>
  <c r="X15" i="10"/>
  <c r="Y12" i="10"/>
  <c r="Z14" i="10"/>
  <c r="R3" i="10"/>
  <c r="Y3" i="10"/>
  <c r="X41" i="10"/>
  <c r="J44" i="10"/>
  <c r="C35" i="10"/>
  <c r="C27" i="10"/>
  <c r="J27" i="10"/>
  <c r="J11" i="10"/>
  <c r="AI19" i="9"/>
  <c r="AI16" i="9"/>
  <c r="AH18" i="9"/>
  <c r="AH15" i="9"/>
  <c r="AM12" i="9"/>
  <c r="AE32" i="9"/>
  <c r="AG32" i="9"/>
  <c r="AJ32" i="9"/>
  <c r="AH32" i="9"/>
  <c r="AM32" i="9"/>
  <c r="AK32" i="9"/>
  <c r="AN32" i="9"/>
  <c r="AL32" i="9"/>
  <c r="AO32" i="9"/>
  <c r="AH34" i="9"/>
  <c r="AP34" i="9"/>
  <c r="AI35" i="9"/>
  <c r="AK37" i="9"/>
  <c r="AD38" i="9"/>
  <c r="AL38" i="9"/>
  <c r="AE39" i="9"/>
  <c r="Y46" i="10" a="1"/>
  <c r="AB44" i="10" a="1"/>
  <c r="Z46" i="10" a="1"/>
  <c r="AB43" i="10" a="1"/>
  <c r="Y42" i="10" a="1"/>
  <c r="AB42" i="10" a="1"/>
  <c r="Z47" i="10" a="1"/>
  <c r="AC41" i="10" a="1"/>
  <c r="R19" i="10" a="1"/>
  <c r="X46" i="10" a="1"/>
  <c r="Y44" i="10" a="1"/>
  <c r="X47" i="10" a="1"/>
  <c r="AB47" i="10" a="1"/>
  <c r="AB46" i="10" a="1"/>
  <c r="I47" i="10" a="1"/>
  <c r="J43" i="10" a="1"/>
  <c r="C19" i="10" a="1"/>
  <c r="J19" i="10" a="1"/>
  <c r="C11" i="10" a="1"/>
  <c r="W38" i="9" a="1"/>
  <c r="AM25" i="10" l="1"/>
  <c r="AB46" i="10"/>
  <c r="AB47" i="10"/>
  <c r="X47" i="10"/>
  <c r="Y44" i="10"/>
  <c r="X46" i="10"/>
  <c r="R19" i="10"/>
  <c r="AC41" i="10"/>
  <c r="Z47" i="10"/>
  <c r="AB42" i="10"/>
  <c r="Y42" i="10"/>
  <c r="AB43" i="10"/>
  <c r="Z46" i="10"/>
  <c r="AB44" i="10"/>
  <c r="Y46" i="10"/>
  <c r="J43" i="10"/>
  <c r="I47" i="10"/>
  <c r="J19" i="10"/>
  <c r="C19" i="10"/>
  <c r="C11" i="10"/>
  <c r="W38" i="9"/>
  <c r="AJ36" i="9" s="1"/>
  <c r="AE40" i="9"/>
  <c r="AK41" i="9"/>
  <c r="AE44" i="9"/>
  <c r="AO44" i="9"/>
  <c r="AN45" i="9"/>
  <c r="AK46" i="9"/>
  <c r="AI47" i="9"/>
  <c r="AH48" i="9"/>
  <c r="AD49" i="9"/>
  <c r="AO49" i="9"/>
  <c r="AM50" i="9"/>
  <c r="AL51" i="9"/>
  <c r="AJ52" i="9"/>
  <c r="AN53" i="9"/>
  <c r="AH54" i="9"/>
  <c r="AE55" i="9"/>
  <c r="AN56" i="9"/>
  <c r="AK58" i="9"/>
  <c r="AD59" i="9"/>
  <c r="AM60" i="9"/>
  <c r="AM63" i="9"/>
  <c r="AE67" i="9"/>
  <c r="AN68" i="9"/>
  <c r="AH70" i="9"/>
  <c r="AO72" i="9"/>
  <c r="AP73" i="9"/>
  <c r="AF74" i="9"/>
  <c r="CV1" i="10" a="1"/>
  <c r="AO31" i="10" a="1"/>
  <c r="AO30" i="10" a="1"/>
  <c r="AM30" i="10" a="1"/>
  <c r="AN28" i="10" a="1"/>
  <c r="AM31" i="10" a="1"/>
  <c r="AQ30" i="10" a="1"/>
  <c r="AN26" i="10" a="1"/>
  <c r="AQ28" i="10" a="1"/>
  <c r="AQ27" i="10" a="1"/>
  <c r="AQ31" i="10" a="1"/>
  <c r="AQ26" i="10" a="1"/>
  <c r="AN30" i="10" a="1"/>
  <c r="AR25" i="10" a="1"/>
  <c r="Y43" i="10" a="1"/>
  <c r="Y40" i="9" a="1"/>
  <c r="V40" i="9" a="1"/>
  <c r="X43" i="9" a="1"/>
  <c r="X40" i="9" a="1"/>
  <c r="T40" i="9" a="1"/>
  <c r="W40" i="9" a="1"/>
  <c r="U40" i="9" a="1"/>
  <c r="AB40" i="9" a="1"/>
  <c r="CV1" i="10" l="1"/>
  <c r="AR25" i="10"/>
  <c r="AN30" i="10"/>
  <c r="AQ26" i="10"/>
  <c r="AQ31" i="10"/>
  <c r="AQ27" i="10"/>
  <c r="AQ28" i="10"/>
  <c r="AN26" i="10"/>
  <c r="AQ30" i="10"/>
  <c r="AM31" i="10"/>
  <c r="AN28" i="10"/>
  <c r="AM30" i="10"/>
  <c r="AO30" i="10"/>
  <c r="AO31" i="10"/>
  <c r="Y43" i="10"/>
  <c r="AB40" i="9"/>
  <c r="U40" i="9"/>
  <c r="W40" i="9"/>
  <c r="T40" i="9"/>
  <c r="X40" i="9"/>
  <c r="X43" i="9"/>
  <c r="AK43" i="9" s="1"/>
  <c r="V40" i="9"/>
  <c r="Y40" i="9"/>
  <c r="AP75" i="9"/>
  <c r="AK78" i="9"/>
  <c r="AG90" i="9"/>
  <c r="AH91" i="9"/>
  <c r="AI92" i="9"/>
  <c r="AD13" i="9"/>
  <c r="AF15" i="9"/>
  <c r="AN27" i="10" a="1"/>
  <c r="R9" i="10" a="1"/>
  <c r="CU7" i="10" l="1" a="1"/>
  <c r="CU7" i="10" s="1"/>
  <c r="CY6" i="10" a="1"/>
  <c r="CY6" i="10" s="1"/>
  <c r="CY4" i="10" a="1"/>
  <c r="CY4" i="10" s="1"/>
  <c r="CY3" i="10" a="1"/>
  <c r="CY3" i="10" s="1"/>
  <c r="CY2" i="10" a="1"/>
  <c r="CY2" i="10" s="1"/>
  <c r="CZ1" i="10" a="1"/>
  <c r="CZ1" i="10" s="1"/>
  <c r="CW6" i="10" a="1"/>
  <c r="CW6" i="10" s="1"/>
  <c r="CV4" i="10" a="1"/>
  <c r="CV4" i="10" s="1"/>
  <c r="CV2" i="10" a="1"/>
  <c r="CV2" i="10" s="1"/>
  <c r="CV3" i="10" s="1" a="1"/>
  <c r="CV3" i="10" s="1"/>
  <c r="CU6" i="10" a="1"/>
  <c r="CU6" i="10" s="1"/>
  <c r="CU1" i="10"/>
  <c r="CY7" i="10" a="1"/>
  <c r="CY7" i="10" s="1"/>
  <c r="CV6" i="10" a="1"/>
  <c r="CV6" i="10" s="1"/>
  <c r="CW7" i="10" a="1"/>
  <c r="CW7" i="10" s="1"/>
  <c r="AN27" i="10"/>
  <c r="R9" i="10"/>
  <c r="AK40" i="9"/>
  <c r="AK42" i="9"/>
  <c r="Z40" i="9"/>
  <c r="AA40" i="9"/>
  <c r="AA15" i="9"/>
  <c r="AP17" i="9"/>
  <c r="AJ19" i="9"/>
  <c r="AD21" i="9"/>
  <c r="AE22" i="9"/>
  <c r="AM22" i="9"/>
  <c r="AF23" i="9"/>
  <c r="R41" i="10" a="1"/>
  <c r="X15" i="9" a="1"/>
  <c r="V18" i="9" a="1"/>
  <c r="R41" i="10" l="1"/>
  <c r="Q9" i="10"/>
  <c r="AN12" i="9"/>
  <c r="AM39" i="9"/>
  <c r="V18" i="9"/>
  <c r="X15" i="9"/>
  <c r="AN23" i="9"/>
  <c r="AO23" i="9"/>
  <c r="AG23" i="9"/>
  <c r="AJ23" i="9"/>
  <c r="AK23" i="9"/>
  <c r="AL23" i="9"/>
  <c r="AP25" i="9"/>
  <c r="AJ27" i="9"/>
  <c r="AD29" i="9"/>
  <c r="AE30" i="9"/>
  <c r="AM30" i="9"/>
  <c r="AF31" i="9"/>
  <c r="AG25" i="10" a="1"/>
  <c r="R10" i="10" a="1"/>
  <c r="U14" i="10" a="1"/>
  <c r="R14" i="10" a="1"/>
  <c r="Q14" i="10" a="1"/>
  <c r="U11" i="10" a="1"/>
  <c r="U15" i="10" a="1"/>
  <c r="U10" i="10" a="1"/>
  <c r="S14" i="10" a="1"/>
  <c r="V9" i="10" a="1"/>
  <c r="K47" i="10" a="1"/>
  <c r="X25" i="9" a="1"/>
  <c r="AG25" i="10" l="1"/>
  <c r="V9" i="10"/>
  <c r="S14" i="10"/>
  <c r="U10" i="10"/>
  <c r="U15" i="10"/>
  <c r="U11" i="10"/>
  <c r="Q14" i="10"/>
  <c r="R14" i="10"/>
  <c r="U14" i="10"/>
  <c r="R10" i="10"/>
  <c r="Q41" i="10"/>
  <c r="K47" i="10"/>
  <c r="AK15" i="9"/>
  <c r="AK12" i="9"/>
  <c r="AI15" i="9"/>
  <c r="X25" i="9"/>
  <c r="AK28" i="9" s="1"/>
  <c r="AJ31" i="9"/>
  <c r="AG31" i="9"/>
  <c r="AO31" i="9"/>
  <c r="AH31" i="9"/>
  <c r="AK31" i="9"/>
  <c r="AL31" i="9"/>
  <c r="AN31" i="9"/>
  <c r="AP33" i="9"/>
  <c r="AI34" i="9"/>
  <c r="AJ35" i="9"/>
  <c r="AD37" i="9"/>
  <c r="AL37" i="9"/>
  <c r="AE38" i="9"/>
  <c r="AM38" i="9"/>
  <c r="AF39" i="9"/>
  <c r="BB6" i="10" a="1"/>
  <c r="BD6" i="10" a="1"/>
  <c r="BG1" i="10" a="1"/>
  <c r="BC6" i="10" a="1"/>
  <c r="BF3" i="10" a="1"/>
  <c r="BF6" i="10" a="1"/>
  <c r="BB7" i="10" a="1"/>
  <c r="AV9" i="10" a="1"/>
  <c r="R44" i="10" a="1"/>
  <c r="S47" i="10" a="1"/>
  <c r="R46" i="10" a="1"/>
  <c r="R42" i="10" a="1"/>
  <c r="U12" i="10" a="1"/>
  <c r="U44" i="10" a="1"/>
  <c r="V41" i="10" a="1"/>
  <c r="U43" i="10" a="1"/>
  <c r="U42" i="10" a="1"/>
  <c r="S46" i="10" a="1"/>
  <c r="Q47" i="10" a="1"/>
  <c r="U46" i="10" a="1"/>
  <c r="Q46" i="10" a="1"/>
  <c r="U47" i="10" a="1"/>
  <c r="M44" i="10" a="1"/>
  <c r="X38" i="9" a="1"/>
  <c r="AV9" i="10" l="1"/>
  <c r="BB7" i="10"/>
  <c r="BF6" i="10"/>
  <c r="BF3" i="10"/>
  <c r="BC6" i="10"/>
  <c r="BG1" i="10"/>
  <c r="BD6" i="10"/>
  <c r="BB6" i="10"/>
  <c r="AF25" i="10"/>
  <c r="U47" i="10"/>
  <c r="Q46" i="10"/>
  <c r="U46" i="10"/>
  <c r="Q47" i="10"/>
  <c r="S46" i="10"/>
  <c r="U42" i="10"/>
  <c r="U43" i="10"/>
  <c r="V41" i="10"/>
  <c r="U44" i="10"/>
  <c r="U12" i="10"/>
  <c r="R42" i="10"/>
  <c r="R46" i="10"/>
  <c r="S47" i="10"/>
  <c r="R44" i="10"/>
  <c r="M44" i="10"/>
  <c r="X38" i="9"/>
  <c r="AK36" i="9" s="1"/>
  <c r="AJ39" i="9"/>
  <c r="AG39" i="9"/>
  <c r="AO39" i="9"/>
  <c r="AL39" i="9"/>
  <c r="AH39" i="9"/>
  <c r="AN39" i="9"/>
  <c r="AK39" i="9"/>
  <c r="AL41" i="9"/>
  <c r="AL42" i="9"/>
  <c r="AF44" i="9"/>
  <c r="BC25" i="10" a="1"/>
  <c r="AF31" i="10" a="1"/>
  <c r="AJ31" i="10" a="1"/>
  <c r="AF30" i="10" a="1"/>
  <c r="AH30" i="10" a="1"/>
  <c r="AG28" i="10" a="1"/>
  <c r="AH31" i="10" a="1"/>
  <c r="AG30" i="10" a="1"/>
  <c r="AG26" i="10" a="1"/>
  <c r="AJ28" i="10" a="1"/>
  <c r="AK25" i="10" a="1"/>
  <c r="AJ27" i="10" a="1"/>
  <c r="AJ30" i="10" a="1"/>
  <c r="AJ26" i="10" a="1"/>
  <c r="R43" i="10" a="1"/>
  <c r="Y43" i="9" a="1"/>
  <c r="BC25" i="10" l="1"/>
  <c r="AU9" i="10"/>
  <c r="AY11" i="10" a="1"/>
  <c r="AY11" i="10" s="1"/>
  <c r="AJ26" i="10"/>
  <c r="AJ30" i="10"/>
  <c r="AJ27" i="10"/>
  <c r="AK25" i="10"/>
  <c r="AJ28" i="10"/>
  <c r="AG26" i="10"/>
  <c r="AG30" i="10"/>
  <c r="AH31" i="10"/>
  <c r="AG28" i="10"/>
  <c r="AH30" i="10"/>
  <c r="AF30" i="10"/>
  <c r="AJ31" i="10"/>
  <c r="AF31" i="10"/>
  <c r="R43" i="10"/>
  <c r="Y43" i="9"/>
  <c r="AJ44" i="9"/>
  <c r="AH44" i="9"/>
  <c r="AI44" i="9"/>
  <c r="AN44" i="9"/>
  <c r="AL44" i="9"/>
  <c r="AM44" i="9"/>
  <c r="AE45" i="9"/>
  <c r="AO45" i="9"/>
  <c r="AL46" i="9"/>
  <c r="AJ47" i="9"/>
  <c r="AI48" i="9"/>
  <c r="AF49" i="9"/>
  <c r="BK1" i="10" a="1"/>
  <c r="AV14" i="10" a="1"/>
  <c r="AY15" i="10" a="1"/>
  <c r="AW14" i="10" a="1"/>
  <c r="AU15" i="10" a="1"/>
  <c r="AY12" i="10" a="1"/>
  <c r="AV10" i="10" a="1"/>
  <c r="AV12" i="10" a="1"/>
  <c r="AY14" i="10" a="1"/>
  <c r="AU14" i="10" a="1"/>
  <c r="AW15" i="10" a="1"/>
  <c r="AZ9" i="10" a="1"/>
  <c r="AG27" i="10" a="1"/>
  <c r="BK1" i="10" l="1"/>
  <c r="AZ9" i="10"/>
  <c r="AW15" i="10"/>
  <c r="AU14" i="10"/>
  <c r="AY14" i="10"/>
  <c r="AV12" i="10"/>
  <c r="AV10" i="10"/>
  <c r="AV11" i="10" s="1" a="1"/>
  <c r="AV11" i="10" s="1"/>
  <c r="AY12" i="10"/>
  <c r="AU15" i="10"/>
  <c r="AW14" i="10"/>
  <c r="AY15" i="10"/>
  <c r="AV14" i="10"/>
  <c r="BB25" i="10"/>
  <c r="AG27" i="10"/>
  <c r="AL43" i="9"/>
  <c r="AL40" i="9"/>
  <c r="AD50" i="9"/>
  <c r="AO50" i="9"/>
  <c r="AM51" i="9"/>
  <c r="AL52" i="9"/>
  <c r="AO53" i="9"/>
  <c r="AK54" i="9"/>
  <c r="AH55" i="9"/>
  <c r="AF57" i="9"/>
  <c r="BK33" i="10" a="1"/>
  <c r="BF27" i="10" a="1"/>
  <c r="BF31" i="10" a="1"/>
  <c r="BF26" i="10" a="1"/>
  <c r="BC30" i="10" a="1"/>
  <c r="BC28" i="10" a="1"/>
  <c r="BG25" i="10" a="1"/>
  <c r="BD31" i="10" a="1"/>
  <c r="BD30" i="10" a="1"/>
  <c r="BB30" i="10" a="1"/>
  <c r="BB31" i="10" a="1"/>
  <c r="BF30" i="10" a="1"/>
  <c r="BK33" i="10" l="1"/>
  <c r="BN6" i="10" a="1"/>
  <c r="BN6" i="10" s="1"/>
  <c r="BJ1" i="10"/>
  <c r="BN7" i="10" a="1"/>
  <c r="BN7" i="10" s="1"/>
  <c r="BL6" i="10" a="1"/>
  <c r="BL6" i="10" s="1"/>
  <c r="BL7" i="10" a="1"/>
  <c r="BL7" i="10" s="1"/>
  <c r="BK6" i="10" a="1"/>
  <c r="BK6" i="10" s="1"/>
  <c r="BN4" i="10" a="1"/>
  <c r="BN4" i="10" s="1"/>
  <c r="BN3" i="10" a="1"/>
  <c r="BN3" i="10" s="1"/>
  <c r="BN2" i="10" a="1"/>
  <c r="BN2" i="10" s="1"/>
  <c r="BJ7" i="10" a="1"/>
  <c r="BJ7" i="10" s="1"/>
  <c r="BJ6" i="10" a="1"/>
  <c r="BJ6" i="10" s="1"/>
  <c r="BK4" i="10" a="1"/>
  <c r="BK4" i="10" s="1"/>
  <c r="BK2" i="10" a="1"/>
  <c r="BK2" i="10" s="1"/>
  <c r="BK3" i="10" s="1" a="1"/>
  <c r="BK3" i="10" s="1"/>
  <c r="BO1" i="10" a="1"/>
  <c r="BO1" i="10" s="1"/>
  <c r="BF30" i="10"/>
  <c r="BB31" i="10"/>
  <c r="BB30" i="10"/>
  <c r="BD30" i="10"/>
  <c r="BD31" i="10"/>
  <c r="BG25" i="10"/>
  <c r="BC28" i="10"/>
  <c r="BC30" i="10"/>
  <c r="BF26" i="10"/>
  <c r="BF31" i="10"/>
  <c r="BF27" i="10"/>
  <c r="AL58" i="9"/>
  <c r="AE59" i="9"/>
  <c r="AN60" i="9"/>
  <c r="AF61" i="9"/>
  <c r="BZ1" i="10" a="1"/>
  <c r="BZ1" i="10" l="1"/>
  <c r="BL39" i="10" a="1"/>
  <c r="BL39" i="10" s="1"/>
  <c r="BK38" i="10" a="1"/>
  <c r="BK38" i="10" s="1"/>
  <c r="BN36" i="10" a="1"/>
  <c r="BN36" i="10" s="1"/>
  <c r="BN35" i="10" a="1"/>
  <c r="BN35" i="10" s="1"/>
  <c r="BN34" i="10" a="1"/>
  <c r="BN34" i="10" s="1"/>
  <c r="BJ39" i="10" a="1"/>
  <c r="BJ39" i="10" s="1"/>
  <c r="BJ38" i="10" a="1"/>
  <c r="BJ38" i="10" s="1"/>
  <c r="BK36" i="10" a="1"/>
  <c r="BK36" i="10" s="1"/>
  <c r="BK34" i="10" a="1"/>
  <c r="BK34" i="10" s="1"/>
  <c r="BK35" i="10" s="1" a="1"/>
  <c r="BK35" i="10" s="1"/>
  <c r="BO33" i="10" a="1"/>
  <c r="BO33" i="10" s="1"/>
  <c r="BN38" i="10" a="1"/>
  <c r="BN38" i="10" s="1"/>
  <c r="BJ33" i="10"/>
  <c r="BN39" i="10" a="1"/>
  <c r="BN39" i="10" s="1"/>
  <c r="BL38" i="10" a="1"/>
  <c r="BL38" i="10" s="1"/>
  <c r="AD62" i="9"/>
  <c r="AP63" i="9"/>
  <c r="AI67" i="9"/>
  <c r="AL70" i="9"/>
  <c r="AG74" i="9"/>
  <c r="AO78" i="9"/>
  <c r="AK86" i="9"/>
  <c r="AO90" i="9"/>
  <c r="AP91" i="9"/>
  <c r="AE96" i="9"/>
  <c r="AF97" i="9"/>
  <c r="AP16" i="9"/>
  <c r="AD20" i="9"/>
  <c r="AF22" i="9"/>
  <c r="DS1" i="10" a="1"/>
  <c r="Y33" i="10" a="1"/>
  <c r="W18" i="9" a="1"/>
  <c r="X19" i="9" a="1"/>
  <c r="DS1" i="10" l="1"/>
  <c r="CC6" i="10" a="1"/>
  <c r="CC6" i="10" s="1"/>
  <c r="BY1" i="10"/>
  <c r="CC7" i="10" a="1"/>
  <c r="CC7" i="10" s="1"/>
  <c r="CA6" i="10" a="1"/>
  <c r="CA6" i="10" s="1"/>
  <c r="BZ4" i="10" a="1"/>
  <c r="BZ4" i="10" s="1"/>
  <c r="BZ2" i="10" a="1"/>
  <c r="BZ2" i="10" s="1"/>
  <c r="BZ3" i="10" s="1" a="1"/>
  <c r="BZ3" i="10" s="1"/>
  <c r="BY6" i="10" a="1"/>
  <c r="BY6" i="10" s="1"/>
  <c r="CA7" i="10" a="1"/>
  <c r="CA7" i="10" s="1"/>
  <c r="BZ6" i="10" a="1"/>
  <c r="BZ6" i="10" s="1"/>
  <c r="CC4" i="10" a="1"/>
  <c r="CC4" i="10" s="1"/>
  <c r="CC3" i="10" a="1"/>
  <c r="CC3" i="10" s="1"/>
  <c r="CC2" i="10" a="1"/>
  <c r="CC2" i="10" s="1"/>
  <c r="BY7" i="10" a="1"/>
  <c r="BY7" i="10" s="1"/>
  <c r="CD1" i="10" a="1"/>
  <c r="CD1" i="10" s="1"/>
  <c r="Y33" i="10"/>
  <c r="X19" i="9"/>
  <c r="W18" i="9"/>
  <c r="AJ22" i="9"/>
  <c r="AH22" i="9"/>
  <c r="AK22" i="9"/>
  <c r="AN22" i="9"/>
  <c r="AP24" i="9"/>
  <c r="AJ26" i="9"/>
  <c r="AK27" i="9"/>
  <c r="AD28" i="9"/>
  <c r="AL28" i="9"/>
  <c r="AF30" i="9"/>
  <c r="AN17" i="10" a="1"/>
  <c r="DV6" i="10" l="1" a="1"/>
  <c r="DV6" i="10" s="1"/>
  <c r="DV7" i="10" a="1"/>
  <c r="DV7" i="10" s="1"/>
  <c r="DT6" i="10" a="1"/>
  <c r="DT6" i="10" s="1"/>
  <c r="DT7" i="10" a="1"/>
  <c r="DT7" i="10" s="1"/>
  <c r="DS6" i="10" a="1"/>
  <c r="DS6" i="10" s="1"/>
  <c r="DV4" i="10" a="1"/>
  <c r="DV4" i="10" s="1"/>
  <c r="DV3" i="10" a="1"/>
  <c r="DV3" i="10" s="1"/>
  <c r="DV2" i="10" a="1"/>
  <c r="DV2" i="10" s="1"/>
  <c r="DR7" i="10" a="1"/>
  <c r="DR7" i="10" s="1"/>
  <c r="DR6" i="10" a="1"/>
  <c r="DR6" i="10" s="1"/>
  <c r="DS4" i="10" a="1"/>
  <c r="DS4" i="10" s="1"/>
  <c r="DS2" i="10" a="1"/>
  <c r="DS2" i="10" s="1"/>
  <c r="DS3" i="10" s="1" a="1"/>
  <c r="DS3" i="10" s="1"/>
  <c r="DW1" i="10" a="1"/>
  <c r="DW1" i="10" s="1"/>
  <c r="DR1" i="10"/>
  <c r="AN17" i="10"/>
  <c r="X33" i="10"/>
  <c r="AK19" i="9"/>
  <c r="AK16" i="9"/>
  <c r="AJ18" i="9"/>
  <c r="AJ15" i="9"/>
  <c r="AJ30" i="9"/>
  <c r="AH30" i="9"/>
  <c r="AK30" i="9"/>
  <c r="AN30" i="9"/>
  <c r="AP32" i="9"/>
  <c r="AJ34" i="9"/>
  <c r="AK35" i="9"/>
  <c r="AD36" i="9"/>
  <c r="AE37" i="9"/>
  <c r="AM37" i="9"/>
  <c r="AB39" i="10" a="1"/>
  <c r="Z38" i="10" a="1"/>
  <c r="Y38" i="10" a="1"/>
  <c r="X39" i="10" a="1"/>
  <c r="R12" i="10" a="1"/>
  <c r="Y34" i="10" a="1"/>
  <c r="AB38" i="10" a="1"/>
  <c r="AB36" i="10" a="1"/>
  <c r="Y36" i="10" a="1"/>
  <c r="AB35" i="10" a="1"/>
  <c r="Z39" i="10" a="1"/>
  <c r="AB34" i="10" a="1"/>
  <c r="X38" i="10" a="1"/>
  <c r="AC33" i="10" a="1"/>
  <c r="AB12" i="10" a="1"/>
  <c r="Y38" i="9" a="1"/>
  <c r="AM17" i="10" l="1"/>
  <c r="AB12" i="10"/>
  <c r="AC33" i="10"/>
  <c r="X38" i="10"/>
  <c r="AB34" i="10"/>
  <c r="Z39" i="10"/>
  <c r="AB35" i="10"/>
  <c r="Y36" i="10"/>
  <c r="AB36" i="10"/>
  <c r="AB38" i="10"/>
  <c r="Y34" i="10"/>
  <c r="R12" i="10"/>
  <c r="X39" i="10"/>
  <c r="Y38" i="10"/>
  <c r="Z38" i="10"/>
  <c r="AB39" i="10"/>
  <c r="Y38" i="9"/>
  <c r="AL36" i="9" s="1"/>
  <c r="AG38" i="9"/>
  <c r="AO38" i="9"/>
  <c r="AH38" i="9"/>
  <c r="AJ38" i="9"/>
  <c r="AK38" i="9"/>
  <c r="AN38" i="9"/>
  <c r="AD41" i="9"/>
  <c r="AM41" i="9"/>
  <c r="AD42" i="9"/>
  <c r="AM42" i="9"/>
  <c r="AG44" i="9"/>
  <c r="AF45" i="9"/>
  <c r="BC2" i="10" a="1"/>
  <c r="BF7" i="10" a="1"/>
  <c r="AV33" i="10" a="1"/>
  <c r="BF2" i="10" a="1"/>
  <c r="BC26" i="10" a="1"/>
  <c r="BF4" i="10" a="1"/>
  <c r="BC4" i="10" a="1"/>
  <c r="BD7" i="10" a="1"/>
  <c r="AO23" i="10" a="1"/>
  <c r="AQ23" i="10" a="1"/>
  <c r="AM22" i="10" a="1"/>
  <c r="AO22" i="10" a="1"/>
  <c r="AM23" i="10" a="1"/>
  <c r="AN20" i="10" a="1"/>
  <c r="AQ22" i="10" a="1"/>
  <c r="AR17" i="10" a="1"/>
  <c r="AQ20" i="10" a="1"/>
  <c r="AN18" i="10" a="1"/>
  <c r="AQ19" i="10" a="1"/>
  <c r="AN22" i="10" a="1"/>
  <c r="AQ18" i="10" a="1"/>
  <c r="Y35" i="10" a="1"/>
  <c r="R11" i="10" a="1"/>
  <c r="S43" i="9" a="1"/>
  <c r="W43" i="9" a="1"/>
  <c r="BD7" i="10" l="1"/>
  <c r="BC4" i="10"/>
  <c r="BF4" i="10"/>
  <c r="BC26" i="10"/>
  <c r="BF2" i="10"/>
  <c r="AV33" i="10"/>
  <c r="BF7" i="10"/>
  <c r="BC2" i="10"/>
  <c r="AQ18" i="10"/>
  <c r="AN22" i="10"/>
  <c r="AQ19" i="10"/>
  <c r="AN18" i="10"/>
  <c r="AQ20" i="10"/>
  <c r="AR17" i="10"/>
  <c r="AQ22" i="10"/>
  <c r="AN20" i="10"/>
  <c r="AM23" i="10"/>
  <c r="AO22" i="10"/>
  <c r="AM22" i="10"/>
  <c r="AQ23" i="10"/>
  <c r="AO23" i="10"/>
  <c r="R11" i="10"/>
  <c r="Y35" i="10"/>
  <c r="W43" i="9"/>
  <c r="S43" i="9"/>
  <c r="AG45" i="9"/>
  <c r="AJ45" i="9"/>
  <c r="AM45" i="9"/>
  <c r="AH45" i="9"/>
  <c r="AK45" i="9"/>
  <c r="AL45" i="9"/>
  <c r="AP45" i="9"/>
  <c r="AN46" i="9"/>
  <c r="AL47" i="9"/>
  <c r="AJ48" i="9"/>
  <c r="AG49" i="9"/>
  <c r="AE50" i="9"/>
  <c r="AP50" i="9"/>
  <c r="AD51" i="9"/>
  <c r="AN51" i="9"/>
  <c r="AM52" i="9"/>
  <c r="AE53" i="9"/>
  <c r="AL54" i="9"/>
  <c r="AI55" i="9"/>
  <c r="AG57" i="9"/>
  <c r="AO58" i="9"/>
  <c r="AH59" i="9"/>
  <c r="AG61" i="9"/>
  <c r="AG62" i="9"/>
  <c r="AL67" i="9"/>
  <c r="AO70" i="9"/>
  <c r="AK74" i="9"/>
  <c r="AG82" i="9"/>
  <c r="AH83" i="9"/>
  <c r="AI84" i="9"/>
  <c r="AJ93" i="9"/>
  <c r="AD95" i="9"/>
  <c r="AM96" i="9"/>
  <c r="AN97" i="9"/>
  <c r="AP31" i="9"/>
  <c r="AI32" i="9"/>
  <c r="AJ33" i="9"/>
  <c r="AK34" i="9"/>
  <c r="AD35" i="9"/>
  <c r="AL35" i="9"/>
  <c r="AE36" i="9"/>
  <c r="Z38" i="9"/>
  <c r="AM36" i="9" s="1"/>
  <c r="AF37" i="9"/>
  <c r="BC27" i="10" a="1"/>
  <c r="AV1" i="10" a="1"/>
  <c r="AV1" i="10" l="1"/>
  <c r="BC27" i="10"/>
  <c r="AU33" i="10"/>
  <c r="AC43" i="9"/>
  <c r="AF40" i="9"/>
  <c r="Z43" i="9"/>
  <c r="AJ40" i="9"/>
  <c r="AJ37" i="9"/>
  <c r="AN37" i="9"/>
  <c r="AP39" i="9"/>
  <c r="AE41" i="9"/>
  <c r="AN41" i="9"/>
  <c r="AE42" i="9"/>
  <c r="AN42" i="9"/>
  <c r="AE43" i="9"/>
  <c r="AA43" i="9"/>
  <c r="AD46" i="9"/>
  <c r="AO46" i="9"/>
  <c r="AM47" i="9"/>
  <c r="AK48" i="9"/>
  <c r="AI49" i="9"/>
  <c r="AG50" i="9"/>
  <c r="AE51" i="9"/>
  <c r="AP51" i="9"/>
  <c r="AD52" i="9"/>
  <c r="AN52" i="9"/>
  <c r="AF53" i="9"/>
  <c r="BK17" i="10" a="1"/>
  <c r="AU39" i="10" a="1"/>
  <c r="AY39" i="10" a="1"/>
  <c r="AU38" i="10" a="1"/>
  <c r="AW38" i="10" a="1"/>
  <c r="BC3" i="10" a="1"/>
  <c r="AV36" i="10" a="1"/>
  <c r="AW39" i="10" a="1"/>
  <c r="BC9" i="10" a="1"/>
  <c r="AV38" i="10" a="1"/>
  <c r="AV34" i="10" a="1"/>
  <c r="AY36" i="10" a="1"/>
  <c r="AZ33" i="10" a="1"/>
  <c r="AY35" i="10" a="1"/>
  <c r="AY38" i="10" a="1"/>
  <c r="AY34" i="10" a="1"/>
  <c r="AN19" i="10" a="1"/>
  <c r="BK17" i="10" l="1"/>
  <c r="AY34" i="10"/>
  <c r="AY38" i="10"/>
  <c r="AY35" i="10"/>
  <c r="AZ33" i="10"/>
  <c r="AY36" i="10"/>
  <c r="AV34" i="10"/>
  <c r="AV38" i="10"/>
  <c r="BC9" i="10"/>
  <c r="AW39" i="10"/>
  <c r="AV36" i="10"/>
  <c r="BC3" i="10"/>
  <c r="AW38" i="10"/>
  <c r="AU38" i="10"/>
  <c r="AY39" i="10"/>
  <c r="AU39" i="10"/>
  <c r="AU1" i="10"/>
  <c r="AN19" i="10"/>
  <c r="AN43" i="9"/>
  <c r="AN40" i="9"/>
  <c r="AM43" i="9"/>
  <c r="AM40" i="9"/>
  <c r="AD43" i="9"/>
  <c r="AP40" i="9"/>
  <c r="AN54" i="9"/>
  <c r="AL55" i="9"/>
  <c r="AE56" i="9"/>
  <c r="AJ57" i="9"/>
  <c r="AP58" i="9"/>
  <c r="AI59" i="9"/>
  <c r="AJ61" i="9"/>
  <c r="AH62" i="9"/>
  <c r="AF64" i="9"/>
  <c r="CG9" i="10" a="1"/>
  <c r="AU7" i="10" a="1"/>
  <c r="AW6" i="10" a="1"/>
  <c r="AV4" i="10" a="1"/>
  <c r="AW7" i="10" a="1"/>
  <c r="AV6" i="10" a="1"/>
  <c r="AV35" i="10" a="1"/>
  <c r="AY3" i="10" a="1"/>
  <c r="AU6" i="10" a="1"/>
  <c r="AY4" i="10" a="1"/>
  <c r="AZ1" i="10" a="1"/>
  <c r="AY6" i="10" a="1"/>
  <c r="CG9" i="10" l="1"/>
  <c r="BJ23" i="10" a="1"/>
  <c r="BJ23" i="10" s="1"/>
  <c r="BJ22" i="10" a="1"/>
  <c r="BJ22" i="10" s="1"/>
  <c r="BK20" i="10" a="1"/>
  <c r="BK20" i="10" s="1"/>
  <c r="BK18" i="10" a="1"/>
  <c r="BK18" i="10" s="1"/>
  <c r="BK19" i="10" s="1" a="1"/>
  <c r="BK19" i="10" s="1"/>
  <c r="BO17" i="10" a="1"/>
  <c r="BO17" i="10" s="1"/>
  <c r="BN22" i="10" a="1"/>
  <c r="BN22" i="10" s="1"/>
  <c r="BJ17" i="10"/>
  <c r="BN23" i="10" a="1"/>
  <c r="BN23" i="10" s="1"/>
  <c r="BL22" i="10" a="1"/>
  <c r="BL22" i="10" s="1"/>
  <c r="BL23" i="10" a="1"/>
  <c r="BL23" i="10" s="1"/>
  <c r="BK22" i="10" a="1"/>
  <c r="BK22" i="10" s="1"/>
  <c r="BN20" i="10" a="1"/>
  <c r="BN20" i="10" s="1"/>
  <c r="BN19" i="10" a="1"/>
  <c r="BN19" i="10" s="1"/>
  <c r="BN18" i="10" a="1"/>
  <c r="BN18" i="10" s="1"/>
  <c r="AY6" i="10"/>
  <c r="AZ1" i="10"/>
  <c r="AY4" i="10"/>
  <c r="AU6" i="10"/>
  <c r="AY3" i="10"/>
  <c r="AV35" i="10"/>
  <c r="AV6" i="10"/>
  <c r="AW7" i="10"/>
  <c r="AV4" i="10"/>
  <c r="AW6" i="10"/>
  <c r="AU7" i="10"/>
  <c r="BB9" i="10"/>
  <c r="AD66" i="9"/>
  <c r="AM67" i="9"/>
  <c r="AF69" i="9"/>
  <c r="BZ33" i="10" a="1"/>
  <c r="BC14" i="10" a="1"/>
  <c r="BD14" i="10" a="1"/>
  <c r="BD15" i="10" a="1"/>
  <c r="BC12" i="10" a="1"/>
  <c r="BB15" i="10" a="1"/>
  <c r="BF14" i="10" a="1"/>
  <c r="BC10" i="10" a="1"/>
  <c r="BF12" i="10" a="1"/>
  <c r="BF11" i="10" a="1"/>
  <c r="BB14" i="10" a="1"/>
  <c r="BF15" i="10" a="1"/>
  <c r="BG9" i="10" a="1"/>
  <c r="BZ33" i="10" l="1"/>
  <c r="CF15" i="10" a="1"/>
  <c r="CF15" i="10" s="1"/>
  <c r="CJ14" i="10" a="1"/>
  <c r="CJ14" i="10" s="1"/>
  <c r="CJ12" i="10" a="1"/>
  <c r="CJ12" i="10" s="1"/>
  <c r="CJ11" i="10" a="1"/>
  <c r="CJ11" i="10" s="1"/>
  <c r="CJ10" i="10" a="1"/>
  <c r="CJ10" i="10" s="1"/>
  <c r="CK9" i="10" a="1"/>
  <c r="CK9" i="10" s="1"/>
  <c r="CH14" i="10" a="1"/>
  <c r="CH14" i="10" s="1"/>
  <c r="CG12" i="10" a="1"/>
  <c r="CG12" i="10" s="1"/>
  <c r="CG10" i="10" a="1"/>
  <c r="CG10" i="10" s="1"/>
  <c r="CG11" i="10" s="1" a="1"/>
  <c r="CG11" i="10" s="1"/>
  <c r="CF9" i="10"/>
  <c r="CJ15" i="10" a="1"/>
  <c r="CJ15" i="10" s="1"/>
  <c r="CG14" i="10" a="1"/>
  <c r="CG14" i="10" s="1"/>
  <c r="CH15" i="10" a="1"/>
  <c r="CH15" i="10" s="1"/>
  <c r="CF14" i="10" a="1"/>
  <c r="CF14" i="10" s="1"/>
  <c r="BG9" i="10"/>
  <c r="BF15" i="10"/>
  <c r="BB14" i="10"/>
  <c r="BF11" i="10"/>
  <c r="BF12" i="10"/>
  <c r="BC10" i="10"/>
  <c r="BF14" i="10"/>
  <c r="BB15" i="10"/>
  <c r="BC12" i="10"/>
  <c r="BD15" i="10"/>
  <c r="BD14" i="10"/>
  <c r="BC14" i="10"/>
  <c r="AP70" i="9"/>
  <c r="AN74" i="9"/>
  <c r="AD75" i="9"/>
  <c r="AO82" i="9"/>
  <c r="AP83" i="9"/>
  <c r="AE88" i="9"/>
  <c r="AF89" i="9"/>
  <c r="AL95" i="9"/>
  <c r="AP22" i="9"/>
  <c r="AI23" i="9"/>
  <c r="AK25" i="9"/>
  <c r="AD26" i="9"/>
  <c r="AL26" i="9"/>
  <c r="AM27" i="9"/>
  <c r="AF28" i="9"/>
  <c r="DD17" i="10" a="1"/>
  <c r="BC11" i="10" a="1"/>
  <c r="AN9" i="10" a="1"/>
  <c r="DD17" i="10" l="1"/>
  <c r="CA39" i="10" a="1"/>
  <c r="CA39" i="10" s="1"/>
  <c r="BZ38" i="10" a="1"/>
  <c r="BZ38" i="10" s="1"/>
  <c r="CC36" i="10" a="1"/>
  <c r="CC36" i="10" s="1"/>
  <c r="CC35" i="10" a="1"/>
  <c r="CC35" i="10" s="1"/>
  <c r="CC34" i="10" a="1"/>
  <c r="CC34" i="10" s="1"/>
  <c r="BY39" i="10" a="1"/>
  <c r="BY39" i="10" s="1"/>
  <c r="BY38" i="10" a="1"/>
  <c r="BY38" i="10" s="1"/>
  <c r="BZ36" i="10" a="1"/>
  <c r="BZ36" i="10" s="1"/>
  <c r="BZ34" i="10" a="1"/>
  <c r="BZ34" i="10" s="1"/>
  <c r="BZ35" i="10" s="1" a="1"/>
  <c r="BZ35" i="10" s="1"/>
  <c r="CD33" i="10" a="1"/>
  <c r="CD33" i="10" s="1"/>
  <c r="CC39" i="10" a="1"/>
  <c r="CC39" i="10" s="1"/>
  <c r="CA38" i="10" a="1"/>
  <c r="CA38" i="10" s="1"/>
  <c r="CC38" i="10" a="1"/>
  <c r="CC38" i="10" s="1"/>
  <c r="BY33" i="10"/>
  <c r="BC11" i="10"/>
  <c r="AN9" i="10"/>
  <c r="AA25" i="9"/>
  <c r="AN28" i="9" s="1"/>
  <c r="AP30" i="9"/>
  <c r="AI31" i="9"/>
  <c r="AK33" i="9"/>
  <c r="AD34" i="9"/>
  <c r="AL34" i="9"/>
  <c r="AE35" i="9"/>
  <c r="AM35" i="9"/>
  <c r="AF36" i="9"/>
  <c r="AN41" i="10" a="1"/>
  <c r="U25" i="9" a="1"/>
  <c r="T25" i="9" a="1"/>
  <c r="AB25" i="9" a="1"/>
  <c r="DC23" i="10" l="1" a="1"/>
  <c r="DC23" i="10" s="1"/>
  <c r="DC22" i="10" a="1"/>
  <c r="DC22" i="10" s="1"/>
  <c r="DD20" i="10" a="1"/>
  <c r="DD20" i="10" s="1"/>
  <c r="DD18" i="10" a="1"/>
  <c r="DD18" i="10" s="1"/>
  <c r="DD19" i="10" s="1" a="1"/>
  <c r="DD19" i="10" s="1"/>
  <c r="DH17" i="10" a="1"/>
  <c r="DH17" i="10" s="1"/>
  <c r="DG22" i="10" a="1"/>
  <c r="DG22" i="10" s="1"/>
  <c r="DC17" i="10"/>
  <c r="DD22" i="10" a="1"/>
  <c r="DD22" i="10" s="1"/>
  <c r="DG20" i="10" a="1"/>
  <c r="DG20" i="10" s="1"/>
  <c r="DG18" i="10" a="1"/>
  <c r="DG18" i="10" s="1"/>
  <c r="DG23" i="10" a="1"/>
  <c r="DG23" i="10" s="1"/>
  <c r="DE22" i="10" a="1"/>
  <c r="DE22" i="10" s="1"/>
  <c r="DE23" i="10" a="1"/>
  <c r="DE23" i="10" s="1"/>
  <c r="DG19" i="10" a="1"/>
  <c r="DG19" i="10" s="1"/>
  <c r="AN41" i="10"/>
  <c r="AM9" i="10"/>
  <c r="AB25" i="9"/>
  <c r="T25" i="9"/>
  <c r="U25" i="9"/>
  <c r="AA38" i="9"/>
  <c r="AN36" i="9" s="1"/>
  <c r="AG37" i="9"/>
  <c r="AO37" i="9"/>
  <c r="AP38" i="9"/>
  <c r="AI39" i="9"/>
  <c r="AF41" i="9"/>
  <c r="AY7" i="10" a="1"/>
  <c r="AV2" i="10" a="1"/>
  <c r="AV17" i="10" a="1"/>
  <c r="AY10" i="10" a="1"/>
  <c r="AN12" i="10" a="1"/>
  <c r="AO14" i="10" a="1"/>
  <c r="AM14" i="10" a="1"/>
  <c r="AM15" i="10" a="1"/>
  <c r="AQ14" i="10" a="1"/>
  <c r="AQ12" i="10" a="1"/>
  <c r="AQ11" i="10" a="1"/>
  <c r="AN14" i="10" a="1"/>
  <c r="AR9" i="10" a="1"/>
  <c r="AO15" i="10" a="1"/>
  <c r="AY10" i="10" l="1"/>
  <c r="AV17" i="10"/>
  <c r="AV2" i="10"/>
  <c r="AY7" i="10"/>
  <c r="AO15" i="10"/>
  <c r="AR9" i="10"/>
  <c r="AN14" i="10"/>
  <c r="AQ11" i="10"/>
  <c r="AQ12" i="10"/>
  <c r="AQ14" i="10"/>
  <c r="AM15" i="10"/>
  <c r="AM14" i="10"/>
  <c r="AO14" i="10"/>
  <c r="AN12" i="10"/>
  <c r="AM41" i="10"/>
  <c r="AQ47" i="10" a="1"/>
  <c r="AQ47" i="10" s="1"/>
  <c r="AN46" i="10" a="1"/>
  <c r="AN46" i="10" s="1"/>
  <c r="AM46" i="10" a="1"/>
  <c r="AM46" i="10" s="1"/>
  <c r="AQ46" i="10" a="1"/>
  <c r="AQ46" i="10" s="1"/>
  <c r="AQ43" i="10" a="1"/>
  <c r="AQ43" i="10" s="1"/>
  <c r="AQ42" i="10" a="1"/>
  <c r="AQ42" i="10" s="1"/>
  <c r="AO46" i="10" a="1"/>
  <c r="AO46" i="10" s="1"/>
  <c r="AO28" i="9"/>
  <c r="AO25" i="9"/>
  <c r="AH28" i="9"/>
  <c r="AH25" i="9"/>
  <c r="AG28" i="9"/>
  <c r="AG25" i="9"/>
  <c r="AJ41" i="9"/>
  <c r="AH41" i="9"/>
  <c r="AI41" i="9"/>
  <c r="AO41" i="9"/>
  <c r="AF42" i="9"/>
  <c r="BC17" i="10" a="1"/>
  <c r="AV3" i="10" a="1"/>
  <c r="AN42" i="10" a="1"/>
  <c r="AQ44" i="10" a="1"/>
  <c r="AN10" i="10" a="1"/>
  <c r="AQ10" i="10" a="1"/>
  <c r="AR41" i="10" a="1"/>
  <c r="AQ15" i="10" a="1"/>
  <c r="AO47" i="10" a="1"/>
  <c r="AM47" i="10" a="1"/>
  <c r="AN44" i="10" a="1"/>
  <c r="AV3" i="10" l="1"/>
  <c r="BC17" i="10"/>
  <c r="AU17" i="10"/>
  <c r="AN44" i="10"/>
  <c r="AM47" i="10"/>
  <c r="AO47" i="10"/>
  <c r="AQ15" i="10"/>
  <c r="AR41" i="10"/>
  <c r="AQ10" i="10"/>
  <c r="AN10" i="10"/>
  <c r="AQ44" i="10"/>
  <c r="AN42" i="10"/>
  <c r="AN43" i="10" s="1" a="1"/>
  <c r="AN43" i="10" s="1"/>
  <c r="AH42" i="9"/>
  <c r="AI42" i="9"/>
  <c r="AJ42" i="9"/>
  <c r="AO42" i="9"/>
  <c r="AF43" i="9"/>
  <c r="AY22" i="10" a="1"/>
  <c r="AW23" i="10" a="1"/>
  <c r="AU23" i="10" a="1"/>
  <c r="AY23" i="10" a="1"/>
  <c r="AU22" i="10" a="1"/>
  <c r="AW22" i="10" a="1"/>
  <c r="AV20" i="10" a="1"/>
  <c r="AY18" i="10" a="1"/>
  <c r="AV22" i="10" a="1"/>
  <c r="AV18" i="10" a="1"/>
  <c r="AY20" i="10" a="1"/>
  <c r="AV25" i="10" a="1"/>
  <c r="AZ17" i="10" a="1"/>
  <c r="AY19" i="10" a="1"/>
  <c r="AN11" i="10" a="1"/>
  <c r="AY19" i="10" l="1"/>
  <c r="AZ17" i="10"/>
  <c r="AV25" i="10"/>
  <c r="AY20" i="10"/>
  <c r="AV18" i="10"/>
  <c r="AV22" i="10"/>
  <c r="AY18" i="10"/>
  <c r="AV20" i="10"/>
  <c r="AW22" i="10"/>
  <c r="AU22" i="10"/>
  <c r="AY23" i="10"/>
  <c r="AU23" i="10"/>
  <c r="AW23" i="10"/>
  <c r="AY22" i="10"/>
  <c r="BB17" i="10"/>
  <c r="AN11" i="10"/>
  <c r="AJ43" i="9"/>
  <c r="AF46" i="9"/>
  <c r="BB23" i="10" a="1"/>
  <c r="BF22" i="10" a="1"/>
  <c r="BC18" i="10" a="1"/>
  <c r="BF20" i="10" a="1"/>
  <c r="BF23" i="10" a="1"/>
  <c r="BD22" i="10" a="1"/>
  <c r="BF19" i="10" a="1"/>
  <c r="BC33" i="10" a="1"/>
  <c r="BF18" i="10" a="1"/>
  <c r="BC22" i="10" a="1"/>
  <c r="BG17" i="10" a="1"/>
  <c r="BD23" i="10" a="1"/>
  <c r="BC20" i="10" a="1"/>
  <c r="BB22" i="10" a="1"/>
  <c r="V43" i="9" a="1"/>
  <c r="AB43" i="9" a="1"/>
  <c r="U43" i="9" a="1"/>
  <c r="BB22" i="10" l="1"/>
  <c r="BC20" i="10"/>
  <c r="BD23" i="10"/>
  <c r="BG17" i="10"/>
  <c r="BC22" i="10"/>
  <c r="BF18" i="10"/>
  <c r="BC33" i="10"/>
  <c r="BF19" i="10"/>
  <c r="BD22" i="10"/>
  <c r="BF23" i="10"/>
  <c r="BF20" i="10"/>
  <c r="BC18" i="10"/>
  <c r="BF22" i="10"/>
  <c r="BB23" i="10"/>
  <c r="AU25" i="10"/>
  <c r="U43" i="9"/>
  <c r="AB43" i="9"/>
  <c r="V43" i="9"/>
  <c r="AE46" i="9"/>
  <c r="AH46" i="9"/>
  <c r="AG46" i="9"/>
  <c r="AJ46" i="9"/>
  <c r="AM46" i="9"/>
  <c r="AP46" i="9"/>
  <c r="AD47" i="9"/>
  <c r="AO47" i="9"/>
  <c r="AM48" i="9"/>
  <c r="AJ49" i="9"/>
  <c r="AH50" i="9"/>
  <c r="AF51" i="9"/>
  <c r="BK9" i="10" a="1"/>
  <c r="AU30" i="10" a="1"/>
  <c r="AY28" i="10" a="1"/>
  <c r="AV28" i="10" a="1"/>
  <c r="AY31" i="10" a="1"/>
  <c r="AW30" i="10" a="1"/>
  <c r="BC19" i="10" a="1"/>
  <c r="AV26" i="10" a="1"/>
  <c r="AV30" i="10" a="1"/>
  <c r="AZ25" i="10" a="1"/>
  <c r="AY30" i="10" a="1"/>
  <c r="AY27" i="10" a="1"/>
  <c r="AV19" i="10" a="1"/>
  <c r="AU31" i="10" a="1"/>
  <c r="AW31" i="10" a="1"/>
  <c r="BK9" i="10" l="1"/>
  <c r="AW31" i="10"/>
  <c r="AU31" i="10"/>
  <c r="AV19" i="10"/>
  <c r="AY27" i="10"/>
  <c r="AY30" i="10"/>
  <c r="AZ25" i="10"/>
  <c r="AV30" i="10"/>
  <c r="AV26" i="10"/>
  <c r="BC19" i="10"/>
  <c r="AW30" i="10"/>
  <c r="AY31" i="10"/>
  <c r="AV28" i="10"/>
  <c r="AY28" i="10"/>
  <c r="AU30" i="10"/>
  <c r="BF39" i="10" a="1"/>
  <c r="BF39" i="10" s="1"/>
  <c r="BC38" i="10" a="1"/>
  <c r="BC38" i="10" s="1"/>
  <c r="BD39" i="10" a="1"/>
  <c r="BD39" i="10" s="1"/>
  <c r="BB38" i="10" a="1"/>
  <c r="BB38" i="10" s="1"/>
  <c r="BB39" i="10" a="1"/>
  <c r="BB39" i="10" s="1"/>
  <c r="BF38" i="10" a="1"/>
  <c r="BF38" i="10" s="1"/>
  <c r="BF36" i="10" a="1"/>
  <c r="BF36" i="10" s="1"/>
  <c r="BF35" i="10" a="1"/>
  <c r="BF35" i="10" s="1"/>
  <c r="BF34" i="10" a="1"/>
  <c r="BF34" i="10" s="1"/>
  <c r="BG33" i="10" a="1"/>
  <c r="BG33" i="10" s="1"/>
  <c r="BB33" i="10"/>
  <c r="BD38" i="10" a="1"/>
  <c r="BD38" i="10" s="1"/>
  <c r="BC36" i="10" a="1"/>
  <c r="BC36" i="10" s="1"/>
  <c r="BC34" i="10" a="1"/>
  <c r="BC34" i="10" s="1"/>
  <c r="BC35" i="10" s="1" a="1"/>
  <c r="BC35" i="10" s="1"/>
  <c r="AH43" i="9"/>
  <c r="AH40" i="9"/>
  <c r="AO43" i="9"/>
  <c r="AO40" i="9"/>
  <c r="AI43" i="9"/>
  <c r="AI40" i="9"/>
  <c r="AE52" i="9"/>
  <c r="AO52" i="9"/>
  <c r="AG53" i="9"/>
  <c r="AO54" i="9"/>
  <c r="AM55" i="9"/>
  <c r="AF56" i="9"/>
  <c r="BR25" i="10" a="1"/>
  <c r="BF10" i="10" a="1"/>
  <c r="AY26" i="10" a="1"/>
  <c r="AV27" i="10" a="1"/>
  <c r="BR25" i="10" l="1"/>
  <c r="BN14" i="10" a="1"/>
  <c r="BN14" i="10" s="1"/>
  <c r="BJ9" i="10"/>
  <c r="BN15" i="10" a="1"/>
  <c r="BN15" i="10" s="1"/>
  <c r="BL14" i="10" a="1"/>
  <c r="BL14" i="10" s="1"/>
  <c r="BL15" i="10" a="1"/>
  <c r="BL15" i="10" s="1"/>
  <c r="BK14" i="10" a="1"/>
  <c r="BK14" i="10" s="1"/>
  <c r="BN12" i="10" a="1"/>
  <c r="BN12" i="10" s="1"/>
  <c r="BN11" i="10" a="1"/>
  <c r="BN11" i="10" s="1"/>
  <c r="BN10" i="10" a="1"/>
  <c r="BN10" i="10" s="1"/>
  <c r="BK10" i="10" a="1"/>
  <c r="BK10" i="10" s="1"/>
  <c r="BK11" i="10" s="1" a="1"/>
  <c r="BK11" i="10" s="1"/>
  <c r="BJ15" i="10" a="1"/>
  <c r="BJ15" i="10" s="1"/>
  <c r="BJ14" i="10" a="1"/>
  <c r="BJ14" i="10" s="1"/>
  <c r="BK12" i="10" a="1"/>
  <c r="BK12" i="10" s="1"/>
  <c r="BO9" i="10" a="1"/>
  <c r="BO9" i="10" s="1"/>
  <c r="AV27" i="10"/>
  <c r="AY26" i="10"/>
  <c r="BF10" i="10"/>
  <c r="AK57" i="9"/>
  <c r="AL59" i="9"/>
  <c r="AE60" i="9"/>
  <c r="AK61" i="9"/>
  <c r="AK62" i="9"/>
  <c r="AD63" i="9"/>
  <c r="AI64" i="9"/>
  <c r="AG65" i="9"/>
  <c r="AH66" i="9"/>
  <c r="AE68" i="9"/>
  <c r="AG69" i="9"/>
  <c r="AF71" i="9"/>
  <c r="BZ41" i="10" a="1"/>
  <c r="BZ41" i="10" l="1"/>
  <c r="BS31" i="10" a="1"/>
  <c r="BS31" i="10" s="1"/>
  <c r="BQ30" i="10" a="1"/>
  <c r="BQ30" i="10" s="1"/>
  <c r="BQ31" i="10" a="1"/>
  <c r="BQ31" i="10" s="1"/>
  <c r="BU30" i="10" a="1"/>
  <c r="BU30" i="10" s="1"/>
  <c r="BU28" i="10" a="1"/>
  <c r="BU28" i="10" s="1"/>
  <c r="BU27" i="10" a="1"/>
  <c r="BU27" i="10" s="1"/>
  <c r="BU26" i="10" a="1"/>
  <c r="BU26" i="10" s="1"/>
  <c r="BV25" i="10" a="1"/>
  <c r="BV25" i="10" s="1"/>
  <c r="BS30" i="10" a="1"/>
  <c r="BS30" i="10" s="1"/>
  <c r="BR28" i="10" a="1"/>
  <c r="BR28" i="10" s="1"/>
  <c r="BR26" i="10" a="1"/>
  <c r="BR26" i="10" s="1"/>
  <c r="BR27" i="10" s="1" a="1"/>
  <c r="BR27" i="10" s="1"/>
  <c r="BQ25" i="10"/>
  <c r="BU31" i="10" a="1"/>
  <c r="BU31" i="10" s="1"/>
  <c r="BR30" i="10" a="1"/>
  <c r="BR30" i="10" s="1"/>
  <c r="AD73" i="9"/>
  <c r="AO74" i="9"/>
  <c r="AG75" i="9"/>
  <c r="AF77" i="9"/>
  <c r="AE80" i="9"/>
  <c r="AJ85" i="9"/>
  <c r="AD87" i="9"/>
  <c r="AM10" i="9"/>
  <c r="AF11" i="9"/>
  <c r="CO17" i="10" a="1"/>
  <c r="C41" i="10" a="1"/>
  <c r="CO17" i="10" l="1"/>
  <c r="CA47" i="10" a="1"/>
  <c r="CA47" i="10" s="1"/>
  <c r="BZ46" i="10" a="1"/>
  <c r="BZ46" i="10" s="1"/>
  <c r="CC44" i="10" a="1"/>
  <c r="CC44" i="10" s="1"/>
  <c r="CC43" i="10" a="1"/>
  <c r="CC43" i="10" s="1"/>
  <c r="CC42" i="10" a="1"/>
  <c r="CC42" i="10" s="1"/>
  <c r="BY47" i="10" a="1"/>
  <c r="BY47" i="10" s="1"/>
  <c r="BY46" i="10" a="1"/>
  <c r="BY46" i="10" s="1"/>
  <c r="BZ44" i="10" a="1"/>
  <c r="BZ44" i="10" s="1"/>
  <c r="BZ42" i="10" a="1"/>
  <c r="BZ42" i="10" s="1"/>
  <c r="BZ43" i="10" s="1" a="1"/>
  <c r="BZ43" i="10" s="1"/>
  <c r="CD41" i="10" a="1"/>
  <c r="CD41" i="10" s="1"/>
  <c r="CC46" i="10" a="1"/>
  <c r="CC46" i="10" s="1"/>
  <c r="BY41" i="10"/>
  <c r="CC47" i="10" a="1"/>
  <c r="CC47" i="10" s="1"/>
  <c r="CA46" i="10" a="1"/>
  <c r="CA46" i="10" s="1"/>
  <c r="C41" i="10"/>
  <c r="AG11" i="9"/>
  <c r="AO11" i="9"/>
  <c r="AN11" i="9"/>
  <c r="AP13" i="9"/>
  <c r="AI14" i="9"/>
  <c r="AD17" i="9"/>
  <c r="AE18" i="9"/>
  <c r="Z18" i="9"/>
  <c r="AM18" i="9"/>
  <c r="AF19" i="9"/>
  <c r="R25" i="10" a="1"/>
  <c r="AB2" i="10" a="1"/>
  <c r="CN23" i="10" l="1" a="1"/>
  <c r="CN23" i="10" s="1"/>
  <c r="CN22" i="10" a="1"/>
  <c r="CN22" i="10" s="1"/>
  <c r="CO20" i="10" a="1"/>
  <c r="CO20" i="10" s="1"/>
  <c r="CO18" i="10" a="1"/>
  <c r="CO18" i="10" s="1"/>
  <c r="CO19" i="10" s="1" a="1"/>
  <c r="CO19" i="10" s="1"/>
  <c r="CS17" i="10" a="1"/>
  <c r="CS17" i="10" s="1"/>
  <c r="CO22" i="10" a="1"/>
  <c r="CO22" i="10" s="1"/>
  <c r="CR22" i="10" a="1"/>
  <c r="CR22" i="10" s="1"/>
  <c r="CN17" i="10"/>
  <c r="CR20" i="10" a="1"/>
  <c r="CR20" i="10" s="1"/>
  <c r="CR23" i="10" a="1"/>
  <c r="CR23" i="10" s="1"/>
  <c r="CP22" i="10" a="1"/>
  <c r="CP22" i="10" s="1"/>
  <c r="CR19" i="10" a="1"/>
  <c r="CR19" i="10" s="1"/>
  <c r="CR18" i="10" a="1"/>
  <c r="CR18" i="10" s="1"/>
  <c r="CP23" i="10" a="1"/>
  <c r="CP23" i="10" s="1"/>
  <c r="AB2" i="10"/>
  <c r="R25" i="10"/>
  <c r="B41" i="10"/>
  <c r="AM88" i="9"/>
  <c r="AM15" i="9"/>
  <c r="AA19" i="9"/>
  <c r="AN16" i="9" s="1"/>
  <c r="AP21" i="9"/>
  <c r="AI22" i="9"/>
  <c r="AD25" i="9"/>
  <c r="AL25" i="9"/>
  <c r="AE26" i="9"/>
  <c r="AM26" i="9"/>
  <c r="AF27" i="9"/>
  <c r="AG9" i="10" a="1"/>
  <c r="Q15" i="10" a="1"/>
  <c r="Z15" i="10" a="1"/>
  <c r="D47" i="10" a="1"/>
  <c r="C42" i="10" a="1"/>
  <c r="F44" i="10" a="1"/>
  <c r="G41" i="10" a="1"/>
  <c r="F43" i="10" a="1"/>
  <c r="F46" i="10" a="1"/>
  <c r="F42" i="10" a="1"/>
  <c r="F47" i="10" a="1"/>
  <c r="B47" i="10" a="1"/>
  <c r="D46" i="10" a="1"/>
  <c r="B46" i="10" a="1"/>
  <c r="C46" i="10" a="1"/>
  <c r="C44" i="10" a="1"/>
  <c r="U19" i="9" a="1"/>
  <c r="AB19" i="9" a="1"/>
  <c r="T19" i="9" a="1"/>
  <c r="AG9" i="10" l="1"/>
  <c r="Z15" i="10"/>
  <c r="Q15" i="10"/>
  <c r="Q25" i="10"/>
  <c r="C44" i="10"/>
  <c r="C46" i="10"/>
  <c r="B46" i="10"/>
  <c r="D46" i="10"/>
  <c r="B47" i="10"/>
  <c r="F47" i="10"/>
  <c r="F42" i="10"/>
  <c r="F46" i="10"/>
  <c r="F43" i="10"/>
  <c r="G41" i="10"/>
  <c r="F44" i="10"/>
  <c r="C42" i="10"/>
  <c r="D47" i="10"/>
  <c r="AN19" i="9"/>
  <c r="AN89" i="9"/>
  <c r="T19" i="9"/>
  <c r="AB19" i="9"/>
  <c r="U19" i="9"/>
  <c r="AN27" i="9"/>
  <c r="AG27" i="9"/>
  <c r="AH27" i="9"/>
  <c r="AO27" i="9"/>
  <c r="AP29" i="9"/>
  <c r="AI30" i="9"/>
  <c r="AD33" i="9"/>
  <c r="AL33" i="9"/>
  <c r="AE34" i="9"/>
  <c r="AM34" i="9"/>
  <c r="AF35" i="9"/>
  <c r="AG41" i="10" a="1"/>
  <c r="S30" i="10" a="1"/>
  <c r="V25" i="10" a="1"/>
  <c r="R30" i="10" a="1"/>
  <c r="U28" i="10" a="1"/>
  <c r="U30" i="10" a="1"/>
  <c r="Q31" i="10" a="1"/>
  <c r="S31" i="10" a="1"/>
  <c r="Q30" i="10" a="1"/>
  <c r="U27" i="10" a="1"/>
  <c r="R28" i="10" a="1"/>
  <c r="C43" i="10" a="1"/>
  <c r="AG41" i="10" l="1"/>
  <c r="AF9" i="10"/>
  <c r="R28" i="10"/>
  <c r="U27" i="10"/>
  <c r="Q30" i="10"/>
  <c r="S31" i="10"/>
  <c r="Q31" i="10"/>
  <c r="U30" i="10"/>
  <c r="U28" i="10"/>
  <c r="R30" i="10"/>
  <c r="V25" i="10"/>
  <c r="S30" i="10"/>
  <c r="C43" i="10"/>
  <c r="AO19" i="9"/>
  <c r="AO16" i="9"/>
  <c r="AH19" i="9"/>
  <c r="AH16" i="9"/>
  <c r="AG19" i="9"/>
  <c r="AG16" i="9"/>
  <c r="AN35" i="9"/>
  <c r="AH37" i="9"/>
  <c r="AP37" i="9"/>
  <c r="AI38" i="9"/>
  <c r="AG41" i="9"/>
  <c r="AG42" i="9"/>
  <c r="AP42" i="9"/>
  <c r="AP43" i="9"/>
  <c r="AE47" i="9"/>
  <c r="AP47" i="9"/>
  <c r="AN48" i="9"/>
  <c r="AK49" i="9"/>
  <c r="AJ50" i="9"/>
  <c r="AH51" i="9"/>
  <c r="AF52" i="9"/>
  <c r="BR9" i="10" a="1"/>
  <c r="AY2" i="10" a="1"/>
  <c r="AJ11" i="10" a="1"/>
  <c r="AG14" i="10" a="1"/>
  <c r="AJ14" i="10" a="1"/>
  <c r="AJ10" i="10" a="1"/>
  <c r="AF15" i="10" a="1"/>
  <c r="AG10" i="10" a="1"/>
  <c r="AJ15" i="10" a="1"/>
  <c r="AF14" i="10" a="1"/>
  <c r="AH14" i="10" a="1"/>
  <c r="AG12" i="10" a="1"/>
  <c r="AH15" i="10" a="1"/>
  <c r="AJ12" i="10" a="1"/>
  <c r="AK9" i="10" a="1"/>
  <c r="AB10" i="10" a="1"/>
  <c r="R26" i="10" a="1"/>
  <c r="Y10" i="10" a="1"/>
  <c r="U31" i="10" a="1"/>
  <c r="AB15" i="10" a="1"/>
  <c r="U26" i="10" a="1"/>
  <c r="AB38" i="9" a="1"/>
  <c r="T43" i="9" a="1"/>
  <c r="T38" i="9" a="1"/>
  <c r="BR9" i="10" l="1"/>
  <c r="AY2" i="10"/>
  <c r="AK9" i="10"/>
  <c r="AJ12" i="10"/>
  <c r="AH15" i="10"/>
  <c r="AG12" i="10"/>
  <c r="AH14" i="10"/>
  <c r="AF14" i="10"/>
  <c r="AJ15" i="10"/>
  <c r="AG10" i="10"/>
  <c r="AF15" i="10"/>
  <c r="AJ10" i="10"/>
  <c r="AJ14" i="10"/>
  <c r="AG14" i="10"/>
  <c r="AJ11" i="10"/>
  <c r="AG46" i="10" a="1"/>
  <c r="AG46" i="10" s="1"/>
  <c r="AJ43" i="10" a="1"/>
  <c r="AJ43" i="10" s="1"/>
  <c r="AJ42" i="10" a="1"/>
  <c r="AJ42" i="10" s="1"/>
  <c r="AF46" i="10" a="1"/>
  <c r="AF46" i="10" s="1"/>
  <c r="AJ46" i="10" a="1"/>
  <c r="AJ46" i="10" s="1"/>
  <c r="AF41" i="10"/>
  <c r="AJ47" i="10" a="1"/>
  <c r="AJ47" i="10" s="1"/>
  <c r="AH46" i="10" a="1"/>
  <c r="AH46" i="10" s="1"/>
  <c r="U26" i="10"/>
  <c r="AB15" i="10"/>
  <c r="U31" i="10"/>
  <c r="Y10" i="10"/>
  <c r="R26" i="10"/>
  <c r="AB10" i="10"/>
  <c r="T38" i="9"/>
  <c r="T43" i="9"/>
  <c r="AB38" i="9"/>
  <c r="AJ53" i="9"/>
  <c r="AD54" i="9"/>
  <c r="AP54" i="9"/>
  <c r="AP55" i="9"/>
  <c r="AI56" i="9"/>
  <c r="AN57" i="9"/>
  <c r="AD58" i="9"/>
  <c r="AM59" i="9"/>
  <c r="AF60" i="9"/>
  <c r="BR41" i="10" a="1"/>
  <c r="AF47" i="10" a="1"/>
  <c r="AG44" i="10" a="1"/>
  <c r="AJ44" i="10" a="1"/>
  <c r="AK41" i="10" a="1"/>
  <c r="AH47" i="10" a="1"/>
  <c r="AG42" i="10" a="1"/>
  <c r="AG11" i="10" a="1"/>
  <c r="Y11" i="10" a="1"/>
  <c r="R27" i="10" a="1"/>
  <c r="BR41" i="10" l="1"/>
  <c r="BQ15" i="10" a="1"/>
  <c r="BQ15" i="10" s="1"/>
  <c r="BU14" i="10" a="1"/>
  <c r="BU14" i="10" s="1"/>
  <c r="BU12" i="10" a="1"/>
  <c r="BU12" i="10" s="1"/>
  <c r="BU11" i="10" a="1"/>
  <c r="BU11" i="10" s="1"/>
  <c r="BU10" i="10" a="1"/>
  <c r="BU10" i="10" s="1"/>
  <c r="BV9" i="10" a="1"/>
  <c r="BV9" i="10" s="1"/>
  <c r="BS14" i="10" a="1"/>
  <c r="BS14" i="10" s="1"/>
  <c r="BR12" i="10" a="1"/>
  <c r="BR12" i="10" s="1"/>
  <c r="BR10" i="10" a="1"/>
  <c r="BR10" i="10" s="1"/>
  <c r="BR11" i="10" s="1" a="1"/>
  <c r="BR11" i="10" s="1"/>
  <c r="BQ9" i="10"/>
  <c r="BU15" i="10" a="1"/>
  <c r="BU15" i="10" s="1"/>
  <c r="BR14" i="10" a="1"/>
  <c r="BR14" i="10" s="1"/>
  <c r="BS15" i="10" a="1"/>
  <c r="BS15" i="10" s="1"/>
  <c r="BQ14" i="10" a="1"/>
  <c r="BQ14" i="10" s="1"/>
  <c r="AG11" i="10"/>
  <c r="AG42" i="10"/>
  <c r="AG43" i="10" s="1" a="1"/>
  <c r="AG43" i="10" s="1"/>
  <c r="AH47" i="10"/>
  <c r="AK41" i="10"/>
  <c r="AJ44" i="10"/>
  <c r="AG44" i="10"/>
  <c r="AF47" i="10"/>
  <c r="R27" i="10"/>
  <c r="Y11" i="10"/>
  <c r="AO36" i="9"/>
  <c r="AO33" i="9"/>
  <c r="AG43" i="9"/>
  <c r="AG40" i="9"/>
  <c r="AG36" i="9"/>
  <c r="AG33" i="9"/>
  <c r="AN61" i="9"/>
  <c r="AL62" i="9"/>
  <c r="AE63" i="9"/>
  <c r="AJ64" i="9"/>
  <c r="AJ65" i="9"/>
  <c r="AK66" i="9"/>
  <c r="AF68" i="9"/>
  <c r="CG25" i="10" a="1"/>
  <c r="CG25" i="10" l="1"/>
  <c r="BQ41" i="10"/>
  <c r="BR42" i="10" a="1"/>
  <c r="BR42" i="10" s="1"/>
  <c r="BR43" i="10" s="1" a="1"/>
  <c r="BR43" i="10" s="1"/>
  <c r="BU47" i="10" a="1"/>
  <c r="BU47" i="10" s="1"/>
  <c r="BR46" i="10" a="1"/>
  <c r="BR46" i="10" s="1"/>
  <c r="BR44" i="10" a="1"/>
  <c r="BR44" i="10" s="1"/>
  <c r="BS47" i="10" a="1"/>
  <c r="BS47" i="10" s="1"/>
  <c r="BQ46" i="10" a="1"/>
  <c r="BQ46" i="10" s="1"/>
  <c r="BQ47" i="10" a="1"/>
  <c r="BQ47" i="10" s="1"/>
  <c r="BU46" i="10" a="1"/>
  <c r="BU46" i="10" s="1"/>
  <c r="BU44" i="10" a="1"/>
  <c r="BU44" i="10" s="1"/>
  <c r="BU43" i="10" a="1"/>
  <c r="BU43" i="10" s="1"/>
  <c r="BU42" i="10" a="1"/>
  <c r="BU42" i="10" s="1"/>
  <c r="BV41" i="10" a="1"/>
  <c r="BV41" i="10" s="1"/>
  <c r="BS46" i="10" a="1"/>
  <c r="BS46" i="10" s="1"/>
  <c r="AK69" i="9"/>
  <c r="AI71" i="9"/>
  <c r="AG72" i="9"/>
  <c r="AH73" i="9"/>
  <c r="AH75" i="9"/>
  <c r="AE76" i="9"/>
  <c r="AJ77" i="9"/>
  <c r="AD79" i="9"/>
  <c r="AM80" i="9"/>
  <c r="AF81" i="9"/>
  <c r="AL87" i="9"/>
  <c r="AD100" i="9"/>
  <c r="AD101" i="9"/>
  <c r="AG102" i="9"/>
  <c r="AD8" i="9"/>
  <c r="AF10" i="9"/>
  <c r="CO33" i="10" a="1"/>
  <c r="J33" i="10" a="1"/>
  <c r="V5" i="9" a="1"/>
  <c r="CO33" i="10" l="1"/>
  <c r="CH31" i="10" a="1"/>
  <c r="CH31" i="10" s="1"/>
  <c r="CF30" i="10" a="1"/>
  <c r="CF30" i="10" s="1"/>
  <c r="CF31" i="10" a="1"/>
  <c r="CF31" i="10" s="1"/>
  <c r="CJ30" i="10" a="1"/>
  <c r="CJ30" i="10" s="1"/>
  <c r="CJ28" i="10" a="1"/>
  <c r="CJ28" i="10" s="1"/>
  <c r="CJ27" i="10" a="1"/>
  <c r="CJ27" i="10" s="1"/>
  <c r="CJ26" i="10" a="1"/>
  <c r="CJ26" i="10" s="1"/>
  <c r="CK25" i="10" a="1"/>
  <c r="CK25" i="10" s="1"/>
  <c r="CH30" i="10" a="1"/>
  <c r="CH30" i="10" s="1"/>
  <c r="CG28" i="10" a="1"/>
  <c r="CG28" i="10" s="1"/>
  <c r="CG26" i="10" a="1"/>
  <c r="CG26" i="10" s="1"/>
  <c r="CG27" i="10" s="1" a="1"/>
  <c r="CG27" i="10" s="1"/>
  <c r="CF25" i="10"/>
  <c r="CJ31" i="10" a="1"/>
  <c r="CJ31" i="10" s="1"/>
  <c r="CG30" i="10" a="1"/>
  <c r="CG30" i="10" s="1"/>
  <c r="J33" i="10"/>
  <c r="V5" i="9"/>
  <c r="AN10" i="9"/>
  <c r="AP12" i="9"/>
  <c r="AI13" i="9"/>
  <c r="AD16" i="9"/>
  <c r="AF18" i="9"/>
  <c r="Y17" i="10" a="1"/>
  <c r="CP39" i="10" l="1" a="1"/>
  <c r="CP39" i="10" s="1"/>
  <c r="CO38" i="10" a="1"/>
  <c r="CO38" i="10" s="1"/>
  <c r="CR36" i="10" a="1"/>
  <c r="CR36" i="10" s="1"/>
  <c r="CR35" i="10" a="1"/>
  <c r="CR35" i="10" s="1"/>
  <c r="CR34" i="10" a="1"/>
  <c r="CR34" i="10" s="1"/>
  <c r="CP38" i="10" a="1"/>
  <c r="CP38" i="10" s="1"/>
  <c r="CN39" i="10" a="1"/>
  <c r="CN39" i="10" s="1"/>
  <c r="CN38" i="10" a="1"/>
  <c r="CN38" i="10" s="1"/>
  <c r="CO36" i="10" a="1"/>
  <c r="CO36" i="10" s="1"/>
  <c r="CO34" i="10" a="1"/>
  <c r="CO34" i="10" s="1"/>
  <c r="CO35" i="10" s="1" a="1"/>
  <c r="CO35" i="10" s="1"/>
  <c r="CS33" i="10" a="1"/>
  <c r="CS33" i="10" s="1"/>
  <c r="CR38" i="10" a="1"/>
  <c r="CR38" i="10" s="1"/>
  <c r="CN33" i="10"/>
  <c r="CR39" i="10" a="1"/>
  <c r="CR39" i="10" s="1"/>
  <c r="Y17" i="10"/>
  <c r="I33" i="10"/>
  <c r="AI5" i="9"/>
  <c r="AI2" i="9"/>
  <c r="AA18" i="9"/>
  <c r="AP20" i="9"/>
  <c r="AD24" i="9"/>
  <c r="AE25" i="9"/>
  <c r="AM25" i="9"/>
  <c r="AF26" i="9"/>
  <c r="AN1" i="10" a="1"/>
  <c r="M36" i="10" a="1"/>
  <c r="I39" i="10" a="1"/>
  <c r="M35" i="10" a="1"/>
  <c r="M39" i="10" a="1"/>
  <c r="N33" i="10" a="1"/>
  <c r="J38" i="10" a="1"/>
  <c r="K38" i="10" a="1"/>
  <c r="M34" i="10" a="1"/>
  <c r="J36" i="10" a="1"/>
  <c r="M38" i="10" a="1"/>
  <c r="K39" i="10" a="1"/>
  <c r="J34" i="10" a="1"/>
  <c r="I38" i="10" a="1"/>
  <c r="V36" i="9" a="1"/>
  <c r="AN1" i="10" l="1"/>
  <c r="X17" i="10"/>
  <c r="I38" i="10"/>
  <c r="J34" i="10"/>
  <c r="K39" i="10"/>
  <c r="M38" i="10"/>
  <c r="J36" i="10"/>
  <c r="M34" i="10"/>
  <c r="K38" i="10"/>
  <c r="J38" i="10"/>
  <c r="N33" i="10"/>
  <c r="M39" i="10"/>
  <c r="M35" i="10"/>
  <c r="I39" i="10"/>
  <c r="M36" i="10"/>
  <c r="AN18" i="9"/>
  <c r="AN15" i="9"/>
  <c r="V36" i="9"/>
  <c r="AG26" i="9"/>
  <c r="AO26" i="9"/>
  <c r="AN26" i="9"/>
  <c r="AP28" i="9"/>
  <c r="AD32" i="9"/>
  <c r="AE33" i="9"/>
  <c r="AM33" i="9"/>
  <c r="AF34" i="9"/>
  <c r="AN33" i="10" a="1"/>
  <c r="Z23" i="10" a="1"/>
  <c r="AC17" i="10" a="1"/>
  <c r="X22" i="10" a="1"/>
  <c r="Y22" i="10" a="1"/>
  <c r="AB23" i="10" a="1"/>
  <c r="Z22" i="10" a="1"/>
  <c r="X23" i="10" a="1"/>
  <c r="Y20" i="10" a="1"/>
  <c r="AB22" i="10" a="1"/>
  <c r="AB20" i="10" a="1"/>
  <c r="Y18" i="10" a="1"/>
  <c r="AB19" i="10" a="1"/>
  <c r="S15" i="10" a="1"/>
  <c r="AB18" i="10" a="1"/>
  <c r="J35" i="10" a="1"/>
  <c r="V26" i="9" a="1"/>
  <c r="AN33" i="10" l="1"/>
  <c r="AM1" i="10"/>
  <c r="AB18" i="10"/>
  <c r="S15" i="10"/>
  <c r="AB19" i="10"/>
  <c r="Y18" i="10"/>
  <c r="AB20" i="10"/>
  <c r="AB22" i="10"/>
  <c r="Y20" i="10"/>
  <c r="X23" i="10"/>
  <c r="Z22" i="10"/>
  <c r="AB23" i="10"/>
  <c r="Y22" i="10"/>
  <c r="X22" i="10"/>
  <c r="AC17" i="10"/>
  <c r="Z23" i="10"/>
  <c r="J35" i="10"/>
  <c r="AI21" i="9"/>
  <c r="AI18" i="9"/>
  <c r="V26" i="9"/>
  <c r="AG34" i="9"/>
  <c r="AN34" i="9"/>
  <c r="AO34" i="9"/>
  <c r="AG35" i="9"/>
  <c r="AO35" i="9"/>
  <c r="AP36" i="9"/>
  <c r="AI37" i="9"/>
  <c r="AD40" i="9"/>
  <c r="AG47" i="9"/>
  <c r="AE48" i="9"/>
  <c r="AP48" i="9"/>
  <c r="AL49" i="9"/>
  <c r="AK50" i="9"/>
  <c r="AI51" i="9"/>
  <c r="AG52" i="9"/>
  <c r="AK53" i="9"/>
  <c r="AF54" i="9"/>
  <c r="BR17" i="10" a="1"/>
  <c r="AN4" i="10" a="1"/>
  <c r="AM7" i="10" a="1"/>
  <c r="AQ6" i="10" a="1"/>
  <c r="AN2" i="10" a="1"/>
  <c r="AO6" i="10" a="1"/>
  <c r="AQ4" i="10" a="1"/>
  <c r="AO7" i="10" a="1"/>
  <c r="AQ3" i="10" a="1"/>
  <c r="AM6" i="10" a="1"/>
  <c r="AQ2" i="10" a="1"/>
  <c r="AQ7" i="10" a="1"/>
  <c r="AR1" i="10" a="1"/>
  <c r="AN6" i="10" a="1"/>
  <c r="U38" i="9" a="1"/>
  <c r="BR17" i="10" l="1"/>
  <c r="AN6" i="10"/>
  <c r="AR1" i="10"/>
  <c r="AQ7" i="10"/>
  <c r="AQ2" i="10"/>
  <c r="AM6" i="10"/>
  <c r="AQ3" i="10"/>
  <c r="AO7" i="10"/>
  <c r="AQ4" i="10"/>
  <c r="AO6" i="10"/>
  <c r="AN2" i="10"/>
  <c r="AQ6" i="10"/>
  <c r="AM7" i="10"/>
  <c r="AN4" i="10"/>
  <c r="AM33" i="10"/>
  <c r="AI29" i="9"/>
  <c r="AI26" i="9"/>
  <c r="U38" i="9"/>
  <c r="AJ56" i="9"/>
  <c r="AO57" i="9"/>
  <c r="AG58" i="9"/>
  <c r="AP59" i="9"/>
  <c r="AI60" i="9"/>
  <c r="AO61" i="9"/>
  <c r="AO62" i="9"/>
  <c r="AH63" i="9"/>
  <c r="AN64" i="9"/>
  <c r="AK65" i="9"/>
  <c r="AL66" i="9"/>
  <c r="AJ68" i="9"/>
  <c r="AN69" i="9"/>
  <c r="AD70" i="9"/>
  <c r="AJ71" i="9"/>
  <c r="AJ72" i="9"/>
  <c r="AK73" i="9"/>
  <c r="AL75" i="9"/>
  <c r="AI76" i="9"/>
  <c r="AN77" i="9"/>
  <c r="AL79" i="9"/>
  <c r="AN81" i="9"/>
  <c r="AG98" i="9"/>
  <c r="AH99" i="9"/>
  <c r="AM100" i="9"/>
  <c r="AM101" i="9"/>
  <c r="AP19" i="9"/>
  <c r="AI20" i="9"/>
  <c r="AD23" i="9"/>
  <c r="AF25" i="9"/>
  <c r="AM38" i="10" a="1"/>
  <c r="AQ34" i="10" a="1"/>
  <c r="AQ35" i="10" a="1"/>
  <c r="AO38" i="10" a="1"/>
  <c r="AR33" i="10" a="1"/>
  <c r="AN34" i="10" a="1"/>
  <c r="AN36" i="10" a="1"/>
  <c r="AG1" i="10" a="1"/>
  <c r="AM39" i="10" a="1"/>
  <c r="AQ39" i="10" a="1"/>
  <c r="AQ38" i="10" a="1"/>
  <c r="AO39" i="10" a="1"/>
  <c r="AN38" i="10" a="1"/>
  <c r="AQ36" i="10" a="1"/>
  <c r="Y19" i="10" a="1"/>
  <c r="BS23" i="10" l="1" a="1"/>
  <c r="BS23" i="10" s="1"/>
  <c r="BQ22" i="10" a="1"/>
  <c r="BQ22" i="10" s="1"/>
  <c r="BQ23" i="10" a="1"/>
  <c r="BQ23" i="10" s="1"/>
  <c r="BU22" i="10" a="1"/>
  <c r="BU22" i="10" s="1"/>
  <c r="BU20" i="10" a="1"/>
  <c r="BU20" i="10" s="1"/>
  <c r="BU19" i="10" a="1"/>
  <c r="BU19" i="10" s="1"/>
  <c r="BU18" i="10" a="1"/>
  <c r="BU18" i="10" s="1"/>
  <c r="BV17" i="10" a="1"/>
  <c r="BV17" i="10" s="1"/>
  <c r="BS22" i="10" a="1"/>
  <c r="BS22" i="10" s="1"/>
  <c r="BR20" i="10" a="1"/>
  <c r="BR20" i="10" s="1"/>
  <c r="BR18" i="10" a="1"/>
  <c r="BR18" i="10" s="1"/>
  <c r="BR19" i="10" s="1" a="1"/>
  <c r="BR19" i="10" s="1"/>
  <c r="BQ17" i="10"/>
  <c r="BU23" i="10" a="1"/>
  <c r="BU23" i="10" s="1"/>
  <c r="BR22" i="10" a="1"/>
  <c r="BR22" i="10" s="1"/>
  <c r="AQ36" i="10"/>
  <c r="AN38" i="10"/>
  <c r="AO39" i="10"/>
  <c r="AQ38" i="10"/>
  <c r="AQ39" i="10"/>
  <c r="AM39" i="10"/>
  <c r="AG1" i="10"/>
  <c r="AN36" i="10"/>
  <c r="AN34" i="10"/>
  <c r="AR33" i="10"/>
  <c r="AO38" i="10"/>
  <c r="AQ35" i="10"/>
  <c r="AQ34" i="10"/>
  <c r="AM38" i="10"/>
  <c r="Y19" i="10"/>
  <c r="AH36" i="9"/>
  <c r="AH33" i="9"/>
  <c r="AN25" i="9"/>
  <c r="AP27" i="9"/>
  <c r="AD31" i="9"/>
  <c r="AF33" i="9"/>
  <c r="AG33" i="10" a="1"/>
  <c r="AN3" i="10" a="1"/>
  <c r="V25" i="9" a="1"/>
  <c r="AN3" i="10" l="1"/>
  <c r="AG33" i="10"/>
  <c r="AF1" i="10"/>
  <c r="V25" i="9"/>
  <c r="AN33" i="9"/>
  <c r="AH35" i="9"/>
  <c r="AP35" i="9"/>
  <c r="AD44" i="9"/>
  <c r="AI46" i="9"/>
  <c r="AH47" i="9"/>
  <c r="AF48" i="9"/>
  <c r="BC41" i="10" a="1"/>
  <c r="AG2" i="10" a="1"/>
  <c r="AH7" i="10" a="1"/>
  <c r="AN35" i="10" a="1"/>
  <c r="AJ6" i="10" a="1"/>
  <c r="AG6" i="10" a="1"/>
  <c r="AJ4" i="10" a="1"/>
  <c r="AJ7" i="10" a="1"/>
  <c r="AJ3" i="10" a="1"/>
  <c r="AJ2" i="10" a="1"/>
  <c r="AG4" i="10" a="1"/>
  <c r="AK1" i="10" a="1"/>
  <c r="AH6" i="10" a="1"/>
  <c r="AF7" i="10" a="1"/>
  <c r="AF6" i="10" a="1"/>
  <c r="V38" i="9" a="1"/>
  <c r="BC41" i="10" l="1"/>
  <c r="AF6" i="10"/>
  <c r="AF7" i="10"/>
  <c r="AH6" i="10"/>
  <c r="AK1" i="10"/>
  <c r="AG4" i="10"/>
  <c r="AJ2" i="10"/>
  <c r="AJ3" i="10"/>
  <c r="AJ7" i="10"/>
  <c r="AJ4" i="10"/>
  <c r="AG6" i="10"/>
  <c r="AJ6" i="10"/>
  <c r="AN35" i="10"/>
  <c r="AH7" i="10"/>
  <c r="AG2" i="10"/>
  <c r="AF33" i="10"/>
  <c r="AI28" i="9"/>
  <c r="AI25" i="9"/>
  <c r="V38" i="9"/>
  <c r="AG48" i="9"/>
  <c r="AN49" i="9"/>
  <c r="AL50" i="9"/>
  <c r="AK51" i="9"/>
  <c r="AI52" i="9"/>
  <c r="AM53" i="9"/>
  <c r="AG54" i="9"/>
  <c r="AD55" i="9"/>
  <c r="AM56" i="9"/>
  <c r="AH58" i="9"/>
  <c r="AJ60" i="9"/>
  <c r="AP62" i="9"/>
  <c r="AI63" i="9"/>
  <c r="AO65" i="9"/>
  <c r="AP66" i="9"/>
  <c r="AD67" i="9"/>
  <c r="AM68" i="9"/>
  <c r="AO69" i="9"/>
  <c r="AG70" i="9"/>
  <c r="AN71" i="9"/>
  <c r="AK72" i="9"/>
  <c r="AL73" i="9"/>
  <c r="AO75" i="9"/>
  <c r="AM76" i="9"/>
  <c r="AG78" i="9"/>
  <c r="AK94" i="9"/>
  <c r="AO98" i="9"/>
  <c r="AP99" i="9"/>
  <c r="AL63" i="9"/>
  <c r="AE64" i="9"/>
  <c r="AM64" i="9"/>
  <c r="AF65" i="9"/>
  <c r="BZ17" i="10" a="1"/>
  <c r="AJ36" i="10" a="1"/>
  <c r="AK33" i="10" a="1"/>
  <c r="AG34" i="10" a="1"/>
  <c r="AJ35" i="10" a="1"/>
  <c r="AJ39" i="10" a="1"/>
  <c r="AJ34" i="10" a="1"/>
  <c r="AJ38" i="10" a="1"/>
  <c r="AF39" i="10" a="1"/>
  <c r="AH38" i="10" a="1"/>
  <c r="AF38" i="10" a="1"/>
  <c r="AG38" i="10" a="1"/>
  <c r="AG3" i="10" a="1"/>
  <c r="AG36" i="10" a="1"/>
  <c r="AH39" i="10" a="1"/>
  <c r="BZ17" i="10" l="1"/>
  <c r="BB41" i="10"/>
  <c r="BC42" i="10" a="1"/>
  <c r="BC42" i="10" s="1"/>
  <c r="BC43" i="10" s="1" a="1"/>
  <c r="BC43" i="10" s="1"/>
  <c r="BF47" i="10" a="1"/>
  <c r="BF47" i="10" s="1"/>
  <c r="BC46" i="10" a="1"/>
  <c r="BC46" i="10" s="1"/>
  <c r="BC44" i="10" a="1"/>
  <c r="BC44" i="10" s="1"/>
  <c r="BD47" i="10" a="1"/>
  <c r="BD47" i="10" s="1"/>
  <c r="BB46" i="10" a="1"/>
  <c r="BB46" i="10" s="1"/>
  <c r="BD46" i="10" a="1"/>
  <c r="BD46" i="10" s="1"/>
  <c r="BB47" i="10" a="1"/>
  <c r="BB47" i="10" s="1"/>
  <c r="BF46" i="10" a="1"/>
  <c r="BF46" i="10" s="1"/>
  <c r="BF44" i="10" a="1"/>
  <c r="BF44" i="10" s="1"/>
  <c r="BF43" i="10" a="1"/>
  <c r="BF43" i="10" s="1"/>
  <c r="BF42" i="10" a="1"/>
  <c r="BF42" i="10" s="1"/>
  <c r="BG41" i="10" a="1"/>
  <c r="BG41" i="10" s="1"/>
  <c r="AH39" i="10"/>
  <c r="AG36" i="10"/>
  <c r="AG3" i="10"/>
  <c r="AG38" i="10"/>
  <c r="AF38" i="10"/>
  <c r="AH38" i="10"/>
  <c r="AF39" i="10"/>
  <c r="AJ38" i="10"/>
  <c r="AJ34" i="10"/>
  <c r="AJ39" i="10"/>
  <c r="AJ35" i="10"/>
  <c r="AG34" i="10"/>
  <c r="AK33" i="10"/>
  <c r="AJ36" i="10"/>
  <c r="AI36" i="9"/>
  <c r="AI33" i="9"/>
  <c r="AN65" i="9"/>
  <c r="AG66" i="9"/>
  <c r="AO66" i="9"/>
  <c r="AH67" i="9"/>
  <c r="AP67" i="9"/>
  <c r="AI68" i="9"/>
  <c r="AJ69" i="9"/>
  <c r="AK70" i="9"/>
  <c r="AE71" i="9"/>
  <c r="AM71" i="9"/>
  <c r="AF72" i="9"/>
  <c r="CG41" i="10" a="1"/>
  <c r="AG35" i="10" a="1"/>
  <c r="CG41" i="10" l="1"/>
  <c r="BY23" i="10" a="1"/>
  <c r="BY23" i="10" s="1"/>
  <c r="BY22" i="10" a="1"/>
  <c r="BY22" i="10" s="1"/>
  <c r="BZ20" i="10" a="1"/>
  <c r="BZ20" i="10" s="1"/>
  <c r="BZ18" i="10" a="1"/>
  <c r="BZ18" i="10" s="1"/>
  <c r="BZ19" i="10" s="1" a="1"/>
  <c r="BZ19" i="10" s="1"/>
  <c r="CD17" i="10" a="1"/>
  <c r="CD17" i="10" s="1"/>
  <c r="CC22" i="10" a="1"/>
  <c r="CC22" i="10" s="1"/>
  <c r="CC19" i="10" a="1"/>
  <c r="CC19" i="10" s="1"/>
  <c r="BY17" i="10"/>
  <c r="BZ22" i="10" a="1"/>
  <c r="BZ22" i="10" s="1"/>
  <c r="CC23" i="10" a="1"/>
  <c r="CC23" i="10" s="1"/>
  <c r="CA22" i="10" a="1"/>
  <c r="CA22" i="10" s="1"/>
  <c r="CA23" i="10" a="1"/>
  <c r="CA23" i="10" s="1"/>
  <c r="CC20" i="10" a="1"/>
  <c r="CC20" i="10" s="1"/>
  <c r="CC18" i="10" a="1"/>
  <c r="CC18" i="10" s="1"/>
  <c r="AG35" i="10"/>
  <c r="AN72" i="9"/>
  <c r="AG73" i="9"/>
  <c r="AO73" i="9"/>
  <c r="AJ74" i="9"/>
  <c r="AK75" i="9"/>
  <c r="AD76" i="9"/>
  <c r="AL76" i="9"/>
  <c r="AE77" i="9"/>
  <c r="AM77" i="9"/>
  <c r="AF78" i="9"/>
  <c r="AN78" i="9"/>
  <c r="AG79" i="9"/>
  <c r="AO79" i="9"/>
  <c r="AH80" i="9"/>
  <c r="AP80" i="9"/>
  <c r="AI81" i="9"/>
  <c r="AJ82" i="9"/>
  <c r="AK83" i="9"/>
  <c r="AD84" i="9"/>
  <c r="AL84" i="9"/>
  <c r="AE85" i="9"/>
  <c r="AM85" i="9"/>
  <c r="AF86" i="9"/>
  <c r="AN86" i="9"/>
  <c r="AG87" i="9"/>
  <c r="AO87" i="9"/>
  <c r="AH88" i="9"/>
  <c r="AP88" i="9"/>
  <c r="AI89" i="9"/>
  <c r="AJ90" i="9"/>
  <c r="AK91" i="9"/>
  <c r="AD92" i="9"/>
  <c r="AL92" i="9"/>
  <c r="AE93" i="9"/>
  <c r="AM93" i="9"/>
  <c r="AF94" i="9"/>
  <c r="AN94" i="9"/>
  <c r="AG95" i="9"/>
  <c r="AO95" i="9"/>
  <c r="AH96" i="9"/>
  <c r="AP96" i="9"/>
  <c r="AI97" i="9"/>
  <c r="AJ98" i="9"/>
  <c r="AK99" i="9"/>
  <c r="AG100" i="9"/>
  <c r="AG101" i="9"/>
  <c r="AP101" i="9"/>
  <c r="AL102" i="9"/>
  <c r="AJ103" i="9"/>
  <c r="AH104" i="9"/>
  <c r="AF105" i="9"/>
  <c r="AP105" i="9"/>
  <c r="AO106" i="9"/>
  <c r="AK107" i="9"/>
  <c r="AJ108" i="9"/>
  <c r="AH109" i="9"/>
  <c r="AF110" i="9"/>
  <c r="AJ111" i="9"/>
  <c r="AF112" i="9"/>
  <c r="AH113" i="9"/>
  <c r="AE114" i="9"/>
  <c r="AJ115" i="9"/>
  <c r="AL116" i="9"/>
  <c r="AE117" i="9"/>
  <c r="AN118" i="9"/>
  <c r="AG119" i="9"/>
  <c r="AO120" i="9"/>
  <c r="AG121" i="9"/>
  <c r="AE126" i="9"/>
  <c r="AG127" i="9"/>
  <c r="AP129" i="9"/>
  <c r="AL133" i="9"/>
  <c r="AI142" i="9"/>
  <c r="AD150" i="9"/>
  <c r="AF159" i="9"/>
  <c r="AK178" i="9"/>
  <c r="AH79" i="9"/>
  <c r="AP79" i="9"/>
  <c r="AI80" i="9"/>
  <c r="AJ81" i="9"/>
  <c r="AK82" i="9"/>
  <c r="AD83" i="9"/>
  <c r="AL83" i="9"/>
  <c r="AE84" i="9"/>
  <c r="AM84" i="9"/>
  <c r="AF85" i="9"/>
  <c r="AN85" i="9"/>
  <c r="AG86" i="9"/>
  <c r="AO86" i="9"/>
  <c r="AH87" i="9"/>
  <c r="AP87" i="9"/>
  <c r="AI88" i="9"/>
  <c r="AJ89" i="9"/>
  <c r="AK90" i="9"/>
  <c r="AD91" i="9"/>
  <c r="AL91" i="9"/>
  <c r="AE92" i="9"/>
  <c r="AM92" i="9"/>
  <c r="AF93" i="9"/>
  <c r="AN93" i="9"/>
  <c r="AG94" i="9"/>
  <c r="AO94" i="9"/>
  <c r="AH95" i="9"/>
  <c r="AP95" i="9"/>
  <c r="AI96" i="9"/>
  <c r="AJ97" i="9"/>
  <c r="AK98" i="9"/>
  <c r="AD99" i="9"/>
  <c r="AL99" i="9"/>
  <c r="AI100" i="9"/>
  <c r="AH101" i="9"/>
  <c r="AM102" i="9"/>
  <c r="AL103" i="9"/>
  <c r="AI104" i="9"/>
  <c r="AG105" i="9"/>
  <c r="AE106" i="9"/>
  <c r="AP106" i="9"/>
  <c r="AL107" i="9"/>
  <c r="AK108" i="9"/>
  <c r="AJ109" i="9"/>
  <c r="AG110" i="9"/>
  <c r="AL111" i="9"/>
  <c r="AG112" i="9"/>
  <c r="AI113" i="9"/>
  <c r="AG114" i="9"/>
  <c r="AK115" i="9"/>
  <c r="AO116" i="9"/>
  <c r="AH117" i="9"/>
  <c r="AJ119" i="9"/>
  <c r="AP120" i="9"/>
  <c r="AH121" i="9"/>
  <c r="AF126" i="9"/>
  <c r="AN127" i="9"/>
  <c r="AJ131" i="9"/>
  <c r="AD132" i="9"/>
  <c r="AM133" i="9"/>
  <c r="AK143" i="9"/>
  <c r="AM150" i="9"/>
  <c r="AN152" i="9"/>
  <c r="AJ153" i="9"/>
  <c r="AL171" i="9"/>
  <c r="AJ174" i="9"/>
  <c r="AH180" i="9"/>
  <c r="AP41" i="9"/>
  <c r="AK44" i="9"/>
  <c r="AD45" i="9"/>
  <c r="AF47" i="9"/>
  <c r="EO1" i="10" a="1"/>
  <c r="EO9" i="10" a="1"/>
  <c r="DS33" i="10" a="1"/>
  <c r="DD33" i="10" a="1"/>
  <c r="DK33" i="10" a="1"/>
  <c r="DD1" i="10" a="1"/>
  <c r="DK1" i="10" a="1"/>
  <c r="CV17" i="10" a="1"/>
  <c r="BF28" i="10" a="1"/>
  <c r="AV41" i="10" a="1"/>
  <c r="EO9" i="10" l="1"/>
  <c r="EO1" i="10"/>
  <c r="DS33" i="10"/>
  <c r="DK1" i="10"/>
  <c r="DD1" i="10"/>
  <c r="DK33" i="10"/>
  <c r="DD33" i="10"/>
  <c r="CV17" i="10"/>
  <c r="CF41" i="10"/>
  <c r="CJ47" i="10" a="1"/>
  <c r="CJ47" i="10" s="1"/>
  <c r="CG46" i="10" a="1"/>
  <c r="CG46" i="10" s="1"/>
  <c r="CH47" i="10" a="1"/>
  <c r="CH47" i="10" s="1"/>
  <c r="CF46" i="10" a="1"/>
  <c r="CF46" i="10" s="1"/>
  <c r="CF47" i="10" a="1"/>
  <c r="CF47" i="10" s="1"/>
  <c r="CJ46" i="10" a="1"/>
  <c r="CJ46" i="10" s="1"/>
  <c r="CJ44" i="10" a="1"/>
  <c r="CJ44" i="10" s="1"/>
  <c r="CJ43" i="10" a="1"/>
  <c r="CJ43" i="10" s="1"/>
  <c r="CJ42" i="10" a="1"/>
  <c r="CJ42" i="10" s="1"/>
  <c r="CK41" i="10" a="1"/>
  <c r="CK41" i="10" s="1"/>
  <c r="CH46" i="10" a="1"/>
  <c r="CH46" i="10" s="1"/>
  <c r="CG44" i="10" a="1"/>
  <c r="CG44" i="10" s="1"/>
  <c r="CG42" i="10" a="1"/>
  <c r="CG42" i="10" s="1"/>
  <c r="CG43" i="10" s="1" a="1"/>
  <c r="CG43" i="10" s="1"/>
  <c r="AV41" i="10"/>
  <c r="BF28" i="10"/>
  <c r="AN47" i="9"/>
  <c r="AK47" i="9"/>
  <c r="AO48" i="9"/>
  <c r="AH49" i="9"/>
  <c r="AP49" i="9"/>
  <c r="AI50" i="9"/>
  <c r="AJ51" i="9"/>
  <c r="AK52" i="9"/>
  <c r="AD53" i="9"/>
  <c r="AL53" i="9"/>
  <c r="AE54" i="9"/>
  <c r="AM54" i="9"/>
  <c r="AF55" i="9"/>
  <c r="BK25" i="10" a="1"/>
  <c r="EN7" i="10" l="1" a="1"/>
  <c r="EN7" i="10" s="1"/>
  <c r="ER6" i="10" a="1"/>
  <c r="ER6" i="10" s="1"/>
  <c r="ER4" i="10" a="1"/>
  <c r="ER4" i="10" s="1"/>
  <c r="ER3" i="10" a="1"/>
  <c r="ER3" i="10" s="1"/>
  <c r="ER2" i="10" a="1"/>
  <c r="ER2" i="10" s="1"/>
  <c r="ES1" i="10" a="1"/>
  <c r="ES1" i="10" s="1"/>
  <c r="EP6" i="10" a="1"/>
  <c r="EP6" i="10" s="1"/>
  <c r="EO4" i="10" a="1"/>
  <c r="EO4" i="10" s="1"/>
  <c r="EO2" i="10" a="1"/>
  <c r="EO2" i="10" s="1"/>
  <c r="EO3" i="10" s="1" a="1"/>
  <c r="EO3" i="10" s="1"/>
  <c r="EN1" i="10"/>
  <c r="EN6" i="10" a="1"/>
  <c r="EN6" i="10" s="1"/>
  <c r="ER7" i="10" a="1"/>
  <c r="ER7" i="10" s="1"/>
  <c r="EO6" i="10" a="1"/>
  <c r="EO6" i="10" s="1"/>
  <c r="EP7" i="10" a="1"/>
  <c r="EP7" i="10" s="1"/>
  <c r="EN15" i="10" a="1"/>
  <c r="EN15" i="10" s="1"/>
  <c r="ER14" i="10" a="1"/>
  <c r="ER14" i="10" s="1"/>
  <c r="ER12" i="10" a="1"/>
  <c r="ER12" i="10" s="1"/>
  <c r="ER11" i="10" a="1"/>
  <c r="ER11" i="10" s="1"/>
  <c r="ER10" i="10" a="1"/>
  <c r="ER10" i="10" s="1"/>
  <c r="ES9" i="10" a="1"/>
  <c r="ES9" i="10" s="1"/>
  <c r="EP14" i="10" a="1"/>
  <c r="EP14" i="10" s="1"/>
  <c r="EO12" i="10" a="1"/>
  <c r="EO12" i="10" s="1"/>
  <c r="EO10" i="10" a="1"/>
  <c r="EO10" i="10" s="1"/>
  <c r="EO11" i="10" s="1" a="1"/>
  <c r="EO11" i="10" s="1"/>
  <c r="EN9" i="10"/>
  <c r="ER15" i="10" a="1"/>
  <c r="ER15" i="10" s="1"/>
  <c r="EO14" i="10" a="1"/>
  <c r="EO14" i="10" s="1"/>
  <c r="EP15" i="10" a="1"/>
  <c r="EP15" i="10" s="1"/>
  <c r="EN14" i="10" a="1"/>
  <c r="EN14" i="10" s="1"/>
  <c r="DT39" i="10" a="1"/>
  <c r="DT39" i="10" s="1"/>
  <c r="DS38" i="10" a="1"/>
  <c r="DS38" i="10" s="1"/>
  <c r="DV36" i="10" a="1"/>
  <c r="DV36" i="10" s="1"/>
  <c r="DV35" i="10" a="1"/>
  <c r="DV35" i="10" s="1"/>
  <c r="DV34" i="10" a="1"/>
  <c r="DV34" i="10" s="1"/>
  <c r="DR39" i="10" a="1"/>
  <c r="DR39" i="10" s="1"/>
  <c r="DR38" i="10" a="1"/>
  <c r="DR38" i="10" s="1"/>
  <c r="DS36" i="10" a="1"/>
  <c r="DS36" i="10" s="1"/>
  <c r="DS34" i="10" a="1"/>
  <c r="DS34" i="10" s="1"/>
  <c r="DS35" i="10" s="1" a="1"/>
  <c r="DS35" i="10" s="1"/>
  <c r="DW33" i="10" a="1"/>
  <c r="DW33" i="10" s="1"/>
  <c r="DV38" i="10" a="1"/>
  <c r="DV38" i="10" s="1"/>
  <c r="DR33" i="10"/>
  <c r="DV39" i="10" a="1"/>
  <c r="DV39" i="10" s="1"/>
  <c r="DT38" i="10" a="1"/>
  <c r="DT38" i="10" s="1"/>
  <c r="DE39" i="10" a="1"/>
  <c r="DE39" i="10" s="1"/>
  <c r="DD38" i="10" a="1"/>
  <c r="DD38" i="10" s="1"/>
  <c r="DG36" i="10" a="1"/>
  <c r="DG36" i="10" s="1"/>
  <c r="DG35" i="10" a="1"/>
  <c r="DG35" i="10" s="1"/>
  <c r="DG34" i="10" a="1"/>
  <c r="DG34" i="10" s="1"/>
  <c r="DC39" i="10" a="1"/>
  <c r="DC39" i="10" s="1"/>
  <c r="DC38" i="10" a="1"/>
  <c r="DC38" i="10" s="1"/>
  <c r="DD36" i="10" a="1"/>
  <c r="DD36" i="10" s="1"/>
  <c r="DD34" i="10" a="1"/>
  <c r="DD34" i="10" s="1"/>
  <c r="DD35" i="10" s="1" a="1"/>
  <c r="DD35" i="10" s="1"/>
  <c r="DH33" i="10" a="1"/>
  <c r="DH33" i="10" s="1"/>
  <c r="DE38" i="10" a="1"/>
  <c r="DE38" i="10" s="1"/>
  <c r="DG38" i="10" a="1"/>
  <c r="DG38" i="10" s="1"/>
  <c r="DC33" i="10"/>
  <c r="DG39" i="10" a="1"/>
  <c r="DG39" i="10" s="1"/>
  <c r="DN39" i="10" a="1"/>
  <c r="DN39" i="10" s="1"/>
  <c r="DK38" i="10" a="1"/>
  <c r="DK38" i="10" s="1"/>
  <c r="DL39" i="10" a="1"/>
  <c r="DL39" i="10" s="1"/>
  <c r="DJ38" i="10" a="1"/>
  <c r="DJ38" i="10" s="1"/>
  <c r="DK34" i="10" a="1"/>
  <c r="DK34" i="10" s="1"/>
  <c r="DK35" i="10" s="1" a="1"/>
  <c r="DK35" i="10" s="1"/>
  <c r="DJ39" i="10" a="1"/>
  <c r="DJ39" i="10" s="1"/>
  <c r="DN38" i="10" a="1"/>
  <c r="DN38" i="10" s="1"/>
  <c r="DN36" i="10" a="1"/>
  <c r="DN36" i="10" s="1"/>
  <c r="DN35" i="10" a="1"/>
  <c r="DN35" i="10" s="1"/>
  <c r="DN34" i="10" a="1"/>
  <c r="DN34" i="10" s="1"/>
  <c r="DO33" i="10" a="1"/>
  <c r="DO33" i="10" s="1"/>
  <c r="DJ33" i="10"/>
  <c r="DL38" i="10" a="1"/>
  <c r="DL38" i="10" s="1"/>
  <c r="DK36" i="10" a="1"/>
  <c r="DK36" i="10" s="1"/>
  <c r="DG6" i="10" a="1"/>
  <c r="DG6" i="10" s="1"/>
  <c r="DC1" i="10"/>
  <c r="DD4" i="10" a="1"/>
  <c r="DD4" i="10" s="1"/>
  <c r="DG7" i="10" a="1"/>
  <c r="DG7" i="10" s="1"/>
  <c r="DE6" i="10" a="1"/>
  <c r="DE6" i="10" s="1"/>
  <c r="DH1" i="10" a="1"/>
  <c r="DH1" i="10" s="1"/>
  <c r="DE7" i="10" a="1"/>
  <c r="DE7" i="10" s="1"/>
  <c r="DD6" i="10" a="1"/>
  <c r="DD6" i="10" s="1"/>
  <c r="DG4" i="10" a="1"/>
  <c r="DG4" i="10" s="1"/>
  <c r="DG3" i="10" a="1"/>
  <c r="DG3" i="10" s="1"/>
  <c r="DG2" i="10" a="1"/>
  <c r="DG2" i="10" s="1"/>
  <c r="DC7" i="10" a="1"/>
  <c r="DC7" i="10" s="1"/>
  <c r="DC6" i="10" a="1"/>
  <c r="DC6" i="10" s="1"/>
  <c r="DD2" i="10" a="1"/>
  <c r="DD2" i="10" s="1"/>
  <c r="DD3" i="10" s="1" a="1"/>
  <c r="DD3" i="10" s="1"/>
  <c r="DJ7" i="10" a="1"/>
  <c r="DJ7" i="10" s="1"/>
  <c r="DN6" i="10" a="1"/>
  <c r="DN6" i="10" s="1"/>
  <c r="DN4" i="10" a="1"/>
  <c r="DN4" i="10" s="1"/>
  <c r="DN3" i="10" a="1"/>
  <c r="DN3" i="10" s="1"/>
  <c r="DN2" i="10" a="1"/>
  <c r="DN2" i="10" s="1"/>
  <c r="DO1" i="10" a="1"/>
  <c r="DO1" i="10" s="1"/>
  <c r="DL6" i="10" a="1"/>
  <c r="DL6" i="10" s="1"/>
  <c r="DK4" i="10" a="1"/>
  <c r="DK4" i="10" s="1"/>
  <c r="DK2" i="10" a="1"/>
  <c r="DK2" i="10" s="1"/>
  <c r="DK3" i="10" s="1" a="1"/>
  <c r="DK3" i="10" s="1"/>
  <c r="DJ1" i="10"/>
  <c r="DL7" i="10" a="1"/>
  <c r="DL7" i="10" s="1"/>
  <c r="DJ6" i="10" a="1"/>
  <c r="DJ6" i="10" s="1"/>
  <c r="DN7" i="10" a="1"/>
  <c r="DN7" i="10" s="1"/>
  <c r="DK6" i="10" a="1"/>
  <c r="DK6" i="10" s="1"/>
  <c r="CW23" i="10" a="1"/>
  <c r="CW23" i="10" s="1"/>
  <c r="CU22" i="10" a="1"/>
  <c r="CU22" i="10" s="1"/>
  <c r="CU23" i="10" a="1"/>
  <c r="CU23" i="10" s="1"/>
  <c r="CY22" i="10" a="1"/>
  <c r="CY22" i="10" s="1"/>
  <c r="CY20" i="10" a="1"/>
  <c r="CY20" i="10" s="1"/>
  <c r="CY19" i="10" a="1"/>
  <c r="CY19" i="10" s="1"/>
  <c r="CY18" i="10" a="1"/>
  <c r="CY18" i="10" s="1"/>
  <c r="CZ17" i="10" a="1"/>
  <c r="CZ17" i="10" s="1"/>
  <c r="CV22" i="10" a="1"/>
  <c r="CV22" i="10" s="1"/>
  <c r="CW22" i="10" a="1"/>
  <c r="CW22" i="10" s="1"/>
  <c r="CV20" i="10" a="1"/>
  <c r="CV20" i="10" s="1"/>
  <c r="CV18" i="10" a="1"/>
  <c r="CV18" i="10" s="1"/>
  <c r="CV19" i="10" s="1" a="1"/>
  <c r="CV19" i="10" s="1"/>
  <c r="CU17" i="10"/>
  <c r="CY23" i="10" a="1"/>
  <c r="CY23" i="10" s="1"/>
  <c r="BK25" i="10"/>
  <c r="AW47" i="10" a="1"/>
  <c r="AW47" i="10" s="1"/>
  <c r="AV46" i="10" a="1"/>
  <c r="AV46" i="10" s="1"/>
  <c r="AY44" i="10" a="1"/>
  <c r="AY44" i="10" s="1"/>
  <c r="AY43" i="10" a="1"/>
  <c r="AY43" i="10" s="1"/>
  <c r="AY42" i="10" a="1"/>
  <c r="AY42" i="10" s="1"/>
  <c r="AU47" i="10" a="1"/>
  <c r="AU47" i="10" s="1"/>
  <c r="AU46" i="10" a="1"/>
  <c r="AU46" i="10" s="1"/>
  <c r="AV44" i="10" a="1"/>
  <c r="AV44" i="10" s="1"/>
  <c r="AV42" i="10" a="1"/>
  <c r="AV42" i="10" s="1"/>
  <c r="AV43" i="10" s="1" a="1"/>
  <c r="AV43" i="10" s="1"/>
  <c r="AZ41" i="10" a="1"/>
  <c r="AZ41" i="10" s="1"/>
  <c r="AY46" i="10" a="1"/>
  <c r="AY46" i="10" s="1"/>
  <c r="AW46" i="10" a="1"/>
  <c r="AW46" i="10" s="1"/>
  <c r="AU41" i="10"/>
  <c r="AY47" i="10" a="1"/>
  <c r="AY47" i="10" s="1"/>
  <c r="AN55" i="9"/>
  <c r="AG56" i="9"/>
  <c r="AO56" i="9"/>
  <c r="AH57" i="9"/>
  <c r="AP57" i="9"/>
  <c r="AI58" i="9"/>
  <c r="AJ59" i="9"/>
  <c r="AK60" i="9"/>
  <c r="AD61" i="9"/>
  <c r="AL61" i="9"/>
  <c r="AE62" i="9"/>
  <c r="AM62" i="9"/>
  <c r="AF63" i="9"/>
  <c r="BZ9" i="10" a="1"/>
  <c r="BZ9" i="10" l="1"/>
  <c r="BJ31" i="10" a="1"/>
  <c r="BJ31" i="10" s="1"/>
  <c r="BJ30" i="10" a="1"/>
  <c r="BJ30" i="10" s="1"/>
  <c r="BK28" i="10" a="1"/>
  <c r="BK28" i="10" s="1"/>
  <c r="BK26" i="10" a="1"/>
  <c r="BK26" i="10" s="1"/>
  <c r="BK27" i="10" s="1" a="1"/>
  <c r="BK27" i="10" s="1"/>
  <c r="BO25" i="10" a="1"/>
  <c r="BO25" i="10" s="1"/>
  <c r="BN30" i="10" a="1"/>
  <c r="BN30" i="10" s="1"/>
  <c r="BJ25" i="10"/>
  <c r="BN31" i="10" a="1"/>
  <c r="BN31" i="10" s="1"/>
  <c r="BL30" i="10" a="1"/>
  <c r="BL30" i="10" s="1"/>
  <c r="BL31" i="10" a="1"/>
  <c r="BL31" i="10" s="1"/>
  <c r="BK30" i="10" a="1"/>
  <c r="BK30" i="10" s="1"/>
  <c r="BN27" i="10" a="1"/>
  <c r="BN27" i="10" s="1"/>
  <c r="BN28" i="10" a="1"/>
  <c r="BN28" i="10" s="1"/>
  <c r="BN26" i="10" a="1"/>
  <c r="BN26" i="10" s="1"/>
  <c r="AN63" i="9"/>
  <c r="AG64" i="9"/>
  <c r="AO64" i="9"/>
  <c r="AH65" i="9"/>
  <c r="AP65" i="9"/>
  <c r="AI66" i="9"/>
  <c r="AJ67" i="9"/>
  <c r="AK68" i="9"/>
  <c r="AD69" i="9"/>
  <c r="AL69" i="9"/>
  <c r="AE70" i="9"/>
  <c r="AM70" i="9"/>
  <c r="AG71" i="9"/>
  <c r="AO71" i="9"/>
  <c r="AH72" i="9"/>
  <c r="AP72" i="9"/>
  <c r="AI73" i="9"/>
  <c r="AD74" i="9"/>
  <c r="AL74" i="9"/>
  <c r="AE75" i="9"/>
  <c r="AM75" i="9"/>
  <c r="AF76" i="9"/>
  <c r="CV9" i="10" a="1"/>
  <c r="CV9" i="10" l="1"/>
  <c r="CC14" i="10" a="1"/>
  <c r="CC14" i="10" s="1"/>
  <c r="BY9" i="10"/>
  <c r="CC15" i="10" a="1"/>
  <c r="CC15" i="10" s="1"/>
  <c r="CA14" i="10" a="1"/>
  <c r="CA14" i="10" s="1"/>
  <c r="CA15" i="10" a="1"/>
  <c r="CA15" i="10" s="1"/>
  <c r="BZ14" i="10" a="1"/>
  <c r="BZ14" i="10" s="1"/>
  <c r="CC12" i="10" a="1"/>
  <c r="CC12" i="10" s="1"/>
  <c r="CC11" i="10" a="1"/>
  <c r="CC11" i="10" s="1"/>
  <c r="CC10" i="10" a="1"/>
  <c r="CC10" i="10" s="1"/>
  <c r="BY15" i="10" a="1"/>
  <c r="BY15" i="10" s="1"/>
  <c r="BY14" i="10" a="1"/>
  <c r="BY14" i="10" s="1"/>
  <c r="BZ12" i="10" a="1"/>
  <c r="BZ12" i="10" s="1"/>
  <c r="BZ10" i="10" a="1"/>
  <c r="BZ10" i="10" s="1"/>
  <c r="BZ11" i="10" s="1" a="1"/>
  <c r="BZ11" i="10" s="1"/>
  <c r="CD9" i="10" a="1"/>
  <c r="CD9" i="10" s="1"/>
  <c r="AN76" i="9"/>
  <c r="AG77" i="9"/>
  <c r="AO77" i="9"/>
  <c r="AH78" i="9"/>
  <c r="AP78" i="9"/>
  <c r="AI79" i="9"/>
  <c r="AJ80" i="9"/>
  <c r="AK81" i="9"/>
  <c r="AD82" i="9"/>
  <c r="AL82" i="9"/>
  <c r="AE83" i="9"/>
  <c r="AM83" i="9"/>
  <c r="AF84" i="9"/>
  <c r="AN84" i="9"/>
  <c r="AG85" i="9"/>
  <c r="AO85" i="9"/>
  <c r="AH86" i="9"/>
  <c r="AP86" i="9"/>
  <c r="AI87" i="9"/>
  <c r="AJ88" i="9"/>
  <c r="AK89" i="9"/>
  <c r="AD90" i="9"/>
  <c r="AL90" i="9"/>
  <c r="AE91" i="9"/>
  <c r="AM91" i="9"/>
  <c r="AF92" i="9"/>
  <c r="AN92" i="9"/>
  <c r="AG93" i="9"/>
  <c r="AO93" i="9"/>
  <c r="AH94" i="9"/>
  <c r="AP94" i="9"/>
  <c r="AI95" i="9"/>
  <c r="AJ96" i="9"/>
  <c r="AK97" i="9"/>
  <c r="AD98" i="9"/>
  <c r="AL98" i="9"/>
  <c r="AE99" i="9"/>
  <c r="AM99" i="9"/>
  <c r="AJ100" i="9"/>
  <c r="AJ101" i="9"/>
  <c r="AD102" i="9"/>
  <c r="AN102" i="9"/>
  <c r="AM103" i="9"/>
  <c r="AK104" i="9"/>
  <c r="AH105" i="9"/>
  <c r="AG106" i="9"/>
  <c r="AN107" i="9"/>
  <c r="AL108" i="9"/>
  <c r="AK109" i="9"/>
  <c r="AI110" i="9"/>
  <c r="AM111" i="9"/>
  <c r="AH112" i="9"/>
  <c r="AL113" i="9"/>
  <c r="AH114" i="9"/>
  <c r="AN115" i="9"/>
  <c r="AK117" i="9"/>
  <c r="AD118" i="9"/>
  <c r="AM119" i="9"/>
  <c r="AI121" i="9"/>
  <c r="AD125" i="9"/>
  <c r="AM126" i="9"/>
  <c r="AO127" i="9"/>
  <c r="AG128" i="9"/>
  <c r="AK131" i="9"/>
  <c r="AK132" i="9"/>
  <c r="AK139" i="9"/>
  <c r="AE148" i="9"/>
  <c r="AL149" i="9"/>
  <c r="AE151" i="9"/>
  <c r="AH154" i="9"/>
  <c r="AG168" i="9"/>
  <c r="AH172" i="9"/>
  <c r="AG55" i="9"/>
  <c r="AO55" i="9"/>
  <c r="AH56" i="9"/>
  <c r="AP56" i="9"/>
  <c r="AI57" i="9"/>
  <c r="AJ58" i="9"/>
  <c r="AK59" i="9"/>
  <c r="AD60" i="9"/>
  <c r="AL60" i="9"/>
  <c r="AE61" i="9"/>
  <c r="AM61" i="9"/>
  <c r="AF62" i="9"/>
  <c r="DK25" i="10" a="1"/>
  <c r="CV41" i="10" a="1"/>
  <c r="CG1" i="10" a="1"/>
  <c r="DK25" i="10" l="1"/>
  <c r="CV41" i="10"/>
  <c r="CU15" i="10" a="1"/>
  <c r="CU15" i="10" s="1"/>
  <c r="CY14" i="10" a="1"/>
  <c r="CY14" i="10" s="1"/>
  <c r="CY12" i="10" a="1"/>
  <c r="CY12" i="10" s="1"/>
  <c r="CY11" i="10" a="1"/>
  <c r="CY11" i="10" s="1"/>
  <c r="CY10" i="10" a="1"/>
  <c r="CY10" i="10" s="1"/>
  <c r="CZ9" i="10" a="1"/>
  <c r="CZ9" i="10" s="1"/>
  <c r="CW14" i="10" a="1"/>
  <c r="CW14" i="10" s="1"/>
  <c r="CV12" i="10" a="1"/>
  <c r="CV12" i="10" s="1"/>
  <c r="CV10" i="10" a="1"/>
  <c r="CV10" i="10" s="1"/>
  <c r="CV11" i="10" s="1" a="1"/>
  <c r="CV11" i="10" s="1"/>
  <c r="CU9" i="10"/>
  <c r="CY15" i="10" a="1"/>
  <c r="CY15" i="10" s="1"/>
  <c r="CV14" i="10" a="1"/>
  <c r="CV14" i="10" s="1"/>
  <c r="CW15" i="10" a="1"/>
  <c r="CW15" i="10" s="1"/>
  <c r="CU14" i="10" a="1"/>
  <c r="CU14" i="10" s="1"/>
  <c r="CG1" i="10"/>
  <c r="AN62" i="9"/>
  <c r="AG63" i="9"/>
  <c r="AO63" i="9"/>
  <c r="AH64" i="9"/>
  <c r="AP64" i="9"/>
  <c r="AI65" i="9"/>
  <c r="AJ66" i="9"/>
  <c r="AK67" i="9"/>
  <c r="AD68" i="9"/>
  <c r="AL68" i="9"/>
  <c r="AE69" i="9"/>
  <c r="AM69" i="9"/>
  <c r="AF70" i="9"/>
  <c r="CG33" i="10" a="1"/>
  <c r="DL31" i="10" l="1" a="1"/>
  <c r="DL31" i="10" s="1"/>
  <c r="DJ30" i="10" a="1"/>
  <c r="DJ30" i="10" s="1"/>
  <c r="DL30" i="10" a="1"/>
  <c r="DL30" i="10" s="1"/>
  <c r="DK26" i="10" a="1"/>
  <c r="DK26" i="10" s="1"/>
  <c r="DK27" i="10" s="1" a="1"/>
  <c r="DK27" i="10" s="1"/>
  <c r="DJ31" i="10" a="1"/>
  <c r="DJ31" i="10" s="1"/>
  <c r="DN30" i="10" a="1"/>
  <c r="DN30" i="10" s="1"/>
  <c r="DN28" i="10" a="1"/>
  <c r="DN28" i="10" s="1"/>
  <c r="DN27" i="10" a="1"/>
  <c r="DN27" i="10" s="1"/>
  <c r="DN26" i="10" a="1"/>
  <c r="DN26" i="10" s="1"/>
  <c r="DO25" i="10" a="1"/>
  <c r="DO25" i="10" s="1"/>
  <c r="DN31" i="10" a="1"/>
  <c r="DN31" i="10" s="1"/>
  <c r="DK30" i="10" a="1"/>
  <c r="DK30" i="10" s="1"/>
  <c r="DK28" i="10" a="1"/>
  <c r="DK28" i="10" s="1"/>
  <c r="DJ25" i="10"/>
  <c r="CU41" i="10"/>
  <c r="CY47" i="10" a="1"/>
  <c r="CY47" i="10" s="1"/>
  <c r="CV46" i="10" a="1"/>
  <c r="CV46" i="10" s="1"/>
  <c r="CW47" i="10" a="1"/>
  <c r="CW47" i="10" s="1"/>
  <c r="CU46" i="10" a="1"/>
  <c r="CU46" i="10" s="1"/>
  <c r="CU47" i="10" a="1"/>
  <c r="CU47" i="10" s="1"/>
  <c r="CY46" i="10" a="1"/>
  <c r="CY46" i="10" s="1"/>
  <c r="CY44" i="10" a="1"/>
  <c r="CY44" i="10" s="1"/>
  <c r="CY43" i="10" a="1"/>
  <c r="CY43" i="10" s="1"/>
  <c r="CY42" i="10" a="1"/>
  <c r="CY42" i="10" s="1"/>
  <c r="CZ41" i="10" a="1"/>
  <c r="CZ41" i="10" s="1"/>
  <c r="CW46" i="10" a="1"/>
  <c r="CW46" i="10" s="1"/>
  <c r="CV44" i="10" a="1"/>
  <c r="CV44" i="10" s="1"/>
  <c r="CV42" i="10" a="1"/>
  <c r="CV42" i="10" s="1"/>
  <c r="CV43" i="10" s="1" a="1"/>
  <c r="CV43" i="10" s="1"/>
  <c r="CG33" i="10"/>
  <c r="CF7" i="10" a="1"/>
  <c r="CF7" i="10" s="1"/>
  <c r="CJ6" i="10" a="1"/>
  <c r="CJ6" i="10" s="1"/>
  <c r="CJ4" i="10" a="1"/>
  <c r="CJ4" i="10" s="1"/>
  <c r="CJ3" i="10" a="1"/>
  <c r="CJ3" i="10" s="1"/>
  <c r="CJ2" i="10" a="1"/>
  <c r="CJ2" i="10" s="1"/>
  <c r="CK1" i="10" a="1"/>
  <c r="CK1" i="10" s="1"/>
  <c r="CH6" i="10" a="1"/>
  <c r="CH6" i="10" s="1"/>
  <c r="CG4" i="10" a="1"/>
  <c r="CG4" i="10" s="1"/>
  <c r="CG2" i="10" a="1"/>
  <c r="CG2" i="10" s="1"/>
  <c r="CG3" i="10" s="1" a="1"/>
  <c r="CG3" i="10" s="1"/>
  <c r="CH7" i="10" a="1"/>
  <c r="CH7" i="10" s="1"/>
  <c r="CF1" i="10"/>
  <c r="CJ7" i="10" a="1"/>
  <c r="CJ7" i="10" s="1"/>
  <c r="CG6" i="10" a="1"/>
  <c r="CG6" i="10" s="1"/>
  <c r="CF6" i="10" a="1"/>
  <c r="CF6" i="10" s="1"/>
  <c r="AN70" i="9"/>
  <c r="AH71" i="9"/>
  <c r="AP71" i="9"/>
  <c r="AI72" i="9"/>
  <c r="AJ73" i="9"/>
  <c r="AE74" i="9"/>
  <c r="AM74" i="9"/>
  <c r="AF75" i="9"/>
  <c r="CO9" i="10" a="1"/>
  <c r="CO9" i="10" l="1"/>
  <c r="CJ39" i="10" a="1"/>
  <c r="CJ39" i="10" s="1"/>
  <c r="CG38" i="10" a="1"/>
  <c r="CG38" i="10" s="1"/>
  <c r="CH39" i="10" a="1"/>
  <c r="CH39" i="10" s="1"/>
  <c r="CF38" i="10" a="1"/>
  <c r="CF38" i="10" s="1"/>
  <c r="CG36" i="10" a="1"/>
  <c r="CG36" i="10" s="1"/>
  <c r="CF39" i="10" a="1"/>
  <c r="CF39" i="10" s="1"/>
  <c r="CJ38" i="10" a="1"/>
  <c r="CJ38" i="10" s="1"/>
  <c r="CJ36" i="10" a="1"/>
  <c r="CJ36" i="10" s="1"/>
  <c r="CJ35" i="10" a="1"/>
  <c r="CJ35" i="10" s="1"/>
  <c r="CJ34" i="10" a="1"/>
  <c r="CJ34" i="10" s="1"/>
  <c r="CK33" i="10" a="1"/>
  <c r="CK33" i="10" s="1"/>
  <c r="CH38" i="10" a="1"/>
  <c r="CH38" i="10" s="1"/>
  <c r="CG34" i="10" a="1"/>
  <c r="CG34" i="10" s="1"/>
  <c r="CG35" i="10" s="1" a="1"/>
  <c r="CG35" i="10" s="1"/>
  <c r="CF33" i="10"/>
  <c r="AN75" i="9"/>
  <c r="AG76" i="9"/>
  <c r="AO76" i="9"/>
  <c r="AH77" i="9"/>
  <c r="AP77" i="9"/>
  <c r="AI78" i="9"/>
  <c r="AJ79" i="9"/>
  <c r="AK80" i="9"/>
  <c r="AD81" i="9"/>
  <c r="AL81" i="9"/>
  <c r="AE82" i="9"/>
  <c r="AM82" i="9"/>
  <c r="AF83" i="9"/>
  <c r="AN83" i="9"/>
  <c r="AG84" i="9"/>
  <c r="AO84" i="9"/>
  <c r="AH85" i="9"/>
  <c r="AP85" i="9"/>
  <c r="AI86" i="9"/>
  <c r="AJ87" i="9"/>
  <c r="AK88" i="9"/>
  <c r="AD89" i="9"/>
  <c r="AL89" i="9"/>
  <c r="AE90" i="9"/>
  <c r="AM90" i="9"/>
  <c r="AF91" i="9"/>
  <c r="AN91" i="9"/>
  <c r="AG92" i="9"/>
  <c r="AO92" i="9"/>
  <c r="AH93" i="9"/>
  <c r="AP93" i="9"/>
  <c r="AI94" i="9"/>
  <c r="AJ95" i="9"/>
  <c r="AK96" i="9"/>
  <c r="AD97" i="9"/>
  <c r="AL97" i="9"/>
  <c r="AE98" i="9"/>
  <c r="AM98" i="9"/>
  <c r="AF99" i="9"/>
  <c r="AN99" i="9"/>
  <c r="AK100" i="9"/>
  <c r="AK101" i="9"/>
  <c r="AE102" i="9"/>
  <c r="AO102" i="9"/>
  <c r="AD103" i="9"/>
  <c r="AN103" i="9"/>
  <c r="AM104" i="9"/>
  <c r="AI105" i="9"/>
  <c r="AH106" i="9"/>
  <c r="AD107" i="9"/>
  <c r="AP107" i="9"/>
  <c r="AM108" i="9"/>
  <c r="AL109" i="9"/>
  <c r="AK110" i="9"/>
  <c r="AN111" i="9"/>
  <c r="AK112" i="9"/>
  <c r="AN113" i="9"/>
  <c r="AI114" i="9"/>
  <c r="AP115" i="9"/>
  <c r="AL117" i="9"/>
  <c r="AE118" i="9"/>
  <c r="AN119" i="9"/>
  <c r="AF120" i="9"/>
  <c r="AO121" i="9"/>
  <c r="AI122" i="9"/>
  <c r="AE125" i="9"/>
  <c r="AN126" i="9"/>
  <c r="AH128" i="9"/>
  <c r="AL132" i="9"/>
  <c r="AF135" i="9"/>
  <c r="AM148" i="9"/>
  <c r="AP151" i="9"/>
  <c r="AJ158" i="9"/>
  <c r="AJ167" i="9"/>
  <c r="AH76" i="9"/>
  <c r="AP76" i="9"/>
  <c r="AI77" i="9"/>
  <c r="AJ78" i="9"/>
  <c r="AK79" i="9"/>
  <c r="AD80" i="9"/>
  <c r="AL80" i="9"/>
  <c r="AE81" i="9"/>
  <c r="AM81" i="9"/>
  <c r="AF82" i="9"/>
  <c r="AN82" i="9"/>
  <c r="AG83" i="9"/>
  <c r="AO83" i="9"/>
  <c r="AH84" i="9"/>
  <c r="AP84" i="9"/>
  <c r="AI85" i="9"/>
  <c r="AJ86" i="9"/>
  <c r="AK87" i="9"/>
  <c r="AD88" i="9"/>
  <c r="AL88" i="9"/>
  <c r="AE89" i="9"/>
  <c r="AM89" i="9"/>
  <c r="AF90" i="9"/>
  <c r="AN90" i="9"/>
  <c r="AG91" i="9"/>
  <c r="AO91" i="9"/>
  <c r="AH92" i="9"/>
  <c r="AP92" i="9"/>
  <c r="AI93" i="9"/>
  <c r="AJ94" i="9"/>
  <c r="AK95" i="9"/>
  <c r="AD96" i="9"/>
  <c r="AL96" i="9"/>
  <c r="AE97" i="9"/>
  <c r="AM97" i="9"/>
  <c r="AF98" i="9"/>
  <c r="AN98" i="9"/>
  <c r="AG99" i="9"/>
  <c r="AO99" i="9"/>
  <c r="AL100" i="9"/>
  <c r="AL101" i="9"/>
  <c r="AF102" i="9"/>
  <c r="AE103" i="9"/>
  <c r="AO103" i="9"/>
  <c r="AN104" i="9"/>
  <c r="AJ105" i="9"/>
  <c r="AI106" i="9"/>
  <c r="AF107" i="9"/>
  <c r="AD108" i="9"/>
  <c r="AO108" i="9"/>
  <c r="AM109" i="9"/>
  <c r="AL110" i="9"/>
  <c r="AD111" i="9"/>
  <c r="AO111" i="9"/>
  <c r="AM112" i="9"/>
  <c r="AO113" i="9"/>
  <c r="AJ114" i="9"/>
  <c r="AD116" i="9"/>
  <c r="AM117" i="9"/>
  <c r="AF118" i="9"/>
  <c r="AO119" i="9"/>
  <c r="AG120" i="9"/>
  <c r="AP121" i="9"/>
  <c r="AJ122" i="9"/>
  <c r="AL125" i="9"/>
  <c r="AO128" i="9"/>
  <c r="AE134" i="9"/>
  <c r="AG135" i="9"/>
  <c r="AG136" i="9"/>
  <c r="AE144" i="9"/>
  <c r="AG145" i="9"/>
  <c r="AD160" i="9"/>
  <c r="AN161" i="9"/>
  <c r="AK162" i="9"/>
  <c r="AF164" i="9"/>
  <c r="AL166" i="9"/>
  <c r="AF103" i="9"/>
  <c r="AP103" i="9"/>
  <c r="AE104" i="9"/>
  <c r="AO104" i="9"/>
  <c r="AL105" i="9"/>
  <c r="AJ106" i="9"/>
  <c r="AH107" i="9"/>
  <c r="AE108" i="9"/>
  <c r="AD109" i="9"/>
  <c r="AN109" i="9"/>
  <c r="AM110" i="9"/>
  <c r="AE111" i="9"/>
  <c r="AN112" i="9"/>
  <c r="AD113" i="9"/>
  <c r="AP113" i="9"/>
  <c r="AM114" i="9"/>
  <c r="AF115" i="9"/>
  <c r="AG116" i="9"/>
  <c r="AP117" i="9"/>
  <c r="AI118" i="9"/>
  <c r="AH120" i="9"/>
  <c r="AJ123" i="9"/>
  <c r="AD124" i="9"/>
  <c r="AM125" i="9"/>
  <c r="AP128" i="9"/>
  <c r="AI130" i="9"/>
  <c r="AF134" i="9"/>
  <c r="AN135" i="9"/>
  <c r="AH136" i="9"/>
  <c r="AI137" i="9"/>
  <c r="AD140" i="9"/>
  <c r="AG141" i="9"/>
  <c r="AM144" i="9"/>
  <c r="AO145" i="9"/>
  <c r="AL157" i="9"/>
  <c r="AP160" i="9"/>
  <c r="AH53" i="9"/>
  <c r="AP53" i="9"/>
  <c r="AI54" i="9"/>
  <c r="AJ55" i="9"/>
  <c r="AK56" i="9"/>
  <c r="AD57" i="9"/>
  <c r="AL57" i="9"/>
  <c r="AE58" i="9"/>
  <c r="AM58" i="9"/>
  <c r="AF59" i="9"/>
  <c r="EO33" i="10" a="1"/>
  <c r="EO41" i="10" a="1"/>
  <c r="EH25" i="10" a="1"/>
  <c r="DS41" i="10" a="1"/>
  <c r="DZ17" i="10" a="1"/>
  <c r="DZ1" i="10" a="1"/>
  <c r="DS9" i="10" a="1"/>
  <c r="DS25" i="10" a="1"/>
  <c r="DD25" i="10" a="1"/>
  <c r="DK17" i="10" a="1"/>
  <c r="CV33" i="10" a="1"/>
  <c r="CO41" i="10" a="1"/>
  <c r="BK41" i="10" a="1"/>
  <c r="EH25" i="10" l="1"/>
  <c r="EO41" i="10"/>
  <c r="EO33" i="10"/>
  <c r="DS25" i="10"/>
  <c r="DS9" i="10"/>
  <c r="DZ1" i="10"/>
  <c r="DZ17" i="10"/>
  <c r="DS41" i="10"/>
  <c r="DK17" i="10"/>
  <c r="DD25" i="10"/>
  <c r="CO41" i="10"/>
  <c r="CV33" i="10"/>
  <c r="CR14" i="10" a="1"/>
  <c r="CR14" i="10" s="1"/>
  <c r="CN9" i="10"/>
  <c r="CR15" i="10" a="1"/>
  <c r="CR15" i="10" s="1"/>
  <c r="CP14" i="10" a="1"/>
  <c r="CP14" i="10" s="1"/>
  <c r="CP15" i="10" a="1"/>
  <c r="CP15" i="10" s="1"/>
  <c r="CO14" i="10" a="1"/>
  <c r="CO14" i="10" s="1"/>
  <c r="CR12" i="10" a="1"/>
  <c r="CR12" i="10" s="1"/>
  <c r="CR11" i="10" a="1"/>
  <c r="CR11" i="10" s="1"/>
  <c r="CR10" i="10" a="1"/>
  <c r="CR10" i="10" s="1"/>
  <c r="CN15" i="10" a="1"/>
  <c r="CN15" i="10" s="1"/>
  <c r="CN14" i="10" a="1"/>
  <c r="CN14" i="10" s="1"/>
  <c r="CO12" i="10" a="1"/>
  <c r="CO12" i="10" s="1"/>
  <c r="CO10" i="10" a="1"/>
  <c r="CO10" i="10" s="1"/>
  <c r="CO11" i="10" s="1" a="1"/>
  <c r="CO11" i="10" s="1"/>
  <c r="CS9" i="10" a="1"/>
  <c r="CS9" i="10" s="1"/>
  <c r="BK41" i="10"/>
  <c r="AN59" i="9"/>
  <c r="AG60" i="9"/>
  <c r="AO60" i="9"/>
  <c r="AH61" i="9"/>
  <c r="AP61" i="9"/>
  <c r="AI62" i="9"/>
  <c r="AJ63" i="9"/>
  <c r="AK64" i="9"/>
  <c r="AD65" i="9"/>
  <c r="AL65" i="9"/>
  <c r="AE66" i="9"/>
  <c r="AM66" i="9"/>
  <c r="AF67" i="9"/>
  <c r="BZ25" i="10" a="1"/>
  <c r="ER39" i="10" l="1" a="1"/>
  <c r="ER39" i="10" s="1"/>
  <c r="EO38" i="10" a="1"/>
  <c r="EO38" i="10" s="1"/>
  <c r="EP39" i="10" a="1"/>
  <c r="EP39" i="10" s="1"/>
  <c r="EN38" i="10" a="1"/>
  <c r="EN38" i="10" s="1"/>
  <c r="EN39" i="10" a="1"/>
  <c r="EN39" i="10" s="1"/>
  <c r="ER38" i="10" a="1"/>
  <c r="ER38" i="10" s="1"/>
  <c r="ER36" i="10" a="1"/>
  <c r="ER36" i="10" s="1"/>
  <c r="ER35" i="10" a="1"/>
  <c r="ER35" i="10" s="1"/>
  <c r="ER34" i="10" a="1"/>
  <c r="ER34" i="10" s="1"/>
  <c r="ES33" i="10" a="1"/>
  <c r="ES33" i="10" s="1"/>
  <c r="EP38" i="10" a="1"/>
  <c r="EP38" i="10" s="1"/>
  <c r="EO36" i="10" a="1"/>
  <c r="EO36" i="10" s="1"/>
  <c r="EO34" i="10" a="1"/>
  <c r="EO34" i="10" s="1"/>
  <c r="EO35" i="10" s="1" a="1"/>
  <c r="EO35" i="10" s="1"/>
  <c r="EN33" i="10"/>
  <c r="EN41" i="10"/>
  <c r="ER47" i="10" a="1"/>
  <c r="ER47" i="10" s="1"/>
  <c r="EO46" i="10" a="1"/>
  <c r="EO46" i="10" s="1"/>
  <c r="EP47" i="10" a="1"/>
  <c r="EP47" i="10" s="1"/>
  <c r="EN46" i="10" a="1"/>
  <c r="EN46" i="10" s="1"/>
  <c r="EN47" i="10" a="1"/>
  <c r="EN47" i="10" s="1"/>
  <c r="ER46" i="10" a="1"/>
  <c r="ER46" i="10" s="1"/>
  <c r="ER44" i="10" a="1"/>
  <c r="ER44" i="10" s="1"/>
  <c r="ER43" i="10" a="1"/>
  <c r="ER43" i="10" s="1"/>
  <c r="ER42" i="10" a="1"/>
  <c r="ER42" i="10" s="1"/>
  <c r="ES41" i="10" a="1"/>
  <c r="ES41" i="10" s="1"/>
  <c r="EP46" i="10" a="1"/>
  <c r="EP46" i="10" s="1"/>
  <c r="EO44" i="10" a="1"/>
  <c r="EO44" i="10" s="1"/>
  <c r="EO42" i="10" a="1"/>
  <c r="EO42" i="10" s="1"/>
  <c r="EO43" i="10" s="1" a="1"/>
  <c r="EO43" i="10" s="1"/>
  <c r="EG31" i="10" a="1"/>
  <c r="EG31" i="10" s="1"/>
  <c r="EG30" i="10" a="1"/>
  <c r="EG30" i="10" s="1"/>
  <c r="EH28" i="10" a="1"/>
  <c r="EH28" i="10" s="1"/>
  <c r="EH26" i="10" a="1"/>
  <c r="EH26" i="10" s="1"/>
  <c r="EH27" i="10" s="1" a="1"/>
  <c r="EH27" i="10" s="1"/>
  <c r="EL25" i="10" a="1"/>
  <c r="EL25" i="10" s="1"/>
  <c r="EK30" i="10" a="1"/>
  <c r="EK30" i="10" s="1"/>
  <c r="EG25" i="10"/>
  <c r="EK31" i="10" a="1"/>
  <c r="EK31" i="10" s="1"/>
  <c r="EI30" i="10" a="1"/>
  <c r="EI30" i="10" s="1"/>
  <c r="EI31" i="10" a="1"/>
  <c r="EI31" i="10" s="1"/>
  <c r="EH30" i="10" a="1"/>
  <c r="EH30" i="10" s="1"/>
  <c r="EK28" i="10" a="1"/>
  <c r="EK28" i="10" s="1"/>
  <c r="EK27" i="10" a="1"/>
  <c r="EK27" i="10" s="1"/>
  <c r="EK26" i="10" a="1"/>
  <c r="EK26" i="10" s="1"/>
  <c r="DT47" i="10" a="1"/>
  <c r="DT47" i="10" s="1"/>
  <c r="DS46" i="10" a="1"/>
  <c r="DS46" i="10" s="1"/>
  <c r="DV44" i="10" a="1"/>
  <c r="DV44" i="10" s="1"/>
  <c r="DV43" i="10" a="1"/>
  <c r="DV43" i="10" s="1"/>
  <c r="DV42" i="10" a="1"/>
  <c r="DV42" i="10" s="1"/>
  <c r="DR47" i="10" a="1"/>
  <c r="DR47" i="10" s="1"/>
  <c r="DR46" i="10" a="1"/>
  <c r="DR46" i="10" s="1"/>
  <c r="DS44" i="10" a="1"/>
  <c r="DS44" i="10" s="1"/>
  <c r="DS42" i="10" a="1"/>
  <c r="DS42" i="10" s="1"/>
  <c r="DS43" i="10" s="1" a="1"/>
  <c r="DS43" i="10" s="1"/>
  <c r="DW41" i="10" a="1"/>
  <c r="DW41" i="10" s="1"/>
  <c r="DV46" i="10" a="1"/>
  <c r="DV46" i="10" s="1"/>
  <c r="DR41" i="10"/>
  <c r="DV47" i="10" a="1"/>
  <c r="DV47" i="10" s="1"/>
  <c r="DT46" i="10" a="1"/>
  <c r="DT46" i="10" s="1"/>
  <c r="EA23" i="10" a="1"/>
  <c r="EA23" i="10" s="1"/>
  <c r="DY22" i="10" a="1"/>
  <c r="DY22" i="10" s="1"/>
  <c r="DY23" i="10" a="1"/>
  <c r="DY23" i="10" s="1"/>
  <c r="EC22" i="10" a="1"/>
  <c r="EC22" i="10" s="1"/>
  <c r="EC20" i="10" a="1"/>
  <c r="EC20" i="10" s="1"/>
  <c r="EC19" i="10" a="1"/>
  <c r="EC19" i="10" s="1"/>
  <c r="EC18" i="10" a="1"/>
  <c r="EC18" i="10" s="1"/>
  <c r="ED17" i="10" a="1"/>
  <c r="ED17" i="10" s="1"/>
  <c r="EA22" i="10" a="1"/>
  <c r="EA22" i="10" s="1"/>
  <c r="DZ20" i="10" a="1"/>
  <c r="DZ20" i="10" s="1"/>
  <c r="DZ18" i="10" a="1"/>
  <c r="DZ18" i="10" s="1"/>
  <c r="DZ19" i="10" s="1" a="1"/>
  <c r="DZ19" i="10" s="1"/>
  <c r="DY17" i="10"/>
  <c r="EC23" i="10" a="1"/>
  <c r="EC23" i="10" s="1"/>
  <c r="DZ22" i="10" a="1"/>
  <c r="DZ22" i="10" s="1"/>
  <c r="DY7" i="10" a="1"/>
  <c r="DY7" i="10" s="1"/>
  <c r="EC6" i="10" a="1"/>
  <c r="EC6" i="10" s="1"/>
  <c r="EC4" i="10" a="1"/>
  <c r="EC4" i="10" s="1"/>
  <c r="EC3" i="10" a="1"/>
  <c r="EC3" i="10" s="1"/>
  <c r="EC2" i="10" a="1"/>
  <c r="EC2" i="10" s="1"/>
  <c r="ED1" i="10" a="1"/>
  <c r="ED1" i="10" s="1"/>
  <c r="EA6" i="10" a="1"/>
  <c r="EA6" i="10" s="1"/>
  <c r="DZ4" i="10" a="1"/>
  <c r="DZ4" i="10" s="1"/>
  <c r="DZ2" i="10" a="1"/>
  <c r="DZ2" i="10" s="1"/>
  <c r="DZ3" i="10" s="1" a="1"/>
  <c r="DZ3" i="10" s="1"/>
  <c r="DY1" i="10"/>
  <c r="EC7" i="10" a="1"/>
  <c r="EC7" i="10" s="1"/>
  <c r="DZ6" i="10" a="1"/>
  <c r="DZ6" i="10" s="1"/>
  <c r="EA7" i="10" a="1"/>
  <c r="EA7" i="10" s="1"/>
  <c r="DY6" i="10" a="1"/>
  <c r="DY6" i="10" s="1"/>
  <c r="DV14" i="10" a="1"/>
  <c r="DV14" i="10" s="1"/>
  <c r="DR9" i="10"/>
  <c r="DV15" i="10" a="1"/>
  <c r="DV15" i="10" s="1"/>
  <c r="DT14" i="10" a="1"/>
  <c r="DT14" i="10" s="1"/>
  <c r="DT15" i="10" a="1"/>
  <c r="DT15" i="10" s="1"/>
  <c r="DS14" i="10" a="1"/>
  <c r="DS14" i="10" s="1"/>
  <c r="DV12" i="10" a="1"/>
  <c r="DV12" i="10" s="1"/>
  <c r="DV11" i="10" a="1"/>
  <c r="DV11" i="10" s="1"/>
  <c r="DV10" i="10" a="1"/>
  <c r="DV10" i="10" s="1"/>
  <c r="DR15" i="10" a="1"/>
  <c r="DR15" i="10" s="1"/>
  <c r="DR14" i="10" a="1"/>
  <c r="DR14" i="10" s="1"/>
  <c r="DS12" i="10" a="1"/>
  <c r="DS12" i="10" s="1"/>
  <c r="DS10" i="10" a="1"/>
  <c r="DS10" i="10" s="1"/>
  <c r="DS11" i="10" s="1" a="1"/>
  <c r="DS11" i="10" s="1"/>
  <c r="DW9" i="10" a="1"/>
  <c r="DW9" i="10" s="1"/>
  <c r="DR31" i="10" a="1"/>
  <c r="DR31" i="10" s="1"/>
  <c r="DR30" i="10" a="1"/>
  <c r="DR30" i="10" s="1"/>
  <c r="DS28" i="10" a="1"/>
  <c r="DS28" i="10" s="1"/>
  <c r="DS26" i="10" a="1"/>
  <c r="DS26" i="10" s="1"/>
  <c r="DS27" i="10" s="1" a="1"/>
  <c r="DS27" i="10" s="1"/>
  <c r="DW25" i="10" a="1"/>
  <c r="DW25" i="10" s="1"/>
  <c r="DV30" i="10" a="1"/>
  <c r="DV30" i="10" s="1"/>
  <c r="DR25" i="10"/>
  <c r="DV31" i="10" a="1"/>
  <c r="DV31" i="10" s="1"/>
  <c r="DT30" i="10" a="1"/>
  <c r="DT30" i="10" s="1"/>
  <c r="DT31" i="10" a="1"/>
  <c r="DT31" i="10" s="1"/>
  <c r="DS30" i="10" a="1"/>
  <c r="DS30" i="10" s="1"/>
  <c r="DV28" i="10" a="1"/>
  <c r="DV28" i="10" s="1"/>
  <c r="DV27" i="10" a="1"/>
  <c r="DV27" i="10" s="1"/>
  <c r="DV26" i="10" a="1"/>
  <c r="DV26" i="10" s="1"/>
  <c r="DG31" i="10" a="1"/>
  <c r="DG31" i="10" s="1"/>
  <c r="DC31" i="10" a="1"/>
  <c r="DC31" i="10" s="1"/>
  <c r="DC30" i="10" a="1"/>
  <c r="DC30" i="10" s="1"/>
  <c r="DD28" i="10" a="1"/>
  <c r="DD28" i="10" s="1"/>
  <c r="DD26" i="10" a="1"/>
  <c r="DD26" i="10" s="1"/>
  <c r="DD27" i="10" s="1" a="1"/>
  <c r="DD27" i="10" s="1"/>
  <c r="DH25" i="10" a="1"/>
  <c r="DH25" i="10" s="1"/>
  <c r="DG30" i="10" a="1"/>
  <c r="DG30" i="10" s="1"/>
  <c r="DE30" i="10" a="1"/>
  <c r="DE30" i="10" s="1"/>
  <c r="DC25" i="10"/>
  <c r="DE31" i="10" a="1"/>
  <c r="DE31" i="10" s="1"/>
  <c r="DD30" i="10" a="1"/>
  <c r="DD30" i="10" s="1"/>
  <c r="DG28" i="10" a="1"/>
  <c r="DG28" i="10" s="1"/>
  <c r="DG27" i="10" a="1"/>
  <c r="DG27" i="10" s="1"/>
  <c r="DG26" i="10" a="1"/>
  <c r="DG26" i="10" s="1"/>
  <c r="DL23" i="10" a="1"/>
  <c r="DL23" i="10" s="1"/>
  <c r="DJ22" i="10" a="1"/>
  <c r="DJ22" i="10" s="1"/>
  <c r="DJ23" i="10" a="1"/>
  <c r="DJ23" i="10" s="1"/>
  <c r="DN22" i="10" a="1"/>
  <c r="DN22" i="10" s="1"/>
  <c r="DN20" i="10" a="1"/>
  <c r="DN20" i="10" s="1"/>
  <c r="DN19" i="10" a="1"/>
  <c r="DN19" i="10" s="1"/>
  <c r="DN18" i="10" a="1"/>
  <c r="DN18" i="10" s="1"/>
  <c r="DO17" i="10" a="1"/>
  <c r="DO17" i="10" s="1"/>
  <c r="DN23" i="10" a="1"/>
  <c r="DN23" i="10" s="1"/>
  <c r="DK22" i="10" a="1"/>
  <c r="DK22" i="10" s="1"/>
  <c r="DL22" i="10" a="1"/>
  <c r="DL22" i="10" s="1"/>
  <c r="DK20" i="10" a="1"/>
  <c r="DK20" i="10" s="1"/>
  <c r="DK18" i="10" a="1"/>
  <c r="DK18" i="10" s="1"/>
  <c r="DK19" i="10" s="1" a="1"/>
  <c r="DK19" i="10" s="1"/>
  <c r="DJ17" i="10"/>
  <c r="CY39" i="10" a="1"/>
  <c r="CY39" i="10" s="1"/>
  <c r="CV38" i="10" a="1"/>
  <c r="CV38" i="10" s="1"/>
  <c r="CW39" i="10" a="1"/>
  <c r="CW39" i="10" s="1"/>
  <c r="CU38" i="10" a="1"/>
  <c r="CU38" i="10" s="1"/>
  <c r="CV36" i="10" a="1"/>
  <c r="CV36" i="10" s="1"/>
  <c r="CU39" i="10" a="1"/>
  <c r="CU39" i="10" s="1"/>
  <c r="CY38" i="10" a="1"/>
  <c r="CY38" i="10" s="1"/>
  <c r="CY36" i="10" a="1"/>
  <c r="CY36" i="10" s="1"/>
  <c r="CY35" i="10" a="1"/>
  <c r="CY35" i="10" s="1"/>
  <c r="CY34" i="10" a="1"/>
  <c r="CY34" i="10" s="1"/>
  <c r="CZ33" i="10" a="1"/>
  <c r="CZ33" i="10" s="1"/>
  <c r="CV34" i="10" a="1"/>
  <c r="CV34" i="10" s="1"/>
  <c r="CV35" i="10" s="1" a="1"/>
  <c r="CV35" i="10" s="1"/>
  <c r="CU33" i="10"/>
  <c r="CW38" i="10" a="1"/>
  <c r="CW38" i="10" s="1"/>
  <c r="CP47" i="10" a="1"/>
  <c r="CP47" i="10" s="1"/>
  <c r="CO46" i="10" a="1"/>
  <c r="CO46" i="10" s="1"/>
  <c r="CR44" i="10" a="1"/>
  <c r="CR44" i="10" s="1"/>
  <c r="CR43" i="10" a="1"/>
  <c r="CR43" i="10" s="1"/>
  <c r="CR42" i="10" a="1"/>
  <c r="CR42" i="10" s="1"/>
  <c r="CN41" i="10"/>
  <c r="CN47" i="10" a="1"/>
  <c r="CN47" i="10" s="1"/>
  <c r="CN46" i="10" a="1"/>
  <c r="CN46" i="10" s="1"/>
  <c r="CO44" i="10" a="1"/>
  <c r="CO44" i="10" s="1"/>
  <c r="CO42" i="10" a="1"/>
  <c r="CO42" i="10" s="1"/>
  <c r="CO43" i="10" s="1" a="1"/>
  <c r="CO43" i="10" s="1"/>
  <c r="CS41" i="10" a="1"/>
  <c r="CS41" i="10" s="1"/>
  <c r="CR46" i="10" a="1"/>
  <c r="CR46" i="10" s="1"/>
  <c r="CR47" i="10" a="1"/>
  <c r="CR47" i="10" s="1"/>
  <c r="CP46" i="10" a="1"/>
  <c r="CP46" i="10" s="1"/>
  <c r="BZ25" i="10"/>
  <c r="BL47" i="10" a="1"/>
  <c r="BL47" i="10" s="1"/>
  <c r="BK46" i="10" a="1"/>
  <c r="BK46" i="10" s="1"/>
  <c r="BN44" i="10" a="1"/>
  <c r="BN44" i="10" s="1"/>
  <c r="BN43" i="10" a="1"/>
  <c r="BN43" i="10" s="1"/>
  <c r="BN42" i="10" a="1"/>
  <c r="BN42" i="10" s="1"/>
  <c r="BL46" i="10" a="1"/>
  <c r="BL46" i="10" s="1"/>
  <c r="BJ47" i="10" a="1"/>
  <c r="BJ47" i="10" s="1"/>
  <c r="BJ46" i="10" a="1"/>
  <c r="BJ46" i="10" s="1"/>
  <c r="BK44" i="10" a="1"/>
  <c r="BK44" i="10" s="1"/>
  <c r="BK42" i="10" a="1"/>
  <c r="BK42" i="10" s="1"/>
  <c r="BK43" i="10" s="1" a="1"/>
  <c r="BK43" i="10" s="1"/>
  <c r="BO41" i="10" a="1"/>
  <c r="BO41" i="10" s="1"/>
  <c r="BN46" i="10" a="1"/>
  <c r="BN46" i="10" s="1"/>
  <c r="BN47" i="10" a="1"/>
  <c r="BN47" i="10" s="1"/>
  <c r="BJ41" i="10"/>
  <c r="AN67" i="9"/>
  <c r="AG68" i="9"/>
  <c r="AO68" i="9"/>
  <c r="AH69" i="9"/>
  <c r="AP69" i="9"/>
  <c r="AI70" i="9"/>
  <c r="AK71" i="9"/>
  <c r="AD72" i="9"/>
  <c r="AL72" i="9"/>
  <c r="AE73" i="9"/>
  <c r="AM73" i="9"/>
  <c r="AH74" i="9"/>
  <c r="AP74" i="9"/>
  <c r="AI75" i="9"/>
  <c r="AJ76" i="9"/>
  <c r="AK77" i="9"/>
  <c r="AD78" i="9"/>
  <c r="AL78" i="9"/>
  <c r="AE79" i="9"/>
  <c r="AM79" i="9"/>
  <c r="AF80" i="9"/>
  <c r="AN80" i="9"/>
  <c r="AG81" i="9"/>
  <c r="AO81" i="9"/>
  <c r="AH82" i="9"/>
  <c r="AP82" i="9"/>
  <c r="AI83" i="9"/>
  <c r="AJ84" i="9"/>
  <c r="AK85" i="9"/>
  <c r="AD86" i="9"/>
  <c r="AL86" i="9"/>
  <c r="AE87" i="9"/>
  <c r="AM87" i="9"/>
  <c r="AF88" i="9"/>
  <c r="AN88" i="9"/>
  <c r="AG89" i="9"/>
  <c r="AO89" i="9"/>
  <c r="AH90" i="9"/>
  <c r="AP90" i="9"/>
  <c r="AI91" i="9"/>
  <c r="AJ92" i="9"/>
  <c r="AK93" i="9"/>
  <c r="AD94" i="9"/>
  <c r="AL94" i="9"/>
  <c r="AE95" i="9"/>
  <c r="AM95" i="9"/>
  <c r="AF96" i="9"/>
  <c r="AN96" i="9"/>
  <c r="AG97" i="9"/>
  <c r="AO97" i="9"/>
  <c r="AH98" i="9"/>
  <c r="AP98" i="9"/>
  <c r="AI99" i="9"/>
  <c r="AE100" i="9"/>
  <c r="AN100" i="9"/>
  <c r="AE101" i="9"/>
  <c r="AN101" i="9"/>
  <c r="AI102" i="9"/>
  <c r="AG103" i="9"/>
  <c r="AF104" i="9"/>
  <c r="AP104" i="9"/>
  <c r="AN105" i="9"/>
  <c r="AK106" i="9"/>
  <c r="AI107" i="9"/>
  <c r="AG108" i="9"/>
  <c r="AE109" i="9"/>
  <c r="AP109" i="9"/>
  <c r="AD110" i="9"/>
  <c r="AN110" i="9"/>
  <c r="AF111" i="9"/>
  <c r="AO112" i="9"/>
  <c r="AF113" i="9"/>
  <c r="AO114" i="9"/>
  <c r="AH115" i="9"/>
  <c r="AJ116" i="9"/>
  <c r="AL118" i="9"/>
  <c r="AE119" i="9"/>
  <c r="AK120" i="9"/>
  <c r="AK123" i="9"/>
  <c r="AK124" i="9"/>
  <c r="AH129" i="9"/>
  <c r="AJ130" i="9"/>
  <c r="AD133" i="9"/>
  <c r="AM134" i="9"/>
  <c r="AO135" i="9"/>
  <c r="AO136" i="9"/>
  <c r="AJ138" i="9"/>
  <c r="AL140" i="9"/>
  <c r="AO141" i="9"/>
  <c r="AI146" i="9"/>
  <c r="AE155" i="9"/>
  <c r="AP165" i="9"/>
  <c r="AD169" i="9"/>
  <c r="AL175" i="9"/>
  <c r="AP44" i="9"/>
  <c r="AI45" i="9"/>
  <c r="AL48" i="9"/>
  <c r="AE49" i="9"/>
  <c r="AM49" i="9"/>
  <c r="AF50" i="9"/>
  <c r="EH9" i="10" a="1"/>
  <c r="EH17" i="10" a="1"/>
  <c r="DZ25" i="10" a="1"/>
  <c r="DK9" i="10" a="1"/>
  <c r="DK41" i="10" a="1"/>
  <c r="CV25" i="10" a="1"/>
  <c r="BR1" i="10" a="1"/>
  <c r="EH17" i="10" l="1"/>
  <c r="EH9" i="10"/>
  <c r="DZ25" i="10"/>
  <c r="DK41" i="10"/>
  <c r="DK9" i="10"/>
  <c r="CV25" i="10"/>
  <c r="BY31" i="10" a="1"/>
  <c r="BY31" i="10" s="1"/>
  <c r="BY30" i="10" a="1"/>
  <c r="BY30" i="10" s="1"/>
  <c r="BZ28" i="10" a="1"/>
  <c r="BZ28" i="10" s="1"/>
  <c r="BZ26" i="10" a="1"/>
  <c r="BZ26" i="10" s="1"/>
  <c r="BZ27" i="10" s="1" a="1"/>
  <c r="BZ27" i="10" s="1"/>
  <c r="CD25" i="10" a="1"/>
  <c r="CD25" i="10" s="1"/>
  <c r="CC30" i="10" a="1"/>
  <c r="CC30" i="10" s="1"/>
  <c r="BY25" i="10"/>
  <c r="CC31" i="10" a="1"/>
  <c r="CC31" i="10" s="1"/>
  <c r="CA30" i="10" a="1"/>
  <c r="CA30" i="10" s="1"/>
  <c r="CA31" i="10" a="1"/>
  <c r="CA31" i="10" s="1"/>
  <c r="BZ30" i="10" a="1"/>
  <c r="BZ30" i="10" s="1"/>
  <c r="CC28" i="10" a="1"/>
  <c r="CC28" i="10" s="1"/>
  <c r="CC27" i="10" a="1"/>
  <c r="CC27" i="10" s="1"/>
  <c r="CC26" i="10" a="1"/>
  <c r="CC26" i="10" s="1"/>
  <c r="BR1" i="10"/>
  <c r="AN50" i="9"/>
  <c r="AG51" i="9"/>
  <c r="AO51" i="9"/>
  <c r="AH52" i="9"/>
  <c r="AP52" i="9"/>
  <c r="AI53" i="9"/>
  <c r="AJ54" i="9"/>
  <c r="AK55" i="9"/>
  <c r="AD56" i="9"/>
  <c r="AL56" i="9"/>
  <c r="AE57" i="9"/>
  <c r="AM57" i="9"/>
  <c r="AF58" i="9"/>
  <c r="BR33" i="10" a="1"/>
  <c r="EK14" i="10" l="1" a="1"/>
  <c r="EK14" i="10" s="1"/>
  <c r="EG9" i="10"/>
  <c r="EK15" i="10" a="1"/>
  <c r="EK15" i="10" s="1"/>
  <c r="EI14" i="10" a="1"/>
  <c r="EI14" i="10" s="1"/>
  <c r="EI15" i="10" a="1"/>
  <c r="EI15" i="10" s="1"/>
  <c r="EH14" i="10" a="1"/>
  <c r="EH14" i="10" s="1"/>
  <c r="EK12" i="10" a="1"/>
  <c r="EK12" i="10" s="1"/>
  <c r="EK11" i="10" a="1"/>
  <c r="EK11" i="10" s="1"/>
  <c r="EK10" i="10" a="1"/>
  <c r="EK10" i="10" s="1"/>
  <c r="EG15" i="10" a="1"/>
  <c r="EG15" i="10" s="1"/>
  <c r="EG14" i="10" a="1"/>
  <c r="EG14" i="10" s="1"/>
  <c r="EH12" i="10" a="1"/>
  <c r="EH12" i="10" s="1"/>
  <c r="EH10" i="10" a="1"/>
  <c r="EH10" i="10" s="1"/>
  <c r="EH11" i="10" s="1" a="1"/>
  <c r="EH11" i="10" s="1"/>
  <c r="EL9" i="10" a="1"/>
  <c r="EL9" i="10" s="1"/>
  <c r="EG23" i="10" a="1"/>
  <c r="EG23" i="10" s="1"/>
  <c r="EG22" i="10" a="1"/>
  <c r="EG22" i="10" s="1"/>
  <c r="EH20" i="10" a="1"/>
  <c r="EH20" i="10" s="1"/>
  <c r="EH18" i="10" a="1"/>
  <c r="EH18" i="10" s="1"/>
  <c r="EH19" i="10" s="1" a="1"/>
  <c r="EH19" i="10" s="1"/>
  <c r="EL17" i="10" a="1"/>
  <c r="EL17" i="10" s="1"/>
  <c r="EK22" i="10" a="1"/>
  <c r="EK22" i="10" s="1"/>
  <c r="EG17" i="10"/>
  <c r="EK23" i="10" a="1"/>
  <c r="EK23" i="10" s="1"/>
  <c r="EI22" i="10" a="1"/>
  <c r="EI22" i="10" s="1"/>
  <c r="EK20" i="10" a="1"/>
  <c r="EK20" i="10" s="1"/>
  <c r="EK18" i="10" a="1"/>
  <c r="EK18" i="10" s="1"/>
  <c r="EI23" i="10" a="1"/>
  <c r="EI23" i="10" s="1"/>
  <c r="EH22" i="10" a="1"/>
  <c r="EH22" i="10" s="1"/>
  <c r="EK19" i="10" a="1"/>
  <c r="EK19" i="10" s="1"/>
  <c r="EA31" i="10" a="1"/>
  <c r="EA31" i="10" s="1"/>
  <c r="DY30" i="10" a="1"/>
  <c r="DY30" i="10" s="1"/>
  <c r="DY31" i="10" a="1"/>
  <c r="DY31" i="10" s="1"/>
  <c r="EC30" i="10" a="1"/>
  <c r="EC30" i="10" s="1"/>
  <c r="EC28" i="10" a="1"/>
  <c r="EC28" i="10" s="1"/>
  <c r="EC27" i="10" a="1"/>
  <c r="EC27" i="10" s="1"/>
  <c r="EC26" i="10" a="1"/>
  <c r="EC26" i="10" s="1"/>
  <c r="ED25" i="10" a="1"/>
  <c r="ED25" i="10" s="1"/>
  <c r="EA30" i="10" a="1"/>
  <c r="EA30" i="10" s="1"/>
  <c r="DZ28" i="10" a="1"/>
  <c r="DZ28" i="10" s="1"/>
  <c r="DZ26" i="10" a="1"/>
  <c r="DZ26" i="10" s="1"/>
  <c r="DZ27" i="10" s="1" a="1"/>
  <c r="DZ27" i="10" s="1"/>
  <c r="DY25" i="10"/>
  <c r="EC31" i="10" a="1"/>
  <c r="EC31" i="10" s="1"/>
  <c r="DZ30" i="10" a="1"/>
  <c r="DZ30" i="10" s="1"/>
  <c r="DK14" i="10" a="1"/>
  <c r="DK14" i="10" s="1"/>
  <c r="DJ15" i="10" a="1"/>
  <c r="DJ15" i="10" s="1"/>
  <c r="DN14" i="10" a="1"/>
  <c r="DN14" i="10" s="1"/>
  <c r="DN12" i="10" a="1"/>
  <c r="DN12" i="10" s="1"/>
  <c r="DN11" i="10" a="1"/>
  <c r="DN11" i="10" s="1"/>
  <c r="DN10" i="10" a="1"/>
  <c r="DN10" i="10" s="1"/>
  <c r="DO9" i="10" a="1"/>
  <c r="DO9" i="10" s="1"/>
  <c r="DL14" i="10" a="1"/>
  <c r="DL14" i="10" s="1"/>
  <c r="DK12" i="10" a="1"/>
  <c r="DK12" i="10" s="1"/>
  <c r="DK10" i="10" a="1"/>
  <c r="DK10" i="10" s="1"/>
  <c r="DK11" i="10" s="1" a="1"/>
  <c r="DK11" i="10" s="1"/>
  <c r="DN15" i="10" a="1"/>
  <c r="DN15" i="10" s="1"/>
  <c r="DJ9" i="10"/>
  <c r="DL15" i="10" a="1"/>
  <c r="DL15" i="10" s="1"/>
  <c r="DJ14" i="10" a="1"/>
  <c r="DJ14" i="10" s="1"/>
  <c r="DJ41" i="10"/>
  <c r="DN47" i="10" a="1"/>
  <c r="DN47" i="10" s="1"/>
  <c r="DK46" i="10" a="1"/>
  <c r="DK46" i="10" s="1"/>
  <c r="DN43" i="10" a="1"/>
  <c r="DN43" i="10" s="1"/>
  <c r="DJ47" i="10" a="1"/>
  <c r="DJ47" i="10" s="1"/>
  <c r="DN42" i="10" a="1"/>
  <c r="DN42" i="10" s="1"/>
  <c r="DO41" i="10" a="1"/>
  <c r="DO41" i="10" s="1"/>
  <c r="DL47" i="10" a="1"/>
  <c r="DL47" i="10" s="1"/>
  <c r="DJ46" i="10" a="1"/>
  <c r="DJ46" i="10" s="1"/>
  <c r="DN46" i="10" a="1"/>
  <c r="DN46" i="10" s="1"/>
  <c r="DL46" i="10" a="1"/>
  <c r="DL46" i="10" s="1"/>
  <c r="DK44" i="10" a="1"/>
  <c r="DK44" i="10" s="1"/>
  <c r="DK42" i="10" a="1"/>
  <c r="DK42" i="10" s="1"/>
  <c r="DK43" i="10" s="1" a="1"/>
  <c r="DK43" i="10" s="1"/>
  <c r="DN44" i="10" a="1"/>
  <c r="DN44" i="10" s="1"/>
  <c r="CU25" i="10"/>
  <c r="CW31" i="10" a="1"/>
  <c r="CW31" i="10" s="1"/>
  <c r="CU30" i="10" a="1"/>
  <c r="CU30" i="10" s="1"/>
  <c r="CU31" i="10" a="1"/>
  <c r="CU31" i="10" s="1"/>
  <c r="CY30" i="10" a="1"/>
  <c r="CY30" i="10" s="1"/>
  <c r="CY28" i="10" a="1"/>
  <c r="CY28" i="10" s="1"/>
  <c r="CY27" i="10" a="1"/>
  <c r="CY27" i="10" s="1"/>
  <c r="CY26" i="10" a="1"/>
  <c r="CY26" i="10" s="1"/>
  <c r="CZ25" i="10" a="1"/>
  <c r="CZ25" i="10" s="1"/>
  <c r="CW30" i="10" a="1"/>
  <c r="CW30" i="10" s="1"/>
  <c r="CV28" i="10" a="1"/>
  <c r="CV28" i="10" s="1"/>
  <c r="CV26" i="10" a="1"/>
  <c r="CV26" i="10" s="1"/>
  <c r="CV27" i="10" s="1" a="1"/>
  <c r="CV27" i="10" s="1"/>
  <c r="CY31" i="10" a="1"/>
  <c r="CY31" i="10" s="1"/>
  <c r="CV30" i="10" a="1"/>
  <c r="CV30" i="10" s="1"/>
  <c r="BR33" i="10"/>
  <c r="BQ7" i="10" a="1"/>
  <c r="BQ7" i="10" s="1"/>
  <c r="BU6" i="10" a="1"/>
  <c r="BU6" i="10" s="1"/>
  <c r="BU4" i="10" a="1"/>
  <c r="BU4" i="10" s="1"/>
  <c r="BU3" i="10" a="1"/>
  <c r="BU3" i="10" s="1"/>
  <c r="BU2" i="10" a="1"/>
  <c r="BU2" i="10" s="1"/>
  <c r="BV1" i="10" a="1"/>
  <c r="BV1" i="10" s="1"/>
  <c r="BS6" i="10" a="1"/>
  <c r="BS6" i="10" s="1"/>
  <c r="BR4" i="10" a="1"/>
  <c r="BR4" i="10" s="1"/>
  <c r="BR2" i="10" a="1"/>
  <c r="BR2" i="10" s="1"/>
  <c r="BR3" i="10" s="1" a="1"/>
  <c r="BR3" i="10" s="1"/>
  <c r="BQ1" i="10"/>
  <c r="BU7" i="10" a="1"/>
  <c r="BU7" i="10" s="1"/>
  <c r="BR6" i="10" a="1"/>
  <c r="BR6" i="10" s="1"/>
  <c r="BS7" i="10" a="1"/>
  <c r="BS7" i="10" s="1"/>
  <c r="BQ6" i="10" a="1"/>
  <c r="BQ6" i="10" s="1"/>
  <c r="AN58" i="9"/>
  <c r="AG59" i="9"/>
  <c r="AO59" i="9"/>
  <c r="AH60" i="9"/>
  <c r="AP60" i="9"/>
  <c r="AI61" i="9"/>
  <c r="AJ62" i="9"/>
  <c r="AK63" i="9"/>
  <c r="AD64" i="9"/>
  <c r="AL64" i="9"/>
  <c r="AE65" i="9"/>
  <c r="AM65" i="9"/>
  <c r="AF66" i="9"/>
  <c r="CG17" i="10" a="1"/>
  <c r="CG17" i="10" l="1"/>
  <c r="BU39" i="10" a="1"/>
  <c r="BU39" i="10" s="1"/>
  <c r="BR38" i="10" a="1"/>
  <c r="BR38" i="10" s="1"/>
  <c r="BS39" i="10" a="1"/>
  <c r="BS39" i="10" s="1"/>
  <c r="BQ38" i="10" a="1"/>
  <c r="BQ38" i="10" s="1"/>
  <c r="BQ39" i="10" a="1"/>
  <c r="BQ39" i="10" s="1"/>
  <c r="BU38" i="10" a="1"/>
  <c r="BU38" i="10" s="1"/>
  <c r="BU36" i="10" a="1"/>
  <c r="BU36" i="10" s="1"/>
  <c r="BU35" i="10" a="1"/>
  <c r="BU35" i="10" s="1"/>
  <c r="BU34" i="10" a="1"/>
  <c r="BU34" i="10" s="1"/>
  <c r="BV33" i="10" a="1"/>
  <c r="BV33" i="10" s="1"/>
  <c r="BQ33" i="10"/>
  <c r="BS38" i="10" a="1"/>
  <c r="BS38" i="10" s="1"/>
  <c r="BR36" i="10" a="1"/>
  <c r="BR36" i="10" s="1"/>
  <c r="BR34" i="10" a="1"/>
  <c r="BR34" i="10" s="1"/>
  <c r="BR35" i="10" s="1" a="1"/>
  <c r="BR35" i="10" s="1"/>
  <c r="AN66" i="9"/>
  <c r="AG67" i="9"/>
  <c r="AO67" i="9"/>
  <c r="AH68" i="9"/>
  <c r="AP68" i="9"/>
  <c r="AI69" i="9"/>
  <c r="AJ70" i="9"/>
  <c r="AD71" i="9"/>
  <c r="AL71" i="9"/>
  <c r="AE72" i="9"/>
  <c r="AM72" i="9"/>
  <c r="AF73" i="9"/>
  <c r="CO1" i="10" a="1"/>
  <c r="CO1" i="10" l="1"/>
  <c r="CH23" i="10" a="1"/>
  <c r="CH23" i="10" s="1"/>
  <c r="CF22" i="10" a="1"/>
  <c r="CF22" i="10" s="1"/>
  <c r="CF23" i="10" a="1"/>
  <c r="CF23" i="10" s="1"/>
  <c r="CJ22" i="10" a="1"/>
  <c r="CJ22" i="10" s="1"/>
  <c r="CJ20" i="10" a="1"/>
  <c r="CJ20" i="10" s="1"/>
  <c r="CJ19" i="10" a="1"/>
  <c r="CJ19" i="10" s="1"/>
  <c r="CJ18" i="10" a="1"/>
  <c r="CJ18" i="10" s="1"/>
  <c r="CK17" i="10" a="1"/>
  <c r="CK17" i="10" s="1"/>
  <c r="CJ23" i="10" a="1"/>
  <c r="CJ23" i="10" s="1"/>
  <c r="CG22" i="10" a="1"/>
  <c r="CG22" i="10" s="1"/>
  <c r="CH22" i="10" a="1"/>
  <c r="CH22" i="10" s="1"/>
  <c r="CG20" i="10" a="1"/>
  <c r="CG20" i="10" s="1"/>
  <c r="CG18" i="10" a="1"/>
  <c r="CG18" i="10" s="1"/>
  <c r="CG19" i="10" s="1" a="1"/>
  <c r="CG19" i="10" s="1"/>
  <c r="CF17" i="10"/>
  <c r="AN73" i="9"/>
  <c r="AI74" i="9"/>
  <c r="AJ75" i="9"/>
  <c r="AK76" i="9"/>
  <c r="AD77" i="9"/>
  <c r="AL77" i="9"/>
  <c r="AE78" i="9"/>
  <c r="AM78" i="9"/>
  <c r="AF79" i="9"/>
  <c r="AN79" i="9"/>
  <c r="AG80" i="9"/>
  <c r="AO80" i="9"/>
  <c r="AH81" i="9"/>
  <c r="AP81" i="9"/>
  <c r="AI82" i="9"/>
  <c r="AJ83" i="9"/>
  <c r="AK84" i="9"/>
  <c r="AD85" i="9"/>
  <c r="AL85" i="9"/>
  <c r="AE86" i="9"/>
  <c r="AM86" i="9"/>
  <c r="AF87" i="9"/>
  <c r="AN87" i="9"/>
  <c r="AG88" i="9"/>
  <c r="AO88" i="9"/>
  <c r="AH89" i="9"/>
  <c r="AP89" i="9"/>
  <c r="AI90" i="9"/>
  <c r="AJ91" i="9"/>
  <c r="AK92" i="9"/>
  <c r="AD93" i="9"/>
  <c r="AL93" i="9"/>
  <c r="AE94" i="9"/>
  <c r="AM94" i="9"/>
  <c r="AF95" i="9"/>
  <c r="AN95" i="9"/>
  <c r="AG96" i="9"/>
  <c r="AO96" i="9"/>
  <c r="AH97" i="9"/>
  <c r="AP97" i="9"/>
  <c r="AI98" i="9"/>
  <c r="AJ99" i="9"/>
  <c r="AF100" i="9"/>
  <c r="AO100" i="9"/>
  <c r="AF101" i="9"/>
  <c r="AO101" i="9"/>
  <c r="AK102" i="9"/>
  <c r="AH103" i="9"/>
  <c r="AG104" i="9"/>
  <c r="AD105" i="9"/>
  <c r="AO105" i="9"/>
  <c r="AM106" i="9"/>
  <c r="AJ107" i="9"/>
  <c r="AI108" i="9"/>
  <c r="AF109" i="9"/>
  <c r="AE110" i="9"/>
  <c r="AO110" i="9"/>
  <c r="AG111" i="9"/>
  <c r="AE112" i="9"/>
  <c r="AP112" i="9"/>
  <c r="AG113" i="9"/>
  <c r="AP114" i="9"/>
  <c r="AI115" i="9"/>
  <c r="AK116" i="9"/>
  <c r="AD117" i="9"/>
  <c r="AM118" i="9"/>
  <c r="AF119" i="9"/>
  <c r="AN120" i="9"/>
  <c r="AL124" i="9"/>
  <c r="AF127" i="9"/>
  <c r="AI129" i="9"/>
  <c r="AE133" i="9"/>
  <c r="AN134" i="9"/>
  <c r="AP136" i="9"/>
  <c r="AK147" i="9"/>
  <c r="AO156" i="9"/>
  <c r="AH163" i="9"/>
  <c r="AN170" i="9"/>
  <c r="AF173" i="9"/>
  <c r="AH137" i="9"/>
  <c r="AP137" i="9"/>
  <c r="AI138" i="9"/>
  <c r="AJ139" i="9"/>
  <c r="AK140" i="9"/>
  <c r="AF141" i="9"/>
  <c r="AN141" i="9"/>
  <c r="AH142" i="9"/>
  <c r="AP142" i="9"/>
  <c r="AJ143" i="9"/>
  <c r="AD144" i="9"/>
  <c r="AL144" i="9"/>
  <c r="AF145" i="9"/>
  <c r="AN145" i="9"/>
  <c r="AH146" i="9"/>
  <c r="AP146" i="9"/>
  <c r="AJ147" i="9"/>
  <c r="AD148" i="9"/>
  <c r="AL148" i="9"/>
  <c r="AK149" i="9"/>
  <c r="AL150" i="9"/>
  <c r="AD151" i="9"/>
  <c r="AN151" i="9"/>
  <c r="AL152" i="9"/>
  <c r="AI153" i="9"/>
  <c r="AF154" i="9"/>
  <c r="AD155" i="9"/>
  <c r="AP155" i="9"/>
  <c r="AN156" i="9"/>
  <c r="AJ157" i="9"/>
  <c r="AH158" i="9"/>
  <c r="AE159" i="9"/>
  <c r="AO160" i="9"/>
  <c r="AL161" i="9"/>
  <c r="AJ162" i="9"/>
  <c r="AF163" i="9"/>
  <c r="AD164" i="9"/>
  <c r="AP164" i="9"/>
  <c r="AN165" i="9"/>
  <c r="AK166" i="9"/>
  <c r="AH167" i="9"/>
  <c r="AF168" i="9"/>
  <c r="AP169" i="9"/>
  <c r="AL170" i="9"/>
  <c r="AJ171" i="9"/>
  <c r="AG172" i="9"/>
  <c r="AD173" i="9"/>
  <c r="AF174" i="9"/>
  <c r="AF175" i="9"/>
  <c r="AP176" i="9"/>
  <c r="AJ178" i="9"/>
  <c r="AG180" i="9"/>
  <c r="AJ195" i="9"/>
  <c r="AH198" i="9"/>
  <c r="AJ227" i="9"/>
  <c r="AH111" i="9"/>
  <c r="AP111" i="9"/>
  <c r="AI112" i="9"/>
  <c r="AJ113" i="9"/>
  <c r="AK114" i="9"/>
  <c r="AD115" i="9"/>
  <c r="AL115" i="9"/>
  <c r="AE116" i="9"/>
  <c r="AM116" i="9"/>
  <c r="AF117" i="9"/>
  <c r="AN117" i="9"/>
  <c r="AG118" i="9"/>
  <c r="AO118" i="9"/>
  <c r="AH119" i="9"/>
  <c r="AP119" i="9"/>
  <c r="AI120" i="9"/>
  <c r="AJ121" i="9"/>
  <c r="AK122" i="9"/>
  <c r="AD123" i="9"/>
  <c r="AL123" i="9"/>
  <c r="AE124" i="9"/>
  <c r="AM124" i="9"/>
  <c r="AF125" i="9"/>
  <c r="AN125" i="9"/>
  <c r="AG126" i="9"/>
  <c r="AO126" i="9"/>
  <c r="AH127" i="9"/>
  <c r="AP127" i="9"/>
  <c r="AI128" i="9"/>
  <c r="AJ129" i="9"/>
  <c r="AK130" i="9"/>
  <c r="AD131" i="9"/>
  <c r="AL131" i="9"/>
  <c r="AE132" i="9"/>
  <c r="AM132" i="9"/>
  <c r="AF133" i="9"/>
  <c r="AN133" i="9"/>
  <c r="AG134" i="9"/>
  <c r="AO134" i="9"/>
  <c r="AH135" i="9"/>
  <c r="AP135" i="9"/>
  <c r="AI136" i="9"/>
  <c r="AJ137" i="9"/>
  <c r="AK138" i="9"/>
  <c r="AD139" i="9"/>
  <c r="AL139" i="9"/>
  <c r="AE140" i="9"/>
  <c r="AM140" i="9"/>
  <c r="AH141" i="9"/>
  <c r="AP141" i="9"/>
  <c r="AJ142" i="9"/>
  <c r="AD143" i="9"/>
  <c r="AL143" i="9"/>
  <c r="AF144" i="9"/>
  <c r="AN144" i="9"/>
  <c r="AH145" i="9"/>
  <c r="AP145" i="9"/>
  <c r="AJ146" i="9"/>
  <c r="AD147" i="9"/>
  <c r="AL147" i="9"/>
  <c r="AF148" i="9"/>
  <c r="AN148" i="9"/>
  <c r="AD149" i="9"/>
  <c r="AN149" i="9"/>
  <c r="AE150" i="9"/>
  <c r="AN150" i="9"/>
  <c r="AF151" i="9"/>
  <c r="AO152" i="9"/>
  <c r="AL153" i="9"/>
  <c r="AJ154" i="9"/>
  <c r="AF155" i="9"/>
  <c r="AD156" i="9"/>
  <c r="AP156" i="9"/>
  <c r="AN157" i="9"/>
  <c r="AK158" i="9"/>
  <c r="AH159" i="9"/>
  <c r="AF160" i="9"/>
  <c r="AP161" i="9"/>
  <c r="AL162" i="9"/>
  <c r="AJ163" i="9"/>
  <c r="AG164" i="9"/>
  <c r="AD165" i="9"/>
  <c r="AN166" i="9"/>
  <c r="AL167" i="9"/>
  <c r="AH168" i="9"/>
  <c r="AF169" i="9"/>
  <c r="AP170" i="9"/>
  <c r="AM171" i="9"/>
  <c r="AJ172" i="9"/>
  <c r="AH173" i="9"/>
  <c r="AK174" i="9"/>
  <c r="AM175" i="9"/>
  <c r="AH177" i="9"/>
  <c r="AL178" i="9"/>
  <c r="AD179" i="9"/>
  <c r="AN180" i="9"/>
  <c r="AD182" i="9"/>
  <c r="AF187" i="9"/>
  <c r="AD188" i="9"/>
  <c r="AL194" i="9"/>
  <c r="AH102" i="9"/>
  <c r="AP102" i="9"/>
  <c r="AI103" i="9"/>
  <c r="AJ104" i="9"/>
  <c r="AK105" i="9"/>
  <c r="AD106" i="9"/>
  <c r="AL106" i="9"/>
  <c r="AE107" i="9"/>
  <c r="AM107" i="9"/>
  <c r="AF108" i="9"/>
  <c r="AN108" i="9"/>
  <c r="AG109" i="9"/>
  <c r="AO109" i="9"/>
  <c r="AH110" i="9"/>
  <c r="AP110" i="9"/>
  <c r="AI111" i="9"/>
  <c r="AJ112" i="9"/>
  <c r="AK113" i="9"/>
  <c r="AD114" i="9"/>
  <c r="AL114" i="9"/>
  <c r="AE115" i="9"/>
  <c r="AM115" i="9"/>
  <c r="AF116" i="9"/>
  <c r="AN116" i="9"/>
  <c r="AG117" i="9"/>
  <c r="AO117" i="9"/>
  <c r="AH118" i="9"/>
  <c r="AP118" i="9"/>
  <c r="AI119" i="9"/>
  <c r="AJ120" i="9"/>
  <c r="AK121" i="9"/>
  <c r="AD122" i="9"/>
  <c r="AL122" i="9"/>
  <c r="AE123" i="9"/>
  <c r="AM123" i="9"/>
  <c r="AF124" i="9"/>
  <c r="AN124" i="9"/>
  <c r="AG125" i="9"/>
  <c r="AO125" i="9"/>
  <c r="AH126" i="9"/>
  <c r="AP126" i="9"/>
  <c r="AI127" i="9"/>
  <c r="AJ128" i="9"/>
  <c r="AK129" i="9"/>
  <c r="AD130" i="9"/>
  <c r="AL130" i="9"/>
  <c r="AE131" i="9"/>
  <c r="AM131" i="9"/>
  <c r="AF132" i="9"/>
  <c r="AN132" i="9"/>
  <c r="AG133" i="9"/>
  <c r="AO133" i="9"/>
  <c r="AH134" i="9"/>
  <c r="AP134" i="9"/>
  <c r="AI135" i="9"/>
  <c r="AJ136" i="9"/>
  <c r="AK137" i="9"/>
  <c r="AD138" i="9"/>
  <c r="AL138" i="9"/>
  <c r="AE139" i="9"/>
  <c r="AM139" i="9"/>
  <c r="AF140" i="9"/>
  <c r="AN140" i="9"/>
  <c r="AI141" i="9"/>
  <c r="AK142" i="9"/>
  <c r="AE143" i="9"/>
  <c r="AM143" i="9"/>
  <c r="AG144" i="9"/>
  <c r="AO144" i="9"/>
  <c r="AI145" i="9"/>
  <c r="AK146" i="9"/>
  <c r="AE147" i="9"/>
  <c r="AM147" i="9"/>
  <c r="AG148" i="9"/>
  <c r="AO148" i="9"/>
  <c r="AF149" i="9"/>
  <c r="AO149" i="9"/>
  <c r="AF150" i="9"/>
  <c r="AP150" i="9"/>
  <c r="AH151" i="9"/>
  <c r="AD152" i="9"/>
  <c r="AP152" i="9"/>
  <c r="AN153" i="9"/>
  <c r="AK154" i="9"/>
  <c r="AH155" i="9"/>
  <c r="AF156" i="9"/>
  <c r="AP157" i="9"/>
  <c r="AL158" i="9"/>
  <c r="AJ159" i="9"/>
  <c r="AG160" i="9"/>
  <c r="AD161" i="9"/>
  <c r="AN162" i="9"/>
  <c r="AL163" i="9"/>
  <c r="AH164" i="9"/>
  <c r="AF165" i="9"/>
  <c r="AP166" i="9"/>
  <c r="AM167" i="9"/>
  <c r="AJ168" i="9"/>
  <c r="AH169" i="9"/>
  <c r="AD170" i="9"/>
  <c r="AN171" i="9"/>
  <c r="AL172" i="9"/>
  <c r="AI173" i="9"/>
  <c r="AL174" i="9"/>
  <c r="AN175" i="9"/>
  <c r="AF176" i="9"/>
  <c r="AI177" i="9"/>
  <c r="AE179" i="9"/>
  <c r="AO180" i="9"/>
  <c r="AI181" i="9"/>
  <c r="AK182" i="9"/>
  <c r="AF184" i="9"/>
  <c r="AF186" i="9"/>
  <c r="AP187" i="9"/>
  <c r="AP188" i="9"/>
  <c r="AD189" i="9"/>
  <c r="AL192" i="9"/>
  <c r="AL193" i="9"/>
  <c r="AJ197" i="9"/>
  <c r="AE220" i="9"/>
  <c r="AD121" i="9"/>
  <c r="AL121" i="9"/>
  <c r="AE122" i="9"/>
  <c r="AM122" i="9"/>
  <c r="AF123" i="9"/>
  <c r="AN123" i="9"/>
  <c r="AG124" i="9"/>
  <c r="AO124" i="9"/>
  <c r="AH125" i="9"/>
  <c r="AP125" i="9"/>
  <c r="AI126" i="9"/>
  <c r="AJ127" i="9"/>
  <c r="AK128" i="9"/>
  <c r="AD129" i="9"/>
  <c r="AL129" i="9"/>
  <c r="AE130" i="9"/>
  <c r="AM130" i="9"/>
  <c r="AF131" i="9"/>
  <c r="AN131" i="9"/>
  <c r="AG132" i="9"/>
  <c r="AO132" i="9"/>
  <c r="AH133" i="9"/>
  <c r="AP133" i="9"/>
  <c r="AI134" i="9"/>
  <c r="AJ135" i="9"/>
  <c r="AK136" i="9"/>
  <c r="AD137" i="9"/>
  <c r="AL137" i="9"/>
  <c r="AE138" i="9"/>
  <c r="AM138" i="9"/>
  <c r="AF139" i="9"/>
  <c r="AN139" i="9"/>
  <c r="AG140" i="9"/>
  <c r="AO140" i="9"/>
  <c r="AJ141" i="9"/>
  <c r="AD142" i="9"/>
  <c r="AL142" i="9"/>
  <c r="AF143" i="9"/>
  <c r="AN143" i="9"/>
  <c r="AH144" i="9"/>
  <c r="AP144" i="9"/>
  <c r="AJ145" i="9"/>
  <c r="AD146" i="9"/>
  <c r="AL146" i="9"/>
  <c r="AF147" i="9"/>
  <c r="AN147" i="9"/>
  <c r="AH148" i="9"/>
  <c r="AP148" i="9"/>
  <c r="AG149" i="9"/>
  <c r="AP149" i="9"/>
  <c r="AH150" i="9"/>
  <c r="AJ151" i="9"/>
  <c r="AF152" i="9"/>
  <c r="AP153" i="9"/>
  <c r="AL154" i="9"/>
  <c r="AJ155" i="9"/>
  <c r="AG156" i="9"/>
  <c r="AD157" i="9"/>
  <c r="AN158" i="9"/>
  <c r="AL159" i="9"/>
  <c r="AH160" i="9"/>
  <c r="AF161" i="9"/>
  <c r="AP162" i="9"/>
  <c r="AM163" i="9"/>
  <c r="AJ164" i="9"/>
  <c r="AH165" i="9"/>
  <c r="AD166" i="9"/>
  <c r="AN167" i="9"/>
  <c r="AL168" i="9"/>
  <c r="AI169" i="9"/>
  <c r="AF170" i="9"/>
  <c r="AD171" i="9"/>
  <c r="AP171" i="9"/>
  <c r="AN172" i="9"/>
  <c r="AJ173" i="9"/>
  <c r="AN174" i="9"/>
  <c r="AG176" i="9"/>
  <c r="AJ177" i="9"/>
  <c r="AF179" i="9"/>
  <c r="AP180" i="9"/>
  <c r="AJ181" i="9"/>
  <c r="AL182" i="9"/>
  <c r="AH184" i="9"/>
  <c r="AF185" i="9"/>
  <c r="AP186" i="9"/>
  <c r="AN189" i="9"/>
  <c r="AD190" i="9"/>
  <c r="AN200" i="9"/>
  <c r="AH100" i="9"/>
  <c r="AP100" i="9"/>
  <c r="AI101" i="9"/>
  <c r="AJ102" i="9"/>
  <c r="AK103" i="9"/>
  <c r="AD104" i="9"/>
  <c r="AL104" i="9"/>
  <c r="AE105" i="9"/>
  <c r="AM105" i="9"/>
  <c r="AF106" i="9"/>
  <c r="AN106" i="9"/>
  <c r="AG107" i="9"/>
  <c r="AO107" i="9"/>
  <c r="AH108" i="9"/>
  <c r="AP108" i="9"/>
  <c r="AI109" i="9"/>
  <c r="AJ110" i="9"/>
  <c r="AK111" i="9"/>
  <c r="AD112" i="9"/>
  <c r="AL112" i="9"/>
  <c r="AE113" i="9"/>
  <c r="AM113" i="9"/>
  <c r="AF114" i="9"/>
  <c r="AN114" i="9"/>
  <c r="AG115" i="9"/>
  <c r="AO115" i="9"/>
  <c r="AH116" i="9"/>
  <c r="AP116" i="9"/>
  <c r="AI117" i="9"/>
  <c r="AJ118" i="9"/>
  <c r="AK119" i="9"/>
  <c r="AD120" i="9"/>
  <c r="AL120" i="9"/>
  <c r="AE121" i="9"/>
  <c r="AM121" i="9"/>
  <c r="AF122" i="9"/>
  <c r="AN122" i="9"/>
  <c r="AG123" i="9"/>
  <c r="AO123" i="9"/>
  <c r="AH124" i="9"/>
  <c r="AP124" i="9"/>
  <c r="AI125" i="9"/>
  <c r="AJ126" i="9"/>
  <c r="AK127" i="9"/>
  <c r="AD128" i="9"/>
  <c r="AL128" i="9"/>
  <c r="AE129" i="9"/>
  <c r="AM129" i="9"/>
  <c r="AF130" i="9"/>
  <c r="AN130" i="9"/>
  <c r="AG131" i="9"/>
  <c r="AO131" i="9"/>
  <c r="AH132" i="9"/>
  <c r="AP132" i="9"/>
  <c r="AI133" i="9"/>
  <c r="AJ134" i="9"/>
  <c r="AK135" i="9"/>
  <c r="AD136" i="9"/>
  <c r="AL136" i="9"/>
  <c r="AE137" i="9"/>
  <c r="AM137" i="9"/>
  <c r="AF138" i="9"/>
  <c r="AN138" i="9"/>
  <c r="AG139" i="9"/>
  <c r="AO139" i="9"/>
  <c r="AH140" i="9"/>
  <c r="AP140" i="9"/>
  <c r="AK141" i="9"/>
  <c r="AE142" i="9"/>
  <c r="AM142" i="9"/>
  <c r="AG143" i="9"/>
  <c r="AO143" i="9"/>
  <c r="AI144" i="9"/>
  <c r="AK145" i="9"/>
  <c r="AE146" i="9"/>
  <c r="AM146" i="9"/>
  <c r="AG147" i="9"/>
  <c r="AO147" i="9"/>
  <c r="AI148" i="9"/>
  <c r="AH149" i="9"/>
  <c r="AI150" i="9"/>
  <c r="AK151" i="9"/>
  <c r="AG152" i="9"/>
  <c r="AD153" i="9"/>
  <c r="AN154" i="9"/>
  <c r="AL155" i="9"/>
  <c r="AH156" i="9"/>
  <c r="AF157" i="9"/>
  <c r="AP158" i="9"/>
  <c r="AM159" i="9"/>
  <c r="AJ160" i="9"/>
  <c r="AH161" i="9"/>
  <c r="AD162" i="9"/>
  <c r="AN163" i="9"/>
  <c r="AL164" i="9"/>
  <c r="AI165" i="9"/>
  <c r="AF166" i="9"/>
  <c r="AD167" i="9"/>
  <c r="AP167" i="9"/>
  <c r="AN168" i="9"/>
  <c r="AJ169" i="9"/>
  <c r="AH170" i="9"/>
  <c r="AE171" i="9"/>
  <c r="AO172" i="9"/>
  <c r="AL173" i="9"/>
  <c r="AH176" i="9"/>
  <c r="AP177" i="9"/>
  <c r="AL179" i="9"/>
  <c r="AG183" i="9"/>
  <c r="AN190" i="9"/>
  <c r="AH199" i="9"/>
  <c r="AE206" i="9"/>
  <c r="AI116" i="9"/>
  <c r="AJ117" i="9"/>
  <c r="AK118" i="9"/>
  <c r="AD119" i="9"/>
  <c r="AL119" i="9"/>
  <c r="AE120" i="9"/>
  <c r="AM120" i="9"/>
  <c r="AF121" i="9"/>
  <c r="AN121" i="9"/>
  <c r="AG122" i="9"/>
  <c r="AO122" i="9"/>
  <c r="AH123" i="9"/>
  <c r="AP123" i="9"/>
  <c r="AI124" i="9"/>
  <c r="AJ125" i="9"/>
  <c r="AK126" i="9"/>
  <c r="AD127" i="9"/>
  <c r="AL127" i="9"/>
  <c r="AE128" i="9"/>
  <c r="AM128" i="9"/>
  <c r="AF129" i="9"/>
  <c r="AN129" i="9"/>
  <c r="AG130" i="9"/>
  <c r="AO130" i="9"/>
  <c r="AH131" i="9"/>
  <c r="AP131" i="9"/>
  <c r="AI132" i="9"/>
  <c r="AJ133" i="9"/>
  <c r="AK134" i="9"/>
  <c r="AD135" i="9"/>
  <c r="AL135" i="9"/>
  <c r="AE136" i="9"/>
  <c r="AM136" i="9"/>
  <c r="AF137" i="9"/>
  <c r="AN137" i="9"/>
  <c r="AG138" i="9"/>
  <c r="AO138" i="9"/>
  <c r="AH139" i="9"/>
  <c r="AP139" i="9"/>
  <c r="AI140" i="9"/>
  <c r="AD141" i="9"/>
  <c r="AL141" i="9"/>
  <c r="AF142" i="9"/>
  <c r="AN142" i="9"/>
  <c r="AH143" i="9"/>
  <c r="AP143" i="9"/>
  <c r="AJ144" i="9"/>
  <c r="AD145" i="9"/>
  <c r="AL145" i="9"/>
  <c r="AF146" i="9"/>
  <c r="AN146" i="9"/>
  <c r="AH147" i="9"/>
  <c r="AP147" i="9"/>
  <c r="AJ148" i="9"/>
  <c r="AI149" i="9"/>
  <c r="AJ150" i="9"/>
  <c r="AL151" i="9"/>
  <c r="AH152" i="9"/>
  <c r="AF153" i="9"/>
  <c r="AP154" i="9"/>
  <c r="AM155" i="9"/>
  <c r="AJ156" i="9"/>
  <c r="AH157" i="9"/>
  <c r="AD158" i="9"/>
  <c r="AN159" i="9"/>
  <c r="AL160" i="9"/>
  <c r="AI161" i="9"/>
  <c r="AF162" i="9"/>
  <c r="AD163" i="9"/>
  <c r="AP163" i="9"/>
  <c r="AN164" i="9"/>
  <c r="AJ165" i="9"/>
  <c r="AH166" i="9"/>
  <c r="AE167" i="9"/>
  <c r="AO168" i="9"/>
  <c r="AL169" i="9"/>
  <c r="AJ170" i="9"/>
  <c r="AF171" i="9"/>
  <c r="AD172" i="9"/>
  <c r="AP172" i="9"/>
  <c r="AN173" i="9"/>
  <c r="AD175" i="9"/>
  <c r="AN176" i="9"/>
  <c r="AM179" i="9"/>
  <c r="AH183" i="9"/>
  <c r="AN191" i="9"/>
  <c r="AJ196" i="9"/>
  <c r="AK205" i="9"/>
  <c r="AM210" i="9"/>
  <c r="AH122" i="9"/>
  <c r="AP122" i="9"/>
  <c r="AI123" i="9"/>
  <c r="AJ124" i="9"/>
  <c r="AK125" i="9"/>
  <c r="AD126" i="9"/>
  <c r="AL126" i="9"/>
  <c r="AE127" i="9"/>
  <c r="AM127" i="9"/>
  <c r="AF128" i="9"/>
  <c r="AN128" i="9"/>
  <c r="AG129" i="9"/>
  <c r="AO129" i="9"/>
  <c r="AH130" i="9"/>
  <c r="AP130" i="9"/>
  <c r="AI131" i="9"/>
  <c r="AJ132" i="9"/>
  <c r="AK133" i="9"/>
  <c r="AD134" i="9"/>
  <c r="AL134" i="9"/>
  <c r="AE135" i="9"/>
  <c r="AM135" i="9"/>
  <c r="AF136" i="9"/>
  <c r="AN136" i="9"/>
  <c r="AG137" i="9"/>
  <c r="AO137" i="9"/>
  <c r="AH138" i="9"/>
  <c r="AP138" i="9"/>
  <c r="AI139" i="9"/>
  <c r="AJ140" i="9"/>
  <c r="AE141" i="9"/>
  <c r="AM141" i="9"/>
  <c r="AG142" i="9"/>
  <c r="AO142" i="9"/>
  <c r="AI143" i="9"/>
  <c r="AK144" i="9"/>
  <c r="AE145" i="9"/>
  <c r="AM145" i="9"/>
  <c r="AG146" i="9"/>
  <c r="AO146" i="9"/>
  <c r="AI147" i="9"/>
  <c r="AK148" i="9"/>
  <c r="AJ149" i="9"/>
  <c r="AK150" i="9"/>
  <c r="AM151" i="9"/>
  <c r="AJ152" i="9"/>
  <c r="AH153" i="9"/>
  <c r="AD154" i="9"/>
  <c r="AN155" i="9"/>
  <c r="AL156" i="9"/>
  <c r="AI157" i="9"/>
  <c r="AF158" i="9"/>
  <c r="AD159" i="9"/>
  <c r="AP159" i="9"/>
  <c r="AN160" i="9"/>
  <c r="AJ161" i="9"/>
  <c r="AH162" i="9"/>
  <c r="AE163" i="9"/>
  <c r="AO164" i="9"/>
  <c r="AL165" i="9"/>
  <c r="AJ166" i="9"/>
  <c r="AF167" i="9"/>
  <c r="AD168" i="9"/>
  <c r="AP168" i="9"/>
  <c r="AN169" i="9"/>
  <c r="AK170" i="9"/>
  <c r="AH171" i="9"/>
  <c r="AF172" i="9"/>
  <c r="AP173" i="9"/>
  <c r="AD174" i="9"/>
  <c r="AE175" i="9"/>
  <c r="AO176" i="9"/>
  <c r="AD178" i="9"/>
  <c r="AN179" i="9"/>
  <c r="AF180" i="9"/>
  <c r="AH202" i="9"/>
  <c r="AL203" i="9"/>
  <c r="AE185" i="9"/>
  <c r="AP185" i="9"/>
  <c r="AE186" i="9"/>
  <c r="AO186" i="9"/>
  <c r="AD187" i="9"/>
  <c r="AO187" i="9"/>
  <c r="AN188" i="9"/>
  <c r="AM189" i="9"/>
  <c r="AM190" i="9"/>
  <c r="AL191" i="9"/>
  <c r="AK192" i="9"/>
  <c r="AK193" i="9"/>
  <c r="AJ194" i="9"/>
  <c r="AI195" i="9"/>
  <c r="AI196" i="9"/>
  <c r="AH197" i="9"/>
  <c r="AG198" i="9"/>
  <c r="AG199" i="9"/>
  <c r="AL200" i="9"/>
  <c r="AE202" i="9"/>
  <c r="AJ203" i="9"/>
  <c r="AH205" i="9"/>
  <c r="AE210" i="9"/>
  <c r="AP221" i="9"/>
  <c r="AI224" i="9"/>
  <c r="AG151" i="9"/>
  <c r="AO151" i="9"/>
  <c r="AI152" i="9"/>
  <c r="AK153" i="9"/>
  <c r="AE154" i="9"/>
  <c r="AM154" i="9"/>
  <c r="AG155" i="9"/>
  <c r="AO155" i="9"/>
  <c r="AI156" i="9"/>
  <c r="AK157" i="9"/>
  <c r="AE158" i="9"/>
  <c r="AM158" i="9"/>
  <c r="AG159" i="9"/>
  <c r="AO159" i="9"/>
  <c r="AI160" i="9"/>
  <c r="AK161" i="9"/>
  <c r="AE162" i="9"/>
  <c r="AM162" i="9"/>
  <c r="AG163" i="9"/>
  <c r="AO163" i="9"/>
  <c r="AI164" i="9"/>
  <c r="AK165" i="9"/>
  <c r="AE166" i="9"/>
  <c r="AM166" i="9"/>
  <c r="AG167" i="9"/>
  <c r="AO167" i="9"/>
  <c r="AI168" i="9"/>
  <c r="AK169" i="9"/>
  <c r="AE170" i="9"/>
  <c r="AM170" i="9"/>
  <c r="AG171" i="9"/>
  <c r="AO171" i="9"/>
  <c r="AI172" i="9"/>
  <c r="AK173" i="9"/>
  <c r="AE174" i="9"/>
  <c r="AM174" i="9"/>
  <c r="AG175" i="9"/>
  <c r="AO175" i="9"/>
  <c r="AI176" i="9"/>
  <c r="AK177" i="9"/>
  <c r="AE178" i="9"/>
  <c r="AM178" i="9"/>
  <c r="AG179" i="9"/>
  <c r="AO179" i="9"/>
  <c r="AI180" i="9"/>
  <c r="AK181" i="9"/>
  <c r="AE182" i="9"/>
  <c r="AM182" i="9"/>
  <c r="AI183" i="9"/>
  <c r="AI184" i="9"/>
  <c r="AH185" i="9"/>
  <c r="AG186" i="9"/>
  <c r="AG187" i="9"/>
  <c r="AF188" i="9"/>
  <c r="AE189" i="9"/>
  <c r="AP189" i="9"/>
  <c r="AE190" i="9"/>
  <c r="AO190" i="9"/>
  <c r="AD191" i="9"/>
  <c r="AO191" i="9"/>
  <c r="AN192" i="9"/>
  <c r="AM193" i="9"/>
  <c r="AM194" i="9"/>
  <c r="AL195" i="9"/>
  <c r="AK196" i="9"/>
  <c r="AK197" i="9"/>
  <c r="AJ198" i="9"/>
  <c r="AI199" i="9"/>
  <c r="AJ202" i="9"/>
  <c r="AO203" i="9"/>
  <c r="AD204" i="9"/>
  <c r="AN205" i="9"/>
  <c r="AJ206" i="9"/>
  <c r="AM220" i="9"/>
  <c r="AF223" i="9"/>
  <c r="AH175" i="9"/>
  <c r="AP175" i="9"/>
  <c r="AJ176" i="9"/>
  <c r="AD177" i="9"/>
  <c r="AL177" i="9"/>
  <c r="AF178" i="9"/>
  <c r="AN178" i="9"/>
  <c r="AH179" i="9"/>
  <c r="AP179" i="9"/>
  <c r="AJ180" i="9"/>
  <c r="AD181" i="9"/>
  <c r="AL181" i="9"/>
  <c r="AF182" i="9"/>
  <c r="AN182" i="9"/>
  <c r="AJ183" i="9"/>
  <c r="AJ184" i="9"/>
  <c r="AJ185" i="9"/>
  <c r="AH186" i="9"/>
  <c r="AH187" i="9"/>
  <c r="AH188" i="9"/>
  <c r="AF189" i="9"/>
  <c r="AF190" i="9"/>
  <c r="AP190" i="9"/>
  <c r="AF191" i="9"/>
  <c r="AP191" i="9"/>
  <c r="AD192" i="9"/>
  <c r="AP192" i="9"/>
  <c r="AD193" i="9"/>
  <c r="AN193" i="9"/>
  <c r="AD194" i="9"/>
  <c r="AN194" i="9"/>
  <c r="AN195" i="9"/>
  <c r="AL196" i="9"/>
  <c r="AL197" i="9"/>
  <c r="AL198" i="9"/>
  <c r="AJ199" i="9"/>
  <c r="AF201" i="9"/>
  <c r="AM202" i="9"/>
  <c r="AF204" i="9"/>
  <c r="AP205" i="9"/>
  <c r="AM206" i="9"/>
  <c r="AN223" i="9"/>
  <c r="AG226" i="9"/>
  <c r="AE149" i="9"/>
  <c r="AM149" i="9"/>
  <c r="AG150" i="9"/>
  <c r="AO150" i="9"/>
  <c r="AI151" i="9"/>
  <c r="AK152" i="9"/>
  <c r="AE153" i="9"/>
  <c r="AM153" i="9"/>
  <c r="AG154" i="9"/>
  <c r="AO154" i="9"/>
  <c r="AI155" i="9"/>
  <c r="AK156" i="9"/>
  <c r="AE157" i="9"/>
  <c r="AM157" i="9"/>
  <c r="AG158" i="9"/>
  <c r="AO158" i="9"/>
  <c r="AI159" i="9"/>
  <c r="AK160" i="9"/>
  <c r="AE161" i="9"/>
  <c r="AM161" i="9"/>
  <c r="AG162" i="9"/>
  <c r="AO162" i="9"/>
  <c r="AI163" i="9"/>
  <c r="AK164" i="9"/>
  <c r="AE165" i="9"/>
  <c r="AM165" i="9"/>
  <c r="AG166" i="9"/>
  <c r="AO166" i="9"/>
  <c r="AI167" i="9"/>
  <c r="AK168" i="9"/>
  <c r="AE169" i="9"/>
  <c r="AM169" i="9"/>
  <c r="AG170" i="9"/>
  <c r="AO170" i="9"/>
  <c r="AI171" i="9"/>
  <c r="AK172" i="9"/>
  <c r="AE173" i="9"/>
  <c r="AM173" i="9"/>
  <c r="AG174" i="9"/>
  <c r="AO174" i="9"/>
  <c r="AI175" i="9"/>
  <c r="AK176" i="9"/>
  <c r="AE177" i="9"/>
  <c r="AM177" i="9"/>
  <c r="AG178" i="9"/>
  <c r="AO178" i="9"/>
  <c r="AI179" i="9"/>
  <c r="AK180" i="9"/>
  <c r="AE181" i="9"/>
  <c r="AM181" i="9"/>
  <c r="AG182" i="9"/>
  <c r="AO182" i="9"/>
  <c r="AL183" i="9"/>
  <c r="AK184" i="9"/>
  <c r="AK185" i="9"/>
  <c r="AJ186" i="9"/>
  <c r="AI187" i="9"/>
  <c r="AI188" i="9"/>
  <c r="AH189" i="9"/>
  <c r="AG190" i="9"/>
  <c r="AG191" i="9"/>
  <c r="AF192" i="9"/>
  <c r="AE193" i="9"/>
  <c r="AP193" i="9"/>
  <c r="AE194" i="9"/>
  <c r="AO194" i="9"/>
  <c r="AD195" i="9"/>
  <c r="AO195" i="9"/>
  <c r="AN196" i="9"/>
  <c r="AM197" i="9"/>
  <c r="AM198" i="9"/>
  <c r="AL199" i="9"/>
  <c r="AD200" i="9"/>
  <c r="AH201" i="9"/>
  <c r="AP202" i="9"/>
  <c r="AI204" i="9"/>
  <c r="AJ219" i="9"/>
  <c r="AO226" i="9"/>
  <c r="AH174" i="9"/>
  <c r="AP174" i="9"/>
  <c r="AJ175" i="9"/>
  <c r="AD176" i="9"/>
  <c r="AL176" i="9"/>
  <c r="AF177" i="9"/>
  <c r="AN177" i="9"/>
  <c r="AH178" i="9"/>
  <c r="AP178" i="9"/>
  <c r="AJ179" i="9"/>
  <c r="AD180" i="9"/>
  <c r="AL180" i="9"/>
  <c r="AF181" i="9"/>
  <c r="AN181" i="9"/>
  <c r="AH182" i="9"/>
  <c r="AP182" i="9"/>
  <c r="AN183" i="9"/>
  <c r="AL184" i="9"/>
  <c r="AL185" i="9"/>
  <c r="AL186" i="9"/>
  <c r="AJ187" i="9"/>
  <c r="AJ188" i="9"/>
  <c r="AJ189" i="9"/>
  <c r="AH190" i="9"/>
  <c r="AH191" i="9"/>
  <c r="AH192" i="9"/>
  <c r="AF193" i="9"/>
  <c r="AF194" i="9"/>
  <c r="AP194" i="9"/>
  <c r="AF195" i="9"/>
  <c r="AP195" i="9"/>
  <c r="AD196" i="9"/>
  <c r="AP196" i="9"/>
  <c r="AD197" i="9"/>
  <c r="AN197" i="9"/>
  <c r="AD198" i="9"/>
  <c r="AN198" i="9"/>
  <c r="AN199" i="9"/>
  <c r="AF200" i="9"/>
  <c r="AK201" i="9"/>
  <c r="AL204" i="9"/>
  <c r="AG212" i="9"/>
  <c r="AH213" i="9"/>
  <c r="AG214" i="9"/>
  <c r="AK222" i="9"/>
  <c r="AD225" i="9"/>
  <c r="AE152" i="9"/>
  <c r="AM152" i="9"/>
  <c r="AG153" i="9"/>
  <c r="AO153" i="9"/>
  <c r="AI154" i="9"/>
  <c r="AK155" i="9"/>
  <c r="AE156" i="9"/>
  <c r="AM156" i="9"/>
  <c r="AG157" i="9"/>
  <c r="AO157" i="9"/>
  <c r="AI158" i="9"/>
  <c r="AK159" i="9"/>
  <c r="AE160" i="9"/>
  <c r="AM160" i="9"/>
  <c r="AG161" i="9"/>
  <c r="AO161" i="9"/>
  <c r="AI162" i="9"/>
  <c r="AK163" i="9"/>
  <c r="AE164" i="9"/>
  <c r="AM164" i="9"/>
  <c r="AG165" i="9"/>
  <c r="AO165" i="9"/>
  <c r="AI166" i="9"/>
  <c r="AK167" i="9"/>
  <c r="AE168" i="9"/>
  <c r="AM168" i="9"/>
  <c r="AG169" i="9"/>
  <c r="AO169" i="9"/>
  <c r="AI170" i="9"/>
  <c r="AK171" i="9"/>
  <c r="AE172" i="9"/>
  <c r="AM172" i="9"/>
  <c r="AG173" i="9"/>
  <c r="AO173" i="9"/>
  <c r="AI174" i="9"/>
  <c r="AK175" i="9"/>
  <c r="AE176" i="9"/>
  <c r="AM176" i="9"/>
  <c r="AG177" i="9"/>
  <c r="AO177" i="9"/>
  <c r="AI178" i="9"/>
  <c r="AK179" i="9"/>
  <c r="AE180" i="9"/>
  <c r="AM180" i="9"/>
  <c r="AG181" i="9"/>
  <c r="AO181" i="9"/>
  <c r="AI182" i="9"/>
  <c r="AD183" i="9"/>
  <c r="AO183" i="9"/>
  <c r="AN184" i="9"/>
  <c r="AM185" i="9"/>
  <c r="AM186" i="9"/>
  <c r="AL187" i="9"/>
  <c r="AK188" i="9"/>
  <c r="AK189" i="9"/>
  <c r="AJ190" i="9"/>
  <c r="AI191" i="9"/>
  <c r="AI192" i="9"/>
  <c r="AH193" i="9"/>
  <c r="AG194" i="9"/>
  <c r="AG195" i="9"/>
  <c r="AF196" i="9"/>
  <c r="AE197" i="9"/>
  <c r="AP197" i="9"/>
  <c r="AE198" i="9"/>
  <c r="AO198" i="9"/>
  <c r="AD199" i="9"/>
  <c r="AO199" i="9"/>
  <c r="AI200" i="9"/>
  <c r="AN201" i="9"/>
  <c r="AD203" i="9"/>
  <c r="AN204" i="9"/>
  <c r="AG207" i="9"/>
  <c r="AI208" i="9"/>
  <c r="AF211" i="9"/>
  <c r="AO212" i="9"/>
  <c r="AP213" i="9"/>
  <c r="AO214" i="9"/>
  <c r="AL225" i="9"/>
  <c r="AE228" i="9"/>
  <c r="AH181" i="9"/>
  <c r="AP181" i="9"/>
  <c r="AJ182" i="9"/>
  <c r="AF183" i="9"/>
  <c r="AP183" i="9"/>
  <c r="AD184" i="9"/>
  <c r="AP184" i="9"/>
  <c r="AD185" i="9"/>
  <c r="AN185" i="9"/>
  <c r="AD186" i="9"/>
  <c r="AN186" i="9"/>
  <c r="AN187" i="9"/>
  <c r="AL188" i="9"/>
  <c r="AL189" i="9"/>
  <c r="AL190" i="9"/>
  <c r="AJ191" i="9"/>
  <c r="AJ192" i="9"/>
  <c r="AJ193" i="9"/>
  <c r="AH194" i="9"/>
  <c r="AH195" i="9"/>
  <c r="AH196" i="9"/>
  <c r="AF197" i="9"/>
  <c r="AF198" i="9"/>
  <c r="AP198" i="9"/>
  <c r="AF199" i="9"/>
  <c r="AP199" i="9"/>
  <c r="AJ200" i="9"/>
  <c r="AP201" i="9"/>
  <c r="AG203" i="9"/>
  <c r="AF205" i="9"/>
  <c r="AO207" i="9"/>
  <c r="AK209" i="9"/>
  <c r="AN211" i="9"/>
  <c r="AH221" i="9"/>
  <c r="AM228" i="9"/>
  <c r="AH200" i="9"/>
  <c r="AP200" i="9"/>
  <c r="AJ201" i="9"/>
  <c r="AD202" i="9"/>
  <c r="AL202" i="9"/>
  <c r="AF203" i="9"/>
  <c r="AN203" i="9"/>
  <c r="AH204" i="9"/>
  <c r="AP204" i="9"/>
  <c r="AJ205" i="9"/>
  <c r="AD206" i="9"/>
  <c r="AL206" i="9"/>
  <c r="AF207" i="9"/>
  <c r="AN207" i="9"/>
  <c r="AH208" i="9"/>
  <c r="AP208" i="9"/>
  <c r="AJ209" i="9"/>
  <c r="AD210" i="9"/>
  <c r="AL210" i="9"/>
  <c r="AE211" i="9"/>
  <c r="AM211" i="9"/>
  <c r="AF212" i="9"/>
  <c r="AN212" i="9"/>
  <c r="AG213" i="9"/>
  <c r="AO213" i="9"/>
  <c r="AF214" i="9"/>
  <c r="AN214" i="9"/>
  <c r="AI219" i="9"/>
  <c r="AD220" i="9"/>
  <c r="AL220" i="9"/>
  <c r="AG221" i="9"/>
  <c r="AO221" i="9"/>
  <c r="AJ222" i="9"/>
  <c r="AE223" i="9"/>
  <c r="AM223" i="9"/>
  <c r="AH224" i="9"/>
  <c r="AP224" i="9"/>
  <c r="AK225" i="9"/>
  <c r="AF226" i="9"/>
  <c r="AN226" i="9"/>
  <c r="AI227" i="9"/>
  <c r="AD228" i="9"/>
  <c r="AL228" i="9"/>
  <c r="AG229" i="9"/>
  <c r="AO229" i="9"/>
  <c r="AJ230" i="9"/>
  <c r="AE231" i="9"/>
  <c r="AM231" i="9"/>
  <c r="AH232" i="9"/>
  <c r="AP232" i="9"/>
  <c r="AG233" i="9"/>
  <c r="AP233" i="9"/>
  <c r="AH234" i="9"/>
  <c r="AF235" i="9"/>
  <c r="AP235" i="9"/>
  <c r="AI236" i="9"/>
  <c r="AN237" i="9"/>
  <c r="AO238" i="9"/>
  <c r="AE240" i="9"/>
  <c r="AH241" i="9"/>
  <c r="AK242" i="9"/>
  <c r="AM245" i="9"/>
  <c r="AN263" i="9"/>
  <c r="AK216" i="9"/>
  <c r="AF271" i="9"/>
  <c r="AE285" i="9"/>
  <c r="AN304" i="9"/>
  <c r="AJ324" i="9"/>
  <c r="AP351" i="9"/>
  <c r="AH229" i="9"/>
  <c r="AP229" i="9"/>
  <c r="AK230" i="9"/>
  <c r="AF231" i="9"/>
  <c r="AN231" i="9"/>
  <c r="AI232" i="9"/>
  <c r="AH233" i="9"/>
  <c r="AJ234" i="9"/>
  <c r="AG235" i="9"/>
  <c r="AJ236" i="9"/>
  <c r="AD237" i="9"/>
  <c r="AP237" i="9"/>
  <c r="AD239" i="9"/>
  <c r="AG240" i="9"/>
  <c r="AJ241" i="9"/>
  <c r="AM242" i="9"/>
  <c r="AF243" i="9"/>
  <c r="AG244" i="9"/>
  <c r="AN245" i="9"/>
  <c r="AJ246" i="9"/>
  <c r="AI247" i="9"/>
  <c r="AG248" i="9"/>
  <c r="AM252" i="9"/>
  <c r="AK287" i="9"/>
  <c r="AG307" i="9"/>
  <c r="AP326" i="9"/>
  <c r="AN355" i="9"/>
  <c r="AD201" i="9"/>
  <c r="AL201" i="9"/>
  <c r="AF202" i="9"/>
  <c r="AN202" i="9"/>
  <c r="AH203" i="9"/>
  <c r="AP203" i="9"/>
  <c r="AJ204" i="9"/>
  <c r="AD205" i="9"/>
  <c r="AL205" i="9"/>
  <c r="AF206" i="9"/>
  <c r="AN206" i="9"/>
  <c r="AH207" i="9"/>
  <c r="AP207" i="9"/>
  <c r="AJ208" i="9"/>
  <c r="AD209" i="9"/>
  <c r="AL209" i="9"/>
  <c r="AF210" i="9"/>
  <c r="AN210" i="9"/>
  <c r="AG211" i="9"/>
  <c r="AO211" i="9"/>
  <c r="AH212" i="9"/>
  <c r="AP212" i="9"/>
  <c r="AI213" i="9"/>
  <c r="AH214" i="9"/>
  <c r="AP214" i="9"/>
  <c r="AK219" i="9"/>
  <c r="AF220" i="9"/>
  <c r="AN220" i="9"/>
  <c r="AI221" i="9"/>
  <c r="AD222" i="9"/>
  <c r="AL222" i="9"/>
  <c r="AG223" i="9"/>
  <c r="AO223" i="9"/>
  <c r="AJ224" i="9"/>
  <c r="AE225" i="9"/>
  <c r="AM225" i="9"/>
  <c r="AH226" i="9"/>
  <c r="AP226" i="9"/>
  <c r="AK227" i="9"/>
  <c r="AF228" i="9"/>
  <c r="AN228" i="9"/>
  <c r="AI229" i="9"/>
  <c r="AD230" i="9"/>
  <c r="AL230" i="9"/>
  <c r="AG231" i="9"/>
  <c r="AO231" i="9"/>
  <c r="AJ232" i="9"/>
  <c r="AI233" i="9"/>
  <c r="AK234" i="9"/>
  <c r="AH235" i="9"/>
  <c r="AK236" i="9"/>
  <c r="AE237" i="9"/>
  <c r="AF239" i="9"/>
  <c r="AI240" i="9"/>
  <c r="AL241" i="9"/>
  <c r="AO242" i="9"/>
  <c r="AJ243" i="9"/>
  <c r="AH244" i="9"/>
  <c r="AL246" i="9"/>
  <c r="AJ247" i="9"/>
  <c r="AH248" i="9"/>
  <c r="AE250" i="9"/>
  <c r="AH251" i="9"/>
  <c r="AD290" i="9"/>
  <c r="AM309" i="9"/>
  <c r="AI329" i="9"/>
  <c r="AO359" i="9"/>
  <c r="AK200" i="9"/>
  <c r="AE201" i="9"/>
  <c r="AM201" i="9"/>
  <c r="AG202" i="9"/>
  <c r="AO202" i="9"/>
  <c r="AI203" i="9"/>
  <c r="AK204" i="9"/>
  <c r="AE205" i="9"/>
  <c r="AM205" i="9"/>
  <c r="AG206" i="9"/>
  <c r="AO206" i="9"/>
  <c r="AI207" i="9"/>
  <c r="AK208" i="9"/>
  <c r="AE209" i="9"/>
  <c r="AM209" i="9"/>
  <c r="AG210" i="9"/>
  <c r="AO210" i="9"/>
  <c r="AH211" i="9"/>
  <c r="AP211" i="9"/>
  <c r="AI212" i="9"/>
  <c r="AJ213" i="9"/>
  <c r="AI214" i="9"/>
  <c r="AD219" i="9"/>
  <c r="AL219" i="9"/>
  <c r="AG220" i="9"/>
  <c r="AO220" i="9"/>
  <c r="AJ221" i="9"/>
  <c r="AE222" i="9"/>
  <c r="AM222" i="9"/>
  <c r="AH223" i="9"/>
  <c r="AP223" i="9"/>
  <c r="AK224" i="9"/>
  <c r="AF225" i="9"/>
  <c r="AN225" i="9"/>
  <c r="AI226" i="9"/>
  <c r="AD227" i="9"/>
  <c r="AL227" i="9"/>
  <c r="AG228" i="9"/>
  <c r="AO228" i="9"/>
  <c r="AJ229" i="9"/>
  <c r="AE230" i="9"/>
  <c r="AM230" i="9"/>
  <c r="AH231" i="9"/>
  <c r="AP231" i="9"/>
  <c r="AK232" i="9"/>
  <c r="AJ233" i="9"/>
  <c r="AL234" i="9"/>
  <c r="AJ235" i="9"/>
  <c r="AM236" i="9"/>
  <c r="AF237" i="9"/>
  <c r="AD238" i="9"/>
  <c r="AG239" i="9"/>
  <c r="AJ240" i="9"/>
  <c r="AM241" i="9"/>
  <c r="AP242" i="9"/>
  <c r="AK243" i="9"/>
  <c r="AL244" i="9"/>
  <c r="AJ292" i="9"/>
  <c r="AF312" i="9"/>
  <c r="AG332" i="9"/>
  <c r="AM363" i="9"/>
  <c r="AH206" i="9"/>
  <c r="AP206" i="9"/>
  <c r="AJ207" i="9"/>
  <c r="AD208" i="9"/>
  <c r="AL208" i="9"/>
  <c r="AF209" i="9"/>
  <c r="AN209" i="9"/>
  <c r="AH210" i="9"/>
  <c r="AP210" i="9"/>
  <c r="AI211" i="9"/>
  <c r="AJ212" i="9"/>
  <c r="AK213" i="9"/>
  <c r="AJ214" i="9"/>
  <c r="AE219" i="9"/>
  <c r="AM219" i="9"/>
  <c r="AH220" i="9"/>
  <c r="AP220" i="9"/>
  <c r="AK221" i="9"/>
  <c r="AF222" i="9"/>
  <c r="AN222" i="9"/>
  <c r="AI223" i="9"/>
  <c r="AD224" i="9"/>
  <c r="AL224" i="9"/>
  <c r="AG225" i="9"/>
  <c r="AO225" i="9"/>
  <c r="AJ226" i="9"/>
  <c r="AE227" i="9"/>
  <c r="AM227" i="9"/>
  <c r="AH228" i="9"/>
  <c r="AP228" i="9"/>
  <c r="AK229" i="9"/>
  <c r="AF230" i="9"/>
  <c r="AN230" i="9"/>
  <c r="AI231" i="9"/>
  <c r="AD232" i="9"/>
  <c r="AL232" i="9"/>
  <c r="AL233" i="9"/>
  <c r="AM234" i="9"/>
  <c r="AK235" i="9"/>
  <c r="AN236" i="9"/>
  <c r="AH237" i="9"/>
  <c r="AG238" i="9"/>
  <c r="AJ239" i="9"/>
  <c r="AM240" i="9"/>
  <c r="AP241" i="9"/>
  <c r="AN243" i="9"/>
  <c r="AP244" i="9"/>
  <c r="AG275" i="9"/>
  <c r="AP294" i="9"/>
  <c r="AL314" i="9"/>
  <c r="AE336" i="9"/>
  <c r="AM367" i="9"/>
  <c r="AK183" i="9"/>
  <c r="AE184" i="9"/>
  <c r="AM184" i="9"/>
  <c r="AG185" i="9"/>
  <c r="AO185" i="9"/>
  <c r="AI186" i="9"/>
  <c r="AK187" i="9"/>
  <c r="AE188" i="9"/>
  <c r="AM188" i="9"/>
  <c r="AG189" i="9"/>
  <c r="AO189" i="9"/>
  <c r="AI190" i="9"/>
  <c r="AK191" i="9"/>
  <c r="AE192" i="9"/>
  <c r="AM192" i="9"/>
  <c r="AG193" i="9"/>
  <c r="AO193" i="9"/>
  <c r="AI194" i="9"/>
  <c r="AK195" i="9"/>
  <c r="AE196" i="9"/>
  <c r="AM196" i="9"/>
  <c r="AG197" i="9"/>
  <c r="AO197" i="9"/>
  <c r="AI198" i="9"/>
  <c r="AK199" i="9"/>
  <c r="AE200" i="9"/>
  <c r="AM200" i="9"/>
  <c r="AG201" i="9"/>
  <c r="AO201" i="9"/>
  <c r="AI202" i="9"/>
  <c r="AK203" i="9"/>
  <c r="AE204" i="9"/>
  <c r="AM204" i="9"/>
  <c r="AG205" i="9"/>
  <c r="AO205" i="9"/>
  <c r="AI206" i="9"/>
  <c r="AK207" i="9"/>
  <c r="AE208" i="9"/>
  <c r="AM208" i="9"/>
  <c r="AG209" i="9"/>
  <c r="AO209" i="9"/>
  <c r="AI210" i="9"/>
  <c r="AJ211" i="9"/>
  <c r="AK212" i="9"/>
  <c r="AD213" i="9"/>
  <c r="AL213" i="9"/>
  <c r="AK214" i="9"/>
  <c r="AF219" i="9"/>
  <c r="AN219" i="9"/>
  <c r="AI220" i="9"/>
  <c r="AD221" i="9"/>
  <c r="AL221" i="9"/>
  <c r="AG222" i="9"/>
  <c r="AO222" i="9"/>
  <c r="AJ223" i="9"/>
  <c r="AE224" i="9"/>
  <c r="AM224" i="9"/>
  <c r="AH225" i="9"/>
  <c r="AP225" i="9"/>
  <c r="AK226" i="9"/>
  <c r="AF227" i="9"/>
  <c r="AN227" i="9"/>
  <c r="AI228" i="9"/>
  <c r="AD229" i="9"/>
  <c r="AL229" i="9"/>
  <c r="AG230" i="9"/>
  <c r="AO230" i="9"/>
  <c r="AJ231" i="9"/>
  <c r="AE232" i="9"/>
  <c r="AM232" i="9"/>
  <c r="AD233" i="9"/>
  <c r="AM233" i="9"/>
  <c r="AD234" i="9"/>
  <c r="AO234" i="9"/>
  <c r="AM235" i="9"/>
  <c r="AI237" i="9"/>
  <c r="AI238" i="9"/>
  <c r="AL239" i="9"/>
  <c r="AO240" i="9"/>
  <c r="AE242" i="9"/>
  <c r="AL265" i="9"/>
  <c r="AM218" i="9"/>
  <c r="AM277" i="9"/>
  <c r="AI297" i="9"/>
  <c r="AE317" i="9"/>
  <c r="AF340" i="9"/>
  <c r="AL371" i="9"/>
  <c r="AD207" i="9"/>
  <c r="AL207" i="9"/>
  <c r="AF208" i="9"/>
  <c r="AN208" i="9"/>
  <c r="AH209" i="9"/>
  <c r="AP209" i="9"/>
  <c r="AJ210" i="9"/>
  <c r="AK211" i="9"/>
  <c r="AD212" i="9"/>
  <c r="AL212" i="9"/>
  <c r="AE213" i="9"/>
  <c r="AM213" i="9"/>
  <c r="AD214" i="9"/>
  <c r="AL214" i="9"/>
  <c r="AG219" i="9"/>
  <c r="AO219" i="9"/>
  <c r="AJ220" i="9"/>
  <c r="AE221" i="9"/>
  <c r="AM221" i="9"/>
  <c r="AH222" i="9"/>
  <c r="AP222" i="9"/>
  <c r="AK223" i="9"/>
  <c r="AF224" i="9"/>
  <c r="AN224" i="9"/>
  <c r="AI225" i="9"/>
  <c r="AD226" i="9"/>
  <c r="AL226" i="9"/>
  <c r="AG227" i="9"/>
  <c r="AO227" i="9"/>
  <c r="AJ228" i="9"/>
  <c r="AE229" i="9"/>
  <c r="AM229" i="9"/>
  <c r="AH230" i="9"/>
  <c r="AP230" i="9"/>
  <c r="AK231" i="9"/>
  <c r="AF232" i="9"/>
  <c r="AN232" i="9"/>
  <c r="AE233" i="9"/>
  <c r="AN233" i="9"/>
  <c r="AE234" i="9"/>
  <c r="AP234" i="9"/>
  <c r="AN235" i="9"/>
  <c r="AE236" i="9"/>
  <c r="AL237" i="9"/>
  <c r="AK238" i="9"/>
  <c r="AN239" i="9"/>
  <c r="AD241" i="9"/>
  <c r="AG242" i="9"/>
  <c r="AF280" i="9"/>
  <c r="AO299" i="9"/>
  <c r="AK319" i="9"/>
  <c r="AD344" i="9"/>
  <c r="AE183" i="9"/>
  <c r="AM183" i="9"/>
  <c r="AG184" i="9"/>
  <c r="AO184" i="9"/>
  <c r="AI185" i="9"/>
  <c r="AK186" i="9"/>
  <c r="AE187" i="9"/>
  <c r="AM187" i="9"/>
  <c r="AG188" i="9"/>
  <c r="AO188" i="9"/>
  <c r="AI189" i="9"/>
  <c r="AK190" i="9"/>
  <c r="AE191" i="9"/>
  <c r="AM191" i="9"/>
  <c r="AG192" i="9"/>
  <c r="AO192" i="9"/>
  <c r="AI193" i="9"/>
  <c r="AK194" i="9"/>
  <c r="AE195" i="9"/>
  <c r="AM195" i="9"/>
  <c r="AG196" i="9"/>
  <c r="AO196" i="9"/>
  <c r="AI197" i="9"/>
  <c r="AK198" i="9"/>
  <c r="AE199" i="9"/>
  <c r="AM199" i="9"/>
  <c r="AG200" i="9"/>
  <c r="AO200" i="9"/>
  <c r="AI201" i="9"/>
  <c r="AK202" i="9"/>
  <c r="AE203" i="9"/>
  <c r="AM203" i="9"/>
  <c r="AG204" i="9"/>
  <c r="AO204" i="9"/>
  <c r="AI205" i="9"/>
  <c r="AK206" i="9"/>
  <c r="AE207" i="9"/>
  <c r="AM207" i="9"/>
  <c r="AG208" i="9"/>
  <c r="AO208" i="9"/>
  <c r="AI209" i="9"/>
  <c r="AK210" i="9"/>
  <c r="AD211" i="9"/>
  <c r="AL211" i="9"/>
  <c r="AE212" i="9"/>
  <c r="AM212" i="9"/>
  <c r="AF213" i="9"/>
  <c r="AN213" i="9"/>
  <c r="AE214" i="9"/>
  <c r="AM214" i="9"/>
  <c r="AH219" i="9"/>
  <c r="AP219" i="9"/>
  <c r="AK220" i="9"/>
  <c r="AF221" i="9"/>
  <c r="AN221" i="9"/>
  <c r="AI222" i="9"/>
  <c r="AD223" i="9"/>
  <c r="AL223" i="9"/>
  <c r="AG224" i="9"/>
  <c r="AO224" i="9"/>
  <c r="AJ225" i="9"/>
  <c r="AE226" i="9"/>
  <c r="AM226" i="9"/>
  <c r="AH227" i="9"/>
  <c r="AP227" i="9"/>
  <c r="AK228" i="9"/>
  <c r="AF229" i="9"/>
  <c r="AN229" i="9"/>
  <c r="AI230" i="9"/>
  <c r="AD231" i="9"/>
  <c r="AL231" i="9"/>
  <c r="AG232" i="9"/>
  <c r="AO232" i="9"/>
  <c r="AF233" i="9"/>
  <c r="AO233" i="9"/>
  <c r="AG234" i="9"/>
  <c r="AE235" i="9"/>
  <c r="AO235" i="9"/>
  <c r="AF236" i="9"/>
  <c r="AM237" i="9"/>
  <c r="AL238" i="9"/>
  <c r="AO239" i="9"/>
  <c r="AE241" i="9"/>
  <c r="AH242" i="9"/>
  <c r="AG245" i="9"/>
  <c r="AK249" i="9"/>
  <c r="AF253" i="9"/>
  <c r="AI254" i="9"/>
  <c r="AM264" i="9"/>
  <c r="AL282" i="9"/>
  <c r="AH302" i="9"/>
  <c r="AD322" i="9"/>
  <c r="AD348" i="9"/>
  <c r="AI234" i="9"/>
  <c r="AD235" i="9"/>
  <c r="AL235" i="9"/>
  <c r="AG236" i="9"/>
  <c r="AO236" i="9"/>
  <c r="AJ237" i="9"/>
  <c r="AE238" i="9"/>
  <c r="AM238" i="9"/>
  <c r="AH239" i="9"/>
  <c r="AP239" i="9"/>
  <c r="AK240" i="9"/>
  <c r="AF241" i="9"/>
  <c r="AN241" i="9"/>
  <c r="AI242" i="9"/>
  <c r="AD243" i="9"/>
  <c r="AL243" i="9"/>
  <c r="AJ244" i="9"/>
  <c r="AE245" i="9"/>
  <c r="AO245" i="9"/>
  <c r="AM246" i="9"/>
  <c r="AL247" i="9"/>
  <c r="AI248" i="9"/>
  <c r="AL249" i="9"/>
  <c r="AF250" i="9"/>
  <c r="AI251" i="9"/>
  <c r="AP252" i="9"/>
  <c r="AG253" i="9"/>
  <c r="AJ254" i="9"/>
  <c r="AD263" i="9"/>
  <c r="AO264" i="9"/>
  <c r="AO265" i="9"/>
  <c r="AE215" i="9"/>
  <c r="AL216" i="9"/>
  <c r="AN218" i="9"/>
  <c r="AG271" i="9"/>
  <c r="AJ273" i="9"/>
  <c r="AH275" i="9"/>
  <c r="AN277" i="9"/>
  <c r="AG280" i="9"/>
  <c r="AM282" i="9"/>
  <c r="AF285" i="9"/>
  <c r="AL287" i="9"/>
  <c r="AE290" i="9"/>
  <c r="AK292" i="9"/>
  <c r="AD295" i="9"/>
  <c r="AJ297" i="9"/>
  <c r="AP299" i="9"/>
  <c r="AI302" i="9"/>
  <c r="AO304" i="9"/>
  <c r="AH307" i="9"/>
  <c r="AN309" i="9"/>
  <c r="AG312" i="9"/>
  <c r="AM314" i="9"/>
  <c r="AF317" i="9"/>
  <c r="AL319" i="9"/>
  <c r="AE322" i="9"/>
  <c r="AK324" i="9"/>
  <c r="AD327" i="9"/>
  <c r="AJ329" i="9"/>
  <c r="AH332" i="9"/>
  <c r="AH336" i="9"/>
  <c r="AG340" i="9"/>
  <c r="AE344" i="9"/>
  <c r="AF348" i="9"/>
  <c r="AD352" i="9"/>
  <c r="AD356" i="9"/>
  <c r="AP359" i="9"/>
  <c r="AN363" i="9"/>
  <c r="AO367" i="9"/>
  <c r="AM371" i="9"/>
  <c r="AH236" i="9"/>
  <c r="AP236" i="9"/>
  <c r="AK237" i="9"/>
  <c r="AF238" i="9"/>
  <c r="AN238" i="9"/>
  <c r="AI239" i="9"/>
  <c r="AD240" i="9"/>
  <c r="AL240" i="9"/>
  <c r="AG241" i="9"/>
  <c r="AO241" i="9"/>
  <c r="AJ242" i="9"/>
  <c r="AE243" i="9"/>
  <c r="AM243" i="9"/>
  <c r="AK244" i="9"/>
  <c r="AF245" i="9"/>
  <c r="AD246" i="9"/>
  <c r="AN246" i="9"/>
  <c r="AM247" i="9"/>
  <c r="AK248" i="9"/>
  <c r="AO249" i="9"/>
  <c r="AG250" i="9"/>
  <c r="AJ251" i="9"/>
  <c r="AD252" i="9"/>
  <c r="AH253" i="9"/>
  <c r="AK254" i="9"/>
  <c r="AE263" i="9"/>
  <c r="AP265" i="9"/>
  <c r="AF215" i="9"/>
  <c r="AN271" i="9"/>
  <c r="AK273" i="9"/>
  <c r="AO275" i="9"/>
  <c r="AH278" i="9"/>
  <c r="AN280" i="9"/>
  <c r="AG283" i="9"/>
  <c r="AM285" i="9"/>
  <c r="AF288" i="9"/>
  <c r="AL290" i="9"/>
  <c r="AE293" i="9"/>
  <c r="AK295" i="9"/>
  <c r="AD298" i="9"/>
  <c r="AJ300" i="9"/>
  <c r="AP302" i="9"/>
  <c r="AI305" i="9"/>
  <c r="AO307" i="9"/>
  <c r="AH310" i="9"/>
  <c r="AN312" i="9"/>
  <c r="AG315" i="9"/>
  <c r="AM317" i="9"/>
  <c r="AF320" i="9"/>
  <c r="AL322" i="9"/>
  <c r="AE325" i="9"/>
  <c r="AK327" i="9"/>
  <c r="AD330" i="9"/>
  <c r="AG333" i="9"/>
  <c r="AF337" i="9"/>
  <c r="AD341" i="9"/>
  <c r="AE345" i="9"/>
  <c r="AP348" i="9"/>
  <c r="AP352" i="9"/>
  <c r="AO356" i="9"/>
  <c r="AM360" i="9"/>
  <c r="AN364" i="9"/>
  <c r="AL368" i="9"/>
  <c r="AL372" i="9"/>
  <c r="AE246" i="9"/>
  <c r="AP246" i="9"/>
  <c r="AD247" i="9"/>
  <c r="AN247" i="9"/>
  <c r="AL248" i="9"/>
  <c r="AP249" i="9"/>
  <c r="AJ250" i="9"/>
  <c r="AM251" i="9"/>
  <c r="AE252" i="9"/>
  <c r="AK253" i="9"/>
  <c r="AN254" i="9"/>
  <c r="AF263" i="9"/>
  <c r="AD264" i="9"/>
  <c r="AJ215" i="9"/>
  <c r="AH217" i="9"/>
  <c r="AO271" i="9"/>
  <c r="AP275" i="9"/>
  <c r="AI278" i="9"/>
  <c r="AO280" i="9"/>
  <c r="AH283" i="9"/>
  <c r="AN285" i="9"/>
  <c r="AG288" i="9"/>
  <c r="AM290" i="9"/>
  <c r="AF293" i="9"/>
  <c r="AL295" i="9"/>
  <c r="AE298" i="9"/>
  <c r="AK300" i="9"/>
  <c r="AD303" i="9"/>
  <c r="AJ305" i="9"/>
  <c r="AP307" i="9"/>
  <c r="AI310" i="9"/>
  <c r="AO312" i="9"/>
  <c r="AH315" i="9"/>
  <c r="AN317" i="9"/>
  <c r="AG320" i="9"/>
  <c r="AM322" i="9"/>
  <c r="AF325" i="9"/>
  <c r="AL327" i="9"/>
  <c r="AE330" i="9"/>
  <c r="AI333" i="9"/>
  <c r="AG337" i="9"/>
  <c r="AG341" i="9"/>
  <c r="AF345" i="9"/>
  <c r="AD349" i="9"/>
  <c r="AE353" i="9"/>
  <c r="AP356" i="9"/>
  <c r="AP360" i="9"/>
  <c r="AO364" i="9"/>
  <c r="AM368" i="9"/>
  <c r="AN372" i="9"/>
  <c r="AH238" i="9"/>
  <c r="AP238" i="9"/>
  <c r="AK239" i="9"/>
  <c r="AF240" i="9"/>
  <c r="AN240" i="9"/>
  <c r="AI241" i="9"/>
  <c r="AD242" i="9"/>
  <c r="AL242" i="9"/>
  <c r="AG243" i="9"/>
  <c r="AO243" i="9"/>
  <c r="AD244" i="9"/>
  <c r="AM244" i="9"/>
  <c r="AI245" i="9"/>
  <c r="AF246" i="9"/>
  <c r="AE247" i="9"/>
  <c r="AP247" i="9"/>
  <c r="AM248" i="9"/>
  <c r="AD249" i="9"/>
  <c r="AK250" i="9"/>
  <c r="AN251" i="9"/>
  <c r="AH252" i="9"/>
  <c r="AL253" i="9"/>
  <c r="AO254" i="9"/>
  <c r="AI263" i="9"/>
  <c r="AE264" i="9"/>
  <c r="AD265" i="9"/>
  <c r="AM215" i="9"/>
  <c r="AI217" i="9"/>
  <c r="AD270" i="9"/>
  <c r="AD274" i="9"/>
  <c r="AJ276" i="9"/>
  <c r="AP278" i="9"/>
  <c r="AI281" i="9"/>
  <c r="AO283" i="9"/>
  <c r="AH286" i="9"/>
  <c r="AN288" i="9"/>
  <c r="AG291" i="9"/>
  <c r="AM293" i="9"/>
  <c r="AF296" i="9"/>
  <c r="AL298" i="9"/>
  <c r="AE301" i="9"/>
  <c r="AK303" i="9"/>
  <c r="AD306" i="9"/>
  <c r="AJ308" i="9"/>
  <c r="AP310" i="9"/>
  <c r="AI313" i="9"/>
  <c r="AO315" i="9"/>
  <c r="AH318" i="9"/>
  <c r="AN320" i="9"/>
  <c r="AG323" i="9"/>
  <c r="AM325" i="9"/>
  <c r="AF328" i="9"/>
  <c r="AL330" i="9"/>
  <c r="AF334" i="9"/>
  <c r="AF338" i="9"/>
  <c r="AE342" i="9"/>
  <c r="AP345" i="9"/>
  <c r="AD350" i="9"/>
  <c r="AO353" i="9"/>
  <c r="AO357" i="9"/>
  <c r="AN361" i="9"/>
  <c r="AL365" i="9"/>
  <c r="AM369" i="9"/>
  <c r="AK373" i="9"/>
  <c r="AH243" i="9"/>
  <c r="AP243" i="9"/>
  <c r="AE244" i="9"/>
  <c r="AN244" i="9"/>
  <c r="AJ245" i="9"/>
  <c r="AH246" i="9"/>
  <c r="AF247" i="9"/>
  <c r="AD248" i="9"/>
  <c r="AO248" i="9"/>
  <c r="AG249" i="9"/>
  <c r="AM250" i="9"/>
  <c r="AP251" i="9"/>
  <c r="AI252" i="9"/>
  <c r="AN253" i="9"/>
  <c r="AJ263" i="9"/>
  <c r="AG264" i="9"/>
  <c r="AG265" i="9"/>
  <c r="AN215" i="9"/>
  <c r="AP217" i="9"/>
  <c r="AE270" i="9"/>
  <c r="AH272" i="9"/>
  <c r="AE274" i="9"/>
  <c r="AK276" i="9"/>
  <c r="AD279" i="9"/>
  <c r="AJ281" i="9"/>
  <c r="AP283" i="9"/>
  <c r="AI286" i="9"/>
  <c r="AO288" i="9"/>
  <c r="AH291" i="9"/>
  <c r="AN293" i="9"/>
  <c r="AG296" i="9"/>
  <c r="AM298" i="9"/>
  <c r="AF301" i="9"/>
  <c r="AL303" i="9"/>
  <c r="AE306" i="9"/>
  <c r="AK308" i="9"/>
  <c r="AD311" i="9"/>
  <c r="AJ313" i="9"/>
  <c r="AP315" i="9"/>
  <c r="AI318" i="9"/>
  <c r="AO320" i="9"/>
  <c r="AH323" i="9"/>
  <c r="AN325" i="9"/>
  <c r="AG328" i="9"/>
  <c r="AM330" i="9"/>
  <c r="AG334" i="9"/>
  <c r="AH338" i="9"/>
  <c r="AF342" i="9"/>
  <c r="AF346" i="9"/>
  <c r="AE350" i="9"/>
  <c r="AP353" i="9"/>
  <c r="AD358" i="9"/>
  <c r="AO361" i="9"/>
  <c r="AO365" i="9"/>
  <c r="AN369" i="9"/>
  <c r="AL373" i="9"/>
  <c r="AK233" i="9"/>
  <c r="AF234" i="9"/>
  <c r="AN234" i="9"/>
  <c r="AI235" i="9"/>
  <c r="AD236" i="9"/>
  <c r="AL236" i="9"/>
  <c r="AG237" i="9"/>
  <c r="AO237" i="9"/>
  <c r="AJ238" i="9"/>
  <c r="AE239" i="9"/>
  <c r="AM239" i="9"/>
  <c r="AH240" i="9"/>
  <c r="AP240" i="9"/>
  <c r="AK241" i="9"/>
  <c r="AF242" i="9"/>
  <c r="AN242" i="9"/>
  <c r="AI243" i="9"/>
  <c r="AF244" i="9"/>
  <c r="AO244" i="9"/>
  <c r="AK245" i="9"/>
  <c r="AI246" i="9"/>
  <c r="AH247" i="9"/>
  <c r="AE248" i="9"/>
  <c r="AP248" i="9"/>
  <c r="AH249" i="9"/>
  <c r="AN250" i="9"/>
  <c r="AE251" i="9"/>
  <c r="AK252" i="9"/>
  <c r="AO253" i="9"/>
  <c r="AF254" i="9"/>
  <c r="AL263" i="9"/>
  <c r="AI264" i="9"/>
  <c r="AH265" i="9"/>
  <c r="AE218" i="9"/>
  <c r="AL270" i="9"/>
  <c r="AI272" i="9"/>
  <c r="AL274" i="9"/>
  <c r="AE277" i="9"/>
  <c r="AK279" i="9"/>
  <c r="AD282" i="9"/>
  <c r="AJ284" i="9"/>
  <c r="AP286" i="9"/>
  <c r="AI289" i="9"/>
  <c r="AO291" i="9"/>
  <c r="AH294" i="9"/>
  <c r="AN296" i="9"/>
  <c r="AG299" i="9"/>
  <c r="AM301" i="9"/>
  <c r="AF304" i="9"/>
  <c r="AL306" i="9"/>
  <c r="AE309" i="9"/>
  <c r="AK311" i="9"/>
  <c r="AD314" i="9"/>
  <c r="AJ316" i="9"/>
  <c r="AP318" i="9"/>
  <c r="AI321" i="9"/>
  <c r="AO323" i="9"/>
  <c r="AH326" i="9"/>
  <c r="AN328" i="9"/>
  <c r="AI331" i="9"/>
  <c r="AG335" i="9"/>
  <c r="AE339" i="9"/>
  <c r="AE343" i="9"/>
  <c r="AD347" i="9"/>
  <c r="AO350" i="9"/>
  <c r="AP354" i="9"/>
  <c r="AN358" i="9"/>
  <c r="AN362" i="9"/>
  <c r="AM366" i="9"/>
  <c r="AK370" i="9"/>
  <c r="AL374" i="9"/>
  <c r="AJ249" i="9"/>
  <c r="AO250" i="9"/>
  <c r="AF251" i="9"/>
  <c r="AL252" i="9"/>
  <c r="AD253" i="9"/>
  <c r="AP253" i="9"/>
  <c r="AG254" i="9"/>
  <c r="AM263" i="9"/>
  <c r="AL264" i="9"/>
  <c r="AJ265" i="9"/>
  <c r="AD216" i="9"/>
  <c r="AF218" i="9"/>
  <c r="AM270" i="9"/>
  <c r="AP272" i="9"/>
  <c r="AM274" i="9"/>
  <c r="AF277" i="9"/>
  <c r="AL279" i="9"/>
  <c r="AE282" i="9"/>
  <c r="AK284" i="9"/>
  <c r="AD287" i="9"/>
  <c r="AJ289" i="9"/>
  <c r="AP291" i="9"/>
  <c r="AI294" i="9"/>
  <c r="AO296" i="9"/>
  <c r="AH299" i="9"/>
  <c r="AN301" i="9"/>
  <c r="AG304" i="9"/>
  <c r="AM306" i="9"/>
  <c r="AF309" i="9"/>
  <c r="AL311" i="9"/>
  <c r="AE314" i="9"/>
  <c r="AK316" i="9"/>
  <c r="AD319" i="9"/>
  <c r="AJ321" i="9"/>
  <c r="AP323" i="9"/>
  <c r="AI326" i="9"/>
  <c r="AO328" i="9"/>
  <c r="AJ331" i="9"/>
  <c r="AH335" i="9"/>
  <c r="AF339" i="9"/>
  <c r="AG343" i="9"/>
  <c r="AE347" i="9"/>
  <c r="AE351" i="9"/>
  <c r="AD355" i="9"/>
  <c r="AO358" i="9"/>
  <c r="AP362" i="9"/>
  <c r="AN366" i="9"/>
  <c r="AN370" i="9"/>
  <c r="AM374" i="9"/>
  <c r="AF249" i="9"/>
  <c r="AN249" i="9"/>
  <c r="AI250" i="9"/>
  <c r="AD251" i="9"/>
  <c r="AL251" i="9"/>
  <c r="AG252" i="9"/>
  <c r="AO252" i="9"/>
  <c r="AJ253" i="9"/>
  <c r="AE254" i="9"/>
  <c r="AM254" i="9"/>
  <c r="AH263" i="9"/>
  <c r="AP263" i="9"/>
  <c r="AK264" i="9"/>
  <c r="AF265" i="9"/>
  <c r="AN265" i="9"/>
  <c r="AD215" i="9"/>
  <c r="AL215" i="9"/>
  <c r="AJ216" i="9"/>
  <c r="AG217" i="9"/>
  <c r="AO217" i="9"/>
  <c r="AD218" i="9"/>
  <c r="AL218" i="9"/>
  <c r="AK270" i="9"/>
  <c r="AE271" i="9"/>
  <c r="AM271" i="9"/>
  <c r="AG272" i="9"/>
  <c r="AO272" i="9"/>
  <c r="AI273" i="9"/>
  <c r="AK274" i="9"/>
  <c r="AF275" i="9"/>
  <c r="AN275" i="9"/>
  <c r="AI276" i="9"/>
  <c r="AD277" i="9"/>
  <c r="AL277" i="9"/>
  <c r="AG278" i="9"/>
  <c r="AO278" i="9"/>
  <c r="AJ279" i="9"/>
  <c r="AE280" i="9"/>
  <c r="AM280" i="9"/>
  <c r="AH281" i="9"/>
  <c r="AP281" i="9"/>
  <c r="AK282" i="9"/>
  <c r="AF283" i="9"/>
  <c r="AN283" i="9"/>
  <c r="AI284" i="9"/>
  <c r="AD285" i="9"/>
  <c r="AL285" i="9"/>
  <c r="AG286" i="9"/>
  <c r="AO286" i="9"/>
  <c r="AJ287" i="9"/>
  <c r="AE288" i="9"/>
  <c r="AM288" i="9"/>
  <c r="AH289" i="9"/>
  <c r="AP289" i="9"/>
  <c r="AK290" i="9"/>
  <c r="AF291" i="9"/>
  <c r="AN291" i="9"/>
  <c r="AI292" i="9"/>
  <c r="AD293" i="9"/>
  <c r="AL293" i="9"/>
  <c r="AG294" i="9"/>
  <c r="AO294" i="9"/>
  <c r="AJ295" i="9"/>
  <c r="AE296" i="9"/>
  <c r="AM296" i="9"/>
  <c r="AH297" i="9"/>
  <c r="AP297" i="9"/>
  <c r="AK298" i="9"/>
  <c r="AF299" i="9"/>
  <c r="AN299" i="9"/>
  <c r="AI300" i="9"/>
  <c r="AD301" i="9"/>
  <c r="AL301" i="9"/>
  <c r="AG302" i="9"/>
  <c r="AO302" i="9"/>
  <c r="AJ303" i="9"/>
  <c r="AE304" i="9"/>
  <c r="AM304" i="9"/>
  <c r="AH305" i="9"/>
  <c r="AP305" i="9"/>
  <c r="AK306" i="9"/>
  <c r="AF307" i="9"/>
  <c r="AN307" i="9"/>
  <c r="AI308" i="9"/>
  <c r="AD309" i="9"/>
  <c r="AL309" i="9"/>
  <c r="AG310" i="9"/>
  <c r="AO310" i="9"/>
  <c r="AJ311" i="9"/>
  <c r="AE312" i="9"/>
  <c r="AM312" i="9"/>
  <c r="AH313" i="9"/>
  <c r="AP313" i="9"/>
  <c r="AK314" i="9"/>
  <c r="AF315" i="9"/>
  <c r="AN315" i="9"/>
  <c r="AI316" i="9"/>
  <c r="AD317" i="9"/>
  <c r="AL317" i="9"/>
  <c r="AG318" i="9"/>
  <c r="AO318" i="9"/>
  <c r="AJ319" i="9"/>
  <c r="AE320" i="9"/>
  <c r="AM320" i="9"/>
  <c r="AH321" i="9"/>
  <c r="AP321" i="9"/>
  <c r="AK322" i="9"/>
  <c r="AF323" i="9"/>
  <c r="AN323" i="9"/>
  <c r="AI324" i="9"/>
  <c r="AD325" i="9"/>
  <c r="AL325" i="9"/>
  <c r="AG326" i="9"/>
  <c r="AO326" i="9"/>
  <c r="AJ327" i="9"/>
  <c r="AE328" i="9"/>
  <c r="AM328" i="9"/>
  <c r="AH329" i="9"/>
  <c r="AP329" i="9"/>
  <c r="AK330" i="9"/>
  <c r="AF331" i="9"/>
  <c r="AF332" i="9"/>
  <c r="AD333" i="9"/>
  <c r="AE334" i="9"/>
  <c r="AE335" i="9"/>
  <c r="AD336" i="9"/>
  <c r="AE337" i="9"/>
  <c r="AP337" i="9"/>
  <c r="AD339" i="9"/>
  <c r="AD340" i="9"/>
  <c r="AP340" i="9"/>
  <c r="AD342" i="9"/>
  <c r="AO342" i="9"/>
  <c r="AP343" i="9"/>
  <c r="AP344" i="9"/>
  <c r="AO345" i="9"/>
  <c r="AP346" i="9"/>
  <c r="AN347" i="9"/>
  <c r="AO348" i="9"/>
  <c r="AO349" i="9"/>
  <c r="AN350" i="9"/>
  <c r="AO351" i="9"/>
  <c r="AM352" i="9"/>
  <c r="AN353" i="9"/>
  <c r="AN354" i="9"/>
  <c r="AM355" i="9"/>
  <c r="AN356" i="9"/>
  <c r="AL357" i="9"/>
  <c r="AM358" i="9"/>
  <c r="AM359" i="9"/>
  <c r="AL360" i="9"/>
  <c r="AM361" i="9"/>
  <c r="AK362" i="9"/>
  <c r="AL363" i="9"/>
  <c r="AL364" i="9"/>
  <c r="AK365" i="9"/>
  <c r="AL366" i="9"/>
  <c r="AJ367" i="9"/>
  <c r="AK368" i="9"/>
  <c r="AK369" i="9"/>
  <c r="AJ370" i="9"/>
  <c r="AK371" i="9"/>
  <c r="AI372" i="9"/>
  <c r="AJ373" i="9"/>
  <c r="AJ374" i="9"/>
  <c r="AI244" i="9"/>
  <c r="AD245" i="9"/>
  <c r="AL245" i="9"/>
  <c r="AG246" i="9"/>
  <c r="AO246" i="9"/>
  <c r="AK247" i="9"/>
  <c r="AF248" i="9"/>
  <c r="AN248" i="9"/>
  <c r="AI249" i="9"/>
  <c r="AD250" i="9"/>
  <c r="AL250" i="9"/>
  <c r="AG251" i="9"/>
  <c r="AO251" i="9"/>
  <c r="AJ252" i="9"/>
  <c r="AE253" i="9"/>
  <c r="AM253" i="9"/>
  <c r="AH254" i="9"/>
  <c r="AP254" i="9"/>
  <c r="AK263" i="9"/>
  <c r="AF264" i="9"/>
  <c r="AN264" i="9"/>
  <c r="AI265" i="9"/>
  <c r="AG215" i="9"/>
  <c r="AO215" i="9"/>
  <c r="AE216" i="9"/>
  <c r="AM216" i="9"/>
  <c r="AJ217" i="9"/>
  <c r="AG218" i="9"/>
  <c r="AO218" i="9"/>
  <c r="AF270" i="9"/>
  <c r="AN270" i="9"/>
  <c r="AH271" i="9"/>
  <c r="AP271" i="9"/>
  <c r="AJ272" i="9"/>
  <c r="AD273" i="9"/>
  <c r="AL273" i="9"/>
  <c r="AF274" i="9"/>
  <c r="AN274" i="9"/>
  <c r="AI275" i="9"/>
  <c r="AD276" i="9"/>
  <c r="AL276" i="9"/>
  <c r="AG277" i="9"/>
  <c r="AO277" i="9"/>
  <c r="AJ278" i="9"/>
  <c r="AE279" i="9"/>
  <c r="AM279" i="9"/>
  <c r="AH280" i="9"/>
  <c r="AP280" i="9"/>
  <c r="AK281" i="9"/>
  <c r="AF282" i="9"/>
  <c r="AN282" i="9"/>
  <c r="AI283" i="9"/>
  <c r="AD284" i="9"/>
  <c r="AL284" i="9"/>
  <c r="AG285" i="9"/>
  <c r="AO285" i="9"/>
  <c r="AJ286" i="9"/>
  <c r="AE287" i="9"/>
  <c r="AM287" i="9"/>
  <c r="AH288" i="9"/>
  <c r="AP288" i="9"/>
  <c r="AK289" i="9"/>
  <c r="AF290" i="9"/>
  <c r="AN290" i="9"/>
  <c r="AI291" i="9"/>
  <c r="AD292" i="9"/>
  <c r="AL292" i="9"/>
  <c r="AG293" i="9"/>
  <c r="AO293" i="9"/>
  <c r="AJ294" i="9"/>
  <c r="AE295" i="9"/>
  <c r="AM295" i="9"/>
  <c r="AH296" i="9"/>
  <c r="AP296" i="9"/>
  <c r="AK297" i="9"/>
  <c r="AF298" i="9"/>
  <c r="AN298" i="9"/>
  <c r="AI299" i="9"/>
  <c r="AD300" i="9"/>
  <c r="AL300" i="9"/>
  <c r="AG301" i="9"/>
  <c r="AO301" i="9"/>
  <c r="AJ302" i="9"/>
  <c r="AE303" i="9"/>
  <c r="AM303" i="9"/>
  <c r="AH304" i="9"/>
  <c r="AP304" i="9"/>
  <c r="AK305" i="9"/>
  <c r="AF306" i="9"/>
  <c r="AN306" i="9"/>
  <c r="AI307" i="9"/>
  <c r="AD308" i="9"/>
  <c r="AL308" i="9"/>
  <c r="AG309" i="9"/>
  <c r="AO309" i="9"/>
  <c r="AJ310" i="9"/>
  <c r="AE311" i="9"/>
  <c r="AM311" i="9"/>
  <c r="AH312" i="9"/>
  <c r="AP312" i="9"/>
  <c r="AK313" i="9"/>
  <c r="AF314" i="9"/>
  <c r="AN314" i="9"/>
  <c r="AI315" i="9"/>
  <c r="AD316" i="9"/>
  <c r="AL316" i="9"/>
  <c r="AG317" i="9"/>
  <c r="AO317" i="9"/>
  <c r="AJ318" i="9"/>
  <c r="AE319" i="9"/>
  <c r="AM319" i="9"/>
  <c r="AH320" i="9"/>
  <c r="AP320" i="9"/>
  <c r="AK321" i="9"/>
  <c r="AF322" i="9"/>
  <c r="AN322" i="9"/>
  <c r="AI323" i="9"/>
  <c r="AD324" i="9"/>
  <c r="AL324" i="9"/>
  <c r="AG325" i="9"/>
  <c r="AO325" i="9"/>
  <c r="AJ326" i="9"/>
  <c r="AE327" i="9"/>
  <c r="AM327" i="9"/>
  <c r="AH328" i="9"/>
  <c r="AP328" i="9"/>
  <c r="AK329" i="9"/>
  <c r="AF330" i="9"/>
  <c r="AN330" i="9"/>
  <c r="AK331" i="9"/>
  <c r="AI332" i="9"/>
  <c r="AJ333" i="9"/>
  <c r="AJ334" i="9"/>
  <c r="AI335" i="9"/>
  <c r="AJ336" i="9"/>
  <c r="AH337" i="9"/>
  <c r="AI338" i="9"/>
  <c r="AI339" i="9"/>
  <c r="AH340" i="9"/>
  <c r="AI341" i="9"/>
  <c r="AG342" i="9"/>
  <c r="AH343" i="9"/>
  <c r="AH344" i="9"/>
  <c r="AG345" i="9"/>
  <c r="AH346" i="9"/>
  <c r="AF347" i="9"/>
  <c r="AG348" i="9"/>
  <c r="AG349" i="9"/>
  <c r="AF350" i="9"/>
  <c r="AG351" i="9"/>
  <c r="AE352" i="9"/>
  <c r="AF353" i="9"/>
  <c r="AF354" i="9"/>
  <c r="AE355" i="9"/>
  <c r="AF356" i="9"/>
  <c r="AD357" i="9"/>
  <c r="AE358" i="9"/>
  <c r="AE359" i="9"/>
  <c r="AD360" i="9"/>
  <c r="AE361" i="9"/>
  <c r="AP361" i="9"/>
  <c r="AD363" i="9"/>
  <c r="AD364" i="9"/>
  <c r="AP364" i="9"/>
  <c r="AD366" i="9"/>
  <c r="AO366" i="9"/>
  <c r="AP367" i="9"/>
  <c r="AP368" i="9"/>
  <c r="AO369" i="9"/>
  <c r="AP370" i="9"/>
  <c r="AN371" i="9"/>
  <c r="AO372" i="9"/>
  <c r="AO373" i="9"/>
  <c r="AN374" i="9"/>
  <c r="AH215" i="9"/>
  <c r="AP215" i="9"/>
  <c r="AF216" i="9"/>
  <c r="AN216" i="9"/>
  <c r="AK217" i="9"/>
  <c r="AH218" i="9"/>
  <c r="AP218" i="9"/>
  <c r="AG270" i="9"/>
  <c r="AO270" i="9"/>
  <c r="AI271" i="9"/>
  <c r="AK272" i="9"/>
  <c r="AE273" i="9"/>
  <c r="AM273" i="9"/>
  <c r="AG274" i="9"/>
  <c r="AO274" i="9"/>
  <c r="AJ275" i="9"/>
  <c r="AE276" i="9"/>
  <c r="AM276" i="9"/>
  <c r="AH277" i="9"/>
  <c r="AP277" i="9"/>
  <c r="AK278" i="9"/>
  <c r="AF279" i="9"/>
  <c r="AN279" i="9"/>
  <c r="AI280" i="9"/>
  <c r="AD281" i="9"/>
  <c r="AL281" i="9"/>
  <c r="AG282" i="9"/>
  <c r="AO282" i="9"/>
  <c r="AJ283" i="9"/>
  <c r="AE284" i="9"/>
  <c r="AM284" i="9"/>
  <c r="AH285" i="9"/>
  <c r="AP285" i="9"/>
  <c r="AK286" i="9"/>
  <c r="AF287" i="9"/>
  <c r="AN287" i="9"/>
  <c r="AI288" i="9"/>
  <c r="AD289" i="9"/>
  <c r="AL289" i="9"/>
  <c r="AG290" i="9"/>
  <c r="AO290" i="9"/>
  <c r="AJ291" i="9"/>
  <c r="AE292" i="9"/>
  <c r="AM292" i="9"/>
  <c r="AH293" i="9"/>
  <c r="AP293" i="9"/>
  <c r="AK294" i="9"/>
  <c r="AF295" i="9"/>
  <c r="AN295" i="9"/>
  <c r="AI296" i="9"/>
  <c r="AD297" i="9"/>
  <c r="AL297" i="9"/>
  <c r="AG298" i="9"/>
  <c r="AO298" i="9"/>
  <c r="AJ299" i="9"/>
  <c r="AE300" i="9"/>
  <c r="AM300" i="9"/>
  <c r="AH301" i="9"/>
  <c r="AP301" i="9"/>
  <c r="AK302" i="9"/>
  <c r="AF303" i="9"/>
  <c r="AN303" i="9"/>
  <c r="AI304" i="9"/>
  <c r="AD305" i="9"/>
  <c r="AL305" i="9"/>
  <c r="AG306" i="9"/>
  <c r="AO306" i="9"/>
  <c r="AJ307" i="9"/>
  <c r="AE308" i="9"/>
  <c r="AM308" i="9"/>
  <c r="AH309" i="9"/>
  <c r="AP309" i="9"/>
  <c r="AK310" i="9"/>
  <c r="AF311" i="9"/>
  <c r="AN311" i="9"/>
  <c r="AI312" i="9"/>
  <c r="AD313" i="9"/>
  <c r="AL313" i="9"/>
  <c r="AG314" i="9"/>
  <c r="AO314" i="9"/>
  <c r="AJ315" i="9"/>
  <c r="AE316" i="9"/>
  <c r="AM316" i="9"/>
  <c r="AH317" i="9"/>
  <c r="AP317" i="9"/>
  <c r="AK318" i="9"/>
  <c r="AF319" i="9"/>
  <c r="AN319" i="9"/>
  <c r="AI320" i="9"/>
  <c r="AD321" i="9"/>
  <c r="AL321" i="9"/>
  <c r="AG322" i="9"/>
  <c r="AO322" i="9"/>
  <c r="AJ323" i="9"/>
  <c r="AE324" i="9"/>
  <c r="AM324" i="9"/>
  <c r="AH325" i="9"/>
  <c r="AP325" i="9"/>
  <c r="AK326" i="9"/>
  <c r="AF327" i="9"/>
  <c r="AN327" i="9"/>
  <c r="AI328" i="9"/>
  <c r="AD329" i="9"/>
  <c r="AL329" i="9"/>
  <c r="AG330" i="9"/>
  <c r="AO330" i="9"/>
  <c r="AL331" i="9"/>
  <c r="AL332" i="9"/>
  <c r="AK333" i="9"/>
  <c r="AL334" i="9"/>
  <c r="AJ335" i="9"/>
  <c r="AK336" i="9"/>
  <c r="AK337" i="9"/>
  <c r="AJ338" i="9"/>
  <c r="AK339" i="9"/>
  <c r="AI340" i="9"/>
  <c r="AJ341" i="9"/>
  <c r="AJ342" i="9"/>
  <c r="AI343" i="9"/>
  <c r="AJ344" i="9"/>
  <c r="AH345" i="9"/>
  <c r="AI346" i="9"/>
  <c r="AI347" i="9"/>
  <c r="AH348" i="9"/>
  <c r="AI349" i="9"/>
  <c r="AG350" i="9"/>
  <c r="AH351" i="9"/>
  <c r="AH352" i="9"/>
  <c r="AG353" i="9"/>
  <c r="AH354" i="9"/>
  <c r="AF355" i="9"/>
  <c r="AG356" i="9"/>
  <c r="AG357" i="9"/>
  <c r="AF358" i="9"/>
  <c r="AG359" i="9"/>
  <c r="AE360" i="9"/>
  <c r="AF361" i="9"/>
  <c r="AF362" i="9"/>
  <c r="AE363" i="9"/>
  <c r="AF364" i="9"/>
  <c r="AD365" i="9"/>
  <c r="AE366" i="9"/>
  <c r="AE367" i="9"/>
  <c r="AD368" i="9"/>
  <c r="AE369" i="9"/>
  <c r="AP369" i="9"/>
  <c r="AD371" i="9"/>
  <c r="AD372" i="9"/>
  <c r="AP372" i="9"/>
  <c r="AD374" i="9"/>
  <c r="AO374" i="9"/>
  <c r="AH264" i="9"/>
  <c r="AP264" i="9"/>
  <c r="AK265" i="9"/>
  <c r="AI215" i="9"/>
  <c r="AG216" i="9"/>
  <c r="AO216" i="9"/>
  <c r="AD217" i="9"/>
  <c r="AL217" i="9"/>
  <c r="AI218" i="9"/>
  <c r="AH270" i="9"/>
  <c r="AP270" i="9"/>
  <c r="AJ271" i="9"/>
  <c r="AD272" i="9"/>
  <c r="AL272" i="9"/>
  <c r="AF273" i="9"/>
  <c r="AN273" i="9"/>
  <c r="AH274" i="9"/>
  <c r="AP274" i="9"/>
  <c r="AK275" i="9"/>
  <c r="AF276" i="9"/>
  <c r="AN276" i="9"/>
  <c r="AI277" i="9"/>
  <c r="AD278" i="9"/>
  <c r="AL278" i="9"/>
  <c r="AG279" i="9"/>
  <c r="AO279" i="9"/>
  <c r="AJ280" i="9"/>
  <c r="AE281" i="9"/>
  <c r="AM281" i="9"/>
  <c r="AH282" i="9"/>
  <c r="AP282" i="9"/>
  <c r="AK283" i="9"/>
  <c r="AF284" i="9"/>
  <c r="AN284" i="9"/>
  <c r="AI285" i="9"/>
  <c r="AD286" i="9"/>
  <c r="AL286" i="9"/>
  <c r="AG287" i="9"/>
  <c r="AO287" i="9"/>
  <c r="AJ288" i="9"/>
  <c r="AE289" i="9"/>
  <c r="AM289" i="9"/>
  <c r="AH290" i="9"/>
  <c r="AP290" i="9"/>
  <c r="AK291" i="9"/>
  <c r="AF292" i="9"/>
  <c r="AN292" i="9"/>
  <c r="AI293" i="9"/>
  <c r="AD294" i="9"/>
  <c r="AL294" i="9"/>
  <c r="AG295" i="9"/>
  <c r="AO295" i="9"/>
  <c r="AJ296" i="9"/>
  <c r="AE297" i="9"/>
  <c r="AM297" i="9"/>
  <c r="AH298" i="9"/>
  <c r="AP298" i="9"/>
  <c r="AK299" i="9"/>
  <c r="AF300" i="9"/>
  <c r="AN300" i="9"/>
  <c r="AI301" i="9"/>
  <c r="AD302" i="9"/>
  <c r="AL302" i="9"/>
  <c r="AG303" i="9"/>
  <c r="AO303" i="9"/>
  <c r="AJ304" i="9"/>
  <c r="AE305" i="9"/>
  <c r="AM305" i="9"/>
  <c r="AH306" i="9"/>
  <c r="AP306" i="9"/>
  <c r="AK307" i="9"/>
  <c r="AF308" i="9"/>
  <c r="AN308" i="9"/>
  <c r="AI309" i="9"/>
  <c r="AD310" i="9"/>
  <c r="AL310" i="9"/>
  <c r="AG311" i="9"/>
  <c r="AO311" i="9"/>
  <c r="AJ312" i="9"/>
  <c r="AE313" i="9"/>
  <c r="AM313" i="9"/>
  <c r="AH314" i="9"/>
  <c r="AP314" i="9"/>
  <c r="AK315" i="9"/>
  <c r="AF316" i="9"/>
  <c r="AN316" i="9"/>
  <c r="AI317" i="9"/>
  <c r="AD318" i="9"/>
  <c r="AL318" i="9"/>
  <c r="AG319" i="9"/>
  <c r="AO319" i="9"/>
  <c r="AJ320" i="9"/>
  <c r="AE321" i="9"/>
  <c r="AM321" i="9"/>
  <c r="AH322" i="9"/>
  <c r="AP322" i="9"/>
  <c r="AK323" i="9"/>
  <c r="AF324" i="9"/>
  <c r="AN324" i="9"/>
  <c r="AI325" i="9"/>
  <c r="AD326" i="9"/>
  <c r="AL326" i="9"/>
  <c r="AG327" i="9"/>
  <c r="AO327" i="9"/>
  <c r="AJ328" i="9"/>
  <c r="AE329" i="9"/>
  <c r="AM329" i="9"/>
  <c r="AH330" i="9"/>
  <c r="AP330" i="9"/>
  <c r="AM331" i="9"/>
  <c r="AN332" i="9"/>
  <c r="AL333" i="9"/>
  <c r="AM334" i="9"/>
  <c r="AM335" i="9"/>
  <c r="AL336" i="9"/>
  <c r="AM337" i="9"/>
  <c r="AK338" i="9"/>
  <c r="AL339" i="9"/>
  <c r="AL340" i="9"/>
  <c r="AK341" i="9"/>
  <c r="AL342" i="9"/>
  <c r="AJ343" i="9"/>
  <c r="AK344" i="9"/>
  <c r="AK345" i="9"/>
  <c r="AJ346" i="9"/>
  <c r="AK347" i="9"/>
  <c r="AI348" i="9"/>
  <c r="AJ349" i="9"/>
  <c r="AJ350" i="9"/>
  <c r="AI351" i="9"/>
  <c r="AJ352" i="9"/>
  <c r="AH353" i="9"/>
  <c r="AI354" i="9"/>
  <c r="AI355" i="9"/>
  <c r="AH356" i="9"/>
  <c r="AI357" i="9"/>
  <c r="AG358" i="9"/>
  <c r="AH359" i="9"/>
  <c r="AH360" i="9"/>
  <c r="AG361" i="9"/>
  <c r="AH362" i="9"/>
  <c r="AF363" i="9"/>
  <c r="AG364" i="9"/>
  <c r="AG365" i="9"/>
  <c r="AF366" i="9"/>
  <c r="AG367" i="9"/>
  <c r="AE368" i="9"/>
  <c r="AF369" i="9"/>
  <c r="AF370" i="9"/>
  <c r="AE371" i="9"/>
  <c r="AF372" i="9"/>
  <c r="AD373" i="9"/>
  <c r="AE374" i="9"/>
  <c r="AH216" i="9"/>
  <c r="AP216" i="9"/>
  <c r="AE217" i="9"/>
  <c r="AM217" i="9"/>
  <c r="AJ218" i="9"/>
  <c r="AI270" i="9"/>
  <c r="AK271" i="9"/>
  <c r="AE272" i="9"/>
  <c r="AM272" i="9"/>
  <c r="AG273" i="9"/>
  <c r="AO273" i="9"/>
  <c r="AI274" i="9"/>
  <c r="AD275" i="9"/>
  <c r="AL275" i="9"/>
  <c r="AG276" i="9"/>
  <c r="AO276" i="9"/>
  <c r="AJ277" i="9"/>
  <c r="AE278" i="9"/>
  <c r="AM278" i="9"/>
  <c r="AH279" i="9"/>
  <c r="AP279" i="9"/>
  <c r="AK280" i="9"/>
  <c r="AF281" i="9"/>
  <c r="AN281" i="9"/>
  <c r="AI282" i="9"/>
  <c r="AD283" i="9"/>
  <c r="AL283" i="9"/>
  <c r="AG284" i="9"/>
  <c r="AO284" i="9"/>
  <c r="AJ285" i="9"/>
  <c r="AE286" i="9"/>
  <c r="AM286" i="9"/>
  <c r="AH287" i="9"/>
  <c r="AP287" i="9"/>
  <c r="AK288" i="9"/>
  <c r="AF289" i="9"/>
  <c r="AN289" i="9"/>
  <c r="AI290" i="9"/>
  <c r="AD291" i="9"/>
  <c r="AL291" i="9"/>
  <c r="AG292" i="9"/>
  <c r="AO292" i="9"/>
  <c r="AJ293" i="9"/>
  <c r="AE294" i="9"/>
  <c r="AM294" i="9"/>
  <c r="AH295" i="9"/>
  <c r="AP295" i="9"/>
  <c r="AK296" i="9"/>
  <c r="AF297" i="9"/>
  <c r="AN297" i="9"/>
  <c r="AI298" i="9"/>
  <c r="AD299" i="9"/>
  <c r="AL299" i="9"/>
  <c r="AG300" i="9"/>
  <c r="AO300" i="9"/>
  <c r="AJ301" i="9"/>
  <c r="AE302" i="9"/>
  <c r="AM302" i="9"/>
  <c r="AH303" i="9"/>
  <c r="AP303" i="9"/>
  <c r="AK304" i="9"/>
  <c r="AF305" i="9"/>
  <c r="AN305" i="9"/>
  <c r="AI306" i="9"/>
  <c r="AD307" i="9"/>
  <c r="AL307" i="9"/>
  <c r="AG308" i="9"/>
  <c r="AO308" i="9"/>
  <c r="AJ309" i="9"/>
  <c r="AE310" i="9"/>
  <c r="AM310" i="9"/>
  <c r="AH311" i="9"/>
  <c r="AP311" i="9"/>
  <c r="AK312" i="9"/>
  <c r="AF313" i="9"/>
  <c r="AN313" i="9"/>
  <c r="AI314" i="9"/>
  <c r="AD315" i="9"/>
  <c r="AL315" i="9"/>
  <c r="AG316" i="9"/>
  <c r="AO316" i="9"/>
  <c r="AJ317" i="9"/>
  <c r="AE318" i="9"/>
  <c r="AM318" i="9"/>
  <c r="AH319" i="9"/>
  <c r="AP319" i="9"/>
  <c r="AK320" i="9"/>
  <c r="AF321" i="9"/>
  <c r="AN321" i="9"/>
  <c r="AI322" i="9"/>
  <c r="AD323" i="9"/>
  <c r="AL323" i="9"/>
  <c r="AG324" i="9"/>
  <c r="AO324" i="9"/>
  <c r="AJ325" i="9"/>
  <c r="AE326" i="9"/>
  <c r="AM326" i="9"/>
  <c r="AH327" i="9"/>
  <c r="AP327" i="9"/>
  <c r="AK328" i="9"/>
  <c r="AF329" i="9"/>
  <c r="AN329" i="9"/>
  <c r="AI330" i="9"/>
  <c r="AD331" i="9"/>
  <c r="AN331" i="9"/>
  <c r="AO332" i="9"/>
  <c r="AO333" i="9"/>
  <c r="AN334" i="9"/>
  <c r="AO335" i="9"/>
  <c r="AM336" i="9"/>
  <c r="AN337" i="9"/>
  <c r="AN338" i="9"/>
  <c r="AM339" i="9"/>
  <c r="AN340" i="9"/>
  <c r="AL341" i="9"/>
  <c r="AM342" i="9"/>
  <c r="AM343" i="9"/>
  <c r="AL344" i="9"/>
  <c r="AM345" i="9"/>
  <c r="AK346" i="9"/>
  <c r="AL347" i="9"/>
  <c r="AL348" i="9"/>
  <c r="AK349" i="9"/>
  <c r="AL350" i="9"/>
  <c r="AJ351" i="9"/>
  <c r="AK352" i="9"/>
  <c r="AK353" i="9"/>
  <c r="AJ354" i="9"/>
  <c r="AK355" i="9"/>
  <c r="AI356" i="9"/>
  <c r="AJ357" i="9"/>
  <c r="AJ358" i="9"/>
  <c r="AI359" i="9"/>
  <c r="AJ360" i="9"/>
  <c r="AH361" i="9"/>
  <c r="AI362" i="9"/>
  <c r="AI363" i="9"/>
  <c r="AH364" i="9"/>
  <c r="AI365" i="9"/>
  <c r="AG366" i="9"/>
  <c r="AH367" i="9"/>
  <c r="AH368" i="9"/>
  <c r="AG369" i="9"/>
  <c r="AH370" i="9"/>
  <c r="AF371" i="9"/>
  <c r="AG372" i="9"/>
  <c r="AG373" i="9"/>
  <c r="AF374" i="9"/>
  <c r="AH245" i="9"/>
  <c r="AP245" i="9"/>
  <c r="AK246" i="9"/>
  <c r="AG247" i="9"/>
  <c r="AO247" i="9"/>
  <c r="AJ248" i="9"/>
  <c r="AE249" i="9"/>
  <c r="AM249" i="9"/>
  <c r="AH250" i="9"/>
  <c r="AP250" i="9"/>
  <c r="AK251" i="9"/>
  <c r="AF252" i="9"/>
  <c r="AN252" i="9"/>
  <c r="AI253" i="9"/>
  <c r="AD254" i="9"/>
  <c r="AL254" i="9"/>
  <c r="AG263" i="9"/>
  <c r="AO263" i="9"/>
  <c r="AJ264" i="9"/>
  <c r="AE265" i="9"/>
  <c r="AM265" i="9"/>
  <c r="AK215" i="9"/>
  <c r="AI216" i="9"/>
  <c r="AF217" i="9"/>
  <c r="AN217" i="9"/>
  <c r="AK218" i="9"/>
  <c r="AJ270" i="9"/>
  <c r="AD271" i="9"/>
  <c r="AL271" i="9"/>
  <c r="AF272" i="9"/>
  <c r="AN272" i="9"/>
  <c r="AH273" i="9"/>
  <c r="AP273" i="9"/>
  <c r="AJ274" i="9"/>
  <c r="AE275" i="9"/>
  <c r="AM275" i="9"/>
  <c r="AH276" i="9"/>
  <c r="AP276" i="9"/>
  <c r="AK277" i="9"/>
  <c r="AF278" i="9"/>
  <c r="AN278" i="9"/>
  <c r="AI279" i="9"/>
  <c r="AD280" i="9"/>
  <c r="AL280" i="9"/>
  <c r="AG281" i="9"/>
  <c r="AO281" i="9"/>
  <c r="AJ282" i="9"/>
  <c r="AE283" i="9"/>
  <c r="AM283" i="9"/>
  <c r="AH284" i="9"/>
  <c r="AP284" i="9"/>
  <c r="AK285" i="9"/>
  <c r="AF286" i="9"/>
  <c r="AN286" i="9"/>
  <c r="AI287" i="9"/>
  <c r="AD288" i="9"/>
  <c r="AL288" i="9"/>
  <c r="AG289" i="9"/>
  <c r="AO289" i="9"/>
  <c r="AJ290" i="9"/>
  <c r="AE291" i="9"/>
  <c r="AM291" i="9"/>
  <c r="AH292" i="9"/>
  <c r="AP292" i="9"/>
  <c r="AK293" i="9"/>
  <c r="AF294" i="9"/>
  <c r="AN294" i="9"/>
  <c r="AI295" i="9"/>
  <c r="AD296" i="9"/>
  <c r="AL296" i="9"/>
  <c r="AG297" i="9"/>
  <c r="AO297" i="9"/>
  <c r="AJ298" i="9"/>
  <c r="AE299" i="9"/>
  <c r="AM299" i="9"/>
  <c r="AH300" i="9"/>
  <c r="AP300" i="9"/>
  <c r="AK301" i="9"/>
  <c r="AF302" i="9"/>
  <c r="AN302" i="9"/>
  <c r="AI303" i="9"/>
  <c r="AD304" i="9"/>
  <c r="AL304" i="9"/>
  <c r="AG305" i="9"/>
  <c r="AO305" i="9"/>
  <c r="AJ306" i="9"/>
  <c r="AE307" i="9"/>
  <c r="AM307" i="9"/>
  <c r="AH308" i="9"/>
  <c r="AP308" i="9"/>
  <c r="AK309" i="9"/>
  <c r="AF310" i="9"/>
  <c r="AN310" i="9"/>
  <c r="AI311" i="9"/>
  <c r="AD312" i="9"/>
  <c r="AL312" i="9"/>
  <c r="AG313" i="9"/>
  <c r="AO313" i="9"/>
  <c r="AJ314" i="9"/>
  <c r="AE315" i="9"/>
  <c r="AM315" i="9"/>
  <c r="AH316" i="9"/>
  <c r="AP316" i="9"/>
  <c r="AK317" i="9"/>
  <c r="AF318" i="9"/>
  <c r="AN318" i="9"/>
  <c r="AI319" i="9"/>
  <c r="AD320" i="9"/>
  <c r="AL320" i="9"/>
  <c r="AG321" i="9"/>
  <c r="AO321" i="9"/>
  <c r="AJ322" i="9"/>
  <c r="AE323" i="9"/>
  <c r="AM323" i="9"/>
  <c r="AH324" i="9"/>
  <c r="AP324" i="9"/>
  <c r="AK325" i="9"/>
  <c r="AF326" i="9"/>
  <c r="AN326" i="9"/>
  <c r="AI327" i="9"/>
  <c r="AD328" i="9"/>
  <c r="AL328" i="9"/>
  <c r="AG329" i="9"/>
  <c r="AO329" i="9"/>
  <c r="AJ330" i="9"/>
  <c r="AE331" i="9"/>
  <c r="AD332" i="9"/>
  <c r="AP332" i="9"/>
  <c r="AD334" i="9"/>
  <c r="AO334" i="9"/>
  <c r="AP335" i="9"/>
  <c r="AP336" i="9"/>
  <c r="AO337" i="9"/>
  <c r="AP338" i="9"/>
  <c r="AN339" i="9"/>
  <c r="AO340" i="9"/>
  <c r="AO341" i="9"/>
  <c r="AN342" i="9"/>
  <c r="AO343" i="9"/>
  <c r="AM344" i="9"/>
  <c r="AN345" i="9"/>
  <c r="AN346" i="9"/>
  <c r="AM347" i="9"/>
  <c r="AN348" i="9"/>
  <c r="AL349" i="9"/>
  <c r="AM350" i="9"/>
  <c r="AM351" i="9"/>
  <c r="AL352" i="9"/>
  <c r="AM353" i="9"/>
  <c r="AK354" i="9"/>
  <c r="AL355" i="9"/>
  <c r="AL356" i="9"/>
  <c r="AK357" i="9"/>
  <c r="AL358" i="9"/>
  <c r="AJ359" i="9"/>
  <c r="AK360" i="9"/>
  <c r="AK361" i="9"/>
  <c r="AJ362" i="9"/>
  <c r="AK363" i="9"/>
  <c r="AI364" i="9"/>
  <c r="AJ365" i="9"/>
  <c r="AJ366" i="9"/>
  <c r="AI367" i="9"/>
  <c r="AJ368" i="9"/>
  <c r="AH369" i="9"/>
  <c r="AI370" i="9"/>
  <c r="AI371" i="9"/>
  <c r="AH372" i="9"/>
  <c r="AI373" i="9"/>
  <c r="AG374" i="9"/>
  <c r="AG331" i="9"/>
  <c r="AO331" i="9"/>
  <c r="AJ332" i="9"/>
  <c r="AE333" i="9"/>
  <c r="AM333" i="9"/>
  <c r="AH334" i="9"/>
  <c r="AP334" i="9"/>
  <c r="AK335" i="9"/>
  <c r="AF336" i="9"/>
  <c r="AN336" i="9"/>
  <c r="AI337" i="9"/>
  <c r="AD338" i="9"/>
  <c r="AL338" i="9"/>
  <c r="AG339" i="9"/>
  <c r="AO339" i="9"/>
  <c r="AJ340" i="9"/>
  <c r="AE341" i="9"/>
  <c r="AM341" i="9"/>
  <c r="AH342" i="9"/>
  <c r="AP342" i="9"/>
  <c r="AK343" i="9"/>
  <c r="AF344" i="9"/>
  <c r="AN344" i="9"/>
  <c r="AI345" i="9"/>
  <c r="AD346" i="9"/>
  <c r="AL346" i="9"/>
  <c r="AG347" i="9"/>
  <c r="AO347" i="9"/>
  <c r="AJ348" i="9"/>
  <c r="AE349" i="9"/>
  <c r="AM349" i="9"/>
  <c r="AH350" i="9"/>
  <c r="AP350" i="9"/>
  <c r="AK351" i="9"/>
  <c r="AF352" i="9"/>
  <c r="AN352" i="9"/>
  <c r="AI353" i="9"/>
  <c r="AD354" i="9"/>
  <c r="AL354" i="9"/>
  <c r="AG355" i="9"/>
  <c r="AO355" i="9"/>
  <c r="AJ356" i="9"/>
  <c r="AE357" i="9"/>
  <c r="AM357" i="9"/>
  <c r="AH358" i="9"/>
  <c r="AP358" i="9"/>
  <c r="AK359" i="9"/>
  <c r="AF360" i="9"/>
  <c r="AN360" i="9"/>
  <c r="AI361" i="9"/>
  <c r="AD362" i="9"/>
  <c r="AL362" i="9"/>
  <c r="AG363" i="9"/>
  <c r="AO363" i="9"/>
  <c r="AJ364" i="9"/>
  <c r="AE365" i="9"/>
  <c r="AM365" i="9"/>
  <c r="AH366" i="9"/>
  <c r="AP366" i="9"/>
  <c r="AK367" i="9"/>
  <c r="AF368" i="9"/>
  <c r="AN368" i="9"/>
  <c r="AI369" i="9"/>
  <c r="AD370" i="9"/>
  <c r="AL370" i="9"/>
  <c r="AG371" i="9"/>
  <c r="AO371" i="9"/>
  <c r="AJ372" i="9"/>
  <c r="AE373" i="9"/>
  <c r="AM373" i="9"/>
  <c r="AH374" i="9"/>
  <c r="AP374" i="9"/>
  <c r="AH331" i="9"/>
  <c r="AP331" i="9"/>
  <c r="AK332" i="9"/>
  <c r="AF333" i="9"/>
  <c r="AN333" i="9"/>
  <c r="AI334" i="9"/>
  <c r="AD335" i="9"/>
  <c r="AL335" i="9"/>
  <c r="AG336" i="9"/>
  <c r="AO336" i="9"/>
  <c r="AJ337" i="9"/>
  <c r="AE338" i="9"/>
  <c r="AM338" i="9"/>
  <c r="AH339" i="9"/>
  <c r="AP339" i="9"/>
  <c r="AK340" i="9"/>
  <c r="AF341" i="9"/>
  <c r="AN341" i="9"/>
  <c r="AI342" i="9"/>
  <c r="AD343" i="9"/>
  <c r="AL343" i="9"/>
  <c r="AG344" i="9"/>
  <c r="AO344" i="9"/>
  <c r="AJ345" i="9"/>
  <c r="AE346" i="9"/>
  <c r="AM346" i="9"/>
  <c r="AH347" i="9"/>
  <c r="AP347" i="9"/>
  <c r="AK348" i="9"/>
  <c r="AF349" i="9"/>
  <c r="AN349" i="9"/>
  <c r="AI350" i="9"/>
  <c r="AD351" i="9"/>
  <c r="AL351" i="9"/>
  <c r="AG352" i="9"/>
  <c r="AO352" i="9"/>
  <c r="AJ353" i="9"/>
  <c r="AE354" i="9"/>
  <c r="AM354" i="9"/>
  <c r="AH355" i="9"/>
  <c r="AP355" i="9"/>
  <c r="AK356" i="9"/>
  <c r="AF357" i="9"/>
  <c r="AN357" i="9"/>
  <c r="AI358" i="9"/>
  <c r="AD359" i="9"/>
  <c r="AL359" i="9"/>
  <c r="AG360" i="9"/>
  <c r="AO360" i="9"/>
  <c r="AJ361" i="9"/>
  <c r="AE362" i="9"/>
  <c r="AM362" i="9"/>
  <c r="AH363" i="9"/>
  <c r="AP363" i="9"/>
  <c r="AK364" i="9"/>
  <c r="AF365" i="9"/>
  <c r="AN365" i="9"/>
  <c r="AI366" i="9"/>
  <c r="AD367" i="9"/>
  <c r="AL367" i="9"/>
  <c r="AG368" i="9"/>
  <c r="AO368" i="9"/>
  <c r="AJ369" i="9"/>
  <c r="AE370" i="9"/>
  <c r="AM370" i="9"/>
  <c r="AH371" i="9"/>
  <c r="AP371" i="9"/>
  <c r="AK372" i="9"/>
  <c r="AF373" i="9"/>
  <c r="AN373" i="9"/>
  <c r="AI374" i="9"/>
  <c r="AE332" i="9"/>
  <c r="AM332" i="9"/>
  <c r="AH333" i="9"/>
  <c r="AP333" i="9"/>
  <c r="AK334" i="9"/>
  <c r="AF335" i="9"/>
  <c r="AN335" i="9"/>
  <c r="AI336" i="9"/>
  <c r="AD337" i="9"/>
  <c r="AL337" i="9"/>
  <c r="AG338" i="9"/>
  <c r="AO338" i="9"/>
  <c r="AJ339" i="9"/>
  <c r="AE340" i="9"/>
  <c r="AM340" i="9"/>
  <c r="AH341" i="9"/>
  <c r="AP341" i="9"/>
  <c r="AK342" i="9"/>
  <c r="AF343" i="9"/>
  <c r="AN343" i="9"/>
  <c r="AI344" i="9"/>
  <c r="AD345" i="9"/>
  <c r="AL345" i="9"/>
  <c r="AG346" i="9"/>
  <c r="AO346" i="9"/>
  <c r="AJ347" i="9"/>
  <c r="AE348" i="9"/>
  <c r="AM348" i="9"/>
  <c r="AH349" i="9"/>
  <c r="AP349" i="9"/>
  <c r="AK350" i="9"/>
  <c r="AF351" i="9"/>
  <c r="AN351" i="9"/>
  <c r="AI352" i="9"/>
  <c r="AD353" i="9"/>
  <c r="AL353" i="9"/>
  <c r="AG354" i="9"/>
  <c r="AO354" i="9"/>
  <c r="AJ355" i="9"/>
  <c r="AE356" i="9"/>
  <c r="AM356" i="9"/>
  <c r="AH357" i="9"/>
  <c r="AP357" i="9"/>
  <c r="AK358" i="9"/>
  <c r="AF359" i="9"/>
  <c r="AN359" i="9"/>
  <c r="AI360" i="9"/>
  <c r="AD361" i="9"/>
  <c r="AL361" i="9"/>
  <c r="AG362" i="9"/>
  <c r="AO362" i="9"/>
  <c r="AJ363" i="9"/>
  <c r="AE364" i="9"/>
  <c r="AM364" i="9"/>
  <c r="AH365" i="9"/>
  <c r="AP365" i="9"/>
  <c r="AK366" i="9"/>
  <c r="AF367" i="9"/>
  <c r="AN367" i="9"/>
  <c r="AI368" i="9"/>
  <c r="AD369" i="9"/>
  <c r="AL369" i="9"/>
  <c r="AG370" i="9"/>
  <c r="AO370" i="9"/>
  <c r="AJ371" i="9"/>
  <c r="AE372" i="9"/>
  <c r="AM372" i="9"/>
  <c r="AH373" i="9"/>
  <c r="AP373" i="9"/>
  <c r="AK374" i="9"/>
  <c r="V112" i="9" a="1"/>
  <c r="V112" i="9" s="1"/>
  <c r="Y112" i="9" a="1"/>
  <c r="Y112" i="9" s="1"/>
  <c r="Z112" i="9"/>
  <c r="U112" i="9" a="1"/>
  <c r="U112" i="9" s="1"/>
  <c r="S112" i="9" a="1"/>
  <c r="S112" i="9" s="1"/>
  <c r="AC112" i="9" s="1"/>
  <c r="W112" i="9" a="1"/>
  <c r="W112" i="9" s="1"/>
  <c r="AB112" i="9" a="1"/>
  <c r="AB112" i="9" s="1"/>
  <c r="T112" i="9" a="1"/>
  <c r="T112" i="9" s="1"/>
  <c r="X112" i="9" a="1"/>
  <c r="X112" i="9" s="1"/>
  <c r="Z226" i="9"/>
  <c r="U226" i="9" a="1"/>
  <c r="U226" i="9" s="1"/>
  <c r="Y226" i="9" a="1"/>
  <c r="Y226" i="9" s="1"/>
  <c r="V226" i="9" a="1"/>
  <c r="V226" i="9" s="1"/>
  <c r="S226" i="9" a="1"/>
  <c r="S226" i="9" s="1"/>
  <c r="AC226" i="9" s="1"/>
  <c r="W226" i="9" a="1"/>
  <c r="W226" i="9" s="1"/>
  <c r="AB226" i="9" a="1"/>
  <c r="AB226" i="9" s="1"/>
  <c r="T226" i="9" a="1"/>
  <c r="T226" i="9" s="1"/>
  <c r="X226" i="9" a="1"/>
  <c r="X226" i="9" s="1"/>
  <c r="W250" i="9" a="1"/>
  <c r="W250" i="9" s="1"/>
  <c r="Y250" i="9" a="1"/>
  <c r="Y250" i="9" s="1"/>
  <c r="S250" i="9" a="1"/>
  <c r="S250" i="9" s="1"/>
  <c r="AC250" i="9" s="1"/>
  <c r="Z250" i="9"/>
  <c r="AB250" i="9" a="1"/>
  <c r="AB250" i="9" s="1"/>
  <c r="U250" i="9" a="1"/>
  <c r="U250" i="9" s="1"/>
  <c r="T250" i="9" a="1"/>
  <c r="T250" i="9" s="1"/>
  <c r="X250" i="9" a="1"/>
  <c r="X250" i="9" s="1"/>
  <c r="V250" i="9" a="1"/>
  <c r="V250" i="9" s="1"/>
  <c r="V50" i="9" a="1"/>
  <c r="V50" i="9" s="1"/>
  <c r="W50" i="9" a="1"/>
  <c r="W50" i="9" s="1"/>
  <c r="Y50" i="9" a="1"/>
  <c r="Y50" i="9" s="1"/>
  <c r="S50" i="9" a="1"/>
  <c r="S50" i="9" s="1"/>
  <c r="AC50" i="9" s="1"/>
  <c r="X50" i="9" a="1"/>
  <c r="X50" i="9" s="1"/>
  <c r="T50" i="9" a="1"/>
  <c r="T50" i="9" s="1"/>
  <c r="Z50" i="9"/>
  <c r="AB50" i="9" a="1"/>
  <c r="AB50" i="9" s="1"/>
  <c r="U50" i="9" a="1"/>
  <c r="U50" i="9" s="1"/>
  <c r="T62" i="9" a="1"/>
  <c r="T62" i="9" s="1"/>
  <c r="V62" i="9" a="1"/>
  <c r="V62" i="9" s="1"/>
  <c r="X62" i="9" a="1"/>
  <c r="X62" i="9" s="1"/>
  <c r="Z62" i="9"/>
  <c r="U62" i="9" a="1"/>
  <c r="U62" i="9" s="1"/>
  <c r="Y62" i="9" a="1"/>
  <c r="Y62" i="9" s="1"/>
  <c r="S62" i="9" a="1"/>
  <c r="S62" i="9" s="1"/>
  <c r="AC62" i="9" s="1"/>
  <c r="W62" i="9" a="1"/>
  <c r="W62" i="9" s="1"/>
  <c r="AB62" i="9" a="1"/>
  <c r="AB62" i="9" s="1"/>
  <c r="Y104" i="9" a="1"/>
  <c r="Y104" i="9" s="1"/>
  <c r="Z104" i="9"/>
  <c r="U104" i="9" a="1"/>
  <c r="U104" i="9" s="1"/>
  <c r="V104" i="9" a="1"/>
  <c r="V104" i="9" s="1"/>
  <c r="S104" i="9" a="1"/>
  <c r="S104" i="9" s="1"/>
  <c r="AC104" i="9" s="1"/>
  <c r="W104" i="9" a="1"/>
  <c r="W104" i="9" s="1"/>
  <c r="AB104" i="9" a="1"/>
  <c r="AB104" i="9" s="1"/>
  <c r="T104" i="9" a="1"/>
  <c r="T104" i="9" s="1"/>
  <c r="X104" i="9" a="1"/>
  <c r="X104" i="9" s="1"/>
  <c r="Z238" i="9"/>
  <c r="T238" i="9" a="1"/>
  <c r="T238" i="9" s="1"/>
  <c r="X238" i="9" a="1"/>
  <c r="X238" i="9" s="1"/>
  <c r="U238" i="9" a="1"/>
  <c r="U238" i="9" s="1"/>
  <c r="Y238" i="9" a="1"/>
  <c r="Y238" i="9" s="1"/>
  <c r="V238" i="9" a="1"/>
  <c r="V238" i="9" s="1"/>
  <c r="S238" i="9" a="1"/>
  <c r="S238" i="9" s="1"/>
  <c r="AC238" i="9" s="1"/>
  <c r="W238" i="9" a="1"/>
  <c r="W238" i="9" s="1"/>
  <c r="AB238" i="9" a="1"/>
  <c r="AB238" i="9" s="1"/>
  <c r="S166" i="9" a="1"/>
  <c r="S166" i="9" s="1"/>
  <c r="AC166" i="9" s="1"/>
  <c r="Y166" i="9" a="1"/>
  <c r="Y166" i="9" s="1"/>
  <c r="T166" i="9" a="1"/>
  <c r="T166" i="9" s="1"/>
  <c r="AB166" i="9" a="1"/>
  <c r="AB166" i="9" s="1"/>
  <c r="U166" i="9" a="1"/>
  <c r="U166" i="9" s="1"/>
  <c r="V166" i="9" a="1"/>
  <c r="V166" i="9" s="1"/>
  <c r="W166" i="9" a="1"/>
  <c r="W166" i="9" s="1"/>
  <c r="X166" i="9" a="1"/>
  <c r="X166" i="9" s="1"/>
  <c r="Z166" i="9"/>
  <c r="U77" i="9" a="1"/>
  <c r="U77" i="9" s="1"/>
  <c r="W77" i="9" a="1"/>
  <c r="W77" i="9" s="1"/>
  <c r="Y77" i="9" a="1"/>
  <c r="Y77" i="9" s="1"/>
  <c r="AB77" i="9" a="1"/>
  <c r="AB77" i="9" s="1"/>
  <c r="S77" i="9" a="1"/>
  <c r="S77" i="9" s="1"/>
  <c r="AC77" i="9" s="1"/>
  <c r="Z77" i="9"/>
  <c r="V77" i="9" a="1"/>
  <c r="V77" i="9" s="1"/>
  <c r="T77" i="9" a="1"/>
  <c r="T77" i="9" s="1"/>
  <c r="X77" i="9" a="1"/>
  <c r="X77" i="9" s="1"/>
  <c r="T87" i="9" a="1"/>
  <c r="T87" i="9" s="1"/>
  <c r="X87" i="9" a="1"/>
  <c r="X87" i="9" s="1"/>
  <c r="Z87" i="9"/>
  <c r="V87" i="9" a="1"/>
  <c r="V87" i="9" s="1"/>
  <c r="S87" i="9" a="1"/>
  <c r="S87" i="9" s="1"/>
  <c r="AC87" i="9" s="1"/>
  <c r="W87" i="9" a="1"/>
  <c r="W87" i="9" s="1"/>
  <c r="Y87" i="9" a="1"/>
  <c r="Y87" i="9" s="1"/>
  <c r="AB87" i="9" a="1"/>
  <c r="AB87" i="9" s="1"/>
  <c r="U87" i="9" a="1"/>
  <c r="U87" i="9" s="1"/>
  <c r="S209" i="9" a="1"/>
  <c r="S209" i="9" s="1"/>
  <c r="AC209" i="9" s="1"/>
  <c r="W209" i="9" a="1"/>
  <c r="W209" i="9" s="1"/>
  <c r="Y209" i="9" a="1"/>
  <c r="Y209" i="9" s="1"/>
  <c r="AB209" i="9" a="1"/>
  <c r="AB209" i="9" s="1"/>
  <c r="T209" i="9" a="1"/>
  <c r="T209" i="9" s="1"/>
  <c r="X209" i="9" a="1"/>
  <c r="X209" i="9" s="1"/>
  <c r="U209" i="9" a="1"/>
  <c r="U209" i="9" s="1"/>
  <c r="Z209" i="9"/>
  <c r="V209" i="9" a="1"/>
  <c r="V209" i="9" s="1"/>
  <c r="T67" i="9" a="1"/>
  <c r="T67" i="9" s="1"/>
  <c r="X67" i="9" a="1"/>
  <c r="X67" i="9" s="1"/>
  <c r="V67" i="9" a="1"/>
  <c r="V67" i="9" s="1"/>
  <c r="S67" i="9" a="1"/>
  <c r="S67" i="9" s="1"/>
  <c r="AC67" i="9" s="1"/>
  <c r="W67" i="9" a="1"/>
  <c r="W67" i="9" s="1"/>
  <c r="Y67" i="9" a="1"/>
  <c r="Y67" i="9" s="1"/>
  <c r="AB67" i="9" a="1"/>
  <c r="AB67" i="9" s="1"/>
  <c r="U67" i="9" a="1"/>
  <c r="U67" i="9" s="1"/>
  <c r="Z67" i="9"/>
  <c r="V136" i="9" a="1"/>
  <c r="V136" i="9" s="1"/>
  <c r="Z136" i="9"/>
  <c r="S136" i="9" a="1"/>
  <c r="S136" i="9" s="1"/>
  <c r="AC136" i="9" s="1"/>
  <c r="W136" i="9" a="1"/>
  <c r="W136" i="9" s="1"/>
  <c r="Y136" i="9" a="1"/>
  <c r="Y136" i="9" s="1"/>
  <c r="AB136" i="9" a="1"/>
  <c r="AB136" i="9" s="1"/>
  <c r="T136" i="9" a="1"/>
  <c r="T136" i="9" s="1"/>
  <c r="X136" i="9" a="1"/>
  <c r="X136" i="9" s="1"/>
  <c r="U136" i="9" a="1"/>
  <c r="U136" i="9" s="1"/>
  <c r="AB215" i="9" a="1"/>
  <c r="AB215" i="9" s="1"/>
  <c r="S215" i="9" a="1"/>
  <c r="S215" i="9" s="1"/>
  <c r="AC215" i="9" s="1"/>
  <c r="U215" i="9" a="1"/>
  <c r="U215" i="9" s="1"/>
  <c r="W215" i="9" a="1"/>
  <c r="W215" i="9" s="1"/>
  <c r="Y215" i="9" a="1"/>
  <c r="Y215" i="9" s="1"/>
  <c r="T215" i="9" a="1"/>
  <c r="T215" i="9" s="1"/>
  <c r="X215" i="9" a="1"/>
  <c r="X215" i="9" s="1"/>
  <c r="Z215" i="9"/>
  <c r="V215" i="9" a="1"/>
  <c r="V215" i="9" s="1"/>
  <c r="S243" i="9" a="1"/>
  <c r="S243" i="9" s="1"/>
  <c r="AC243" i="9" s="1"/>
  <c r="U243" i="9" a="1"/>
  <c r="U243" i="9" s="1"/>
  <c r="W243" i="9" a="1"/>
  <c r="W243" i="9" s="1"/>
  <c r="Y243" i="9" a="1"/>
  <c r="Y243" i="9" s="1"/>
  <c r="AB243" i="9" a="1"/>
  <c r="AB243" i="9" s="1"/>
  <c r="T243" i="9" a="1"/>
  <c r="T243" i="9" s="1"/>
  <c r="X243" i="9" a="1"/>
  <c r="X243" i="9" s="1"/>
  <c r="Z243" i="9"/>
  <c r="V243" i="9" a="1"/>
  <c r="V243" i="9" s="1"/>
  <c r="U160" i="9" a="1"/>
  <c r="U160" i="9" s="1"/>
  <c r="AB160" i="9" a="1"/>
  <c r="AB160" i="9" s="1"/>
  <c r="V160" i="9" a="1"/>
  <c r="V160" i="9" s="1"/>
  <c r="W160" i="9" a="1"/>
  <c r="W160" i="9" s="1"/>
  <c r="Y160" i="9" a="1"/>
  <c r="Y160" i="9" s="1"/>
  <c r="X160" i="9" a="1"/>
  <c r="X160" i="9" s="1"/>
  <c r="S160" i="9" a="1"/>
  <c r="S160" i="9" s="1"/>
  <c r="AC160" i="9" s="1"/>
  <c r="Z160" i="9"/>
  <c r="T160" i="9" a="1"/>
  <c r="T160" i="9" s="1"/>
  <c r="X113" i="9" a="1"/>
  <c r="X113" i="9" s="1"/>
  <c r="Y113" i="9" a="1"/>
  <c r="Y113" i="9" s="1"/>
  <c r="Z113" i="9"/>
  <c r="T113" i="9" a="1"/>
  <c r="T113" i="9" s="1"/>
  <c r="U113" i="9" a="1"/>
  <c r="U113" i="9" s="1"/>
  <c r="V113" i="9" a="1"/>
  <c r="V113" i="9" s="1"/>
  <c r="S113" i="9" a="1"/>
  <c r="S113" i="9" s="1"/>
  <c r="AC113" i="9" s="1"/>
  <c r="W113" i="9" a="1"/>
  <c r="W113" i="9" s="1"/>
  <c r="AB113" i="9" a="1"/>
  <c r="AB113" i="9" s="1"/>
  <c r="U102" i="9" a="1"/>
  <c r="U102" i="9" s="1"/>
  <c r="X102" i="9" a="1"/>
  <c r="X102" i="9" s="1"/>
  <c r="T102" i="9" a="1"/>
  <c r="T102" i="9" s="1"/>
  <c r="Y102" i="9" a="1"/>
  <c r="Y102" i="9" s="1"/>
  <c r="Z102" i="9"/>
  <c r="V102" i="9" a="1"/>
  <c r="V102" i="9" s="1"/>
  <c r="S102" i="9" a="1"/>
  <c r="S102" i="9" s="1"/>
  <c r="AC102" i="9" s="1"/>
  <c r="W102" i="9" a="1"/>
  <c r="W102" i="9" s="1"/>
  <c r="AB102" i="9" a="1"/>
  <c r="AB102" i="9" s="1"/>
  <c r="AB53" i="9" a="1"/>
  <c r="AB53" i="9" s="1"/>
  <c r="U53" i="9" a="1"/>
  <c r="U53" i="9" s="1"/>
  <c r="W53" i="9" a="1"/>
  <c r="W53" i="9" s="1"/>
  <c r="Y53" i="9" a="1"/>
  <c r="Y53" i="9" s="1"/>
  <c r="S53" i="9" a="1"/>
  <c r="S53" i="9" s="1"/>
  <c r="AC53" i="9" s="1"/>
  <c r="Z53" i="9"/>
  <c r="T53" i="9" a="1"/>
  <c r="T53" i="9" s="1"/>
  <c r="X53" i="9" a="1"/>
  <c r="X53" i="9" s="1"/>
  <c r="V53" i="9" a="1"/>
  <c r="V53" i="9" s="1"/>
  <c r="V83" i="9" a="1"/>
  <c r="V83" i="9" s="1"/>
  <c r="T83" i="9" a="1"/>
  <c r="T83" i="9" s="1"/>
  <c r="X83" i="9" a="1"/>
  <c r="X83" i="9" s="1"/>
  <c r="U83" i="9" a="1"/>
  <c r="U83" i="9" s="1"/>
  <c r="Y83" i="9" a="1"/>
  <c r="Y83" i="9" s="1"/>
  <c r="Z83" i="9"/>
  <c r="S83" i="9" a="1"/>
  <c r="S83" i="9" s="1"/>
  <c r="AC83" i="9" s="1"/>
  <c r="W83" i="9" a="1"/>
  <c r="W83" i="9" s="1"/>
  <c r="AB83" i="9" a="1"/>
  <c r="AB83" i="9" s="1"/>
  <c r="W240" i="9" a="1"/>
  <c r="W240" i="9" s="1"/>
  <c r="Y240" i="9" a="1"/>
  <c r="Y240" i="9" s="1"/>
  <c r="Z240" i="9"/>
  <c r="S240" i="9" a="1"/>
  <c r="S240" i="9" s="1"/>
  <c r="AC240" i="9" s="1"/>
  <c r="AB240" i="9" a="1"/>
  <c r="AB240" i="9" s="1"/>
  <c r="T240" i="9" a="1"/>
  <c r="T240" i="9" s="1"/>
  <c r="X240" i="9" a="1"/>
  <c r="X240" i="9" s="1"/>
  <c r="U240" i="9" a="1"/>
  <c r="U240" i="9" s="1"/>
  <c r="V240" i="9" a="1"/>
  <c r="V240" i="9" s="1"/>
  <c r="V164" i="9" a="1"/>
  <c r="V164" i="9" s="1"/>
  <c r="W164" i="9" a="1"/>
  <c r="W164" i="9" s="1"/>
  <c r="Y164" i="9" a="1"/>
  <c r="Y164" i="9" s="1"/>
  <c r="X164" i="9" a="1"/>
  <c r="X164" i="9" s="1"/>
  <c r="S164" i="9" a="1"/>
  <c r="S164" i="9" s="1"/>
  <c r="AC164" i="9" s="1"/>
  <c r="Z164" i="9"/>
  <c r="T164" i="9" a="1"/>
  <c r="T164" i="9" s="1"/>
  <c r="U164" i="9" a="1"/>
  <c r="U164" i="9" s="1"/>
  <c r="AB164" i="9" a="1"/>
  <c r="AB164" i="9" s="1"/>
  <c r="V146" i="9" a="1"/>
  <c r="V146" i="9" s="1"/>
  <c r="S146" i="9" a="1"/>
  <c r="S146" i="9" s="1"/>
  <c r="AC146" i="9" s="1"/>
  <c r="W146" i="9" a="1"/>
  <c r="W146" i="9" s="1"/>
  <c r="Y146" i="9" a="1"/>
  <c r="Y146" i="9" s="1"/>
  <c r="AB146" i="9" a="1"/>
  <c r="AB146" i="9" s="1"/>
  <c r="T146" i="9" a="1"/>
  <c r="T146" i="9" s="1"/>
  <c r="X146" i="9" a="1"/>
  <c r="X146" i="9" s="1"/>
  <c r="U146" i="9" a="1"/>
  <c r="U146" i="9" s="1"/>
  <c r="Z146" i="9"/>
  <c r="X63" i="9" a="1"/>
  <c r="X63" i="9" s="1"/>
  <c r="T63" i="9" a="1"/>
  <c r="T63" i="9" s="1"/>
  <c r="V63" i="9" a="1"/>
  <c r="V63" i="9" s="1"/>
  <c r="U63" i="9" a="1"/>
  <c r="U63" i="9" s="1"/>
  <c r="Y63" i="9" a="1"/>
  <c r="Y63" i="9" s="1"/>
  <c r="Z63" i="9"/>
  <c r="S63" i="9" a="1"/>
  <c r="S63" i="9" s="1"/>
  <c r="AC63" i="9" s="1"/>
  <c r="W63" i="9" a="1"/>
  <c r="W63" i="9" s="1"/>
  <c r="AB63" i="9" a="1"/>
  <c r="AB63" i="9" s="1"/>
  <c r="AB206" i="9" a="1"/>
  <c r="AB206" i="9" s="1"/>
  <c r="S206" i="9" a="1"/>
  <c r="S206" i="9" s="1"/>
  <c r="AC206" i="9" s="1"/>
  <c r="W206" i="9" a="1"/>
  <c r="W206" i="9" s="1"/>
  <c r="Y206" i="9" a="1"/>
  <c r="Y206" i="9" s="1"/>
  <c r="T206" i="9" a="1"/>
  <c r="T206" i="9" s="1"/>
  <c r="X206" i="9" a="1"/>
  <c r="X206" i="9" s="1"/>
  <c r="U206" i="9" a="1"/>
  <c r="U206" i="9" s="1"/>
  <c r="Z206" i="9"/>
  <c r="V206" i="9" a="1"/>
  <c r="V206" i="9" s="1"/>
  <c r="X58" i="9" a="1"/>
  <c r="X58" i="9" s="1"/>
  <c r="Z58" i="9"/>
  <c r="T58" i="9" a="1"/>
  <c r="T58" i="9" s="1"/>
  <c r="V58" i="9" a="1"/>
  <c r="V58" i="9" s="1"/>
  <c r="S58" i="9" a="1"/>
  <c r="S58" i="9" s="1"/>
  <c r="AC58" i="9" s="1"/>
  <c r="W58" i="9" a="1"/>
  <c r="W58" i="9" s="1"/>
  <c r="Y58" i="9" a="1"/>
  <c r="Y58" i="9" s="1"/>
  <c r="AB58" i="9" a="1"/>
  <c r="AB58" i="9" s="1"/>
  <c r="U58" i="9" a="1"/>
  <c r="U58" i="9" s="1"/>
  <c r="V55" i="9" a="1"/>
  <c r="V55" i="9" s="1"/>
  <c r="X55" i="9" a="1"/>
  <c r="X55" i="9" s="1"/>
  <c r="Z55" i="9"/>
  <c r="T55" i="9" a="1"/>
  <c r="T55" i="9" s="1"/>
  <c r="U55" i="9" a="1"/>
  <c r="U55" i="9" s="1"/>
  <c r="Y55" i="9" a="1"/>
  <c r="Y55" i="9" s="1"/>
  <c r="S55" i="9" a="1"/>
  <c r="S55" i="9" s="1"/>
  <c r="AC55" i="9" s="1"/>
  <c r="W55" i="9" a="1"/>
  <c r="W55" i="9" s="1"/>
  <c r="AB55" i="9" a="1"/>
  <c r="AB55" i="9" s="1"/>
  <c r="V99" i="9" a="1"/>
  <c r="V99" i="9" s="1"/>
  <c r="T99" i="9" a="1"/>
  <c r="T99" i="9" s="1"/>
  <c r="X99" i="9" a="1"/>
  <c r="X99" i="9" s="1"/>
  <c r="U99" i="9" a="1"/>
  <c r="U99" i="9" s="1"/>
  <c r="Y99" i="9" a="1"/>
  <c r="Y99" i="9" s="1"/>
  <c r="Z99" i="9"/>
  <c r="S99" i="9" a="1"/>
  <c r="S99" i="9" s="1"/>
  <c r="AC99" i="9" s="1"/>
  <c r="W99" i="9" a="1"/>
  <c r="W99" i="9" s="1"/>
  <c r="AB99" i="9" a="1"/>
  <c r="AB99" i="9" s="1"/>
  <c r="T228" i="9" a="1"/>
  <c r="T228" i="9" s="1"/>
  <c r="X228" i="9" a="1"/>
  <c r="X228" i="9" s="1"/>
  <c r="U228" i="9" a="1"/>
  <c r="U228" i="9" s="1"/>
  <c r="Y228" i="9" a="1"/>
  <c r="Y228" i="9" s="1"/>
  <c r="Z228" i="9"/>
  <c r="V228" i="9" a="1"/>
  <c r="V228" i="9" s="1"/>
  <c r="S228" i="9" a="1"/>
  <c r="S228" i="9" s="1"/>
  <c r="AC228" i="9" s="1"/>
  <c r="W228" i="9" a="1"/>
  <c r="W228" i="9" s="1"/>
  <c r="AB228" i="9" a="1"/>
  <c r="AB228" i="9" s="1"/>
  <c r="V208" i="9" a="1"/>
  <c r="V208" i="9" s="1"/>
  <c r="S208" i="9" a="1"/>
  <c r="S208" i="9" s="1"/>
  <c r="AC208" i="9" s="1"/>
  <c r="W208" i="9" a="1"/>
  <c r="W208" i="9" s="1"/>
  <c r="Y208" i="9" a="1"/>
  <c r="Y208" i="9" s="1"/>
  <c r="AB208" i="9" a="1"/>
  <c r="AB208" i="9" s="1"/>
  <c r="T208" i="9" a="1"/>
  <c r="T208" i="9" s="1"/>
  <c r="X208" i="9" a="1"/>
  <c r="X208" i="9" s="1"/>
  <c r="U208" i="9" a="1"/>
  <c r="U208" i="9" s="1"/>
  <c r="Z208" i="9"/>
  <c r="V213" i="9" a="1"/>
  <c r="V213" i="9" s="1"/>
  <c r="Z213" i="9"/>
  <c r="S213" i="9" a="1"/>
  <c r="S213" i="9" s="1"/>
  <c r="AC213" i="9" s="1"/>
  <c r="W213" i="9" a="1"/>
  <c r="W213" i="9" s="1"/>
  <c r="Y213" i="9" a="1"/>
  <c r="Y213" i="9" s="1"/>
  <c r="AB213" i="9" a="1"/>
  <c r="AB213" i="9" s="1"/>
  <c r="T213" i="9" a="1"/>
  <c r="T213" i="9" s="1"/>
  <c r="X213" i="9" a="1"/>
  <c r="X213" i="9" s="1"/>
  <c r="U213" i="9" a="1"/>
  <c r="U213" i="9" s="1"/>
  <c r="S235" i="9" a="1"/>
  <c r="S235" i="9" s="1"/>
  <c r="AC235" i="9" s="1"/>
  <c r="Y235" i="9" a="1"/>
  <c r="Y235" i="9" s="1"/>
  <c r="Z235" i="9"/>
  <c r="U235" i="9" a="1"/>
  <c r="U235" i="9" s="1"/>
  <c r="AB235" i="9" a="1"/>
  <c r="AB235" i="9" s="1"/>
  <c r="V235" i="9" a="1"/>
  <c r="V235" i="9" s="1"/>
  <c r="W235" i="9" a="1"/>
  <c r="W235" i="9" s="1"/>
  <c r="T235" i="9" a="1"/>
  <c r="T235" i="9" s="1"/>
  <c r="X235" i="9" a="1"/>
  <c r="X235" i="9" s="1"/>
  <c r="T198" i="9" a="1"/>
  <c r="T198" i="9" s="1"/>
  <c r="Y198" i="9" a="1"/>
  <c r="Y198" i="9" s="1"/>
  <c r="S198" i="9" a="1"/>
  <c r="S198" i="9" s="1"/>
  <c r="AC198" i="9" s="1"/>
  <c r="Z198" i="9"/>
  <c r="U198" i="9" a="1"/>
  <c r="U198" i="9" s="1"/>
  <c r="AB198" i="9" a="1"/>
  <c r="AB198" i="9" s="1"/>
  <c r="V198" i="9" a="1"/>
  <c r="V198" i="9" s="1"/>
  <c r="W198" i="9" a="1"/>
  <c r="W198" i="9" s="1"/>
  <c r="X198" i="9" a="1"/>
  <c r="X198" i="9" s="1"/>
  <c r="T124" i="9" a="1"/>
  <c r="T124" i="9" s="1"/>
  <c r="X124" i="9" a="1"/>
  <c r="X124" i="9" s="1"/>
  <c r="U124" i="9" a="1"/>
  <c r="U124" i="9" s="1"/>
  <c r="Y124" i="9" a="1"/>
  <c r="Y124" i="9" s="1"/>
  <c r="Z124" i="9"/>
  <c r="V124" i="9" a="1"/>
  <c r="V124" i="9" s="1"/>
  <c r="S124" i="9" a="1"/>
  <c r="S124" i="9" s="1"/>
  <c r="AC124" i="9" s="1"/>
  <c r="W124" i="9" a="1"/>
  <c r="W124" i="9" s="1"/>
  <c r="AB124" i="9" a="1"/>
  <c r="AB124" i="9" s="1"/>
  <c r="S202" i="9" a="1"/>
  <c r="S202" i="9" s="1"/>
  <c r="AC202" i="9" s="1"/>
  <c r="V202" i="9" a="1"/>
  <c r="V202" i="9" s="1"/>
  <c r="W202" i="9" a="1"/>
  <c r="W202" i="9" s="1"/>
  <c r="Y202" i="9" a="1"/>
  <c r="Y202" i="9" s="1"/>
  <c r="AB202" i="9" a="1"/>
  <c r="AB202" i="9" s="1"/>
  <c r="T202" i="9" a="1"/>
  <c r="T202" i="9" s="1"/>
  <c r="X202" i="9" a="1"/>
  <c r="X202" i="9" s="1"/>
  <c r="U202" i="9" a="1"/>
  <c r="U202" i="9" s="1"/>
  <c r="Z202" i="9"/>
  <c r="S85" i="9" a="1"/>
  <c r="S85" i="9" s="1"/>
  <c r="AC85" i="9" s="1"/>
  <c r="W85" i="9" a="1"/>
  <c r="W85" i="9" s="1"/>
  <c r="Y85" i="9" a="1"/>
  <c r="Y85" i="9" s="1"/>
  <c r="AB85" i="9" a="1"/>
  <c r="AB85" i="9" s="1"/>
  <c r="U85" i="9" a="1"/>
  <c r="U85" i="9" s="1"/>
  <c r="Z85" i="9"/>
  <c r="V85" i="9" a="1"/>
  <c r="V85" i="9" s="1"/>
  <c r="T85" i="9" a="1"/>
  <c r="T85" i="9" s="1"/>
  <c r="X85" i="9" a="1"/>
  <c r="X85" i="9" s="1"/>
  <c r="V190" i="9" a="1"/>
  <c r="V190" i="9" s="1"/>
  <c r="AB190" i="9" a="1"/>
  <c r="AB190" i="9" s="1"/>
  <c r="W190" i="9" a="1"/>
  <c r="W190" i="9" s="1"/>
  <c r="Y190" i="9" a="1"/>
  <c r="Y190" i="9" s="1"/>
  <c r="X190" i="9" a="1"/>
  <c r="X190" i="9" s="1"/>
  <c r="S190" i="9" a="1"/>
  <c r="S190" i="9" s="1"/>
  <c r="AC190" i="9" s="1"/>
  <c r="T190" i="9" a="1"/>
  <c r="T190" i="9" s="1"/>
  <c r="Z190" i="9"/>
  <c r="U190" i="9" a="1"/>
  <c r="U190" i="9" s="1"/>
  <c r="Z128" i="9"/>
  <c r="V128" i="9" a="1"/>
  <c r="V128" i="9" s="1"/>
  <c r="S128" i="9" a="1"/>
  <c r="S128" i="9" s="1"/>
  <c r="AC128" i="9" s="1"/>
  <c r="W128" i="9" a="1"/>
  <c r="W128" i="9" s="1"/>
  <c r="Y128" i="9" a="1"/>
  <c r="Y128" i="9" s="1"/>
  <c r="AB128" i="9" a="1"/>
  <c r="AB128" i="9" s="1"/>
  <c r="T128" i="9" a="1"/>
  <c r="T128" i="9" s="1"/>
  <c r="X128" i="9" a="1"/>
  <c r="X128" i="9" s="1"/>
  <c r="U128" i="9" a="1"/>
  <c r="U128" i="9" s="1"/>
  <c r="V217" i="9" a="1"/>
  <c r="V217" i="9" s="1"/>
  <c r="Z217" i="9"/>
  <c r="S217" i="9" a="1"/>
  <c r="S217" i="9" s="1"/>
  <c r="AC217" i="9" s="1"/>
  <c r="W217" i="9" a="1"/>
  <c r="W217" i="9" s="1"/>
  <c r="Y217" i="9" a="1"/>
  <c r="Y217" i="9" s="1"/>
  <c r="AB217" i="9" a="1"/>
  <c r="AB217" i="9" s="1"/>
  <c r="T217" i="9" a="1"/>
  <c r="T217" i="9" s="1"/>
  <c r="X217" i="9" a="1"/>
  <c r="X217" i="9" s="1"/>
  <c r="U217" i="9" a="1"/>
  <c r="U217" i="9" s="1"/>
  <c r="W123" i="9" a="1"/>
  <c r="W123" i="9" s="1"/>
  <c r="Y123" i="9" a="1"/>
  <c r="Y123" i="9" s="1"/>
  <c r="AB123" i="9" a="1"/>
  <c r="AB123" i="9" s="1"/>
  <c r="S123" i="9" a="1"/>
  <c r="S123" i="9" s="1"/>
  <c r="AC123" i="9" s="1"/>
  <c r="T123" i="9" a="1"/>
  <c r="T123" i="9" s="1"/>
  <c r="X123" i="9" a="1"/>
  <c r="X123" i="9" s="1"/>
  <c r="U123" i="9" a="1"/>
  <c r="U123" i="9" s="1"/>
  <c r="Z123" i="9"/>
  <c r="V123" i="9" a="1"/>
  <c r="V123" i="9" s="1"/>
  <c r="U237" i="9" a="1"/>
  <c r="U237" i="9" s="1"/>
  <c r="V237" i="9" a="1"/>
  <c r="V237" i="9" s="1"/>
  <c r="X237" i="9" a="1"/>
  <c r="X237" i="9" s="1"/>
  <c r="Y237" i="9" a="1"/>
  <c r="Y237" i="9" s="1"/>
  <c r="T237" i="9" a="1"/>
  <c r="T237" i="9" s="1"/>
  <c r="S237" i="9" a="1"/>
  <c r="S237" i="9" s="1"/>
  <c r="AC237" i="9" s="1"/>
  <c r="W237" i="9" a="1"/>
  <c r="W237" i="9" s="1"/>
  <c r="AB237" i="9" a="1"/>
  <c r="AB237" i="9" s="1"/>
  <c r="Z237" i="9"/>
  <c r="S131" i="9" a="1"/>
  <c r="S131" i="9" s="1"/>
  <c r="AC131" i="9" s="1"/>
  <c r="W131" i="9" a="1"/>
  <c r="W131" i="9" s="1"/>
  <c r="Y131" i="9" a="1"/>
  <c r="Y131" i="9" s="1"/>
  <c r="AB131" i="9" a="1"/>
  <c r="AB131" i="9" s="1"/>
  <c r="T131" i="9" a="1"/>
  <c r="T131" i="9" s="1"/>
  <c r="X131" i="9" a="1"/>
  <c r="X131" i="9" s="1"/>
  <c r="U131" i="9" a="1"/>
  <c r="U131" i="9" s="1"/>
  <c r="Z131" i="9"/>
  <c r="V131" i="9" a="1"/>
  <c r="V131" i="9" s="1"/>
  <c r="V91" i="9" a="1"/>
  <c r="V91" i="9" s="1"/>
  <c r="T91" i="9" a="1"/>
  <c r="T91" i="9" s="1"/>
  <c r="X91" i="9" a="1"/>
  <c r="X91" i="9" s="1"/>
  <c r="U91" i="9" a="1"/>
  <c r="U91" i="9" s="1"/>
  <c r="Y91" i="9" a="1"/>
  <c r="Y91" i="9" s="1"/>
  <c r="Z91" i="9"/>
  <c r="S91" i="9" a="1"/>
  <c r="S91" i="9" s="1"/>
  <c r="AC91" i="9" s="1"/>
  <c r="W91" i="9" a="1"/>
  <c r="W91" i="9" s="1"/>
  <c r="AB91" i="9" a="1"/>
  <c r="AB91" i="9" s="1"/>
  <c r="W189" i="9" a="1"/>
  <c r="W189" i="9" s="1"/>
  <c r="Y189" i="9" a="1"/>
  <c r="Y189" i="9" s="1"/>
  <c r="V189" i="9" a="1"/>
  <c r="V189" i="9" s="1"/>
  <c r="S189" i="9" a="1"/>
  <c r="S189" i="9" s="1"/>
  <c r="AC189" i="9" s="1"/>
  <c r="X189" i="9" a="1"/>
  <c r="X189" i="9" s="1"/>
  <c r="T189" i="9" a="1"/>
  <c r="T189" i="9" s="1"/>
  <c r="U189" i="9" a="1"/>
  <c r="U189" i="9" s="1"/>
  <c r="AB189" i="9" a="1"/>
  <c r="AB189" i="9" s="1"/>
  <c r="Z189" i="9"/>
  <c r="Z264" i="9"/>
  <c r="T264" i="9" a="1"/>
  <c r="T264" i="9" s="1"/>
  <c r="X264" i="9" a="1"/>
  <c r="X264" i="9" s="1"/>
  <c r="U264" i="9" a="1"/>
  <c r="U264" i="9" s="1"/>
  <c r="Y264" i="9" a="1"/>
  <c r="Y264" i="9" s="1"/>
  <c r="V264" i="9" a="1"/>
  <c r="V264" i="9" s="1"/>
  <c r="S264" i="9" a="1"/>
  <c r="S264" i="9" s="1"/>
  <c r="AC264" i="9" s="1"/>
  <c r="W264" i="9" a="1"/>
  <c r="W264" i="9" s="1"/>
  <c r="AB264" i="9" a="1"/>
  <c r="AB264" i="9" s="1"/>
  <c r="W149" i="9" a="1"/>
  <c r="W149" i="9" s="1"/>
  <c r="Y149" i="9" a="1"/>
  <c r="Y149" i="9" s="1"/>
  <c r="AB149" i="9" a="1"/>
  <c r="AB149" i="9" s="1"/>
  <c r="S149" i="9" a="1"/>
  <c r="S149" i="9" s="1"/>
  <c r="AC149" i="9" s="1"/>
  <c r="X149" i="9" a="1"/>
  <c r="X149" i="9" s="1"/>
  <c r="T149" i="9" a="1"/>
  <c r="T149" i="9" s="1"/>
  <c r="U149" i="9" a="1"/>
  <c r="U149" i="9" s="1"/>
  <c r="Z149" i="9"/>
  <c r="V149" i="9" a="1"/>
  <c r="V149" i="9" s="1"/>
  <c r="S150" i="9" a="1"/>
  <c r="S150" i="9" s="1"/>
  <c r="AC150" i="9" s="1"/>
  <c r="W150" i="9" a="1"/>
  <c r="W150" i="9" s="1"/>
  <c r="Y150" i="9" a="1"/>
  <c r="Y150" i="9" s="1"/>
  <c r="X150" i="9" a="1"/>
  <c r="X150" i="9" s="1"/>
  <c r="T150" i="9" a="1"/>
  <c r="T150" i="9" s="1"/>
  <c r="U150" i="9" a="1"/>
  <c r="U150" i="9" s="1"/>
  <c r="V150" i="9" a="1"/>
  <c r="V150" i="9" s="1"/>
  <c r="AB150" i="9" a="1"/>
  <c r="AB150" i="9" s="1"/>
  <c r="Z150" i="9"/>
  <c r="Y97" i="9" a="1"/>
  <c r="Y97" i="9" s="1"/>
  <c r="U97" i="9" a="1"/>
  <c r="U97" i="9" s="1"/>
  <c r="S97" i="9" a="1"/>
  <c r="S97" i="9" s="1"/>
  <c r="AC97" i="9" s="1"/>
  <c r="W97" i="9" a="1"/>
  <c r="W97" i="9" s="1"/>
  <c r="AB97" i="9" a="1"/>
  <c r="AB97" i="9" s="1"/>
  <c r="T97" i="9" a="1"/>
  <c r="T97" i="9" s="1"/>
  <c r="X97" i="9" a="1"/>
  <c r="X97" i="9" s="1"/>
  <c r="Z97" i="9"/>
  <c r="V97" i="9" a="1"/>
  <c r="V97" i="9" s="1"/>
  <c r="W174" i="9" a="1"/>
  <c r="W174" i="9" s="1"/>
  <c r="Y174" i="9" a="1"/>
  <c r="Y174" i="9" s="1"/>
  <c r="U174" i="9" a="1"/>
  <c r="U174" i="9" s="1"/>
  <c r="X174" i="9" a="1"/>
  <c r="X174" i="9" s="1"/>
  <c r="S174" i="9" a="1"/>
  <c r="S174" i="9" s="1"/>
  <c r="AC174" i="9" s="1"/>
  <c r="AB174" i="9" a="1"/>
  <c r="AB174" i="9" s="1"/>
  <c r="T174" i="9" a="1"/>
  <c r="T174" i="9" s="1"/>
  <c r="Z174" i="9"/>
  <c r="V174" i="9" a="1"/>
  <c r="V174" i="9" s="1"/>
  <c r="Y135" i="9" a="1"/>
  <c r="Y135" i="9" s="1"/>
  <c r="Z135" i="9"/>
  <c r="U135" i="9" a="1"/>
  <c r="U135" i="9" s="1"/>
  <c r="V135" i="9" a="1"/>
  <c r="V135" i="9" s="1"/>
  <c r="S135" i="9" a="1"/>
  <c r="S135" i="9" s="1"/>
  <c r="AC135" i="9" s="1"/>
  <c r="W135" i="9" a="1"/>
  <c r="W135" i="9" s="1"/>
  <c r="AB135" i="9" a="1"/>
  <c r="AB135" i="9" s="1"/>
  <c r="T135" i="9" a="1"/>
  <c r="T135" i="9" s="1"/>
  <c r="X135" i="9" a="1"/>
  <c r="X135" i="9" s="1"/>
  <c r="X158" i="9" a="1"/>
  <c r="X158" i="9" s="1"/>
  <c r="S158" i="9" a="1"/>
  <c r="S158" i="9" s="1"/>
  <c r="AC158" i="9" s="1"/>
  <c r="Y158" i="9" a="1"/>
  <c r="Y158" i="9" s="1"/>
  <c r="T158" i="9" a="1"/>
  <c r="T158" i="9" s="1"/>
  <c r="AB158" i="9" a="1"/>
  <c r="AB158" i="9" s="1"/>
  <c r="U158" i="9" a="1"/>
  <c r="U158" i="9" s="1"/>
  <c r="V158" i="9" a="1"/>
  <c r="V158" i="9" s="1"/>
  <c r="W158" i="9" a="1"/>
  <c r="W158" i="9" s="1"/>
  <c r="Z158" i="9"/>
  <c r="S157" i="9" a="1"/>
  <c r="S157" i="9" s="1"/>
  <c r="AC157" i="9" s="1"/>
  <c r="Y157" i="9" a="1"/>
  <c r="Y157" i="9" s="1"/>
  <c r="T157" i="9" a="1"/>
  <c r="T157" i="9" s="1"/>
  <c r="U157" i="9" a="1"/>
  <c r="U157" i="9" s="1"/>
  <c r="AB157" i="9" a="1"/>
  <c r="AB157" i="9" s="1"/>
  <c r="V157" i="9" a="1"/>
  <c r="V157" i="9" s="1"/>
  <c r="W157" i="9" a="1"/>
  <c r="W157" i="9" s="1"/>
  <c r="X157" i="9" a="1"/>
  <c r="X157" i="9" s="1"/>
  <c r="Z157" i="9"/>
  <c r="Z78" i="9"/>
  <c r="U78" i="9" a="1"/>
  <c r="U78" i="9" s="1"/>
  <c r="Y78" i="9" a="1"/>
  <c r="Y78" i="9" s="1"/>
  <c r="V78" i="9" a="1"/>
  <c r="V78" i="9" s="1"/>
  <c r="S78" i="9" a="1"/>
  <c r="S78" i="9" s="1"/>
  <c r="AC78" i="9" s="1"/>
  <c r="W78" i="9" a="1"/>
  <c r="W78" i="9" s="1"/>
  <c r="AB78" i="9" a="1"/>
  <c r="AB78" i="9" s="1"/>
  <c r="T78" i="9" a="1"/>
  <c r="T78" i="9" s="1"/>
  <c r="X78" i="9" a="1"/>
  <c r="X78" i="9" s="1"/>
  <c r="Z212" i="9"/>
  <c r="U212" i="9" a="1"/>
  <c r="U212" i="9" s="1"/>
  <c r="Y212" i="9" a="1"/>
  <c r="Y212" i="9" s="1"/>
  <c r="V212" i="9" a="1"/>
  <c r="V212" i="9" s="1"/>
  <c r="S212" i="9" a="1"/>
  <c r="S212" i="9" s="1"/>
  <c r="AC212" i="9" s="1"/>
  <c r="W212" i="9" a="1"/>
  <c r="W212" i="9" s="1"/>
  <c r="AB212" i="9" a="1"/>
  <c r="AB212" i="9" s="1"/>
  <c r="T212" i="9" a="1"/>
  <c r="T212" i="9" s="1"/>
  <c r="X212" i="9" a="1"/>
  <c r="X212" i="9" s="1"/>
  <c r="W181" i="9" a="1"/>
  <c r="W181" i="9" s="1"/>
  <c r="Y181" i="9" a="1"/>
  <c r="Y181" i="9" s="1"/>
  <c r="AB181" i="9" a="1"/>
  <c r="AB181" i="9" s="1"/>
  <c r="S181" i="9" a="1"/>
  <c r="S181" i="9" s="1"/>
  <c r="AC181" i="9" s="1"/>
  <c r="T181" i="9" a="1"/>
  <c r="T181" i="9" s="1"/>
  <c r="X181" i="9" a="1"/>
  <c r="X181" i="9" s="1"/>
  <c r="U181" i="9" a="1"/>
  <c r="U181" i="9" s="1"/>
  <c r="Z181" i="9"/>
  <c r="V181" i="9" a="1"/>
  <c r="V181" i="9" s="1"/>
  <c r="S236" i="9" a="1"/>
  <c r="S236" i="9" s="1"/>
  <c r="AC236" i="9" s="1"/>
  <c r="Y236" i="9" a="1"/>
  <c r="Y236" i="9" s="1"/>
  <c r="AB236" i="9" a="1"/>
  <c r="AB236" i="9" s="1"/>
  <c r="U236" i="9" a="1"/>
  <c r="U236" i="9" s="1"/>
  <c r="W236" i="9" a="1"/>
  <c r="W236" i="9" s="1"/>
  <c r="Z236" i="9"/>
  <c r="V236" i="9" a="1"/>
  <c r="V236" i="9" s="1"/>
  <c r="T236" i="9" a="1"/>
  <c r="T236" i="9" s="1"/>
  <c r="X236" i="9" a="1"/>
  <c r="X236" i="9" s="1"/>
  <c r="U193" i="9" a="1"/>
  <c r="U193" i="9" s="1"/>
  <c r="AB193" i="9" a="1"/>
  <c r="AB193" i="9" s="1"/>
  <c r="V193" i="9" a="1"/>
  <c r="V193" i="9" s="1"/>
  <c r="W193" i="9" a="1"/>
  <c r="W193" i="9" s="1"/>
  <c r="Y193" i="9" a="1"/>
  <c r="Y193" i="9" s="1"/>
  <c r="S193" i="9" a="1"/>
  <c r="S193" i="9" s="1"/>
  <c r="AC193" i="9" s="1"/>
  <c r="X193" i="9" a="1"/>
  <c r="X193" i="9" s="1"/>
  <c r="T193" i="9" a="1"/>
  <c r="T193" i="9" s="1"/>
  <c r="Z193" i="9"/>
  <c r="S245" i="9" a="1"/>
  <c r="S245" i="9" s="1"/>
  <c r="AC245" i="9" s="1"/>
  <c r="AB245" i="9" a="1"/>
  <c r="AB245" i="9" s="1"/>
  <c r="W245" i="9" a="1"/>
  <c r="W245" i="9" s="1"/>
  <c r="Y245" i="9" a="1"/>
  <c r="Y245" i="9" s="1"/>
  <c r="Z245" i="9"/>
  <c r="U245" i="9" a="1"/>
  <c r="U245" i="9" s="1"/>
  <c r="T245" i="9" a="1"/>
  <c r="T245" i="9" s="1"/>
  <c r="X245" i="9" a="1"/>
  <c r="X245" i="9" s="1"/>
  <c r="V245" i="9" a="1"/>
  <c r="V245" i="9" s="1"/>
  <c r="T140" i="9" a="1"/>
  <c r="T140" i="9" s="1"/>
  <c r="X140" i="9" a="1"/>
  <c r="X140" i="9" s="1"/>
  <c r="U140" i="9" a="1"/>
  <c r="U140" i="9" s="1"/>
  <c r="Y140" i="9" a="1"/>
  <c r="Y140" i="9" s="1"/>
  <c r="Z140" i="9"/>
  <c r="V140" i="9" a="1"/>
  <c r="V140" i="9" s="1"/>
  <c r="S140" i="9" a="1"/>
  <c r="S140" i="9" s="1"/>
  <c r="AC140" i="9" s="1"/>
  <c r="W140" i="9" a="1"/>
  <c r="W140" i="9" s="1"/>
  <c r="AB140" i="9" a="1"/>
  <c r="AB140" i="9" s="1"/>
  <c r="U211" i="9" a="1"/>
  <c r="U211" i="9" s="1"/>
  <c r="Y211" i="9" a="1"/>
  <c r="Y211" i="9" s="1"/>
  <c r="Z211" i="9"/>
  <c r="V211" i="9" a="1"/>
  <c r="V211" i="9" s="1"/>
  <c r="S211" i="9" a="1"/>
  <c r="S211" i="9" s="1"/>
  <c r="AC211" i="9" s="1"/>
  <c r="W211" i="9" a="1"/>
  <c r="W211" i="9" s="1"/>
  <c r="AB211" i="9" a="1"/>
  <c r="AB211" i="9" s="1"/>
  <c r="T211" i="9" a="1"/>
  <c r="T211" i="9" s="1"/>
  <c r="X211" i="9" a="1"/>
  <c r="X211" i="9" s="1"/>
  <c r="X172" i="9" a="1"/>
  <c r="X172" i="9" s="1"/>
  <c r="W172" i="9" a="1"/>
  <c r="W172" i="9" s="1"/>
  <c r="Y172" i="9" a="1"/>
  <c r="Y172" i="9" s="1"/>
  <c r="S172" i="9" a="1"/>
  <c r="S172" i="9" s="1"/>
  <c r="AC172" i="9" s="1"/>
  <c r="Z172" i="9"/>
  <c r="T172" i="9" a="1"/>
  <c r="T172" i="9" s="1"/>
  <c r="U172" i="9" a="1"/>
  <c r="U172" i="9" s="1"/>
  <c r="AB172" i="9" a="1"/>
  <c r="AB172" i="9" s="1"/>
  <c r="V172" i="9" a="1"/>
  <c r="V172" i="9" s="1"/>
  <c r="Z234" i="9"/>
  <c r="V234" i="9" a="1"/>
  <c r="V234" i="9" s="1"/>
  <c r="AB234" i="9" a="1"/>
  <c r="AB234" i="9" s="1"/>
  <c r="W234" i="9" a="1"/>
  <c r="W234" i="9" s="1"/>
  <c r="Y234" i="9" a="1"/>
  <c r="Y234" i="9" s="1"/>
  <c r="S234" i="9" a="1"/>
  <c r="S234" i="9" s="1"/>
  <c r="AC234" i="9" s="1"/>
  <c r="X234" i="9" a="1"/>
  <c r="X234" i="9" s="1"/>
  <c r="T234" i="9" a="1"/>
  <c r="T234" i="9" s="1"/>
  <c r="U234" i="9" a="1"/>
  <c r="U234" i="9" s="1"/>
  <c r="EH41" i="10" a="1"/>
  <c r="EH1" i="10" a="1"/>
  <c r="EH33" i="10" a="1"/>
  <c r="EO25" i="10" a="1"/>
  <c r="EO17" i="10" a="1"/>
  <c r="DZ9" i="10" a="1"/>
  <c r="DZ41" i="10" a="1"/>
  <c r="DZ33" i="10" a="1"/>
  <c r="DS17" i="10" a="1"/>
  <c r="DD41" i="10" a="1"/>
  <c r="DD9" i="10" a="1"/>
  <c r="CO25" i="10" a="1"/>
  <c r="EO17" i="10" l="1"/>
  <c r="EO25" i="10"/>
  <c r="EH33" i="10"/>
  <c r="EH1" i="10"/>
  <c r="EH41" i="10"/>
  <c r="DS17" i="10"/>
  <c r="DZ33" i="10"/>
  <c r="DZ41" i="10"/>
  <c r="DZ9" i="10"/>
  <c r="DD9" i="10"/>
  <c r="DD41" i="10"/>
  <c r="CO25" i="10"/>
  <c r="CR6" i="10" a="1"/>
  <c r="CR6" i="10" s="1"/>
  <c r="CO2" i="10" a="1"/>
  <c r="CO2" i="10" s="1"/>
  <c r="CO3" i="10" s="1" a="1"/>
  <c r="CO3" i="10" s="1"/>
  <c r="CN1" i="10"/>
  <c r="CN7" i="10" a="1"/>
  <c r="CN7" i="10" s="1"/>
  <c r="CS1" i="10" a="1"/>
  <c r="CS1" i="10" s="1"/>
  <c r="CR7" i="10" a="1"/>
  <c r="CR7" i="10" s="1"/>
  <c r="CP6" i="10" a="1"/>
  <c r="CP6" i="10" s="1"/>
  <c r="CP7" i="10" a="1"/>
  <c r="CP7" i="10" s="1"/>
  <c r="CO6" i="10" a="1"/>
  <c r="CO6" i="10" s="1"/>
  <c r="CR4" i="10" a="1"/>
  <c r="CR4" i="10" s="1"/>
  <c r="CR3" i="10" a="1"/>
  <c r="CR3" i="10" s="1"/>
  <c r="CR2" i="10" a="1"/>
  <c r="CR2" i="10" s="1"/>
  <c r="CN6" i="10" a="1"/>
  <c r="CN6" i="10" s="1"/>
  <c r="CO4" i="10" a="1"/>
  <c r="CO4" i="10" s="1"/>
  <c r="AA124" i="9"/>
  <c r="AA149" i="9"/>
  <c r="AA190" i="9"/>
  <c r="AA243" i="9"/>
  <c r="AA174" i="9"/>
  <c r="AA67" i="9"/>
  <c r="AA83" i="9"/>
  <c r="AA166" i="9"/>
  <c r="AA228" i="9"/>
  <c r="AA215" i="9"/>
  <c r="AA211" i="9"/>
  <c r="AA140" i="9"/>
  <c r="AA112" i="9"/>
  <c r="AA62" i="9"/>
  <c r="AA193" i="9"/>
  <c r="AA85" i="9"/>
  <c r="AA99" i="9"/>
  <c r="AA87" i="9"/>
  <c r="AA238" i="9"/>
  <c r="AA97" i="9"/>
  <c r="AA213" i="9"/>
  <c r="AA181" i="9"/>
  <c r="AA135" i="9"/>
  <c r="AA58" i="9"/>
  <c r="AA160" i="9"/>
  <c r="AA208" i="9"/>
  <c r="AA237" i="9"/>
  <c r="AA78" i="9"/>
  <c r="AA150" i="9"/>
  <c r="AA264" i="9"/>
  <c r="AA131" i="9"/>
  <c r="AA128" i="9"/>
  <c r="AA202" i="9"/>
  <c r="AA235" i="9"/>
  <c r="AA55" i="9"/>
  <c r="AA63" i="9"/>
  <c r="AA240" i="9"/>
  <c r="AA209" i="9"/>
  <c r="AA104" i="9"/>
  <c r="AA123" i="9"/>
  <c r="AA189" i="9"/>
  <c r="AA250" i="9"/>
  <c r="AA113" i="9"/>
  <c r="AA50" i="9"/>
  <c r="AA198" i="9"/>
  <c r="AA206" i="9"/>
  <c r="AA172" i="9"/>
  <c r="AA236" i="9"/>
  <c r="AA212" i="9"/>
  <c r="AA157" i="9"/>
  <c r="AA245" i="9"/>
  <c r="AA158" i="9"/>
  <c r="AA226" i="9"/>
  <c r="AA102" i="9"/>
  <c r="AA136" i="9"/>
  <c r="AA217" i="9"/>
  <c r="AA164" i="9"/>
  <c r="AA53" i="9"/>
  <c r="AA234" i="9"/>
  <c r="AA91" i="9"/>
  <c r="AA146" i="9"/>
  <c r="AA77" i="9"/>
  <c r="EI47" i="10" l="1" a="1"/>
  <c r="EI47" i="10" s="1"/>
  <c r="EH46" i="10" a="1"/>
  <c r="EH46" i="10" s="1"/>
  <c r="EK44" i="10" a="1"/>
  <c r="EK44" i="10" s="1"/>
  <c r="EK43" i="10" a="1"/>
  <c r="EK43" i="10" s="1"/>
  <c r="EK42" i="10" a="1"/>
  <c r="EK42" i="10" s="1"/>
  <c r="EG47" i="10" a="1"/>
  <c r="EG47" i="10" s="1"/>
  <c r="EG46" i="10" a="1"/>
  <c r="EG46" i="10" s="1"/>
  <c r="EH44" i="10" a="1"/>
  <c r="EH44" i="10" s="1"/>
  <c r="EH42" i="10" a="1"/>
  <c r="EH42" i="10" s="1"/>
  <c r="EH43" i="10" s="1" a="1"/>
  <c r="EH43" i="10" s="1"/>
  <c r="EL41" i="10" a="1"/>
  <c r="EL41" i="10" s="1"/>
  <c r="EG41" i="10"/>
  <c r="EK46" i="10" a="1"/>
  <c r="EK46" i="10" s="1"/>
  <c r="EK47" i="10" a="1"/>
  <c r="EK47" i="10" s="1"/>
  <c r="EI46" i="10" a="1"/>
  <c r="EI46" i="10" s="1"/>
  <c r="EK6" i="10" a="1"/>
  <c r="EK6" i="10" s="1"/>
  <c r="EG1" i="10"/>
  <c r="EK7" i="10" a="1"/>
  <c r="EK7" i="10" s="1"/>
  <c r="EI6" i="10" a="1"/>
  <c r="EI6" i="10" s="1"/>
  <c r="EL1" i="10" a="1"/>
  <c r="EL1" i="10" s="1"/>
  <c r="EI7" i="10" a="1"/>
  <c r="EI7" i="10" s="1"/>
  <c r="EH6" i="10" a="1"/>
  <c r="EH6" i="10" s="1"/>
  <c r="EK4" i="10" a="1"/>
  <c r="EK4" i="10" s="1"/>
  <c r="EK3" i="10" a="1"/>
  <c r="EK3" i="10" s="1"/>
  <c r="EK2" i="10" a="1"/>
  <c r="EK2" i="10" s="1"/>
  <c r="EG6" i="10" a="1"/>
  <c r="EG6" i="10" s="1"/>
  <c r="EG7" i="10" a="1"/>
  <c r="EG7" i="10" s="1"/>
  <c r="EH4" i="10" a="1"/>
  <c r="EH4" i="10" s="1"/>
  <c r="EH2" i="10" a="1"/>
  <c r="EH2" i="10" s="1"/>
  <c r="EH3" i="10" s="1" a="1"/>
  <c r="EH3" i="10" s="1"/>
  <c r="EI39" i="10" a="1"/>
  <c r="EI39" i="10" s="1"/>
  <c r="EH38" i="10" a="1"/>
  <c r="EH38" i="10" s="1"/>
  <c r="EK36" i="10" a="1"/>
  <c r="EK36" i="10" s="1"/>
  <c r="EK35" i="10" a="1"/>
  <c r="EK35" i="10" s="1"/>
  <c r="EK34" i="10" a="1"/>
  <c r="EK34" i="10" s="1"/>
  <c r="EG39" i="10" a="1"/>
  <c r="EG39" i="10" s="1"/>
  <c r="EG38" i="10" a="1"/>
  <c r="EG38" i="10" s="1"/>
  <c r="EH36" i="10" a="1"/>
  <c r="EH36" i="10" s="1"/>
  <c r="EH34" i="10" a="1"/>
  <c r="EH34" i="10" s="1"/>
  <c r="EH35" i="10" s="1" a="1"/>
  <c r="EH35" i="10" s="1"/>
  <c r="EL33" i="10" a="1"/>
  <c r="EL33" i="10" s="1"/>
  <c r="EK38" i="10" a="1"/>
  <c r="EK38" i="10" s="1"/>
  <c r="EG33" i="10"/>
  <c r="EK39" i="10" a="1"/>
  <c r="EK39" i="10" s="1"/>
  <c r="EI38" i="10" a="1"/>
  <c r="EI38" i="10" s="1"/>
  <c r="EP31" i="10" a="1"/>
  <c r="EP31" i="10" s="1"/>
  <c r="EN30" i="10" a="1"/>
  <c r="EN30" i="10" s="1"/>
  <c r="EN31" i="10" a="1"/>
  <c r="EN31" i="10" s="1"/>
  <c r="ER30" i="10" a="1"/>
  <c r="ER30" i="10" s="1"/>
  <c r="ER28" i="10" a="1"/>
  <c r="ER28" i="10" s="1"/>
  <c r="ER27" i="10" a="1"/>
  <c r="ER27" i="10" s="1"/>
  <c r="ER26" i="10" a="1"/>
  <c r="ER26" i="10" s="1"/>
  <c r="ES25" i="10" a="1"/>
  <c r="ES25" i="10" s="1"/>
  <c r="EP30" i="10" a="1"/>
  <c r="EP30" i="10" s="1"/>
  <c r="EO28" i="10" a="1"/>
  <c r="EO28" i="10" s="1"/>
  <c r="EO26" i="10" a="1"/>
  <c r="EO26" i="10" s="1"/>
  <c r="EO27" i="10" s="1" a="1"/>
  <c r="EO27" i="10" s="1"/>
  <c r="EN25" i="10"/>
  <c r="ER31" i="10" a="1"/>
  <c r="ER31" i="10" s="1"/>
  <c r="EO30" i="10" a="1"/>
  <c r="EO30" i="10" s="1"/>
  <c r="EP23" i="10" a="1"/>
  <c r="EP23" i="10" s="1"/>
  <c r="EN22" i="10" a="1"/>
  <c r="EN22" i="10" s="1"/>
  <c r="EN23" i="10" a="1"/>
  <c r="EN23" i="10" s="1"/>
  <c r="ER22" i="10" a="1"/>
  <c r="ER22" i="10" s="1"/>
  <c r="ER20" i="10" a="1"/>
  <c r="ER20" i="10" s="1"/>
  <c r="ER19" i="10" a="1"/>
  <c r="ER19" i="10" s="1"/>
  <c r="ER18" i="10" a="1"/>
  <c r="ER18" i="10" s="1"/>
  <c r="ES17" i="10" a="1"/>
  <c r="ES17" i="10" s="1"/>
  <c r="EP22" i="10" a="1"/>
  <c r="EP22" i="10" s="1"/>
  <c r="EO20" i="10" a="1"/>
  <c r="EO20" i="10" s="1"/>
  <c r="EO18" i="10" a="1"/>
  <c r="EO18" i="10" s="1"/>
  <c r="EO19" i="10" s="1" a="1"/>
  <c r="EO19" i="10" s="1"/>
  <c r="ER23" i="10" a="1"/>
  <c r="ER23" i="10" s="1"/>
  <c r="EO22" i="10" a="1"/>
  <c r="EO22" i="10" s="1"/>
  <c r="EN17" i="10"/>
  <c r="DY15" i="10" a="1"/>
  <c r="DY15" i="10" s="1"/>
  <c r="EC14" i="10" a="1"/>
  <c r="EC14" i="10" s="1"/>
  <c r="EC12" i="10" a="1"/>
  <c r="EC12" i="10" s="1"/>
  <c r="EA14" i="10" a="1"/>
  <c r="EA14" i="10" s="1"/>
  <c r="DZ12" i="10" a="1"/>
  <c r="DZ12" i="10" s="1"/>
  <c r="DZ10" i="10" a="1"/>
  <c r="DZ10" i="10" s="1"/>
  <c r="DZ11" i="10" s="1" a="1"/>
  <c r="DZ11" i="10" s="1"/>
  <c r="DY9" i="10"/>
  <c r="EC15" i="10" a="1"/>
  <c r="EC15" i="10" s="1"/>
  <c r="DZ14" i="10" a="1"/>
  <c r="DZ14" i="10" s="1"/>
  <c r="EA15" i="10" a="1"/>
  <c r="EA15" i="10" s="1"/>
  <c r="DY14" i="10" a="1"/>
  <c r="DY14" i="10" s="1"/>
  <c r="EC11" i="10" a="1"/>
  <c r="EC11" i="10" s="1"/>
  <c r="EC10" i="10" a="1"/>
  <c r="EC10" i="10" s="1"/>
  <c r="ED9" i="10" a="1"/>
  <c r="ED9" i="10" s="1"/>
  <c r="DY41" i="10"/>
  <c r="EC47" i="10" a="1"/>
  <c r="EC47" i="10" s="1"/>
  <c r="DZ46" i="10" a="1"/>
  <c r="DZ46" i="10" s="1"/>
  <c r="EA47" i="10" a="1"/>
  <c r="EA47" i="10" s="1"/>
  <c r="DY46" i="10" a="1"/>
  <c r="DY46" i="10" s="1"/>
  <c r="DY47" i="10" a="1"/>
  <c r="DY47" i="10" s="1"/>
  <c r="EC46" i="10" a="1"/>
  <c r="EC46" i="10" s="1"/>
  <c r="EC44" i="10" a="1"/>
  <c r="EC44" i="10" s="1"/>
  <c r="EC43" i="10" a="1"/>
  <c r="EC43" i="10" s="1"/>
  <c r="EC42" i="10" a="1"/>
  <c r="EC42" i="10" s="1"/>
  <c r="ED41" i="10" a="1"/>
  <c r="ED41" i="10" s="1"/>
  <c r="EA46" i="10" a="1"/>
  <c r="EA46" i="10" s="1"/>
  <c r="DZ44" i="10" a="1"/>
  <c r="DZ44" i="10" s="1"/>
  <c r="DZ42" i="10" a="1"/>
  <c r="DZ42" i="10" s="1"/>
  <c r="DZ43" i="10" s="1" a="1"/>
  <c r="DZ43" i="10" s="1"/>
  <c r="EC39" i="10" a="1"/>
  <c r="EC39" i="10" s="1"/>
  <c r="DZ38" i="10" a="1"/>
  <c r="DZ38" i="10" s="1"/>
  <c r="EA39" i="10" a="1"/>
  <c r="EA39" i="10" s="1"/>
  <c r="DY38" i="10" a="1"/>
  <c r="DY38" i="10" s="1"/>
  <c r="DY39" i="10" a="1"/>
  <c r="DY39" i="10" s="1"/>
  <c r="EC38" i="10" a="1"/>
  <c r="EC38" i="10" s="1"/>
  <c r="EC36" i="10" a="1"/>
  <c r="EC36" i="10" s="1"/>
  <c r="EC35" i="10" a="1"/>
  <c r="EC35" i="10" s="1"/>
  <c r="EC34" i="10" a="1"/>
  <c r="EC34" i="10" s="1"/>
  <c r="ED33" i="10" a="1"/>
  <c r="ED33" i="10" s="1"/>
  <c r="EA38" i="10" a="1"/>
  <c r="EA38" i="10" s="1"/>
  <c r="DZ36" i="10" a="1"/>
  <c r="DZ36" i="10" s="1"/>
  <c r="DZ34" i="10" a="1"/>
  <c r="DZ34" i="10" s="1"/>
  <c r="DZ35" i="10" s="1" a="1"/>
  <c r="DZ35" i="10" s="1"/>
  <c r="DY33" i="10"/>
  <c r="DR23" i="10" a="1"/>
  <c r="DR23" i="10" s="1"/>
  <c r="DR22" i="10" a="1"/>
  <c r="DR22" i="10" s="1"/>
  <c r="DS20" i="10" a="1"/>
  <c r="DS20" i="10" s="1"/>
  <c r="DS18" i="10" a="1"/>
  <c r="DS18" i="10" s="1"/>
  <c r="DS19" i="10" s="1" a="1"/>
  <c r="DS19" i="10" s="1"/>
  <c r="DW17" i="10" a="1"/>
  <c r="DW17" i="10" s="1"/>
  <c r="DV22" i="10" a="1"/>
  <c r="DV22" i="10" s="1"/>
  <c r="DR17" i="10"/>
  <c r="DV23" i="10" a="1"/>
  <c r="DV23" i="10" s="1"/>
  <c r="DT22" i="10" a="1"/>
  <c r="DT22" i="10" s="1"/>
  <c r="DT23" i="10" a="1"/>
  <c r="DT23" i="10" s="1"/>
  <c r="DS22" i="10" a="1"/>
  <c r="DS22" i="10" s="1"/>
  <c r="DV20" i="10" a="1"/>
  <c r="DV20" i="10" s="1"/>
  <c r="DV19" i="10" a="1"/>
  <c r="DV19" i="10" s="1"/>
  <c r="DV18" i="10" a="1"/>
  <c r="DV18" i="10" s="1"/>
  <c r="DG46" i="10" a="1"/>
  <c r="DG46" i="10" s="1"/>
  <c r="DE47" i="10" a="1"/>
  <c r="DE47" i="10" s="1"/>
  <c r="DD46" i="10" a="1"/>
  <c r="DD46" i="10" s="1"/>
  <c r="DG44" i="10" a="1"/>
  <c r="DG44" i="10" s="1"/>
  <c r="DG43" i="10" a="1"/>
  <c r="DG43" i="10" s="1"/>
  <c r="DG42" i="10" a="1"/>
  <c r="DG42" i="10" s="1"/>
  <c r="DC47" i="10" a="1"/>
  <c r="DC47" i="10" s="1"/>
  <c r="DC46" i="10" a="1"/>
  <c r="DC46" i="10" s="1"/>
  <c r="DD44" i="10" a="1"/>
  <c r="DD44" i="10" s="1"/>
  <c r="DD42" i="10" a="1"/>
  <c r="DD42" i="10" s="1"/>
  <c r="DD43" i="10" s="1" a="1"/>
  <c r="DD43" i="10" s="1"/>
  <c r="DH41" i="10" a="1"/>
  <c r="DH41" i="10" s="1"/>
  <c r="DC41" i="10"/>
  <c r="DG47" i="10" a="1"/>
  <c r="DG47" i="10" s="1"/>
  <c r="DE46" i="10" a="1"/>
  <c r="DE46" i="10" s="1"/>
  <c r="DG11" i="10" a="1"/>
  <c r="DG11" i="10" s="1"/>
  <c r="DG14" i="10" a="1"/>
  <c r="DG14" i="10" s="1"/>
  <c r="DC9" i="10"/>
  <c r="DE15" i="10" a="1"/>
  <c r="DE15" i="10" s="1"/>
  <c r="DG12" i="10" a="1"/>
  <c r="DG12" i="10" s="1"/>
  <c r="DG15" i="10" a="1"/>
  <c r="DG15" i="10" s="1"/>
  <c r="DE14" i="10" a="1"/>
  <c r="DE14" i="10" s="1"/>
  <c r="DC15" i="10" a="1"/>
  <c r="DC15" i="10" s="1"/>
  <c r="DC14" i="10" a="1"/>
  <c r="DC14" i="10" s="1"/>
  <c r="DD12" i="10" a="1"/>
  <c r="DD12" i="10" s="1"/>
  <c r="DD10" i="10" a="1"/>
  <c r="DD10" i="10" s="1"/>
  <c r="DD11" i="10" s="1" a="1"/>
  <c r="DD11" i="10" s="1"/>
  <c r="DH9" i="10" a="1"/>
  <c r="DH9" i="10" s="1"/>
  <c r="DD14" i="10" a="1"/>
  <c r="DD14" i="10" s="1"/>
  <c r="DG10" i="10" a="1"/>
  <c r="DG10" i="10" s="1"/>
  <c r="CN31" i="10" a="1"/>
  <c r="CN31" i="10" s="1"/>
  <c r="CN30" i="10" a="1"/>
  <c r="CN30" i="10" s="1"/>
  <c r="CO28" i="10" a="1"/>
  <c r="CO28" i="10" s="1"/>
  <c r="CO26" i="10" a="1"/>
  <c r="CO26" i="10" s="1"/>
  <c r="CO27" i="10" s="1" a="1"/>
  <c r="CO27" i="10" s="1"/>
  <c r="CS25" i="10" a="1"/>
  <c r="CS25" i="10" s="1"/>
  <c r="CR30" i="10" a="1"/>
  <c r="CR30" i="10" s="1"/>
  <c r="CN25" i="10"/>
  <c r="CR31" i="10" a="1"/>
  <c r="CR31" i="10" s="1"/>
  <c r="CP30" i="10" a="1"/>
  <c r="CP30" i="10" s="1"/>
  <c r="CP31" i="10" a="1"/>
  <c r="CP31" i="10" s="1"/>
  <c r="CO30" i="10" a="1"/>
  <c r="CO30" i="10" s="1"/>
  <c r="CR28" i="10" a="1"/>
  <c r="CR28" i="10" s="1"/>
  <c r="CR27" i="10" a="1"/>
  <c r="CR27" i="10" s="1"/>
  <c r="CR26" i="10" a="1"/>
  <c r="CR26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<sst xmlns="http://schemas.openxmlformats.org/spreadsheetml/2006/main" count="1318" uniqueCount="590">
  <si>
    <t>赤</t>
  </si>
  <si>
    <t>キャラ弁（学食）</t>
  </si>
  <si>
    <t>ｵﾚﾝｼﾞ　先生</t>
  </si>
  <si>
    <t>キャラ弁当</t>
  </si>
  <si>
    <t>パンカップ　</t>
  </si>
  <si>
    <t>お誕生会　</t>
  </si>
  <si>
    <t>カレー</t>
  </si>
  <si>
    <t>パック弁当</t>
  </si>
  <si>
    <t>配膳スマ</t>
  </si>
  <si>
    <t>社食</t>
  </si>
  <si>
    <t>＊＊＊</t>
  </si>
  <si>
    <t>数出表</t>
  </si>
  <si>
    <t>上段：園児、下段：先生</t>
  </si>
  <si>
    <t>作成日</t>
  </si>
  <si>
    <t>オレンジ</t>
  </si>
  <si>
    <t>おやつ</t>
  </si>
  <si>
    <t>園名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</si>
  <si>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</si>
  <si>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</si>
  <si>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</si>
  <si>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</si>
  <si>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</si>
  <si>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</si>
  <si>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</si>
  <si>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</si>
  <si>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</si>
  <si>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</si>
  <si>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</si>
  <si>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</si>
  <si>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</si>
  <si>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</si>
  <si>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</si>
  <si>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</si>
  <si>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</si>
  <si>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</si>
  <si>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</si>
  <si>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</si>
  <si>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</si>
  <si>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</si>
  <si>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</si>
  <si>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</si>
  <si>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</si>
  <si>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</si>
  <si>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</si>
  <si>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</si>
  <si>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</si>
  <si>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</si>
  <si>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</si>
  <si>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</si>
  <si>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</si>
  <si>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</si>
  <si>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</si>
  <si>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</si>
  <si>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</si>
  <si>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</si>
  <si>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</si>
  <si>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</si>
  <si>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</si>
  <si>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</si>
  <si>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</si>
  <si>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</si>
  <si>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</si>
  <si>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</si>
  <si>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</si>
  <si>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</si>
  <si>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</si>
  <si>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</si>
  <si>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</si>
  <si>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</si>
  <si>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</si>
  <si>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</si>
  <si>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</si>
  <si>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</si>
  <si>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</si>
  <si>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</si>
  <si>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</si>
  <si>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</si>
  <si>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</si>
  <si>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</si>
  <si>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</si>
  <si>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</si>
  <si>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</si>
  <si>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</si>
  <si>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</si>
  <si>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</si>
  <si>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</si>
  <si>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</si>
  <si>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</si>
  <si>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</si>
  <si>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</si>
  <si>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</si>
  <si>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</si>
  <si>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</si>
  <si>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</si>
  <si>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</si>
  <si>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</si>
  <si>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</si>
  <si>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</si>
  <si>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</si>
  <si>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</si>
  <si>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</si>
  <si>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</si>
  <si>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</si>
  <si>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</si>
  <si>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</si>
  <si>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</si>
  <si>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</si>
  <si>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　先生</t>
  </si>
  <si>
    <t>パンカップ　先生</t>
  </si>
  <si>
    <t>お誕生会　園児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</si>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</sst>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8"/>
      <color theme="1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76" fontId="15" fillId="0" borderId="0" xfId="0" applyNumberFormat="1" applyFont="1" applyAlignment="1">
      <alignment horizontal="right" vertical="center"/>
    </xf>
    <xf numFmtId="0" fontId="17" fillId="0" borderId="0" xfId="0" applyFont="1" applyAlignment="1"/>
    <xf numFmtId="0" fontId="10" fillId="0" borderId="0" xfId="0" applyFont="1" applyAlignment="1"/>
    <xf numFmtId="0" fontId="19" fillId="0" borderId="0" xfId="0" applyFont="1">
      <alignment vertical="center"/>
    </xf>
    <xf numFmtId="0" fontId="19" fillId="5" borderId="0" xfId="0" applyFont="1" applyFill="1">
      <alignment vertical="center"/>
    </xf>
    <xf numFmtId="176" fontId="19" fillId="5" borderId="0" xfId="0" applyNumberFormat="1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5" borderId="6" xfId="0" applyFont="1" applyFill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9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7" fillId="5" borderId="18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/>
    </xf>
    <xf numFmtId="0" fontId="27" fillId="5" borderId="18" xfId="0" applyFont="1" applyFill="1" applyBorder="1" applyAlignment="1">
      <alignment horizontal="center"/>
    </xf>
    <xf numFmtId="0" fontId="27" fillId="5" borderId="28" xfId="0" applyFont="1" applyFill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8" fillId="0" borderId="6" xfId="0" applyFont="1" applyBorder="1" applyAlignment="1">
      <alignment horizontal="center" vertical="center"/>
    </xf>
    <xf numFmtId="0" fontId="24" fillId="5" borderId="30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0" fillId="0" borderId="0" xfId="0" applyFont="1">
      <alignment vertical="center"/>
    </xf>
    <xf numFmtId="0" fontId="30" fillId="0" borderId="6" xfId="0" applyFont="1" applyBorder="1">
      <alignment vertical="center"/>
    </xf>
    <xf numFmtId="0" fontId="30" fillId="0" borderId="9" xfId="0" applyFont="1" applyBorder="1">
      <alignment vertical="center"/>
    </xf>
    <xf numFmtId="0" fontId="30" fillId="0" borderId="0" xfId="0" applyFont="1" applyAlignment="1"/>
    <xf numFmtId="0" fontId="30" fillId="8" borderId="0" xfId="0" applyFont="1" applyFill="1" applyAlignment="1">
      <alignment horizontal="center" vertical="center"/>
    </xf>
    <xf numFmtId="0" fontId="33" fillId="0" borderId="0" xfId="0" applyFont="1" applyAlignment="1"/>
    <xf numFmtId="0" fontId="30" fillId="0" borderId="7" xfId="0" applyFont="1" applyBorder="1">
      <alignment vertical="center"/>
    </xf>
    <xf numFmtId="0" fontId="30" fillId="0" borderId="8" xfId="0" applyFont="1" applyBorder="1">
      <alignment vertical="center"/>
    </xf>
    <xf numFmtId="0" fontId="30" fillId="0" borderId="22" xfId="0" applyFont="1" applyBorder="1" applyAlignment="1">
      <alignment horizontal="center" vertical="center"/>
    </xf>
    <xf numFmtId="0" fontId="30" fillId="0" borderId="7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15" xfId="0" applyFont="1" applyBorder="1" applyAlignment="1">
      <alignment horizontal="left" vertical="center"/>
    </xf>
    <xf numFmtId="0" fontId="30" fillId="0" borderId="10" xfId="0" applyFont="1" applyBorder="1" applyAlignment="1">
      <alignment horizontal="left" vertical="center"/>
    </xf>
    <xf numFmtId="0" fontId="30" fillId="0" borderId="15" xfId="0" applyFont="1" applyBorder="1">
      <alignment vertical="center"/>
    </xf>
    <xf numFmtId="0" fontId="30" fillId="0" borderId="10" xfId="0" applyFont="1" applyBorder="1">
      <alignment vertical="center"/>
    </xf>
    <xf numFmtId="0" fontId="30" fillId="0" borderId="2" xfId="0" applyFont="1" applyBorder="1" applyAlignment="1"/>
    <xf numFmtId="0" fontId="30" fillId="0" borderId="1" xfId="0" applyFont="1" applyBorder="1" applyAlignment="1"/>
    <xf numFmtId="0" fontId="35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176" fontId="19" fillId="3" borderId="0" xfId="0" applyNumberFormat="1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8" borderId="0" xfId="0" applyFont="1" applyFill="1">
      <alignment vertical="center"/>
    </xf>
    <xf numFmtId="0" fontId="19" fillId="8" borderId="0" xfId="0" applyFont="1" applyFill="1" applyAlignment="1">
      <alignment horizontal="left" vertical="center"/>
    </xf>
    <xf numFmtId="0" fontId="19" fillId="8" borderId="0" xfId="0" applyFont="1" applyFill="1" applyAlignment="1">
      <alignment vertical="center" wrapText="1"/>
    </xf>
    <xf numFmtId="176" fontId="19" fillId="8" borderId="0" xfId="0" applyNumberFormat="1" applyFont="1" applyFill="1">
      <alignment vertical="center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176" fontId="19" fillId="0" borderId="0" xfId="0" applyNumberFormat="1" applyFont="1">
      <alignment vertical="center"/>
    </xf>
    <xf numFmtId="0" fontId="20" fillId="11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176" fontId="19" fillId="2" borderId="0" xfId="0" applyNumberFormat="1" applyFont="1" applyFill="1">
      <alignment vertical="center"/>
    </xf>
    <xf numFmtId="0" fontId="19" fillId="6" borderId="0" xfId="0" applyFont="1" applyFill="1">
      <alignment vertical="center"/>
    </xf>
    <xf numFmtId="0" fontId="19" fillId="6" borderId="0" xfId="0" applyFont="1" applyFill="1" applyAlignment="1"/>
    <xf numFmtId="176" fontId="19" fillId="6" borderId="0" xfId="0" applyNumberFormat="1" applyFont="1" applyFill="1" applyAlignment="1"/>
    <xf numFmtId="0" fontId="19" fillId="6" borderId="0" xfId="0" applyFont="1" applyFill="1" applyAlignment="1">
      <alignment horizontal="right"/>
    </xf>
    <xf numFmtId="0" fontId="19" fillId="8" borderId="0" xfId="0" applyFont="1" applyFill="1" applyAlignment="1"/>
    <xf numFmtId="0" fontId="19" fillId="9" borderId="0" xfId="0" applyFont="1" applyFill="1">
      <alignment vertical="center"/>
    </xf>
    <xf numFmtId="0" fontId="19" fillId="9" borderId="0" xfId="0" applyFont="1" applyFill="1" applyAlignment="1"/>
    <xf numFmtId="0" fontId="19" fillId="11" borderId="0" xfId="0" applyFont="1" applyFill="1">
      <alignment vertical="center"/>
    </xf>
    <xf numFmtId="176" fontId="19" fillId="11" borderId="0" xfId="0" applyNumberFormat="1" applyFont="1" applyFill="1">
      <alignment vertical="center"/>
    </xf>
    <xf numFmtId="0" fontId="20" fillId="8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0" borderId="1" xfId="0" applyBorder="1">
      <alignment vertical="center"/>
    </xf>
    <xf numFmtId="0" fontId="0" fillId="11" borderId="0" xfId="0" applyFill="1">
      <alignment vertical="center"/>
    </xf>
    <xf numFmtId="0" fontId="25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5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9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34" fillId="0" borderId="14" xfId="0" applyFont="1" applyFill="1" applyBorder="1" applyAlignment="1">
      <alignment horizontal="center" vertical="center"/>
    </xf>
    <xf numFmtId="0" fontId="36" fillId="0" borderId="17" xfId="0" applyFont="1" applyFill="1" applyBorder="1" applyAlignment="1">
      <alignment horizontal="center" vertical="center"/>
    </xf>
    <xf numFmtId="0" fontId="30" fillId="0" borderId="19" xfId="0" applyFont="1" applyFill="1" applyBorder="1" applyAlignment="1">
      <alignment horizontal="center" vertical="center"/>
    </xf>
    <xf numFmtId="0" fontId="34" fillId="0" borderId="23" xfId="0" applyFont="1" applyFill="1" applyBorder="1" applyAlignment="1">
      <alignment horizontal="center" vertical="center"/>
    </xf>
    <xf numFmtId="0" fontId="24" fillId="0" borderId="20" xfId="0" applyFont="1" applyFill="1" applyBorder="1" applyAlignment="1">
      <alignment horizontal="center" vertical="center"/>
    </xf>
    <xf numFmtId="0" fontId="35" fillId="0" borderId="14" xfId="0" applyFont="1" applyBorder="1">
      <alignment vertical="center"/>
    </xf>
    <xf numFmtId="0" fontId="30" fillId="0" borderId="12" xfId="0" applyFont="1" applyBorder="1">
      <alignment vertical="center"/>
    </xf>
    <xf numFmtId="0" fontId="30" fillId="11" borderId="31" xfId="0" applyFont="1" applyFill="1" applyBorder="1">
      <alignment vertical="center"/>
    </xf>
    <xf numFmtId="0" fontId="30" fillId="11" borderId="32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40" fillId="0" borderId="0" xfId="0" applyFont="1" applyAlignment="1">
      <alignment horizontal="left" vertical="center"/>
    </xf>
    <xf numFmtId="0" fontId="12" fillId="0" borderId="0" xfId="0" applyFont="1" applyFill="1" applyAlignment="1"/>
    <xf numFmtId="0" fontId="6" fillId="0" borderId="0" xfId="0" applyFont="1" applyFill="1" applyAlignment="1"/>
    <xf numFmtId="0" fontId="34" fillId="0" borderId="33" xfId="0" applyFont="1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/>
    </xf>
    <xf numFmtId="0" fontId="32" fillId="0" borderId="13" xfId="0" applyFont="1" applyBorder="1" applyAlignment="1">
      <alignment horizontal="center"/>
    </xf>
    <xf numFmtId="0" fontId="30" fillId="0" borderId="0" xfId="0" applyFont="1" applyBorder="1" applyAlignment="1">
      <alignment horizontal="center" vertical="center"/>
    </xf>
    <xf numFmtId="0" fontId="35" fillId="4" borderId="14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30" fillId="0" borderId="0" xfId="0" applyFont="1" applyBorder="1">
      <alignment vertical="center"/>
    </xf>
    <xf numFmtId="0" fontId="36" fillId="0" borderId="14" xfId="0" applyFont="1" applyFill="1" applyBorder="1" applyAlignment="1">
      <alignment horizontal="right" vertical="center"/>
    </xf>
    <xf numFmtId="0" fontId="22" fillId="0" borderId="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/>
    </xf>
    <xf numFmtId="177" fontId="24" fillId="0" borderId="34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0" borderId="34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/>
    </xf>
    <xf numFmtId="0" fontId="24" fillId="0" borderId="26" xfId="0" applyFont="1" applyBorder="1" applyAlignment="1">
      <alignment horizontal="center" vertical="center"/>
    </xf>
    <xf numFmtId="0" fontId="24" fillId="8" borderId="36" xfId="0" applyFont="1" applyFill="1" applyBorder="1" applyAlignment="1">
      <alignment horizontal="center" vertical="center"/>
    </xf>
    <xf numFmtId="0" fontId="24" fillId="8" borderId="26" xfId="0" applyFont="1" applyFill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4" fillId="7" borderId="18" xfId="0" applyFont="1" applyFill="1" applyBorder="1" applyAlignment="1">
      <alignment horizontal="center" vertical="center"/>
    </xf>
    <xf numFmtId="0" fontId="26" fillId="7" borderId="18" xfId="0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177" fontId="24" fillId="0" borderId="8" xfId="0" applyNumberFormat="1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8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8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8" borderId="24" xfId="0" applyFont="1" applyFill="1" applyBorder="1" applyAlignment="1">
      <alignment horizontal="center" vertical="center"/>
    </xf>
    <xf numFmtId="0" fontId="24" fillId="7" borderId="2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0" fillId="0" borderId="17" xfId="0" applyFont="1" applyFill="1" applyBorder="1" applyAlignment="1">
      <alignment horizontal="left" vertical="center"/>
    </xf>
    <xf numFmtId="0" fontId="28" fillId="0" borderId="37" xfId="0" applyFont="1" applyFill="1" applyBorder="1" applyAlignment="1">
      <alignment horizontal="center" vertical="center"/>
    </xf>
    <xf numFmtId="0" fontId="39" fillId="0" borderId="33" xfId="0" applyFont="1" applyFill="1" applyBorder="1" applyAlignment="1">
      <alignment horizontal="center" vertical="center"/>
    </xf>
    <xf numFmtId="0" fontId="35" fillId="0" borderId="16" xfId="0" applyFont="1" applyFill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0" fontId="37" fillId="0" borderId="16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274320</xdr:colOff>
          <xdr:row>0</xdr:row>
          <xdr:rowOff>45720</xdr:rowOff>
        </xdr:from>
        <xdr:to>
          <xdr:col>39</xdr:col>
          <xdr:colOff>1828800</xdr:colOff>
          <xdr:row>1</xdr:row>
          <xdr:rowOff>198120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activeCell="B1" sqref="A1:B1048576"/>
    </sheetView>
  </sheetViews>
  <sheetFormatPr defaultRowHeight="18"/>
  <cols>
    <col min="1" max="1" width="16.69921875" style="29" customWidth="1"/>
    <col min="5" max="5" width="21.69921875" style="29" customWidth="1"/>
  </cols>
  <sheetData>
    <row r="1" spans="1:6">
      <c r="A1"/>
      <c r="E1" t="s">
        <v>1</v>
      </c>
      <c r="F1">
        <v>24</v>
      </c>
    </row>
    <row r="2" spans="1:6">
      <c r="A2"/>
      <c r="E2" t="s">
        <v>3</v>
      </c>
      <c r="F2">
        <v>24</v>
      </c>
    </row>
    <row r="3" spans="1:6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>
      <c r="A4"/>
      <c r="E4" t="str">
        <f t="shared" si="0"/>
        <v/>
      </c>
      <c r="F4" t="str">
        <f t="shared" si="1"/>
        <v/>
      </c>
    </row>
    <row r="5" spans="1:6">
      <c r="A5"/>
      <c r="E5" t="str">
        <f t="shared" si="0"/>
        <v/>
      </c>
      <c r="F5" t="str">
        <f t="shared" si="1"/>
        <v/>
      </c>
    </row>
    <row r="6" spans="1:6">
      <c r="A6"/>
      <c r="E6" t="str">
        <f t="shared" si="0"/>
        <v/>
      </c>
      <c r="F6" t="str">
        <f t="shared" si="1"/>
        <v/>
      </c>
    </row>
    <row r="7" spans="1:6">
      <c r="A7"/>
      <c r="E7" t="str">
        <f t="shared" si="0"/>
        <v/>
      </c>
      <c r="F7" t="str">
        <f t="shared" si="1"/>
        <v/>
      </c>
    </row>
    <row r="8" spans="1:6">
      <c r="A8"/>
      <c r="E8" t="str">
        <f t="shared" si="0"/>
        <v/>
      </c>
      <c r="F8" t="str">
        <f t="shared" si="1"/>
        <v/>
      </c>
    </row>
    <row r="9" spans="1:6">
      <c r="E9" t="str">
        <f t="shared" si="0"/>
        <v/>
      </c>
      <c r="F9" t="str">
        <f t="shared" si="1"/>
        <v/>
      </c>
    </row>
    <row r="10" spans="1:6">
      <c r="E10" t="str">
        <f t="shared" si="0"/>
        <v/>
      </c>
      <c r="F10" t="str">
        <f t="shared" si="1"/>
        <v/>
      </c>
    </row>
    <row r="11" spans="1:6">
      <c r="E11" t="str">
        <f t="shared" si="0"/>
        <v/>
      </c>
      <c r="F11" t="str">
        <f t="shared" si="1"/>
        <v/>
      </c>
    </row>
    <row r="12" spans="1:6">
      <c r="E12" t="str">
        <f t="shared" si="0"/>
        <v/>
      </c>
      <c r="F12" t="str">
        <f t="shared" si="1"/>
        <v/>
      </c>
    </row>
    <row r="13" spans="1:6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1" sqref="A1:G1048576"/>
    </sheetView>
  </sheetViews>
  <sheetFormatPr defaultRowHeight="18"/>
  <cols>
    <col min="1" max="1" width="28.59765625" style="29" customWidth="1"/>
    <col min="8" max="8" width="3.19921875" style="85" customWidth="1"/>
    <col min="9" max="9" width="5.59765625" style="29" customWidth="1"/>
    <col min="10" max="15" width="14.796875" style="29" customWidth="1"/>
    <col min="16" max="21" width="4" style="29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96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86" customFormat="1">
      <c r="H70" s="85"/>
      <c r="I70" s="86">
        <f t="shared" si="15"/>
        <v>145</v>
      </c>
      <c r="J70" s="8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8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8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8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8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8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86" t="str">
        <f t="shared" ca="1" si="16"/>
        <v/>
      </c>
      <c r="Q70" s="86" t="str">
        <f t="shared" ca="1" si="17"/>
        <v/>
      </c>
      <c r="R70" s="86" t="str">
        <f t="shared" ca="1" si="18"/>
        <v/>
      </c>
      <c r="S70" s="86" t="str">
        <f t="shared" ca="1" si="19"/>
        <v/>
      </c>
      <c r="T70" s="86" t="str">
        <f t="shared" ca="1" si="20"/>
        <v/>
      </c>
      <c r="U70" s="86" t="str">
        <f t="shared" ca="1" si="21"/>
        <v/>
      </c>
      <c r="V70" s="86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V88" sqref="V88"/>
    </sheetView>
  </sheetViews>
  <sheetFormatPr defaultRowHeight="18"/>
  <cols>
    <col min="1" max="1" width="26.69921875" style="29" customWidth="1"/>
    <col min="2" max="11" width="8.796875" style="28" customWidth="1"/>
    <col min="12" max="20" width="11.3984375" style="30" customWidth="1"/>
    <col min="21" max="21" width="11.3984375" style="30" hidden="1" customWidth="1"/>
    <col min="22" max="22" width="32.796875" style="62" customWidth="1"/>
    <col min="23" max="23" width="27.69921875" style="2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7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10</v>
      </c>
      <c r="J2" s="16"/>
      <c r="K2" s="16" t="s">
        <v>11</v>
      </c>
      <c r="L2" s="16"/>
      <c r="M2" s="16" t="s">
        <v>10</v>
      </c>
      <c r="N2" s="10"/>
      <c r="O2"/>
      <c r="P2"/>
      <c r="Q2"/>
      <c r="R2" t="s">
        <v>12</v>
      </c>
      <c r="S2"/>
      <c r="T2" t="s">
        <v>13</v>
      </c>
      <c r="U2" t="s">
        <v>13</v>
      </c>
      <c r="V2" s="58" t="str">
        <f>貼り付け用!T2&amp;"　"&amp;貼り付け用!U2&amp;"　"&amp;貼り付け用!V2&amp;"　"&amp;貼り付け用!W2</f>
        <v>　　　</v>
      </c>
    </row>
    <row r="3" spans="1:23">
      <c r="A3" s="4"/>
      <c r="B3" s="105" t="s">
        <v>1</v>
      </c>
      <c r="C3" s="23" t="s">
        <v>1</v>
      </c>
      <c r="D3" s="105" t="s">
        <v>3</v>
      </c>
      <c r="E3" s="24" t="s">
        <v>3</v>
      </c>
      <c r="F3" s="23" t="s">
        <v>3</v>
      </c>
      <c r="G3" s="105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6">
        <f>IF(COUNTIF(注文弁当の抽出!A2,"*おやつ*"),"",注文弁当の抽出!A2)</f>
        <v>0</v>
      </c>
      <c r="M3" s="56">
        <f>IF(L3&lt;&gt;"",IF(COUNTIF(注文弁当の抽出!A3,"*おやつ*"),"",注文弁当の抽出!A3),"")</f>
        <v>0</v>
      </c>
      <c r="N3" s="56">
        <f>IF(M3&lt;&gt;"",IF(COUNTIF(注文弁当の抽出!A4,"*おやつ*"),"",注文弁当の抽出!A4),"")</f>
        <v>0</v>
      </c>
      <c r="O3" s="56">
        <f>IF(N3&lt;&gt;"",IF(COUNTIF(注文弁当の抽出!A5,"*おやつ*"),"",注文弁当の抽出!A5),"")</f>
        <v>0</v>
      </c>
      <c r="P3" s="56">
        <f>IF(O3&lt;&gt;"",IF(COUNTIF(注文弁当の抽出!A6,"*おやつ*"),"",注文弁当の抽出!A6),"")</f>
        <v>0</v>
      </c>
      <c r="Q3" s="56">
        <f>IF(P3&lt;&gt;"",IF(COUNTIF(注文弁当の抽出!A7,"*おやつ*"),"",注文弁当の抽出!A7),"")</f>
        <v>0</v>
      </c>
      <c r="R3" s="56">
        <f>IF(Q3&lt;&gt;"",IF(COUNTIF(注文弁当の抽出!A8,"*おやつ*"),"",注文弁当の抽出!A8),"")</f>
        <v>0</v>
      </c>
      <c r="S3" s="56">
        <f>IF(R3&lt;&gt;"",IF(COUNTIF(注文弁当の抽出!A9,"*おやつ*"),"",注文弁当の抽出!A9),"")</f>
        <v>0</v>
      </c>
      <c r="T3" s="53" t="s">
        <v>15</v>
      </c>
      <c r="U3" s="15"/>
      <c r="V3" s="59"/>
      <c r="W3" s="6"/>
    </row>
    <row r="4" spans="1:23">
      <c r="A4" s="2" t="s">
        <v>16</v>
      </c>
      <c r="B4" s="13" t="s">
        <v>17</v>
      </c>
      <c r="C4" s="13" t="s">
        <v>17</v>
      </c>
      <c r="D4" s="13" t="s">
        <v>17</v>
      </c>
      <c r="E4" s="13" t="s">
        <v>18</v>
      </c>
      <c r="F4" s="13" t="s">
        <v>19</v>
      </c>
      <c r="G4" s="13" t="s">
        <v>17</v>
      </c>
      <c r="H4" s="13" t="s">
        <v>17</v>
      </c>
      <c r="I4" s="13" t="s">
        <v>18</v>
      </c>
      <c r="J4" s="13" t="s">
        <v>18</v>
      </c>
      <c r="K4" s="13" t="s">
        <v>19</v>
      </c>
      <c r="L4" s="53"/>
      <c r="M4" s="53"/>
      <c r="N4" s="53"/>
      <c r="O4" s="53"/>
      <c r="P4" s="53"/>
      <c r="Q4" s="53"/>
      <c r="R4" s="53"/>
      <c r="S4" s="53"/>
      <c r="T4" s="53"/>
      <c r="U4" s="19"/>
      <c r="V4" s="60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20</v>
      </c>
      <c r="F5" s="13"/>
      <c r="G5" s="13">
        <v>120</v>
      </c>
      <c r="H5" s="13">
        <v>100</v>
      </c>
      <c r="I5" s="13" t="s">
        <v>20</v>
      </c>
      <c r="J5" s="13" t="s">
        <v>21</v>
      </c>
      <c r="K5" s="13"/>
      <c r="L5" s="53"/>
      <c r="M5" s="53"/>
      <c r="N5" s="53"/>
      <c r="O5" s="53"/>
      <c r="P5" s="53"/>
      <c r="Q5" s="53"/>
      <c r="R5" s="53"/>
      <c r="S5" s="53"/>
      <c r="T5" s="53"/>
      <c r="U5" s="20"/>
      <c r="V5" s="60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61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61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IF($A8&lt;&gt;"",IF(VLOOKUP($A8,貼り付け用!$A$1:$BA$300,COLUMN(),FALSE)=0,"",VLOOKUP($A8,貼り付け用!$A$1:$BA$300,COLUMN(),FALSE)),"")</f>
        <v>#N/A</v>
      </c>
      <c r="C8" s="14" t="e">
        <f ca="1">IF($A8&lt;&gt;"",IF(VLOOKUP($A8,貼り付け用!$A$1:$BA$300,COLUMN(),FALSE)=0,"",VLOOKUP($A8,貼り付け用!$A$1:$BA$300,COLUMN(),FALSE)),"")</f>
        <v>#N/A</v>
      </c>
      <c r="D8" s="14" t="e">
        <f ca="1">IF($A8&lt;&gt;"",IF(VLOOKUP($A8,貼り付け用!$A$1:$BA$300,COLUMN(),FALSE)=0,"",VLOOKUP($A8,貼り付け用!$A$1:$BA$300,COLUMN(),FALSE)),"")</f>
        <v>#N/A</v>
      </c>
      <c r="E8" s="14" t="e">
        <f ca="1">IF($A8&lt;&gt;"",IF(VLOOKUP($A8,貼り付け用!$A$1:$BA$300,COLUMN(),FALSE)=0,"",VLOOKUP($A8,貼り付け用!$A$1:$BA$300,COLUMN(),FALSE)),"")</f>
        <v>#N/A</v>
      </c>
      <c r="F8" s="14" t="e">
        <f ca="1">IF($A8&lt;&gt;"",IF(VLOOKUP($A8,貼り付け用!$A$1:$BA$300,COLUMN(),FALSE)=0,"",VLOOKUP($A8,貼り付け用!$A$1:$BA$300,COLUMN(),FALSE)),"")</f>
        <v>#N/A</v>
      </c>
      <c r="G8" s="14" t="e">
        <f ca="1">IF($A8&lt;&gt;"",IF(VLOOKUP($A8,貼り付け用!$A$1:$BA$300,COLUMN(),FALSE)=0,"",VLOOKUP($A8,貼り付け用!$A$1:$BA$300,COLUMN(),FALSE)),"")</f>
        <v>#N/A</v>
      </c>
      <c r="H8" s="14" t="e">
        <f ca="1">IF($A8&lt;&gt;"",IF(VLOOKUP($A8,貼り付け用!$A$1:$BA$300,COLUMN(),FALSE)=0,"",VLOOKUP($A8,貼り付け用!$A$1:$BA$300,COLUMN(),FALSE)),"")</f>
        <v>#N/A</v>
      </c>
      <c r="I8" s="14" t="e">
        <f ca="1">IF($A8&lt;&gt;"",IF(VLOOKUP($A8,貼り付け用!$A$1:$BA$300,COLUMN(),FALSE)=0,"",VLOOKUP($A8,貼り付け用!$A$1:$BA$300,COLUMN(),FALSE)),"")</f>
        <v>#N/A</v>
      </c>
      <c r="J8" s="14" t="e">
        <f ca="1">IF($A8&lt;&gt;"",IF(VLOOKUP($A8,貼り付け用!$A$1:$BA$300,COLUMN(),FALSE)=0,"",VLOOKUP($A8,貼り付け用!$A$1:$BA$300,COLUMN(),FALSE)),"")</f>
        <v>#N/A</v>
      </c>
      <c r="K8" s="14" t="e">
        <f ca="1">IF($A8&lt;&gt;"",IF(VLOOKUP($A8,貼り付け用!$A$1:$BA$300,COLUMN(),FALSE)=0,"",VLOOKUP($A8,貼り付け用!$A$1:$BA$300,COLUMN(),FALSE)),"")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61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IF($A9&lt;&gt;"",IF(VLOOKUP($A9,貼り付け用!$A$1:$BA$300,COLUMN(),FALSE)=0,"",VLOOKUP($A9,貼り付け用!$A$1:$BA$300,COLUMN(),FALSE)),"")</f>
        <v>#N/A</v>
      </c>
      <c r="C9" s="3" t="e">
        <f ca="1">IF($A9&lt;&gt;"",IF(VLOOKUP($A9,貼り付け用!$A$1:$BA$300,COLUMN(),FALSE)=0,"",VLOOKUP($A9,貼り付け用!$A$1:$BA$300,COLUMN(),FALSE)),"")</f>
        <v>#N/A</v>
      </c>
      <c r="D9" s="3" t="e">
        <f ca="1">IF($A9&lt;&gt;"",IF(VLOOKUP($A9,貼り付け用!$A$1:$BA$300,COLUMN(),FALSE)=0,"",VLOOKUP($A9,貼り付け用!$A$1:$BA$300,COLUMN(),FALSE)),"")</f>
        <v>#N/A</v>
      </c>
      <c r="E9" s="3" t="e">
        <f ca="1">IF($A9&lt;&gt;"",IF(VLOOKUP($A9,貼り付け用!$A$1:$BA$300,COLUMN(),FALSE)=0,"",VLOOKUP($A9,貼り付け用!$A$1:$BA$300,COLUMN(),FALSE)),"")</f>
        <v>#N/A</v>
      </c>
      <c r="F9" s="3" t="e">
        <f ca="1">IF($A9&lt;&gt;"",IF(VLOOKUP($A9,貼り付け用!$A$1:$BA$300,COLUMN(),FALSE)=0,"",VLOOKUP($A9,貼り付け用!$A$1:$BA$300,COLUMN(),FALSE)),"")</f>
        <v>#N/A</v>
      </c>
      <c r="G9" s="3" t="e">
        <f ca="1">IF($A9&lt;&gt;"",IF(VLOOKUP($A9,貼り付け用!$A$1:$BA$300,COLUMN(),FALSE)=0,"",VLOOKUP($A9,貼り付け用!$A$1:$BA$300,COLUMN(),FALSE)),"")</f>
        <v>#N/A</v>
      </c>
      <c r="H9" s="3" t="e">
        <f ca="1">IF($A9&lt;&gt;"",IF(VLOOKUP($A9,貼り付け用!$A$1:$BA$300,COLUMN(),FALSE)=0,"",VLOOKUP($A9,貼り付け用!$A$1:$BA$300,COLUMN(),FALSE)),"")</f>
        <v>#N/A</v>
      </c>
      <c r="I9" s="3" t="e">
        <f ca="1">IF($A9&lt;&gt;"",IF(VLOOKUP($A9,貼り付け用!$A$1:$BA$300,COLUMN(),FALSE)=0,"",VLOOKUP($A9,貼り付け用!$A$1:$BA$300,COLUMN(),FALSE)),"")</f>
        <v>#N/A</v>
      </c>
      <c r="J9" s="3" t="e">
        <f ca="1">IF($A9&lt;&gt;"",IF(VLOOKUP($A9,貼り付け用!$A$1:$BA$300,COLUMN(),FALSE)=0,"",VLOOKUP($A9,貼り付け用!$A$1:$BA$300,COLUMN(),FALSE)),"")</f>
        <v>#N/A</v>
      </c>
      <c r="K9" s="3" t="e">
        <f ca="1">IF($A9&lt;&gt;"",IF(VLOOKUP($A9,貼り付け用!$A$1:$BA$300,COLUMN(),FALSE)=0,"",VLOOKUP($A9,貼り付け用!$A$1:$BA$300,COLUMN(),FALSE)),"")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61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IF($A10&lt;&gt;"",IF(VLOOKUP($A10,貼り付け用!$A$1:$BA$300,COLUMN(),FALSE)=0,"",VLOOKUP($A10,貼り付け用!$A$1:$BA$300,COLUMN(),FALSE)),"")</f>
        <v>#N/A</v>
      </c>
      <c r="C10" s="14" t="e">
        <f ca="1">IF($A10&lt;&gt;"",IF(VLOOKUP($A10,貼り付け用!$A$1:$BA$300,COLUMN(),FALSE)=0,"",VLOOKUP($A10,貼り付け用!$A$1:$BA$300,COLUMN(),FALSE)),"")</f>
        <v>#N/A</v>
      </c>
      <c r="D10" s="14" t="e">
        <f ca="1">IF($A10&lt;&gt;"",IF(VLOOKUP($A10,貼り付け用!$A$1:$BA$300,COLUMN(),FALSE)=0,"",VLOOKUP($A10,貼り付け用!$A$1:$BA$300,COLUMN(),FALSE)),"")</f>
        <v>#N/A</v>
      </c>
      <c r="E10" s="14" t="e">
        <f ca="1">IF($A10&lt;&gt;"",IF(VLOOKUP($A10,貼り付け用!$A$1:$BA$300,COLUMN(),FALSE)=0,"",VLOOKUP($A10,貼り付け用!$A$1:$BA$300,COLUMN(),FALSE)),"")</f>
        <v>#N/A</v>
      </c>
      <c r="F10" s="14" t="e">
        <f ca="1">IF($A10&lt;&gt;"",IF(VLOOKUP($A10,貼り付け用!$A$1:$BA$300,COLUMN(),FALSE)=0,"",VLOOKUP($A10,貼り付け用!$A$1:$BA$300,COLUMN(),FALSE)),"")</f>
        <v>#N/A</v>
      </c>
      <c r="G10" s="14" t="e">
        <f ca="1">IF($A10&lt;&gt;"",IF(VLOOKUP($A10,貼り付け用!$A$1:$BA$300,COLUMN(),FALSE)=0,"",VLOOKUP($A10,貼り付け用!$A$1:$BA$300,COLUMN(),FALSE)),"")</f>
        <v>#N/A</v>
      </c>
      <c r="H10" s="14" t="e">
        <f ca="1">IF($A10&lt;&gt;"",IF(VLOOKUP($A10,貼り付け用!$A$1:$BA$300,COLUMN(),FALSE)=0,"",VLOOKUP($A10,貼り付け用!$A$1:$BA$300,COLUMN(),FALSE)),"")</f>
        <v>#N/A</v>
      </c>
      <c r="I10" s="14" t="e">
        <f ca="1">IF($A10&lt;&gt;"",IF(VLOOKUP($A10,貼り付け用!$A$1:$BA$300,COLUMN(),FALSE)=0,"",VLOOKUP($A10,貼り付け用!$A$1:$BA$300,COLUMN(),FALSE)),"")</f>
        <v>#N/A</v>
      </c>
      <c r="J10" s="14" t="e">
        <f ca="1">IF($A10&lt;&gt;"",IF(VLOOKUP($A10,貼り付け用!$A$1:$BA$300,COLUMN(),FALSE)=0,"",VLOOKUP($A10,貼り付け用!$A$1:$BA$300,COLUMN(),FALSE)),"")</f>
        <v>#N/A</v>
      </c>
      <c r="K10" s="14" t="e">
        <f ca="1">IF($A10&lt;&gt;"",IF(VLOOKUP($A10,貼り付け用!$A$1:$BA$300,COLUMN(),FALSE)=0,"",VLOOKUP($A10,貼り付け用!$A$1:$BA$300,COLUMN(),FALSE)),"")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61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IF($A11&lt;&gt;"",IF(VLOOKUP($A11,貼り付け用!$A$1:$BA$300,COLUMN(),FALSE)=0,"",VLOOKUP($A11,貼り付け用!$A$1:$BA$300,COLUMN(),FALSE)),"")</f>
        <v>#N/A</v>
      </c>
      <c r="C11" s="3" t="e">
        <f ca="1">IF($A11&lt;&gt;"",IF(VLOOKUP($A11,貼り付け用!$A$1:$BA$300,COLUMN(),FALSE)=0,"",VLOOKUP($A11,貼り付け用!$A$1:$BA$300,COLUMN(),FALSE)),"")</f>
        <v>#N/A</v>
      </c>
      <c r="D11" s="3" t="e">
        <f ca="1">IF($A11&lt;&gt;"",IF(VLOOKUP($A11,貼り付け用!$A$1:$BA$300,COLUMN(),FALSE)=0,"",VLOOKUP($A11,貼り付け用!$A$1:$BA$300,COLUMN(),FALSE)),"")</f>
        <v>#N/A</v>
      </c>
      <c r="E11" s="3" t="e">
        <f ca="1">IF($A11&lt;&gt;"",IF(VLOOKUP($A11,貼り付け用!$A$1:$BA$300,COLUMN(),FALSE)=0,"",VLOOKUP($A11,貼り付け用!$A$1:$BA$300,COLUMN(),FALSE)),"")</f>
        <v>#N/A</v>
      </c>
      <c r="F11" s="3" t="e">
        <f ca="1">IF($A11&lt;&gt;"",IF(VLOOKUP($A11,貼り付け用!$A$1:$BA$300,COLUMN(),FALSE)=0,"",VLOOKUP($A11,貼り付け用!$A$1:$BA$300,COLUMN(),FALSE)),"")</f>
        <v>#N/A</v>
      </c>
      <c r="G11" s="3" t="e">
        <f ca="1">IF($A11&lt;&gt;"",IF(VLOOKUP($A11,貼り付け用!$A$1:$BA$300,COLUMN(),FALSE)=0,"",VLOOKUP($A11,貼り付け用!$A$1:$BA$300,COLUMN(),FALSE)),"")</f>
        <v>#N/A</v>
      </c>
      <c r="H11" s="3" t="e">
        <f ca="1">IF($A11&lt;&gt;"",IF(VLOOKUP($A11,貼り付け用!$A$1:$BA$300,COLUMN(),FALSE)=0,"",VLOOKUP($A11,貼り付け用!$A$1:$BA$300,COLUMN(),FALSE)),"")</f>
        <v>#N/A</v>
      </c>
      <c r="I11" s="3" t="e">
        <f ca="1">IF($A11&lt;&gt;"",IF(VLOOKUP($A11,貼り付け用!$A$1:$BA$300,COLUMN(),FALSE)=0,"",VLOOKUP($A11,貼り付け用!$A$1:$BA$300,COLUMN(),FALSE)),"")</f>
        <v>#N/A</v>
      </c>
      <c r="J11" s="3" t="e">
        <f ca="1">IF($A11&lt;&gt;"",IF(VLOOKUP($A11,貼り付け用!$A$1:$BA$300,COLUMN(),FALSE)=0,"",VLOOKUP($A11,貼り付け用!$A$1:$BA$300,COLUMN(),FALSE)),"")</f>
        <v>#N/A</v>
      </c>
      <c r="K11" s="3" t="e">
        <f ca="1">IF($A11&lt;&gt;"",IF(VLOOKUP($A11,貼り付け用!$A$1:$BA$300,COLUMN(),FALSE)=0,"",VLOOKUP($A11,貼り付け用!$A$1:$BA$300,COLUMN(),FALSE)),"")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61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IF($A12&lt;&gt;"",IF(VLOOKUP($A12,貼り付け用!$A$1:$BA$300,COLUMN(),FALSE)=0,"",VLOOKUP($A12,貼り付け用!$A$1:$BA$300,COLUMN(),FALSE)),"")</f>
        <v>#N/A</v>
      </c>
      <c r="C12" s="14" t="e">
        <f ca="1">IF($A12&lt;&gt;"",IF(VLOOKUP($A12,貼り付け用!$A$1:$BA$300,COLUMN(),FALSE)=0,"",VLOOKUP($A12,貼り付け用!$A$1:$BA$300,COLUMN(),FALSE)),"")</f>
        <v>#N/A</v>
      </c>
      <c r="D12" s="14" t="e">
        <f ca="1">IF($A12&lt;&gt;"",IF(VLOOKUP($A12,貼り付け用!$A$1:$BA$300,COLUMN(),FALSE)=0,"",VLOOKUP($A12,貼り付け用!$A$1:$BA$300,COLUMN(),FALSE)),"")</f>
        <v>#N/A</v>
      </c>
      <c r="E12" s="14" t="e">
        <f ca="1">IF($A12&lt;&gt;"",IF(VLOOKUP($A12,貼り付け用!$A$1:$BA$300,COLUMN(),FALSE)=0,"",VLOOKUP($A12,貼り付け用!$A$1:$BA$300,COLUMN(),FALSE)),"")</f>
        <v>#N/A</v>
      </c>
      <c r="F12" s="14" t="e">
        <f ca="1">IF($A12&lt;&gt;"",IF(VLOOKUP($A12,貼り付け用!$A$1:$BA$300,COLUMN(),FALSE)=0,"",VLOOKUP($A12,貼り付け用!$A$1:$BA$300,COLUMN(),FALSE)),"")</f>
        <v>#N/A</v>
      </c>
      <c r="G12" s="14" t="e">
        <f ca="1">IF($A12&lt;&gt;"",IF(VLOOKUP($A12,貼り付け用!$A$1:$BA$300,COLUMN(),FALSE)=0,"",VLOOKUP($A12,貼り付け用!$A$1:$BA$300,COLUMN(),FALSE)),"")</f>
        <v>#N/A</v>
      </c>
      <c r="H12" s="14" t="e">
        <f ca="1">IF($A12&lt;&gt;"",IF(VLOOKUP($A12,貼り付け用!$A$1:$BA$300,COLUMN(),FALSE)=0,"",VLOOKUP($A12,貼り付け用!$A$1:$BA$300,COLUMN(),FALSE)),"")</f>
        <v>#N/A</v>
      </c>
      <c r="I12" s="14" t="e">
        <f ca="1">IF($A12&lt;&gt;"",IF(VLOOKUP($A12,貼り付け用!$A$1:$BA$300,COLUMN(),FALSE)=0,"",VLOOKUP($A12,貼り付け用!$A$1:$BA$300,COLUMN(),FALSE)),"")</f>
        <v>#N/A</v>
      </c>
      <c r="J12" s="14" t="e">
        <f ca="1">IF($A12&lt;&gt;"",IF(VLOOKUP($A12,貼り付け用!$A$1:$BA$300,COLUMN(),FALSE)=0,"",VLOOKUP($A12,貼り付け用!$A$1:$BA$300,COLUMN(),FALSE)),"")</f>
        <v>#N/A</v>
      </c>
      <c r="K12" s="14" t="e">
        <f ca="1">IF($A12&lt;&gt;"",IF(VLOOKUP($A12,貼り付け用!$A$1:$BA$300,COLUMN(),FALSE)=0,"",VLOOKUP($A12,貼り付け用!$A$1:$BA$300,COLUMN(),FALSE)),"")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61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IF($A13&lt;&gt;"",IF(VLOOKUP($A13,貼り付け用!$A$1:$BA$300,COLUMN(),FALSE)=0,"",VLOOKUP($A13,貼り付け用!$A$1:$BA$300,COLUMN(),FALSE)),"")</f>
        <v>#N/A</v>
      </c>
      <c r="C13" s="3" t="e">
        <f ca="1">IF($A13&lt;&gt;"",IF(VLOOKUP($A13,貼り付け用!$A$1:$BA$300,COLUMN(),FALSE)=0,"",VLOOKUP($A13,貼り付け用!$A$1:$BA$300,COLUMN(),FALSE)),"")</f>
        <v>#N/A</v>
      </c>
      <c r="D13" s="3" t="e">
        <f ca="1">IF($A13&lt;&gt;"",IF(VLOOKUP($A13,貼り付け用!$A$1:$BA$300,COLUMN(),FALSE)=0,"",VLOOKUP($A13,貼り付け用!$A$1:$BA$300,COLUMN(),FALSE)),"")</f>
        <v>#N/A</v>
      </c>
      <c r="E13" s="3" t="e">
        <f ca="1">IF($A13&lt;&gt;"",IF(VLOOKUP($A13,貼り付け用!$A$1:$BA$300,COLUMN(),FALSE)=0,"",VLOOKUP($A13,貼り付け用!$A$1:$BA$300,COLUMN(),FALSE)),"")</f>
        <v>#N/A</v>
      </c>
      <c r="F13" s="3" t="e">
        <f ca="1">IF($A13&lt;&gt;"",IF(VLOOKUP($A13,貼り付け用!$A$1:$BA$300,COLUMN(),FALSE)=0,"",VLOOKUP($A13,貼り付け用!$A$1:$BA$300,COLUMN(),FALSE)),"")</f>
        <v>#N/A</v>
      </c>
      <c r="G13" s="3" t="e">
        <f ca="1">IF($A13&lt;&gt;"",IF(VLOOKUP($A13,貼り付け用!$A$1:$BA$300,COLUMN(),FALSE)=0,"",VLOOKUP($A13,貼り付け用!$A$1:$BA$300,COLUMN(),FALSE)),"")</f>
        <v>#N/A</v>
      </c>
      <c r="H13" s="3" t="e">
        <f ca="1">IF($A13&lt;&gt;"",IF(VLOOKUP($A13,貼り付け用!$A$1:$BA$300,COLUMN(),FALSE)=0,"",VLOOKUP($A13,貼り付け用!$A$1:$BA$300,COLUMN(),FALSE)),"")</f>
        <v>#N/A</v>
      </c>
      <c r="I13" s="3" t="e">
        <f ca="1">IF($A13&lt;&gt;"",IF(VLOOKUP($A13,貼り付け用!$A$1:$BA$300,COLUMN(),FALSE)=0,"",VLOOKUP($A13,貼り付け用!$A$1:$BA$300,COLUMN(),FALSE)),"")</f>
        <v>#N/A</v>
      </c>
      <c r="J13" s="3" t="e">
        <f ca="1">IF($A13&lt;&gt;"",IF(VLOOKUP($A13,貼り付け用!$A$1:$BA$300,COLUMN(),FALSE)=0,"",VLOOKUP($A13,貼り付け用!$A$1:$BA$300,COLUMN(),FALSE)),"")</f>
        <v>#N/A</v>
      </c>
      <c r="K13" s="3" t="e">
        <f ca="1">IF($A13&lt;&gt;"",IF(VLOOKUP($A13,貼り付け用!$A$1:$BA$300,COLUMN(),FALSE)=0,"",VLOOKUP($A13,貼り付け用!$A$1:$BA$300,COLUMN(),FALSE)),"")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61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IF($A14&lt;&gt;"",IF(VLOOKUP($A14,貼り付け用!$A$1:$BA$300,COLUMN(),FALSE)=0,"",VLOOKUP($A14,貼り付け用!$A$1:$BA$300,COLUMN(),FALSE)),"")</f>
        <v>#N/A</v>
      </c>
      <c r="C14" s="14" t="e">
        <f ca="1">IF($A14&lt;&gt;"",IF(VLOOKUP($A14,貼り付け用!$A$1:$BA$300,COLUMN(),FALSE)=0,"",VLOOKUP($A14,貼り付け用!$A$1:$BA$300,COLUMN(),FALSE)),"")</f>
        <v>#N/A</v>
      </c>
      <c r="D14" s="14" t="e">
        <f ca="1">IF($A14&lt;&gt;"",IF(VLOOKUP($A14,貼り付け用!$A$1:$BA$300,COLUMN(),FALSE)=0,"",VLOOKUP($A14,貼り付け用!$A$1:$BA$300,COLUMN(),FALSE)),"")</f>
        <v>#N/A</v>
      </c>
      <c r="E14" s="14" t="e">
        <f ca="1">IF($A14&lt;&gt;"",IF(VLOOKUP($A14,貼り付け用!$A$1:$BA$300,COLUMN(),FALSE)=0,"",VLOOKUP($A14,貼り付け用!$A$1:$BA$300,COLUMN(),FALSE)),"")</f>
        <v>#N/A</v>
      </c>
      <c r="F14" s="14" t="e">
        <f ca="1">IF($A14&lt;&gt;"",IF(VLOOKUP($A14,貼り付け用!$A$1:$BA$300,COLUMN(),FALSE)=0,"",VLOOKUP($A14,貼り付け用!$A$1:$BA$300,COLUMN(),FALSE)),"")</f>
        <v>#N/A</v>
      </c>
      <c r="G14" s="14" t="e">
        <f ca="1">IF($A14&lt;&gt;"",IF(VLOOKUP($A14,貼り付け用!$A$1:$BA$300,COLUMN(),FALSE)=0,"",VLOOKUP($A14,貼り付け用!$A$1:$BA$300,COLUMN(),FALSE)),"")</f>
        <v>#N/A</v>
      </c>
      <c r="H14" s="14" t="e">
        <f ca="1">IF($A14&lt;&gt;"",IF(VLOOKUP($A14,貼り付け用!$A$1:$BA$300,COLUMN(),FALSE)=0,"",VLOOKUP($A14,貼り付け用!$A$1:$BA$300,COLUMN(),FALSE)),"")</f>
        <v>#N/A</v>
      </c>
      <c r="I14" s="14" t="e">
        <f ca="1">IF($A14&lt;&gt;"",IF(VLOOKUP($A14,貼り付け用!$A$1:$BA$300,COLUMN(),FALSE)=0,"",VLOOKUP($A14,貼り付け用!$A$1:$BA$300,COLUMN(),FALSE)),"")</f>
        <v>#N/A</v>
      </c>
      <c r="J14" s="14" t="e">
        <f ca="1">IF($A14&lt;&gt;"",IF(VLOOKUP($A14,貼り付け用!$A$1:$BA$300,COLUMN(),FALSE)=0,"",VLOOKUP($A14,貼り付け用!$A$1:$BA$300,COLUMN(),FALSE)),"")</f>
        <v>#N/A</v>
      </c>
      <c r="K14" s="14" t="e">
        <f ca="1">IF($A14&lt;&gt;"",IF(VLOOKUP($A14,貼り付け用!$A$1:$BA$300,COLUMN(),FALSE)=0,"",VLOOKUP($A14,貼り付け用!$A$1:$BA$300,COLUMN(),FALSE)),"")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61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IF($A15&lt;&gt;"",IF(VLOOKUP($A15,貼り付け用!$A$1:$BA$300,COLUMN(),FALSE)=0,"",VLOOKUP($A15,貼り付け用!$A$1:$BA$300,COLUMN(),FALSE)),"")</f>
        <v>#N/A</v>
      </c>
      <c r="C15" s="3" t="e">
        <f ca="1">IF($A15&lt;&gt;"",IF(VLOOKUP($A15,貼り付け用!$A$1:$BA$300,COLUMN(),FALSE)=0,"",VLOOKUP($A15,貼り付け用!$A$1:$BA$300,COLUMN(),FALSE)),"")</f>
        <v>#N/A</v>
      </c>
      <c r="D15" s="3" t="e">
        <f ca="1">IF($A15&lt;&gt;"",IF(VLOOKUP($A15,貼り付け用!$A$1:$BA$300,COLUMN(),FALSE)=0,"",VLOOKUP($A15,貼り付け用!$A$1:$BA$300,COLUMN(),FALSE)),"")</f>
        <v>#N/A</v>
      </c>
      <c r="E15" s="3" t="e">
        <f ca="1">IF($A15&lt;&gt;"",IF(VLOOKUP($A15,貼り付け用!$A$1:$BA$300,COLUMN(),FALSE)=0,"",VLOOKUP($A15,貼り付け用!$A$1:$BA$300,COLUMN(),FALSE)),"")</f>
        <v>#N/A</v>
      </c>
      <c r="F15" s="3" t="e">
        <f ca="1">IF($A15&lt;&gt;"",IF(VLOOKUP($A15,貼り付け用!$A$1:$BA$300,COLUMN(),FALSE)=0,"",VLOOKUP($A15,貼り付け用!$A$1:$BA$300,COLUMN(),FALSE)),"")</f>
        <v>#N/A</v>
      </c>
      <c r="G15" s="3" t="e">
        <f ca="1">IF($A15&lt;&gt;"",IF(VLOOKUP($A15,貼り付け用!$A$1:$BA$300,COLUMN(),FALSE)=0,"",VLOOKUP($A15,貼り付け用!$A$1:$BA$300,COLUMN(),FALSE)),"")</f>
        <v>#N/A</v>
      </c>
      <c r="H15" s="3" t="e">
        <f ca="1">IF($A15&lt;&gt;"",IF(VLOOKUP($A15,貼り付け用!$A$1:$BA$300,COLUMN(),FALSE)=0,"",VLOOKUP($A15,貼り付け用!$A$1:$BA$300,COLUMN(),FALSE)),"")</f>
        <v>#N/A</v>
      </c>
      <c r="I15" s="3" t="e">
        <f ca="1">IF($A15&lt;&gt;"",IF(VLOOKUP($A15,貼り付け用!$A$1:$BA$300,COLUMN(),FALSE)=0,"",VLOOKUP($A15,貼り付け用!$A$1:$BA$300,COLUMN(),FALSE)),"")</f>
        <v>#N/A</v>
      </c>
      <c r="J15" s="3" t="e">
        <f ca="1">IF($A15&lt;&gt;"",IF(VLOOKUP($A15,貼り付け用!$A$1:$BA$300,COLUMN(),FALSE)=0,"",VLOOKUP($A15,貼り付け用!$A$1:$BA$300,COLUMN(),FALSE)),"")</f>
        <v>#N/A</v>
      </c>
      <c r="K15" s="3" t="e">
        <f ca="1">IF($A15&lt;&gt;"",IF(VLOOKUP($A15,貼り付け用!$A$1:$BA$300,COLUMN(),FALSE)=0,"",VLOOKUP($A15,貼り付け用!$A$1:$BA$300,COLUMN(),FALSE)),"")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61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IF($A16&lt;&gt;"",IF(VLOOKUP($A16,貼り付け用!$A$1:$BA$300,COLUMN(),FALSE)=0,"",VLOOKUP($A16,貼り付け用!$A$1:$BA$300,COLUMN(),FALSE)),"")</f>
        <v>#N/A</v>
      </c>
      <c r="C16" s="14" t="e">
        <f ca="1">IF($A16&lt;&gt;"",IF(VLOOKUP($A16,貼り付け用!$A$1:$BA$300,COLUMN(),FALSE)=0,"",VLOOKUP($A16,貼り付け用!$A$1:$BA$300,COLUMN(),FALSE)),"")</f>
        <v>#N/A</v>
      </c>
      <c r="D16" s="14" t="e">
        <f ca="1">IF($A16&lt;&gt;"",IF(VLOOKUP($A16,貼り付け用!$A$1:$BA$300,COLUMN(),FALSE)=0,"",VLOOKUP($A16,貼り付け用!$A$1:$BA$300,COLUMN(),FALSE)),"")</f>
        <v>#N/A</v>
      </c>
      <c r="E16" s="14" t="e">
        <f ca="1">IF($A16&lt;&gt;"",IF(VLOOKUP($A16,貼り付け用!$A$1:$BA$300,COLUMN(),FALSE)=0,"",VLOOKUP($A16,貼り付け用!$A$1:$BA$300,COLUMN(),FALSE)),"")</f>
        <v>#N/A</v>
      </c>
      <c r="F16" s="14" t="e">
        <f ca="1">IF($A16&lt;&gt;"",IF(VLOOKUP($A16,貼り付け用!$A$1:$BA$300,COLUMN(),FALSE)=0,"",VLOOKUP($A16,貼り付け用!$A$1:$BA$300,COLUMN(),FALSE)),"")</f>
        <v>#N/A</v>
      </c>
      <c r="G16" s="14" t="e">
        <f ca="1">IF($A16&lt;&gt;"",IF(VLOOKUP($A16,貼り付け用!$A$1:$BA$300,COLUMN(),FALSE)=0,"",VLOOKUP($A16,貼り付け用!$A$1:$BA$300,COLUMN(),FALSE)),"")</f>
        <v>#N/A</v>
      </c>
      <c r="H16" s="14" t="e">
        <f ca="1">IF($A16&lt;&gt;"",IF(VLOOKUP($A16,貼り付け用!$A$1:$BA$300,COLUMN(),FALSE)=0,"",VLOOKUP($A16,貼り付け用!$A$1:$BA$300,COLUMN(),FALSE)),"")</f>
        <v>#N/A</v>
      </c>
      <c r="I16" s="14" t="e">
        <f ca="1">IF($A16&lt;&gt;"",IF(VLOOKUP($A16,貼り付け用!$A$1:$BA$300,COLUMN(),FALSE)=0,"",VLOOKUP($A16,貼り付け用!$A$1:$BA$300,COLUMN(),FALSE)),"")</f>
        <v>#N/A</v>
      </c>
      <c r="J16" s="14" t="e">
        <f ca="1">IF($A16&lt;&gt;"",IF(VLOOKUP($A16,貼り付け用!$A$1:$BA$300,COLUMN(),FALSE)=0,"",VLOOKUP($A16,貼り付け用!$A$1:$BA$300,COLUMN(),FALSE)),"")</f>
        <v>#N/A</v>
      </c>
      <c r="K16" s="14" t="e">
        <f ca="1">IF($A16&lt;&gt;"",IF(VLOOKUP($A16,貼り付け用!$A$1:$BA$300,COLUMN(),FALSE)=0,"",VLOOKUP($A16,貼り付け用!$A$1:$BA$300,COLUMN(),FALSE)),"")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61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IF($A17&lt;&gt;"",IF(VLOOKUP($A17,貼り付け用!$A$1:$BA$300,COLUMN(),FALSE)=0,"",VLOOKUP($A17,貼り付け用!$A$1:$BA$300,COLUMN(),FALSE)),"")</f>
        <v>#N/A</v>
      </c>
      <c r="C17" s="3" t="e">
        <f ca="1">IF($A17&lt;&gt;"",IF(VLOOKUP($A17,貼り付け用!$A$1:$BA$300,COLUMN(),FALSE)=0,"",VLOOKUP($A17,貼り付け用!$A$1:$BA$300,COLUMN(),FALSE)),"")</f>
        <v>#N/A</v>
      </c>
      <c r="D17" s="3" t="e">
        <f ca="1">IF($A17&lt;&gt;"",IF(VLOOKUP($A17,貼り付け用!$A$1:$BA$300,COLUMN(),FALSE)=0,"",VLOOKUP($A17,貼り付け用!$A$1:$BA$300,COLUMN(),FALSE)),"")</f>
        <v>#N/A</v>
      </c>
      <c r="E17" s="3" t="e">
        <f ca="1">IF($A17&lt;&gt;"",IF(VLOOKUP($A17,貼り付け用!$A$1:$BA$300,COLUMN(),FALSE)=0,"",VLOOKUP($A17,貼り付け用!$A$1:$BA$300,COLUMN(),FALSE)),"")</f>
        <v>#N/A</v>
      </c>
      <c r="F17" s="3" t="e">
        <f ca="1">IF($A17&lt;&gt;"",IF(VLOOKUP($A17,貼り付け用!$A$1:$BA$300,COLUMN(),FALSE)=0,"",VLOOKUP($A17,貼り付け用!$A$1:$BA$300,COLUMN(),FALSE)),"")</f>
        <v>#N/A</v>
      </c>
      <c r="G17" s="3" t="e">
        <f ca="1">IF($A17&lt;&gt;"",IF(VLOOKUP($A17,貼り付け用!$A$1:$BA$300,COLUMN(),FALSE)=0,"",VLOOKUP($A17,貼り付け用!$A$1:$BA$300,COLUMN(),FALSE)),"")</f>
        <v>#N/A</v>
      </c>
      <c r="H17" s="3" t="e">
        <f ca="1">IF($A17&lt;&gt;"",IF(VLOOKUP($A17,貼り付け用!$A$1:$BA$300,COLUMN(),FALSE)=0,"",VLOOKUP($A17,貼り付け用!$A$1:$BA$300,COLUMN(),FALSE)),"")</f>
        <v>#N/A</v>
      </c>
      <c r="I17" s="3" t="e">
        <f ca="1">IF($A17&lt;&gt;"",IF(VLOOKUP($A17,貼り付け用!$A$1:$BA$300,COLUMN(),FALSE)=0,"",VLOOKUP($A17,貼り付け用!$A$1:$BA$300,COLUMN(),FALSE)),"")</f>
        <v>#N/A</v>
      </c>
      <c r="J17" s="3" t="e">
        <f ca="1">IF($A17&lt;&gt;"",IF(VLOOKUP($A17,貼り付け用!$A$1:$BA$300,COLUMN(),FALSE)=0,"",VLOOKUP($A17,貼り付け用!$A$1:$BA$300,COLUMN(),FALSE)),"")</f>
        <v>#N/A</v>
      </c>
      <c r="K17" s="3" t="e">
        <f ca="1">IF($A17&lt;&gt;"",IF(VLOOKUP($A17,貼り付け用!$A$1:$BA$300,COLUMN(),FALSE)=0,"",VLOOKUP($A17,貼り付け用!$A$1:$BA$300,COLUMN(),FALSE)),"")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61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IF($A18&lt;&gt;"",IF(VLOOKUP($A18,貼り付け用!$A$1:$BA$300,COLUMN(),FALSE)=0,"",VLOOKUP($A18,貼り付け用!$A$1:$BA$300,COLUMN(),FALSE)),"")</f>
        <v>#N/A</v>
      </c>
      <c r="C18" s="14" t="e">
        <f ca="1">IF($A18&lt;&gt;"",IF(VLOOKUP($A18,貼り付け用!$A$1:$BA$300,COLUMN(),FALSE)=0,"",VLOOKUP($A18,貼り付け用!$A$1:$BA$300,COLUMN(),FALSE)),"")</f>
        <v>#N/A</v>
      </c>
      <c r="D18" s="14" t="e">
        <f ca="1">IF($A18&lt;&gt;"",IF(VLOOKUP($A18,貼り付け用!$A$1:$BA$300,COLUMN(),FALSE)=0,"",VLOOKUP($A18,貼り付け用!$A$1:$BA$300,COLUMN(),FALSE)),"")</f>
        <v>#N/A</v>
      </c>
      <c r="E18" s="14" t="e">
        <f ca="1">IF($A18&lt;&gt;"",IF(VLOOKUP($A18,貼り付け用!$A$1:$BA$300,COLUMN(),FALSE)=0,"",VLOOKUP($A18,貼り付け用!$A$1:$BA$300,COLUMN(),FALSE)),"")</f>
        <v>#N/A</v>
      </c>
      <c r="F18" s="14" t="e">
        <f ca="1">IF($A18&lt;&gt;"",IF(VLOOKUP($A18,貼り付け用!$A$1:$BA$300,COLUMN(),FALSE)=0,"",VLOOKUP($A18,貼り付け用!$A$1:$BA$300,COLUMN(),FALSE)),"")</f>
        <v>#N/A</v>
      </c>
      <c r="G18" s="14" t="e">
        <f ca="1">IF($A18&lt;&gt;"",IF(VLOOKUP($A18,貼り付け用!$A$1:$BA$300,COLUMN(),FALSE)=0,"",VLOOKUP($A18,貼り付け用!$A$1:$BA$300,COLUMN(),FALSE)),"")</f>
        <v>#N/A</v>
      </c>
      <c r="H18" s="14" t="e">
        <f ca="1">IF($A18&lt;&gt;"",IF(VLOOKUP($A18,貼り付け用!$A$1:$BA$300,COLUMN(),FALSE)=0,"",VLOOKUP($A18,貼り付け用!$A$1:$BA$300,COLUMN(),FALSE)),"")</f>
        <v>#N/A</v>
      </c>
      <c r="I18" s="14" t="e">
        <f ca="1">IF($A18&lt;&gt;"",IF(VLOOKUP($A18,貼り付け用!$A$1:$BA$300,COLUMN(),FALSE)=0,"",VLOOKUP($A18,貼り付け用!$A$1:$BA$300,COLUMN(),FALSE)),"")</f>
        <v>#N/A</v>
      </c>
      <c r="J18" s="14" t="e">
        <f ca="1">IF($A18&lt;&gt;"",IF(VLOOKUP($A18,貼り付け用!$A$1:$BA$300,COLUMN(),FALSE)=0,"",VLOOKUP($A18,貼り付け用!$A$1:$BA$300,COLUMN(),FALSE)),"")</f>
        <v>#N/A</v>
      </c>
      <c r="K18" s="14" t="e">
        <f ca="1">IF($A18&lt;&gt;"",IF(VLOOKUP($A18,貼り付け用!$A$1:$BA$300,COLUMN(),FALSE)=0,"",VLOOKUP($A18,貼り付け用!$A$1:$BA$300,COLUMN(),FALSE)),"")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61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IF($A19&lt;&gt;"",IF(VLOOKUP($A19,貼り付け用!$A$1:$BA$300,COLUMN(),FALSE)=0,"",VLOOKUP($A19,貼り付け用!$A$1:$BA$300,COLUMN(),FALSE)),"")</f>
        <v>#N/A</v>
      </c>
      <c r="C19" s="3" t="e">
        <f ca="1">IF($A19&lt;&gt;"",IF(VLOOKUP($A19,貼り付け用!$A$1:$BA$300,COLUMN(),FALSE)=0,"",VLOOKUP($A19,貼り付け用!$A$1:$BA$300,COLUMN(),FALSE)),"")</f>
        <v>#N/A</v>
      </c>
      <c r="D19" s="3" t="e">
        <f ca="1">IF($A19&lt;&gt;"",IF(VLOOKUP($A19,貼り付け用!$A$1:$BA$300,COLUMN(),FALSE)=0,"",VLOOKUP($A19,貼り付け用!$A$1:$BA$300,COLUMN(),FALSE)),"")</f>
        <v>#N/A</v>
      </c>
      <c r="E19" s="3" t="e">
        <f ca="1">IF($A19&lt;&gt;"",IF(VLOOKUP($A19,貼り付け用!$A$1:$BA$300,COLUMN(),FALSE)=0,"",VLOOKUP($A19,貼り付け用!$A$1:$BA$300,COLUMN(),FALSE)),"")</f>
        <v>#N/A</v>
      </c>
      <c r="F19" s="3" t="e">
        <f ca="1">IF($A19&lt;&gt;"",IF(VLOOKUP($A19,貼り付け用!$A$1:$BA$300,COLUMN(),FALSE)=0,"",VLOOKUP($A19,貼り付け用!$A$1:$BA$300,COLUMN(),FALSE)),"")</f>
        <v>#N/A</v>
      </c>
      <c r="G19" s="3" t="e">
        <f ca="1">IF($A19&lt;&gt;"",IF(VLOOKUP($A19,貼り付け用!$A$1:$BA$300,COLUMN(),FALSE)=0,"",VLOOKUP($A19,貼り付け用!$A$1:$BA$300,COLUMN(),FALSE)),"")</f>
        <v>#N/A</v>
      </c>
      <c r="H19" s="3" t="e">
        <f ca="1">IF($A19&lt;&gt;"",IF(VLOOKUP($A19,貼り付け用!$A$1:$BA$300,COLUMN(),FALSE)=0,"",VLOOKUP($A19,貼り付け用!$A$1:$BA$300,COLUMN(),FALSE)),"")</f>
        <v>#N/A</v>
      </c>
      <c r="I19" s="3" t="e">
        <f ca="1">IF($A19&lt;&gt;"",IF(VLOOKUP($A19,貼り付け用!$A$1:$BA$300,COLUMN(),FALSE)=0,"",VLOOKUP($A19,貼り付け用!$A$1:$BA$300,COLUMN(),FALSE)),"")</f>
        <v>#N/A</v>
      </c>
      <c r="J19" s="3" t="e">
        <f ca="1">IF($A19&lt;&gt;"",IF(VLOOKUP($A19,貼り付け用!$A$1:$BA$300,COLUMN(),FALSE)=0,"",VLOOKUP($A19,貼り付け用!$A$1:$BA$300,COLUMN(),FALSE)),"")</f>
        <v>#N/A</v>
      </c>
      <c r="K19" s="3" t="e">
        <f ca="1">IF($A19&lt;&gt;"",IF(VLOOKUP($A19,貼り付け用!$A$1:$BA$300,COLUMN(),FALSE)=0,"",VLOOKUP($A19,貼り付け用!$A$1:$BA$300,COLUMN(),FALSE)),"")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61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IF($A20&lt;&gt;"",IF(VLOOKUP($A20,貼り付け用!$A$1:$BA$300,COLUMN(),FALSE)=0,"",VLOOKUP($A20,貼り付け用!$A$1:$BA$300,COLUMN(),FALSE)),"")</f>
        <v>#N/A</v>
      </c>
      <c r="C20" s="14" t="e">
        <f ca="1">IF($A20&lt;&gt;"",IF(VLOOKUP($A20,貼り付け用!$A$1:$BA$300,COLUMN(),FALSE)=0,"",VLOOKUP($A20,貼り付け用!$A$1:$BA$300,COLUMN(),FALSE)),"")</f>
        <v>#N/A</v>
      </c>
      <c r="D20" s="14" t="e">
        <f ca="1">IF($A20&lt;&gt;"",IF(VLOOKUP($A20,貼り付け用!$A$1:$BA$300,COLUMN(),FALSE)=0,"",VLOOKUP($A20,貼り付け用!$A$1:$BA$300,COLUMN(),FALSE)),"")</f>
        <v>#N/A</v>
      </c>
      <c r="E20" s="14" t="e">
        <f ca="1">IF($A20&lt;&gt;"",IF(VLOOKUP($A20,貼り付け用!$A$1:$BA$300,COLUMN(),FALSE)=0,"",VLOOKUP($A20,貼り付け用!$A$1:$BA$300,COLUMN(),FALSE)),"")</f>
        <v>#N/A</v>
      </c>
      <c r="F20" s="14" t="e">
        <f ca="1">IF($A20&lt;&gt;"",IF(VLOOKUP($A20,貼り付け用!$A$1:$BA$300,COLUMN(),FALSE)=0,"",VLOOKUP($A20,貼り付け用!$A$1:$BA$300,COLUMN(),FALSE)),"")</f>
        <v>#N/A</v>
      </c>
      <c r="G20" s="14" t="e">
        <f ca="1">IF($A20&lt;&gt;"",IF(VLOOKUP($A20,貼り付け用!$A$1:$BA$300,COLUMN(),FALSE)=0,"",VLOOKUP($A20,貼り付け用!$A$1:$BA$300,COLUMN(),FALSE)),"")</f>
        <v>#N/A</v>
      </c>
      <c r="H20" s="14" t="e">
        <f ca="1">IF($A20&lt;&gt;"",IF(VLOOKUP($A20,貼り付け用!$A$1:$BA$300,COLUMN(),FALSE)=0,"",VLOOKUP($A20,貼り付け用!$A$1:$BA$300,COLUMN(),FALSE)),"")</f>
        <v>#N/A</v>
      </c>
      <c r="I20" s="14" t="e">
        <f ca="1">IF($A20&lt;&gt;"",IF(VLOOKUP($A20,貼り付け用!$A$1:$BA$300,COLUMN(),FALSE)=0,"",VLOOKUP($A20,貼り付け用!$A$1:$BA$300,COLUMN(),FALSE)),"")</f>
        <v>#N/A</v>
      </c>
      <c r="J20" s="14" t="e">
        <f ca="1">IF($A20&lt;&gt;"",IF(VLOOKUP($A20,貼り付け用!$A$1:$BA$300,COLUMN(),FALSE)=0,"",VLOOKUP($A20,貼り付け用!$A$1:$BA$300,COLUMN(),FALSE)),"")</f>
        <v>#N/A</v>
      </c>
      <c r="K20" s="14" t="e">
        <f ca="1">IF($A20&lt;&gt;"",IF(VLOOKUP($A20,貼り付け用!$A$1:$BA$300,COLUMN(),FALSE)=0,"",VLOOKUP($A20,貼り付け用!$A$1:$BA$300,COLUMN(),FALSE)),"")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61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IF($A21&lt;&gt;"",IF(VLOOKUP($A21,貼り付け用!$A$1:$BA$300,COLUMN(),FALSE)=0,"",VLOOKUP($A21,貼り付け用!$A$1:$BA$300,COLUMN(),FALSE)),"")</f>
        <v>#N/A</v>
      </c>
      <c r="C21" s="3" t="e">
        <f ca="1">IF($A21&lt;&gt;"",IF(VLOOKUP($A21,貼り付け用!$A$1:$BA$300,COLUMN(),FALSE)=0,"",VLOOKUP($A21,貼り付け用!$A$1:$BA$300,COLUMN(),FALSE)),"")</f>
        <v>#N/A</v>
      </c>
      <c r="D21" s="3" t="e">
        <f ca="1">IF($A21&lt;&gt;"",IF(VLOOKUP($A21,貼り付け用!$A$1:$BA$300,COLUMN(),FALSE)=0,"",VLOOKUP($A21,貼り付け用!$A$1:$BA$300,COLUMN(),FALSE)),"")</f>
        <v>#N/A</v>
      </c>
      <c r="E21" s="3" t="e">
        <f ca="1">IF($A21&lt;&gt;"",IF(VLOOKUP($A21,貼り付け用!$A$1:$BA$300,COLUMN(),FALSE)=0,"",VLOOKUP($A21,貼り付け用!$A$1:$BA$300,COLUMN(),FALSE)),"")</f>
        <v>#N/A</v>
      </c>
      <c r="F21" s="3" t="e">
        <f ca="1">IF($A21&lt;&gt;"",IF(VLOOKUP($A21,貼り付け用!$A$1:$BA$300,COLUMN(),FALSE)=0,"",VLOOKUP($A21,貼り付け用!$A$1:$BA$300,COLUMN(),FALSE)),"")</f>
        <v>#N/A</v>
      </c>
      <c r="G21" s="3" t="e">
        <f ca="1">IF($A21&lt;&gt;"",IF(VLOOKUP($A21,貼り付け用!$A$1:$BA$300,COLUMN(),FALSE)=0,"",VLOOKUP($A21,貼り付け用!$A$1:$BA$300,COLUMN(),FALSE)),"")</f>
        <v>#N/A</v>
      </c>
      <c r="H21" s="3" t="e">
        <f ca="1">IF($A21&lt;&gt;"",IF(VLOOKUP($A21,貼り付け用!$A$1:$BA$300,COLUMN(),FALSE)=0,"",VLOOKUP($A21,貼り付け用!$A$1:$BA$300,COLUMN(),FALSE)),"")</f>
        <v>#N/A</v>
      </c>
      <c r="I21" s="3" t="e">
        <f ca="1">IF($A21&lt;&gt;"",IF(VLOOKUP($A21,貼り付け用!$A$1:$BA$300,COLUMN(),FALSE)=0,"",VLOOKUP($A21,貼り付け用!$A$1:$BA$300,COLUMN(),FALSE)),"")</f>
        <v>#N/A</v>
      </c>
      <c r="J21" s="3" t="e">
        <f ca="1">IF($A21&lt;&gt;"",IF(VLOOKUP($A21,貼り付け用!$A$1:$BA$300,COLUMN(),FALSE)=0,"",VLOOKUP($A21,貼り付け用!$A$1:$BA$300,COLUMN(),FALSE)),"")</f>
        <v>#N/A</v>
      </c>
      <c r="K21" s="3" t="e">
        <f ca="1">IF($A21&lt;&gt;"",IF(VLOOKUP($A21,貼り付け用!$A$1:$BA$300,COLUMN(),FALSE)=0,"",VLOOKUP($A21,貼り付け用!$A$1:$BA$300,COLUMN(),FALSE)),"")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61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IF($A22&lt;&gt;"",IF(VLOOKUP($A22,貼り付け用!$A$1:$BA$300,COLUMN(),FALSE)=0,"",VLOOKUP($A22,貼り付け用!$A$1:$BA$300,COLUMN(),FALSE)),"")</f>
        <v>#N/A</v>
      </c>
      <c r="C22" s="14" t="e">
        <f ca="1">IF($A22&lt;&gt;"",IF(VLOOKUP($A22,貼り付け用!$A$1:$BA$300,COLUMN(),FALSE)=0,"",VLOOKUP($A22,貼り付け用!$A$1:$BA$300,COLUMN(),FALSE)),"")</f>
        <v>#N/A</v>
      </c>
      <c r="D22" s="14" t="e">
        <f ca="1">IF($A22&lt;&gt;"",IF(VLOOKUP($A22,貼り付け用!$A$1:$BA$300,COLUMN(),FALSE)=0,"",VLOOKUP($A22,貼り付け用!$A$1:$BA$300,COLUMN(),FALSE)),"")</f>
        <v>#N/A</v>
      </c>
      <c r="E22" s="14" t="e">
        <f ca="1">IF($A22&lt;&gt;"",IF(VLOOKUP($A22,貼り付け用!$A$1:$BA$300,COLUMN(),FALSE)=0,"",VLOOKUP($A22,貼り付け用!$A$1:$BA$300,COLUMN(),FALSE)),"")</f>
        <v>#N/A</v>
      </c>
      <c r="F22" s="14" t="e">
        <f ca="1">IF($A22&lt;&gt;"",IF(VLOOKUP($A22,貼り付け用!$A$1:$BA$300,COLUMN(),FALSE)=0,"",VLOOKUP($A22,貼り付け用!$A$1:$BA$300,COLUMN(),FALSE)),"")</f>
        <v>#N/A</v>
      </c>
      <c r="G22" s="14" t="e">
        <f ca="1">IF($A22&lt;&gt;"",IF(VLOOKUP($A22,貼り付け用!$A$1:$BA$300,COLUMN(),FALSE)=0,"",VLOOKUP($A22,貼り付け用!$A$1:$BA$300,COLUMN(),FALSE)),"")</f>
        <v>#N/A</v>
      </c>
      <c r="H22" s="14" t="e">
        <f ca="1">IF($A22&lt;&gt;"",IF(VLOOKUP($A22,貼り付け用!$A$1:$BA$300,COLUMN(),FALSE)=0,"",VLOOKUP($A22,貼り付け用!$A$1:$BA$300,COLUMN(),FALSE)),"")</f>
        <v>#N/A</v>
      </c>
      <c r="I22" s="14" t="e">
        <f ca="1">IF($A22&lt;&gt;"",IF(VLOOKUP($A22,貼り付け用!$A$1:$BA$300,COLUMN(),FALSE)=0,"",VLOOKUP($A22,貼り付け用!$A$1:$BA$300,COLUMN(),FALSE)),"")</f>
        <v>#N/A</v>
      </c>
      <c r="J22" s="14" t="e">
        <f ca="1">IF($A22&lt;&gt;"",IF(VLOOKUP($A22,貼り付け用!$A$1:$BA$300,COLUMN(),FALSE)=0,"",VLOOKUP($A22,貼り付け用!$A$1:$BA$300,COLUMN(),FALSE)),"")</f>
        <v>#N/A</v>
      </c>
      <c r="K22" s="14" t="e">
        <f ca="1">IF($A22&lt;&gt;"",IF(VLOOKUP($A22,貼り付け用!$A$1:$BA$300,COLUMN(),FALSE)=0,"",VLOOKUP($A22,貼り付け用!$A$1:$BA$300,COLUMN(),FALSE)),"")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61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IF($A23&lt;&gt;"",IF(VLOOKUP($A23,貼り付け用!$A$1:$BA$300,COLUMN(),FALSE)=0,"",VLOOKUP($A23,貼り付け用!$A$1:$BA$300,COLUMN(),FALSE)),"")</f>
        <v>#N/A</v>
      </c>
      <c r="C23" s="3" t="e">
        <f ca="1">IF($A23&lt;&gt;"",IF(VLOOKUP($A23,貼り付け用!$A$1:$BA$300,COLUMN(),FALSE)=0,"",VLOOKUP($A23,貼り付け用!$A$1:$BA$300,COLUMN(),FALSE)),"")</f>
        <v>#N/A</v>
      </c>
      <c r="D23" s="3" t="e">
        <f ca="1">IF($A23&lt;&gt;"",IF(VLOOKUP($A23,貼り付け用!$A$1:$BA$300,COLUMN(),FALSE)=0,"",VLOOKUP($A23,貼り付け用!$A$1:$BA$300,COLUMN(),FALSE)),"")</f>
        <v>#N/A</v>
      </c>
      <c r="E23" s="3" t="e">
        <f ca="1">IF($A23&lt;&gt;"",IF(VLOOKUP($A23,貼り付け用!$A$1:$BA$300,COLUMN(),FALSE)=0,"",VLOOKUP($A23,貼り付け用!$A$1:$BA$300,COLUMN(),FALSE)),"")</f>
        <v>#N/A</v>
      </c>
      <c r="F23" s="3" t="e">
        <f ca="1">IF($A23&lt;&gt;"",IF(VLOOKUP($A23,貼り付け用!$A$1:$BA$300,COLUMN(),FALSE)=0,"",VLOOKUP($A23,貼り付け用!$A$1:$BA$300,COLUMN(),FALSE)),"")</f>
        <v>#N/A</v>
      </c>
      <c r="G23" s="3" t="e">
        <f ca="1">IF($A23&lt;&gt;"",IF(VLOOKUP($A23,貼り付け用!$A$1:$BA$300,COLUMN(),FALSE)=0,"",VLOOKUP($A23,貼り付け用!$A$1:$BA$300,COLUMN(),FALSE)),"")</f>
        <v>#N/A</v>
      </c>
      <c r="H23" s="3" t="e">
        <f ca="1">IF($A23&lt;&gt;"",IF(VLOOKUP($A23,貼り付け用!$A$1:$BA$300,COLUMN(),FALSE)=0,"",VLOOKUP($A23,貼り付け用!$A$1:$BA$300,COLUMN(),FALSE)),"")</f>
        <v>#N/A</v>
      </c>
      <c r="I23" s="3" t="e">
        <f ca="1">IF($A23&lt;&gt;"",IF(VLOOKUP($A23,貼り付け用!$A$1:$BA$300,COLUMN(),FALSE)=0,"",VLOOKUP($A23,貼り付け用!$A$1:$BA$300,COLUMN(),FALSE)),"")</f>
        <v>#N/A</v>
      </c>
      <c r="J23" s="3" t="e">
        <f ca="1">IF($A23&lt;&gt;"",IF(VLOOKUP($A23,貼り付け用!$A$1:$BA$300,COLUMN(),FALSE)=0,"",VLOOKUP($A23,貼り付け用!$A$1:$BA$300,COLUMN(),FALSE)),"")</f>
        <v>#N/A</v>
      </c>
      <c r="K23" s="3" t="e">
        <f ca="1">IF($A23&lt;&gt;"",IF(VLOOKUP($A23,貼り付け用!$A$1:$BA$300,COLUMN(),FALSE)=0,"",VLOOKUP($A23,貼り付け用!$A$1:$BA$300,COLUMN(),FALSE)),"")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61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IF($A24&lt;&gt;"",IF(VLOOKUP($A24,貼り付け用!$A$1:$BA$300,COLUMN(),FALSE)=0,"",VLOOKUP($A24,貼り付け用!$A$1:$BA$300,COLUMN(),FALSE)),"")</f>
        <v>#N/A</v>
      </c>
      <c r="C24" s="14" t="e">
        <f ca="1">IF($A24&lt;&gt;"",IF(VLOOKUP($A24,貼り付け用!$A$1:$BA$300,COLUMN(),FALSE)=0,"",VLOOKUP($A24,貼り付け用!$A$1:$BA$300,COLUMN(),FALSE)),"")</f>
        <v>#N/A</v>
      </c>
      <c r="D24" s="14" t="e">
        <f ca="1">IF($A24&lt;&gt;"",IF(VLOOKUP($A24,貼り付け用!$A$1:$BA$300,COLUMN(),FALSE)=0,"",VLOOKUP($A24,貼り付け用!$A$1:$BA$300,COLUMN(),FALSE)),"")</f>
        <v>#N/A</v>
      </c>
      <c r="E24" s="14" t="e">
        <f ca="1">IF($A24&lt;&gt;"",IF(VLOOKUP($A24,貼り付け用!$A$1:$BA$300,COLUMN(),FALSE)=0,"",VLOOKUP($A24,貼り付け用!$A$1:$BA$300,COLUMN(),FALSE)),"")</f>
        <v>#N/A</v>
      </c>
      <c r="F24" s="14" t="e">
        <f ca="1">IF($A24&lt;&gt;"",IF(VLOOKUP($A24,貼り付け用!$A$1:$BA$300,COLUMN(),FALSE)=0,"",VLOOKUP($A24,貼り付け用!$A$1:$BA$300,COLUMN(),FALSE)),"")</f>
        <v>#N/A</v>
      </c>
      <c r="G24" s="14" t="e">
        <f ca="1">IF($A24&lt;&gt;"",IF(VLOOKUP($A24,貼り付け用!$A$1:$BA$300,COLUMN(),FALSE)=0,"",VLOOKUP($A24,貼り付け用!$A$1:$BA$300,COLUMN(),FALSE)),"")</f>
        <v>#N/A</v>
      </c>
      <c r="H24" s="14" t="e">
        <f ca="1">IF($A24&lt;&gt;"",IF(VLOOKUP($A24,貼り付け用!$A$1:$BA$300,COLUMN(),FALSE)=0,"",VLOOKUP($A24,貼り付け用!$A$1:$BA$300,COLUMN(),FALSE)),"")</f>
        <v>#N/A</v>
      </c>
      <c r="I24" s="14" t="e">
        <f ca="1">IF($A24&lt;&gt;"",IF(VLOOKUP($A24,貼り付け用!$A$1:$BA$300,COLUMN(),FALSE)=0,"",VLOOKUP($A24,貼り付け用!$A$1:$BA$300,COLUMN(),FALSE)),"")</f>
        <v>#N/A</v>
      </c>
      <c r="J24" s="14" t="e">
        <f ca="1">IF($A24&lt;&gt;"",IF(VLOOKUP($A24,貼り付け用!$A$1:$BA$300,COLUMN(),FALSE)=0,"",VLOOKUP($A24,貼り付け用!$A$1:$BA$300,COLUMN(),FALSE)),"")</f>
        <v>#N/A</v>
      </c>
      <c r="K24" s="14" t="e">
        <f ca="1">IF($A24&lt;&gt;"",IF(VLOOKUP($A24,貼り付け用!$A$1:$BA$300,COLUMN(),FALSE)=0,"",VLOOKUP($A24,貼り付け用!$A$1:$BA$300,COLUMN(),FALSE)),"")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61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IF($A25&lt;&gt;"",IF(VLOOKUP($A25,貼り付け用!$A$1:$BA$300,COLUMN(),FALSE)=0,"",VLOOKUP($A25,貼り付け用!$A$1:$BA$300,COLUMN(),FALSE)),"")</f>
        <v>#N/A</v>
      </c>
      <c r="C25" s="3" t="e">
        <f ca="1">IF($A25&lt;&gt;"",IF(VLOOKUP($A25,貼り付け用!$A$1:$BA$300,COLUMN(),FALSE)=0,"",VLOOKUP($A25,貼り付け用!$A$1:$BA$300,COLUMN(),FALSE)),"")</f>
        <v>#N/A</v>
      </c>
      <c r="D25" s="3" t="e">
        <f ca="1">IF($A25&lt;&gt;"",IF(VLOOKUP($A25,貼り付け用!$A$1:$BA$300,COLUMN(),FALSE)=0,"",VLOOKUP($A25,貼り付け用!$A$1:$BA$300,COLUMN(),FALSE)),"")</f>
        <v>#N/A</v>
      </c>
      <c r="E25" s="3" t="e">
        <f ca="1">IF($A25&lt;&gt;"",IF(VLOOKUP($A25,貼り付け用!$A$1:$BA$300,COLUMN(),FALSE)=0,"",VLOOKUP($A25,貼り付け用!$A$1:$BA$300,COLUMN(),FALSE)),"")</f>
        <v>#N/A</v>
      </c>
      <c r="F25" s="3" t="e">
        <f ca="1">IF($A25&lt;&gt;"",IF(VLOOKUP($A25,貼り付け用!$A$1:$BA$300,COLUMN(),FALSE)=0,"",VLOOKUP($A25,貼り付け用!$A$1:$BA$300,COLUMN(),FALSE)),"")</f>
        <v>#N/A</v>
      </c>
      <c r="G25" s="3" t="e">
        <f ca="1">IF($A25&lt;&gt;"",IF(VLOOKUP($A25,貼り付け用!$A$1:$BA$300,COLUMN(),FALSE)=0,"",VLOOKUP($A25,貼り付け用!$A$1:$BA$300,COLUMN(),FALSE)),"")</f>
        <v>#N/A</v>
      </c>
      <c r="H25" s="3" t="e">
        <f ca="1">IF($A25&lt;&gt;"",IF(VLOOKUP($A25,貼り付け用!$A$1:$BA$300,COLUMN(),FALSE)=0,"",VLOOKUP($A25,貼り付け用!$A$1:$BA$300,COLUMN(),FALSE)),"")</f>
        <v>#N/A</v>
      </c>
      <c r="I25" s="3" t="e">
        <f ca="1">IF($A25&lt;&gt;"",IF(VLOOKUP($A25,貼り付け用!$A$1:$BA$300,COLUMN(),FALSE)=0,"",VLOOKUP($A25,貼り付け用!$A$1:$BA$300,COLUMN(),FALSE)),"")</f>
        <v>#N/A</v>
      </c>
      <c r="J25" s="3" t="e">
        <f ca="1">IF($A25&lt;&gt;"",IF(VLOOKUP($A25,貼り付け用!$A$1:$BA$300,COLUMN(),FALSE)=0,"",VLOOKUP($A25,貼り付け用!$A$1:$BA$300,COLUMN(),FALSE)),"")</f>
        <v>#N/A</v>
      </c>
      <c r="K25" s="3" t="e">
        <f ca="1">IF($A25&lt;&gt;"",IF(VLOOKUP($A25,貼り付け用!$A$1:$BA$300,COLUMN(),FALSE)=0,"",VLOOKUP($A25,貼り付け用!$A$1:$BA$300,COLUMN(),FALSE)),"")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61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IF($A26&lt;&gt;"",IF(VLOOKUP($A26,貼り付け用!$A$1:$BA$300,COLUMN(),FALSE)=0,"",VLOOKUP($A26,貼り付け用!$A$1:$BA$300,COLUMN(),FALSE)),"")</f>
        <v>#N/A</v>
      </c>
      <c r="C26" s="14" t="e">
        <f ca="1">IF($A26&lt;&gt;"",IF(VLOOKUP($A26,貼り付け用!$A$1:$BA$300,COLUMN(),FALSE)=0,"",VLOOKUP($A26,貼り付け用!$A$1:$BA$300,COLUMN(),FALSE)),"")</f>
        <v>#N/A</v>
      </c>
      <c r="D26" s="14" t="e">
        <f ca="1">IF($A26&lt;&gt;"",IF(VLOOKUP($A26,貼り付け用!$A$1:$BA$300,COLUMN(),FALSE)=0,"",VLOOKUP($A26,貼り付け用!$A$1:$BA$300,COLUMN(),FALSE)),"")</f>
        <v>#N/A</v>
      </c>
      <c r="E26" s="14" t="e">
        <f ca="1">IF($A26&lt;&gt;"",IF(VLOOKUP($A26,貼り付け用!$A$1:$BA$300,COLUMN(),FALSE)=0,"",VLOOKUP($A26,貼り付け用!$A$1:$BA$300,COLUMN(),FALSE)),"")</f>
        <v>#N/A</v>
      </c>
      <c r="F26" s="14" t="e">
        <f ca="1">IF($A26&lt;&gt;"",IF(VLOOKUP($A26,貼り付け用!$A$1:$BA$300,COLUMN(),FALSE)=0,"",VLOOKUP($A26,貼り付け用!$A$1:$BA$300,COLUMN(),FALSE)),"")</f>
        <v>#N/A</v>
      </c>
      <c r="G26" s="14" t="e">
        <f ca="1">IF($A26&lt;&gt;"",IF(VLOOKUP($A26,貼り付け用!$A$1:$BA$300,COLUMN(),FALSE)=0,"",VLOOKUP($A26,貼り付け用!$A$1:$BA$300,COLUMN(),FALSE)),"")</f>
        <v>#N/A</v>
      </c>
      <c r="H26" s="14" t="e">
        <f ca="1">IF($A26&lt;&gt;"",IF(VLOOKUP($A26,貼り付け用!$A$1:$BA$300,COLUMN(),FALSE)=0,"",VLOOKUP($A26,貼り付け用!$A$1:$BA$300,COLUMN(),FALSE)),"")</f>
        <v>#N/A</v>
      </c>
      <c r="I26" s="14" t="e">
        <f ca="1">IF($A26&lt;&gt;"",IF(VLOOKUP($A26,貼り付け用!$A$1:$BA$300,COLUMN(),FALSE)=0,"",VLOOKUP($A26,貼り付け用!$A$1:$BA$300,COLUMN(),FALSE)),"")</f>
        <v>#N/A</v>
      </c>
      <c r="J26" s="14" t="e">
        <f ca="1">IF($A26&lt;&gt;"",IF(VLOOKUP($A26,貼り付け用!$A$1:$BA$300,COLUMN(),FALSE)=0,"",VLOOKUP($A26,貼り付け用!$A$1:$BA$300,COLUMN(),FALSE)),"")</f>
        <v>#N/A</v>
      </c>
      <c r="K26" s="14" t="e">
        <f ca="1">IF($A26&lt;&gt;"",IF(VLOOKUP($A26,貼り付け用!$A$1:$BA$300,COLUMN(),FALSE)=0,"",VLOOKUP($A26,貼り付け用!$A$1:$BA$300,COLUMN(),FALSE)),"")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61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IF($A27&lt;&gt;"",IF(VLOOKUP($A27,貼り付け用!$A$1:$BA$300,COLUMN(),FALSE)=0,"",VLOOKUP($A27,貼り付け用!$A$1:$BA$300,COLUMN(),FALSE)),"")</f>
        <v>#N/A</v>
      </c>
      <c r="C27" s="3" t="e">
        <f ca="1">IF($A27&lt;&gt;"",IF(VLOOKUP($A27,貼り付け用!$A$1:$BA$300,COLUMN(),FALSE)=0,"",VLOOKUP($A27,貼り付け用!$A$1:$BA$300,COLUMN(),FALSE)),"")</f>
        <v>#N/A</v>
      </c>
      <c r="D27" s="3" t="e">
        <f ca="1">IF($A27&lt;&gt;"",IF(VLOOKUP($A27,貼り付け用!$A$1:$BA$300,COLUMN(),FALSE)=0,"",VLOOKUP($A27,貼り付け用!$A$1:$BA$300,COLUMN(),FALSE)),"")</f>
        <v>#N/A</v>
      </c>
      <c r="E27" s="3" t="e">
        <f ca="1">IF($A27&lt;&gt;"",IF(VLOOKUP($A27,貼り付け用!$A$1:$BA$300,COLUMN(),FALSE)=0,"",VLOOKUP($A27,貼り付け用!$A$1:$BA$300,COLUMN(),FALSE)),"")</f>
        <v>#N/A</v>
      </c>
      <c r="F27" s="3" t="e">
        <f ca="1">IF($A27&lt;&gt;"",IF(VLOOKUP($A27,貼り付け用!$A$1:$BA$300,COLUMN(),FALSE)=0,"",VLOOKUP($A27,貼り付け用!$A$1:$BA$300,COLUMN(),FALSE)),"")</f>
        <v>#N/A</v>
      </c>
      <c r="G27" s="3" t="e">
        <f ca="1">IF($A27&lt;&gt;"",IF(VLOOKUP($A27,貼り付け用!$A$1:$BA$300,COLUMN(),FALSE)=0,"",VLOOKUP($A27,貼り付け用!$A$1:$BA$300,COLUMN(),FALSE)),"")</f>
        <v>#N/A</v>
      </c>
      <c r="H27" s="3" t="e">
        <f ca="1">IF($A27&lt;&gt;"",IF(VLOOKUP($A27,貼り付け用!$A$1:$BA$300,COLUMN(),FALSE)=0,"",VLOOKUP($A27,貼り付け用!$A$1:$BA$300,COLUMN(),FALSE)),"")</f>
        <v>#N/A</v>
      </c>
      <c r="I27" s="3" t="e">
        <f ca="1">IF($A27&lt;&gt;"",IF(VLOOKUP($A27,貼り付け用!$A$1:$BA$300,COLUMN(),FALSE)=0,"",VLOOKUP($A27,貼り付け用!$A$1:$BA$300,COLUMN(),FALSE)),"")</f>
        <v>#N/A</v>
      </c>
      <c r="J27" s="3" t="e">
        <f ca="1">IF($A27&lt;&gt;"",IF(VLOOKUP($A27,貼り付け用!$A$1:$BA$300,COLUMN(),FALSE)=0,"",VLOOKUP($A27,貼り付け用!$A$1:$BA$300,COLUMN(),FALSE)),"")</f>
        <v>#N/A</v>
      </c>
      <c r="K27" s="3" t="e">
        <f ca="1">IF($A27&lt;&gt;"",IF(VLOOKUP($A27,貼り付け用!$A$1:$BA$300,COLUMN(),FALSE)=0,"",VLOOKUP($A27,貼り付け用!$A$1:$BA$300,COLUMN(),FALSE)),"")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61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IF($A28&lt;&gt;"",IF(VLOOKUP($A28,貼り付け用!$A$1:$BA$300,COLUMN(),FALSE)=0,"",VLOOKUP($A28,貼り付け用!$A$1:$BA$300,COLUMN(),FALSE)),"")</f>
        <v>#N/A</v>
      </c>
      <c r="C28" s="14" t="e">
        <f ca="1">IF($A28&lt;&gt;"",IF(VLOOKUP($A28,貼り付け用!$A$1:$BA$300,COLUMN(),FALSE)=0,"",VLOOKUP($A28,貼り付け用!$A$1:$BA$300,COLUMN(),FALSE)),"")</f>
        <v>#N/A</v>
      </c>
      <c r="D28" s="14" t="e">
        <f ca="1">IF($A28&lt;&gt;"",IF(VLOOKUP($A28,貼り付け用!$A$1:$BA$300,COLUMN(),FALSE)=0,"",VLOOKUP($A28,貼り付け用!$A$1:$BA$300,COLUMN(),FALSE)),"")</f>
        <v>#N/A</v>
      </c>
      <c r="E28" s="14" t="e">
        <f ca="1">IF($A28&lt;&gt;"",IF(VLOOKUP($A28,貼り付け用!$A$1:$BA$300,COLUMN(),FALSE)=0,"",VLOOKUP($A28,貼り付け用!$A$1:$BA$300,COLUMN(),FALSE)),"")</f>
        <v>#N/A</v>
      </c>
      <c r="F28" s="14" t="e">
        <f ca="1">IF($A28&lt;&gt;"",IF(VLOOKUP($A28,貼り付け用!$A$1:$BA$300,COLUMN(),FALSE)=0,"",VLOOKUP($A28,貼り付け用!$A$1:$BA$300,COLUMN(),FALSE)),"")</f>
        <v>#N/A</v>
      </c>
      <c r="G28" s="14" t="e">
        <f ca="1">IF($A28&lt;&gt;"",IF(VLOOKUP($A28,貼り付け用!$A$1:$BA$300,COLUMN(),FALSE)=0,"",VLOOKUP($A28,貼り付け用!$A$1:$BA$300,COLUMN(),FALSE)),"")</f>
        <v>#N/A</v>
      </c>
      <c r="H28" s="14" t="e">
        <f ca="1">IF($A28&lt;&gt;"",IF(VLOOKUP($A28,貼り付け用!$A$1:$BA$300,COLUMN(),FALSE)=0,"",VLOOKUP($A28,貼り付け用!$A$1:$BA$300,COLUMN(),FALSE)),"")</f>
        <v>#N/A</v>
      </c>
      <c r="I28" s="14" t="e">
        <f ca="1">IF($A28&lt;&gt;"",IF(VLOOKUP($A28,貼り付け用!$A$1:$BA$300,COLUMN(),FALSE)=0,"",VLOOKUP($A28,貼り付け用!$A$1:$BA$300,COLUMN(),FALSE)),"")</f>
        <v>#N/A</v>
      </c>
      <c r="J28" s="14" t="e">
        <f ca="1">IF($A28&lt;&gt;"",IF(VLOOKUP($A28,貼り付け用!$A$1:$BA$300,COLUMN(),FALSE)=0,"",VLOOKUP($A28,貼り付け用!$A$1:$BA$300,COLUMN(),FALSE)),"")</f>
        <v>#N/A</v>
      </c>
      <c r="K28" s="14" t="e">
        <f ca="1">IF($A28&lt;&gt;"",IF(VLOOKUP($A28,貼り付け用!$A$1:$BA$300,COLUMN(),FALSE)=0,"",VLOOKUP($A28,貼り付け用!$A$1:$BA$300,COLUMN(),FALSE)),"")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61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IF($A29&lt;&gt;"",IF(VLOOKUP($A29,貼り付け用!$A$1:$BA$300,COLUMN(),FALSE)=0,"",VLOOKUP($A29,貼り付け用!$A$1:$BA$300,COLUMN(),FALSE)),"")</f>
        <v>#N/A</v>
      </c>
      <c r="C29" s="3" t="e">
        <f ca="1">IF($A29&lt;&gt;"",IF(VLOOKUP($A29,貼り付け用!$A$1:$BA$300,COLUMN(),FALSE)=0,"",VLOOKUP($A29,貼り付け用!$A$1:$BA$300,COLUMN(),FALSE)),"")</f>
        <v>#N/A</v>
      </c>
      <c r="D29" s="3" t="e">
        <f ca="1">IF($A29&lt;&gt;"",IF(VLOOKUP($A29,貼り付け用!$A$1:$BA$300,COLUMN(),FALSE)=0,"",VLOOKUP($A29,貼り付け用!$A$1:$BA$300,COLUMN(),FALSE)),"")</f>
        <v>#N/A</v>
      </c>
      <c r="E29" s="3" t="e">
        <f ca="1">IF($A29&lt;&gt;"",IF(VLOOKUP($A29,貼り付け用!$A$1:$BA$300,COLUMN(),FALSE)=0,"",VLOOKUP($A29,貼り付け用!$A$1:$BA$300,COLUMN(),FALSE)),"")</f>
        <v>#N/A</v>
      </c>
      <c r="F29" s="3" t="e">
        <f ca="1">IF($A29&lt;&gt;"",IF(VLOOKUP($A29,貼り付け用!$A$1:$BA$300,COLUMN(),FALSE)=0,"",VLOOKUP($A29,貼り付け用!$A$1:$BA$300,COLUMN(),FALSE)),"")</f>
        <v>#N/A</v>
      </c>
      <c r="G29" s="3" t="e">
        <f ca="1">IF($A29&lt;&gt;"",IF(VLOOKUP($A29,貼り付け用!$A$1:$BA$300,COLUMN(),FALSE)=0,"",VLOOKUP($A29,貼り付け用!$A$1:$BA$300,COLUMN(),FALSE)),"")</f>
        <v>#N/A</v>
      </c>
      <c r="H29" s="3" t="e">
        <f ca="1">IF($A29&lt;&gt;"",IF(VLOOKUP($A29,貼り付け用!$A$1:$BA$300,COLUMN(),FALSE)=0,"",VLOOKUP($A29,貼り付け用!$A$1:$BA$300,COLUMN(),FALSE)),"")</f>
        <v>#N/A</v>
      </c>
      <c r="I29" s="3" t="e">
        <f ca="1">IF($A29&lt;&gt;"",IF(VLOOKUP($A29,貼り付け用!$A$1:$BA$300,COLUMN(),FALSE)=0,"",VLOOKUP($A29,貼り付け用!$A$1:$BA$300,COLUMN(),FALSE)),"")</f>
        <v>#N/A</v>
      </c>
      <c r="J29" s="3" t="e">
        <f ca="1">IF($A29&lt;&gt;"",IF(VLOOKUP($A29,貼り付け用!$A$1:$BA$300,COLUMN(),FALSE)=0,"",VLOOKUP($A29,貼り付け用!$A$1:$BA$300,COLUMN(),FALSE)),"")</f>
        <v>#N/A</v>
      </c>
      <c r="K29" s="3" t="e">
        <f ca="1">IF($A29&lt;&gt;"",IF(VLOOKUP($A29,貼り付け用!$A$1:$BA$300,COLUMN(),FALSE)=0,"",VLOOKUP($A29,貼り付け用!$A$1:$BA$300,COLUMN(),FALSE)),"")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61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IF($A30&lt;&gt;"",IF(VLOOKUP($A30,貼り付け用!$A$1:$BA$300,COLUMN(),FALSE)=0,"",VLOOKUP($A30,貼り付け用!$A$1:$BA$300,COLUMN(),FALSE)),"")</f>
        <v>#N/A</v>
      </c>
      <c r="C30" s="14" t="e">
        <f ca="1">IF($A30&lt;&gt;"",IF(VLOOKUP($A30,貼り付け用!$A$1:$BA$300,COLUMN(),FALSE)=0,"",VLOOKUP($A30,貼り付け用!$A$1:$BA$300,COLUMN(),FALSE)),"")</f>
        <v>#N/A</v>
      </c>
      <c r="D30" s="14" t="e">
        <f ca="1">IF($A30&lt;&gt;"",IF(VLOOKUP($A30,貼り付け用!$A$1:$BA$300,COLUMN(),FALSE)=0,"",VLOOKUP($A30,貼り付け用!$A$1:$BA$300,COLUMN(),FALSE)),"")</f>
        <v>#N/A</v>
      </c>
      <c r="E30" s="14" t="e">
        <f ca="1">IF($A30&lt;&gt;"",IF(VLOOKUP($A30,貼り付け用!$A$1:$BA$300,COLUMN(),FALSE)=0,"",VLOOKUP($A30,貼り付け用!$A$1:$BA$300,COLUMN(),FALSE)),"")</f>
        <v>#N/A</v>
      </c>
      <c r="F30" s="14" t="e">
        <f ca="1">IF($A30&lt;&gt;"",IF(VLOOKUP($A30,貼り付け用!$A$1:$BA$300,COLUMN(),FALSE)=0,"",VLOOKUP($A30,貼り付け用!$A$1:$BA$300,COLUMN(),FALSE)),"")</f>
        <v>#N/A</v>
      </c>
      <c r="G30" s="14" t="e">
        <f ca="1">IF($A30&lt;&gt;"",IF(VLOOKUP($A30,貼り付け用!$A$1:$BA$300,COLUMN(),FALSE)=0,"",VLOOKUP($A30,貼り付け用!$A$1:$BA$300,COLUMN(),FALSE)),"")</f>
        <v>#N/A</v>
      </c>
      <c r="H30" s="14" t="e">
        <f ca="1">IF($A30&lt;&gt;"",IF(VLOOKUP($A30,貼り付け用!$A$1:$BA$300,COLUMN(),FALSE)=0,"",VLOOKUP($A30,貼り付け用!$A$1:$BA$300,COLUMN(),FALSE)),"")</f>
        <v>#N/A</v>
      </c>
      <c r="I30" s="14" t="e">
        <f ca="1">IF($A30&lt;&gt;"",IF(VLOOKUP($A30,貼り付け用!$A$1:$BA$300,COLUMN(),FALSE)=0,"",VLOOKUP($A30,貼り付け用!$A$1:$BA$300,COLUMN(),FALSE)),"")</f>
        <v>#N/A</v>
      </c>
      <c r="J30" s="14" t="e">
        <f ca="1">IF($A30&lt;&gt;"",IF(VLOOKUP($A30,貼り付け用!$A$1:$BA$300,COLUMN(),FALSE)=0,"",VLOOKUP($A30,貼り付け用!$A$1:$BA$300,COLUMN(),FALSE)),"")</f>
        <v>#N/A</v>
      </c>
      <c r="K30" s="14" t="e">
        <f ca="1">IF($A30&lt;&gt;"",IF(VLOOKUP($A30,貼り付け用!$A$1:$BA$300,COLUMN(),FALSE)=0,"",VLOOKUP($A30,貼り付け用!$A$1:$BA$300,COLUMN(),FALSE)),"")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61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IF($A31&lt;&gt;"",IF(VLOOKUP($A31,貼り付け用!$A$1:$BA$300,COLUMN(),FALSE)=0,"",VLOOKUP($A31,貼り付け用!$A$1:$BA$300,COLUMN(),FALSE)),"")</f>
        <v>#N/A</v>
      </c>
      <c r="C31" s="3" t="e">
        <f ca="1">IF($A31&lt;&gt;"",IF(VLOOKUP($A31,貼り付け用!$A$1:$BA$300,COLUMN(),FALSE)=0,"",VLOOKUP($A31,貼り付け用!$A$1:$BA$300,COLUMN(),FALSE)),"")</f>
        <v>#N/A</v>
      </c>
      <c r="D31" s="3" t="e">
        <f ca="1">IF($A31&lt;&gt;"",IF(VLOOKUP($A31,貼り付け用!$A$1:$BA$300,COLUMN(),FALSE)=0,"",VLOOKUP($A31,貼り付け用!$A$1:$BA$300,COLUMN(),FALSE)),"")</f>
        <v>#N/A</v>
      </c>
      <c r="E31" s="3" t="e">
        <f ca="1">IF($A31&lt;&gt;"",IF(VLOOKUP($A31,貼り付け用!$A$1:$BA$300,COLUMN(),FALSE)=0,"",VLOOKUP($A31,貼り付け用!$A$1:$BA$300,COLUMN(),FALSE)),"")</f>
        <v>#N/A</v>
      </c>
      <c r="F31" s="3" t="e">
        <f ca="1">IF($A31&lt;&gt;"",IF(VLOOKUP($A31,貼り付け用!$A$1:$BA$300,COLUMN(),FALSE)=0,"",VLOOKUP($A31,貼り付け用!$A$1:$BA$300,COLUMN(),FALSE)),"")</f>
        <v>#N/A</v>
      </c>
      <c r="G31" s="3" t="e">
        <f ca="1">IF($A31&lt;&gt;"",IF(VLOOKUP($A31,貼り付け用!$A$1:$BA$300,COLUMN(),FALSE)=0,"",VLOOKUP($A31,貼り付け用!$A$1:$BA$300,COLUMN(),FALSE)),"")</f>
        <v>#N/A</v>
      </c>
      <c r="H31" s="3" t="e">
        <f ca="1">IF($A31&lt;&gt;"",IF(VLOOKUP($A31,貼り付け用!$A$1:$BA$300,COLUMN(),FALSE)=0,"",VLOOKUP($A31,貼り付け用!$A$1:$BA$300,COLUMN(),FALSE)),"")</f>
        <v>#N/A</v>
      </c>
      <c r="I31" s="3" t="e">
        <f ca="1">IF($A31&lt;&gt;"",IF(VLOOKUP($A31,貼り付け用!$A$1:$BA$300,COLUMN(),FALSE)=0,"",VLOOKUP($A31,貼り付け用!$A$1:$BA$300,COLUMN(),FALSE)),"")</f>
        <v>#N/A</v>
      </c>
      <c r="J31" s="3" t="e">
        <f ca="1">IF($A31&lt;&gt;"",IF(VLOOKUP($A31,貼り付け用!$A$1:$BA$300,COLUMN(),FALSE)=0,"",VLOOKUP($A31,貼り付け用!$A$1:$BA$300,COLUMN(),FALSE)),"")</f>
        <v>#N/A</v>
      </c>
      <c r="K31" s="3" t="e">
        <f ca="1">IF($A31&lt;&gt;"",IF(VLOOKUP($A31,貼り付け用!$A$1:$BA$300,COLUMN(),FALSE)=0,"",VLOOKUP($A31,貼り付け用!$A$1:$BA$300,COLUMN(),FALSE)),"")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61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IF($A32&lt;&gt;"",IF(VLOOKUP($A32,貼り付け用!$A$1:$BA$300,COLUMN(),FALSE)=0,"",VLOOKUP($A32,貼り付け用!$A$1:$BA$300,COLUMN(),FALSE)),"")</f>
        <v>#N/A</v>
      </c>
      <c r="C32" s="14" t="e">
        <f ca="1">IF($A32&lt;&gt;"",IF(VLOOKUP($A32,貼り付け用!$A$1:$BA$300,COLUMN(),FALSE)=0,"",VLOOKUP($A32,貼り付け用!$A$1:$BA$300,COLUMN(),FALSE)),"")</f>
        <v>#N/A</v>
      </c>
      <c r="D32" s="14" t="e">
        <f ca="1">IF($A32&lt;&gt;"",IF(VLOOKUP($A32,貼り付け用!$A$1:$BA$300,COLUMN(),FALSE)=0,"",VLOOKUP($A32,貼り付け用!$A$1:$BA$300,COLUMN(),FALSE)),"")</f>
        <v>#N/A</v>
      </c>
      <c r="E32" s="14" t="e">
        <f ca="1">IF($A32&lt;&gt;"",IF(VLOOKUP($A32,貼り付け用!$A$1:$BA$300,COLUMN(),FALSE)=0,"",VLOOKUP($A32,貼り付け用!$A$1:$BA$300,COLUMN(),FALSE)),"")</f>
        <v>#N/A</v>
      </c>
      <c r="F32" s="14" t="e">
        <f ca="1">IF($A32&lt;&gt;"",IF(VLOOKUP($A32,貼り付け用!$A$1:$BA$300,COLUMN(),FALSE)=0,"",VLOOKUP($A32,貼り付け用!$A$1:$BA$300,COLUMN(),FALSE)),"")</f>
        <v>#N/A</v>
      </c>
      <c r="G32" s="14" t="e">
        <f ca="1">IF($A32&lt;&gt;"",IF(VLOOKUP($A32,貼り付け用!$A$1:$BA$300,COLUMN(),FALSE)=0,"",VLOOKUP($A32,貼り付け用!$A$1:$BA$300,COLUMN(),FALSE)),"")</f>
        <v>#N/A</v>
      </c>
      <c r="H32" s="14" t="e">
        <f ca="1">IF($A32&lt;&gt;"",IF(VLOOKUP($A32,貼り付け用!$A$1:$BA$300,COLUMN(),FALSE)=0,"",VLOOKUP($A32,貼り付け用!$A$1:$BA$300,COLUMN(),FALSE)),"")</f>
        <v>#N/A</v>
      </c>
      <c r="I32" s="14" t="e">
        <f ca="1">IF($A32&lt;&gt;"",IF(VLOOKUP($A32,貼り付け用!$A$1:$BA$300,COLUMN(),FALSE)=0,"",VLOOKUP($A32,貼り付け用!$A$1:$BA$300,COLUMN(),FALSE)),"")</f>
        <v>#N/A</v>
      </c>
      <c r="J32" s="14" t="e">
        <f ca="1">IF($A32&lt;&gt;"",IF(VLOOKUP($A32,貼り付け用!$A$1:$BA$300,COLUMN(),FALSE)=0,"",VLOOKUP($A32,貼り付け用!$A$1:$BA$300,COLUMN(),FALSE)),"")</f>
        <v>#N/A</v>
      </c>
      <c r="K32" s="14" t="e">
        <f ca="1">IF($A32&lt;&gt;"",IF(VLOOKUP($A32,貼り付け用!$A$1:$BA$300,COLUMN(),FALSE)=0,"",VLOOKUP($A32,貼り付け用!$A$1:$BA$300,COLUMN(),FALSE)),"")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61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IF($A33&lt;&gt;"",IF(VLOOKUP($A33,貼り付け用!$A$1:$BA$300,COLUMN(),FALSE)=0,"",VLOOKUP($A33,貼り付け用!$A$1:$BA$300,COLUMN(),FALSE)),"")</f>
        <v>#N/A</v>
      </c>
      <c r="C33" s="3" t="e">
        <f ca="1">IF($A33&lt;&gt;"",IF(VLOOKUP($A33,貼り付け用!$A$1:$BA$300,COLUMN(),FALSE)=0,"",VLOOKUP($A33,貼り付け用!$A$1:$BA$300,COLUMN(),FALSE)),"")</f>
        <v>#N/A</v>
      </c>
      <c r="D33" s="3" t="e">
        <f ca="1">IF($A33&lt;&gt;"",IF(VLOOKUP($A33,貼り付け用!$A$1:$BA$300,COLUMN(),FALSE)=0,"",VLOOKUP($A33,貼り付け用!$A$1:$BA$300,COLUMN(),FALSE)),"")</f>
        <v>#N/A</v>
      </c>
      <c r="E33" s="3" t="e">
        <f ca="1">IF($A33&lt;&gt;"",IF(VLOOKUP($A33,貼り付け用!$A$1:$BA$300,COLUMN(),FALSE)=0,"",VLOOKUP($A33,貼り付け用!$A$1:$BA$300,COLUMN(),FALSE)),"")</f>
        <v>#N/A</v>
      </c>
      <c r="F33" s="3" t="e">
        <f ca="1">IF($A33&lt;&gt;"",IF(VLOOKUP($A33,貼り付け用!$A$1:$BA$300,COLUMN(),FALSE)=0,"",VLOOKUP($A33,貼り付け用!$A$1:$BA$300,COLUMN(),FALSE)),"")</f>
        <v>#N/A</v>
      </c>
      <c r="G33" s="3" t="e">
        <f ca="1">IF($A33&lt;&gt;"",IF(VLOOKUP($A33,貼り付け用!$A$1:$BA$300,COLUMN(),FALSE)=0,"",VLOOKUP($A33,貼り付け用!$A$1:$BA$300,COLUMN(),FALSE)),"")</f>
        <v>#N/A</v>
      </c>
      <c r="H33" s="3" t="e">
        <f ca="1">IF($A33&lt;&gt;"",IF(VLOOKUP($A33,貼り付け用!$A$1:$BA$300,COLUMN(),FALSE)=0,"",VLOOKUP($A33,貼り付け用!$A$1:$BA$300,COLUMN(),FALSE)),"")</f>
        <v>#N/A</v>
      </c>
      <c r="I33" s="3" t="e">
        <f ca="1">IF($A33&lt;&gt;"",IF(VLOOKUP($A33,貼り付け用!$A$1:$BA$300,COLUMN(),FALSE)=0,"",VLOOKUP($A33,貼り付け用!$A$1:$BA$300,COLUMN(),FALSE)),"")</f>
        <v>#N/A</v>
      </c>
      <c r="J33" s="3" t="e">
        <f ca="1">IF($A33&lt;&gt;"",IF(VLOOKUP($A33,貼り付け用!$A$1:$BA$300,COLUMN(),FALSE)=0,"",VLOOKUP($A33,貼り付け用!$A$1:$BA$300,COLUMN(),FALSE)),"")</f>
        <v>#N/A</v>
      </c>
      <c r="K33" s="3" t="e">
        <f ca="1">IF($A33&lt;&gt;"",IF(VLOOKUP($A33,貼り付け用!$A$1:$BA$300,COLUMN(),FALSE)=0,"",VLOOKUP($A33,貼り付け用!$A$1:$BA$300,COLUMN(),FALSE)),"")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61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IF($A34&lt;&gt;"",IF(VLOOKUP($A34,貼り付け用!$A$1:$BA$300,COLUMN(),FALSE)=0,"",VLOOKUP($A34,貼り付け用!$A$1:$BA$300,COLUMN(),FALSE)),"")</f>
        <v>#N/A</v>
      </c>
      <c r="C34" s="14" t="e">
        <f ca="1">IF($A34&lt;&gt;"",IF(VLOOKUP($A34,貼り付け用!$A$1:$BA$300,COLUMN(),FALSE)=0,"",VLOOKUP($A34,貼り付け用!$A$1:$BA$300,COLUMN(),FALSE)),"")</f>
        <v>#N/A</v>
      </c>
      <c r="D34" s="14" t="e">
        <f ca="1">IF($A34&lt;&gt;"",IF(VLOOKUP($A34,貼り付け用!$A$1:$BA$300,COLUMN(),FALSE)=0,"",VLOOKUP($A34,貼り付け用!$A$1:$BA$300,COLUMN(),FALSE)),"")</f>
        <v>#N/A</v>
      </c>
      <c r="E34" s="14" t="e">
        <f ca="1">IF($A34&lt;&gt;"",IF(VLOOKUP($A34,貼り付け用!$A$1:$BA$300,COLUMN(),FALSE)=0,"",VLOOKUP($A34,貼り付け用!$A$1:$BA$300,COLUMN(),FALSE)),"")</f>
        <v>#N/A</v>
      </c>
      <c r="F34" s="14" t="e">
        <f ca="1">IF($A34&lt;&gt;"",IF(VLOOKUP($A34,貼り付け用!$A$1:$BA$300,COLUMN(),FALSE)=0,"",VLOOKUP($A34,貼り付け用!$A$1:$BA$300,COLUMN(),FALSE)),"")</f>
        <v>#N/A</v>
      </c>
      <c r="G34" s="14" t="e">
        <f ca="1">IF($A34&lt;&gt;"",IF(VLOOKUP($A34,貼り付け用!$A$1:$BA$300,COLUMN(),FALSE)=0,"",VLOOKUP($A34,貼り付け用!$A$1:$BA$300,COLUMN(),FALSE)),"")</f>
        <v>#N/A</v>
      </c>
      <c r="H34" s="14" t="e">
        <f ca="1">IF($A34&lt;&gt;"",IF(VLOOKUP($A34,貼り付け用!$A$1:$BA$300,COLUMN(),FALSE)=0,"",VLOOKUP($A34,貼り付け用!$A$1:$BA$300,COLUMN(),FALSE)),"")</f>
        <v>#N/A</v>
      </c>
      <c r="I34" s="14" t="e">
        <f ca="1">IF($A34&lt;&gt;"",IF(VLOOKUP($A34,貼り付け用!$A$1:$BA$300,COLUMN(),FALSE)=0,"",VLOOKUP($A34,貼り付け用!$A$1:$BA$300,COLUMN(),FALSE)),"")</f>
        <v>#N/A</v>
      </c>
      <c r="J34" s="14" t="e">
        <f ca="1">IF($A34&lt;&gt;"",IF(VLOOKUP($A34,貼り付け用!$A$1:$BA$300,COLUMN(),FALSE)=0,"",VLOOKUP($A34,貼り付け用!$A$1:$BA$300,COLUMN(),FALSE)),"")</f>
        <v>#N/A</v>
      </c>
      <c r="K34" s="14" t="e">
        <f ca="1">IF($A34&lt;&gt;"",IF(VLOOKUP($A34,貼り付け用!$A$1:$BA$300,COLUMN(),FALSE)=0,"",VLOOKUP($A34,貼り付け用!$A$1:$BA$300,COLUMN(),FALSE)),"")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61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IF($A35&lt;&gt;"",IF(VLOOKUP($A35,貼り付け用!$A$1:$BA$300,COLUMN(),FALSE)=0,"",VLOOKUP($A35,貼り付け用!$A$1:$BA$300,COLUMN(),FALSE)),"")</f>
        <v>#N/A</v>
      </c>
      <c r="C35" s="3" t="e">
        <f ca="1">IF($A35&lt;&gt;"",IF(VLOOKUP($A35,貼り付け用!$A$1:$BA$300,COLUMN(),FALSE)=0,"",VLOOKUP($A35,貼り付け用!$A$1:$BA$300,COLUMN(),FALSE)),"")</f>
        <v>#N/A</v>
      </c>
      <c r="D35" s="3" t="e">
        <f ca="1">IF($A35&lt;&gt;"",IF(VLOOKUP($A35,貼り付け用!$A$1:$BA$300,COLUMN(),FALSE)=0,"",VLOOKUP($A35,貼り付け用!$A$1:$BA$300,COLUMN(),FALSE)),"")</f>
        <v>#N/A</v>
      </c>
      <c r="E35" s="3" t="e">
        <f ca="1">IF($A35&lt;&gt;"",IF(VLOOKUP($A35,貼り付け用!$A$1:$BA$300,COLUMN(),FALSE)=0,"",VLOOKUP($A35,貼り付け用!$A$1:$BA$300,COLUMN(),FALSE)),"")</f>
        <v>#N/A</v>
      </c>
      <c r="F35" s="3" t="e">
        <f ca="1">IF($A35&lt;&gt;"",IF(VLOOKUP($A35,貼り付け用!$A$1:$BA$300,COLUMN(),FALSE)=0,"",VLOOKUP($A35,貼り付け用!$A$1:$BA$300,COLUMN(),FALSE)),"")</f>
        <v>#N/A</v>
      </c>
      <c r="G35" s="3" t="e">
        <f ca="1">IF($A35&lt;&gt;"",IF(VLOOKUP($A35,貼り付け用!$A$1:$BA$300,COLUMN(),FALSE)=0,"",VLOOKUP($A35,貼り付け用!$A$1:$BA$300,COLUMN(),FALSE)),"")</f>
        <v>#N/A</v>
      </c>
      <c r="H35" s="3" t="e">
        <f ca="1">IF($A35&lt;&gt;"",IF(VLOOKUP($A35,貼り付け用!$A$1:$BA$300,COLUMN(),FALSE)=0,"",VLOOKUP($A35,貼り付け用!$A$1:$BA$300,COLUMN(),FALSE)),"")</f>
        <v>#N/A</v>
      </c>
      <c r="I35" s="3" t="e">
        <f ca="1">IF($A35&lt;&gt;"",IF(VLOOKUP($A35,貼り付け用!$A$1:$BA$300,COLUMN(),FALSE)=0,"",VLOOKUP($A35,貼り付け用!$A$1:$BA$300,COLUMN(),FALSE)),"")</f>
        <v>#N/A</v>
      </c>
      <c r="J35" s="3" t="e">
        <f ca="1">IF($A35&lt;&gt;"",IF(VLOOKUP($A35,貼り付け用!$A$1:$BA$300,COLUMN(),FALSE)=0,"",VLOOKUP($A35,貼り付け用!$A$1:$BA$300,COLUMN(),FALSE)),"")</f>
        <v>#N/A</v>
      </c>
      <c r="K35" s="3" t="e">
        <f ca="1">IF($A35&lt;&gt;"",IF(VLOOKUP($A35,貼り付け用!$A$1:$BA$300,COLUMN(),FALSE)=0,"",VLOOKUP($A35,貼り付け用!$A$1:$BA$300,COLUMN(),FALSE)),"")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61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IF($A36&lt;&gt;"",IF(VLOOKUP($A36,貼り付け用!$A$1:$BA$300,COLUMN(),FALSE)=0,"",VLOOKUP($A36,貼り付け用!$A$1:$BA$300,COLUMN(),FALSE)),"")</f>
        <v>#N/A</v>
      </c>
      <c r="C36" s="14" t="e">
        <f ca="1">IF($A36&lt;&gt;"",IF(VLOOKUP($A36,貼り付け用!$A$1:$BA$300,COLUMN(),FALSE)=0,"",VLOOKUP($A36,貼り付け用!$A$1:$BA$300,COLUMN(),FALSE)),"")</f>
        <v>#N/A</v>
      </c>
      <c r="D36" s="14" t="e">
        <f ca="1">IF($A36&lt;&gt;"",IF(VLOOKUP($A36,貼り付け用!$A$1:$BA$300,COLUMN(),FALSE)=0,"",VLOOKUP($A36,貼り付け用!$A$1:$BA$300,COLUMN(),FALSE)),"")</f>
        <v>#N/A</v>
      </c>
      <c r="E36" s="14" t="e">
        <f ca="1">IF($A36&lt;&gt;"",IF(VLOOKUP($A36,貼り付け用!$A$1:$BA$300,COLUMN(),FALSE)=0,"",VLOOKUP($A36,貼り付け用!$A$1:$BA$300,COLUMN(),FALSE)),"")</f>
        <v>#N/A</v>
      </c>
      <c r="F36" s="14" t="e">
        <f ca="1">IF($A36&lt;&gt;"",IF(VLOOKUP($A36,貼り付け用!$A$1:$BA$300,COLUMN(),FALSE)=0,"",VLOOKUP($A36,貼り付け用!$A$1:$BA$300,COLUMN(),FALSE)),"")</f>
        <v>#N/A</v>
      </c>
      <c r="G36" s="14" t="e">
        <f ca="1">IF($A36&lt;&gt;"",IF(VLOOKUP($A36,貼り付け用!$A$1:$BA$300,COLUMN(),FALSE)=0,"",VLOOKUP($A36,貼り付け用!$A$1:$BA$300,COLUMN(),FALSE)),"")</f>
        <v>#N/A</v>
      </c>
      <c r="H36" s="14" t="e">
        <f ca="1">IF($A36&lt;&gt;"",IF(VLOOKUP($A36,貼り付け用!$A$1:$BA$300,COLUMN(),FALSE)=0,"",VLOOKUP($A36,貼り付け用!$A$1:$BA$300,COLUMN(),FALSE)),"")</f>
        <v>#N/A</v>
      </c>
      <c r="I36" s="14" t="e">
        <f ca="1">IF($A36&lt;&gt;"",IF(VLOOKUP($A36,貼り付け用!$A$1:$BA$300,COLUMN(),FALSE)=0,"",VLOOKUP($A36,貼り付け用!$A$1:$BA$300,COLUMN(),FALSE)),"")</f>
        <v>#N/A</v>
      </c>
      <c r="J36" s="14" t="e">
        <f ca="1">IF($A36&lt;&gt;"",IF(VLOOKUP($A36,貼り付け用!$A$1:$BA$300,COLUMN(),FALSE)=0,"",VLOOKUP($A36,貼り付け用!$A$1:$BA$300,COLUMN(),FALSE)),"")</f>
        <v>#N/A</v>
      </c>
      <c r="K36" s="14" t="e">
        <f ca="1">IF($A36&lt;&gt;"",IF(VLOOKUP($A36,貼り付け用!$A$1:$BA$300,COLUMN(),FALSE)=0,"",VLOOKUP($A36,貼り付け用!$A$1:$BA$300,COLUMN(),FALSE)),"")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61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IF($A37&lt;&gt;"",IF(VLOOKUP($A37,貼り付け用!$A$1:$BA$300,COLUMN(),FALSE)=0,"",VLOOKUP($A37,貼り付け用!$A$1:$BA$300,COLUMN(),FALSE)),"")</f>
        <v>#N/A</v>
      </c>
      <c r="C37" s="3" t="e">
        <f ca="1">IF($A37&lt;&gt;"",IF(VLOOKUP($A37,貼り付け用!$A$1:$BA$300,COLUMN(),FALSE)=0,"",VLOOKUP($A37,貼り付け用!$A$1:$BA$300,COLUMN(),FALSE)),"")</f>
        <v>#N/A</v>
      </c>
      <c r="D37" s="3" t="e">
        <f ca="1">IF($A37&lt;&gt;"",IF(VLOOKUP($A37,貼り付け用!$A$1:$BA$300,COLUMN(),FALSE)=0,"",VLOOKUP($A37,貼り付け用!$A$1:$BA$300,COLUMN(),FALSE)),"")</f>
        <v>#N/A</v>
      </c>
      <c r="E37" s="3" t="e">
        <f ca="1">IF($A37&lt;&gt;"",IF(VLOOKUP($A37,貼り付け用!$A$1:$BA$300,COLUMN(),FALSE)=0,"",VLOOKUP($A37,貼り付け用!$A$1:$BA$300,COLUMN(),FALSE)),"")</f>
        <v>#N/A</v>
      </c>
      <c r="F37" s="3" t="e">
        <f ca="1">IF($A37&lt;&gt;"",IF(VLOOKUP($A37,貼り付け用!$A$1:$BA$300,COLUMN(),FALSE)=0,"",VLOOKUP($A37,貼り付け用!$A$1:$BA$300,COLUMN(),FALSE)),"")</f>
        <v>#N/A</v>
      </c>
      <c r="G37" s="3" t="e">
        <f ca="1">IF($A37&lt;&gt;"",IF(VLOOKUP($A37,貼り付け用!$A$1:$BA$300,COLUMN(),FALSE)=0,"",VLOOKUP($A37,貼り付け用!$A$1:$BA$300,COLUMN(),FALSE)),"")</f>
        <v>#N/A</v>
      </c>
      <c r="H37" s="3" t="e">
        <f ca="1">IF($A37&lt;&gt;"",IF(VLOOKUP($A37,貼り付け用!$A$1:$BA$300,COLUMN(),FALSE)=0,"",VLOOKUP($A37,貼り付け用!$A$1:$BA$300,COLUMN(),FALSE)),"")</f>
        <v>#N/A</v>
      </c>
      <c r="I37" s="3" t="e">
        <f ca="1">IF($A37&lt;&gt;"",IF(VLOOKUP($A37,貼り付け用!$A$1:$BA$300,COLUMN(),FALSE)=0,"",VLOOKUP($A37,貼り付け用!$A$1:$BA$300,COLUMN(),FALSE)),"")</f>
        <v>#N/A</v>
      </c>
      <c r="J37" s="3" t="e">
        <f ca="1">IF($A37&lt;&gt;"",IF(VLOOKUP($A37,貼り付け用!$A$1:$BA$300,COLUMN(),FALSE)=0,"",VLOOKUP($A37,貼り付け用!$A$1:$BA$300,COLUMN(),FALSE)),"")</f>
        <v>#N/A</v>
      </c>
      <c r="K37" s="3" t="e">
        <f ca="1">IF($A37&lt;&gt;"",IF(VLOOKUP($A37,貼り付け用!$A$1:$BA$300,COLUMN(),FALSE)=0,"",VLOOKUP($A37,貼り付け用!$A$1:$BA$300,COLUMN(),FALSE)),"")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61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IF($A38&lt;&gt;"",IF(VLOOKUP($A38,貼り付け用!$A$1:$BA$300,COLUMN(),FALSE)=0,"",VLOOKUP($A38,貼り付け用!$A$1:$BA$300,COLUMN(),FALSE)),"")</f>
        <v>#N/A</v>
      </c>
      <c r="C38" s="14" t="e">
        <f ca="1">IF($A38&lt;&gt;"",IF(VLOOKUP($A38,貼り付け用!$A$1:$BA$300,COLUMN(),FALSE)=0,"",VLOOKUP($A38,貼り付け用!$A$1:$BA$300,COLUMN(),FALSE)),"")</f>
        <v>#N/A</v>
      </c>
      <c r="D38" s="14" t="e">
        <f ca="1">IF($A38&lt;&gt;"",IF(VLOOKUP($A38,貼り付け用!$A$1:$BA$300,COLUMN(),FALSE)=0,"",VLOOKUP($A38,貼り付け用!$A$1:$BA$300,COLUMN(),FALSE)),"")</f>
        <v>#N/A</v>
      </c>
      <c r="E38" s="14" t="e">
        <f ca="1">IF($A38&lt;&gt;"",IF(VLOOKUP($A38,貼り付け用!$A$1:$BA$300,COLUMN(),FALSE)=0,"",VLOOKUP($A38,貼り付け用!$A$1:$BA$300,COLUMN(),FALSE)),"")</f>
        <v>#N/A</v>
      </c>
      <c r="F38" s="14" t="e">
        <f ca="1">IF($A38&lt;&gt;"",IF(VLOOKUP($A38,貼り付け用!$A$1:$BA$300,COLUMN(),FALSE)=0,"",VLOOKUP($A38,貼り付け用!$A$1:$BA$300,COLUMN(),FALSE)),"")</f>
        <v>#N/A</v>
      </c>
      <c r="G38" s="14" t="e">
        <f ca="1">IF($A38&lt;&gt;"",IF(VLOOKUP($A38,貼り付け用!$A$1:$BA$300,COLUMN(),FALSE)=0,"",VLOOKUP($A38,貼り付け用!$A$1:$BA$300,COLUMN(),FALSE)),"")</f>
        <v>#N/A</v>
      </c>
      <c r="H38" s="14" t="e">
        <f ca="1">IF($A38&lt;&gt;"",IF(VLOOKUP($A38,貼り付け用!$A$1:$BA$300,COLUMN(),FALSE)=0,"",VLOOKUP($A38,貼り付け用!$A$1:$BA$300,COLUMN(),FALSE)),"")</f>
        <v>#N/A</v>
      </c>
      <c r="I38" s="14" t="e">
        <f ca="1">IF($A38&lt;&gt;"",IF(VLOOKUP($A38,貼り付け用!$A$1:$BA$300,COLUMN(),FALSE)=0,"",VLOOKUP($A38,貼り付け用!$A$1:$BA$300,COLUMN(),FALSE)),"")</f>
        <v>#N/A</v>
      </c>
      <c r="J38" s="14" t="e">
        <f ca="1">IF($A38&lt;&gt;"",IF(VLOOKUP($A38,貼り付け用!$A$1:$BA$300,COLUMN(),FALSE)=0,"",VLOOKUP($A38,貼り付け用!$A$1:$BA$300,COLUMN(),FALSE)),"")</f>
        <v>#N/A</v>
      </c>
      <c r="K38" s="14" t="e">
        <f ca="1">IF($A38&lt;&gt;"",IF(VLOOKUP($A38,貼り付け用!$A$1:$BA$300,COLUMN(),FALSE)=0,"",VLOOKUP($A38,貼り付け用!$A$1:$BA$300,COLUMN(),FALSE)),"")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61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IF($A39&lt;&gt;"",IF(VLOOKUP($A39,貼り付け用!$A$1:$BA$300,COLUMN(),FALSE)=0,"",VLOOKUP($A39,貼り付け用!$A$1:$BA$300,COLUMN(),FALSE)),"")</f>
        <v>#N/A</v>
      </c>
      <c r="C39" s="3" t="e">
        <f ca="1">IF($A39&lt;&gt;"",IF(VLOOKUP($A39,貼り付け用!$A$1:$BA$300,COLUMN(),FALSE)=0,"",VLOOKUP($A39,貼り付け用!$A$1:$BA$300,COLUMN(),FALSE)),"")</f>
        <v>#N/A</v>
      </c>
      <c r="D39" s="3" t="e">
        <f ca="1">IF($A39&lt;&gt;"",IF(VLOOKUP($A39,貼り付け用!$A$1:$BA$300,COLUMN(),FALSE)=0,"",VLOOKUP($A39,貼り付け用!$A$1:$BA$300,COLUMN(),FALSE)),"")</f>
        <v>#N/A</v>
      </c>
      <c r="E39" s="3" t="e">
        <f ca="1">IF($A39&lt;&gt;"",IF(VLOOKUP($A39,貼り付け用!$A$1:$BA$300,COLUMN(),FALSE)=0,"",VLOOKUP($A39,貼り付け用!$A$1:$BA$300,COLUMN(),FALSE)),"")</f>
        <v>#N/A</v>
      </c>
      <c r="F39" s="3" t="e">
        <f ca="1">IF($A39&lt;&gt;"",IF(VLOOKUP($A39,貼り付け用!$A$1:$BA$300,COLUMN(),FALSE)=0,"",VLOOKUP($A39,貼り付け用!$A$1:$BA$300,COLUMN(),FALSE)),"")</f>
        <v>#N/A</v>
      </c>
      <c r="G39" s="3" t="e">
        <f ca="1">IF($A39&lt;&gt;"",IF(VLOOKUP($A39,貼り付け用!$A$1:$BA$300,COLUMN(),FALSE)=0,"",VLOOKUP($A39,貼り付け用!$A$1:$BA$300,COLUMN(),FALSE)),"")</f>
        <v>#N/A</v>
      </c>
      <c r="H39" s="3" t="e">
        <f ca="1">IF($A39&lt;&gt;"",IF(VLOOKUP($A39,貼り付け用!$A$1:$BA$300,COLUMN(),FALSE)=0,"",VLOOKUP($A39,貼り付け用!$A$1:$BA$300,COLUMN(),FALSE)),"")</f>
        <v>#N/A</v>
      </c>
      <c r="I39" s="3" t="e">
        <f ca="1">IF($A39&lt;&gt;"",IF(VLOOKUP($A39,貼り付け用!$A$1:$BA$300,COLUMN(),FALSE)=0,"",VLOOKUP($A39,貼り付け用!$A$1:$BA$300,COLUMN(),FALSE)),"")</f>
        <v>#N/A</v>
      </c>
      <c r="J39" s="3" t="e">
        <f ca="1">IF($A39&lt;&gt;"",IF(VLOOKUP($A39,貼り付け用!$A$1:$BA$300,COLUMN(),FALSE)=0,"",VLOOKUP($A39,貼り付け用!$A$1:$BA$300,COLUMN(),FALSE)),"")</f>
        <v>#N/A</v>
      </c>
      <c r="K39" s="3" t="e">
        <f ca="1">IF($A39&lt;&gt;"",IF(VLOOKUP($A39,貼り付け用!$A$1:$BA$300,COLUMN(),FALSE)=0,"",VLOOKUP($A39,貼り付け用!$A$1:$BA$300,COLUMN(),FALSE)),"")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61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IF($A40&lt;&gt;"",IF(VLOOKUP($A40,貼り付け用!$A$1:$BA$300,COLUMN(),FALSE)=0,"",VLOOKUP($A40,貼り付け用!$A$1:$BA$300,COLUMN(),FALSE)),"")</f>
        <v>#N/A</v>
      </c>
      <c r="C40" s="14" t="e">
        <f>IF($A40&lt;&gt;"",IF(VLOOKUP($A40,貼り付け用!$A$1:$BA$300,COLUMN(),FALSE)=0,"",VLOOKUP($A40,貼り付け用!$A$1:$BA$300,COLUMN(),FALSE)),"")</f>
        <v>#N/A</v>
      </c>
      <c r="D40" s="14" t="e">
        <f>IF($A40&lt;&gt;"",IF(VLOOKUP($A40,貼り付け用!$A$1:$BA$300,COLUMN(),FALSE)=0,"",VLOOKUP($A40,貼り付け用!$A$1:$BA$300,COLUMN(),FALSE)),"")</f>
        <v>#N/A</v>
      </c>
      <c r="E40" s="14" t="e">
        <f>IF($A40&lt;&gt;"",IF(VLOOKUP($A40,貼り付け用!$A$1:$BA$300,COLUMN(),FALSE)=0,"",VLOOKUP($A40,貼り付け用!$A$1:$BA$300,COLUMN(),FALSE)),"")</f>
        <v>#N/A</v>
      </c>
      <c r="F40" s="14" t="e">
        <f>IF($A40&lt;&gt;"",IF(VLOOKUP($A40,貼り付け用!$A$1:$BA$300,COLUMN(),FALSE)=0,"",VLOOKUP($A40,貼り付け用!$A$1:$BA$300,COLUMN(),FALSE)),"")</f>
        <v>#N/A</v>
      </c>
      <c r="G40" s="14" t="e">
        <f>IF($A40&lt;&gt;"",IF(VLOOKUP($A40,貼り付け用!$A$1:$BA$300,COLUMN(),FALSE)=0,"",VLOOKUP($A40,貼り付け用!$A$1:$BA$300,COLUMN(),FALSE)),"")</f>
        <v>#N/A</v>
      </c>
      <c r="H40" s="14" t="e">
        <f>IF($A40&lt;&gt;"",IF(VLOOKUP($A40,貼り付け用!$A$1:$BA$300,COLUMN(),FALSE)=0,"",VLOOKUP($A40,貼り付け用!$A$1:$BA$300,COLUMN(),FALSE)),"")</f>
        <v>#N/A</v>
      </c>
      <c r="I40" s="14" t="e">
        <f>IF($A40&lt;&gt;"",IF(VLOOKUP($A40,貼り付け用!$A$1:$BA$300,COLUMN(),FALSE)=0,"",VLOOKUP($A40,貼り付け用!$A$1:$BA$300,COLUMN(),FALSE)),"")</f>
        <v>#N/A</v>
      </c>
      <c r="J40" s="14" t="e">
        <f>IF($A40&lt;&gt;"",IF(VLOOKUP($A40,貼り付け用!$A$1:$BA$300,COLUMN(),FALSE)=0,"",VLOOKUP($A40,貼り付け用!$A$1:$BA$300,COLUMN(),FALSE)),"")</f>
        <v>#N/A</v>
      </c>
      <c r="K40" s="14" t="e">
        <f>IF($A40&lt;&gt;"",IF(VLOOKUP($A40,貼り付け用!$A$1:$BA$300,COLUMN(),FALSE)=0,"",VLOOKUP($A40,貼り付け用!$A$1:$BA$300,COLUMN(),FALSE)),"")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61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IF($A41&lt;&gt;"",IF(VLOOKUP($A41,貼り付け用!$A$1:$BA$300,COLUMN(),FALSE)=0,"",VLOOKUP($A41,貼り付け用!$A$1:$BA$300,COLUMN(),FALSE)),"")</f>
        <v>#N/A</v>
      </c>
      <c r="C41" s="3" t="e">
        <f>IF($A41&lt;&gt;"",IF(VLOOKUP($A41,貼り付け用!$A$1:$BA$300,COLUMN(),FALSE)=0,"",VLOOKUP($A41,貼り付け用!$A$1:$BA$300,COLUMN(),FALSE)),"")</f>
        <v>#N/A</v>
      </c>
      <c r="D41" s="3" t="e">
        <f>IF($A41&lt;&gt;"",IF(VLOOKUP($A41,貼り付け用!$A$1:$BA$300,COLUMN(),FALSE)=0,"",VLOOKUP($A41,貼り付け用!$A$1:$BA$300,COLUMN(),FALSE)),"")</f>
        <v>#N/A</v>
      </c>
      <c r="E41" s="3" t="e">
        <f>IF($A41&lt;&gt;"",IF(VLOOKUP($A41,貼り付け用!$A$1:$BA$300,COLUMN(),FALSE)=0,"",VLOOKUP($A41,貼り付け用!$A$1:$BA$300,COLUMN(),FALSE)),"")</f>
        <v>#N/A</v>
      </c>
      <c r="F41" s="3" t="e">
        <f>IF($A41&lt;&gt;"",IF(VLOOKUP($A41,貼り付け用!$A$1:$BA$300,COLUMN(),FALSE)=0,"",VLOOKUP($A41,貼り付け用!$A$1:$BA$300,COLUMN(),FALSE)),"")</f>
        <v>#N/A</v>
      </c>
      <c r="G41" s="3" t="e">
        <f>IF($A41&lt;&gt;"",IF(VLOOKUP($A41,貼り付け用!$A$1:$BA$300,COLUMN(),FALSE)=0,"",VLOOKUP($A41,貼り付け用!$A$1:$BA$300,COLUMN(),FALSE)),"")</f>
        <v>#N/A</v>
      </c>
      <c r="H41" s="3" t="e">
        <f>IF($A41&lt;&gt;"",IF(VLOOKUP($A41,貼り付け用!$A$1:$BA$300,COLUMN(),FALSE)=0,"",VLOOKUP($A41,貼り付け用!$A$1:$BA$300,COLUMN(),FALSE)),"")</f>
        <v>#N/A</v>
      </c>
      <c r="I41" s="3" t="e">
        <f>IF($A41&lt;&gt;"",IF(VLOOKUP($A41,貼り付け用!$A$1:$BA$300,COLUMN(),FALSE)=0,"",VLOOKUP($A41,貼り付け用!$A$1:$BA$300,COLUMN(),FALSE)),"")</f>
        <v>#N/A</v>
      </c>
      <c r="J41" s="3" t="e">
        <f>IF($A41&lt;&gt;"",IF(VLOOKUP($A41,貼り付け用!$A$1:$BA$300,COLUMN(),FALSE)=0,"",VLOOKUP($A41,貼り付け用!$A$1:$BA$300,COLUMN(),FALSE)),"")</f>
        <v>#N/A</v>
      </c>
      <c r="K41" s="3" t="e">
        <f>IF($A41&lt;&gt;"",IF(VLOOKUP($A41,貼り付け用!$A$1:$BA$300,COLUMN(),FALSE)=0,"",VLOOKUP($A41,貼り付け用!$A$1:$BA$300,COLUMN(),FALSE)),"")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61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IF($A42&lt;&gt;"",IF(VLOOKUP($A42,貼り付け用!$A$1:$BA$300,COLUMN(),FALSE)=0,"",VLOOKUP($A42,貼り付け用!$A$1:$BA$300,COLUMN(),FALSE)),"")</f>
        <v>#N/A</v>
      </c>
      <c r="C42" s="14" t="e">
        <f>IF($A42&lt;&gt;"",IF(VLOOKUP($A42,貼り付け用!$A$1:$BA$300,COLUMN(),FALSE)=0,"",VLOOKUP($A42,貼り付け用!$A$1:$BA$300,COLUMN(),FALSE)),"")</f>
        <v>#N/A</v>
      </c>
      <c r="D42" s="14" t="e">
        <f>IF($A42&lt;&gt;"",IF(VLOOKUP($A42,貼り付け用!$A$1:$BA$300,COLUMN(),FALSE)=0,"",VLOOKUP($A42,貼り付け用!$A$1:$BA$300,COLUMN(),FALSE)),"")</f>
        <v>#N/A</v>
      </c>
      <c r="E42" s="14" t="e">
        <f>IF($A42&lt;&gt;"",IF(VLOOKUP($A42,貼り付け用!$A$1:$BA$300,COLUMN(),FALSE)=0,"",VLOOKUP($A42,貼り付け用!$A$1:$BA$300,COLUMN(),FALSE)),"")</f>
        <v>#N/A</v>
      </c>
      <c r="F42" s="14" t="e">
        <f>IF($A42&lt;&gt;"",IF(VLOOKUP($A42,貼り付け用!$A$1:$BA$300,COLUMN(),FALSE)=0,"",VLOOKUP($A42,貼り付け用!$A$1:$BA$300,COLUMN(),FALSE)),"")</f>
        <v>#N/A</v>
      </c>
      <c r="G42" s="14" t="e">
        <f>IF($A42&lt;&gt;"",IF(VLOOKUP($A42,貼り付け用!$A$1:$BA$300,COLUMN(),FALSE)=0,"",VLOOKUP($A42,貼り付け用!$A$1:$BA$300,COLUMN(),FALSE)),"")</f>
        <v>#N/A</v>
      </c>
      <c r="H42" s="14" t="e">
        <f>IF($A42&lt;&gt;"",IF(VLOOKUP($A42,貼り付け用!$A$1:$BA$300,COLUMN(),FALSE)=0,"",VLOOKUP($A42,貼り付け用!$A$1:$BA$300,COLUMN(),FALSE)),"")</f>
        <v>#N/A</v>
      </c>
      <c r="I42" s="14" t="e">
        <f>IF($A42&lt;&gt;"",IF(VLOOKUP($A42,貼り付け用!$A$1:$BA$300,COLUMN(),FALSE)=0,"",VLOOKUP($A42,貼り付け用!$A$1:$BA$300,COLUMN(),FALSE)),"")</f>
        <v>#N/A</v>
      </c>
      <c r="J42" s="14" t="e">
        <f>IF($A42&lt;&gt;"",IF(VLOOKUP($A42,貼り付け用!$A$1:$BA$300,COLUMN(),FALSE)=0,"",VLOOKUP($A42,貼り付け用!$A$1:$BA$300,COLUMN(),FALSE)),"")</f>
        <v>#N/A</v>
      </c>
      <c r="K42" s="14" t="e">
        <f>IF($A42&lt;&gt;"",IF(VLOOKUP($A42,貼り付け用!$A$1:$BA$300,COLUMN(),FALSE)=0,"",VLOOKUP($A42,貼り付け用!$A$1:$BA$300,COLUMN(),FALSE)),"")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61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IF($A43&lt;&gt;"",IF(VLOOKUP($A43,貼り付け用!$A$1:$BA$300,COLUMN(),FALSE)=0,"",VLOOKUP($A43,貼り付け用!$A$1:$BA$300,COLUMN(),FALSE)),"")</f>
        <v>#N/A</v>
      </c>
      <c r="C43" s="3" t="e">
        <f>IF($A43&lt;&gt;"",IF(VLOOKUP($A43,貼り付け用!$A$1:$BA$300,COLUMN(),FALSE)=0,"",VLOOKUP($A43,貼り付け用!$A$1:$BA$300,COLUMN(),FALSE)),"")</f>
        <v>#N/A</v>
      </c>
      <c r="D43" s="3" t="e">
        <f>IF($A43&lt;&gt;"",IF(VLOOKUP($A43,貼り付け用!$A$1:$BA$300,COLUMN(),FALSE)=0,"",VLOOKUP($A43,貼り付け用!$A$1:$BA$300,COLUMN(),FALSE)),"")</f>
        <v>#N/A</v>
      </c>
      <c r="E43" s="3" t="e">
        <f>IF($A43&lt;&gt;"",IF(VLOOKUP($A43,貼り付け用!$A$1:$BA$300,COLUMN(),FALSE)=0,"",VLOOKUP($A43,貼り付け用!$A$1:$BA$300,COLUMN(),FALSE)),"")</f>
        <v>#N/A</v>
      </c>
      <c r="F43" s="3" t="e">
        <f>IF($A43&lt;&gt;"",IF(VLOOKUP($A43,貼り付け用!$A$1:$BA$300,COLUMN(),FALSE)=0,"",VLOOKUP($A43,貼り付け用!$A$1:$BA$300,COLUMN(),FALSE)),"")</f>
        <v>#N/A</v>
      </c>
      <c r="G43" s="3" t="e">
        <f>IF($A43&lt;&gt;"",IF(VLOOKUP($A43,貼り付け用!$A$1:$BA$300,COLUMN(),FALSE)=0,"",VLOOKUP($A43,貼り付け用!$A$1:$BA$300,COLUMN(),FALSE)),"")</f>
        <v>#N/A</v>
      </c>
      <c r="H43" s="3" t="e">
        <f>IF($A43&lt;&gt;"",IF(VLOOKUP($A43,貼り付け用!$A$1:$BA$300,COLUMN(),FALSE)=0,"",VLOOKUP($A43,貼り付け用!$A$1:$BA$300,COLUMN(),FALSE)),"")</f>
        <v>#N/A</v>
      </c>
      <c r="I43" s="3" t="e">
        <f>IF($A43&lt;&gt;"",IF(VLOOKUP($A43,貼り付け用!$A$1:$BA$300,COLUMN(),FALSE)=0,"",VLOOKUP($A43,貼り付け用!$A$1:$BA$300,COLUMN(),FALSE)),"")</f>
        <v>#N/A</v>
      </c>
      <c r="J43" s="3" t="e">
        <f>IF($A43&lt;&gt;"",IF(VLOOKUP($A43,貼り付け用!$A$1:$BA$300,COLUMN(),FALSE)=0,"",VLOOKUP($A43,貼り付け用!$A$1:$BA$300,COLUMN(),FALSE)),"")</f>
        <v>#N/A</v>
      </c>
      <c r="K43" s="3" t="e">
        <f>IF($A43&lt;&gt;"",IF(VLOOKUP($A43,貼り付け用!$A$1:$BA$300,COLUMN(),FALSE)=0,"",VLOOKUP($A43,貼り付け用!$A$1:$BA$300,COLUMN(),FALSE)),"")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61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IF($A44&lt;&gt;"",IF(VLOOKUP($A44,貼り付け用!$A$1:$BA$300,COLUMN(),FALSE)=0,"",VLOOKUP($A44,貼り付け用!$A$1:$BA$300,COLUMN(),FALSE)),"")</f>
        <v>#N/A</v>
      </c>
      <c r="C44" s="14" t="e">
        <f>IF($A44&lt;&gt;"",IF(VLOOKUP($A44,貼り付け用!$A$1:$BA$300,COLUMN(),FALSE)=0,"",VLOOKUP($A44,貼り付け用!$A$1:$BA$300,COLUMN(),FALSE)),"")</f>
        <v>#N/A</v>
      </c>
      <c r="D44" s="14" t="e">
        <f>IF($A44&lt;&gt;"",IF(VLOOKUP($A44,貼り付け用!$A$1:$BA$300,COLUMN(),FALSE)=0,"",VLOOKUP($A44,貼り付け用!$A$1:$BA$300,COLUMN(),FALSE)),"")</f>
        <v>#N/A</v>
      </c>
      <c r="E44" s="14" t="e">
        <f>IF($A44&lt;&gt;"",IF(VLOOKUP($A44,貼り付け用!$A$1:$BA$300,COLUMN(),FALSE)=0,"",VLOOKUP($A44,貼り付け用!$A$1:$BA$300,COLUMN(),FALSE)),"")</f>
        <v>#N/A</v>
      </c>
      <c r="F44" s="14" t="e">
        <f>IF($A44&lt;&gt;"",IF(VLOOKUP($A44,貼り付け用!$A$1:$BA$300,COLUMN(),FALSE)=0,"",VLOOKUP($A44,貼り付け用!$A$1:$BA$300,COLUMN(),FALSE)),"")</f>
        <v>#N/A</v>
      </c>
      <c r="G44" s="14" t="e">
        <f>IF($A44&lt;&gt;"",IF(VLOOKUP($A44,貼り付け用!$A$1:$BA$300,COLUMN(),FALSE)=0,"",VLOOKUP($A44,貼り付け用!$A$1:$BA$300,COLUMN(),FALSE)),"")</f>
        <v>#N/A</v>
      </c>
      <c r="H44" s="14" t="e">
        <f>IF($A44&lt;&gt;"",IF(VLOOKUP($A44,貼り付け用!$A$1:$BA$300,COLUMN(),FALSE)=0,"",VLOOKUP($A44,貼り付け用!$A$1:$BA$300,COLUMN(),FALSE)),"")</f>
        <v>#N/A</v>
      </c>
      <c r="I44" s="14" t="e">
        <f>IF($A44&lt;&gt;"",IF(VLOOKUP($A44,貼り付け用!$A$1:$BA$300,COLUMN(),FALSE)=0,"",VLOOKUP($A44,貼り付け用!$A$1:$BA$300,COLUMN(),FALSE)),"")</f>
        <v>#N/A</v>
      </c>
      <c r="J44" s="14" t="e">
        <f>IF($A44&lt;&gt;"",IF(VLOOKUP($A44,貼り付け用!$A$1:$BA$300,COLUMN(),FALSE)=0,"",VLOOKUP($A44,貼り付け用!$A$1:$BA$300,COLUMN(),FALSE)),"")</f>
        <v>#N/A</v>
      </c>
      <c r="K44" s="14" t="e">
        <f>IF($A44&lt;&gt;"",IF(VLOOKUP($A44,貼り付け用!$A$1:$BA$300,COLUMN(),FALSE)=0,"",VLOOKUP($A44,貼り付け用!$A$1:$BA$300,COLUMN(),FALSE)),"")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61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IF($A45&lt;&gt;"",IF(VLOOKUP($A45,貼り付け用!$A$1:$BA$300,COLUMN(),FALSE)=0,"",VLOOKUP($A45,貼り付け用!$A$1:$BA$300,COLUMN(),FALSE)),"")</f>
        <v>#N/A</v>
      </c>
      <c r="C45" s="3" t="e">
        <f>IF($A45&lt;&gt;"",IF(VLOOKUP($A45,貼り付け用!$A$1:$BA$300,COLUMN(),FALSE)=0,"",VLOOKUP($A45,貼り付け用!$A$1:$BA$300,COLUMN(),FALSE)),"")</f>
        <v>#N/A</v>
      </c>
      <c r="D45" s="3" t="e">
        <f>IF($A45&lt;&gt;"",IF(VLOOKUP($A45,貼り付け用!$A$1:$BA$300,COLUMN(),FALSE)=0,"",VLOOKUP($A45,貼り付け用!$A$1:$BA$300,COLUMN(),FALSE)),"")</f>
        <v>#N/A</v>
      </c>
      <c r="E45" s="3" t="e">
        <f>IF($A45&lt;&gt;"",IF(VLOOKUP($A45,貼り付け用!$A$1:$BA$300,COLUMN(),FALSE)=0,"",VLOOKUP($A45,貼り付け用!$A$1:$BA$300,COLUMN(),FALSE)),"")</f>
        <v>#N/A</v>
      </c>
      <c r="F45" s="3" t="e">
        <f>IF($A45&lt;&gt;"",IF(VLOOKUP($A45,貼り付け用!$A$1:$BA$300,COLUMN(),FALSE)=0,"",VLOOKUP($A45,貼り付け用!$A$1:$BA$300,COLUMN(),FALSE)),"")</f>
        <v>#N/A</v>
      </c>
      <c r="G45" s="3" t="e">
        <f>IF($A45&lt;&gt;"",IF(VLOOKUP($A45,貼り付け用!$A$1:$BA$300,COLUMN(),FALSE)=0,"",VLOOKUP($A45,貼り付け用!$A$1:$BA$300,COLUMN(),FALSE)),"")</f>
        <v>#N/A</v>
      </c>
      <c r="H45" s="3" t="e">
        <f>IF($A45&lt;&gt;"",IF(VLOOKUP($A45,貼り付け用!$A$1:$BA$300,COLUMN(),FALSE)=0,"",VLOOKUP($A45,貼り付け用!$A$1:$BA$300,COLUMN(),FALSE)),"")</f>
        <v>#N/A</v>
      </c>
      <c r="I45" s="3" t="e">
        <f>IF($A45&lt;&gt;"",IF(VLOOKUP($A45,貼り付け用!$A$1:$BA$300,COLUMN(),FALSE)=0,"",VLOOKUP($A45,貼り付け用!$A$1:$BA$300,COLUMN(),FALSE)),"")</f>
        <v>#N/A</v>
      </c>
      <c r="J45" s="3" t="e">
        <f>IF($A45&lt;&gt;"",IF(VLOOKUP($A45,貼り付け用!$A$1:$BA$300,COLUMN(),FALSE)=0,"",VLOOKUP($A45,貼り付け用!$A$1:$BA$300,COLUMN(),FALSE)),"")</f>
        <v>#N/A</v>
      </c>
      <c r="K45" s="3" t="e">
        <f>IF($A45&lt;&gt;"",IF(VLOOKUP($A45,貼り付け用!$A$1:$BA$300,COLUMN(),FALSE)=0,"",VLOOKUP($A45,貼り付け用!$A$1:$BA$300,COLUMN(),FALSE)),"")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61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IF($A46&lt;&gt;"",IF(VLOOKUP($A46,貼り付け用!$A$1:$BA$300,COLUMN(),FALSE)=0,"",VLOOKUP($A46,貼り付け用!$A$1:$BA$300,COLUMN(),FALSE)),"")</f>
        <v>#N/A</v>
      </c>
      <c r="C46" s="14" t="e">
        <f>IF($A46&lt;&gt;"",IF(VLOOKUP($A46,貼り付け用!$A$1:$BA$300,COLUMN(),FALSE)=0,"",VLOOKUP($A46,貼り付け用!$A$1:$BA$300,COLUMN(),FALSE)),"")</f>
        <v>#N/A</v>
      </c>
      <c r="D46" s="14" t="e">
        <f>IF($A46&lt;&gt;"",IF(VLOOKUP($A46,貼り付け用!$A$1:$BA$300,COLUMN(),FALSE)=0,"",VLOOKUP($A46,貼り付け用!$A$1:$BA$300,COLUMN(),FALSE)),"")</f>
        <v>#N/A</v>
      </c>
      <c r="E46" s="14" t="e">
        <f>IF($A46&lt;&gt;"",IF(VLOOKUP($A46,貼り付け用!$A$1:$BA$300,COLUMN(),FALSE)=0,"",VLOOKUP($A46,貼り付け用!$A$1:$BA$300,COLUMN(),FALSE)),"")</f>
        <v>#N/A</v>
      </c>
      <c r="F46" s="14" t="e">
        <f>IF($A46&lt;&gt;"",IF(VLOOKUP($A46,貼り付け用!$A$1:$BA$300,COLUMN(),FALSE)=0,"",VLOOKUP($A46,貼り付け用!$A$1:$BA$300,COLUMN(),FALSE)),"")</f>
        <v>#N/A</v>
      </c>
      <c r="G46" s="14" t="e">
        <f>IF($A46&lt;&gt;"",IF(VLOOKUP($A46,貼り付け用!$A$1:$BA$300,COLUMN(),FALSE)=0,"",VLOOKUP($A46,貼り付け用!$A$1:$BA$300,COLUMN(),FALSE)),"")</f>
        <v>#N/A</v>
      </c>
      <c r="H46" s="14" t="e">
        <f>IF($A46&lt;&gt;"",IF(VLOOKUP($A46,貼り付け用!$A$1:$BA$300,COLUMN(),FALSE)=0,"",VLOOKUP($A46,貼り付け用!$A$1:$BA$300,COLUMN(),FALSE)),"")</f>
        <v>#N/A</v>
      </c>
      <c r="I46" s="14" t="e">
        <f>IF($A46&lt;&gt;"",IF(VLOOKUP($A46,貼り付け用!$A$1:$BA$300,COLUMN(),FALSE)=0,"",VLOOKUP($A46,貼り付け用!$A$1:$BA$300,COLUMN(),FALSE)),"")</f>
        <v>#N/A</v>
      </c>
      <c r="J46" s="14" t="e">
        <f>IF($A46&lt;&gt;"",IF(VLOOKUP($A46,貼り付け用!$A$1:$BA$300,COLUMN(),FALSE)=0,"",VLOOKUP($A46,貼り付け用!$A$1:$BA$300,COLUMN(),FALSE)),"")</f>
        <v>#N/A</v>
      </c>
      <c r="K46" s="14" t="e">
        <f>IF($A46&lt;&gt;"",IF(VLOOKUP($A46,貼り付け用!$A$1:$BA$300,COLUMN(),FALSE)=0,"",VLOOKUP($A46,貼り付け用!$A$1:$BA$300,COLUMN(),FALSE)),"")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61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IF($A47&lt;&gt;"",IF(VLOOKUP($A47,貼り付け用!$A$1:$BA$300,COLUMN(),FALSE)=0,"",VLOOKUP($A47,貼り付け用!$A$1:$BA$300,COLUMN(),FALSE)),"")</f>
        <v>#N/A</v>
      </c>
      <c r="C47" s="3" t="e">
        <f>IF($A47&lt;&gt;"",IF(VLOOKUP($A47,貼り付け用!$A$1:$BA$300,COLUMN(),FALSE)=0,"",VLOOKUP($A47,貼り付け用!$A$1:$BA$300,COLUMN(),FALSE)),"")</f>
        <v>#N/A</v>
      </c>
      <c r="D47" s="3" t="e">
        <f>IF($A47&lt;&gt;"",IF(VLOOKUP($A47,貼り付け用!$A$1:$BA$300,COLUMN(),FALSE)=0,"",VLOOKUP($A47,貼り付け用!$A$1:$BA$300,COLUMN(),FALSE)),"")</f>
        <v>#N/A</v>
      </c>
      <c r="E47" s="3" t="e">
        <f>IF($A47&lt;&gt;"",IF(VLOOKUP($A47,貼り付け用!$A$1:$BA$300,COLUMN(),FALSE)=0,"",VLOOKUP($A47,貼り付け用!$A$1:$BA$300,COLUMN(),FALSE)),"")</f>
        <v>#N/A</v>
      </c>
      <c r="F47" s="3" t="e">
        <f>IF($A47&lt;&gt;"",IF(VLOOKUP($A47,貼り付け用!$A$1:$BA$300,COLUMN(),FALSE)=0,"",VLOOKUP($A47,貼り付け用!$A$1:$BA$300,COLUMN(),FALSE)),"")</f>
        <v>#N/A</v>
      </c>
      <c r="G47" s="3" t="e">
        <f>IF($A47&lt;&gt;"",IF(VLOOKUP($A47,貼り付け用!$A$1:$BA$300,COLUMN(),FALSE)=0,"",VLOOKUP($A47,貼り付け用!$A$1:$BA$300,COLUMN(),FALSE)),"")</f>
        <v>#N/A</v>
      </c>
      <c r="H47" s="3" t="e">
        <f>IF($A47&lt;&gt;"",IF(VLOOKUP($A47,貼り付け用!$A$1:$BA$300,COLUMN(),FALSE)=0,"",VLOOKUP($A47,貼り付け用!$A$1:$BA$300,COLUMN(),FALSE)),"")</f>
        <v>#N/A</v>
      </c>
      <c r="I47" s="3" t="e">
        <f>IF($A47&lt;&gt;"",IF(VLOOKUP($A47,貼り付け用!$A$1:$BA$300,COLUMN(),FALSE)=0,"",VLOOKUP($A47,貼り付け用!$A$1:$BA$300,COLUMN(),FALSE)),"")</f>
        <v>#N/A</v>
      </c>
      <c r="J47" s="3" t="e">
        <f>IF($A47&lt;&gt;"",IF(VLOOKUP($A47,貼り付け用!$A$1:$BA$300,COLUMN(),FALSE)=0,"",VLOOKUP($A47,貼り付け用!$A$1:$BA$300,COLUMN(),FALSE)),"")</f>
        <v>#N/A</v>
      </c>
      <c r="K47" s="3" t="e">
        <f>IF($A47&lt;&gt;"",IF(VLOOKUP($A47,貼り付け用!$A$1:$BA$300,COLUMN(),FALSE)=0,"",VLOOKUP($A47,貼り付け用!$A$1:$BA$300,COLUMN(),FALSE)),"")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61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IF($A48&lt;&gt;"",IF(VLOOKUP($A48,貼り付け用!$A$1:$BA$300,COLUMN(),FALSE)=0,"",VLOOKUP($A48,貼り付け用!$A$1:$BA$300,COLUMN(),FALSE)),"")</f>
        <v>#N/A</v>
      </c>
      <c r="C48" s="14" t="e">
        <f>IF($A48&lt;&gt;"",IF(VLOOKUP($A48,貼り付け用!$A$1:$BA$300,COLUMN(),FALSE)=0,"",VLOOKUP($A48,貼り付け用!$A$1:$BA$300,COLUMN(),FALSE)),"")</f>
        <v>#N/A</v>
      </c>
      <c r="D48" s="14" t="e">
        <f>IF($A48&lt;&gt;"",IF(VLOOKUP($A48,貼り付け用!$A$1:$BA$300,COLUMN(),FALSE)=0,"",VLOOKUP($A48,貼り付け用!$A$1:$BA$300,COLUMN(),FALSE)),"")</f>
        <v>#N/A</v>
      </c>
      <c r="E48" s="14" t="e">
        <f>IF($A48&lt;&gt;"",IF(VLOOKUP($A48,貼り付け用!$A$1:$BA$300,COLUMN(),FALSE)=0,"",VLOOKUP($A48,貼り付け用!$A$1:$BA$300,COLUMN(),FALSE)),"")</f>
        <v>#N/A</v>
      </c>
      <c r="F48" s="14" t="e">
        <f>IF($A48&lt;&gt;"",IF(VLOOKUP($A48,貼り付け用!$A$1:$BA$300,COLUMN(),FALSE)=0,"",VLOOKUP($A48,貼り付け用!$A$1:$BA$300,COLUMN(),FALSE)),"")</f>
        <v>#N/A</v>
      </c>
      <c r="G48" s="14" t="e">
        <f>IF($A48&lt;&gt;"",IF(VLOOKUP($A48,貼り付け用!$A$1:$BA$300,COLUMN(),FALSE)=0,"",VLOOKUP($A48,貼り付け用!$A$1:$BA$300,COLUMN(),FALSE)),"")</f>
        <v>#N/A</v>
      </c>
      <c r="H48" s="14" t="e">
        <f>IF($A48&lt;&gt;"",IF(VLOOKUP($A48,貼り付け用!$A$1:$BA$300,COLUMN(),FALSE)=0,"",VLOOKUP($A48,貼り付け用!$A$1:$BA$300,COLUMN(),FALSE)),"")</f>
        <v>#N/A</v>
      </c>
      <c r="I48" s="14" t="e">
        <f>IF($A48&lt;&gt;"",IF(VLOOKUP($A48,貼り付け用!$A$1:$BA$300,COLUMN(),FALSE)=0,"",VLOOKUP($A48,貼り付け用!$A$1:$BA$300,COLUMN(),FALSE)),"")</f>
        <v>#N/A</v>
      </c>
      <c r="J48" s="14" t="e">
        <f>IF($A48&lt;&gt;"",IF(VLOOKUP($A48,貼り付け用!$A$1:$BA$300,COLUMN(),FALSE)=0,"",VLOOKUP($A48,貼り付け用!$A$1:$BA$300,COLUMN(),FALSE)),"")</f>
        <v>#N/A</v>
      </c>
      <c r="K48" s="14" t="e">
        <f>IF($A48&lt;&gt;"",IF(VLOOKUP($A48,貼り付け用!$A$1:$BA$300,COLUMN(),FALSE)=0,"",VLOOKUP($A48,貼り付け用!$A$1:$BA$300,COLUMN(),FALSE)),"")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61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IF($A49&lt;&gt;"",IF(VLOOKUP($A49,貼り付け用!$A$1:$BA$300,COLUMN(),FALSE)=0,"",VLOOKUP($A49,貼り付け用!$A$1:$BA$300,COLUMN(),FALSE)),"")</f>
        <v>#N/A</v>
      </c>
      <c r="C49" s="3" t="e">
        <f>IF($A49&lt;&gt;"",IF(VLOOKUP($A49,貼り付け用!$A$1:$BA$300,COLUMN(),FALSE)=0,"",VLOOKUP($A49,貼り付け用!$A$1:$BA$300,COLUMN(),FALSE)),"")</f>
        <v>#N/A</v>
      </c>
      <c r="D49" s="3" t="e">
        <f>IF($A49&lt;&gt;"",IF(VLOOKUP($A49,貼り付け用!$A$1:$BA$300,COLUMN(),FALSE)=0,"",VLOOKUP($A49,貼り付け用!$A$1:$BA$300,COLUMN(),FALSE)),"")</f>
        <v>#N/A</v>
      </c>
      <c r="E49" s="3" t="e">
        <f>IF($A49&lt;&gt;"",IF(VLOOKUP($A49,貼り付け用!$A$1:$BA$300,COLUMN(),FALSE)=0,"",VLOOKUP($A49,貼り付け用!$A$1:$BA$300,COLUMN(),FALSE)),"")</f>
        <v>#N/A</v>
      </c>
      <c r="F49" s="3" t="e">
        <f>IF($A49&lt;&gt;"",IF(VLOOKUP($A49,貼り付け用!$A$1:$BA$300,COLUMN(),FALSE)=0,"",VLOOKUP($A49,貼り付け用!$A$1:$BA$300,COLUMN(),FALSE)),"")</f>
        <v>#N/A</v>
      </c>
      <c r="G49" s="3" t="e">
        <f>IF($A49&lt;&gt;"",IF(VLOOKUP($A49,貼り付け用!$A$1:$BA$300,COLUMN(),FALSE)=0,"",VLOOKUP($A49,貼り付け用!$A$1:$BA$300,COLUMN(),FALSE)),"")</f>
        <v>#N/A</v>
      </c>
      <c r="H49" s="3" t="e">
        <f>IF($A49&lt;&gt;"",IF(VLOOKUP($A49,貼り付け用!$A$1:$BA$300,COLUMN(),FALSE)=0,"",VLOOKUP($A49,貼り付け用!$A$1:$BA$300,COLUMN(),FALSE)),"")</f>
        <v>#N/A</v>
      </c>
      <c r="I49" s="3" t="e">
        <f>IF($A49&lt;&gt;"",IF(VLOOKUP($A49,貼り付け用!$A$1:$BA$300,COLUMN(),FALSE)=0,"",VLOOKUP($A49,貼り付け用!$A$1:$BA$300,COLUMN(),FALSE)),"")</f>
        <v>#N/A</v>
      </c>
      <c r="J49" s="3" t="e">
        <f>IF($A49&lt;&gt;"",IF(VLOOKUP($A49,貼り付け用!$A$1:$BA$300,COLUMN(),FALSE)=0,"",VLOOKUP($A49,貼り付け用!$A$1:$BA$300,COLUMN(),FALSE)),"")</f>
        <v>#N/A</v>
      </c>
      <c r="K49" s="3" t="e">
        <f>IF($A49&lt;&gt;"",IF(VLOOKUP($A49,貼り付け用!$A$1:$BA$300,COLUMN(),FALSE)=0,"",VLOOKUP($A49,貼り付け用!$A$1:$BA$300,COLUMN(),FALSE)),"")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61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IF($A50&lt;&gt;"",IF(VLOOKUP($A50,貼り付け用!$A$1:$BA$300,COLUMN(),FALSE)=0,"",VLOOKUP($A50,貼り付け用!$A$1:$BA$300,COLUMN(),FALSE)),"")</f>
        <v>#N/A</v>
      </c>
      <c r="C50" s="14" t="e">
        <f>IF($A50&lt;&gt;"",IF(VLOOKUP($A50,貼り付け用!$A$1:$BA$300,COLUMN(),FALSE)=0,"",VLOOKUP($A50,貼り付け用!$A$1:$BA$300,COLUMN(),FALSE)),"")</f>
        <v>#N/A</v>
      </c>
      <c r="D50" s="14" t="e">
        <f>IF($A50&lt;&gt;"",IF(VLOOKUP($A50,貼り付け用!$A$1:$BA$300,COLUMN(),FALSE)=0,"",VLOOKUP($A50,貼り付け用!$A$1:$BA$300,COLUMN(),FALSE)),"")</f>
        <v>#N/A</v>
      </c>
      <c r="E50" s="14" t="e">
        <f>IF($A50&lt;&gt;"",IF(VLOOKUP($A50,貼り付け用!$A$1:$BA$300,COLUMN(),FALSE)=0,"",VLOOKUP($A50,貼り付け用!$A$1:$BA$300,COLUMN(),FALSE)),"")</f>
        <v>#N/A</v>
      </c>
      <c r="F50" s="14" t="e">
        <f>IF($A50&lt;&gt;"",IF(VLOOKUP($A50,貼り付け用!$A$1:$BA$300,COLUMN(),FALSE)=0,"",VLOOKUP($A50,貼り付け用!$A$1:$BA$300,COLUMN(),FALSE)),"")</f>
        <v>#N/A</v>
      </c>
      <c r="G50" s="14" t="e">
        <f>IF($A50&lt;&gt;"",IF(VLOOKUP($A50,貼り付け用!$A$1:$BA$300,COLUMN(),FALSE)=0,"",VLOOKUP($A50,貼り付け用!$A$1:$BA$300,COLUMN(),FALSE)),"")</f>
        <v>#N/A</v>
      </c>
      <c r="H50" s="14" t="e">
        <f>IF($A50&lt;&gt;"",IF(VLOOKUP($A50,貼り付け用!$A$1:$BA$300,COLUMN(),FALSE)=0,"",VLOOKUP($A50,貼り付け用!$A$1:$BA$300,COLUMN(),FALSE)),"")</f>
        <v>#N/A</v>
      </c>
      <c r="I50" s="14" t="e">
        <f>IF($A50&lt;&gt;"",IF(VLOOKUP($A50,貼り付け用!$A$1:$BA$300,COLUMN(),FALSE)=0,"",VLOOKUP($A50,貼り付け用!$A$1:$BA$300,COLUMN(),FALSE)),"")</f>
        <v>#N/A</v>
      </c>
      <c r="J50" s="14" t="e">
        <f>IF($A50&lt;&gt;"",IF(VLOOKUP($A50,貼り付け用!$A$1:$BA$300,COLUMN(),FALSE)=0,"",VLOOKUP($A50,貼り付け用!$A$1:$BA$300,COLUMN(),FALSE)),"")</f>
        <v>#N/A</v>
      </c>
      <c r="K50" s="14" t="e">
        <f>IF($A50&lt;&gt;"",IF(VLOOKUP($A50,貼り付け用!$A$1:$BA$300,COLUMN(),FALSE)=0,"",VLOOKUP($A50,貼り付け用!$A$1:$BA$300,COLUMN(),FALSE)),"")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61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IF($A51&lt;&gt;"",IF(VLOOKUP($A51,貼り付け用!$A$1:$BA$300,COLUMN(),FALSE)=0,"",VLOOKUP($A51,貼り付け用!$A$1:$BA$300,COLUMN(),FALSE)),"")</f>
        <v>#N/A</v>
      </c>
      <c r="C51" s="3" t="e">
        <f>IF($A51&lt;&gt;"",IF(VLOOKUP($A51,貼り付け用!$A$1:$BA$300,COLUMN(),FALSE)=0,"",VLOOKUP($A51,貼り付け用!$A$1:$BA$300,COLUMN(),FALSE)),"")</f>
        <v>#N/A</v>
      </c>
      <c r="D51" s="3" t="e">
        <f>IF($A51&lt;&gt;"",IF(VLOOKUP($A51,貼り付け用!$A$1:$BA$300,COLUMN(),FALSE)=0,"",VLOOKUP($A51,貼り付け用!$A$1:$BA$300,COLUMN(),FALSE)),"")</f>
        <v>#N/A</v>
      </c>
      <c r="E51" s="3" t="e">
        <f>IF($A51&lt;&gt;"",IF(VLOOKUP($A51,貼り付け用!$A$1:$BA$300,COLUMN(),FALSE)=0,"",VLOOKUP($A51,貼り付け用!$A$1:$BA$300,COLUMN(),FALSE)),"")</f>
        <v>#N/A</v>
      </c>
      <c r="F51" s="3" t="e">
        <f>IF($A51&lt;&gt;"",IF(VLOOKUP($A51,貼り付け用!$A$1:$BA$300,COLUMN(),FALSE)=0,"",VLOOKUP($A51,貼り付け用!$A$1:$BA$300,COLUMN(),FALSE)),"")</f>
        <v>#N/A</v>
      </c>
      <c r="G51" s="3" t="e">
        <f>IF($A51&lt;&gt;"",IF(VLOOKUP($A51,貼り付け用!$A$1:$BA$300,COLUMN(),FALSE)=0,"",VLOOKUP($A51,貼り付け用!$A$1:$BA$300,COLUMN(),FALSE)),"")</f>
        <v>#N/A</v>
      </c>
      <c r="H51" s="3" t="e">
        <f>IF($A51&lt;&gt;"",IF(VLOOKUP($A51,貼り付け用!$A$1:$BA$300,COLUMN(),FALSE)=0,"",VLOOKUP($A51,貼り付け用!$A$1:$BA$300,COLUMN(),FALSE)),"")</f>
        <v>#N/A</v>
      </c>
      <c r="I51" s="3" t="e">
        <f>IF($A51&lt;&gt;"",IF(VLOOKUP($A51,貼り付け用!$A$1:$BA$300,COLUMN(),FALSE)=0,"",VLOOKUP($A51,貼り付け用!$A$1:$BA$300,COLUMN(),FALSE)),"")</f>
        <v>#N/A</v>
      </c>
      <c r="J51" s="3" t="e">
        <f>IF($A51&lt;&gt;"",IF(VLOOKUP($A51,貼り付け用!$A$1:$BA$300,COLUMN(),FALSE)=0,"",VLOOKUP($A51,貼り付け用!$A$1:$BA$300,COLUMN(),FALSE)),"")</f>
        <v>#N/A</v>
      </c>
      <c r="K51" s="3" t="e">
        <f>IF($A51&lt;&gt;"",IF(VLOOKUP($A51,貼り付け用!$A$1:$BA$300,COLUMN(),FALSE)=0,"",VLOOKUP($A51,貼り付け用!$A$1:$BA$300,COLUMN(),FALSE)),"")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61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IF($A52&lt;&gt;"",IF(VLOOKUP($A52,貼り付け用!$A$1:$BA$300,COLUMN(),FALSE)=0,"",VLOOKUP($A52,貼り付け用!$A$1:$BA$300,COLUMN(),FALSE)),"")</f>
        <v>#N/A</v>
      </c>
      <c r="C52" s="14" t="e">
        <f>IF($A52&lt;&gt;"",IF(VLOOKUP($A52,貼り付け用!$A$1:$BA$300,COLUMN(),FALSE)=0,"",VLOOKUP($A52,貼り付け用!$A$1:$BA$300,COLUMN(),FALSE)),"")</f>
        <v>#N/A</v>
      </c>
      <c r="D52" s="14" t="e">
        <f>IF($A52&lt;&gt;"",IF(VLOOKUP($A52,貼り付け用!$A$1:$BA$300,COLUMN(),FALSE)=0,"",VLOOKUP($A52,貼り付け用!$A$1:$BA$300,COLUMN(),FALSE)),"")</f>
        <v>#N/A</v>
      </c>
      <c r="E52" s="14" t="e">
        <f>IF($A52&lt;&gt;"",IF(VLOOKUP($A52,貼り付け用!$A$1:$BA$300,COLUMN(),FALSE)=0,"",VLOOKUP($A52,貼り付け用!$A$1:$BA$300,COLUMN(),FALSE)),"")</f>
        <v>#N/A</v>
      </c>
      <c r="F52" s="14" t="e">
        <f>IF($A52&lt;&gt;"",IF(VLOOKUP($A52,貼り付け用!$A$1:$BA$300,COLUMN(),FALSE)=0,"",VLOOKUP($A52,貼り付け用!$A$1:$BA$300,COLUMN(),FALSE)),"")</f>
        <v>#N/A</v>
      </c>
      <c r="G52" s="14" t="e">
        <f>IF($A52&lt;&gt;"",IF(VLOOKUP($A52,貼り付け用!$A$1:$BA$300,COLUMN(),FALSE)=0,"",VLOOKUP($A52,貼り付け用!$A$1:$BA$300,COLUMN(),FALSE)),"")</f>
        <v>#N/A</v>
      </c>
      <c r="H52" s="14" t="e">
        <f>IF($A52&lt;&gt;"",IF(VLOOKUP($A52,貼り付け用!$A$1:$BA$300,COLUMN(),FALSE)=0,"",VLOOKUP($A52,貼り付け用!$A$1:$BA$300,COLUMN(),FALSE)),"")</f>
        <v>#N/A</v>
      </c>
      <c r="I52" s="14" t="e">
        <f>IF($A52&lt;&gt;"",IF(VLOOKUP($A52,貼り付け用!$A$1:$BA$300,COLUMN(),FALSE)=0,"",VLOOKUP($A52,貼り付け用!$A$1:$BA$300,COLUMN(),FALSE)),"")</f>
        <v>#N/A</v>
      </c>
      <c r="J52" s="14" t="e">
        <f>IF($A52&lt;&gt;"",IF(VLOOKUP($A52,貼り付け用!$A$1:$BA$300,COLUMN(),FALSE)=0,"",VLOOKUP($A52,貼り付け用!$A$1:$BA$300,COLUMN(),FALSE)),"")</f>
        <v>#N/A</v>
      </c>
      <c r="K52" s="14" t="e">
        <f>IF($A52&lt;&gt;"",IF(VLOOKUP($A52,貼り付け用!$A$1:$BA$300,COLUMN(),FALSE)=0,"",VLOOKUP($A52,貼り付け用!$A$1:$BA$300,COLUMN(),FALSE)),"")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61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IF($A53&lt;&gt;"",IF(VLOOKUP($A53,貼り付け用!$A$1:$BA$300,COLUMN(),FALSE)=0,"",VLOOKUP($A53,貼り付け用!$A$1:$BA$300,COLUMN(),FALSE)),"")</f>
        <v>#N/A</v>
      </c>
      <c r="C53" s="3" t="e">
        <f>IF($A53&lt;&gt;"",IF(VLOOKUP($A53,貼り付け用!$A$1:$BA$300,COLUMN(),FALSE)=0,"",VLOOKUP($A53,貼り付け用!$A$1:$BA$300,COLUMN(),FALSE)),"")</f>
        <v>#N/A</v>
      </c>
      <c r="D53" s="3" t="e">
        <f>IF($A53&lt;&gt;"",IF(VLOOKUP($A53,貼り付け用!$A$1:$BA$300,COLUMN(),FALSE)=0,"",VLOOKUP($A53,貼り付け用!$A$1:$BA$300,COLUMN(),FALSE)),"")</f>
        <v>#N/A</v>
      </c>
      <c r="E53" s="3" t="e">
        <f>IF($A53&lt;&gt;"",IF(VLOOKUP($A53,貼り付け用!$A$1:$BA$300,COLUMN(),FALSE)=0,"",VLOOKUP($A53,貼り付け用!$A$1:$BA$300,COLUMN(),FALSE)),"")</f>
        <v>#N/A</v>
      </c>
      <c r="F53" s="3" t="e">
        <f>IF($A53&lt;&gt;"",IF(VLOOKUP($A53,貼り付け用!$A$1:$BA$300,COLUMN(),FALSE)=0,"",VLOOKUP($A53,貼り付け用!$A$1:$BA$300,COLUMN(),FALSE)),"")</f>
        <v>#N/A</v>
      </c>
      <c r="G53" s="3" t="e">
        <f>IF($A53&lt;&gt;"",IF(VLOOKUP($A53,貼り付け用!$A$1:$BA$300,COLUMN(),FALSE)=0,"",VLOOKUP($A53,貼り付け用!$A$1:$BA$300,COLUMN(),FALSE)),"")</f>
        <v>#N/A</v>
      </c>
      <c r="H53" s="3" t="e">
        <f>IF($A53&lt;&gt;"",IF(VLOOKUP($A53,貼り付け用!$A$1:$BA$300,COLUMN(),FALSE)=0,"",VLOOKUP($A53,貼り付け用!$A$1:$BA$300,COLUMN(),FALSE)),"")</f>
        <v>#N/A</v>
      </c>
      <c r="I53" s="3" t="e">
        <f>IF($A53&lt;&gt;"",IF(VLOOKUP($A53,貼り付け用!$A$1:$BA$300,COLUMN(),FALSE)=0,"",VLOOKUP($A53,貼り付け用!$A$1:$BA$300,COLUMN(),FALSE)),"")</f>
        <v>#N/A</v>
      </c>
      <c r="J53" s="3" t="e">
        <f>IF($A53&lt;&gt;"",IF(VLOOKUP($A53,貼り付け用!$A$1:$BA$300,COLUMN(),FALSE)=0,"",VLOOKUP($A53,貼り付け用!$A$1:$BA$300,COLUMN(),FALSE)),"")</f>
        <v>#N/A</v>
      </c>
      <c r="K53" s="3" t="e">
        <f>IF($A53&lt;&gt;"",IF(VLOOKUP($A53,貼り付け用!$A$1:$BA$300,COLUMN(),FALSE)=0,"",VLOOKUP($A53,貼り付け用!$A$1:$BA$300,COLUMN(),FALSE)),"")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61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IF($A54&lt;&gt;"",IF(VLOOKUP($A54,貼り付け用!$A$1:$BA$300,COLUMN(),FALSE)=0,"",VLOOKUP($A54,貼り付け用!$A$1:$BA$300,COLUMN(),FALSE)),"")</f>
        <v>#N/A</v>
      </c>
      <c r="C54" s="14" t="e">
        <f>IF($A54&lt;&gt;"",IF(VLOOKUP($A54,貼り付け用!$A$1:$BA$300,COLUMN(),FALSE)=0,"",VLOOKUP($A54,貼り付け用!$A$1:$BA$300,COLUMN(),FALSE)),"")</f>
        <v>#N/A</v>
      </c>
      <c r="D54" s="14" t="e">
        <f>IF($A54&lt;&gt;"",IF(VLOOKUP($A54,貼り付け用!$A$1:$BA$300,COLUMN(),FALSE)=0,"",VLOOKUP($A54,貼り付け用!$A$1:$BA$300,COLUMN(),FALSE)),"")</f>
        <v>#N/A</v>
      </c>
      <c r="E54" s="14" t="e">
        <f>IF($A54&lt;&gt;"",IF(VLOOKUP($A54,貼り付け用!$A$1:$BA$300,COLUMN(),FALSE)=0,"",VLOOKUP($A54,貼り付け用!$A$1:$BA$300,COLUMN(),FALSE)),"")</f>
        <v>#N/A</v>
      </c>
      <c r="F54" s="14" t="e">
        <f>IF($A54&lt;&gt;"",IF(VLOOKUP($A54,貼り付け用!$A$1:$BA$300,COLUMN(),FALSE)=0,"",VLOOKUP($A54,貼り付け用!$A$1:$BA$300,COLUMN(),FALSE)),"")</f>
        <v>#N/A</v>
      </c>
      <c r="G54" s="14" t="e">
        <f>IF($A54&lt;&gt;"",IF(VLOOKUP($A54,貼り付け用!$A$1:$BA$300,COLUMN(),FALSE)=0,"",VLOOKUP($A54,貼り付け用!$A$1:$BA$300,COLUMN(),FALSE)),"")</f>
        <v>#N/A</v>
      </c>
      <c r="H54" s="14" t="e">
        <f>IF($A54&lt;&gt;"",IF(VLOOKUP($A54,貼り付け用!$A$1:$BA$300,COLUMN(),FALSE)=0,"",VLOOKUP($A54,貼り付け用!$A$1:$BA$300,COLUMN(),FALSE)),"")</f>
        <v>#N/A</v>
      </c>
      <c r="I54" s="14" t="e">
        <f>IF($A54&lt;&gt;"",IF(VLOOKUP($A54,貼り付け用!$A$1:$BA$300,COLUMN(),FALSE)=0,"",VLOOKUP($A54,貼り付け用!$A$1:$BA$300,COLUMN(),FALSE)),"")</f>
        <v>#N/A</v>
      </c>
      <c r="J54" s="14" t="e">
        <f>IF($A54&lt;&gt;"",IF(VLOOKUP($A54,貼り付け用!$A$1:$BA$300,COLUMN(),FALSE)=0,"",VLOOKUP($A54,貼り付け用!$A$1:$BA$300,COLUMN(),FALSE)),"")</f>
        <v>#N/A</v>
      </c>
      <c r="K54" s="14" t="e">
        <f>IF($A54&lt;&gt;"",IF(VLOOKUP($A54,貼り付け用!$A$1:$BA$300,COLUMN(),FALSE)=0,"",VLOOKUP($A54,貼り付け用!$A$1:$BA$300,COLUMN(),FALSE)),"")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61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IF($A55&lt;&gt;"",IF(VLOOKUP($A55,貼り付け用!$A$1:$BA$300,COLUMN(),FALSE)=0,"",VLOOKUP($A55,貼り付け用!$A$1:$BA$300,COLUMN(),FALSE)),"")</f>
        <v>#N/A</v>
      </c>
      <c r="C55" s="3" t="e">
        <f>IF($A55&lt;&gt;"",IF(VLOOKUP($A55,貼り付け用!$A$1:$BA$300,COLUMN(),FALSE)=0,"",VLOOKUP($A55,貼り付け用!$A$1:$BA$300,COLUMN(),FALSE)),"")</f>
        <v>#N/A</v>
      </c>
      <c r="D55" s="3" t="e">
        <f>IF($A55&lt;&gt;"",IF(VLOOKUP($A55,貼り付け用!$A$1:$BA$300,COLUMN(),FALSE)=0,"",VLOOKUP($A55,貼り付け用!$A$1:$BA$300,COLUMN(),FALSE)),"")</f>
        <v>#N/A</v>
      </c>
      <c r="E55" s="3" t="e">
        <f>IF($A55&lt;&gt;"",IF(VLOOKUP($A55,貼り付け用!$A$1:$BA$300,COLUMN(),FALSE)=0,"",VLOOKUP($A55,貼り付け用!$A$1:$BA$300,COLUMN(),FALSE)),"")</f>
        <v>#N/A</v>
      </c>
      <c r="F55" s="3" t="e">
        <f>IF($A55&lt;&gt;"",IF(VLOOKUP($A55,貼り付け用!$A$1:$BA$300,COLUMN(),FALSE)=0,"",VLOOKUP($A55,貼り付け用!$A$1:$BA$300,COLUMN(),FALSE)),"")</f>
        <v>#N/A</v>
      </c>
      <c r="G55" s="3" t="e">
        <f>IF($A55&lt;&gt;"",IF(VLOOKUP($A55,貼り付け用!$A$1:$BA$300,COLUMN(),FALSE)=0,"",VLOOKUP($A55,貼り付け用!$A$1:$BA$300,COLUMN(),FALSE)),"")</f>
        <v>#N/A</v>
      </c>
      <c r="H55" s="3" t="e">
        <f>IF($A55&lt;&gt;"",IF(VLOOKUP($A55,貼り付け用!$A$1:$BA$300,COLUMN(),FALSE)=0,"",VLOOKUP($A55,貼り付け用!$A$1:$BA$300,COLUMN(),FALSE)),"")</f>
        <v>#N/A</v>
      </c>
      <c r="I55" s="3" t="e">
        <f>IF($A55&lt;&gt;"",IF(VLOOKUP($A55,貼り付け用!$A$1:$BA$300,COLUMN(),FALSE)=0,"",VLOOKUP($A55,貼り付け用!$A$1:$BA$300,COLUMN(),FALSE)),"")</f>
        <v>#N/A</v>
      </c>
      <c r="J55" s="3" t="e">
        <f>IF($A55&lt;&gt;"",IF(VLOOKUP($A55,貼り付け用!$A$1:$BA$300,COLUMN(),FALSE)=0,"",VLOOKUP($A55,貼り付け用!$A$1:$BA$300,COLUMN(),FALSE)),"")</f>
        <v>#N/A</v>
      </c>
      <c r="K55" s="3" t="e">
        <f>IF($A55&lt;&gt;"",IF(VLOOKUP($A55,貼り付け用!$A$1:$BA$300,COLUMN(),FALSE)=0,"",VLOOKUP($A55,貼り付け用!$A$1:$BA$300,COLUMN(),FALSE)),"")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61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IF($A56&lt;&gt;"",IF(VLOOKUP($A56,貼り付け用!$A$1:$BA$300,COLUMN(),FALSE)=0,"",VLOOKUP($A56,貼り付け用!$A$1:$BA$300,COLUMN(),FALSE)),"")</f>
        <v>#N/A</v>
      </c>
      <c r="C56" s="14" t="e">
        <f>IF($A56&lt;&gt;"",IF(VLOOKUP($A56,貼り付け用!$A$1:$BA$300,COLUMN(),FALSE)=0,"",VLOOKUP($A56,貼り付け用!$A$1:$BA$300,COLUMN(),FALSE)),"")</f>
        <v>#N/A</v>
      </c>
      <c r="D56" s="14" t="e">
        <f>IF($A56&lt;&gt;"",IF(VLOOKUP($A56,貼り付け用!$A$1:$BA$300,COLUMN(),FALSE)=0,"",VLOOKUP($A56,貼り付け用!$A$1:$BA$300,COLUMN(),FALSE)),"")</f>
        <v>#N/A</v>
      </c>
      <c r="E56" s="14" t="e">
        <f>IF($A56&lt;&gt;"",IF(VLOOKUP($A56,貼り付け用!$A$1:$BA$300,COLUMN(),FALSE)=0,"",VLOOKUP($A56,貼り付け用!$A$1:$BA$300,COLUMN(),FALSE)),"")</f>
        <v>#N/A</v>
      </c>
      <c r="F56" s="14" t="e">
        <f>IF($A56&lt;&gt;"",IF(VLOOKUP($A56,貼り付け用!$A$1:$BA$300,COLUMN(),FALSE)=0,"",VLOOKUP($A56,貼り付け用!$A$1:$BA$300,COLUMN(),FALSE)),"")</f>
        <v>#N/A</v>
      </c>
      <c r="G56" s="14" t="e">
        <f>IF($A56&lt;&gt;"",IF(VLOOKUP($A56,貼り付け用!$A$1:$BA$300,COLUMN(),FALSE)=0,"",VLOOKUP($A56,貼り付け用!$A$1:$BA$300,COLUMN(),FALSE)),"")</f>
        <v>#N/A</v>
      </c>
      <c r="H56" s="14" t="e">
        <f>IF($A56&lt;&gt;"",IF(VLOOKUP($A56,貼り付け用!$A$1:$BA$300,COLUMN(),FALSE)=0,"",VLOOKUP($A56,貼り付け用!$A$1:$BA$300,COLUMN(),FALSE)),"")</f>
        <v>#N/A</v>
      </c>
      <c r="I56" s="14" t="e">
        <f>IF($A56&lt;&gt;"",IF(VLOOKUP($A56,貼り付け用!$A$1:$BA$300,COLUMN(),FALSE)=0,"",VLOOKUP($A56,貼り付け用!$A$1:$BA$300,COLUMN(),FALSE)),"")</f>
        <v>#N/A</v>
      </c>
      <c r="J56" s="14" t="e">
        <f>IF($A56&lt;&gt;"",IF(VLOOKUP($A56,貼り付け用!$A$1:$BA$300,COLUMN(),FALSE)=0,"",VLOOKUP($A56,貼り付け用!$A$1:$BA$300,COLUMN(),FALSE)),"")</f>
        <v>#N/A</v>
      </c>
      <c r="K56" s="14" t="e">
        <f>IF($A56&lt;&gt;"",IF(VLOOKUP($A56,貼り付け用!$A$1:$BA$300,COLUMN(),FALSE)=0,"",VLOOKUP($A56,貼り付け用!$A$1:$BA$300,COLUMN(),FALSE)),"")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61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IF($A57&lt;&gt;"",IF(VLOOKUP($A57,貼り付け用!$A$1:$BA$300,COLUMN(),FALSE)=0,"",VLOOKUP($A57,貼り付け用!$A$1:$BA$300,COLUMN(),FALSE)),"")</f>
        <v>#N/A</v>
      </c>
      <c r="C57" s="3" t="e">
        <f>IF($A57&lt;&gt;"",IF(VLOOKUP($A57,貼り付け用!$A$1:$BA$300,COLUMN(),FALSE)=0,"",VLOOKUP($A57,貼り付け用!$A$1:$BA$300,COLUMN(),FALSE)),"")</f>
        <v>#N/A</v>
      </c>
      <c r="D57" s="3" t="e">
        <f>IF($A57&lt;&gt;"",IF(VLOOKUP($A57,貼り付け用!$A$1:$BA$300,COLUMN(),FALSE)=0,"",VLOOKUP($A57,貼り付け用!$A$1:$BA$300,COLUMN(),FALSE)),"")</f>
        <v>#N/A</v>
      </c>
      <c r="E57" s="3" t="e">
        <f>IF($A57&lt;&gt;"",IF(VLOOKUP($A57,貼り付け用!$A$1:$BA$300,COLUMN(),FALSE)=0,"",VLOOKUP($A57,貼り付け用!$A$1:$BA$300,COLUMN(),FALSE)),"")</f>
        <v>#N/A</v>
      </c>
      <c r="F57" s="3" t="e">
        <f>IF($A57&lt;&gt;"",IF(VLOOKUP($A57,貼り付け用!$A$1:$BA$300,COLUMN(),FALSE)=0,"",VLOOKUP($A57,貼り付け用!$A$1:$BA$300,COLUMN(),FALSE)),"")</f>
        <v>#N/A</v>
      </c>
      <c r="G57" s="3" t="e">
        <f>IF($A57&lt;&gt;"",IF(VLOOKUP($A57,貼り付け用!$A$1:$BA$300,COLUMN(),FALSE)=0,"",VLOOKUP($A57,貼り付け用!$A$1:$BA$300,COLUMN(),FALSE)),"")</f>
        <v>#N/A</v>
      </c>
      <c r="H57" s="3" t="e">
        <f>IF($A57&lt;&gt;"",IF(VLOOKUP($A57,貼り付け用!$A$1:$BA$300,COLUMN(),FALSE)=0,"",VLOOKUP($A57,貼り付け用!$A$1:$BA$300,COLUMN(),FALSE)),"")</f>
        <v>#N/A</v>
      </c>
      <c r="I57" s="3" t="e">
        <f>IF($A57&lt;&gt;"",IF(VLOOKUP($A57,貼り付け用!$A$1:$BA$300,COLUMN(),FALSE)=0,"",VLOOKUP($A57,貼り付け用!$A$1:$BA$300,COLUMN(),FALSE)),"")</f>
        <v>#N/A</v>
      </c>
      <c r="J57" s="3" t="e">
        <f>IF($A57&lt;&gt;"",IF(VLOOKUP($A57,貼り付け用!$A$1:$BA$300,COLUMN(),FALSE)=0,"",VLOOKUP($A57,貼り付け用!$A$1:$BA$300,COLUMN(),FALSE)),"")</f>
        <v>#N/A</v>
      </c>
      <c r="K57" s="3" t="e">
        <f>IF($A57&lt;&gt;"",IF(VLOOKUP($A57,貼り付け用!$A$1:$BA$300,COLUMN(),FALSE)=0,"",VLOOKUP($A57,貼り付け用!$A$1:$BA$300,COLUMN(),FALSE)),"")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61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IF($A58&lt;&gt;"",IF(VLOOKUP($A58,貼り付け用!$A$1:$BA$300,COLUMN(),FALSE)=0,"",VLOOKUP($A58,貼り付け用!$A$1:$BA$300,COLUMN(),FALSE)),"")</f>
        <v>#N/A</v>
      </c>
      <c r="C58" s="14" t="e">
        <f>IF($A58&lt;&gt;"",IF(VLOOKUP($A58,貼り付け用!$A$1:$BA$300,COLUMN(),FALSE)=0,"",VLOOKUP($A58,貼り付け用!$A$1:$BA$300,COLUMN(),FALSE)),"")</f>
        <v>#N/A</v>
      </c>
      <c r="D58" s="14" t="e">
        <f>IF($A58&lt;&gt;"",IF(VLOOKUP($A58,貼り付け用!$A$1:$BA$300,COLUMN(),FALSE)=0,"",VLOOKUP($A58,貼り付け用!$A$1:$BA$300,COLUMN(),FALSE)),"")</f>
        <v>#N/A</v>
      </c>
      <c r="E58" s="14" t="e">
        <f>IF($A58&lt;&gt;"",IF(VLOOKUP($A58,貼り付け用!$A$1:$BA$300,COLUMN(),FALSE)=0,"",VLOOKUP($A58,貼り付け用!$A$1:$BA$300,COLUMN(),FALSE)),"")</f>
        <v>#N/A</v>
      </c>
      <c r="F58" s="14" t="e">
        <f>IF($A58&lt;&gt;"",IF(VLOOKUP($A58,貼り付け用!$A$1:$BA$300,COLUMN(),FALSE)=0,"",VLOOKUP($A58,貼り付け用!$A$1:$BA$300,COLUMN(),FALSE)),"")</f>
        <v>#N/A</v>
      </c>
      <c r="G58" s="14" t="e">
        <f>IF($A58&lt;&gt;"",IF(VLOOKUP($A58,貼り付け用!$A$1:$BA$300,COLUMN(),FALSE)=0,"",VLOOKUP($A58,貼り付け用!$A$1:$BA$300,COLUMN(),FALSE)),"")</f>
        <v>#N/A</v>
      </c>
      <c r="H58" s="14" t="e">
        <f>IF($A58&lt;&gt;"",IF(VLOOKUP($A58,貼り付け用!$A$1:$BA$300,COLUMN(),FALSE)=0,"",VLOOKUP($A58,貼り付け用!$A$1:$BA$300,COLUMN(),FALSE)),"")</f>
        <v>#N/A</v>
      </c>
      <c r="I58" s="14" t="e">
        <f>IF($A58&lt;&gt;"",IF(VLOOKUP($A58,貼り付け用!$A$1:$BA$300,COLUMN(),FALSE)=0,"",VLOOKUP($A58,貼り付け用!$A$1:$BA$300,COLUMN(),FALSE)),"")</f>
        <v>#N/A</v>
      </c>
      <c r="J58" s="14" t="e">
        <f>IF($A58&lt;&gt;"",IF(VLOOKUP($A58,貼り付け用!$A$1:$BA$300,COLUMN(),FALSE)=0,"",VLOOKUP($A58,貼り付け用!$A$1:$BA$300,COLUMN(),FALSE)),"")</f>
        <v>#N/A</v>
      </c>
      <c r="K58" s="14" t="e">
        <f>IF($A58&lt;&gt;"",IF(VLOOKUP($A58,貼り付け用!$A$1:$BA$300,COLUMN(),FALSE)=0,"",VLOOKUP($A58,貼り付け用!$A$1:$BA$300,COLUMN(),FALSE)),"")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61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IF($A59&lt;&gt;"",IF(VLOOKUP($A59,貼り付け用!$A$1:$BA$300,COLUMN(),FALSE)=0,"",VLOOKUP($A59,貼り付け用!$A$1:$BA$300,COLUMN(),FALSE)),"")</f>
        <v>#N/A</v>
      </c>
      <c r="C59" s="3" t="e">
        <f>IF($A59&lt;&gt;"",IF(VLOOKUP($A59,貼り付け用!$A$1:$BA$300,COLUMN(),FALSE)=0,"",VLOOKUP($A59,貼り付け用!$A$1:$BA$300,COLUMN(),FALSE)),"")</f>
        <v>#N/A</v>
      </c>
      <c r="D59" s="3" t="e">
        <f>IF($A59&lt;&gt;"",IF(VLOOKUP($A59,貼り付け用!$A$1:$BA$300,COLUMN(),FALSE)=0,"",VLOOKUP($A59,貼り付け用!$A$1:$BA$300,COLUMN(),FALSE)),"")</f>
        <v>#N/A</v>
      </c>
      <c r="E59" s="3" t="e">
        <f>IF($A59&lt;&gt;"",IF(VLOOKUP($A59,貼り付け用!$A$1:$BA$300,COLUMN(),FALSE)=0,"",VLOOKUP($A59,貼り付け用!$A$1:$BA$300,COLUMN(),FALSE)),"")</f>
        <v>#N/A</v>
      </c>
      <c r="F59" s="3" t="e">
        <f>IF($A59&lt;&gt;"",IF(VLOOKUP($A59,貼り付け用!$A$1:$BA$300,COLUMN(),FALSE)=0,"",VLOOKUP($A59,貼り付け用!$A$1:$BA$300,COLUMN(),FALSE)),"")</f>
        <v>#N/A</v>
      </c>
      <c r="G59" s="3" t="e">
        <f>IF($A59&lt;&gt;"",IF(VLOOKUP($A59,貼り付け用!$A$1:$BA$300,COLUMN(),FALSE)=0,"",VLOOKUP($A59,貼り付け用!$A$1:$BA$300,COLUMN(),FALSE)),"")</f>
        <v>#N/A</v>
      </c>
      <c r="H59" s="3" t="e">
        <f>IF($A59&lt;&gt;"",IF(VLOOKUP($A59,貼り付け用!$A$1:$BA$300,COLUMN(),FALSE)=0,"",VLOOKUP($A59,貼り付け用!$A$1:$BA$300,COLUMN(),FALSE)),"")</f>
        <v>#N/A</v>
      </c>
      <c r="I59" s="3" t="e">
        <f>IF($A59&lt;&gt;"",IF(VLOOKUP($A59,貼り付け用!$A$1:$BA$300,COLUMN(),FALSE)=0,"",VLOOKUP($A59,貼り付け用!$A$1:$BA$300,COLUMN(),FALSE)),"")</f>
        <v>#N/A</v>
      </c>
      <c r="J59" s="3" t="e">
        <f>IF($A59&lt;&gt;"",IF(VLOOKUP($A59,貼り付け用!$A$1:$BA$300,COLUMN(),FALSE)=0,"",VLOOKUP($A59,貼り付け用!$A$1:$BA$300,COLUMN(),FALSE)),"")</f>
        <v>#N/A</v>
      </c>
      <c r="K59" s="3" t="e">
        <f>IF($A59&lt;&gt;"",IF(VLOOKUP($A59,貼り付け用!$A$1:$BA$300,COLUMN(),FALSE)=0,"",VLOOKUP($A59,貼り付け用!$A$1:$BA$300,COLUMN(),FALSE)),"")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61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IF($A60&lt;&gt;"",IF(VLOOKUP($A60,貼り付け用!$A$1:$BA$300,COLUMN(),FALSE)=0,"",VLOOKUP($A60,貼り付け用!$A$1:$BA$300,COLUMN(),FALSE)),"")</f>
        <v>#N/A</v>
      </c>
      <c r="C60" s="14" t="e">
        <f>IF($A60&lt;&gt;"",IF(VLOOKUP($A60,貼り付け用!$A$1:$BA$300,COLUMN(),FALSE)=0,"",VLOOKUP($A60,貼り付け用!$A$1:$BA$300,COLUMN(),FALSE)),"")</f>
        <v>#N/A</v>
      </c>
      <c r="D60" s="14" t="e">
        <f>IF($A60&lt;&gt;"",IF(VLOOKUP($A60,貼り付け用!$A$1:$BA$300,COLUMN(),FALSE)=0,"",VLOOKUP($A60,貼り付け用!$A$1:$BA$300,COLUMN(),FALSE)),"")</f>
        <v>#N/A</v>
      </c>
      <c r="E60" s="14" t="e">
        <f>IF($A60&lt;&gt;"",IF(VLOOKUP($A60,貼り付け用!$A$1:$BA$300,COLUMN(),FALSE)=0,"",VLOOKUP($A60,貼り付け用!$A$1:$BA$300,COLUMN(),FALSE)),"")</f>
        <v>#N/A</v>
      </c>
      <c r="F60" s="14" t="e">
        <f>IF($A60&lt;&gt;"",IF(VLOOKUP($A60,貼り付け用!$A$1:$BA$300,COLUMN(),FALSE)=0,"",VLOOKUP($A60,貼り付け用!$A$1:$BA$300,COLUMN(),FALSE)),"")</f>
        <v>#N/A</v>
      </c>
      <c r="G60" s="14" t="e">
        <f>IF($A60&lt;&gt;"",IF(VLOOKUP($A60,貼り付け用!$A$1:$BA$300,COLUMN(),FALSE)=0,"",VLOOKUP($A60,貼り付け用!$A$1:$BA$300,COLUMN(),FALSE)),"")</f>
        <v>#N/A</v>
      </c>
      <c r="H60" s="14" t="e">
        <f>IF($A60&lt;&gt;"",IF(VLOOKUP($A60,貼り付け用!$A$1:$BA$300,COLUMN(),FALSE)=0,"",VLOOKUP($A60,貼り付け用!$A$1:$BA$300,COLUMN(),FALSE)),"")</f>
        <v>#N/A</v>
      </c>
      <c r="I60" s="14" t="e">
        <f>IF($A60&lt;&gt;"",IF(VLOOKUP($A60,貼り付け用!$A$1:$BA$300,COLUMN(),FALSE)=0,"",VLOOKUP($A60,貼り付け用!$A$1:$BA$300,COLUMN(),FALSE)),"")</f>
        <v>#N/A</v>
      </c>
      <c r="J60" s="14" t="e">
        <f>IF($A60&lt;&gt;"",IF(VLOOKUP($A60,貼り付け用!$A$1:$BA$300,COLUMN(),FALSE)=0,"",VLOOKUP($A60,貼り付け用!$A$1:$BA$300,COLUMN(),FALSE)),"")</f>
        <v>#N/A</v>
      </c>
      <c r="K60" s="14" t="e">
        <f>IF($A60&lt;&gt;"",IF(VLOOKUP($A60,貼り付け用!$A$1:$BA$300,COLUMN(),FALSE)=0,"",VLOOKUP($A60,貼り付け用!$A$1:$BA$300,COLUMN(),FALSE)),"")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61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IF($A61&lt;&gt;"",IF(VLOOKUP($A61,貼り付け用!$A$1:$BA$300,COLUMN(),FALSE)=0,"",VLOOKUP($A61,貼り付け用!$A$1:$BA$300,COLUMN(),FALSE)),"")</f>
        <v>#N/A</v>
      </c>
      <c r="C61" s="3" t="e">
        <f>IF($A61&lt;&gt;"",IF(VLOOKUP($A61,貼り付け用!$A$1:$BA$300,COLUMN(),FALSE)=0,"",VLOOKUP($A61,貼り付け用!$A$1:$BA$300,COLUMN(),FALSE)),"")</f>
        <v>#N/A</v>
      </c>
      <c r="D61" s="3" t="e">
        <f>IF($A61&lt;&gt;"",IF(VLOOKUP($A61,貼り付け用!$A$1:$BA$300,COLUMN(),FALSE)=0,"",VLOOKUP($A61,貼り付け用!$A$1:$BA$300,COLUMN(),FALSE)),"")</f>
        <v>#N/A</v>
      </c>
      <c r="E61" s="3" t="e">
        <f>IF($A61&lt;&gt;"",IF(VLOOKUP($A61,貼り付け用!$A$1:$BA$300,COLUMN(),FALSE)=0,"",VLOOKUP($A61,貼り付け用!$A$1:$BA$300,COLUMN(),FALSE)),"")</f>
        <v>#N/A</v>
      </c>
      <c r="F61" s="3" t="e">
        <f>IF($A61&lt;&gt;"",IF(VLOOKUP($A61,貼り付け用!$A$1:$BA$300,COLUMN(),FALSE)=0,"",VLOOKUP($A61,貼り付け用!$A$1:$BA$300,COLUMN(),FALSE)),"")</f>
        <v>#N/A</v>
      </c>
      <c r="G61" s="3" t="e">
        <f>IF($A61&lt;&gt;"",IF(VLOOKUP($A61,貼り付け用!$A$1:$BA$300,COLUMN(),FALSE)=0,"",VLOOKUP($A61,貼り付け用!$A$1:$BA$300,COLUMN(),FALSE)),"")</f>
        <v>#N/A</v>
      </c>
      <c r="H61" s="3" t="e">
        <f>IF($A61&lt;&gt;"",IF(VLOOKUP($A61,貼り付け用!$A$1:$BA$300,COLUMN(),FALSE)=0,"",VLOOKUP($A61,貼り付け用!$A$1:$BA$300,COLUMN(),FALSE)),"")</f>
        <v>#N/A</v>
      </c>
      <c r="I61" s="3" t="e">
        <f>IF($A61&lt;&gt;"",IF(VLOOKUP($A61,貼り付け用!$A$1:$BA$300,COLUMN(),FALSE)=0,"",VLOOKUP($A61,貼り付け用!$A$1:$BA$300,COLUMN(),FALSE)),"")</f>
        <v>#N/A</v>
      </c>
      <c r="J61" s="3" t="e">
        <f>IF($A61&lt;&gt;"",IF(VLOOKUP($A61,貼り付け用!$A$1:$BA$300,COLUMN(),FALSE)=0,"",VLOOKUP($A61,貼り付け用!$A$1:$BA$300,COLUMN(),FALSE)),"")</f>
        <v>#N/A</v>
      </c>
      <c r="K61" s="3" t="e">
        <f>IF($A61&lt;&gt;"",IF(VLOOKUP($A61,貼り付け用!$A$1:$BA$300,COLUMN(),FALSE)=0,"",VLOOKUP($A61,貼り付け用!$A$1:$BA$300,COLUMN(),FALSE)),"")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61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IF($A62&lt;&gt;"",IF(VLOOKUP($A62,貼り付け用!$A$1:$BA$300,COLUMN(),FALSE)=0,"",VLOOKUP($A62,貼り付け用!$A$1:$BA$300,COLUMN(),FALSE)),"")</f>
        <v>#N/A</v>
      </c>
      <c r="C62" s="14" t="e">
        <f>IF($A62&lt;&gt;"",IF(VLOOKUP($A62,貼り付け用!$A$1:$BA$300,COLUMN(),FALSE)=0,"",VLOOKUP($A62,貼り付け用!$A$1:$BA$300,COLUMN(),FALSE)),"")</f>
        <v>#N/A</v>
      </c>
      <c r="D62" s="14" t="e">
        <f>IF($A62&lt;&gt;"",IF(VLOOKUP($A62,貼り付け用!$A$1:$BA$300,COLUMN(),FALSE)=0,"",VLOOKUP($A62,貼り付け用!$A$1:$BA$300,COLUMN(),FALSE)),"")</f>
        <v>#N/A</v>
      </c>
      <c r="E62" s="14" t="e">
        <f>IF($A62&lt;&gt;"",IF(VLOOKUP($A62,貼り付け用!$A$1:$BA$300,COLUMN(),FALSE)=0,"",VLOOKUP($A62,貼り付け用!$A$1:$BA$300,COLUMN(),FALSE)),"")</f>
        <v>#N/A</v>
      </c>
      <c r="F62" s="14" t="e">
        <f>IF($A62&lt;&gt;"",IF(VLOOKUP($A62,貼り付け用!$A$1:$BA$300,COLUMN(),FALSE)=0,"",VLOOKUP($A62,貼り付け用!$A$1:$BA$300,COLUMN(),FALSE)),"")</f>
        <v>#N/A</v>
      </c>
      <c r="G62" s="14" t="e">
        <f>IF($A62&lt;&gt;"",IF(VLOOKUP($A62,貼り付け用!$A$1:$BA$300,COLUMN(),FALSE)=0,"",VLOOKUP($A62,貼り付け用!$A$1:$BA$300,COLUMN(),FALSE)),"")</f>
        <v>#N/A</v>
      </c>
      <c r="H62" s="14" t="e">
        <f>IF($A62&lt;&gt;"",IF(VLOOKUP($A62,貼り付け用!$A$1:$BA$300,COLUMN(),FALSE)=0,"",VLOOKUP($A62,貼り付け用!$A$1:$BA$300,COLUMN(),FALSE)),"")</f>
        <v>#N/A</v>
      </c>
      <c r="I62" s="14" t="e">
        <f>IF($A62&lt;&gt;"",IF(VLOOKUP($A62,貼り付け用!$A$1:$BA$300,COLUMN(),FALSE)=0,"",VLOOKUP($A62,貼り付け用!$A$1:$BA$300,COLUMN(),FALSE)),"")</f>
        <v>#N/A</v>
      </c>
      <c r="J62" s="14" t="e">
        <f>IF($A62&lt;&gt;"",IF(VLOOKUP($A62,貼り付け用!$A$1:$BA$300,COLUMN(),FALSE)=0,"",VLOOKUP($A62,貼り付け用!$A$1:$BA$300,COLUMN(),FALSE)),"")</f>
        <v>#N/A</v>
      </c>
      <c r="K62" s="14" t="e">
        <f>IF($A62&lt;&gt;"",IF(VLOOKUP($A62,貼り付け用!$A$1:$BA$300,COLUMN(),FALSE)=0,"",VLOOKUP($A62,貼り付け用!$A$1:$BA$300,COLUMN(),FALSE)),"")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61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IF($A63&lt;&gt;"",IF(VLOOKUP($A63,貼り付け用!$A$1:$BA$300,COLUMN(),FALSE)=0,"",VLOOKUP($A63,貼り付け用!$A$1:$BA$300,COLUMN(),FALSE)),"")</f>
        <v>#N/A</v>
      </c>
      <c r="C63" s="3" t="e">
        <f>IF($A63&lt;&gt;"",IF(VLOOKUP($A63,貼り付け用!$A$1:$BA$300,COLUMN(),FALSE)=0,"",VLOOKUP($A63,貼り付け用!$A$1:$BA$300,COLUMN(),FALSE)),"")</f>
        <v>#N/A</v>
      </c>
      <c r="D63" s="3" t="e">
        <f>IF($A63&lt;&gt;"",IF(VLOOKUP($A63,貼り付け用!$A$1:$BA$300,COLUMN(),FALSE)=0,"",VLOOKUP($A63,貼り付け用!$A$1:$BA$300,COLUMN(),FALSE)),"")</f>
        <v>#N/A</v>
      </c>
      <c r="E63" s="3" t="e">
        <f>IF($A63&lt;&gt;"",IF(VLOOKUP($A63,貼り付け用!$A$1:$BA$300,COLUMN(),FALSE)=0,"",VLOOKUP($A63,貼り付け用!$A$1:$BA$300,COLUMN(),FALSE)),"")</f>
        <v>#N/A</v>
      </c>
      <c r="F63" s="3" t="e">
        <f>IF($A63&lt;&gt;"",IF(VLOOKUP($A63,貼り付け用!$A$1:$BA$300,COLUMN(),FALSE)=0,"",VLOOKUP($A63,貼り付け用!$A$1:$BA$300,COLUMN(),FALSE)),"")</f>
        <v>#N/A</v>
      </c>
      <c r="G63" s="3" t="e">
        <f>IF($A63&lt;&gt;"",IF(VLOOKUP($A63,貼り付け用!$A$1:$BA$300,COLUMN(),FALSE)=0,"",VLOOKUP($A63,貼り付け用!$A$1:$BA$300,COLUMN(),FALSE)),"")</f>
        <v>#N/A</v>
      </c>
      <c r="H63" s="3" t="e">
        <f>IF($A63&lt;&gt;"",IF(VLOOKUP($A63,貼り付け用!$A$1:$BA$300,COLUMN(),FALSE)=0,"",VLOOKUP($A63,貼り付け用!$A$1:$BA$300,COLUMN(),FALSE)),"")</f>
        <v>#N/A</v>
      </c>
      <c r="I63" s="3" t="e">
        <f>IF($A63&lt;&gt;"",IF(VLOOKUP($A63,貼り付け用!$A$1:$BA$300,COLUMN(),FALSE)=0,"",VLOOKUP($A63,貼り付け用!$A$1:$BA$300,COLUMN(),FALSE)),"")</f>
        <v>#N/A</v>
      </c>
      <c r="J63" s="3" t="e">
        <f>IF($A63&lt;&gt;"",IF(VLOOKUP($A63,貼り付け用!$A$1:$BA$300,COLUMN(),FALSE)=0,"",VLOOKUP($A63,貼り付け用!$A$1:$BA$300,COLUMN(),FALSE)),"")</f>
        <v>#N/A</v>
      </c>
      <c r="K63" s="3" t="e">
        <f>IF($A63&lt;&gt;"",IF(VLOOKUP($A63,貼り付け用!$A$1:$BA$300,COLUMN(),FALSE)=0,"",VLOOKUP($A63,貼り付け用!$A$1:$BA$300,COLUMN(),FALSE)),"")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61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IF($A64&lt;&gt;"",IF(VLOOKUP($A64,貼り付け用!$A$1:$BA$300,COLUMN(),FALSE)=0,"",VLOOKUP($A64,貼り付け用!$A$1:$BA$300,COLUMN(),FALSE)),"")</f>
        <v>#N/A</v>
      </c>
      <c r="C64" s="14" t="e">
        <f>IF($A64&lt;&gt;"",IF(VLOOKUP($A64,貼り付け用!$A$1:$BA$300,COLUMN(),FALSE)=0,"",VLOOKUP($A64,貼り付け用!$A$1:$BA$300,COLUMN(),FALSE)),"")</f>
        <v>#N/A</v>
      </c>
      <c r="D64" s="14" t="e">
        <f>IF($A64&lt;&gt;"",IF(VLOOKUP($A64,貼り付け用!$A$1:$BA$300,COLUMN(),FALSE)=0,"",VLOOKUP($A64,貼り付け用!$A$1:$BA$300,COLUMN(),FALSE)),"")</f>
        <v>#N/A</v>
      </c>
      <c r="E64" s="14" t="e">
        <f>IF($A64&lt;&gt;"",IF(VLOOKUP($A64,貼り付け用!$A$1:$BA$300,COLUMN(),FALSE)=0,"",VLOOKUP($A64,貼り付け用!$A$1:$BA$300,COLUMN(),FALSE)),"")</f>
        <v>#N/A</v>
      </c>
      <c r="F64" s="14" t="e">
        <f>IF($A64&lt;&gt;"",IF(VLOOKUP($A64,貼り付け用!$A$1:$BA$300,COLUMN(),FALSE)=0,"",VLOOKUP($A64,貼り付け用!$A$1:$BA$300,COLUMN(),FALSE)),"")</f>
        <v>#N/A</v>
      </c>
      <c r="G64" s="14" t="e">
        <f>IF($A64&lt;&gt;"",IF(VLOOKUP($A64,貼り付け用!$A$1:$BA$300,COLUMN(),FALSE)=0,"",VLOOKUP($A64,貼り付け用!$A$1:$BA$300,COLUMN(),FALSE)),"")</f>
        <v>#N/A</v>
      </c>
      <c r="H64" s="14" t="e">
        <f>IF($A64&lt;&gt;"",IF(VLOOKUP($A64,貼り付け用!$A$1:$BA$300,COLUMN(),FALSE)=0,"",VLOOKUP($A64,貼り付け用!$A$1:$BA$300,COLUMN(),FALSE)),"")</f>
        <v>#N/A</v>
      </c>
      <c r="I64" s="14" t="e">
        <f>IF($A64&lt;&gt;"",IF(VLOOKUP($A64,貼り付け用!$A$1:$BA$300,COLUMN(),FALSE)=0,"",VLOOKUP($A64,貼り付け用!$A$1:$BA$300,COLUMN(),FALSE)),"")</f>
        <v>#N/A</v>
      </c>
      <c r="J64" s="14" t="e">
        <f>IF($A64&lt;&gt;"",IF(VLOOKUP($A64,貼り付け用!$A$1:$BA$300,COLUMN(),FALSE)=0,"",VLOOKUP($A64,貼り付け用!$A$1:$BA$300,COLUMN(),FALSE)),"")</f>
        <v>#N/A</v>
      </c>
      <c r="K64" s="14" t="e">
        <f>IF($A64&lt;&gt;"",IF(VLOOKUP($A64,貼り付け用!$A$1:$BA$300,COLUMN(),FALSE)=0,"",VLOOKUP($A64,貼り付け用!$A$1:$BA$300,COLUMN(),FALSE)),"")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61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IF($A65&lt;&gt;"",IF(VLOOKUP($A65,貼り付け用!$A$1:$BA$300,COLUMN(),FALSE)=0,"",VLOOKUP($A65,貼り付け用!$A$1:$BA$300,COLUMN(),FALSE)),"")</f>
        <v>#N/A</v>
      </c>
      <c r="C65" s="3" t="e">
        <f>IF($A65&lt;&gt;"",IF(VLOOKUP($A65,貼り付け用!$A$1:$BA$300,COLUMN(),FALSE)=0,"",VLOOKUP($A65,貼り付け用!$A$1:$BA$300,COLUMN(),FALSE)),"")</f>
        <v>#N/A</v>
      </c>
      <c r="D65" s="3" t="e">
        <f>IF($A65&lt;&gt;"",IF(VLOOKUP($A65,貼り付け用!$A$1:$BA$300,COLUMN(),FALSE)=0,"",VLOOKUP($A65,貼り付け用!$A$1:$BA$300,COLUMN(),FALSE)),"")</f>
        <v>#N/A</v>
      </c>
      <c r="E65" s="3" t="e">
        <f>IF($A65&lt;&gt;"",IF(VLOOKUP($A65,貼り付け用!$A$1:$BA$300,COLUMN(),FALSE)=0,"",VLOOKUP($A65,貼り付け用!$A$1:$BA$300,COLUMN(),FALSE)),"")</f>
        <v>#N/A</v>
      </c>
      <c r="F65" s="3" t="e">
        <f>IF($A65&lt;&gt;"",IF(VLOOKUP($A65,貼り付け用!$A$1:$BA$300,COLUMN(),FALSE)=0,"",VLOOKUP($A65,貼り付け用!$A$1:$BA$300,COLUMN(),FALSE)),"")</f>
        <v>#N/A</v>
      </c>
      <c r="G65" s="3" t="e">
        <f>IF($A65&lt;&gt;"",IF(VLOOKUP($A65,貼り付け用!$A$1:$BA$300,COLUMN(),FALSE)=0,"",VLOOKUP($A65,貼り付け用!$A$1:$BA$300,COLUMN(),FALSE)),"")</f>
        <v>#N/A</v>
      </c>
      <c r="H65" s="3" t="e">
        <f>IF($A65&lt;&gt;"",IF(VLOOKUP($A65,貼り付け用!$A$1:$BA$300,COLUMN(),FALSE)=0,"",VLOOKUP($A65,貼り付け用!$A$1:$BA$300,COLUMN(),FALSE)),"")</f>
        <v>#N/A</v>
      </c>
      <c r="I65" s="3" t="e">
        <f>IF($A65&lt;&gt;"",IF(VLOOKUP($A65,貼り付け用!$A$1:$BA$300,COLUMN(),FALSE)=0,"",VLOOKUP($A65,貼り付け用!$A$1:$BA$300,COLUMN(),FALSE)),"")</f>
        <v>#N/A</v>
      </c>
      <c r="J65" s="3" t="e">
        <f>IF($A65&lt;&gt;"",IF(VLOOKUP($A65,貼り付け用!$A$1:$BA$300,COLUMN(),FALSE)=0,"",VLOOKUP($A65,貼り付け用!$A$1:$BA$300,COLUMN(),FALSE)),"")</f>
        <v>#N/A</v>
      </c>
      <c r="K65" s="3" t="e">
        <f>IF($A65&lt;&gt;"",IF(VLOOKUP($A65,貼り付け用!$A$1:$BA$300,COLUMN(),FALSE)=0,"",VLOOKUP($A65,貼り付け用!$A$1:$BA$300,COLUMN(),FALSE)),"")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61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IF($A66&lt;&gt;"",IF(VLOOKUP($A66,貼り付け用!$A$1:$BA$300,COLUMN(),FALSE)=0,"",VLOOKUP($A66,貼り付け用!$A$1:$BA$300,COLUMN(),FALSE)),"")</f>
        <v>#N/A</v>
      </c>
      <c r="C66" s="14" t="e">
        <f>IF($A66&lt;&gt;"",IF(VLOOKUP($A66,貼り付け用!$A$1:$BA$300,COLUMN(),FALSE)=0,"",VLOOKUP($A66,貼り付け用!$A$1:$BA$300,COLUMN(),FALSE)),"")</f>
        <v>#N/A</v>
      </c>
      <c r="D66" s="14" t="e">
        <f>IF($A66&lt;&gt;"",IF(VLOOKUP($A66,貼り付け用!$A$1:$BA$300,COLUMN(),FALSE)=0,"",VLOOKUP($A66,貼り付け用!$A$1:$BA$300,COLUMN(),FALSE)),"")</f>
        <v>#N/A</v>
      </c>
      <c r="E66" s="14" t="e">
        <f>IF($A66&lt;&gt;"",IF(VLOOKUP($A66,貼り付け用!$A$1:$BA$300,COLUMN(),FALSE)=0,"",VLOOKUP($A66,貼り付け用!$A$1:$BA$300,COLUMN(),FALSE)),"")</f>
        <v>#N/A</v>
      </c>
      <c r="F66" s="14" t="e">
        <f>IF($A66&lt;&gt;"",IF(VLOOKUP($A66,貼り付け用!$A$1:$BA$300,COLUMN(),FALSE)=0,"",VLOOKUP($A66,貼り付け用!$A$1:$BA$300,COLUMN(),FALSE)),"")</f>
        <v>#N/A</v>
      </c>
      <c r="G66" s="14" t="e">
        <f>IF($A66&lt;&gt;"",IF(VLOOKUP($A66,貼り付け用!$A$1:$BA$300,COLUMN(),FALSE)=0,"",VLOOKUP($A66,貼り付け用!$A$1:$BA$300,COLUMN(),FALSE)),"")</f>
        <v>#N/A</v>
      </c>
      <c r="H66" s="14" t="e">
        <f>IF($A66&lt;&gt;"",IF(VLOOKUP($A66,貼り付け用!$A$1:$BA$300,COLUMN(),FALSE)=0,"",VLOOKUP($A66,貼り付け用!$A$1:$BA$300,COLUMN(),FALSE)),"")</f>
        <v>#N/A</v>
      </c>
      <c r="I66" s="14" t="e">
        <f>IF($A66&lt;&gt;"",IF(VLOOKUP($A66,貼り付け用!$A$1:$BA$300,COLUMN(),FALSE)=0,"",VLOOKUP($A66,貼り付け用!$A$1:$BA$300,COLUMN(),FALSE)),"")</f>
        <v>#N/A</v>
      </c>
      <c r="J66" s="14" t="e">
        <f>IF($A66&lt;&gt;"",IF(VLOOKUP($A66,貼り付け用!$A$1:$BA$300,COLUMN(),FALSE)=0,"",VLOOKUP($A66,貼り付け用!$A$1:$BA$300,COLUMN(),FALSE)),"")</f>
        <v>#N/A</v>
      </c>
      <c r="K66" s="14" t="e">
        <f>IF($A66&lt;&gt;"",IF(VLOOKUP($A66,貼り付け用!$A$1:$BA$300,COLUMN(),FALSE)=0,"",VLOOKUP($A66,貼り付け用!$A$1:$BA$300,COLUMN(),FALSE)),"")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61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IF($A67&lt;&gt;"",IF(VLOOKUP($A67,貼り付け用!$A$1:$BA$300,COLUMN(),FALSE)=0,"",VLOOKUP($A67,貼り付け用!$A$1:$BA$300,COLUMN(),FALSE)),"")</f>
        <v>#N/A</v>
      </c>
      <c r="C67" s="3" t="e">
        <f>IF($A67&lt;&gt;"",IF(VLOOKUP($A67,貼り付け用!$A$1:$BA$300,COLUMN(),FALSE)=0,"",VLOOKUP($A67,貼り付け用!$A$1:$BA$300,COLUMN(),FALSE)),"")</f>
        <v>#N/A</v>
      </c>
      <c r="D67" s="3" t="e">
        <f>IF($A67&lt;&gt;"",IF(VLOOKUP($A67,貼り付け用!$A$1:$BA$300,COLUMN(),FALSE)=0,"",VLOOKUP($A67,貼り付け用!$A$1:$BA$300,COLUMN(),FALSE)),"")</f>
        <v>#N/A</v>
      </c>
      <c r="E67" s="3" t="e">
        <f>IF($A67&lt;&gt;"",IF(VLOOKUP($A67,貼り付け用!$A$1:$BA$300,COLUMN(),FALSE)=0,"",VLOOKUP($A67,貼り付け用!$A$1:$BA$300,COLUMN(),FALSE)),"")</f>
        <v>#N/A</v>
      </c>
      <c r="F67" s="3" t="e">
        <f>IF($A67&lt;&gt;"",IF(VLOOKUP($A67,貼り付け用!$A$1:$BA$300,COLUMN(),FALSE)=0,"",VLOOKUP($A67,貼り付け用!$A$1:$BA$300,COLUMN(),FALSE)),"")</f>
        <v>#N/A</v>
      </c>
      <c r="G67" s="3" t="e">
        <f>IF($A67&lt;&gt;"",IF(VLOOKUP($A67,貼り付け用!$A$1:$BA$300,COLUMN(),FALSE)=0,"",VLOOKUP($A67,貼り付け用!$A$1:$BA$300,COLUMN(),FALSE)),"")</f>
        <v>#N/A</v>
      </c>
      <c r="H67" s="3" t="e">
        <f>IF($A67&lt;&gt;"",IF(VLOOKUP($A67,貼り付け用!$A$1:$BA$300,COLUMN(),FALSE)=0,"",VLOOKUP($A67,貼り付け用!$A$1:$BA$300,COLUMN(),FALSE)),"")</f>
        <v>#N/A</v>
      </c>
      <c r="I67" s="3" t="e">
        <f>IF($A67&lt;&gt;"",IF(VLOOKUP($A67,貼り付け用!$A$1:$BA$300,COLUMN(),FALSE)=0,"",VLOOKUP($A67,貼り付け用!$A$1:$BA$300,COLUMN(),FALSE)),"")</f>
        <v>#N/A</v>
      </c>
      <c r="J67" s="3" t="e">
        <f>IF($A67&lt;&gt;"",IF(VLOOKUP($A67,貼り付け用!$A$1:$BA$300,COLUMN(),FALSE)=0,"",VLOOKUP($A67,貼り付け用!$A$1:$BA$300,COLUMN(),FALSE)),"")</f>
        <v>#N/A</v>
      </c>
      <c r="K67" s="3" t="e">
        <f>IF($A67&lt;&gt;"",IF(VLOOKUP($A67,貼り付け用!$A$1:$BA$300,COLUMN(),FALSE)=0,"",VLOOKUP($A67,貼り付け用!$A$1:$BA$300,COLUMN(),FALSE)),"")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61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IF($A68&lt;&gt;"",IF(VLOOKUP($A68,貼り付け用!$A$1:$BA$300,COLUMN(),FALSE)=0,"",VLOOKUP($A68,貼り付け用!$A$1:$BA$300,COLUMN(),FALSE)),"")</f>
        <v>#N/A</v>
      </c>
      <c r="C68" s="14" t="e">
        <f>IF($A68&lt;&gt;"",IF(VLOOKUP($A68,貼り付け用!$A$1:$BA$300,COLUMN(),FALSE)=0,"",VLOOKUP($A68,貼り付け用!$A$1:$BA$300,COLUMN(),FALSE)),"")</f>
        <v>#N/A</v>
      </c>
      <c r="D68" s="14" t="e">
        <f>IF($A68&lt;&gt;"",IF(VLOOKUP($A68,貼り付け用!$A$1:$BA$300,COLUMN(),FALSE)=0,"",VLOOKUP($A68,貼り付け用!$A$1:$BA$300,COLUMN(),FALSE)),"")</f>
        <v>#N/A</v>
      </c>
      <c r="E68" s="14" t="e">
        <f>IF($A68&lt;&gt;"",IF(VLOOKUP($A68,貼り付け用!$A$1:$BA$300,COLUMN(),FALSE)=0,"",VLOOKUP($A68,貼り付け用!$A$1:$BA$300,COLUMN(),FALSE)),"")</f>
        <v>#N/A</v>
      </c>
      <c r="F68" s="14" t="e">
        <f>IF($A68&lt;&gt;"",IF(VLOOKUP($A68,貼り付け用!$A$1:$BA$300,COLUMN(),FALSE)=0,"",VLOOKUP($A68,貼り付け用!$A$1:$BA$300,COLUMN(),FALSE)),"")</f>
        <v>#N/A</v>
      </c>
      <c r="G68" s="14" t="e">
        <f>IF($A68&lt;&gt;"",IF(VLOOKUP($A68,貼り付け用!$A$1:$BA$300,COLUMN(),FALSE)=0,"",VLOOKUP($A68,貼り付け用!$A$1:$BA$300,COLUMN(),FALSE)),"")</f>
        <v>#N/A</v>
      </c>
      <c r="H68" s="14" t="e">
        <f>IF($A68&lt;&gt;"",IF(VLOOKUP($A68,貼り付け用!$A$1:$BA$300,COLUMN(),FALSE)=0,"",VLOOKUP($A68,貼り付け用!$A$1:$BA$300,COLUMN(),FALSE)),"")</f>
        <v>#N/A</v>
      </c>
      <c r="I68" s="14" t="e">
        <f>IF($A68&lt;&gt;"",IF(VLOOKUP($A68,貼り付け用!$A$1:$BA$300,COLUMN(),FALSE)=0,"",VLOOKUP($A68,貼り付け用!$A$1:$BA$300,COLUMN(),FALSE)),"")</f>
        <v>#N/A</v>
      </c>
      <c r="J68" s="14" t="e">
        <f>IF($A68&lt;&gt;"",IF(VLOOKUP($A68,貼り付け用!$A$1:$BA$300,COLUMN(),FALSE)=0,"",VLOOKUP($A68,貼り付け用!$A$1:$BA$300,COLUMN(),FALSE)),"")</f>
        <v>#N/A</v>
      </c>
      <c r="K68" s="14" t="e">
        <f>IF($A68&lt;&gt;"",IF(VLOOKUP($A68,貼り付け用!$A$1:$BA$300,COLUMN(),FALSE)=0,"",VLOOKUP($A68,貼り付け用!$A$1:$BA$300,COLUMN(),FALSE)),"")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61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IF($A69&lt;&gt;"",IF(VLOOKUP($A69,貼り付け用!$A$1:$BA$300,COLUMN(),FALSE)=0,"",VLOOKUP($A69,貼り付け用!$A$1:$BA$300,COLUMN(),FALSE)),"")</f>
        <v>#N/A</v>
      </c>
      <c r="C69" s="3" t="e">
        <f>IF($A69&lt;&gt;"",IF(VLOOKUP($A69,貼り付け用!$A$1:$BA$300,COLUMN(),FALSE)=0,"",VLOOKUP($A69,貼り付け用!$A$1:$BA$300,COLUMN(),FALSE)),"")</f>
        <v>#N/A</v>
      </c>
      <c r="D69" s="3" t="e">
        <f>IF($A69&lt;&gt;"",IF(VLOOKUP($A69,貼り付け用!$A$1:$BA$300,COLUMN(),FALSE)=0,"",VLOOKUP($A69,貼り付け用!$A$1:$BA$300,COLUMN(),FALSE)),"")</f>
        <v>#N/A</v>
      </c>
      <c r="E69" s="3" t="e">
        <f>IF($A69&lt;&gt;"",IF(VLOOKUP($A69,貼り付け用!$A$1:$BA$300,COLUMN(),FALSE)=0,"",VLOOKUP($A69,貼り付け用!$A$1:$BA$300,COLUMN(),FALSE)),"")</f>
        <v>#N/A</v>
      </c>
      <c r="F69" s="3" t="e">
        <f>IF($A69&lt;&gt;"",IF(VLOOKUP($A69,貼り付け用!$A$1:$BA$300,COLUMN(),FALSE)=0,"",VLOOKUP($A69,貼り付け用!$A$1:$BA$300,COLUMN(),FALSE)),"")</f>
        <v>#N/A</v>
      </c>
      <c r="G69" s="3" t="e">
        <f>IF($A69&lt;&gt;"",IF(VLOOKUP($A69,貼り付け用!$A$1:$BA$300,COLUMN(),FALSE)=0,"",VLOOKUP($A69,貼り付け用!$A$1:$BA$300,COLUMN(),FALSE)),"")</f>
        <v>#N/A</v>
      </c>
      <c r="H69" s="3" t="e">
        <f>IF($A69&lt;&gt;"",IF(VLOOKUP($A69,貼り付け用!$A$1:$BA$300,COLUMN(),FALSE)=0,"",VLOOKUP($A69,貼り付け用!$A$1:$BA$300,COLUMN(),FALSE)),"")</f>
        <v>#N/A</v>
      </c>
      <c r="I69" s="3" t="e">
        <f>IF($A69&lt;&gt;"",IF(VLOOKUP($A69,貼り付け用!$A$1:$BA$300,COLUMN(),FALSE)=0,"",VLOOKUP($A69,貼り付け用!$A$1:$BA$300,COLUMN(),FALSE)),"")</f>
        <v>#N/A</v>
      </c>
      <c r="J69" s="3" t="e">
        <f>IF($A69&lt;&gt;"",IF(VLOOKUP($A69,貼り付け用!$A$1:$BA$300,COLUMN(),FALSE)=0,"",VLOOKUP($A69,貼り付け用!$A$1:$BA$300,COLUMN(),FALSE)),"")</f>
        <v>#N/A</v>
      </c>
      <c r="K69" s="3" t="e">
        <f>IF($A69&lt;&gt;"",IF(VLOOKUP($A69,貼り付け用!$A$1:$BA$300,COLUMN(),FALSE)=0,"",VLOOKUP($A69,貼り付け用!$A$1:$BA$300,COLUMN(),FALSE)),"")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61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IF($A70&lt;&gt;"",IF(VLOOKUP($A70,貼り付け用!$A$1:$BA$300,COLUMN(),FALSE)=0,"",VLOOKUP($A70,貼り付け用!$A$1:$BA$300,COLUMN(),FALSE)),"")</f>
        <v>#N/A</v>
      </c>
      <c r="C70" s="14" t="e">
        <f>IF($A70&lt;&gt;"",IF(VLOOKUP($A70,貼り付け用!$A$1:$BA$300,COLUMN(),FALSE)=0,"",VLOOKUP($A70,貼り付け用!$A$1:$BA$300,COLUMN(),FALSE)),"")</f>
        <v>#N/A</v>
      </c>
      <c r="D70" s="14" t="e">
        <f>IF($A70&lt;&gt;"",IF(VLOOKUP($A70,貼り付け用!$A$1:$BA$300,COLUMN(),FALSE)=0,"",VLOOKUP($A70,貼り付け用!$A$1:$BA$300,COLUMN(),FALSE)),"")</f>
        <v>#N/A</v>
      </c>
      <c r="E70" s="14" t="e">
        <f>IF($A70&lt;&gt;"",IF(VLOOKUP($A70,貼り付け用!$A$1:$BA$300,COLUMN(),FALSE)=0,"",VLOOKUP($A70,貼り付け用!$A$1:$BA$300,COLUMN(),FALSE)),"")</f>
        <v>#N/A</v>
      </c>
      <c r="F70" s="14" t="e">
        <f>IF($A70&lt;&gt;"",IF(VLOOKUP($A70,貼り付け用!$A$1:$BA$300,COLUMN(),FALSE)=0,"",VLOOKUP($A70,貼り付け用!$A$1:$BA$300,COLUMN(),FALSE)),"")</f>
        <v>#N/A</v>
      </c>
      <c r="G70" s="14" t="e">
        <f>IF($A70&lt;&gt;"",IF(VLOOKUP($A70,貼り付け用!$A$1:$BA$300,COLUMN(),FALSE)=0,"",VLOOKUP($A70,貼り付け用!$A$1:$BA$300,COLUMN(),FALSE)),"")</f>
        <v>#N/A</v>
      </c>
      <c r="H70" s="14" t="e">
        <f>IF($A70&lt;&gt;"",IF(VLOOKUP($A70,貼り付け用!$A$1:$BA$300,COLUMN(),FALSE)=0,"",VLOOKUP($A70,貼り付け用!$A$1:$BA$300,COLUMN(),FALSE)),"")</f>
        <v>#N/A</v>
      </c>
      <c r="I70" s="14" t="e">
        <f>IF($A70&lt;&gt;"",IF(VLOOKUP($A70,貼り付け用!$A$1:$BA$300,COLUMN(),FALSE)=0,"",VLOOKUP($A70,貼り付け用!$A$1:$BA$300,COLUMN(),FALSE)),"")</f>
        <v>#N/A</v>
      </c>
      <c r="J70" s="14" t="e">
        <f>IF($A70&lt;&gt;"",IF(VLOOKUP($A70,貼り付け用!$A$1:$BA$300,COLUMN(),FALSE)=0,"",VLOOKUP($A70,貼り付け用!$A$1:$BA$300,COLUMN(),FALSE)),"")</f>
        <v>#N/A</v>
      </c>
      <c r="K70" s="14" t="e">
        <f>IF($A70&lt;&gt;"",IF(VLOOKUP($A70,貼り付け用!$A$1:$BA$300,COLUMN(),FALSE)=0,"",VLOOKUP($A70,貼り付け用!$A$1:$BA$300,COLUMN(),FALSE)),"")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61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IF($A71&lt;&gt;"",IF(VLOOKUP($A71,貼り付け用!$A$1:$BA$300,COLUMN(),FALSE)=0,"",VLOOKUP($A71,貼り付け用!$A$1:$BA$300,COLUMN(),FALSE)),"")</f>
        <v>#N/A</v>
      </c>
      <c r="C71" s="3" t="e">
        <f>IF($A71&lt;&gt;"",IF(VLOOKUP($A71,貼り付け用!$A$1:$BA$300,COLUMN(),FALSE)=0,"",VLOOKUP($A71,貼り付け用!$A$1:$BA$300,COLUMN(),FALSE)),"")</f>
        <v>#N/A</v>
      </c>
      <c r="D71" s="3" t="e">
        <f>IF($A71&lt;&gt;"",IF(VLOOKUP($A71,貼り付け用!$A$1:$BA$300,COLUMN(),FALSE)=0,"",VLOOKUP($A71,貼り付け用!$A$1:$BA$300,COLUMN(),FALSE)),"")</f>
        <v>#N/A</v>
      </c>
      <c r="E71" s="3" t="e">
        <f>IF($A71&lt;&gt;"",IF(VLOOKUP($A71,貼り付け用!$A$1:$BA$300,COLUMN(),FALSE)=0,"",VLOOKUP($A71,貼り付け用!$A$1:$BA$300,COLUMN(),FALSE)),"")</f>
        <v>#N/A</v>
      </c>
      <c r="F71" s="3" t="e">
        <f>IF($A71&lt;&gt;"",IF(VLOOKUP($A71,貼り付け用!$A$1:$BA$300,COLUMN(),FALSE)=0,"",VLOOKUP($A71,貼り付け用!$A$1:$BA$300,COLUMN(),FALSE)),"")</f>
        <v>#N/A</v>
      </c>
      <c r="G71" s="3" t="e">
        <f>IF($A71&lt;&gt;"",IF(VLOOKUP($A71,貼り付け用!$A$1:$BA$300,COLUMN(),FALSE)=0,"",VLOOKUP($A71,貼り付け用!$A$1:$BA$300,COLUMN(),FALSE)),"")</f>
        <v>#N/A</v>
      </c>
      <c r="H71" s="3" t="e">
        <f>IF($A71&lt;&gt;"",IF(VLOOKUP($A71,貼り付け用!$A$1:$BA$300,COLUMN(),FALSE)=0,"",VLOOKUP($A71,貼り付け用!$A$1:$BA$300,COLUMN(),FALSE)),"")</f>
        <v>#N/A</v>
      </c>
      <c r="I71" s="3" t="e">
        <f>IF($A71&lt;&gt;"",IF(VLOOKUP($A71,貼り付け用!$A$1:$BA$300,COLUMN(),FALSE)=0,"",VLOOKUP($A71,貼り付け用!$A$1:$BA$300,COLUMN(),FALSE)),"")</f>
        <v>#N/A</v>
      </c>
      <c r="J71" s="3" t="e">
        <f>IF($A71&lt;&gt;"",IF(VLOOKUP($A71,貼り付け用!$A$1:$BA$300,COLUMN(),FALSE)=0,"",VLOOKUP($A71,貼り付け用!$A$1:$BA$300,COLUMN(),FALSE)),"")</f>
        <v>#N/A</v>
      </c>
      <c r="K71" s="3" t="e">
        <f>IF($A71&lt;&gt;"",IF(VLOOKUP($A71,貼り付け用!$A$1:$BA$300,COLUMN(),FALSE)=0,"",VLOOKUP($A71,貼り付け用!$A$1:$BA$300,COLUMN(),FALSE)),"")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61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IF($A72&lt;&gt;"",IF(VLOOKUP($A72,貼り付け用!$A$1:$BA$300,COLUMN(),FALSE)=0,"",VLOOKUP($A72,貼り付け用!$A$1:$BA$300,COLUMN(),FALSE)),"")</f>
        <v>#N/A</v>
      </c>
      <c r="C72" s="14" t="e">
        <f>IF($A72&lt;&gt;"",IF(VLOOKUP($A72,貼り付け用!$A$1:$BA$300,COLUMN(),FALSE)=0,"",VLOOKUP($A72,貼り付け用!$A$1:$BA$300,COLUMN(),FALSE)),"")</f>
        <v>#N/A</v>
      </c>
      <c r="D72" s="14" t="e">
        <f>IF($A72&lt;&gt;"",IF(VLOOKUP($A72,貼り付け用!$A$1:$BA$300,COLUMN(),FALSE)=0,"",VLOOKUP($A72,貼り付け用!$A$1:$BA$300,COLUMN(),FALSE)),"")</f>
        <v>#N/A</v>
      </c>
      <c r="E72" s="14" t="e">
        <f>IF($A72&lt;&gt;"",IF(VLOOKUP($A72,貼り付け用!$A$1:$BA$300,COLUMN(),FALSE)=0,"",VLOOKUP($A72,貼り付け用!$A$1:$BA$300,COLUMN(),FALSE)),"")</f>
        <v>#N/A</v>
      </c>
      <c r="F72" s="14" t="e">
        <f>IF($A72&lt;&gt;"",IF(VLOOKUP($A72,貼り付け用!$A$1:$BA$300,COLUMN(),FALSE)=0,"",VLOOKUP($A72,貼り付け用!$A$1:$BA$300,COLUMN(),FALSE)),"")</f>
        <v>#N/A</v>
      </c>
      <c r="G72" s="14" t="e">
        <f>IF($A72&lt;&gt;"",IF(VLOOKUP($A72,貼り付け用!$A$1:$BA$300,COLUMN(),FALSE)=0,"",VLOOKUP($A72,貼り付け用!$A$1:$BA$300,COLUMN(),FALSE)),"")</f>
        <v>#N/A</v>
      </c>
      <c r="H72" s="14" t="e">
        <f>IF($A72&lt;&gt;"",IF(VLOOKUP($A72,貼り付け用!$A$1:$BA$300,COLUMN(),FALSE)=0,"",VLOOKUP($A72,貼り付け用!$A$1:$BA$300,COLUMN(),FALSE)),"")</f>
        <v>#N/A</v>
      </c>
      <c r="I72" s="14" t="e">
        <f>IF($A72&lt;&gt;"",IF(VLOOKUP($A72,貼り付け用!$A$1:$BA$300,COLUMN(),FALSE)=0,"",VLOOKUP($A72,貼り付け用!$A$1:$BA$300,COLUMN(),FALSE)),"")</f>
        <v>#N/A</v>
      </c>
      <c r="J72" s="14" t="e">
        <f>IF($A72&lt;&gt;"",IF(VLOOKUP($A72,貼り付け用!$A$1:$BA$300,COLUMN(),FALSE)=0,"",VLOOKUP($A72,貼り付け用!$A$1:$BA$300,COLUMN(),FALSE)),"")</f>
        <v>#N/A</v>
      </c>
      <c r="K72" s="14" t="e">
        <f>IF($A72&lt;&gt;"",IF(VLOOKUP($A72,貼り付け用!$A$1:$BA$300,COLUMN(),FALSE)=0,"",VLOOKUP($A72,貼り付け用!$A$1:$BA$300,COLUMN(),FALSE)),"")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61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IF($A73&lt;&gt;"",IF(VLOOKUP($A73,貼り付け用!$A$1:$BA$300,COLUMN(),FALSE)=0,"",VLOOKUP($A73,貼り付け用!$A$1:$BA$300,COLUMN(),FALSE)),"")</f>
        <v>#N/A</v>
      </c>
      <c r="C73" s="3" t="e">
        <f>IF($A73&lt;&gt;"",IF(VLOOKUP($A73,貼り付け用!$A$1:$BA$300,COLUMN(),FALSE)=0,"",VLOOKUP($A73,貼り付け用!$A$1:$BA$300,COLUMN(),FALSE)),"")</f>
        <v>#N/A</v>
      </c>
      <c r="D73" s="3" t="e">
        <f>IF($A73&lt;&gt;"",IF(VLOOKUP($A73,貼り付け用!$A$1:$BA$300,COLUMN(),FALSE)=0,"",VLOOKUP($A73,貼り付け用!$A$1:$BA$300,COLUMN(),FALSE)),"")</f>
        <v>#N/A</v>
      </c>
      <c r="E73" s="3" t="e">
        <f>IF($A73&lt;&gt;"",IF(VLOOKUP($A73,貼り付け用!$A$1:$BA$300,COLUMN(),FALSE)=0,"",VLOOKUP($A73,貼り付け用!$A$1:$BA$300,COLUMN(),FALSE)),"")</f>
        <v>#N/A</v>
      </c>
      <c r="F73" s="3" t="e">
        <f>IF($A73&lt;&gt;"",IF(VLOOKUP($A73,貼り付け用!$A$1:$BA$300,COLUMN(),FALSE)=0,"",VLOOKUP($A73,貼り付け用!$A$1:$BA$300,COLUMN(),FALSE)),"")</f>
        <v>#N/A</v>
      </c>
      <c r="G73" s="3" t="e">
        <f>IF($A73&lt;&gt;"",IF(VLOOKUP($A73,貼り付け用!$A$1:$BA$300,COLUMN(),FALSE)=0,"",VLOOKUP($A73,貼り付け用!$A$1:$BA$300,COLUMN(),FALSE)),"")</f>
        <v>#N/A</v>
      </c>
      <c r="H73" s="3" t="e">
        <f>IF($A73&lt;&gt;"",IF(VLOOKUP($A73,貼り付け用!$A$1:$BA$300,COLUMN(),FALSE)=0,"",VLOOKUP($A73,貼り付け用!$A$1:$BA$300,COLUMN(),FALSE)),"")</f>
        <v>#N/A</v>
      </c>
      <c r="I73" s="3" t="e">
        <f>IF($A73&lt;&gt;"",IF(VLOOKUP($A73,貼り付け用!$A$1:$BA$300,COLUMN(),FALSE)=0,"",VLOOKUP($A73,貼り付け用!$A$1:$BA$300,COLUMN(),FALSE)),"")</f>
        <v>#N/A</v>
      </c>
      <c r="J73" s="3" t="e">
        <f>IF($A73&lt;&gt;"",IF(VLOOKUP($A73,貼り付け用!$A$1:$BA$300,COLUMN(),FALSE)=0,"",VLOOKUP($A73,貼り付け用!$A$1:$BA$300,COLUMN(),FALSE)),"")</f>
        <v>#N/A</v>
      </c>
      <c r="K73" s="3" t="e">
        <f>IF($A73&lt;&gt;"",IF(VLOOKUP($A73,貼り付け用!$A$1:$BA$300,COLUMN(),FALSE)=0,"",VLOOKUP($A73,貼り付け用!$A$1:$BA$300,COLUMN(),FALSE)),"")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61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IF($A74&lt;&gt;"",IF(VLOOKUP($A74,貼り付け用!$A$1:$BA$300,COLUMN(),FALSE)=0,"",VLOOKUP($A74,貼り付け用!$A$1:$BA$300,COLUMN(),FALSE)),"")</f>
        <v>#N/A</v>
      </c>
      <c r="C74" s="14" t="e">
        <f>IF($A74&lt;&gt;"",IF(VLOOKUP($A74,貼り付け用!$A$1:$BA$300,COLUMN(),FALSE)=0,"",VLOOKUP($A74,貼り付け用!$A$1:$BA$300,COLUMN(),FALSE)),"")</f>
        <v>#N/A</v>
      </c>
      <c r="D74" s="14" t="e">
        <f>IF($A74&lt;&gt;"",IF(VLOOKUP($A74,貼り付け用!$A$1:$BA$300,COLUMN(),FALSE)=0,"",VLOOKUP($A74,貼り付け用!$A$1:$BA$300,COLUMN(),FALSE)),"")</f>
        <v>#N/A</v>
      </c>
      <c r="E74" s="14" t="e">
        <f>IF($A74&lt;&gt;"",IF(VLOOKUP($A74,貼り付け用!$A$1:$BA$300,COLUMN(),FALSE)=0,"",VLOOKUP($A74,貼り付け用!$A$1:$BA$300,COLUMN(),FALSE)),"")</f>
        <v>#N/A</v>
      </c>
      <c r="F74" s="14" t="e">
        <f>IF($A74&lt;&gt;"",IF(VLOOKUP($A74,貼り付け用!$A$1:$BA$300,COLUMN(),FALSE)=0,"",VLOOKUP($A74,貼り付け用!$A$1:$BA$300,COLUMN(),FALSE)),"")</f>
        <v>#N/A</v>
      </c>
      <c r="G74" s="14" t="e">
        <f>IF($A74&lt;&gt;"",IF(VLOOKUP($A74,貼り付け用!$A$1:$BA$300,COLUMN(),FALSE)=0,"",VLOOKUP($A74,貼り付け用!$A$1:$BA$300,COLUMN(),FALSE)),"")</f>
        <v>#N/A</v>
      </c>
      <c r="H74" s="14" t="e">
        <f>IF($A74&lt;&gt;"",IF(VLOOKUP($A74,貼り付け用!$A$1:$BA$300,COLUMN(),FALSE)=0,"",VLOOKUP($A74,貼り付け用!$A$1:$BA$300,COLUMN(),FALSE)),"")</f>
        <v>#N/A</v>
      </c>
      <c r="I74" s="14" t="e">
        <f>IF($A74&lt;&gt;"",IF(VLOOKUP($A74,貼り付け用!$A$1:$BA$300,COLUMN(),FALSE)=0,"",VLOOKUP($A74,貼り付け用!$A$1:$BA$300,COLUMN(),FALSE)),"")</f>
        <v>#N/A</v>
      </c>
      <c r="J74" s="14" t="e">
        <f>IF($A74&lt;&gt;"",IF(VLOOKUP($A74,貼り付け用!$A$1:$BA$300,COLUMN(),FALSE)=0,"",VLOOKUP($A74,貼り付け用!$A$1:$BA$300,COLUMN(),FALSE)),"")</f>
        <v>#N/A</v>
      </c>
      <c r="K74" s="14" t="e">
        <f>IF($A74&lt;&gt;"",IF(VLOOKUP($A74,貼り付け用!$A$1:$BA$300,COLUMN(),FALSE)=0,"",VLOOKUP($A74,貼り付け用!$A$1:$BA$300,COLUMN(),FALSE)),"")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61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IF($A75&lt;&gt;"",IF(VLOOKUP($A75,貼り付け用!$A$1:$BA$300,COLUMN(),FALSE)=0,"",VLOOKUP($A75,貼り付け用!$A$1:$BA$300,COLUMN(),FALSE)),"")</f>
        <v>#N/A</v>
      </c>
      <c r="C75" s="3" t="e">
        <f>IF($A75&lt;&gt;"",IF(VLOOKUP($A75,貼り付け用!$A$1:$BA$300,COLUMN(),FALSE)=0,"",VLOOKUP($A75,貼り付け用!$A$1:$BA$300,COLUMN(),FALSE)),"")</f>
        <v>#N/A</v>
      </c>
      <c r="D75" s="3" t="e">
        <f>IF($A75&lt;&gt;"",IF(VLOOKUP($A75,貼り付け用!$A$1:$BA$300,COLUMN(),FALSE)=0,"",VLOOKUP($A75,貼り付け用!$A$1:$BA$300,COLUMN(),FALSE)),"")</f>
        <v>#N/A</v>
      </c>
      <c r="E75" s="3" t="e">
        <f>IF($A75&lt;&gt;"",IF(VLOOKUP($A75,貼り付け用!$A$1:$BA$300,COLUMN(),FALSE)=0,"",VLOOKUP($A75,貼り付け用!$A$1:$BA$300,COLUMN(),FALSE)),"")</f>
        <v>#N/A</v>
      </c>
      <c r="F75" s="3" t="e">
        <f>IF($A75&lt;&gt;"",IF(VLOOKUP($A75,貼り付け用!$A$1:$BA$300,COLUMN(),FALSE)=0,"",VLOOKUP($A75,貼り付け用!$A$1:$BA$300,COLUMN(),FALSE)),"")</f>
        <v>#N/A</v>
      </c>
      <c r="G75" s="3" t="e">
        <f>IF($A75&lt;&gt;"",IF(VLOOKUP($A75,貼り付け用!$A$1:$BA$300,COLUMN(),FALSE)=0,"",VLOOKUP($A75,貼り付け用!$A$1:$BA$300,COLUMN(),FALSE)),"")</f>
        <v>#N/A</v>
      </c>
      <c r="H75" s="3" t="e">
        <f>IF($A75&lt;&gt;"",IF(VLOOKUP($A75,貼り付け用!$A$1:$BA$300,COLUMN(),FALSE)=0,"",VLOOKUP($A75,貼り付け用!$A$1:$BA$300,COLUMN(),FALSE)),"")</f>
        <v>#N/A</v>
      </c>
      <c r="I75" s="3" t="e">
        <f>IF($A75&lt;&gt;"",IF(VLOOKUP($A75,貼り付け用!$A$1:$BA$300,COLUMN(),FALSE)=0,"",VLOOKUP($A75,貼り付け用!$A$1:$BA$300,COLUMN(),FALSE)),"")</f>
        <v>#N/A</v>
      </c>
      <c r="J75" s="3" t="e">
        <f>IF($A75&lt;&gt;"",IF(VLOOKUP($A75,貼り付け用!$A$1:$BA$300,COLUMN(),FALSE)=0,"",VLOOKUP($A75,貼り付け用!$A$1:$BA$300,COLUMN(),FALSE)),"")</f>
        <v>#N/A</v>
      </c>
      <c r="K75" s="3" t="e">
        <f>IF($A75&lt;&gt;"",IF(VLOOKUP($A75,貼り付け用!$A$1:$BA$300,COLUMN(),FALSE)=0,"",VLOOKUP($A75,貼り付け用!$A$1:$BA$300,COLUMN(),FALSE)),"")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61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IF($A76&lt;&gt;"",IF(VLOOKUP($A76,貼り付け用!$A$1:$BA$300,COLUMN(),FALSE)=0,"",VLOOKUP($A76,貼り付け用!$A$1:$BA$300,COLUMN(),FALSE)),"")</f>
        <v>#N/A</v>
      </c>
      <c r="C76" s="14" t="e">
        <f>IF($A76&lt;&gt;"",IF(VLOOKUP($A76,貼り付け用!$A$1:$BA$300,COLUMN(),FALSE)=0,"",VLOOKUP($A76,貼り付け用!$A$1:$BA$300,COLUMN(),FALSE)),"")</f>
        <v>#N/A</v>
      </c>
      <c r="D76" s="14" t="e">
        <f>IF($A76&lt;&gt;"",IF(VLOOKUP($A76,貼り付け用!$A$1:$BA$300,COLUMN(),FALSE)=0,"",VLOOKUP($A76,貼り付け用!$A$1:$BA$300,COLUMN(),FALSE)),"")</f>
        <v>#N/A</v>
      </c>
      <c r="E76" s="14" t="e">
        <f>IF($A76&lt;&gt;"",IF(VLOOKUP($A76,貼り付け用!$A$1:$BA$300,COLUMN(),FALSE)=0,"",VLOOKUP($A76,貼り付け用!$A$1:$BA$300,COLUMN(),FALSE)),"")</f>
        <v>#N/A</v>
      </c>
      <c r="F76" s="14" t="e">
        <f>IF($A76&lt;&gt;"",IF(VLOOKUP($A76,貼り付け用!$A$1:$BA$300,COLUMN(),FALSE)=0,"",VLOOKUP($A76,貼り付け用!$A$1:$BA$300,COLUMN(),FALSE)),"")</f>
        <v>#N/A</v>
      </c>
      <c r="G76" s="14" t="e">
        <f>IF($A76&lt;&gt;"",IF(VLOOKUP($A76,貼り付け用!$A$1:$BA$300,COLUMN(),FALSE)=0,"",VLOOKUP($A76,貼り付け用!$A$1:$BA$300,COLUMN(),FALSE)),"")</f>
        <v>#N/A</v>
      </c>
      <c r="H76" s="14" t="e">
        <f>IF($A76&lt;&gt;"",IF(VLOOKUP($A76,貼り付け用!$A$1:$BA$300,COLUMN(),FALSE)=0,"",VLOOKUP($A76,貼り付け用!$A$1:$BA$300,COLUMN(),FALSE)),"")</f>
        <v>#N/A</v>
      </c>
      <c r="I76" s="14" t="e">
        <f>IF($A76&lt;&gt;"",IF(VLOOKUP($A76,貼り付け用!$A$1:$BA$300,COLUMN(),FALSE)=0,"",VLOOKUP($A76,貼り付け用!$A$1:$BA$300,COLUMN(),FALSE)),"")</f>
        <v>#N/A</v>
      </c>
      <c r="J76" s="14" t="e">
        <f>IF($A76&lt;&gt;"",IF(VLOOKUP($A76,貼り付け用!$A$1:$BA$300,COLUMN(),FALSE)=0,"",VLOOKUP($A76,貼り付け用!$A$1:$BA$300,COLUMN(),FALSE)),"")</f>
        <v>#N/A</v>
      </c>
      <c r="K76" s="14" t="e">
        <f>IF($A76&lt;&gt;"",IF(VLOOKUP($A76,貼り付け用!$A$1:$BA$300,COLUMN(),FALSE)=0,"",VLOOKUP($A76,貼り付け用!$A$1:$BA$300,COLUMN(),FALSE)),"")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61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IF($A77&lt;&gt;"",IF(VLOOKUP($A77,貼り付け用!$A$1:$BA$300,COLUMN(),FALSE)=0,"",VLOOKUP($A77,貼り付け用!$A$1:$BA$300,COLUMN(),FALSE)),"")</f>
        <v>#N/A</v>
      </c>
      <c r="C77" s="3" t="e">
        <f>IF($A77&lt;&gt;"",IF(VLOOKUP($A77,貼り付け用!$A$1:$BA$300,COLUMN(),FALSE)=0,"",VLOOKUP($A77,貼り付け用!$A$1:$BA$300,COLUMN(),FALSE)),"")</f>
        <v>#N/A</v>
      </c>
      <c r="D77" s="3" t="e">
        <f>IF($A77&lt;&gt;"",IF(VLOOKUP($A77,貼り付け用!$A$1:$BA$300,COLUMN(),FALSE)=0,"",VLOOKUP($A77,貼り付け用!$A$1:$BA$300,COLUMN(),FALSE)),"")</f>
        <v>#N/A</v>
      </c>
      <c r="E77" s="3" t="e">
        <f>IF($A77&lt;&gt;"",IF(VLOOKUP($A77,貼り付け用!$A$1:$BA$300,COLUMN(),FALSE)=0,"",VLOOKUP($A77,貼り付け用!$A$1:$BA$300,COLUMN(),FALSE)),"")</f>
        <v>#N/A</v>
      </c>
      <c r="F77" s="3" t="e">
        <f>IF($A77&lt;&gt;"",IF(VLOOKUP($A77,貼り付け用!$A$1:$BA$300,COLUMN(),FALSE)=0,"",VLOOKUP($A77,貼り付け用!$A$1:$BA$300,COLUMN(),FALSE)),"")</f>
        <v>#N/A</v>
      </c>
      <c r="G77" s="3" t="e">
        <f>IF($A77&lt;&gt;"",IF(VLOOKUP($A77,貼り付け用!$A$1:$BA$300,COLUMN(),FALSE)=0,"",VLOOKUP($A77,貼り付け用!$A$1:$BA$300,COLUMN(),FALSE)),"")</f>
        <v>#N/A</v>
      </c>
      <c r="H77" s="3" t="e">
        <f>IF($A77&lt;&gt;"",IF(VLOOKUP($A77,貼り付け用!$A$1:$BA$300,COLUMN(),FALSE)=0,"",VLOOKUP($A77,貼り付け用!$A$1:$BA$300,COLUMN(),FALSE)),"")</f>
        <v>#N/A</v>
      </c>
      <c r="I77" s="3" t="e">
        <f>IF($A77&lt;&gt;"",IF(VLOOKUP($A77,貼り付け用!$A$1:$BA$300,COLUMN(),FALSE)=0,"",VLOOKUP($A77,貼り付け用!$A$1:$BA$300,COLUMN(),FALSE)),"")</f>
        <v>#N/A</v>
      </c>
      <c r="J77" s="3" t="e">
        <f>IF($A77&lt;&gt;"",IF(VLOOKUP($A77,貼り付け用!$A$1:$BA$300,COLUMN(),FALSE)=0,"",VLOOKUP($A77,貼り付け用!$A$1:$BA$300,COLUMN(),FALSE)),"")</f>
        <v>#N/A</v>
      </c>
      <c r="K77" s="3" t="e">
        <f>IF($A77&lt;&gt;"",IF(VLOOKUP($A77,貼り付け用!$A$1:$BA$300,COLUMN(),FALSE)=0,"",VLOOKUP($A77,貼り付け用!$A$1:$BA$300,COLUMN(),FALSE)),"")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61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IF($A78&lt;&gt;"",IF(VLOOKUP($A78,貼り付け用!$A$1:$BA$300,COLUMN(),FALSE)=0,"",VLOOKUP($A78,貼り付け用!$A$1:$BA$300,COLUMN(),FALSE)),"")</f>
        <v>#N/A</v>
      </c>
      <c r="C78" s="14" t="e">
        <f>IF($A78&lt;&gt;"",IF(VLOOKUP($A78,貼り付け用!$A$1:$BA$300,COLUMN(),FALSE)=0,"",VLOOKUP($A78,貼り付け用!$A$1:$BA$300,COLUMN(),FALSE)),"")</f>
        <v>#N/A</v>
      </c>
      <c r="D78" s="14" t="e">
        <f>IF($A78&lt;&gt;"",IF(VLOOKUP($A78,貼り付け用!$A$1:$BA$300,COLUMN(),FALSE)=0,"",VLOOKUP($A78,貼り付け用!$A$1:$BA$300,COLUMN(),FALSE)),"")</f>
        <v>#N/A</v>
      </c>
      <c r="E78" s="14" t="e">
        <f>IF($A78&lt;&gt;"",IF(VLOOKUP($A78,貼り付け用!$A$1:$BA$300,COLUMN(),FALSE)=0,"",VLOOKUP($A78,貼り付け用!$A$1:$BA$300,COLUMN(),FALSE)),"")</f>
        <v>#N/A</v>
      </c>
      <c r="F78" s="14" t="e">
        <f>IF($A78&lt;&gt;"",IF(VLOOKUP($A78,貼り付け用!$A$1:$BA$300,COLUMN(),FALSE)=0,"",VLOOKUP($A78,貼り付け用!$A$1:$BA$300,COLUMN(),FALSE)),"")</f>
        <v>#N/A</v>
      </c>
      <c r="G78" s="14" t="e">
        <f>IF($A78&lt;&gt;"",IF(VLOOKUP($A78,貼り付け用!$A$1:$BA$300,COLUMN(),FALSE)=0,"",VLOOKUP($A78,貼り付け用!$A$1:$BA$300,COLUMN(),FALSE)),"")</f>
        <v>#N/A</v>
      </c>
      <c r="H78" s="14" t="e">
        <f>IF($A78&lt;&gt;"",IF(VLOOKUP($A78,貼り付け用!$A$1:$BA$300,COLUMN(),FALSE)=0,"",VLOOKUP($A78,貼り付け用!$A$1:$BA$300,COLUMN(),FALSE)),"")</f>
        <v>#N/A</v>
      </c>
      <c r="I78" s="14" t="e">
        <f>IF($A78&lt;&gt;"",IF(VLOOKUP($A78,貼り付け用!$A$1:$BA$300,COLUMN(),FALSE)=0,"",VLOOKUP($A78,貼り付け用!$A$1:$BA$300,COLUMN(),FALSE)),"")</f>
        <v>#N/A</v>
      </c>
      <c r="J78" s="14" t="e">
        <f>IF($A78&lt;&gt;"",IF(VLOOKUP($A78,貼り付け用!$A$1:$BA$300,COLUMN(),FALSE)=0,"",VLOOKUP($A78,貼り付け用!$A$1:$BA$300,COLUMN(),FALSE)),"")</f>
        <v>#N/A</v>
      </c>
      <c r="K78" s="14" t="e">
        <f>IF($A78&lt;&gt;"",IF(VLOOKUP($A78,貼り付け用!$A$1:$BA$300,COLUMN(),FALSE)=0,"",VLOOKUP($A78,貼り付け用!$A$1:$BA$300,COLUMN(),FALSE)),"")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61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IF($A79&lt;&gt;"",IF(VLOOKUP($A79,貼り付け用!$A$1:$BA$300,COLUMN(),FALSE)=0,"",VLOOKUP($A79,貼り付け用!$A$1:$BA$300,COLUMN(),FALSE)),"")</f>
        <v>#N/A</v>
      </c>
      <c r="C79" s="3" t="e">
        <f>IF($A79&lt;&gt;"",IF(VLOOKUP($A79,貼り付け用!$A$1:$BA$300,COLUMN(),FALSE)=0,"",VLOOKUP($A79,貼り付け用!$A$1:$BA$300,COLUMN(),FALSE)),"")</f>
        <v>#N/A</v>
      </c>
      <c r="D79" s="3" t="e">
        <f>IF($A79&lt;&gt;"",IF(VLOOKUP($A79,貼り付け用!$A$1:$BA$300,COLUMN(),FALSE)=0,"",VLOOKUP($A79,貼り付け用!$A$1:$BA$300,COLUMN(),FALSE)),"")</f>
        <v>#N/A</v>
      </c>
      <c r="E79" s="3" t="e">
        <f>IF($A79&lt;&gt;"",IF(VLOOKUP($A79,貼り付け用!$A$1:$BA$300,COLUMN(),FALSE)=0,"",VLOOKUP($A79,貼り付け用!$A$1:$BA$300,COLUMN(),FALSE)),"")</f>
        <v>#N/A</v>
      </c>
      <c r="F79" s="3" t="e">
        <f>IF($A79&lt;&gt;"",IF(VLOOKUP($A79,貼り付け用!$A$1:$BA$300,COLUMN(),FALSE)=0,"",VLOOKUP($A79,貼り付け用!$A$1:$BA$300,COLUMN(),FALSE)),"")</f>
        <v>#N/A</v>
      </c>
      <c r="G79" s="3" t="e">
        <f>IF($A79&lt;&gt;"",IF(VLOOKUP($A79,貼り付け用!$A$1:$BA$300,COLUMN(),FALSE)=0,"",VLOOKUP($A79,貼り付け用!$A$1:$BA$300,COLUMN(),FALSE)),"")</f>
        <v>#N/A</v>
      </c>
      <c r="H79" s="3" t="e">
        <f>IF($A79&lt;&gt;"",IF(VLOOKUP($A79,貼り付け用!$A$1:$BA$300,COLUMN(),FALSE)=0,"",VLOOKUP($A79,貼り付け用!$A$1:$BA$300,COLUMN(),FALSE)),"")</f>
        <v>#N/A</v>
      </c>
      <c r="I79" s="3" t="e">
        <f>IF($A79&lt;&gt;"",IF(VLOOKUP($A79,貼り付け用!$A$1:$BA$300,COLUMN(),FALSE)=0,"",VLOOKUP($A79,貼り付け用!$A$1:$BA$300,COLUMN(),FALSE)),"")</f>
        <v>#N/A</v>
      </c>
      <c r="J79" s="3" t="e">
        <f>IF($A79&lt;&gt;"",IF(VLOOKUP($A79,貼り付け用!$A$1:$BA$300,COLUMN(),FALSE)=0,"",VLOOKUP($A79,貼り付け用!$A$1:$BA$300,COLUMN(),FALSE)),"")</f>
        <v>#N/A</v>
      </c>
      <c r="K79" s="3" t="e">
        <f>IF($A79&lt;&gt;"",IF(VLOOKUP($A79,貼り付け用!$A$1:$BA$300,COLUMN(),FALSE)=0,"",VLOOKUP($A79,貼り付け用!$A$1:$BA$300,COLUMN(),FALSE)),"")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61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IF($A80&lt;&gt;"",IF(VLOOKUP($A80,貼り付け用!$A$1:$BA$300,COLUMN(),FALSE)=0,"",VLOOKUP($A80,貼り付け用!$A$1:$BA$300,COLUMN(),FALSE)),"")</f>
        <v>#N/A</v>
      </c>
      <c r="C80" s="14" t="e">
        <f>IF($A80&lt;&gt;"",IF(VLOOKUP($A80,貼り付け用!$A$1:$BA$300,COLUMN(),FALSE)=0,"",VLOOKUP($A80,貼り付け用!$A$1:$BA$300,COLUMN(),FALSE)),"")</f>
        <v>#N/A</v>
      </c>
      <c r="D80" s="14" t="e">
        <f>IF($A80&lt;&gt;"",IF(VLOOKUP($A80,貼り付け用!$A$1:$BA$300,COLUMN(),FALSE)=0,"",VLOOKUP($A80,貼り付け用!$A$1:$BA$300,COLUMN(),FALSE)),"")</f>
        <v>#N/A</v>
      </c>
      <c r="E80" s="14" t="e">
        <f>IF($A80&lt;&gt;"",IF(VLOOKUP($A80,貼り付け用!$A$1:$BA$300,COLUMN(),FALSE)=0,"",VLOOKUP($A80,貼り付け用!$A$1:$BA$300,COLUMN(),FALSE)),"")</f>
        <v>#N/A</v>
      </c>
      <c r="F80" s="14" t="e">
        <f>IF($A80&lt;&gt;"",IF(VLOOKUP($A80,貼り付け用!$A$1:$BA$300,COLUMN(),FALSE)=0,"",VLOOKUP($A80,貼り付け用!$A$1:$BA$300,COLUMN(),FALSE)),"")</f>
        <v>#N/A</v>
      </c>
      <c r="G80" s="14" t="e">
        <f>IF($A80&lt;&gt;"",IF(VLOOKUP($A80,貼り付け用!$A$1:$BA$300,COLUMN(),FALSE)=0,"",VLOOKUP($A80,貼り付け用!$A$1:$BA$300,COLUMN(),FALSE)),"")</f>
        <v>#N/A</v>
      </c>
      <c r="H80" s="14" t="e">
        <f>IF($A80&lt;&gt;"",IF(VLOOKUP($A80,貼り付け用!$A$1:$BA$300,COLUMN(),FALSE)=0,"",VLOOKUP($A80,貼り付け用!$A$1:$BA$300,COLUMN(),FALSE)),"")</f>
        <v>#N/A</v>
      </c>
      <c r="I80" s="14" t="e">
        <f>IF($A80&lt;&gt;"",IF(VLOOKUP($A80,貼り付け用!$A$1:$BA$300,COLUMN(),FALSE)=0,"",VLOOKUP($A80,貼り付け用!$A$1:$BA$300,COLUMN(),FALSE)),"")</f>
        <v>#N/A</v>
      </c>
      <c r="J80" s="14" t="e">
        <f>IF($A80&lt;&gt;"",IF(VLOOKUP($A80,貼り付け用!$A$1:$BA$300,COLUMN(),FALSE)=0,"",VLOOKUP($A80,貼り付け用!$A$1:$BA$300,COLUMN(),FALSE)),"")</f>
        <v>#N/A</v>
      </c>
      <c r="K80" s="14" t="e">
        <f>IF($A80&lt;&gt;"",IF(VLOOKUP($A80,貼り付け用!$A$1:$BA$300,COLUMN(),FALSE)=0,"",VLOOKUP($A80,貼り付け用!$A$1:$BA$300,COLUMN(),FALSE)),"")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61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IF($A81&lt;&gt;"",IF(VLOOKUP($A81,貼り付け用!$A$1:$BA$300,COLUMN(),FALSE)=0,"",VLOOKUP($A81,貼り付け用!$A$1:$BA$300,COLUMN(),FALSE)),"")</f>
        <v>#N/A</v>
      </c>
      <c r="C81" s="3" t="e">
        <f>IF($A81&lt;&gt;"",IF(VLOOKUP($A81,貼り付け用!$A$1:$BA$300,COLUMN(),FALSE)=0,"",VLOOKUP($A81,貼り付け用!$A$1:$BA$300,COLUMN(),FALSE)),"")</f>
        <v>#N/A</v>
      </c>
      <c r="D81" s="3" t="e">
        <f>IF($A81&lt;&gt;"",IF(VLOOKUP($A81,貼り付け用!$A$1:$BA$300,COLUMN(),FALSE)=0,"",VLOOKUP($A81,貼り付け用!$A$1:$BA$300,COLUMN(),FALSE)),"")</f>
        <v>#N/A</v>
      </c>
      <c r="E81" s="3" t="e">
        <f>IF($A81&lt;&gt;"",IF(VLOOKUP($A81,貼り付け用!$A$1:$BA$300,COLUMN(),FALSE)=0,"",VLOOKUP($A81,貼り付け用!$A$1:$BA$300,COLUMN(),FALSE)),"")</f>
        <v>#N/A</v>
      </c>
      <c r="F81" s="3" t="e">
        <f>IF($A81&lt;&gt;"",IF(VLOOKUP($A81,貼り付け用!$A$1:$BA$300,COLUMN(),FALSE)=0,"",VLOOKUP($A81,貼り付け用!$A$1:$BA$300,COLUMN(),FALSE)),"")</f>
        <v>#N/A</v>
      </c>
      <c r="G81" s="3" t="e">
        <f>IF($A81&lt;&gt;"",IF(VLOOKUP($A81,貼り付け用!$A$1:$BA$300,COLUMN(),FALSE)=0,"",VLOOKUP($A81,貼り付け用!$A$1:$BA$300,COLUMN(),FALSE)),"")</f>
        <v>#N/A</v>
      </c>
      <c r="H81" s="3" t="e">
        <f>IF($A81&lt;&gt;"",IF(VLOOKUP($A81,貼り付け用!$A$1:$BA$300,COLUMN(),FALSE)=0,"",VLOOKUP($A81,貼り付け用!$A$1:$BA$300,COLUMN(),FALSE)),"")</f>
        <v>#N/A</v>
      </c>
      <c r="I81" s="3" t="e">
        <f>IF($A81&lt;&gt;"",IF(VLOOKUP($A81,貼り付け用!$A$1:$BA$300,COLUMN(),FALSE)=0,"",VLOOKUP($A81,貼り付け用!$A$1:$BA$300,COLUMN(),FALSE)),"")</f>
        <v>#N/A</v>
      </c>
      <c r="J81" s="3" t="e">
        <f>IF($A81&lt;&gt;"",IF(VLOOKUP($A81,貼り付け用!$A$1:$BA$300,COLUMN(),FALSE)=0,"",VLOOKUP($A81,貼り付け用!$A$1:$BA$300,COLUMN(),FALSE)),"")</f>
        <v>#N/A</v>
      </c>
      <c r="K81" s="3" t="e">
        <f>IF($A81&lt;&gt;"",IF(VLOOKUP($A81,貼り付け用!$A$1:$BA$300,COLUMN(),FALSE)=0,"",VLOOKUP($A81,貼り付け用!$A$1:$BA$300,COLUMN(),FALSE)),"")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61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IF($A82&lt;&gt;"",IF(VLOOKUP($A82,貼り付け用!$A$1:$BA$300,COLUMN(),FALSE)=0,"",VLOOKUP($A82,貼り付け用!$A$1:$BA$300,COLUMN(),FALSE)),"")</f>
        <v>#N/A</v>
      </c>
      <c r="C82" s="14" t="e">
        <f>IF($A82&lt;&gt;"",IF(VLOOKUP($A82,貼り付け用!$A$1:$BA$300,COLUMN(),FALSE)=0,"",VLOOKUP($A82,貼り付け用!$A$1:$BA$300,COLUMN(),FALSE)),"")</f>
        <v>#N/A</v>
      </c>
      <c r="D82" s="14" t="e">
        <f>IF($A82&lt;&gt;"",IF(VLOOKUP($A82,貼り付け用!$A$1:$BA$300,COLUMN(),FALSE)=0,"",VLOOKUP($A82,貼り付け用!$A$1:$BA$300,COLUMN(),FALSE)),"")</f>
        <v>#N/A</v>
      </c>
      <c r="E82" s="14" t="e">
        <f>IF($A82&lt;&gt;"",IF(VLOOKUP($A82,貼り付け用!$A$1:$BA$300,COLUMN(),FALSE)=0,"",VLOOKUP($A82,貼り付け用!$A$1:$BA$300,COLUMN(),FALSE)),"")</f>
        <v>#N/A</v>
      </c>
      <c r="F82" s="14" t="e">
        <f>IF($A82&lt;&gt;"",IF(VLOOKUP($A82,貼り付け用!$A$1:$BA$300,COLUMN(),FALSE)=0,"",VLOOKUP($A82,貼り付け用!$A$1:$BA$300,COLUMN(),FALSE)),"")</f>
        <v>#N/A</v>
      </c>
      <c r="G82" s="14" t="e">
        <f>IF($A82&lt;&gt;"",IF(VLOOKUP($A82,貼り付け用!$A$1:$BA$300,COLUMN(),FALSE)=0,"",VLOOKUP($A82,貼り付け用!$A$1:$BA$300,COLUMN(),FALSE)),"")</f>
        <v>#N/A</v>
      </c>
      <c r="H82" s="14" t="e">
        <f>IF($A82&lt;&gt;"",IF(VLOOKUP($A82,貼り付け用!$A$1:$BA$300,COLUMN(),FALSE)=0,"",VLOOKUP($A82,貼り付け用!$A$1:$BA$300,COLUMN(),FALSE)),"")</f>
        <v>#N/A</v>
      </c>
      <c r="I82" s="14" t="e">
        <f>IF($A82&lt;&gt;"",IF(VLOOKUP($A82,貼り付け用!$A$1:$BA$300,COLUMN(),FALSE)=0,"",VLOOKUP($A82,貼り付け用!$A$1:$BA$300,COLUMN(),FALSE)),"")</f>
        <v>#N/A</v>
      </c>
      <c r="J82" s="14" t="e">
        <f>IF($A82&lt;&gt;"",IF(VLOOKUP($A82,貼り付け用!$A$1:$BA$300,COLUMN(),FALSE)=0,"",VLOOKUP($A82,貼り付け用!$A$1:$BA$300,COLUMN(),FALSE)),"")</f>
        <v>#N/A</v>
      </c>
      <c r="K82" s="14" t="e">
        <f>IF($A82&lt;&gt;"",IF(VLOOKUP($A82,貼り付け用!$A$1:$BA$300,COLUMN(),FALSE)=0,"",VLOOKUP($A82,貼り付け用!$A$1:$BA$300,COLUMN(),FALSE)),"")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61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IF($A83&lt;&gt;"",IF(VLOOKUP($A83,貼り付け用!$A$1:$BA$300,COLUMN(),FALSE)=0,"",VLOOKUP($A83,貼り付け用!$A$1:$BA$300,COLUMN(),FALSE)),"")</f>
        <v>#N/A</v>
      </c>
      <c r="C83" s="3" t="e">
        <f>IF($A83&lt;&gt;"",IF(VLOOKUP($A83,貼り付け用!$A$1:$BA$300,COLUMN(),FALSE)=0,"",VLOOKUP($A83,貼り付け用!$A$1:$BA$300,COLUMN(),FALSE)),"")</f>
        <v>#N/A</v>
      </c>
      <c r="D83" s="3" t="e">
        <f>IF($A83&lt;&gt;"",IF(VLOOKUP($A83,貼り付け用!$A$1:$BA$300,COLUMN(),FALSE)=0,"",VLOOKUP($A83,貼り付け用!$A$1:$BA$300,COLUMN(),FALSE)),"")</f>
        <v>#N/A</v>
      </c>
      <c r="E83" s="3" t="e">
        <f>IF($A83&lt;&gt;"",IF(VLOOKUP($A83,貼り付け用!$A$1:$BA$300,COLUMN(),FALSE)=0,"",VLOOKUP($A83,貼り付け用!$A$1:$BA$300,COLUMN(),FALSE)),"")</f>
        <v>#N/A</v>
      </c>
      <c r="F83" s="3" t="e">
        <f>IF($A83&lt;&gt;"",IF(VLOOKUP($A83,貼り付け用!$A$1:$BA$300,COLUMN(),FALSE)=0,"",VLOOKUP($A83,貼り付け用!$A$1:$BA$300,COLUMN(),FALSE)),"")</f>
        <v>#N/A</v>
      </c>
      <c r="G83" s="3" t="e">
        <f>IF($A83&lt;&gt;"",IF(VLOOKUP($A83,貼り付け用!$A$1:$BA$300,COLUMN(),FALSE)=0,"",VLOOKUP($A83,貼り付け用!$A$1:$BA$300,COLUMN(),FALSE)),"")</f>
        <v>#N/A</v>
      </c>
      <c r="H83" s="3" t="e">
        <f>IF($A83&lt;&gt;"",IF(VLOOKUP($A83,貼り付け用!$A$1:$BA$300,COLUMN(),FALSE)=0,"",VLOOKUP($A83,貼り付け用!$A$1:$BA$300,COLUMN(),FALSE)),"")</f>
        <v>#N/A</v>
      </c>
      <c r="I83" s="3" t="e">
        <f>IF($A83&lt;&gt;"",IF(VLOOKUP($A83,貼り付け用!$A$1:$BA$300,COLUMN(),FALSE)=0,"",VLOOKUP($A83,貼り付け用!$A$1:$BA$300,COLUMN(),FALSE)),"")</f>
        <v>#N/A</v>
      </c>
      <c r="J83" s="3" t="e">
        <f>IF($A83&lt;&gt;"",IF(VLOOKUP($A83,貼り付け用!$A$1:$BA$300,COLUMN(),FALSE)=0,"",VLOOKUP($A83,貼り付け用!$A$1:$BA$300,COLUMN(),FALSE)),"")</f>
        <v>#N/A</v>
      </c>
      <c r="K83" s="3" t="e">
        <f>IF($A83&lt;&gt;"",IF(VLOOKUP($A83,貼り付け用!$A$1:$BA$300,COLUMN(),FALSE)=0,"",VLOOKUP($A83,貼り付け用!$A$1:$BA$300,COLUMN(),FALSE)),"")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61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IF($A84&lt;&gt;"",IF(VLOOKUP($A84,貼り付け用!$A$1:$BA$300,COLUMN(),FALSE)=0,"",VLOOKUP($A84,貼り付け用!$A$1:$BA$300,COLUMN(),FALSE)),"")</f>
        <v>#N/A</v>
      </c>
      <c r="C84" s="14" t="e">
        <f>IF($A84&lt;&gt;"",IF(VLOOKUP($A84,貼り付け用!$A$1:$BA$300,COLUMN(),FALSE)=0,"",VLOOKUP($A84,貼り付け用!$A$1:$BA$300,COLUMN(),FALSE)),"")</f>
        <v>#N/A</v>
      </c>
      <c r="D84" s="14" t="e">
        <f>IF($A84&lt;&gt;"",IF(VLOOKUP($A84,貼り付け用!$A$1:$BA$300,COLUMN(),FALSE)=0,"",VLOOKUP($A84,貼り付け用!$A$1:$BA$300,COLUMN(),FALSE)),"")</f>
        <v>#N/A</v>
      </c>
      <c r="E84" s="14" t="e">
        <f>IF($A84&lt;&gt;"",IF(VLOOKUP($A84,貼り付け用!$A$1:$BA$300,COLUMN(),FALSE)=0,"",VLOOKUP($A84,貼り付け用!$A$1:$BA$300,COLUMN(),FALSE)),"")</f>
        <v>#N/A</v>
      </c>
      <c r="F84" s="14" t="e">
        <f>IF($A84&lt;&gt;"",IF(VLOOKUP($A84,貼り付け用!$A$1:$BA$300,COLUMN(),FALSE)=0,"",VLOOKUP($A84,貼り付け用!$A$1:$BA$300,COLUMN(),FALSE)),"")</f>
        <v>#N/A</v>
      </c>
      <c r="G84" s="14" t="e">
        <f>IF($A84&lt;&gt;"",IF(VLOOKUP($A84,貼り付け用!$A$1:$BA$300,COLUMN(),FALSE)=0,"",VLOOKUP($A84,貼り付け用!$A$1:$BA$300,COLUMN(),FALSE)),"")</f>
        <v>#N/A</v>
      </c>
      <c r="H84" s="14" t="e">
        <f>IF($A84&lt;&gt;"",IF(VLOOKUP($A84,貼り付け用!$A$1:$BA$300,COLUMN(),FALSE)=0,"",VLOOKUP($A84,貼り付け用!$A$1:$BA$300,COLUMN(),FALSE)),"")</f>
        <v>#N/A</v>
      </c>
      <c r="I84" s="14" t="e">
        <f>IF($A84&lt;&gt;"",IF(VLOOKUP($A84,貼り付け用!$A$1:$BA$300,COLUMN(),FALSE)=0,"",VLOOKUP($A84,貼り付け用!$A$1:$BA$300,COLUMN(),FALSE)),"")</f>
        <v>#N/A</v>
      </c>
      <c r="J84" s="14" t="e">
        <f>IF($A84&lt;&gt;"",IF(VLOOKUP($A84,貼り付け用!$A$1:$BA$300,COLUMN(),FALSE)=0,"",VLOOKUP($A84,貼り付け用!$A$1:$BA$300,COLUMN(),FALSE)),"")</f>
        <v>#N/A</v>
      </c>
      <c r="K84" s="14" t="e">
        <f>IF($A84&lt;&gt;"",IF(VLOOKUP($A84,貼り付け用!$A$1:$BA$300,COLUMN(),FALSE)=0,"",VLOOKUP($A84,貼り付け用!$A$1:$BA$300,COLUMN(),FALSE)),"")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61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IF($A85&lt;&gt;"",IF(VLOOKUP($A85,貼り付け用!$A$1:$BA$300,COLUMN(),FALSE)=0,"",VLOOKUP($A85,貼り付け用!$A$1:$BA$300,COLUMN(),FALSE)),"")</f>
        <v>#N/A</v>
      </c>
      <c r="C85" s="3" t="e">
        <f>IF($A85&lt;&gt;"",IF(VLOOKUP($A85,貼り付け用!$A$1:$BA$300,COLUMN(),FALSE)=0,"",VLOOKUP($A85,貼り付け用!$A$1:$BA$300,COLUMN(),FALSE)),"")</f>
        <v>#N/A</v>
      </c>
      <c r="D85" s="3" t="e">
        <f>IF($A85&lt;&gt;"",IF(VLOOKUP($A85,貼り付け用!$A$1:$BA$300,COLUMN(),FALSE)=0,"",VLOOKUP($A85,貼り付け用!$A$1:$BA$300,COLUMN(),FALSE)),"")</f>
        <v>#N/A</v>
      </c>
      <c r="E85" s="3" t="e">
        <f>IF($A85&lt;&gt;"",IF(VLOOKUP($A85,貼り付け用!$A$1:$BA$300,COLUMN(),FALSE)=0,"",VLOOKUP($A85,貼り付け用!$A$1:$BA$300,COLUMN(),FALSE)),"")</f>
        <v>#N/A</v>
      </c>
      <c r="F85" s="3" t="e">
        <f>IF($A85&lt;&gt;"",IF(VLOOKUP($A85,貼り付け用!$A$1:$BA$300,COLUMN(),FALSE)=0,"",VLOOKUP($A85,貼り付け用!$A$1:$BA$300,COLUMN(),FALSE)),"")</f>
        <v>#N/A</v>
      </c>
      <c r="G85" s="3" t="e">
        <f>IF($A85&lt;&gt;"",IF(VLOOKUP($A85,貼り付け用!$A$1:$BA$300,COLUMN(),FALSE)=0,"",VLOOKUP($A85,貼り付け用!$A$1:$BA$300,COLUMN(),FALSE)),"")</f>
        <v>#N/A</v>
      </c>
      <c r="H85" s="3" t="e">
        <f>IF($A85&lt;&gt;"",IF(VLOOKUP($A85,貼り付け用!$A$1:$BA$300,COLUMN(),FALSE)=0,"",VLOOKUP($A85,貼り付け用!$A$1:$BA$300,COLUMN(),FALSE)),"")</f>
        <v>#N/A</v>
      </c>
      <c r="I85" s="3" t="e">
        <f>IF($A85&lt;&gt;"",IF(VLOOKUP($A85,貼り付け用!$A$1:$BA$300,COLUMN(),FALSE)=0,"",VLOOKUP($A85,貼り付け用!$A$1:$BA$300,COLUMN(),FALSE)),"")</f>
        <v>#N/A</v>
      </c>
      <c r="J85" s="3" t="e">
        <f>IF($A85&lt;&gt;"",IF(VLOOKUP($A85,貼り付け用!$A$1:$BA$300,COLUMN(),FALSE)=0,"",VLOOKUP($A85,貼り付け用!$A$1:$BA$300,COLUMN(),FALSE)),"")</f>
        <v>#N/A</v>
      </c>
      <c r="K85" s="3" t="e">
        <f>IF($A85&lt;&gt;"",IF(VLOOKUP($A85,貼り付け用!$A$1:$BA$300,COLUMN(),FALSE)=0,"",VLOOKUP($A85,貼り付け用!$A$1:$BA$300,COLUMN(),FALSE)),"")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61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IF($A86&lt;&gt;"",IF(VLOOKUP($A86,貼り付け用!$A$1:$BA$300,COLUMN(),FALSE)=0,"",VLOOKUP($A86,貼り付け用!$A$1:$BA$300,COLUMN(),FALSE)),"")</f>
        <v>#N/A</v>
      </c>
      <c r="C86" s="14" t="e">
        <f>IF($A86&lt;&gt;"",IF(VLOOKUP($A86,貼り付け用!$A$1:$BA$300,COLUMN(),FALSE)=0,"",VLOOKUP($A86,貼り付け用!$A$1:$BA$300,COLUMN(),FALSE)),"")</f>
        <v>#N/A</v>
      </c>
      <c r="D86" s="14" t="e">
        <f>IF($A86&lt;&gt;"",IF(VLOOKUP($A86,貼り付け用!$A$1:$BA$300,COLUMN(),FALSE)=0,"",VLOOKUP($A86,貼り付け用!$A$1:$BA$300,COLUMN(),FALSE)),"")</f>
        <v>#N/A</v>
      </c>
      <c r="E86" s="14" t="e">
        <f>IF($A86&lt;&gt;"",IF(VLOOKUP($A86,貼り付け用!$A$1:$BA$300,COLUMN(),FALSE)=0,"",VLOOKUP($A86,貼り付け用!$A$1:$BA$300,COLUMN(),FALSE)),"")</f>
        <v>#N/A</v>
      </c>
      <c r="F86" s="14" t="e">
        <f>IF($A86&lt;&gt;"",IF(VLOOKUP($A86,貼り付け用!$A$1:$BA$300,COLUMN(),FALSE)=0,"",VLOOKUP($A86,貼り付け用!$A$1:$BA$300,COLUMN(),FALSE)),"")</f>
        <v>#N/A</v>
      </c>
      <c r="G86" s="14" t="e">
        <f>IF($A86&lt;&gt;"",IF(VLOOKUP($A86,貼り付け用!$A$1:$BA$300,COLUMN(),FALSE)=0,"",VLOOKUP($A86,貼り付け用!$A$1:$BA$300,COLUMN(),FALSE)),"")</f>
        <v>#N/A</v>
      </c>
      <c r="H86" s="14" t="e">
        <f>IF($A86&lt;&gt;"",IF(VLOOKUP($A86,貼り付け用!$A$1:$BA$300,COLUMN(),FALSE)=0,"",VLOOKUP($A86,貼り付け用!$A$1:$BA$300,COLUMN(),FALSE)),"")</f>
        <v>#N/A</v>
      </c>
      <c r="I86" s="14" t="e">
        <f>IF($A86&lt;&gt;"",IF(VLOOKUP($A86,貼り付け用!$A$1:$BA$300,COLUMN(),FALSE)=0,"",VLOOKUP($A86,貼り付け用!$A$1:$BA$300,COLUMN(),FALSE)),"")</f>
        <v>#N/A</v>
      </c>
      <c r="J86" s="14" t="e">
        <f>IF($A86&lt;&gt;"",IF(VLOOKUP($A86,貼り付け用!$A$1:$BA$300,COLUMN(),FALSE)=0,"",VLOOKUP($A86,貼り付け用!$A$1:$BA$300,COLUMN(),FALSE)),"")</f>
        <v>#N/A</v>
      </c>
      <c r="K86" s="14" t="e">
        <f>IF($A86&lt;&gt;"",IF(VLOOKUP($A86,貼り付け用!$A$1:$BA$300,COLUMN(),FALSE)=0,"",VLOOKUP($A86,貼り付け用!$A$1:$BA$300,COLUMN(),FALSE)),"")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61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IF($A87&lt;&gt;"",IF(VLOOKUP($A87,貼り付け用!$A$1:$BA$300,COLUMN(),FALSE)=0,"",VLOOKUP($A87,貼り付け用!$A$1:$BA$300,COLUMN(),FALSE)),"")</f>
        <v>#N/A</v>
      </c>
      <c r="C87" s="3" t="e">
        <f>IF($A87&lt;&gt;"",IF(VLOOKUP($A87,貼り付け用!$A$1:$BA$300,COLUMN(),FALSE)=0,"",VLOOKUP($A87,貼り付け用!$A$1:$BA$300,COLUMN(),FALSE)),"")</f>
        <v>#N/A</v>
      </c>
      <c r="D87" s="3" t="e">
        <f>IF($A87&lt;&gt;"",IF(VLOOKUP($A87,貼り付け用!$A$1:$BA$300,COLUMN(),FALSE)=0,"",VLOOKUP($A87,貼り付け用!$A$1:$BA$300,COLUMN(),FALSE)),"")</f>
        <v>#N/A</v>
      </c>
      <c r="E87" s="3" t="e">
        <f>IF($A87&lt;&gt;"",IF(VLOOKUP($A87,貼り付け用!$A$1:$BA$300,COLUMN(),FALSE)=0,"",VLOOKUP($A87,貼り付け用!$A$1:$BA$300,COLUMN(),FALSE)),"")</f>
        <v>#N/A</v>
      </c>
      <c r="F87" s="3" t="e">
        <f>IF($A87&lt;&gt;"",IF(VLOOKUP($A87,貼り付け用!$A$1:$BA$300,COLUMN(),FALSE)=0,"",VLOOKUP($A87,貼り付け用!$A$1:$BA$300,COLUMN(),FALSE)),"")</f>
        <v>#N/A</v>
      </c>
      <c r="G87" s="3" t="e">
        <f>IF($A87&lt;&gt;"",IF(VLOOKUP($A87,貼り付け用!$A$1:$BA$300,COLUMN(),FALSE)=0,"",VLOOKUP($A87,貼り付け用!$A$1:$BA$300,COLUMN(),FALSE)),"")</f>
        <v>#N/A</v>
      </c>
      <c r="H87" s="3" t="e">
        <f>IF($A87&lt;&gt;"",IF(VLOOKUP($A87,貼り付け用!$A$1:$BA$300,COLUMN(),FALSE)=0,"",VLOOKUP($A87,貼り付け用!$A$1:$BA$300,COLUMN(),FALSE)),"")</f>
        <v>#N/A</v>
      </c>
      <c r="I87" s="3" t="e">
        <f>IF($A87&lt;&gt;"",IF(VLOOKUP($A87,貼り付け用!$A$1:$BA$300,COLUMN(),FALSE)=0,"",VLOOKUP($A87,貼り付け用!$A$1:$BA$300,COLUMN(),FALSE)),"")</f>
        <v>#N/A</v>
      </c>
      <c r="J87" s="3" t="e">
        <f>IF($A87&lt;&gt;"",IF(VLOOKUP($A87,貼り付け用!$A$1:$BA$300,COLUMN(),FALSE)=0,"",VLOOKUP($A87,貼り付け用!$A$1:$BA$300,COLUMN(),FALSE)),"")</f>
        <v>#N/A</v>
      </c>
      <c r="K87" s="3" t="e">
        <f>IF($A87&lt;&gt;"",IF(VLOOKUP($A87,貼り付け用!$A$1:$BA$300,COLUMN(),FALSE)=0,"",VLOOKUP($A87,貼り付け用!$A$1:$BA$300,COLUMN(),FALSE)),"")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61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IF($A88&lt;&gt;"",IF(VLOOKUP($A88,貼り付け用!$A$1:$BA$300,COLUMN(),FALSE)=0,"",VLOOKUP($A88,貼り付け用!$A$1:$BA$300,COLUMN(),FALSE)),"")</f>
        <v>#N/A</v>
      </c>
      <c r="C88" s="14" t="e">
        <f>IF($A88&lt;&gt;"",IF(VLOOKUP($A88,貼り付け用!$A$1:$BA$300,COLUMN(),FALSE)=0,"",VLOOKUP($A88,貼り付け用!$A$1:$BA$300,COLUMN(),FALSE)),"")</f>
        <v>#N/A</v>
      </c>
      <c r="D88" s="14" t="e">
        <f>IF($A88&lt;&gt;"",IF(VLOOKUP($A88,貼り付け用!$A$1:$BA$300,COLUMN(),FALSE)=0,"",VLOOKUP($A88,貼り付け用!$A$1:$BA$300,COLUMN(),FALSE)),"")</f>
        <v>#N/A</v>
      </c>
      <c r="E88" s="14" t="e">
        <f>IF($A88&lt;&gt;"",IF(VLOOKUP($A88,貼り付け用!$A$1:$BA$300,COLUMN(),FALSE)=0,"",VLOOKUP($A88,貼り付け用!$A$1:$BA$300,COLUMN(),FALSE)),"")</f>
        <v>#N/A</v>
      </c>
      <c r="F88" s="14" t="e">
        <f>IF($A88&lt;&gt;"",IF(VLOOKUP($A88,貼り付け用!$A$1:$BA$300,COLUMN(),FALSE)=0,"",VLOOKUP($A88,貼り付け用!$A$1:$BA$300,COLUMN(),FALSE)),"")</f>
        <v>#N/A</v>
      </c>
      <c r="G88" s="14" t="e">
        <f>IF($A88&lt;&gt;"",IF(VLOOKUP($A88,貼り付け用!$A$1:$BA$300,COLUMN(),FALSE)=0,"",VLOOKUP($A88,貼り付け用!$A$1:$BA$300,COLUMN(),FALSE)),"")</f>
        <v>#N/A</v>
      </c>
      <c r="H88" s="14" t="e">
        <f>IF($A88&lt;&gt;"",IF(VLOOKUP($A88,貼り付け用!$A$1:$BA$300,COLUMN(),FALSE)=0,"",VLOOKUP($A88,貼り付け用!$A$1:$BA$300,COLUMN(),FALSE)),"")</f>
        <v>#N/A</v>
      </c>
      <c r="I88" s="14" t="e">
        <f>IF($A88&lt;&gt;"",IF(VLOOKUP($A88,貼り付け用!$A$1:$BA$300,COLUMN(),FALSE)=0,"",VLOOKUP($A88,貼り付け用!$A$1:$BA$300,COLUMN(),FALSE)),"")</f>
        <v>#N/A</v>
      </c>
      <c r="J88" s="14" t="e">
        <f>IF($A88&lt;&gt;"",IF(VLOOKUP($A88,貼り付け用!$A$1:$BA$300,COLUMN(),FALSE)=0,"",VLOOKUP($A88,貼り付け用!$A$1:$BA$300,COLUMN(),FALSE)),"")</f>
        <v>#N/A</v>
      </c>
      <c r="K88" s="14" t="e">
        <f>IF($A88&lt;&gt;"",IF(VLOOKUP($A88,貼り付け用!$A$1:$BA$300,COLUMN(),FALSE)=0,"",VLOOKUP($A88,貼り付け用!$A$1:$BA$300,COLUMN(),FALSE)),"")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61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IF($A89&lt;&gt;"",IF(VLOOKUP($A89,貼り付け用!$A$1:$BA$300,COLUMN(),FALSE)=0,"",VLOOKUP($A89,貼り付け用!$A$1:$BA$300,COLUMN(),FALSE)),"")</f>
        <v>#N/A</v>
      </c>
      <c r="C89" s="3" t="e">
        <f>IF($A89&lt;&gt;"",IF(VLOOKUP($A89,貼り付け用!$A$1:$BA$300,COLUMN(),FALSE)=0,"",VLOOKUP($A89,貼り付け用!$A$1:$BA$300,COLUMN(),FALSE)),"")</f>
        <v>#N/A</v>
      </c>
      <c r="D89" s="3" t="e">
        <f>IF($A89&lt;&gt;"",IF(VLOOKUP($A89,貼り付け用!$A$1:$BA$300,COLUMN(),FALSE)=0,"",VLOOKUP($A89,貼り付け用!$A$1:$BA$300,COLUMN(),FALSE)),"")</f>
        <v>#N/A</v>
      </c>
      <c r="E89" s="3" t="e">
        <f>IF($A89&lt;&gt;"",IF(VLOOKUP($A89,貼り付け用!$A$1:$BA$300,COLUMN(),FALSE)=0,"",VLOOKUP($A89,貼り付け用!$A$1:$BA$300,COLUMN(),FALSE)),"")</f>
        <v>#N/A</v>
      </c>
      <c r="F89" s="3" t="e">
        <f>IF($A89&lt;&gt;"",IF(VLOOKUP($A89,貼り付け用!$A$1:$BA$300,COLUMN(),FALSE)=0,"",VLOOKUP($A89,貼り付け用!$A$1:$BA$300,COLUMN(),FALSE)),"")</f>
        <v>#N/A</v>
      </c>
      <c r="G89" s="3" t="e">
        <f>IF($A89&lt;&gt;"",IF(VLOOKUP($A89,貼り付け用!$A$1:$BA$300,COLUMN(),FALSE)=0,"",VLOOKUP($A89,貼り付け用!$A$1:$BA$300,COLUMN(),FALSE)),"")</f>
        <v>#N/A</v>
      </c>
      <c r="H89" s="3" t="e">
        <f>IF($A89&lt;&gt;"",IF(VLOOKUP($A89,貼り付け用!$A$1:$BA$300,COLUMN(),FALSE)=0,"",VLOOKUP($A89,貼り付け用!$A$1:$BA$300,COLUMN(),FALSE)),"")</f>
        <v>#N/A</v>
      </c>
      <c r="I89" s="3" t="e">
        <f>IF($A89&lt;&gt;"",IF(VLOOKUP($A89,貼り付け用!$A$1:$BA$300,COLUMN(),FALSE)=0,"",VLOOKUP($A89,貼り付け用!$A$1:$BA$300,COLUMN(),FALSE)),"")</f>
        <v>#N/A</v>
      </c>
      <c r="J89" s="3" t="e">
        <f>IF($A89&lt;&gt;"",IF(VLOOKUP($A89,貼り付け用!$A$1:$BA$300,COLUMN(),FALSE)=0,"",VLOOKUP($A89,貼り付け用!$A$1:$BA$300,COLUMN(),FALSE)),"")</f>
        <v>#N/A</v>
      </c>
      <c r="K89" s="3" t="e">
        <f>IF($A89&lt;&gt;"",IF(VLOOKUP($A89,貼り付け用!$A$1:$BA$300,COLUMN(),FALSE)=0,"",VLOOKUP($A89,貼り付け用!$A$1:$BA$300,COLUMN(),FALSE)),"")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61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IF($A90&lt;&gt;"",IF(VLOOKUP($A90,貼り付け用!$A$1:$BA$300,COLUMN(),FALSE)=0,"",VLOOKUP($A90,貼り付け用!$A$1:$BA$300,COLUMN(),FALSE)),"")</f>
        <v>#N/A</v>
      </c>
      <c r="C90" s="14" t="e">
        <f>IF($A90&lt;&gt;"",IF(VLOOKUP($A90,貼り付け用!$A$1:$BA$300,COLUMN(),FALSE)=0,"",VLOOKUP($A90,貼り付け用!$A$1:$BA$300,COLUMN(),FALSE)),"")</f>
        <v>#N/A</v>
      </c>
      <c r="D90" s="14" t="e">
        <f>IF($A90&lt;&gt;"",IF(VLOOKUP($A90,貼り付け用!$A$1:$BA$300,COLUMN(),FALSE)=0,"",VLOOKUP($A90,貼り付け用!$A$1:$BA$300,COLUMN(),FALSE)),"")</f>
        <v>#N/A</v>
      </c>
      <c r="E90" s="14" t="e">
        <f>IF($A90&lt;&gt;"",IF(VLOOKUP($A90,貼り付け用!$A$1:$BA$300,COLUMN(),FALSE)=0,"",VLOOKUP($A90,貼り付け用!$A$1:$BA$300,COLUMN(),FALSE)),"")</f>
        <v>#N/A</v>
      </c>
      <c r="F90" s="14" t="e">
        <f>IF($A90&lt;&gt;"",IF(VLOOKUP($A90,貼り付け用!$A$1:$BA$300,COLUMN(),FALSE)=0,"",VLOOKUP($A90,貼り付け用!$A$1:$BA$300,COLUMN(),FALSE)),"")</f>
        <v>#N/A</v>
      </c>
      <c r="G90" s="14" t="e">
        <f>IF($A90&lt;&gt;"",IF(VLOOKUP($A90,貼り付け用!$A$1:$BA$300,COLUMN(),FALSE)=0,"",VLOOKUP($A90,貼り付け用!$A$1:$BA$300,COLUMN(),FALSE)),"")</f>
        <v>#N/A</v>
      </c>
      <c r="H90" s="14" t="e">
        <f>IF($A90&lt;&gt;"",IF(VLOOKUP($A90,貼り付け用!$A$1:$BA$300,COLUMN(),FALSE)=0,"",VLOOKUP($A90,貼り付け用!$A$1:$BA$300,COLUMN(),FALSE)),"")</f>
        <v>#N/A</v>
      </c>
      <c r="I90" s="14" t="e">
        <f>IF($A90&lt;&gt;"",IF(VLOOKUP($A90,貼り付け用!$A$1:$BA$300,COLUMN(),FALSE)=0,"",VLOOKUP($A90,貼り付け用!$A$1:$BA$300,COLUMN(),FALSE)),"")</f>
        <v>#N/A</v>
      </c>
      <c r="J90" s="14" t="e">
        <f>IF($A90&lt;&gt;"",IF(VLOOKUP($A90,貼り付け用!$A$1:$BA$300,COLUMN(),FALSE)=0,"",VLOOKUP($A90,貼り付け用!$A$1:$BA$300,COLUMN(),FALSE)),"")</f>
        <v>#N/A</v>
      </c>
      <c r="K90" s="14" t="e">
        <f>IF($A90&lt;&gt;"",IF(VLOOKUP($A90,貼り付け用!$A$1:$BA$300,COLUMN(),FALSE)=0,"",VLOOKUP($A90,貼り付け用!$A$1:$BA$300,COLUMN(),FALSE)),"")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61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IF($A91&lt;&gt;"",IF(VLOOKUP($A91,貼り付け用!$A$1:$BA$300,COLUMN(),FALSE)=0,"",VLOOKUP($A91,貼り付け用!$A$1:$BA$300,COLUMN(),FALSE)),"")</f>
        <v>#N/A</v>
      </c>
      <c r="C91" s="3" t="e">
        <f>IF($A91&lt;&gt;"",IF(VLOOKUP($A91,貼り付け用!$A$1:$BA$300,COLUMN(),FALSE)=0,"",VLOOKUP($A91,貼り付け用!$A$1:$BA$300,COLUMN(),FALSE)),"")</f>
        <v>#N/A</v>
      </c>
      <c r="D91" s="3" t="e">
        <f>IF($A91&lt;&gt;"",IF(VLOOKUP($A91,貼り付け用!$A$1:$BA$300,COLUMN(),FALSE)=0,"",VLOOKUP($A91,貼り付け用!$A$1:$BA$300,COLUMN(),FALSE)),"")</f>
        <v>#N/A</v>
      </c>
      <c r="E91" s="3" t="e">
        <f>IF($A91&lt;&gt;"",IF(VLOOKUP($A91,貼り付け用!$A$1:$BA$300,COLUMN(),FALSE)=0,"",VLOOKUP($A91,貼り付け用!$A$1:$BA$300,COLUMN(),FALSE)),"")</f>
        <v>#N/A</v>
      </c>
      <c r="F91" s="3" t="e">
        <f>IF($A91&lt;&gt;"",IF(VLOOKUP($A91,貼り付け用!$A$1:$BA$300,COLUMN(),FALSE)=0,"",VLOOKUP($A91,貼り付け用!$A$1:$BA$300,COLUMN(),FALSE)),"")</f>
        <v>#N/A</v>
      </c>
      <c r="G91" s="3" t="e">
        <f>IF($A91&lt;&gt;"",IF(VLOOKUP($A91,貼り付け用!$A$1:$BA$300,COLUMN(),FALSE)=0,"",VLOOKUP($A91,貼り付け用!$A$1:$BA$300,COLUMN(),FALSE)),"")</f>
        <v>#N/A</v>
      </c>
      <c r="H91" s="3" t="e">
        <f>IF($A91&lt;&gt;"",IF(VLOOKUP($A91,貼り付け用!$A$1:$BA$300,COLUMN(),FALSE)=0,"",VLOOKUP($A91,貼り付け用!$A$1:$BA$300,COLUMN(),FALSE)),"")</f>
        <v>#N/A</v>
      </c>
      <c r="I91" s="3" t="e">
        <f>IF($A91&lt;&gt;"",IF(VLOOKUP($A91,貼り付け用!$A$1:$BA$300,COLUMN(),FALSE)=0,"",VLOOKUP($A91,貼り付け用!$A$1:$BA$300,COLUMN(),FALSE)),"")</f>
        <v>#N/A</v>
      </c>
      <c r="J91" s="3" t="e">
        <f>IF($A91&lt;&gt;"",IF(VLOOKUP($A91,貼り付け用!$A$1:$BA$300,COLUMN(),FALSE)=0,"",VLOOKUP($A91,貼り付け用!$A$1:$BA$300,COLUMN(),FALSE)),"")</f>
        <v>#N/A</v>
      </c>
      <c r="K91" s="3" t="e">
        <f>IF($A91&lt;&gt;"",IF(VLOOKUP($A91,貼り付け用!$A$1:$BA$300,COLUMN(),FALSE)=0,"",VLOOKUP($A91,貼り付け用!$A$1:$BA$300,COLUMN(),FALSE)),"")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61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IF($A92&lt;&gt;"",IF(VLOOKUP($A92,貼り付け用!$A$1:$BA$300,COLUMN(),FALSE)=0,"",VLOOKUP($A92,貼り付け用!$A$1:$BA$300,COLUMN(),FALSE)),"")</f>
        <v>#N/A</v>
      </c>
      <c r="C92" s="14" t="e">
        <f>IF($A92&lt;&gt;"",IF(VLOOKUP($A92,貼り付け用!$A$1:$BA$300,COLUMN(),FALSE)=0,"",VLOOKUP($A92,貼り付け用!$A$1:$BA$300,COLUMN(),FALSE)),"")</f>
        <v>#N/A</v>
      </c>
      <c r="D92" s="14" t="e">
        <f>IF($A92&lt;&gt;"",IF(VLOOKUP($A92,貼り付け用!$A$1:$BA$300,COLUMN(),FALSE)=0,"",VLOOKUP($A92,貼り付け用!$A$1:$BA$300,COLUMN(),FALSE)),"")</f>
        <v>#N/A</v>
      </c>
      <c r="E92" s="14" t="e">
        <f>IF($A92&lt;&gt;"",IF(VLOOKUP($A92,貼り付け用!$A$1:$BA$300,COLUMN(),FALSE)=0,"",VLOOKUP($A92,貼り付け用!$A$1:$BA$300,COLUMN(),FALSE)),"")</f>
        <v>#N/A</v>
      </c>
      <c r="F92" s="14" t="e">
        <f>IF($A92&lt;&gt;"",IF(VLOOKUP($A92,貼り付け用!$A$1:$BA$300,COLUMN(),FALSE)=0,"",VLOOKUP($A92,貼り付け用!$A$1:$BA$300,COLUMN(),FALSE)),"")</f>
        <v>#N/A</v>
      </c>
      <c r="G92" s="14" t="e">
        <f>IF($A92&lt;&gt;"",IF(VLOOKUP($A92,貼り付け用!$A$1:$BA$300,COLUMN(),FALSE)=0,"",VLOOKUP($A92,貼り付け用!$A$1:$BA$300,COLUMN(),FALSE)),"")</f>
        <v>#N/A</v>
      </c>
      <c r="H92" s="14" t="e">
        <f>IF($A92&lt;&gt;"",IF(VLOOKUP($A92,貼り付け用!$A$1:$BA$300,COLUMN(),FALSE)=0,"",VLOOKUP($A92,貼り付け用!$A$1:$BA$300,COLUMN(),FALSE)),"")</f>
        <v>#N/A</v>
      </c>
      <c r="I92" s="14" t="e">
        <f>IF($A92&lt;&gt;"",IF(VLOOKUP($A92,貼り付け用!$A$1:$BA$300,COLUMN(),FALSE)=0,"",VLOOKUP($A92,貼り付け用!$A$1:$BA$300,COLUMN(),FALSE)),"")</f>
        <v>#N/A</v>
      </c>
      <c r="J92" s="14" t="e">
        <f>IF($A92&lt;&gt;"",IF(VLOOKUP($A92,貼り付け用!$A$1:$BA$300,COLUMN(),FALSE)=0,"",VLOOKUP($A92,貼り付け用!$A$1:$BA$300,COLUMN(),FALSE)),"")</f>
        <v>#N/A</v>
      </c>
      <c r="K92" s="14" t="e">
        <f>IF($A92&lt;&gt;"",IF(VLOOKUP($A92,貼り付け用!$A$1:$BA$300,COLUMN(),FALSE)=0,"",VLOOKUP($A92,貼り付け用!$A$1:$BA$300,COLUMN(),FALSE)),"")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61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IF($A93&lt;&gt;"",IF(VLOOKUP($A93,貼り付け用!$A$1:$BA$300,COLUMN(),FALSE)=0,"",VLOOKUP($A93,貼り付け用!$A$1:$BA$300,COLUMN(),FALSE)),"")</f>
        <v>#N/A</v>
      </c>
      <c r="C93" s="3" t="e">
        <f>IF($A93&lt;&gt;"",IF(VLOOKUP($A93,貼り付け用!$A$1:$BA$300,COLUMN(),FALSE)=0,"",VLOOKUP($A93,貼り付け用!$A$1:$BA$300,COLUMN(),FALSE)),"")</f>
        <v>#N/A</v>
      </c>
      <c r="D93" s="3" t="e">
        <f>IF($A93&lt;&gt;"",IF(VLOOKUP($A93,貼り付け用!$A$1:$BA$300,COLUMN(),FALSE)=0,"",VLOOKUP($A93,貼り付け用!$A$1:$BA$300,COLUMN(),FALSE)),"")</f>
        <v>#N/A</v>
      </c>
      <c r="E93" s="3" t="e">
        <f>IF($A93&lt;&gt;"",IF(VLOOKUP($A93,貼り付け用!$A$1:$BA$300,COLUMN(),FALSE)=0,"",VLOOKUP($A93,貼り付け用!$A$1:$BA$300,COLUMN(),FALSE)),"")</f>
        <v>#N/A</v>
      </c>
      <c r="F93" s="3" t="e">
        <f>IF($A93&lt;&gt;"",IF(VLOOKUP($A93,貼り付け用!$A$1:$BA$300,COLUMN(),FALSE)=0,"",VLOOKUP($A93,貼り付け用!$A$1:$BA$300,COLUMN(),FALSE)),"")</f>
        <v>#N/A</v>
      </c>
      <c r="G93" s="3" t="e">
        <f>IF($A93&lt;&gt;"",IF(VLOOKUP($A93,貼り付け用!$A$1:$BA$300,COLUMN(),FALSE)=0,"",VLOOKUP($A93,貼り付け用!$A$1:$BA$300,COLUMN(),FALSE)),"")</f>
        <v>#N/A</v>
      </c>
      <c r="H93" s="3" t="e">
        <f>IF($A93&lt;&gt;"",IF(VLOOKUP($A93,貼り付け用!$A$1:$BA$300,COLUMN(),FALSE)=0,"",VLOOKUP($A93,貼り付け用!$A$1:$BA$300,COLUMN(),FALSE)),"")</f>
        <v>#N/A</v>
      </c>
      <c r="I93" s="3" t="e">
        <f>IF($A93&lt;&gt;"",IF(VLOOKUP($A93,貼り付け用!$A$1:$BA$300,COLUMN(),FALSE)=0,"",VLOOKUP($A93,貼り付け用!$A$1:$BA$300,COLUMN(),FALSE)),"")</f>
        <v>#N/A</v>
      </c>
      <c r="J93" s="3" t="e">
        <f>IF($A93&lt;&gt;"",IF(VLOOKUP($A93,貼り付け用!$A$1:$BA$300,COLUMN(),FALSE)=0,"",VLOOKUP($A93,貼り付け用!$A$1:$BA$300,COLUMN(),FALSE)),"")</f>
        <v>#N/A</v>
      </c>
      <c r="K93" s="3" t="e">
        <f>IF($A93&lt;&gt;"",IF(VLOOKUP($A93,貼り付け用!$A$1:$BA$300,COLUMN(),FALSE)=0,"",VLOOKUP($A93,貼り付け用!$A$1:$BA$300,COLUMN(),FALSE)),"")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61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IF($A94&lt;&gt;"",IF(VLOOKUP($A94,貼り付け用!$A$1:$BA$300,COLUMN(),FALSE)=0,"",VLOOKUP($A94,貼り付け用!$A$1:$BA$300,COLUMN(),FALSE)),"")</f>
        <v>#N/A</v>
      </c>
      <c r="C94" s="14" t="e">
        <f>IF($A94&lt;&gt;"",IF(VLOOKUP($A94,貼り付け用!$A$1:$BA$300,COLUMN(),FALSE)=0,"",VLOOKUP($A94,貼り付け用!$A$1:$BA$300,COLUMN(),FALSE)),"")</f>
        <v>#N/A</v>
      </c>
      <c r="D94" s="14" t="e">
        <f>IF($A94&lt;&gt;"",IF(VLOOKUP($A94,貼り付け用!$A$1:$BA$300,COLUMN(),FALSE)=0,"",VLOOKUP($A94,貼り付け用!$A$1:$BA$300,COLUMN(),FALSE)),"")</f>
        <v>#N/A</v>
      </c>
      <c r="E94" s="14" t="e">
        <f>IF($A94&lt;&gt;"",IF(VLOOKUP($A94,貼り付け用!$A$1:$BA$300,COLUMN(),FALSE)=0,"",VLOOKUP($A94,貼り付け用!$A$1:$BA$300,COLUMN(),FALSE)),"")</f>
        <v>#N/A</v>
      </c>
      <c r="F94" s="14" t="e">
        <f>IF($A94&lt;&gt;"",IF(VLOOKUP($A94,貼り付け用!$A$1:$BA$300,COLUMN(),FALSE)=0,"",VLOOKUP($A94,貼り付け用!$A$1:$BA$300,COLUMN(),FALSE)),"")</f>
        <v>#N/A</v>
      </c>
      <c r="G94" s="14" t="e">
        <f>IF($A94&lt;&gt;"",IF(VLOOKUP($A94,貼り付け用!$A$1:$BA$300,COLUMN(),FALSE)=0,"",VLOOKUP($A94,貼り付け用!$A$1:$BA$300,COLUMN(),FALSE)),"")</f>
        <v>#N/A</v>
      </c>
      <c r="H94" s="14" t="e">
        <f>IF($A94&lt;&gt;"",IF(VLOOKUP($A94,貼り付け用!$A$1:$BA$300,COLUMN(),FALSE)=0,"",VLOOKUP($A94,貼り付け用!$A$1:$BA$300,COLUMN(),FALSE)),"")</f>
        <v>#N/A</v>
      </c>
      <c r="I94" s="14" t="e">
        <f>IF($A94&lt;&gt;"",IF(VLOOKUP($A94,貼り付け用!$A$1:$BA$300,COLUMN(),FALSE)=0,"",VLOOKUP($A94,貼り付け用!$A$1:$BA$300,COLUMN(),FALSE)),"")</f>
        <v>#N/A</v>
      </c>
      <c r="J94" s="14" t="e">
        <f>IF($A94&lt;&gt;"",IF(VLOOKUP($A94,貼り付け用!$A$1:$BA$300,COLUMN(),FALSE)=0,"",VLOOKUP($A94,貼り付け用!$A$1:$BA$300,COLUMN(),FALSE)),"")</f>
        <v>#N/A</v>
      </c>
      <c r="K94" s="14" t="e">
        <f>IF($A94&lt;&gt;"",IF(VLOOKUP($A94,貼り付け用!$A$1:$BA$300,COLUMN(),FALSE)=0,"",VLOOKUP($A94,貼り付け用!$A$1:$BA$300,COLUMN(),FALSE)),"")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61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IF($A95&lt;&gt;"",IF(VLOOKUP($A95,貼り付け用!$A$1:$BA$300,COLUMN(),FALSE)=0,"",VLOOKUP($A95,貼り付け用!$A$1:$BA$300,COLUMN(),FALSE)),"")</f>
        <v>#N/A</v>
      </c>
      <c r="C95" s="3" t="e">
        <f>IF($A95&lt;&gt;"",IF(VLOOKUP($A95,貼り付け用!$A$1:$BA$300,COLUMN(),FALSE)=0,"",VLOOKUP($A95,貼り付け用!$A$1:$BA$300,COLUMN(),FALSE)),"")</f>
        <v>#N/A</v>
      </c>
      <c r="D95" s="3" t="e">
        <f>IF($A95&lt;&gt;"",IF(VLOOKUP($A95,貼り付け用!$A$1:$BA$300,COLUMN(),FALSE)=0,"",VLOOKUP($A95,貼り付け用!$A$1:$BA$300,COLUMN(),FALSE)),"")</f>
        <v>#N/A</v>
      </c>
      <c r="E95" s="3" t="e">
        <f>IF($A95&lt;&gt;"",IF(VLOOKUP($A95,貼り付け用!$A$1:$BA$300,COLUMN(),FALSE)=0,"",VLOOKUP($A95,貼り付け用!$A$1:$BA$300,COLUMN(),FALSE)),"")</f>
        <v>#N/A</v>
      </c>
      <c r="F95" s="3" t="e">
        <f>IF($A95&lt;&gt;"",IF(VLOOKUP($A95,貼り付け用!$A$1:$BA$300,COLUMN(),FALSE)=0,"",VLOOKUP($A95,貼り付け用!$A$1:$BA$300,COLUMN(),FALSE)),"")</f>
        <v>#N/A</v>
      </c>
      <c r="G95" s="3" t="e">
        <f>IF($A95&lt;&gt;"",IF(VLOOKUP($A95,貼り付け用!$A$1:$BA$300,COLUMN(),FALSE)=0,"",VLOOKUP($A95,貼り付け用!$A$1:$BA$300,COLUMN(),FALSE)),"")</f>
        <v>#N/A</v>
      </c>
      <c r="H95" s="3" t="e">
        <f>IF($A95&lt;&gt;"",IF(VLOOKUP($A95,貼り付け用!$A$1:$BA$300,COLUMN(),FALSE)=0,"",VLOOKUP($A95,貼り付け用!$A$1:$BA$300,COLUMN(),FALSE)),"")</f>
        <v>#N/A</v>
      </c>
      <c r="I95" s="3" t="e">
        <f>IF($A95&lt;&gt;"",IF(VLOOKUP($A95,貼り付け用!$A$1:$BA$300,COLUMN(),FALSE)=0,"",VLOOKUP($A95,貼り付け用!$A$1:$BA$300,COLUMN(),FALSE)),"")</f>
        <v>#N/A</v>
      </c>
      <c r="J95" s="3" t="e">
        <f>IF($A95&lt;&gt;"",IF(VLOOKUP($A95,貼り付け用!$A$1:$BA$300,COLUMN(),FALSE)=0,"",VLOOKUP($A95,貼り付け用!$A$1:$BA$300,COLUMN(),FALSE)),"")</f>
        <v>#N/A</v>
      </c>
      <c r="K95" s="3" t="e">
        <f>IF($A95&lt;&gt;"",IF(VLOOKUP($A95,貼り付け用!$A$1:$BA$300,COLUMN(),FALSE)=0,"",VLOOKUP($A95,貼り付け用!$A$1:$BA$300,COLUMN(),FALSE)),"")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61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IF($A96&lt;&gt;"",IF(VLOOKUP($A96,貼り付け用!$A$1:$BA$300,COLUMN(),FALSE)=0,"",VLOOKUP($A96,貼り付け用!$A$1:$BA$300,COLUMN(),FALSE)),"")</f>
        <v>#N/A</v>
      </c>
      <c r="C96" s="14" t="e">
        <f>IF($A96&lt;&gt;"",IF(VLOOKUP($A96,貼り付け用!$A$1:$BA$300,COLUMN(),FALSE)=0,"",VLOOKUP($A96,貼り付け用!$A$1:$BA$300,COLUMN(),FALSE)),"")</f>
        <v>#N/A</v>
      </c>
      <c r="D96" s="14" t="e">
        <f>IF($A96&lt;&gt;"",IF(VLOOKUP($A96,貼り付け用!$A$1:$BA$300,COLUMN(),FALSE)=0,"",VLOOKUP($A96,貼り付け用!$A$1:$BA$300,COLUMN(),FALSE)),"")</f>
        <v>#N/A</v>
      </c>
      <c r="E96" s="14" t="e">
        <f>IF($A96&lt;&gt;"",IF(VLOOKUP($A96,貼り付け用!$A$1:$BA$300,COLUMN(),FALSE)=0,"",VLOOKUP($A96,貼り付け用!$A$1:$BA$300,COLUMN(),FALSE)),"")</f>
        <v>#N/A</v>
      </c>
      <c r="F96" s="14" t="e">
        <f>IF($A96&lt;&gt;"",IF(VLOOKUP($A96,貼り付け用!$A$1:$BA$300,COLUMN(),FALSE)=0,"",VLOOKUP($A96,貼り付け用!$A$1:$BA$300,COLUMN(),FALSE)),"")</f>
        <v>#N/A</v>
      </c>
      <c r="G96" s="14" t="e">
        <f>IF($A96&lt;&gt;"",IF(VLOOKUP($A96,貼り付け用!$A$1:$BA$300,COLUMN(),FALSE)=0,"",VLOOKUP($A96,貼り付け用!$A$1:$BA$300,COLUMN(),FALSE)),"")</f>
        <v>#N/A</v>
      </c>
      <c r="H96" s="14" t="e">
        <f>IF($A96&lt;&gt;"",IF(VLOOKUP($A96,貼り付け用!$A$1:$BA$300,COLUMN(),FALSE)=0,"",VLOOKUP($A96,貼り付け用!$A$1:$BA$300,COLUMN(),FALSE)),"")</f>
        <v>#N/A</v>
      </c>
      <c r="I96" s="14" t="e">
        <f>IF($A96&lt;&gt;"",IF(VLOOKUP($A96,貼り付け用!$A$1:$BA$300,COLUMN(),FALSE)=0,"",VLOOKUP($A96,貼り付け用!$A$1:$BA$300,COLUMN(),FALSE)),"")</f>
        <v>#N/A</v>
      </c>
      <c r="J96" s="14" t="e">
        <f>IF($A96&lt;&gt;"",IF(VLOOKUP($A96,貼り付け用!$A$1:$BA$300,COLUMN(),FALSE)=0,"",VLOOKUP($A96,貼り付け用!$A$1:$BA$300,COLUMN(),FALSE)),"")</f>
        <v>#N/A</v>
      </c>
      <c r="K96" s="14" t="e">
        <f>IF($A96&lt;&gt;"",IF(VLOOKUP($A96,貼り付け用!$A$1:$BA$300,COLUMN(),FALSE)=0,"",VLOOKUP($A96,貼り付け用!$A$1:$BA$300,COLUMN(),FALSE)),"")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61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IF($A97&lt;&gt;"",IF(VLOOKUP($A97,貼り付け用!$A$1:$BA$300,COLUMN(),FALSE)=0,"",VLOOKUP($A97,貼り付け用!$A$1:$BA$300,COLUMN(),FALSE)),"")</f>
        <v>#N/A</v>
      </c>
      <c r="C97" s="3" t="e">
        <f>IF($A97&lt;&gt;"",IF(VLOOKUP($A97,貼り付け用!$A$1:$BA$300,COLUMN(),FALSE)=0,"",VLOOKUP($A97,貼り付け用!$A$1:$BA$300,COLUMN(),FALSE)),"")</f>
        <v>#N/A</v>
      </c>
      <c r="D97" s="3" t="e">
        <f>IF($A97&lt;&gt;"",IF(VLOOKUP($A97,貼り付け用!$A$1:$BA$300,COLUMN(),FALSE)=0,"",VLOOKUP($A97,貼り付け用!$A$1:$BA$300,COLUMN(),FALSE)),"")</f>
        <v>#N/A</v>
      </c>
      <c r="E97" s="3" t="e">
        <f>IF($A97&lt;&gt;"",IF(VLOOKUP($A97,貼り付け用!$A$1:$BA$300,COLUMN(),FALSE)=0,"",VLOOKUP($A97,貼り付け用!$A$1:$BA$300,COLUMN(),FALSE)),"")</f>
        <v>#N/A</v>
      </c>
      <c r="F97" s="3" t="e">
        <f>IF($A97&lt;&gt;"",IF(VLOOKUP($A97,貼り付け用!$A$1:$BA$300,COLUMN(),FALSE)=0,"",VLOOKUP($A97,貼り付け用!$A$1:$BA$300,COLUMN(),FALSE)),"")</f>
        <v>#N/A</v>
      </c>
      <c r="G97" s="3" t="e">
        <f>IF($A97&lt;&gt;"",IF(VLOOKUP($A97,貼り付け用!$A$1:$BA$300,COLUMN(),FALSE)=0,"",VLOOKUP($A97,貼り付け用!$A$1:$BA$300,COLUMN(),FALSE)),"")</f>
        <v>#N/A</v>
      </c>
      <c r="H97" s="3" t="e">
        <f>IF($A97&lt;&gt;"",IF(VLOOKUP($A97,貼り付け用!$A$1:$BA$300,COLUMN(),FALSE)=0,"",VLOOKUP($A97,貼り付け用!$A$1:$BA$300,COLUMN(),FALSE)),"")</f>
        <v>#N/A</v>
      </c>
      <c r="I97" s="3" t="e">
        <f>IF($A97&lt;&gt;"",IF(VLOOKUP($A97,貼り付け用!$A$1:$BA$300,COLUMN(),FALSE)=0,"",VLOOKUP($A97,貼り付け用!$A$1:$BA$300,COLUMN(),FALSE)),"")</f>
        <v>#N/A</v>
      </c>
      <c r="J97" s="3" t="e">
        <f>IF($A97&lt;&gt;"",IF(VLOOKUP($A97,貼り付け用!$A$1:$BA$300,COLUMN(),FALSE)=0,"",VLOOKUP($A97,貼り付け用!$A$1:$BA$300,COLUMN(),FALSE)),"")</f>
        <v>#N/A</v>
      </c>
      <c r="K97" s="3" t="e">
        <f>IF($A97&lt;&gt;"",IF(VLOOKUP($A97,貼り付け用!$A$1:$BA$300,COLUMN(),FALSE)=0,"",VLOOKUP($A97,貼り付け用!$A$1:$BA$300,COLUMN(),FALSE)),"")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61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IF($A98&lt;&gt;"",IF(VLOOKUP($A98,貼り付け用!$A$1:$BA$300,COLUMN(),FALSE)=0,"",VLOOKUP($A98,貼り付け用!$A$1:$BA$300,COLUMN(),FALSE)),"")</f>
        <v>#N/A</v>
      </c>
      <c r="C98" s="14" t="e">
        <f>IF($A98&lt;&gt;"",IF(VLOOKUP($A98,貼り付け用!$A$1:$BA$300,COLUMN(),FALSE)=0,"",VLOOKUP($A98,貼り付け用!$A$1:$BA$300,COLUMN(),FALSE)),"")</f>
        <v>#N/A</v>
      </c>
      <c r="D98" s="14" t="e">
        <f>IF($A98&lt;&gt;"",IF(VLOOKUP($A98,貼り付け用!$A$1:$BA$300,COLUMN(),FALSE)=0,"",VLOOKUP($A98,貼り付け用!$A$1:$BA$300,COLUMN(),FALSE)),"")</f>
        <v>#N/A</v>
      </c>
      <c r="E98" s="14" t="e">
        <f>IF($A98&lt;&gt;"",IF(VLOOKUP($A98,貼り付け用!$A$1:$BA$300,COLUMN(),FALSE)=0,"",VLOOKUP($A98,貼り付け用!$A$1:$BA$300,COLUMN(),FALSE)),"")</f>
        <v>#N/A</v>
      </c>
      <c r="F98" s="14" t="e">
        <f>IF($A98&lt;&gt;"",IF(VLOOKUP($A98,貼り付け用!$A$1:$BA$300,COLUMN(),FALSE)=0,"",VLOOKUP($A98,貼り付け用!$A$1:$BA$300,COLUMN(),FALSE)),"")</f>
        <v>#N/A</v>
      </c>
      <c r="G98" s="14" t="e">
        <f>IF($A98&lt;&gt;"",IF(VLOOKUP($A98,貼り付け用!$A$1:$BA$300,COLUMN(),FALSE)=0,"",VLOOKUP($A98,貼り付け用!$A$1:$BA$300,COLUMN(),FALSE)),"")</f>
        <v>#N/A</v>
      </c>
      <c r="H98" s="14" t="e">
        <f>IF($A98&lt;&gt;"",IF(VLOOKUP($A98,貼り付け用!$A$1:$BA$300,COLUMN(),FALSE)=0,"",VLOOKUP($A98,貼り付け用!$A$1:$BA$300,COLUMN(),FALSE)),"")</f>
        <v>#N/A</v>
      </c>
      <c r="I98" s="14" t="e">
        <f>IF($A98&lt;&gt;"",IF(VLOOKUP($A98,貼り付け用!$A$1:$BA$300,COLUMN(),FALSE)=0,"",VLOOKUP($A98,貼り付け用!$A$1:$BA$300,COLUMN(),FALSE)),"")</f>
        <v>#N/A</v>
      </c>
      <c r="J98" s="14" t="e">
        <f>IF($A98&lt;&gt;"",IF(VLOOKUP($A98,貼り付け用!$A$1:$BA$300,COLUMN(),FALSE)=0,"",VLOOKUP($A98,貼り付け用!$A$1:$BA$300,COLUMN(),FALSE)),"")</f>
        <v>#N/A</v>
      </c>
      <c r="K98" s="14" t="e">
        <f>IF($A98&lt;&gt;"",IF(VLOOKUP($A98,貼り付け用!$A$1:$BA$300,COLUMN(),FALSE)=0,"",VLOOKUP($A98,貼り付け用!$A$1:$BA$300,COLUMN(),FALSE)),"")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61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IF($A99&lt;&gt;"",IF(VLOOKUP($A99,貼り付け用!$A$1:$BA$300,COLUMN(),FALSE)=0,"",VLOOKUP($A99,貼り付け用!$A$1:$BA$300,COLUMN(),FALSE)),"")</f>
        <v>#N/A</v>
      </c>
      <c r="C99" s="3" t="e">
        <f>IF($A99&lt;&gt;"",IF(VLOOKUP($A99,貼り付け用!$A$1:$BA$300,COLUMN(),FALSE)=0,"",VLOOKUP($A99,貼り付け用!$A$1:$BA$300,COLUMN(),FALSE)),"")</f>
        <v>#N/A</v>
      </c>
      <c r="D99" s="3" t="e">
        <f>IF($A99&lt;&gt;"",IF(VLOOKUP($A99,貼り付け用!$A$1:$BA$300,COLUMN(),FALSE)=0,"",VLOOKUP($A99,貼り付け用!$A$1:$BA$300,COLUMN(),FALSE)),"")</f>
        <v>#N/A</v>
      </c>
      <c r="E99" s="3" t="e">
        <f>IF($A99&lt;&gt;"",IF(VLOOKUP($A99,貼り付け用!$A$1:$BA$300,COLUMN(),FALSE)=0,"",VLOOKUP($A99,貼り付け用!$A$1:$BA$300,COLUMN(),FALSE)),"")</f>
        <v>#N/A</v>
      </c>
      <c r="F99" s="3" t="e">
        <f>IF($A99&lt;&gt;"",IF(VLOOKUP($A99,貼り付け用!$A$1:$BA$300,COLUMN(),FALSE)=0,"",VLOOKUP($A99,貼り付け用!$A$1:$BA$300,COLUMN(),FALSE)),"")</f>
        <v>#N/A</v>
      </c>
      <c r="G99" s="3" t="e">
        <f>IF($A99&lt;&gt;"",IF(VLOOKUP($A99,貼り付け用!$A$1:$BA$300,COLUMN(),FALSE)=0,"",VLOOKUP($A99,貼り付け用!$A$1:$BA$300,COLUMN(),FALSE)),"")</f>
        <v>#N/A</v>
      </c>
      <c r="H99" s="3" t="e">
        <f>IF($A99&lt;&gt;"",IF(VLOOKUP($A99,貼り付け用!$A$1:$BA$300,COLUMN(),FALSE)=0,"",VLOOKUP($A99,貼り付け用!$A$1:$BA$300,COLUMN(),FALSE)),"")</f>
        <v>#N/A</v>
      </c>
      <c r="I99" s="3" t="e">
        <f>IF($A99&lt;&gt;"",IF(VLOOKUP($A99,貼り付け用!$A$1:$BA$300,COLUMN(),FALSE)=0,"",VLOOKUP($A99,貼り付け用!$A$1:$BA$300,COLUMN(),FALSE)),"")</f>
        <v>#N/A</v>
      </c>
      <c r="J99" s="3" t="e">
        <f>IF($A99&lt;&gt;"",IF(VLOOKUP($A99,貼り付け用!$A$1:$BA$300,COLUMN(),FALSE)=0,"",VLOOKUP($A99,貼り付け用!$A$1:$BA$300,COLUMN(),FALSE)),"")</f>
        <v>#N/A</v>
      </c>
      <c r="K99" s="3" t="e">
        <f>IF($A99&lt;&gt;"",IF(VLOOKUP($A99,貼り付け用!$A$1:$BA$300,COLUMN(),FALSE)=0,"",VLOOKUP($A99,貼り付け用!$A$1:$BA$300,COLUMN(),FALSE)),"")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61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IF($A100&lt;&gt;"",IF(VLOOKUP($A100,貼り付け用!$A$1:$BA$300,COLUMN(),FALSE)=0,"",VLOOKUP($A100,貼り付け用!$A$1:$BA$300,COLUMN(),FALSE)),"")</f>
        <v>#N/A</v>
      </c>
      <c r="C100" s="14" t="e">
        <f>IF($A100&lt;&gt;"",IF(VLOOKUP($A100,貼り付け用!$A$1:$BA$300,COLUMN(),FALSE)=0,"",VLOOKUP($A100,貼り付け用!$A$1:$BA$300,COLUMN(),FALSE)),"")</f>
        <v>#N/A</v>
      </c>
      <c r="D100" s="14" t="e">
        <f>IF($A100&lt;&gt;"",IF(VLOOKUP($A100,貼り付け用!$A$1:$BA$300,COLUMN(),FALSE)=0,"",VLOOKUP($A100,貼り付け用!$A$1:$BA$300,COLUMN(),FALSE)),"")</f>
        <v>#N/A</v>
      </c>
      <c r="E100" s="14" t="e">
        <f>IF($A100&lt;&gt;"",IF(VLOOKUP($A100,貼り付け用!$A$1:$BA$300,COLUMN(),FALSE)=0,"",VLOOKUP($A100,貼り付け用!$A$1:$BA$300,COLUMN(),FALSE)),"")</f>
        <v>#N/A</v>
      </c>
      <c r="F100" s="14" t="e">
        <f>IF($A100&lt;&gt;"",IF(VLOOKUP($A100,貼り付け用!$A$1:$BA$300,COLUMN(),FALSE)=0,"",VLOOKUP($A100,貼り付け用!$A$1:$BA$300,COLUMN(),FALSE)),"")</f>
        <v>#N/A</v>
      </c>
      <c r="G100" s="14" t="e">
        <f>IF($A100&lt;&gt;"",IF(VLOOKUP($A100,貼り付け用!$A$1:$BA$300,COLUMN(),FALSE)=0,"",VLOOKUP($A100,貼り付け用!$A$1:$BA$300,COLUMN(),FALSE)),"")</f>
        <v>#N/A</v>
      </c>
      <c r="H100" s="14" t="e">
        <f>IF($A100&lt;&gt;"",IF(VLOOKUP($A100,貼り付け用!$A$1:$BA$300,COLUMN(),FALSE)=0,"",VLOOKUP($A100,貼り付け用!$A$1:$BA$300,COLUMN(),FALSE)),"")</f>
        <v>#N/A</v>
      </c>
      <c r="I100" s="14" t="e">
        <f>IF($A100&lt;&gt;"",IF(VLOOKUP($A100,貼り付け用!$A$1:$BA$300,COLUMN(),FALSE)=0,"",VLOOKUP($A100,貼り付け用!$A$1:$BA$300,COLUMN(),FALSE)),"")</f>
        <v>#N/A</v>
      </c>
      <c r="J100" s="14" t="e">
        <f>IF($A100&lt;&gt;"",IF(VLOOKUP($A100,貼り付け用!$A$1:$BA$300,COLUMN(),FALSE)=0,"",VLOOKUP($A100,貼り付け用!$A$1:$BA$300,COLUMN(),FALSE)),"")</f>
        <v>#N/A</v>
      </c>
      <c r="K100" s="14" t="e">
        <f>IF($A100&lt;&gt;"",IF(VLOOKUP($A100,貼り付け用!$A$1:$BA$300,COLUMN(),FALSE)=0,"",VLOOKUP($A100,貼り付け用!$A$1:$BA$300,COLUMN(),FALSE)),"")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61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IF($A101&lt;&gt;"",IF(VLOOKUP($A101,貼り付け用!$A$1:$BA$300,COLUMN(),FALSE)=0,"",VLOOKUP($A101,貼り付け用!$A$1:$BA$300,COLUMN(),FALSE)),"")</f>
        <v>#N/A</v>
      </c>
      <c r="C101" s="3" t="e">
        <f>IF($A101&lt;&gt;"",IF(VLOOKUP($A101,貼り付け用!$A$1:$BA$300,COLUMN(),FALSE)=0,"",VLOOKUP($A101,貼り付け用!$A$1:$BA$300,COLUMN(),FALSE)),"")</f>
        <v>#N/A</v>
      </c>
      <c r="D101" s="3" t="e">
        <f>IF($A101&lt;&gt;"",IF(VLOOKUP($A101,貼り付け用!$A$1:$BA$300,COLUMN(),FALSE)=0,"",VLOOKUP($A101,貼り付け用!$A$1:$BA$300,COLUMN(),FALSE)),"")</f>
        <v>#N/A</v>
      </c>
      <c r="E101" s="3" t="e">
        <f>IF($A101&lt;&gt;"",IF(VLOOKUP($A101,貼り付け用!$A$1:$BA$300,COLUMN(),FALSE)=0,"",VLOOKUP($A101,貼り付け用!$A$1:$BA$300,COLUMN(),FALSE)),"")</f>
        <v>#N/A</v>
      </c>
      <c r="F101" s="3" t="e">
        <f>IF($A101&lt;&gt;"",IF(VLOOKUP($A101,貼り付け用!$A$1:$BA$300,COLUMN(),FALSE)=0,"",VLOOKUP($A101,貼り付け用!$A$1:$BA$300,COLUMN(),FALSE)),"")</f>
        <v>#N/A</v>
      </c>
      <c r="G101" s="3" t="e">
        <f>IF($A101&lt;&gt;"",IF(VLOOKUP($A101,貼り付け用!$A$1:$BA$300,COLUMN(),FALSE)=0,"",VLOOKUP($A101,貼り付け用!$A$1:$BA$300,COLUMN(),FALSE)),"")</f>
        <v>#N/A</v>
      </c>
      <c r="H101" s="3" t="e">
        <f>IF($A101&lt;&gt;"",IF(VLOOKUP($A101,貼り付け用!$A$1:$BA$300,COLUMN(),FALSE)=0,"",VLOOKUP($A101,貼り付け用!$A$1:$BA$300,COLUMN(),FALSE)),"")</f>
        <v>#N/A</v>
      </c>
      <c r="I101" s="3" t="e">
        <f>IF($A101&lt;&gt;"",IF(VLOOKUP($A101,貼り付け用!$A$1:$BA$300,COLUMN(),FALSE)=0,"",VLOOKUP($A101,貼り付け用!$A$1:$BA$300,COLUMN(),FALSE)),"")</f>
        <v>#N/A</v>
      </c>
      <c r="J101" s="3" t="e">
        <f>IF($A101&lt;&gt;"",IF(VLOOKUP($A101,貼り付け用!$A$1:$BA$300,COLUMN(),FALSE)=0,"",VLOOKUP($A101,貼り付け用!$A$1:$BA$300,COLUMN(),FALSE)),"")</f>
        <v>#N/A</v>
      </c>
      <c r="K101" s="3" t="e">
        <f>IF($A101&lt;&gt;"",IF(VLOOKUP($A101,貼り付け用!$A$1:$BA$300,COLUMN(),FALSE)=0,"",VLOOKUP($A101,貼り付け用!$A$1:$BA$300,COLUMN(),FALSE)),"")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61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IF($A102&lt;&gt;"",IF(VLOOKUP($A102,貼り付け用!$A$1:$BA$300,COLUMN(),FALSE)=0,"",VLOOKUP($A102,貼り付け用!$A$1:$BA$300,COLUMN(),FALSE)),"")</f>
        <v>#N/A</v>
      </c>
      <c r="C102" s="14" t="e">
        <f>IF($A102&lt;&gt;"",IF(VLOOKUP($A102,貼り付け用!$A$1:$BA$300,COLUMN(),FALSE)=0,"",VLOOKUP($A102,貼り付け用!$A$1:$BA$300,COLUMN(),FALSE)),"")</f>
        <v>#N/A</v>
      </c>
      <c r="D102" s="14" t="e">
        <f>IF($A102&lt;&gt;"",IF(VLOOKUP($A102,貼り付け用!$A$1:$BA$300,COLUMN(),FALSE)=0,"",VLOOKUP($A102,貼り付け用!$A$1:$BA$300,COLUMN(),FALSE)),"")</f>
        <v>#N/A</v>
      </c>
      <c r="E102" s="14" t="e">
        <f>IF($A102&lt;&gt;"",IF(VLOOKUP($A102,貼り付け用!$A$1:$BA$300,COLUMN(),FALSE)=0,"",VLOOKUP($A102,貼り付け用!$A$1:$BA$300,COLUMN(),FALSE)),"")</f>
        <v>#N/A</v>
      </c>
      <c r="F102" s="14" t="e">
        <f>IF($A102&lt;&gt;"",IF(VLOOKUP($A102,貼り付け用!$A$1:$BA$300,COLUMN(),FALSE)=0,"",VLOOKUP($A102,貼り付け用!$A$1:$BA$300,COLUMN(),FALSE)),"")</f>
        <v>#N/A</v>
      </c>
      <c r="G102" s="14" t="e">
        <f>IF($A102&lt;&gt;"",IF(VLOOKUP($A102,貼り付け用!$A$1:$BA$300,COLUMN(),FALSE)=0,"",VLOOKUP($A102,貼り付け用!$A$1:$BA$300,COLUMN(),FALSE)),"")</f>
        <v>#N/A</v>
      </c>
      <c r="H102" s="14" t="e">
        <f>IF($A102&lt;&gt;"",IF(VLOOKUP($A102,貼り付け用!$A$1:$BA$300,COLUMN(),FALSE)=0,"",VLOOKUP($A102,貼り付け用!$A$1:$BA$300,COLUMN(),FALSE)),"")</f>
        <v>#N/A</v>
      </c>
      <c r="I102" s="14" t="e">
        <f>IF($A102&lt;&gt;"",IF(VLOOKUP($A102,貼り付け用!$A$1:$BA$300,COLUMN(),FALSE)=0,"",VLOOKUP($A102,貼り付け用!$A$1:$BA$300,COLUMN(),FALSE)),"")</f>
        <v>#N/A</v>
      </c>
      <c r="J102" s="14" t="e">
        <f>IF($A102&lt;&gt;"",IF(VLOOKUP($A102,貼り付け用!$A$1:$BA$300,COLUMN(),FALSE)=0,"",VLOOKUP($A102,貼り付け用!$A$1:$BA$300,COLUMN(),FALSE)),"")</f>
        <v>#N/A</v>
      </c>
      <c r="K102" s="14" t="e">
        <f>IF($A102&lt;&gt;"",IF(VLOOKUP($A102,貼り付け用!$A$1:$BA$300,COLUMN(),FALSE)=0,"",VLOOKUP($A102,貼り付け用!$A$1:$BA$300,COLUMN(),FALSE)),"")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61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IF($A103&lt;&gt;"",IF(VLOOKUP($A103,貼り付け用!$A$1:$BA$300,COLUMN(),FALSE)=0,"",VLOOKUP($A103,貼り付け用!$A$1:$BA$300,COLUMN(),FALSE)),"")</f>
        <v>#N/A</v>
      </c>
      <c r="C103" s="3" t="e">
        <f>IF($A103&lt;&gt;"",IF(VLOOKUP($A103,貼り付け用!$A$1:$BA$300,COLUMN(),FALSE)=0,"",VLOOKUP($A103,貼り付け用!$A$1:$BA$300,COLUMN(),FALSE)),"")</f>
        <v>#N/A</v>
      </c>
      <c r="D103" s="3" t="e">
        <f>IF($A103&lt;&gt;"",IF(VLOOKUP($A103,貼り付け用!$A$1:$BA$300,COLUMN(),FALSE)=0,"",VLOOKUP($A103,貼り付け用!$A$1:$BA$300,COLUMN(),FALSE)),"")</f>
        <v>#N/A</v>
      </c>
      <c r="E103" s="3" t="e">
        <f>IF($A103&lt;&gt;"",IF(VLOOKUP($A103,貼り付け用!$A$1:$BA$300,COLUMN(),FALSE)=0,"",VLOOKUP($A103,貼り付け用!$A$1:$BA$300,COLUMN(),FALSE)),"")</f>
        <v>#N/A</v>
      </c>
      <c r="F103" s="3" t="e">
        <f>IF($A103&lt;&gt;"",IF(VLOOKUP($A103,貼り付け用!$A$1:$BA$300,COLUMN(),FALSE)=0,"",VLOOKUP($A103,貼り付け用!$A$1:$BA$300,COLUMN(),FALSE)),"")</f>
        <v>#N/A</v>
      </c>
      <c r="G103" s="3" t="e">
        <f>IF($A103&lt;&gt;"",IF(VLOOKUP($A103,貼り付け用!$A$1:$BA$300,COLUMN(),FALSE)=0,"",VLOOKUP($A103,貼り付け用!$A$1:$BA$300,COLUMN(),FALSE)),"")</f>
        <v>#N/A</v>
      </c>
      <c r="H103" s="3" t="e">
        <f>IF($A103&lt;&gt;"",IF(VLOOKUP($A103,貼り付け用!$A$1:$BA$300,COLUMN(),FALSE)=0,"",VLOOKUP($A103,貼り付け用!$A$1:$BA$300,COLUMN(),FALSE)),"")</f>
        <v>#N/A</v>
      </c>
      <c r="I103" s="3" t="e">
        <f>IF($A103&lt;&gt;"",IF(VLOOKUP($A103,貼り付け用!$A$1:$BA$300,COLUMN(),FALSE)=0,"",VLOOKUP($A103,貼り付け用!$A$1:$BA$300,COLUMN(),FALSE)),"")</f>
        <v>#N/A</v>
      </c>
      <c r="J103" s="3" t="e">
        <f>IF($A103&lt;&gt;"",IF(VLOOKUP($A103,貼り付け用!$A$1:$BA$300,COLUMN(),FALSE)=0,"",VLOOKUP($A103,貼り付け用!$A$1:$BA$300,COLUMN(),FALSE)),"")</f>
        <v>#N/A</v>
      </c>
      <c r="K103" s="3" t="e">
        <f>IF($A103&lt;&gt;"",IF(VLOOKUP($A103,貼り付け用!$A$1:$BA$300,COLUMN(),FALSE)=0,"",VLOOKUP($A103,貼り付け用!$A$1:$BA$300,COLUMN(),FALSE)),"")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61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IF($A104&lt;&gt;"",IF(VLOOKUP($A104,貼り付け用!$A$1:$BA$300,COLUMN(),FALSE)=0,"",VLOOKUP($A104,貼り付け用!$A$1:$BA$300,COLUMN(),FALSE)),"")</f>
        <v>#N/A</v>
      </c>
      <c r="C104" s="14" t="e">
        <f>IF($A104&lt;&gt;"",IF(VLOOKUP($A104,貼り付け用!$A$1:$BA$300,COLUMN(),FALSE)=0,"",VLOOKUP($A104,貼り付け用!$A$1:$BA$300,COLUMN(),FALSE)),"")</f>
        <v>#N/A</v>
      </c>
      <c r="D104" s="14" t="e">
        <f>IF($A104&lt;&gt;"",IF(VLOOKUP($A104,貼り付け用!$A$1:$BA$300,COLUMN(),FALSE)=0,"",VLOOKUP($A104,貼り付け用!$A$1:$BA$300,COLUMN(),FALSE)),"")</f>
        <v>#N/A</v>
      </c>
      <c r="E104" s="14" t="e">
        <f>IF($A104&lt;&gt;"",IF(VLOOKUP($A104,貼り付け用!$A$1:$BA$300,COLUMN(),FALSE)=0,"",VLOOKUP($A104,貼り付け用!$A$1:$BA$300,COLUMN(),FALSE)),"")</f>
        <v>#N/A</v>
      </c>
      <c r="F104" s="14" t="e">
        <f>IF($A104&lt;&gt;"",IF(VLOOKUP($A104,貼り付け用!$A$1:$BA$300,COLUMN(),FALSE)=0,"",VLOOKUP($A104,貼り付け用!$A$1:$BA$300,COLUMN(),FALSE)),"")</f>
        <v>#N/A</v>
      </c>
      <c r="G104" s="14" t="e">
        <f>IF($A104&lt;&gt;"",IF(VLOOKUP($A104,貼り付け用!$A$1:$BA$300,COLUMN(),FALSE)=0,"",VLOOKUP($A104,貼り付け用!$A$1:$BA$300,COLUMN(),FALSE)),"")</f>
        <v>#N/A</v>
      </c>
      <c r="H104" s="14" t="e">
        <f>IF($A104&lt;&gt;"",IF(VLOOKUP($A104,貼り付け用!$A$1:$BA$300,COLUMN(),FALSE)=0,"",VLOOKUP($A104,貼り付け用!$A$1:$BA$300,COLUMN(),FALSE)),"")</f>
        <v>#N/A</v>
      </c>
      <c r="I104" s="14" t="e">
        <f>IF($A104&lt;&gt;"",IF(VLOOKUP($A104,貼り付け用!$A$1:$BA$300,COLUMN(),FALSE)=0,"",VLOOKUP($A104,貼り付け用!$A$1:$BA$300,COLUMN(),FALSE)),"")</f>
        <v>#N/A</v>
      </c>
      <c r="J104" s="14" t="e">
        <f>IF($A104&lt;&gt;"",IF(VLOOKUP($A104,貼り付け用!$A$1:$BA$300,COLUMN(),FALSE)=0,"",VLOOKUP($A104,貼り付け用!$A$1:$BA$300,COLUMN(),FALSE)),"")</f>
        <v>#N/A</v>
      </c>
      <c r="K104" s="14" t="e">
        <f>IF($A104&lt;&gt;"",IF(VLOOKUP($A104,貼り付け用!$A$1:$BA$300,COLUMN(),FALSE)=0,"",VLOOKUP($A104,貼り付け用!$A$1:$BA$300,COLUMN(),FALSE)),"")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61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IF($A105&lt;&gt;"",IF(VLOOKUP($A105,貼り付け用!$A$1:$BA$300,COLUMN(),FALSE)=0,"",VLOOKUP($A105,貼り付け用!$A$1:$BA$300,COLUMN(),FALSE)),"")</f>
        <v>#N/A</v>
      </c>
      <c r="C105" s="3" t="e">
        <f>IF($A105&lt;&gt;"",IF(VLOOKUP($A105,貼り付け用!$A$1:$BA$300,COLUMN(),FALSE)=0,"",VLOOKUP($A105,貼り付け用!$A$1:$BA$300,COLUMN(),FALSE)),"")</f>
        <v>#N/A</v>
      </c>
      <c r="D105" s="3" t="e">
        <f>IF($A105&lt;&gt;"",IF(VLOOKUP($A105,貼り付け用!$A$1:$BA$300,COLUMN(),FALSE)=0,"",VLOOKUP($A105,貼り付け用!$A$1:$BA$300,COLUMN(),FALSE)),"")</f>
        <v>#N/A</v>
      </c>
      <c r="E105" s="3" t="e">
        <f>IF($A105&lt;&gt;"",IF(VLOOKUP($A105,貼り付け用!$A$1:$BA$300,COLUMN(),FALSE)=0,"",VLOOKUP($A105,貼り付け用!$A$1:$BA$300,COLUMN(),FALSE)),"")</f>
        <v>#N/A</v>
      </c>
      <c r="F105" s="3" t="e">
        <f>IF($A105&lt;&gt;"",IF(VLOOKUP($A105,貼り付け用!$A$1:$BA$300,COLUMN(),FALSE)=0,"",VLOOKUP($A105,貼り付け用!$A$1:$BA$300,COLUMN(),FALSE)),"")</f>
        <v>#N/A</v>
      </c>
      <c r="G105" s="3" t="e">
        <f>IF($A105&lt;&gt;"",IF(VLOOKUP($A105,貼り付け用!$A$1:$BA$300,COLUMN(),FALSE)=0,"",VLOOKUP($A105,貼り付け用!$A$1:$BA$300,COLUMN(),FALSE)),"")</f>
        <v>#N/A</v>
      </c>
      <c r="H105" s="3" t="e">
        <f>IF($A105&lt;&gt;"",IF(VLOOKUP($A105,貼り付け用!$A$1:$BA$300,COLUMN(),FALSE)=0,"",VLOOKUP($A105,貼り付け用!$A$1:$BA$300,COLUMN(),FALSE)),"")</f>
        <v>#N/A</v>
      </c>
      <c r="I105" s="3" t="e">
        <f>IF($A105&lt;&gt;"",IF(VLOOKUP($A105,貼り付け用!$A$1:$BA$300,COLUMN(),FALSE)=0,"",VLOOKUP($A105,貼り付け用!$A$1:$BA$300,COLUMN(),FALSE)),"")</f>
        <v>#N/A</v>
      </c>
      <c r="J105" s="3" t="e">
        <f>IF($A105&lt;&gt;"",IF(VLOOKUP($A105,貼り付け用!$A$1:$BA$300,COLUMN(),FALSE)=0,"",VLOOKUP($A105,貼り付け用!$A$1:$BA$300,COLUMN(),FALSE)),"")</f>
        <v>#N/A</v>
      </c>
      <c r="K105" s="3" t="e">
        <f>IF($A105&lt;&gt;"",IF(VLOOKUP($A105,貼り付け用!$A$1:$BA$300,COLUMN(),FALSE)=0,"",VLOOKUP($A105,貼り付け用!$A$1:$BA$300,COLUMN(),FALSE)),"")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61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IF($A106&lt;&gt;"",IF(VLOOKUP($A106,貼り付け用!$A$1:$BA$300,COLUMN(),FALSE)=0,"",VLOOKUP($A106,貼り付け用!$A$1:$BA$300,COLUMN(),FALSE)),"")</f>
        <v>#N/A</v>
      </c>
      <c r="C106" s="14" t="e">
        <f>IF($A106&lt;&gt;"",IF(VLOOKUP($A106,貼り付け用!$A$1:$BA$300,COLUMN(),FALSE)=0,"",VLOOKUP($A106,貼り付け用!$A$1:$BA$300,COLUMN(),FALSE)),"")</f>
        <v>#N/A</v>
      </c>
      <c r="D106" s="14" t="e">
        <f>IF($A106&lt;&gt;"",IF(VLOOKUP($A106,貼り付け用!$A$1:$BA$300,COLUMN(),FALSE)=0,"",VLOOKUP($A106,貼り付け用!$A$1:$BA$300,COLUMN(),FALSE)),"")</f>
        <v>#N/A</v>
      </c>
      <c r="E106" s="14" t="e">
        <f>IF($A106&lt;&gt;"",IF(VLOOKUP($A106,貼り付け用!$A$1:$BA$300,COLUMN(),FALSE)=0,"",VLOOKUP($A106,貼り付け用!$A$1:$BA$300,COLUMN(),FALSE)),"")</f>
        <v>#N/A</v>
      </c>
      <c r="F106" s="14" t="e">
        <f>IF($A106&lt;&gt;"",IF(VLOOKUP($A106,貼り付け用!$A$1:$BA$300,COLUMN(),FALSE)=0,"",VLOOKUP($A106,貼り付け用!$A$1:$BA$300,COLUMN(),FALSE)),"")</f>
        <v>#N/A</v>
      </c>
      <c r="G106" s="14" t="e">
        <f>IF($A106&lt;&gt;"",IF(VLOOKUP($A106,貼り付け用!$A$1:$BA$300,COLUMN(),FALSE)=0,"",VLOOKUP($A106,貼り付け用!$A$1:$BA$300,COLUMN(),FALSE)),"")</f>
        <v>#N/A</v>
      </c>
      <c r="H106" s="14" t="e">
        <f>IF($A106&lt;&gt;"",IF(VLOOKUP($A106,貼り付け用!$A$1:$BA$300,COLUMN(),FALSE)=0,"",VLOOKUP($A106,貼り付け用!$A$1:$BA$300,COLUMN(),FALSE)),"")</f>
        <v>#N/A</v>
      </c>
      <c r="I106" s="14" t="e">
        <f>IF($A106&lt;&gt;"",IF(VLOOKUP($A106,貼り付け用!$A$1:$BA$300,COLUMN(),FALSE)=0,"",VLOOKUP($A106,貼り付け用!$A$1:$BA$300,COLUMN(),FALSE)),"")</f>
        <v>#N/A</v>
      </c>
      <c r="J106" s="14" t="e">
        <f>IF($A106&lt;&gt;"",IF(VLOOKUP($A106,貼り付け用!$A$1:$BA$300,COLUMN(),FALSE)=0,"",VLOOKUP($A106,貼り付け用!$A$1:$BA$300,COLUMN(),FALSE)),"")</f>
        <v>#N/A</v>
      </c>
      <c r="K106" s="14" t="e">
        <f>IF($A106&lt;&gt;"",IF(VLOOKUP($A106,貼り付け用!$A$1:$BA$300,COLUMN(),FALSE)=0,"",VLOOKUP($A106,貼り付け用!$A$1:$BA$300,COLUMN(),FALSE)),"")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61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IF($A107&lt;&gt;"",IF(VLOOKUP($A107,貼り付け用!$A$1:$BA$300,COLUMN(),FALSE)=0,"",VLOOKUP($A107,貼り付け用!$A$1:$BA$300,COLUMN(),FALSE)),"")</f>
        <v>#N/A</v>
      </c>
      <c r="C107" s="3" t="e">
        <f>IF($A107&lt;&gt;"",IF(VLOOKUP($A107,貼り付け用!$A$1:$BA$300,COLUMN(),FALSE)=0,"",VLOOKUP($A107,貼り付け用!$A$1:$BA$300,COLUMN(),FALSE)),"")</f>
        <v>#N/A</v>
      </c>
      <c r="D107" s="3" t="e">
        <f>IF($A107&lt;&gt;"",IF(VLOOKUP($A107,貼り付け用!$A$1:$BA$300,COLUMN(),FALSE)=0,"",VLOOKUP($A107,貼り付け用!$A$1:$BA$300,COLUMN(),FALSE)),"")</f>
        <v>#N/A</v>
      </c>
      <c r="E107" s="3" t="e">
        <f>IF($A107&lt;&gt;"",IF(VLOOKUP($A107,貼り付け用!$A$1:$BA$300,COLUMN(),FALSE)=0,"",VLOOKUP($A107,貼り付け用!$A$1:$BA$300,COLUMN(),FALSE)),"")</f>
        <v>#N/A</v>
      </c>
      <c r="F107" s="3" t="e">
        <f>IF($A107&lt;&gt;"",IF(VLOOKUP($A107,貼り付け用!$A$1:$BA$300,COLUMN(),FALSE)=0,"",VLOOKUP($A107,貼り付け用!$A$1:$BA$300,COLUMN(),FALSE)),"")</f>
        <v>#N/A</v>
      </c>
      <c r="G107" s="3" t="e">
        <f>IF($A107&lt;&gt;"",IF(VLOOKUP($A107,貼り付け用!$A$1:$BA$300,COLUMN(),FALSE)=0,"",VLOOKUP($A107,貼り付け用!$A$1:$BA$300,COLUMN(),FALSE)),"")</f>
        <v>#N/A</v>
      </c>
      <c r="H107" s="3" t="e">
        <f>IF($A107&lt;&gt;"",IF(VLOOKUP($A107,貼り付け用!$A$1:$BA$300,COLUMN(),FALSE)=0,"",VLOOKUP($A107,貼り付け用!$A$1:$BA$300,COLUMN(),FALSE)),"")</f>
        <v>#N/A</v>
      </c>
      <c r="I107" s="3" t="e">
        <f>IF($A107&lt;&gt;"",IF(VLOOKUP($A107,貼り付け用!$A$1:$BA$300,COLUMN(),FALSE)=0,"",VLOOKUP($A107,貼り付け用!$A$1:$BA$300,COLUMN(),FALSE)),"")</f>
        <v>#N/A</v>
      </c>
      <c r="J107" s="3" t="e">
        <f>IF($A107&lt;&gt;"",IF(VLOOKUP($A107,貼り付け用!$A$1:$BA$300,COLUMN(),FALSE)=0,"",VLOOKUP($A107,貼り付け用!$A$1:$BA$300,COLUMN(),FALSE)),"")</f>
        <v>#N/A</v>
      </c>
      <c r="K107" s="3" t="e">
        <f>IF($A107&lt;&gt;"",IF(VLOOKUP($A107,貼り付け用!$A$1:$BA$300,COLUMN(),FALSE)=0,"",VLOOKUP($A107,貼り付け用!$A$1:$BA$300,COLUMN(),FALSE)),"")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61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IF($A108&lt;&gt;"",IF(VLOOKUP($A108,貼り付け用!$A$1:$BA$300,COLUMN(),FALSE)=0,"",VLOOKUP($A108,貼り付け用!$A$1:$BA$300,COLUMN(),FALSE)),"")</f>
        <v>#N/A</v>
      </c>
      <c r="C108" s="14" t="e">
        <f>IF($A108&lt;&gt;"",IF(VLOOKUP($A108,貼り付け用!$A$1:$BA$300,COLUMN(),FALSE)=0,"",VLOOKUP($A108,貼り付け用!$A$1:$BA$300,COLUMN(),FALSE)),"")</f>
        <v>#N/A</v>
      </c>
      <c r="D108" s="14" t="e">
        <f>IF($A108&lt;&gt;"",IF(VLOOKUP($A108,貼り付け用!$A$1:$BA$300,COLUMN(),FALSE)=0,"",VLOOKUP($A108,貼り付け用!$A$1:$BA$300,COLUMN(),FALSE)),"")</f>
        <v>#N/A</v>
      </c>
      <c r="E108" s="14" t="e">
        <f>IF($A108&lt;&gt;"",IF(VLOOKUP($A108,貼り付け用!$A$1:$BA$300,COLUMN(),FALSE)=0,"",VLOOKUP($A108,貼り付け用!$A$1:$BA$300,COLUMN(),FALSE)),"")</f>
        <v>#N/A</v>
      </c>
      <c r="F108" s="14" t="e">
        <f>IF($A108&lt;&gt;"",IF(VLOOKUP($A108,貼り付け用!$A$1:$BA$300,COLUMN(),FALSE)=0,"",VLOOKUP($A108,貼り付け用!$A$1:$BA$300,COLUMN(),FALSE)),"")</f>
        <v>#N/A</v>
      </c>
      <c r="G108" s="14" t="e">
        <f>IF($A108&lt;&gt;"",IF(VLOOKUP($A108,貼り付け用!$A$1:$BA$300,COLUMN(),FALSE)=0,"",VLOOKUP($A108,貼り付け用!$A$1:$BA$300,COLUMN(),FALSE)),"")</f>
        <v>#N/A</v>
      </c>
      <c r="H108" s="14" t="e">
        <f>IF($A108&lt;&gt;"",IF(VLOOKUP($A108,貼り付け用!$A$1:$BA$300,COLUMN(),FALSE)=0,"",VLOOKUP($A108,貼り付け用!$A$1:$BA$300,COLUMN(),FALSE)),"")</f>
        <v>#N/A</v>
      </c>
      <c r="I108" s="14" t="e">
        <f>IF($A108&lt;&gt;"",IF(VLOOKUP($A108,貼り付け用!$A$1:$BA$300,COLUMN(),FALSE)=0,"",VLOOKUP($A108,貼り付け用!$A$1:$BA$300,COLUMN(),FALSE)),"")</f>
        <v>#N/A</v>
      </c>
      <c r="J108" s="14" t="e">
        <f>IF($A108&lt;&gt;"",IF(VLOOKUP($A108,貼り付け用!$A$1:$BA$300,COLUMN(),FALSE)=0,"",VLOOKUP($A108,貼り付け用!$A$1:$BA$300,COLUMN(),FALSE)),"")</f>
        <v>#N/A</v>
      </c>
      <c r="K108" s="14" t="e">
        <f>IF($A108&lt;&gt;"",IF(VLOOKUP($A108,貼り付け用!$A$1:$BA$300,COLUMN(),FALSE)=0,"",VLOOKUP($A108,貼り付け用!$A$1:$BA$300,COLUMN(),FALSE)),"")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61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IF($A109&lt;&gt;"",IF(VLOOKUP($A109,貼り付け用!$A$1:$BA$300,COLUMN(),FALSE)=0,"",VLOOKUP($A109,貼り付け用!$A$1:$BA$300,COLUMN(),FALSE)),"")</f>
        <v>#N/A</v>
      </c>
      <c r="C109" s="3" t="e">
        <f>IF($A109&lt;&gt;"",IF(VLOOKUP($A109,貼り付け用!$A$1:$BA$300,COLUMN(),FALSE)=0,"",VLOOKUP($A109,貼り付け用!$A$1:$BA$300,COLUMN(),FALSE)),"")</f>
        <v>#N/A</v>
      </c>
      <c r="D109" s="3" t="e">
        <f>IF($A109&lt;&gt;"",IF(VLOOKUP($A109,貼り付け用!$A$1:$BA$300,COLUMN(),FALSE)=0,"",VLOOKUP($A109,貼り付け用!$A$1:$BA$300,COLUMN(),FALSE)),"")</f>
        <v>#N/A</v>
      </c>
      <c r="E109" s="3" t="e">
        <f>IF($A109&lt;&gt;"",IF(VLOOKUP($A109,貼り付け用!$A$1:$BA$300,COLUMN(),FALSE)=0,"",VLOOKUP($A109,貼り付け用!$A$1:$BA$300,COLUMN(),FALSE)),"")</f>
        <v>#N/A</v>
      </c>
      <c r="F109" s="3" t="e">
        <f>IF($A109&lt;&gt;"",IF(VLOOKUP($A109,貼り付け用!$A$1:$BA$300,COLUMN(),FALSE)=0,"",VLOOKUP($A109,貼り付け用!$A$1:$BA$300,COLUMN(),FALSE)),"")</f>
        <v>#N/A</v>
      </c>
      <c r="G109" s="3" t="e">
        <f>IF($A109&lt;&gt;"",IF(VLOOKUP($A109,貼り付け用!$A$1:$BA$300,COLUMN(),FALSE)=0,"",VLOOKUP($A109,貼り付け用!$A$1:$BA$300,COLUMN(),FALSE)),"")</f>
        <v>#N/A</v>
      </c>
      <c r="H109" s="3" t="e">
        <f>IF($A109&lt;&gt;"",IF(VLOOKUP($A109,貼り付け用!$A$1:$BA$300,COLUMN(),FALSE)=0,"",VLOOKUP($A109,貼り付け用!$A$1:$BA$300,COLUMN(),FALSE)),"")</f>
        <v>#N/A</v>
      </c>
      <c r="I109" s="3" t="e">
        <f>IF($A109&lt;&gt;"",IF(VLOOKUP($A109,貼り付け用!$A$1:$BA$300,COLUMN(),FALSE)=0,"",VLOOKUP($A109,貼り付け用!$A$1:$BA$300,COLUMN(),FALSE)),"")</f>
        <v>#N/A</v>
      </c>
      <c r="J109" s="3" t="e">
        <f>IF($A109&lt;&gt;"",IF(VLOOKUP($A109,貼り付け用!$A$1:$BA$300,COLUMN(),FALSE)=0,"",VLOOKUP($A109,貼り付け用!$A$1:$BA$300,COLUMN(),FALSE)),"")</f>
        <v>#N/A</v>
      </c>
      <c r="K109" s="3" t="e">
        <f>IF($A109&lt;&gt;"",IF(VLOOKUP($A109,貼り付け用!$A$1:$BA$300,COLUMN(),FALSE)=0,"",VLOOKUP($A109,貼り付け用!$A$1:$BA$300,COLUMN(),FALSE)),"")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61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IF($A110&lt;&gt;"",IF(VLOOKUP($A110,貼り付け用!$A$1:$BA$300,COLUMN(),FALSE)=0,"",VLOOKUP($A110,貼り付け用!$A$1:$BA$300,COLUMN(),FALSE)),"")</f>
        <v>#N/A</v>
      </c>
      <c r="C110" s="14" t="e">
        <f>IF($A110&lt;&gt;"",IF(VLOOKUP($A110,貼り付け用!$A$1:$BA$300,COLUMN(),FALSE)=0,"",VLOOKUP($A110,貼り付け用!$A$1:$BA$300,COLUMN(),FALSE)),"")</f>
        <v>#N/A</v>
      </c>
      <c r="D110" s="14" t="e">
        <f>IF($A110&lt;&gt;"",IF(VLOOKUP($A110,貼り付け用!$A$1:$BA$300,COLUMN(),FALSE)=0,"",VLOOKUP($A110,貼り付け用!$A$1:$BA$300,COLUMN(),FALSE)),"")</f>
        <v>#N/A</v>
      </c>
      <c r="E110" s="14" t="e">
        <f>IF($A110&lt;&gt;"",IF(VLOOKUP($A110,貼り付け用!$A$1:$BA$300,COLUMN(),FALSE)=0,"",VLOOKUP($A110,貼り付け用!$A$1:$BA$300,COLUMN(),FALSE)),"")</f>
        <v>#N/A</v>
      </c>
      <c r="F110" s="14" t="e">
        <f>IF($A110&lt;&gt;"",IF(VLOOKUP($A110,貼り付け用!$A$1:$BA$300,COLUMN(),FALSE)=0,"",VLOOKUP($A110,貼り付け用!$A$1:$BA$300,COLUMN(),FALSE)),"")</f>
        <v>#N/A</v>
      </c>
      <c r="G110" s="14" t="e">
        <f>IF($A110&lt;&gt;"",IF(VLOOKUP($A110,貼り付け用!$A$1:$BA$300,COLUMN(),FALSE)=0,"",VLOOKUP($A110,貼り付け用!$A$1:$BA$300,COLUMN(),FALSE)),"")</f>
        <v>#N/A</v>
      </c>
      <c r="H110" s="14" t="e">
        <f>IF($A110&lt;&gt;"",IF(VLOOKUP($A110,貼り付け用!$A$1:$BA$300,COLUMN(),FALSE)=0,"",VLOOKUP($A110,貼り付け用!$A$1:$BA$300,COLUMN(),FALSE)),"")</f>
        <v>#N/A</v>
      </c>
      <c r="I110" s="14" t="e">
        <f>IF($A110&lt;&gt;"",IF(VLOOKUP($A110,貼り付け用!$A$1:$BA$300,COLUMN(),FALSE)=0,"",VLOOKUP($A110,貼り付け用!$A$1:$BA$300,COLUMN(),FALSE)),"")</f>
        <v>#N/A</v>
      </c>
      <c r="J110" s="14" t="e">
        <f>IF($A110&lt;&gt;"",IF(VLOOKUP($A110,貼り付け用!$A$1:$BA$300,COLUMN(),FALSE)=0,"",VLOOKUP($A110,貼り付け用!$A$1:$BA$300,COLUMN(),FALSE)),"")</f>
        <v>#N/A</v>
      </c>
      <c r="K110" s="14" t="e">
        <f>IF($A110&lt;&gt;"",IF(VLOOKUP($A110,貼り付け用!$A$1:$BA$300,COLUMN(),FALSE)=0,"",VLOOKUP($A110,貼り付け用!$A$1:$BA$300,COLUMN(),FALSE)),"")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61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IF($A111&lt;&gt;"",IF(VLOOKUP($A111,貼り付け用!$A$1:$BA$300,COLUMN(),FALSE)=0,"",VLOOKUP($A111,貼り付け用!$A$1:$BA$300,COLUMN(),FALSE)),"")</f>
        <v>#N/A</v>
      </c>
      <c r="C111" s="3" t="e">
        <f>IF($A111&lt;&gt;"",IF(VLOOKUP($A111,貼り付け用!$A$1:$BA$300,COLUMN(),FALSE)=0,"",VLOOKUP($A111,貼り付け用!$A$1:$BA$300,COLUMN(),FALSE)),"")</f>
        <v>#N/A</v>
      </c>
      <c r="D111" s="3" t="e">
        <f>IF($A111&lt;&gt;"",IF(VLOOKUP($A111,貼り付け用!$A$1:$BA$300,COLUMN(),FALSE)=0,"",VLOOKUP($A111,貼り付け用!$A$1:$BA$300,COLUMN(),FALSE)),"")</f>
        <v>#N/A</v>
      </c>
      <c r="E111" s="3" t="e">
        <f>IF($A111&lt;&gt;"",IF(VLOOKUP($A111,貼り付け用!$A$1:$BA$300,COLUMN(),FALSE)=0,"",VLOOKUP($A111,貼り付け用!$A$1:$BA$300,COLUMN(),FALSE)),"")</f>
        <v>#N/A</v>
      </c>
      <c r="F111" s="3" t="e">
        <f>IF($A111&lt;&gt;"",IF(VLOOKUP($A111,貼り付け用!$A$1:$BA$300,COLUMN(),FALSE)=0,"",VLOOKUP($A111,貼り付け用!$A$1:$BA$300,COLUMN(),FALSE)),"")</f>
        <v>#N/A</v>
      </c>
      <c r="G111" s="3" t="e">
        <f>IF($A111&lt;&gt;"",IF(VLOOKUP($A111,貼り付け用!$A$1:$BA$300,COLUMN(),FALSE)=0,"",VLOOKUP($A111,貼り付け用!$A$1:$BA$300,COLUMN(),FALSE)),"")</f>
        <v>#N/A</v>
      </c>
      <c r="H111" s="3" t="e">
        <f>IF($A111&lt;&gt;"",IF(VLOOKUP($A111,貼り付け用!$A$1:$BA$300,COLUMN(),FALSE)=0,"",VLOOKUP($A111,貼り付け用!$A$1:$BA$300,COLUMN(),FALSE)),"")</f>
        <v>#N/A</v>
      </c>
      <c r="I111" s="3" t="e">
        <f>IF($A111&lt;&gt;"",IF(VLOOKUP($A111,貼り付け用!$A$1:$BA$300,COLUMN(),FALSE)=0,"",VLOOKUP($A111,貼り付け用!$A$1:$BA$300,COLUMN(),FALSE)),"")</f>
        <v>#N/A</v>
      </c>
      <c r="J111" s="3" t="e">
        <f>IF($A111&lt;&gt;"",IF(VLOOKUP($A111,貼り付け用!$A$1:$BA$300,COLUMN(),FALSE)=0,"",VLOOKUP($A111,貼り付け用!$A$1:$BA$300,COLUMN(),FALSE)),"")</f>
        <v>#N/A</v>
      </c>
      <c r="K111" s="3" t="e">
        <f>IF($A111&lt;&gt;"",IF(VLOOKUP($A111,貼り付け用!$A$1:$BA$300,COLUMN(),FALSE)=0,"",VLOOKUP($A111,貼り付け用!$A$1:$BA$300,COLUMN(),FALSE)),"")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61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IF($A112&lt;&gt;"",IF(VLOOKUP($A112,貼り付け用!$A$1:$BA$300,COLUMN(),FALSE)=0,"",VLOOKUP($A112,貼り付け用!$A$1:$BA$300,COLUMN(),FALSE)),"")</f>
        <v>#N/A</v>
      </c>
      <c r="C112" s="14" t="e">
        <f>IF($A112&lt;&gt;"",IF(VLOOKUP($A112,貼り付け用!$A$1:$BA$300,COLUMN(),FALSE)=0,"",VLOOKUP($A112,貼り付け用!$A$1:$BA$300,COLUMN(),FALSE)),"")</f>
        <v>#N/A</v>
      </c>
      <c r="D112" s="14" t="e">
        <f>IF($A112&lt;&gt;"",IF(VLOOKUP($A112,貼り付け用!$A$1:$BA$300,COLUMN(),FALSE)=0,"",VLOOKUP($A112,貼り付け用!$A$1:$BA$300,COLUMN(),FALSE)),"")</f>
        <v>#N/A</v>
      </c>
      <c r="E112" s="14" t="e">
        <f>IF($A112&lt;&gt;"",IF(VLOOKUP($A112,貼り付け用!$A$1:$BA$300,COLUMN(),FALSE)=0,"",VLOOKUP($A112,貼り付け用!$A$1:$BA$300,COLUMN(),FALSE)),"")</f>
        <v>#N/A</v>
      </c>
      <c r="F112" s="14" t="e">
        <f>IF($A112&lt;&gt;"",IF(VLOOKUP($A112,貼り付け用!$A$1:$BA$300,COLUMN(),FALSE)=0,"",VLOOKUP($A112,貼り付け用!$A$1:$BA$300,COLUMN(),FALSE)),"")</f>
        <v>#N/A</v>
      </c>
      <c r="G112" s="14" t="e">
        <f>IF($A112&lt;&gt;"",IF(VLOOKUP($A112,貼り付け用!$A$1:$BA$300,COLUMN(),FALSE)=0,"",VLOOKUP($A112,貼り付け用!$A$1:$BA$300,COLUMN(),FALSE)),"")</f>
        <v>#N/A</v>
      </c>
      <c r="H112" s="14" t="e">
        <f>IF($A112&lt;&gt;"",IF(VLOOKUP($A112,貼り付け用!$A$1:$BA$300,COLUMN(),FALSE)=0,"",VLOOKUP($A112,貼り付け用!$A$1:$BA$300,COLUMN(),FALSE)),"")</f>
        <v>#N/A</v>
      </c>
      <c r="I112" s="14" t="e">
        <f>IF($A112&lt;&gt;"",IF(VLOOKUP($A112,貼り付け用!$A$1:$BA$300,COLUMN(),FALSE)=0,"",VLOOKUP($A112,貼り付け用!$A$1:$BA$300,COLUMN(),FALSE)),"")</f>
        <v>#N/A</v>
      </c>
      <c r="J112" s="14" t="e">
        <f>IF($A112&lt;&gt;"",IF(VLOOKUP($A112,貼り付け用!$A$1:$BA$300,COLUMN(),FALSE)=0,"",VLOOKUP($A112,貼り付け用!$A$1:$BA$300,COLUMN(),FALSE)),"")</f>
        <v>#N/A</v>
      </c>
      <c r="K112" s="14" t="e">
        <f>IF($A112&lt;&gt;"",IF(VLOOKUP($A112,貼り付け用!$A$1:$BA$300,COLUMN(),FALSE)=0,"",VLOOKUP($A112,貼り付け用!$A$1:$BA$300,COLUMN(),FALSE)),"")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61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IF($A113&lt;&gt;"",IF(VLOOKUP($A113,貼り付け用!$A$1:$BA$300,COLUMN(),FALSE)=0,"",VLOOKUP($A113,貼り付け用!$A$1:$BA$300,COLUMN(),FALSE)),"")</f>
        <v>#N/A</v>
      </c>
      <c r="C113" s="3" t="e">
        <f>IF($A113&lt;&gt;"",IF(VLOOKUP($A113,貼り付け用!$A$1:$BA$300,COLUMN(),FALSE)=0,"",VLOOKUP($A113,貼り付け用!$A$1:$BA$300,COLUMN(),FALSE)),"")</f>
        <v>#N/A</v>
      </c>
      <c r="D113" s="3" t="e">
        <f>IF($A113&lt;&gt;"",IF(VLOOKUP($A113,貼り付け用!$A$1:$BA$300,COLUMN(),FALSE)=0,"",VLOOKUP($A113,貼り付け用!$A$1:$BA$300,COLUMN(),FALSE)),"")</f>
        <v>#N/A</v>
      </c>
      <c r="E113" s="3" t="e">
        <f>IF($A113&lt;&gt;"",IF(VLOOKUP($A113,貼り付け用!$A$1:$BA$300,COLUMN(),FALSE)=0,"",VLOOKUP($A113,貼り付け用!$A$1:$BA$300,COLUMN(),FALSE)),"")</f>
        <v>#N/A</v>
      </c>
      <c r="F113" s="3" t="e">
        <f>IF($A113&lt;&gt;"",IF(VLOOKUP($A113,貼り付け用!$A$1:$BA$300,COLUMN(),FALSE)=0,"",VLOOKUP($A113,貼り付け用!$A$1:$BA$300,COLUMN(),FALSE)),"")</f>
        <v>#N/A</v>
      </c>
      <c r="G113" s="3" t="e">
        <f>IF($A113&lt;&gt;"",IF(VLOOKUP($A113,貼り付け用!$A$1:$BA$300,COLUMN(),FALSE)=0,"",VLOOKUP($A113,貼り付け用!$A$1:$BA$300,COLUMN(),FALSE)),"")</f>
        <v>#N/A</v>
      </c>
      <c r="H113" s="3" t="e">
        <f>IF($A113&lt;&gt;"",IF(VLOOKUP($A113,貼り付け用!$A$1:$BA$300,COLUMN(),FALSE)=0,"",VLOOKUP($A113,貼り付け用!$A$1:$BA$300,COLUMN(),FALSE)),"")</f>
        <v>#N/A</v>
      </c>
      <c r="I113" s="3" t="e">
        <f>IF($A113&lt;&gt;"",IF(VLOOKUP($A113,貼り付け用!$A$1:$BA$300,COLUMN(),FALSE)=0,"",VLOOKUP($A113,貼り付け用!$A$1:$BA$300,COLUMN(),FALSE)),"")</f>
        <v>#N/A</v>
      </c>
      <c r="J113" s="3" t="e">
        <f>IF($A113&lt;&gt;"",IF(VLOOKUP($A113,貼り付け用!$A$1:$BA$300,COLUMN(),FALSE)=0,"",VLOOKUP($A113,貼り付け用!$A$1:$BA$300,COLUMN(),FALSE)),"")</f>
        <v>#N/A</v>
      </c>
      <c r="K113" s="3" t="e">
        <f>IF($A113&lt;&gt;"",IF(VLOOKUP($A113,貼り付け用!$A$1:$BA$300,COLUMN(),FALSE)=0,"",VLOOKUP($A113,貼り付け用!$A$1:$BA$300,COLUMN(),FALSE)),"")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61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IF($A114&lt;&gt;"",IF(VLOOKUP($A114,貼り付け用!$A$1:$BA$300,COLUMN(),FALSE)=0,"",VLOOKUP($A114,貼り付け用!$A$1:$BA$300,COLUMN(),FALSE)),"")</f>
        <v>#N/A</v>
      </c>
      <c r="C114" s="14" t="e">
        <f>IF($A114&lt;&gt;"",IF(VLOOKUP($A114,貼り付け用!$A$1:$BA$300,COLUMN(),FALSE)=0,"",VLOOKUP($A114,貼り付け用!$A$1:$BA$300,COLUMN(),FALSE)),"")</f>
        <v>#N/A</v>
      </c>
      <c r="D114" s="14" t="e">
        <f>IF($A114&lt;&gt;"",IF(VLOOKUP($A114,貼り付け用!$A$1:$BA$300,COLUMN(),FALSE)=0,"",VLOOKUP($A114,貼り付け用!$A$1:$BA$300,COLUMN(),FALSE)),"")</f>
        <v>#N/A</v>
      </c>
      <c r="E114" s="14" t="e">
        <f>IF($A114&lt;&gt;"",IF(VLOOKUP($A114,貼り付け用!$A$1:$BA$300,COLUMN(),FALSE)=0,"",VLOOKUP($A114,貼り付け用!$A$1:$BA$300,COLUMN(),FALSE)),"")</f>
        <v>#N/A</v>
      </c>
      <c r="F114" s="14" t="e">
        <f>IF($A114&lt;&gt;"",IF(VLOOKUP($A114,貼り付け用!$A$1:$BA$300,COLUMN(),FALSE)=0,"",VLOOKUP($A114,貼り付け用!$A$1:$BA$300,COLUMN(),FALSE)),"")</f>
        <v>#N/A</v>
      </c>
      <c r="G114" s="14" t="e">
        <f>IF($A114&lt;&gt;"",IF(VLOOKUP($A114,貼り付け用!$A$1:$BA$300,COLUMN(),FALSE)=0,"",VLOOKUP($A114,貼り付け用!$A$1:$BA$300,COLUMN(),FALSE)),"")</f>
        <v>#N/A</v>
      </c>
      <c r="H114" s="14" t="e">
        <f>IF($A114&lt;&gt;"",IF(VLOOKUP($A114,貼り付け用!$A$1:$BA$300,COLUMN(),FALSE)=0,"",VLOOKUP($A114,貼り付け用!$A$1:$BA$300,COLUMN(),FALSE)),"")</f>
        <v>#N/A</v>
      </c>
      <c r="I114" s="14" t="e">
        <f>IF($A114&lt;&gt;"",IF(VLOOKUP($A114,貼り付け用!$A$1:$BA$300,COLUMN(),FALSE)=0,"",VLOOKUP($A114,貼り付け用!$A$1:$BA$300,COLUMN(),FALSE)),"")</f>
        <v>#N/A</v>
      </c>
      <c r="J114" s="14" t="e">
        <f>IF($A114&lt;&gt;"",IF(VLOOKUP($A114,貼り付け用!$A$1:$BA$300,COLUMN(),FALSE)=0,"",VLOOKUP($A114,貼り付け用!$A$1:$BA$300,COLUMN(),FALSE)),"")</f>
        <v>#N/A</v>
      </c>
      <c r="K114" s="14" t="e">
        <f>IF($A114&lt;&gt;"",IF(VLOOKUP($A114,貼り付け用!$A$1:$BA$300,COLUMN(),FALSE)=0,"",VLOOKUP($A114,貼り付け用!$A$1:$BA$300,COLUMN(),FALSE)),"")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61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IF($A115&lt;&gt;"",IF(VLOOKUP($A115,貼り付け用!$A$1:$BA$300,COLUMN(),FALSE)=0,"",VLOOKUP($A115,貼り付け用!$A$1:$BA$300,COLUMN(),FALSE)),"")</f>
        <v>#N/A</v>
      </c>
      <c r="C115" s="3" t="e">
        <f>IF($A115&lt;&gt;"",IF(VLOOKUP($A115,貼り付け用!$A$1:$BA$300,COLUMN(),FALSE)=0,"",VLOOKUP($A115,貼り付け用!$A$1:$BA$300,COLUMN(),FALSE)),"")</f>
        <v>#N/A</v>
      </c>
      <c r="D115" s="3" t="e">
        <f>IF($A115&lt;&gt;"",IF(VLOOKUP($A115,貼り付け用!$A$1:$BA$300,COLUMN(),FALSE)=0,"",VLOOKUP($A115,貼り付け用!$A$1:$BA$300,COLUMN(),FALSE)),"")</f>
        <v>#N/A</v>
      </c>
      <c r="E115" s="3" t="e">
        <f>IF($A115&lt;&gt;"",IF(VLOOKUP($A115,貼り付け用!$A$1:$BA$300,COLUMN(),FALSE)=0,"",VLOOKUP($A115,貼り付け用!$A$1:$BA$300,COLUMN(),FALSE)),"")</f>
        <v>#N/A</v>
      </c>
      <c r="F115" s="3" t="e">
        <f>IF($A115&lt;&gt;"",IF(VLOOKUP($A115,貼り付け用!$A$1:$BA$300,COLUMN(),FALSE)=0,"",VLOOKUP($A115,貼り付け用!$A$1:$BA$300,COLUMN(),FALSE)),"")</f>
        <v>#N/A</v>
      </c>
      <c r="G115" s="3" t="e">
        <f>IF($A115&lt;&gt;"",IF(VLOOKUP($A115,貼り付け用!$A$1:$BA$300,COLUMN(),FALSE)=0,"",VLOOKUP($A115,貼り付け用!$A$1:$BA$300,COLUMN(),FALSE)),"")</f>
        <v>#N/A</v>
      </c>
      <c r="H115" s="3" t="e">
        <f>IF($A115&lt;&gt;"",IF(VLOOKUP($A115,貼り付け用!$A$1:$BA$300,COLUMN(),FALSE)=0,"",VLOOKUP($A115,貼り付け用!$A$1:$BA$300,COLUMN(),FALSE)),"")</f>
        <v>#N/A</v>
      </c>
      <c r="I115" s="3" t="e">
        <f>IF($A115&lt;&gt;"",IF(VLOOKUP($A115,貼り付け用!$A$1:$BA$300,COLUMN(),FALSE)=0,"",VLOOKUP($A115,貼り付け用!$A$1:$BA$300,COLUMN(),FALSE)),"")</f>
        <v>#N/A</v>
      </c>
      <c r="J115" s="3" t="e">
        <f>IF($A115&lt;&gt;"",IF(VLOOKUP($A115,貼り付け用!$A$1:$BA$300,COLUMN(),FALSE)=0,"",VLOOKUP($A115,貼り付け用!$A$1:$BA$300,COLUMN(),FALSE)),"")</f>
        <v>#N/A</v>
      </c>
      <c r="K115" s="3" t="e">
        <f>IF($A115&lt;&gt;"",IF(VLOOKUP($A115,貼り付け用!$A$1:$BA$300,COLUMN(),FALSE)=0,"",VLOOKUP($A115,貼り付け用!$A$1:$BA$300,COLUMN(),FALSE)),"")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61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IF($A116&lt;&gt;"",IF(VLOOKUP($A116,貼り付け用!$A$1:$BA$300,COLUMN(),FALSE)=0,"",VLOOKUP($A116,貼り付け用!$A$1:$BA$300,COLUMN(),FALSE)),"")</f>
        <v>#N/A</v>
      </c>
      <c r="C116" s="14" t="e">
        <f>IF($A116&lt;&gt;"",IF(VLOOKUP($A116,貼り付け用!$A$1:$BA$300,COLUMN(),FALSE)=0,"",VLOOKUP($A116,貼り付け用!$A$1:$BA$300,COLUMN(),FALSE)),"")</f>
        <v>#N/A</v>
      </c>
      <c r="D116" s="14" t="e">
        <f>IF($A116&lt;&gt;"",IF(VLOOKUP($A116,貼り付け用!$A$1:$BA$300,COLUMN(),FALSE)=0,"",VLOOKUP($A116,貼り付け用!$A$1:$BA$300,COLUMN(),FALSE)),"")</f>
        <v>#N/A</v>
      </c>
      <c r="E116" s="14" t="e">
        <f>IF($A116&lt;&gt;"",IF(VLOOKUP($A116,貼り付け用!$A$1:$BA$300,COLUMN(),FALSE)=0,"",VLOOKUP($A116,貼り付け用!$A$1:$BA$300,COLUMN(),FALSE)),"")</f>
        <v>#N/A</v>
      </c>
      <c r="F116" s="14" t="e">
        <f>IF($A116&lt;&gt;"",IF(VLOOKUP($A116,貼り付け用!$A$1:$BA$300,COLUMN(),FALSE)=0,"",VLOOKUP($A116,貼り付け用!$A$1:$BA$300,COLUMN(),FALSE)),"")</f>
        <v>#N/A</v>
      </c>
      <c r="G116" s="14" t="e">
        <f>IF($A116&lt;&gt;"",IF(VLOOKUP($A116,貼り付け用!$A$1:$BA$300,COLUMN(),FALSE)=0,"",VLOOKUP($A116,貼り付け用!$A$1:$BA$300,COLUMN(),FALSE)),"")</f>
        <v>#N/A</v>
      </c>
      <c r="H116" s="14" t="e">
        <f>IF($A116&lt;&gt;"",IF(VLOOKUP($A116,貼り付け用!$A$1:$BA$300,COLUMN(),FALSE)=0,"",VLOOKUP($A116,貼り付け用!$A$1:$BA$300,COLUMN(),FALSE)),"")</f>
        <v>#N/A</v>
      </c>
      <c r="I116" s="14" t="e">
        <f>IF($A116&lt;&gt;"",IF(VLOOKUP($A116,貼り付け用!$A$1:$BA$300,COLUMN(),FALSE)=0,"",VLOOKUP($A116,貼り付け用!$A$1:$BA$300,COLUMN(),FALSE)),"")</f>
        <v>#N/A</v>
      </c>
      <c r="J116" s="14" t="e">
        <f>IF($A116&lt;&gt;"",IF(VLOOKUP($A116,貼り付け用!$A$1:$BA$300,COLUMN(),FALSE)=0,"",VLOOKUP($A116,貼り付け用!$A$1:$BA$300,COLUMN(),FALSE)),"")</f>
        <v>#N/A</v>
      </c>
      <c r="K116" s="14" t="e">
        <f>IF($A116&lt;&gt;"",IF(VLOOKUP($A116,貼り付け用!$A$1:$BA$300,COLUMN(),FALSE)=0,"",VLOOKUP($A116,貼り付け用!$A$1:$BA$300,COLUMN(),FALSE)),"")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61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IF($A117&lt;&gt;"",IF(VLOOKUP($A117,貼り付け用!$A$1:$BA$300,COLUMN(),FALSE)=0,"",VLOOKUP($A117,貼り付け用!$A$1:$BA$300,COLUMN(),FALSE)),"")</f>
        <v>#N/A</v>
      </c>
      <c r="C117" s="3" t="e">
        <f>IF($A117&lt;&gt;"",IF(VLOOKUP($A117,貼り付け用!$A$1:$BA$300,COLUMN(),FALSE)=0,"",VLOOKUP($A117,貼り付け用!$A$1:$BA$300,COLUMN(),FALSE)),"")</f>
        <v>#N/A</v>
      </c>
      <c r="D117" s="3" t="e">
        <f>IF($A117&lt;&gt;"",IF(VLOOKUP($A117,貼り付け用!$A$1:$BA$300,COLUMN(),FALSE)=0,"",VLOOKUP($A117,貼り付け用!$A$1:$BA$300,COLUMN(),FALSE)),"")</f>
        <v>#N/A</v>
      </c>
      <c r="E117" s="3" t="e">
        <f>IF($A117&lt;&gt;"",IF(VLOOKUP($A117,貼り付け用!$A$1:$BA$300,COLUMN(),FALSE)=0,"",VLOOKUP($A117,貼り付け用!$A$1:$BA$300,COLUMN(),FALSE)),"")</f>
        <v>#N/A</v>
      </c>
      <c r="F117" s="3" t="e">
        <f>IF($A117&lt;&gt;"",IF(VLOOKUP($A117,貼り付け用!$A$1:$BA$300,COLUMN(),FALSE)=0,"",VLOOKUP($A117,貼り付け用!$A$1:$BA$300,COLUMN(),FALSE)),"")</f>
        <v>#N/A</v>
      </c>
      <c r="G117" s="3" t="e">
        <f>IF($A117&lt;&gt;"",IF(VLOOKUP($A117,貼り付け用!$A$1:$BA$300,COLUMN(),FALSE)=0,"",VLOOKUP($A117,貼り付け用!$A$1:$BA$300,COLUMN(),FALSE)),"")</f>
        <v>#N/A</v>
      </c>
      <c r="H117" s="3" t="e">
        <f>IF($A117&lt;&gt;"",IF(VLOOKUP($A117,貼り付け用!$A$1:$BA$300,COLUMN(),FALSE)=0,"",VLOOKUP($A117,貼り付け用!$A$1:$BA$300,COLUMN(),FALSE)),"")</f>
        <v>#N/A</v>
      </c>
      <c r="I117" s="3" t="e">
        <f>IF($A117&lt;&gt;"",IF(VLOOKUP($A117,貼り付け用!$A$1:$BA$300,COLUMN(),FALSE)=0,"",VLOOKUP($A117,貼り付け用!$A$1:$BA$300,COLUMN(),FALSE)),"")</f>
        <v>#N/A</v>
      </c>
      <c r="J117" s="3" t="e">
        <f>IF($A117&lt;&gt;"",IF(VLOOKUP($A117,貼り付け用!$A$1:$BA$300,COLUMN(),FALSE)=0,"",VLOOKUP($A117,貼り付け用!$A$1:$BA$300,COLUMN(),FALSE)),"")</f>
        <v>#N/A</v>
      </c>
      <c r="K117" s="3" t="e">
        <f>IF($A117&lt;&gt;"",IF(VLOOKUP($A117,貼り付け用!$A$1:$BA$300,COLUMN(),FALSE)=0,"",VLOOKUP($A117,貼り付け用!$A$1:$BA$300,COLUMN(),FALSE)),"")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61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IF($A118&lt;&gt;"",IF(VLOOKUP($A118,貼り付け用!$A$1:$BA$300,COLUMN(),FALSE)=0,"",VLOOKUP($A118,貼り付け用!$A$1:$BA$300,COLUMN(),FALSE)),"")</f>
        <v>#N/A</v>
      </c>
      <c r="C118" s="14" t="e">
        <f>IF($A118&lt;&gt;"",IF(VLOOKUP($A118,貼り付け用!$A$1:$BA$300,COLUMN(),FALSE)=0,"",VLOOKUP($A118,貼り付け用!$A$1:$BA$300,COLUMN(),FALSE)),"")</f>
        <v>#N/A</v>
      </c>
      <c r="D118" s="14" t="e">
        <f>IF($A118&lt;&gt;"",IF(VLOOKUP($A118,貼り付け用!$A$1:$BA$300,COLUMN(),FALSE)=0,"",VLOOKUP($A118,貼り付け用!$A$1:$BA$300,COLUMN(),FALSE)),"")</f>
        <v>#N/A</v>
      </c>
      <c r="E118" s="14" t="e">
        <f>IF($A118&lt;&gt;"",IF(VLOOKUP($A118,貼り付け用!$A$1:$BA$300,COLUMN(),FALSE)=0,"",VLOOKUP($A118,貼り付け用!$A$1:$BA$300,COLUMN(),FALSE)),"")</f>
        <v>#N/A</v>
      </c>
      <c r="F118" s="14" t="e">
        <f>IF($A118&lt;&gt;"",IF(VLOOKUP($A118,貼り付け用!$A$1:$BA$300,COLUMN(),FALSE)=0,"",VLOOKUP($A118,貼り付け用!$A$1:$BA$300,COLUMN(),FALSE)),"")</f>
        <v>#N/A</v>
      </c>
      <c r="G118" s="14" t="e">
        <f>IF($A118&lt;&gt;"",IF(VLOOKUP($A118,貼り付け用!$A$1:$BA$300,COLUMN(),FALSE)=0,"",VLOOKUP($A118,貼り付け用!$A$1:$BA$300,COLUMN(),FALSE)),"")</f>
        <v>#N/A</v>
      </c>
      <c r="H118" s="14" t="e">
        <f>IF($A118&lt;&gt;"",IF(VLOOKUP($A118,貼り付け用!$A$1:$BA$300,COLUMN(),FALSE)=0,"",VLOOKUP($A118,貼り付け用!$A$1:$BA$300,COLUMN(),FALSE)),"")</f>
        <v>#N/A</v>
      </c>
      <c r="I118" s="14" t="e">
        <f>IF($A118&lt;&gt;"",IF(VLOOKUP($A118,貼り付け用!$A$1:$BA$300,COLUMN(),FALSE)=0,"",VLOOKUP($A118,貼り付け用!$A$1:$BA$300,COLUMN(),FALSE)),"")</f>
        <v>#N/A</v>
      </c>
      <c r="J118" s="14" t="e">
        <f>IF($A118&lt;&gt;"",IF(VLOOKUP($A118,貼り付け用!$A$1:$BA$300,COLUMN(),FALSE)=0,"",VLOOKUP($A118,貼り付け用!$A$1:$BA$300,COLUMN(),FALSE)),"")</f>
        <v>#N/A</v>
      </c>
      <c r="K118" s="14" t="e">
        <f>IF($A118&lt;&gt;"",IF(VLOOKUP($A118,貼り付け用!$A$1:$BA$300,COLUMN(),FALSE)=0,"",VLOOKUP($A118,貼り付け用!$A$1:$BA$300,COLUMN(),FALSE)),"")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61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IF($A119&lt;&gt;"",IF(VLOOKUP($A119,貼り付け用!$A$1:$BA$300,COLUMN(),FALSE)=0,"",VLOOKUP($A119,貼り付け用!$A$1:$BA$300,COLUMN(),FALSE)),"")</f>
        <v>#N/A</v>
      </c>
      <c r="C119" s="3" t="e">
        <f>IF($A119&lt;&gt;"",IF(VLOOKUP($A119,貼り付け用!$A$1:$BA$300,COLUMN(),FALSE)=0,"",VLOOKUP($A119,貼り付け用!$A$1:$BA$300,COLUMN(),FALSE)),"")</f>
        <v>#N/A</v>
      </c>
      <c r="D119" s="3" t="e">
        <f>IF($A119&lt;&gt;"",IF(VLOOKUP($A119,貼り付け用!$A$1:$BA$300,COLUMN(),FALSE)=0,"",VLOOKUP($A119,貼り付け用!$A$1:$BA$300,COLUMN(),FALSE)),"")</f>
        <v>#N/A</v>
      </c>
      <c r="E119" s="3" t="e">
        <f>IF($A119&lt;&gt;"",IF(VLOOKUP($A119,貼り付け用!$A$1:$BA$300,COLUMN(),FALSE)=0,"",VLOOKUP($A119,貼り付け用!$A$1:$BA$300,COLUMN(),FALSE)),"")</f>
        <v>#N/A</v>
      </c>
      <c r="F119" s="3" t="e">
        <f>IF($A119&lt;&gt;"",IF(VLOOKUP($A119,貼り付け用!$A$1:$BA$300,COLUMN(),FALSE)=0,"",VLOOKUP($A119,貼り付け用!$A$1:$BA$300,COLUMN(),FALSE)),"")</f>
        <v>#N/A</v>
      </c>
      <c r="G119" s="3" t="e">
        <f>IF($A119&lt;&gt;"",IF(VLOOKUP($A119,貼り付け用!$A$1:$BA$300,COLUMN(),FALSE)=0,"",VLOOKUP($A119,貼り付け用!$A$1:$BA$300,COLUMN(),FALSE)),"")</f>
        <v>#N/A</v>
      </c>
      <c r="H119" s="3" t="e">
        <f>IF($A119&lt;&gt;"",IF(VLOOKUP($A119,貼り付け用!$A$1:$BA$300,COLUMN(),FALSE)=0,"",VLOOKUP($A119,貼り付け用!$A$1:$BA$300,COLUMN(),FALSE)),"")</f>
        <v>#N/A</v>
      </c>
      <c r="I119" s="3" t="e">
        <f>IF($A119&lt;&gt;"",IF(VLOOKUP($A119,貼り付け用!$A$1:$BA$300,COLUMN(),FALSE)=0,"",VLOOKUP($A119,貼り付け用!$A$1:$BA$300,COLUMN(),FALSE)),"")</f>
        <v>#N/A</v>
      </c>
      <c r="J119" s="3" t="e">
        <f>IF($A119&lt;&gt;"",IF(VLOOKUP($A119,貼り付け用!$A$1:$BA$300,COLUMN(),FALSE)=0,"",VLOOKUP($A119,貼り付け用!$A$1:$BA$300,COLUMN(),FALSE)),"")</f>
        <v>#N/A</v>
      </c>
      <c r="K119" s="3" t="e">
        <f>IF($A119&lt;&gt;"",IF(VLOOKUP($A119,貼り付け用!$A$1:$BA$300,COLUMN(),FALSE)=0,"",VLOOKUP($A119,貼り付け用!$A$1:$BA$300,COLUMN(),FALSE)),"")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61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IF($A120&lt;&gt;"",IF(VLOOKUP($A120,貼り付け用!$A$1:$BA$300,COLUMN(),FALSE)=0,"",VLOOKUP($A120,貼り付け用!$A$1:$BA$300,COLUMN(),FALSE)),"")</f>
        <v>#N/A</v>
      </c>
      <c r="C120" s="14" t="e">
        <f>IF($A120&lt;&gt;"",IF(VLOOKUP($A120,貼り付け用!$A$1:$BA$300,COLUMN(),FALSE)=0,"",VLOOKUP($A120,貼り付け用!$A$1:$BA$300,COLUMN(),FALSE)),"")</f>
        <v>#N/A</v>
      </c>
      <c r="D120" s="14" t="e">
        <f>IF($A120&lt;&gt;"",IF(VLOOKUP($A120,貼り付け用!$A$1:$BA$300,COLUMN(),FALSE)=0,"",VLOOKUP($A120,貼り付け用!$A$1:$BA$300,COLUMN(),FALSE)),"")</f>
        <v>#N/A</v>
      </c>
      <c r="E120" s="14" t="e">
        <f>IF($A120&lt;&gt;"",IF(VLOOKUP($A120,貼り付け用!$A$1:$BA$300,COLUMN(),FALSE)=0,"",VLOOKUP($A120,貼り付け用!$A$1:$BA$300,COLUMN(),FALSE)),"")</f>
        <v>#N/A</v>
      </c>
      <c r="F120" s="14" t="e">
        <f>IF($A120&lt;&gt;"",IF(VLOOKUP($A120,貼り付け用!$A$1:$BA$300,COLUMN(),FALSE)=0,"",VLOOKUP($A120,貼り付け用!$A$1:$BA$300,COLUMN(),FALSE)),"")</f>
        <v>#N/A</v>
      </c>
      <c r="G120" s="14" t="e">
        <f>IF($A120&lt;&gt;"",IF(VLOOKUP($A120,貼り付け用!$A$1:$BA$300,COLUMN(),FALSE)=0,"",VLOOKUP($A120,貼り付け用!$A$1:$BA$300,COLUMN(),FALSE)),"")</f>
        <v>#N/A</v>
      </c>
      <c r="H120" s="14" t="e">
        <f>IF($A120&lt;&gt;"",IF(VLOOKUP($A120,貼り付け用!$A$1:$BA$300,COLUMN(),FALSE)=0,"",VLOOKUP($A120,貼り付け用!$A$1:$BA$300,COLUMN(),FALSE)),"")</f>
        <v>#N/A</v>
      </c>
      <c r="I120" s="14" t="e">
        <f>IF($A120&lt;&gt;"",IF(VLOOKUP($A120,貼り付け用!$A$1:$BA$300,COLUMN(),FALSE)=0,"",VLOOKUP($A120,貼り付け用!$A$1:$BA$300,COLUMN(),FALSE)),"")</f>
        <v>#N/A</v>
      </c>
      <c r="J120" s="14" t="e">
        <f>IF($A120&lt;&gt;"",IF(VLOOKUP($A120,貼り付け用!$A$1:$BA$300,COLUMN(),FALSE)=0,"",VLOOKUP($A120,貼り付け用!$A$1:$BA$300,COLUMN(),FALSE)),"")</f>
        <v>#N/A</v>
      </c>
      <c r="K120" s="14" t="e">
        <f>IF($A120&lt;&gt;"",IF(VLOOKUP($A120,貼り付け用!$A$1:$BA$300,COLUMN(),FALSE)=0,"",VLOOKUP($A120,貼り付け用!$A$1:$BA$300,COLUMN(),FALSE)),"")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61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IF($A121&lt;&gt;"",IF(VLOOKUP($A121,貼り付け用!$A$1:$BA$300,COLUMN(),FALSE)=0,"",VLOOKUP($A121,貼り付け用!$A$1:$BA$300,COLUMN(),FALSE)),"")</f>
        <v>#N/A</v>
      </c>
      <c r="C121" s="3" t="e">
        <f>IF($A121&lt;&gt;"",IF(VLOOKUP($A121,貼り付け用!$A$1:$BA$300,COLUMN(),FALSE)=0,"",VLOOKUP($A121,貼り付け用!$A$1:$BA$300,COLUMN(),FALSE)),"")</f>
        <v>#N/A</v>
      </c>
      <c r="D121" s="3" t="e">
        <f>IF($A121&lt;&gt;"",IF(VLOOKUP($A121,貼り付け用!$A$1:$BA$300,COLUMN(),FALSE)=0,"",VLOOKUP($A121,貼り付け用!$A$1:$BA$300,COLUMN(),FALSE)),"")</f>
        <v>#N/A</v>
      </c>
      <c r="E121" s="3" t="e">
        <f>IF($A121&lt;&gt;"",IF(VLOOKUP($A121,貼り付け用!$A$1:$BA$300,COLUMN(),FALSE)=0,"",VLOOKUP($A121,貼り付け用!$A$1:$BA$300,COLUMN(),FALSE)),"")</f>
        <v>#N/A</v>
      </c>
      <c r="F121" s="3" t="e">
        <f>IF($A121&lt;&gt;"",IF(VLOOKUP($A121,貼り付け用!$A$1:$BA$300,COLUMN(),FALSE)=0,"",VLOOKUP($A121,貼り付け用!$A$1:$BA$300,COLUMN(),FALSE)),"")</f>
        <v>#N/A</v>
      </c>
      <c r="G121" s="3" t="e">
        <f>IF($A121&lt;&gt;"",IF(VLOOKUP($A121,貼り付け用!$A$1:$BA$300,COLUMN(),FALSE)=0,"",VLOOKUP($A121,貼り付け用!$A$1:$BA$300,COLUMN(),FALSE)),"")</f>
        <v>#N/A</v>
      </c>
      <c r="H121" s="3" t="e">
        <f>IF($A121&lt;&gt;"",IF(VLOOKUP($A121,貼り付け用!$A$1:$BA$300,COLUMN(),FALSE)=0,"",VLOOKUP($A121,貼り付け用!$A$1:$BA$300,COLUMN(),FALSE)),"")</f>
        <v>#N/A</v>
      </c>
      <c r="I121" s="3" t="e">
        <f>IF($A121&lt;&gt;"",IF(VLOOKUP($A121,貼り付け用!$A$1:$BA$300,COLUMN(),FALSE)=0,"",VLOOKUP($A121,貼り付け用!$A$1:$BA$300,COLUMN(),FALSE)),"")</f>
        <v>#N/A</v>
      </c>
      <c r="J121" s="3" t="e">
        <f>IF($A121&lt;&gt;"",IF(VLOOKUP($A121,貼り付け用!$A$1:$BA$300,COLUMN(),FALSE)=0,"",VLOOKUP($A121,貼り付け用!$A$1:$BA$300,COLUMN(),FALSE)),"")</f>
        <v>#N/A</v>
      </c>
      <c r="K121" s="3" t="e">
        <f>IF($A121&lt;&gt;"",IF(VLOOKUP($A121,貼り付け用!$A$1:$BA$300,COLUMN(),FALSE)=0,"",VLOOKUP($A121,貼り付け用!$A$1:$BA$300,COLUMN(),FALSE)),"")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61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IF($A122&lt;&gt;"",IF(VLOOKUP($A122,貼り付け用!$A$1:$BA$300,COLUMN(),FALSE)=0,"",VLOOKUP($A122,貼り付け用!$A$1:$BA$300,COLUMN(),FALSE)),"")</f>
        <v>#N/A</v>
      </c>
      <c r="C122" s="14" t="e">
        <f>IF($A122&lt;&gt;"",IF(VLOOKUP($A122,貼り付け用!$A$1:$BA$300,COLUMN(),FALSE)=0,"",VLOOKUP($A122,貼り付け用!$A$1:$BA$300,COLUMN(),FALSE)),"")</f>
        <v>#N/A</v>
      </c>
      <c r="D122" s="14" t="e">
        <f>IF($A122&lt;&gt;"",IF(VLOOKUP($A122,貼り付け用!$A$1:$BA$300,COLUMN(),FALSE)=0,"",VLOOKUP($A122,貼り付け用!$A$1:$BA$300,COLUMN(),FALSE)),"")</f>
        <v>#N/A</v>
      </c>
      <c r="E122" s="14" t="e">
        <f>IF($A122&lt;&gt;"",IF(VLOOKUP($A122,貼り付け用!$A$1:$BA$300,COLUMN(),FALSE)=0,"",VLOOKUP($A122,貼り付け用!$A$1:$BA$300,COLUMN(),FALSE)),"")</f>
        <v>#N/A</v>
      </c>
      <c r="F122" s="14" t="e">
        <f>IF($A122&lt;&gt;"",IF(VLOOKUP($A122,貼り付け用!$A$1:$BA$300,COLUMN(),FALSE)=0,"",VLOOKUP($A122,貼り付け用!$A$1:$BA$300,COLUMN(),FALSE)),"")</f>
        <v>#N/A</v>
      </c>
      <c r="G122" s="14" t="e">
        <f>IF($A122&lt;&gt;"",IF(VLOOKUP($A122,貼り付け用!$A$1:$BA$300,COLUMN(),FALSE)=0,"",VLOOKUP($A122,貼り付け用!$A$1:$BA$300,COLUMN(),FALSE)),"")</f>
        <v>#N/A</v>
      </c>
      <c r="H122" s="14" t="e">
        <f>IF($A122&lt;&gt;"",IF(VLOOKUP($A122,貼り付け用!$A$1:$BA$300,COLUMN(),FALSE)=0,"",VLOOKUP($A122,貼り付け用!$A$1:$BA$300,COLUMN(),FALSE)),"")</f>
        <v>#N/A</v>
      </c>
      <c r="I122" s="14" t="e">
        <f>IF($A122&lt;&gt;"",IF(VLOOKUP($A122,貼り付け用!$A$1:$BA$300,COLUMN(),FALSE)=0,"",VLOOKUP($A122,貼り付け用!$A$1:$BA$300,COLUMN(),FALSE)),"")</f>
        <v>#N/A</v>
      </c>
      <c r="J122" s="14" t="e">
        <f>IF($A122&lt;&gt;"",IF(VLOOKUP($A122,貼り付け用!$A$1:$BA$300,COLUMN(),FALSE)=0,"",VLOOKUP($A122,貼り付け用!$A$1:$BA$300,COLUMN(),FALSE)),"")</f>
        <v>#N/A</v>
      </c>
      <c r="K122" s="14" t="e">
        <f>IF($A122&lt;&gt;"",IF(VLOOKUP($A122,貼り付け用!$A$1:$BA$300,COLUMN(),FALSE)=0,"",VLOOKUP($A122,貼り付け用!$A$1:$BA$300,COLUMN(),FALSE)),"")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61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IF($A123&lt;&gt;"",IF(VLOOKUP($A123,貼り付け用!$A$1:$BA$300,COLUMN(),FALSE)=0,"",VLOOKUP($A123,貼り付け用!$A$1:$BA$300,COLUMN(),FALSE)),"")</f>
        <v>#N/A</v>
      </c>
      <c r="C123" s="3" t="e">
        <f>IF($A123&lt;&gt;"",IF(VLOOKUP($A123,貼り付け用!$A$1:$BA$300,COLUMN(),FALSE)=0,"",VLOOKUP($A123,貼り付け用!$A$1:$BA$300,COLUMN(),FALSE)),"")</f>
        <v>#N/A</v>
      </c>
      <c r="D123" s="3" t="e">
        <f>IF($A123&lt;&gt;"",IF(VLOOKUP($A123,貼り付け用!$A$1:$BA$300,COLUMN(),FALSE)=0,"",VLOOKUP($A123,貼り付け用!$A$1:$BA$300,COLUMN(),FALSE)),"")</f>
        <v>#N/A</v>
      </c>
      <c r="E123" s="3" t="e">
        <f>IF($A123&lt;&gt;"",IF(VLOOKUP($A123,貼り付け用!$A$1:$BA$300,COLUMN(),FALSE)=0,"",VLOOKUP($A123,貼り付け用!$A$1:$BA$300,COLUMN(),FALSE)),"")</f>
        <v>#N/A</v>
      </c>
      <c r="F123" s="3" t="e">
        <f>IF($A123&lt;&gt;"",IF(VLOOKUP($A123,貼り付け用!$A$1:$BA$300,COLUMN(),FALSE)=0,"",VLOOKUP($A123,貼り付け用!$A$1:$BA$300,COLUMN(),FALSE)),"")</f>
        <v>#N/A</v>
      </c>
      <c r="G123" s="3" t="e">
        <f>IF($A123&lt;&gt;"",IF(VLOOKUP($A123,貼り付け用!$A$1:$BA$300,COLUMN(),FALSE)=0,"",VLOOKUP($A123,貼り付け用!$A$1:$BA$300,COLUMN(),FALSE)),"")</f>
        <v>#N/A</v>
      </c>
      <c r="H123" s="3" t="e">
        <f>IF($A123&lt;&gt;"",IF(VLOOKUP($A123,貼り付け用!$A$1:$BA$300,COLUMN(),FALSE)=0,"",VLOOKUP($A123,貼り付け用!$A$1:$BA$300,COLUMN(),FALSE)),"")</f>
        <v>#N/A</v>
      </c>
      <c r="I123" s="3" t="e">
        <f>IF($A123&lt;&gt;"",IF(VLOOKUP($A123,貼り付け用!$A$1:$BA$300,COLUMN(),FALSE)=0,"",VLOOKUP($A123,貼り付け用!$A$1:$BA$300,COLUMN(),FALSE)),"")</f>
        <v>#N/A</v>
      </c>
      <c r="J123" s="3" t="e">
        <f>IF($A123&lt;&gt;"",IF(VLOOKUP($A123,貼り付け用!$A$1:$BA$300,COLUMN(),FALSE)=0,"",VLOOKUP($A123,貼り付け用!$A$1:$BA$300,COLUMN(),FALSE)),"")</f>
        <v>#N/A</v>
      </c>
      <c r="K123" s="3" t="e">
        <f>IF($A123&lt;&gt;"",IF(VLOOKUP($A123,貼り付け用!$A$1:$BA$300,COLUMN(),FALSE)=0,"",VLOOKUP($A123,貼り付け用!$A$1:$BA$300,COLUMN(),FALSE)),"")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61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IF($A124&lt;&gt;"",IF(VLOOKUP($A124,貼り付け用!$A$1:$BA$300,COLUMN(),FALSE)=0,"",VLOOKUP($A124,貼り付け用!$A$1:$BA$300,COLUMN(),FALSE)),"")</f>
        <v>#N/A</v>
      </c>
      <c r="C124" s="14" t="e">
        <f>IF($A124&lt;&gt;"",IF(VLOOKUP($A124,貼り付け用!$A$1:$BA$300,COLUMN(),FALSE)=0,"",VLOOKUP($A124,貼り付け用!$A$1:$BA$300,COLUMN(),FALSE)),"")</f>
        <v>#N/A</v>
      </c>
      <c r="D124" s="14" t="e">
        <f>IF($A124&lt;&gt;"",IF(VLOOKUP($A124,貼り付け用!$A$1:$BA$300,COLUMN(),FALSE)=0,"",VLOOKUP($A124,貼り付け用!$A$1:$BA$300,COLUMN(),FALSE)),"")</f>
        <v>#N/A</v>
      </c>
      <c r="E124" s="14" t="e">
        <f>IF($A124&lt;&gt;"",IF(VLOOKUP($A124,貼り付け用!$A$1:$BA$300,COLUMN(),FALSE)=0,"",VLOOKUP($A124,貼り付け用!$A$1:$BA$300,COLUMN(),FALSE)),"")</f>
        <v>#N/A</v>
      </c>
      <c r="F124" s="14" t="e">
        <f>IF($A124&lt;&gt;"",IF(VLOOKUP($A124,貼り付け用!$A$1:$BA$300,COLUMN(),FALSE)=0,"",VLOOKUP($A124,貼り付け用!$A$1:$BA$300,COLUMN(),FALSE)),"")</f>
        <v>#N/A</v>
      </c>
      <c r="G124" s="14" t="e">
        <f>IF($A124&lt;&gt;"",IF(VLOOKUP($A124,貼り付け用!$A$1:$BA$300,COLUMN(),FALSE)=0,"",VLOOKUP($A124,貼り付け用!$A$1:$BA$300,COLUMN(),FALSE)),"")</f>
        <v>#N/A</v>
      </c>
      <c r="H124" s="14" t="e">
        <f>IF($A124&lt;&gt;"",IF(VLOOKUP($A124,貼り付け用!$A$1:$BA$300,COLUMN(),FALSE)=0,"",VLOOKUP($A124,貼り付け用!$A$1:$BA$300,COLUMN(),FALSE)),"")</f>
        <v>#N/A</v>
      </c>
      <c r="I124" s="14" t="e">
        <f>IF($A124&lt;&gt;"",IF(VLOOKUP($A124,貼り付け用!$A$1:$BA$300,COLUMN(),FALSE)=0,"",VLOOKUP($A124,貼り付け用!$A$1:$BA$300,COLUMN(),FALSE)),"")</f>
        <v>#N/A</v>
      </c>
      <c r="J124" s="14" t="e">
        <f>IF($A124&lt;&gt;"",IF(VLOOKUP($A124,貼り付け用!$A$1:$BA$300,COLUMN(),FALSE)=0,"",VLOOKUP($A124,貼り付け用!$A$1:$BA$300,COLUMN(),FALSE)),"")</f>
        <v>#N/A</v>
      </c>
      <c r="K124" s="14" t="e">
        <f>IF($A124&lt;&gt;"",IF(VLOOKUP($A124,貼り付け用!$A$1:$BA$300,COLUMN(),FALSE)=0,"",VLOOKUP($A124,貼り付け用!$A$1:$BA$300,COLUMN(),FALSE)),"")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61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IF($A125&lt;&gt;"",IF(VLOOKUP($A125,貼り付け用!$A$1:$BA$300,COLUMN(),FALSE)=0,"",VLOOKUP($A125,貼り付け用!$A$1:$BA$300,COLUMN(),FALSE)),"")</f>
        <v>#N/A</v>
      </c>
      <c r="C125" s="3" t="e">
        <f>IF($A125&lt;&gt;"",IF(VLOOKUP($A125,貼り付け用!$A$1:$BA$300,COLUMN(),FALSE)=0,"",VLOOKUP($A125,貼り付け用!$A$1:$BA$300,COLUMN(),FALSE)),"")</f>
        <v>#N/A</v>
      </c>
      <c r="D125" s="3" t="e">
        <f>IF($A125&lt;&gt;"",IF(VLOOKUP($A125,貼り付け用!$A$1:$BA$300,COLUMN(),FALSE)=0,"",VLOOKUP($A125,貼り付け用!$A$1:$BA$300,COLUMN(),FALSE)),"")</f>
        <v>#N/A</v>
      </c>
      <c r="E125" s="3" t="e">
        <f>IF($A125&lt;&gt;"",IF(VLOOKUP($A125,貼り付け用!$A$1:$BA$300,COLUMN(),FALSE)=0,"",VLOOKUP($A125,貼り付け用!$A$1:$BA$300,COLUMN(),FALSE)),"")</f>
        <v>#N/A</v>
      </c>
      <c r="F125" s="3" t="e">
        <f>IF($A125&lt;&gt;"",IF(VLOOKUP($A125,貼り付け用!$A$1:$BA$300,COLUMN(),FALSE)=0,"",VLOOKUP($A125,貼り付け用!$A$1:$BA$300,COLUMN(),FALSE)),"")</f>
        <v>#N/A</v>
      </c>
      <c r="G125" s="3" t="e">
        <f>IF($A125&lt;&gt;"",IF(VLOOKUP($A125,貼り付け用!$A$1:$BA$300,COLUMN(),FALSE)=0,"",VLOOKUP($A125,貼り付け用!$A$1:$BA$300,COLUMN(),FALSE)),"")</f>
        <v>#N/A</v>
      </c>
      <c r="H125" s="3" t="e">
        <f>IF($A125&lt;&gt;"",IF(VLOOKUP($A125,貼り付け用!$A$1:$BA$300,COLUMN(),FALSE)=0,"",VLOOKUP($A125,貼り付け用!$A$1:$BA$300,COLUMN(),FALSE)),"")</f>
        <v>#N/A</v>
      </c>
      <c r="I125" s="3" t="e">
        <f>IF($A125&lt;&gt;"",IF(VLOOKUP($A125,貼り付け用!$A$1:$BA$300,COLUMN(),FALSE)=0,"",VLOOKUP($A125,貼り付け用!$A$1:$BA$300,COLUMN(),FALSE)),"")</f>
        <v>#N/A</v>
      </c>
      <c r="J125" s="3" t="e">
        <f>IF($A125&lt;&gt;"",IF(VLOOKUP($A125,貼り付け用!$A$1:$BA$300,COLUMN(),FALSE)=0,"",VLOOKUP($A125,貼り付け用!$A$1:$BA$300,COLUMN(),FALSE)),"")</f>
        <v>#N/A</v>
      </c>
      <c r="K125" s="3" t="e">
        <f>IF($A125&lt;&gt;"",IF(VLOOKUP($A125,貼り付け用!$A$1:$BA$300,COLUMN(),FALSE)=0,"",VLOOKUP($A125,貼り付け用!$A$1:$BA$300,COLUMN(),FALSE)),"")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61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IF($A126&lt;&gt;"",IF(VLOOKUP($A126,貼り付け用!$A$1:$BA$300,COLUMN(),FALSE)=0,"",VLOOKUP($A126,貼り付け用!$A$1:$BA$300,COLUMN(),FALSE)),"")</f>
        <v>#N/A</v>
      </c>
      <c r="C126" s="14" t="e">
        <f>IF($A126&lt;&gt;"",IF(VLOOKUP($A126,貼り付け用!$A$1:$BA$300,COLUMN(),FALSE)=0,"",VLOOKUP($A126,貼り付け用!$A$1:$BA$300,COLUMN(),FALSE)),"")</f>
        <v>#N/A</v>
      </c>
      <c r="D126" s="14" t="e">
        <f>IF($A126&lt;&gt;"",IF(VLOOKUP($A126,貼り付け用!$A$1:$BA$300,COLUMN(),FALSE)=0,"",VLOOKUP($A126,貼り付け用!$A$1:$BA$300,COLUMN(),FALSE)),"")</f>
        <v>#N/A</v>
      </c>
      <c r="E126" s="14" t="e">
        <f>IF($A126&lt;&gt;"",IF(VLOOKUP($A126,貼り付け用!$A$1:$BA$300,COLUMN(),FALSE)=0,"",VLOOKUP($A126,貼り付け用!$A$1:$BA$300,COLUMN(),FALSE)),"")</f>
        <v>#N/A</v>
      </c>
      <c r="F126" s="14" t="e">
        <f>IF($A126&lt;&gt;"",IF(VLOOKUP($A126,貼り付け用!$A$1:$BA$300,COLUMN(),FALSE)=0,"",VLOOKUP($A126,貼り付け用!$A$1:$BA$300,COLUMN(),FALSE)),"")</f>
        <v>#N/A</v>
      </c>
      <c r="G126" s="14" t="e">
        <f>IF($A126&lt;&gt;"",IF(VLOOKUP($A126,貼り付け用!$A$1:$BA$300,COLUMN(),FALSE)=0,"",VLOOKUP($A126,貼り付け用!$A$1:$BA$300,COLUMN(),FALSE)),"")</f>
        <v>#N/A</v>
      </c>
      <c r="H126" s="14" t="e">
        <f>IF($A126&lt;&gt;"",IF(VLOOKUP($A126,貼り付け用!$A$1:$BA$300,COLUMN(),FALSE)=0,"",VLOOKUP($A126,貼り付け用!$A$1:$BA$300,COLUMN(),FALSE)),"")</f>
        <v>#N/A</v>
      </c>
      <c r="I126" s="14" t="e">
        <f>IF($A126&lt;&gt;"",IF(VLOOKUP($A126,貼り付け用!$A$1:$BA$300,COLUMN(),FALSE)=0,"",VLOOKUP($A126,貼り付け用!$A$1:$BA$300,COLUMN(),FALSE)),"")</f>
        <v>#N/A</v>
      </c>
      <c r="J126" s="14" t="e">
        <f>IF($A126&lt;&gt;"",IF(VLOOKUP($A126,貼り付け用!$A$1:$BA$300,COLUMN(),FALSE)=0,"",VLOOKUP($A126,貼り付け用!$A$1:$BA$300,COLUMN(),FALSE)),"")</f>
        <v>#N/A</v>
      </c>
      <c r="K126" s="14" t="e">
        <f>IF($A126&lt;&gt;"",IF(VLOOKUP($A126,貼り付け用!$A$1:$BA$300,COLUMN(),FALSE)=0,"",VLOOKUP($A126,貼り付け用!$A$1:$BA$300,COLUMN(),FALSE)),"")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61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IF($A127&lt;&gt;"",IF(VLOOKUP($A127,貼り付け用!$A$1:$BA$300,COLUMN(),FALSE)=0,"",VLOOKUP($A127,貼り付け用!$A$1:$BA$300,COLUMN(),FALSE)),"")</f>
        <v>#N/A</v>
      </c>
      <c r="C127" s="3" t="e">
        <f>IF($A127&lt;&gt;"",IF(VLOOKUP($A127,貼り付け用!$A$1:$BA$300,COLUMN(),FALSE)=0,"",VLOOKUP($A127,貼り付け用!$A$1:$BA$300,COLUMN(),FALSE)),"")</f>
        <v>#N/A</v>
      </c>
      <c r="D127" s="3" t="e">
        <f>IF($A127&lt;&gt;"",IF(VLOOKUP($A127,貼り付け用!$A$1:$BA$300,COLUMN(),FALSE)=0,"",VLOOKUP($A127,貼り付け用!$A$1:$BA$300,COLUMN(),FALSE)),"")</f>
        <v>#N/A</v>
      </c>
      <c r="E127" s="3" t="e">
        <f>IF($A127&lt;&gt;"",IF(VLOOKUP($A127,貼り付け用!$A$1:$BA$300,COLUMN(),FALSE)=0,"",VLOOKUP($A127,貼り付け用!$A$1:$BA$300,COLUMN(),FALSE)),"")</f>
        <v>#N/A</v>
      </c>
      <c r="F127" s="3" t="e">
        <f>IF($A127&lt;&gt;"",IF(VLOOKUP($A127,貼り付け用!$A$1:$BA$300,COLUMN(),FALSE)=0,"",VLOOKUP($A127,貼り付け用!$A$1:$BA$300,COLUMN(),FALSE)),"")</f>
        <v>#N/A</v>
      </c>
      <c r="G127" s="3" t="e">
        <f>IF($A127&lt;&gt;"",IF(VLOOKUP($A127,貼り付け用!$A$1:$BA$300,COLUMN(),FALSE)=0,"",VLOOKUP($A127,貼り付け用!$A$1:$BA$300,COLUMN(),FALSE)),"")</f>
        <v>#N/A</v>
      </c>
      <c r="H127" s="3" t="e">
        <f>IF($A127&lt;&gt;"",IF(VLOOKUP($A127,貼り付け用!$A$1:$BA$300,COLUMN(),FALSE)=0,"",VLOOKUP($A127,貼り付け用!$A$1:$BA$300,COLUMN(),FALSE)),"")</f>
        <v>#N/A</v>
      </c>
      <c r="I127" s="3" t="e">
        <f>IF($A127&lt;&gt;"",IF(VLOOKUP($A127,貼り付け用!$A$1:$BA$300,COLUMN(),FALSE)=0,"",VLOOKUP($A127,貼り付け用!$A$1:$BA$300,COLUMN(),FALSE)),"")</f>
        <v>#N/A</v>
      </c>
      <c r="J127" s="3" t="e">
        <f>IF($A127&lt;&gt;"",IF(VLOOKUP($A127,貼り付け用!$A$1:$BA$300,COLUMN(),FALSE)=0,"",VLOOKUP($A127,貼り付け用!$A$1:$BA$300,COLUMN(),FALSE)),"")</f>
        <v>#N/A</v>
      </c>
      <c r="K127" s="3" t="e">
        <f>IF($A127&lt;&gt;"",IF(VLOOKUP($A127,貼り付け用!$A$1:$BA$300,COLUMN(),FALSE)=0,"",VLOOKUP($A127,貼り付け用!$A$1:$BA$300,COLUMN(),FALSE)),"")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61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IF($A128&lt;&gt;"",IF(VLOOKUP($A128,貼り付け用!$A$1:$BA$300,COLUMN(),FALSE)=0,"",VLOOKUP($A128,貼り付け用!$A$1:$BA$300,COLUMN(),FALSE)),"")</f>
        <v>#N/A</v>
      </c>
      <c r="C128" s="14" t="e">
        <f>IF($A128&lt;&gt;"",IF(VLOOKUP($A128,貼り付け用!$A$1:$BA$300,COLUMN(),FALSE)=0,"",VLOOKUP($A128,貼り付け用!$A$1:$BA$300,COLUMN(),FALSE)),"")</f>
        <v>#N/A</v>
      </c>
      <c r="D128" s="14" t="e">
        <f>IF($A128&lt;&gt;"",IF(VLOOKUP($A128,貼り付け用!$A$1:$BA$300,COLUMN(),FALSE)=0,"",VLOOKUP($A128,貼り付け用!$A$1:$BA$300,COLUMN(),FALSE)),"")</f>
        <v>#N/A</v>
      </c>
      <c r="E128" s="14" t="e">
        <f>IF($A128&lt;&gt;"",IF(VLOOKUP($A128,貼り付け用!$A$1:$BA$300,COLUMN(),FALSE)=0,"",VLOOKUP($A128,貼り付け用!$A$1:$BA$300,COLUMN(),FALSE)),"")</f>
        <v>#N/A</v>
      </c>
      <c r="F128" s="14" t="e">
        <f>IF($A128&lt;&gt;"",IF(VLOOKUP($A128,貼り付け用!$A$1:$BA$300,COLUMN(),FALSE)=0,"",VLOOKUP($A128,貼り付け用!$A$1:$BA$300,COLUMN(),FALSE)),"")</f>
        <v>#N/A</v>
      </c>
      <c r="G128" s="14" t="e">
        <f>IF($A128&lt;&gt;"",IF(VLOOKUP($A128,貼り付け用!$A$1:$BA$300,COLUMN(),FALSE)=0,"",VLOOKUP($A128,貼り付け用!$A$1:$BA$300,COLUMN(),FALSE)),"")</f>
        <v>#N/A</v>
      </c>
      <c r="H128" s="14" t="e">
        <f>IF($A128&lt;&gt;"",IF(VLOOKUP($A128,貼り付け用!$A$1:$BA$300,COLUMN(),FALSE)=0,"",VLOOKUP($A128,貼り付け用!$A$1:$BA$300,COLUMN(),FALSE)),"")</f>
        <v>#N/A</v>
      </c>
      <c r="I128" s="14" t="e">
        <f>IF($A128&lt;&gt;"",IF(VLOOKUP($A128,貼り付け用!$A$1:$BA$300,COLUMN(),FALSE)=0,"",VLOOKUP($A128,貼り付け用!$A$1:$BA$300,COLUMN(),FALSE)),"")</f>
        <v>#N/A</v>
      </c>
      <c r="J128" s="14" t="e">
        <f>IF($A128&lt;&gt;"",IF(VLOOKUP($A128,貼り付け用!$A$1:$BA$300,COLUMN(),FALSE)=0,"",VLOOKUP($A128,貼り付け用!$A$1:$BA$300,COLUMN(),FALSE)),"")</f>
        <v>#N/A</v>
      </c>
      <c r="K128" s="14" t="e">
        <f>IF($A128&lt;&gt;"",IF(VLOOKUP($A128,貼り付け用!$A$1:$BA$300,COLUMN(),FALSE)=0,"",VLOOKUP($A128,貼り付け用!$A$1:$BA$300,COLUMN(),FALSE)),"")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61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IF($A129&lt;&gt;"",IF(VLOOKUP($A129,貼り付け用!$A$1:$BA$300,COLUMN(),FALSE)=0,"",VLOOKUP($A129,貼り付け用!$A$1:$BA$300,COLUMN(),FALSE)),"")</f>
        <v>#N/A</v>
      </c>
      <c r="C129" s="3" t="e">
        <f>IF($A129&lt;&gt;"",IF(VLOOKUP($A129,貼り付け用!$A$1:$BA$300,COLUMN(),FALSE)=0,"",VLOOKUP($A129,貼り付け用!$A$1:$BA$300,COLUMN(),FALSE)),"")</f>
        <v>#N/A</v>
      </c>
      <c r="D129" s="3" t="e">
        <f>IF($A129&lt;&gt;"",IF(VLOOKUP($A129,貼り付け用!$A$1:$BA$300,COLUMN(),FALSE)=0,"",VLOOKUP($A129,貼り付け用!$A$1:$BA$300,COLUMN(),FALSE)),"")</f>
        <v>#N/A</v>
      </c>
      <c r="E129" s="3" t="e">
        <f>IF($A129&lt;&gt;"",IF(VLOOKUP($A129,貼り付け用!$A$1:$BA$300,COLUMN(),FALSE)=0,"",VLOOKUP($A129,貼り付け用!$A$1:$BA$300,COLUMN(),FALSE)),"")</f>
        <v>#N/A</v>
      </c>
      <c r="F129" s="3" t="e">
        <f>IF($A129&lt;&gt;"",IF(VLOOKUP($A129,貼り付け用!$A$1:$BA$300,COLUMN(),FALSE)=0,"",VLOOKUP($A129,貼り付け用!$A$1:$BA$300,COLUMN(),FALSE)),"")</f>
        <v>#N/A</v>
      </c>
      <c r="G129" s="3" t="e">
        <f>IF($A129&lt;&gt;"",IF(VLOOKUP($A129,貼り付け用!$A$1:$BA$300,COLUMN(),FALSE)=0,"",VLOOKUP($A129,貼り付け用!$A$1:$BA$300,COLUMN(),FALSE)),"")</f>
        <v>#N/A</v>
      </c>
      <c r="H129" s="3" t="e">
        <f>IF($A129&lt;&gt;"",IF(VLOOKUP($A129,貼り付け用!$A$1:$BA$300,COLUMN(),FALSE)=0,"",VLOOKUP($A129,貼り付け用!$A$1:$BA$300,COLUMN(),FALSE)),"")</f>
        <v>#N/A</v>
      </c>
      <c r="I129" s="3" t="e">
        <f>IF($A129&lt;&gt;"",IF(VLOOKUP($A129,貼り付け用!$A$1:$BA$300,COLUMN(),FALSE)=0,"",VLOOKUP($A129,貼り付け用!$A$1:$BA$300,COLUMN(),FALSE)),"")</f>
        <v>#N/A</v>
      </c>
      <c r="J129" s="3" t="e">
        <f>IF($A129&lt;&gt;"",IF(VLOOKUP($A129,貼り付け用!$A$1:$BA$300,COLUMN(),FALSE)=0,"",VLOOKUP($A129,貼り付け用!$A$1:$BA$300,COLUMN(),FALSE)),"")</f>
        <v>#N/A</v>
      </c>
      <c r="K129" s="3" t="e">
        <f>IF($A129&lt;&gt;"",IF(VLOOKUP($A129,貼り付け用!$A$1:$BA$300,COLUMN(),FALSE)=0,"",VLOOKUP($A129,貼り付け用!$A$1:$BA$300,COLUMN(),FALSE)),"")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61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IF($A130&lt;&gt;"",IF(VLOOKUP($A130,貼り付け用!$A$1:$BA$300,COLUMN(),FALSE)=0,"",VLOOKUP($A130,貼り付け用!$A$1:$BA$300,COLUMN(),FALSE)),"")</f>
        <v>#N/A</v>
      </c>
      <c r="C130" s="14" t="e">
        <f>IF($A130&lt;&gt;"",IF(VLOOKUP($A130,貼り付け用!$A$1:$BA$300,COLUMN(),FALSE)=0,"",VLOOKUP($A130,貼り付け用!$A$1:$BA$300,COLUMN(),FALSE)),"")</f>
        <v>#N/A</v>
      </c>
      <c r="D130" s="14" t="e">
        <f>IF($A130&lt;&gt;"",IF(VLOOKUP($A130,貼り付け用!$A$1:$BA$300,COLUMN(),FALSE)=0,"",VLOOKUP($A130,貼り付け用!$A$1:$BA$300,COLUMN(),FALSE)),"")</f>
        <v>#N/A</v>
      </c>
      <c r="E130" s="14" t="e">
        <f>IF($A130&lt;&gt;"",IF(VLOOKUP($A130,貼り付け用!$A$1:$BA$300,COLUMN(),FALSE)=0,"",VLOOKUP($A130,貼り付け用!$A$1:$BA$300,COLUMN(),FALSE)),"")</f>
        <v>#N/A</v>
      </c>
      <c r="F130" s="14" t="e">
        <f>IF($A130&lt;&gt;"",IF(VLOOKUP($A130,貼り付け用!$A$1:$BA$300,COLUMN(),FALSE)=0,"",VLOOKUP($A130,貼り付け用!$A$1:$BA$300,COLUMN(),FALSE)),"")</f>
        <v>#N/A</v>
      </c>
      <c r="G130" s="14" t="e">
        <f>IF($A130&lt;&gt;"",IF(VLOOKUP($A130,貼り付け用!$A$1:$BA$300,COLUMN(),FALSE)=0,"",VLOOKUP($A130,貼り付け用!$A$1:$BA$300,COLUMN(),FALSE)),"")</f>
        <v>#N/A</v>
      </c>
      <c r="H130" s="14" t="e">
        <f>IF($A130&lt;&gt;"",IF(VLOOKUP($A130,貼り付け用!$A$1:$BA$300,COLUMN(),FALSE)=0,"",VLOOKUP($A130,貼り付け用!$A$1:$BA$300,COLUMN(),FALSE)),"")</f>
        <v>#N/A</v>
      </c>
      <c r="I130" s="14" t="e">
        <f>IF($A130&lt;&gt;"",IF(VLOOKUP($A130,貼り付け用!$A$1:$BA$300,COLUMN(),FALSE)=0,"",VLOOKUP($A130,貼り付け用!$A$1:$BA$300,COLUMN(),FALSE)),"")</f>
        <v>#N/A</v>
      </c>
      <c r="J130" s="14" t="e">
        <f>IF($A130&lt;&gt;"",IF(VLOOKUP($A130,貼り付け用!$A$1:$BA$300,COLUMN(),FALSE)=0,"",VLOOKUP($A130,貼り付け用!$A$1:$BA$300,COLUMN(),FALSE)),"")</f>
        <v>#N/A</v>
      </c>
      <c r="K130" s="14" t="e">
        <f>IF($A130&lt;&gt;"",IF(VLOOKUP($A130,貼り付け用!$A$1:$BA$300,COLUMN(),FALSE)=0,"",VLOOKUP($A130,貼り付け用!$A$1:$BA$300,COLUMN(),FALSE)),"")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61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IF($A131&lt;&gt;"",IF(VLOOKUP($A131,貼り付け用!$A$1:$BA$300,COLUMN(),FALSE)=0,"",VLOOKUP($A131,貼り付け用!$A$1:$BA$300,COLUMN(),FALSE)),"")</f>
        <v>#N/A</v>
      </c>
      <c r="C131" s="3" t="e">
        <f>IF($A131&lt;&gt;"",IF(VLOOKUP($A131,貼り付け用!$A$1:$BA$300,COLUMN(),FALSE)=0,"",VLOOKUP($A131,貼り付け用!$A$1:$BA$300,COLUMN(),FALSE)),"")</f>
        <v>#N/A</v>
      </c>
      <c r="D131" s="3" t="e">
        <f>IF($A131&lt;&gt;"",IF(VLOOKUP($A131,貼り付け用!$A$1:$BA$300,COLUMN(),FALSE)=0,"",VLOOKUP($A131,貼り付け用!$A$1:$BA$300,COLUMN(),FALSE)),"")</f>
        <v>#N/A</v>
      </c>
      <c r="E131" s="3" t="e">
        <f>IF($A131&lt;&gt;"",IF(VLOOKUP($A131,貼り付け用!$A$1:$BA$300,COLUMN(),FALSE)=0,"",VLOOKUP($A131,貼り付け用!$A$1:$BA$300,COLUMN(),FALSE)),"")</f>
        <v>#N/A</v>
      </c>
      <c r="F131" s="3" t="e">
        <f>IF($A131&lt;&gt;"",IF(VLOOKUP($A131,貼り付け用!$A$1:$BA$300,COLUMN(),FALSE)=0,"",VLOOKUP($A131,貼り付け用!$A$1:$BA$300,COLUMN(),FALSE)),"")</f>
        <v>#N/A</v>
      </c>
      <c r="G131" s="3" t="e">
        <f>IF($A131&lt;&gt;"",IF(VLOOKUP($A131,貼り付け用!$A$1:$BA$300,COLUMN(),FALSE)=0,"",VLOOKUP($A131,貼り付け用!$A$1:$BA$300,COLUMN(),FALSE)),"")</f>
        <v>#N/A</v>
      </c>
      <c r="H131" s="3" t="e">
        <f>IF($A131&lt;&gt;"",IF(VLOOKUP($A131,貼り付け用!$A$1:$BA$300,COLUMN(),FALSE)=0,"",VLOOKUP($A131,貼り付け用!$A$1:$BA$300,COLUMN(),FALSE)),"")</f>
        <v>#N/A</v>
      </c>
      <c r="I131" s="3" t="e">
        <f>IF($A131&lt;&gt;"",IF(VLOOKUP($A131,貼り付け用!$A$1:$BA$300,COLUMN(),FALSE)=0,"",VLOOKUP($A131,貼り付け用!$A$1:$BA$300,COLUMN(),FALSE)),"")</f>
        <v>#N/A</v>
      </c>
      <c r="J131" s="3" t="e">
        <f>IF($A131&lt;&gt;"",IF(VLOOKUP($A131,貼り付け用!$A$1:$BA$300,COLUMN(),FALSE)=0,"",VLOOKUP($A131,貼り付け用!$A$1:$BA$300,COLUMN(),FALSE)),"")</f>
        <v>#N/A</v>
      </c>
      <c r="K131" s="3" t="e">
        <f>IF($A131&lt;&gt;"",IF(VLOOKUP($A131,貼り付け用!$A$1:$BA$300,COLUMN(),FALSE)=0,"",VLOOKUP($A131,貼り付け用!$A$1:$BA$300,COLUMN(),FALSE)),"")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61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IF($A132&lt;&gt;"",IF(VLOOKUP($A132,貼り付け用!$A$1:$BA$300,COLUMN(),FALSE)=0,"",VLOOKUP($A132,貼り付け用!$A$1:$BA$300,COLUMN(),FALSE)),"")</f>
        <v>#N/A</v>
      </c>
      <c r="C132" s="14" t="e">
        <f>IF($A132&lt;&gt;"",IF(VLOOKUP($A132,貼り付け用!$A$1:$BA$300,COLUMN(),FALSE)=0,"",VLOOKUP($A132,貼り付け用!$A$1:$BA$300,COLUMN(),FALSE)),"")</f>
        <v>#N/A</v>
      </c>
      <c r="D132" s="14" t="e">
        <f>IF($A132&lt;&gt;"",IF(VLOOKUP($A132,貼り付け用!$A$1:$BA$300,COLUMN(),FALSE)=0,"",VLOOKUP($A132,貼り付け用!$A$1:$BA$300,COLUMN(),FALSE)),"")</f>
        <v>#N/A</v>
      </c>
      <c r="E132" s="14" t="e">
        <f>IF($A132&lt;&gt;"",IF(VLOOKUP($A132,貼り付け用!$A$1:$BA$300,COLUMN(),FALSE)=0,"",VLOOKUP($A132,貼り付け用!$A$1:$BA$300,COLUMN(),FALSE)),"")</f>
        <v>#N/A</v>
      </c>
      <c r="F132" s="14" t="e">
        <f>IF($A132&lt;&gt;"",IF(VLOOKUP($A132,貼り付け用!$A$1:$BA$300,COLUMN(),FALSE)=0,"",VLOOKUP($A132,貼り付け用!$A$1:$BA$300,COLUMN(),FALSE)),"")</f>
        <v>#N/A</v>
      </c>
      <c r="G132" s="14" t="e">
        <f>IF($A132&lt;&gt;"",IF(VLOOKUP($A132,貼り付け用!$A$1:$BA$300,COLUMN(),FALSE)=0,"",VLOOKUP($A132,貼り付け用!$A$1:$BA$300,COLUMN(),FALSE)),"")</f>
        <v>#N/A</v>
      </c>
      <c r="H132" s="14" t="e">
        <f>IF($A132&lt;&gt;"",IF(VLOOKUP($A132,貼り付け用!$A$1:$BA$300,COLUMN(),FALSE)=0,"",VLOOKUP($A132,貼り付け用!$A$1:$BA$300,COLUMN(),FALSE)),"")</f>
        <v>#N/A</v>
      </c>
      <c r="I132" s="14" t="e">
        <f>IF($A132&lt;&gt;"",IF(VLOOKUP($A132,貼り付け用!$A$1:$BA$300,COLUMN(),FALSE)=0,"",VLOOKUP($A132,貼り付け用!$A$1:$BA$300,COLUMN(),FALSE)),"")</f>
        <v>#N/A</v>
      </c>
      <c r="J132" s="14" t="e">
        <f>IF($A132&lt;&gt;"",IF(VLOOKUP($A132,貼り付け用!$A$1:$BA$300,COLUMN(),FALSE)=0,"",VLOOKUP($A132,貼り付け用!$A$1:$BA$300,COLUMN(),FALSE)),"")</f>
        <v>#N/A</v>
      </c>
      <c r="K132" s="14" t="e">
        <f>IF($A132&lt;&gt;"",IF(VLOOKUP($A132,貼り付け用!$A$1:$BA$300,COLUMN(),FALSE)=0,"",VLOOKUP($A132,貼り付け用!$A$1:$BA$300,COLUMN(),FALSE)),"")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61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IF($A133&lt;&gt;"",IF(VLOOKUP($A133,貼り付け用!$A$1:$BA$300,COLUMN(),FALSE)=0,"",VLOOKUP($A133,貼り付け用!$A$1:$BA$300,COLUMN(),FALSE)),"")</f>
        <v>#N/A</v>
      </c>
      <c r="C133" s="3" t="e">
        <f>IF($A133&lt;&gt;"",IF(VLOOKUP($A133,貼り付け用!$A$1:$BA$300,COLUMN(),FALSE)=0,"",VLOOKUP($A133,貼り付け用!$A$1:$BA$300,COLUMN(),FALSE)),"")</f>
        <v>#N/A</v>
      </c>
      <c r="D133" s="3" t="e">
        <f>IF($A133&lt;&gt;"",IF(VLOOKUP($A133,貼り付け用!$A$1:$BA$300,COLUMN(),FALSE)=0,"",VLOOKUP($A133,貼り付け用!$A$1:$BA$300,COLUMN(),FALSE)),"")</f>
        <v>#N/A</v>
      </c>
      <c r="E133" s="3" t="e">
        <f>IF($A133&lt;&gt;"",IF(VLOOKUP($A133,貼り付け用!$A$1:$BA$300,COLUMN(),FALSE)=0,"",VLOOKUP($A133,貼り付け用!$A$1:$BA$300,COLUMN(),FALSE)),"")</f>
        <v>#N/A</v>
      </c>
      <c r="F133" s="3" t="e">
        <f>IF($A133&lt;&gt;"",IF(VLOOKUP($A133,貼り付け用!$A$1:$BA$300,COLUMN(),FALSE)=0,"",VLOOKUP($A133,貼り付け用!$A$1:$BA$300,COLUMN(),FALSE)),"")</f>
        <v>#N/A</v>
      </c>
      <c r="G133" s="3" t="e">
        <f>IF($A133&lt;&gt;"",IF(VLOOKUP($A133,貼り付け用!$A$1:$BA$300,COLUMN(),FALSE)=0,"",VLOOKUP($A133,貼り付け用!$A$1:$BA$300,COLUMN(),FALSE)),"")</f>
        <v>#N/A</v>
      </c>
      <c r="H133" s="3" t="e">
        <f>IF($A133&lt;&gt;"",IF(VLOOKUP($A133,貼り付け用!$A$1:$BA$300,COLUMN(),FALSE)=0,"",VLOOKUP($A133,貼り付け用!$A$1:$BA$300,COLUMN(),FALSE)),"")</f>
        <v>#N/A</v>
      </c>
      <c r="I133" s="3" t="e">
        <f>IF($A133&lt;&gt;"",IF(VLOOKUP($A133,貼り付け用!$A$1:$BA$300,COLUMN(),FALSE)=0,"",VLOOKUP($A133,貼り付け用!$A$1:$BA$300,COLUMN(),FALSE)),"")</f>
        <v>#N/A</v>
      </c>
      <c r="J133" s="3" t="e">
        <f>IF($A133&lt;&gt;"",IF(VLOOKUP($A133,貼り付け用!$A$1:$BA$300,COLUMN(),FALSE)=0,"",VLOOKUP($A133,貼り付け用!$A$1:$BA$300,COLUMN(),FALSE)),"")</f>
        <v>#N/A</v>
      </c>
      <c r="K133" s="3" t="e">
        <f>IF($A133&lt;&gt;"",IF(VLOOKUP($A133,貼り付け用!$A$1:$BA$300,COLUMN(),FALSE)=0,"",VLOOKUP($A133,貼り付け用!$A$1:$BA$300,COLUMN(),FALSE)),"")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61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IF($A134&lt;&gt;"",IF(VLOOKUP($A134,貼り付け用!$A$1:$BA$300,COLUMN(),FALSE)=0,"",VLOOKUP($A134,貼り付け用!$A$1:$BA$300,COLUMN(),FALSE)),"")</f>
        <v>#N/A</v>
      </c>
      <c r="C134" s="14" t="e">
        <f>IF($A134&lt;&gt;"",IF(VLOOKUP($A134,貼り付け用!$A$1:$BA$300,COLUMN(),FALSE)=0,"",VLOOKUP($A134,貼り付け用!$A$1:$BA$300,COLUMN(),FALSE)),"")</f>
        <v>#N/A</v>
      </c>
      <c r="D134" s="14" t="e">
        <f>IF($A134&lt;&gt;"",IF(VLOOKUP($A134,貼り付け用!$A$1:$BA$300,COLUMN(),FALSE)=0,"",VLOOKUP($A134,貼り付け用!$A$1:$BA$300,COLUMN(),FALSE)),"")</f>
        <v>#N/A</v>
      </c>
      <c r="E134" s="14" t="e">
        <f>IF($A134&lt;&gt;"",IF(VLOOKUP($A134,貼り付け用!$A$1:$BA$300,COLUMN(),FALSE)=0,"",VLOOKUP($A134,貼り付け用!$A$1:$BA$300,COLUMN(),FALSE)),"")</f>
        <v>#N/A</v>
      </c>
      <c r="F134" s="14" t="e">
        <f>IF($A134&lt;&gt;"",IF(VLOOKUP($A134,貼り付け用!$A$1:$BA$300,COLUMN(),FALSE)=0,"",VLOOKUP($A134,貼り付け用!$A$1:$BA$300,COLUMN(),FALSE)),"")</f>
        <v>#N/A</v>
      </c>
      <c r="G134" s="14" t="e">
        <f>IF($A134&lt;&gt;"",IF(VLOOKUP($A134,貼り付け用!$A$1:$BA$300,COLUMN(),FALSE)=0,"",VLOOKUP($A134,貼り付け用!$A$1:$BA$300,COLUMN(),FALSE)),"")</f>
        <v>#N/A</v>
      </c>
      <c r="H134" s="14" t="e">
        <f>IF($A134&lt;&gt;"",IF(VLOOKUP($A134,貼り付け用!$A$1:$BA$300,COLUMN(),FALSE)=0,"",VLOOKUP($A134,貼り付け用!$A$1:$BA$300,COLUMN(),FALSE)),"")</f>
        <v>#N/A</v>
      </c>
      <c r="I134" s="14" t="e">
        <f>IF($A134&lt;&gt;"",IF(VLOOKUP($A134,貼り付け用!$A$1:$BA$300,COLUMN(),FALSE)=0,"",VLOOKUP($A134,貼り付け用!$A$1:$BA$300,COLUMN(),FALSE)),"")</f>
        <v>#N/A</v>
      </c>
      <c r="J134" s="14" t="e">
        <f>IF($A134&lt;&gt;"",IF(VLOOKUP($A134,貼り付け用!$A$1:$BA$300,COLUMN(),FALSE)=0,"",VLOOKUP($A134,貼り付け用!$A$1:$BA$300,COLUMN(),FALSE)),"")</f>
        <v>#N/A</v>
      </c>
      <c r="K134" s="14" t="e">
        <f>IF($A134&lt;&gt;"",IF(VLOOKUP($A134,貼り付け用!$A$1:$BA$300,COLUMN(),FALSE)=0,"",VLOOKUP($A134,貼り付け用!$A$1:$BA$300,COLUMN(),FALSE)),"")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61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IF($A135&lt;&gt;"",IF(VLOOKUP($A135,貼り付け用!$A$1:$BA$300,COLUMN(),FALSE)=0,"",VLOOKUP($A135,貼り付け用!$A$1:$BA$300,COLUMN(),FALSE)),"")</f>
        <v>#N/A</v>
      </c>
      <c r="C135" s="3" t="e">
        <f>IF($A135&lt;&gt;"",IF(VLOOKUP($A135,貼り付け用!$A$1:$BA$300,COLUMN(),FALSE)=0,"",VLOOKUP($A135,貼り付け用!$A$1:$BA$300,COLUMN(),FALSE)),"")</f>
        <v>#N/A</v>
      </c>
      <c r="D135" s="3" t="e">
        <f>IF($A135&lt;&gt;"",IF(VLOOKUP($A135,貼り付け用!$A$1:$BA$300,COLUMN(),FALSE)=0,"",VLOOKUP($A135,貼り付け用!$A$1:$BA$300,COLUMN(),FALSE)),"")</f>
        <v>#N/A</v>
      </c>
      <c r="E135" s="3" t="e">
        <f>IF($A135&lt;&gt;"",IF(VLOOKUP($A135,貼り付け用!$A$1:$BA$300,COLUMN(),FALSE)=0,"",VLOOKUP($A135,貼り付け用!$A$1:$BA$300,COLUMN(),FALSE)),"")</f>
        <v>#N/A</v>
      </c>
      <c r="F135" s="3" t="e">
        <f>IF($A135&lt;&gt;"",IF(VLOOKUP($A135,貼り付け用!$A$1:$BA$300,COLUMN(),FALSE)=0,"",VLOOKUP($A135,貼り付け用!$A$1:$BA$300,COLUMN(),FALSE)),"")</f>
        <v>#N/A</v>
      </c>
      <c r="G135" s="3" t="e">
        <f>IF($A135&lt;&gt;"",IF(VLOOKUP($A135,貼り付け用!$A$1:$BA$300,COLUMN(),FALSE)=0,"",VLOOKUP($A135,貼り付け用!$A$1:$BA$300,COLUMN(),FALSE)),"")</f>
        <v>#N/A</v>
      </c>
      <c r="H135" s="3" t="e">
        <f>IF($A135&lt;&gt;"",IF(VLOOKUP($A135,貼り付け用!$A$1:$BA$300,COLUMN(),FALSE)=0,"",VLOOKUP($A135,貼り付け用!$A$1:$BA$300,COLUMN(),FALSE)),"")</f>
        <v>#N/A</v>
      </c>
      <c r="I135" s="3" t="e">
        <f>IF($A135&lt;&gt;"",IF(VLOOKUP($A135,貼り付け用!$A$1:$BA$300,COLUMN(),FALSE)=0,"",VLOOKUP($A135,貼り付け用!$A$1:$BA$300,COLUMN(),FALSE)),"")</f>
        <v>#N/A</v>
      </c>
      <c r="J135" s="3" t="e">
        <f>IF($A135&lt;&gt;"",IF(VLOOKUP($A135,貼り付け用!$A$1:$BA$300,COLUMN(),FALSE)=0,"",VLOOKUP($A135,貼り付け用!$A$1:$BA$300,COLUMN(),FALSE)),"")</f>
        <v>#N/A</v>
      </c>
      <c r="K135" s="3" t="e">
        <f>IF($A135&lt;&gt;"",IF(VLOOKUP($A135,貼り付け用!$A$1:$BA$300,COLUMN(),FALSE)=0,"",VLOOKUP($A135,貼り付け用!$A$1:$BA$300,COLUMN(),FALSE)),"")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61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IF($A136&lt;&gt;"",IF(VLOOKUP($A136,貼り付け用!$A$1:$BA$300,COLUMN(),FALSE)=0,"",VLOOKUP($A136,貼り付け用!$A$1:$BA$300,COLUMN(),FALSE)),"")</f>
        <v>#N/A</v>
      </c>
      <c r="C136" s="14" t="e">
        <f>IF($A136&lt;&gt;"",IF(VLOOKUP($A136,貼り付け用!$A$1:$BA$300,COLUMN(),FALSE)=0,"",VLOOKUP($A136,貼り付け用!$A$1:$BA$300,COLUMN(),FALSE)),"")</f>
        <v>#N/A</v>
      </c>
      <c r="D136" s="14" t="e">
        <f>IF($A136&lt;&gt;"",IF(VLOOKUP($A136,貼り付け用!$A$1:$BA$300,COLUMN(),FALSE)=0,"",VLOOKUP($A136,貼り付け用!$A$1:$BA$300,COLUMN(),FALSE)),"")</f>
        <v>#N/A</v>
      </c>
      <c r="E136" s="14" t="e">
        <f>IF($A136&lt;&gt;"",IF(VLOOKUP($A136,貼り付け用!$A$1:$BA$300,COLUMN(),FALSE)=0,"",VLOOKUP($A136,貼り付け用!$A$1:$BA$300,COLUMN(),FALSE)),"")</f>
        <v>#N/A</v>
      </c>
      <c r="F136" s="14" t="e">
        <f>IF($A136&lt;&gt;"",IF(VLOOKUP($A136,貼り付け用!$A$1:$BA$300,COLUMN(),FALSE)=0,"",VLOOKUP($A136,貼り付け用!$A$1:$BA$300,COLUMN(),FALSE)),"")</f>
        <v>#N/A</v>
      </c>
      <c r="G136" s="14" t="e">
        <f>IF($A136&lt;&gt;"",IF(VLOOKUP($A136,貼り付け用!$A$1:$BA$300,COLUMN(),FALSE)=0,"",VLOOKUP($A136,貼り付け用!$A$1:$BA$300,COLUMN(),FALSE)),"")</f>
        <v>#N/A</v>
      </c>
      <c r="H136" s="14" t="e">
        <f>IF($A136&lt;&gt;"",IF(VLOOKUP($A136,貼り付け用!$A$1:$BA$300,COLUMN(),FALSE)=0,"",VLOOKUP($A136,貼り付け用!$A$1:$BA$300,COLUMN(),FALSE)),"")</f>
        <v>#N/A</v>
      </c>
      <c r="I136" s="14" t="e">
        <f>IF($A136&lt;&gt;"",IF(VLOOKUP($A136,貼り付け用!$A$1:$BA$300,COLUMN(),FALSE)=0,"",VLOOKUP($A136,貼り付け用!$A$1:$BA$300,COLUMN(),FALSE)),"")</f>
        <v>#N/A</v>
      </c>
      <c r="J136" s="14" t="e">
        <f>IF($A136&lt;&gt;"",IF(VLOOKUP($A136,貼り付け用!$A$1:$BA$300,COLUMN(),FALSE)=0,"",VLOOKUP($A136,貼り付け用!$A$1:$BA$300,COLUMN(),FALSE)),"")</f>
        <v>#N/A</v>
      </c>
      <c r="K136" s="14" t="e">
        <f>IF($A136&lt;&gt;"",IF(VLOOKUP($A136,貼り付け用!$A$1:$BA$300,COLUMN(),FALSE)=0,"",VLOOKUP($A136,貼り付け用!$A$1:$BA$300,COLUMN(),FALSE)),"")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61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IF($A137&lt;&gt;"",IF(VLOOKUP($A137,貼り付け用!$A$1:$BA$300,COLUMN(),FALSE)=0,"",VLOOKUP($A137,貼り付け用!$A$1:$BA$300,COLUMN(),FALSE)),"")</f>
        <v>#N/A</v>
      </c>
      <c r="C137" s="3" t="e">
        <f>IF($A137&lt;&gt;"",IF(VLOOKUP($A137,貼り付け用!$A$1:$BA$300,COLUMN(),FALSE)=0,"",VLOOKUP($A137,貼り付け用!$A$1:$BA$300,COLUMN(),FALSE)),"")</f>
        <v>#N/A</v>
      </c>
      <c r="D137" s="3" t="e">
        <f>IF($A137&lt;&gt;"",IF(VLOOKUP($A137,貼り付け用!$A$1:$BA$300,COLUMN(),FALSE)=0,"",VLOOKUP($A137,貼り付け用!$A$1:$BA$300,COLUMN(),FALSE)),"")</f>
        <v>#N/A</v>
      </c>
      <c r="E137" s="3" t="e">
        <f>IF($A137&lt;&gt;"",IF(VLOOKUP($A137,貼り付け用!$A$1:$BA$300,COLUMN(),FALSE)=0,"",VLOOKUP($A137,貼り付け用!$A$1:$BA$300,COLUMN(),FALSE)),"")</f>
        <v>#N/A</v>
      </c>
      <c r="F137" s="3" t="e">
        <f>IF($A137&lt;&gt;"",IF(VLOOKUP($A137,貼り付け用!$A$1:$BA$300,COLUMN(),FALSE)=0,"",VLOOKUP($A137,貼り付け用!$A$1:$BA$300,COLUMN(),FALSE)),"")</f>
        <v>#N/A</v>
      </c>
      <c r="G137" s="3" t="e">
        <f>IF($A137&lt;&gt;"",IF(VLOOKUP($A137,貼り付け用!$A$1:$BA$300,COLUMN(),FALSE)=0,"",VLOOKUP($A137,貼り付け用!$A$1:$BA$300,COLUMN(),FALSE)),"")</f>
        <v>#N/A</v>
      </c>
      <c r="H137" s="3" t="e">
        <f>IF($A137&lt;&gt;"",IF(VLOOKUP($A137,貼り付け用!$A$1:$BA$300,COLUMN(),FALSE)=0,"",VLOOKUP($A137,貼り付け用!$A$1:$BA$300,COLUMN(),FALSE)),"")</f>
        <v>#N/A</v>
      </c>
      <c r="I137" s="3" t="e">
        <f>IF($A137&lt;&gt;"",IF(VLOOKUP($A137,貼り付け用!$A$1:$BA$300,COLUMN(),FALSE)=0,"",VLOOKUP($A137,貼り付け用!$A$1:$BA$300,COLUMN(),FALSE)),"")</f>
        <v>#N/A</v>
      </c>
      <c r="J137" s="3" t="e">
        <f>IF($A137&lt;&gt;"",IF(VLOOKUP($A137,貼り付け用!$A$1:$BA$300,COLUMN(),FALSE)=0,"",VLOOKUP($A137,貼り付け用!$A$1:$BA$300,COLUMN(),FALSE)),"")</f>
        <v>#N/A</v>
      </c>
      <c r="K137" s="3" t="e">
        <f>IF($A137&lt;&gt;"",IF(VLOOKUP($A137,貼り付け用!$A$1:$BA$300,COLUMN(),FALSE)=0,"",VLOOKUP($A137,貼り付け用!$A$1:$BA$300,COLUMN(),FALSE)),"")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61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IF($A138&lt;&gt;"",IF(VLOOKUP($A138,貼り付け用!$A$1:$BA$300,COLUMN(),FALSE)=0,"",VLOOKUP($A138,貼り付け用!$A$1:$BA$300,COLUMN(),FALSE)),"")</f>
        <v>#N/A</v>
      </c>
      <c r="C138" s="14" t="e">
        <f>IF($A138&lt;&gt;"",IF(VLOOKUP($A138,貼り付け用!$A$1:$BA$300,COLUMN(),FALSE)=0,"",VLOOKUP($A138,貼り付け用!$A$1:$BA$300,COLUMN(),FALSE)),"")</f>
        <v>#N/A</v>
      </c>
      <c r="D138" s="14" t="e">
        <f>IF($A138&lt;&gt;"",IF(VLOOKUP($A138,貼り付け用!$A$1:$BA$300,COLUMN(),FALSE)=0,"",VLOOKUP($A138,貼り付け用!$A$1:$BA$300,COLUMN(),FALSE)),"")</f>
        <v>#N/A</v>
      </c>
      <c r="E138" s="14" t="e">
        <f>IF($A138&lt;&gt;"",IF(VLOOKUP($A138,貼り付け用!$A$1:$BA$300,COLUMN(),FALSE)=0,"",VLOOKUP($A138,貼り付け用!$A$1:$BA$300,COLUMN(),FALSE)),"")</f>
        <v>#N/A</v>
      </c>
      <c r="F138" s="14" t="e">
        <f>IF($A138&lt;&gt;"",IF(VLOOKUP($A138,貼り付け用!$A$1:$BA$300,COLUMN(),FALSE)=0,"",VLOOKUP($A138,貼り付け用!$A$1:$BA$300,COLUMN(),FALSE)),"")</f>
        <v>#N/A</v>
      </c>
      <c r="G138" s="14" t="e">
        <f>IF($A138&lt;&gt;"",IF(VLOOKUP($A138,貼り付け用!$A$1:$BA$300,COLUMN(),FALSE)=0,"",VLOOKUP($A138,貼り付け用!$A$1:$BA$300,COLUMN(),FALSE)),"")</f>
        <v>#N/A</v>
      </c>
      <c r="H138" s="14" t="e">
        <f>IF($A138&lt;&gt;"",IF(VLOOKUP($A138,貼り付け用!$A$1:$BA$300,COLUMN(),FALSE)=0,"",VLOOKUP($A138,貼り付け用!$A$1:$BA$300,COLUMN(),FALSE)),"")</f>
        <v>#N/A</v>
      </c>
      <c r="I138" s="14" t="e">
        <f>IF($A138&lt;&gt;"",IF(VLOOKUP($A138,貼り付け用!$A$1:$BA$300,COLUMN(),FALSE)=0,"",VLOOKUP($A138,貼り付け用!$A$1:$BA$300,COLUMN(),FALSE)),"")</f>
        <v>#N/A</v>
      </c>
      <c r="J138" s="14" t="e">
        <f>IF($A138&lt;&gt;"",IF(VLOOKUP($A138,貼り付け用!$A$1:$BA$300,COLUMN(),FALSE)=0,"",VLOOKUP($A138,貼り付け用!$A$1:$BA$300,COLUMN(),FALSE)),"")</f>
        <v>#N/A</v>
      </c>
      <c r="K138" s="14" t="e">
        <f>IF($A138&lt;&gt;"",IF(VLOOKUP($A138,貼り付け用!$A$1:$BA$300,COLUMN(),FALSE)=0,"",VLOOKUP($A138,貼り付け用!$A$1:$BA$300,COLUMN(),FALSE)),"")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61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IF($A139&lt;&gt;"",IF(VLOOKUP($A139,貼り付け用!$A$1:$BA$300,COLUMN(),FALSE)=0,"",VLOOKUP($A139,貼り付け用!$A$1:$BA$300,COLUMN(),FALSE)),"")</f>
        <v>#N/A</v>
      </c>
      <c r="C139" s="3" t="e">
        <f>IF($A139&lt;&gt;"",IF(VLOOKUP($A139,貼り付け用!$A$1:$BA$300,COLUMN(),FALSE)=0,"",VLOOKUP($A139,貼り付け用!$A$1:$BA$300,COLUMN(),FALSE)),"")</f>
        <v>#N/A</v>
      </c>
      <c r="D139" s="3" t="e">
        <f>IF($A139&lt;&gt;"",IF(VLOOKUP($A139,貼り付け用!$A$1:$BA$300,COLUMN(),FALSE)=0,"",VLOOKUP($A139,貼り付け用!$A$1:$BA$300,COLUMN(),FALSE)),"")</f>
        <v>#N/A</v>
      </c>
      <c r="E139" s="3" t="e">
        <f>IF($A139&lt;&gt;"",IF(VLOOKUP($A139,貼り付け用!$A$1:$BA$300,COLUMN(),FALSE)=0,"",VLOOKUP($A139,貼り付け用!$A$1:$BA$300,COLUMN(),FALSE)),"")</f>
        <v>#N/A</v>
      </c>
      <c r="F139" s="3" t="e">
        <f>IF($A139&lt;&gt;"",IF(VLOOKUP($A139,貼り付け用!$A$1:$BA$300,COLUMN(),FALSE)=0,"",VLOOKUP($A139,貼り付け用!$A$1:$BA$300,COLUMN(),FALSE)),"")</f>
        <v>#N/A</v>
      </c>
      <c r="G139" s="3" t="e">
        <f>IF($A139&lt;&gt;"",IF(VLOOKUP($A139,貼り付け用!$A$1:$BA$300,COLUMN(),FALSE)=0,"",VLOOKUP($A139,貼り付け用!$A$1:$BA$300,COLUMN(),FALSE)),"")</f>
        <v>#N/A</v>
      </c>
      <c r="H139" s="3" t="e">
        <f>IF($A139&lt;&gt;"",IF(VLOOKUP($A139,貼り付け用!$A$1:$BA$300,COLUMN(),FALSE)=0,"",VLOOKUP($A139,貼り付け用!$A$1:$BA$300,COLUMN(),FALSE)),"")</f>
        <v>#N/A</v>
      </c>
      <c r="I139" s="3" t="e">
        <f>IF($A139&lt;&gt;"",IF(VLOOKUP($A139,貼り付け用!$A$1:$BA$300,COLUMN(),FALSE)=0,"",VLOOKUP($A139,貼り付け用!$A$1:$BA$300,COLUMN(),FALSE)),"")</f>
        <v>#N/A</v>
      </c>
      <c r="J139" s="3" t="e">
        <f>IF($A139&lt;&gt;"",IF(VLOOKUP($A139,貼り付け用!$A$1:$BA$300,COLUMN(),FALSE)=0,"",VLOOKUP($A139,貼り付け用!$A$1:$BA$300,COLUMN(),FALSE)),"")</f>
        <v>#N/A</v>
      </c>
      <c r="K139" s="3" t="e">
        <f>IF($A139&lt;&gt;"",IF(VLOOKUP($A139,貼り付け用!$A$1:$BA$300,COLUMN(),FALSE)=0,"",VLOOKUP($A139,貼り付け用!$A$1:$BA$300,COLUMN(),FALSE)),"")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61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IF($A140&lt;&gt;"",IF(VLOOKUP($A140,貼り付け用!$A$1:$BA$300,COLUMN(),FALSE)=0,"",VLOOKUP($A140,貼り付け用!$A$1:$BA$300,COLUMN(),FALSE)),"")</f>
        <v>#N/A</v>
      </c>
      <c r="C140" s="14" t="e">
        <f>IF($A140&lt;&gt;"",IF(VLOOKUP($A140,貼り付け用!$A$1:$BA$300,COLUMN(),FALSE)=0,"",VLOOKUP($A140,貼り付け用!$A$1:$BA$300,COLUMN(),FALSE)),"")</f>
        <v>#N/A</v>
      </c>
      <c r="D140" s="14" t="e">
        <f>IF($A140&lt;&gt;"",IF(VLOOKUP($A140,貼り付け用!$A$1:$BA$300,COLUMN(),FALSE)=0,"",VLOOKUP($A140,貼り付け用!$A$1:$BA$300,COLUMN(),FALSE)),"")</f>
        <v>#N/A</v>
      </c>
      <c r="E140" s="14" t="e">
        <f>IF($A140&lt;&gt;"",IF(VLOOKUP($A140,貼り付け用!$A$1:$BA$300,COLUMN(),FALSE)=0,"",VLOOKUP($A140,貼り付け用!$A$1:$BA$300,COLUMN(),FALSE)),"")</f>
        <v>#N/A</v>
      </c>
      <c r="F140" s="14" t="e">
        <f>IF($A140&lt;&gt;"",IF(VLOOKUP($A140,貼り付け用!$A$1:$BA$300,COLUMN(),FALSE)=0,"",VLOOKUP($A140,貼り付け用!$A$1:$BA$300,COLUMN(),FALSE)),"")</f>
        <v>#N/A</v>
      </c>
      <c r="G140" s="14" t="e">
        <f>IF($A140&lt;&gt;"",IF(VLOOKUP($A140,貼り付け用!$A$1:$BA$300,COLUMN(),FALSE)=0,"",VLOOKUP($A140,貼り付け用!$A$1:$BA$300,COLUMN(),FALSE)),"")</f>
        <v>#N/A</v>
      </c>
      <c r="H140" s="14" t="e">
        <f>IF($A140&lt;&gt;"",IF(VLOOKUP($A140,貼り付け用!$A$1:$BA$300,COLUMN(),FALSE)=0,"",VLOOKUP($A140,貼り付け用!$A$1:$BA$300,COLUMN(),FALSE)),"")</f>
        <v>#N/A</v>
      </c>
      <c r="I140" s="14" t="e">
        <f>IF($A140&lt;&gt;"",IF(VLOOKUP($A140,貼り付け用!$A$1:$BA$300,COLUMN(),FALSE)=0,"",VLOOKUP($A140,貼り付け用!$A$1:$BA$300,COLUMN(),FALSE)),"")</f>
        <v>#N/A</v>
      </c>
      <c r="J140" s="14" t="e">
        <f>IF($A140&lt;&gt;"",IF(VLOOKUP($A140,貼り付け用!$A$1:$BA$300,COLUMN(),FALSE)=0,"",VLOOKUP($A140,貼り付け用!$A$1:$BA$300,COLUMN(),FALSE)),"")</f>
        <v>#N/A</v>
      </c>
      <c r="K140" s="14" t="e">
        <f>IF($A140&lt;&gt;"",IF(VLOOKUP($A140,貼り付け用!$A$1:$BA$300,COLUMN(),FALSE)=0,"",VLOOKUP($A140,貼り付け用!$A$1:$BA$300,COLUMN(),FALSE)),"")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61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IF($A141&lt;&gt;"",IF(VLOOKUP($A141,貼り付け用!$A$1:$BA$300,COLUMN(),FALSE)=0,"",VLOOKUP($A141,貼り付け用!$A$1:$BA$300,COLUMN(),FALSE)),"")</f>
        <v>#N/A</v>
      </c>
      <c r="C141" s="3" t="e">
        <f>IF($A141&lt;&gt;"",IF(VLOOKUP($A141,貼り付け用!$A$1:$BA$300,COLUMN(),FALSE)=0,"",VLOOKUP($A141,貼り付け用!$A$1:$BA$300,COLUMN(),FALSE)),"")</f>
        <v>#N/A</v>
      </c>
      <c r="D141" s="3" t="e">
        <f>IF($A141&lt;&gt;"",IF(VLOOKUP($A141,貼り付け用!$A$1:$BA$300,COLUMN(),FALSE)=0,"",VLOOKUP($A141,貼り付け用!$A$1:$BA$300,COLUMN(),FALSE)),"")</f>
        <v>#N/A</v>
      </c>
      <c r="E141" s="3" t="e">
        <f>IF($A141&lt;&gt;"",IF(VLOOKUP($A141,貼り付け用!$A$1:$BA$300,COLUMN(),FALSE)=0,"",VLOOKUP($A141,貼り付け用!$A$1:$BA$300,COLUMN(),FALSE)),"")</f>
        <v>#N/A</v>
      </c>
      <c r="F141" s="3" t="e">
        <f>IF($A141&lt;&gt;"",IF(VLOOKUP($A141,貼り付け用!$A$1:$BA$300,COLUMN(),FALSE)=0,"",VLOOKUP($A141,貼り付け用!$A$1:$BA$300,COLUMN(),FALSE)),"")</f>
        <v>#N/A</v>
      </c>
      <c r="G141" s="3" t="e">
        <f>IF($A141&lt;&gt;"",IF(VLOOKUP($A141,貼り付け用!$A$1:$BA$300,COLUMN(),FALSE)=0,"",VLOOKUP($A141,貼り付け用!$A$1:$BA$300,COLUMN(),FALSE)),"")</f>
        <v>#N/A</v>
      </c>
      <c r="H141" s="3" t="e">
        <f>IF($A141&lt;&gt;"",IF(VLOOKUP($A141,貼り付け用!$A$1:$BA$300,COLUMN(),FALSE)=0,"",VLOOKUP($A141,貼り付け用!$A$1:$BA$300,COLUMN(),FALSE)),"")</f>
        <v>#N/A</v>
      </c>
      <c r="I141" s="3" t="e">
        <f>IF($A141&lt;&gt;"",IF(VLOOKUP($A141,貼り付け用!$A$1:$BA$300,COLUMN(),FALSE)=0,"",VLOOKUP($A141,貼り付け用!$A$1:$BA$300,COLUMN(),FALSE)),"")</f>
        <v>#N/A</v>
      </c>
      <c r="J141" s="3" t="e">
        <f>IF($A141&lt;&gt;"",IF(VLOOKUP($A141,貼り付け用!$A$1:$BA$300,COLUMN(),FALSE)=0,"",VLOOKUP($A141,貼り付け用!$A$1:$BA$300,COLUMN(),FALSE)),"")</f>
        <v>#N/A</v>
      </c>
      <c r="K141" s="3" t="e">
        <f>IF($A141&lt;&gt;"",IF(VLOOKUP($A141,貼り付け用!$A$1:$BA$300,COLUMN(),FALSE)=0,"",VLOOKUP($A141,貼り付け用!$A$1:$BA$300,COLUMN(),FALSE)),"")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61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IF($A142&lt;&gt;"",IF(VLOOKUP($A142,貼り付け用!$A$1:$BA$300,COLUMN(),FALSE)=0,"",VLOOKUP($A142,貼り付け用!$A$1:$BA$300,COLUMN(),FALSE)),"")</f>
        <v>#N/A</v>
      </c>
      <c r="C142" s="14" t="e">
        <f>IF($A142&lt;&gt;"",IF(VLOOKUP($A142,貼り付け用!$A$1:$BA$300,COLUMN(),FALSE)=0,"",VLOOKUP($A142,貼り付け用!$A$1:$BA$300,COLUMN(),FALSE)),"")</f>
        <v>#N/A</v>
      </c>
      <c r="D142" s="14" t="e">
        <f>IF($A142&lt;&gt;"",IF(VLOOKUP($A142,貼り付け用!$A$1:$BA$300,COLUMN(),FALSE)=0,"",VLOOKUP($A142,貼り付け用!$A$1:$BA$300,COLUMN(),FALSE)),"")</f>
        <v>#N/A</v>
      </c>
      <c r="E142" s="14" t="e">
        <f>IF($A142&lt;&gt;"",IF(VLOOKUP($A142,貼り付け用!$A$1:$BA$300,COLUMN(),FALSE)=0,"",VLOOKUP($A142,貼り付け用!$A$1:$BA$300,COLUMN(),FALSE)),"")</f>
        <v>#N/A</v>
      </c>
      <c r="F142" s="14" t="e">
        <f>IF($A142&lt;&gt;"",IF(VLOOKUP($A142,貼り付け用!$A$1:$BA$300,COLUMN(),FALSE)=0,"",VLOOKUP($A142,貼り付け用!$A$1:$BA$300,COLUMN(),FALSE)),"")</f>
        <v>#N/A</v>
      </c>
      <c r="G142" s="14" t="e">
        <f>IF($A142&lt;&gt;"",IF(VLOOKUP($A142,貼り付け用!$A$1:$BA$300,COLUMN(),FALSE)=0,"",VLOOKUP($A142,貼り付け用!$A$1:$BA$300,COLUMN(),FALSE)),"")</f>
        <v>#N/A</v>
      </c>
      <c r="H142" s="14" t="e">
        <f>IF($A142&lt;&gt;"",IF(VLOOKUP($A142,貼り付け用!$A$1:$BA$300,COLUMN(),FALSE)=0,"",VLOOKUP($A142,貼り付け用!$A$1:$BA$300,COLUMN(),FALSE)),"")</f>
        <v>#N/A</v>
      </c>
      <c r="I142" s="14" t="e">
        <f>IF($A142&lt;&gt;"",IF(VLOOKUP($A142,貼り付け用!$A$1:$BA$300,COLUMN(),FALSE)=0,"",VLOOKUP($A142,貼り付け用!$A$1:$BA$300,COLUMN(),FALSE)),"")</f>
        <v>#N/A</v>
      </c>
      <c r="J142" s="14" t="e">
        <f>IF($A142&lt;&gt;"",IF(VLOOKUP($A142,貼り付け用!$A$1:$BA$300,COLUMN(),FALSE)=0,"",VLOOKUP($A142,貼り付け用!$A$1:$BA$300,COLUMN(),FALSE)),"")</f>
        <v>#N/A</v>
      </c>
      <c r="K142" s="14" t="e">
        <f>IF($A142&lt;&gt;"",IF(VLOOKUP($A142,貼り付け用!$A$1:$BA$300,COLUMN(),FALSE)=0,"",VLOOKUP($A142,貼り付け用!$A$1:$BA$300,COLUMN(),FALSE)),"")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61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IF($A143&lt;&gt;"",IF(VLOOKUP($A143,貼り付け用!$A$1:$BA$300,COLUMN(),FALSE)=0,"",VLOOKUP($A143,貼り付け用!$A$1:$BA$300,COLUMN(),FALSE)),"")</f>
        <v>#N/A</v>
      </c>
      <c r="C143" s="3" t="e">
        <f>IF($A143&lt;&gt;"",IF(VLOOKUP($A143,貼り付け用!$A$1:$BA$300,COLUMN(),FALSE)=0,"",VLOOKUP($A143,貼り付け用!$A$1:$BA$300,COLUMN(),FALSE)),"")</f>
        <v>#N/A</v>
      </c>
      <c r="D143" s="3" t="e">
        <f>IF($A143&lt;&gt;"",IF(VLOOKUP($A143,貼り付け用!$A$1:$BA$300,COLUMN(),FALSE)=0,"",VLOOKUP($A143,貼り付け用!$A$1:$BA$300,COLUMN(),FALSE)),"")</f>
        <v>#N/A</v>
      </c>
      <c r="E143" s="3" t="e">
        <f>IF($A143&lt;&gt;"",IF(VLOOKUP($A143,貼り付け用!$A$1:$BA$300,COLUMN(),FALSE)=0,"",VLOOKUP($A143,貼り付け用!$A$1:$BA$300,COLUMN(),FALSE)),"")</f>
        <v>#N/A</v>
      </c>
      <c r="F143" s="3" t="e">
        <f>IF($A143&lt;&gt;"",IF(VLOOKUP($A143,貼り付け用!$A$1:$BA$300,COLUMN(),FALSE)=0,"",VLOOKUP($A143,貼り付け用!$A$1:$BA$300,COLUMN(),FALSE)),"")</f>
        <v>#N/A</v>
      </c>
      <c r="G143" s="3" t="e">
        <f>IF($A143&lt;&gt;"",IF(VLOOKUP($A143,貼り付け用!$A$1:$BA$300,COLUMN(),FALSE)=0,"",VLOOKUP($A143,貼り付け用!$A$1:$BA$300,COLUMN(),FALSE)),"")</f>
        <v>#N/A</v>
      </c>
      <c r="H143" s="3" t="e">
        <f>IF($A143&lt;&gt;"",IF(VLOOKUP($A143,貼り付け用!$A$1:$BA$300,COLUMN(),FALSE)=0,"",VLOOKUP($A143,貼り付け用!$A$1:$BA$300,COLUMN(),FALSE)),"")</f>
        <v>#N/A</v>
      </c>
      <c r="I143" s="3" t="e">
        <f>IF($A143&lt;&gt;"",IF(VLOOKUP($A143,貼り付け用!$A$1:$BA$300,COLUMN(),FALSE)=0,"",VLOOKUP($A143,貼り付け用!$A$1:$BA$300,COLUMN(),FALSE)),"")</f>
        <v>#N/A</v>
      </c>
      <c r="J143" s="3" t="e">
        <f>IF($A143&lt;&gt;"",IF(VLOOKUP($A143,貼り付け用!$A$1:$BA$300,COLUMN(),FALSE)=0,"",VLOOKUP($A143,貼り付け用!$A$1:$BA$300,COLUMN(),FALSE)),"")</f>
        <v>#N/A</v>
      </c>
      <c r="K143" s="3" t="e">
        <f>IF($A143&lt;&gt;"",IF(VLOOKUP($A143,貼り付け用!$A$1:$BA$300,COLUMN(),FALSE)=0,"",VLOOKUP($A143,貼り付け用!$A$1:$BA$300,COLUMN(),FALSE)),"")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61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IF($A144&lt;&gt;"",IF(VLOOKUP($A144,貼り付け用!$A$1:$BA$300,COLUMN(),FALSE)=0,"",VLOOKUP($A144,貼り付け用!$A$1:$BA$300,COLUMN(),FALSE)),"")</f>
        <v>#N/A</v>
      </c>
      <c r="C144" s="14" t="e">
        <f>IF($A144&lt;&gt;"",IF(VLOOKUP($A144,貼り付け用!$A$1:$BA$300,COLUMN(),FALSE)=0,"",VLOOKUP($A144,貼り付け用!$A$1:$BA$300,COLUMN(),FALSE)),"")</f>
        <v>#N/A</v>
      </c>
      <c r="D144" s="14" t="e">
        <f>IF($A144&lt;&gt;"",IF(VLOOKUP($A144,貼り付け用!$A$1:$BA$300,COLUMN(),FALSE)=0,"",VLOOKUP($A144,貼り付け用!$A$1:$BA$300,COLUMN(),FALSE)),"")</f>
        <v>#N/A</v>
      </c>
      <c r="E144" s="14" t="e">
        <f>IF($A144&lt;&gt;"",IF(VLOOKUP($A144,貼り付け用!$A$1:$BA$300,COLUMN(),FALSE)=0,"",VLOOKUP($A144,貼り付け用!$A$1:$BA$300,COLUMN(),FALSE)),"")</f>
        <v>#N/A</v>
      </c>
      <c r="F144" s="14" t="e">
        <f>IF($A144&lt;&gt;"",IF(VLOOKUP($A144,貼り付け用!$A$1:$BA$300,COLUMN(),FALSE)=0,"",VLOOKUP($A144,貼り付け用!$A$1:$BA$300,COLUMN(),FALSE)),"")</f>
        <v>#N/A</v>
      </c>
      <c r="G144" s="14" t="e">
        <f>IF($A144&lt;&gt;"",IF(VLOOKUP($A144,貼り付け用!$A$1:$BA$300,COLUMN(),FALSE)=0,"",VLOOKUP($A144,貼り付け用!$A$1:$BA$300,COLUMN(),FALSE)),"")</f>
        <v>#N/A</v>
      </c>
      <c r="H144" s="14" t="e">
        <f>IF($A144&lt;&gt;"",IF(VLOOKUP($A144,貼り付け用!$A$1:$BA$300,COLUMN(),FALSE)=0,"",VLOOKUP($A144,貼り付け用!$A$1:$BA$300,COLUMN(),FALSE)),"")</f>
        <v>#N/A</v>
      </c>
      <c r="I144" s="14" t="e">
        <f>IF($A144&lt;&gt;"",IF(VLOOKUP($A144,貼り付け用!$A$1:$BA$300,COLUMN(),FALSE)=0,"",VLOOKUP($A144,貼り付け用!$A$1:$BA$300,COLUMN(),FALSE)),"")</f>
        <v>#N/A</v>
      </c>
      <c r="J144" s="14" t="e">
        <f>IF($A144&lt;&gt;"",IF(VLOOKUP($A144,貼り付け用!$A$1:$BA$300,COLUMN(),FALSE)=0,"",VLOOKUP($A144,貼り付け用!$A$1:$BA$300,COLUMN(),FALSE)),"")</f>
        <v>#N/A</v>
      </c>
      <c r="K144" s="14" t="e">
        <f>IF($A144&lt;&gt;"",IF(VLOOKUP($A144,貼り付け用!$A$1:$BA$300,COLUMN(),FALSE)=0,"",VLOOKUP($A144,貼り付け用!$A$1:$BA$300,COLUMN(),FALSE)),"")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61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IF($A145&lt;&gt;"",IF(VLOOKUP($A145,貼り付け用!$A$1:$BA$300,COLUMN(),FALSE)=0,"",VLOOKUP($A145,貼り付け用!$A$1:$BA$300,COLUMN(),FALSE)),"")</f>
        <v>#N/A</v>
      </c>
      <c r="C145" s="3" t="e">
        <f>IF($A145&lt;&gt;"",IF(VLOOKUP($A145,貼り付け用!$A$1:$BA$300,COLUMN(),FALSE)=0,"",VLOOKUP($A145,貼り付け用!$A$1:$BA$300,COLUMN(),FALSE)),"")</f>
        <v>#N/A</v>
      </c>
      <c r="D145" s="3" t="e">
        <f>IF($A145&lt;&gt;"",IF(VLOOKUP($A145,貼り付け用!$A$1:$BA$300,COLUMN(),FALSE)=0,"",VLOOKUP($A145,貼り付け用!$A$1:$BA$300,COLUMN(),FALSE)),"")</f>
        <v>#N/A</v>
      </c>
      <c r="E145" s="3" t="e">
        <f>IF($A145&lt;&gt;"",IF(VLOOKUP($A145,貼り付け用!$A$1:$BA$300,COLUMN(),FALSE)=0,"",VLOOKUP($A145,貼り付け用!$A$1:$BA$300,COLUMN(),FALSE)),"")</f>
        <v>#N/A</v>
      </c>
      <c r="F145" s="3" t="e">
        <f>IF($A145&lt;&gt;"",IF(VLOOKUP($A145,貼り付け用!$A$1:$BA$300,COLUMN(),FALSE)=0,"",VLOOKUP($A145,貼り付け用!$A$1:$BA$300,COLUMN(),FALSE)),"")</f>
        <v>#N/A</v>
      </c>
      <c r="G145" s="3" t="e">
        <f>IF($A145&lt;&gt;"",IF(VLOOKUP($A145,貼り付け用!$A$1:$BA$300,COLUMN(),FALSE)=0,"",VLOOKUP($A145,貼り付け用!$A$1:$BA$300,COLUMN(),FALSE)),"")</f>
        <v>#N/A</v>
      </c>
      <c r="H145" s="3" t="e">
        <f>IF($A145&lt;&gt;"",IF(VLOOKUP($A145,貼り付け用!$A$1:$BA$300,COLUMN(),FALSE)=0,"",VLOOKUP($A145,貼り付け用!$A$1:$BA$300,COLUMN(),FALSE)),"")</f>
        <v>#N/A</v>
      </c>
      <c r="I145" s="3" t="e">
        <f>IF($A145&lt;&gt;"",IF(VLOOKUP($A145,貼り付け用!$A$1:$BA$300,COLUMN(),FALSE)=0,"",VLOOKUP($A145,貼り付け用!$A$1:$BA$300,COLUMN(),FALSE)),"")</f>
        <v>#N/A</v>
      </c>
      <c r="J145" s="3" t="e">
        <f>IF($A145&lt;&gt;"",IF(VLOOKUP($A145,貼り付け用!$A$1:$BA$300,COLUMN(),FALSE)=0,"",VLOOKUP($A145,貼り付け用!$A$1:$BA$300,COLUMN(),FALSE)),"")</f>
        <v>#N/A</v>
      </c>
      <c r="K145" s="3" t="e">
        <f>IF($A145&lt;&gt;"",IF(VLOOKUP($A145,貼り付け用!$A$1:$BA$300,COLUMN(),FALSE)=0,"",VLOOKUP($A145,貼り付け用!$A$1:$BA$300,COLUMN(),FALSE)),"")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61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54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55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N154"/>
  <sheetViews>
    <sheetView tabSelected="1" zoomScale="40" zoomScaleNormal="4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K1" sqref="AK1"/>
    </sheetView>
  </sheetViews>
  <sheetFormatPr defaultRowHeight="16.2" customHeight="1"/>
  <cols>
    <col min="1" max="1" width="26.69921875" style="90" customWidth="1"/>
    <col min="2" max="2" width="10.59765625" style="183" customWidth="1"/>
    <col min="3" max="3" width="5.09765625" style="183" customWidth="1"/>
    <col min="4" max="4" width="10.59765625" style="183" customWidth="1"/>
    <col min="5" max="5" width="5.09765625" style="183" customWidth="1"/>
    <col min="6" max="6" width="10.8984375" style="183" customWidth="1"/>
    <col min="7" max="7" width="5.09765625" style="183" customWidth="1"/>
    <col min="8" max="8" width="10.59765625" style="183" customWidth="1"/>
    <col min="9" max="9" width="5.09765625" style="183" customWidth="1"/>
    <col min="10" max="10" width="10.59765625" style="183" customWidth="1"/>
    <col min="11" max="11" width="5.09765625" style="183" customWidth="1"/>
    <col min="12" max="12" width="10.59765625" style="183" customWidth="1"/>
    <col min="13" max="13" width="5.09765625" style="183" customWidth="1"/>
    <col min="14" max="14" width="10.59765625" style="183" customWidth="1"/>
    <col min="15" max="15" width="5.09765625" style="183" customWidth="1"/>
    <col min="16" max="16" width="10.59765625" style="183" customWidth="1"/>
    <col min="17" max="17" width="5.09765625" style="183" customWidth="1"/>
    <col min="18" max="18" width="10.59765625" style="183" customWidth="1"/>
    <col min="19" max="19" width="5.09765625" style="183" customWidth="1"/>
    <col min="20" max="20" width="10.59765625" style="183" customWidth="1"/>
    <col min="21" max="21" width="5.09765625" style="183" customWidth="1"/>
    <col min="22" max="22" width="10.59765625" style="184" customWidth="1"/>
    <col min="23" max="23" width="5.09765625" style="183" customWidth="1"/>
    <col min="24" max="24" width="10.59765625" style="184" customWidth="1"/>
    <col min="25" max="25" width="5.09765625" style="183" customWidth="1"/>
    <col min="26" max="26" width="10.59765625" style="184" customWidth="1"/>
    <col min="27" max="27" width="5.09765625" style="183" customWidth="1"/>
    <col min="28" max="28" width="10.59765625" style="184" customWidth="1"/>
    <col min="29" max="29" width="5.09765625" style="183" customWidth="1"/>
    <col min="30" max="30" width="10.59765625" style="184" customWidth="1"/>
    <col min="31" max="31" width="5.09765625" style="183" customWidth="1"/>
    <col min="32" max="32" width="10.59765625" style="184" customWidth="1"/>
    <col min="33" max="33" width="5.09765625" style="183" customWidth="1"/>
    <col min="34" max="34" width="10.59765625" style="184" customWidth="1"/>
    <col min="35" max="35" width="5.09765625" style="183" customWidth="1"/>
    <col min="36" max="36" width="10.59765625" style="184" customWidth="1"/>
    <col min="37" max="37" width="5.09765625" style="183" customWidth="1"/>
    <col min="38" max="38" width="11.3984375" style="184" customWidth="1"/>
    <col min="39" max="39" width="32.796875" style="90" customWidth="1"/>
    <col min="40" max="40" width="27.69921875" style="90" customWidth="1"/>
    <col min="41" max="62" width="8.796875" style="64" customWidth="1"/>
    <col min="63" max="16384" width="8.796875" style="64"/>
  </cols>
  <sheetData>
    <row r="1" spans="1:40" s="87" customFormat="1" ht="19.8" customHeight="1" thickTop="1"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9"/>
      <c r="AL1" s="180"/>
      <c r="AM1" s="164" t="s">
        <v>22</v>
      </c>
      <c r="AN1" s="166"/>
    </row>
    <row r="2" spans="1:40" s="87" customFormat="1" ht="19.8" customHeight="1" thickBot="1">
      <c r="A2" s="87" t="str">
        <f>貼り付け用!A2&amp;"　"&amp;貼り付け用!B2&amp;"　"&amp;貼り付け用!C2</f>
        <v>　　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 t="s">
        <v>10</v>
      </c>
      <c r="Q2" s="178"/>
      <c r="R2" s="178"/>
      <c r="S2" s="178"/>
      <c r="T2" s="178" t="s">
        <v>11</v>
      </c>
      <c r="U2" s="178"/>
      <c r="V2" s="178"/>
      <c r="W2" s="178"/>
      <c r="X2" s="178" t="s">
        <v>10</v>
      </c>
      <c r="Y2" s="178"/>
      <c r="Z2" s="178"/>
      <c r="AA2" s="178"/>
      <c r="AB2" s="178" t="s">
        <v>12</v>
      </c>
      <c r="AC2" s="178"/>
      <c r="AD2" s="178"/>
      <c r="AE2" s="178"/>
      <c r="AF2" s="178"/>
      <c r="AG2" s="178"/>
      <c r="AH2" s="181"/>
      <c r="AI2" s="178"/>
      <c r="AJ2" s="178"/>
      <c r="AK2" s="178"/>
      <c r="AL2" s="178" t="s">
        <v>13</v>
      </c>
      <c r="AM2" s="87" t="str">
        <f>貼り付け用!T2&amp;"　"&amp;貼り付け用!U2&amp;"　"&amp;貼り付け用!V2&amp;"　"&amp;貼り付け用!W2</f>
        <v>　　　</v>
      </c>
      <c r="AN2" s="167"/>
    </row>
    <row r="3" spans="1:40" s="87" customFormat="1" ht="16.2" customHeight="1" thickTop="1">
      <c r="A3" s="88"/>
      <c r="B3" s="207" t="s">
        <v>1</v>
      </c>
      <c r="C3" s="159" t="s">
        <v>1</v>
      </c>
      <c r="D3" s="159" t="s">
        <v>1</v>
      </c>
      <c r="E3" s="162" t="s">
        <v>1</v>
      </c>
      <c r="F3" s="182" t="s">
        <v>3</v>
      </c>
      <c r="G3" s="159" t="s">
        <v>3</v>
      </c>
      <c r="H3" s="159" t="s">
        <v>3</v>
      </c>
      <c r="I3" s="159" t="s">
        <v>3</v>
      </c>
      <c r="J3" s="159" t="s">
        <v>3</v>
      </c>
      <c r="K3" s="162" t="s">
        <v>3</v>
      </c>
      <c r="L3" s="160" t="s">
        <v>0</v>
      </c>
      <c r="M3" s="159" t="s">
        <v>0</v>
      </c>
      <c r="N3" s="159" t="s">
        <v>0</v>
      </c>
      <c r="O3" s="159" t="s">
        <v>0</v>
      </c>
      <c r="P3" s="159" t="s">
        <v>0</v>
      </c>
      <c r="Q3" s="159" t="s">
        <v>0</v>
      </c>
      <c r="R3" s="159" t="s">
        <v>0</v>
      </c>
      <c r="S3" s="159" t="s">
        <v>0</v>
      </c>
      <c r="T3" s="159" t="s">
        <v>0</v>
      </c>
      <c r="U3" s="162" t="s">
        <v>0</v>
      </c>
      <c r="V3" s="161">
        <f>数出表_Excel!L3</f>
        <v>0</v>
      </c>
      <c r="W3" s="173">
        <f>IF(V3&lt;&gt;"",V3,"")</f>
        <v>0</v>
      </c>
      <c r="X3" s="161">
        <f>数出表_Excel!M3</f>
        <v>0</v>
      </c>
      <c r="Y3" s="173">
        <f>IF(X3&lt;&gt;"",X3,"")</f>
        <v>0</v>
      </c>
      <c r="Z3" s="161">
        <f>数出表_Excel!N3</f>
        <v>0</v>
      </c>
      <c r="AA3" s="173">
        <f>IF(Z3&lt;&gt;"",Z3,"")</f>
        <v>0</v>
      </c>
      <c r="AB3" s="161">
        <f>数出表_Excel!O3</f>
        <v>0</v>
      </c>
      <c r="AC3" s="173">
        <f>IF(AB3&lt;&gt;"",AB3,"")</f>
        <v>0</v>
      </c>
      <c r="AD3" s="161">
        <f>数出表_Excel!P3</f>
        <v>0</v>
      </c>
      <c r="AE3" s="173">
        <f>IF(AD3&lt;&gt;"",AD3,"")</f>
        <v>0</v>
      </c>
      <c r="AF3" s="161">
        <f>数出表_Excel!Q3</f>
        <v>0</v>
      </c>
      <c r="AG3" s="173">
        <f>IF(AF3&lt;&gt;"",AF3,"")</f>
        <v>0</v>
      </c>
      <c r="AH3" s="161">
        <f>数出表_Excel!R3</f>
        <v>0</v>
      </c>
      <c r="AI3" s="173">
        <f>IF(AH3&lt;&gt;"",AH3,"")</f>
        <v>0</v>
      </c>
      <c r="AJ3" s="161">
        <f>数出表_Excel!S3</f>
        <v>0</v>
      </c>
      <c r="AK3" s="173">
        <f>IF(AJ3&lt;&gt;"",AJ3,"")</f>
        <v>0</v>
      </c>
      <c r="AL3" s="213" t="s">
        <v>15</v>
      </c>
      <c r="AM3" s="93"/>
      <c r="AN3" s="165"/>
    </row>
    <row r="4" spans="1:40" s="87" customFormat="1" ht="16.2" customHeight="1">
      <c r="A4" s="174" t="s">
        <v>16</v>
      </c>
      <c r="B4" s="161" t="s">
        <v>17</v>
      </c>
      <c r="C4" s="173" t="s">
        <v>17</v>
      </c>
      <c r="D4" s="161" t="s">
        <v>17</v>
      </c>
      <c r="E4" s="173" t="s">
        <v>17</v>
      </c>
      <c r="F4" s="161" t="s">
        <v>17</v>
      </c>
      <c r="G4" s="173" t="s">
        <v>17</v>
      </c>
      <c r="H4" s="161" t="s">
        <v>18</v>
      </c>
      <c r="I4" s="173" t="s">
        <v>18</v>
      </c>
      <c r="J4" s="161" t="s">
        <v>19</v>
      </c>
      <c r="K4" s="173" t="s">
        <v>19</v>
      </c>
      <c r="L4" s="161" t="s">
        <v>17</v>
      </c>
      <c r="M4" s="173" t="s">
        <v>17</v>
      </c>
      <c r="N4" s="161" t="s">
        <v>17</v>
      </c>
      <c r="O4" s="173" t="s">
        <v>17</v>
      </c>
      <c r="P4" s="161" t="s">
        <v>18</v>
      </c>
      <c r="Q4" s="173" t="s">
        <v>18</v>
      </c>
      <c r="R4" s="161" t="s">
        <v>18</v>
      </c>
      <c r="S4" s="173" t="s">
        <v>18</v>
      </c>
      <c r="T4" s="161" t="s">
        <v>19</v>
      </c>
      <c r="U4" s="209" t="s">
        <v>19</v>
      </c>
      <c r="V4" s="210"/>
      <c r="W4" s="95"/>
      <c r="X4" s="212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95"/>
      <c r="Z4" s="212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95"/>
      <c r="AB4" s="212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95"/>
      <c r="AD4" s="212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95"/>
      <c r="AF4" s="212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95"/>
      <c r="AH4" s="212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95"/>
      <c r="AJ4" s="212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95"/>
      <c r="AL4" s="214"/>
      <c r="AM4" s="181"/>
      <c r="AN4" s="165"/>
    </row>
    <row r="5" spans="1:40" ht="16.2" customHeight="1">
      <c r="A5" s="175"/>
      <c r="B5" s="163">
        <v>100</v>
      </c>
      <c r="C5" s="208">
        <v>100</v>
      </c>
      <c r="D5" s="163">
        <v>150</v>
      </c>
      <c r="E5" s="208">
        <v>150</v>
      </c>
      <c r="F5" s="163">
        <v>120</v>
      </c>
      <c r="G5" s="208">
        <v>120</v>
      </c>
      <c r="H5" s="163" t="s">
        <v>20</v>
      </c>
      <c r="I5" s="208" t="s">
        <v>20</v>
      </c>
      <c r="J5" s="163"/>
      <c r="K5" s="208"/>
      <c r="L5" s="163">
        <v>120</v>
      </c>
      <c r="M5" s="208">
        <v>120</v>
      </c>
      <c r="N5" s="163">
        <v>100</v>
      </c>
      <c r="O5" s="208">
        <v>100</v>
      </c>
      <c r="P5" s="163" t="s">
        <v>20</v>
      </c>
      <c r="Q5" s="208" t="s">
        <v>20</v>
      </c>
      <c r="R5" s="163" t="s">
        <v>21</v>
      </c>
      <c r="S5" s="208" t="s">
        <v>21</v>
      </c>
      <c r="T5" s="163"/>
      <c r="U5" s="208"/>
      <c r="V5" s="163"/>
      <c r="W5" s="211"/>
      <c r="X5" s="69"/>
      <c r="Y5" s="211"/>
      <c r="Z5" s="69"/>
      <c r="AA5" s="211"/>
      <c r="AB5" s="69"/>
      <c r="AC5" s="211"/>
      <c r="AD5" s="69"/>
      <c r="AE5" s="211"/>
      <c r="AF5" s="69"/>
      <c r="AG5" s="211"/>
      <c r="AH5" s="69"/>
      <c r="AI5" s="211"/>
      <c r="AJ5" s="69"/>
      <c r="AK5" s="211"/>
      <c r="AL5" s="70"/>
      <c r="AM5" s="100"/>
      <c r="AN5" s="101"/>
    </row>
    <row r="6" spans="1:40" ht="16.2" customHeight="1">
      <c r="A6" s="8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85" t="str">
        <f ca="1">IFERROR(VALUE(IF(VLOOKUP($A6,数出表_Excel!$A$6:$T$150,COLUMN()/2+1,FALSE)=0,"",VLOOKUP($A6,数出表_Excel!$A$6:$T$150,COLUMN()/2+1,FALSE))),"")</f>
        <v/>
      </c>
      <c r="C6" s="66"/>
      <c r="D6" s="185" t="str">
        <f ca="1">IFERROR(VALUE(IF(VLOOKUP($A6,数出表_Excel!$A$6:$T$150,COLUMN()/2+1,FALSE)=0,"",VLOOKUP($A6,数出表_Excel!$A$6:$T$150,COLUMN()/2+1,FALSE))),"")</f>
        <v/>
      </c>
      <c r="E6" s="82"/>
      <c r="F6" s="196" t="str">
        <f ca="1">IFERROR(VALUE(IF(VLOOKUP($A6,数出表_Excel!$A$6:$T$150,COLUMN()/2+1,FALSE)=0,"",VLOOKUP($A6,数出表_Excel!$A$6:$T$150,COLUMN()/2+1,FALSE))),"")</f>
        <v/>
      </c>
      <c r="G6" s="66"/>
      <c r="H6" s="185" t="str">
        <f ca="1">IFERROR(VALUE(IF(VLOOKUP($A6,数出表_Excel!$A$6:$T$150,COLUMN()/2+1,FALSE)=0,"",VLOOKUP($A6,数出表_Excel!$A$6:$T$150,COLUMN()/2+1,FALSE))),"")</f>
        <v/>
      </c>
      <c r="I6" s="82"/>
      <c r="J6" s="196" t="str">
        <f ca="1">IFERROR(VALUE(IF(VLOOKUP($A6,数出表_Excel!$A$6:$T$150,COLUMN()/2+1,FALSE)=0,"",VLOOKUP($A6,数出表_Excel!$A$6:$T$150,COLUMN()/2+1,FALSE))),"")</f>
        <v/>
      </c>
      <c r="K6" s="66"/>
      <c r="L6" s="185" t="str">
        <f ca="1">IFERROR(VALUE(IF(VLOOKUP($A6,数出表_Excel!$A$6:$T$150,COLUMN()/2+1,FALSE)=0,"",VLOOKUP($A6,数出表_Excel!$A$6:$T$150,COLUMN()/2+1,FALSE))),"")</f>
        <v/>
      </c>
      <c r="M6" s="82"/>
      <c r="N6" s="196" t="str">
        <f ca="1">IFERROR(VALUE(IF(VLOOKUP($A6,数出表_Excel!$A$6:$T$150,COLUMN()/2+1,FALSE)=0,"",VLOOKUP($A6,数出表_Excel!$A$6:$T$150,COLUMN()/2+1,FALSE))),"")</f>
        <v/>
      </c>
      <c r="O6" s="66"/>
      <c r="P6" s="185" t="str">
        <f ca="1">IFERROR(VALUE(IF(VLOOKUP($A6,数出表_Excel!$A$6:$T$150,COLUMN()/2+1,FALSE)=0,"",VLOOKUP($A6,数出表_Excel!$A$6:$T$150,COLUMN()/2+1,FALSE))),"")</f>
        <v/>
      </c>
      <c r="Q6" s="82"/>
      <c r="R6" s="196" t="str">
        <f ca="1">IFERROR(VALUE(IF(VLOOKUP($A6,数出表_Excel!$A$6:$T$150,COLUMN()/2+1,FALSE)=0,"",VLOOKUP($A6,数出表_Excel!$A$6:$T$150,COLUMN()/2+1,FALSE))),"")</f>
        <v/>
      </c>
      <c r="S6" s="66"/>
      <c r="T6" s="185" t="str">
        <f ca="1">IFERROR(VALUE(IF(VLOOKUP($A6,数出表_Excel!$A$6:$T$150,COLUMN()/2+1,FALSE)=0,"",VLOOKUP($A6,数出表_Excel!$A$6:$T$150,COLUMN()/2+1,FALSE))),"")</f>
        <v/>
      </c>
      <c r="U6" s="82"/>
      <c r="V6" s="196" t="str">
        <f ca="1">IFERROR(VALUE(IF(VLOOKUP($A6,数出表_Excel!$A$6:$T$150,COLUMN()/2+1,FALSE)=0,"",VLOOKUP($A6,数出表_Excel!$A$6:$T$150,COLUMN()/2+1,FALSE))),"")</f>
        <v/>
      </c>
      <c r="W6" s="66"/>
      <c r="X6" s="185" t="str">
        <f ca="1">IFERROR(VALUE(IF(VLOOKUP($A6,数出表_Excel!$A$6:$T$150,COLUMN()/2+1,FALSE)=0,"",VLOOKUP($A6,数出表_Excel!$A$6:$T$150,COLUMN()/2+1,FALSE))),"")</f>
        <v/>
      </c>
      <c r="Y6" s="82"/>
      <c r="Z6" s="196" t="str">
        <f ca="1">IFERROR(VALUE(IF(VLOOKUP($A6,数出表_Excel!$A$6:$T$150,COLUMN()/2+1,FALSE)=0,"",VLOOKUP($A6,数出表_Excel!$A$6:$T$150,COLUMN()/2+1,FALSE))),"")</f>
        <v/>
      </c>
      <c r="AA6" s="82"/>
      <c r="AB6" s="185" t="str">
        <f ca="1">IFERROR(VALUE(IF(VLOOKUP($A6,数出表_Excel!$A$6:$T$150,COLUMN()/2+1,FALSE)=0,"",VLOOKUP($A6,数出表_Excel!$A$6:$T$150,COLUMN()/2+1,FALSE))),"")</f>
        <v/>
      </c>
      <c r="AC6" s="82"/>
      <c r="AD6" s="185" t="str">
        <f ca="1">IFERROR(VALUE(IF(VLOOKUP($A6,数出表_Excel!$A$6:$T$150,COLUMN()/2+1,FALSE)=0,"",VLOOKUP($A6,数出表_Excel!$A$6:$T$150,COLUMN()/2+1,FALSE))),"")</f>
        <v/>
      </c>
      <c r="AE6" s="82"/>
      <c r="AF6" s="185" t="str">
        <f ca="1">IFERROR(VALUE(IF(VLOOKUP($A6,数出表_Excel!$A$6:$T$150,COLUMN()/2+1,FALSE)=0,"",VLOOKUP($A6,数出表_Excel!$A$6:$T$150,COLUMN()/2+1,FALSE))),"")</f>
        <v/>
      </c>
      <c r="AG6" s="82"/>
      <c r="AH6" s="185" t="str">
        <f ca="1">IFERROR(VALUE(IF(VLOOKUP($A6,数出表_Excel!$A$6:$T$150,COLUMN()/2+1,FALSE)=0,"",VLOOKUP($A6,数出表_Excel!$A$6:$T$150,COLUMN()/2+1,FALSE))),"")</f>
        <v/>
      </c>
      <c r="AI6" s="82"/>
      <c r="AJ6" s="185" t="str">
        <f ca="1">IFERROR(VALUE(IF(VLOOKUP($A6,数出表_Excel!$A$6:$T$150,COLUMN()/2+1,FALSE)=0,"",VLOOKUP($A6,数出表_Excel!$A$6:$T$150,COLUMN()/2+1,FALSE))),"")</f>
        <v/>
      </c>
      <c r="AK6" s="82"/>
      <c r="AL6" s="68" t="e">
        <f ca="1">IF(A6&lt;&gt;"",
IF(VLOOKUP($A6,数出表_Excel!$A$6:$T$150,COLUMN()/2+1,FALSE)=0,"",VLOOKUP($A6,数出表_Excel!$A$6:$T$150,COLUMN()/2+1,FALSE)),"")</f>
        <v>#N/A</v>
      </c>
      <c r="AM6" s="96" t="e">
        <f ca="1">数出表_Excel!V6</f>
        <v>#N/A</v>
      </c>
      <c r="AN6" s="97" t="e">
        <f ca="1">数出表_Excel!W6</f>
        <v>#N/A</v>
      </c>
    </row>
    <row r="7" spans="1:40" ht="16.2" customHeight="1">
      <c r="A7" s="8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86" t="str">
        <f ca="1">IFERROR(VALUE(IF(VLOOKUP($A7,数出表_Excel!$A$6:$T$150,COLUMN()/2+1,FALSE)=0,"",VLOOKUP($A7,数出表_Excel!$A$6:$T$150,COLUMN()/2+1,FALSE))),"")</f>
        <v/>
      </c>
      <c r="C7" s="67"/>
      <c r="D7" s="186" t="str">
        <f ca="1">IFERROR(VALUE(IF(VLOOKUP($A7,数出表_Excel!$A$6:$T$150,COLUMN()/2+1,FALSE)=0,"",VLOOKUP($A7,数出表_Excel!$A$6:$T$150,COLUMN()/2+1,FALSE))),"")</f>
        <v/>
      </c>
      <c r="E7" s="83"/>
      <c r="F7" s="197" t="str">
        <f ca="1">IFERROR(VALUE(IF(VLOOKUP($A7,数出表_Excel!$A$6:$T$150,COLUMN()/2+1,FALSE)=0,"",VLOOKUP($A7,数出表_Excel!$A$6:$T$150,COLUMN()/2+1,FALSE))),"")</f>
        <v/>
      </c>
      <c r="G7" s="67"/>
      <c r="H7" s="186" t="str">
        <f ca="1">IFERROR(VALUE(IF(VLOOKUP($A7,数出表_Excel!$A$6:$T$150,COLUMN()/2+1,FALSE)=0,"",VLOOKUP($A7,数出表_Excel!$A$6:$T$150,COLUMN()/2+1,FALSE))),"")</f>
        <v/>
      </c>
      <c r="I7" s="83"/>
      <c r="J7" s="197" t="str">
        <f ca="1">IFERROR(VALUE(IF(VLOOKUP($A7,数出表_Excel!$A$6:$T$150,COLUMN()/2+1,FALSE)=0,"",VLOOKUP($A7,数出表_Excel!$A$6:$T$150,COLUMN()/2+1,FALSE))),"")</f>
        <v/>
      </c>
      <c r="K7" s="67"/>
      <c r="L7" s="186" t="str">
        <f ca="1">IFERROR(VALUE(IF(VLOOKUP($A7,数出表_Excel!$A$6:$T$150,COLUMN()/2+1,FALSE)=0,"",VLOOKUP($A7,数出表_Excel!$A$6:$T$150,COLUMN()/2+1,FALSE))),"")</f>
        <v/>
      </c>
      <c r="M7" s="83"/>
      <c r="N7" s="197" t="str">
        <f ca="1">IFERROR(VALUE(IF(VLOOKUP($A7,数出表_Excel!$A$6:$T$150,COLUMN()/2+1,FALSE)=0,"",VLOOKUP($A7,数出表_Excel!$A$6:$T$150,COLUMN()/2+1,FALSE))),"")</f>
        <v/>
      </c>
      <c r="O7" s="67"/>
      <c r="P7" s="186" t="str">
        <f ca="1">IFERROR(VALUE(IF(VLOOKUP($A7,数出表_Excel!$A$6:$T$150,COLUMN()/2+1,FALSE)=0,"",VLOOKUP($A7,数出表_Excel!$A$6:$T$150,COLUMN()/2+1,FALSE))),"")</f>
        <v/>
      </c>
      <c r="Q7" s="83"/>
      <c r="R7" s="197" t="str">
        <f ca="1">IFERROR(VALUE(IF(VLOOKUP($A7,数出表_Excel!$A$6:$T$150,COLUMN()/2+1,FALSE)=0,"",VLOOKUP($A7,数出表_Excel!$A$6:$T$150,COLUMN()/2+1,FALSE))),"")</f>
        <v/>
      </c>
      <c r="S7" s="67"/>
      <c r="T7" s="186" t="str">
        <f ca="1">IFERROR(VALUE(IF(VLOOKUP($A7,数出表_Excel!$A$6:$T$150,COLUMN()/2+1,FALSE)=0,"",VLOOKUP($A7,数出表_Excel!$A$6:$T$150,COLUMN()/2+1,FALSE))),"")</f>
        <v/>
      </c>
      <c r="U7" s="83"/>
      <c r="V7" s="197" t="str">
        <f ca="1">IFERROR(VALUE(IF(VLOOKUP($A7,数出表_Excel!$A$6:$T$150,COLUMN()/2+1,FALSE)=0,"",VLOOKUP($A7,数出表_Excel!$A$6:$T$150,COLUMN()/2+1,FALSE))),"")</f>
        <v/>
      </c>
      <c r="W7" s="67"/>
      <c r="X7" s="186" t="str">
        <f ca="1">IFERROR(VALUE(IF(VLOOKUP($A7,数出表_Excel!$A$6:$T$150,COLUMN()/2+1,FALSE)=0,"",VLOOKUP($A7,数出表_Excel!$A$6:$T$150,COLUMN()/2+1,FALSE))),"")</f>
        <v/>
      </c>
      <c r="Y7" s="83"/>
      <c r="Z7" s="197" t="str">
        <f ca="1">IFERROR(VALUE(IF(VLOOKUP($A7,数出表_Excel!$A$6:$T$150,COLUMN()/2+1,FALSE)=0,"",VLOOKUP($A7,数出表_Excel!$A$6:$T$150,COLUMN()/2+1,FALSE))),"")</f>
        <v/>
      </c>
      <c r="AA7" s="83"/>
      <c r="AB7" s="186" t="str">
        <f ca="1">IFERROR(VALUE(IF(VLOOKUP($A7,数出表_Excel!$A$6:$T$150,COLUMN()/2+1,FALSE)=0,"",VLOOKUP($A7,数出表_Excel!$A$6:$T$150,COLUMN()/2+1,FALSE))),"")</f>
        <v/>
      </c>
      <c r="AC7" s="83"/>
      <c r="AD7" s="186" t="str">
        <f ca="1">IFERROR(VALUE(IF(VLOOKUP($A7,数出表_Excel!$A$6:$T$150,COLUMN()/2+1,FALSE)=0,"",VLOOKUP($A7,数出表_Excel!$A$6:$T$150,COLUMN()/2+1,FALSE))),"")</f>
        <v/>
      </c>
      <c r="AE7" s="83"/>
      <c r="AF7" s="186" t="str">
        <f ca="1">IFERROR(VALUE(IF(VLOOKUP($A7,数出表_Excel!$A$6:$T$150,COLUMN()/2+1,FALSE)=0,"",VLOOKUP($A7,数出表_Excel!$A$6:$T$150,COLUMN()/2+1,FALSE))),"")</f>
        <v/>
      </c>
      <c r="AG7" s="83"/>
      <c r="AH7" s="186" t="str">
        <f ca="1">IFERROR(VALUE(IF(VLOOKUP($A7,数出表_Excel!$A$6:$T$150,COLUMN()/2+1,FALSE)=0,"",VLOOKUP($A7,数出表_Excel!$A$6:$T$150,COLUMN()/2+1,FALSE))),"")</f>
        <v/>
      </c>
      <c r="AI7" s="83"/>
      <c r="AJ7" s="186" t="str">
        <f ca="1">IFERROR(VALUE(IF(VLOOKUP($A7,数出表_Excel!$A$6:$T$150,COLUMN()/2+1,FALSE)=0,"",VLOOKUP($A7,数出表_Excel!$A$6:$T$150,COLUMN()/2+1,FALSE))),"")</f>
        <v/>
      </c>
      <c r="AK7" s="83"/>
      <c r="AL7" s="70" t="e">
        <f ca="1">IF(A7&lt;&gt;"",
IF(VLOOKUP($A7,数出表_Excel!$A$6:$T$150,COLUMN()/2+1,FALSE)=0,"",VLOOKUP($A7,数出表_Excel!$A$6:$T$150,COLUMN()/2+1,FALSE)),"")</f>
        <v>#N/A</v>
      </c>
      <c r="AM7" s="98" t="e">
        <f ca="1">数出表_Excel!V7</f>
        <v>#N/A</v>
      </c>
      <c r="AN7" s="99" t="e">
        <f ca="1">数出表_Excel!W7</f>
        <v>#N/A</v>
      </c>
    </row>
    <row r="8" spans="1:40" ht="16.2" customHeight="1">
      <c r="A8" s="88" t="e">
        <f t="array" aca="1" ref="A8" ca="1">IF(OR(COUNTIF(A6,"*10002*"),COUNTIF(A6,"")),"",INDEX(貼り付け用!$A1:$A200,MATCH(A6,貼り付け用!$A1:$A200,0)+2,0))</f>
        <v>#N/A</v>
      </c>
      <c r="B8" s="185" t="str">
        <f ca="1">IFERROR(VALUE(IF(VLOOKUP($A8,数出表_Excel!$A$6:$T$150,COLUMN()/2+1,FALSE)=0,"",VLOOKUP($A8,数出表_Excel!$A$6:$T$150,COLUMN()/2+1,FALSE))),"")</f>
        <v/>
      </c>
      <c r="C8" s="66"/>
      <c r="D8" s="185" t="str">
        <f ca="1">IFERROR(VALUE(IF(VLOOKUP($A8,数出表_Excel!$A$6:$T$150,COLUMN()/2+1,FALSE)=0,"",VLOOKUP($A8,数出表_Excel!$A$6:$T$150,COLUMN()/2+1,FALSE))),"")</f>
        <v/>
      </c>
      <c r="E8" s="82"/>
      <c r="F8" s="196" t="str">
        <f ca="1">IFERROR(VALUE(IF(VLOOKUP($A8,数出表_Excel!$A$6:$T$150,COLUMN()/2+1,FALSE)=0,"",VLOOKUP($A8,数出表_Excel!$A$6:$T$150,COLUMN()/2+1,FALSE))),"")</f>
        <v/>
      </c>
      <c r="G8" s="66"/>
      <c r="H8" s="185" t="str">
        <f ca="1">IFERROR(VALUE(IF(VLOOKUP($A8,数出表_Excel!$A$6:$T$150,COLUMN()/2+1,FALSE)=0,"",VLOOKUP($A8,数出表_Excel!$A$6:$T$150,COLUMN()/2+1,FALSE))),"")</f>
        <v/>
      </c>
      <c r="I8" s="82"/>
      <c r="J8" s="196" t="str">
        <f ca="1">IFERROR(VALUE(IF(VLOOKUP($A8,数出表_Excel!$A$6:$T$150,COLUMN()/2+1,FALSE)=0,"",VLOOKUP($A8,数出表_Excel!$A$6:$T$150,COLUMN()/2+1,FALSE))),"")</f>
        <v/>
      </c>
      <c r="K8" s="66"/>
      <c r="L8" s="185" t="str">
        <f ca="1">IFERROR(VALUE(IF(VLOOKUP($A8,数出表_Excel!$A$6:$T$150,COLUMN()/2+1,FALSE)=0,"",VLOOKUP($A8,数出表_Excel!$A$6:$T$150,COLUMN()/2+1,FALSE))),"")</f>
        <v/>
      </c>
      <c r="M8" s="82"/>
      <c r="N8" s="196" t="str">
        <f ca="1">IFERROR(VALUE(IF(VLOOKUP($A8,数出表_Excel!$A$6:$T$150,COLUMN()/2+1,FALSE)=0,"",VLOOKUP($A8,数出表_Excel!$A$6:$T$150,COLUMN()/2+1,FALSE))),"")</f>
        <v/>
      </c>
      <c r="O8" s="66"/>
      <c r="P8" s="185" t="str">
        <f ca="1">IFERROR(VALUE(IF(VLOOKUP($A8,数出表_Excel!$A$6:$T$150,COLUMN()/2+1,FALSE)=0,"",VLOOKUP($A8,数出表_Excel!$A$6:$T$150,COLUMN()/2+1,FALSE))),"")</f>
        <v/>
      </c>
      <c r="Q8" s="82"/>
      <c r="R8" s="196" t="str">
        <f ca="1">IFERROR(VALUE(IF(VLOOKUP($A8,数出表_Excel!$A$6:$T$150,COLUMN()/2+1,FALSE)=0,"",VLOOKUP($A8,数出表_Excel!$A$6:$T$150,COLUMN()/2+1,FALSE))),"")</f>
        <v/>
      </c>
      <c r="S8" s="66"/>
      <c r="T8" s="185" t="str">
        <f ca="1">IFERROR(VALUE(IF(VLOOKUP($A8,数出表_Excel!$A$6:$T$150,COLUMN()/2+1,FALSE)=0,"",VLOOKUP($A8,数出表_Excel!$A$6:$T$150,COLUMN()/2+1,FALSE))),"")</f>
        <v/>
      </c>
      <c r="U8" s="82"/>
      <c r="V8" s="196" t="str">
        <f ca="1">IFERROR(VALUE(IF(VLOOKUP($A8,数出表_Excel!$A$6:$T$150,COLUMN()/2+1,FALSE)=0,"",VLOOKUP($A8,数出表_Excel!$A$6:$T$150,COLUMN()/2+1,FALSE))),"")</f>
        <v/>
      </c>
      <c r="W8" s="66"/>
      <c r="X8" s="185" t="str">
        <f ca="1">IFERROR(VALUE(IF(VLOOKUP($A8,数出表_Excel!$A$6:$T$150,COLUMN()/2+1,FALSE)=0,"",VLOOKUP($A8,数出表_Excel!$A$6:$T$150,COLUMN()/2+1,FALSE))),"")</f>
        <v/>
      </c>
      <c r="Y8" s="82"/>
      <c r="Z8" s="196" t="str">
        <f ca="1">IFERROR(VALUE(IF(VLOOKUP($A8,数出表_Excel!$A$6:$T$150,COLUMN()/2+1,FALSE)=0,"",VLOOKUP($A8,数出表_Excel!$A$6:$T$150,COLUMN()/2+1,FALSE))),"")</f>
        <v/>
      </c>
      <c r="AA8" s="82"/>
      <c r="AB8" s="185" t="str">
        <f ca="1">IFERROR(VALUE(IF(VLOOKUP($A8,数出表_Excel!$A$6:$T$150,COLUMN()/2+1,FALSE)=0,"",VLOOKUP($A8,数出表_Excel!$A$6:$T$150,COLUMN()/2+1,FALSE))),"")</f>
        <v/>
      </c>
      <c r="AC8" s="82"/>
      <c r="AD8" s="185" t="str">
        <f ca="1">IFERROR(VALUE(IF(VLOOKUP($A8,数出表_Excel!$A$6:$T$150,COLUMN()/2+1,FALSE)=0,"",VLOOKUP($A8,数出表_Excel!$A$6:$T$150,COLUMN()/2+1,FALSE))),"")</f>
        <v/>
      </c>
      <c r="AE8" s="82"/>
      <c r="AF8" s="185" t="str">
        <f ca="1">IFERROR(VALUE(IF(VLOOKUP($A8,数出表_Excel!$A$6:$T$150,COLUMN()/2+1,FALSE)=0,"",VLOOKUP($A8,数出表_Excel!$A$6:$T$150,COLUMN()/2+1,FALSE))),"")</f>
        <v/>
      </c>
      <c r="AG8" s="82"/>
      <c r="AH8" s="185" t="str">
        <f ca="1">IFERROR(VALUE(IF(VLOOKUP($A8,数出表_Excel!$A$6:$T$150,COLUMN()/2+1,FALSE)=0,"",VLOOKUP($A8,数出表_Excel!$A$6:$T$150,COLUMN()/2+1,FALSE))),"")</f>
        <v/>
      </c>
      <c r="AI8" s="82"/>
      <c r="AJ8" s="185" t="str">
        <f ca="1">IFERROR(VALUE(IF(VLOOKUP($A8,数出表_Excel!$A$6:$T$150,COLUMN()/2+1,FALSE)=0,"",VLOOKUP($A8,数出表_Excel!$A$6:$T$150,COLUMN()/2+1,FALSE))),"")</f>
        <v/>
      </c>
      <c r="AK8" s="82"/>
      <c r="AL8" s="68" t="e">
        <f ca="1">IF(A8&lt;&gt;"",
IF(VLOOKUP($A8,数出表_Excel!$A$6:$T$150,COLUMN()/2+1,FALSE)=0,"",VLOOKUP($A8,数出表_Excel!$A$6:$T$150,COLUMN()/2+1,FALSE)),"")</f>
        <v>#N/A</v>
      </c>
      <c r="AM8" s="96" t="e">
        <f ca="1">数出表_Excel!V8</f>
        <v>#N/A</v>
      </c>
      <c r="AN8" s="97" t="e">
        <f ca="1">数出表_Excel!W8</f>
        <v>#N/A</v>
      </c>
    </row>
    <row r="9" spans="1:40" ht="16.2" customHeight="1">
      <c r="A9" s="89" t="e">
        <f t="array" aca="1" ref="A9" ca="1">IF(OR(COUNTIF(A7,"*1000*"),COUNTIF(A7,"")),"",INDEX(貼り付け用!$A1:$A200,MATCH(A7,貼り付け用!$A1:$A200,0)+2,0))</f>
        <v>#N/A</v>
      </c>
      <c r="B9" s="186" t="str">
        <f ca="1">IFERROR(VALUE(IF(VLOOKUP($A9,数出表_Excel!$A$6:$T$150,COLUMN()/2+1,FALSE)=0,"",VLOOKUP($A9,数出表_Excel!$A$6:$T$150,COLUMN()/2+1,FALSE))),"")</f>
        <v/>
      </c>
      <c r="C9" s="67"/>
      <c r="D9" s="186" t="str">
        <f ca="1">IFERROR(VALUE(IF(VLOOKUP($A9,数出表_Excel!$A$6:$T$150,COLUMN()/2+1,FALSE)=0,"",VLOOKUP($A9,数出表_Excel!$A$6:$T$150,COLUMN()/2+1,FALSE))),"")</f>
        <v/>
      </c>
      <c r="E9" s="83"/>
      <c r="F9" s="197" t="str">
        <f ca="1">IFERROR(VALUE(IF(VLOOKUP($A9,数出表_Excel!$A$6:$T$150,COLUMN()/2+1,FALSE)=0,"",VLOOKUP($A9,数出表_Excel!$A$6:$T$150,COLUMN()/2+1,FALSE))),"")</f>
        <v/>
      </c>
      <c r="G9" s="67"/>
      <c r="H9" s="186" t="str">
        <f ca="1">IFERROR(VALUE(IF(VLOOKUP($A9,数出表_Excel!$A$6:$T$150,COLUMN()/2+1,FALSE)=0,"",VLOOKUP($A9,数出表_Excel!$A$6:$T$150,COLUMN()/2+1,FALSE))),"")</f>
        <v/>
      </c>
      <c r="I9" s="83"/>
      <c r="J9" s="197" t="str">
        <f ca="1">IFERROR(VALUE(IF(VLOOKUP($A9,数出表_Excel!$A$6:$T$150,COLUMN()/2+1,FALSE)=0,"",VLOOKUP($A9,数出表_Excel!$A$6:$T$150,COLUMN()/2+1,FALSE))),"")</f>
        <v/>
      </c>
      <c r="K9" s="67"/>
      <c r="L9" s="186" t="str">
        <f ca="1">IFERROR(VALUE(IF(VLOOKUP($A9,数出表_Excel!$A$6:$T$150,COLUMN()/2+1,FALSE)=0,"",VLOOKUP($A9,数出表_Excel!$A$6:$T$150,COLUMN()/2+1,FALSE))),"")</f>
        <v/>
      </c>
      <c r="M9" s="83"/>
      <c r="N9" s="197" t="str">
        <f ca="1">IFERROR(VALUE(IF(VLOOKUP($A9,数出表_Excel!$A$6:$T$150,COLUMN()/2+1,FALSE)=0,"",VLOOKUP($A9,数出表_Excel!$A$6:$T$150,COLUMN()/2+1,FALSE))),"")</f>
        <v/>
      </c>
      <c r="O9" s="67"/>
      <c r="P9" s="186" t="str">
        <f ca="1">IFERROR(VALUE(IF(VLOOKUP($A9,数出表_Excel!$A$6:$T$150,COLUMN()/2+1,FALSE)=0,"",VLOOKUP($A9,数出表_Excel!$A$6:$T$150,COLUMN()/2+1,FALSE))),"")</f>
        <v/>
      </c>
      <c r="Q9" s="83"/>
      <c r="R9" s="197" t="str">
        <f ca="1">IFERROR(VALUE(IF(VLOOKUP($A9,数出表_Excel!$A$6:$T$150,COLUMN()/2+1,FALSE)=0,"",VLOOKUP($A9,数出表_Excel!$A$6:$T$150,COLUMN()/2+1,FALSE))),"")</f>
        <v/>
      </c>
      <c r="S9" s="67"/>
      <c r="T9" s="186" t="str">
        <f ca="1">IFERROR(VALUE(IF(VLOOKUP($A9,数出表_Excel!$A$6:$T$150,COLUMN()/2+1,FALSE)=0,"",VLOOKUP($A9,数出表_Excel!$A$6:$T$150,COLUMN()/2+1,FALSE))),"")</f>
        <v/>
      </c>
      <c r="U9" s="83"/>
      <c r="V9" s="197" t="str">
        <f ca="1">IFERROR(VALUE(IF(VLOOKUP($A9,数出表_Excel!$A$6:$T$150,COLUMN()/2+1,FALSE)=0,"",VLOOKUP($A9,数出表_Excel!$A$6:$T$150,COLUMN()/2+1,FALSE))),"")</f>
        <v/>
      </c>
      <c r="W9" s="67"/>
      <c r="X9" s="186" t="str">
        <f ca="1">IFERROR(VALUE(IF(VLOOKUP($A9,数出表_Excel!$A$6:$T$150,COLUMN()/2+1,FALSE)=0,"",VLOOKUP($A9,数出表_Excel!$A$6:$T$150,COLUMN()/2+1,FALSE))),"")</f>
        <v/>
      </c>
      <c r="Y9" s="83"/>
      <c r="Z9" s="197" t="str">
        <f ca="1">IFERROR(VALUE(IF(VLOOKUP($A9,数出表_Excel!$A$6:$T$150,COLUMN()/2+1,FALSE)=0,"",VLOOKUP($A9,数出表_Excel!$A$6:$T$150,COLUMN()/2+1,FALSE))),"")</f>
        <v/>
      </c>
      <c r="AA9" s="83"/>
      <c r="AB9" s="186" t="str">
        <f ca="1">IFERROR(VALUE(IF(VLOOKUP($A9,数出表_Excel!$A$6:$T$150,COLUMN()/2+1,FALSE)=0,"",VLOOKUP($A9,数出表_Excel!$A$6:$T$150,COLUMN()/2+1,FALSE))),"")</f>
        <v/>
      </c>
      <c r="AC9" s="83"/>
      <c r="AD9" s="186" t="str">
        <f ca="1">IFERROR(VALUE(IF(VLOOKUP($A9,数出表_Excel!$A$6:$T$150,COLUMN()/2+1,FALSE)=0,"",VLOOKUP($A9,数出表_Excel!$A$6:$T$150,COLUMN()/2+1,FALSE))),"")</f>
        <v/>
      </c>
      <c r="AE9" s="83"/>
      <c r="AF9" s="186" t="str">
        <f ca="1">IFERROR(VALUE(IF(VLOOKUP($A9,数出表_Excel!$A$6:$T$150,COLUMN()/2+1,FALSE)=0,"",VLOOKUP($A9,数出表_Excel!$A$6:$T$150,COLUMN()/2+1,FALSE))),"")</f>
        <v/>
      </c>
      <c r="AG9" s="83"/>
      <c r="AH9" s="186" t="str">
        <f ca="1">IFERROR(VALUE(IF(VLOOKUP($A9,数出表_Excel!$A$6:$T$150,COLUMN()/2+1,FALSE)=0,"",VLOOKUP($A9,数出表_Excel!$A$6:$T$150,COLUMN()/2+1,FALSE))),"")</f>
        <v/>
      </c>
      <c r="AI9" s="83"/>
      <c r="AJ9" s="186" t="str">
        <f ca="1">IFERROR(VALUE(IF(VLOOKUP($A9,数出表_Excel!$A$6:$T$150,COLUMN()/2+1,FALSE)=0,"",VLOOKUP($A9,数出表_Excel!$A$6:$T$150,COLUMN()/2+1,FALSE))),"")</f>
        <v/>
      </c>
      <c r="AK9" s="83"/>
      <c r="AL9" s="70" t="e">
        <f ca="1">IF(A9&lt;&gt;"",
IF(VLOOKUP($A9,数出表_Excel!$A$6:$T$150,COLUMN()/2+1,FALSE)=0,"",VLOOKUP($A9,数出表_Excel!$A$6:$T$150,COLUMN()/2+1,FALSE)),"")</f>
        <v>#N/A</v>
      </c>
      <c r="AM9" s="98" t="e">
        <f ca="1">数出表_Excel!V9</f>
        <v>#N/A</v>
      </c>
      <c r="AN9" s="99" t="e">
        <f ca="1">数出表_Excel!W9</f>
        <v>#N/A</v>
      </c>
    </row>
    <row r="10" spans="1:40" ht="16.2" customHeight="1">
      <c r="A10" s="88" t="e">
        <f t="array" aca="1" ref="A10" ca="1">IF(OR(COUNTIF(A8,"*10002*"),COUNTIF(A8,"")),"",INDEX(貼り付け用!$A1:$A200,MATCH(A8,貼り付け用!$A1:$A200,0)+2,0))</f>
        <v>#N/A</v>
      </c>
      <c r="B10" s="185" t="str">
        <f ca="1">IFERROR(VALUE(IF(VLOOKUP($A10,数出表_Excel!$A$6:$T$150,COLUMN()/2+1,FALSE)=0,"",VLOOKUP($A10,数出表_Excel!$A$6:$T$150,COLUMN()/2+1,FALSE))),"")</f>
        <v/>
      </c>
      <c r="C10" s="66"/>
      <c r="D10" s="185" t="str">
        <f ca="1">IFERROR(VALUE(IF(VLOOKUP($A10,数出表_Excel!$A$6:$T$150,COLUMN()/2+1,FALSE)=0,"",VLOOKUP($A10,数出表_Excel!$A$6:$T$150,COLUMN()/2+1,FALSE))),"")</f>
        <v/>
      </c>
      <c r="E10" s="82"/>
      <c r="F10" s="196" t="str">
        <f ca="1">IFERROR(VALUE(IF(VLOOKUP($A10,数出表_Excel!$A$6:$T$150,COLUMN()/2+1,FALSE)=0,"",VLOOKUP($A10,数出表_Excel!$A$6:$T$150,COLUMN()/2+1,FALSE))),"")</f>
        <v/>
      </c>
      <c r="G10" s="66"/>
      <c r="H10" s="185" t="str">
        <f ca="1">IFERROR(VALUE(IF(VLOOKUP($A10,数出表_Excel!$A$6:$T$150,COLUMN()/2+1,FALSE)=0,"",VLOOKUP($A10,数出表_Excel!$A$6:$T$150,COLUMN()/2+1,FALSE))),"")</f>
        <v/>
      </c>
      <c r="I10" s="82"/>
      <c r="J10" s="196" t="str">
        <f ca="1">IFERROR(VALUE(IF(VLOOKUP($A10,数出表_Excel!$A$6:$T$150,COLUMN()/2+1,FALSE)=0,"",VLOOKUP($A10,数出表_Excel!$A$6:$T$150,COLUMN()/2+1,FALSE))),"")</f>
        <v/>
      </c>
      <c r="K10" s="66"/>
      <c r="L10" s="185" t="str">
        <f ca="1">IFERROR(VALUE(IF(VLOOKUP($A10,数出表_Excel!$A$6:$T$150,COLUMN()/2+1,FALSE)=0,"",VLOOKUP($A10,数出表_Excel!$A$6:$T$150,COLUMN()/2+1,FALSE))),"")</f>
        <v/>
      </c>
      <c r="M10" s="82"/>
      <c r="N10" s="196" t="str">
        <f ca="1">IFERROR(VALUE(IF(VLOOKUP($A10,数出表_Excel!$A$6:$T$150,COLUMN()/2+1,FALSE)=0,"",VLOOKUP($A10,数出表_Excel!$A$6:$T$150,COLUMN()/2+1,FALSE))),"")</f>
        <v/>
      </c>
      <c r="O10" s="66"/>
      <c r="P10" s="185" t="str">
        <f ca="1">IFERROR(VALUE(IF(VLOOKUP($A10,数出表_Excel!$A$6:$T$150,COLUMN()/2+1,FALSE)=0,"",VLOOKUP($A10,数出表_Excel!$A$6:$T$150,COLUMN()/2+1,FALSE))),"")</f>
        <v/>
      </c>
      <c r="Q10" s="82"/>
      <c r="R10" s="196" t="str">
        <f ca="1">IFERROR(VALUE(IF(VLOOKUP($A10,数出表_Excel!$A$6:$T$150,COLUMN()/2+1,FALSE)=0,"",VLOOKUP($A10,数出表_Excel!$A$6:$T$150,COLUMN()/2+1,FALSE))),"")</f>
        <v/>
      </c>
      <c r="S10" s="66"/>
      <c r="T10" s="185" t="str">
        <f ca="1">IFERROR(VALUE(IF(VLOOKUP($A10,数出表_Excel!$A$6:$T$150,COLUMN()/2+1,FALSE)=0,"",VLOOKUP($A10,数出表_Excel!$A$6:$T$150,COLUMN()/2+1,FALSE))),"")</f>
        <v/>
      </c>
      <c r="U10" s="82"/>
      <c r="V10" s="196" t="str">
        <f ca="1">IFERROR(VALUE(IF(VLOOKUP($A10,数出表_Excel!$A$6:$T$150,COLUMN()/2+1,FALSE)=0,"",VLOOKUP($A10,数出表_Excel!$A$6:$T$150,COLUMN()/2+1,FALSE))),"")</f>
        <v/>
      </c>
      <c r="W10" s="66"/>
      <c r="X10" s="185" t="str">
        <f ca="1">IFERROR(VALUE(IF(VLOOKUP($A10,数出表_Excel!$A$6:$T$150,COLUMN()/2+1,FALSE)=0,"",VLOOKUP($A10,数出表_Excel!$A$6:$T$150,COLUMN()/2+1,FALSE))),"")</f>
        <v/>
      </c>
      <c r="Y10" s="82"/>
      <c r="Z10" s="196" t="str">
        <f ca="1">IFERROR(VALUE(IF(VLOOKUP($A10,数出表_Excel!$A$6:$T$150,COLUMN()/2+1,FALSE)=0,"",VLOOKUP($A10,数出表_Excel!$A$6:$T$150,COLUMN()/2+1,FALSE))),"")</f>
        <v/>
      </c>
      <c r="AA10" s="82"/>
      <c r="AB10" s="185" t="str">
        <f ca="1">IFERROR(VALUE(IF(VLOOKUP($A10,数出表_Excel!$A$6:$T$150,COLUMN()/2+1,FALSE)=0,"",VLOOKUP($A10,数出表_Excel!$A$6:$T$150,COLUMN()/2+1,FALSE))),"")</f>
        <v/>
      </c>
      <c r="AC10" s="82"/>
      <c r="AD10" s="185" t="str">
        <f ca="1">IFERROR(VALUE(IF(VLOOKUP($A10,数出表_Excel!$A$6:$T$150,COLUMN()/2+1,FALSE)=0,"",VLOOKUP($A10,数出表_Excel!$A$6:$T$150,COLUMN()/2+1,FALSE))),"")</f>
        <v/>
      </c>
      <c r="AE10" s="82"/>
      <c r="AF10" s="185" t="str">
        <f ca="1">IFERROR(VALUE(IF(VLOOKUP($A10,数出表_Excel!$A$6:$T$150,COLUMN()/2+1,FALSE)=0,"",VLOOKUP($A10,数出表_Excel!$A$6:$T$150,COLUMN()/2+1,FALSE))),"")</f>
        <v/>
      </c>
      <c r="AG10" s="82"/>
      <c r="AH10" s="185" t="str">
        <f ca="1">IFERROR(VALUE(IF(VLOOKUP($A10,数出表_Excel!$A$6:$T$150,COLUMN()/2+1,FALSE)=0,"",VLOOKUP($A10,数出表_Excel!$A$6:$T$150,COLUMN()/2+1,FALSE))),"")</f>
        <v/>
      </c>
      <c r="AI10" s="82"/>
      <c r="AJ10" s="185" t="str">
        <f ca="1">IFERROR(VALUE(IF(VLOOKUP($A10,数出表_Excel!$A$6:$T$150,COLUMN()/2+1,FALSE)=0,"",VLOOKUP($A10,数出表_Excel!$A$6:$T$150,COLUMN()/2+1,FALSE))),"")</f>
        <v/>
      </c>
      <c r="AK10" s="82"/>
      <c r="AL10" s="68" t="e">
        <f ca="1">IF(A10&lt;&gt;"",
IF(VLOOKUP($A10,数出表_Excel!$A$6:$T$150,COLUMN()/2+1,FALSE)=0,"",VLOOKUP($A10,数出表_Excel!$A$6:$T$150,COLUMN()/2+1,FALSE)),"")</f>
        <v>#N/A</v>
      </c>
      <c r="AM10" s="96" t="e">
        <f ca="1">数出表_Excel!V10</f>
        <v>#N/A</v>
      </c>
      <c r="AN10" s="97" t="e">
        <f ca="1">数出表_Excel!W10</f>
        <v>#N/A</v>
      </c>
    </row>
    <row r="11" spans="1:40" ht="16.2" customHeight="1">
      <c r="A11" s="89" t="e">
        <f t="array" aca="1" ref="A11" ca="1">IF(OR(COUNTIF(A9,"*1000*"),COUNTIF(A9,"")),"",INDEX(貼り付け用!$A1:$A200,MATCH(A9,貼り付け用!$A1:$A200,0)+2,0))</f>
        <v>#N/A</v>
      </c>
      <c r="B11" s="186" t="str">
        <f ca="1">IFERROR(VALUE(IF(VLOOKUP($A11,数出表_Excel!$A$6:$T$150,COLUMN()/2+1,FALSE)=0,"",VLOOKUP($A11,数出表_Excel!$A$6:$T$150,COLUMN()/2+1,FALSE))),"")</f>
        <v/>
      </c>
      <c r="C11" s="67"/>
      <c r="D11" s="186" t="str">
        <f ca="1">IFERROR(VALUE(IF(VLOOKUP($A11,数出表_Excel!$A$6:$T$150,COLUMN()/2+1,FALSE)=0,"",VLOOKUP($A11,数出表_Excel!$A$6:$T$150,COLUMN()/2+1,FALSE))),"")</f>
        <v/>
      </c>
      <c r="E11" s="83"/>
      <c r="F11" s="197" t="str">
        <f ca="1">IFERROR(VALUE(IF(VLOOKUP($A11,数出表_Excel!$A$6:$T$150,COLUMN()/2+1,FALSE)=0,"",VLOOKUP($A11,数出表_Excel!$A$6:$T$150,COLUMN()/2+1,FALSE))),"")</f>
        <v/>
      </c>
      <c r="G11" s="67"/>
      <c r="H11" s="186" t="str">
        <f ca="1">IFERROR(VALUE(IF(VLOOKUP($A11,数出表_Excel!$A$6:$T$150,COLUMN()/2+1,FALSE)=0,"",VLOOKUP($A11,数出表_Excel!$A$6:$T$150,COLUMN()/2+1,FALSE))),"")</f>
        <v/>
      </c>
      <c r="I11" s="83"/>
      <c r="J11" s="197" t="str">
        <f ca="1">IFERROR(VALUE(IF(VLOOKUP($A11,数出表_Excel!$A$6:$T$150,COLUMN()/2+1,FALSE)=0,"",VLOOKUP($A11,数出表_Excel!$A$6:$T$150,COLUMN()/2+1,FALSE))),"")</f>
        <v/>
      </c>
      <c r="K11" s="67"/>
      <c r="L11" s="186" t="str">
        <f ca="1">IFERROR(VALUE(IF(VLOOKUP($A11,数出表_Excel!$A$6:$T$150,COLUMN()/2+1,FALSE)=0,"",VLOOKUP($A11,数出表_Excel!$A$6:$T$150,COLUMN()/2+1,FALSE))),"")</f>
        <v/>
      </c>
      <c r="M11" s="83"/>
      <c r="N11" s="197" t="str">
        <f ca="1">IFERROR(VALUE(IF(VLOOKUP($A11,数出表_Excel!$A$6:$T$150,COLUMN()/2+1,FALSE)=0,"",VLOOKUP($A11,数出表_Excel!$A$6:$T$150,COLUMN()/2+1,FALSE))),"")</f>
        <v/>
      </c>
      <c r="O11" s="67"/>
      <c r="P11" s="186" t="str">
        <f ca="1">IFERROR(VALUE(IF(VLOOKUP($A11,数出表_Excel!$A$6:$T$150,COLUMN()/2+1,FALSE)=0,"",VLOOKUP($A11,数出表_Excel!$A$6:$T$150,COLUMN()/2+1,FALSE))),"")</f>
        <v/>
      </c>
      <c r="Q11" s="83"/>
      <c r="R11" s="197" t="str">
        <f ca="1">IFERROR(VALUE(IF(VLOOKUP($A11,数出表_Excel!$A$6:$T$150,COLUMN()/2+1,FALSE)=0,"",VLOOKUP($A11,数出表_Excel!$A$6:$T$150,COLUMN()/2+1,FALSE))),"")</f>
        <v/>
      </c>
      <c r="S11" s="67"/>
      <c r="T11" s="186" t="str">
        <f ca="1">IFERROR(VALUE(IF(VLOOKUP($A11,数出表_Excel!$A$6:$T$150,COLUMN()/2+1,FALSE)=0,"",VLOOKUP($A11,数出表_Excel!$A$6:$T$150,COLUMN()/2+1,FALSE))),"")</f>
        <v/>
      </c>
      <c r="U11" s="83"/>
      <c r="V11" s="197" t="str">
        <f ca="1">IFERROR(VALUE(IF(VLOOKUP($A11,数出表_Excel!$A$6:$T$150,COLUMN()/2+1,FALSE)=0,"",VLOOKUP($A11,数出表_Excel!$A$6:$T$150,COLUMN()/2+1,FALSE))),"")</f>
        <v/>
      </c>
      <c r="W11" s="67"/>
      <c r="X11" s="186" t="str">
        <f ca="1">IFERROR(VALUE(IF(VLOOKUP($A11,数出表_Excel!$A$6:$T$150,COLUMN()/2+1,FALSE)=0,"",VLOOKUP($A11,数出表_Excel!$A$6:$T$150,COLUMN()/2+1,FALSE))),"")</f>
        <v/>
      </c>
      <c r="Y11" s="83"/>
      <c r="Z11" s="197" t="str">
        <f ca="1">IFERROR(VALUE(IF(VLOOKUP($A11,数出表_Excel!$A$6:$T$150,COLUMN()/2+1,FALSE)=0,"",VLOOKUP($A11,数出表_Excel!$A$6:$T$150,COLUMN()/2+1,FALSE))),"")</f>
        <v/>
      </c>
      <c r="AA11" s="83"/>
      <c r="AB11" s="186" t="str">
        <f ca="1">IFERROR(VALUE(IF(VLOOKUP($A11,数出表_Excel!$A$6:$T$150,COLUMN()/2+1,FALSE)=0,"",VLOOKUP($A11,数出表_Excel!$A$6:$T$150,COLUMN()/2+1,FALSE))),"")</f>
        <v/>
      </c>
      <c r="AC11" s="83"/>
      <c r="AD11" s="186" t="str">
        <f ca="1">IFERROR(VALUE(IF(VLOOKUP($A11,数出表_Excel!$A$6:$T$150,COLUMN()/2+1,FALSE)=0,"",VLOOKUP($A11,数出表_Excel!$A$6:$T$150,COLUMN()/2+1,FALSE))),"")</f>
        <v/>
      </c>
      <c r="AE11" s="83"/>
      <c r="AF11" s="186" t="str">
        <f ca="1">IFERROR(VALUE(IF(VLOOKUP($A11,数出表_Excel!$A$6:$T$150,COLUMN()/2+1,FALSE)=0,"",VLOOKUP($A11,数出表_Excel!$A$6:$T$150,COLUMN()/2+1,FALSE))),"")</f>
        <v/>
      </c>
      <c r="AG11" s="83"/>
      <c r="AH11" s="186" t="str">
        <f ca="1">IFERROR(VALUE(IF(VLOOKUP($A11,数出表_Excel!$A$6:$T$150,COLUMN()/2+1,FALSE)=0,"",VLOOKUP($A11,数出表_Excel!$A$6:$T$150,COLUMN()/2+1,FALSE))),"")</f>
        <v/>
      </c>
      <c r="AI11" s="83"/>
      <c r="AJ11" s="186" t="str">
        <f ca="1">IFERROR(VALUE(IF(VLOOKUP($A11,数出表_Excel!$A$6:$T$150,COLUMN()/2+1,FALSE)=0,"",VLOOKUP($A11,数出表_Excel!$A$6:$T$150,COLUMN()/2+1,FALSE))),"")</f>
        <v/>
      </c>
      <c r="AK11" s="83"/>
      <c r="AL11" s="70" t="e">
        <f ca="1">IF(A11&lt;&gt;"",
IF(VLOOKUP($A11,数出表_Excel!$A$6:$T$150,COLUMN()/2+1,FALSE)=0,"",VLOOKUP($A11,数出表_Excel!$A$6:$T$150,COLUMN()/2+1,FALSE)),"")</f>
        <v>#N/A</v>
      </c>
      <c r="AM11" s="98" t="e">
        <f ca="1">数出表_Excel!V11</f>
        <v>#N/A</v>
      </c>
      <c r="AN11" s="99" t="e">
        <f ca="1">数出表_Excel!W11</f>
        <v>#N/A</v>
      </c>
    </row>
    <row r="12" spans="1:40" ht="16.2" customHeight="1">
      <c r="A12" s="88" t="e">
        <f t="array" aca="1" ref="A12" ca="1">IF(OR(COUNTIF(A10,"*10002*"),COUNTIF(A10,"")),"",INDEX(貼り付け用!$A1:$A200,MATCH(A10,貼り付け用!$A1:$A200,0)+2,0))</f>
        <v>#N/A</v>
      </c>
      <c r="B12" s="185" t="str">
        <f ca="1">IFERROR(VALUE(IF(VLOOKUP($A12,数出表_Excel!$A$6:$T$150,COLUMN()/2+1,FALSE)=0,"",VLOOKUP($A12,数出表_Excel!$A$6:$T$150,COLUMN()/2+1,FALSE))),"")</f>
        <v/>
      </c>
      <c r="C12" s="66"/>
      <c r="D12" s="185" t="str">
        <f ca="1">IFERROR(VALUE(IF(VLOOKUP($A12,数出表_Excel!$A$6:$T$150,COLUMN()/2+1,FALSE)=0,"",VLOOKUP($A12,数出表_Excel!$A$6:$T$150,COLUMN()/2+1,FALSE))),"")</f>
        <v/>
      </c>
      <c r="E12" s="82"/>
      <c r="F12" s="196" t="str">
        <f ca="1">IFERROR(VALUE(IF(VLOOKUP($A12,数出表_Excel!$A$6:$T$150,COLUMN()/2+1,FALSE)=0,"",VLOOKUP($A12,数出表_Excel!$A$6:$T$150,COLUMN()/2+1,FALSE))),"")</f>
        <v/>
      </c>
      <c r="G12" s="66"/>
      <c r="H12" s="185" t="str">
        <f ca="1">IFERROR(VALUE(IF(VLOOKUP($A12,数出表_Excel!$A$6:$T$150,COLUMN()/2+1,FALSE)=0,"",VLOOKUP($A12,数出表_Excel!$A$6:$T$150,COLUMN()/2+1,FALSE))),"")</f>
        <v/>
      </c>
      <c r="I12" s="82"/>
      <c r="J12" s="196" t="str">
        <f ca="1">IFERROR(VALUE(IF(VLOOKUP($A12,数出表_Excel!$A$6:$T$150,COLUMN()/2+1,FALSE)=0,"",VLOOKUP($A12,数出表_Excel!$A$6:$T$150,COLUMN()/2+1,FALSE))),"")</f>
        <v/>
      </c>
      <c r="K12" s="66"/>
      <c r="L12" s="185" t="str">
        <f ca="1">IFERROR(VALUE(IF(VLOOKUP($A12,数出表_Excel!$A$6:$T$150,COLUMN()/2+1,FALSE)=0,"",VLOOKUP($A12,数出表_Excel!$A$6:$T$150,COLUMN()/2+1,FALSE))),"")</f>
        <v/>
      </c>
      <c r="M12" s="82"/>
      <c r="N12" s="196" t="str">
        <f ca="1">IFERROR(VALUE(IF(VLOOKUP($A12,数出表_Excel!$A$6:$T$150,COLUMN()/2+1,FALSE)=0,"",VLOOKUP($A12,数出表_Excel!$A$6:$T$150,COLUMN()/2+1,FALSE))),"")</f>
        <v/>
      </c>
      <c r="O12" s="66"/>
      <c r="P12" s="185" t="str">
        <f ca="1">IFERROR(VALUE(IF(VLOOKUP($A12,数出表_Excel!$A$6:$T$150,COLUMN()/2+1,FALSE)=0,"",VLOOKUP($A12,数出表_Excel!$A$6:$T$150,COLUMN()/2+1,FALSE))),"")</f>
        <v/>
      </c>
      <c r="Q12" s="82"/>
      <c r="R12" s="196" t="str">
        <f ca="1">IFERROR(VALUE(IF(VLOOKUP($A12,数出表_Excel!$A$6:$T$150,COLUMN()/2+1,FALSE)=0,"",VLOOKUP($A12,数出表_Excel!$A$6:$T$150,COLUMN()/2+1,FALSE))),"")</f>
        <v/>
      </c>
      <c r="S12" s="66"/>
      <c r="T12" s="185" t="str">
        <f ca="1">IFERROR(VALUE(IF(VLOOKUP($A12,数出表_Excel!$A$6:$T$150,COLUMN()/2+1,FALSE)=0,"",VLOOKUP($A12,数出表_Excel!$A$6:$T$150,COLUMN()/2+1,FALSE))),"")</f>
        <v/>
      </c>
      <c r="U12" s="82"/>
      <c r="V12" s="196" t="str">
        <f ca="1">IFERROR(VALUE(IF(VLOOKUP($A12,数出表_Excel!$A$6:$T$150,COLUMN()/2+1,FALSE)=0,"",VLOOKUP($A12,数出表_Excel!$A$6:$T$150,COLUMN()/2+1,FALSE))),"")</f>
        <v/>
      </c>
      <c r="W12" s="66"/>
      <c r="X12" s="185" t="str">
        <f ca="1">IFERROR(VALUE(IF(VLOOKUP($A12,数出表_Excel!$A$6:$T$150,COLUMN()/2+1,FALSE)=0,"",VLOOKUP($A12,数出表_Excel!$A$6:$T$150,COLUMN()/2+1,FALSE))),"")</f>
        <v/>
      </c>
      <c r="Y12" s="82"/>
      <c r="Z12" s="196" t="str">
        <f ca="1">IFERROR(VALUE(IF(VLOOKUP($A12,数出表_Excel!$A$6:$T$150,COLUMN()/2+1,FALSE)=0,"",VLOOKUP($A12,数出表_Excel!$A$6:$T$150,COLUMN()/2+1,FALSE))),"")</f>
        <v/>
      </c>
      <c r="AA12" s="82"/>
      <c r="AB12" s="185" t="str">
        <f ca="1">IFERROR(VALUE(IF(VLOOKUP($A12,数出表_Excel!$A$6:$T$150,COLUMN()/2+1,FALSE)=0,"",VLOOKUP($A12,数出表_Excel!$A$6:$T$150,COLUMN()/2+1,FALSE))),"")</f>
        <v/>
      </c>
      <c r="AC12" s="82"/>
      <c r="AD12" s="185" t="str">
        <f ca="1">IFERROR(VALUE(IF(VLOOKUP($A12,数出表_Excel!$A$6:$T$150,COLUMN()/2+1,FALSE)=0,"",VLOOKUP($A12,数出表_Excel!$A$6:$T$150,COLUMN()/2+1,FALSE))),"")</f>
        <v/>
      </c>
      <c r="AE12" s="82"/>
      <c r="AF12" s="185" t="str">
        <f ca="1">IFERROR(VALUE(IF(VLOOKUP($A12,数出表_Excel!$A$6:$T$150,COLUMN()/2+1,FALSE)=0,"",VLOOKUP($A12,数出表_Excel!$A$6:$T$150,COLUMN()/2+1,FALSE))),"")</f>
        <v/>
      </c>
      <c r="AG12" s="82"/>
      <c r="AH12" s="185" t="str">
        <f ca="1">IFERROR(VALUE(IF(VLOOKUP($A12,数出表_Excel!$A$6:$T$150,COLUMN()/2+1,FALSE)=0,"",VLOOKUP($A12,数出表_Excel!$A$6:$T$150,COLUMN()/2+1,FALSE))),"")</f>
        <v/>
      </c>
      <c r="AI12" s="82"/>
      <c r="AJ12" s="185" t="str">
        <f ca="1">IFERROR(VALUE(IF(VLOOKUP($A12,数出表_Excel!$A$6:$T$150,COLUMN()/2+1,FALSE)=0,"",VLOOKUP($A12,数出表_Excel!$A$6:$T$150,COLUMN()/2+1,FALSE))),"")</f>
        <v/>
      </c>
      <c r="AK12" s="82"/>
      <c r="AL12" s="68" t="e">
        <f ca="1">IF(A12&lt;&gt;"",
IF(VLOOKUP($A12,数出表_Excel!$A$6:$T$150,COLUMN()/2+1,FALSE)=0,"",VLOOKUP($A12,数出表_Excel!$A$6:$T$150,COLUMN()/2+1,FALSE)),"")</f>
        <v>#N/A</v>
      </c>
      <c r="AM12" s="96" t="e">
        <f ca="1">数出表_Excel!V12</f>
        <v>#N/A</v>
      </c>
      <c r="AN12" s="97" t="e">
        <f ca="1">数出表_Excel!W12</f>
        <v>#N/A</v>
      </c>
    </row>
    <row r="13" spans="1:40" ht="16.2" customHeight="1">
      <c r="A13" s="89" t="e">
        <f t="array" aca="1" ref="A13" ca="1">IF(OR(COUNTIF(A11,"*1000*"),COUNTIF(A11,"")),"",INDEX(貼り付け用!$A1:$A200,MATCH(A11,貼り付け用!$A1:$A200,0)+2,0))</f>
        <v>#N/A</v>
      </c>
      <c r="B13" s="186" t="str">
        <f ca="1">IFERROR(VALUE(IF(VLOOKUP($A13,数出表_Excel!$A$6:$T$150,COLUMN()/2+1,FALSE)=0,"",VLOOKUP($A13,数出表_Excel!$A$6:$T$150,COLUMN()/2+1,FALSE))),"")</f>
        <v/>
      </c>
      <c r="C13" s="67"/>
      <c r="D13" s="186" t="str">
        <f ca="1">IFERROR(VALUE(IF(VLOOKUP($A13,数出表_Excel!$A$6:$T$150,COLUMN()/2+1,FALSE)=0,"",VLOOKUP($A13,数出表_Excel!$A$6:$T$150,COLUMN()/2+1,FALSE))),"")</f>
        <v/>
      </c>
      <c r="E13" s="83"/>
      <c r="F13" s="197" t="str">
        <f ca="1">IFERROR(VALUE(IF(VLOOKUP($A13,数出表_Excel!$A$6:$T$150,COLUMN()/2+1,FALSE)=0,"",VLOOKUP($A13,数出表_Excel!$A$6:$T$150,COLUMN()/2+1,FALSE))),"")</f>
        <v/>
      </c>
      <c r="G13" s="67"/>
      <c r="H13" s="186" t="str">
        <f ca="1">IFERROR(VALUE(IF(VLOOKUP($A13,数出表_Excel!$A$6:$T$150,COLUMN()/2+1,FALSE)=0,"",VLOOKUP($A13,数出表_Excel!$A$6:$T$150,COLUMN()/2+1,FALSE))),"")</f>
        <v/>
      </c>
      <c r="I13" s="83"/>
      <c r="J13" s="197" t="str">
        <f ca="1">IFERROR(VALUE(IF(VLOOKUP($A13,数出表_Excel!$A$6:$T$150,COLUMN()/2+1,FALSE)=0,"",VLOOKUP($A13,数出表_Excel!$A$6:$T$150,COLUMN()/2+1,FALSE))),"")</f>
        <v/>
      </c>
      <c r="K13" s="67"/>
      <c r="L13" s="186" t="str">
        <f ca="1">IFERROR(VALUE(IF(VLOOKUP($A13,数出表_Excel!$A$6:$T$150,COLUMN()/2+1,FALSE)=0,"",VLOOKUP($A13,数出表_Excel!$A$6:$T$150,COLUMN()/2+1,FALSE))),"")</f>
        <v/>
      </c>
      <c r="M13" s="83"/>
      <c r="N13" s="197" t="str">
        <f ca="1">IFERROR(VALUE(IF(VLOOKUP($A13,数出表_Excel!$A$6:$T$150,COLUMN()/2+1,FALSE)=0,"",VLOOKUP($A13,数出表_Excel!$A$6:$T$150,COLUMN()/2+1,FALSE))),"")</f>
        <v/>
      </c>
      <c r="O13" s="67"/>
      <c r="P13" s="186" t="str">
        <f ca="1">IFERROR(VALUE(IF(VLOOKUP($A13,数出表_Excel!$A$6:$T$150,COLUMN()/2+1,FALSE)=0,"",VLOOKUP($A13,数出表_Excel!$A$6:$T$150,COLUMN()/2+1,FALSE))),"")</f>
        <v/>
      </c>
      <c r="Q13" s="83"/>
      <c r="R13" s="197" t="str">
        <f ca="1">IFERROR(VALUE(IF(VLOOKUP($A13,数出表_Excel!$A$6:$T$150,COLUMN()/2+1,FALSE)=0,"",VLOOKUP($A13,数出表_Excel!$A$6:$T$150,COLUMN()/2+1,FALSE))),"")</f>
        <v/>
      </c>
      <c r="S13" s="67"/>
      <c r="T13" s="186" t="str">
        <f ca="1">IFERROR(VALUE(IF(VLOOKUP($A13,数出表_Excel!$A$6:$T$150,COLUMN()/2+1,FALSE)=0,"",VLOOKUP($A13,数出表_Excel!$A$6:$T$150,COLUMN()/2+1,FALSE))),"")</f>
        <v/>
      </c>
      <c r="U13" s="83"/>
      <c r="V13" s="197" t="str">
        <f ca="1">IFERROR(VALUE(IF(VLOOKUP($A13,数出表_Excel!$A$6:$T$150,COLUMN()/2+1,FALSE)=0,"",VLOOKUP($A13,数出表_Excel!$A$6:$T$150,COLUMN()/2+1,FALSE))),"")</f>
        <v/>
      </c>
      <c r="W13" s="67"/>
      <c r="X13" s="186" t="str">
        <f ca="1">IFERROR(VALUE(IF(VLOOKUP($A13,数出表_Excel!$A$6:$T$150,COLUMN()/2+1,FALSE)=0,"",VLOOKUP($A13,数出表_Excel!$A$6:$T$150,COLUMN()/2+1,FALSE))),"")</f>
        <v/>
      </c>
      <c r="Y13" s="83"/>
      <c r="Z13" s="197" t="str">
        <f ca="1">IFERROR(VALUE(IF(VLOOKUP($A13,数出表_Excel!$A$6:$T$150,COLUMN()/2+1,FALSE)=0,"",VLOOKUP($A13,数出表_Excel!$A$6:$T$150,COLUMN()/2+1,FALSE))),"")</f>
        <v/>
      </c>
      <c r="AA13" s="83"/>
      <c r="AB13" s="186" t="str">
        <f ca="1">IFERROR(VALUE(IF(VLOOKUP($A13,数出表_Excel!$A$6:$T$150,COLUMN()/2+1,FALSE)=0,"",VLOOKUP($A13,数出表_Excel!$A$6:$T$150,COLUMN()/2+1,FALSE))),"")</f>
        <v/>
      </c>
      <c r="AC13" s="83"/>
      <c r="AD13" s="186" t="str">
        <f ca="1">IFERROR(VALUE(IF(VLOOKUP($A13,数出表_Excel!$A$6:$T$150,COLUMN()/2+1,FALSE)=0,"",VLOOKUP($A13,数出表_Excel!$A$6:$T$150,COLUMN()/2+1,FALSE))),"")</f>
        <v/>
      </c>
      <c r="AE13" s="83"/>
      <c r="AF13" s="186" t="str">
        <f ca="1">IFERROR(VALUE(IF(VLOOKUP($A13,数出表_Excel!$A$6:$T$150,COLUMN()/2+1,FALSE)=0,"",VLOOKUP($A13,数出表_Excel!$A$6:$T$150,COLUMN()/2+1,FALSE))),"")</f>
        <v/>
      </c>
      <c r="AG13" s="83"/>
      <c r="AH13" s="186" t="str">
        <f ca="1">IFERROR(VALUE(IF(VLOOKUP($A13,数出表_Excel!$A$6:$T$150,COLUMN()/2+1,FALSE)=0,"",VLOOKUP($A13,数出表_Excel!$A$6:$T$150,COLUMN()/2+1,FALSE))),"")</f>
        <v/>
      </c>
      <c r="AI13" s="83"/>
      <c r="AJ13" s="186" t="str">
        <f ca="1">IFERROR(VALUE(IF(VLOOKUP($A13,数出表_Excel!$A$6:$T$150,COLUMN()/2+1,FALSE)=0,"",VLOOKUP($A13,数出表_Excel!$A$6:$T$150,COLUMN()/2+1,FALSE))),"")</f>
        <v/>
      </c>
      <c r="AK13" s="83"/>
      <c r="AL13" s="70" t="e">
        <f ca="1">IF(A13&lt;&gt;"",
IF(VLOOKUP($A13,数出表_Excel!$A$6:$T$150,COLUMN()/2+1,FALSE)=0,"",VLOOKUP($A13,数出表_Excel!$A$6:$T$150,COLUMN()/2+1,FALSE)),"")</f>
        <v>#N/A</v>
      </c>
      <c r="AM13" s="98" t="e">
        <f ca="1">数出表_Excel!V13</f>
        <v>#N/A</v>
      </c>
      <c r="AN13" s="99" t="e">
        <f ca="1">数出表_Excel!W13</f>
        <v>#N/A</v>
      </c>
    </row>
    <row r="14" spans="1:40" ht="16.2" customHeight="1">
      <c r="A14" s="88" t="e">
        <f t="array" aca="1" ref="A14" ca="1">IF(OR(COUNTIF(A12,"*10002*"),COUNTIF(A12,"")),"",INDEX(貼り付け用!$A1:$A200,MATCH(A12,貼り付け用!$A1:$A200,0)+2,0))</f>
        <v>#N/A</v>
      </c>
      <c r="B14" s="185" t="str">
        <f ca="1">IFERROR(VALUE(IF(VLOOKUP($A14,数出表_Excel!$A$6:$T$150,COLUMN()/2+1,FALSE)=0,"",VLOOKUP($A14,数出表_Excel!$A$6:$T$150,COLUMN()/2+1,FALSE))),"")</f>
        <v/>
      </c>
      <c r="C14" s="66"/>
      <c r="D14" s="185" t="str">
        <f ca="1">IFERROR(VALUE(IF(VLOOKUP($A14,数出表_Excel!$A$6:$T$150,COLUMN()/2+1,FALSE)=0,"",VLOOKUP($A14,数出表_Excel!$A$6:$T$150,COLUMN()/2+1,FALSE))),"")</f>
        <v/>
      </c>
      <c r="E14" s="82"/>
      <c r="F14" s="196" t="str">
        <f ca="1">IFERROR(VALUE(IF(VLOOKUP($A14,数出表_Excel!$A$6:$T$150,COLUMN()/2+1,FALSE)=0,"",VLOOKUP($A14,数出表_Excel!$A$6:$T$150,COLUMN()/2+1,FALSE))),"")</f>
        <v/>
      </c>
      <c r="G14" s="66"/>
      <c r="H14" s="185" t="str">
        <f ca="1">IFERROR(VALUE(IF(VLOOKUP($A14,数出表_Excel!$A$6:$T$150,COLUMN()/2+1,FALSE)=0,"",VLOOKUP($A14,数出表_Excel!$A$6:$T$150,COLUMN()/2+1,FALSE))),"")</f>
        <v/>
      </c>
      <c r="I14" s="82"/>
      <c r="J14" s="196" t="str">
        <f ca="1">IFERROR(VALUE(IF(VLOOKUP($A14,数出表_Excel!$A$6:$T$150,COLUMN()/2+1,FALSE)=0,"",VLOOKUP($A14,数出表_Excel!$A$6:$T$150,COLUMN()/2+1,FALSE))),"")</f>
        <v/>
      </c>
      <c r="K14" s="66"/>
      <c r="L14" s="185" t="str">
        <f ca="1">IFERROR(VALUE(IF(VLOOKUP($A14,数出表_Excel!$A$6:$T$150,COLUMN()/2+1,FALSE)=0,"",VLOOKUP($A14,数出表_Excel!$A$6:$T$150,COLUMN()/2+1,FALSE))),"")</f>
        <v/>
      </c>
      <c r="M14" s="82"/>
      <c r="N14" s="196" t="str">
        <f ca="1">IFERROR(VALUE(IF(VLOOKUP($A14,数出表_Excel!$A$6:$T$150,COLUMN()/2+1,FALSE)=0,"",VLOOKUP($A14,数出表_Excel!$A$6:$T$150,COLUMN()/2+1,FALSE))),"")</f>
        <v/>
      </c>
      <c r="O14" s="66"/>
      <c r="P14" s="185" t="str">
        <f ca="1">IFERROR(VALUE(IF(VLOOKUP($A14,数出表_Excel!$A$6:$T$150,COLUMN()/2+1,FALSE)=0,"",VLOOKUP($A14,数出表_Excel!$A$6:$T$150,COLUMN()/2+1,FALSE))),"")</f>
        <v/>
      </c>
      <c r="Q14" s="82"/>
      <c r="R14" s="196" t="str">
        <f ca="1">IFERROR(VALUE(IF(VLOOKUP($A14,数出表_Excel!$A$6:$T$150,COLUMN()/2+1,FALSE)=0,"",VLOOKUP($A14,数出表_Excel!$A$6:$T$150,COLUMN()/2+1,FALSE))),"")</f>
        <v/>
      </c>
      <c r="S14" s="66"/>
      <c r="T14" s="185" t="str">
        <f ca="1">IFERROR(VALUE(IF(VLOOKUP($A14,数出表_Excel!$A$6:$T$150,COLUMN()/2+1,FALSE)=0,"",VLOOKUP($A14,数出表_Excel!$A$6:$T$150,COLUMN()/2+1,FALSE))),"")</f>
        <v/>
      </c>
      <c r="U14" s="82"/>
      <c r="V14" s="196" t="str">
        <f ca="1">IFERROR(VALUE(IF(VLOOKUP($A14,数出表_Excel!$A$6:$T$150,COLUMN()/2+1,FALSE)=0,"",VLOOKUP($A14,数出表_Excel!$A$6:$T$150,COLUMN()/2+1,FALSE))),"")</f>
        <v/>
      </c>
      <c r="W14" s="66"/>
      <c r="X14" s="185" t="str">
        <f ca="1">IFERROR(VALUE(IF(VLOOKUP($A14,数出表_Excel!$A$6:$T$150,COLUMN()/2+1,FALSE)=0,"",VLOOKUP($A14,数出表_Excel!$A$6:$T$150,COLUMN()/2+1,FALSE))),"")</f>
        <v/>
      </c>
      <c r="Y14" s="82"/>
      <c r="Z14" s="196" t="str">
        <f ca="1">IFERROR(VALUE(IF(VLOOKUP($A14,数出表_Excel!$A$6:$T$150,COLUMN()/2+1,FALSE)=0,"",VLOOKUP($A14,数出表_Excel!$A$6:$T$150,COLUMN()/2+1,FALSE))),"")</f>
        <v/>
      </c>
      <c r="AA14" s="82"/>
      <c r="AB14" s="185" t="str">
        <f ca="1">IFERROR(VALUE(IF(VLOOKUP($A14,数出表_Excel!$A$6:$T$150,COLUMN()/2+1,FALSE)=0,"",VLOOKUP($A14,数出表_Excel!$A$6:$T$150,COLUMN()/2+1,FALSE))),"")</f>
        <v/>
      </c>
      <c r="AC14" s="82"/>
      <c r="AD14" s="185" t="str">
        <f ca="1">IFERROR(VALUE(IF(VLOOKUP($A14,数出表_Excel!$A$6:$T$150,COLUMN()/2+1,FALSE)=0,"",VLOOKUP($A14,数出表_Excel!$A$6:$T$150,COLUMN()/2+1,FALSE))),"")</f>
        <v/>
      </c>
      <c r="AE14" s="82"/>
      <c r="AF14" s="185" t="str">
        <f ca="1">IFERROR(VALUE(IF(VLOOKUP($A14,数出表_Excel!$A$6:$T$150,COLUMN()/2+1,FALSE)=0,"",VLOOKUP($A14,数出表_Excel!$A$6:$T$150,COLUMN()/2+1,FALSE))),"")</f>
        <v/>
      </c>
      <c r="AG14" s="82"/>
      <c r="AH14" s="185" t="str">
        <f ca="1">IFERROR(VALUE(IF(VLOOKUP($A14,数出表_Excel!$A$6:$T$150,COLUMN()/2+1,FALSE)=0,"",VLOOKUP($A14,数出表_Excel!$A$6:$T$150,COLUMN()/2+1,FALSE))),"")</f>
        <v/>
      </c>
      <c r="AI14" s="82"/>
      <c r="AJ14" s="185" t="str">
        <f ca="1">IFERROR(VALUE(IF(VLOOKUP($A14,数出表_Excel!$A$6:$T$150,COLUMN()/2+1,FALSE)=0,"",VLOOKUP($A14,数出表_Excel!$A$6:$T$150,COLUMN()/2+1,FALSE))),"")</f>
        <v/>
      </c>
      <c r="AK14" s="82"/>
      <c r="AL14" s="68" t="e">
        <f ca="1">IF(A14&lt;&gt;"",
IF(VLOOKUP($A14,数出表_Excel!$A$6:$T$150,COLUMN()/2+1,FALSE)=0,"",VLOOKUP($A14,数出表_Excel!$A$6:$T$150,COLUMN()/2+1,FALSE)),"")</f>
        <v>#N/A</v>
      </c>
      <c r="AM14" s="96" t="e">
        <f ca="1">数出表_Excel!V14</f>
        <v>#N/A</v>
      </c>
      <c r="AN14" s="97" t="e">
        <f ca="1">数出表_Excel!W14</f>
        <v>#N/A</v>
      </c>
    </row>
    <row r="15" spans="1:40" ht="16.2" customHeight="1">
      <c r="A15" s="89" t="e">
        <f t="array" aca="1" ref="A15" ca="1">IF(OR(COUNTIF(A13,"*1000*"),COUNTIF(A13,"")),"",INDEX(貼り付け用!$A1:$A200,MATCH(A13,貼り付け用!$A1:$A200,0)+2,0))</f>
        <v>#N/A</v>
      </c>
      <c r="B15" s="186" t="str">
        <f ca="1">IFERROR(VALUE(IF(VLOOKUP($A15,数出表_Excel!$A$6:$T$150,COLUMN()/2+1,FALSE)=0,"",VLOOKUP($A15,数出表_Excel!$A$6:$T$150,COLUMN()/2+1,FALSE))),"")</f>
        <v/>
      </c>
      <c r="C15" s="67"/>
      <c r="D15" s="186" t="str">
        <f ca="1">IFERROR(VALUE(IF(VLOOKUP($A15,数出表_Excel!$A$6:$T$150,COLUMN()/2+1,FALSE)=0,"",VLOOKUP($A15,数出表_Excel!$A$6:$T$150,COLUMN()/2+1,FALSE))),"")</f>
        <v/>
      </c>
      <c r="E15" s="83"/>
      <c r="F15" s="197" t="str">
        <f ca="1">IFERROR(VALUE(IF(VLOOKUP($A15,数出表_Excel!$A$6:$T$150,COLUMN()/2+1,FALSE)=0,"",VLOOKUP($A15,数出表_Excel!$A$6:$T$150,COLUMN()/2+1,FALSE))),"")</f>
        <v/>
      </c>
      <c r="G15" s="67"/>
      <c r="H15" s="186" t="str">
        <f ca="1">IFERROR(VALUE(IF(VLOOKUP($A15,数出表_Excel!$A$6:$T$150,COLUMN()/2+1,FALSE)=0,"",VLOOKUP($A15,数出表_Excel!$A$6:$T$150,COLUMN()/2+1,FALSE))),"")</f>
        <v/>
      </c>
      <c r="I15" s="83"/>
      <c r="J15" s="197" t="str">
        <f ca="1">IFERROR(VALUE(IF(VLOOKUP($A15,数出表_Excel!$A$6:$T$150,COLUMN()/2+1,FALSE)=0,"",VLOOKUP($A15,数出表_Excel!$A$6:$T$150,COLUMN()/2+1,FALSE))),"")</f>
        <v/>
      </c>
      <c r="K15" s="67"/>
      <c r="L15" s="186" t="str">
        <f ca="1">IFERROR(VALUE(IF(VLOOKUP($A15,数出表_Excel!$A$6:$T$150,COLUMN()/2+1,FALSE)=0,"",VLOOKUP($A15,数出表_Excel!$A$6:$T$150,COLUMN()/2+1,FALSE))),"")</f>
        <v/>
      </c>
      <c r="M15" s="83"/>
      <c r="N15" s="197" t="str">
        <f ca="1">IFERROR(VALUE(IF(VLOOKUP($A15,数出表_Excel!$A$6:$T$150,COLUMN()/2+1,FALSE)=0,"",VLOOKUP($A15,数出表_Excel!$A$6:$T$150,COLUMN()/2+1,FALSE))),"")</f>
        <v/>
      </c>
      <c r="O15" s="67"/>
      <c r="P15" s="186" t="str">
        <f ca="1">IFERROR(VALUE(IF(VLOOKUP($A15,数出表_Excel!$A$6:$T$150,COLUMN()/2+1,FALSE)=0,"",VLOOKUP($A15,数出表_Excel!$A$6:$T$150,COLUMN()/2+1,FALSE))),"")</f>
        <v/>
      </c>
      <c r="Q15" s="83"/>
      <c r="R15" s="197" t="str">
        <f ca="1">IFERROR(VALUE(IF(VLOOKUP($A15,数出表_Excel!$A$6:$T$150,COLUMN()/2+1,FALSE)=0,"",VLOOKUP($A15,数出表_Excel!$A$6:$T$150,COLUMN()/2+1,FALSE))),"")</f>
        <v/>
      </c>
      <c r="S15" s="67"/>
      <c r="T15" s="186" t="str">
        <f ca="1">IFERROR(VALUE(IF(VLOOKUP($A15,数出表_Excel!$A$6:$T$150,COLUMN()/2+1,FALSE)=0,"",VLOOKUP($A15,数出表_Excel!$A$6:$T$150,COLUMN()/2+1,FALSE))),"")</f>
        <v/>
      </c>
      <c r="U15" s="83"/>
      <c r="V15" s="197" t="str">
        <f ca="1">IFERROR(VALUE(IF(VLOOKUP($A15,数出表_Excel!$A$6:$T$150,COLUMN()/2+1,FALSE)=0,"",VLOOKUP($A15,数出表_Excel!$A$6:$T$150,COLUMN()/2+1,FALSE))),"")</f>
        <v/>
      </c>
      <c r="W15" s="67"/>
      <c r="X15" s="186" t="str">
        <f ca="1">IFERROR(VALUE(IF(VLOOKUP($A15,数出表_Excel!$A$6:$T$150,COLUMN()/2+1,FALSE)=0,"",VLOOKUP($A15,数出表_Excel!$A$6:$T$150,COLUMN()/2+1,FALSE))),"")</f>
        <v/>
      </c>
      <c r="Y15" s="83"/>
      <c r="Z15" s="197" t="str">
        <f ca="1">IFERROR(VALUE(IF(VLOOKUP($A15,数出表_Excel!$A$6:$T$150,COLUMN()/2+1,FALSE)=0,"",VLOOKUP($A15,数出表_Excel!$A$6:$T$150,COLUMN()/2+1,FALSE))),"")</f>
        <v/>
      </c>
      <c r="AA15" s="83"/>
      <c r="AB15" s="186" t="str">
        <f ca="1">IFERROR(VALUE(IF(VLOOKUP($A15,数出表_Excel!$A$6:$T$150,COLUMN()/2+1,FALSE)=0,"",VLOOKUP($A15,数出表_Excel!$A$6:$T$150,COLUMN()/2+1,FALSE))),"")</f>
        <v/>
      </c>
      <c r="AC15" s="83"/>
      <c r="AD15" s="186" t="str">
        <f ca="1">IFERROR(VALUE(IF(VLOOKUP($A15,数出表_Excel!$A$6:$T$150,COLUMN()/2+1,FALSE)=0,"",VLOOKUP($A15,数出表_Excel!$A$6:$T$150,COLUMN()/2+1,FALSE))),"")</f>
        <v/>
      </c>
      <c r="AE15" s="83"/>
      <c r="AF15" s="186" t="str">
        <f ca="1">IFERROR(VALUE(IF(VLOOKUP($A15,数出表_Excel!$A$6:$T$150,COLUMN()/2+1,FALSE)=0,"",VLOOKUP($A15,数出表_Excel!$A$6:$T$150,COLUMN()/2+1,FALSE))),"")</f>
        <v/>
      </c>
      <c r="AG15" s="83"/>
      <c r="AH15" s="186" t="str">
        <f ca="1">IFERROR(VALUE(IF(VLOOKUP($A15,数出表_Excel!$A$6:$T$150,COLUMN()/2+1,FALSE)=0,"",VLOOKUP($A15,数出表_Excel!$A$6:$T$150,COLUMN()/2+1,FALSE))),"")</f>
        <v/>
      </c>
      <c r="AI15" s="83"/>
      <c r="AJ15" s="186" t="str">
        <f ca="1">IFERROR(VALUE(IF(VLOOKUP($A15,数出表_Excel!$A$6:$T$150,COLUMN()/2+1,FALSE)=0,"",VLOOKUP($A15,数出表_Excel!$A$6:$T$150,COLUMN()/2+1,FALSE))),"")</f>
        <v/>
      </c>
      <c r="AK15" s="83"/>
      <c r="AL15" s="70" t="e">
        <f ca="1">IF(A15&lt;&gt;"",
IF(VLOOKUP($A15,数出表_Excel!$A$6:$T$150,COLUMN()/2+1,FALSE)=0,"",VLOOKUP($A15,数出表_Excel!$A$6:$T$150,COLUMN()/2+1,FALSE)),"")</f>
        <v>#N/A</v>
      </c>
      <c r="AM15" s="98" t="e">
        <f ca="1">数出表_Excel!V15</f>
        <v>#N/A</v>
      </c>
      <c r="AN15" s="99" t="e">
        <f ca="1">数出表_Excel!W15</f>
        <v>#N/A</v>
      </c>
    </row>
    <row r="16" spans="1:40" ht="16.2" customHeight="1">
      <c r="A16" s="88" t="e">
        <f t="array" aca="1" ref="A16" ca="1">IF(OR(COUNTIF(A14,"*10002*"),COUNTIF(A14,"")),"",INDEX(貼り付け用!$A1:$A200,MATCH(A14,貼り付け用!$A1:$A200,0)+2,0))</f>
        <v>#N/A</v>
      </c>
      <c r="B16" s="185" t="str">
        <f ca="1">IFERROR(VALUE(IF(VLOOKUP($A16,数出表_Excel!$A$6:$T$150,COLUMN()/2+1,FALSE)=0,"",VLOOKUP($A16,数出表_Excel!$A$6:$T$150,COLUMN()/2+1,FALSE))),"")</f>
        <v/>
      </c>
      <c r="C16" s="66"/>
      <c r="D16" s="185" t="str">
        <f ca="1">IFERROR(VALUE(IF(VLOOKUP($A16,数出表_Excel!$A$6:$T$150,COLUMN()/2+1,FALSE)=0,"",VLOOKUP($A16,数出表_Excel!$A$6:$T$150,COLUMN()/2+1,FALSE))),"")</f>
        <v/>
      </c>
      <c r="E16" s="82"/>
      <c r="F16" s="196" t="str">
        <f ca="1">IFERROR(VALUE(IF(VLOOKUP($A16,数出表_Excel!$A$6:$T$150,COLUMN()/2+1,FALSE)=0,"",VLOOKUP($A16,数出表_Excel!$A$6:$T$150,COLUMN()/2+1,FALSE))),"")</f>
        <v/>
      </c>
      <c r="G16" s="66"/>
      <c r="H16" s="185" t="str">
        <f ca="1">IFERROR(VALUE(IF(VLOOKUP($A16,数出表_Excel!$A$6:$T$150,COLUMN()/2+1,FALSE)=0,"",VLOOKUP($A16,数出表_Excel!$A$6:$T$150,COLUMN()/2+1,FALSE))),"")</f>
        <v/>
      </c>
      <c r="I16" s="82"/>
      <c r="J16" s="196" t="str">
        <f ca="1">IFERROR(VALUE(IF(VLOOKUP($A16,数出表_Excel!$A$6:$T$150,COLUMN()/2+1,FALSE)=0,"",VLOOKUP($A16,数出表_Excel!$A$6:$T$150,COLUMN()/2+1,FALSE))),"")</f>
        <v/>
      </c>
      <c r="K16" s="66"/>
      <c r="L16" s="185" t="str">
        <f ca="1">IFERROR(VALUE(IF(VLOOKUP($A16,数出表_Excel!$A$6:$T$150,COLUMN()/2+1,FALSE)=0,"",VLOOKUP($A16,数出表_Excel!$A$6:$T$150,COLUMN()/2+1,FALSE))),"")</f>
        <v/>
      </c>
      <c r="M16" s="82"/>
      <c r="N16" s="196" t="str">
        <f ca="1">IFERROR(VALUE(IF(VLOOKUP($A16,数出表_Excel!$A$6:$T$150,COLUMN()/2+1,FALSE)=0,"",VLOOKUP($A16,数出表_Excel!$A$6:$T$150,COLUMN()/2+1,FALSE))),"")</f>
        <v/>
      </c>
      <c r="O16" s="66"/>
      <c r="P16" s="185" t="str">
        <f ca="1">IFERROR(VALUE(IF(VLOOKUP($A16,数出表_Excel!$A$6:$T$150,COLUMN()/2+1,FALSE)=0,"",VLOOKUP($A16,数出表_Excel!$A$6:$T$150,COLUMN()/2+1,FALSE))),"")</f>
        <v/>
      </c>
      <c r="Q16" s="82"/>
      <c r="R16" s="196" t="str">
        <f ca="1">IFERROR(VALUE(IF(VLOOKUP($A16,数出表_Excel!$A$6:$T$150,COLUMN()/2+1,FALSE)=0,"",VLOOKUP($A16,数出表_Excel!$A$6:$T$150,COLUMN()/2+1,FALSE))),"")</f>
        <v/>
      </c>
      <c r="S16" s="66"/>
      <c r="T16" s="185" t="str">
        <f ca="1">IFERROR(VALUE(IF(VLOOKUP($A16,数出表_Excel!$A$6:$T$150,COLUMN()/2+1,FALSE)=0,"",VLOOKUP($A16,数出表_Excel!$A$6:$T$150,COLUMN()/2+1,FALSE))),"")</f>
        <v/>
      </c>
      <c r="U16" s="82"/>
      <c r="V16" s="196" t="str">
        <f ca="1">IFERROR(VALUE(IF(VLOOKUP($A16,数出表_Excel!$A$6:$T$150,COLUMN()/2+1,FALSE)=0,"",VLOOKUP($A16,数出表_Excel!$A$6:$T$150,COLUMN()/2+1,FALSE))),"")</f>
        <v/>
      </c>
      <c r="W16" s="66"/>
      <c r="X16" s="185" t="str">
        <f ca="1">IFERROR(VALUE(IF(VLOOKUP($A16,数出表_Excel!$A$6:$T$150,COLUMN()/2+1,FALSE)=0,"",VLOOKUP($A16,数出表_Excel!$A$6:$T$150,COLUMN()/2+1,FALSE))),"")</f>
        <v/>
      </c>
      <c r="Y16" s="82"/>
      <c r="Z16" s="196" t="str">
        <f ca="1">IFERROR(VALUE(IF(VLOOKUP($A16,数出表_Excel!$A$6:$T$150,COLUMN()/2+1,FALSE)=0,"",VLOOKUP($A16,数出表_Excel!$A$6:$T$150,COLUMN()/2+1,FALSE))),"")</f>
        <v/>
      </c>
      <c r="AA16" s="82"/>
      <c r="AB16" s="185" t="str">
        <f ca="1">IFERROR(VALUE(IF(VLOOKUP($A16,数出表_Excel!$A$6:$T$150,COLUMN()/2+1,FALSE)=0,"",VLOOKUP($A16,数出表_Excel!$A$6:$T$150,COLUMN()/2+1,FALSE))),"")</f>
        <v/>
      </c>
      <c r="AC16" s="82"/>
      <c r="AD16" s="185" t="str">
        <f ca="1">IFERROR(VALUE(IF(VLOOKUP($A16,数出表_Excel!$A$6:$T$150,COLUMN()/2+1,FALSE)=0,"",VLOOKUP($A16,数出表_Excel!$A$6:$T$150,COLUMN()/2+1,FALSE))),"")</f>
        <v/>
      </c>
      <c r="AE16" s="82"/>
      <c r="AF16" s="185" t="str">
        <f ca="1">IFERROR(VALUE(IF(VLOOKUP($A16,数出表_Excel!$A$6:$T$150,COLUMN()/2+1,FALSE)=0,"",VLOOKUP($A16,数出表_Excel!$A$6:$T$150,COLUMN()/2+1,FALSE))),"")</f>
        <v/>
      </c>
      <c r="AG16" s="82"/>
      <c r="AH16" s="185" t="str">
        <f ca="1">IFERROR(VALUE(IF(VLOOKUP($A16,数出表_Excel!$A$6:$T$150,COLUMN()/2+1,FALSE)=0,"",VLOOKUP($A16,数出表_Excel!$A$6:$T$150,COLUMN()/2+1,FALSE))),"")</f>
        <v/>
      </c>
      <c r="AI16" s="82"/>
      <c r="AJ16" s="185" t="str">
        <f ca="1">IFERROR(VALUE(IF(VLOOKUP($A16,数出表_Excel!$A$6:$T$150,COLUMN()/2+1,FALSE)=0,"",VLOOKUP($A16,数出表_Excel!$A$6:$T$150,COLUMN()/2+1,FALSE))),"")</f>
        <v/>
      </c>
      <c r="AK16" s="82"/>
      <c r="AL16" s="68" t="e">
        <f ca="1">IF(A16&lt;&gt;"",
IF(VLOOKUP($A16,数出表_Excel!$A$6:$T$150,COLUMN()/2+1,FALSE)=0,"",VLOOKUP($A16,数出表_Excel!$A$6:$T$150,COLUMN()/2+1,FALSE)),"")</f>
        <v>#N/A</v>
      </c>
      <c r="AM16" s="96" t="e">
        <f ca="1">数出表_Excel!V16</f>
        <v>#N/A</v>
      </c>
      <c r="AN16" s="97" t="e">
        <f ca="1">数出表_Excel!W16</f>
        <v>#N/A</v>
      </c>
    </row>
    <row r="17" spans="1:40" ht="16.2" customHeight="1">
      <c r="A17" s="89" t="e">
        <f t="array" aca="1" ref="A17" ca="1">IF(OR(COUNTIF(A15,"*1000*"),COUNTIF(A15,"")),"",INDEX(貼り付け用!$A1:$A200,MATCH(A15,貼り付け用!$A1:$A200,0)+2,0))</f>
        <v>#N/A</v>
      </c>
      <c r="B17" s="186" t="str">
        <f ca="1">IFERROR(VALUE(IF(VLOOKUP($A17,数出表_Excel!$A$6:$T$150,COLUMN()/2+1,FALSE)=0,"",VLOOKUP($A17,数出表_Excel!$A$6:$T$150,COLUMN()/2+1,FALSE))),"")</f>
        <v/>
      </c>
      <c r="C17" s="67"/>
      <c r="D17" s="186" t="str">
        <f ca="1">IFERROR(VALUE(IF(VLOOKUP($A17,数出表_Excel!$A$6:$T$150,COLUMN()/2+1,FALSE)=0,"",VLOOKUP($A17,数出表_Excel!$A$6:$T$150,COLUMN()/2+1,FALSE))),"")</f>
        <v/>
      </c>
      <c r="E17" s="83"/>
      <c r="F17" s="197" t="str">
        <f ca="1">IFERROR(VALUE(IF(VLOOKUP($A17,数出表_Excel!$A$6:$T$150,COLUMN()/2+1,FALSE)=0,"",VLOOKUP($A17,数出表_Excel!$A$6:$T$150,COLUMN()/2+1,FALSE))),"")</f>
        <v/>
      </c>
      <c r="G17" s="67"/>
      <c r="H17" s="186" t="str">
        <f ca="1">IFERROR(VALUE(IF(VLOOKUP($A17,数出表_Excel!$A$6:$T$150,COLUMN()/2+1,FALSE)=0,"",VLOOKUP($A17,数出表_Excel!$A$6:$T$150,COLUMN()/2+1,FALSE))),"")</f>
        <v/>
      </c>
      <c r="I17" s="83"/>
      <c r="J17" s="197" t="str">
        <f ca="1">IFERROR(VALUE(IF(VLOOKUP($A17,数出表_Excel!$A$6:$T$150,COLUMN()/2+1,FALSE)=0,"",VLOOKUP($A17,数出表_Excel!$A$6:$T$150,COLUMN()/2+1,FALSE))),"")</f>
        <v/>
      </c>
      <c r="K17" s="67"/>
      <c r="L17" s="186" t="str">
        <f ca="1">IFERROR(VALUE(IF(VLOOKUP($A17,数出表_Excel!$A$6:$T$150,COLUMN()/2+1,FALSE)=0,"",VLOOKUP($A17,数出表_Excel!$A$6:$T$150,COLUMN()/2+1,FALSE))),"")</f>
        <v/>
      </c>
      <c r="M17" s="83"/>
      <c r="N17" s="197" t="str">
        <f ca="1">IFERROR(VALUE(IF(VLOOKUP($A17,数出表_Excel!$A$6:$T$150,COLUMN()/2+1,FALSE)=0,"",VLOOKUP($A17,数出表_Excel!$A$6:$T$150,COLUMN()/2+1,FALSE))),"")</f>
        <v/>
      </c>
      <c r="O17" s="67"/>
      <c r="P17" s="186" t="str">
        <f ca="1">IFERROR(VALUE(IF(VLOOKUP($A17,数出表_Excel!$A$6:$T$150,COLUMN()/2+1,FALSE)=0,"",VLOOKUP($A17,数出表_Excel!$A$6:$T$150,COLUMN()/2+1,FALSE))),"")</f>
        <v/>
      </c>
      <c r="Q17" s="83"/>
      <c r="R17" s="197" t="str">
        <f ca="1">IFERROR(VALUE(IF(VLOOKUP($A17,数出表_Excel!$A$6:$T$150,COLUMN()/2+1,FALSE)=0,"",VLOOKUP($A17,数出表_Excel!$A$6:$T$150,COLUMN()/2+1,FALSE))),"")</f>
        <v/>
      </c>
      <c r="S17" s="67"/>
      <c r="T17" s="186" t="str">
        <f ca="1">IFERROR(VALUE(IF(VLOOKUP($A17,数出表_Excel!$A$6:$T$150,COLUMN()/2+1,FALSE)=0,"",VLOOKUP($A17,数出表_Excel!$A$6:$T$150,COLUMN()/2+1,FALSE))),"")</f>
        <v/>
      </c>
      <c r="U17" s="83"/>
      <c r="V17" s="197" t="str">
        <f ca="1">IFERROR(VALUE(IF(VLOOKUP($A17,数出表_Excel!$A$6:$T$150,COLUMN()/2+1,FALSE)=0,"",VLOOKUP($A17,数出表_Excel!$A$6:$T$150,COLUMN()/2+1,FALSE))),"")</f>
        <v/>
      </c>
      <c r="W17" s="67"/>
      <c r="X17" s="186" t="str">
        <f ca="1">IFERROR(VALUE(IF(VLOOKUP($A17,数出表_Excel!$A$6:$T$150,COLUMN()/2+1,FALSE)=0,"",VLOOKUP($A17,数出表_Excel!$A$6:$T$150,COLUMN()/2+1,FALSE))),"")</f>
        <v/>
      </c>
      <c r="Y17" s="83"/>
      <c r="Z17" s="197" t="str">
        <f ca="1">IFERROR(VALUE(IF(VLOOKUP($A17,数出表_Excel!$A$6:$T$150,COLUMN()/2+1,FALSE)=0,"",VLOOKUP($A17,数出表_Excel!$A$6:$T$150,COLUMN()/2+1,FALSE))),"")</f>
        <v/>
      </c>
      <c r="AA17" s="83"/>
      <c r="AB17" s="186" t="str">
        <f ca="1">IFERROR(VALUE(IF(VLOOKUP($A17,数出表_Excel!$A$6:$T$150,COLUMN()/2+1,FALSE)=0,"",VLOOKUP($A17,数出表_Excel!$A$6:$T$150,COLUMN()/2+1,FALSE))),"")</f>
        <v/>
      </c>
      <c r="AC17" s="83"/>
      <c r="AD17" s="186" t="str">
        <f ca="1">IFERROR(VALUE(IF(VLOOKUP($A17,数出表_Excel!$A$6:$T$150,COLUMN()/2+1,FALSE)=0,"",VLOOKUP($A17,数出表_Excel!$A$6:$T$150,COLUMN()/2+1,FALSE))),"")</f>
        <v/>
      </c>
      <c r="AE17" s="83"/>
      <c r="AF17" s="186" t="str">
        <f ca="1">IFERROR(VALUE(IF(VLOOKUP($A17,数出表_Excel!$A$6:$T$150,COLUMN()/2+1,FALSE)=0,"",VLOOKUP($A17,数出表_Excel!$A$6:$T$150,COLUMN()/2+1,FALSE))),"")</f>
        <v/>
      </c>
      <c r="AG17" s="83"/>
      <c r="AH17" s="186" t="str">
        <f ca="1">IFERROR(VALUE(IF(VLOOKUP($A17,数出表_Excel!$A$6:$T$150,COLUMN()/2+1,FALSE)=0,"",VLOOKUP($A17,数出表_Excel!$A$6:$T$150,COLUMN()/2+1,FALSE))),"")</f>
        <v/>
      </c>
      <c r="AI17" s="83"/>
      <c r="AJ17" s="186" t="str">
        <f ca="1">IFERROR(VALUE(IF(VLOOKUP($A17,数出表_Excel!$A$6:$T$150,COLUMN()/2+1,FALSE)=0,"",VLOOKUP($A17,数出表_Excel!$A$6:$T$150,COLUMN()/2+1,FALSE))),"")</f>
        <v/>
      </c>
      <c r="AK17" s="83"/>
      <c r="AL17" s="70" t="e">
        <f ca="1">IF(A17&lt;&gt;"",
IF(VLOOKUP($A17,数出表_Excel!$A$6:$T$150,COLUMN()/2+1,FALSE)=0,"",VLOOKUP($A17,数出表_Excel!$A$6:$T$150,COLUMN()/2+1,FALSE)),"")</f>
        <v>#N/A</v>
      </c>
      <c r="AM17" s="98" t="e">
        <f ca="1">数出表_Excel!V17</f>
        <v>#N/A</v>
      </c>
      <c r="AN17" s="99" t="e">
        <f ca="1">数出表_Excel!W17</f>
        <v>#N/A</v>
      </c>
    </row>
    <row r="18" spans="1:40" ht="16.2" customHeight="1">
      <c r="A18" s="88" t="e">
        <f t="array" aca="1" ref="A18" ca="1">IF(OR(COUNTIF(A16,"*10002*"),COUNTIF(A16,"")),"",INDEX(貼り付け用!$A1:$A200,MATCH(A16,貼り付け用!$A1:$A200,0)+2,0))</f>
        <v>#N/A</v>
      </c>
      <c r="B18" s="185" t="str">
        <f ca="1">IFERROR(VALUE(IF(VLOOKUP($A18,数出表_Excel!$A$6:$T$150,COLUMN()/2+1,FALSE)=0,"",VLOOKUP($A18,数出表_Excel!$A$6:$T$150,COLUMN()/2+1,FALSE))),"")</f>
        <v/>
      </c>
      <c r="C18" s="66"/>
      <c r="D18" s="185" t="str">
        <f ca="1">IFERROR(VALUE(IF(VLOOKUP($A18,数出表_Excel!$A$6:$T$150,COLUMN()/2+1,FALSE)=0,"",VLOOKUP($A18,数出表_Excel!$A$6:$T$150,COLUMN()/2+1,FALSE))),"")</f>
        <v/>
      </c>
      <c r="E18" s="82"/>
      <c r="F18" s="196" t="str">
        <f ca="1">IFERROR(VALUE(IF(VLOOKUP($A18,数出表_Excel!$A$6:$T$150,COLUMN()/2+1,FALSE)=0,"",VLOOKUP($A18,数出表_Excel!$A$6:$T$150,COLUMN()/2+1,FALSE))),"")</f>
        <v/>
      </c>
      <c r="G18" s="66"/>
      <c r="H18" s="185" t="str">
        <f ca="1">IFERROR(VALUE(IF(VLOOKUP($A18,数出表_Excel!$A$6:$T$150,COLUMN()/2+1,FALSE)=0,"",VLOOKUP($A18,数出表_Excel!$A$6:$T$150,COLUMN()/2+1,FALSE))),"")</f>
        <v/>
      </c>
      <c r="I18" s="82"/>
      <c r="J18" s="196" t="str">
        <f ca="1">IFERROR(VALUE(IF(VLOOKUP($A18,数出表_Excel!$A$6:$T$150,COLUMN()/2+1,FALSE)=0,"",VLOOKUP($A18,数出表_Excel!$A$6:$T$150,COLUMN()/2+1,FALSE))),"")</f>
        <v/>
      </c>
      <c r="K18" s="66"/>
      <c r="L18" s="185" t="str">
        <f ca="1">IFERROR(VALUE(IF(VLOOKUP($A18,数出表_Excel!$A$6:$T$150,COLUMN()/2+1,FALSE)=0,"",VLOOKUP($A18,数出表_Excel!$A$6:$T$150,COLUMN()/2+1,FALSE))),"")</f>
        <v/>
      </c>
      <c r="M18" s="82"/>
      <c r="N18" s="196" t="str">
        <f ca="1">IFERROR(VALUE(IF(VLOOKUP($A18,数出表_Excel!$A$6:$T$150,COLUMN()/2+1,FALSE)=0,"",VLOOKUP($A18,数出表_Excel!$A$6:$T$150,COLUMN()/2+1,FALSE))),"")</f>
        <v/>
      </c>
      <c r="O18" s="66"/>
      <c r="P18" s="185" t="str">
        <f ca="1">IFERROR(VALUE(IF(VLOOKUP($A18,数出表_Excel!$A$6:$T$150,COLUMN()/2+1,FALSE)=0,"",VLOOKUP($A18,数出表_Excel!$A$6:$T$150,COLUMN()/2+1,FALSE))),"")</f>
        <v/>
      </c>
      <c r="Q18" s="82"/>
      <c r="R18" s="196" t="str">
        <f ca="1">IFERROR(VALUE(IF(VLOOKUP($A18,数出表_Excel!$A$6:$T$150,COLUMN()/2+1,FALSE)=0,"",VLOOKUP($A18,数出表_Excel!$A$6:$T$150,COLUMN()/2+1,FALSE))),"")</f>
        <v/>
      </c>
      <c r="S18" s="66"/>
      <c r="T18" s="185" t="str">
        <f ca="1">IFERROR(VALUE(IF(VLOOKUP($A18,数出表_Excel!$A$6:$T$150,COLUMN()/2+1,FALSE)=0,"",VLOOKUP($A18,数出表_Excel!$A$6:$T$150,COLUMN()/2+1,FALSE))),"")</f>
        <v/>
      </c>
      <c r="U18" s="82"/>
      <c r="V18" s="196" t="str">
        <f ca="1">IFERROR(VALUE(IF(VLOOKUP($A18,数出表_Excel!$A$6:$T$150,COLUMN()/2+1,FALSE)=0,"",VLOOKUP($A18,数出表_Excel!$A$6:$T$150,COLUMN()/2+1,FALSE))),"")</f>
        <v/>
      </c>
      <c r="W18" s="66"/>
      <c r="X18" s="185" t="str">
        <f ca="1">IFERROR(VALUE(IF(VLOOKUP($A18,数出表_Excel!$A$6:$T$150,COLUMN()/2+1,FALSE)=0,"",VLOOKUP($A18,数出表_Excel!$A$6:$T$150,COLUMN()/2+1,FALSE))),"")</f>
        <v/>
      </c>
      <c r="Y18" s="82"/>
      <c r="Z18" s="196" t="str">
        <f ca="1">IFERROR(VALUE(IF(VLOOKUP($A18,数出表_Excel!$A$6:$T$150,COLUMN()/2+1,FALSE)=0,"",VLOOKUP($A18,数出表_Excel!$A$6:$T$150,COLUMN()/2+1,FALSE))),"")</f>
        <v/>
      </c>
      <c r="AA18" s="82"/>
      <c r="AB18" s="185" t="str">
        <f ca="1">IFERROR(VALUE(IF(VLOOKUP($A18,数出表_Excel!$A$6:$T$150,COLUMN()/2+1,FALSE)=0,"",VLOOKUP($A18,数出表_Excel!$A$6:$T$150,COLUMN()/2+1,FALSE))),"")</f>
        <v/>
      </c>
      <c r="AC18" s="82"/>
      <c r="AD18" s="185" t="str">
        <f ca="1">IFERROR(VALUE(IF(VLOOKUP($A18,数出表_Excel!$A$6:$T$150,COLUMN()/2+1,FALSE)=0,"",VLOOKUP($A18,数出表_Excel!$A$6:$T$150,COLUMN()/2+1,FALSE))),"")</f>
        <v/>
      </c>
      <c r="AE18" s="82"/>
      <c r="AF18" s="185" t="str">
        <f ca="1">IFERROR(VALUE(IF(VLOOKUP($A18,数出表_Excel!$A$6:$T$150,COLUMN()/2+1,FALSE)=0,"",VLOOKUP($A18,数出表_Excel!$A$6:$T$150,COLUMN()/2+1,FALSE))),"")</f>
        <v/>
      </c>
      <c r="AG18" s="82"/>
      <c r="AH18" s="185" t="str">
        <f ca="1">IFERROR(VALUE(IF(VLOOKUP($A18,数出表_Excel!$A$6:$T$150,COLUMN()/2+1,FALSE)=0,"",VLOOKUP($A18,数出表_Excel!$A$6:$T$150,COLUMN()/2+1,FALSE))),"")</f>
        <v/>
      </c>
      <c r="AI18" s="82"/>
      <c r="AJ18" s="185" t="str">
        <f ca="1">IFERROR(VALUE(IF(VLOOKUP($A18,数出表_Excel!$A$6:$T$150,COLUMN()/2+1,FALSE)=0,"",VLOOKUP($A18,数出表_Excel!$A$6:$T$150,COLUMN()/2+1,FALSE))),"")</f>
        <v/>
      </c>
      <c r="AK18" s="82"/>
      <c r="AL18" s="68" t="e">
        <f ca="1">IF(A18&lt;&gt;"",
IF(VLOOKUP($A18,数出表_Excel!$A$6:$T$150,COLUMN()/2+1,FALSE)=0,"",VLOOKUP($A18,数出表_Excel!$A$6:$T$150,COLUMN()/2+1,FALSE)),"")</f>
        <v>#N/A</v>
      </c>
      <c r="AM18" s="96" t="e">
        <f ca="1">数出表_Excel!V18</f>
        <v>#N/A</v>
      </c>
      <c r="AN18" s="97" t="e">
        <f ca="1">数出表_Excel!W18</f>
        <v>#N/A</v>
      </c>
    </row>
    <row r="19" spans="1:40" ht="16.2" customHeight="1">
      <c r="A19" s="89" t="e">
        <f t="array" aca="1" ref="A19" ca="1">IF(OR(COUNTIF(A17,"*1000*"),COUNTIF(A17,"")),"",INDEX(貼り付け用!$A1:$A200,MATCH(A17,貼り付け用!$A1:$A200,0)+2,0))</f>
        <v>#N/A</v>
      </c>
      <c r="B19" s="186" t="str">
        <f ca="1">IFERROR(VALUE(IF(VLOOKUP($A19,数出表_Excel!$A$6:$T$150,COLUMN()/2+1,FALSE)=0,"",VLOOKUP($A19,数出表_Excel!$A$6:$T$150,COLUMN()/2+1,FALSE))),"")</f>
        <v/>
      </c>
      <c r="C19" s="67"/>
      <c r="D19" s="186" t="str">
        <f ca="1">IFERROR(VALUE(IF(VLOOKUP($A19,数出表_Excel!$A$6:$T$150,COLUMN()/2+1,FALSE)=0,"",VLOOKUP($A19,数出表_Excel!$A$6:$T$150,COLUMN()/2+1,FALSE))),"")</f>
        <v/>
      </c>
      <c r="E19" s="83"/>
      <c r="F19" s="197" t="str">
        <f ca="1">IFERROR(VALUE(IF(VLOOKUP($A19,数出表_Excel!$A$6:$T$150,COLUMN()/2+1,FALSE)=0,"",VLOOKUP($A19,数出表_Excel!$A$6:$T$150,COLUMN()/2+1,FALSE))),"")</f>
        <v/>
      </c>
      <c r="G19" s="67"/>
      <c r="H19" s="186" t="str">
        <f ca="1">IFERROR(VALUE(IF(VLOOKUP($A19,数出表_Excel!$A$6:$T$150,COLUMN()/2+1,FALSE)=0,"",VLOOKUP($A19,数出表_Excel!$A$6:$T$150,COLUMN()/2+1,FALSE))),"")</f>
        <v/>
      </c>
      <c r="I19" s="83"/>
      <c r="J19" s="197" t="str">
        <f ca="1">IFERROR(VALUE(IF(VLOOKUP($A19,数出表_Excel!$A$6:$T$150,COLUMN()/2+1,FALSE)=0,"",VLOOKUP($A19,数出表_Excel!$A$6:$T$150,COLUMN()/2+1,FALSE))),"")</f>
        <v/>
      </c>
      <c r="K19" s="67"/>
      <c r="L19" s="186" t="str">
        <f ca="1">IFERROR(VALUE(IF(VLOOKUP($A19,数出表_Excel!$A$6:$T$150,COLUMN()/2+1,FALSE)=0,"",VLOOKUP($A19,数出表_Excel!$A$6:$T$150,COLUMN()/2+1,FALSE))),"")</f>
        <v/>
      </c>
      <c r="M19" s="83"/>
      <c r="N19" s="197" t="str">
        <f ca="1">IFERROR(VALUE(IF(VLOOKUP($A19,数出表_Excel!$A$6:$T$150,COLUMN()/2+1,FALSE)=0,"",VLOOKUP($A19,数出表_Excel!$A$6:$T$150,COLUMN()/2+1,FALSE))),"")</f>
        <v/>
      </c>
      <c r="O19" s="67"/>
      <c r="P19" s="186" t="str">
        <f ca="1">IFERROR(VALUE(IF(VLOOKUP($A19,数出表_Excel!$A$6:$T$150,COLUMN()/2+1,FALSE)=0,"",VLOOKUP($A19,数出表_Excel!$A$6:$T$150,COLUMN()/2+1,FALSE))),"")</f>
        <v/>
      </c>
      <c r="Q19" s="83"/>
      <c r="R19" s="197" t="str">
        <f ca="1">IFERROR(VALUE(IF(VLOOKUP($A19,数出表_Excel!$A$6:$T$150,COLUMN()/2+1,FALSE)=0,"",VLOOKUP($A19,数出表_Excel!$A$6:$T$150,COLUMN()/2+1,FALSE))),"")</f>
        <v/>
      </c>
      <c r="S19" s="67"/>
      <c r="T19" s="186" t="str">
        <f ca="1">IFERROR(VALUE(IF(VLOOKUP($A19,数出表_Excel!$A$6:$T$150,COLUMN()/2+1,FALSE)=0,"",VLOOKUP($A19,数出表_Excel!$A$6:$T$150,COLUMN()/2+1,FALSE))),"")</f>
        <v/>
      </c>
      <c r="U19" s="83"/>
      <c r="V19" s="197" t="str">
        <f ca="1">IFERROR(VALUE(IF(VLOOKUP($A19,数出表_Excel!$A$6:$T$150,COLUMN()/2+1,FALSE)=0,"",VLOOKUP($A19,数出表_Excel!$A$6:$T$150,COLUMN()/2+1,FALSE))),"")</f>
        <v/>
      </c>
      <c r="W19" s="67"/>
      <c r="X19" s="186" t="str">
        <f ca="1">IFERROR(VALUE(IF(VLOOKUP($A19,数出表_Excel!$A$6:$T$150,COLUMN()/2+1,FALSE)=0,"",VLOOKUP($A19,数出表_Excel!$A$6:$T$150,COLUMN()/2+1,FALSE))),"")</f>
        <v/>
      </c>
      <c r="Y19" s="83"/>
      <c r="Z19" s="197" t="str">
        <f ca="1">IFERROR(VALUE(IF(VLOOKUP($A19,数出表_Excel!$A$6:$T$150,COLUMN()/2+1,FALSE)=0,"",VLOOKUP($A19,数出表_Excel!$A$6:$T$150,COLUMN()/2+1,FALSE))),"")</f>
        <v/>
      </c>
      <c r="AA19" s="83"/>
      <c r="AB19" s="186" t="str">
        <f ca="1">IFERROR(VALUE(IF(VLOOKUP($A19,数出表_Excel!$A$6:$T$150,COLUMN()/2+1,FALSE)=0,"",VLOOKUP($A19,数出表_Excel!$A$6:$T$150,COLUMN()/2+1,FALSE))),"")</f>
        <v/>
      </c>
      <c r="AC19" s="83"/>
      <c r="AD19" s="186" t="str">
        <f ca="1">IFERROR(VALUE(IF(VLOOKUP($A19,数出表_Excel!$A$6:$T$150,COLUMN()/2+1,FALSE)=0,"",VLOOKUP($A19,数出表_Excel!$A$6:$T$150,COLUMN()/2+1,FALSE))),"")</f>
        <v/>
      </c>
      <c r="AE19" s="83"/>
      <c r="AF19" s="186" t="str">
        <f ca="1">IFERROR(VALUE(IF(VLOOKUP($A19,数出表_Excel!$A$6:$T$150,COLUMN()/2+1,FALSE)=0,"",VLOOKUP($A19,数出表_Excel!$A$6:$T$150,COLUMN()/2+1,FALSE))),"")</f>
        <v/>
      </c>
      <c r="AG19" s="83"/>
      <c r="AH19" s="186" t="str">
        <f ca="1">IFERROR(VALUE(IF(VLOOKUP($A19,数出表_Excel!$A$6:$T$150,COLUMN()/2+1,FALSE)=0,"",VLOOKUP($A19,数出表_Excel!$A$6:$T$150,COLUMN()/2+1,FALSE))),"")</f>
        <v/>
      </c>
      <c r="AI19" s="83"/>
      <c r="AJ19" s="186" t="str">
        <f ca="1">IFERROR(VALUE(IF(VLOOKUP($A19,数出表_Excel!$A$6:$T$150,COLUMN()/2+1,FALSE)=0,"",VLOOKUP($A19,数出表_Excel!$A$6:$T$150,COLUMN()/2+1,FALSE))),"")</f>
        <v/>
      </c>
      <c r="AK19" s="83"/>
      <c r="AL19" s="70" t="e">
        <f ca="1">IF(A19&lt;&gt;"",
IF(VLOOKUP($A19,数出表_Excel!$A$6:$T$150,COLUMN()/2+1,FALSE)=0,"",VLOOKUP($A19,数出表_Excel!$A$6:$T$150,COLUMN()/2+1,FALSE)),"")</f>
        <v>#N/A</v>
      </c>
      <c r="AM19" s="98" t="e">
        <f ca="1">数出表_Excel!V19</f>
        <v>#N/A</v>
      </c>
      <c r="AN19" s="99" t="e">
        <f ca="1">数出表_Excel!W19</f>
        <v>#N/A</v>
      </c>
    </row>
    <row r="20" spans="1:40" ht="16.2" customHeight="1">
      <c r="A20" s="88" t="e">
        <f t="array" aca="1" ref="A20" ca="1">IF(OR(COUNTIF(A18,"*10002*"),COUNTIF(A18,"")),"",INDEX(貼り付け用!$A1:$A200,MATCH(A18,貼り付け用!$A1:$A200,0)+2,0))</f>
        <v>#N/A</v>
      </c>
      <c r="B20" s="185" t="str">
        <f ca="1">IFERROR(VALUE(IF(VLOOKUP($A20,数出表_Excel!$A$6:$T$150,COLUMN()/2+1,FALSE)=0,"",VLOOKUP($A20,数出表_Excel!$A$6:$T$150,COLUMN()/2+1,FALSE))),"")</f>
        <v/>
      </c>
      <c r="C20" s="66"/>
      <c r="D20" s="185" t="str">
        <f ca="1">IFERROR(VALUE(IF(VLOOKUP($A20,数出表_Excel!$A$6:$T$150,COLUMN()/2+1,FALSE)=0,"",VLOOKUP($A20,数出表_Excel!$A$6:$T$150,COLUMN()/2+1,FALSE))),"")</f>
        <v/>
      </c>
      <c r="E20" s="82"/>
      <c r="F20" s="196" t="str">
        <f ca="1">IFERROR(VALUE(IF(VLOOKUP($A20,数出表_Excel!$A$6:$T$150,COLUMN()/2+1,FALSE)=0,"",VLOOKUP($A20,数出表_Excel!$A$6:$T$150,COLUMN()/2+1,FALSE))),"")</f>
        <v/>
      </c>
      <c r="G20" s="66"/>
      <c r="H20" s="185" t="str">
        <f ca="1">IFERROR(VALUE(IF(VLOOKUP($A20,数出表_Excel!$A$6:$T$150,COLUMN()/2+1,FALSE)=0,"",VLOOKUP($A20,数出表_Excel!$A$6:$T$150,COLUMN()/2+1,FALSE))),"")</f>
        <v/>
      </c>
      <c r="I20" s="82"/>
      <c r="J20" s="196" t="str">
        <f ca="1">IFERROR(VALUE(IF(VLOOKUP($A20,数出表_Excel!$A$6:$T$150,COLUMN()/2+1,FALSE)=0,"",VLOOKUP($A20,数出表_Excel!$A$6:$T$150,COLUMN()/2+1,FALSE))),"")</f>
        <v/>
      </c>
      <c r="K20" s="66"/>
      <c r="L20" s="185" t="str">
        <f ca="1">IFERROR(VALUE(IF(VLOOKUP($A20,数出表_Excel!$A$6:$T$150,COLUMN()/2+1,FALSE)=0,"",VLOOKUP($A20,数出表_Excel!$A$6:$T$150,COLUMN()/2+1,FALSE))),"")</f>
        <v/>
      </c>
      <c r="M20" s="82"/>
      <c r="N20" s="196" t="str">
        <f ca="1">IFERROR(VALUE(IF(VLOOKUP($A20,数出表_Excel!$A$6:$T$150,COLUMN()/2+1,FALSE)=0,"",VLOOKUP($A20,数出表_Excel!$A$6:$T$150,COLUMN()/2+1,FALSE))),"")</f>
        <v/>
      </c>
      <c r="O20" s="66"/>
      <c r="P20" s="185" t="str">
        <f ca="1">IFERROR(VALUE(IF(VLOOKUP($A20,数出表_Excel!$A$6:$T$150,COLUMN()/2+1,FALSE)=0,"",VLOOKUP($A20,数出表_Excel!$A$6:$T$150,COLUMN()/2+1,FALSE))),"")</f>
        <v/>
      </c>
      <c r="Q20" s="82"/>
      <c r="R20" s="196" t="str">
        <f ca="1">IFERROR(VALUE(IF(VLOOKUP($A20,数出表_Excel!$A$6:$T$150,COLUMN()/2+1,FALSE)=0,"",VLOOKUP($A20,数出表_Excel!$A$6:$T$150,COLUMN()/2+1,FALSE))),"")</f>
        <v/>
      </c>
      <c r="S20" s="66"/>
      <c r="T20" s="185" t="str">
        <f ca="1">IFERROR(VALUE(IF(VLOOKUP($A20,数出表_Excel!$A$6:$T$150,COLUMN()/2+1,FALSE)=0,"",VLOOKUP($A20,数出表_Excel!$A$6:$T$150,COLUMN()/2+1,FALSE))),"")</f>
        <v/>
      </c>
      <c r="U20" s="82"/>
      <c r="V20" s="196" t="str">
        <f ca="1">IFERROR(VALUE(IF(VLOOKUP($A20,数出表_Excel!$A$6:$T$150,COLUMN()/2+1,FALSE)=0,"",VLOOKUP($A20,数出表_Excel!$A$6:$T$150,COLUMN()/2+1,FALSE))),"")</f>
        <v/>
      </c>
      <c r="W20" s="66"/>
      <c r="X20" s="185" t="str">
        <f ca="1">IFERROR(VALUE(IF(VLOOKUP($A20,数出表_Excel!$A$6:$T$150,COLUMN()/2+1,FALSE)=0,"",VLOOKUP($A20,数出表_Excel!$A$6:$T$150,COLUMN()/2+1,FALSE))),"")</f>
        <v/>
      </c>
      <c r="Y20" s="82"/>
      <c r="Z20" s="196" t="str">
        <f ca="1">IFERROR(VALUE(IF(VLOOKUP($A20,数出表_Excel!$A$6:$T$150,COLUMN()/2+1,FALSE)=0,"",VLOOKUP($A20,数出表_Excel!$A$6:$T$150,COLUMN()/2+1,FALSE))),"")</f>
        <v/>
      </c>
      <c r="AA20" s="82"/>
      <c r="AB20" s="185" t="str">
        <f ca="1">IFERROR(VALUE(IF(VLOOKUP($A20,数出表_Excel!$A$6:$T$150,COLUMN()/2+1,FALSE)=0,"",VLOOKUP($A20,数出表_Excel!$A$6:$T$150,COLUMN()/2+1,FALSE))),"")</f>
        <v/>
      </c>
      <c r="AC20" s="82"/>
      <c r="AD20" s="185" t="str">
        <f ca="1">IFERROR(VALUE(IF(VLOOKUP($A20,数出表_Excel!$A$6:$T$150,COLUMN()/2+1,FALSE)=0,"",VLOOKUP($A20,数出表_Excel!$A$6:$T$150,COLUMN()/2+1,FALSE))),"")</f>
        <v/>
      </c>
      <c r="AE20" s="82"/>
      <c r="AF20" s="185" t="str">
        <f ca="1">IFERROR(VALUE(IF(VLOOKUP($A20,数出表_Excel!$A$6:$T$150,COLUMN()/2+1,FALSE)=0,"",VLOOKUP($A20,数出表_Excel!$A$6:$T$150,COLUMN()/2+1,FALSE))),"")</f>
        <v/>
      </c>
      <c r="AG20" s="82"/>
      <c r="AH20" s="185" t="str">
        <f ca="1">IFERROR(VALUE(IF(VLOOKUP($A20,数出表_Excel!$A$6:$T$150,COLUMN()/2+1,FALSE)=0,"",VLOOKUP($A20,数出表_Excel!$A$6:$T$150,COLUMN()/2+1,FALSE))),"")</f>
        <v/>
      </c>
      <c r="AI20" s="82"/>
      <c r="AJ20" s="185" t="str">
        <f ca="1">IFERROR(VALUE(IF(VLOOKUP($A20,数出表_Excel!$A$6:$T$150,COLUMN()/2+1,FALSE)=0,"",VLOOKUP($A20,数出表_Excel!$A$6:$T$150,COLUMN()/2+1,FALSE))),"")</f>
        <v/>
      </c>
      <c r="AK20" s="82"/>
      <c r="AL20" s="68" t="e">
        <f ca="1">IF(A20&lt;&gt;"",
IF(VLOOKUP($A20,数出表_Excel!$A$6:$T$150,COLUMN()/2+1,FALSE)=0,"",VLOOKUP($A20,数出表_Excel!$A$6:$T$150,COLUMN()/2+1,FALSE)),"")</f>
        <v>#N/A</v>
      </c>
      <c r="AM20" s="96" t="e">
        <f ca="1">数出表_Excel!V20</f>
        <v>#N/A</v>
      </c>
      <c r="AN20" s="97" t="e">
        <f ca="1">数出表_Excel!W20</f>
        <v>#N/A</v>
      </c>
    </row>
    <row r="21" spans="1:40" ht="16.2" customHeight="1">
      <c r="A21" s="89" t="e">
        <f t="array" aca="1" ref="A21" ca="1">IF(OR(COUNTIF(A19,"*1000*"),COUNTIF(A19,"")),"",INDEX(貼り付け用!$A1:$A200,MATCH(A19,貼り付け用!$A1:$A200,0)+2,0))</f>
        <v>#N/A</v>
      </c>
      <c r="B21" s="186" t="str">
        <f ca="1">IFERROR(VALUE(IF(VLOOKUP($A21,数出表_Excel!$A$6:$T$150,COLUMN()/2+1,FALSE)=0,"",VLOOKUP($A21,数出表_Excel!$A$6:$T$150,COLUMN()/2+1,FALSE))),"")</f>
        <v/>
      </c>
      <c r="C21" s="67"/>
      <c r="D21" s="186" t="str">
        <f ca="1">IFERROR(VALUE(IF(VLOOKUP($A21,数出表_Excel!$A$6:$T$150,COLUMN()/2+1,FALSE)=0,"",VLOOKUP($A21,数出表_Excel!$A$6:$T$150,COLUMN()/2+1,FALSE))),"")</f>
        <v/>
      </c>
      <c r="E21" s="83"/>
      <c r="F21" s="197" t="str">
        <f ca="1">IFERROR(VALUE(IF(VLOOKUP($A21,数出表_Excel!$A$6:$T$150,COLUMN()/2+1,FALSE)=0,"",VLOOKUP($A21,数出表_Excel!$A$6:$T$150,COLUMN()/2+1,FALSE))),"")</f>
        <v/>
      </c>
      <c r="G21" s="67"/>
      <c r="H21" s="186" t="str">
        <f ca="1">IFERROR(VALUE(IF(VLOOKUP($A21,数出表_Excel!$A$6:$T$150,COLUMN()/2+1,FALSE)=0,"",VLOOKUP($A21,数出表_Excel!$A$6:$T$150,COLUMN()/2+1,FALSE))),"")</f>
        <v/>
      </c>
      <c r="I21" s="83"/>
      <c r="J21" s="197" t="str">
        <f ca="1">IFERROR(VALUE(IF(VLOOKUP($A21,数出表_Excel!$A$6:$T$150,COLUMN()/2+1,FALSE)=0,"",VLOOKUP($A21,数出表_Excel!$A$6:$T$150,COLUMN()/2+1,FALSE))),"")</f>
        <v/>
      </c>
      <c r="K21" s="67"/>
      <c r="L21" s="186" t="str">
        <f ca="1">IFERROR(VALUE(IF(VLOOKUP($A21,数出表_Excel!$A$6:$T$150,COLUMN()/2+1,FALSE)=0,"",VLOOKUP($A21,数出表_Excel!$A$6:$T$150,COLUMN()/2+1,FALSE))),"")</f>
        <v/>
      </c>
      <c r="M21" s="83"/>
      <c r="N21" s="197" t="str">
        <f ca="1">IFERROR(VALUE(IF(VLOOKUP($A21,数出表_Excel!$A$6:$T$150,COLUMN()/2+1,FALSE)=0,"",VLOOKUP($A21,数出表_Excel!$A$6:$T$150,COLUMN()/2+1,FALSE))),"")</f>
        <v/>
      </c>
      <c r="O21" s="67"/>
      <c r="P21" s="186" t="str">
        <f ca="1">IFERROR(VALUE(IF(VLOOKUP($A21,数出表_Excel!$A$6:$T$150,COLUMN()/2+1,FALSE)=0,"",VLOOKUP($A21,数出表_Excel!$A$6:$T$150,COLUMN()/2+1,FALSE))),"")</f>
        <v/>
      </c>
      <c r="Q21" s="83"/>
      <c r="R21" s="197" t="str">
        <f ca="1">IFERROR(VALUE(IF(VLOOKUP($A21,数出表_Excel!$A$6:$T$150,COLUMN()/2+1,FALSE)=0,"",VLOOKUP($A21,数出表_Excel!$A$6:$T$150,COLUMN()/2+1,FALSE))),"")</f>
        <v/>
      </c>
      <c r="S21" s="67"/>
      <c r="T21" s="186" t="str">
        <f ca="1">IFERROR(VALUE(IF(VLOOKUP($A21,数出表_Excel!$A$6:$T$150,COLUMN()/2+1,FALSE)=0,"",VLOOKUP($A21,数出表_Excel!$A$6:$T$150,COLUMN()/2+1,FALSE))),"")</f>
        <v/>
      </c>
      <c r="U21" s="83"/>
      <c r="V21" s="197" t="str">
        <f ca="1">IFERROR(VALUE(IF(VLOOKUP($A21,数出表_Excel!$A$6:$T$150,COLUMN()/2+1,FALSE)=0,"",VLOOKUP($A21,数出表_Excel!$A$6:$T$150,COLUMN()/2+1,FALSE))),"")</f>
        <v/>
      </c>
      <c r="W21" s="67"/>
      <c r="X21" s="186" t="str">
        <f ca="1">IFERROR(VALUE(IF(VLOOKUP($A21,数出表_Excel!$A$6:$T$150,COLUMN()/2+1,FALSE)=0,"",VLOOKUP($A21,数出表_Excel!$A$6:$T$150,COLUMN()/2+1,FALSE))),"")</f>
        <v/>
      </c>
      <c r="Y21" s="83"/>
      <c r="Z21" s="197" t="str">
        <f ca="1">IFERROR(VALUE(IF(VLOOKUP($A21,数出表_Excel!$A$6:$T$150,COLUMN()/2+1,FALSE)=0,"",VLOOKUP($A21,数出表_Excel!$A$6:$T$150,COLUMN()/2+1,FALSE))),"")</f>
        <v/>
      </c>
      <c r="AA21" s="83"/>
      <c r="AB21" s="186" t="str">
        <f ca="1">IFERROR(VALUE(IF(VLOOKUP($A21,数出表_Excel!$A$6:$T$150,COLUMN()/2+1,FALSE)=0,"",VLOOKUP($A21,数出表_Excel!$A$6:$T$150,COLUMN()/2+1,FALSE))),"")</f>
        <v/>
      </c>
      <c r="AC21" s="83"/>
      <c r="AD21" s="186" t="str">
        <f ca="1">IFERROR(VALUE(IF(VLOOKUP($A21,数出表_Excel!$A$6:$T$150,COLUMN()/2+1,FALSE)=0,"",VLOOKUP($A21,数出表_Excel!$A$6:$T$150,COLUMN()/2+1,FALSE))),"")</f>
        <v/>
      </c>
      <c r="AE21" s="83"/>
      <c r="AF21" s="186" t="str">
        <f ca="1">IFERROR(VALUE(IF(VLOOKUP($A21,数出表_Excel!$A$6:$T$150,COLUMN()/2+1,FALSE)=0,"",VLOOKUP($A21,数出表_Excel!$A$6:$T$150,COLUMN()/2+1,FALSE))),"")</f>
        <v/>
      </c>
      <c r="AG21" s="83"/>
      <c r="AH21" s="186" t="str">
        <f ca="1">IFERROR(VALUE(IF(VLOOKUP($A21,数出表_Excel!$A$6:$T$150,COLUMN()/2+1,FALSE)=0,"",VLOOKUP($A21,数出表_Excel!$A$6:$T$150,COLUMN()/2+1,FALSE))),"")</f>
        <v/>
      </c>
      <c r="AI21" s="83"/>
      <c r="AJ21" s="186" t="str">
        <f ca="1">IFERROR(VALUE(IF(VLOOKUP($A21,数出表_Excel!$A$6:$T$150,COLUMN()/2+1,FALSE)=0,"",VLOOKUP($A21,数出表_Excel!$A$6:$T$150,COLUMN()/2+1,FALSE))),"")</f>
        <v/>
      </c>
      <c r="AK21" s="83"/>
      <c r="AL21" s="70" t="e">
        <f ca="1">IF(A21&lt;&gt;"",
IF(VLOOKUP($A21,数出表_Excel!$A$6:$T$150,COLUMN()/2+1,FALSE)=0,"",VLOOKUP($A21,数出表_Excel!$A$6:$T$150,COLUMN()/2+1,FALSE)),"")</f>
        <v>#N/A</v>
      </c>
      <c r="AM21" s="98" t="e">
        <f ca="1">数出表_Excel!V21</f>
        <v>#N/A</v>
      </c>
      <c r="AN21" s="99" t="e">
        <f ca="1">数出表_Excel!W21</f>
        <v>#N/A</v>
      </c>
    </row>
    <row r="22" spans="1:40" ht="16.2" customHeight="1">
      <c r="A22" s="88" t="e">
        <f t="array" aca="1" ref="A22" ca="1">IF(OR(COUNTIF(A20,"*10002*"),COUNTIF(A20,"")),"",INDEX(貼り付け用!$A1:$A200,MATCH(A20,貼り付け用!$A1:$A200,0)+2,0))</f>
        <v>#N/A</v>
      </c>
      <c r="B22" s="185" t="str">
        <f ca="1">IFERROR(VALUE(IF(VLOOKUP($A22,数出表_Excel!$A$6:$T$150,COLUMN()/2+1,FALSE)=0,"",VLOOKUP($A22,数出表_Excel!$A$6:$T$150,COLUMN()/2+1,FALSE))),"")</f>
        <v/>
      </c>
      <c r="C22" s="66"/>
      <c r="D22" s="185" t="str">
        <f ca="1">IFERROR(VALUE(IF(VLOOKUP($A22,数出表_Excel!$A$6:$T$150,COLUMN()/2+1,FALSE)=0,"",VLOOKUP($A22,数出表_Excel!$A$6:$T$150,COLUMN()/2+1,FALSE))),"")</f>
        <v/>
      </c>
      <c r="E22" s="82"/>
      <c r="F22" s="196" t="str">
        <f ca="1">IFERROR(VALUE(IF(VLOOKUP($A22,数出表_Excel!$A$6:$T$150,COLUMN()/2+1,FALSE)=0,"",VLOOKUP($A22,数出表_Excel!$A$6:$T$150,COLUMN()/2+1,FALSE))),"")</f>
        <v/>
      </c>
      <c r="G22" s="66"/>
      <c r="H22" s="185" t="str">
        <f ca="1">IFERROR(VALUE(IF(VLOOKUP($A22,数出表_Excel!$A$6:$T$150,COLUMN()/2+1,FALSE)=0,"",VLOOKUP($A22,数出表_Excel!$A$6:$T$150,COLUMN()/2+1,FALSE))),"")</f>
        <v/>
      </c>
      <c r="I22" s="82"/>
      <c r="J22" s="196" t="str">
        <f ca="1">IFERROR(VALUE(IF(VLOOKUP($A22,数出表_Excel!$A$6:$T$150,COLUMN()/2+1,FALSE)=0,"",VLOOKUP($A22,数出表_Excel!$A$6:$T$150,COLUMN()/2+1,FALSE))),"")</f>
        <v/>
      </c>
      <c r="K22" s="66"/>
      <c r="L22" s="185" t="str">
        <f ca="1">IFERROR(VALUE(IF(VLOOKUP($A22,数出表_Excel!$A$6:$T$150,COLUMN()/2+1,FALSE)=0,"",VLOOKUP($A22,数出表_Excel!$A$6:$T$150,COLUMN()/2+1,FALSE))),"")</f>
        <v/>
      </c>
      <c r="M22" s="82"/>
      <c r="N22" s="196" t="str">
        <f ca="1">IFERROR(VALUE(IF(VLOOKUP($A22,数出表_Excel!$A$6:$T$150,COLUMN()/2+1,FALSE)=0,"",VLOOKUP($A22,数出表_Excel!$A$6:$T$150,COLUMN()/2+1,FALSE))),"")</f>
        <v/>
      </c>
      <c r="O22" s="66"/>
      <c r="P22" s="185" t="str">
        <f ca="1">IFERROR(VALUE(IF(VLOOKUP($A22,数出表_Excel!$A$6:$T$150,COLUMN()/2+1,FALSE)=0,"",VLOOKUP($A22,数出表_Excel!$A$6:$T$150,COLUMN()/2+1,FALSE))),"")</f>
        <v/>
      </c>
      <c r="Q22" s="82"/>
      <c r="R22" s="196" t="str">
        <f ca="1">IFERROR(VALUE(IF(VLOOKUP($A22,数出表_Excel!$A$6:$T$150,COLUMN()/2+1,FALSE)=0,"",VLOOKUP($A22,数出表_Excel!$A$6:$T$150,COLUMN()/2+1,FALSE))),"")</f>
        <v/>
      </c>
      <c r="S22" s="66"/>
      <c r="T22" s="185" t="str">
        <f ca="1">IFERROR(VALUE(IF(VLOOKUP($A22,数出表_Excel!$A$6:$T$150,COLUMN()/2+1,FALSE)=0,"",VLOOKUP($A22,数出表_Excel!$A$6:$T$150,COLUMN()/2+1,FALSE))),"")</f>
        <v/>
      </c>
      <c r="U22" s="82"/>
      <c r="V22" s="196" t="str">
        <f ca="1">IFERROR(VALUE(IF(VLOOKUP($A22,数出表_Excel!$A$6:$T$150,COLUMN()/2+1,FALSE)=0,"",VLOOKUP($A22,数出表_Excel!$A$6:$T$150,COLUMN()/2+1,FALSE))),"")</f>
        <v/>
      </c>
      <c r="W22" s="66"/>
      <c r="X22" s="185" t="str">
        <f ca="1">IFERROR(VALUE(IF(VLOOKUP($A22,数出表_Excel!$A$6:$T$150,COLUMN()/2+1,FALSE)=0,"",VLOOKUP($A22,数出表_Excel!$A$6:$T$150,COLUMN()/2+1,FALSE))),"")</f>
        <v/>
      </c>
      <c r="Y22" s="82"/>
      <c r="Z22" s="196" t="str">
        <f ca="1">IFERROR(VALUE(IF(VLOOKUP($A22,数出表_Excel!$A$6:$T$150,COLUMN()/2+1,FALSE)=0,"",VLOOKUP($A22,数出表_Excel!$A$6:$T$150,COLUMN()/2+1,FALSE))),"")</f>
        <v/>
      </c>
      <c r="AA22" s="82"/>
      <c r="AB22" s="185" t="str">
        <f ca="1">IFERROR(VALUE(IF(VLOOKUP($A22,数出表_Excel!$A$6:$T$150,COLUMN()/2+1,FALSE)=0,"",VLOOKUP($A22,数出表_Excel!$A$6:$T$150,COLUMN()/2+1,FALSE))),"")</f>
        <v/>
      </c>
      <c r="AC22" s="82"/>
      <c r="AD22" s="185" t="str">
        <f ca="1">IFERROR(VALUE(IF(VLOOKUP($A22,数出表_Excel!$A$6:$T$150,COLUMN()/2+1,FALSE)=0,"",VLOOKUP($A22,数出表_Excel!$A$6:$T$150,COLUMN()/2+1,FALSE))),"")</f>
        <v/>
      </c>
      <c r="AE22" s="82"/>
      <c r="AF22" s="185" t="str">
        <f ca="1">IFERROR(VALUE(IF(VLOOKUP($A22,数出表_Excel!$A$6:$T$150,COLUMN()/2+1,FALSE)=0,"",VLOOKUP($A22,数出表_Excel!$A$6:$T$150,COLUMN()/2+1,FALSE))),"")</f>
        <v/>
      </c>
      <c r="AG22" s="82"/>
      <c r="AH22" s="185" t="str">
        <f ca="1">IFERROR(VALUE(IF(VLOOKUP($A22,数出表_Excel!$A$6:$T$150,COLUMN()/2+1,FALSE)=0,"",VLOOKUP($A22,数出表_Excel!$A$6:$T$150,COLUMN()/2+1,FALSE))),"")</f>
        <v/>
      </c>
      <c r="AI22" s="82"/>
      <c r="AJ22" s="185" t="str">
        <f ca="1">IFERROR(VALUE(IF(VLOOKUP($A22,数出表_Excel!$A$6:$T$150,COLUMN()/2+1,FALSE)=0,"",VLOOKUP($A22,数出表_Excel!$A$6:$T$150,COLUMN()/2+1,FALSE))),"")</f>
        <v/>
      </c>
      <c r="AK22" s="82"/>
      <c r="AL22" s="68" t="e">
        <f ca="1">IF(A22&lt;&gt;"",
IF(VLOOKUP($A22,数出表_Excel!$A$6:$T$150,COLUMN()/2+1,FALSE)=0,"",VLOOKUP($A22,数出表_Excel!$A$6:$T$150,COLUMN()/2+1,FALSE)),"")</f>
        <v>#N/A</v>
      </c>
      <c r="AM22" s="96" t="e">
        <f ca="1">数出表_Excel!V22</f>
        <v>#N/A</v>
      </c>
      <c r="AN22" s="97" t="e">
        <f ca="1">数出表_Excel!W22</f>
        <v>#N/A</v>
      </c>
    </row>
    <row r="23" spans="1:40" ht="16.2" customHeight="1">
      <c r="A23" s="89" t="e">
        <f t="array" aca="1" ref="A23" ca="1">IF(OR(COUNTIF(A21,"*1000*"),COUNTIF(A21,"")),"",INDEX(貼り付け用!$A1:$A200,MATCH(A21,貼り付け用!$A1:$A200,0)+2,0))</f>
        <v>#N/A</v>
      </c>
      <c r="B23" s="186" t="str">
        <f ca="1">IFERROR(VALUE(IF(VLOOKUP($A23,数出表_Excel!$A$6:$T$150,COLUMN()/2+1,FALSE)=0,"",VLOOKUP($A23,数出表_Excel!$A$6:$T$150,COLUMN()/2+1,FALSE))),"")</f>
        <v/>
      </c>
      <c r="C23" s="67"/>
      <c r="D23" s="186" t="str">
        <f ca="1">IFERROR(VALUE(IF(VLOOKUP($A23,数出表_Excel!$A$6:$T$150,COLUMN()/2+1,FALSE)=0,"",VLOOKUP($A23,数出表_Excel!$A$6:$T$150,COLUMN()/2+1,FALSE))),"")</f>
        <v/>
      </c>
      <c r="E23" s="83"/>
      <c r="F23" s="197" t="str">
        <f ca="1">IFERROR(VALUE(IF(VLOOKUP($A23,数出表_Excel!$A$6:$T$150,COLUMN()/2+1,FALSE)=0,"",VLOOKUP($A23,数出表_Excel!$A$6:$T$150,COLUMN()/2+1,FALSE))),"")</f>
        <v/>
      </c>
      <c r="G23" s="67"/>
      <c r="H23" s="186" t="str">
        <f ca="1">IFERROR(VALUE(IF(VLOOKUP($A23,数出表_Excel!$A$6:$T$150,COLUMN()/2+1,FALSE)=0,"",VLOOKUP($A23,数出表_Excel!$A$6:$T$150,COLUMN()/2+1,FALSE))),"")</f>
        <v/>
      </c>
      <c r="I23" s="83"/>
      <c r="J23" s="197" t="str">
        <f ca="1">IFERROR(VALUE(IF(VLOOKUP($A23,数出表_Excel!$A$6:$T$150,COLUMN()/2+1,FALSE)=0,"",VLOOKUP($A23,数出表_Excel!$A$6:$T$150,COLUMN()/2+1,FALSE))),"")</f>
        <v/>
      </c>
      <c r="K23" s="67"/>
      <c r="L23" s="186" t="str">
        <f ca="1">IFERROR(VALUE(IF(VLOOKUP($A23,数出表_Excel!$A$6:$T$150,COLUMN()/2+1,FALSE)=0,"",VLOOKUP($A23,数出表_Excel!$A$6:$T$150,COLUMN()/2+1,FALSE))),"")</f>
        <v/>
      </c>
      <c r="M23" s="83"/>
      <c r="N23" s="197" t="str">
        <f ca="1">IFERROR(VALUE(IF(VLOOKUP($A23,数出表_Excel!$A$6:$T$150,COLUMN()/2+1,FALSE)=0,"",VLOOKUP($A23,数出表_Excel!$A$6:$T$150,COLUMN()/2+1,FALSE))),"")</f>
        <v/>
      </c>
      <c r="O23" s="67"/>
      <c r="P23" s="186" t="str">
        <f ca="1">IFERROR(VALUE(IF(VLOOKUP($A23,数出表_Excel!$A$6:$T$150,COLUMN()/2+1,FALSE)=0,"",VLOOKUP($A23,数出表_Excel!$A$6:$T$150,COLUMN()/2+1,FALSE))),"")</f>
        <v/>
      </c>
      <c r="Q23" s="83"/>
      <c r="R23" s="197" t="str">
        <f ca="1">IFERROR(VALUE(IF(VLOOKUP($A23,数出表_Excel!$A$6:$T$150,COLUMN()/2+1,FALSE)=0,"",VLOOKUP($A23,数出表_Excel!$A$6:$T$150,COLUMN()/2+1,FALSE))),"")</f>
        <v/>
      </c>
      <c r="S23" s="67"/>
      <c r="T23" s="186" t="str">
        <f ca="1">IFERROR(VALUE(IF(VLOOKUP($A23,数出表_Excel!$A$6:$T$150,COLUMN()/2+1,FALSE)=0,"",VLOOKUP($A23,数出表_Excel!$A$6:$T$150,COLUMN()/2+1,FALSE))),"")</f>
        <v/>
      </c>
      <c r="U23" s="83"/>
      <c r="V23" s="197" t="str">
        <f ca="1">IFERROR(VALUE(IF(VLOOKUP($A23,数出表_Excel!$A$6:$T$150,COLUMN()/2+1,FALSE)=0,"",VLOOKUP($A23,数出表_Excel!$A$6:$T$150,COLUMN()/2+1,FALSE))),"")</f>
        <v/>
      </c>
      <c r="W23" s="67"/>
      <c r="X23" s="186" t="str">
        <f ca="1">IFERROR(VALUE(IF(VLOOKUP($A23,数出表_Excel!$A$6:$T$150,COLUMN()/2+1,FALSE)=0,"",VLOOKUP($A23,数出表_Excel!$A$6:$T$150,COLUMN()/2+1,FALSE))),"")</f>
        <v/>
      </c>
      <c r="Y23" s="83"/>
      <c r="Z23" s="197" t="str">
        <f ca="1">IFERROR(VALUE(IF(VLOOKUP($A23,数出表_Excel!$A$6:$T$150,COLUMN()/2+1,FALSE)=0,"",VLOOKUP($A23,数出表_Excel!$A$6:$T$150,COLUMN()/2+1,FALSE))),"")</f>
        <v/>
      </c>
      <c r="AA23" s="83"/>
      <c r="AB23" s="186" t="str">
        <f ca="1">IFERROR(VALUE(IF(VLOOKUP($A23,数出表_Excel!$A$6:$T$150,COLUMN()/2+1,FALSE)=0,"",VLOOKUP($A23,数出表_Excel!$A$6:$T$150,COLUMN()/2+1,FALSE))),"")</f>
        <v/>
      </c>
      <c r="AC23" s="83"/>
      <c r="AD23" s="186" t="str">
        <f ca="1">IFERROR(VALUE(IF(VLOOKUP($A23,数出表_Excel!$A$6:$T$150,COLUMN()/2+1,FALSE)=0,"",VLOOKUP($A23,数出表_Excel!$A$6:$T$150,COLUMN()/2+1,FALSE))),"")</f>
        <v/>
      </c>
      <c r="AE23" s="83"/>
      <c r="AF23" s="186" t="str">
        <f ca="1">IFERROR(VALUE(IF(VLOOKUP($A23,数出表_Excel!$A$6:$T$150,COLUMN()/2+1,FALSE)=0,"",VLOOKUP($A23,数出表_Excel!$A$6:$T$150,COLUMN()/2+1,FALSE))),"")</f>
        <v/>
      </c>
      <c r="AG23" s="83"/>
      <c r="AH23" s="186" t="str">
        <f ca="1">IFERROR(VALUE(IF(VLOOKUP($A23,数出表_Excel!$A$6:$T$150,COLUMN()/2+1,FALSE)=0,"",VLOOKUP($A23,数出表_Excel!$A$6:$T$150,COLUMN()/2+1,FALSE))),"")</f>
        <v/>
      </c>
      <c r="AI23" s="83"/>
      <c r="AJ23" s="186" t="str">
        <f ca="1">IFERROR(VALUE(IF(VLOOKUP($A23,数出表_Excel!$A$6:$T$150,COLUMN()/2+1,FALSE)=0,"",VLOOKUP($A23,数出表_Excel!$A$6:$T$150,COLUMN()/2+1,FALSE))),"")</f>
        <v/>
      </c>
      <c r="AK23" s="83"/>
      <c r="AL23" s="70" t="e">
        <f ca="1">IF(A23&lt;&gt;"",
IF(VLOOKUP($A23,数出表_Excel!$A$6:$T$150,COLUMN()/2+1,FALSE)=0,"",VLOOKUP($A23,数出表_Excel!$A$6:$T$150,COLUMN()/2+1,FALSE)),"")</f>
        <v>#N/A</v>
      </c>
      <c r="AM23" s="98" t="e">
        <f ca="1">数出表_Excel!V23</f>
        <v>#N/A</v>
      </c>
      <c r="AN23" s="99" t="e">
        <f ca="1">数出表_Excel!W23</f>
        <v>#N/A</v>
      </c>
    </row>
    <row r="24" spans="1:40" ht="16.2" customHeight="1">
      <c r="A24" s="88" t="e">
        <f t="array" aca="1" ref="A24" ca="1">IF(OR(COUNTIF(A22,"*10002*"),COUNTIF(A22,"")),"",INDEX(貼り付け用!$A1:$A200,MATCH(A22,貼り付け用!$A1:$A200,0)+2,0))</f>
        <v>#N/A</v>
      </c>
      <c r="B24" s="185" t="str">
        <f ca="1">IFERROR(VALUE(IF(VLOOKUP($A24,数出表_Excel!$A$6:$T$150,COLUMN()/2+1,FALSE)=0,"",VLOOKUP($A24,数出表_Excel!$A$6:$T$150,COLUMN()/2+1,FALSE))),"")</f>
        <v/>
      </c>
      <c r="C24" s="66"/>
      <c r="D24" s="185" t="str">
        <f ca="1">IFERROR(VALUE(IF(VLOOKUP($A24,数出表_Excel!$A$6:$T$150,COLUMN()/2+1,FALSE)=0,"",VLOOKUP($A24,数出表_Excel!$A$6:$T$150,COLUMN()/2+1,FALSE))),"")</f>
        <v/>
      </c>
      <c r="E24" s="82"/>
      <c r="F24" s="196" t="str">
        <f ca="1">IFERROR(VALUE(IF(VLOOKUP($A24,数出表_Excel!$A$6:$T$150,COLUMN()/2+1,FALSE)=0,"",VLOOKUP($A24,数出表_Excel!$A$6:$T$150,COLUMN()/2+1,FALSE))),"")</f>
        <v/>
      </c>
      <c r="G24" s="66"/>
      <c r="H24" s="185" t="str">
        <f ca="1">IFERROR(VALUE(IF(VLOOKUP($A24,数出表_Excel!$A$6:$T$150,COLUMN()/2+1,FALSE)=0,"",VLOOKUP($A24,数出表_Excel!$A$6:$T$150,COLUMN()/2+1,FALSE))),"")</f>
        <v/>
      </c>
      <c r="I24" s="82"/>
      <c r="J24" s="196" t="str">
        <f ca="1">IFERROR(VALUE(IF(VLOOKUP($A24,数出表_Excel!$A$6:$T$150,COLUMN()/2+1,FALSE)=0,"",VLOOKUP($A24,数出表_Excel!$A$6:$T$150,COLUMN()/2+1,FALSE))),"")</f>
        <v/>
      </c>
      <c r="K24" s="66"/>
      <c r="L24" s="185" t="str">
        <f ca="1">IFERROR(VALUE(IF(VLOOKUP($A24,数出表_Excel!$A$6:$T$150,COLUMN()/2+1,FALSE)=0,"",VLOOKUP($A24,数出表_Excel!$A$6:$T$150,COLUMN()/2+1,FALSE))),"")</f>
        <v/>
      </c>
      <c r="M24" s="82"/>
      <c r="N24" s="196" t="str">
        <f ca="1">IFERROR(VALUE(IF(VLOOKUP($A24,数出表_Excel!$A$6:$T$150,COLUMN()/2+1,FALSE)=0,"",VLOOKUP($A24,数出表_Excel!$A$6:$T$150,COLUMN()/2+1,FALSE))),"")</f>
        <v/>
      </c>
      <c r="O24" s="66"/>
      <c r="P24" s="185" t="str">
        <f ca="1">IFERROR(VALUE(IF(VLOOKUP($A24,数出表_Excel!$A$6:$T$150,COLUMN()/2+1,FALSE)=0,"",VLOOKUP($A24,数出表_Excel!$A$6:$T$150,COLUMN()/2+1,FALSE))),"")</f>
        <v/>
      </c>
      <c r="Q24" s="82"/>
      <c r="R24" s="196" t="str">
        <f ca="1">IFERROR(VALUE(IF(VLOOKUP($A24,数出表_Excel!$A$6:$T$150,COLUMN()/2+1,FALSE)=0,"",VLOOKUP($A24,数出表_Excel!$A$6:$T$150,COLUMN()/2+1,FALSE))),"")</f>
        <v/>
      </c>
      <c r="S24" s="66"/>
      <c r="T24" s="185" t="str">
        <f ca="1">IFERROR(VALUE(IF(VLOOKUP($A24,数出表_Excel!$A$6:$T$150,COLUMN()/2+1,FALSE)=0,"",VLOOKUP($A24,数出表_Excel!$A$6:$T$150,COLUMN()/2+1,FALSE))),"")</f>
        <v/>
      </c>
      <c r="U24" s="82"/>
      <c r="V24" s="196" t="str">
        <f ca="1">IFERROR(VALUE(IF(VLOOKUP($A24,数出表_Excel!$A$6:$T$150,COLUMN()/2+1,FALSE)=0,"",VLOOKUP($A24,数出表_Excel!$A$6:$T$150,COLUMN()/2+1,FALSE))),"")</f>
        <v/>
      </c>
      <c r="W24" s="66"/>
      <c r="X24" s="185" t="str">
        <f ca="1">IFERROR(VALUE(IF(VLOOKUP($A24,数出表_Excel!$A$6:$T$150,COLUMN()/2+1,FALSE)=0,"",VLOOKUP($A24,数出表_Excel!$A$6:$T$150,COLUMN()/2+1,FALSE))),"")</f>
        <v/>
      </c>
      <c r="Y24" s="82"/>
      <c r="Z24" s="196" t="str">
        <f ca="1">IFERROR(VALUE(IF(VLOOKUP($A24,数出表_Excel!$A$6:$T$150,COLUMN()/2+1,FALSE)=0,"",VLOOKUP($A24,数出表_Excel!$A$6:$T$150,COLUMN()/2+1,FALSE))),"")</f>
        <v/>
      </c>
      <c r="AA24" s="82"/>
      <c r="AB24" s="185" t="str">
        <f ca="1">IFERROR(VALUE(IF(VLOOKUP($A24,数出表_Excel!$A$6:$T$150,COLUMN()/2+1,FALSE)=0,"",VLOOKUP($A24,数出表_Excel!$A$6:$T$150,COLUMN()/2+1,FALSE))),"")</f>
        <v/>
      </c>
      <c r="AC24" s="82"/>
      <c r="AD24" s="185" t="str">
        <f ca="1">IFERROR(VALUE(IF(VLOOKUP($A24,数出表_Excel!$A$6:$T$150,COLUMN()/2+1,FALSE)=0,"",VLOOKUP($A24,数出表_Excel!$A$6:$T$150,COLUMN()/2+1,FALSE))),"")</f>
        <v/>
      </c>
      <c r="AE24" s="82"/>
      <c r="AF24" s="185" t="str">
        <f ca="1">IFERROR(VALUE(IF(VLOOKUP($A24,数出表_Excel!$A$6:$T$150,COLUMN()/2+1,FALSE)=0,"",VLOOKUP($A24,数出表_Excel!$A$6:$T$150,COLUMN()/2+1,FALSE))),"")</f>
        <v/>
      </c>
      <c r="AG24" s="82"/>
      <c r="AH24" s="185" t="str">
        <f ca="1">IFERROR(VALUE(IF(VLOOKUP($A24,数出表_Excel!$A$6:$T$150,COLUMN()/2+1,FALSE)=0,"",VLOOKUP($A24,数出表_Excel!$A$6:$T$150,COLUMN()/2+1,FALSE))),"")</f>
        <v/>
      </c>
      <c r="AI24" s="82"/>
      <c r="AJ24" s="185" t="str">
        <f ca="1">IFERROR(VALUE(IF(VLOOKUP($A24,数出表_Excel!$A$6:$T$150,COLUMN()/2+1,FALSE)=0,"",VLOOKUP($A24,数出表_Excel!$A$6:$T$150,COLUMN()/2+1,FALSE))),"")</f>
        <v/>
      </c>
      <c r="AK24" s="82"/>
      <c r="AL24" s="68" t="e">
        <f ca="1">IF(A24&lt;&gt;"",
IF(VLOOKUP($A24,数出表_Excel!$A$6:$T$150,COLUMN()/2+1,FALSE)=0,"",VLOOKUP($A24,数出表_Excel!$A$6:$T$150,COLUMN()/2+1,FALSE)),"")</f>
        <v>#N/A</v>
      </c>
      <c r="AM24" s="96" t="e">
        <f ca="1">数出表_Excel!V24</f>
        <v>#N/A</v>
      </c>
      <c r="AN24" s="97" t="e">
        <f ca="1">数出表_Excel!W24</f>
        <v>#N/A</v>
      </c>
    </row>
    <row r="25" spans="1:40" ht="16.2" customHeight="1">
      <c r="A25" s="89" t="e">
        <f t="array" aca="1" ref="A25" ca="1">IF(OR(COUNTIF(A23,"*1000*"),COUNTIF(A23,"")),"",INDEX(貼り付け用!$A1:$A200,MATCH(A23,貼り付け用!$A1:$A200,0)+2,0))</f>
        <v>#N/A</v>
      </c>
      <c r="B25" s="186" t="str">
        <f ca="1">IFERROR(VALUE(IF(VLOOKUP($A25,数出表_Excel!$A$6:$T$150,COLUMN()/2+1,FALSE)=0,"",VLOOKUP($A25,数出表_Excel!$A$6:$T$150,COLUMN()/2+1,FALSE))),"")</f>
        <v/>
      </c>
      <c r="C25" s="67"/>
      <c r="D25" s="186" t="str">
        <f ca="1">IFERROR(VALUE(IF(VLOOKUP($A25,数出表_Excel!$A$6:$T$150,COLUMN()/2+1,FALSE)=0,"",VLOOKUP($A25,数出表_Excel!$A$6:$T$150,COLUMN()/2+1,FALSE))),"")</f>
        <v/>
      </c>
      <c r="E25" s="83"/>
      <c r="F25" s="197" t="str">
        <f ca="1">IFERROR(VALUE(IF(VLOOKUP($A25,数出表_Excel!$A$6:$T$150,COLUMN()/2+1,FALSE)=0,"",VLOOKUP($A25,数出表_Excel!$A$6:$T$150,COLUMN()/2+1,FALSE))),"")</f>
        <v/>
      </c>
      <c r="G25" s="67"/>
      <c r="H25" s="186" t="str">
        <f ca="1">IFERROR(VALUE(IF(VLOOKUP($A25,数出表_Excel!$A$6:$T$150,COLUMN()/2+1,FALSE)=0,"",VLOOKUP($A25,数出表_Excel!$A$6:$T$150,COLUMN()/2+1,FALSE))),"")</f>
        <v/>
      </c>
      <c r="I25" s="83"/>
      <c r="J25" s="197" t="str">
        <f ca="1">IFERROR(VALUE(IF(VLOOKUP($A25,数出表_Excel!$A$6:$T$150,COLUMN()/2+1,FALSE)=0,"",VLOOKUP($A25,数出表_Excel!$A$6:$T$150,COLUMN()/2+1,FALSE))),"")</f>
        <v/>
      </c>
      <c r="K25" s="67"/>
      <c r="L25" s="186" t="str">
        <f ca="1">IFERROR(VALUE(IF(VLOOKUP($A25,数出表_Excel!$A$6:$T$150,COLUMN()/2+1,FALSE)=0,"",VLOOKUP($A25,数出表_Excel!$A$6:$T$150,COLUMN()/2+1,FALSE))),"")</f>
        <v/>
      </c>
      <c r="M25" s="83"/>
      <c r="N25" s="197" t="str">
        <f ca="1">IFERROR(VALUE(IF(VLOOKUP($A25,数出表_Excel!$A$6:$T$150,COLUMN()/2+1,FALSE)=0,"",VLOOKUP($A25,数出表_Excel!$A$6:$T$150,COLUMN()/2+1,FALSE))),"")</f>
        <v/>
      </c>
      <c r="O25" s="67"/>
      <c r="P25" s="186" t="str">
        <f ca="1">IFERROR(VALUE(IF(VLOOKUP($A25,数出表_Excel!$A$6:$T$150,COLUMN()/2+1,FALSE)=0,"",VLOOKUP($A25,数出表_Excel!$A$6:$T$150,COLUMN()/2+1,FALSE))),"")</f>
        <v/>
      </c>
      <c r="Q25" s="83"/>
      <c r="R25" s="197" t="str">
        <f ca="1">IFERROR(VALUE(IF(VLOOKUP($A25,数出表_Excel!$A$6:$T$150,COLUMN()/2+1,FALSE)=0,"",VLOOKUP($A25,数出表_Excel!$A$6:$T$150,COLUMN()/2+1,FALSE))),"")</f>
        <v/>
      </c>
      <c r="S25" s="67"/>
      <c r="T25" s="186" t="str">
        <f ca="1">IFERROR(VALUE(IF(VLOOKUP($A25,数出表_Excel!$A$6:$T$150,COLUMN()/2+1,FALSE)=0,"",VLOOKUP($A25,数出表_Excel!$A$6:$T$150,COLUMN()/2+1,FALSE))),"")</f>
        <v/>
      </c>
      <c r="U25" s="83"/>
      <c r="V25" s="197" t="str">
        <f ca="1">IFERROR(VALUE(IF(VLOOKUP($A25,数出表_Excel!$A$6:$T$150,COLUMN()/2+1,FALSE)=0,"",VLOOKUP($A25,数出表_Excel!$A$6:$T$150,COLUMN()/2+1,FALSE))),"")</f>
        <v/>
      </c>
      <c r="W25" s="67"/>
      <c r="X25" s="186" t="str">
        <f ca="1">IFERROR(VALUE(IF(VLOOKUP($A25,数出表_Excel!$A$6:$T$150,COLUMN()/2+1,FALSE)=0,"",VLOOKUP($A25,数出表_Excel!$A$6:$T$150,COLUMN()/2+1,FALSE))),"")</f>
        <v/>
      </c>
      <c r="Y25" s="83"/>
      <c r="Z25" s="197" t="str">
        <f ca="1">IFERROR(VALUE(IF(VLOOKUP($A25,数出表_Excel!$A$6:$T$150,COLUMN()/2+1,FALSE)=0,"",VLOOKUP($A25,数出表_Excel!$A$6:$T$150,COLUMN()/2+1,FALSE))),"")</f>
        <v/>
      </c>
      <c r="AA25" s="83"/>
      <c r="AB25" s="186" t="str">
        <f ca="1">IFERROR(VALUE(IF(VLOOKUP($A25,数出表_Excel!$A$6:$T$150,COLUMN()/2+1,FALSE)=0,"",VLOOKUP($A25,数出表_Excel!$A$6:$T$150,COLUMN()/2+1,FALSE))),"")</f>
        <v/>
      </c>
      <c r="AC25" s="83"/>
      <c r="AD25" s="186" t="str">
        <f ca="1">IFERROR(VALUE(IF(VLOOKUP($A25,数出表_Excel!$A$6:$T$150,COLUMN()/2+1,FALSE)=0,"",VLOOKUP($A25,数出表_Excel!$A$6:$T$150,COLUMN()/2+1,FALSE))),"")</f>
        <v/>
      </c>
      <c r="AE25" s="83"/>
      <c r="AF25" s="186" t="str">
        <f ca="1">IFERROR(VALUE(IF(VLOOKUP($A25,数出表_Excel!$A$6:$T$150,COLUMN()/2+1,FALSE)=0,"",VLOOKUP($A25,数出表_Excel!$A$6:$T$150,COLUMN()/2+1,FALSE))),"")</f>
        <v/>
      </c>
      <c r="AG25" s="83"/>
      <c r="AH25" s="186" t="str">
        <f ca="1">IFERROR(VALUE(IF(VLOOKUP($A25,数出表_Excel!$A$6:$T$150,COLUMN()/2+1,FALSE)=0,"",VLOOKUP($A25,数出表_Excel!$A$6:$T$150,COLUMN()/2+1,FALSE))),"")</f>
        <v/>
      </c>
      <c r="AI25" s="83"/>
      <c r="AJ25" s="186" t="str">
        <f ca="1">IFERROR(VALUE(IF(VLOOKUP($A25,数出表_Excel!$A$6:$T$150,COLUMN()/2+1,FALSE)=0,"",VLOOKUP($A25,数出表_Excel!$A$6:$T$150,COLUMN()/2+1,FALSE))),"")</f>
        <v/>
      </c>
      <c r="AK25" s="83"/>
      <c r="AL25" s="70" t="e">
        <f ca="1">IF(A25&lt;&gt;"",
IF(VLOOKUP($A25,数出表_Excel!$A$6:$T$150,COLUMN()/2+1,FALSE)=0,"",VLOOKUP($A25,数出表_Excel!$A$6:$T$150,COLUMN()/2+1,FALSE)),"")</f>
        <v>#N/A</v>
      </c>
      <c r="AM25" s="98" t="e">
        <f ca="1">数出表_Excel!V25</f>
        <v>#N/A</v>
      </c>
      <c r="AN25" s="99" t="e">
        <f ca="1">数出表_Excel!W25</f>
        <v>#N/A</v>
      </c>
    </row>
    <row r="26" spans="1:40" ht="16.2" customHeight="1">
      <c r="A26" s="88" t="e">
        <f t="array" aca="1" ref="A26" ca="1">IF(OR(COUNTIF(A24,"*10002*"),COUNTIF(A24,"")),"",INDEX(貼り付け用!$A1:$A200,MATCH(A24,貼り付け用!$A1:$A200,0)+2,0))</f>
        <v>#N/A</v>
      </c>
      <c r="B26" s="185" t="str">
        <f ca="1">IFERROR(VALUE(IF(VLOOKUP($A26,数出表_Excel!$A$6:$T$150,COLUMN()/2+1,FALSE)=0,"",VLOOKUP($A26,数出表_Excel!$A$6:$T$150,COLUMN()/2+1,FALSE))),"")</f>
        <v/>
      </c>
      <c r="C26" s="66"/>
      <c r="D26" s="185" t="str">
        <f ca="1">IFERROR(VALUE(IF(VLOOKUP($A26,数出表_Excel!$A$6:$T$150,COLUMN()/2+1,FALSE)=0,"",VLOOKUP($A26,数出表_Excel!$A$6:$T$150,COLUMN()/2+1,FALSE))),"")</f>
        <v/>
      </c>
      <c r="E26" s="82"/>
      <c r="F26" s="196" t="str">
        <f ca="1">IFERROR(VALUE(IF(VLOOKUP($A26,数出表_Excel!$A$6:$T$150,COLUMN()/2+1,FALSE)=0,"",VLOOKUP($A26,数出表_Excel!$A$6:$T$150,COLUMN()/2+1,FALSE))),"")</f>
        <v/>
      </c>
      <c r="G26" s="66"/>
      <c r="H26" s="185" t="str">
        <f ca="1">IFERROR(VALUE(IF(VLOOKUP($A26,数出表_Excel!$A$6:$T$150,COLUMN()/2+1,FALSE)=0,"",VLOOKUP($A26,数出表_Excel!$A$6:$T$150,COLUMN()/2+1,FALSE))),"")</f>
        <v/>
      </c>
      <c r="I26" s="82"/>
      <c r="J26" s="196" t="str">
        <f ca="1">IFERROR(VALUE(IF(VLOOKUP($A26,数出表_Excel!$A$6:$T$150,COLUMN()/2+1,FALSE)=0,"",VLOOKUP($A26,数出表_Excel!$A$6:$T$150,COLUMN()/2+1,FALSE))),"")</f>
        <v/>
      </c>
      <c r="K26" s="66"/>
      <c r="L26" s="185" t="str">
        <f ca="1">IFERROR(VALUE(IF(VLOOKUP($A26,数出表_Excel!$A$6:$T$150,COLUMN()/2+1,FALSE)=0,"",VLOOKUP($A26,数出表_Excel!$A$6:$T$150,COLUMN()/2+1,FALSE))),"")</f>
        <v/>
      </c>
      <c r="M26" s="82"/>
      <c r="N26" s="196" t="str">
        <f ca="1">IFERROR(VALUE(IF(VLOOKUP($A26,数出表_Excel!$A$6:$T$150,COLUMN()/2+1,FALSE)=0,"",VLOOKUP($A26,数出表_Excel!$A$6:$T$150,COLUMN()/2+1,FALSE))),"")</f>
        <v/>
      </c>
      <c r="O26" s="66"/>
      <c r="P26" s="185" t="str">
        <f ca="1">IFERROR(VALUE(IF(VLOOKUP($A26,数出表_Excel!$A$6:$T$150,COLUMN()/2+1,FALSE)=0,"",VLOOKUP($A26,数出表_Excel!$A$6:$T$150,COLUMN()/2+1,FALSE))),"")</f>
        <v/>
      </c>
      <c r="Q26" s="82"/>
      <c r="R26" s="196" t="str">
        <f ca="1">IFERROR(VALUE(IF(VLOOKUP($A26,数出表_Excel!$A$6:$T$150,COLUMN()/2+1,FALSE)=0,"",VLOOKUP($A26,数出表_Excel!$A$6:$T$150,COLUMN()/2+1,FALSE))),"")</f>
        <v/>
      </c>
      <c r="S26" s="66"/>
      <c r="T26" s="185" t="str">
        <f ca="1">IFERROR(VALUE(IF(VLOOKUP($A26,数出表_Excel!$A$6:$T$150,COLUMN()/2+1,FALSE)=0,"",VLOOKUP($A26,数出表_Excel!$A$6:$T$150,COLUMN()/2+1,FALSE))),"")</f>
        <v/>
      </c>
      <c r="U26" s="82"/>
      <c r="V26" s="196" t="str">
        <f ca="1">IFERROR(VALUE(IF(VLOOKUP($A26,数出表_Excel!$A$6:$T$150,COLUMN()/2+1,FALSE)=0,"",VLOOKUP($A26,数出表_Excel!$A$6:$T$150,COLUMN()/2+1,FALSE))),"")</f>
        <v/>
      </c>
      <c r="W26" s="66"/>
      <c r="X26" s="185" t="str">
        <f ca="1">IFERROR(VALUE(IF(VLOOKUP($A26,数出表_Excel!$A$6:$T$150,COLUMN()/2+1,FALSE)=0,"",VLOOKUP($A26,数出表_Excel!$A$6:$T$150,COLUMN()/2+1,FALSE))),"")</f>
        <v/>
      </c>
      <c r="Y26" s="82"/>
      <c r="Z26" s="196" t="str">
        <f ca="1">IFERROR(VALUE(IF(VLOOKUP($A26,数出表_Excel!$A$6:$T$150,COLUMN()/2+1,FALSE)=0,"",VLOOKUP($A26,数出表_Excel!$A$6:$T$150,COLUMN()/2+1,FALSE))),"")</f>
        <v/>
      </c>
      <c r="AA26" s="82"/>
      <c r="AB26" s="185" t="str">
        <f ca="1">IFERROR(VALUE(IF(VLOOKUP($A26,数出表_Excel!$A$6:$T$150,COLUMN()/2+1,FALSE)=0,"",VLOOKUP($A26,数出表_Excel!$A$6:$T$150,COLUMN()/2+1,FALSE))),"")</f>
        <v/>
      </c>
      <c r="AC26" s="82"/>
      <c r="AD26" s="185" t="str">
        <f ca="1">IFERROR(VALUE(IF(VLOOKUP($A26,数出表_Excel!$A$6:$T$150,COLUMN()/2+1,FALSE)=0,"",VLOOKUP($A26,数出表_Excel!$A$6:$T$150,COLUMN()/2+1,FALSE))),"")</f>
        <v/>
      </c>
      <c r="AE26" s="82"/>
      <c r="AF26" s="185" t="str">
        <f ca="1">IFERROR(VALUE(IF(VLOOKUP($A26,数出表_Excel!$A$6:$T$150,COLUMN()/2+1,FALSE)=0,"",VLOOKUP($A26,数出表_Excel!$A$6:$T$150,COLUMN()/2+1,FALSE))),"")</f>
        <v/>
      </c>
      <c r="AG26" s="82"/>
      <c r="AH26" s="185" t="str">
        <f ca="1">IFERROR(VALUE(IF(VLOOKUP($A26,数出表_Excel!$A$6:$T$150,COLUMN()/2+1,FALSE)=0,"",VLOOKUP($A26,数出表_Excel!$A$6:$T$150,COLUMN()/2+1,FALSE))),"")</f>
        <v/>
      </c>
      <c r="AI26" s="82"/>
      <c r="AJ26" s="185" t="str">
        <f ca="1">IFERROR(VALUE(IF(VLOOKUP($A26,数出表_Excel!$A$6:$T$150,COLUMN()/2+1,FALSE)=0,"",VLOOKUP($A26,数出表_Excel!$A$6:$T$150,COLUMN()/2+1,FALSE))),"")</f>
        <v/>
      </c>
      <c r="AK26" s="82"/>
      <c r="AL26" s="68" t="e">
        <f ca="1">IF(A26&lt;&gt;"",
IF(VLOOKUP($A26,数出表_Excel!$A$6:$T$150,COLUMN()/2+1,FALSE)=0,"",VLOOKUP($A26,数出表_Excel!$A$6:$T$150,COLUMN()/2+1,FALSE)),"")</f>
        <v>#N/A</v>
      </c>
      <c r="AM26" s="96" t="e">
        <f ca="1">数出表_Excel!V26</f>
        <v>#N/A</v>
      </c>
      <c r="AN26" s="97" t="e">
        <f ca="1">数出表_Excel!W26</f>
        <v>#N/A</v>
      </c>
    </row>
    <row r="27" spans="1:40" ht="16.2" customHeight="1">
      <c r="A27" s="89" t="e">
        <f t="array" aca="1" ref="A27" ca="1">IF(OR(COUNTIF(A25,"*1000*"),COUNTIF(A25,"")),"",INDEX(貼り付け用!$A1:$A200,MATCH(A25,貼り付け用!$A1:$A200,0)+2,0))</f>
        <v>#N/A</v>
      </c>
      <c r="B27" s="186" t="str">
        <f ca="1">IFERROR(VALUE(IF(VLOOKUP($A27,数出表_Excel!$A$6:$T$150,COLUMN()/2+1,FALSE)=0,"",VLOOKUP($A27,数出表_Excel!$A$6:$T$150,COLUMN()/2+1,FALSE))),"")</f>
        <v/>
      </c>
      <c r="C27" s="67"/>
      <c r="D27" s="186" t="str">
        <f ca="1">IFERROR(VALUE(IF(VLOOKUP($A27,数出表_Excel!$A$6:$T$150,COLUMN()/2+1,FALSE)=0,"",VLOOKUP($A27,数出表_Excel!$A$6:$T$150,COLUMN()/2+1,FALSE))),"")</f>
        <v/>
      </c>
      <c r="E27" s="83"/>
      <c r="F27" s="197" t="str">
        <f ca="1">IFERROR(VALUE(IF(VLOOKUP($A27,数出表_Excel!$A$6:$T$150,COLUMN()/2+1,FALSE)=0,"",VLOOKUP($A27,数出表_Excel!$A$6:$T$150,COLUMN()/2+1,FALSE))),"")</f>
        <v/>
      </c>
      <c r="G27" s="67"/>
      <c r="H27" s="186" t="str">
        <f ca="1">IFERROR(VALUE(IF(VLOOKUP($A27,数出表_Excel!$A$6:$T$150,COLUMN()/2+1,FALSE)=0,"",VLOOKUP($A27,数出表_Excel!$A$6:$T$150,COLUMN()/2+1,FALSE))),"")</f>
        <v/>
      </c>
      <c r="I27" s="83"/>
      <c r="J27" s="197" t="str">
        <f ca="1">IFERROR(VALUE(IF(VLOOKUP($A27,数出表_Excel!$A$6:$T$150,COLUMN()/2+1,FALSE)=0,"",VLOOKUP($A27,数出表_Excel!$A$6:$T$150,COLUMN()/2+1,FALSE))),"")</f>
        <v/>
      </c>
      <c r="K27" s="67"/>
      <c r="L27" s="186" t="str">
        <f ca="1">IFERROR(VALUE(IF(VLOOKUP($A27,数出表_Excel!$A$6:$T$150,COLUMN()/2+1,FALSE)=0,"",VLOOKUP($A27,数出表_Excel!$A$6:$T$150,COLUMN()/2+1,FALSE))),"")</f>
        <v/>
      </c>
      <c r="M27" s="83"/>
      <c r="N27" s="197" t="str">
        <f ca="1">IFERROR(VALUE(IF(VLOOKUP($A27,数出表_Excel!$A$6:$T$150,COLUMN()/2+1,FALSE)=0,"",VLOOKUP($A27,数出表_Excel!$A$6:$T$150,COLUMN()/2+1,FALSE))),"")</f>
        <v/>
      </c>
      <c r="O27" s="67"/>
      <c r="P27" s="186" t="str">
        <f ca="1">IFERROR(VALUE(IF(VLOOKUP($A27,数出表_Excel!$A$6:$T$150,COLUMN()/2+1,FALSE)=0,"",VLOOKUP($A27,数出表_Excel!$A$6:$T$150,COLUMN()/2+1,FALSE))),"")</f>
        <v/>
      </c>
      <c r="Q27" s="83"/>
      <c r="R27" s="197" t="str">
        <f ca="1">IFERROR(VALUE(IF(VLOOKUP($A27,数出表_Excel!$A$6:$T$150,COLUMN()/2+1,FALSE)=0,"",VLOOKUP($A27,数出表_Excel!$A$6:$T$150,COLUMN()/2+1,FALSE))),"")</f>
        <v/>
      </c>
      <c r="S27" s="67"/>
      <c r="T27" s="186" t="str">
        <f ca="1">IFERROR(VALUE(IF(VLOOKUP($A27,数出表_Excel!$A$6:$T$150,COLUMN()/2+1,FALSE)=0,"",VLOOKUP($A27,数出表_Excel!$A$6:$T$150,COLUMN()/2+1,FALSE))),"")</f>
        <v/>
      </c>
      <c r="U27" s="83"/>
      <c r="V27" s="197" t="str">
        <f ca="1">IFERROR(VALUE(IF(VLOOKUP($A27,数出表_Excel!$A$6:$T$150,COLUMN()/2+1,FALSE)=0,"",VLOOKUP($A27,数出表_Excel!$A$6:$T$150,COLUMN()/2+1,FALSE))),"")</f>
        <v/>
      </c>
      <c r="W27" s="67"/>
      <c r="X27" s="186" t="str">
        <f ca="1">IFERROR(VALUE(IF(VLOOKUP($A27,数出表_Excel!$A$6:$T$150,COLUMN()/2+1,FALSE)=0,"",VLOOKUP($A27,数出表_Excel!$A$6:$T$150,COLUMN()/2+1,FALSE))),"")</f>
        <v/>
      </c>
      <c r="Y27" s="83"/>
      <c r="Z27" s="197" t="str">
        <f ca="1">IFERROR(VALUE(IF(VLOOKUP($A27,数出表_Excel!$A$6:$T$150,COLUMN()/2+1,FALSE)=0,"",VLOOKUP($A27,数出表_Excel!$A$6:$T$150,COLUMN()/2+1,FALSE))),"")</f>
        <v/>
      </c>
      <c r="AA27" s="83"/>
      <c r="AB27" s="186" t="str">
        <f ca="1">IFERROR(VALUE(IF(VLOOKUP($A27,数出表_Excel!$A$6:$T$150,COLUMN()/2+1,FALSE)=0,"",VLOOKUP($A27,数出表_Excel!$A$6:$T$150,COLUMN()/2+1,FALSE))),"")</f>
        <v/>
      </c>
      <c r="AC27" s="83"/>
      <c r="AD27" s="186" t="str">
        <f ca="1">IFERROR(VALUE(IF(VLOOKUP($A27,数出表_Excel!$A$6:$T$150,COLUMN()/2+1,FALSE)=0,"",VLOOKUP($A27,数出表_Excel!$A$6:$T$150,COLUMN()/2+1,FALSE))),"")</f>
        <v/>
      </c>
      <c r="AE27" s="83"/>
      <c r="AF27" s="186" t="str">
        <f ca="1">IFERROR(VALUE(IF(VLOOKUP($A27,数出表_Excel!$A$6:$T$150,COLUMN()/2+1,FALSE)=0,"",VLOOKUP($A27,数出表_Excel!$A$6:$T$150,COLUMN()/2+1,FALSE))),"")</f>
        <v/>
      </c>
      <c r="AG27" s="83"/>
      <c r="AH27" s="186" t="str">
        <f ca="1">IFERROR(VALUE(IF(VLOOKUP($A27,数出表_Excel!$A$6:$T$150,COLUMN()/2+1,FALSE)=0,"",VLOOKUP($A27,数出表_Excel!$A$6:$T$150,COLUMN()/2+1,FALSE))),"")</f>
        <v/>
      </c>
      <c r="AI27" s="83"/>
      <c r="AJ27" s="186" t="str">
        <f ca="1">IFERROR(VALUE(IF(VLOOKUP($A27,数出表_Excel!$A$6:$T$150,COLUMN()/2+1,FALSE)=0,"",VLOOKUP($A27,数出表_Excel!$A$6:$T$150,COLUMN()/2+1,FALSE))),"")</f>
        <v/>
      </c>
      <c r="AK27" s="83"/>
      <c r="AL27" s="70" t="e">
        <f ca="1">IF(A27&lt;&gt;"",
IF(VLOOKUP($A27,数出表_Excel!$A$6:$T$150,COLUMN()/2+1,FALSE)=0,"",VLOOKUP($A27,数出表_Excel!$A$6:$T$150,COLUMN()/2+1,FALSE)),"")</f>
        <v>#N/A</v>
      </c>
      <c r="AM27" s="98" t="e">
        <f ca="1">数出表_Excel!V27</f>
        <v>#N/A</v>
      </c>
      <c r="AN27" s="99" t="e">
        <f ca="1">数出表_Excel!W27</f>
        <v>#N/A</v>
      </c>
    </row>
    <row r="28" spans="1:40" ht="16.2" customHeight="1">
      <c r="A28" s="88" t="e">
        <f t="array" aca="1" ref="A28" ca="1">IF(OR(COUNTIF(A26,"*10002*"),COUNTIF(A26,"")),"",INDEX(貼り付け用!$A1:$A200,MATCH(A26,貼り付け用!$A1:$A200,0)+2,0))</f>
        <v>#N/A</v>
      </c>
      <c r="B28" s="185" t="str">
        <f ca="1">IFERROR(VALUE(IF(VLOOKUP($A28,数出表_Excel!$A$6:$T$150,COLUMN()/2+1,FALSE)=0,"",VLOOKUP($A28,数出表_Excel!$A$6:$T$150,COLUMN()/2+1,FALSE))),"")</f>
        <v/>
      </c>
      <c r="C28" s="66"/>
      <c r="D28" s="185" t="str">
        <f ca="1">IFERROR(VALUE(IF(VLOOKUP($A28,数出表_Excel!$A$6:$T$150,COLUMN()/2+1,FALSE)=0,"",VLOOKUP($A28,数出表_Excel!$A$6:$T$150,COLUMN()/2+1,FALSE))),"")</f>
        <v/>
      </c>
      <c r="E28" s="82"/>
      <c r="F28" s="196" t="str">
        <f ca="1">IFERROR(VALUE(IF(VLOOKUP($A28,数出表_Excel!$A$6:$T$150,COLUMN()/2+1,FALSE)=0,"",VLOOKUP($A28,数出表_Excel!$A$6:$T$150,COLUMN()/2+1,FALSE))),"")</f>
        <v/>
      </c>
      <c r="G28" s="66"/>
      <c r="H28" s="185" t="str">
        <f ca="1">IFERROR(VALUE(IF(VLOOKUP($A28,数出表_Excel!$A$6:$T$150,COLUMN()/2+1,FALSE)=0,"",VLOOKUP($A28,数出表_Excel!$A$6:$T$150,COLUMN()/2+1,FALSE))),"")</f>
        <v/>
      </c>
      <c r="I28" s="82"/>
      <c r="J28" s="196" t="str">
        <f ca="1">IFERROR(VALUE(IF(VLOOKUP($A28,数出表_Excel!$A$6:$T$150,COLUMN()/2+1,FALSE)=0,"",VLOOKUP($A28,数出表_Excel!$A$6:$T$150,COLUMN()/2+1,FALSE))),"")</f>
        <v/>
      </c>
      <c r="K28" s="66"/>
      <c r="L28" s="185" t="str">
        <f ca="1">IFERROR(VALUE(IF(VLOOKUP($A28,数出表_Excel!$A$6:$T$150,COLUMN()/2+1,FALSE)=0,"",VLOOKUP($A28,数出表_Excel!$A$6:$T$150,COLUMN()/2+1,FALSE))),"")</f>
        <v/>
      </c>
      <c r="M28" s="82"/>
      <c r="N28" s="196" t="str">
        <f ca="1">IFERROR(VALUE(IF(VLOOKUP($A28,数出表_Excel!$A$6:$T$150,COLUMN()/2+1,FALSE)=0,"",VLOOKUP($A28,数出表_Excel!$A$6:$T$150,COLUMN()/2+1,FALSE))),"")</f>
        <v/>
      </c>
      <c r="O28" s="66"/>
      <c r="P28" s="185" t="str">
        <f ca="1">IFERROR(VALUE(IF(VLOOKUP($A28,数出表_Excel!$A$6:$T$150,COLUMN()/2+1,FALSE)=0,"",VLOOKUP($A28,数出表_Excel!$A$6:$T$150,COLUMN()/2+1,FALSE))),"")</f>
        <v/>
      </c>
      <c r="Q28" s="82"/>
      <c r="R28" s="196" t="str">
        <f ca="1">IFERROR(VALUE(IF(VLOOKUP($A28,数出表_Excel!$A$6:$T$150,COLUMN()/2+1,FALSE)=0,"",VLOOKUP($A28,数出表_Excel!$A$6:$T$150,COLUMN()/2+1,FALSE))),"")</f>
        <v/>
      </c>
      <c r="S28" s="66"/>
      <c r="T28" s="185" t="str">
        <f ca="1">IFERROR(VALUE(IF(VLOOKUP($A28,数出表_Excel!$A$6:$T$150,COLUMN()/2+1,FALSE)=0,"",VLOOKUP($A28,数出表_Excel!$A$6:$T$150,COLUMN()/2+1,FALSE))),"")</f>
        <v/>
      </c>
      <c r="U28" s="82"/>
      <c r="V28" s="196" t="str">
        <f ca="1">IFERROR(VALUE(IF(VLOOKUP($A28,数出表_Excel!$A$6:$T$150,COLUMN()/2+1,FALSE)=0,"",VLOOKUP($A28,数出表_Excel!$A$6:$T$150,COLUMN()/2+1,FALSE))),"")</f>
        <v/>
      </c>
      <c r="W28" s="66"/>
      <c r="X28" s="185" t="str">
        <f ca="1">IFERROR(VALUE(IF(VLOOKUP($A28,数出表_Excel!$A$6:$T$150,COLUMN()/2+1,FALSE)=0,"",VLOOKUP($A28,数出表_Excel!$A$6:$T$150,COLUMN()/2+1,FALSE))),"")</f>
        <v/>
      </c>
      <c r="Y28" s="82"/>
      <c r="Z28" s="196" t="str">
        <f ca="1">IFERROR(VALUE(IF(VLOOKUP($A28,数出表_Excel!$A$6:$T$150,COLUMN()/2+1,FALSE)=0,"",VLOOKUP($A28,数出表_Excel!$A$6:$T$150,COLUMN()/2+1,FALSE))),"")</f>
        <v/>
      </c>
      <c r="AA28" s="82"/>
      <c r="AB28" s="185" t="str">
        <f ca="1">IFERROR(VALUE(IF(VLOOKUP($A28,数出表_Excel!$A$6:$T$150,COLUMN()/2+1,FALSE)=0,"",VLOOKUP($A28,数出表_Excel!$A$6:$T$150,COLUMN()/2+1,FALSE))),"")</f>
        <v/>
      </c>
      <c r="AC28" s="82"/>
      <c r="AD28" s="185" t="str">
        <f ca="1">IFERROR(VALUE(IF(VLOOKUP($A28,数出表_Excel!$A$6:$T$150,COLUMN()/2+1,FALSE)=0,"",VLOOKUP($A28,数出表_Excel!$A$6:$T$150,COLUMN()/2+1,FALSE))),"")</f>
        <v/>
      </c>
      <c r="AE28" s="82"/>
      <c r="AF28" s="185" t="str">
        <f ca="1">IFERROR(VALUE(IF(VLOOKUP($A28,数出表_Excel!$A$6:$T$150,COLUMN()/2+1,FALSE)=0,"",VLOOKUP($A28,数出表_Excel!$A$6:$T$150,COLUMN()/2+1,FALSE))),"")</f>
        <v/>
      </c>
      <c r="AG28" s="82"/>
      <c r="AH28" s="185" t="str">
        <f ca="1">IFERROR(VALUE(IF(VLOOKUP($A28,数出表_Excel!$A$6:$T$150,COLUMN()/2+1,FALSE)=0,"",VLOOKUP($A28,数出表_Excel!$A$6:$T$150,COLUMN()/2+1,FALSE))),"")</f>
        <v/>
      </c>
      <c r="AI28" s="82"/>
      <c r="AJ28" s="185" t="str">
        <f ca="1">IFERROR(VALUE(IF(VLOOKUP($A28,数出表_Excel!$A$6:$T$150,COLUMN()/2+1,FALSE)=0,"",VLOOKUP($A28,数出表_Excel!$A$6:$T$150,COLUMN()/2+1,FALSE))),"")</f>
        <v/>
      </c>
      <c r="AK28" s="82"/>
      <c r="AL28" s="68" t="e">
        <f ca="1">IF(A28&lt;&gt;"",
IF(VLOOKUP($A28,数出表_Excel!$A$6:$T$150,COLUMN()/2+1,FALSE)=0,"",VLOOKUP($A28,数出表_Excel!$A$6:$T$150,COLUMN()/2+1,FALSE)),"")</f>
        <v>#N/A</v>
      </c>
      <c r="AM28" s="96" t="e">
        <f ca="1">数出表_Excel!V28</f>
        <v>#N/A</v>
      </c>
      <c r="AN28" s="97" t="e">
        <f ca="1">数出表_Excel!W28</f>
        <v>#N/A</v>
      </c>
    </row>
    <row r="29" spans="1:40" ht="16.2" customHeight="1">
      <c r="A29" s="89" t="e">
        <f t="array" aca="1" ref="A29" ca="1">IF(OR(COUNTIF(A27,"*1000*"),COUNTIF(A27,"")),"",INDEX(貼り付け用!$A1:$A200,MATCH(A27,貼り付け用!$A1:$A200,0)+2,0))</f>
        <v>#N/A</v>
      </c>
      <c r="B29" s="186" t="str">
        <f ca="1">IFERROR(VALUE(IF(VLOOKUP($A29,数出表_Excel!$A$6:$T$150,COLUMN()/2+1,FALSE)=0,"",VLOOKUP($A29,数出表_Excel!$A$6:$T$150,COLUMN()/2+1,FALSE))),"")</f>
        <v/>
      </c>
      <c r="C29" s="67"/>
      <c r="D29" s="186" t="str">
        <f ca="1">IFERROR(VALUE(IF(VLOOKUP($A29,数出表_Excel!$A$6:$T$150,COLUMN()/2+1,FALSE)=0,"",VLOOKUP($A29,数出表_Excel!$A$6:$T$150,COLUMN()/2+1,FALSE))),"")</f>
        <v/>
      </c>
      <c r="E29" s="83"/>
      <c r="F29" s="197" t="str">
        <f ca="1">IFERROR(VALUE(IF(VLOOKUP($A29,数出表_Excel!$A$6:$T$150,COLUMN()/2+1,FALSE)=0,"",VLOOKUP($A29,数出表_Excel!$A$6:$T$150,COLUMN()/2+1,FALSE))),"")</f>
        <v/>
      </c>
      <c r="G29" s="67"/>
      <c r="H29" s="186" t="str">
        <f ca="1">IFERROR(VALUE(IF(VLOOKUP($A29,数出表_Excel!$A$6:$T$150,COLUMN()/2+1,FALSE)=0,"",VLOOKUP($A29,数出表_Excel!$A$6:$T$150,COLUMN()/2+1,FALSE))),"")</f>
        <v/>
      </c>
      <c r="I29" s="83"/>
      <c r="J29" s="197" t="str">
        <f ca="1">IFERROR(VALUE(IF(VLOOKUP($A29,数出表_Excel!$A$6:$T$150,COLUMN()/2+1,FALSE)=0,"",VLOOKUP($A29,数出表_Excel!$A$6:$T$150,COLUMN()/2+1,FALSE))),"")</f>
        <v/>
      </c>
      <c r="K29" s="67"/>
      <c r="L29" s="186" t="str">
        <f ca="1">IFERROR(VALUE(IF(VLOOKUP($A29,数出表_Excel!$A$6:$T$150,COLUMN()/2+1,FALSE)=0,"",VLOOKUP($A29,数出表_Excel!$A$6:$T$150,COLUMN()/2+1,FALSE))),"")</f>
        <v/>
      </c>
      <c r="M29" s="83"/>
      <c r="N29" s="197" t="str">
        <f ca="1">IFERROR(VALUE(IF(VLOOKUP($A29,数出表_Excel!$A$6:$T$150,COLUMN()/2+1,FALSE)=0,"",VLOOKUP($A29,数出表_Excel!$A$6:$T$150,COLUMN()/2+1,FALSE))),"")</f>
        <v/>
      </c>
      <c r="O29" s="67"/>
      <c r="P29" s="186" t="str">
        <f ca="1">IFERROR(VALUE(IF(VLOOKUP($A29,数出表_Excel!$A$6:$T$150,COLUMN()/2+1,FALSE)=0,"",VLOOKUP($A29,数出表_Excel!$A$6:$T$150,COLUMN()/2+1,FALSE))),"")</f>
        <v/>
      </c>
      <c r="Q29" s="83"/>
      <c r="R29" s="197" t="str">
        <f ca="1">IFERROR(VALUE(IF(VLOOKUP($A29,数出表_Excel!$A$6:$T$150,COLUMN()/2+1,FALSE)=0,"",VLOOKUP($A29,数出表_Excel!$A$6:$T$150,COLUMN()/2+1,FALSE))),"")</f>
        <v/>
      </c>
      <c r="S29" s="67"/>
      <c r="T29" s="186" t="str">
        <f ca="1">IFERROR(VALUE(IF(VLOOKUP($A29,数出表_Excel!$A$6:$T$150,COLUMN()/2+1,FALSE)=0,"",VLOOKUP($A29,数出表_Excel!$A$6:$T$150,COLUMN()/2+1,FALSE))),"")</f>
        <v/>
      </c>
      <c r="U29" s="83"/>
      <c r="V29" s="197" t="str">
        <f ca="1">IFERROR(VALUE(IF(VLOOKUP($A29,数出表_Excel!$A$6:$T$150,COLUMN()/2+1,FALSE)=0,"",VLOOKUP($A29,数出表_Excel!$A$6:$T$150,COLUMN()/2+1,FALSE))),"")</f>
        <v/>
      </c>
      <c r="W29" s="67"/>
      <c r="X29" s="186" t="str">
        <f ca="1">IFERROR(VALUE(IF(VLOOKUP($A29,数出表_Excel!$A$6:$T$150,COLUMN()/2+1,FALSE)=0,"",VLOOKUP($A29,数出表_Excel!$A$6:$T$150,COLUMN()/2+1,FALSE))),"")</f>
        <v/>
      </c>
      <c r="Y29" s="83"/>
      <c r="Z29" s="197" t="str">
        <f ca="1">IFERROR(VALUE(IF(VLOOKUP($A29,数出表_Excel!$A$6:$T$150,COLUMN()/2+1,FALSE)=0,"",VLOOKUP($A29,数出表_Excel!$A$6:$T$150,COLUMN()/2+1,FALSE))),"")</f>
        <v/>
      </c>
      <c r="AA29" s="83"/>
      <c r="AB29" s="186" t="str">
        <f ca="1">IFERROR(VALUE(IF(VLOOKUP($A29,数出表_Excel!$A$6:$T$150,COLUMN()/2+1,FALSE)=0,"",VLOOKUP($A29,数出表_Excel!$A$6:$T$150,COLUMN()/2+1,FALSE))),"")</f>
        <v/>
      </c>
      <c r="AC29" s="83"/>
      <c r="AD29" s="186" t="str">
        <f ca="1">IFERROR(VALUE(IF(VLOOKUP($A29,数出表_Excel!$A$6:$T$150,COLUMN()/2+1,FALSE)=0,"",VLOOKUP($A29,数出表_Excel!$A$6:$T$150,COLUMN()/2+1,FALSE))),"")</f>
        <v/>
      </c>
      <c r="AE29" s="83"/>
      <c r="AF29" s="186" t="str">
        <f ca="1">IFERROR(VALUE(IF(VLOOKUP($A29,数出表_Excel!$A$6:$T$150,COLUMN()/2+1,FALSE)=0,"",VLOOKUP($A29,数出表_Excel!$A$6:$T$150,COLUMN()/2+1,FALSE))),"")</f>
        <v/>
      </c>
      <c r="AG29" s="83"/>
      <c r="AH29" s="186" t="str">
        <f ca="1">IFERROR(VALUE(IF(VLOOKUP($A29,数出表_Excel!$A$6:$T$150,COLUMN()/2+1,FALSE)=0,"",VLOOKUP($A29,数出表_Excel!$A$6:$T$150,COLUMN()/2+1,FALSE))),"")</f>
        <v/>
      </c>
      <c r="AI29" s="83"/>
      <c r="AJ29" s="186" t="str">
        <f ca="1">IFERROR(VALUE(IF(VLOOKUP($A29,数出表_Excel!$A$6:$T$150,COLUMN()/2+1,FALSE)=0,"",VLOOKUP($A29,数出表_Excel!$A$6:$T$150,COLUMN()/2+1,FALSE))),"")</f>
        <v/>
      </c>
      <c r="AK29" s="83"/>
      <c r="AL29" s="70" t="e">
        <f ca="1">IF(A29&lt;&gt;"",
IF(VLOOKUP($A29,数出表_Excel!$A$6:$T$150,COLUMN()/2+1,FALSE)=0,"",VLOOKUP($A29,数出表_Excel!$A$6:$T$150,COLUMN()/2+1,FALSE)),"")</f>
        <v>#N/A</v>
      </c>
      <c r="AM29" s="98" t="e">
        <f ca="1">数出表_Excel!V29</f>
        <v>#N/A</v>
      </c>
      <c r="AN29" s="99" t="e">
        <f ca="1">数出表_Excel!W29</f>
        <v>#N/A</v>
      </c>
    </row>
    <row r="30" spans="1:40" ht="16.2" customHeight="1">
      <c r="A30" s="88" t="e">
        <f t="array" aca="1" ref="A30" ca="1">IF(OR(COUNTIF(A28,"*10002*"),COUNTIF(A28,"")),"",INDEX(貼り付け用!$A1:$A200,MATCH(A28,貼り付け用!$A1:$A200,0)+2,0))</f>
        <v>#N/A</v>
      </c>
      <c r="B30" s="185" t="str">
        <f ca="1">IFERROR(VALUE(IF(VLOOKUP($A30,数出表_Excel!$A$6:$T$150,COLUMN()/2+1,FALSE)=0,"",VLOOKUP($A30,数出表_Excel!$A$6:$T$150,COLUMN()/2+1,FALSE))),"")</f>
        <v/>
      </c>
      <c r="C30" s="66"/>
      <c r="D30" s="185" t="str">
        <f ca="1">IFERROR(VALUE(IF(VLOOKUP($A30,数出表_Excel!$A$6:$T$150,COLUMN()/2+1,FALSE)=0,"",VLOOKUP($A30,数出表_Excel!$A$6:$T$150,COLUMN()/2+1,FALSE))),"")</f>
        <v/>
      </c>
      <c r="E30" s="82"/>
      <c r="F30" s="196" t="str">
        <f ca="1">IFERROR(VALUE(IF(VLOOKUP($A30,数出表_Excel!$A$6:$T$150,COLUMN()/2+1,FALSE)=0,"",VLOOKUP($A30,数出表_Excel!$A$6:$T$150,COLUMN()/2+1,FALSE))),"")</f>
        <v/>
      </c>
      <c r="G30" s="66"/>
      <c r="H30" s="185" t="str">
        <f ca="1">IFERROR(VALUE(IF(VLOOKUP($A30,数出表_Excel!$A$6:$T$150,COLUMN()/2+1,FALSE)=0,"",VLOOKUP($A30,数出表_Excel!$A$6:$T$150,COLUMN()/2+1,FALSE))),"")</f>
        <v/>
      </c>
      <c r="I30" s="82"/>
      <c r="J30" s="196" t="str">
        <f ca="1">IFERROR(VALUE(IF(VLOOKUP($A30,数出表_Excel!$A$6:$T$150,COLUMN()/2+1,FALSE)=0,"",VLOOKUP($A30,数出表_Excel!$A$6:$T$150,COLUMN()/2+1,FALSE))),"")</f>
        <v/>
      </c>
      <c r="K30" s="66"/>
      <c r="L30" s="185" t="str">
        <f ca="1">IFERROR(VALUE(IF(VLOOKUP($A30,数出表_Excel!$A$6:$T$150,COLUMN()/2+1,FALSE)=0,"",VLOOKUP($A30,数出表_Excel!$A$6:$T$150,COLUMN()/2+1,FALSE))),"")</f>
        <v/>
      </c>
      <c r="M30" s="82"/>
      <c r="N30" s="196" t="str">
        <f ca="1">IFERROR(VALUE(IF(VLOOKUP($A30,数出表_Excel!$A$6:$T$150,COLUMN()/2+1,FALSE)=0,"",VLOOKUP($A30,数出表_Excel!$A$6:$T$150,COLUMN()/2+1,FALSE))),"")</f>
        <v/>
      </c>
      <c r="O30" s="66"/>
      <c r="P30" s="185" t="str">
        <f ca="1">IFERROR(VALUE(IF(VLOOKUP($A30,数出表_Excel!$A$6:$T$150,COLUMN()/2+1,FALSE)=0,"",VLOOKUP($A30,数出表_Excel!$A$6:$T$150,COLUMN()/2+1,FALSE))),"")</f>
        <v/>
      </c>
      <c r="Q30" s="82"/>
      <c r="R30" s="196" t="str">
        <f ca="1">IFERROR(VALUE(IF(VLOOKUP($A30,数出表_Excel!$A$6:$T$150,COLUMN()/2+1,FALSE)=0,"",VLOOKUP($A30,数出表_Excel!$A$6:$T$150,COLUMN()/2+1,FALSE))),"")</f>
        <v/>
      </c>
      <c r="S30" s="66"/>
      <c r="T30" s="185" t="str">
        <f ca="1">IFERROR(VALUE(IF(VLOOKUP($A30,数出表_Excel!$A$6:$T$150,COLUMN()/2+1,FALSE)=0,"",VLOOKUP($A30,数出表_Excel!$A$6:$T$150,COLUMN()/2+1,FALSE))),"")</f>
        <v/>
      </c>
      <c r="U30" s="82"/>
      <c r="V30" s="196" t="str">
        <f ca="1">IFERROR(VALUE(IF(VLOOKUP($A30,数出表_Excel!$A$6:$T$150,COLUMN()/2+1,FALSE)=0,"",VLOOKUP($A30,数出表_Excel!$A$6:$T$150,COLUMN()/2+1,FALSE))),"")</f>
        <v/>
      </c>
      <c r="W30" s="66"/>
      <c r="X30" s="185" t="str">
        <f ca="1">IFERROR(VALUE(IF(VLOOKUP($A30,数出表_Excel!$A$6:$T$150,COLUMN()/2+1,FALSE)=0,"",VLOOKUP($A30,数出表_Excel!$A$6:$T$150,COLUMN()/2+1,FALSE))),"")</f>
        <v/>
      </c>
      <c r="Y30" s="82"/>
      <c r="Z30" s="196" t="str">
        <f ca="1">IFERROR(VALUE(IF(VLOOKUP($A30,数出表_Excel!$A$6:$T$150,COLUMN()/2+1,FALSE)=0,"",VLOOKUP($A30,数出表_Excel!$A$6:$T$150,COLUMN()/2+1,FALSE))),"")</f>
        <v/>
      </c>
      <c r="AA30" s="82"/>
      <c r="AB30" s="185" t="str">
        <f ca="1">IFERROR(VALUE(IF(VLOOKUP($A30,数出表_Excel!$A$6:$T$150,COLUMN()/2+1,FALSE)=0,"",VLOOKUP($A30,数出表_Excel!$A$6:$T$150,COLUMN()/2+1,FALSE))),"")</f>
        <v/>
      </c>
      <c r="AC30" s="82"/>
      <c r="AD30" s="185" t="str">
        <f ca="1">IFERROR(VALUE(IF(VLOOKUP($A30,数出表_Excel!$A$6:$T$150,COLUMN()/2+1,FALSE)=0,"",VLOOKUP($A30,数出表_Excel!$A$6:$T$150,COLUMN()/2+1,FALSE))),"")</f>
        <v/>
      </c>
      <c r="AE30" s="82"/>
      <c r="AF30" s="185" t="str">
        <f ca="1">IFERROR(VALUE(IF(VLOOKUP($A30,数出表_Excel!$A$6:$T$150,COLUMN()/2+1,FALSE)=0,"",VLOOKUP($A30,数出表_Excel!$A$6:$T$150,COLUMN()/2+1,FALSE))),"")</f>
        <v/>
      </c>
      <c r="AG30" s="82"/>
      <c r="AH30" s="185" t="str">
        <f ca="1">IFERROR(VALUE(IF(VLOOKUP($A30,数出表_Excel!$A$6:$T$150,COLUMN()/2+1,FALSE)=0,"",VLOOKUP($A30,数出表_Excel!$A$6:$T$150,COLUMN()/2+1,FALSE))),"")</f>
        <v/>
      </c>
      <c r="AI30" s="82"/>
      <c r="AJ30" s="185" t="str">
        <f ca="1">IFERROR(VALUE(IF(VLOOKUP($A30,数出表_Excel!$A$6:$T$150,COLUMN()/2+1,FALSE)=0,"",VLOOKUP($A30,数出表_Excel!$A$6:$T$150,COLUMN()/2+1,FALSE))),"")</f>
        <v/>
      </c>
      <c r="AK30" s="82"/>
      <c r="AL30" s="68" t="e">
        <f ca="1">IF(A30&lt;&gt;"",
IF(VLOOKUP($A30,数出表_Excel!$A$6:$T$150,COLUMN()/2+1,FALSE)=0,"",VLOOKUP($A30,数出表_Excel!$A$6:$T$150,COLUMN()/2+1,FALSE)),"")</f>
        <v>#N/A</v>
      </c>
      <c r="AM30" s="96" t="e">
        <f ca="1">数出表_Excel!V30</f>
        <v>#N/A</v>
      </c>
      <c r="AN30" s="97" t="e">
        <f ca="1">数出表_Excel!W30</f>
        <v>#N/A</v>
      </c>
    </row>
    <row r="31" spans="1:40" ht="16.2" customHeight="1">
      <c r="A31" s="89" t="e">
        <f t="array" aca="1" ref="A31" ca="1">IF(OR(COUNTIF(A29,"*1000*"),COUNTIF(A29,"")),"",INDEX(貼り付け用!$A1:$A200,MATCH(A29,貼り付け用!$A1:$A200,0)+2,0))</f>
        <v>#N/A</v>
      </c>
      <c r="B31" s="186" t="str">
        <f ca="1">IFERROR(VALUE(IF(VLOOKUP($A31,数出表_Excel!$A$6:$T$150,COLUMN()/2+1,FALSE)=0,"",VLOOKUP($A31,数出表_Excel!$A$6:$T$150,COLUMN()/2+1,FALSE))),"")</f>
        <v/>
      </c>
      <c r="C31" s="67"/>
      <c r="D31" s="186" t="str">
        <f ca="1">IFERROR(VALUE(IF(VLOOKUP($A31,数出表_Excel!$A$6:$T$150,COLUMN()/2+1,FALSE)=0,"",VLOOKUP($A31,数出表_Excel!$A$6:$T$150,COLUMN()/2+1,FALSE))),"")</f>
        <v/>
      </c>
      <c r="E31" s="83"/>
      <c r="F31" s="197" t="str">
        <f ca="1">IFERROR(VALUE(IF(VLOOKUP($A31,数出表_Excel!$A$6:$T$150,COLUMN()/2+1,FALSE)=0,"",VLOOKUP($A31,数出表_Excel!$A$6:$T$150,COLUMN()/2+1,FALSE))),"")</f>
        <v/>
      </c>
      <c r="G31" s="67"/>
      <c r="H31" s="186" t="str">
        <f ca="1">IFERROR(VALUE(IF(VLOOKUP($A31,数出表_Excel!$A$6:$T$150,COLUMN()/2+1,FALSE)=0,"",VLOOKUP($A31,数出表_Excel!$A$6:$T$150,COLUMN()/2+1,FALSE))),"")</f>
        <v/>
      </c>
      <c r="I31" s="83"/>
      <c r="J31" s="197" t="str">
        <f ca="1">IFERROR(VALUE(IF(VLOOKUP($A31,数出表_Excel!$A$6:$T$150,COLUMN()/2+1,FALSE)=0,"",VLOOKUP($A31,数出表_Excel!$A$6:$T$150,COLUMN()/2+1,FALSE))),"")</f>
        <v/>
      </c>
      <c r="K31" s="67"/>
      <c r="L31" s="186" t="str">
        <f ca="1">IFERROR(VALUE(IF(VLOOKUP($A31,数出表_Excel!$A$6:$T$150,COLUMN()/2+1,FALSE)=0,"",VLOOKUP($A31,数出表_Excel!$A$6:$T$150,COLUMN()/2+1,FALSE))),"")</f>
        <v/>
      </c>
      <c r="M31" s="83"/>
      <c r="N31" s="197" t="str">
        <f ca="1">IFERROR(VALUE(IF(VLOOKUP($A31,数出表_Excel!$A$6:$T$150,COLUMN()/2+1,FALSE)=0,"",VLOOKUP($A31,数出表_Excel!$A$6:$T$150,COLUMN()/2+1,FALSE))),"")</f>
        <v/>
      </c>
      <c r="O31" s="67"/>
      <c r="P31" s="186" t="str">
        <f ca="1">IFERROR(VALUE(IF(VLOOKUP($A31,数出表_Excel!$A$6:$T$150,COLUMN()/2+1,FALSE)=0,"",VLOOKUP($A31,数出表_Excel!$A$6:$T$150,COLUMN()/2+1,FALSE))),"")</f>
        <v/>
      </c>
      <c r="Q31" s="83"/>
      <c r="R31" s="197" t="str">
        <f ca="1">IFERROR(VALUE(IF(VLOOKUP($A31,数出表_Excel!$A$6:$T$150,COLUMN()/2+1,FALSE)=0,"",VLOOKUP($A31,数出表_Excel!$A$6:$T$150,COLUMN()/2+1,FALSE))),"")</f>
        <v/>
      </c>
      <c r="S31" s="67"/>
      <c r="T31" s="186" t="str">
        <f ca="1">IFERROR(VALUE(IF(VLOOKUP($A31,数出表_Excel!$A$6:$T$150,COLUMN()/2+1,FALSE)=0,"",VLOOKUP($A31,数出表_Excel!$A$6:$T$150,COLUMN()/2+1,FALSE))),"")</f>
        <v/>
      </c>
      <c r="U31" s="83"/>
      <c r="V31" s="197" t="str">
        <f ca="1">IFERROR(VALUE(IF(VLOOKUP($A31,数出表_Excel!$A$6:$T$150,COLUMN()/2+1,FALSE)=0,"",VLOOKUP($A31,数出表_Excel!$A$6:$T$150,COLUMN()/2+1,FALSE))),"")</f>
        <v/>
      </c>
      <c r="W31" s="67"/>
      <c r="X31" s="186" t="str">
        <f ca="1">IFERROR(VALUE(IF(VLOOKUP($A31,数出表_Excel!$A$6:$T$150,COLUMN()/2+1,FALSE)=0,"",VLOOKUP($A31,数出表_Excel!$A$6:$T$150,COLUMN()/2+1,FALSE))),"")</f>
        <v/>
      </c>
      <c r="Y31" s="83"/>
      <c r="Z31" s="197" t="str">
        <f ca="1">IFERROR(VALUE(IF(VLOOKUP($A31,数出表_Excel!$A$6:$T$150,COLUMN()/2+1,FALSE)=0,"",VLOOKUP($A31,数出表_Excel!$A$6:$T$150,COLUMN()/2+1,FALSE))),"")</f>
        <v/>
      </c>
      <c r="AA31" s="83"/>
      <c r="AB31" s="186" t="str">
        <f ca="1">IFERROR(VALUE(IF(VLOOKUP($A31,数出表_Excel!$A$6:$T$150,COLUMN()/2+1,FALSE)=0,"",VLOOKUP($A31,数出表_Excel!$A$6:$T$150,COLUMN()/2+1,FALSE))),"")</f>
        <v/>
      </c>
      <c r="AC31" s="83"/>
      <c r="AD31" s="186" t="str">
        <f ca="1">IFERROR(VALUE(IF(VLOOKUP($A31,数出表_Excel!$A$6:$T$150,COLUMN()/2+1,FALSE)=0,"",VLOOKUP($A31,数出表_Excel!$A$6:$T$150,COLUMN()/2+1,FALSE))),"")</f>
        <v/>
      </c>
      <c r="AE31" s="83"/>
      <c r="AF31" s="186" t="str">
        <f ca="1">IFERROR(VALUE(IF(VLOOKUP($A31,数出表_Excel!$A$6:$T$150,COLUMN()/2+1,FALSE)=0,"",VLOOKUP($A31,数出表_Excel!$A$6:$T$150,COLUMN()/2+1,FALSE))),"")</f>
        <v/>
      </c>
      <c r="AG31" s="83"/>
      <c r="AH31" s="186" t="str">
        <f ca="1">IFERROR(VALUE(IF(VLOOKUP($A31,数出表_Excel!$A$6:$T$150,COLUMN()/2+1,FALSE)=0,"",VLOOKUP($A31,数出表_Excel!$A$6:$T$150,COLUMN()/2+1,FALSE))),"")</f>
        <v/>
      </c>
      <c r="AI31" s="83"/>
      <c r="AJ31" s="186" t="str">
        <f ca="1">IFERROR(VALUE(IF(VLOOKUP($A31,数出表_Excel!$A$6:$T$150,COLUMN()/2+1,FALSE)=0,"",VLOOKUP($A31,数出表_Excel!$A$6:$T$150,COLUMN()/2+1,FALSE))),"")</f>
        <v/>
      </c>
      <c r="AK31" s="83"/>
      <c r="AL31" s="70" t="e">
        <f ca="1">IF(A31&lt;&gt;"",
IF(VLOOKUP($A31,数出表_Excel!$A$6:$T$150,COLUMN()/2+1,FALSE)=0,"",VLOOKUP($A31,数出表_Excel!$A$6:$T$150,COLUMN()/2+1,FALSE)),"")</f>
        <v>#N/A</v>
      </c>
      <c r="AM31" s="98" t="e">
        <f ca="1">数出表_Excel!V31</f>
        <v>#N/A</v>
      </c>
      <c r="AN31" s="99" t="e">
        <f ca="1">数出表_Excel!W31</f>
        <v>#N/A</v>
      </c>
    </row>
    <row r="32" spans="1:40" ht="16.2" customHeight="1">
      <c r="A32" s="88" t="e">
        <f t="array" aca="1" ref="A32" ca="1">IF(OR(COUNTIF(A30,"*10002*"),COUNTIF(A30,"")),"",INDEX(貼り付け用!$A1:$A200,MATCH(A30,貼り付け用!$A1:$A200,0)+2,0))</f>
        <v>#N/A</v>
      </c>
      <c r="B32" s="185" t="str">
        <f ca="1">IFERROR(VALUE(IF(VLOOKUP($A32,数出表_Excel!$A$6:$T$150,COLUMN()/2+1,FALSE)=0,"",VLOOKUP($A32,数出表_Excel!$A$6:$T$150,COLUMN()/2+1,FALSE))),"")</f>
        <v/>
      </c>
      <c r="C32" s="66"/>
      <c r="D32" s="185" t="str">
        <f ca="1">IFERROR(VALUE(IF(VLOOKUP($A32,数出表_Excel!$A$6:$T$150,COLUMN()/2+1,FALSE)=0,"",VLOOKUP($A32,数出表_Excel!$A$6:$T$150,COLUMN()/2+1,FALSE))),"")</f>
        <v/>
      </c>
      <c r="E32" s="82"/>
      <c r="F32" s="196" t="str">
        <f ca="1">IFERROR(VALUE(IF(VLOOKUP($A32,数出表_Excel!$A$6:$T$150,COLUMN()/2+1,FALSE)=0,"",VLOOKUP($A32,数出表_Excel!$A$6:$T$150,COLUMN()/2+1,FALSE))),"")</f>
        <v/>
      </c>
      <c r="G32" s="66"/>
      <c r="H32" s="185" t="str">
        <f ca="1">IFERROR(VALUE(IF(VLOOKUP($A32,数出表_Excel!$A$6:$T$150,COLUMN()/2+1,FALSE)=0,"",VLOOKUP($A32,数出表_Excel!$A$6:$T$150,COLUMN()/2+1,FALSE))),"")</f>
        <v/>
      </c>
      <c r="I32" s="82"/>
      <c r="J32" s="196" t="str">
        <f ca="1">IFERROR(VALUE(IF(VLOOKUP($A32,数出表_Excel!$A$6:$T$150,COLUMN()/2+1,FALSE)=0,"",VLOOKUP($A32,数出表_Excel!$A$6:$T$150,COLUMN()/2+1,FALSE))),"")</f>
        <v/>
      </c>
      <c r="K32" s="66"/>
      <c r="L32" s="185" t="str">
        <f ca="1">IFERROR(VALUE(IF(VLOOKUP($A32,数出表_Excel!$A$6:$T$150,COLUMN()/2+1,FALSE)=0,"",VLOOKUP($A32,数出表_Excel!$A$6:$T$150,COLUMN()/2+1,FALSE))),"")</f>
        <v/>
      </c>
      <c r="M32" s="82"/>
      <c r="N32" s="196" t="str">
        <f ca="1">IFERROR(VALUE(IF(VLOOKUP($A32,数出表_Excel!$A$6:$T$150,COLUMN()/2+1,FALSE)=0,"",VLOOKUP($A32,数出表_Excel!$A$6:$T$150,COLUMN()/2+1,FALSE))),"")</f>
        <v/>
      </c>
      <c r="O32" s="66"/>
      <c r="P32" s="185" t="str">
        <f ca="1">IFERROR(VALUE(IF(VLOOKUP($A32,数出表_Excel!$A$6:$T$150,COLUMN()/2+1,FALSE)=0,"",VLOOKUP($A32,数出表_Excel!$A$6:$T$150,COLUMN()/2+1,FALSE))),"")</f>
        <v/>
      </c>
      <c r="Q32" s="82"/>
      <c r="R32" s="196" t="str">
        <f ca="1">IFERROR(VALUE(IF(VLOOKUP($A32,数出表_Excel!$A$6:$T$150,COLUMN()/2+1,FALSE)=0,"",VLOOKUP($A32,数出表_Excel!$A$6:$T$150,COLUMN()/2+1,FALSE))),"")</f>
        <v/>
      </c>
      <c r="S32" s="66"/>
      <c r="T32" s="185" t="str">
        <f ca="1">IFERROR(VALUE(IF(VLOOKUP($A32,数出表_Excel!$A$6:$T$150,COLUMN()/2+1,FALSE)=0,"",VLOOKUP($A32,数出表_Excel!$A$6:$T$150,COLUMN()/2+1,FALSE))),"")</f>
        <v/>
      </c>
      <c r="U32" s="82"/>
      <c r="V32" s="196" t="str">
        <f ca="1">IFERROR(VALUE(IF(VLOOKUP($A32,数出表_Excel!$A$6:$T$150,COLUMN()/2+1,FALSE)=0,"",VLOOKUP($A32,数出表_Excel!$A$6:$T$150,COLUMN()/2+1,FALSE))),"")</f>
        <v/>
      </c>
      <c r="W32" s="66"/>
      <c r="X32" s="185" t="str">
        <f ca="1">IFERROR(VALUE(IF(VLOOKUP($A32,数出表_Excel!$A$6:$T$150,COLUMN()/2+1,FALSE)=0,"",VLOOKUP($A32,数出表_Excel!$A$6:$T$150,COLUMN()/2+1,FALSE))),"")</f>
        <v/>
      </c>
      <c r="Y32" s="82"/>
      <c r="Z32" s="196" t="str">
        <f ca="1">IFERROR(VALUE(IF(VLOOKUP($A32,数出表_Excel!$A$6:$T$150,COLUMN()/2+1,FALSE)=0,"",VLOOKUP($A32,数出表_Excel!$A$6:$T$150,COLUMN()/2+1,FALSE))),"")</f>
        <v/>
      </c>
      <c r="AA32" s="82"/>
      <c r="AB32" s="185" t="str">
        <f ca="1">IFERROR(VALUE(IF(VLOOKUP($A32,数出表_Excel!$A$6:$T$150,COLUMN()/2+1,FALSE)=0,"",VLOOKUP($A32,数出表_Excel!$A$6:$T$150,COLUMN()/2+1,FALSE))),"")</f>
        <v/>
      </c>
      <c r="AC32" s="82"/>
      <c r="AD32" s="185" t="str">
        <f ca="1">IFERROR(VALUE(IF(VLOOKUP($A32,数出表_Excel!$A$6:$T$150,COLUMN()/2+1,FALSE)=0,"",VLOOKUP($A32,数出表_Excel!$A$6:$T$150,COLUMN()/2+1,FALSE))),"")</f>
        <v/>
      </c>
      <c r="AE32" s="82"/>
      <c r="AF32" s="185" t="str">
        <f ca="1">IFERROR(VALUE(IF(VLOOKUP($A32,数出表_Excel!$A$6:$T$150,COLUMN()/2+1,FALSE)=0,"",VLOOKUP($A32,数出表_Excel!$A$6:$T$150,COLUMN()/2+1,FALSE))),"")</f>
        <v/>
      </c>
      <c r="AG32" s="82"/>
      <c r="AH32" s="185" t="str">
        <f ca="1">IFERROR(VALUE(IF(VLOOKUP($A32,数出表_Excel!$A$6:$T$150,COLUMN()/2+1,FALSE)=0,"",VLOOKUP($A32,数出表_Excel!$A$6:$T$150,COLUMN()/2+1,FALSE))),"")</f>
        <v/>
      </c>
      <c r="AI32" s="82"/>
      <c r="AJ32" s="185" t="str">
        <f ca="1">IFERROR(VALUE(IF(VLOOKUP($A32,数出表_Excel!$A$6:$T$150,COLUMN()/2+1,FALSE)=0,"",VLOOKUP($A32,数出表_Excel!$A$6:$T$150,COLUMN()/2+1,FALSE))),"")</f>
        <v/>
      </c>
      <c r="AK32" s="82"/>
      <c r="AL32" s="68" t="e">
        <f ca="1">IF(A32&lt;&gt;"",
IF(VLOOKUP($A32,数出表_Excel!$A$6:$T$150,COLUMN()/2+1,FALSE)=0,"",VLOOKUP($A32,数出表_Excel!$A$6:$T$150,COLUMN()/2+1,FALSE)),"")</f>
        <v>#N/A</v>
      </c>
      <c r="AM32" s="96" t="e">
        <f ca="1">数出表_Excel!V32</f>
        <v>#N/A</v>
      </c>
      <c r="AN32" s="97" t="e">
        <f ca="1">数出表_Excel!W32</f>
        <v>#N/A</v>
      </c>
    </row>
    <row r="33" spans="1:40" ht="16.2" customHeight="1">
      <c r="A33" s="89" t="e">
        <f t="array" aca="1" ref="A33" ca="1">IF(OR(COUNTIF(A31,"*1000*"),COUNTIF(A31,"")),"",INDEX(貼り付け用!$A1:$A200,MATCH(A31,貼り付け用!$A1:$A200,0)+2,0))</f>
        <v>#N/A</v>
      </c>
      <c r="B33" s="186" t="str">
        <f ca="1">IFERROR(VALUE(IF(VLOOKUP($A33,数出表_Excel!$A$6:$T$150,COLUMN()/2+1,FALSE)=0,"",VLOOKUP($A33,数出表_Excel!$A$6:$T$150,COLUMN()/2+1,FALSE))),"")</f>
        <v/>
      </c>
      <c r="C33" s="67"/>
      <c r="D33" s="186" t="str">
        <f ca="1">IFERROR(VALUE(IF(VLOOKUP($A33,数出表_Excel!$A$6:$T$150,COLUMN()/2+1,FALSE)=0,"",VLOOKUP($A33,数出表_Excel!$A$6:$T$150,COLUMN()/2+1,FALSE))),"")</f>
        <v/>
      </c>
      <c r="E33" s="83"/>
      <c r="F33" s="197" t="str">
        <f ca="1">IFERROR(VALUE(IF(VLOOKUP($A33,数出表_Excel!$A$6:$T$150,COLUMN()/2+1,FALSE)=0,"",VLOOKUP($A33,数出表_Excel!$A$6:$T$150,COLUMN()/2+1,FALSE))),"")</f>
        <v/>
      </c>
      <c r="G33" s="67"/>
      <c r="H33" s="186" t="str">
        <f ca="1">IFERROR(VALUE(IF(VLOOKUP($A33,数出表_Excel!$A$6:$T$150,COLUMN()/2+1,FALSE)=0,"",VLOOKUP($A33,数出表_Excel!$A$6:$T$150,COLUMN()/2+1,FALSE))),"")</f>
        <v/>
      </c>
      <c r="I33" s="83"/>
      <c r="J33" s="197" t="str">
        <f ca="1">IFERROR(VALUE(IF(VLOOKUP($A33,数出表_Excel!$A$6:$T$150,COLUMN()/2+1,FALSE)=0,"",VLOOKUP($A33,数出表_Excel!$A$6:$T$150,COLUMN()/2+1,FALSE))),"")</f>
        <v/>
      </c>
      <c r="K33" s="67"/>
      <c r="L33" s="186" t="str">
        <f ca="1">IFERROR(VALUE(IF(VLOOKUP($A33,数出表_Excel!$A$6:$T$150,COLUMN()/2+1,FALSE)=0,"",VLOOKUP($A33,数出表_Excel!$A$6:$T$150,COLUMN()/2+1,FALSE))),"")</f>
        <v/>
      </c>
      <c r="M33" s="83"/>
      <c r="N33" s="197" t="str">
        <f ca="1">IFERROR(VALUE(IF(VLOOKUP($A33,数出表_Excel!$A$6:$T$150,COLUMN()/2+1,FALSE)=0,"",VLOOKUP($A33,数出表_Excel!$A$6:$T$150,COLUMN()/2+1,FALSE))),"")</f>
        <v/>
      </c>
      <c r="O33" s="67"/>
      <c r="P33" s="186" t="str">
        <f ca="1">IFERROR(VALUE(IF(VLOOKUP($A33,数出表_Excel!$A$6:$T$150,COLUMN()/2+1,FALSE)=0,"",VLOOKUP($A33,数出表_Excel!$A$6:$T$150,COLUMN()/2+1,FALSE))),"")</f>
        <v/>
      </c>
      <c r="Q33" s="83"/>
      <c r="R33" s="197" t="str">
        <f ca="1">IFERROR(VALUE(IF(VLOOKUP($A33,数出表_Excel!$A$6:$T$150,COLUMN()/2+1,FALSE)=0,"",VLOOKUP($A33,数出表_Excel!$A$6:$T$150,COLUMN()/2+1,FALSE))),"")</f>
        <v/>
      </c>
      <c r="S33" s="67"/>
      <c r="T33" s="186" t="str">
        <f ca="1">IFERROR(VALUE(IF(VLOOKUP($A33,数出表_Excel!$A$6:$T$150,COLUMN()/2+1,FALSE)=0,"",VLOOKUP($A33,数出表_Excel!$A$6:$T$150,COLUMN()/2+1,FALSE))),"")</f>
        <v/>
      </c>
      <c r="U33" s="83"/>
      <c r="V33" s="197" t="str">
        <f ca="1">IFERROR(VALUE(IF(VLOOKUP($A33,数出表_Excel!$A$6:$T$150,COLUMN()/2+1,FALSE)=0,"",VLOOKUP($A33,数出表_Excel!$A$6:$T$150,COLUMN()/2+1,FALSE))),"")</f>
        <v/>
      </c>
      <c r="W33" s="67"/>
      <c r="X33" s="186" t="str">
        <f ca="1">IFERROR(VALUE(IF(VLOOKUP($A33,数出表_Excel!$A$6:$T$150,COLUMN()/2+1,FALSE)=0,"",VLOOKUP($A33,数出表_Excel!$A$6:$T$150,COLUMN()/2+1,FALSE))),"")</f>
        <v/>
      </c>
      <c r="Y33" s="83"/>
      <c r="Z33" s="197" t="str">
        <f ca="1">IFERROR(VALUE(IF(VLOOKUP($A33,数出表_Excel!$A$6:$T$150,COLUMN()/2+1,FALSE)=0,"",VLOOKUP($A33,数出表_Excel!$A$6:$T$150,COLUMN()/2+1,FALSE))),"")</f>
        <v/>
      </c>
      <c r="AA33" s="83"/>
      <c r="AB33" s="186" t="str">
        <f ca="1">IFERROR(VALUE(IF(VLOOKUP($A33,数出表_Excel!$A$6:$T$150,COLUMN()/2+1,FALSE)=0,"",VLOOKUP($A33,数出表_Excel!$A$6:$T$150,COLUMN()/2+1,FALSE))),"")</f>
        <v/>
      </c>
      <c r="AC33" s="83"/>
      <c r="AD33" s="186" t="str">
        <f ca="1">IFERROR(VALUE(IF(VLOOKUP($A33,数出表_Excel!$A$6:$T$150,COLUMN()/2+1,FALSE)=0,"",VLOOKUP($A33,数出表_Excel!$A$6:$T$150,COLUMN()/2+1,FALSE))),"")</f>
        <v/>
      </c>
      <c r="AE33" s="83"/>
      <c r="AF33" s="186" t="str">
        <f ca="1">IFERROR(VALUE(IF(VLOOKUP($A33,数出表_Excel!$A$6:$T$150,COLUMN()/2+1,FALSE)=0,"",VLOOKUP($A33,数出表_Excel!$A$6:$T$150,COLUMN()/2+1,FALSE))),"")</f>
        <v/>
      </c>
      <c r="AG33" s="83"/>
      <c r="AH33" s="186" t="str">
        <f ca="1">IFERROR(VALUE(IF(VLOOKUP($A33,数出表_Excel!$A$6:$T$150,COLUMN()/2+1,FALSE)=0,"",VLOOKUP($A33,数出表_Excel!$A$6:$T$150,COLUMN()/2+1,FALSE))),"")</f>
        <v/>
      </c>
      <c r="AI33" s="83"/>
      <c r="AJ33" s="186" t="str">
        <f ca="1">IFERROR(VALUE(IF(VLOOKUP($A33,数出表_Excel!$A$6:$T$150,COLUMN()/2+1,FALSE)=0,"",VLOOKUP($A33,数出表_Excel!$A$6:$T$150,COLUMN()/2+1,FALSE))),"")</f>
        <v/>
      </c>
      <c r="AK33" s="83"/>
      <c r="AL33" s="70" t="e">
        <f ca="1">IF(A33&lt;&gt;"",
IF(VLOOKUP($A33,数出表_Excel!$A$6:$T$150,COLUMN()/2+1,FALSE)=0,"",VLOOKUP($A33,数出表_Excel!$A$6:$T$150,COLUMN()/2+1,FALSE)),"")</f>
        <v>#N/A</v>
      </c>
      <c r="AM33" s="98" t="e">
        <f ca="1">数出表_Excel!V33</f>
        <v>#N/A</v>
      </c>
      <c r="AN33" s="99" t="e">
        <f ca="1">数出表_Excel!W33</f>
        <v>#N/A</v>
      </c>
    </row>
    <row r="34" spans="1:40" ht="16.2" customHeight="1">
      <c r="A34" s="88" t="e">
        <f t="array" aca="1" ref="A34" ca="1">IF(OR(COUNTIF(A32,"*10002*"),COUNTIF(A32,"")),"",INDEX(貼り付け用!$A1:$A200,MATCH(A32,貼り付け用!$A1:$A200,0)+2,0))</f>
        <v>#N/A</v>
      </c>
      <c r="B34" s="185" t="str">
        <f ca="1">IFERROR(VALUE(IF(VLOOKUP($A34,数出表_Excel!$A$6:$T$150,COLUMN()/2+1,FALSE)=0,"",VLOOKUP($A34,数出表_Excel!$A$6:$T$150,COLUMN()/2+1,FALSE))),"")</f>
        <v/>
      </c>
      <c r="C34" s="66"/>
      <c r="D34" s="185" t="str">
        <f ca="1">IFERROR(VALUE(IF(VLOOKUP($A34,数出表_Excel!$A$6:$T$150,COLUMN()/2+1,FALSE)=0,"",VLOOKUP($A34,数出表_Excel!$A$6:$T$150,COLUMN()/2+1,FALSE))),"")</f>
        <v/>
      </c>
      <c r="E34" s="82"/>
      <c r="F34" s="196" t="str">
        <f ca="1">IFERROR(VALUE(IF(VLOOKUP($A34,数出表_Excel!$A$6:$T$150,COLUMN()/2+1,FALSE)=0,"",VLOOKUP($A34,数出表_Excel!$A$6:$T$150,COLUMN()/2+1,FALSE))),"")</f>
        <v/>
      </c>
      <c r="G34" s="66"/>
      <c r="H34" s="185" t="str">
        <f ca="1">IFERROR(VALUE(IF(VLOOKUP($A34,数出表_Excel!$A$6:$T$150,COLUMN()/2+1,FALSE)=0,"",VLOOKUP($A34,数出表_Excel!$A$6:$T$150,COLUMN()/2+1,FALSE))),"")</f>
        <v/>
      </c>
      <c r="I34" s="82"/>
      <c r="J34" s="196" t="str">
        <f ca="1">IFERROR(VALUE(IF(VLOOKUP($A34,数出表_Excel!$A$6:$T$150,COLUMN()/2+1,FALSE)=0,"",VLOOKUP($A34,数出表_Excel!$A$6:$T$150,COLUMN()/2+1,FALSE))),"")</f>
        <v/>
      </c>
      <c r="K34" s="66"/>
      <c r="L34" s="185" t="str">
        <f ca="1">IFERROR(VALUE(IF(VLOOKUP($A34,数出表_Excel!$A$6:$T$150,COLUMN()/2+1,FALSE)=0,"",VLOOKUP($A34,数出表_Excel!$A$6:$T$150,COLUMN()/2+1,FALSE))),"")</f>
        <v/>
      </c>
      <c r="M34" s="82"/>
      <c r="N34" s="196" t="str">
        <f ca="1">IFERROR(VALUE(IF(VLOOKUP($A34,数出表_Excel!$A$6:$T$150,COLUMN()/2+1,FALSE)=0,"",VLOOKUP($A34,数出表_Excel!$A$6:$T$150,COLUMN()/2+1,FALSE))),"")</f>
        <v/>
      </c>
      <c r="O34" s="66"/>
      <c r="P34" s="185" t="str">
        <f ca="1">IFERROR(VALUE(IF(VLOOKUP($A34,数出表_Excel!$A$6:$T$150,COLUMN()/2+1,FALSE)=0,"",VLOOKUP($A34,数出表_Excel!$A$6:$T$150,COLUMN()/2+1,FALSE))),"")</f>
        <v/>
      </c>
      <c r="Q34" s="82"/>
      <c r="R34" s="196" t="str">
        <f ca="1">IFERROR(VALUE(IF(VLOOKUP($A34,数出表_Excel!$A$6:$T$150,COLUMN()/2+1,FALSE)=0,"",VLOOKUP($A34,数出表_Excel!$A$6:$T$150,COLUMN()/2+1,FALSE))),"")</f>
        <v/>
      </c>
      <c r="S34" s="66"/>
      <c r="T34" s="185" t="str">
        <f ca="1">IFERROR(VALUE(IF(VLOOKUP($A34,数出表_Excel!$A$6:$T$150,COLUMN()/2+1,FALSE)=0,"",VLOOKUP($A34,数出表_Excel!$A$6:$T$150,COLUMN()/2+1,FALSE))),"")</f>
        <v/>
      </c>
      <c r="U34" s="82"/>
      <c r="V34" s="196" t="str">
        <f ca="1">IFERROR(VALUE(IF(VLOOKUP($A34,数出表_Excel!$A$6:$T$150,COLUMN()/2+1,FALSE)=0,"",VLOOKUP($A34,数出表_Excel!$A$6:$T$150,COLUMN()/2+1,FALSE))),"")</f>
        <v/>
      </c>
      <c r="W34" s="66"/>
      <c r="X34" s="185" t="str">
        <f ca="1">IFERROR(VALUE(IF(VLOOKUP($A34,数出表_Excel!$A$6:$T$150,COLUMN()/2+1,FALSE)=0,"",VLOOKUP($A34,数出表_Excel!$A$6:$T$150,COLUMN()/2+1,FALSE))),"")</f>
        <v/>
      </c>
      <c r="Y34" s="82"/>
      <c r="Z34" s="196" t="str">
        <f ca="1">IFERROR(VALUE(IF(VLOOKUP($A34,数出表_Excel!$A$6:$T$150,COLUMN()/2+1,FALSE)=0,"",VLOOKUP($A34,数出表_Excel!$A$6:$T$150,COLUMN()/2+1,FALSE))),"")</f>
        <v/>
      </c>
      <c r="AA34" s="82"/>
      <c r="AB34" s="185" t="str">
        <f ca="1">IFERROR(VALUE(IF(VLOOKUP($A34,数出表_Excel!$A$6:$T$150,COLUMN()/2+1,FALSE)=0,"",VLOOKUP($A34,数出表_Excel!$A$6:$T$150,COLUMN()/2+1,FALSE))),"")</f>
        <v/>
      </c>
      <c r="AC34" s="82"/>
      <c r="AD34" s="185" t="str">
        <f ca="1">IFERROR(VALUE(IF(VLOOKUP($A34,数出表_Excel!$A$6:$T$150,COLUMN()/2+1,FALSE)=0,"",VLOOKUP($A34,数出表_Excel!$A$6:$T$150,COLUMN()/2+1,FALSE))),"")</f>
        <v/>
      </c>
      <c r="AE34" s="82"/>
      <c r="AF34" s="185" t="str">
        <f ca="1">IFERROR(VALUE(IF(VLOOKUP($A34,数出表_Excel!$A$6:$T$150,COLUMN()/2+1,FALSE)=0,"",VLOOKUP($A34,数出表_Excel!$A$6:$T$150,COLUMN()/2+1,FALSE))),"")</f>
        <v/>
      </c>
      <c r="AG34" s="82"/>
      <c r="AH34" s="185" t="str">
        <f ca="1">IFERROR(VALUE(IF(VLOOKUP($A34,数出表_Excel!$A$6:$T$150,COLUMN()/2+1,FALSE)=0,"",VLOOKUP($A34,数出表_Excel!$A$6:$T$150,COLUMN()/2+1,FALSE))),"")</f>
        <v/>
      </c>
      <c r="AI34" s="82"/>
      <c r="AJ34" s="185" t="str">
        <f ca="1">IFERROR(VALUE(IF(VLOOKUP($A34,数出表_Excel!$A$6:$T$150,COLUMN()/2+1,FALSE)=0,"",VLOOKUP($A34,数出表_Excel!$A$6:$T$150,COLUMN()/2+1,FALSE))),"")</f>
        <v/>
      </c>
      <c r="AK34" s="82"/>
      <c r="AL34" s="68" t="e">
        <f ca="1">IF(A34&lt;&gt;"",
IF(VLOOKUP($A34,数出表_Excel!$A$6:$T$150,COLUMN()/2+1,FALSE)=0,"",VLOOKUP($A34,数出表_Excel!$A$6:$T$150,COLUMN()/2+1,FALSE)),"")</f>
        <v>#N/A</v>
      </c>
      <c r="AM34" s="96" t="e">
        <f ca="1">数出表_Excel!V34</f>
        <v>#N/A</v>
      </c>
      <c r="AN34" s="97" t="e">
        <f ca="1">数出表_Excel!W34</f>
        <v>#N/A</v>
      </c>
    </row>
    <row r="35" spans="1:40" ht="16.2" customHeight="1">
      <c r="A35" s="89" t="e">
        <f t="array" aca="1" ref="A35" ca="1">IF(OR(COUNTIF(A33,"*1000*"),COUNTIF(A33,"")),"",INDEX(貼り付け用!$A1:$A200,MATCH(A33,貼り付け用!$A1:$A200,0)+2,0))</f>
        <v>#N/A</v>
      </c>
      <c r="B35" s="186" t="str">
        <f ca="1">IFERROR(VALUE(IF(VLOOKUP($A35,数出表_Excel!$A$6:$T$150,COLUMN()/2+1,FALSE)=0,"",VLOOKUP($A35,数出表_Excel!$A$6:$T$150,COLUMN()/2+1,FALSE))),"")</f>
        <v/>
      </c>
      <c r="C35" s="67"/>
      <c r="D35" s="186" t="str">
        <f ca="1">IFERROR(VALUE(IF(VLOOKUP($A35,数出表_Excel!$A$6:$T$150,COLUMN()/2+1,FALSE)=0,"",VLOOKUP($A35,数出表_Excel!$A$6:$T$150,COLUMN()/2+1,FALSE))),"")</f>
        <v/>
      </c>
      <c r="E35" s="83"/>
      <c r="F35" s="197" t="str">
        <f ca="1">IFERROR(VALUE(IF(VLOOKUP($A35,数出表_Excel!$A$6:$T$150,COLUMN()/2+1,FALSE)=0,"",VLOOKUP($A35,数出表_Excel!$A$6:$T$150,COLUMN()/2+1,FALSE))),"")</f>
        <v/>
      </c>
      <c r="G35" s="67"/>
      <c r="H35" s="186" t="str">
        <f ca="1">IFERROR(VALUE(IF(VLOOKUP($A35,数出表_Excel!$A$6:$T$150,COLUMN()/2+1,FALSE)=0,"",VLOOKUP($A35,数出表_Excel!$A$6:$T$150,COLUMN()/2+1,FALSE))),"")</f>
        <v/>
      </c>
      <c r="I35" s="83"/>
      <c r="J35" s="197" t="str">
        <f ca="1">IFERROR(VALUE(IF(VLOOKUP($A35,数出表_Excel!$A$6:$T$150,COLUMN()/2+1,FALSE)=0,"",VLOOKUP($A35,数出表_Excel!$A$6:$T$150,COLUMN()/2+1,FALSE))),"")</f>
        <v/>
      </c>
      <c r="K35" s="67"/>
      <c r="L35" s="186" t="str">
        <f ca="1">IFERROR(VALUE(IF(VLOOKUP($A35,数出表_Excel!$A$6:$T$150,COLUMN()/2+1,FALSE)=0,"",VLOOKUP($A35,数出表_Excel!$A$6:$T$150,COLUMN()/2+1,FALSE))),"")</f>
        <v/>
      </c>
      <c r="M35" s="83"/>
      <c r="N35" s="197" t="str">
        <f ca="1">IFERROR(VALUE(IF(VLOOKUP($A35,数出表_Excel!$A$6:$T$150,COLUMN()/2+1,FALSE)=0,"",VLOOKUP($A35,数出表_Excel!$A$6:$T$150,COLUMN()/2+1,FALSE))),"")</f>
        <v/>
      </c>
      <c r="O35" s="67"/>
      <c r="P35" s="186" t="str">
        <f ca="1">IFERROR(VALUE(IF(VLOOKUP($A35,数出表_Excel!$A$6:$T$150,COLUMN()/2+1,FALSE)=0,"",VLOOKUP($A35,数出表_Excel!$A$6:$T$150,COLUMN()/2+1,FALSE))),"")</f>
        <v/>
      </c>
      <c r="Q35" s="83"/>
      <c r="R35" s="197" t="str">
        <f ca="1">IFERROR(VALUE(IF(VLOOKUP($A35,数出表_Excel!$A$6:$T$150,COLUMN()/2+1,FALSE)=0,"",VLOOKUP($A35,数出表_Excel!$A$6:$T$150,COLUMN()/2+1,FALSE))),"")</f>
        <v/>
      </c>
      <c r="S35" s="67"/>
      <c r="T35" s="186" t="str">
        <f ca="1">IFERROR(VALUE(IF(VLOOKUP($A35,数出表_Excel!$A$6:$T$150,COLUMN()/2+1,FALSE)=0,"",VLOOKUP($A35,数出表_Excel!$A$6:$T$150,COLUMN()/2+1,FALSE))),"")</f>
        <v/>
      </c>
      <c r="U35" s="83"/>
      <c r="V35" s="197" t="str">
        <f ca="1">IFERROR(VALUE(IF(VLOOKUP($A35,数出表_Excel!$A$6:$T$150,COLUMN()/2+1,FALSE)=0,"",VLOOKUP($A35,数出表_Excel!$A$6:$T$150,COLUMN()/2+1,FALSE))),"")</f>
        <v/>
      </c>
      <c r="W35" s="67"/>
      <c r="X35" s="186" t="str">
        <f ca="1">IFERROR(VALUE(IF(VLOOKUP($A35,数出表_Excel!$A$6:$T$150,COLUMN()/2+1,FALSE)=0,"",VLOOKUP($A35,数出表_Excel!$A$6:$T$150,COLUMN()/2+1,FALSE))),"")</f>
        <v/>
      </c>
      <c r="Y35" s="83"/>
      <c r="Z35" s="197" t="str">
        <f ca="1">IFERROR(VALUE(IF(VLOOKUP($A35,数出表_Excel!$A$6:$T$150,COLUMN()/2+1,FALSE)=0,"",VLOOKUP($A35,数出表_Excel!$A$6:$T$150,COLUMN()/2+1,FALSE))),"")</f>
        <v/>
      </c>
      <c r="AA35" s="83"/>
      <c r="AB35" s="186" t="str">
        <f ca="1">IFERROR(VALUE(IF(VLOOKUP($A35,数出表_Excel!$A$6:$T$150,COLUMN()/2+1,FALSE)=0,"",VLOOKUP($A35,数出表_Excel!$A$6:$T$150,COLUMN()/2+1,FALSE))),"")</f>
        <v/>
      </c>
      <c r="AC35" s="83"/>
      <c r="AD35" s="186" t="str">
        <f ca="1">IFERROR(VALUE(IF(VLOOKUP($A35,数出表_Excel!$A$6:$T$150,COLUMN()/2+1,FALSE)=0,"",VLOOKUP($A35,数出表_Excel!$A$6:$T$150,COLUMN()/2+1,FALSE))),"")</f>
        <v/>
      </c>
      <c r="AE35" s="83"/>
      <c r="AF35" s="186" t="str">
        <f ca="1">IFERROR(VALUE(IF(VLOOKUP($A35,数出表_Excel!$A$6:$T$150,COLUMN()/2+1,FALSE)=0,"",VLOOKUP($A35,数出表_Excel!$A$6:$T$150,COLUMN()/2+1,FALSE))),"")</f>
        <v/>
      </c>
      <c r="AG35" s="83"/>
      <c r="AH35" s="186" t="str">
        <f ca="1">IFERROR(VALUE(IF(VLOOKUP($A35,数出表_Excel!$A$6:$T$150,COLUMN()/2+1,FALSE)=0,"",VLOOKUP($A35,数出表_Excel!$A$6:$T$150,COLUMN()/2+1,FALSE))),"")</f>
        <v/>
      </c>
      <c r="AI35" s="83"/>
      <c r="AJ35" s="186" t="str">
        <f ca="1">IFERROR(VALUE(IF(VLOOKUP($A35,数出表_Excel!$A$6:$T$150,COLUMN()/2+1,FALSE)=0,"",VLOOKUP($A35,数出表_Excel!$A$6:$T$150,COLUMN()/2+1,FALSE))),"")</f>
        <v/>
      </c>
      <c r="AK35" s="83"/>
      <c r="AL35" s="70" t="e">
        <f ca="1">IF(A35&lt;&gt;"",
IF(VLOOKUP($A35,数出表_Excel!$A$6:$T$150,COLUMN()/2+1,FALSE)=0,"",VLOOKUP($A35,数出表_Excel!$A$6:$T$150,COLUMN()/2+1,FALSE)),"")</f>
        <v>#N/A</v>
      </c>
      <c r="AM35" s="98" t="e">
        <f ca="1">数出表_Excel!V35</f>
        <v>#N/A</v>
      </c>
      <c r="AN35" s="99" t="e">
        <f ca="1">数出表_Excel!W35</f>
        <v>#N/A</v>
      </c>
    </row>
    <row r="36" spans="1:40" ht="16.2" customHeight="1">
      <c r="A36" s="88" t="e">
        <f t="array" aca="1" ref="A36" ca="1">IF(OR(COUNTIF(A34,"*10002*"),COUNTIF(A34,"")),"",INDEX(貼り付け用!$A1:$A200,MATCH(A34,貼り付け用!$A1:$A200,0)+2,0))</f>
        <v>#N/A</v>
      </c>
      <c r="B36" s="185" t="str">
        <f ca="1">IFERROR(VALUE(IF(VLOOKUP($A36,数出表_Excel!$A$6:$T$150,COLUMN()/2+1,FALSE)=0,"",VLOOKUP($A36,数出表_Excel!$A$6:$T$150,COLUMN()/2+1,FALSE))),"")</f>
        <v/>
      </c>
      <c r="C36" s="66"/>
      <c r="D36" s="185" t="str">
        <f ca="1">IFERROR(VALUE(IF(VLOOKUP($A36,数出表_Excel!$A$6:$T$150,COLUMN()/2+1,FALSE)=0,"",VLOOKUP($A36,数出表_Excel!$A$6:$T$150,COLUMN()/2+1,FALSE))),"")</f>
        <v/>
      </c>
      <c r="E36" s="82"/>
      <c r="F36" s="196" t="str">
        <f ca="1">IFERROR(VALUE(IF(VLOOKUP($A36,数出表_Excel!$A$6:$T$150,COLUMN()/2+1,FALSE)=0,"",VLOOKUP($A36,数出表_Excel!$A$6:$T$150,COLUMN()/2+1,FALSE))),"")</f>
        <v/>
      </c>
      <c r="G36" s="66"/>
      <c r="H36" s="185" t="str">
        <f ca="1">IFERROR(VALUE(IF(VLOOKUP($A36,数出表_Excel!$A$6:$T$150,COLUMN()/2+1,FALSE)=0,"",VLOOKUP($A36,数出表_Excel!$A$6:$T$150,COLUMN()/2+1,FALSE))),"")</f>
        <v/>
      </c>
      <c r="I36" s="82"/>
      <c r="J36" s="196" t="str">
        <f ca="1">IFERROR(VALUE(IF(VLOOKUP($A36,数出表_Excel!$A$6:$T$150,COLUMN()/2+1,FALSE)=0,"",VLOOKUP($A36,数出表_Excel!$A$6:$T$150,COLUMN()/2+1,FALSE))),"")</f>
        <v/>
      </c>
      <c r="K36" s="66"/>
      <c r="L36" s="185" t="str">
        <f ca="1">IFERROR(VALUE(IF(VLOOKUP($A36,数出表_Excel!$A$6:$T$150,COLUMN()/2+1,FALSE)=0,"",VLOOKUP($A36,数出表_Excel!$A$6:$T$150,COLUMN()/2+1,FALSE))),"")</f>
        <v/>
      </c>
      <c r="M36" s="82"/>
      <c r="N36" s="196" t="str">
        <f ca="1">IFERROR(VALUE(IF(VLOOKUP($A36,数出表_Excel!$A$6:$T$150,COLUMN()/2+1,FALSE)=0,"",VLOOKUP($A36,数出表_Excel!$A$6:$T$150,COLUMN()/2+1,FALSE))),"")</f>
        <v/>
      </c>
      <c r="O36" s="66"/>
      <c r="P36" s="185" t="str">
        <f ca="1">IFERROR(VALUE(IF(VLOOKUP($A36,数出表_Excel!$A$6:$T$150,COLUMN()/2+1,FALSE)=0,"",VLOOKUP($A36,数出表_Excel!$A$6:$T$150,COLUMN()/2+1,FALSE))),"")</f>
        <v/>
      </c>
      <c r="Q36" s="82"/>
      <c r="R36" s="196" t="str">
        <f ca="1">IFERROR(VALUE(IF(VLOOKUP($A36,数出表_Excel!$A$6:$T$150,COLUMN()/2+1,FALSE)=0,"",VLOOKUP($A36,数出表_Excel!$A$6:$T$150,COLUMN()/2+1,FALSE))),"")</f>
        <v/>
      </c>
      <c r="S36" s="66"/>
      <c r="T36" s="185" t="str">
        <f ca="1">IFERROR(VALUE(IF(VLOOKUP($A36,数出表_Excel!$A$6:$T$150,COLUMN()/2+1,FALSE)=0,"",VLOOKUP($A36,数出表_Excel!$A$6:$T$150,COLUMN()/2+1,FALSE))),"")</f>
        <v/>
      </c>
      <c r="U36" s="82"/>
      <c r="V36" s="196" t="str">
        <f ca="1">IFERROR(VALUE(IF(VLOOKUP($A36,数出表_Excel!$A$6:$T$150,COLUMN()/2+1,FALSE)=0,"",VLOOKUP($A36,数出表_Excel!$A$6:$T$150,COLUMN()/2+1,FALSE))),"")</f>
        <v/>
      </c>
      <c r="W36" s="66"/>
      <c r="X36" s="185" t="str">
        <f ca="1">IFERROR(VALUE(IF(VLOOKUP($A36,数出表_Excel!$A$6:$T$150,COLUMN()/2+1,FALSE)=0,"",VLOOKUP($A36,数出表_Excel!$A$6:$T$150,COLUMN()/2+1,FALSE))),"")</f>
        <v/>
      </c>
      <c r="Y36" s="82"/>
      <c r="Z36" s="196" t="str">
        <f ca="1">IFERROR(VALUE(IF(VLOOKUP($A36,数出表_Excel!$A$6:$T$150,COLUMN()/2+1,FALSE)=0,"",VLOOKUP($A36,数出表_Excel!$A$6:$T$150,COLUMN()/2+1,FALSE))),"")</f>
        <v/>
      </c>
      <c r="AA36" s="82"/>
      <c r="AB36" s="185" t="str">
        <f ca="1">IFERROR(VALUE(IF(VLOOKUP($A36,数出表_Excel!$A$6:$T$150,COLUMN()/2+1,FALSE)=0,"",VLOOKUP($A36,数出表_Excel!$A$6:$T$150,COLUMN()/2+1,FALSE))),"")</f>
        <v/>
      </c>
      <c r="AC36" s="82"/>
      <c r="AD36" s="185" t="str">
        <f ca="1">IFERROR(VALUE(IF(VLOOKUP($A36,数出表_Excel!$A$6:$T$150,COLUMN()/2+1,FALSE)=0,"",VLOOKUP($A36,数出表_Excel!$A$6:$T$150,COLUMN()/2+1,FALSE))),"")</f>
        <v/>
      </c>
      <c r="AE36" s="82"/>
      <c r="AF36" s="185" t="str">
        <f ca="1">IFERROR(VALUE(IF(VLOOKUP($A36,数出表_Excel!$A$6:$T$150,COLUMN()/2+1,FALSE)=0,"",VLOOKUP($A36,数出表_Excel!$A$6:$T$150,COLUMN()/2+1,FALSE))),"")</f>
        <v/>
      </c>
      <c r="AG36" s="82"/>
      <c r="AH36" s="185" t="str">
        <f ca="1">IFERROR(VALUE(IF(VLOOKUP($A36,数出表_Excel!$A$6:$T$150,COLUMN()/2+1,FALSE)=0,"",VLOOKUP($A36,数出表_Excel!$A$6:$T$150,COLUMN()/2+1,FALSE))),"")</f>
        <v/>
      </c>
      <c r="AI36" s="82"/>
      <c r="AJ36" s="185" t="str">
        <f ca="1">IFERROR(VALUE(IF(VLOOKUP($A36,数出表_Excel!$A$6:$T$150,COLUMN()/2+1,FALSE)=0,"",VLOOKUP($A36,数出表_Excel!$A$6:$T$150,COLUMN()/2+1,FALSE))),"")</f>
        <v/>
      </c>
      <c r="AK36" s="82"/>
      <c r="AL36" s="68" t="e">
        <f ca="1">IF(A36&lt;&gt;"",
IF(VLOOKUP($A36,数出表_Excel!$A$6:$T$150,COLUMN()/2+1,FALSE)=0,"",VLOOKUP($A36,数出表_Excel!$A$6:$T$150,COLUMN()/2+1,FALSE)),"")</f>
        <v>#N/A</v>
      </c>
      <c r="AM36" s="96" t="e">
        <f ca="1">数出表_Excel!V36</f>
        <v>#N/A</v>
      </c>
      <c r="AN36" s="97" t="e">
        <f ca="1">数出表_Excel!W36</f>
        <v>#N/A</v>
      </c>
    </row>
    <row r="37" spans="1:40" ht="16.2" customHeight="1">
      <c r="A37" s="89" t="e">
        <f t="array" aca="1" ref="A37" ca="1">IF(OR(COUNTIF(A35,"*1000*"),COUNTIF(A35,"")),"",INDEX(貼り付け用!$A1:$A200,MATCH(A35,貼り付け用!$A1:$A200,0)+2,0))</f>
        <v>#N/A</v>
      </c>
      <c r="B37" s="186" t="str">
        <f ca="1">IFERROR(VALUE(IF(VLOOKUP($A37,数出表_Excel!$A$6:$T$150,COLUMN()/2+1,FALSE)=0,"",VLOOKUP($A37,数出表_Excel!$A$6:$T$150,COLUMN()/2+1,FALSE))),"")</f>
        <v/>
      </c>
      <c r="C37" s="67"/>
      <c r="D37" s="186" t="str">
        <f ca="1">IFERROR(VALUE(IF(VLOOKUP($A37,数出表_Excel!$A$6:$T$150,COLUMN()/2+1,FALSE)=0,"",VLOOKUP($A37,数出表_Excel!$A$6:$T$150,COLUMN()/2+1,FALSE))),"")</f>
        <v/>
      </c>
      <c r="E37" s="83"/>
      <c r="F37" s="197" t="str">
        <f ca="1">IFERROR(VALUE(IF(VLOOKUP($A37,数出表_Excel!$A$6:$T$150,COLUMN()/2+1,FALSE)=0,"",VLOOKUP($A37,数出表_Excel!$A$6:$T$150,COLUMN()/2+1,FALSE))),"")</f>
        <v/>
      </c>
      <c r="G37" s="67"/>
      <c r="H37" s="186" t="str">
        <f ca="1">IFERROR(VALUE(IF(VLOOKUP($A37,数出表_Excel!$A$6:$T$150,COLUMN()/2+1,FALSE)=0,"",VLOOKUP($A37,数出表_Excel!$A$6:$T$150,COLUMN()/2+1,FALSE))),"")</f>
        <v/>
      </c>
      <c r="I37" s="83"/>
      <c r="J37" s="197" t="str">
        <f ca="1">IFERROR(VALUE(IF(VLOOKUP($A37,数出表_Excel!$A$6:$T$150,COLUMN()/2+1,FALSE)=0,"",VLOOKUP($A37,数出表_Excel!$A$6:$T$150,COLUMN()/2+1,FALSE))),"")</f>
        <v/>
      </c>
      <c r="K37" s="67"/>
      <c r="L37" s="186" t="str">
        <f ca="1">IFERROR(VALUE(IF(VLOOKUP($A37,数出表_Excel!$A$6:$T$150,COLUMN()/2+1,FALSE)=0,"",VLOOKUP($A37,数出表_Excel!$A$6:$T$150,COLUMN()/2+1,FALSE))),"")</f>
        <v/>
      </c>
      <c r="M37" s="83"/>
      <c r="N37" s="197" t="str">
        <f ca="1">IFERROR(VALUE(IF(VLOOKUP($A37,数出表_Excel!$A$6:$T$150,COLUMN()/2+1,FALSE)=0,"",VLOOKUP($A37,数出表_Excel!$A$6:$T$150,COLUMN()/2+1,FALSE))),"")</f>
        <v/>
      </c>
      <c r="O37" s="67"/>
      <c r="P37" s="186" t="str">
        <f ca="1">IFERROR(VALUE(IF(VLOOKUP($A37,数出表_Excel!$A$6:$T$150,COLUMN()/2+1,FALSE)=0,"",VLOOKUP($A37,数出表_Excel!$A$6:$T$150,COLUMN()/2+1,FALSE))),"")</f>
        <v/>
      </c>
      <c r="Q37" s="83"/>
      <c r="R37" s="197" t="str">
        <f ca="1">IFERROR(VALUE(IF(VLOOKUP($A37,数出表_Excel!$A$6:$T$150,COLUMN()/2+1,FALSE)=0,"",VLOOKUP($A37,数出表_Excel!$A$6:$T$150,COLUMN()/2+1,FALSE))),"")</f>
        <v/>
      </c>
      <c r="S37" s="67"/>
      <c r="T37" s="186" t="str">
        <f ca="1">IFERROR(VALUE(IF(VLOOKUP($A37,数出表_Excel!$A$6:$T$150,COLUMN()/2+1,FALSE)=0,"",VLOOKUP($A37,数出表_Excel!$A$6:$T$150,COLUMN()/2+1,FALSE))),"")</f>
        <v/>
      </c>
      <c r="U37" s="83"/>
      <c r="V37" s="197" t="str">
        <f ca="1">IFERROR(VALUE(IF(VLOOKUP($A37,数出表_Excel!$A$6:$T$150,COLUMN()/2+1,FALSE)=0,"",VLOOKUP($A37,数出表_Excel!$A$6:$T$150,COLUMN()/2+1,FALSE))),"")</f>
        <v/>
      </c>
      <c r="W37" s="67"/>
      <c r="X37" s="186" t="str">
        <f ca="1">IFERROR(VALUE(IF(VLOOKUP($A37,数出表_Excel!$A$6:$T$150,COLUMN()/2+1,FALSE)=0,"",VLOOKUP($A37,数出表_Excel!$A$6:$T$150,COLUMN()/2+1,FALSE))),"")</f>
        <v/>
      </c>
      <c r="Y37" s="83"/>
      <c r="Z37" s="197" t="str">
        <f ca="1">IFERROR(VALUE(IF(VLOOKUP($A37,数出表_Excel!$A$6:$T$150,COLUMN()/2+1,FALSE)=0,"",VLOOKUP($A37,数出表_Excel!$A$6:$T$150,COLUMN()/2+1,FALSE))),"")</f>
        <v/>
      </c>
      <c r="AA37" s="83"/>
      <c r="AB37" s="186" t="str">
        <f ca="1">IFERROR(VALUE(IF(VLOOKUP($A37,数出表_Excel!$A$6:$T$150,COLUMN()/2+1,FALSE)=0,"",VLOOKUP($A37,数出表_Excel!$A$6:$T$150,COLUMN()/2+1,FALSE))),"")</f>
        <v/>
      </c>
      <c r="AC37" s="83"/>
      <c r="AD37" s="186" t="str">
        <f ca="1">IFERROR(VALUE(IF(VLOOKUP($A37,数出表_Excel!$A$6:$T$150,COLUMN()/2+1,FALSE)=0,"",VLOOKUP($A37,数出表_Excel!$A$6:$T$150,COLUMN()/2+1,FALSE))),"")</f>
        <v/>
      </c>
      <c r="AE37" s="83"/>
      <c r="AF37" s="186" t="str">
        <f ca="1">IFERROR(VALUE(IF(VLOOKUP($A37,数出表_Excel!$A$6:$T$150,COLUMN()/2+1,FALSE)=0,"",VLOOKUP($A37,数出表_Excel!$A$6:$T$150,COLUMN()/2+1,FALSE))),"")</f>
        <v/>
      </c>
      <c r="AG37" s="83"/>
      <c r="AH37" s="186" t="str">
        <f ca="1">IFERROR(VALUE(IF(VLOOKUP($A37,数出表_Excel!$A$6:$T$150,COLUMN()/2+1,FALSE)=0,"",VLOOKUP($A37,数出表_Excel!$A$6:$T$150,COLUMN()/2+1,FALSE))),"")</f>
        <v/>
      </c>
      <c r="AI37" s="83"/>
      <c r="AJ37" s="186" t="str">
        <f ca="1">IFERROR(VALUE(IF(VLOOKUP($A37,数出表_Excel!$A$6:$T$150,COLUMN()/2+1,FALSE)=0,"",VLOOKUP($A37,数出表_Excel!$A$6:$T$150,COLUMN()/2+1,FALSE))),"")</f>
        <v/>
      </c>
      <c r="AK37" s="83"/>
      <c r="AL37" s="70" t="e">
        <f ca="1">IF(A37&lt;&gt;"",
IF(VLOOKUP($A37,数出表_Excel!$A$6:$T$150,COLUMN()/2+1,FALSE)=0,"",VLOOKUP($A37,数出表_Excel!$A$6:$T$150,COLUMN()/2+1,FALSE)),"")</f>
        <v>#N/A</v>
      </c>
      <c r="AM37" s="98" t="e">
        <f ca="1">数出表_Excel!V37</f>
        <v>#N/A</v>
      </c>
      <c r="AN37" s="99" t="e">
        <f ca="1">数出表_Excel!W37</f>
        <v>#N/A</v>
      </c>
    </row>
    <row r="38" spans="1:40" ht="16.2" customHeight="1">
      <c r="A38" s="88" t="e">
        <f t="array" aca="1" ref="A38" ca="1">IF(OR(COUNTIF(A36,"*10002*"),COUNTIF(A36,"")),"",INDEX(貼り付け用!$A1:$A200,MATCH(A36,貼り付け用!$A1:$A200,0)+2,0))</f>
        <v>#N/A</v>
      </c>
      <c r="B38" s="185" t="str">
        <f ca="1">IFERROR(VALUE(IF(VLOOKUP($A38,数出表_Excel!$A$6:$T$150,COLUMN()/2+1,FALSE)=0,"",VLOOKUP($A38,数出表_Excel!$A$6:$T$150,COLUMN()/2+1,FALSE))),"")</f>
        <v/>
      </c>
      <c r="C38" s="66"/>
      <c r="D38" s="185" t="str">
        <f ca="1">IFERROR(VALUE(IF(VLOOKUP($A38,数出表_Excel!$A$6:$T$150,COLUMN()/2+1,FALSE)=0,"",VLOOKUP($A38,数出表_Excel!$A$6:$T$150,COLUMN()/2+1,FALSE))),"")</f>
        <v/>
      </c>
      <c r="E38" s="82"/>
      <c r="F38" s="196" t="str">
        <f ca="1">IFERROR(VALUE(IF(VLOOKUP($A38,数出表_Excel!$A$6:$T$150,COLUMN()/2+1,FALSE)=0,"",VLOOKUP($A38,数出表_Excel!$A$6:$T$150,COLUMN()/2+1,FALSE))),"")</f>
        <v/>
      </c>
      <c r="G38" s="66"/>
      <c r="H38" s="185" t="str">
        <f ca="1">IFERROR(VALUE(IF(VLOOKUP($A38,数出表_Excel!$A$6:$T$150,COLUMN()/2+1,FALSE)=0,"",VLOOKUP($A38,数出表_Excel!$A$6:$T$150,COLUMN()/2+1,FALSE))),"")</f>
        <v/>
      </c>
      <c r="I38" s="82"/>
      <c r="J38" s="196" t="str">
        <f ca="1">IFERROR(VALUE(IF(VLOOKUP($A38,数出表_Excel!$A$6:$T$150,COLUMN()/2+1,FALSE)=0,"",VLOOKUP($A38,数出表_Excel!$A$6:$T$150,COLUMN()/2+1,FALSE))),"")</f>
        <v/>
      </c>
      <c r="K38" s="66"/>
      <c r="L38" s="185" t="str">
        <f ca="1">IFERROR(VALUE(IF(VLOOKUP($A38,数出表_Excel!$A$6:$T$150,COLUMN()/2+1,FALSE)=0,"",VLOOKUP($A38,数出表_Excel!$A$6:$T$150,COLUMN()/2+1,FALSE))),"")</f>
        <v/>
      </c>
      <c r="M38" s="82"/>
      <c r="N38" s="196" t="str">
        <f ca="1">IFERROR(VALUE(IF(VLOOKUP($A38,数出表_Excel!$A$6:$T$150,COLUMN()/2+1,FALSE)=0,"",VLOOKUP($A38,数出表_Excel!$A$6:$T$150,COLUMN()/2+1,FALSE))),"")</f>
        <v/>
      </c>
      <c r="O38" s="66"/>
      <c r="P38" s="185" t="str">
        <f ca="1">IFERROR(VALUE(IF(VLOOKUP($A38,数出表_Excel!$A$6:$T$150,COLUMN()/2+1,FALSE)=0,"",VLOOKUP($A38,数出表_Excel!$A$6:$T$150,COLUMN()/2+1,FALSE))),"")</f>
        <v/>
      </c>
      <c r="Q38" s="82"/>
      <c r="R38" s="196" t="str">
        <f ca="1">IFERROR(VALUE(IF(VLOOKUP($A38,数出表_Excel!$A$6:$T$150,COLUMN()/2+1,FALSE)=0,"",VLOOKUP($A38,数出表_Excel!$A$6:$T$150,COLUMN()/2+1,FALSE))),"")</f>
        <v/>
      </c>
      <c r="S38" s="66"/>
      <c r="T38" s="185" t="str">
        <f ca="1">IFERROR(VALUE(IF(VLOOKUP($A38,数出表_Excel!$A$6:$T$150,COLUMN()/2+1,FALSE)=0,"",VLOOKUP($A38,数出表_Excel!$A$6:$T$150,COLUMN()/2+1,FALSE))),"")</f>
        <v/>
      </c>
      <c r="U38" s="82"/>
      <c r="V38" s="196" t="str">
        <f ca="1">IFERROR(VALUE(IF(VLOOKUP($A38,数出表_Excel!$A$6:$T$150,COLUMN()/2+1,FALSE)=0,"",VLOOKUP($A38,数出表_Excel!$A$6:$T$150,COLUMN()/2+1,FALSE))),"")</f>
        <v/>
      </c>
      <c r="W38" s="66"/>
      <c r="X38" s="185" t="str">
        <f ca="1">IFERROR(VALUE(IF(VLOOKUP($A38,数出表_Excel!$A$6:$T$150,COLUMN()/2+1,FALSE)=0,"",VLOOKUP($A38,数出表_Excel!$A$6:$T$150,COLUMN()/2+1,FALSE))),"")</f>
        <v/>
      </c>
      <c r="Y38" s="82"/>
      <c r="Z38" s="196" t="str">
        <f ca="1">IFERROR(VALUE(IF(VLOOKUP($A38,数出表_Excel!$A$6:$T$150,COLUMN()/2+1,FALSE)=0,"",VLOOKUP($A38,数出表_Excel!$A$6:$T$150,COLUMN()/2+1,FALSE))),"")</f>
        <v/>
      </c>
      <c r="AA38" s="82"/>
      <c r="AB38" s="185" t="str">
        <f ca="1">IFERROR(VALUE(IF(VLOOKUP($A38,数出表_Excel!$A$6:$T$150,COLUMN()/2+1,FALSE)=0,"",VLOOKUP($A38,数出表_Excel!$A$6:$T$150,COLUMN()/2+1,FALSE))),"")</f>
        <v/>
      </c>
      <c r="AC38" s="82"/>
      <c r="AD38" s="185" t="str">
        <f ca="1">IFERROR(VALUE(IF(VLOOKUP($A38,数出表_Excel!$A$6:$T$150,COLUMN()/2+1,FALSE)=0,"",VLOOKUP($A38,数出表_Excel!$A$6:$T$150,COLUMN()/2+1,FALSE))),"")</f>
        <v/>
      </c>
      <c r="AE38" s="82"/>
      <c r="AF38" s="185" t="str">
        <f ca="1">IFERROR(VALUE(IF(VLOOKUP($A38,数出表_Excel!$A$6:$T$150,COLUMN()/2+1,FALSE)=0,"",VLOOKUP($A38,数出表_Excel!$A$6:$T$150,COLUMN()/2+1,FALSE))),"")</f>
        <v/>
      </c>
      <c r="AG38" s="82"/>
      <c r="AH38" s="185" t="str">
        <f ca="1">IFERROR(VALUE(IF(VLOOKUP($A38,数出表_Excel!$A$6:$T$150,COLUMN()/2+1,FALSE)=0,"",VLOOKUP($A38,数出表_Excel!$A$6:$T$150,COLUMN()/2+1,FALSE))),"")</f>
        <v/>
      </c>
      <c r="AI38" s="82"/>
      <c r="AJ38" s="185" t="str">
        <f ca="1">IFERROR(VALUE(IF(VLOOKUP($A38,数出表_Excel!$A$6:$T$150,COLUMN()/2+1,FALSE)=0,"",VLOOKUP($A38,数出表_Excel!$A$6:$T$150,COLUMN()/2+1,FALSE))),"")</f>
        <v/>
      </c>
      <c r="AK38" s="82"/>
      <c r="AL38" s="68" t="e">
        <f ca="1">IF(A38&lt;&gt;"",
IF(VLOOKUP($A38,数出表_Excel!$A$6:$T$150,COLUMN()/2+1,FALSE)=0,"",VLOOKUP($A38,数出表_Excel!$A$6:$T$150,COLUMN()/2+1,FALSE)),"")</f>
        <v>#N/A</v>
      </c>
      <c r="AM38" s="96" t="e">
        <f ca="1">数出表_Excel!V38</f>
        <v>#N/A</v>
      </c>
      <c r="AN38" s="97" t="e">
        <f ca="1">数出表_Excel!W38</f>
        <v>#N/A</v>
      </c>
    </row>
    <row r="39" spans="1:40" ht="16.2" customHeight="1">
      <c r="A39" s="89" t="e">
        <f t="array" aca="1" ref="A39" ca="1">IF(OR(COUNTIF(A37,"*1000*"),COUNTIF(A37,"")),"",INDEX(貼り付け用!$A1:$A200,MATCH(A37,貼り付け用!$A1:$A200,0)+2,0))</f>
        <v>#N/A</v>
      </c>
      <c r="B39" s="186" t="str">
        <f ca="1">IFERROR(VALUE(IF(VLOOKUP($A39,数出表_Excel!$A$6:$T$150,COLUMN()/2+1,FALSE)=0,"",VLOOKUP($A39,数出表_Excel!$A$6:$T$150,COLUMN()/2+1,FALSE))),"")</f>
        <v/>
      </c>
      <c r="C39" s="67"/>
      <c r="D39" s="186" t="str">
        <f ca="1">IFERROR(VALUE(IF(VLOOKUP($A39,数出表_Excel!$A$6:$T$150,COLUMN()/2+1,FALSE)=0,"",VLOOKUP($A39,数出表_Excel!$A$6:$T$150,COLUMN()/2+1,FALSE))),"")</f>
        <v/>
      </c>
      <c r="E39" s="83"/>
      <c r="F39" s="197" t="str">
        <f ca="1">IFERROR(VALUE(IF(VLOOKUP($A39,数出表_Excel!$A$6:$T$150,COLUMN()/2+1,FALSE)=0,"",VLOOKUP($A39,数出表_Excel!$A$6:$T$150,COLUMN()/2+1,FALSE))),"")</f>
        <v/>
      </c>
      <c r="G39" s="67"/>
      <c r="H39" s="186" t="str">
        <f ca="1">IFERROR(VALUE(IF(VLOOKUP($A39,数出表_Excel!$A$6:$T$150,COLUMN()/2+1,FALSE)=0,"",VLOOKUP($A39,数出表_Excel!$A$6:$T$150,COLUMN()/2+1,FALSE))),"")</f>
        <v/>
      </c>
      <c r="I39" s="83"/>
      <c r="J39" s="197" t="str">
        <f ca="1">IFERROR(VALUE(IF(VLOOKUP($A39,数出表_Excel!$A$6:$T$150,COLUMN()/2+1,FALSE)=0,"",VLOOKUP($A39,数出表_Excel!$A$6:$T$150,COLUMN()/2+1,FALSE))),"")</f>
        <v/>
      </c>
      <c r="K39" s="67"/>
      <c r="L39" s="186" t="str">
        <f ca="1">IFERROR(VALUE(IF(VLOOKUP($A39,数出表_Excel!$A$6:$T$150,COLUMN()/2+1,FALSE)=0,"",VLOOKUP($A39,数出表_Excel!$A$6:$T$150,COLUMN()/2+1,FALSE))),"")</f>
        <v/>
      </c>
      <c r="M39" s="83"/>
      <c r="N39" s="197" t="str">
        <f ca="1">IFERROR(VALUE(IF(VLOOKUP($A39,数出表_Excel!$A$6:$T$150,COLUMN()/2+1,FALSE)=0,"",VLOOKUP($A39,数出表_Excel!$A$6:$T$150,COLUMN()/2+1,FALSE))),"")</f>
        <v/>
      </c>
      <c r="O39" s="67"/>
      <c r="P39" s="186" t="str">
        <f ca="1">IFERROR(VALUE(IF(VLOOKUP($A39,数出表_Excel!$A$6:$T$150,COLUMN()/2+1,FALSE)=0,"",VLOOKUP($A39,数出表_Excel!$A$6:$T$150,COLUMN()/2+1,FALSE))),"")</f>
        <v/>
      </c>
      <c r="Q39" s="83"/>
      <c r="R39" s="197" t="str">
        <f ca="1">IFERROR(VALUE(IF(VLOOKUP($A39,数出表_Excel!$A$6:$T$150,COLUMN()/2+1,FALSE)=0,"",VLOOKUP($A39,数出表_Excel!$A$6:$T$150,COLUMN()/2+1,FALSE))),"")</f>
        <v/>
      </c>
      <c r="S39" s="67"/>
      <c r="T39" s="186" t="str">
        <f ca="1">IFERROR(VALUE(IF(VLOOKUP($A39,数出表_Excel!$A$6:$T$150,COLUMN()/2+1,FALSE)=0,"",VLOOKUP($A39,数出表_Excel!$A$6:$T$150,COLUMN()/2+1,FALSE))),"")</f>
        <v/>
      </c>
      <c r="U39" s="83"/>
      <c r="V39" s="197" t="str">
        <f ca="1">IFERROR(VALUE(IF(VLOOKUP($A39,数出表_Excel!$A$6:$T$150,COLUMN()/2+1,FALSE)=0,"",VLOOKUP($A39,数出表_Excel!$A$6:$T$150,COLUMN()/2+1,FALSE))),"")</f>
        <v/>
      </c>
      <c r="W39" s="67"/>
      <c r="X39" s="186" t="str">
        <f ca="1">IFERROR(VALUE(IF(VLOOKUP($A39,数出表_Excel!$A$6:$T$150,COLUMN()/2+1,FALSE)=0,"",VLOOKUP($A39,数出表_Excel!$A$6:$T$150,COLUMN()/2+1,FALSE))),"")</f>
        <v/>
      </c>
      <c r="Y39" s="83"/>
      <c r="Z39" s="197" t="str">
        <f ca="1">IFERROR(VALUE(IF(VLOOKUP($A39,数出表_Excel!$A$6:$T$150,COLUMN()/2+1,FALSE)=0,"",VLOOKUP($A39,数出表_Excel!$A$6:$T$150,COLUMN()/2+1,FALSE))),"")</f>
        <v/>
      </c>
      <c r="AA39" s="83"/>
      <c r="AB39" s="186" t="str">
        <f ca="1">IFERROR(VALUE(IF(VLOOKUP($A39,数出表_Excel!$A$6:$T$150,COLUMN()/2+1,FALSE)=0,"",VLOOKUP($A39,数出表_Excel!$A$6:$T$150,COLUMN()/2+1,FALSE))),"")</f>
        <v/>
      </c>
      <c r="AC39" s="83"/>
      <c r="AD39" s="186" t="str">
        <f ca="1">IFERROR(VALUE(IF(VLOOKUP($A39,数出表_Excel!$A$6:$T$150,COLUMN()/2+1,FALSE)=0,"",VLOOKUP($A39,数出表_Excel!$A$6:$T$150,COLUMN()/2+1,FALSE))),"")</f>
        <v/>
      </c>
      <c r="AE39" s="83"/>
      <c r="AF39" s="186" t="str">
        <f ca="1">IFERROR(VALUE(IF(VLOOKUP($A39,数出表_Excel!$A$6:$T$150,COLUMN()/2+1,FALSE)=0,"",VLOOKUP($A39,数出表_Excel!$A$6:$T$150,COLUMN()/2+1,FALSE))),"")</f>
        <v/>
      </c>
      <c r="AG39" s="83"/>
      <c r="AH39" s="186" t="str">
        <f ca="1">IFERROR(VALUE(IF(VLOOKUP($A39,数出表_Excel!$A$6:$T$150,COLUMN()/2+1,FALSE)=0,"",VLOOKUP($A39,数出表_Excel!$A$6:$T$150,COLUMN()/2+1,FALSE))),"")</f>
        <v/>
      </c>
      <c r="AI39" s="83"/>
      <c r="AJ39" s="186" t="str">
        <f ca="1">IFERROR(VALUE(IF(VLOOKUP($A39,数出表_Excel!$A$6:$T$150,COLUMN()/2+1,FALSE)=0,"",VLOOKUP($A39,数出表_Excel!$A$6:$T$150,COLUMN()/2+1,FALSE))),"")</f>
        <v/>
      </c>
      <c r="AK39" s="83"/>
      <c r="AL39" s="70" t="e">
        <f ca="1">IF(A39&lt;&gt;"",
IF(VLOOKUP($A39,数出表_Excel!$A$6:$T$150,COLUMN()/2+1,FALSE)=0,"",VLOOKUP($A39,数出表_Excel!$A$6:$T$150,COLUMN()/2+1,FALSE)),"")</f>
        <v>#N/A</v>
      </c>
      <c r="AM39" s="98" t="e">
        <f ca="1">数出表_Excel!V39</f>
        <v>#N/A</v>
      </c>
      <c r="AN39" s="99" t="e">
        <f ca="1">数出表_Excel!W39</f>
        <v>#N/A</v>
      </c>
    </row>
    <row r="40" spans="1:40" ht="16.2" customHeight="1">
      <c r="A40" s="88" t="e">
        <f t="array" aca="1" ref="A40" ca="1">IF(OR(COUNTIF(A38,"*10002*"),COUNTIF(A38,"")),"",INDEX(貼り付け用!$A1:$A200,MATCH(A38,貼り付け用!$A1:$A200,0)+2,0))</f>
        <v>#N/A</v>
      </c>
      <c r="B40" s="185" t="str">
        <f ca="1">IFERROR(VALUE(IF(VLOOKUP($A40,数出表_Excel!$A$6:$T$150,COLUMN()/2+1,FALSE)=0,"",VLOOKUP($A40,数出表_Excel!$A$6:$T$150,COLUMN()/2+1,FALSE))),"")</f>
        <v/>
      </c>
      <c r="C40" s="66"/>
      <c r="D40" s="185" t="str">
        <f ca="1">IFERROR(VALUE(IF(VLOOKUP($A40,数出表_Excel!$A$6:$T$150,COLUMN()/2+1,FALSE)=0,"",VLOOKUP($A40,数出表_Excel!$A$6:$T$150,COLUMN()/2+1,FALSE))),"")</f>
        <v/>
      </c>
      <c r="E40" s="82"/>
      <c r="F40" s="196" t="str">
        <f ca="1">IFERROR(VALUE(IF(VLOOKUP($A40,数出表_Excel!$A$6:$T$150,COLUMN()/2+1,FALSE)=0,"",VLOOKUP($A40,数出表_Excel!$A$6:$T$150,COLUMN()/2+1,FALSE))),"")</f>
        <v/>
      </c>
      <c r="G40" s="66"/>
      <c r="H40" s="185" t="str">
        <f ca="1">IFERROR(VALUE(IF(VLOOKUP($A40,数出表_Excel!$A$6:$T$150,COLUMN()/2+1,FALSE)=0,"",VLOOKUP($A40,数出表_Excel!$A$6:$T$150,COLUMN()/2+1,FALSE))),"")</f>
        <v/>
      </c>
      <c r="I40" s="82"/>
      <c r="J40" s="196" t="str">
        <f ca="1">IFERROR(VALUE(IF(VLOOKUP($A40,数出表_Excel!$A$6:$T$150,COLUMN()/2+1,FALSE)=0,"",VLOOKUP($A40,数出表_Excel!$A$6:$T$150,COLUMN()/2+1,FALSE))),"")</f>
        <v/>
      </c>
      <c r="K40" s="66"/>
      <c r="L40" s="185" t="str">
        <f ca="1">IFERROR(VALUE(IF(VLOOKUP($A40,数出表_Excel!$A$6:$T$150,COLUMN()/2+1,FALSE)=0,"",VLOOKUP($A40,数出表_Excel!$A$6:$T$150,COLUMN()/2+1,FALSE))),"")</f>
        <v/>
      </c>
      <c r="M40" s="82"/>
      <c r="N40" s="196" t="str">
        <f ca="1">IFERROR(VALUE(IF(VLOOKUP($A40,数出表_Excel!$A$6:$T$150,COLUMN()/2+1,FALSE)=0,"",VLOOKUP($A40,数出表_Excel!$A$6:$T$150,COLUMN()/2+1,FALSE))),"")</f>
        <v/>
      </c>
      <c r="O40" s="66"/>
      <c r="P40" s="185" t="str">
        <f ca="1">IFERROR(VALUE(IF(VLOOKUP($A40,数出表_Excel!$A$6:$T$150,COLUMN()/2+1,FALSE)=0,"",VLOOKUP($A40,数出表_Excel!$A$6:$T$150,COLUMN()/2+1,FALSE))),"")</f>
        <v/>
      </c>
      <c r="Q40" s="82"/>
      <c r="R40" s="196" t="str">
        <f ca="1">IFERROR(VALUE(IF(VLOOKUP($A40,数出表_Excel!$A$6:$T$150,COLUMN()/2+1,FALSE)=0,"",VLOOKUP($A40,数出表_Excel!$A$6:$T$150,COLUMN()/2+1,FALSE))),"")</f>
        <v/>
      </c>
      <c r="S40" s="66"/>
      <c r="T40" s="185" t="str">
        <f ca="1">IFERROR(VALUE(IF(VLOOKUP($A40,数出表_Excel!$A$6:$T$150,COLUMN()/2+1,FALSE)=0,"",VLOOKUP($A40,数出表_Excel!$A$6:$T$150,COLUMN()/2+1,FALSE))),"")</f>
        <v/>
      </c>
      <c r="U40" s="82"/>
      <c r="V40" s="196" t="str">
        <f ca="1">IFERROR(VALUE(IF(VLOOKUP($A40,数出表_Excel!$A$6:$T$150,COLUMN()/2+1,FALSE)=0,"",VLOOKUP($A40,数出表_Excel!$A$6:$T$150,COLUMN()/2+1,FALSE))),"")</f>
        <v/>
      </c>
      <c r="W40" s="66"/>
      <c r="X40" s="185" t="str">
        <f ca="1">IFERROR(VALUE(IF(VLOOKUP($A40,数出表_Excel!$A$6:$T$150,COLUMN()/2+1,FALSE)=0,"",VLOOKUP($A40,数出表_Excel!$A$6:$T$150,COLUMN()/2+1,FALSE))),"")</f>
        <v/>
      </c>
      <c r="Y40" s="82"/>
      <c r="Z40" s="196" t="str">
        <f ca="1">IFERROR(VALUE(IF(VLOOKUP($A40,数出表_Excel!$A$6:$T$150,COLUMN()/2+1,FALSE)=0,"",VLOOKUP($A40,数出表_Excel!$A$6:$T$150,COLUMN()/2+1,FALSE))),"")</f>
        <v/>
      </c>
      <c r="AA40" s="82"/>
      <c r="AB40" s="185" t="str">
        <f ca="1">IFERROR(VALUE(IF(VLOOKUP($A40,数出表_Excel!$A$6:$T$150,COLUMN()/2+1,FALSE)=0,"",VLOOKUP($A40,数出表_Excel!$A$6:$T$150,COLUMN()/2+1,FALSE))),"")</f>
        <v/>
      </c>
      <c r="AC40" s="82"/>
      <c r="AD40" s="185" t="str">
        <f ca="1">IFERROR(VALUE(IF(VLOOKUP($A40,数出表_Excel!$A$6:$T$150,COLUMN()/2+1,FALSE)=0,"",VLOOKUP($A40,数出表_Excel!$A$6:$T$150,COLUMN()/2+1,FALSE))),"")</f>
        <v/>
      </c>
      <c r="AE40" s="82"/>
      <c r="AF40" s="185" t="str">
        <f ca="1">IFERROR(VALUE(IF(VLOOKUP($A40,数出表_Excel!$A$6:$T$150,COLUMN()/2+1,FALSE)=0,"",VLOOKUP($A40,数出表_Excel!$A$6:$T$150,COLUMN()/2+1,FALSE))),"")</f>
        <v/>
      </c>
      <c r="AG40" s="82"/>
      <c r="AH40" s="185" t="str">
        <f ca="1">IFERROR(VALUE(IF(VLOOKUP($A40,数出表_Excel!$A$6:$T$150,COLUMN()/2+1,FALSE)=0,"",VLOOKUP($A40,数出表_Excel!$A$6:$T$150,COLUMN()/2+1,FALSE))),"")</f>
        <v/>
      </c>
      <c r="AI40" s="82"/>
      <c r="AJ40" s="185" t="str">
        <f ca="1">IFERROR(VALUE(IF(VLOOKUP($A40,数出表_Excel!$A$6:$T$150,COLUMN()/2+1,FALSE)=0,"",VLOOKUP($A40,数出表_Excel!$A$6:$T$150,COLUMN()/2+1,FALSE))),"")</f>
        <v/>
      </c>
      <c r="AK40" s="82"/>
      <c r="AL40" s="68" t="e">
        <f ca="1">IF(A40&lt;&gt;"",
IF(VLOOKUP($A40,数出表_Excel!$A$6:$T$150,COLUMN()/2+1,FALSE)=0,"",VLOOKUP($A40,数出表_Excel!$A$6:$T$150,COLUMN()/2+1,FALSE)),"")</f>
        <v>#N/A</v>
      </c>
      <c r="AM40" s="96" t="e">
        <f>数出表_Excel!V40</f>
        <v>#N/A</v>
      </c>
      <c r="AN40" s="97" t="e">
        <f>数出表_Excel!W40</f>
        <v>#N/A</v>
      </c>
    </row>
    <row r="41" spans="1:40" ht="16.2" customHeight="1">
      <c r="A41" s="89" t="e">
        <f t="array" aca="1" ref="A41" ca="1">IF(OR(COUNTIF(A39,"*1000*"),COUNTIF(A39,"")),"",INDEX(貼り付け用!$A1:$A200,MATCH(A39,貼り付け用!$A1:$A200,0)+2,0))</f>
        <v>#N/A</v>
      </c>
      <c r="B41" s="186" t="str">
        <f ca="1">IFERROR(VALUE(IF(VLOOKUP($A41,数出表_Excel!$A$6:$T$150,COLUMN()/2+1,FALSE)=0,"",VLOOKUP($A41,数出表_Excel!$A$6:$T$150,COLUMN()/2+1,FALSE))),"")</f>
        <v/>
      </c>
      <c r="C41" s="67"/>
      <c r="D41" s="186" t="str">
        <f ca="1">IFERROR(VALUE(IF(VLOOKUP($A41,数出表_Excel!$A$6:$T$150,COLUMN()/2+1,FALSE)=0,"",VLOOKUP($A41,数出表_Excel!$A$6:$T$150,COLUMN()/2+1,FALSE))),"")</f>
        <v/>
      </c>
      <c r="E41" s="83"/>
      <c r="F41" s="197" t="str">
        <f ca="1">IFERROR(VALUE(IF(VLOOKUP($A41,数出表_Excel!$A$6:$T$150,COLUMN()/2+1,FALSE)=0,"",VLOOKUP($A41,数出表_Excel!$A$6:$T$150,COLUMN()/2+1,FALSE))),"")</f>
        <v/>
      </c>
      <c r="G41" s="67"/>
      <c r="H41" s="186" t="str">
        <f ca="1">IFERROR(VALUE(IF(VLOOKUP($A41,数出表_Excel!$A$6:$T$150,COLUMN()/2+1,FALSE)=0,"",VLOOKUP($A41,数出表_Excel!$A$6:$T$150,COLUMN()/2+1,FALSE))),"")</f>
        <v/>
      </c>
      <c r="I41" s="83"/>
      <c r="J41" s="197" t="str">
        <f ca="1">IFERROR(VALUE(IF(VLOOKUP($A41,数出表_Excel!$A$6:$T$150,COLUMN()/2+1,FALSE)=0,"",VLOOKUP($A41,数出表_Excel!$A$6:$T$150,COLUMN()/2+1,FALSE))),"")</f>
        <v/>
      </c>
      <c r="K41" s="67"/>
      <c r="L41" s="186" t="str">
        <f ca="1">IFERROR(VALUE(IF(VLOOKUP($A41,数出表_Excel!$A$6:$T$150,COLUMN()/2+1,FALSE)=0,"",VLOOKUP($A41,数出表_Excel!$A$6:$T$150,COLUMN()/2+1,FALSE))),"")</f>
        <v/>
      </c>
      <c r="M41" s="83"/>
      <c r="N41" s="197" t="str">
        <f ca="1">IFERROR(VALUE(IF(VLOOKUP($A41,数出表_Excel!$A$6:$T$150,COLUMN()/2+1,FALSE)=0,"",VLOOKUP($A41,数出表_Excel!$A$6:$T$150,COLUMN()/2+1,FALSE))),"")</f>
        <v/>
      </c>
      <c r="O41" s="67"/>
      <c r="P41" s="186" t="str">
        <f ca="1">IFERROR(VALUE(IF(VLOOKUP($A41,数出表_Excel!$A$6:$T$150,COLUMN()/2+1,FALSE)=0,"",VLOOKUP($A41,数出表_Excel!$A$6:$T$150,COLUMN()/2+1,FALSE))),"")</f>
        <v/>
      </c>
      <c r="Q41" s="83"/>
      <c r="R41" s="197" t="str">
        <f ca="1">IFERROR(VALUE(IF(VLOOKUP($A41,数出表_Excel!$A$6:$T$150,COLUMN()/2+1,FALSE)=0,"",VLOOKUP($A41,数出表_Excel!$A$6:$T$150,COLUMN()/2+1,FALSE))),"")</f>
        <v/>
      </c>
      <c r="S41" s="67"/>
      <c r="T41" s="186" t="str">
        <f ca="1">IFERROR(VALUE(IF(VLOOKUP($A41,数出表_Excel!$A$6:$T$150,COLUMN()/2+1,FALSE)=0,"",VLOOKUP($A41,数出表_Excel!$A$6:$T$150,COLUMN()/2+1,FALSE))),"")</f>
        <v/>
      </c>
      <c r="U41" s="83"/>
      <c r="V41" s="197" t="str">
        <f ca="1">IFERROR(VALUE(IF(VLOOKUP($A41,数出表_Excel!$A$6:$T$150,COLUMN()/2+1,FALSE)=0,"",VLOOKUP($A41,数出表_Excel!$A$6:$T$150,COLUMN()/2+1,FALSE))),"")</f>
        <v/>
      </c>
      <c r="W41" s="67"/>
      <c r="X41" s="186" t="str">
        <f ca="1">IFERROR(VALUE(IF(VLOOKUP($A41,数出表_Excel!$A$6:$T$150,COLUMN()/2+1,FALSE)=0,"",VLOOKUP($A41,数出表_Excel!$A$6:$T$150,COLUMN()/2+1,FALSE))),"")</f>
        <v/>
      </c>
      <c r="Y41" s="83"/>
      <c r="Z41" s="197" t="str">
        <f ca="1">IFERROR(VALUE(IF(VLOOKUP($A41,数出表_Excel!$A$6:$T$150,COLUMN()/2+1,FALSE)=0,"",VLOOKUP($A41,数出表_Excel!$A$6:$T$150,COLUMN()/2+1,FALSE))),"")</f>
        <v/>
      </c>
      <c r="AA41" s="83"/>
      <c r="AB41" s="186" t="str">
        <f ca="1">IFERROR(VALUE(IF(VLOOKUP($A41,数出表_Excel!$A$6:$T$150,COLUMN()/2+1,FALSE)=0,"",VLOOKUP($A41,数出表_Excel!$A$6:$T$150,COLUMN()/2+1,FALSE))),"")</f>
        <v/>
      </c>
      <c r="AC41" s="83"/>
      <c r="AD41" s="186" t="str">
        <f ca="1">IFERROR(VALUE(IF(VLOOKUP($A41,数出表_Excel!$A$6:$T$150,COLUMN()/2+1,FALSE)=0,"",VLOOKUP($A41,数出表_Excel!$A$6:$T$150,COLUMN()/2+1,FALSE))),"")</f>
        <v/>
      </c>
      <c r="AE41" s="83"/>
      <c r="AF41" s="186" t="str">
        <f ca="1">IFERROR(VALUE(IF(VLOOKUP($A41,数出表_Excel!$A$6:$T$150,COLUMN()/2+1,FALSE)=0,"",VLOOKUP($A41,数出表_Excel!$A$6:$T$150,COLUMN()/2+1,FALSE))),"")</f>
        <v/>
      </c>
      <c r="AG41" s="83"/>
      <c r="AH41" s="186" t="str">
        <f ca="1">IFERROR(VALUE(IF(VLOOKUP($A41,数出表_Excel!$A$6:$T$150,COLUMN()/2+1,FALSE)=0,"",VLOOKUP($A41,数出表_Excel!$A$6:$T$150,COLUMN()/2+1,FALSE))),"")</f>
        <v/>
      </c>
      <c r="AI41" s="83"/>
      <c r="AJ41" s="186" t="str">
        <f ca="1">IFERROR(VALUE(IF(VLOOKUP($A41,数出表_Excel!$A$6:$T$150,COLUMN()/2+1,FALSE)=0,"",VLOOKUP($A41,数出表_Excel!$A$6:$T$150,COLUMN()/2+1,FALSE))),"")</f>
        <v/>
      </c>
      <c r="AK41" s="83"/>
      <c r="AL41" s="70" t="e">
        <f ca="1">IF(A41&lt;&gt;"",
IF(VLOOKUP($A41,数出表_Excel!$A$6:$T$150,COLUMN()/2+1,FALSE)=0,"",VLOOKUP($A41,数出表_Excel!$A$6:$T$150,COLUMN()/2+1,FALSE)),"")</f>
        <v>#N/A</v>
      </c>
      <c r="AM41" s="98" t="e">
        <f>数出表_Excel!V41</f>
        <v>#N/A</v>
      </c>
      <c r="AN41" s="99" t="e">
        <f>数出表_Excel!W41</f>
        <v>#N/A</v>
      </c>
    </row>
    <row r="42" spans="1:40" ht="16.2" customHeight="1">
      <c r="A42" s="88" t="e">
        <f t="array" aca="1" ref="A42" ca="1">IF(OR(COUNTIF(A40,"*10002*"),COUNTIF(A40,"")),"",INDEX(貼り付け用!$A1:$A200,MATCH(A40,貼り付け用!$A1:$A200,0)+2,0))</f>
        <v>#N/A</v>
      </c>
      <c r="B42" s="185" t="str">
        <f ca="1">IFERROR(VALUE(IF(VLOOKUP($A42,数出表_Excel!$A$6:$T$150,COLUMN()/2+1,FALSE)=0,"",VLOOKUP($A42,数出表_Excel!$A$6:$T$150,COLUMN()/2+1,FALSE))),"")</f>
        <v/>
      </c>
      <c r="C42" s="66"/>
      <c r="D42" s="185" t="str">
        <f ca="1">IFERROR(VALUE(IF(VLOOKUP($A42,数出表_Excel!$A$6:$T$150,COLUMN()/2+1,FALSE)=0,"",VLOOKUP($A42,数出表_Excel!$A$6:$T$150,COLUMN()/2+1,FALSE))),"")</f>
        <v/>
      </c>
      <c r="E42" s="82"/>
      <c r="F42" s="196" t="str">
        <f ca="1">IFERROR(VALUE(IF(VLOOKUP($A42,数出表_Excel!$A$6:$T$150,COLUMN()/2+1,FALSE)=0,"",VLOOKUP($A42,数出表_Excel!$A$6:$T$150,COLUMN()/2+1,FALSE))),"")</f>
        <v/>
      </c>
      <c r="G42" s="66"/>
      <c r="H42" s="185" t="str">
        <f ca="1">IFERROR(VALUE(IF(VLOOKUP($A42,数出表_Excel!$A$6:$T$150,COLUMN()/2+1,FALSE)=0,"",VLOOKUP($A42,数出表_Excel!$A$6:$T$150,COLUMN()/2+1,FALSE))),"")</f>
        <v/>
      </c>
      <c r="I42" s="82"/>
      <c r="J42" s="196" t="str">
        <f ca="1">IFERROR(VALUE(IF(VLOOKUP($A42,数出表_Excel!$A$6:$T$150,COLUMN()/2+1,FALSE)=0,"",VLOOKUP($A42,数出表_Excel!$A$6:$T$150,COLUMN()/2+1,FALSE))),"")</f>
        <v/>
      </c>
      <c r="K42" s="66"/>
      <c r="L42" s="185" t="str">
        <f ca="1">IFERROR(VALUE(IF(VLOOKUP($A42,数出表_Excel!$A$6:$T$150,COLUMN()/2+1,FALSE)=0,"",VLOOKUP($A42,数出表_Excel!$A$6:$T$150,COLUMN()/2+1,FALSE))),"")</f>
        <v/>
      </c>
      <c r="M42" s="82"/>
      <c r="N42" s="196" t="str">
        <f ca="1">IFERROR(VALUE(IF(VLOOKUP($A42,数出表_Excel!$A$6:$T$150,COLUMN()/2+1,FALSE)=0,"",VLOOKUP($A42,数出表_Excel!$A$6:$T$150,COLUMN()/2+1,FALSE))),"")</f>
        <v/>
      </c>
      <c r="O42" s="66"/>
      <c r="P42" s="185" t="str">
        <f ca="1">IFERROR(VALUE(IF(VLOOKUP($A42,数出表_Excel!$A$6:$T$150,COLUMN()/2+1,FALSE)=0,"",VLOOKUP($A42,数出表_Excel!$A$6:$T$150,COLUMN()/2+1,FALSE))),"")</f>
        <v/>
      </c>
      <c r="Q42" s="82"/>
      <c r="R42" s="196" t="str">
        <f ca="1">IFERROR(VALUE(IF(VLOOKUP($A42,数出表_Excel!$A$6:$T$150,COLUMN()/2+1,FALSE)=0,"",VLOOKUP($A42,数出表_Excel!$A$6:$T$150,COLUMN()/2+1,FALSE))),"")</f>
        <v/>
      </c>
      <c r="S42" s="66"/>
      <c r="T42" s="185" t="str">
        <f ca="1">IFERROR(VALUE(IF(VLOOKUP($A42,数出表_Excel!$A$6:$T$150,COLUMN()/2+1,FALSE)=0,"",VLOOKUP($A42,数出表_Excel!$A$6:$T$150,COLUMN()/2+1,FALSE))),"")</f>
        <v/>
      </c>
      <c r="U42" s="82"/>
      <c r="V42" s="196" t="str">
        <f ca="1">IFERROR(VALUE(IF(VLOOKUP($A42,数出表_Excel!$A$6:$T$150,COLUMN()/2+1,FALSE)=0,"",VLOOKUP($A42,数出表_Excel!$A$6:$T$150,COLUMN()/2+1,FALSE))),"")</f>
        <v/>
      </c>
      <c r="W42" s="66"/>
      <c r="X42" s="185" t="str">
        <f ca="1">IFERROR(VALUE(IF(VLOOKUP($A42,数出表_Excel!$A$6:$T$150,COLUMN()/2+1,FALSE)=0,"",VLOOKUP($A42,数出表_Excel!$A$6:$T$150,COLUMN()/2+1,FALSE))),"")</f>
        <v/>
      </c>
      <c r="Y42" s="82"/>
      <c r="Z42" s="196" t="str">
        <f ca="1">IFERROR(VALUE(IF(VLOOKUP($A42,数出表_Excel!$A$6:$T$150,COLUMN()/2+1,FALSE)=0,"",VLOOKUP($A42,数出表_Excel!$A$6:$T$150,COLUMN()/2+1,FALSE))),"")</f>
        <v/>
      </c>
      <c r="AA42" s="82"/>
      <c r="AB42" s="185" t="str">
        <f ca="1">IFERROR(VALUE(IF(VLOOKUP($A42,数出表_Excel!$A$6:$T$150,COLUMN()/2+1,FALSE)=0,"",VLOOKUP($A42,数出表_Excel!$A$6:$T$150,COLUMN()/2+1,FALSE))),"")</f>
        <v/>
      </c>
      <c r="AC42" s="82"/>
      <c r="AD42" s="185" t="str">
        <f ca="1">IFERROR(VALUE(IF(VLOOKUP($A42,数出表_Excel!$A$6:$T$150,COLUMN()/2+1,FALSE)=0,"",VLOOKUP($A42,数出表_Excel!$A$6:$T$150,COLUMN()/2+1,FALSE))),"")</f>
        <v/>
      </c>
      <c r="AE42" s="82"/>
      <c r="AF42" s="185" t="str">
        <f ca="1">IFERROR(VALUE(IF(VLOOKUP($A42,数出表_Excel!$A$6:$T$150,COLUMN()/2+1,FALSE)=0,"",VLOOKUP($A42,数出表_Excel!$A$6:$T$150,COLUMN()/2+1,FALSE))),"")</f>
        <v/>
      </c>
      <c r="AG42" s="82"/>
      <c r="AH42" s="185" t="str">
        <f ca="1">IFERROR(VALUE(IF(VLOOKUP($A42,数出表_Excel!$A$6:$T$150,COLUMN()/2+1,FALSE)=0,"",VLOOKUP($A42,数出表_Excel!$A$6:$T$150,COLUMN()/2+1,FALSE))),"")</f>
        <v/>
      </c>
      <c r="AI42" s="82"/>
      <c r="AJ42" s="185" t="str">
        <f ca="1">IFERROR(VALUE(IF(VLOOKUP($A42,数出表_Excel!$A$6:$T$150,COLUMN()/2+1,FALSE)=0,"",VLOOKUP($A42,数出表_Excel!$A$6:$T$150,COLUMN()/2+1,FALSE))),"")</f>
        <v/>
      </c>
      <c r="AK42" s="82"/>
      <c r="AL42" s="68" t="e">
        <f ca="1">IF(A42&lt;&gt;"",
IF(VLOOKUP($A42,数出表_Excel!$A$6:$T$150,COLUMN()/2+1,FALSE)=0,"",VLOOKUP($A42,数出表_Excel!$A$6:$T$150,COLUMN()/2+1,FALSE)),"")</f>
        <v>#N/A</v>
      </c>
      <c r="AM42" s="96" t="e">
        <f>数出表_Excel!V42</f>
        <v>#N/A</v>
      </c>
      <c r="AN42" s="97" t="e">
        <f>数出表_Excel!W42</f>
        <v>#N/A</v>
      </c>
    </row>
    <row r="43" spans="1:40" ht="16.2" customHeight="1">
      <c r="A43" s="89" t="e">
        <f t="array" aca="1" ref="A43" ca="1">IF(OR(COUNTIF(A41,"*1000*"),COUNTIF(A41,"")),"",INDEX(貼り付け用!$A1:$A200,MATCH(A41,貼り付け用!$A1:$A200,0)+2,0))</f>
        <v>#N/A</v>
      </c>
      <c r="B43" s="186" t="str">
        <f ca="1">IFERROR(VALUE(IF(VLOOKUP($A43,数出表_Excel!$A$6:$T$150,COLUMN()/2+1,FALSE)=0,"",VLOOKUP($A43,数出表_Excel!$A$6:$T$150,COLUMN()/2+1,FALSE))),"")</f>
        <v/>
      </c>
      <c r="C43" s="67"/>
      <c r="D43" s="186" t="str">
        <f ca="1">IFERROR(VALUE(IF(VLOOKUP($A43,数出表_Excel!$A$6:$T$150,COLUMN()/2+1,FALSE)=0,"",VLOOKUP($A43,数出表_Excel!$A$6:$T$150,COLUMN()/2+1,FALSE))),"")</f>
        <v/>
      </c>
      <c r="E43" s="83"/>
      <c r="F43" s="197" t="str">
        <f ca="1">IFERROR(VALUE(IF(VLOOKUP($A43,数出表_Excel!$A$6:$T$150,COLUMN()/2+1,FALSE)=0,"",VLOOKUP($A43,数出表_Excel!$A$6:$T$150,COLUMN()/2+1,FALSE))),"")</f>
        <v/>
      </c>
      <c r="G43" s="67"/>
      <c r="H43" s="186" t="str">
        <f ca="1">IFERROR(VALUE(IF(VLOOKUP($A43,数出表_Excel!$A$6:$T$150,COLUMN()/2+1,FALSE)=0,"",VLOOKUP($A43,数出表_Excel!$A$6:$T$150,COLUMN()/2+1,FALSE))),"")</f>
        <v/>
      </c>
      <c r="I43" s="83"/>
      <c r="J43" s="197" t="str">
        <f ca="1">IFERROR(VALUE(IF(VLOOKUP($A43,数出表_Excel!$A$6:$T$150,COLUMN()/2+1,FALSE)=0,"",VLOOKUP($A43,数出表_Excel!$A$6:$T$150,COLUMN()/2+1,FALSE))),"")</f>
        <v/>
      </c>
      <c r="K43" s="67"/>
      <c r="L43" s="186" t="str">
        <f ca="1">IFERROR(VALUE(IF(VLOOKUP($A43,数出表_Excel!$A$6:$T$150,COLUMN()/2+1,FALSE)=0,"",VLOOKUP($A43,数出表_Excel!$A$6:$T$150,COLUMN()/2+1,FALSE))),"")</f>
        <v/>
      </c>
      <c r="M43" s="83"/>
      <c r="N43" s="197" t="str">
        <f ca="1">IFERROR(VALUE(IF(VLOOKUP($A43,数出表_Excel!$A$6:$T$150,COLUMN()/2+1,FALSE)=0,"",VLOOKUP($A43,数出表_Excel!$A$6:$T$150,COLUMN()/2+1,FALSE))),"")</f>
        <v/>
      </c>
      <c r="O43" s="67"/>
      <c r="P43" s="186" t="str">
        <f ca="1">IFERROR(VALUE(IF(VLOOKUP($A43,数出表_Excel!$A$6:$T$150,COLUMN()/2+1,FALSE)=0,"",VLOOKUP($A43,数出表_Excel!$A$6:$T$150,COLUMN()/2+1,FALSE))),"")</f>
        <v/>
      </c>
      <c r="Q43" s="83"/>
      <c r="R43" s="197" t="str">
        <f ca="1">IFERROR(VALUE(IF(VLOOKUP($A43,数出表_Excel!$A$6:$T$150,COLUMN()/2+1,FALSE)=0,"",VLOOKUP($A43,数出表_Excel!$A$6:$T$150,COLUMN()/2+1,FALSE))),"")</f>
        <v/>
      </c>
      <c r="S43" s="67"/>
      <c r="T43" s="186" t="str">
        <f ca="1">IFERROR(VALUE(IF(VLOOKUP($A43,数出表_Excel!$A$6:$T$150,COLUMN()/2+1,FALSE)=0,"",VLOOKUP($A43,数出表_Excel!$A$6:$T$150,COLUMN()/2+1,FALSE))),"")</f>
        <v/>
      </c>
      <c r="U43" s="83"/>
      <c r="V43" s="197" t="str">
        <f ca="1">IFERROR(VALUE(IF(VLOOKUP($A43,数出表_Excel!$A$6:$T$150,COLUMN()/2+1,FALSE)=0,"",VLOOKUP($A43,数出表_Excel!$A$6:$T$150,COLUMN()/2+1,FALSE))),"")</f>
        <v/>
      </c>
      <c r="W43" s="67"/>
      <c r="X43" s="186" t="str">
        <f ca="1">IFERROR(VALUE(IF(VLOOKUP($A43,数出表_Excel!$A$6:$T$150,COLUMN()/2+1,FALSE)=0,"",VLOOKUP($A43,数出表_Excel!$A$6:$T$150,COLUMN()/2+1,FALSE))),"")</f>
        <v/>
      </c>
      <c r="Y43" s="83"/>
      <c r="Z43" s="197" t="str">
        <f ca="1">IFERROR(VALUE(IF(VLOOKUP($A43,数出表_Excel!$A$6:$T$150,COLUMN()/2+1,FALSE)=0,"",VLOOKUP($A43,数出表_Excel!$A$6:$T$150,COLUMN()/2+1,FALSE))),"")</f>
        <v/>
      </c>
      <c r="AA43" s="83"/>
      <c r="AB43" s="186" t="str">
        <f ca="1">IFERROR(VALUE(IF(VLOOKUP($A43,数出表_Excel!$A$6:$T$150,COLUMN()/2+1,FALSE)=0,"",VLOOKUP($A43,数出表_Excel!$A$6:$T$150,COLUMN()/2+1,FALSE))),"")</f>
        <v/>
      </c>
      <c r="AC43" s="83"/>
      <c r="AD43" s="186" t="str">
        <f ca="1">IFERROR(VALUE(IF(VLOOKUP($A43,数出表_Excel!$A$6:$T$150,COLUMN()/2+1,FALSE)=0,"",VLOOKUP($A43,数出表_Excel!$A$6:$T$150,COLUMN()/2+1,FALSE))),"")</f>
        <v/>
      </c>
      <c r="AE43" s="83"/>
      <c r="AF43" s="186" t="str">
        <f ca="1">IFERROR(VALUE(IF(VLOOKUP($A43,数出表_Excel!$A$6:$T$150,COLUMN()/2+1,FALSE)=0,"",VLOOKUP($A43,数出表_Excel!$A$6:$T$150,COLUMN()/2+1,FALSE))),"")</f>
        <v/>
      </c>
      <c r="AG43" s="83"/>
      <c r="AH43" s="186" t="str">
        <f ca="1">IFERROR(VALUE(IF(VLOOKUP($A43,数出表_Excel!$A$6:$T$150,COLUMN()/2+1,FALSE)=0,"",VLOOKUP($A43,数出表_Excel!$A$6:$T$150,COLUMN()/2+1,FALSE))),"")</f>
        <v/>
      </c>
      <c r="AI43" s="83"/>
      <c r="AJ43" s="186" t="str">
        <f ca="1">IFERROR(VALUE(IF(VLOOKUP($A43,数出表_Excel!$A$6:$T$150,COLUMN()/2+1,FALSE)=0,"",VLOOKUP($A43,数出表_Excel!$A$6:$T$150,COLUMN()/2+1,FALSE))),"")</f>
        <v/>
      </c>
      <c r="AK43" s="83"/>
      <c r="AL43" s="70" t="e">
        <f ca="1">IF(A43&lt;&gt;"",
IF(VLOOKUP($A43,数出表_Excel!$A$6:$T$150,COLUMN()/2+1,FALSE)=0,"",VLOOKUP($A43,数出表_Excel!$A$6:$T$150,COLUMN()/2+1,FALSE)),"")</f>
        <v>#N/A</v>
      </c>
      <c r="AM43" s="98" t="e">
        <f>数出表_Excel!V43</f>
        <v>#N/A</v>
      </c>
      <c r="AN43" s="99" t="e">
        <f>数出表_Excel!W43</f>
        <v>#N/A</v>
      </c>
    </row>
    <row r="44" spans="1:40" ht="16.2" customHeight="1">
      <c r="A44" s="88" t="e">
        <f t="array" aca="1" ref="A44" ca="1">IF(OR(COUNTIF(A42,"*10002*"),COUNTIF(A42,"")),"",INDEX(貼り付け用!$A1:$A200,MATCH(A42,貼り付け用!$A1:$A200,0)+2,0))</f>
        <v>#N/A</v>
      </c>
      <c r="B44" s="185" t="str">
        <f ca="1">IFERROR(VALUE(IF(VLOOKUP($A44,数出表_Excel!$A$6:$T$150,COLUMN()/2+1,FALSE)=0,"",VLOOKUP($A44,数出表_Excel!$A$6:$T$150,COLUMN()/2+1,FALSE))),"")</f>
        <v/>
      </c>
      <c r="C44" s="66"/>
      <c r="D44" s="185" t="str">
        <f ca="1">IFERROR(VALUE(IF(VLOOKUP($A44,数出表_Excel!$A$6:$T$150,COLUMN()/2+1,FALSE)=0,"",VLOOKUP($A44,数出表_Excel!$A$6:$T$150,COLUMN()/2+1,FALSE))),"")</f>
        <v/>
      </c>
      <c r="E44" s="82"/>
      <c r="F44" s="196" t="str">
        <f ca="1">IFERROR(VALUE(IF(VLOOKUP($A44,数出表_Excel!$A$6:$T$150,COLUMN()/2+1,FALSE)=0,"",VLOOKUP($A44,数出表_Excel!$A$6:$T$150,COLUMN()/2+1,FALSE))),"")</f>
        <v/>
      </c>
      <c r="G44" s="66"/>
      <c r="H44" s="185" t="str">
        <f ca="1">IFERROR(VALUE(IF(VLOOKUP($A44,数出表_Excel!$A$6:$T$150,COLUMN()/2+1,FALSE)=0,"",VLOOKUP($A44,数出表_Excel!$A$6:$T$150,COLUMN()/2+1,FALSE))),"")</f>
        <v/>
      </c>
      <c r="I44" s="82"/>
      <c r="J44" s="196" t="str">
        <f ca="1">IFERROR(VALUE(IF(VLOOKUP($A44,数出表_Excel!$A$6:$T$150,COLUMN()/2+1,FALSE)=0,"",VLOOKUP($A44,数出表_Excel!$A$6:$T$150,COLUMN()/2+1,FALSE))),"")</f>
        <v/>
      </c>
      <c r="K44" s="66"/>
      <c r="L44" s="185" t="str">
        <f ca="1">IFERROR(VALUE(IF(VLOOKUP($A44,数出表_Excel!$A$6:$T$150,COLUMN()/2+1,FALSE)=0,"",VLOOKUP($A44,数出表_Excel!$A$6:$T$150,COLUMN()/2+1,FALSE))),"")</f>
        <v/>
      </c>
      <c r="M44" s="82"/>
      <c r="N44" s="196" t="str">
        <f ca="1">IFERROR(VALUE(IF(VLOOKUP($A44,数出表_Excel!$A$6:$T$150,COLUMN()/2+1,FALSE)=0,"",VLOOKUP($A44,数出表_Excel!$A$6:$T$150,COLUMN()/2+1,FALSE))),"")</f>
        <v/>
      </c>
      <c r="O44" s="66"/>
      <c r="P44" s="185" t="str">
        <f ca="1">IFERROR(VALUE(IF(VLOOKUP($A44,数出表_Excel!$A$6:$T$150,COLUMN()/2+1,FALSE)=0,"",VLOOKUP($A44,数出表_Excel!$A$6:$T$150,COLUMN()/2+1,FALSE))),"")</f>
        <v/>
      </c>
      <c r="Q44" s="82"/>
      <c r="R44" s="196" t="str">
        <f ca="1">IFERROR(VALUE(IF(VLOOKUP($A44,数出表_Excel!$A$6:$T$150,COLUMN()/2+1,FALSE)=0,"",VLOOKUP($A44,数出表_Excel!$A$6:$T$150,COLUMN()/2+1,FALSE))),"")</f>
        <v/>
      </c>
      <c r="S44" s="66"/>
      <c r="T44" s="185" t="str">
        <f ca="1">IFERROR(VALUE(IF(VLOOKUP($A44,数出表_Excel!$A$6:$T$150,COLUMN()/2+1,FALSE)=0,"",VLOOKUP($A44,数出表_Excel!$A$6:$T$150,COLUMN()/2+1,FALSE))),"")</f>
        <v/>
      </c>
      <c r="U44" s="82"/>
      <c r="V44" s="196" t="str">
        <f ca="1">IFERROR(VALUE(IF(VLOOKUP($A44,数出表_Excel!$A$6:$T$150,COLUMN()/2+1,FALSE)=0,"",VLOOKUP($A44,数出表_Excel!$A$6:$T$150,COLUMN()/2+1,FALSE))),"")</f>
        <v/>
      </c>
      <c r="W44" s="66"/>
      <c r="X44" s="185" t="str">
        <f ca="1">IFERROR(VALUE(IF(VLOOKUP($A44,数出表_Excel!$A$6:$T$150,COLUMN()/2+1,FALSE)=0,"",VLOOKUP($A44,数出表_Excel!$A$6:$T$150,COLUMN()/2+1,FALSE))),"")</f>
        <v/>
      </c>
      <c r="Y44" s="82"/>
      <c r="Z44" s="196" t="str">
        <f ca="1">IFERROR(VALUE(IF(VLOOKUP($A44,数出表_Excel!$A$6:$T$150,COLUMN()/2+1,FALSE)=0,"",VLOOKUP($A44,数出表_Excel!$A$6:$T$150,COLUMN()/2+1,FALSE))),"")</f>
        <v/>
      </c>
      <c r="AA44" s="82"/>
      <c r="AB44" s="185" t="str">
        <f ca="1">IFERROR(VALUE(IF(VLOOKUP($A44,数出表_Excel!$A$6:$T$150,COLUMN()/2+1,FALSE)=0,"",VLOOKUP($A44,数出表_Excel!$A$6:$T$150,COLUMN()/2+1,FALSE))),"")</f>
        <v/>
      </c>
      <c r="AC44" s="82"/>
      <c r="AD44" s="185" t="str">
        <f ca="1">IFERROR(VALUE(IF(VLOOKUP($A44,数出表_Excel!$A$6:$T$150,COLUMN()/2+1,FALSE)=0,"",VLOOKUP($A44,数出表_Excel!$A$6:$T$150,COLUMN()/2+1,FALSE))),"")</f>
        <v/>
      </c>
      <c r="AE44" s="82"/>
      <c r="AF44" s="185" t="str">
        <f ca="1">IFERROR(VALUE(IF(VLOOKUP($A44,数出表_Excel!$A$6:$T$150,COLUMN()/2+1,FALSE)=0,"",VLOOKUP($A44,数出表_Excel!$A$6:$T$150,COLUMN()/2+1,FALSE))),"")</f>
        <v/>
      </c>
      <c r="AG44" s="82"/>
      <c r="AH44" s="185" t="str">
        <f ca="1">IFERROR(VALUE(IF(VLOOKUP($A44,数出表_Excel!$A$6:$T$150,COLUMN()/2+1,FALSE)=0,"",VLOOKUP($A44,数出表_Excel!$A$6:$T$150,COLUMN()/2+1,FALSE))),"")</f>
        <v/>
      </c>
      <c r="AI44" s="82"/>
      <c r="AJ44" s="185" t="str">
        <f ca="1">IFERROR(VALUE(IF(VLOOKUP($A44,数出表_Excel!$A$6:$T$150,COLUMN()/2+1,FALSE)=0,"",VLOOKUP($A44,数出表_Excel!$A$6:$T$150,COLUMN()/2+1,FALSE))),"")</f>
        <v/>
      </c>
      <c r="AK44" s="82"/>
      <c r="AL44" s="68" t="e">
        <f ca="1">IF(A44&lt;&gt;"",
IF(VLOOKUP($A44,数出表_Excel!$A$6:$T$150,COLUMN()/2+1,FALSE)=0,"",VLOOKUP($A44,数出表_Excel!$A$6:$T$150,COLUMN()/2+1,FALSE)),"")</f>
        <v>#N/A</v>
      </c>
      <c r="AM44" s="96" t="e">
        <f>数出表_Excel!V44</f>
        <v>#N/A</v>
      </c>
      <c r="AN44" s="97" t="e">
        <f>数出表_Excel!W44</f>
        <v>#N/A</v>
      </c>
    </row>
    <row r="45" spans="1:40" ht="16.2" customHeight="1">
      <c r="A45" s="89" t="e">
        <f t="array" aca="1" ref="A45" ca="1">IF(OR(COUNTIF(A43,"*1000*"),COUNTIF(A43,"")),"",INDEX(貼り付け用!$A1:$A200,MATCH(A43,貼り付け用!$A1:$A200,0)+2,0))</f>
        <v>#N/A</v>
      </c>
      <c r="B45" s="186" t="str">
        <f ca="1">IFERROR(VALUE(IF(VLOOKUP($A45,数出表_Excel!$A$6:$T$150,COLUMN()/2+1,FALSE)=0,"",VLOOKUP($A45,数出表_Excel!$A$6:$T$150,COLUMN()/2+1,FALSE))),"")</f>
        <v/>
      </c>
      <c r="C45" s="67"/>
      <c r="D45" s="186" t="str">
        <f ca="1">IFERROR(VALUE(IF(VLOOKUP($A45,数出表_Excel!$A$6:$T$150,COLUMN()/2+1,FALSE)=0,"",VLOOKUP($A45,数出表_Excel!$A$6:$T$150,COLUMN()/2+1,FALSE))),"")</f>
        <v/>
      </c>
      <c r="E45" s="83"/>
      <c r="F45" s="197" t="str">
        <f ca="1">IFERROR(VALUE(IF(VLOOKUP($A45,数出表_Excel!$A$6:$T$150,COLUMN()/2+1,FALSE)=0,"",VLOOKUP($A45,数出表_Excel!$A$6:$T$150,COLUMN()/2+1,FALSE))),"")</f>
        <v/>
      </c>
      <c r="G45" s="67"/>
      <c r="H45" s="186" t="str">
        <f ca="1">IFERROR(VALUE(IF(VLOOKUP($A45,数出表_Excel!$A$6:$T$150,COLUMN()/2+1,FALSE)=0,"",VLOOKUP($A45,数出表_Excel!$A$6:$T$150,COLUMN()/2+1,FALSE))),"")</f>
        <v/>
      </c>
      <c r="I45" s="83"/>
      <c r="J45" s="197" t="str">
        <f ca="1">IFERROR(VALUE(IF(VLOOKUP($A45,数出表_Excel!$A$6:$T$150,COLUMN()/2+1,FALSE)=0,"",VLOOKUP($A45,数出表_Excel!$A$6:$T$150,COLUMN()/2+1,FALSE))),"")</f>
        <v/>
      </c>
      <c r="K45" s="67"/>
      <c r="L45" s="186" t="str">
        <f ca="1">IFERROR(VALUE(IF(VLOOKUP($A45,数出表_Excel!$A$6:$T$150,COLUMN()/2+1,FALSE)=0,"",VLOOKUP($A45,数出表_Excel!$A$6:$T$150,COLUMN()/2+1,FALSE))),"")</f>
        <v/>
      </c>
      <c r="M45" s="83"/>
      <c r="N45" s="197" t="str">
        <f ca="1">IFERROR(VALUE(IF(VLOOKUP($A45,数出表_Excel!$A$6:$T$150,COLUMN()/2+1,FALSE)=0,"",VLOOKUP($A45,数出表_Excel!$A$6:$T$150,COLUMN()/2+1,FALSE))),"")</f>
        <v/>
      </c>
      <c r="O45" s="67"/>
      <c r="P45" s="186" t="str">
        <f ca="1">IFERROR(VALUE(IF(VLOOKUP($A45,数出表_Excel!$A$6:$T$150,COLUMN()/2+1,FALSE)=0,"",VLOOKUP($A45,数出表_Excel!$A$6:$T$150,COLUMN()/2+1,FALSE))),"")</f>
        <v/>
      </c>
      <c r="Q45" s="83"/>
      <c r="R45" s="197" t="str">
        <f ca="1">IFERROR(VALUE(IF(VLOOKUP($A45,数出表_Excel!$A$6:$T$150,COLUMN()/2+1,FALSE)=0,"",VLOOKUP($A45,数出表_Excel!$A$6:$T$150,COLUMN()/2+1,FALSE))),"")</f>
        <v/>
      </c>
      <c r="S45" s="67"/>
      <c r="T45" s="186" t="str">
        <f ca="1">IFERROR(VALUE(IF(VLOOKUP($A45,数出表_Excel!$A$6:$T$150,COLUMN()/2+1,FALSE)=0,"",VLOOKUP($A45,数出表_Excel!$A$6:$T$150,COLUMN()/2+1,FALSE))),"")</f>
        <v/>
      </c>
      <c r="U45" s="83"/>
      <c r="V45" s="197" t="str">
        <f ca="1">IFERROR(VALUE(IF(VLOOKUP($A45,数出表_Excel!$A$6:$T$150,COLUMN()/2+1,FALSE)=0,"",VLOOKUP($A45,数出表_Excel!$A$6:$T$150,COLUMN()/2+1,FALSE))),"")</f>
        <v/>
      </c>
      <c r="W45" s="67"/>
      <c r="X45" s="186" t="str">
        <f ca="1">IFERROR(VALUE(IF(VLOOKUP($A45,数出表_Excel!$A$6:$T$150,COLUMN()/2+1,FALSE)=0,"",VLOOKUP($A45,数出表_Excel!$A$6:$T$150,COLUMN()/2+1,FALSE))),"")</f>
        <v/>
      </c>
      <c r="Y45" s="83"/>
      <c r="Z45" s="197" t="str">
        <f ca="1">IFERROR(VALUE(IF(VLOOKUP($A45,数出表_Excel!$A$6:$T$150,COLUMN()/2+1,FALSE)=0,"",VLOOKUP($A45,数出表_Excel!$A$6:$T$150,COLUMN()/2+1,FALSE))),"")</f>
        <v/>
      </c>
      <c r="AA45" s="83"/>
      <c r="AB45" s="186" t="str">
        <f ca="1">IFERROR(VALUE(IF(VLOOKUP($A45,数出表_Excel!$A$6:$T$150,COLUMN()/2+1,FALSE)=0,"",VLOOKUP($A45,数出表_Excel!$A$6:$T$150,COLUMN()/2+1,FALSE))),"")</f>
        <v/>
      </c>
      <c r="AC45" s="83"/>
      <c r="AD45" s="186" t="str">
        <f ca="1">IFERROR(VALUE(IF(VLOOKUP($A45,数出表_Excel!$A$6:$T$150,COLUMN()/2+1,FALSE)=0,"",VLOOKUP($A45,数出表_Excel!$A$6:$T$150,COLUMN()/2+1,FALSE))),"")</f>
        <v/>
      </c>
      <c r="AE45" s="83"/>
      <c r="AF45" s="186" t="str">
        <f ca="1">IFERROR(VALUE(IF(VLOOKUP($A45,数出表_Excel!$A$6:$T$150,COLUMN()/2+1,FALSE)=0,"",VLOOKUP($A45,数出表_Excel!$A$6:$T$150,COLUMN()/2+1,FALSE))),"")</f>
        <v/>
      </c>
      <c r="AG45" s="83"/>
      <c r="AH45" s="186" t="str">
        <f ca="1">IFERROR(VALUE(IF(VLOOKUP($A45,数出表_Excel!$A$6:$T$150,COLUMN()/2+1,FALSE)=0,"",VLOOKUP($A45,数出表_Excel!$A$6:$T$150,COLUMN()/2+1,FALSE))),"")</f>
        <v/>
      </c>
      <c r="AI45" s="83"/>
      <c r="AJ45" s="186" t="str">
        <f ca="1">IFERROR(VALUE(IF(VLOOKUP($A45,数出表_Excel!$A$6:$T$150,COLUMN()/2+1,FALSE)=0,"",VLOOKUP($A45,数出表_Excel!$A$6:$T$150,COLUMN()/2+1,FALSE))),"")</f>
        <v/>
      </c>
      <c r="AK45" s="83"/>
      <c r="AL45" s="70" t="e">
        <f ca="1">IF(A45&lt;&gt;"",
IF(VLOOKUP($A45,数出表_Excel!$A$6:$T$150,COLUMN()/2+1,FALSE)=0,"",VLOOKUP($A45,数出表_Excel!$A$6:$T$150,COLUMN()/2+1,FALSE)),"")</f>
        <v>#N/A</v>
      </c>
      <c r="AM45" s="98" t="e">
        <f>数出表_Excel!V45</f>
        <v>#N/A</v>
      </c>
      <c r="AN45" s="99" t="e">
        <f>数出表_Excel!W45</f>
        <v>#N/A</v>
      </c>
    </row>
    <row r="46" spans="1:40" ht="16.2" customHeight="1">
      <c r="A46" s="88" t="e">
        <f t="array" aca="1" ref="A46" ca="1">IF(OR(COUNTIF(A44,"*10002*"),COUNTIF(A44,"")),"",INDEX(貼り付け用!$A1:$A200,MATCH(A44,貼り付け用!$A1:$A200,0)+2,0))</f>
        <v>#N/A</v>
      </c>
      <c r="B46" s="185" t="str">
        <f ca="1">IFERROR(VALUE(IF(VLOOKUP($A46,数出表_Excel!$A$6:$T$150,COLUMN()/2+1,FALSE)=0,"",VLOOKUP($A46,数出表_Excel!$A$6:$T$150,COLUMN()/2+1,FALSE))),"")</f>
        <v/>
      </c>
      <c r="C46" s="66"/>
      <c r="D46" s="185" t="str">
        <f ca="1">IFERROR(VALUE(IF(VLOOKUP($A46,数出表_Excel!$A$6:$T$150,COLUMN()/2+1,FALSE)=0,"",VLOOKUP($A46,数出表_Excel!$A$6:$T$150,COLUMN()/2+1,FALSE))),"")</f>
        <v/>
      </c>
      <c r="E46" s="82"/>
      <c r="F46" s="196" t="str">
        <f ca="1">IFERROR(VALUE(IF(VLOOKUP($A46,数出表_Excel!$A$6:$T$150,COLUMN()/2+1,FALSE)=0,"",VLOOKUP($A46,数出表_Excel!$A$6:$T$150,COLUMN()/2+1,FALSE))),"")</f>
        <v/>
      </c>
      <c r="G46" s="66"/>
      <c r="H46" s="185" t="str">
        <f ca="1">IFERROR(VALUE(IF(VLOOKUP($A46,数出表_Excel!$A$6:$T$150,COLUMN()/2+1,FALSE)=0,"",VLOOKUP($A46,数出表_Excel!$A$6:$T$150,COLUMN()/2+1,FALSE))),"")</f>
        <v/>
      </c>
      <c r="I46" s="82"/>
      <c r="J46" s="196" t="str">
        <f ca="1">IFERROR(VALUE(IF(VLOOKUP($A46,数出表_Excel!$A$6:$T$150,COLUMN()/2+1,FALSE)=0,"",VLOOKUP($A46,数出表_Excel!$A$6:$T$150,COLUMN()/2+1,FALSE))),"")</f>
        <v/>
      </c>
      <c r="K46" s="66"/>
      <c r="L46" s="185" t="str">
        <f ca="1">IFERROR(VALUE(IF(VLOOKUP($A46,数出表_Excel!$A$6:$T$150,COLUMN()/2+1,FALSE)=0,"",VLOOKUP($A46,数出表_Excel!$A$6:$T$150,COLUMN()/2+1,FALSE))),"")</f>
        <v/>
      </c>
      <c r="M46" s="82"/>
      <c r="N46" s="196" t="str">
        <f ca="1">IFERROR(VALUE(IF(VLOOKUP($A46,数出表_Excel!$A$6:$T$150,COLUMN()/2+1,FALSE)=0,"",VLOOKUP($A46,数出表_Excel!$A$6:$T$150,COLUMN()/2+1,FALSE))),"")</f>
        <v/>
      </c>
      <c r="O46" s="66"/>
      <c r="P46" s="185" t="str">
        <f ca="1">IFERROR(VALUE(IF(VLOOKUP($A46,数出表_Excel!$A$6:$T$150,COLUMN()/2+1,FALSE)=0,"",VLOOKUP($A46,数出表_Excel!$A$6:$T$150,COLUMN()/2+1,FALSE))),"")</f>
        <v/>
      </c>
      <c r="Q46" s="82"/>
      <c r="R46" s="196" t="str">
        <f ca="1">IFERROR(VALUE(IF(VLOOKUP($A46,数出表_Excel!$A$6:$T$150,COLUMN()/2+1,FALSE)=0,"",VLOOKUP($A46,数出表_Excel!$A$6:$T$150,COLUMN()/2+1,FALSE))),"")</f>
        <v/>
      </c>
      <c r="S46" s="66"/>
      <c r="T46" s="185" t="str">
        <f ca="1">IFERROR(VALUE(IF(VLOOKUP($A46,数出表_Excel!$A$6:$T$150,COLUMN()/2+1,FALSE)=0,"",VLOOKUP($A46,数出表_Excel!$A$6:$T$150,COLUMN()/2+1,FALSE))),"")</f>
        <v/>
      </c>
      <c r="U46" s="82"/>
      <c r="V46" s="196" t="str">
        <f ca="1">IFERROR(VALUE(IF(VLOOKUP($A46,数出表_Excel!$A$6:$T$150,COLUMN()/2+1,FALSE)=0,"",VLOOKUP($A46,数出表_Excel!$A$6:$T$150,COLUMN()/2+1,FALSE))),"")</f>
        <v/>
      </c>
      <c r="W46" s="66"/>
      <c r="X46" s="185" t="str">
        <f ca="1">IFERROR(VALUE(IF(VLOOKUP($A46,数出表_Excel!$A$6:$T$150,COLUMN()/2+1,FALSE)=0,"",VLOOKUP($A46,数出表_Excel!$A$6:$T$150,COLUMN()/2+1,FALSE))),"")</f>
        <v/>
      </c>
      <c r="Y46" s="82"/>
      <c r="Z46" s="196" t="str">
        <f ca="1">IFERROR(VALUE(IF(VLOOKUP($A46,数出表_Excel!$A$6:$T$150,COLUMN()/2+1,FALSE)=0,"",VLOOKUP($A46,数出表_Excel!$A$6:$T$150,COLUMN()/2+1,FALSE))),"")</f>
        <v/>
      </c>
      <c r="AA46" s="82"/>
      <c r="AB46" s="185" t="str">
        <f ca="1">IFERROR(VALUE(IF(VLOOKUP($A46,数出表_Excel!$A$6:$T$150,COLUMN()/2+1,FALSE)=0,"",VLOOKUP($A46,数出表_Excel!$A$6:$T$150,COLUMN()/2+1,FALSE))),"")</f>
        <v/>
      </c>
      <c r="AC46" s="82"/>
      <c r="AD46" s="185" t="str">
        <f ca="1">IFERROR(VALUE(IF(VLOOKUP($A46,数出表_Excel!$A$6:$T$150,COLUMN()/2+1,FALSE)=0,"",VLOOKUP($A46,数出表_Excel!$A$6:$T$150,COLUMN()/2+1,FALSE))),"")</f>
        <v/>
      </c>
      <c r="AE46" s="82"/>
      <c r="AF46" s="185" t="str">
        <f ca="1">IFERROR(VALUE(IF(VLOOKUP($A46,数出表_Excel!$A$6:$T$150,COLUMN()/2+1,FALSE)=0,"",VLOOKUP($A46,数出表_Excel!$A$6:$T$150,COLUMN()/2+1,FALSE))),"")</f>
        <v/>
      </c>
      <c r="AG46" s="82"/>
      <c r="AH46" s="185" t="str">
        <f ca="1">IFERROR(VALUE(IF(VLOOKUP($A46,数出表_Excel!$A$6:$T$150,COLUMN()/2+1,FALSE)=0,"",VLOOKUP($A46,数出表_Excel!$A$6:$T$150,COLUMN()/2+1,FALSE))),"")</f>
        <v/>
      </c>
      <c r="AI46" s="82"/>
      <c r="AJ46" s="185" t="str">
        <f ca="1">IFERROR(VALUE(IF(VLOOKUP($A46,数出表_Excel!$A$6:$T$150,COLUMN()/2+1,FALSE)=0,"",VLOOKUP($A46,数出表_Excel!$A$6:$T$150,COLUMN()/2+1,FALSE))),"")</f>
        <v/>
      </c>
      <c r="AK46" s="82"/>
      <c r="AL46" s="68" t="e">
        <f ca="1">IF(A46&lt;&gt;"",
IF(VLOOKUP($A46,数出表_Excel!$A$6:$T$150,COLUMN()/2+1,FALSE)=0,"",VLOOKUP($A46,数出表_Excel!$A$6:$T$150,COLUMN()/2+1,FALSE)),"")</f>
        <v>#N/A</v>
      </c>
      <c r="AM46" s="96" t="e">
        <f>数出表_Excel!V46</f>
        <v>#N/A</v>
      </c>
      <c r="AN46" s="97" t="e">
        <f>数出表_Excel!W46</f>
        <v>#N/A</v>
      </c>
    </row>
    <row r="47" spans="1:40" ht="16.2" customHeight="1">
      <c r="A47" s="89" t="e">
        <f t="array" aca="1" ref="A47" ca="1">IF(OR(COUNTIF(A45,"*1000*"),COUNTIF(A45,"")),"",INDEX(貼り付け用!$A1:$A200,MATCH(A45,貼り付け用!$A1:$A200,0)+2,0))</f>
        <v>#N/A</v>
      </c>
      <c r="B47" s="186" t="str">
        <f ca="1">IFERROR(VALUE(IF(VLOOKUP($A47,数出表_Excel!$A$6:$T$150,COLUMN()/2+1,FALSE)=0,"",VLOOKUP($A47,数出表_Excel!$A$6:$T$150,COLUMN()/2+1,FALSE))),"")</f>
        <v/>
      </c>
      <c r="C47" s="67"/>
      <c r="D47" s="186" t="str">
        <f ca="1">IFERROR(VALUE(IF(VLOOKUP($A47,数出表_Excel!$A$6:$T$150,COLUMN()/2+1,FALSE)=0,"",VLOOKUP($A47,数出表_Excel!$A$6:$T$150,COLUMN()/2+1,FALSE))),"")</f>
        <v/>
      </c>
      <c r="E47" s="83"/>
      <c r="F47" s="197" t="str">
        <f ca="1">IFERROR(VALUE(IF(VLOOKUP($A47,数出表_Excel!$A$6:$T$150,COLUMN()/2+1,FALSE)=0,"",VLOOKUP($A47,数出表_Excel!$A$6:$T$150,COLUMN()/2+1,FALSE))),"")</f>
        <v/>
      </c>
      <c r="G47" s="67"/>
      <c r="H47" s="186" t="str">
        <f ca="1">IFERROR(VALUE(IF(VLOOKUP($A47,数出表_Excel!$A$6:$T$150,COLUMN()/2+1,FALSE)=0,"",VLOOKUP($A47,数出表_Excel!$A$6:$T$150,COLUMN()/2+1,FALSE))),"")</f>
        <v/>
      </c>
      <c r="I47" s="83"/>
      <c r="J47" s="197" t="str">
        <f ca="1">IFERROR(VALUE(IF(VLOOKUP($A47,数出表_Excel!$A$6:$T$150,COLUMN()/2+1,FALSE)=0,"",VLOOKUP($A47,数出表_Excel!$A$6:$T$150,COLUMN()/2+1,FALSE))),"")</f>
        <v/>
      </c>
      <c r="K47" s="67"/>
      <c r="L47" s="186" t="str">
        <f ca="1">IFERROR(VALUE(IF(VLOOKUP($A47,数出表_Excel!$A$6:$T$150,COLUMN()/2+1,FALSE)=0,"",VLOOKUP($A47,数出表_Excel!$A$6:$T$150,COLUMN()/2+1,FALSE))),"")</f>
        <v/>
      </c>
      <c r="M47" s="83"/>
      <c r="N47" s="197" t="str">
        <f ca="1">IFERROR(VALUE(IF(VLOOKUP($A47,数出表_Excel!$A$6:$T$150,COLUMN()/2+1,FALSE)=0,"",VLOOKUP($A47,数出表_Excel!$A$6:$T$150,COLUMN()/2+1,FALSE))),"")</f>
        <v/>
      </c>
      <c r="O47" s="67"/>
      <c r="P47" s="186" t="str">
        <f ca="1">IFERROR(VALUE(IF(VLOOKUP($A47,数出表_Excel!$A$6:$T$150,COLUMN()/2+1,FALSE)=0,"",VLOOKUP($A47,数出表_Excel!$A$6:$T$150,COLUMN()/2+1,FALSE))),"")</f>
        <v/>
      </c>
      <c r="Q47" s="83"/>
      <c r="R47" s="197" t="str">
        <f ca="1">IFERROR(VALUE(IF(VLOOKUP($A47,数出表_Excel!$A$6:$T$150,COLUMN()/2+1,FALSE)=0,"",VLOOKUP($A47,数出表_Excel!$A$6:$T$150,COLUMN()/2+1,FALSE))),"")</f>
        <v/>
      </c>
      <c r="S47" s="67"/>
      <c r="T47" s="186" t="str">
        <f ca="1">IFERROR(VALUE(IF(VLOOKUP($A47,数出表_Excel!$A$6:$T$150,COLUMN()/2+1,FALSE)=0,"",VLOOKUP($A47,数出表_Excel!$A$6:$T$150,COLUMN()/2+1,FALSE))),"")</f>
        <v/>
      </c>
      <c r="U47" s="83"/>
      <c r="V47" s="197" t="str">
        <f ca="1">IFERROR(VALUE(IF(VLOOKUP($A47,数出表_Excel!$A$6:$T$150,COLUMN()/2+1,FALSE)=0,"",VLOOKUP($A47,数出表_Excel!$A$6:$T$150,COLUMN()/2+1,FALSE))),"")</f>
        <v/>
      </c>
      <c r="W47" s="67"/>
      <c r="X47" s="186" t="str">
        <f ca="1">IFERROR(VALUE(IF(VLOOKUP($A47,数出表_Excel!$A$6:$T$150,COLUMN()/2+1,FALSE)=0,"",VLOOKUP($A47,数出表_Excel!$A$6:$T$150,COLUMN()/2+1,FALSE))),"")</f>
        <v/>
      </c>
      <c r="Y47" s="83"/>
      <c r="Z47" s="197" t="str">
        <f ca="1">IFERROR(VALUE(IF(VLOOKUP($A47,数出表_Excel!$A$6:$T$150,COLUMN()/2+1,FALSE)=0,"",VLOOKUP($A47,数出表_Excel!$A$6:$T$150,COLUMN()/2+1,FALSE))),"")</f>
        <v/>
      </c>
      <c r="AA47" s="83"/>
      <c r="AB47" s="186" t="str">
        <f ca="1">IFERROR(VALUE(IF(VLOOKUP($A47,数出表_Excel!$A$6:$T$150,COLUMN()/2+1,FALSE)=0,"",VLOOKUP($A47,数出表_Excel!$A$6:$T$150,COLUMN()/2+1,FALSE))),"")</f>
        <v/>
      </c>
      <c r="AC47" s="83"/>
      <c r="AD47" s="186" t="str">
        <f ca="1">IFERROR(VALUE(IF(VLOOKUP($A47,数出表_Excel!$A$6:$T$150,COLUMN()/2+1,FALSE)=0,"",VLOOKUP($A47,数出表_Excel!$A$6:$T$150,COLUMN()/2+1,FALSE))),"")</f>
        <v/>
      </c>
      <c r="AE47" s="83"/>
      <c r="AF47" s="186" t="str">
        <f ca="1">IFERROR(VALUE(IF(VLOOKUP($A47,数出表_Excel!$A$6:$T$150,COLUMN()/2+1,FALSE)=0,"",VLOOKUP($A47,数出表_Excel!$A$6:$T$150,COLUMN()/2+1,FALSE))),"")</f>
        <v/>
      </c>
      <c r="AG47" s="83"/>
      <c r="AH47" s="186" t="str">
        <f ca="1">IFERROR(VALUE(IF(VLOOKUP($A47,数出表_Excel!$A$6:$T$150,COLUMN()/2+1,FALSE)=0,"",VLOOKUP($A47,数出表_Excel!$A$6:$T$150,COLUMN()/2+1,FALSE))),"")</f>
        <v/>
      </c>
      <c r="AI47" s="83"/>
      <c r="AJ47" s="186" t="str">
        <f ca="1">IFERROR(VALUE(IF(VLOOKUP($A47,数出表_Excel!$A$6:$T$150,COLUMN()/2+1,FALSE)=0,"",VLOOKUP($A47,数出表_Excel!$A$6:$T$150,COLUMN()/2+1,FALSE))),"")</f>
        <v/>
      </c>
      <c r="AK47" s="83"/>
      <c r="AL47" s="70" t="e">
        <f ca="1">IF(A47&lt;&gt;"",
IF(VLOOKUP($A47,数出表_Excel!$A$6:$T$150,COLUMN()/2+1,FALSE)=0,"",VLOOKUP($A47,数出表_Excel!$A$6:$T$150,COLUMN()/2+1,FALSE)),"")</f>
        <v>#N/A</v>
      </c>
      <c r="AM47" s="98" t="e">
        <f>数出表_Excel!V47</f>
        <v>#N/A</v>
      </c>
      <c r="AN47" s="99" t="e">
        <f>数出表_Excel!W47</f>
        <v>#N/A</v>
      </c>
    </row>
    <row r="48" spans="1:40" ht="16.2" customHeight="1">
      <c r="A48" s="88" t="e">
        <f t="array" aca="1" ref="A48" ca="1">IF(OR(COUNTIF(A46,"*10002*"),COUNTIF(A46,"")),"",INDEX(貼り付け用!$A1:$A200,MATCH(A46,貼り付け用!$A1:$A200,0)+2,0))</f>
        <v>#N/A</v>
      </c>
      <c r="B48" s="185" t="str">
        <f ca="1">IFERROR(VALUE(IF(VLOOKUP($A48,数出表_Excel!$A$6:$T$150,COLUMN()/2+1,FALSE)=0,"",VLOOKUP($A48,数出表_Excel!$A$6:$T$150,COLUMN()/2+1,FALSE))),"")</f>
        <v/>
      </c>
      <c r="C48" s="66"/>
      <c r="D48" s="185" t="str">
        <f ca="1">IFERROR(VALUE(IF(VLOOKUP($A48,数出表_Excel!$A$6:$T$150,COLUMN()/2+1,FALSE)=0,"",VLOOKUP($A48,数出表_Excel!$A$6:$T$150,COLUMN()/2+1,FALSE))),"")</f>
        <v/>
      </c>
      <c r="E48" s="82"/>
      <c r="F48" s="196" t="str">
        <f ca="1">IFERROR(VALUE(IF(VLOOKUP($A48,数出表_Excel!$A$6:$T$150,COLUMN()/2+1,FALSE)=0,"",VLOOKUP($A48,数出表_Excel!$A$6:$T$150,COLUMN()/2+1,FALSE))),"")</f>
        <v/>
      </c>
      <c r="G48" s="66"/>
      <c r="H48" s="185" t="str">
        <f ca="1">IFERROR(VALUE(IF(VLOOKUP($A48,数出表_Excel!$A$6:$T$150,COLUMN()/2+1,FALSE)=0,"",VLOOKUP($A48,数出表_Excel!$A$6:$T$150,COLUMN()/2+1,FALSE))),"")</f>
        <v/>
      </c>
      <c r="I48" s="82"/>
      <c r="J48" s="196" t="str">
        <f ca="1">IFERROR(VALUE(IF(VLOOKUP($A48,数出表_Excel!$A$6:$T$150,COLUMN()/2+1,FALSE)=0,"",VLOOKUP($A48,数出表_Excel!$A$6:$T$150,COLUMN()/2+1,FALSE))),"")</f>
        <v/>
      </c>
      <c r="K48" s="66"/>
      <c r="L48" s="185" t="str">
        <f ca="1">IFERROR(VALUE(IF(VLOOKUP($A48,数出表_Excel!$A$6:$T$150,COLUMN()/2+1,FALSE)=0,"",VLOOKUP($A48,数出表_Excel!$A$6:$T$150,COLUMN()/2+1,FALSE))),"")</f>
        <v/>
      </c>
      <c r="M48" s="82"/>
      <c r="N48" s="196" t="str">
        <f ca="1">IFERROR(VALUE(IF(VLOOKUP($A48,数出表_Excel!$A$6:$T$150,COLUMN()/2+1,FALSE)=0,"",VLOOKUP($A48,数出表_Excel!$A$6:$T$150,COLUMN()/2+1,FALSE))),"")</f>
        <v/>
      </c>
      <c r="O48" s="66"/>
      <c r="P48" s="185" t="str">
        <f ca="1">IFERROR(VALUE(IF(VLOOKUP($A48,数出表_Excel!$A$6:$T$150,COLUMN()/2+1,FALSE)=0,"",VLOOKUP($A48,数出表_Excel!$A$6:$T$150,COLUMN()/2+1,FALSE))),"")</f>
        <v/>
      </c>
      <c r="Q48" s="82"/>
      <c r="R48" s="196" t="str">
        <f ca="1">IFERROR(VALUE(IF(VLOOKUP($A48,数出表_Excel!$A$6:$T$150,COLUMN()/2+1,FALSE)=0,"",VLOOKUP($A48,数出表_Excel!$A$6:$T$150,COLUMN()/2+1,FALSE))),"")</f>
        <v/>
      </c>
      <c r="S48" s="66"/>
      <c r="T48" s="185" t="str">
        <f ca="1">IFERROR(VALUE(IF(VLOOKUP($A48,数出表_Excel!$A$6:$T$150,COLUMN()/2+1,FALSE)=0,"",VLOOKUP($A48,数出表_Excel!$A$6:$T$150,COLUMN()/2+1,FALSE))),"")</f>
        <v/>
      </c>
      <c r="U48" s="82"/>
      <c r="V48" s="196" t="str">
        <f ca="1">IFERROR(VALUE(IF(VLOOKUP($A48,数出表_Excel!$A$6:$T$150,COLUMN()/2+1,FALSE)=0,"",VLOOKUP($A48,数出表_Excel!$A$6:$T$150,COLUMN()/2+1,FALSE))),"")</f>
        <v/>
      </c>
      <c r="W48" s="66"/>
      <c r="X48" s="185" t="str">
        <f ca="1">IFERROR(VALUE(IF(VLOOKUP($A48,数出表_Excel!$A$6:$T$150,COLUMN()/2+1,FALSE)=0,"",VLOOKUP($A48,数出表_Excel!$A$6:$T$150,COLUMN()/2+1,FALSE))),"")</f>
        <v/>
      </c>
      <c r="Y48" s="82"/>
      <c r="Z48" s="196" t="str">
        <f ca="1">IFERROR(VALUE(IF(VLOOKUP($A48,数出表_Excel!$A$6:$T$150,COLUMN()/2+1,FALSE)=0,"",VLOOKUP($A48,数出表_Excel!$A$6:$T$150,COLUMN()/2+1,FALSE))),"")</f>
        <v/>
      </c>
      <c r="AA48" s="82"/>
      <c r="AB48" s="185" t="str">
        <f ca="1">IFERROR(VALUE(IF(VLOOKUP($A48,数出表_Excel!$A$6:$T$150,COLUMN()/2+1,FALSE)=0,"",VLOOKUP($A48,数出表_Excel!$A$6:$T$150,COLUMN()/2+1,FALSE))),"")</f>
        <v/>
      </c>
      <c r="AC48" s="82"/>
      <c r="AD48" s="185" t="str">
        <f ca="1">IFERROR(VALUE(IF(VLOOKUP($A48,数出表_Excel!$A$6:$T$150,COLUMN()/2+1,FALSE)=0,"",VLOOKUP($A48,数出表_Excel!$A$6:$T$150,COLUMN()/2+1,FALSE))),"")</f>
        <v/>
      </c>
      <c r="AE48" s="82"/>
      <c r="AF48" s="185" t="str">
        <f ca="1">IFERROR(VALUE(IF(VLOOKUP($A48,数出表_Excel!$A$6:$T$150,COLUMN()/2+1,FALSE)=0,"",VLOOKUP($A48,数出表_Excel!$A$6:$T$150,COLUMN()/2+1,FALSE))),"")</f>
        <v/>
      </c>
      <c r="AG48" s="82"/>
      <c r="AH48" s="185" t="str">
        <f ca="1">IFERROR(VALUE(IF(VLOOKUP($A48,数出表_Excel!$A$6:$T$150,COLUMN()/2+1,FALSE)=0,"",VLOOKUP($A48,数出表_Excel!$A$6:$T$150,COLUMN()/2+1,FALSE))),"")</f>
        <v/>
      </c>
      <c r="AI48" s="82"/>
      <c r="AJ48" s="185" t="str">
        <f ca="1">IFERROR(VALUE(IF(VLOOKUP($A48,数出表_Excel!$A$6:$T$150,COLUMN()/2+1,FALSE)=0,"",VLOOKUP($A48,数出表_Excel!$A$6:$T$150,COLUMN()/2+1,FALSE))),"")</f>
        <v/>
      </c>
      <c r="AK48" s="82"/>
      <c r="AL48" s="68" t="e">
        <f ca="1">IF(A48&lt;&gt;"",
IF(VLOOKUP($A48,数出表_Excel!$A$6:$T$150,COLUMN()/2+1,FALSE)=0,"",VLOOKUP($A48,数出表_Excel!$A$6:$T$150,COLUMN()/2+1,FALSE)),"")</f>
        <v>#N/A</v>
      </c>
      <c r="AM48" s="96" t="e">
        <f>数出表_Excel!V48</f>
        <v>#N/A</v>
      </c>
      <c r="AN48" s="97" t="e">
        <f>数出表_Excel!W48</f>
        <v>#N/A</v>
      </c>
    </row>
    <row r="49" spans="1:40" ht="16.2" customHeight="1">
      <c r="A49" s="89" t="e">
        <f t="array" aca="1" ref="A49" ca="1">IF(OR(COUNTIF(A47,"*1000*"),COUNTIF(A47,"")),"",INDEX(貼り付け用!$A1:$A200,MATCH(A47,貼り付け用!$A1:$A200,0)+2,0))</f>
        <v>#N/A</v>
      </c>
      <c r="B49" s="186" t="str">
        <f ca="1">IFERROR(VALUE(IF(VLOOKUP($A49,数出表_Excel!$A$6:$T$150,COLUMN()/2+1,FALSE)=0,"",VLOOKUP($A49,数出表_Excel!$A$6:$T$150,COLUMN()/2+1,FALSE))),"")</f>
        <v/>
      </c>
      <c r="C49" s="67"/>
      <c r="D49" s="186" t="str">
        <f ca="1">IFERROR(VALUE(IF(VLOOKUP($A49,数出表_Excel!$A$6:$T$150,COLUMN()/2+1,FALSE)=0,"",VLOOKUP($A49,数出表_Excel!$A$6:$T$150,COLUMN()/2+1,FALSE))),"")</f>
        <v/>
      </c>
      <c r="E49" s="83"/>
      <c r="F49" s="197" t="str">
        <f ca="1">IFERROR(VALUE(IF(VLOOKUP($A49,数出表_Excel!$A$6:$T$150,COLUMN()/2+1,FALSE)=0,"",VLOOKUP($A49,数出表_Excel!$A$6:$T$150,COLUMN()/2+1,FALSE))),"")</f>
        <v/>
      </c>
      <c r="G49" s="67"/>
      <c r="H49" s="186" t="str">
        <f ca="1">IFERROR(VALUE(IF(VLOOKUP($A49,数出表_Excel!$A$6:$T$150,COLUMN()/2+1,FALSE)=0,"",VLOOKUP($A49,数出表_Excel!$A$6:$T$150,COLUMN()/2+1,FALSE))),"")</f>
        <v/>
      </c>
      <c r="I49" s="83"/>
      <c r="J49" s="197" t="str">
        <f ca="1">IFERROR(VALUE(IF(VLOOKUP($A49,数出表_Excel!$A$6:$T$150,COLUMN()/2+1,FALSE)=0,"",VLOOKUP($A49,数出表_Excel!$A$6:$T$150,COLUMN()/2+1,FALSE))),"")</f>
        <v/>
      </c>
      <c r="K49" s="67"/>
      <c r="L49" s="186" t="str">
        <f ca="1">IFERROR(VALUE(IF(VLOOKUP($A49,数出表_Excel!$A$6:$T$150,COLUMN()/2+1,FALSE)=0,"",VLOOKUP($A49,数出表_Excel!$A$6:$T$150,COLUMN()/2+1,FALSE))),"")</f>
        <v/>
      </c>
      <c r="M49" s="83"/>
      <c r="N49" s="197" t="str">
        <f ca="1">IFERROR(VALUE(IF(VLOOKUP($A49,数出表_Excel!$A$6:$T$150,COLUMN()/2+1,FALSE)=0,"",VLOOKUP($A49,数出表_Excel!$A$6:$T$150,COLUMN()/2+1,FALSE))),"")</f>
        <v/>
      </c>
      <c r="O49" s="67"/>
      <c r="P49" s="186" t="str">
        <f ca="1">IFERROR(VALUE(IF(VLOOKUP($A49,数出表_Excel!$A$6:$T$150,COLUMN()/2+1,FALSE)=0,"",VLOOKUP($A49,数出表_Excel!$A$6:$T$150,COLUMN()/2+1,FALSE))),"")</f>
        <v/>
      </c>
      <c r="Q49" s="83"/>
      <c r="R49" s="197" t="str">
        <f ca="1">IFERROR(VALUE(IF(VLOOKUP($A49,数出表_Excel!$A$6:$T$150,COLUMN()/2+1,FALSE)=0,"",VLOOKUP($A49,数出表_Excel!$A$6:$T$150,COLUMN()/2+1,FALSE))),"")</f>
        <v/>
      </c>
      <c r="S49" s="67"/>
      <c r="T49" s="186" t="str">
        <f ca="1">IFERROR(VALUE(IF(VLOOKUP($A49,数出表_Excel!$A$6:$T$150,COLUMN()/2+1,FALSE)=0,"",VLOOKUP($A49,数出表_Excel!$A$6:$T$150,COLUMN()/2+1,FALSE))),"")</f>
        <v/>
      </c>
      <c r="U49" s="83"/>
      <c r="V49" s="197" t="str">
        <f ca="1">IFERROR(VALUE(IF(VLOOKUP($A49,数出表_Excel!$A$6:$T$150,COLUMN()/2+1,FALSE)=0,"",VLOOKUP($A49,数出表_Excel!$A$6:$T$150,COLUMN()/2+1,FALSE))),"")</f>
        <v/>
      </c>
      <c r="W49" s="67"/>
      <c r="X49" s="186" t="str">
        <f ca="1">IFERROR(VALUE(IF(VLOOKUP($A49,数出表_Excel!$A$6:$T$150,COLUMN()/2+1,FALSE)=0,"",VLOOKUP($A49,数出表_Excel!$A$6:$T$150,COLUMN()/2+1,FALSE))),"")</f>
        <v/>
      </c>
      <c r="Y49" s="83"/>
      <c r="Z49" s="197" t="str">
        <f ca="1">IFERROR(VALUE(IF(VLOOKUP($A49,数出表_Excel!$A$6:$T$150,COLUMN()/2+1,FALSE)=0,"",VLOOKUP($A49,数出表_Excel!$A$6:$T$150,COLUMN()/2+1,FALSE))),"")</f>
        <v/>
      </c>
      <c r="AA49" s="83"/>
      <c r="AB49" s="186" t="str">
        <f ca="1">IFERROR(VALUE(IF(VLOOKUP($A49,数出表_Excel!$A$6:$T$150,COLUMN()/2+1,FALSE)=0,"",VLOOKUP($A49,数出表_Excel!$A$6:$T$150,COLUMN()/2+1,FALSE))),"")</f>
        <v/>
      </c>
      <c r="AC49" s="83"/>
      <c r="AD49" s="186" t="str">
        <f ca="1">IFERROR(VALUE(IF(VLOOKUP($A49,数出表_Excel!$A$6:$T$150,COLUMN()/2+1,FALSE)=0,"",VLOOKUP($A49,数出表_Excel!$A$6:$T$150,COLUMN()/2+1,FALSE))),"")</f>
        <v/>
      </c>
      <c r="AE49" s="83"/>
      <c r="AF49" s="186" t="str">
        <f ca="1">IFERROR(VALUE(IF(VLOOKUP($A49,数出表_Excel!$A$6:$T$150,COLUMN()/2+1,FALSE)=0,"",VLOOKUP($A49,数出表_Excel!$A$6:$T$150,COLUMN()/2+1,FALSE))),"")</f>
        <v/>
      </c>
      <c r="AG49" s="83"/>
      <c r="AH49" s="186" t="str">
        <f ca="1">IFERROR(VALUE(IF(VLOOKUP($A49,数出表_Excel!$A$6:$T$150,COLUMN()/2+1,FALSE)=0,"",VLOOKUP($A49,数出表_Excel!$A$6:$T$150,COLUMN()/2+1,FALSE))),"")</f>
        <v/>
      </c>
      <c r="AI49" s="83"/>
      <c r="AJ49" s="186" t="str">
        <f ca="1">IFERROR(VALUE(IF(VLOOKUP($A49,数出表_Excel!$A$6:$T$150,COLUMN()/2+1,FALSE)=0,"",VLOOKUP($A49,数出表_Excel!$A$6:$T$150,COLUMN()/2+1,FALSE))),"")</f>
        <v/>
      </c>
      <c r="AK49" s="83"/>
      <c r="AL49" s="70" t="e">
        <f ca="1">IF(A49&lt;&gt;"",
IF(VLOOKUP($A49,数出表_Excel!$A$6:$T$150,COLUMN()/2+1,FALSE)=0,"",VLOOKUP($A49,数出表_Excel!$A$6:$T$150,COLUMN()/2+1,FALSE)),"")</f>
        <v>#N/A</v>
      </c>
      <c r="AM49" s="98" t="e">
        <f>数出表_Excel!V49</f>
        <v>#N/A</v>
      </c>
      <c r="AN49" s="99" t="e">
        <f>数出表_Excel!W49</f>
        <v>#N/A</v>
      </c>
    </row>
    <row r="50" spans="1:40" ht="16.2" customHeight="1">
      <c r="A50" s="88" t="e">
        <f t="array" aca="1" ref="A50" ca="1">IF(OR(COUNTIF(A48,"*10002*"),COUNTIF(A48,"")),"",INDEX(貼り付け用!$A1:$A200,MATCH(A48,貼り付け用!$A1:$A200,0)+2,0))</f>
        <v>#N/A</v>
      </c>
      <c r="B50" s="185" t="str">
        <f ca="1">IFERROR(VALUE(IF(VLOOKUP($A50,数出表_Excel!$A$6:$T$150,COLUMN()/2+1,FALSE)=0,"",VLOOKUP($A50,数出表_Excel!$A$6:$T$150,COLUMN()/2+1,FALSE))),"")</f>
        <v/>
      </c>
      <c r="C50" s="66"/>
      <c r="D50" s="185" t="str">
        <f ca="1">IFERROR(VALUE(IF(VLOOKUP($A50,数出表_Excel!$A$6:$T$150,COLUMN()/2+1,FALSE)=0,"",VLOOKUP($A50,数出表_Excel!$A$6:$T$150,COLUMN()/2+1,FALSE))),"")</f>
        <v/>
      </c>
      <c r="E50" s="82"/>
      <c r="F50" s="196" t="str">
        <f ca="1">IFERROR(VALUE(IF(VLOOKUP($A50,数出表_Excel!$A$6:$T$150,COLUMN()/2+1,FALSE)=0,"",VLOOKUP($A50,数出表_Excel!$A$6:$T$150,COLUMN()/2+1,FALSE))),"")</f>
        <v/>
      </c>
      <c r="G50" s="66"/>
      <c r="H50" s="185" t="str">
        <f ca="1">IFERROR(VALUE(IF(VLOOKUP($A50,数出表_Excel!$A$6:$T$150,COLUMN()/2+1,FALSE)=0,"",VLOOKUP($A50,数出表_Excel!$A$6:$T$150,COLUMN()/2+1,FALSE))),"")</f>
        <v/>
      </c>
      <c r="I50" s="82"/>
      <c r="J50" s="196" t="str">
        <f ca="1">IFERROR(VALUE(IF(VLOOKUP($A50,数出表_Excel!$A$6:$T$150,COLUMN()/2+1,FALSE)=0,"",VLOOKUP($A50,数出表_Excel!$A$6:$T$150,COLUMN()/2+1,FALSE))),"")</f>
        <v/>
      </c>
      <c r="K50" s="66"/>
      <c r="L50" s="185" t="str">
        <f ca="1">IFERROR(VALUE(IF(VLOOKUP($A50,数出表_Excel!$A$6:$T$150,COLUMN()/2+1,FALSE)=0,"",VLOOKUP($A50,数出表_Excel!$A$6:$T$150,COLUMN()/2+1,FALSE))),"")</f>
        <v/>
      </c>
      <c r="M50" s="82"/>
      <c r="N50" s="196" t="str">
        <f ca="1">IFERROR(VALUE(IF(VLOOKUP($A50,数出表_Excel!$A$6:$T$150,COLUMN()/2+1,FALSE)=0,"",VLOOKUP($A50,数出表_Excel!$A$6:$T$150,COLUMN()/2+1,FALSE))),"")</f>
        <v/>
      </c>
      <c r="O50" s="66"/>
      <c r="P50" s="185" t="str">
        <f ca="1">IFERROR(VALUE(IF(VLOOKUP($A50,数出表_Excel!$A$6:$T$150,COLUMN()/2+1,FALSE)=0,"",VLOOKUP($A50,数出表_Excel!$A$6:$T$150,COLUMN()/2+1,FALSE))),"")</f>
        <v/>
      </c>
      <c r="Q50" s="82"/>
      <c r="R50" s="196" t="str">
        <f ca="1">IFERROR(VALUE(IF(VLOOKUP($A50,数出表_Excel!$A$6:$T$150,COLUMN()/2+1,FALSE)=0,"",VLOOKUP($A50,数出表_Excel!$A$6:$T$150,COLUMN()/2+1,FALSE))),"")</f>
        <v/>
      </c>
      <c r="S50" s="66"/>
      <c r="T50" s="185" t="str">
        <f ca="1">IFERROR(VALUE(IF(VLOOKUP($A50,数出表_Excel!$A$6:$T$150,COLUMN()/2+1,FALSE)=0,"",VLOOKUP($A50,数出表_Excel!$A$6:$T$150,COLUMN()/2+1,FALSE))),"")</f>
        <v/>
      </c>
      <c r="U50" s="82"/>
      <c r="V50" s="196" t="str">
        <f ca="1">IFERROR(VALUE(IF(VLOOKUP($A50,数出表_Excel!$A$6:$T$150,COLUMN()/2+1,FALSE)=0,"",VLOOKUP($A50,数出表_Excel!$A$6:$T$150,COLUMN()/2+1,FALSE))),"")</f>
        <v/>
      </c>
      <c r="W50" s="66"/>
      <c r="X50" s="185" t="str">
        <f ca="1">IFERROR(VALUE(IF(VLOOKUP($A50,数出表_Excel!$A$6:$T$150,COLUMN()/2+1,FALSE)=0,"",VLOOKUP($A50,数出表_Excel!$A$6:$T$150,COLUMN()/2+1,FALSE))),"")</f>
        <v/>
      </c>
      <c r="Y50" s="82"/>
      <c r="Z50" s="196" t="str">
        <f ca="1">IFERROR(VALUE(IF(VLOOKUP($A50,数出表_Excel!$A$6:$T$150,COLUMN()/2+1,FALSE)=0,"",VLOOKUP($A50,数出表_Excel!$A$6:$T$150,COLUMN()/2+1,FALSE))),"")</f>
        <v/>
      </c>
      <c r="AA50" s="82"/>
      <c r="AB50" s="185" t="str">
        <f ca="1">IFERROR(VALUE(IF(VLOOKUP($A50,数出表_Excel!$A$6:$T$150,COLUMN()/2+1,FALSE)=0,"",VLOOKUP($A50,数出表_Excel!$A$6:$T$150,COLUMN()/2+1,FALSE))),"")</f>
        <v/>
      </c>
      <c r="AC50" s="82"/>
      <c r="AD50" s="185" t="str">
        <f ca="1">IFERROR(VALUE(IF(VLOOKUP($A50,数出表_Excel!$A$6:$T$150,COLUMN()/2+1,FALSE)=0,"",VLOOKUP($A50,数出表_Excel!$A$6:$T$150,COLUMN()/2+1,FALSE))),"")</f>
        <v/>
      </c>
      <c r="AE50" s="82"/>
      <c r="AF50" s="185" t="str">
        <f ca="1">IFERROR(VALUE(IF(VLOOKUP($A50,数出表_Excel!$A$6:$T$150,COLUMN()/2+1,FALSE)=0,"",VLOOKUP($A50,数出表_Excel!$A$6:$T$150,COLUMN()/2+1,FALSE))),"")</f>
        <v/>
      </c>
      <c r="AG50" s="82"/>
      <c r="AH50" s="185" t="str">
        <f ca="1">IFERROR(VALUE(IF(VLOOKUP($A50,数出表_Excel!$A$6:$T$150,COLUMN()/2+1,FALSE)=0,"",VLOOKUP($A50,数出表_Excel!$A$6:$T$150,COLUMN()/2+1,FALSE))),"")</f>
        <v/>
      </c>
      <c r="AI50" s="82"/>
      <c r="AJ50" s="185" t="str">
        <f ca="1">IFERROR(VALUE(IF(VLOOKUP($A50,数出表_Excel!$A$6:$T$150,COLUMN()/2+1,FALSE)=0,"",VLOOKUP($A50,数出表_Excel!$A$6:$T$150,COLUMN()/2+1,FALSE))),"")</f>
        <v/>
      </c>
      <c r="AK50" s="82"/>
      <c r="AL50" s="68" t="e">
        <f ca="1">IF(A50&lt;&gt;"",
IF(VLOOKUP($A50,数出表_Excel!$A$6:$T$150,COLUMN()/2+1,FALSE)=0,"",VLOOKUP($A50,数出表_Excel!$A$6:$T$150,COLUMN()/2+1,FALSE)),"")</f>
        <v>#N/A</v>
      </c>
      <c r="AM50" s="96" t="e">
        <f>数出表_Excel!V50</f>
        <v>#N/A</v>
      </c>
      <c r="AN50" s="97" t="e">
        <f>数出表_Excel!W50</f>
        <v>#N/A</v>
      </c>
    </row>
    <row r="51" spans="1:40" ht="16.2" customHeight="1">
      <c r="A51" s="89" t="e">
        <f t="array" aca="1" ref="A51" ca="1">IF(OR(COUNTIF(A49,"*1000*"),COUNTIF(A49,"")),"",INDEX(貼り付け用!$A1:$A200,MATCH(A49,貼り付け用!$A1:$A200,0)+2,0))</f>
        <v>#N/A</v>
      </c>
      <c r="B51" s="186" t="str">
        <f ca="1">IFERROR(VALUE(IF(VLOOKUP($A51,数出表_Excel!$A$6:$T$150,COLUMN()/2+1,FALSE)=0,"",VLOOKUP($A51,数出表_Excel!$A$6:$T$150,COLUMN()/2+1,FALSE))),"")</f>
        <v/>
      </c>
      <c r="C51" s="67"/>
      <c r="D51" s="186" t="str">
        <f ca="1">IFERROR(VALUE(IF(VLOOKUP($A51,数出表_Excel!$A$6:$T$150,COLUMN()/2+1,FALSE)=0,"",VLOOKUP($A51,数出表_Excel!$A$6:$T$150,COLUMN()/2+1,FALSE))),"")</f>
        <v/>
      </c>
      <c r="E51" s="83"/>
      <c r="F51" s="197" t="str">
        <f ca="1">IFERROR(VALUE(IF(VLOOKUP($A51,数出表_Excel!$A$6:$T$150,COLUMN()/2+1,FALSE)=0,"",VLOOKUP($A51,数出表_Excel!$A$6:$T$150,COLUMN()/2+1,FALSE))),"")</f>
        <v/>
      </c>
      <c r="G51" s="67"/>
      <c r="H51" s="186" t="str">
        <f ca="1">IFERROR(VALUE(IF(VLOOKUP($A51,数出表_Excel!$A$6:$T$150,COLUMN()/2+1,FALSE)=0,"",VLOOKUP($A51,数出表_Excel!$A$6:$T$150,COLUMN()/2+1,FALSE))),"")</f>
        <v/>
      </c>
      <c r="I51" s="83"/>
      <c r="J51" s="197" t="str">
        <f ca="1">IFERROR(VALUE(IF(VLOOKUP($A51,数出表_Excel!$A$6:$T$150,COLUMN()/2+1,FALSE)=0,"",VLOOKUP($A51,数出表_Excel!$A$6:$T$150,COLUMN()/2+1,FALSE))),"")</f>
        <v/>
      </c>
      <c r="K51" s="67"/>
      <c r="L51" s="186" t="str">
        <f ca="1">IFERROR(VALUE(IF(VLOOKUP($A51,数出表_Excel!$A$6:$T$150,COLUMN()/2+1,FALSE)=0,"",VLOOKUP($A51,数出表_Excel!$A$6:$T$150,COLUMN()/2+1,FALSE))),"")</f>
        <v/>
      </c>
      <c r="M51" s="83"/>
      <c r="N51" s="197" t="str">
        <f ca="1">IFERROR(VALUE(IF(VLOOKUP($A51,数出表_Excel!$A$6:$T$150,COLUMN()/2+1,FALSE)=0,"",VLOOKUP($A51,数出表_Excel!$A$6:$T$150,COLUMN()/2+1,FALSE))),"")</f>
        <v/>
      </c>
      <c r="O51" s="67"/>
      <c r="P51" s="186" t="str">
        <f ca="1">IFERROR(VALUE(IF(VLOOKUP($A51,数出表_Excel!$A$6:$T$150,COLUMN()/2+1,FALSE)=0,"",VLOOKUP($A51,数出表_Excel!$A$6:$T$150,COLUMN()/2+1,FALSE))),"")</f>
        <v/>
      </c>
      <c r="Q51" s="83"/>
      <c r="R51" s="197" t="str">
        <f ca="1">IFERROR(VALUE(IF(VLOOKUP($A51,数出表_Excel!$A$6:$T$150,COLUMN()/2+1,FALSE)=0,"",VLOOKUP($A51,数出表_Excel!$A$6:$T$150,COLUMN()/2+1,FALSE))),"")</f>
        <v/>
      </c>
      <c r="S51" s="67"/>
      <c r="T51" s="186" t="str">
        <f ca="1">IFERROR(VALUE(IF(VLOOKUP($A51,数出表_Excel!$A$6:$T$150,COLUMN()/2+1,FALSE)=0,"",VLOOKUP($A51,数出表_Excel!$A$6:$T$150,COLUMN()/2+1,FALSE))),"")</f>
        <v/>
      </c>
      <c r="U51" s="83"/>
      <c r="V51" s="197" t="str">
        <f ca="1">IFERROR(VALUE(IF(VLOOKUP($A51,数出表_Excel!$A$6:$T$150,COLUMN()/2+1,FALSE)=0,"",VLOOKUP($A51,数出表_Excel!$A$6:$T$150,COLUMN()/2+1,FALSE))),"")</f>
        <v/>
      </c>
      <c r="W51" s="67"/>
      <c r="X51" s="186" t="str">
        <f ca="1">IFERROR(VALUE(IF(VLOOKUP($A51,数出表_Excel!$A$6:$T$150,COLUMN()/2+1,FALSE)=0,"",VLOOKUP($A51,数出表_Excel!$A$6:$T$150,COLUMN()/2+1,FALSE))),"")</f>
        <v/>
      </c>
      <c r="Y51" s="83"/>
      <c r="Z51" s="197" t="str">
        <f ca="1">IFERROR(VALUE(IF(VLOOKUP($A51,数出表_Excel!$A$6:$T$150,COLUMN()/2+1,FALSE)=0,"",VLOOKUP($A51,数出表_Excel!$A$6:$T$150,COLUMN()/2+1,FALSE))),"")</f>
        <v/>
      </c>
      <c r="AA51" s="83"/>
      <c r="AB51" s="186" t="str">
        <f ca="1">IFERROR(VALUE(IF(VLOOKUP($A51,数出表_Excel!$A$6:$T$150,COLUMN()/2+1,FALSE)=0,"",VLOOKUP($A51,数出表_Excel!$A$6:$T$150,COLUMN()/2+1,FALSE))),"")</f>
        <v/>
      </c>
      <c r="AC51" s="83"/>
      <c r="AD51" s="186" t="str">
        <f ca="1">IFERROR(VALUE(IF(VLOOKUP($A51,数出表_Excel!$A$6:$T$150,COLUMN()/2+1,FALSE)=0,"",VLOOKUP($A51,数出表_Excel!$A$6:$T$150,COLUMN()/2+1,FALSE))),"")</f>
        <v/>
      </c>
      <c r="AE51" s="83"/>
      <c r="AF51" s="186" t="str">
        <f ca="1">IFERROR(VALUE(IF(VLOOKUP($A51,数出表_Excel!$A$6:$T$150,COLUMN()/2+1,FALSE)=0,"",VLOOKUP($A51,数出表_Excel!$A$6:$T$150,COLUMN()/2+1,FALSE))),"")</f>
        <v/>
      </c>
      <c r="AG51" s="83"/>
      <c r="AH51" s="186" t="str">
        <f ca="1">IFERROR(VALUE(IF(VLOOKUP($A51,数出表_Excel!$A$6:$T$150,COLUMN()/2+1,FALSE)=0,"",VLOOKUP($A51,数出表_Excel!$A$6:$T$150,COLUMN()/2+1,FALSE))),"")</f>
        <v/>
      </c>
      <c r="AI51" s="83"/>
      <c r="AJ51" s="186" t="str">
        <f ca="1">IFERROR(VALUE(IF(VLOOKUP($A51,数出表_Excel!$A$6:$T$150,COLUMN()/2+1,FALSE)=0,"",VLOOKUP($A51,数出表_Excel!$A$6:$T$150,COLUMN()/2+1,FALSE))),"")</f>
        <v/>
      </c>
      <c r="AK51" s="83"/>
      <c r="AL51" s="70" t="e">
        <f ca="1">IF(A51&lt;&gt;"",
IF(VLOOKUP($A51,数出表_Excel!$A$6:$T$150,COLUMN()/2+1,FALSE)=0,"",VLOOKUP($A51,数出表_Excel!$A$6:$T$150,COLUMN()/2+1,FALSE)),"")</f>
        <v>#N/A</v>
      </c>
      <c r="AM51" s="98" t="e">
        <f>数出表_Excel!V51</f>
        <v>#N/A</v>
      </c>
      <c r="AN51" s="99" t="e">
        <f>数出表_Excel!W51</f>
        <v>#N/A</v>
      </c>
    </row>
    <row r="52" spans="1:40" ht="16.2" customHeight="1">
      <c r="A52" s="88" t="e">
        <f t="array" aca="1" ref="A52" ca="1">IF(OR(COUNTIF(A50,"*10002*"),COUNTIF(A50,"")),"",INDEX(貼り付け用!$A1:$A200,MATCH(A50,貼り付け用!$A1:$A200,0)+2,0))</f>
        <v>#N/A</v>
      </c>
      <c r="B52" s="185" t="str">
        <f ca="1">IFERROR(VALUE(IF(VLOOKUP($A52,数出表_Excel!$A$6:$T$150,COLUMN()/2+1,FALSE)=0,"",VLOOKUP($A52,数出表_Excel!$A$6:$T$150,COLUMN()/2+1,FALSE))),"")</f>
        <v/>
      </c>
      <c r="C52" s="66"/>
      <c r="D52" s="185" t="str">
        <f ca="1">IFERROR(VALUE(IF(VLOOKUP($A52,数出表_Excel!$A$6:$T$150,COLUMN()/2+1,FALSE)=0,"",VLOOKUP($A52,数出表_Excel!$A$6:$T$150,COLUMN()/2+1,FALSE))),"")</f>
        <v/>
      </c>
      <c r="E52" s="82"/>
      <c r="F52" s="196" t="str">
        <f ca="1">IFERROR(VALUE(IF(VLOOKUP($A52,数出表_Excel!$A$6:$T$150,COLUMN()/2+1,FALSE)=0,"",VLOOKUP($A52,数出表_Excel!$A$6:$T$150,COLUMN()/2+1,FALSE))),"")</f>
        <v/>
      </c>
      <c r="G52" s="66"/>
      <c r="H52" s="185" t="str">
        <f ca="1">IFERROR(VALUE(IF(VLOOKUP($A52,数出表_Excel!$A$6:$T$150,COLUMN()/2+1,FALSE)=0,"",VLOOKUP($A52,数出表_Excel!$A$6:$T$150,COLUMN()/2+1,FALSE))),"")</f>
        <v/>
      </c>
      <c r="I52" s="82"/>
      <c r="J52" s="196" t="str">
        <f ca="1">IFERROR(VALUE(IF(VLOOKUP($A52,数出表_Excel!$A$6:$T$150,COLUMN()/2+1,FALSE)=0,"",VLOOKUP($A52,数出表_Excel!$A$6:$T$150,COLUMN()/2+1,FALSE))),"")</f>
        <v/>
      </c>
      <c r="K52" s="66"/>
      <c r="L52" s="185" t="str">
        <f ca="1">IFERROR(VALUE(IF(VLOOKUP($A52,数出表_Excel!$A$6:$T$150,COLUMN()/2+1,FALSE)=0,"",VLOOKUP($A52,数出表_Excel!$A$6:$T$150,COLUMN()/2+1,FALSE))),"")</f>
        <v/>
      </c>
      <c r="M52" s="82"/>
      <c r="N52" s="196" t="str">
        <f ca="1">IFERROR(VALUE(IF(VLOOKUP($A52,数出表_Excel!$A$6:$T$150,COLUMN()/2+1,FALSE)=0,"",VLOOKUP($A52,数出表_Excel!$A$6:$T$150,COLUMN()/2+1,FALSE))),"")</f>
        <v/>
      </c>
      <c r="O52" s="66"/>
      <c r="P52" s="185" t="str">
        <f ca="1">IFERROR(VALUE(IF(VLOOKUP($A52,数出表_Excel!$A$6:$T$150,COLUMN()/2+1,FALSE)=0,"",VLOOKUP($A52,数出表_Excel!$A$6:$T$150,COLUMN()/2+1,FALSE))),"")</f>
        <v/>
      </c>
      <c r="Q52" s="82"/>
      <c r="R52" s="196" t="str">
        <f ca="1">IFERROR(VALUE(IF(VLOOKUP($A52,数出表_Excel!$A$6:$T$150,COLUMN()/2+1,FALSE)=0,"",VLOOKUP($A52,数出表_Excel!$A$6:$T$150,COLUMN()/2+1,FALSE))),"")</f>
        <v/>
      </c>
      <c r="S52" s="66"/>
      <c r="T52" s="185" t="str">
        <f ca="1">IFERROR(VALUE(IF(VLOOKUP($A52,数出表_Excel!$A$6:$T$150,COLUMN()/2+1,FALSE)=0,"",VLOOKUP($A52,数出表_Excel!$A$6:$T$150,COLUMN()/2+1,FALSE))),"")</f>
        <v/>
      </c>
      <c r="U52" s="82"/>
      <c r="V52" s="196" t="str">
        <f ca="1">IFERROR(VALUE(IF(VLOOKUP($A52,数出表_Excel!$A$6:$T$150,COLUMN()/2+1,FALSE)=0,"",VLOOKUP($A52,数出表_Excel!$A$6:$T$150,COLUMN()/2+1,FALSE))),"")</f>
        <v/>
      </c>
      <c r="W52" s="66"/>
      <c r="X52" s="185" t="str">
        <f ca="1">IFERROR(VALUE(IF(VLOOKUP($A52,数出表_Excel!$A$6:$T$150,COLUMN()/2+1,FALSE)=0,"",VLOOKUP($A52,数出表_Excel!$A$6:$T$150,COLUMN()/2+1,FALSE))),"")</f>
        <v/>
      </c>
      <c r="Y52" s="82"/>
      <c r="Z52" s="196" t="str">
        <f ca="1">IFERROR(VALUE(IF(VLOOKUP($A52,数出表_Excel!$A$6:$T$150,COLUMN()/2+1,FALSE)=0,"",VLOOKUP($A52,数出表_Excel!$A$6:$T$150,COLUMN()/2+1,FALSE))),"")</f>
        <v/>
      </c>
      <c r="AA52" s="82"/>
      <c r="AB52" s="185" t="str">
        <f ca="1">IFERROR(VALUE(IF(VLOOKUP($A52,数出表_Excel!$A$6:$T$150,COLUMN()/2+1,FALSE)=0,"",VLOOKUP($A52,数出表_Excel!$A$6:$T$150,COLUMN()/2+1,FALSE))),"")</f>
        <v/>
      </c>
      <c r="AC52" s="82"/>
      <c r="AD52" s="185" t="str">
        <f ca="1">IFERROR(VALUE(IF(VLOOKUP($A52,数出表_Excel!$A$6:$T$150,COLUMN()/2+1,FALSE)=0,"",VLOOKUP($A52,数出表_Excel!$A$6:$T$150,COLUMN()/2+1,FALSE))),"")</f>
        <v/>
      </c>
      <c r="AE52" s="82"/>
      <c r="AF52" s="185" t="str">
        <f ca="1">IFERROR(VALUE(IF(VLOOKUP($A52,数出表_Excel!$A$6:$T$150,COLUMN()/2+1,FALSE)=0,"",VLOOKUP($A52,数出表_Excel!$A$6:$T$150,COLUMN()/2+1,FALSE))),"")</f>
        <v/>
      </c>
      <c r="AG52" s="82"/>
      <c r="AH52" s="185" t="str">
        <f ca="1">IFERROR(VALUE(IF(VLOOKUP($A52,数出表_Excel!$A$6:$T$150,COLUMN()/2+1,FALSE)=0,"",VLOOKUP($A52,数出表_Excel!$A$6:$T$150,COLUMN()/2+1,FALSE))),"")</f>
        <v/>
      </c>
      <c r="AI52" s="82"/>
      <c r="AJ52" s="185" t="str">
        <f ca="1">IFERROR(VALUE(IF(VLOOKUP($A52,数出表_Excel!$A$6:$T$150,COLUMN()/2+1,FALSE)=0,"",VLOOKUP($A52,数出表_Excel!$A$6:$T$150,COLUMN()/2+1,FALSE))),"")</f>
        <v/>
      </c>
      <c r="AK52" s="82"/>
      <c r="AL52" s="68" t="e">
        <f ca="1">IF(A52&lt;&gt;"",
IF(VLOOKUP($A52,数出表_Excel!$A$6:$T$150,COLUMN()/2+1,FALSE)=0,"",VLOOKUP($A52,数出表_Excel!$A$6:$T$150,COLUMN()/2+1,FALSE)),"")</f>
        <v>#N/A</v>
      </c>
      <c r="AM52" s="96" t="e">
        <f>数出表_Excel!V52</f>
        <v>#N/A</v>
      </c>
      <c r="AN52" s="97" t="e">
        <f>数出表_Excel!W52</f>
        <v>#N/A</v>
      </c>
    </row>
    <row r="53" spans="1:40" ht="16.2" customHeight="1">
      <c r="A53" s="89" t="e">
        <f t="array" aca="1" ref="A53" ca="1">IF(OR(COUNTIF(A51,"*1000*"),COUNTIF(A51,"")),"",INDEX(貼り付け用!$A1:$A200,MATCH(A51,貼り付け用!$A1:$A200,0)+2,0))</f>
        <v>#N/A</v>
      </c>
      <c r="B53" s="186" t="str">
        <f ca="1">IFERROR(VALUE(IF(VLOOKUP($A53,数出表_Excel!$A$6:$T$150,COLUMN()/2+1,FALSE)=0,"",VLOOKUP($A53,数出表_Excel!$A$6:$T$150,COLUMN()/2+1,FALSE))),"")</f>
        <v/>
      </c>
      <c r="C53" s="67"/>
      <c r="D53" s="186" t="str">
        <f ca="1">IFERROR(VALUE(IF(VLOOKUP($A53,数出表_Excel!$A$6:$T$150,COLUMN()/2+1,FALSE)=0,"",VLOOKUP($A53,数出表_Excel!$A$6:$T$150,COLUMN()/2+1,FALSE))),"")</f>
        <v/>
      </c>
      <c r="E53" s="83"/>
      <c r="F53" s="197" t="str">
        <f ca="1">IFERROR(VALUE(IF(VLOOKUP($A53,数出表_Excel!$A$6:$T$150,COLUMN()/2+1,FALSE)=0,"",VLOOKUP($A53,数出表_Excel!$A$6:$T$150,COLUMN()/2+1,FALSE))),"")</f>
        <v/>
      </c>
      <c r="G53" s="67"/>
      <c r="H53" s="186" t="str">
        <f ca="1">IFERROR(VALUE(IF(VLOOKUP($A53,数出表_Excel!$A$6:$T$150,COLUMN()/2+1,FALSE)=0,"",VLOOKUP($A53,数出表_Excel!$A$6:$T$150,COLUMN()/2+1,FALSE))),"")</f>
        <v/>
      </c>
      <c r="I53" s="83"/>
      <c r="J53" s="197" t="str">
        <f ca="1">IFERROR(VALUE(IF(VLOOKUP($A53,数出表_Excel!$A$6:$T$150,COLUMN()/2+1,FALSE)=0,"",VLOOKUP($A53,数出表_Excel!$A$6:$T$150,COLUMN()/2+1,FALSE))),"")</f>
        <v/>
      </c>
      <c r="K53" s="67"/>
      <c r="L53" s="186" t="str">
        <f ca="1">IFERROR(VALUE(IF(VLOOKUP($A53,数出表_Excel!$A$6:$T$150,COLUMN()/2+1,FALSE)=0,"",VLOOKUP($A53,数出表_Excel!$A$6:$T$150,COLUMN()/2+1,FALSE))),"")</f>
        <v/>
      </c>
      <c r="M53" s="83"/>
      <c r="N53" s="197" t="str">
        <f ca="1">IFERROR(VALUE(IF(VLOOKUP($A53,数出表_Excel!$A$6:$T$150,COLUMN()/2+1,FALSE)=0,"",VLOOKUP($A53,数出表_Excel!$A$6:$T$150,COLUMN()/2+1,FALSE))),"")</f>
        <v/>
      </c>
      <c r="O53" s="67"/>
      <c r="P53" s="186" t="str">
        <f ca="1">IFERROR(VALUE(IF(VLOOKUP($A53,数出表_Excel!$A$6:$T$150,COLUMN()/2+1,FALSE)=0,"",VLOOKUP($A53,数出表_Excel!$A$6:$T$150,COLUMN()/2+1,FALSE))),"")</f>
        <v/>
      </c>
      <c r="Q53" s="83"/>
      <c r="R53" s="197" t="str">
        <f ca="1">IFERROR(VALUE(IF(VLOOKUP($A53,数出表_Excel!$A$6:$T$150,COLUMN()/2+1,FALSE)=0,"",VLOOKUP($A53,数出表_Excel!$A$6:$T$150,COLUMN()/2+1,FALSE))),"")</f>
        <v/>
      </c>
      <c r="S53" s="67"/>
      <c r="T53" s="186" t="str">
        <f ca="1">IFERROR(VALUE(IF(VLOOKUP($A53,数出表_Excel!$A$6:$T$150,COLUMN()/2+1,FALSE)=0,"",VLOOKUP($A53,数出表_Excel!$A$6:$T$150,COLUMN()/2+1,FALSE))),"")</f>
        <v/>
      </c>
      <c r="U53" s="83"/>
      <c r="V53" s="197" t="str">
        <f ca="1">IFERROR(VALUE(IF(VLOOKUP($A53,数出表_Excel!$A$6:$T$150,COLUMN()/2+1,FALSE)=0,"",VLOOKUP($A53,数出表_Excel!$A$6:$T$150,COLUMN()/2+1,FALSE))),"")</f>
        <v/>
      </c>
      <c r="W53" s="67"/>
      <c r="X53" s="186" t="str">
        <f ca="1">IFERROR(VALUE(IF(VLOOKUP($A53,数出表_Excel!$A$6:$T$150,COLUMN()/2+1,FALSE)=0,"",VLOOKUP($A53,数出表_Excel!$A$6:$T$150,COLUMN()/2+1,FALSE))),"")</f>
        <v/>
      </c>
      <c r="Y53" s="83"/>
      <c r="Z53" s="197" t="str">
        <f ca="1">IFERROR(VALUE(IF(VLOOKUP($A53,数出表_Excel!$A$6:$T$150,COLUMN()/2+1,FALSE)=0,"",VLOOKUP($A53,数出表_Excel!$A$6:$T$150,COLUMN()/2+1,FALSE))),"")</f>
        <v/>
      </c>
      <c r="AA53" s="83"/>
      <c r="AB53" s="186" t="str">
        <f ca="1">IFERROR(VALUE(IF(VLOOKUP($A53,数出表_Excel!$A$6:$T$150,COLUMN()/2+1,FALSE)=0,"",VLOOKUP($A53,数出表_Excel!$A$6:$T$150,COLUMN()/2+1,FALSE))),"")</f>
        <v/>
      </c>
      <c r="AC53" s="83"/>
      <c r="AD53" s="186" t="str">
        <f ca="1">IFERROR(VALUE(IF(VLOOKUP($A53,数出表_Excel!$A$6:$T$150,COLUMN()/2+1,FALSE)=0,"",VLOOKUP($A53,数出表_Excel!$A$6:$T$150,COLUMN()/2+1,FALSE))),"")</f>
        <v/>
      </c>
      <c r="AE53" s="83"/>
      <c r="AF53" s="186" t="str">
        <f ca="1">IFERROR(VALUE(IF(VLOOKUP($A53,数出表_Excel!$A$6:$T$150,COLUMN()/2+1,FALSE)=0,"",VLOOKUP($A53,数出表_Excel!$A$6:$T$150,COLUMN()/2+1,FALSE))),"")</f>
        <v/>
      </c>
      <c r="AG53" s="83"/>
      <c r="AH53" s="186" t="str">
        <f ca="1">IFERROR(VALUE(IF(VLOOKUP($A53,数出表_Excel!$A$6:$T$150,COLUMN()/2+1,FALSE)=0,"",VLOOKUP($A53,数出表_Excel!$A$6:$T$150,COLUMN()/2+1,FALSE))),"")</f>
        <v/>
      </c>
      <c r="AI53" s="83"/>
      <c r="AJ53" s="186" t="str">
        <f ca="1">IFERROR(VALUE(IF(VLOOKUP($A53,数出表_Excel!$A$6:$T$150,COLUMN()/2+1,FALSE)=0,"",VLOOKUP($A53,数出表_Excel!$A$6:$T$150,COLUMN()/2+1,FALSE))),"")</f>
        <v/>
      </c>
      <c r="AK53" s="83"/>
      <c r="AL53" s="70" t="e">
        <f ca="1">IF(A53&lt;&gt;"",
IF(VLOOKUP($A53,数出表_Excel!$A$6:$T$150,COLUMN()/2+1,FALSE)=0,"",VLOOKUP($A53,数出表_Excel!$A$6:$T$150,COLUMN()/2+1,FALSE)),"")</f>
        <v>#N/A</v>
      </c>
      <c r="AM53" s="98" t="e">
        <f>数出表_Excel!V53</f>
        <v>#N/A</v>
      </c>
      <c r="AN53" s="99" t="e">
        <f>数出表_Excel!W53</f>
        <v>#N/A</v>
      </c>
    </row>
    <row r="54" spans="1:40" ht="16.2" customHeight="1">
      <c r="A54" s="88" t="e">
        <f t="array" aca="1" ref="A54" ca="1">IF(OR(COUNTIF(A52,"*10002*"),COUNTIF(A52,"")),"",INDEX(貼り付け用!$A1:$A200,MATCH(A52,貼り付け用!$A1:$A200,0)+2,0))</f>
        <v>#N/A</v>
      </c>
      <c r="B54" s="185" t="str">
        <f ca="1">IFERROR(VALUE(IF(VLOOKUP($A54,数出表_Excel!$A$6:$T$150,COLUMN()/2+1,FALSE)=0,"",VLOOKUP($A54,数出表_Excel!$A$6:$T$150,COLUMN()/2+1,FALSE))),"")</f>
        <v/>
      </c>
      <c r="C54" s="66"/>
      <c r="D54" s="185" t="str">
        <f ca="1">IFERROR(VALUE(IF(VLOOKUP($A54,数出表_Excel!$A$6:$T$150,COLUMN()/2+1,FALSE)=0,"",VLOOKUP($A54,数出表_Excel!$A$6:$T$150,COLUMN()/2+1,FALSE))),"")</f>
        <v/>
      </c>
      <c r="E54" s="82"/>
      <c r="F54" s="196" t="str">
        <f ca="1">IFERROR(VALUE(IF(VLOOKUP($A54,数出表_Excel!$A$6:$T$150,COLUMN()/2+1,FALSE)=0,"",VLOOKUP($A54,数出表_Excel!$A$6:$T$150,COLUMN()/2+1,FALSE))),"")</f>
        <v/>
      </c>
      <c r="G54" s="66"/>
      <c r="H54" s="185" t="str">
        <f ca="1">IFERROR(VALUE(IF(VLOOKUP($A54,数出表_Excel!$A$6:$T$150,COLUMN()/2+1,FALSE)=0,"",VLOOKUP($A54,数出表_Excel!$A$6:$T$150,COLUMN()/2+1,FALSE))),"")</f>
        <v/>
      </c>
      <c r="I54" s="82"/>
      <c r="J54" s="196" t="str">
        <f ca="1">IFERROR(VALUE(IF(VLOOKUP($A54,数出表_Excel!$A$6:$T$150,COLUMN()/2+1,FALSE)=0,"",VLOOKUP($A54,数出表_Excel!$A$6:$T$150,COLUMN()/2+1,FALSE))),"")</f>
        <v/>
      </c>
      <c r="K54" s="66"/>
      <c r="L54" s="185" t="str">
        <f ca="1">IFERROR(VALUE(IF(VLOOKUP($A54,数出表_Excel!$A$6:$T$150,COLUMN()/2+1,FALSE)=0,"",VLOOKUP($A54,数出表_Excel!$A$6:$T$150,COLUMN()/2+1,FALSE))),"")</f>
        <v/>
      </c>
      <c r="M54" s="82"/>
      <c r="N54" s="196" t="str">
        <f ca="1">IFERROR(VALUE(IF(VLOOKUP($A54,数出表_Excel!$A$6:$T$150,COLUMN()/2+1,FALSE)=0,"",VLOOKUP($A54,数出表_Excel!$A$6:$T$150,COLUMN()/2+1,FALSE))),"")</f>
        <v/>
      </c>
      <c r="O54" s="66"/>
      <c r="P54" s="185" t="str">
        <f ca="1">IFERROR(VALUE(IF(VLOOKUP($A54,数出表_Excel!$A$6:$T$150,COLUMN()/2+1,FALSE)=0,"",VLOOKUP($A54,数出表_Excel!$A$6:$T$150,COLUMN()/2+1,FALSE))),"")</f>
        <v/>
      </c>
      <c r="Q54" s="82"/>
      <c r="R54" s="196" t="str">
        <f ca="1">IFERROR(VALUE(IF(VLOOKUP($A54,数出表_Excel!$A$6:$T$150,COLUMN()/2+1,FALSE)=0,"",VLOOKUP($A54,数出表_Excel!$A$6:$T$150,COLUMN()/2+1,FALSE))),"")</f>
        <v/>
      </c>
      <c r="S54" s="66"/>
      <c r="T54" s="185" t="str">
        <f ca="1">IFERROR(VALUE(IF(VLOOKUP($A54,数出表_Excel!$A$6:$T$150,COLUMN()/2+1,FALSE)=0,"",VLOOKUP($A54,数出表_Excel!$A$6:$T$150,COLUMN()/2+1,FALSE))),"")</f>
        <v/>
      </c>
      <c r="U54" s="82"/>
      <c r="V54" s="196" t="str">
        <f ca="1">IFERROR(VALUE(IF(VLOOKUP($A54,数出表_Excel!$A$6:$T$150,COLUMN()/2+1,FALSE)=0,"",VLOOKUP($A54,数出表_Excel!$A$6:$T$150,COLUMN()/2+1,FALSE))),"")</f>
        <v/>
      </c>
      <c r="W54" s="66"/>
      <c r="X54" s="185" t="str">
        <f ca="1">IFERROR(VALUE(IF(VLOOKUP($A54,数出表_Excel!$A$6:$T$150,COLUMN()/2+1,FALSE)=0,"",VLOOKUP($A54,数出表_Excel!$A$6:$T$150,COLUMN()/2+1,FALSE))),"")</f>
        <v/>
      </c>
      <c r="Y54" s="82"/>
      <c r="Z54" s="196" t="str">
        <f ca="1">IFERROR(VALUE(IF(VLOOKUP($A54,数出表_Excel!$A$6:$T$150,COLUMN()/2+1,FALSE)=0,"",VLOOKUP($A54,数出表_Excel!$A$6:$T$150,COLUMN()/2+1,FALSE))),"")</f>
        <v/>
      </c>
      <c r="AA54" s="82"/>
      <c r="AB54" s="185" t="str">
        <f ca="1">IFERROR(VALUE(IF(VLOOKUP($A54,数出表_Excel!$A$6:$T$150,COLUMN()/2+1,FALSE)=0,"",VLOOKUP($A54,数出表_Excel!$A$6:$T$150,COLUMN()/2+1,FALSE))),"")</f>
        <v/>
      </c>
      <c r="AC54" s="82"/>
      <c r="AD54" s="185" t="str">
        <f ca="1">IFERROR(VALUE(IF(VLOOKUP($A54,数出表_Excel!$A$6:$T$150,COLUMN()/2+1,FALSE)=0,"",VLOOKUP($A54,数出表_Excel!$A$6:$T$150,COLUMN()/2+1,FALSE))),"")</f>
        <v/>
      </c>
      <c r="AE54" s="82"/>
      <c r="AF54" s="185" t="str">
        <f ca="1">IFERROR(VALUE(IF(VLOOKUP($A54,数出表_Excel!$A$6:$T$150,COLUMN()/2+1,FALSE)=0,"",VLOOKUP($A54,数出表_Excel!$A$6:$T$150,COLUMN()/2+1,FALSE))),"")</f>
        <v/>
      </c>
      <c r="AG54" s="82"/>
      <c r="AH54" s="185" t="str">
        <f ca="1">IFERROR(VALUE(IF(VLOOKUP($A54,数出表_Excel!$A$6:$T$150,COLUMN()/2+1,FALSE)=0,"",VLOOKUP($A54,数出表_Excel!$A$6:$T$150,COLUMN()/2+1,FALSE))),"")</f>
        <v/>
      </c>
      <c r="AI54" s="82"/>
      <c r="AJ54" s="185" t="str">
        <f ca="1">IFERROR(VALUE(IF(VLOOKUP($A54,数出表_Excel!$A$6:$T$150,COLUMN()/2+1,FALSE)=0,"",VLOOKUP($A54,数出表_Excel!$A$6:$T$150,COLUMN()/2+1,FALSE))),"")</f>
        <v/>
      </c>
      <c r="AK54" s="82"/>
      <c r="AL54" s="68" t="e">
        <f ca="1">IF(A54&lt;&gt;"",
IF(VLOOKUP($A54,数出表_Excel!$A$6:$T$150,COLUMN()/2+1,FALSE)=0,"",VLOOKUP($A54,数出表_Excel!$A$6:$T$150,COLUMN()/2+1,FALSE)),"")</f>
        <v>#N/A</v>
      </c>
      <c r="AM54" s="96" t="e">
        <f>数出表_Excel!V54</f>
        <v>#N/A</v>
      </c>
      <c r="AN54" s="97" t="e">
        <f>数出表_Excel!W54</f>
        <v>#N/A</v>
      </c>
    </row>
    <row r="55" spans="1:40" ht="16.2" customHeight="1">
      <c r="A55" s="89" t="e">
        <f t="array" aca="1" ref="A55" ca="1">IF(OR(COUNTIF(A53,"*1000*"),COUNTIF(A53,"")),"",INDEX(貼り付け用!$A1:$A200,MATCH(A53,貼り付け用!$A1:$A200,0)+2,0))</f>
        <v>#N/A</v>
      </c>
      <c r="B55" s="186" t="str">
        <f ca="1">IFERROR(VALUE(IF(VLOOKUP($A55,数出表_Excel!$A$6:$T$150,COLUMN()/2+1,FALSE)=0,"",VLOOKUP($A55,数出表_Excel!$A$6:$T$150,COLUMN()/2+1,FALSE))),"")</f>
        <v/>
      </c>
      <c r="C55" s="67"/>
      <c r="D55" s="186" t="str">
        <f ca="1">IFERROR(VALUE(IF(VLOOKUP($A55,数出表_Excel!$A$6:$T$150,COLUMN()/2+1,FALSE)=0,"",VLOOKUP($A55,数出表_Excel!$A$6:$T$150,COLUMN()/2+1,FALSE))),"")</f>
        <v/>
      </c>
      <c r="E55" s="83"/>
      <c r="F55" s="197" t="str">
        <f ca="1">IFERROR(VALUE(IF(VLOOKUP($A55,数出表_Excel!$A$6:$T$150,COLUMN()/2+1,FALSE)=0,"",VLOOKUP($A55,数出表_Excel!$A$6:$T$150,COLUMN()/2+1,FALSE))),"")</f>
        <v/>
      </c>
      <c r="G55" s="67"/>
      <c r="H55" s="186" t="str">
        <f ca="1">IFERROR(VALUE(IF(VLOOKUP($A55,数出表_Excel!$A$6:$T$150,COLUMN()/2+1,FALSE)=0,"",VLOOKUP($A55,数出表_Excel!$A$6:$T$150,COLUMN()/2+1,FALSE))),"")</f>
        <v/>
      </c>
      <c r="I55" s="83"/>
      <c r="J55" s="197" t="str">
        <f ca="1">IFERROR(VALUE(IF(VLOOKUP($A55,数出表_Excel!$A$6:$T$150,COLUMN()/2+1,FALSE)=0,"",VLOOKUP($A55,数出表_Excel!$A$6:$T$150,COLUMN()/2+1,FALSE))),"")</f>
        <v/>
      </c>
      <c r="K55" s="67"/>
      <c r="L55" s="186" t="str">
        <f ca="1">IFERROR(VALUE(IF(VLOOKUP($A55,数出表_Excel!$A$6:$T$150,COLUMN()/2+1,FALSE)=0,"",VLOOKUP($A55,数出表_Excel!$A$6:$T$150,COLUMN()/2+1,FALSE))),"")</f>
        <v/>
      </c>
      <c r="M55" s="83"/>
      <c r="N55" s="197" t="str">
        <f ca="1">IFERROR(VALUE(IF(VLOOKUP($A55,数出表_Excel!$A$6:$T$150,COLUMN()/2+1,FALSE)=0,"",VLOOKUP($A55,数出表_Excel!$A$6:$T$150,COLUMN()/2+1,FALSE))),"")</f>
        <v/>
      </c>
      <c r="O55" s="67"/>
      <c r="P55" s="186" t="str">
        <f ca="1">IFERROR(VALUE(IF(VLOOKUP($A55,数出表_Excel!$A$6:$T$150,COLUMN()/2+1,FALSE)=0,"",VLOOKUP($A55,数出表_Excel!$A$6:$T$150,COLUMN()/2+1,FALSE))),"")</f>
        <v/>
      </c>
      <c r="Q55" s="83"/>
      <c r="R55" s="197" t="str">
        <f ca="1">IFERROR(VALUE(IF(VLOOKUP($A55,数出表_Excel!$A$6:$T$150,COLUMN()/2+1,FALSE)=0,"",VLOOKUP($A55,数出表_Excel!$A$6:$T$150,COLUMN()/2+1,FALSE))),"")</f>
        <v/>
      </c>
      <c r="S55" s="67"/>
      <c r="T55" s="186" t="str">
        <f ca="1">IFERROR(VALUE(IF(VLOOKUP($A55,数出表_Excel!$A$6:$T$150,COLUMN()/2+1,FALSE)=0,"",VLOOKUP($A55,数出表_Excel!$A$6:$T$150,COLUMN()/2+1,FALSE))),"")</f>
        <v/>
      </c>
      <c r="U55" s="83"/>
      <c r="V55" s="197" t="str">
        <f ca="1">IFERROR(VALUE(IF(VLOOKUP($A55,数出表_Excel!$A$6:$T$150,COLUMN()/2+1,FALSE)=0,"",VLOOKUP($A55,数出表_Excel!$A$6:$T$150,COLUMN()/2+1,FALSE))),"")</f>
        <v/>
      </c>
      <c r="W55" s="67"/>
      <c r="X55" s="186" t="str">
        <f ca="1">IFERROR(VALUE(IF(VLOOKUP($A55,数出表_Excel!$A$6:$T$150,COLUMN()/2+1,FALSE)=0,"",VLOOKUP($A55,数出表_Excel!$A$6:$T$150,COLUMN()/2+1,FALSE))),"")</f>
        <v/>
      </c>
      <c r="Y55" s="83"/>
      <c r="Z55" s="197" t="str">
        <f ca="1">IFERROR(VALUE(IF(VLOOKUP($A55,数出表_Excel!$A$6:$T$150,COLUMN()/2+1,FALSE)=0,"",VLOOKUP($A55,数出表_Excel!$A$6:$T$150,COLUMN()/2+1,FALSE))),"")</f>
        <v/>
      </c>
      <c r="AA55" s="83"/>
      <c r="AB55" s="186" t="str">
        <f ca="1">IFERROR(VALUE(IF(VLOOKUP($A55,数出表_Excel!$A$6:$T$150,COLUMN()/2+1,FALSE)=0,"",VLOOKUP($A55,数出表_Excel!$A$6:$T$150,COLUMN()/2+1,FALSE))),"")</f>
        <v/>
      </c>
      <c r="AC55" s="83"/>
      <c r="AD55" s="186" t="str">
        <f ca="1">IFERROR(VALUE(IF(VLOOKUP($A55,数出表_Excel!$A$6:$T$150,COLUMN()/2+1,FALSE)=0,"",VLOOKUP($A55,数出表_Excel!$A$6:$T$150,COLUMN()/2+1,FALSE))),"")</f>
        <v/>
      </c>
      <c r="AE55" s="83"/>
      <c r="AF55" s="186" t="str">
        <f ca="1">IFERROR(VALUE(IF(VLOOKUP($A55,数出表_Excel!$A$6:$T$150,COLUMN()/2+1,FALSE)=0,"",VLOOKUP($A55,数出表_Excel!$A$6:$T$150,COLUMN()/2+1,FALSE))),"")</f>
        <v/>
      </c>
      <c r="AG55" s="83"/>
      <c r="AH55" s="186" t="str">
        <f ca="1">IFERROR(VALUE(IF(VLOOKUP($A55,数出表_Excel!$A$6:$T$150,COLUMN()/2+1,FALSE)=0,"",VLOOKUP($A55,数出表_Excel!$A$6:$T$150,COLUMN()/2+1,FALSE))),"")</f>
        <v/>
      </c>
      <c r="AI55" s="83"/>
      <c r="AJ55" s="186" t="str">
        <f ca="1">IFERROR(VALUE(IF(VLOOKUP($A55,数出表_Excel!$A$6:$T$150,COLUMN()/2+1,FALSE)=0,"",VLOOKUP($A55,数出表_Excel!$A$6:$T$150,COLUMN()/2+1,FALSE))),"")</f>
        <v/>
      </c>
      <c r="AK55" s="83"/>
      <c r="AL55" s="70" t="e">
        <f ca="1">IF(A55&lt;&gt;"",
IF(VLOOKUP($A55,数出表_Excel!$A$6:$T$150,COLUMN()/2+1,FALSE)=0,"",VLOOKUP($A55,数出表_Excel!$A$6:$T$150,COLUMN()/2+1,FALSE)),"")</f>
        <v>#N/A</v>
      </c>
      <c r="AM55" s="98" t="e">
        <f>数出表_Excel!V55</f>
        <v>#N/A</v>
      </c>
      <c r="AN55" s="99" t="e">
        <f>数出表_Excel!W55</f>
        <v>#N/A</v>
      </c>
    </row>
    <row r="56" spans="1:40" ht="16.2" customHeight="1">
      <c r="A56" s="88" t="e">
        <f t="array" aca="1" ref="A56" ca="1">IF(OR(COUNTIF(A54,"*10002*"),COUNTIF(A54,"")),"",INDEX(貼り付け用!$A1:$A200,MATCH(A54,貼り付け用!$A1:$A200,0)+2,0))</f>
        <v>#N/A</v>
      </c>
      <c r="B56" s="185" t="str">
        <f ca="1">IFERROR(VALUE(IF(VLOOKUP($A56,数出表_Excel!$A$6:$T$150,COLUMN()/2+1,FALSE)=0,"",VLOOKUP($A56,数出表_Excel!$A$6:$T$150,COLUMN()/2+1,FALSE))),"")</f>
        <v/>
      </c>
      <c r="C56" s="66"/>
      <c r="D56" s="185" t="str">
        <f ca="1">IFERROR(VALUE(IF(VLOOKUP($A56,数出表_Excel!$A$6:$T$150,COLUMN()/2+1,FALSE)=0,"",VLOOKUP($A56,数出表_Excel!$A$6:$T$150,COLUMN()/2+1,FALSE))),"")</f>
        <v/>
      </c>
      <c r="E56" s="82"/>
      <c r="F56" s="196" t="str">
        <f ca="1">IFERROR(VALUE(IF(VLOOKUP($A56,数出表_Excel!$A$6:$T$150,COLUMN()/2+1,FALSE)=0,"",VLOOKUP($A56,数出表_Excel!$A$6:$T$150,COLUMN()/2+1,FALSE))),"")</f>
        <v/>
      </c>
      <c r="G56" s="66"/>
      <c r="H56" s="185" t="str">
        <f ca="1">IFERROR(VALUE(IF(VLOOKUP($A56,数出表_Excel!$A$6:$T$150,COLUMN()/2+1,FALSE)=0,"",VLOOKUP($A56,数出表_Excel!$A$6:$T$150,COLUMN()/2+1,FALSE))),"")</f>
        <v/>
      </c>
      <c r="I56" s="82"/>
      <c r="J56" s="196" t="str">
        <f ca="1">IFERROR(VALUE(IF(VLOOKUP($A56,数出表_Excel!$A$6:$T$150,COLUMN()/2+1,FALSE)=0,"",VLOOKUP($A56,数出表_Excel!$A$6:$T$150,COLUMN()/2+1,FALSE))),"")</f>
        <v/>
      </c>
      <c r="K56" s="66"/>
      <c r="L56" s="185" t="str">
        <f ca="1">IFERROR(VALUE(IF(VLOOKUP($A56,数出表_Excel!$A$6:$T$150,COLUMN()/2+1,FALSE)=0,"",VLOOKUP($A56,数出表_Excel!$A$6:$T$150,COLUMN()/2+1,FALSE))),"")</f>
        <v/>
      </c>
      <c r="M56" s="82"/>
      <c r="N56" s="196" t="str">
        <f ca="1">IFERROR(VALUE(IF(VLOOKUP($A56,数出表_Excel!$A$6:$T$150,COLUMN()/2+1,FALSE)=0,"",VLOOKUP($A56,数出表_Excel!$A$6:$T$150,COLUMN()/2+1,FALSE))),"")</f>
        <v/>
      </c>
      <c r="O56" s="66"/>
      <c r="P56" s="185" t="str">
        <f ca="1">IFERROR(VALUE(IF(VLOOKUP($A56,数出表_Excel!$A$6:$T$150,COLUMN()/2+1,FALSE)=0,"",VLOOKUP($A56,数出表_Excel!$A$6:$T$150,COLUMN()/2+1,FALSE))),"")</f>
        <v/>
      </c>
      <c r="Q56" s="82"/>
      <c r="R56" s="196" t="str">
        <f ca="1">IFERROR(VALUE(IF(VLOOKUP($A56,数出表_Excel!$A$6:$T$150,COLUMN()/2+1,FALSE)=0,"",VLOOKUP($A56,数出表_Excel!$A$6:$T$150,COLUMN()/2+1,FALSE))),"")</f>
        <v/>
      </c>
      <c r="S56" s="66"/>
      <c r="T56" s="185" t="str">
        <f ca="1">IFERROR(VALUE(IF(VLOOKUP($A56,数出表_Excel!$A$6:$T$150,COLUMN()/2+1,FALSE)=0,"",VLOOKUP($A56,数出表_Excel!$A$6:$T$150,COLUMN()/2+1,FALSE))),"")</f>
        <v/>
      </c>
      <c r="U56" s="82"/>
      <c r="V56" s="196" t="str">
        <f ca="1">IFERROR(VALUE(IF(VLOOKUP($A56,数出表_Excel!$A$6:$T$150,COLUMN()/2+1,FALSE)=0,"",VLOOKUP($A56,数出表_Excel!$A$6:$T$150,COLUMN()/2+1,FALSE))),"")</f>
        <v/>
      </c>
      <c r="W56" s="66"/>
      <c r="X56" s="185" t="str">
        <f ca="1">IFERROR(VALUE(IF(VLOOKUP($A56,数出表_Excel!$A$6:$T$150,COLUMN()/2+1,FALSE)=0,"",VLOOKUP($A56,数出表_Excel!$A$6:$T$150,COLUMN()/2+1,FALSE))),"")</f>
        <v/>
      </c>
      <c r="Y56" s="82"/>
      <c r="Z56" s="196" t="str">
        <f ca="1">IFERROR(VALUE(IF(VLOOKUP($A56,数出表_Excel!$A$6:$T$150,COLUMN()/2+1,FALSE)=0,"",VLOOKUP($A56,数出表_Excel!$A$6:$T$150,COLUMN()/2+1,FALSE))),"")</f>
        <v/>
      </c>
      <c r="AA56" s="82"/>
      <c r="AB56" s="185" t="str">
        <f ca="1">IFERROR(VALUE(IF(VLOOKUP($A56,数出表_Excel!$A$6:$T$150,COLUMN()/2+1,FALSE)=0,"",VLOOKUP($A56,数出表_Excel!$A$6:$T$150,COLUMN()/2+1,FALSE))),"")</f>
        <v/>
      </c>
      <c r="AC56" s="82"/>
      <c r="AD56" s="185" t="str">
        <f ca="1">IFERROR(VALUE(IF(VLOOKUP($A56,数出表_Excel!$A$6:$T$150,COLUMN()/2+1,FALSE)=0,"",VLOOKUP($A56,数出表_Excel!$A$6:$T$150,COLUMN()/2+1,FALSE))),"")</f>
        <v/>
      </c>
      <c r="AE56" s="82"/>
      <c r="AF56" s="185" t="str">
        <f ca="1">IFERROR(VALUE(IF(VLOOKUP($A56,数出表_Excel!$A$6:$T$150,COLUMN()/2+1,FALSE)=0,"",VLOOKUP($A56,数出表_Excel!$A$6:$T$150,COLUMN()/2+1,FALSE))),"")</f>
        <v/>
      </c>
      <c r="AG56" s="82"/>
      <c r="AH56" s="185" t="str">
        <f ca="1">IFERROR(VALUE(IF(VLOOKUP($A56,数出表_Excel!$A$6:$T$150,COLUMN()/2+1,FALSE)=0,"",VLOOKUP($A56,数出表_Excel!$A$6:$T$150,COLUMN()/2+1,FALSE))),"")</f>
        <v/>
      </c>
      <c r="AI56" s="82"/>
      <c r="AJ56" s="185" t="str">
        <f ca="1">IFERROR(VALUE(IF(VLOOKUP($A56,数出表_Excel!$A$6:$T$150,COLUMN()/2+1,FALSE)=0,"",VLOOKUP($A56,数出表_Excel!$A$6:$T$150,COLUMN()/2+1,FALSE))),"")</f>
        <v/>
      </c>
      <c r="AK56" s="82"/>
      <c r="AL56" s="68" t="e">
        <f ca="1">IF(A56&lt;&gt;"",
IF(VLOOKUP($A56,数出表_Excel!$A$6:$T$150,COLUMN()/2+1,FALSE)=0,"",VLOOKUP($A56,数出表_Excel!$A$6:$T$150,COLUMN()/2+1,FALSE)),"")</f>
        <v>#N/A</v>
      </c>
      <c r="AM56" s="96" t="e">
        <f>数出表_Excel!V56</f>
        <v>#N/A</v>
      </c>
      <c r="AN56" s="97" t="e">
        <f>数出表_Excel!W56</f>
        <v>#N/A</v>
      </c>
    </row>
    <row r="57" spans="1:40" ht="16.2" customHeight="1">
      <c r="A57" s="89" t="e">
        <f t="array" aca="1" ref="A57" ca="1">IF(OR(COUNTIF(A55,"*1000*"),COUNTIF(A55,"")),"",INDEX(貼り付け用!$A1:$A200,MATCH(A55,貼り付け用!$A1:$A200,0)+2,0))</f>
        <v>#N/A</v>
      </c>
      <c r="B57" s="186" t="str">
        <f ca="1">IFERROR(VALUE(IF(VLOOKUP($A57,数出表_Excel!$A$6:$T$150,COLUMN()/2+1,FALSE)=0,"",VLOOKUP($A57,数出表_Excel!$A$6:$T$150,COLUMN()/2+1,FALSE))),"")</f>
        <v/>
      </c>
      <c r="C57" s="67"/>
      <c r="D57" s="186" t="str">
        <f ca="1">IFERROR(VALUE(IF(VLOOKUP($A57,数出表_Excel!$A$6:$T$150,COLUMN()/2+1,FALSE)=0,"",VLOOKUP($A57,数出表_Excel!$A$6:$T$150,COLUMN()/2+1,FALSE))),"")</f>
        <v/>
      </c>
      <c r="E57" s="83"/>
      <c r="F57" s="197" t="str">
        <f ca="1">IFERROR(VALUE(IF(VLOOKUP($A57,数出表_Excel!$A$6:$T$150,COLUMN()/2+1,FALSE)=0,"",VLOOKUP($A57,数出表_Excel!$A$6:$T$150,COLUMN()/2+1,FALSE))),"")</f>
        <v/>
      </c>
      <c r="G57" s="67"/>
      <c r="H57" s="186" t="str">
        <f ca="1">IFERROR(VALUE(IF(VLOOKUP($A57,数出表_Excel!$A$6:$T$150,COLUMN()/2+1,FALSE)=0,"",VLOOKUP($A57,数出表_Excel!$A$6:$T$150,COLUMN()/2+1,FALSE))),"")</f>
        <v/>
      </c>
      <c r="I57" s="83"/>
      <c r="J57" s="197" t="str">
        <f ca="1">IFERROR(VALUE(IF(VLOOKUP($A57,数出表_Excel!$A$6:$T$150,COLUMN()/2+1,FALSE)=0,"",VLOOKUP($A57,数出表_Excel!$A$6:$T$150,COLUMN()/2+1,FALSE))),"")</f>
        <v/>
      </c>
      <c r="K57" s="67"/>
      <c r="L57" s="186" t="str">
        <f ca="1">IFERROR(VALUE(IF(VLOOKUP($A57,数出表_Excel!$A$6:$T$150,COLUMN()/2+1,FALSE)=0,"",VLOOKUP($A57,数出表_Excel!$A$6:$T$150,COLUMN()/2+1,FALSE))),"")</f>
        <v/>
      </c>
      <c r="M57" s="83"/>
      <c r="N57" s="197" t="str">
        <f ca="1">IFERROR(VALUE(IF(VLOOKUP($A57,数出表_Excel!$A$6:$T$150,COLUMN()/2+1,FALSE)=0,"",VLOOKUP($A57,数出表_Excel!$A$6:$T$150,COLUMN()/2+1,FALSE))),"")</f>
        <v/>
      </c>
      <c r="O57" s="67"/>
      <c r="P57" s="186" t="str">
        <f ca="1">IFERROR(VALUE(IF(VLOOKUP($A57,数出表_Excel!$A$6:$T$150,COLUMN()/2+1,FALSE)=0,"",VLOOKUP($A57,数出表_Excel!$A$6:$T$150,COLUMN()/2+1,FALSE))),"")</f>
        <v/>
      </c>
      <c r="Q57" s="83"/>
      <c r="R57" s="197" t="str">
        <f ca="1">IFERROR(VALUE(IF(VLOOKUP($A57,数出表_Excel!$A$6:$T$150,COLUMN()/2+1,FALSE)=0,"",VLOOKUP($A57,数出表_Excel!$A$6:$T$150,COLUMN()/2+1,FALSE))),"")</f>
        <v/>
      </c>
      <c r="S57" s="67"/>
      <c r="T57" s="186" t="str">
        <f ca="1">IFERROR(VALUE(IF(VLOOKUP($A57,数出表_Excel!$A$6:$T$150,COLUMN()/2+1,FALSE)=0,"",VLOOKUP($A57,数出表_Excel!$A$6:$T$150,COLUMN()/2+1,FALSE))),"")</f>
        <v/>
      </c>
      <c r="U57" s="83"/>
      <c r="V57" s="197" t="str">
        <f ca="1">IFERROR(VALUE(IF(VLOOKUP($A57,数出表_Excel!$A$6:$T$150,COLUMN()/2+1,FALSE)=0,"",VLOOKUP($A57,数出表_Excel!$A$6:$T$150,COLUMN()/2+1,FALSE))),"")</f>
        <v/>
      </c>
      <c r="W57" s="67"/>
      <c r="X57" s="186" t="str">
        <f ca="1">IFERROR(VALUE(IF(VLOOKUP($A57,数出表_Excel!$A$6:$T$150,COLUMN()/2+1,FALSE)=0,"",VLOOKUP($A57,数出表_Excel!$A$6:$T$150,COLUMN()/2+1,FALSE))),"")</f>
        <v/>
      </c>
      <c r="Y57" s="83"/>
      <c r="Z57" s="197" t="str">
        <f ca="1">IFERROR(VALUE(IF(VLOOKUP($A57,数出表_Excel!$A$6:$T$150,COLUMN()/2+1,FALSE)=0,"",VLOOKUP($A57,数出表_Excel!$A$6:$T$150,COLUMN()/2+1,FALSE))),"")</f>
        <v/>
      </c>
      <c r="AA57" s="83"/>
      <c r="AB57" s="186" t="str">
        <f ca="1">IFERROR(VALUE(IF(VLOOKUP($A57,数出表_Excel!$A$6:$T$150,COLUMN()/2+1,FALSE)=0,"",VLOOKUP($A57,数出表_Excel!$A$6:$T$150,COLUMN()/2+1,FALSE))),"")</f>
        <v/>
      </c>
      <c r="AC57" s="83"/>
      <c r="AD57" s="186" t="str">
        <f ca="1">IFERROR(VALUE(IF(VLOOKUP($A57,数出表_Excel!$A$6:$T$150,COLUMN()/2+1,FALSE)=0,"",VLOOKUP($A57,数出表_Excel!$A$6:$T$150,COLUMN()/2+1,FALSE))),"")</f>
        <v/>
      </c>
      <c r="AE57" s="83"/>
      <c r="AF57" s="186" t="str">
        <f ca="1">IFERROR(VALUE(IF(VLOOKUP($A57,数出表_Excel!$A$6:$T$150,COLUMN()/2+1,FALSE)=0,"",VLOOKUP($A57,数出表_Excel!$A$6:$T$150,COLUMN()/2+1,FALSE))),"")</f>
        <v/>
      </c>
      <c r="AG57" s="83"/>
      <c r="AH57" s="186" t="str">
        <f ca="1">IFERROR(VALUE(IF(VLOOKUP($A57,数出表_Excel!$A$6:$T$150,COLUMN()/2+1,FALSE)=0,"",VLOOKUP($A57,数出表_Excel!$A$6:$T$150,COLUMN()/2+1,FALSE))),"")</f>
        <v/>
      </c>
      <c r="AI57" s="83"/>
      <c r="AJ57" s="186" t="str">
        <f ca="1">IFERROR(VALUE(IF(VLOOKUP($A57,数出表_Excel!$A$6:$T$150,COLUMN()/2+1,FALSE)=0,"",VLOOKUP($A57,数出表_Excel!$A$6:$T$150,COLUMN()/2+1,FALSE))),"")</f>
        <v/>
      </c>
      <c r="AK57" s="83"/>
      <c r="AL57" s="70" t="e">
        <f ca="1">IF(A57&lt;&gt;"",
IF(VLOOKUP($A57,数出表_Excel!$A$6:$T$150,COLUMN()/2+1,FALSE)=0,"",VLOOKUP($A57,数出表_Excel!$A$6:$T$150,COLUMN()/2+1,FALSE)),"")</f>
        <v>#N/A</v>
      </c>
      <c r="AM57" s="98" t="e">
        <f>数出表_Excel!V57</f>
        <v>#N/A</v>
      </c>
      <c r="AN57" s="99" t="e">
        <f>数出表_Excel!W57</f>
        <v>#N/A</v>
      </c>
    </row>
    <row r="58" spans="1:40" ht="16.2" customHeight="1">
      <c r="A58" s="88" t="e">
        <f t="array" aca="1" ref="A58" ca="1">IF(OR(COUNTIF(A56,"*10002*"),COUNTIF(A56,"")),"",INDEX(貼り付け用!$A1:$A200,MATCH(A56,貼り付け用!$A1:$A200,0)+2,0))</f>
        <v>#N/A</v>
      </c>
      <c r="B58" s="185" t="str">
        <f ca="1">IFERROR(VALUE(IF(VLOOKUP($A58,数出表_Excel!$A$6:$T$150,COLUMN()/2+1,FALSE)=0,"",VLOOKUP($A58,数出表_Excel!$A$6:$T$150,COLUMN()/2+1,FALSE))),"")</f>
        <v/>
      </c>
      <c r="C58" s="66"/>
      <c r="D58" s="185" t="str">
        <f ca="1">IFERROR(VALUE(IF(VLOOKUP($A58,数出表_Excel!$A$6:$T$150,COLUMN()/2+1,FALSE)=0,"",VLOOKUP($A58,数出表_Excel!$A$6:$T$150,COLUMN()/2+1,FALSE))),"")</f>
        <v/>
      </c>
      <c r="E58" s="82"/>
      <c r="F58" s="196" t="str">
        <f ca="1">IFERROR(VALUE(IF(VLOOKUP($A58,数出表_Excel!$A$6:$T$150,COLUMN()/2+1,FALSE)=0,"",VLOOKUP($A58,数出表_Excel!$A$6:$T$150,COLUMN()/2+1,FALSE))),"")</f>
        <v/>
      </c>
      <c r="G58" s="66"/>
      <c r="H58" s="185" t="str">
        <f ca="1">IFERROR(VALUE(IF(VLOOKUP($A58,数出表_Excel!$A$6:$T$150,COLUMN()/2+1,FALSE)=0,"",VLOOKUP($A58,数出表_Excel!$A$6:$T$150,COLUMN()/2+1,FALSE))),"")</f>
        <v/>
      </c>
      <c r="I58" s="82"/>
      <c r="J58" s="196" t="str">
        <f ca="1">IFERROR(VALUE(IF(VLOOKUP($A58,数出表_Excel!$A$6:$T$150,COLUMN()/2+1,FALSE)=0,"",VLOOKUP($A58,数出表_Excel!$A$6:$T$150,COLUMN()/2+1,FALSE))),"")</f>
        <v/>
      </c>
      <c r="K58" s="66"/>
      <c r="L58" s="185" t="str">
        <f ca="1">IFERROR(VALUE(IF(VLOOKUP($A58,数出表_Excel!$A$6:$T$150,COLUMN()/2+1,FALSE)=0,"",VLOOKUP($A58,数出表_Excel!$A$6:$T$150,COLUMN()/2+1,FALSE))),"")</f>
        <v/>
      </c>
      <c r="M58" s="82"/>
      <c r="N58" s="196" t="str">
        <f ca="1">IFERROR(VALUE(IF(VLOOKUP($A58,数出表_Excel!$A$6:$T$150,COLUMN()/2+1,FALSE)=0,"",VLOOKUP($A58,数出表_Excel!$A$6:$T$150,COLUMN()/2+1,FALSE))),"")</f>
        <v/>
      </c>
      <c r="O58" s="66"/>
      <c r="P58" s="185" t="str">
        <f ca="1">IFERROR(VALUE(IF(VLOOKUP($A58,数出表_Excel!$A$6:$T$150,COLUMN()/2+1,FALSE)=0,"",VLOOKUP($A58,数出表_Excel!$A$6:$T$150,COLUMN()/2+1,FALSE))),"")</f>
        <v/>
      </c>
      <c r="Q58" s="82"/>
      <c r="R58" s="196" t="str">
        <f ca="1">IFERROR(VALUE(IF(VLOOKUP($A58,数出表_Excel!$A$6:$T$150,COLUMN()/2+1,FALSE)=0,"",VLOOKUP($A58,数出表_Excel!$A$6:$T$150,COLUMN()/2+1,FALSE))),"")</f>
        <v/>
      </c>
      <c r="S58" s="66"/>
      <c r="T58" s="185" t="str">
        <f ca="1">IFERROR(VALUE(IF(VLOOKUP($A58,数出表_Excel!$A$6:$T$150,COLUMN()/2+1,FALSE)=0,"",VLOOKUP($A58,数出表_Excel!$A$6:$T$150,COLUMN()/2+1,FALSE))),"")</f>
        <v/>
      </c>
      <c r="U58" s="82"/>
      <c r="V58" s="196" t="str">
        <f ca="1">IFERROR(VALUE(IF(VLOOKUP($A58,数出表_Excel!$A$6:$T$150,COLUMN()/2+1,FALSE)=0,"",VLOOKUP($A58,数出表_Excel!$A$6:$T$150,COLUMN()/2+1,FALSE))),"")</f>
        <v/>
      </c>
      <c r="W58" s="66"/>
      <c r="X58" s="185" t="str">
        <f ca="1">IFERROR(VALUE(IF(VLOOKUP($A58,数出表_Excel!$A$6:$T$150,COLUMN()/2+1,FALSE)=0,"",VLOOKUP($A58,数出表_Excel!$A$6:$T$150,COLUMN()/2+1,FALSE))),"")</f>
        <v/>
      </c>
      <c r="Y58" s="82"/>
      <c r="Z58" s="196" t="str">
        <f ca="1">IFERROR(VALUE(IF(VLOOKUP($A58,数出表_Excel!$A$6:$T$150,COLUMN()/2+1,FALSE)=0,"",VLOOKUP($A58,数出表_Excel!$A$6:$T$150,COLUMN()/2+1,FALSE))),"")</f>
        <v/>
      </c>
      <c r="AA58" s="82"/>
      <c r="AB58" s="185" t="str">
        <f ca="1">IFERROR(VALUE(IF(VLOOKUP($A58,数出表_Excel!$A$6:$T$150,COLUMN()/2+1,FALSE)=0,"",VLOOKUP($A58,数出表_Excel!$A$6:$T$150,COLUMN()/2+1,FALSE))),"")</f>
        <v/>
      </c>
      <c r="AC58" s="82"/>
      <c r="AD58" s="185" t="str">
        <f ca="1">IFERROR(VALUE(IF(VLOOKUP($A58,数出表_Excel!$A$6:$T$150,COLUMN()/2+1,FALSE)=0,"",VLOOKUP($A58,数出表_Excel!$A$6:$T$150,COLUMN()/2+1,FALSE))),"")</f>
        <v/>
      </c>
      <c r="AE58" s="82"/>
      <c r="AF58" s="185" t="str">
        <f ca="1">IFERROR(VALUE(IF(VLOOKUP($A58,数出表_Excel!$A$6:$T$150,COLUMN()/2+1,FALSE)=0,"",VLOOKUP($A58,数出表_Excel!$A$6:$T$150,COLUMN()/2+1,FALSE))),"")</f>
        <v/>
      </c>
      <c r="AG58" s="82"/>
      <c r="AH58" s="185" t="str">
        <f ca="1">IFERROR(VALUE(IF(VLOOKUP($A58,数出表_Excel!$A$6:$T$150,COLUMN()/2+1,FALSE)=0,"",VLOOKUP($A58,数出表_Excel!$A$6:$T$150,COLUMN()/2+1,FALSE))),"")</f>
        <v/>
      </c>
      <c r="AI58" s="82"/>
      <c r="AJ58" s="185" t="str">
        <f ca="1">IFERROR(VALUE(IF(VLOOKUP($A58,数出表_Excel!$A$6:$T$150,COLUMN()/2+1,FALSE)=0,"",VLOOKUP($A58,数出表_Excel!$A$6:$T$150,COLUMN()/2+1,FALSE))),"")</f>
        <v/>
      </c>
      <c r="AK58" s="82"/>
      <c r="AL58" s="68" t="e">
        <f ca="1">IF(A58&lt;&gt;"",
IF(VLOOKUP($A58,数出表_Excel!$A$6:$T$150,COLUMN()/2+1,FALSE)=0,"",VLOOKUP($A58,数出表_Excel!$A$6:$T$150,COLUMN()/2+1,FALSE)),"")</f>
        <v>#N/A</v>
      </c>
      <c r="AM58" s="96" t="e">
        <f>数出表_Excel!V58</f>
        <v>#N/A</v>
      </c>
      <c r="AN58" s="97" t="e">
        <f>数出表_Excel!W58</f>
        <v>#N/A</v>
      </c>
    </row>
    <row r="59" spans="1:40" ht="16.2" customHeight="1">
      <c r="A59" s="89" t="e">
        <f t="array" aca="1" ref="A59" ca="1">IF(OR(COUNTIF(A57,"*1000*"),COUNTIF(A57,"")),"",INDEX(貼り付け用!$A1:$A200,MATCH(A57,貼り付け用!$A1:$A200,0)+2,0))</f>
        <v>#N/A</v>
      </c>
      <c r="B59" s="186" t="str">
        <f ca="1">IFERROR(VALUE(IF(VLOOKUP($A59,数出表_Excel!$A$6:$T$150,COLUMN()/2+1,FALSE)=0,"",VLOOKUP($A59,数出表_Excel!$A$6:$T$150,COLUMN()/2+1,FALSE))),"")</f>
        <v/>
      </c>
      <c r="C59" s="67"/>
      <c r="D59" s="186" t="str">
        <f ca="1">IFERROR(VALUE(IF(VLOOKUP($A59,数出表_Excel!$A$6:$T$150,COLUMN()/2+1,FALSE)=0,"",VLOOKUP($A59,数出表_Excel!$A$6:$T$150,COLUMN()/2+1,FALSE))),"")</f>
        <v/>
      </c>
      <c r="E59" s="83"/>
      <c r="F59" s="197" t="str">
        <f ca="1">IFERROR(VALUE(IF(VLOOKUP($A59,数出表_Excel!$A$6:$T$150,COLUMN()/2+1,FALSE)=0,"",VLOOKUP($A59,数出表_Excel!$A$6:$T$150,COLUMN()/2+1,FALSE))),"")</f>
        <v/>
      </c>
      <c r="G59" s="67"/>
      <c r="H59" s="186" t="str">
        <f ca="1">IFERROR(VALUE(IF(VLOOKUP($A59,数出表_Excel!$A$6:$T$150,COLUMN()/2+1,FALSE)=0,"",VLOOKUP($A59,数出表_Excel!$A$6:$T$150,COLUMN()/2+1,FALSE))),"")</f>
        <v/>
      </c>
      <c r="I59" s="83"/>
      <c r="J59" s="197" t="str">
        <f ca="1">IFERROR(VALUE(IF(VLOOKUP($A59,数出表_Excel!$A$6:$T$150,COLUMN()/2+1,FALSE)=0,"",VLOOKUP($A59,数出表_Excel!$A$6:$T$150,COLUMN()/2+1,FALSE))),"")</f>
        <v/>
      </c>
      <c r="K59" s="67"/>
      <c r="L59" s="186" t="str">
        <f ca="1">IFERROR(VALUE(IF(VLOOKUP($A59,数出表_Excel!$A$6:$T$150,COLUMN()/2+1,FALSE)=0,"",VLOOKUP($A59,数出表_Excel!$A$6:$T$150,COLUMN()/2+1,FALSE))),"")</f>
        <v/>
      </c>
      <c r="M59" s="83"/>
      <c r="N59" s="197" t="str">
        <f ca="1">IFERROR(VALUE(IF(VLOOKUP($A59,数出表_Excel!$A$6:$T$150,COLUMN()/2+1,FALSE)=0,"",VLOOKUP($A59,数出表_Excel!$A$6:$T$150,COLUMN()/2+1,FALSE))),"")</f>
        <v/>
      </c>
      <c r="O59" s="67"/>
      <c r="P59" s="186" t="str">
        <f ca="1">IFERROR(VALUE(IF(VLOOKUP($A59,数出表_Excel!$A$6:$T$150,COLUMN()/2+1,FALSE)=0,"",VLOOKUP($A59,数出表_Excel!$A$6:$T$150,COLUMN()/2+1,FALSE))),"")</f>
        <v/>
      </c>
      <c r="Q59" s="83"/>
      <c r="R59" s="197" t="str">
        <f ca="1">IFERROR(VALUE(IF(VLOOKUP($A59,数出表_Excel!$A$6:$T$150,COLUMN()/2+1,FALSE)=0,"",VLOOKUP($A59,数出表_Excel!$A$6:$T$150,COLUMN()/2+1,FALSE))),"")</f>
        <v/>
      </c>
      <c r="S59" s="67"/>
      <c r="T59" s="186" t="str">
        <f ca="1">IFERROR(VALUE(IF(VLOOKUP($A59,数出表_Excel!$A$6:$T$150,COLUMN()/2+1,FALSE)=0,"",VLOOKUP($A59,数出表_Excel!$A$6:$T$150,COLUMN()/2+1,FALSE))),"")</f>
        <v/>
      </c>
      <c r="U59" s="83"/>
      <c r="V59" s="197" t="str">
        <f ca="1">IFERROR(VALUE(IF(VLOOKUP($A59,数出表_Excel!$A$6:$T$150,COLUMN()/2+1,FALSE)=0,"",VLOOKUP($A59,数出表_Excel!$A$6:$T$150,COLUMN()/2+1,FALSE))),"")</f>
        <v/>
      </c>
      <c r="W59" s="67"/>
      <c r="X59" s="186" t="str">
        <f ca="1">IFERROR(VALUE(IF(VLOOKUP($A59,数出表_Excel!$A$6:$T$150,COLUMN()/2+1,FALSE)=0,"",VLOOKUP($A59,数出表_Excel!$A$6:$T$150,COLUMN()/2+1,FALSE))),"")</f>
        <v/>
      </c>
      <c r="Y59" s="83"/>
      <c r="Z59" s="197" t="str">
        <f ca="1">IFERROR(VALUE(IF(VLOOKUP($A59,数出表_Excel!$A$6:$T$150,COLUMN()/2+1,FALSE)=0,"",VLOOKUP($A59,数出表_Excel!$A$6:$T$150,COLUMN()/2+1,FALSE))),"")</f>
        <v/>
      </c>
      <c r="AA59" s="83"/>
      <c r="AB59" s="186" t="str">
        <f ca="1">IFERROR(VALUE(IF(VLOOKUP($A59,数出表_Excel!$A$6:$T$150,COLUMN()/2+1,FALSE)=0,"",VLOOKUP($A59,数出表_Excel!$A$6:$T$150,COLUMN()/2+1,FALSE))),"")</f>
        <v/>
      </c>
      <c r="AC59" s="83"/>
      <c r="AD59" s="186" t="str">
        <f ca="1">IFERROR(VALUE(IF(VLOOKUP($A59,数出表_Excel!$A$6:$T$150,COLUMN()/2+1,FALSE)=0,"",VLOOKUP($A59,数出表_Excel!$A$6:$T$150,COLUMN()/2+1,FALSE))),"")</f>
        <v/>
      </c>
      <c r="AE59" s="83"/>
      <c r="AF59" s="186" t="str">
        <f ca="1">IFERROR(VALUE(IF(VLOOKUP($A59,数出表_Excel!$A$6:$T$150,COLUMN()/2+1,FALSE)=0,"",VLOOKUP($A59,数出表_Excel!$A$6:$T$150,COLUMN()/2+1,FALSE))),"")</f>
        <v/>
      </c>
      <c r="AG59" s="83"/>
      <c r="AH59" s="186" t="str">
        <f ca="1">IFERROR(VALUE(IF(VLOOKUP($A59,数出表_Excel!$A$6:$T$150,COLUMN()/2+1,FALSE)=0,"",VLOOKUP($A59,数出表_Excel!$A$6:$T$150,COLUMN()/2+1,FALSE))),"")</f>
        <v/>
      </c>
      <c r="AI59" s="83"/>
      <c r="AJ59" s="186" t="str">
        <f ca="1">IFERROR(VALUE(IF(VLOOKUP($A59,数出表_Excel!$A$6:$T$150,COLUMN()/2+1,FALSE)=0,"",VLOOKUP($A59,数出表_Excel!$A$6:$T$150,COLUMN()/2+1,FALSE))),"")</f>
        <v/>
      </c>
      <c r="AK59" s="83"/>
      <c r="AL59" s="70" t="e">
        <f ca="1">IF(A59&lt;&gt;"",
IF(VLOOKUP($A59,数出表_Excel!$A$6:$T$150,COLUMN()/2+1,FALSE)=0,"",VLOOKUP($A59,数出表_Excel!$A$6:$T$150,COLUMN()/2+1,FALSE)),"")</f>
        <v>#N/A</v>
      </c>
      <c r="AM59" s="98" t="e">
        <f>数出表_Excel!V59</f>
        <v>#N/A</v>
      </c>
      <c r="AN59" s="99" t="e">
        <f>数出表_Excel!W59</f>
        <v>#N/A</v>
      </c>
    </row>
    <row r="60" spans="1:40" ht="16.2" customHeight="1">
      <c r="A60" s="88" t="e">
        <f t="array" aca="1" ref="A60" ca="1">IF(OR(COUNTIF(A58,"*10002*"),COUNTIF(A58,"")),"",INDEX(貼り付け用!$A1:$A200,MATCH(A58,貼り付け用!$A1:$A200,0)+2,0))</f>
        <v>#N/A</v>
      </c>
      <c r="B60" s="185" t="str">
        <f ca="1">IFERROR(VALUE(IF(VLOOKUP($A60,数出表_Excel!$A$6:$T$150,COLUMN()/2+1,FALSE)=0,"",VLOOKUP($A60,数出表_Excel!$A$6:$T$150,COLUMN()/2+1,FALSE))),"")</f>
        <v/>
      </c>
      <c r="C60" s="66"/>
      <c r="D60" s="185" t="str">
        <f ca="1">IFERROR(VALUE(IF(VLOOKUP($A60,数出表_Excel!$A$6:$T$150,COLUMN()/2+1,FALSE)=0,"",VLOOKUP($A60,数出表_Excel!$A$6:$T$150,COLUMN()/2+1,FALSE))),"")</f>
        <v/>
      </c>
      <c r="E60" s="82"/>
      <c r="F60" s="196" t="str">
        <f ca="1">IFERROR(VALUE(IF(VLOOKUP($A60,数出表_Excel!$A$6:$T$150,COLUMN()/2+1,FALSE)=0,"",VLOOKUP($A60,数出表_Excel!$A$6:$T$150,COLUMN()/2+1,FALSE))),"")</f>
        <v/>
      </c>
      <c r="G60" s="66"/>
      <c r="H60" s="185" t="str">
        <f ca="1">IFERROR(VALUE(IF(VLOOKUP($A60,数出表_Excel!$A$6:$T$150,COLUMN()/2+1,FALSE)=0,"",VLOOKUP($A60,数出表_Excel!$A$6:$T$150,COLUMN()/2+1,FALSE))),"")</f>
        <v/>
      </c>
      <c r="I60" s="82"/>
      <c r="J60" s="196" t="str">
        <f ca="1">IFERROR(VALUE(IF(VLOOKUP($A60,数出表_Excel!$A$6:$T$150,COLUMN()/2+1,FALSE)=0,"",VLOOKUP($A60,数出表_Excel!$A$6:$T$150,COLUMN()/2+1,FALSE))),"")</f>
        <v/>
      </c>
      <c r="K60" s="66"/>
      <c r="L60" s="185" t="str">
        <f ca="1">IFERROR(VALUE(IF(VLOOKUP($A60,数出表_Excel!$A$6:$T$150,COLUMN()/2+1,FALSE)=0,"",VLOOKUP($A60,数出表_Excel!$A$6:$T$150,COLUMN()/2+1,FALSE))),"")</f>
        <v/>
      </c>
      <c r="M60" s="82"/>
      <c r="N60" s="196" t="str">
        <f ca="1">IFERROR(VALUE(IF(VLOOKUP($A60,数出表_Excel!$A$6:$T$150,COLUMN()/2+1,FALSE)=0,"",VLOOKUP($A60,数出表_Excel!$A$6:$T$150,COLUMN()/2+1,FALSE))),"")</f>
        <v/>
      </c>
      <c r="O60" s="66"/>
      <c r="P60" s="185" t="str">
        <f ca="1">IFERROR(VALUE(IF(VLOOKUP($A60,数出表_Excel!$A$6:$T$150,COLUMN()/2+1,FALSE)=0,"",VLOOKUP($A60,数出表_Excel!$A$6:$T$150,COLUMN()/2+1,FALSE))),"")</f>
        <v/>
      </c>
      <c r="Q60" s="82"/>
      <c r="R60" s="196" t="str">
        <f ca="1">IFERROR(VALUE(IF(VLOOKUP($A60,数出表_Excel!$A$6:$T$150,COLUMN()/2+1,FALSE)=0,"",VLOOKUP($A60,数出表_Excel!$A$6:$T$150,COLUMN()/2+1,FALSE))),"")</f>
        <v/>
      </c>
      <c r="S60" s="66"/>
      <c r="T60" s="185" t="str">
        <f ca="1">IFERROR(VALUE(IF(VLOOKUP($A60,数出表_Excel!$A$6:$T$150,COLUMN()/2+1,FALSE)=0,"",VLOOKUP($A60,数出表_Excel!$A$6:$T$150,COLUMN()/2+1,FALSE))),"")</f>
        <v/>
      </c>
      <c r="U60" s="82"/>
      <c r="V60" s="196" t="str">
        <f ca="1">IFERROR(VALUE(IF(VLOOKUP($A60,数出表_Excel!$A$6:$T$150,COLUMN()/2+1,FALSE)=0,"",VLOOKUP($A60,数出表_Excel!$A$6:$T$150,COLUMN()/2+1,FALSE))),"")</f>
        <v/>
      </c>
      <c r="W60" s="66"/>
      <c r="X60" s="185" t="str">
        <f ca="1">IFERROR(VALUE(IF(VLOOKUP($A60,数出表_Excel!$A$6:$T$150,COLUMN()/2+1,FALSE)=0,"",VLOOKUP($A60,数出表_Excel!$A$6:$T$150,COLUMN()/2+1,FALSE))),"")</f>
        <v/>
      </c>
      <c r="Y60" s="82"/>
      <c r="Z60" s="196" t="str">
        <f ca="1">IFERROR(VALUE(IF(VLOOKUP($A60,数出表_Excel!$A$6:$T$150,COLUMN()/2+1,FALSE)=0,"",VLOOKUP($A60,数出表_Excel!$A$6:$T$150,COLUMN()/2+1,FALSE))),"")</f>
        <v/>
      </c>
      <c r="AA60" s="82"/>
      <c r="AB60" s="185" t="str">
        <f ca="1">IFERROR(VALUE(IF(VLOOKUP($A60,数出表_Excel!$A$6:$T$150,COLUMN()/2+1,FALSE)=0,"",VLOOKUP($A60,数出表_Excel!$A$6:$T$150,COLUMN()/2+1,FALSE))),"")</f>
        <v/>
      </c>
      <c r="AC60" s="82"/>
      <c r="AD60" s="185" t="str">
        <f ca="1">IFERROR(VALUE(IF(VLOOKUP($A60,数出表_Excel!$A$6:$T$150,COLUMN()/2+1,FALSE)=0,"",VLOOKUP($A60,数出表_Excel!$A$6:$T$150,COLUMN()/2+1,FALSE))),"")</f>
        <v/>
      </c>
      <c r="AE60" s="82"/>
      <c r="AF60" s="185" t="str">
        <f ca="1">IFERROR(VALUE(IF(VLOOKUP($A60,数出表_Excel!$A$6:$T$150,COLUMN()/2+1,FALSE)=0,"",VLOOKUP($A60,数出表_Excel!$A$6:$T$150,COLUMN()/2+1,FALSE))),"")</f>
        <v/>
      </c>
      <c r="AG60" s="82"/>
      <c r="AH60" s="185" t="str">
        <f ca="1">IFERROR(VALUE(IF(VLOOKUP($A60,数出表_Excel!$A$6:$T$150,COLUMN()/2+1,FALSE)=0,"",VLOOKUP($A60,数出表_Excel!$A$6:$T$150,COLUMN()/2+1,FALSE))),"")</f>
        <v/>
      </c>
      <c r="AI60" s="82"/>
      <c r="AJ60" s="185" t="str">
        <f ca="1">IFERROR(VALUE(IF(VLOOKUP($A60,数出表_Excel!$A$6:$T$150,COLUMN()/2+1,FALSE)=0,"",VLOOKUP($A60,数出表_Excel!$A$6:$T$150,COLUMN()/2+1,FALSE))),"")</f>
        <v/>
      </c>
      <c r="AK60" s="82"/>
      <c r="AL60" s="68" t="e">
        <f ca="1">IF(A60&lt;&gt;"",
IF(VLOOKUP($A60,数出表_Excel!$A$6:$T$150,COLUMN()/2+1,FALSE)=0,"",VLOOKUP($A60,数出表_Excel!$A$6:$T$150,COLUMN()/2+1,FALSE)),"")</f>
        <v>#N/A</v>
      </c>
      <c r="AM60" s="96" t="e">
        <f>数出表_Excel!V60</f>
        <v>#N/A</v>
      </c>
      <c r="AN60" s="97" t="e">
        <f>数出表_Excel!W60</f>
        <v>#N/A</v>
      </c>
    </row>
    <row r="61" spans="1:40" ht="16.2" customHeight="1">
      <c r="A61" s="89" t="e">
        <f t="array" aca="1" ref="A61" ca="1">IF(OR(COUNTIF(A59,"*1000*"),COUNTIF(A59,"")),"",INDEX(貼り付け用!$A1:$A200,MATCH(A59,貼り付け用!$A1:$A200,0)+2,0))</f>
        <v>#N/A</v>
      </c>
      <c r="B61" s="186" t="str">
        <f ca="1">IFERROR(VALUE(IF(VLOOKUP($A61,数出表_Excel!$A$6:$T$150,COLUMN()/2+1,FALSE)=0,"",VLOOKUP($A61,数出表_Excel!$A$6:$T$150,COLUMN()/2+1,FALSE))),"")</f>
        <v/>
      </c>
      <c r="C61" s="67"/>
      <c r="D61" s="186" t="str">
        <f ca="1">IFERROR(VALUE(IF(VLOOKUP($A61,数出表_Excel!$A$6:$T$150,COLUMN()/2+1,FALSE)=0,"",VLOOKUP($A61,数出表_Excel!$A$6:$T$150,COLUMN()/2+1,FALSE))),"")</f>
        <v/>
      </c>
      <c r="E61" s="83"/>
      <c r="F61" s="197" t="str">
        <f ca="1">IFERROR(VALUE(IF(VLOOKUP($A61,数出表_Excel!$A$6:$T$150,COLUMN()/2+1,FALSE)=0,"",VLOOKUP($A61,数出表_Excel!$A$6:$T$150,COLUMN()/2+1,FALSE))),"")</f>
        <v/>
      </c>
      <c r="G61" s="67"/>
      <c r="H61" s="186" t="str">
        <f ca="1">IFERROR(VALUE(IF(VLOOKUP($A61,数出表_Excel!$A$6:$T$150,COLUMN()/2+1,FALSE)=0,"",VLOOKUP($A61,数出表_Excel!$A$6:$T$150,COLUMN()/2+1,FALSE))),"")</f>
        <v/>
      </c>
      <c r="I61" s="83"/>
      <c r="J61" s="197" t="str">
        <f ca="1">IFERROR(VALUE(IF(VLOOKUP($A61,数出表_Excel!$A$6:$T$150,COLUMN()/2+1,FALSE)=0,"",VLOOKUP($A61,数出表_Excel!$A$6:$T$150,COLUMN()/2+1,FALSE))),"")</f>
        <v/>
      </c>
      <c r="K61" s="67"/>
      <c r="L61" s="186" t="str">
        <f ca="1">IFERROR(VALUE(IF(VLOOKUP($A61,数出表_Excel!$A$6:$T$150,COLUMN()/2+1,FALSE)=0,"",VLOOKUP($A61,数出表_Excel!$A$6:$T$150,COLUMN()/2+1,FALSE))),"")</f>
        <v/>
      </c>
      <c r="M61" s="83"/>
      <c r="N61" s="197" t="str">
        <f ca="1">IFERROR(VALUE(IF(VLOOKUP($A61,数出表_Excel!$A$6:$T$150,COLUMN()/2+1,FALSE)=0,"",VLOOKUP($A61,数出表_Excel!$A$6:$T$150,COLUMN()/2+1,FALSE))),"")</f>
        <v/>
      </c>
      <c r="O61" s="67"/>
      <c r="P61" s="186" t="str">
        <f ca="1">IFERROR(VALUE(IF(VLOOKUP($A61,数出表_Excel!$A$6:$T$150,COLUMN()/2+1,FALSE)=0,"",VLOOKUP($A61,数出表_Excel!$A$6:$T$150,COLUMN()/2+1,FALSE))),"")</f>
        <v/>
      </c>
      <c r="Q61" s="83"/>
      <c r="R61" s="197" t="str">
        <f ca="1">IFERROR(VALUE(IF(VLOOKUP($A61,数出表_Excel!$A$6:$T$150,COLUMN()/2+1,FALSE)=0,"",VLOOKUP($A61,数出表_Excel!$A$6:$T$150,COLUMN()/2+1,FALSE))),"")</f>
        <v/>
      </c>
      <c r="S61" s="67"/>
      <c r="T61" s="186" t="str">
        <f ca="1">IFERROR(VALUE(IF(VLOOKUP($A61,数出表_Excel!$A$6:$T$150,COLUMN()/2+1,FALSE)=0,"",VLOOKUP($A61,数出表_Excel!$A$6:$T$150,COLUMN()/2+1,FALSE))),"")</f>
        <v/>
      </c>
      <c r="U61" s="83"/>
      <c r="V61" s="197" t="str">
        <f ca="1">IFERROR(VALUE(IF(VLOOKUP($A61,数出表_Excel!$A$6:$T$150,COLUMN()/2+1,FALSE)=0,"",VLOOKUP($A61,数出表_Excel!$A$6:$T$150,COLUMN()/2+1,FALSE))),"")</f>
        <v/>
      </c>
      <c r="W61" s="67"/>
      <c r="X61" s="186" t="str">
        <f ca="1">IFERROR(VALUE(IF(VLOOKUP($A61,数出表_Excel!$A$6:$T$150,COLUMN()/2+1,FALSE)=0,"",VLOOKUP($A61,数出表_Excel!$A$6:$T$150,COLUMN()/2+1,FALSE))),"")</f>
        <v/>
      </c>
      <c r="Y61" s="83"/>
      <c r="Z61" s="197" t="str">
        <f ca="1">IFERROR(VALUE(IF(VLOOKUP($A61,数出表_Excel!$A$6:$T$150,COLUMN()/2+1,FALSE)=0,"",VLOOKUP($A61,数出表_Excel!$A$6:$T$150,COLUMN()/2+1,FALSE))),"")</f>
        <v/>
      </c>
      <c r="AA61" s="83"/>
      <c r="AB61" s="186" t="str">
        <f ca="1">IFERROR(VALUE(IF(VLOOKUP($A61,数出表_Excel!$A$6:$T$150,COLUMN()/2+1,FALSE)=0,"",VLOOKUP($A61,数出表_Excel!$A$6:$T$150,COLUMN()/2+1,FALSE))),"")</f>
        <v/>
      </c>
      <c r="AC61" s="83"/>
      <c r="AD61" s="186" t="str">
        <f ca="1">IFERROR(VALUE(IF(VLOOKUP($A61,数出表_Excel!$A$6:$T$150,COLUMN()/2+1,FALSE)=0,"",VLOOKUP($A61,数出表_Excel!$A$6:$T$150,COLUMN()/2+1,FALSE))),"")</f>
        <v/>
      </c>
      <c r="AE61" s="83"/>
      <c r="AF61" s="186" t="str">
        <f ca="1">IFERROR(VALUE(IF(VLOOKUP($A61,数出表_Excel!$A$6:$T$150,COLUMN()/2+1,FALSE)=0,"",VLOOKUP($A61,数出表_Excel!$A$6:$T$150,COLUMN()/2+1,FALSE))),"")</f>
        <v/>
      </c>
      <c r="AG61" s="83"/>
      <c r="AH61" s="186" t="str">
        <f ca="1">IFERROR(VALUE(IF(VLOOKUP($A61,数出表_Excel!$A$6:$T$150,COLUMN()/2+1,FALSE)=0,"",VLOOKUP($A61,数出表_Excel!$A$6:$T$150,COLUMN()/2+1,FALSE))),"")</f>
        <v/>
      </c>
      <c r="AI61" s="83"/>
      <c r="AJ61" s="186" t="str">
        <f ca="1">IFERROR(VALUE(IF(VLOOKUP($A61,数出表_Excel!$A$6:$T$150,COLUMN()/2+1,FALSE)=0,"",VLOOKUP($A61,数出表_Excel!$A$6:$T$150,COLUMN()/2+1,FALSE))),"")</f>
        <v/>
      </c>
      <c r="AK61" s="83"/>
      <c r="AL61" s="70" t="e">
        <f ca="1">IF(A61&lt;&gt;"",
IF(VLOOKUP($A61,数出表_Excel!$A$6:$T$150,COLUMN()/2+1,FALSE)=0,"",VLOOKUP($A61,数出表_Excel!$A$6:$T$150,COLUMN()/2+1,FALSE)),"")</f>
        <v>#N/A</v>
      </c>
      <c r="AM61" s="98" t="e">
        <f>数出表_Excel!V61</f>
        <v>#N/A</v>
      </c>
      <c r="AN61" s="99" t="e">
        <f>数出表_Excel!W61</f>
        <v>#N/A</v>
      </c>
    </row>
    <row r="62" spans="1:40" ht="16.2" customHeight="1">
      <c r="A62" s="88" t="e">
        <f t="array" aca="1" ref="A62" ca="1">IF(OR(COUNTIF(A60,"*10002*"),COUNTIF(A60,"")),"",INDEX(貼り付け用!$A1:$A200,MATCH(A60,貼り付け用!$A1:$A200,0)+2,0))</f>
        <v>#N/A</v>
      </c>
      <c r="B62" s="185" t="str">
        <f ca="1">IFERROR(VALUE(IF(VLOOKUP($A62,数出表_Excel!$A$6:$T$150,COLUMN()/2+1,FALSE)=0,"",VLOOKUP($A62,数出表_Excel!$A$6:$T$150,COLUMN()/2+1,FALSE))),"")</f>
        <v/>
      </c>
      <c r="C62" s="66"/>
      <c r="D62" s="185" t="str">
        <f ca="1">IFERROR(VALUE(IF(VLOOKUP($A62,数出表_Excel!$A$6:$T$150,COLUMN()/2+1,FALSE)=0,"",VLOOKUP($A62,数出表_Excel!$A$6:$T$150,COLUMN()/2+1,FALSE))),"")</f>
        <v/>
      </c>
      <c r="E62" s="82"/>
      <c r="F62" s="196" t="str">
        <f ca="1">IFERROR(VALUE(IF(VLOOKUP($A62,数出表_Excel!$A$6:$T$150,COLUMN()/2+1,FALSE)=0,"",VLOOKUP($A62,数出表_Excel!$A$6:$T$150,COLUMN()/2+1,FALSE))),"")</f>
        <v/>
      </c>
      <c r="G62" s="66"/>
      <c r="H62" s="185" t="str">
        <f ca="1">IFERROR(VALUE(IF(VLOOKUP($A62,数出表_Excel!$A$6:$T$150,COLUMN()/2+1,FALSE)=0,"",VLOOKUP($A62,数出表_Excel!$A$6:$T$150,COLUMN()/2+1,FALSE))),"")</f>
        <v/>
      </c>
      <c r="I62" s="82"/>
      <c r="J62" s="196" t="str">
        <f ca="1">IFERROR(VALUE(IF(VLOOKUP($A62,数出表_Excel!$A$6:$T$150,COLUMN()/2+1,FALSE)=0,"",VLOOKUP($A62,数出表_Excel!$A$6:$T$150,COLUMN()/2+1,FALSE))),"")</f>
        <v/>
      </c>
      <c r="K62" s="66"/>
      <c r="L62" s="185" t="str">
        <f ca="1">IFERROR(VALUE(IF(VLOOKUP($A62,数出表_Excel!$A$6:$T$150,COLUMN()/2+1,FALSE)=0,"",VLOOKUP($A62,数出表_Excel!$A$6:$T$150,COLUMN()/2+1,FALSE))),"")</f>
        <v/>
      </c>
      <c r="M62" s="82"/>
      <c r="N62" s="196" t="str">
        <f ca="1">IFERROR(VALUE(IF(VLOOKUP($A62,数出表_Excel!$A$6:$T$150,COLUMN()/2+1,FALSE)=0,"",VLOOKUP($A62,数出表_Excel!$A$6:$T$150,COLUMN()/2+1,FALSE))),"")</f>
        <v/>
      </c>
      <c r="O62" s="66"/>
      <c r="P62" s="185" t="str">
        <f ca="1">IFERROR(VALUE(IF(VLOOKUP($A62,数出表_Excel!$A$6:$T$150,COLUMN()/2+1,FALSE)=0,"",VLOOKUP($A62,数出表_Excel!$A$6:$T$150,COLUMN()/2+1,FALSE))),"")</f>
        <v/>
      </c>
      <c r="Q62" s="82"/>
      <c r="R62" s="196" t="str">
        <f ca="1">IFERROR(VALUE(IF(VLOOKUP($A62,数出表_Excel!$A$6:$T$150,COLUMN()/2+1,FALSE)=0,"",VLOOKUP($A62,数出表_Excel!$A$6:$T$150,COLUMN()/2+1,FALSE))),"")</f>
        <v/>
      </c>
      <c r="S62" s="66"/>
      <c r="T62" s="185" t="str">
        <f ca="1">IFERROR(VALUE(IF(VLOOKUP($A62,数出表_Excel!$A$6:$T$150,COLUMN()/2+1,FALSE)=0,"",VLOOKUP($A62,数出表_Excel!$A$6:$T$150,COLUMN()/2+1,FALSE))),"")</f>
        <v/>
      </c>
      <c r="U62" s="82"/>
      <c r="V62" s="196" t="str">
        <f ca="1">IFERROR(VALUE(IF(VLOOKUP($A62,数出表_Excel!$A$6:$T$150,COLUMN()/2+1,FALSE)=0,"",VLOOKUP($A62,数出表_Excel!$A$6:$T$150,COLUMN()/2+1,FALSE))),"")</f>
        <v/>
      </c>
      <c r="W62" s="66"/>
      <c r="X62" s="185" t="str">
        <f ca="1">IFERROR(VALUE(IF(VLOOKUP($A62,数出表_Excel!$A$6:$T$150,COLUMN()/2+1,FALSE)=0,"",VLOOKUP($A62,数出表_Excel!$A$6:$T$150,COLUMN()/2+1,FALSE))),"")</f>
        <v/>
      </c>
      <c r="Y62" s="82"/>
      <c r="Z62" s="196" t="str">
        <f ca="1">IFERROR(VALUE(IF(VLOOKUP($A62,数出表_Excel!$A$6:$T$150,COLUMN()/2+1,FALSE)=0,"",VLOOKUP($A62,数出表_Excel!$A$6:$T$150,COLUMN()/2+1,FALSE))),"")</f>
        <v/>
      </c>
      <c r="AA62" s="82"/>
      <c r="AB62" s="185" t="str">
        <f ca="1">IFERROR(VALUE(IF(VLOOKUP($A62,数出表_Excel!$A$6:$T$150,COLUMN()/2+1,FALSE)=0,"",VLOOKUP($A62,数出表_Excel!$A$6:$T$150,COLUMN()/2+1,FALSE))),"")</f>
        <v/>
      </c>
      <c r="AC62" s="82"/>
      <c r="AD62" s="185" t="str">
        <f ca="1">IFERROR(VALUE(IF(VLOOKUP($A62,数出表_Excel!$A$6:$T$150,COLUMN()/2+1,FALSE)=0,"",VLOOKUP($A62,数出表_Excel!$A$6:$T$150,COLUMN()/2+1,FALSE))),"")</f>
        <v/>
      </c>
      <c r="AE62" s="82"/>
      <c r="AF62" s="185" t="str">
        <f ca="1">IFERROR(VALUE(IF(VLOOKUP($A62,数出表_Excel!$A$6:$T$150,COLUMN()/2+1,FALSE)=0,"",VLOOKUP($A62,数出表_Excel!$A$6:$T$150,COLUMN()/2+1,FALSE))),"")</f>
        <v/>
      </c>
      <c r="AG62" s="82"/>
      <c r="AH62" s="185" t="str">
        <f ca="1">IFERROR(VALUE(IF(VLOOKUP($A62,数出表_Excel!$A$6:$T$150,COLUMN()/2+1,FALSE)=0,"",VLOOKUP($A62,数出表_Excel!$A$6:$T$150,COLUMN()/2+1,FALSE))),"")</f>
        <v/>
      </c>
      <c r="AI62" s="82"/>
      <c r="AJ62" s="185" t="str">
        <f ca="1">IFERROR(VALUE(IF(VLOOKUP($A62,数出表_Excel!$A$6:$T$150,COLUMN()/2+1,FALSE)=0,"",VLOOKUP($A62,数出表_Excel!$A$6:$T$150,COLUMN()/2+1,FALSE))),"")</f>
        <v/>
      </c>
      <c r="AK62" s="82"/>
      <c r="AL62" s="68" t="e">
        <f ca="1">IF(A62&lt;&gt;"",
IF(VLOOKUP($A62,数出表_Excel!$A$6:$T$150,COLUMN()/2+1,FALSE)=0,"",VLOOKUP($A62,数出表_Excel!$A$6:$T$150,COLUMN()/2+1,FALSE)),"")</f>
        <v>#N/A</v>
      </c>
      <c r="AM62" s="96" t="e">
        <f>数出表_Excel!V62</f>
        <v>#N/A</v>
      </c>
      <c r="AN62" s="97" t="e">
        <f>数出表_Excel!W62</f>
        <v>#N/A</v>
      </c>
    </row>
    <row r="63" spans="1:40" ht="16.2" customHeight="1">
      <c r="A63" s="89" t="e">
        <f t="array" aca="1" ref="A63" ca="1">IF(OR(COUNTIF(A61,"*1000*"),COUNTIF(A61,"")),"",INDEX(貼り付け用!$A1:$A200,MATCH(A61,貼り付け用!$A1:$A200,0)+2,0))</f>
        <v>#N/A</v>
      </c>
      <c r="B63" s="186" t="str">
        <f ca="1">IFERROR(VALUE(IF(VLOOKUP($A63,数出表_Excel!$A$6:$T$150,COLUMN()/2+1,FALSE)=0,"",VLOOKUP($A63,数出表_Excel!$A$6:$T$150,COLUMN()/2+1,FALSE))),"")</f>
        <v/>
      </c>
      <c r="C63" s="67"/>
      <c r="D63" s="186" t="str">
        <f ca="1">IFERROR(VALUE(IF(VLOOKUP($A63,数出表_Excel!$A$6:$T$150,COLUMN()/2+1,FALSE)=0,"",VLOOKUP($A63,数出表_Excel!$A$6:$T$150,COLUMN()/2+1,FALSE))),"")</f>
        <v/>
      </c>
      <c r="E63" s="83"/>
      <c r="F63" s="197" t="str">
        <f ca="1">IFERROR(VALUE(IF(VLOOKUP($A63,数出表_Excel!$A$6:$T$150,COLUMN()/2+1,FALSE)=0,"",VLOOKUP($A63,数出表_Excel!$A$6:$T$150,COLUMN()/2+1,FALSE))),"")</f>
        <v/>
      </c>
      <c r="G63" s="67"/>
      <c r="H63" s="186" t="str">
        <f ca="1">IFERROR(VALUE(IF(VLOOKUP($A63,数出表_Excel!$A$6:$T$150,COLUMN()/2+1,FALSE)=0,"",VLOOKUP($A63,数出表_Excel!$A$6:$T$150,COLUMN()/2+1,FALSE))),"")</f>
        <v/>
      </c>
      <c r="I63" s="83"/>
      <c r="J63" s="197" t="str">
        <f ca="1">IFERROR(VALUE(IF(VLOOKUP($A63,数出表_Excel!$A$6:$T$150,COLUMN()/2+1,FALSE)=0,"",VLOOKUP($A63,数出表_Excel!$A$6:$T$150,COLUMN()/2+1,FALSE))),"")</f>
        <v/>
      </c>
      <c r="K63" s="67"/>
      <c r="L63" s="186" t="str">
        <f ca="1">IFERROR(VALUE(IF(VLOOKUP($A63,数出表_Excel!$A$6:$T$150,COLUMN()/2+1,FALSE)=0,"",VLOOKUP($A63,数出表_Excel!$A$6:$T$150,COLUMN()/2+1,FALSE))),"")</f>
        <v/>
      </c>
      <c r="M63" s="83"/>
      <c r="N63" s="197" t="str">
        <f ca="1">IFERROR(VALUE(IF(VLOOKUP($A63,数出表_Excel!$A$6:$T$150,COLUMN()/2+1,FALSE)=0,"",VLOOKUP($A63,数出表_Excel!$A$6:$T$150,COLUMN()/2+1,FALSE))),"")</f>
        <v/>
      </c>
      <c r="O63" s="67"/>
      <c r="P63" s="186" t="str">
        <f ca="1">IFERROR(VALUE(IF(VLOOKUP($A63,数出表_Excel!$A$6:$T$150,COLUMN()/2+1,FALSE)=0,"",VLOOKUP($A63,数出表_Excel!$A$6:$T$150,COLUMN()/2+1,FALSE))),"")</f>
        <v/>
      </c>
      <c r="Q63" s="83"/>
      <c r="R63" s="197" t="str">
        <f ca="1">IFERROR(VALUE(IF(VLOOKUP($A63,数出表_Excel!$A$6:$T$150,COLUMN()/2+1,FALSE)=0,"",VLOOKUP($A63,数出表_Excel!$A$6:$T$150,COLUMN()/2+1,FALSE))),"")</f>
        <v/>
      </c>
      <c r="S63" s="67"/>
      <c r="T63" s="186" t="str">
        <f ca="1">IFERROR(VALUE(IF(VLOOKUP($A63,数出表_Excel!$A$6:$T$150,COLUMN()/2+1,FALSE)=0,"",VLOOKUP($A63,数出表_Excel!$A$6:$T$150,COLUMN()/2+1,FALSE))),"")</f>
        <v/>
      </c>
      <c r="U63" s="83"/>
      <c r="V63" s="197" t="str">
        <f ca="1">IFERROR(VALUE(IF(VLOOKUP($A63,数出表_Excel!$A$6:$T$150,COLUMN()/2+1,FALSE)=0,"",VLOOKUP($A63,数出表_Excel!$A$6:$T$150,COLUMN()/2+1,FALSE))),"")</f>
        <v/>
      </c>
      <c r="W63" s="67"/>
      <c r="X63" s="186" t="str">
        <f ca="1">IFERROR(VALUE(IF(VLOOKUP($A63,数出表_Excel!$A$6:$T$150,COLUMN()/2+1,FALSE)=0,"",VLOOKUP($A63,数出表_Excel!$A$6:$T$150,COLUMN()/2+1,FALSE))),"")</f>
        <v/>
      </c>
      <c r="Y63" s="83"/>
      <c r="Z63" s="197" t="str">
        <f ca="1">IFERROR(VALUE(IF(VLOOKUP($A63,数出表_Excel!$A$6:$T$150,COLUMN()/2+1,FALSE)=0,"",VLOOKUP($A63,数出表_Excel!$A$6:$T$150,COLUMN()/2+1,FALSE))),"")</f>
        <v/>
      </c>
      <c r="AA63" s="83"/>
      <c r="AB63" s="186" t="str">
        <f ca="1">IFERROR(VALUE(IF(VLOOKUP($A63,数出表_Excel!$A$6:$T$150,COLUMN()/2+1,FALSE)=0,"",VLOOKUP($A63,数出表_Excel!$A$6:$T$150,COLUMN()/2+1,FALSE))),"")</f>
        <v/>
      </c>
      <c r="AC63" s="83"/>
      <c r="AD63" s="186" t="str">
        <f ca="1">IFERROR(VALUE(IF(VLOOKUP($A63,数出表_Excel!$A$6:$T$150,COLUMN()/2+1,FALSE)=0,"",VLOOKUP($A63,数出表_Excel!$A$6:$T$150,COLUMN()/2+1,FALSE))),"")</f>
        <v/>
      </c>
      <c r="AE63" s="83"/>
      <c r="AF63" s="186" t="str">
        <f ca="1">IFERROR(VALUE(IF(VLOOKUP($A63,数出表_Excel!$A$6:$T$150,COLUMN()/2+1,FALSE)=0,"",VLOOKUP($A63,数出表_Excel!$A$6:$T$150,COLUMN()/2+1,FALSE))),"")</f>
        <v/>
      </c>
      <c r="AG63" s="83"/>
      <c r="AH63" s="186" t="str">
        <f ca="1">IFERROR(VALUE(IF(VLOOKUP($A63,数出表_Excel!$A$6:$T$150,COLUMN()/2+1,FALSE)=0,"",VLOOKUP($A63,数出表_Excel!$A$6:$T$150,COLUMN()/2+1,FALSE))),"")</f>
        <v/>
      </c>
      <c r="AI63" s="83"/>
      <c r="AJ63" s="186" t="str">
        <f ca="1">IFERROR(VALUE(IF(VLOOKUP($A63,数出表_Excel!$A$6:$T$150,COLUMN()/2+1,FALSE)=0,"",VLOOKUP($A63,数出表_Excel!$A$6:$T$150,COLUMN()/2+1,FALSE))),"")</f>
        <v/>
      </c>
      <c r="AK63" s="83"/>
      <c r="AL63" s="70" t="e">
        <f ca="1">IF(A63&lt;&gt;"",
IF(VLOOKUP($A63,数出表_Excel!$A$6:$T$150,COLUMN()/2+1,FALSE)=0,"",VLOOKUP($A63,数出表_Excel!$A$6:$T$150,COLUMN()/2+1,FALSE)),"")</f>
        <v>#N/A</v>
      </c>
      <c r="AM63" s="98" t="e">
        <f>数出表_Excel!V63</f>
        <v>#N/A</v>
      </c>
      <c r="AN63" s="99" t="e">
        <f>数出表_Excel!W63</f>
        <v>#N/A</v>
      </c>
    </row>
    <row r="64" spans="1:40" ht="16.2" customHeight="1">
      <c r="A64" s="88" t="e">
        <f t="array" aca="1" ref="A64" ca="1">IF(OR(COUNTIF(A62,"*10002*"),COUNTIF(A62,"")),"",INDEX(貼り付け用!$A1:$A200,MATCH(A62,貼り付け用!$A1:$A200,0)+2,0))</f>
        <v>#N/A</v>
      </c>
      <c r="B64" s="185" t="str">
        <f ca="1">IFERROR(VALUE(IF(VLOOKUP($A64,数出表_Excel!$A$6:$T$150,COLUMN()/2+1,FALSE)=0,"",VLOOKUP($A64,数出表_Excel!$A$6:$T$150,COLUMN()/2+1,FALSE))),"")</f>
        <v/>
      </c>
      <c r="C64" s="66"/>
      <c r="D64" s="185" t="str">
        <f ca="1">IFERROR(VALUE(IF(VLOOKUP($A64,数出表_Excel!$A$6:$T$150,COLUMN()/2+1,FALSE)=0,"",VLOOKUP($A64,数出表_Excel!$A$6:$T$150,COLUMN()/2+1,FALSE))),"")</f>
        <v/>
      </c>
      <c r="E64" s="82"/>
      <c r="F64" s="196" t="str">
        <f ca="1">IFERROR(VALUE(IF(VLOOKUP($A64,数出表_Excel!$A$6:$T$150,COLUMN()/2+1,FALSE)=0,"",VLOOKUP($A64,数出表_Excel!$A$6:$T$150,COLUMN()/2+1,FALSE))),"")</f>
        <v/>
      </c>
      <c r="G64" s="66"/>
      <c r="H64" s="185" t="str">
        <f ca="1">IFERROR(VALUE(IF(VLOOKUP($A64,数出表_Excel!$A$6:$T$150,COLUMN()/2+1,FALSE)=0,"",VLOOKUP($A64,数出表_Excel!$A$6:$T$150,COLUMN()/2+1,FALSE))),"")</f>
        <v/>
      </c>
      <c r="I64" s="82"/>
      <c r="J64" s="196" t="str">
        <f ca="1">IFERROR(VALUE(IF(VLOOKUP($A64,数出表_Excel!$A$6:$T$150,COLUMN()/2+1,FALSE)=0,"",VLOOKUP($A64,数出表_Excel!$A$6:$T$150,COLUMN()/2+1,FALSE))),"")</f>
        <v/>
      </c>
      <c r="K64" s="66"/>
      <c r="L64" s="185" t="str">
        <f ca="1">IFERROR(VALUE(IF(VLOOKUP($A64,数出表_Excel!$A$6:$T$150,COLUMN()/2+1,FALSE)=0,"",VLOOKUP($A64,数出表_Excel!$A$6:$T$150,COLUMN()/2+1,FALSE))),"")</f>
        <v/>
      </c>
      <c r="M64" s="82"/>
      <c r="N64" s="196" t="str">
        <f ca="1">IFERROR(VALUE(IF(VLOOKUP($A64,数出表_Excel!$A$6:$T$150,COLUMN()/2+1,FALSE)=0,"",VLOOKUP($A64,数出表_Excel!$A$6:$T$150,COLUMN()/2+1,FALSE))),"")</f>
        <v/>
      </c>
      <c r="O64" s="66"/>
      <c r="P64" s="185" t="str">
        <f ca="1">IFERROR(VALUE(IF(VLOOKUP($A64,数出表_Excel!$A$6:$T$150,COLUMN()/2+1,FALSE)=0,"",VLOOKUP($A64,数出表_Excel!$A$6:$T$150,COLUMN()/2+1,FALSE))),"")</f>
        <v/>
      </c>
      <c r="Q64" s="82"/>
      <c r="R64" s="196" t="str">
        <f ca="1">IFERROR(VALUE(IF(VLOOKUP($A64,数出表_Excel!$A$6:$T$150,COLUMN()/2+1,FALSE)=0,"",VLOOKUP($A64,数出表_Excel!$A$6:$T$150,COLUMN()/2+1,FALSE))),"")</f>
        <v/>
      </c>
      <c r="S64" s="66"/>
      <c r="T64" s="185" t="str">
        <f ca="1">IFERROR(VALUE(IF(VLOOKUP($A64,数出表_Excel!$A$6:$T$150,COLUMN()/2+1,FALSE)=0,"",VLOOKUP($A64,数出表_Excel!$A$6:$T$150,COLUMN()/2+1,FALSE))),"")</f>
        <v/>
      </c>
      <c r="U64" s="82"/>
      <c r="V64" s="196" t="str">
        <f ca="1">IFERROR(VALUE(IF(VLOOKUP($A64,数出表_Excel!$A$6:$T$150,COLUMN()/2+1,FALSE)=0,"",VLOOKUP($A64,数出表_Excel!$A$6:$T$150,COLUMN()/2+1,FALSE))),"")</f>
        <v/>
      </c>
      <c r="W64" s="66"/>
      <c r="X64" s="185" t="str">
        <f ca="1">IFERROR(VALUE(IF(VLOOKUP($A64,数出表_Excel!$A$6:$T$150,COLUMN()/2+1,FALSE)=0,"",VLOOKUP($A64,数出表_Excel!$A$6:$T$150,COLUMN()/2+1,FALSE))),"")</f>
        <v/>
      </c>
      <c r="Y64" s="82"/>
      <c r="Z64" s="196" t="str">
        <f ca="1">IFERROR(VALUE(IF(VLOOKUP($A64,数出表_Excel!$A$6:$T$150,COLUMN()/2+1,FALSE)=0,"",VLOOKUP($A64,数出表_Excel!$A$6:$T$150,COLUMN()/2+1,FALSE))),"")</f>
        <v/>
      </c>
      <c r="AA64" s="82"/>
      <c r="AB64" s="185" t="str">
        <f ca="1">IFERROR(VALUE(IF(VLOOKUP($A64,数出表_Excel!$A$6:$T$150,COLUMN()/2+1,FALSE)=0,"",VLOOKUP($A64,数出表_Excel!$A$6:$T$150,COLUMN()/2+1,FALSE))),"")</f>
        <v/>
      </c>
      <c r="AC64" s="82"/>
      <c r="AD64" s="185" t="str">
        <f ca="1">IFERROR(VALUE(IF(VLOOKUP($A64,数出表_Excel!$A$6:$T$150,COLUMN()/2+1,FALSE)=0,"",VLOOKUP($A64,数出表_Excel!$A$6:$T$150,COLUMN()/2+1,FALSE))),"")</f>
        <v/>
      </c>
      <c r="AE64" s="82"/>
      <c r="AF64" s="185" t="str">
        <f ca="1">IFERROR(VALUE(IF(VLOOKUP($A64,数出表_Excel!$A$6:$T$150,COLUMN()/2+1,FALSE)=0,"",VLOOKUP($A64,数出表_Excel!$A$6:$T$150,COLUMN()/2+1,FALSE))),"")</f>
        <v/>
      </c>
      <c r="AG64" s="82"/>
      <c r="AH64" s="185" t="str">
        <f ca="1">IFERROR(VALUE(IF(VLOOKUP($A64,数出表_Excel!$A$6:$T$150,COLUMN()/2+1,FALSE)=0,"",VLOOKUP($A64,数出表_Excel!$A$6:$T$150,COLUMN()/2+1,FALSE))),"")</f>
        <v/>
      </c>
      <c r="AI64" s="82"/>
      <c r="AJ64" s="185" t="str">
        <f ca="1">IFERROR(VALUE(IF(VLOOKUP($A64,数出表_Excel!$A$6:$T$150,COLUMN()/2+1,FALSE)=0,"",VLOOKUP($A64,数出表_Excel!$A$6:$T$150,COLUMN()/2+1,FALSE))),"")</f>
        <v/>
      </c>
      <c r="AK64" s="82"/>
      <c r="AL64" s="68" t="e">
        <f ca="1">IF(A64&lt;&gt;"",
IF(VLOOKUP($A64,数出表_Excel!$A$6:$T$150,COLUMN()/2+1,FALSE)=0,"",VLOOKUP($A64,数出表_Excel!$A$6:$T$150,COLUMN()/2+1,FALSE)),"")</f>
        <v>#N/A</v>
      </c>
      <c r="AM64" s="96" t="e">
        <f>数出表_Excel!V64</f>
        <v>#N/A</v>
      </c>
      <c r="AN64" s="97" t="e">
        <f>数出表_Excel!W64</f>
        <v>#N/A</v>
      </c>
    </row>
    <row r="65" spans="1:40" ht="16.2" customHeight="1">
      <c r="A65" s="89" t="e">
        <f t="array" aca="1" ref="A65" ca="1">IF(OR(COUNTIF(A63,"*1000*"),COUNTIF(A63,"")),"",INDEX(貼り付け用!$A1:$A200,MATCH(A63,貼り付け用!$A1:$A200,0)+2,0))</f>
        <v>#N/A</v>
      </c>
      <c r="B65" s="186" t="str">
        <f ca="1">IFERROR(VALUE(IF(VLOOKUP($A65,数出表_Excel!$A$6:$T$150,COLUMN()/2+1,FALSE)=0,"",VLOOKUP($A65,数出表_Excel!$A$6:$T$150,COLUMN()/2+1,FALSE))),"")</f>
        <v/>
      </c>
      <c r="C65" s="67"/>
      <c r="D65" s="186" t="str">
        <f ca="1">IFERROR(VALUE(IF(VLOOKUP($A65,数出表_Excel!$A$6:$T$150,COLUMN()/2+1,FALSE)=0,"",VLOOKUP($A65,数出表_Excel!$A$6:$T$150,COLUMN()/2+1,FALSE))),"")</f>
        <v/>
      </c>
      <c r="E65" s="83"/>
      <c r="F65" s="197" t="str">
        <f ca="1">IFERROR(VALUE(IF(VLOOKUP($A65,数出表_Excel!$A$6:$T$150,COLUMN()/2+1,FALSE)=0,"",VLOOKUP($A65,数出表_Excel!$A$6:$T$150,COLUMN()/2+1,FALSE))),"")</f>
        <v/>
      </c>
      <c r="G65" s="67"/>
      <c r="H65" s="186" t="str">
        <f ca="1">IFERROR(VALUE(IF(VLOOKUP($A65,数出表_Excel!$A$6:$T$150,COLUMN()/2+1,FALSE)=0,"",VLOOKUP($A65,数出表_Excel!$A$6:$T$150,COLUMN()/2+1,FALSE))),"")</f>
        <v/>
      </c>
      <c r="I65" s="83"/>
      <c r="J65" s="197" t="str">
        <f ca="1">IFERROR(VALUE(IF(VLOOKUP($A65,数出表_Excel!$A$6:$T$150,COLUMN()/2+1,FALSE)=0,"",VLOOKUP($A65,数出表_Excel!$A$6:$T$150,COLUMN()/2+1,FALSE))),"")</f>
        <v/>
      </c>
      <c r="K65" s="67"/>
      <c r="L65" s="186" t="str">
        <f ca="1">IFERROR(VALUE(IF(VLOOKUP($A65,数出表_Excel!$A$6:$T$150,COLUMN()/2+1,FALSE)=0,"",VLOOKUP($A65,数出表_Excel!$A$6:$T$150,COLUMN()/2+1,FALSE))),"")</f>
        <v/>
      </c>
      <c r="M65" s="83"/>
      <c r="N65" s="197" t="str">
        <f ca="1">IFERROR(VALUE(IF(VLOOKUP($A65,数出表_Excel!$A$6:$T$150,COLUMN()/2+1,FALSE)=0,"",VLOOKUP($A65,数出表_Excel!$A$6:$T$150,COLUMN()/2+1,FALSE))),"")</f>
        <v/>
      </c>
      <c r="O65" s="67"/>
      <c r="P65" s="186" t="str">
        <f ca="1">IFERROR(VALUE(IF(VLOOKUP($A65,数出表_Excel!$A$6:$T$150,COLUMN()/2+1,FALSE)=0,"",VLOOKUP($A65,数出表_Excel!$A$6:$T$150,COLUMN()/2+1,FALSE))),"")</f>
        <v/>
      </c>
      <c r="Q65" s="83"/>
      <c r="R65" s="197" t="str">
        <f ca="1">IFERROR(VALUE(IF(VLOOKUP($A65,数出表_Excel!$A$6:$T$150,COLUMN()/2+1,FALSE)=0,"",VLOOKUP($A65,数出表_Excel!$A$6:$T$150,COLUMN()/2+1,FALSE))),"")</f>
        <v/>
      </c>
      <c r="S65" s="67"/>
      <c r="T65" s="186" t="str">
        <f ca="1">IFERROR(VALUE(IF(VLOOKUP($A65,数出表_Excel!$A$6:$T$150,COLUMN()/2+1,FALSE)=0,"",VLOOKUP($A65,数出表_Excel!$A$6:$T$150,COLUMN()/2+1,FALSE))),"")</f>
        <v/>
      </c>
      <c r="U65" s="83"/>
      <c r="V65" s="197" t="str">
        <f ca="1">IFERROR(VALUE(IF(VLOOKUP($A65,数出表_Excel!$A$6:$T$150,COLUMN()/2+1,FALSE)=0,"",VLOOKUP($A65,数出表_Excel!$A$6:$T$150,COLUMN()/2+1,FALSE))),"")</f>
        <v/>
      </c>
      <c r="W65" s="67"/>
      <c r="X65" s="186" t="str">
        <f ca="1">IFERROR(VALUE(IF(VLOOKUP($A65,数出表_Excel!$A$6:$T$150,COLUMN()/2+1,FALSE)=0,"",VLOOKUP($A65,数出表_Excel!$A$6:$T$150,COLUMN()/2+1,FALSE))),"")</f>
        <v/>
      </c>
      <c r="Y65" s="83"/>
      <c r="Z65" s="197" t="str">
        <f ca="1">IFERROR(VALUE(IF(VLOOKUP($A65,数出表_Excel!$A$6:$T$150,COLUMN()/2+1,FALSE)=0,"",VLOOKUP($A65,数出表_Excel!$A$6:$T$150,COLUMN()/2+1,FALSE))),"")</f>
        <v/>
      </c>
      <c r="AA65" s="83"/>
      <c r="AB65" s="186" t="str">
        <f ca="1">IFERROR(VALUE(IF(VLOOKUP($A65,数出表_Excel!$A$6:$T$150,COLUMN()/2+1,FALSE)=0,"",VLOOKUP($A65,数出表_Excel!$A$6:$T$150,COLUMN()/2+1,FALSE))),"")</f>
        <v/>
      </c>
      <c r="AC65" s="83"/>
      <c r="AD65" s="186" t="str">
        <f ca="1">IFERROR(VALUE(IF(VLOOKUP($A65,数出表_Excel!$A$6:$T$150,COLUMN()/2+1,FALSE)=0,"",VLOOKUP($A65,数出表_Excel!$A$6:$T$150,COLUMN()/2+1,FALSE))),"")</f>
        <v/>
      </c>
      <c r="AE65" s="83"/>
      <c r="AF65" s="186" t="str">
        <f ca="1">IFERROR(VALUE(IF(VLOOKUP($A65,数出表_Excel!$A$6:$T$150,COLUMN()/2+1,FALSE)=0,"",VLOOKUP($A65,数出表_Excel!$A$6:$T$150,COLUMN()/2+1,FALSE))),"")</f>
        <v/>
      </c>
      <c r="AG65" s="83"/>
      <c r="AH65" s="186" t="str">
        <f ca="1">IFERROR(VALUE(IF(VLOOKUP($A65,数出表_Excel!$A$6:$T$150,COLUMN()/2+1,FALSE)=0,"",VLOOKUP($A65,数出表_Excel!$A$6:$T$150,COLUMN()/2+1,FALSE))),"")</f>
        <v/>
      </c>
      <c r="AI65" s="83"/>
      <c r="AJ65" s="186" t="str">
        <f ca="1">IFERROR(VALUE(IF(VLOOKUP($A65,数出表_Excel!$A$6:$T$150,COLUMN()/2+1,FALSE)=0,"",VLOOKUP($A65,数出表_Excel!$A$6:$T$150,COLUMN()/2+1,FALSE))),"")</f>
        <v/>
      </c>
      <c r="AK65" s="83"/>
      <c r="AL65" s="70" t="e">
        <f ca="1">IF(A65&lt;&gt;"",
IF(VLOOKUP($A65,数出表_Excel!$A$6:$T$150,COLUMN()/2+1,FALSE)=0,"",VLOOKUP($A65,数出表_Excel!$A$6:$T$150,COLUMN()/2+1,FALSE)),"")</f>
        <v>#N/A</v>
      </c>
      <c r="AM65" s="98" t="e">
        <f>数出表_Excel!V65</f>
        <v>#N/A</v>
      </c>
      <c r="AN65" s="99" t="e">
        <f>数出表_Excel!W65</f>
        <v>#N/A</v>
      </c>
    </row>
    <row r="66" spans="1:40" ht="16.2" customHeight="1">
      <c r="A66" s="88" t="e">
        <f t="array" aca="1" ref="A66" ca="1">IF(OR(COUNTIF(A64,"*10002*"),COUNTIF(A64,"")),"",INDEX(貼り付け用!$A1:$A200,MATCH(A64,貼り付け用!$A1:$A200,0)+2,0))</f>
        <v>#N/A</v>
      </c>
      <c r="B66" s="185" t="str">
        <f ca="1">IFERROR(VALUE(IF(VLOOKUP($A66,数出表_Excel!$A$6:$T$150,COLUMN()/2+1,FALSE)=0,"",VLOOKUP($A66,数出表_Excel!$A$6:$T$150,COLUMN()/2+1,FALSE))),"")</f>
        <v/>
      </c>
      <c r="C66" s="66"/>
      <c r="D66" s="185" t="str">
        <f ca="1">IFERROR(VALUE(IF(VLOOKUP($A66,数出表_Excel!$A$6:$T$150,COLUMN()/2+1,FALSE)=0,"",VLOOKUP($A66,数出表_Excel!$A$6:$T$150,COLUMN()/2+1,FALSE))),"")</f>
        <v/>
      </c>
      <c r="E66" s="82"/>
      <c r="F66" s="196" t="str">
        <f ca="1">IFERROR(VALUE(IF(VLOOKUP($A66,数出表_Excel!$A$6:$T$150,COLUMN()/2+1,FALSE)=0,"",VLOOKUP($A66,数出表_Excel!$A$6:$T$150,COLUMN()/2+1,FALSE))),"")</f>
        <v/>
      </c>
      <c r="G66" s="66"/>
      <c r="H66" s="185" t="str">
        <f ca="1">IFERROR(VALUE(IF(VLOOKUP($A66,数出表_Excel!$A$6:$T$150,COLUMN()/2+1,FALSE)=0,"",VLOOKUP($A66,数出表_Excel!$A$6:$T$150,COLUMN()/2+1,FALSE))),"")</f>
        <v/>
      </c>
      <c r="I66" s="82"/>
      <c r="J66" s="196" t="str">
        <f ca="1">IFERROR(VALUE(IF(VLOOKUP($A66,数出表_Excel!$A$6:$T$150,COLUMN()/2+1,FALSE)=0,"",VLOOKUP($A66,数出表_Excel!$A$6:$T$150,COLUMN()/2+1,FALSE))),"")</f>
        <v/>
      </c>
      <c r="K66" s="66"/>
      <c r="L66" s="185" t="str">
        <f ca="1">IFERROR(VALUE(IF(VLOOKUP($A66,数出表_Excel!$A$6:$T$150,COLUMN()/2+1,FALSE)=0,"",VLOOKUP($A66,数出表_Excel!$A$6:$T$150,COLUMN()/2+1,FALSE))),"")</f>
        <v/>
      </c>
      <c r="M66" s="82"/>
      <c r="N66" s="196" t="str">
        <f ca="1">IFERROR(VALUE(IF(VLOOKUP($A66,数出表_Excel!$A$6:$T$150,COLUMN()/2+1,FALSE)=0,"",VLOOKUP($A66,数出表_Excel!$A$6:$T$150,COLUMN()/2+1,FALSE))),"")</f>
        <v/>
      </c>
      <c r="O66" s="66"/>
      <c r="P66" s="185" t="str">
        <f ca="1">IFERROR(VALUE(IF(VLOOKUP($A66,数出表_Excel!$A$6:$T$150,COLUMN()/2+1,FALSE)=0,"",VLOOKUP($A66,数出表_Excel!$A$6:$T$150,COLUMN()/2+1,FALSE))),"")</f>
        <v/>
      </c>
      <c r="Q66" s="82"/>
      <c r="R66" s="196" t="str">
        <f ca="1">IFERROR(VALUE(IF(VLOOKUP($A66,数出表_Excel!$A$6:$T$150,COLUMN()/2+1,FALSE)=0,"",VLOOKUP($A66,数出表_Excel!$A$6:$T$150,COLUMN()/2+1,FALSE))),"")</f>
        <v/>
      </c>
      <c r="S66" s="66"/>
      <c r="T66" s="185" t="str">
        <f ca="1">IFERROR(VALUE(IF(VLOOKUP($A66,数出表_Excel!$A$6:$T$150,COLUMN()/2+1,FALSE)=0,"",VLOOKUP($A66,数出表_Excel!$A$6:$T$150,COLUMN()/2+1,FALSE))),"")</f>
        <v/>
      </c>
      <c r="U66" s="82"/>
      <c r="V66" s="196" t="str">
        <f ca="1">IFERROR(VALUE(IF(VLOOKUP($A66,数出表_Excel!$A$6:$T$150,COLUMN()/2+1,FALSE)=0,"",VLOOKUP($A66,数出表_Excel!$A$6:$T$150,COLUMN()/2+1,FALSE))),"")</f>
        <v/>
      </c>
      <c r="W66" s="66"/>
      <c r="X66" s="185" t="str">
        <f ca="1">IFERROR(VALUE(IF(VLOOKUP($A66,数出表_Excel!$A$6:$T$150,COLUMN()/2+1,FALSE)=0,"",VLOOKUP($A66,数出表_Excel!$A$6:$T$150,COLUMN()/2+1,FALSE))),"")</f>
        <v/>
      </c>
      <c r="Y66" s="82"/>
      <c r="Z66" s="196" t="str">
        <f ca="1">IFERROR(VALUE(IF(VLOOKUP($A66,数出表_Excel!$A$6:$T$150,COLUMN()/2+1,FALSE)=0,"",VLOOKUP($A66,数出表_Excel!$A$6:$T$150,COLUMN()/2+1,FALSE))),"")</f>
        <v/>
      </c>
      <c r="AA66" s="82"/>
      <c r="AB66" s="185" t="str">
        <f ca="1">IFERROR(VALUE(IF(VLOOKUP($A66,数出表_Excel!$A$6:$T$150,COLUMN()/2+1,FALSE)=0,"",VLOOKUP($A66,数出表_Excel!$A$6:$T$150,COLUMN()/2+1,FALSE))),"")</f>
        <v/>
      </c>
      <c r="AC66" s="82"/>
      <c r="AD66" s="185" t="str">
        <f ca="1">IFERROR(VALUE(IF(VLOOKUP($A66,数出表_Excel!$A$6:$T$150,COLUMN()/2+1,FALSE)=0,"",VLOOKUP($A66,数出表_Excel!$A$6:$T$150,COLUMN()/2+1,FALSE))),"")</f>
        <v/>
      </c>
      <c r="AE66" s="82"/>
      <c r="AF66" s="185" t="str">
        <f ca="1">IFERROR(VALUE(IF(VLOOKUP($A66,数出表_Excel!$A$6:$T$150,COLUMN()/2+1,FALSE)=0,"",VLOOKUP($A66,数出表_Excel!$A$6:$T$150,COLUMN()/2+1,FALSE))),"")</f>
        <v/>
      </c>
      <c r="AG66" s="82"/>
      <c r="AH66" s="185" t="str">
        <f ca="1">IFERROR(VALUE(IF(VLOOKUP($A66,数出表_Excel!$A$6:$T$150,COLUMN()/2+1,FALSE)=0,"",VLOOKUP($A66,数出表_Excel!$A$6:$T$150,COLUMN()/2+1,FALSE))),"")</f>
        <v/>
      </c>
      <c r="AI66" s="82"/>
      <c r="AJ66" s="185" t="str">
        <f ca="1">IFERROR(VALUE(IF(VLOOKUP($A66,数出表_Excel!$A$6:$T$150,COLUMN()/2+1,FALSE)=0,"",VLOOKUP($A66,数出表_Excel!$A$6:$T$150,COLUMN()/2+1,FALSE))),"")</f>
        <v/>
      </c>
      <c r="AK66" s="82"/>
      <c r="AL66" s="68" t="e">
        <f ca="1">IF(A66&lt;&gt;"",
IF(VLOOKUP($A66,数出表_Excel!$A$6:$T$150,COLUMN()/2+1,FALSE)=0,"",VLOOKUP($A66,数出表_Excel!$A$6:$T$150,COLUMN()/2+1,FALSE)),"")</f>
        <v>#N/A</v>
      </c>
      <c r="AM66" s="96" t="e">
        <f>数出表_Excel!V66</f>
        <v>#N/A</v>
      </c>
      <c r="AN66" s="97" t="e">
        <f>数出表_Excel!W66</f>
        <v>#N/A</v>
      </c>
    </row>
    <row r="67" spans="1:40" ht="16.2" customHeight="1">
      <c r="A67" s="89" t="e">
        <f t="array" aca="1" ref="A67" ca="1">IF(OR(COUNTIF(A65,"*1000*"),COUNTIF(A65,"")),"",INDEX(貼り付け用!$A1:$A200,MATCH(A65,貼り付け用!$A1:$A200,0)+2,0))</f>
        <v>#N/A</v>
      </c>
      <c r="B67" s="186" t="str">
        <f ca="1">IFERROR(VALUE(IF(VLOOKUP($A67,数出表_Excel!$A$6:$T$150,COLUMN()/2+1,FALSE)=0,"",VLOOKUP($A67,数出表_Excel!$A$6:$T$150,COLUMN()/2+1,FALSE))),"")</f>
        <v/>
      </c>
      <c r="C67" s="67"/>
      <c r="D67" s="186" t="str">
        <f ca="1">IFERROR(VALUE(IF(VLOOKUP($A67,数出表_Excel!$A$6:$T$150,COLUMN()/2+1,FALSE)=0,"",VLOOKUP($A67,数出表_Excel!$A$6:$T$150,COLUMN()/2+1,FALSE))),"")</f>
        <v/>
      </c>
      <c r="E67" s="83"/>
      <c r="F67" s="197" t="str">
        <f ca="1">IFERROR(VALUE(IF(VLOOKUP($A67,数出表_Excel!$A$6:$T$150,COLUMN()/2+1,FALSE)=0,"",VLOOKUP($A67,数出表_Excel!$A$6:$T$150,COLUMN()/2+1,FALSE))),"")</f>
        <v/>
      </c>
      <c r="G67" s="67"/>
      <c r="H67" s="186" t="str">
        <f ca="1">IFERROR(VALUE(IF(VLOOKUP($A67,数出表_Excel!$A$6:$T$150,COLUMN()/2+1,FALSE)=0,"",VLOOKUP($A67,数出表_Excel!$A$6:$T$150,COLUMN()/2+1,FALSE))),"")</f>
        <v/>
      </c>
      <c r="I67" s="83"/>
      <c r="J67" s="197" t="str">
        <f ca="1">IFERROR(VALUE(IF(VLOOKUP($A67,数出表_Excel!$A$6:$T$150,COLUMN()/2+1,FALSE)=0,"",VLOOKUP($A67,数出表_Excel!$A$6:$T$150,COLUMN()/2+1,FALSE))),"")</f>
        <v/>
      </c>
      <c r="K67" s="67"/>
      <c r="L67" s="186" t="str">
        <f ca="1">IFERROR(VALUE(IF(VLOOKUP($A67,数出表_Excel!$A$6:$T$150,COLUMN()/2+1,FALSE)=0,"",VLOOKUP($A67,数出表_Excel!$A$6:$T$150,COLUMN()/2+1,FALSE))),"")</f>
        <v/>
      </c>
      <c r="M67" s="83"/>
      <c r="N67" s="197" t="str">
        <f ca="1">IFERROR(VALUE(IF(VLOOKUP($A67,数出表_Excel!$A$6:$T$150,COLUMN()/2+1,FALSE)=0,"",VLOOKUP($A67,数出表_Excel!$A$6:$T$150,COLUMN()/2+1,FALSE))),"")</f>
        <v/>
      </c>
      <c r="O67" s="67"/>
      <c r="P67" s="186" t="str">
        <f ca="1">IFERROR(VALUE(IF(VLOOKUP($A67,数出表_Excel!$A$6:$T$150,COLUMN()/2+1,FALSE)=0,"",VLOOKUP($A67,数出表_Excel!$A$6:$T$150,COLUMN()/2+1,FALSE))),"")</f>
        <v/>
      </c>
      <c r="Q67" s="83"/>
      <c r="R67" s="197" t="str">
        <f ca="1">IFERROR(VALUE(IF(VLOOKUP($A67,数出表_Excel!$A$6:$T$150,COLUMN()/2+1,FALSE)=0,"",VLOOKUP($A67,数出表_Excel!$A$6:$T$150,COLUMN()/2+1,FALSE))),"")</f>
        <v/>
      </c>
      <c r="S67" s="67"/>
      <c r="T67" s="186" t="str">
        <f ca="1">IFERROR(VALUE(IF(VLOOKUP($A67,数出表_Excel!$A$6:$T$150,COLUMN()/2+1,FALSE)=0,"",VLOOKUP($A67,数出表_Excel!$A$6:$T$150,COLUMN()/2+1,FALSE))),"")</f>
        <v/>
      </c>
      <c r="U67" s="83"/>
      <c r="V67" s="197" t="str">
        <f ca="1">IFERROR(VALUE(IF(VLOOKUP($A67,数出表_Excel!$A$6:$T$150,COLUMN()/2+1,FALSE)=0,"",VLOOKUP($A67,数出表_Excel!$A$6:$T$150,COLUMN()/2+1,FALSE))),"")</f>
        <v/>
      </c>
      <c r="W67" s="67"/>
      <c r="X67" s="186" t="str">
        <f ca="1">IFERROR(VALUE(IF(VLOOKUP($A67,数出表_Excel!$A$6:$T$150,COLUMN()/2+1,FALSE)=0,"",VLOOKUP($A67,数出表_Excel!$A$6:$T$150,COLUMN()/2+1,FALSE))),"")</f>
        <v/>
      </c>
      <c r="Y67" s="83"/>
      <c r="Z67" s="197" t="str">
        <f ca="1">IFERROR(VALUE(IF(VLOOKUP($A67,数出表_Excel!$A$6:$T$150,COLUMN()/2+1,FALSE)=0,"",VLOOKUP($A67,数出表_Excel!$A$6:$T$150,COLUMN()/2+1,FALSE))),"")</f>
        <v/>
      </c>
      <c r="AA67" s="83"/>
      <c r="AB67" s="186" t="str">
        <f ca="1">IFERROR(VALUE(IF(VLOOKUP($A67,数出表_Excel!$A$6:$T$150,COLUMN()/2+1,FALSE)=0,"",VLOOKUP($A67,数出表_Excel!$A$6:$T$150,COLUMN()/2+1,FALSE))),"")</f>
        <v/>
      </c>
      <c r="AC67" s="83"/>
      <c r="AD67" s="186" t="str">
        <f ca="1">IFERROR(VALUE(IF(VLOOKUP($A67,数出表_Excel!$A$6:$T$150,COLUMN()/2+1,FALSE)=0,"",VLOOKUP($A67,数出表_Excel!$A$6:$T$150,COLUMN()/2+1,FALSE))),"")</f>
        <v/>
      </c>
      <c r="AE67" s="83"/>
      <c r="AF67" s="186" t="str">
        <f ca="1">IFERROR(VALUE(IF(VLOOKUP($A67,数出表_Excel!$A$6:$T$150,COLUMN()/2+1,FALSE)=0,"",VLOOKUP($A67,数出表_Excel!$A$6:$T$150,COLUMN()/2+1,FALSE))),"")</f>
        <v/>
      </c>
      <c r="AG67" s="83"/>
      <c r="AH67" s="186" t="str">
        <f ca="1">IFERROR(VALUE(IF(VLOOKUP($A67,数出表_Excel!$A$6:$T$150,COLUMN()/2+1,FALSE)=0,"",VLOOKUP($A67,数出表_Excel!$A$6:$T$150,COLUMN()/2+1,FALSE))),"")</f>
        <v/>
      </c>
      <c r="AI67" s="83"/>
      <c r="AJ67" s="186" t="str">
        <f ca="1">IFERROR(VALUE(IF(VLOOKUP($A67,数出表_Excel!$A$6:$T$150,COLUMN()/2+1,FALSE)=0,"",VLOOKUP($A67,数出表_Excel!$A$6:$T$150,COLUMN()/2+1,FALSE))),"")</f>
        <v/>
      </c>
      <c r="AK67" s="83"/>
      <c r="AL67" s="70" t="e">
        <f ca="1">IF(A67&lt;&gt;"",
IF(VLOOKUP($A67,数出表_Excel!$A$6:$T$150,COLUMN()/2+1,FALSE)=0,"",VLOOKUP($A67,数出表_Excel!$A$6:$T$150,COLUMN()/2+1,FALSE)),"")</f>
        <v>#N/A</v>
      </c>
      <c r="AM67" s="98" t="e">
        <f>数出表_Excel!V67</f>
        <v>#N/A</v>
      </c>
      <c r="AN67" s="99" t="e">
        <f>数出表_Excel!W67</f>
        <v>#N/A</v>
      </c>
    </row>
    <row r="68" spans="1:40" ht="16.2" customHeight="1">
      <c r="A68" s="88" t="e">
        <f t="array" aca="1" ref="A68" ca="1">IF(OR(COUNTIF(A66,"*10002*"),COUNTIF(A66,"")),"",INDEX(貼り付け用!$A1:$A200,MATCH(A66,貼り付け用!$A1:$A200,0)+2,0))</f>
        <v>#N/A</v>
      </c>
      <c r="B68" s="185" t="str">
        <f ca="1">IFERROR(VALUE(IF(VLOOKUP($A68,数出表_Excel!$A$6:$T$150,COLUMN()/2+1,FALSE)=0,"",VLOOKUP($A68,数出表_Excel!$A$6:$T$150,COLUMN()/2+1,FALSE))),"")</f>
        <v/>
      </c>
      <c r="C68" s="66"/>
      <c r="D68" s="185" t="str">
        <f ca="1">IFERROR(VALUE(IF(VLOOKUP($A68,数出表_Excel!$A$6:$T$150,COLUMN()/2+1,FALSE)=0,"",VLOOKUP($A68,数出表_Excel!$A$6:$T$150,COLUMN()/2+1,FALSE))),"")</f>
        <v/>
      </c>
      <c r="E68" s="82"/>
      <c r="F68" s="196" t="str">
        <f ca="1">IFERROR(VALUE(IF(VLOOKUP($A68,数出表_Excel!$A$6:$T$150,COLUMN()/2+1,FALSE)=0,"",VLOOKUP($A68,数出表_Excel!$A$6:$T$150,COLUMN()/2+1,FALSE))),"")</f>
        <v/>
      </c>
      <c r="G68" s="66"/>
      <c r="H68" s="185" t="str">
        <f ca="1">IFERROR(VALUE(IF(VLOOKUP($A68,数出表_Excel!$A$6:$T$150,COLUMN()/2+1,FALSE)=0,"",VLOOKUP($A68,数出表_Excel!$A$6:$T$150,COLUMN()/2+1,FALSE))),"")</f>
        <v/>
      </c>
      <c r="I68" s="82"/>
      <c r="J68" s="196" t="str">
        <f ca="1">IFERROR(VALUE(IF(VLOOKUP($A68,数出表_Excel!$A$6:$T$150,COLUMN()/2+1,FALSE)=0,"",VLOOKUP($A68,数出表_Excel!$A$6:$T$150,COLUMN()/2+1,FALSE))),"")</f>
        <v/>
      </c>
      <c r="K68" s="66"/>
      <c r="L68" s="185" t="str">
        <f ca="1">IFERROR(VALUE(IF(VLOOKUP($A68,数出表_Excel!$A$6:$T$150,COLUMN()/2+1,FALSE)=0,"",VLOOKUP($A68,数出表_Excel!$A$6:$T$150,COLUMN()/2+1,FALSE))),"")</f>
        <v/>
      </c>
      <c r="M68" s="82"/>
      <c r="N68" s="196" t="str">
        <f ca="1">IFERROR(VALUE(IF(VLOOKUP($A68,数出表_Excel!$A$6:$T$150,COLUMN()/2+1,FALSE)=0,"",VLOOKUP($A68,数出表_Excel!$A$6:$T$150,COLUMN()/2+1,FALSE))),"")</f>
        <v/>
      </c>
      <c r="O68" s="66"/>
      <c r="P68" s="185" t="str">
        <f ca="1">IFERROR(VALUE(IF(VLOOKUP($A68,数出表_Excel!$A$6:$T$150,COLUMN()/2+1,FALSE)=0,"",VLOOKUP($A68,数出表_Excel!$A$6:$T$150,COLUMN()/2+1,FALSE))),"")</f>
        <v/>
      </c>
      <c r="Q68" s="82"/>
      <c r="R68" s="196" t="str">
        <f ca="1">IFERROR(VALUE(IF(VLOOKUP($A68,数出表_Excel!$A$6:$T$150,COLUMN()/2+1,FALSE)=0,"",VLOOKUP($A68,数出表_Excel!$A$6:$T$150,COLUMN()/2+1,FALSE))),"")</f>
        <v/>
      </c>
      <c r="S68" s="66"/>
      <c r="T68" s="185" t="str">
        <f ca="1">IFERROR(VALUE(IF(VLOOKUP($A68,数出表_Excel!$A$6:$T$150,COLUMN()/2+1,FALSE)=0,"",VLOOKUP($A68,数出表_Excel!$A$6:$T$150,COLUMN()/2+1,FALSE))),"")</f>
        <v/>
      </c>
      <c r="U68" s="82"/>
      <c r="V68" s="196" t="str">
        <f ca="1">IFERROR(VALUE(IF(VLOOKUP($A68,数出表_Excel!$A$6:$T$150,COLUMN()/2+1,FALSE)=0,"",VLOOKUP($A68,数出表_Excel!$A$6:$T$150,COLUMN()/2+1,FALSE))),"")</f>
        <v/>
      </c>
      <c r="W68" s="66"/>
      <c r="X68" s="185" t="str">
        <f ca="1">IFERROR(VALUE(IF(VLOOKUP($A68,数出表_Excel!$A$6:$T$150,COLUMN()/2+1,FALSE)=0,"",VLOOKUP($A68,数出表_Excel!$A$6:$T$150,COLUMN()/2+1,FALSE))),"")</f>
        <v/>
      </c>
      <c r="Y68" s="82"/>
      <c r="Z68" s="196" t="str">
        <f ca="1">IFERROR(VALUE(IF(VLOOKUP($A68,数出表_Excel!$A$6:$T$150,COLUMN()/2+1,FALSE)=0,"",VLOOKUP($A68,数出表_Excel!$A$6:$T$150,COLUMN()/2+1,FALSE))),"")</f>
        <v/>
      </c>
      <c r="AA68" s="82"/>
      <c r="AB68" s="185" t="str">
        <f ca="1">IFERROR(VALUE(IF(VLOOKUP($A68,数出表_Excel!$A$6:$T$150,COLUMN()/2+1,FALSE)=0,"",VLOOKUP($A68,数出表_Excel!$A$6:$T$150,COLUMN()/2+1,FALSE))),"")</f>
        <v/>
      </c>
      <c r="AC68" s="82"/>
      <c r="AD68" s="185" t="str">
        <f ca="1">IFERROR(VALUE(IF(VLOOKUP($A68,数出表_Excel!$A$6:$T$150,COLUMN()/2+1,FALSE)=0,"",VLOOKUP($A68,数出表_Excel!$A$6:$T$150,COLUMN()/2+1,FALSE))),"")</f>
        <v/>
      </c>
      <c r="AE68" s="82"/>
      <c r="AF68" s="185" t="str">
        <f ca="1">IFERROR(VALUE(IF(VLOOKUP($A68,数出表_Excel!$A$6:$T$150,COLUMN()/2+1,FALSE)=0,"",VLOOKUP($A68,数出表_Excel!$A$6:$T$150,COLUMN()/2+1,FALSE))),"")</f>
        <v/>
      </c>
      <c r="AG68" s="82"/>
      <c r="AH68" s="185" t="str">
        <f ca="1">IFERROR(VALUE(IF(VLOOKUP($A68,数出表_Excel!$A$6:$T$150,COLUMN()/2+1,FALSE)=0,"",VLOOKUP($A68,数出表_Excel!$A$6:$T$150,COLUMN()/2+1,FALSE))),"")</f>
        <v/>
      </c>
      <c r="AI68" s="82"/>
      <c r="AJ68" s="185" t="str">
        <f ca="1">IFERROR(VALUE(IF(VLOOKUP($A68,数出表_Excel!$A$6:$T$150,COLUMN()/2+1,FALSE)=0,"",VLOOKUP($A68,数出表_Excel!$A$6:$T$150,COLUMN()/2+1,FALSE))),"")</f>
        <v/>
      </c>
      <c r="AK68" s="82"/>
      <c r="AL68" s="68" t="e">
        <f ca="1">IF(A68&lt;&gt;"",
IF(VLOOKUP($A68,数出表_Excel!$A$6:$T$150,COLUMN()/2+1,FALSE)=0,"",VLOOKUP($A68,数出表_Excel!$A$6:$T$150,COLUMN()/2+1,FALSE)),"")</f>
        <v>#N/A</v>
      </c>
      <c r="AM68" s="96" t="e">
        <f>数出表_Excel!V68</f>
        <v>#N/A</v>
      </c>
      <c r="AN68" s="97" t="e">
        <f>数出表_Excel!W68</f>
        <v>#N/A</v>
      </c>
    </row>
    <row r="69" spans="1:40" ht="16.2" customHeight="1">
      <c r="A69" s="89" t="e">
        <f t="array" aca="1" ref="A69" ca="1">IF(OR(COUNTIF(A67,"*1000*"),COUNTIF(A67,"")),"",INDEX(貼り付け用!$A1:$A200,MATCH(A67,貼り付け用!$A1:$A200,0)+2,0))</f>
        <v>#N/A</v>
      </c>
      <c r="B69" s="186" t="str">
        <f ca="1">IFERROR(VALUE(IF(VLOOKUP($A69,数出表_Excel!$A$6:$T$150,COLUMN()/2+1,FALSE)=0,"",VLOOKUP($A69,数出表_Excel!$A$6:$T$150,COLUMN()/2+1,FALSE))),"")</f>
        <v/>
      </c>
      <c r="C69" s="67"/>
      <c r="D69" s="186" t="str">
        <f ca="1">IFERROR(VALUE(IF(VLOOKUP($A69,数出表_Excel!$A$6:$T$150,COLUMN()/2+1,FALSE)=0,"",VLOOKUP($A69,数出表_Excel!$A$6:$T$150,COLUMN()/2+1,FALSE))),"")</f>
        <v/>
      </c>
      <c r="E69" s="83"/>
      <c r="F69" s="197" t="str">
        <f ca="1">IFERROR(VALUE(IF(VLOOKUP($A69,数出表_Excel!$A$6:$T$150,COLUMN()/2+1,FALSE)=0,"",VLOOKUP($A69,数出表_Excel!$A$6:$T$150,COLUMN()/2+1,FALSE))),"")</f>
        <v/>
      </c>
      <c r="G69" s="67"/>
      <c r="H69" s="186" t="str">
        <f ca="1">IFERROR(VALUE(IF(VLOOKUP($A69,数出表_Excel!$A$6:$T$150,COLUMN()/2+1,FALSE)=0,"",VLOOKUP($A69,数出表_Excel!$A$6:$T$150,COLUMN()/2+1,FALSE))),"")</f>
        <v/>
      </c>
      <c r="I69" s="83"/>
      <c r="J69" s="197" t="str">
        <f ca="1">IFERROR(VALUE(IF(VLOOKUP($A69,数出表_Excel!$A$6:$T$150,COLUMN()/2+1,FALSE)=0,"",VLOOKUP($A69,数出表_Excel!$A$6:$T$150,COLUMN()/2+1,FALSE))),"")</f>
        <v/>
      </c>
      <c r="K69" s="67"/>
      <c r="L69" s="186" t="str">
        <f ca="1">IFERROR(VALUE(IF(VLOOKUP($A69,数出表_Excel!$A$6:$T$150,COLUMN()/2+1,FALSE)=0,"",VLOOKUP($A69,数出表_Excel!$A$6:$T$150,COLUMN()/2+1,FALSE))),"")</f>
        <v/>
      </c>
      <c r="M69" s="83"/>
      <c r="N69" s="197" t="str">
        <f ca="1">IFERROR(VALUE(IF(VLOOKUP($A69,数出表_Excel!$A$6:$T$150,COLUMN()/2+1,FALSE)=0,"",VLOOKUP($A69,数出表_Excel!$A$6:$T$150,COLUMN()/2+1,FALSE))),"")</f>
        <v/>
      </c>
      <c r="O69" s="67"/>
      <c r="P69" s="186" t="str">
        <f ca="1">IFERROR(VALUE(IF(VLOOKUP($A69,数出表_Excel!$A$6:$T$150,COLUMN()/2+1,FALSE)=0,"",VLOOKUP($A69,数出表_Excel!$A$6:$T$150,COLUMN()/2+1,FALSE))),"")</f>
        <v/>
      </c>
      <c r="Q69" s="83"/>
      <c r="R69" s="197" t="str">
        <f ca="1">IFERROR(VALUE(IF(VLOOKUP($A69,数出表_Excel!$A$6:$T$150,COLUMN()/2+1,FALSE)=0,"",VLOOKUP($A69,数出表_Excel!$A$6:$T$150,COLUMN()/2+1,FALSE))),"")</f>
        <v/>
      </c>
      <c r="S69" s="67"/>
      <c r="T69" s="186" t="str">
        <f ca="1">IFERROR(VALUE(IF(VLOOKUP($A69,数出表_Excel!$A$6:$T$150,COLUMN()/2+1,FALSE)=0,"",VLOOKUP($A69,数出表_Excel!$A$6:$T$150,COLUMN()/2+1,FALSE))),"")</f>
        <v/>
      </c>
      <c r="U69" s="83"/>
      <c r="V69" s="197" t="str">
        <f ca="1">IFERROR(VALUE(IF(VLOOKUP($A69,数出表_Excel!$A$6:$T$150,COLUMN()/2+1,FALSE)=0,"",VLOOKUP($A69,数出表_Excel!$A$6:$T$150,COLUMN()/2+1,FALSE))),"")</f>
        <v/>
      </c>
      <c r="W69" s="67"/>
      <c r="X69" s="186" t="str">
        <f ca="1">IFERROR(VALUE(IF(VLOOKUP($A69,数出表_Excel!$A$6:$T$150,COLUMN()/2+1,FALSE)=0,"",VLOOKUP($A69,数出表_Excel!$A$6:$T$150,COLUMN()/2+1,FALSE))),"")</f>
        <v/>
      </c>
      <c r="Y69" s="83"/>
      <c r="Z69" s="197" t="str">
        <f ca="1">IFERROR(VALUE(IF(VLOOKUP($A69,数出表_Excel!$A$6:$T$150,COLUMN()/2+1,FALSE)=0,"",VLOOKUP($A69,数出表_Excel!$A$6:$T$150,COLUMN()/2+1,FALSE))),"")</f>
        <v/>
      </c>
      <c r="AA69" s="83"/>
      <c r="AB69" s="186" t="str">
        <f ca="1">IFERROR(VALUE(IF(VLOOKUP($A69,数出表_Excel!$A$6:$T$150,COLUMN()/2+1,FALSE)=0,"",VLOOKUP($A69,数出表_Excel!$A$6:$T$150,COLUMN()/2+1,FALSE))),"")</f>
        <v/>
      </c>
      <c r="AC69" s="83"/>
      <c r="AD69" s="186" t="str">
        <f ca="1">IFERROR(VALUE(IF(VLOOKUP($A69,数出表_Excel!$A$6:$T$150,COLUMN()/2+1,FALSE)=0,"",VLOOKUP($A69,数出表_Excel!$A$6:$T$150,COLUMN()/2+1,FALSE))),"")</f>
        <v/>
      </c>
      <c r="AE69" s="83"/>
      <c r="AF69" s="186" t="str">
        <f ca="1">IFERROR(VALUE(IF(VLOOKUP($A69,数出表_Excel!$A$6:$T$150,COLUMN()/2+1,FALSE)=0,"",VLOOKUP($A69,数出表_Excel!$A$6:$T$150,COLUMN()/2+1,FALSE))),"")</f>
        <v/>
      </c>
      <c r="AG69" s="83"/>
      <c r="AH69" s="186" t="str">
        <f ca="1">IFERROR(VALUE(IF(VLOOKUP($A69,数出表_Excel!$A$6:$T$150,COLUMN()/2+1,FALSE)=0,"",VLOOKUP($A69,数出表_Excel!$A$6:$T$150,COLUMN()/2+1,FALSE))),"")</f>
        <v/>
      </c>
      <c r="AI69" s="83"/>
      <c r="AJ69" s="186" t="str">
        <f ca="1">IFERROR(VALUE(IF(VLOOKUP($A69,数出表_Excel!$A$6:$T$150,COLUMN()/2+1,FALSE)=0,"",VLOOKUP($A69,数出表_Excel!$A$6:$T$150,COLUMN()/2+1,FALSE))),"")</f>
        <v/>
      </c>
      <c r="AK69" s="83"/>
      <c r="AL69" s="70" t="e">
        <f ca="1">IF(A69&lt;&gt;"",
IF(VLOOKUP($A69,数出表_Excel!$A$6:$T$150,COLUMN()/2+1,FALSE)=0,"",VLOOKUP($A69,数出表_Excel!$A$6:$T$150,COLUMN()/2+1,FALSE)),"")</f>
        <v>#N/A</v>
      </c>
      <c r="AM69" s="98" t="e">
        <f>数出表_Excel!V69</f>
        <v>#N/A</v>
      </c>
      <c r="AN69" s="99" t="e">
        <f>数出表_Excel!W69</f>
        <v>#N/A</v>
      </c>
    </row>
    <row r="70" spans="1:40" ht="16.2" customHeight="1">
      <c r="A70" s="88" t="e">
        <f t="array" aca="1" ref="A70" ca="1">IF(OR(COUNTIF(A68,"*10002*"),COUNTIF(A68,"")),"",INDEX(貼り付け用!$A1:$A200,MATCH(A68,貼り付け用!$A1:$A200,0)+2,0))</f>
        <v>#N/A</v>
      </c>
      <c r="B70" s="185" t="str">
        <f ca="1">IFERROR(VALUE(IF(VLOOKUP($A70,数出表_Excel!$A$6:$T$150,COLUMN()/2+1,FALSE)=0,"",VLOOKUP($A70,数出表_Excel!$A$6:$T$150,COLUMN()/2+1,FALSE))),"")</f>
        <v/>
      </c>
      <c r="C70" s="66"/>
      <c r="D70" s="185" t="str">
        <f ca="1">IFERROR(VALUE(IF(VLOOKUP($A70,数出表_Excel!$A$6:$T$150,COLUMN()/2+1,FALSE)=0,"",VLOOKUP($A70,数出表_Excel!$A$6:$T$150,COLUMN()/2+1,FALSE))),"")</f>
        <v/>
      </c>
      <c r="E70" s="82"/>
      <c r="F70" s="196" t="str">
        <f ca="1">IFERROR(VALUE(IF(VLOOKUP($A70,数出表_Excel!$A$6:$T$150,COLUMN()/2+1,FALSE)=0,"",VLOOKUP($A70,数出表_Excel!$A$6:$T$150,COLUMN()/2+1,FALSE))),"")</f>
        <v/>
      </c>
      <c r="G70" s="66"/>
      <c r="H70" s="185" t="str">
        <f ca="1">IFERROR(VALUE(IF(VLOOKUP($A70,数出表_Excel!$A$6:$T$150,COLUMN()/2+1,FALSE)=0,"",VLOOKUP($A70,数出表_Excel!$A$6:$T$150,COLUMN()/2+1,FALSE))),"")</f>
        <v/>
      </c>
      <c r="I70" s="82"/>
      <c r="J70" s="196" t="str">
        <f ca="1">IFERROR(VALUE(IF(VLOOKUP($A70,数出表_Excel!$A$6:$T$150,COLUMN()/2+1,FALSE)=0,"",VLOOKUP($A70,数出表_Excel!$A$6:$T$150,COLUMN()/2+1,FALSE))),"")</f>
        <v/>
      </c>
      <c r="K70" s="66"/>
      <c r="L70" s="185" t="str">
        <f ca="1">IFERROR(VALUE(IF(VLOOKUP($A70,数出表_Excel!$A$6:$T$150,COLUMN()/2+1,FALSE)=0,"",VLOOKUP($A70,数出表_Excel!$A$6:$T$150,COLUMN()/2+1,FALSE))),"")</f>
        <v/>
      </c>
      <c r="M70" s="82"/>
      <c r="N70" s="196" t="str">
        <f ca="1">IFERROR(VALUE(IF(VLOOKUP($A70,数出表_Excel!$A$6:$T$150,COLUMN()/2+1,FALSE)=0,"",VLOOKUP($A70,数出表_Excel!$A$6:$T$150,COLUMN()/2+1,FALSE))),"")</f>
        <v/>
      </c>
      <c r="O70" s="66"/>
      <c r="P70" s="185" t="str">
        <f ca="1">IFERROR(VALUE(IF(VLOOKUP($A70,数出表_Excel!$A$6:$T$150,COLUMN()/2+1,FALSE)=0,"",VLOOKUP($A70,数出表_Excel!$A$6:$T$150,COLUMN()/2+1,FALSE))),"")</f>
        <v/>
      </c>
      <c r="Q70" s="82"/>
      <c r="R70" s="196" t="str">
        <f ca="1">IFERROR(VALUE(IF(VLOOKUP($A70,数出表_Excel!$A$6:$T$150,COLUMN()/2+1,FALSE)=0,"",VLOOKUP($A70,数出表_Excel!$A$6:$T$150,COLUMN()/2+1,FALSE))),"")</f>
        <v/>
      </c>
      <c r="S70" s="66"/>
      <c r="T70" s="185" t="str">
        <f ca="1">IFERROR(VALUE(IF(VLOOKUP($A70,数出表_Excel!$A$6:$T$150,COLUMN()/2+1,FALSE)=0,"",VLOOKUP($A70,数出表_Excel!$A$6:$T$150,COLUMN()/2+1,FALSE))),"")</f>
        <v/>
      </c>
      <c r="U70" s="82"/>
      <c r="V70" s="196" t="str">
        <f ca="1">IFERROR(VALUE(IF(VLOOKUP($A70,数出表_Excel!$A$6:$T$150,COLUMN()/2+1,FALSE)=0,"",VLOOKUP($A70,数出表_Excel!$A$6:$T$150,COLUMN()/2+1,FALSE))),"")</f>
        <v/>
      </c>
      <c r="W70" s="66"/>
      <c r="X70" s="185" t="str">
        <f ca="1">IFERROR(VALUE(IF(VLOOKUP($A70,数出表_Excel!$A$6:$T$150,COLUMN()/2+1,FALSE)=0,"",VLOOKUP($A70,数出表_Excel!$A$6:$T$150,COLUMN()/2+1,FALSE))),"")</f>
        <v/>
      </c>
      <c r="Y70" s="82"/>
      <c r="Z70" s="196" t="str">
        <f ca="1">IFERROR(VALUE(IF(VLOOKUP($A70,数出表_Excel!$A$6:$T$150,COLUMN()/2+1,FALSE)=0,"",VLOOKUP($A70,数出表_Excel!$A$6:$T$150,COLUMN()/2+1,FALSE))),"")</f>
        <v/>
      </c>
      <c r="AA70" s="82"/>
      <c r="AB70" s="185" t="str">
        <f ca="1">IFERROR(VALUE(IF(VLOOKUP($A70,数出表_Excel!$A$6:$T$150,COLUMN()/2+1,FALSE)=0,"",VLOOKUP($A70,数出表_Excel!$A$6:$T$150,COLUMN()/2+1,FALSE))),"")</f>
        <v/>
      </c>
      <c r="AC70" s="82"/>
      <c r="AD70" s="185" t="str">
        <f ca="1">IFERROR(VALUE(IF(VLOOKUP($A70,数出表_Excel!$A$6:$T$150,COLUMN()/2+1,FALSE)=0,"",VLOOKUP($A70,数出表_Excel!$A$6:$T$150,COLUMN()/2+1,FALSE))),"")</f>
        <v/>
      </c>
      <c r="AE70" s="82"/>
      <c r="AF70" s="185" t="str">
        <f ca="1">IFERROR(VALUE(IF(VLOOKUP($A70,数出表_Excel!$A$6:$T$150,COLUMN()/2+1,FALSE)=0,"",VLOOKUP($A70,数出表_Excel!$A$6:$T$150,COLUMN()/2+1,FALSE))),"")</f>
        <v/>
      </c>
      <c r="AG70" s="82"/>
      <c r="AH70" s="185" t="str">
        <f ca="1">IFERROR(VALUE(IF(VLOOKUP($A70,数出表_Excel!$A$6:$T$150,COLUMN()/2+1,FALSE)=0,"",VLOOKUP($A70,数出表_Excel!$A$6:$T$150,COLUMN()/2+1,FALSE))),"")</f>
        <v/>
      </c>
      <c r="AI70" s="82"/>
      <c r="AJ70" s="185" t="str">
        <f ca="1">IFERROR(VALUE(IF(VLOOKUP($A70,数出表_Excel!$A$6:$T$150,COLUMN()/2+1,FALSE)=0,"",VLOOKUP($A70,数出表_Excel!$A$6:$T$150,COLUMN()/2+1,FALSE))),"")</f>
        <v/>
      </c>
      <c r="AK70" s="82"/>
      <c r="AL70" s="68" t="e">
        <f ca="1">IF(A70&lt;&gt;"",
IF(VLOOKUP($A70,数出表_Excel!$A$6:$T$150,COLUMN()/2+1,FALSE)=0,"",VLOOKUP($A70,数出表_Excel!$A$6:$T$150,COLUMN()/2+1,FALSE)),"")</f>
        <v>#N/A</v>
      </c>
      <c r="AM70" s="96" t="e">
        <f>数出表_Excel!V70</f>
        <v>#N/A</v>
      </c>
      <c r="AN70" s="97" t="e">
        <f>数出表_Excel!W70</f>
        <v>#N/A</v>
      </c>
    </row>
    <row r="71" spans="1:40" ht="16.2" customHeight="1">
      <c r="A71" s="89" t="e">
        <f t="array" aca="1" ref="A71" ca="1">IF(OR(COUNTIF(A69,"*1000*"),COUNTIF(A69,"")),"",INDEX(貼り付け用!$A1:$A200,MATCH(A69,貼り付け用!$A1:$A200,0)+2,0))</f>
        <v>#N/A</v>
      </c>
      <c r="B71" s="186" t="str">
        <f ca="1">IFERROR(VALUE(IF(VLOOKUP($A71,数出表_Excel!$A$6:$T$150,COLUMN()/2+1,FALSE)=0,"",VLOOKUP($A71,数出表_Excel!$A$6:$T$150,COLUMN()/2+1,FALSE))),"")</f>
        <v/>
      </c>
      <c r="C71" s="67"/>
      <c r="D71" s="186" t="str">
        <f ca="1">IFERROR(VALUE(IF(VLOOKUP($A71,数出表_Excel!$A$6:$T$150,COLUMN()/2+1,FALSE)=0,"",VLOOKUP($A71,数出表_Excel!$A$6:$T$150,COLUMN()/2+1,FALSE))),"")</f>
        <v/>
      </c>
      <c r="E71" s="83"/>
      <c r="F71" s="197" t="str">
        <f ca="1">IFERROR(VALUE(IF(VLOOKUP($A71,数出表_Excel!$A$6:$T$150,COLUMN()/2+1,FALSE)=0,"",VLOOKUP($A71,数出表_Excel!$A$6:$T$150,COLUMN()/2+1,FALSE))),"")</f>
        <v/>
      </c>
      <c r="G71" s="67"/>
      <c r="H71" s="186" t="str">
        <f ca="1">IFERROR(VALUE(IF(VLOOKUP($A71,数出表_Excel!$A$6:$T$150,COLUMN()/2+1,FALSE)=0,"",VLOOKUP($A71,数出表_Excel!$A$6:$T$150,COLUMN()/2+1,FALSE))),"")</f>
        <v/>
      </c>
      <c r="I71" s="83"/>
      <c r="J71" s="197" t="str">
        <f ca="1">IFERROR(VALUE(IF(VLOOKUP($A71,数出表_Excel!$A$6:$T$150,COLUMN()/2+1,FALSE)=0,"",VLOOKUP($A71,数出表_Excel!$A$6:$T$150,COLUMN()/2+1,FALSE))),"")</f>
        <v/>
      </c>
      <c r="K71" s="67"/>
      <c r="L71" s="186" t="str">
        <f ca="1">IFERROR(VALUE(IF(VLOOKUP($A71,数出表_Excel!$A$6:$T$150,COLUMN()/2+1,FALSE)=0,"",VLOOKUP($A71,数出表_Excel!$A$6:$T$150,COLUMN()/2+1,FALSE))),"")</f>
        <v/>
      </c>
      <c r="M71" s="83"/>
      <c r="N71" s="197" t="str">
        <f ca="1">IFERROR(VALUE(IF(VLOOKUP($A71,数出表_Excel!$A$6:$T$150,COLUMN()/2+1,FALSE)=0,"",VLOOKUP($A71,数出表_Excel!$A$6:$T$150,COLUMN()/2+1,FALSE))),"")</f>
        <v/>
      </c>
      <c r="O71" s="67"/>
      <c r="P71" s="186" t="str">
        <f ca="1">IFERROR(VALUE(IF(VLOOKUP($A71,数出表_Excel!$A$6:$T$150,COLUMN()/2+1,FALSE)=0,"",VLOOKUP($A71,数出表_Excel!$A$6:$T$150,COLUMN()/2+1,FALSE))),"")</f>
        <v/>
      </c>
      <c r="Q71" s="83"/>
      <c r="R71" s="197" t="str">
        <f ca="1">IFERROR(VALUE(IF(VLOOKUP($A71,数出表_Excel!$A$6:$T$150,COLUMN()/2+1,FALSE)=0,"",VLOOKUP($A71,数出表_Excel!$A$6:$T$150,COLUMN()/2+1,FALSE))),"")</f>
        <v/>
      </c>
      <c r="S71" s="67"/>
      <c r="T71" s="186" t="str">
        <f ca="1">IFERROR(VALUE(IF(VLOOKUP($A71,数出表_Excel!$A$6:$T$150,COLUMN()/2+1,FALSE)=0,"",VLOOKUP($A71,数出表_Excel!$A$6:$T$150,COLUMN()/2+1,FALSE))),"")</f>
        <v/>
      </c>
      <c r="U71" s="83"/>
      <c r="V71" s="197" t="str">
        <f ca="1">IFERROR(VALUE(IF(VLOOKUP($A71,数出表_Excel!$A$6:$T$150,COLUMN()/2+1,FALSE)=0,"",VLOOKUP($A71,数出表_Excel!$A$6:$T$150,COLUMN()/2+1,FALSE))),"")</f>
        <v/>
      </c>
      <c r="W71" s="67"/>
      <c r="X71" s="186" t="str">
        <f ca="1">IFERROR(VALUE(IF(VLOOKUP($A71,数出表_Excel!$A$6:$T$150,COLUMN()/2+1,FALSE)=0,"",VLOOKUP($A71,数出表_Excel!$A$6:$T$150,COLUMN()/2+1,FALSE))),"")</f>
        <v/>
      </c>
      <c r="Y71" s="83"/>
      <c r="Z71" s="197" t="str">
        <f ca="1">IFERROR(VALUE(IF(VLOOKUP($A71,数出表_Excel!$A$6:$T$150,COLUMN()/2+1,FALSE)=0,"",VLOOKUP($A71,数出表_Excel!$A$6:$T$150,COLUMN()/2+1,FALSE))),"")</f>
        <v/>
      </c>
      <c r="AA71" s="83"/>
      <c r="AB71" s="186" t="str">
        <f ca="1">IFERROR(VALUE(IF(VLOOKUP($A71,数出表_Excel!$A$6:$T$150,COLUMN()/2+1,FALSE)=0,"",VLOOKUP($A71,数出表_Excel!$A$6:$T$150,COLUMN()/2+1,FALSE))),"")</f>
        <v/>
      </c>
      <c r="AC71" s="83"/>
      <c r="AD71" s="186" t="str">
        <f ca="1">IFERROR(VALUE(IF(VLOOKUP($A71,数出表_Excel!$A$6:$T$150,COLUMN()/2+1,FALSE)=0,"",VLOOKUP($A71,数出表_Excel!$A$6:$T$150,COLUMN()/2+1,FALSE))),"")</f>
        <v/>
      </c>
      <c r="AE71" s="83"/>
      <c r="AF71" s="186" t="str">
        <f ca="1">IFERROR(VALUE(IF(VLOOKUP($A71,数出表_Excel!$A$6:$T$150,COLUMN()/2+1,FALSE)=0,"",VLOOKUP($A71,数出表_Excel!$A$6:$T$150,COLUMN()/2+1,FALSE))),"")</f>
        <v/>
      </c>
      <c r="AG71" s="83"/>
      <c r="AH71" s="186" t="str">
        <f ca="1">IFERROR(VALUE(IF(VLOOKUP($A71,数出表_Excel!$A$6:$T$150,COLUMN()/2+1,FALSE)=0,"",VLOOKUP($A71,数出表_Excel!$A$6:$T$150,COLUMN()/2+1,FALSE))),"")</f>
        <v/>
      </c>
      <c r="AI71" s="83"/>
      <c r="AJ71" s="186" t="str">
        <f ca="1">IFERROR(VALUE(IF(VLOOKUP($A71,数出表_Excel!$A$6:$T$150,COLUMN()/2+1,FALSE)=0,"",VLOOKUP($A71,数出表_Excel!$A$6:$T$150,COLUMN()/2+1,FALSE))),"")</f>
        <v/>
      </c>
      <c r="AK71" s="83"/>
      <c r="AL71" s="70" t="e">
        <f ca="1">IF(A71&lt;&gt;"",
IF(VLOOKUP($A71,数出表_Excel!$A$6:$T$150,COLUMN()/2+1,FALSE)=0,"",VLOOKUP($A71,数出表_Excel!$A$6:$T$150,COLUMN()/2+1,FALSE)),"")</f>
        <v>#N/A</v>
      </c>
      <c r="AM71" s="98" t="e">
        <f>数出表_Excel!V71</f>
        <v>#N/A</v>
      </c>
      <c r="AN71" s="99" t="e">
        <f>数出表_Excel!W71</f>
        <v>#N/A</v>
      </c>
    </row>
    <row r="72" spans="1:40" ht="16.2" customHeight="1">
      <c r="A72" s="88" t="e">
        <f t="array" aca="1" ref="A72" ca="1">IF(OR(COUNTIF(A70,"*10002*"),COUNTIF(A70,"")),"",INDEX(貼り付け用!$A1:$A200,MATCH(A70,貼り付け用!$A1:$A200,0)+2,0))</f>
        <v>#N/A</v>
      </c>
      <c r="B72" s="185" t="str">
        <f ca="1">IFERROR(VALUE(IF(VLOOKUP($A72,数出表_Excel!$A$6:$T$150,COLUMN()/2+1,FALSE)=0,"",VLOOKUP($A72,数出表_Excel!$A$6:$T$150,COLUMN()/2+1,FALSE))),"")</f>
        <v/>
      </c>
      <c r="C72" s="66"/>
      <c r="D72" s="185" t="str">
        <f ca="1">IFERROR(VALUE(IF(VLOOKUP($A72,数出表_Excel!$A$6:$T$150,COLUMN()/2+1,FALSE)=0,"",VLOOKUP($A72,数出表_Excel!$A$6:$T$150,COLUMN()/2+1,FALSE))),"")</f>
        <v/>
      </c>
      <c r="E72" s="82"/>
      <c r="F72" s="196" t="str">
        <f ca="1">IFERROR(VALUE(IF(VLOOKUP($A72,数出表_Excel!$A$6:$T$150,COLUMN()/2+1,FALSE)=0,"",VLOOKUP($A72,数出表_Excel!$A$6:$T$150,COLUMN()/2+1,FALSE))),"")</f>
        <v/>
      </c>
      <c r="G72" s="66"/>
      <c r="H72" s="185" t="str">
        <f ca="1">IFERROR(VALUE(IF(VLOOKUP($A72,数出表_Excel!$A$6:$T$150,COLUMN()/2+1,FALSE)=0,"",VLOOKUP($A72,数出表_Excel!$A$6:$T$150,COLUMN()/2+1,FALSE))),"")</f>
        <v/>
      </c>
      <c r="I72" s="82"/>
      <c r="J72" s="196" t="str">
        <f ca="1">IFERROR(VALUE(IF(VLOOKUP($A72,数出表_Excel!$A$6:$T$150,COLUMN()/2+1,FALSE)=0,"",VLOOKUP($A72,数出表_Excel!$A$6:$T$150,COLUMN()/2+1,FALSE))),"")</f>
        <v/>
      </c>
      <c r="K72" s="66"/>
      <c r="L72" s="185" t="str">
        <f ca="1">IFERROR(VALUE(IF(VLOOKUP($A72,数出表_Excel!$A$6:$T$150,COLUMN()/2+1,FALSE)=0,"",VLOOKUP($A72,数出表_Excel!$A$6:$T$150,COLUMN()/2+1,FALSE))),"")</f>
        <v/>
      </c>
      <c r="M72" s="82"/>
      <c r="N72" s="196" t="str">
        <f ca="1">IFERROR(VALUE(IF(VLOOKUP($A72,数出表_Excel!$A$6:$T$150,COLUMN()/2+1,FALSE)=0,"",VLOOKUP($A72,数出表_Excel!$A$6:$T$150,COLUMN()/2+1,FALSE))),"")</f>
        <v/>
      </c>
      <c r="O72" s="66"/>
      <c r="P72" s="185" t="str">
        <f ca="1">IFERROR(VALUE(IF(VLOOKUP($A72,数出表_Excel!$A$6:$T$150,COLUMN()/2+1,FALSE)=0,"",VLOOKUP($A72,数出表_Excel!$A$6:$T$150,COLUMN()/2+1,FALSE))),"")</f>
        <v/>
      </c>
      <c r="Q72" s="82"/>
      <c r="R72" s="196" t="str">
        <f ca="1">IFERROR(VALUE(IF(VLOOKUP($A72,数出表_Excel!$A$6:$T$150,COLUMN()/2+1,FALSE)=0,"",VLOOKUP($A72,数出表_Excel!$A$6:$T$150,COLUMN()/2+1,FALSE))),"")</f>
        <v/>
      </c>
      <c r="S72" s="66"/>
      <c r="T72" s="185" t="str">
        <f ca="1">IFERROR(VALUE(IF(VLOOKUP($A72,数出表_Excel!$A$6:$T$150,COLUMN()/2+1,FALSE)=0,"",VLOOKUP($A72,数出表_Excel!$A$6:$T$150,COLUMN()/2+1,FALSE))),"")</f>
        <v/>
      </c>
      <c r="U72" s="82"/>
      <c r="V72" s="196" t="str">
        <f ca="1">IFERROR(VALUE(IF(VLOOKUP($A72,数出表_Excel!$A$6:$T$150,COLUMN()/2+1,FALSE)=0,"",VLOOKUP($A72,数出表_Excel!$A$6:$T$150,COLUMN()/2+1,FALSE))),"")</f>
        <v/>
      </c>
      <c r="W72" s="66"/>
      <c r="X72" s="185" t="str">
        <f ca="1">IFERROR(VALUE(IF(VLOOKUP($A72,数出表_Excel!$A$6:$T$150,COLUMN()/2+1,FALSE)=0,"",VLOOKUP($A72,数出表_Excel!$A$6:$T$150,COLUMN()/2+1,FALSE))),"")</f>
        <v/>
      </c>
      <c r="Y72" s="82"/>
      <c r="Z72" s="196" t="str">
        <f ca="1">IFERROR(VALUE(IF(VLOOKUP($A72,数出表_Excel!$A$6:$T$150,COLUMN()/2+1,FALSE)=0,"",VLOOKUP($A72,数出表_Excel!$A$6:$T$150,COLUMN()/2+1,FALSE))),"")</f>
        <v/>
      </c>
      <c r="AA72" s="82"/>
      <c r="AB72" s="185" t="str">
        <f ca="1">IFERROR(VALUE(IF(VLOOKUP($A72,数出表_Excel!$A$6:$T$150,COLUMN()/2+1,FALSE)=0,"",VLOOKUP($A72,数出表_Excel!$A$6:$T$150,COLUMN()/2+1,FALSE))),"")</f>
        <v/>
      </c>
      <c r="AC72" s="82"/>
      <c r="AD72" s="185" t="str">
        <f ca="1">IFERROR(VALUE(IF(VLOOKUP($A72,数出表_Excel!$A$6:$T$150,COLUMN()/2+1,FALSE)=0,"",VLOOKUP($A72,数出表_Excel!$A$6:$T$150,COLUMN()/2+1,FALSE))),"")</f>
        <v/>
      </c>
      <c r="AE72" s="82"/>
      <c r="AF72" s="185" t="str">
        <f ca="1">IFERROR(VALUE(IF(VLOOKUP($A72,数出表_Excel!$A$6:$T$150,COLUMN()/2+1,FALSE)=0,"",VLOOKUP($A72,数出表_Excel!$A$6:$T$150,COLUMN()/2+1,FALSE))),"")</f>
        <v/>
      </c>
      <c r="AG72" s="82"/>
      <c r="AH72" s="185" t="str">
        <f ca="1">IFERROR(VALUE(IF(VLOOKUP($A72,数出表_Excel!$A$6:$T$150,COLUMN()/2+1,FALSE)=0,"",VLOOKUP($A72,数出表_Excel!$A$6:$T$150,COLUMN()/2+1,FALSE))),"")</f>
        <v/>
      </c>
      <c r="AI72" s="82"/>
      <c r="AJ72" s="185" t="str">
        <f ca="1">IFERROR(VALUE(IF(VLOOKUP($A72,数出表_Excel!$A$6:$T$150,COLUMN()/2+1,FALSE)=0,"",VLOOKUP($A72,数出表_Excel!$A$6:$T$150,COLUMN()/2+1,FALSE))),"")</f>
        <v/>
      </c>
      <c r="AK72" s="82"/>
      <c r="AL72" s="68" t="e">
        <f ca="1">IF(A72&lt;&gt;"",
IF(VLOOKUP($A72,数出表_Excel!$A$6:$T$150,COLUMN()/2+1,FALSE)=0,"",VLOOKUP($A72,数出表_Excel!$A$6:$T$150,COLUMN()/2+1,FALSE)),"")</f>
        <v>#N/A</v>
      </c>
      <c r="AM72" s="96" t="e">
        <f>数出表_Excel!V72</f>
        <v>#N/A</v>
      </c>
      <c r="AN72" s="97" t="e">
        <f>数出表_Excel!W72</f>
        <v>#N/A</v>
      </c>
    </row>
    <row r="73" spans="1:40" ht="16.2" customHeight="1">
      <c r="A73" s="89" t="e">
        <f t="array" aca="1" ref="A73" ca="1">IF(OR(COUNTIF(A71,"*1000*"),COUNTIF(A71,"")),"",INDEX(貼り付け用!$A1:$A200,MATCH(A71,貼り付け用!$A1:$A200,0)+2,0))</f>
        <v>#N/A</v>
      </c>
      <c r="B73" s="186" t="str">
        <f ca="1">IFERROR(VALUE(IF(VLOOKUP($A73,数出表_Excel!$A$6:$T$150,COLUMN()/2+1,FALSE)=0,"",VLOOKUP($A73,数出表_Excel!$A$6:$T$150,COLUMN()/2+1,FALSE))),"")</f>
        <v/>
      </c>
      <c r="C73" s="67"/>
      <c r="D73" s="186" t="str">
        <f ca="1">IFERROR(VALUE(IF(VLOOKUP($A73,数出表_Excel!$A$6:$T$150,COLUMN()/2+1,FALSE)=0,"",VLOOKUP($A73,数出表_Excel!$A$6:$T$150,COLUMN()/2+1,FALSE))),"")</f>
        <v/>
      </c>
      <c r="E73" s="83"/>
      <c r="F73" s="197" t="str">
        <f ca="1">IFERROR(VALUE(IF(VLOOKUP($A73,数出表_Excel!$A$6:$T$150,COLUMN()/2+1,FALSE)=0,"",VLOOKUP($A73,数出表_Excel!$A$6:$T$150,COLUMN()/2+1,FALSE))),"")</f>
        <v/>
      </c>
      <c r="G73" s="67"/>
      <c r="H73" s="186" t="str">
        <f ca="1">IFERROR(VALUE(IF(VLOOKUP($A73,数出表_Excel!$A$6:$T$150,COLUMN()/2+1,FALSE)=0,"",VLOOKUP($A73,数出表_Excel!$A$6:$T$150,COLUMN()/2+1,FALSE))),"")</f>
        <v/>
      </c>
      <c r="I73" s="83"/>
      <c r="J73" s="197" t="str">
        <f ca="1">IFERROR(VALUE(IF(VLOOKUP($A73,数出表_Excel!$A$6:$T$150,COLUMN()/2+1,FALSE)=0,"",VLOOKUP($A73,数出表_Excel!$A$6:$T$150,COLUMN()/2+1,FALSE))),"")</f>
        <v/>
      </c>
      <c r="K73" s="67"/>
      <c r="L73" s="186" t="str">
        <f ca="1">IFERROR(VALUE(IF(VLOOKUP($A73,数出表_Excel!$A$6:$T$150,COLUMN()/2+1,FALSE)=0,"",VLOOKUP($A73,数出表_Excel!$A$6:$T$150,COLUMN()/2+1,FALSE))),"")</f>
        <v/>
      </c>
      <c r="M73" s="83"/>
      <c r="N73" s="197" t="str">
        <f ca="1">IFERROR(VALUE(IF(VLOOKUP($A73,数出表_Excel!$A$6:$T$150,COLUMN()/2+1,FALSE)=0,"",VLOOKUP($A73,数出表_Excel!$A$6:$T$150,COLUMN()/2+1,FALSE))),"")</f>
        <v/>
      </c>
      <c r="O73" s="67"/>
      <c r="P73" s="186" t="str">
        <f ca="1">IFERROR(VALUE(IF(VLOOKUP($A73,数出表_Excel!$A$6:$T$150,COLUMN()/2+1,FALSE)=0,"",VLOOKUP($A73,数出表_Excel!$A$6:$T$150,COLUMN()/2+1,FALSE))),"")</f>
        <v/>
      </c>
      <c r="Q73" s="83"/>
      <c r="R73" s="197" t="str">
        <f ca="1">IFERROR(VALUE(IF(VLOOKUP($A73,数出表_Excel!$A$6:$T$150,COLUMN()/2+1,FALSE)=0,"",VLOOKUP($A73,数出表_Excel!$A$6:$T$150,COLUMN()/2+1,FALSE))),"")</f>
        <v/>
      </c>
      <c r="S73" s="67"/>
      <c r="T73" s="186" t="str">
        <f ca="1">IFERROR(VALUE(IF(VLOOKUP($A73,数出表_Excel!$A$6:$T$150,COLUMN()/2+1,FALSE)=0,"",VLOOKUP($A73,数出表_Excel!$A$6:$T$150,COLUMN()/2+1,FALSE))),"")</f>
        <v/>
      </c>
      <c r="U73" s="83"/>
      <c r="V73" s="197" t="str">
        <f ca="1">IFERROR(VALUE(IF(VLOOKUP($A73,数出表_Excel!$A$6:$T$150,COLUMN()/2+1,FALSE)=0,"",VLOOKUP($A73,数出表_Excel!$A$6:$T$150,COLUMN()/2+1,FALSE))),"")</f>
        <v/>
      </c>
      <c r="W73" s="67"/>
      <c r="X73" s="186" t="str">
        <f ca="1">IFERROR(VALUE(IF(VLOOKUP($A73,数出表_Excel!$A$6:$T$150,COLUMN()/2+1,FALSE)=0,"",VLOOKUP($A73,数出表_Excel!$A$6:$T$150,COLUMN()/2+1,FALSE))),"")</f>
        <v/>
      </c>
      <c r="Y73" s="83"/>
      <c r="Z73" s="197" t="str">
        <f ca="1">IFERROR(VALUE(IF(VLOOKUP($A73,数出表_Excel!$A$6:$T$150,COLUMN()/2+1,FALSE)=0,"",VLOOKUP($A73,数出表_Excel!$A$6:$T$150,COLUMN()/2+1,FALSE))),"")</f>
        <v/>
      </c>
      <c r="AA73" s="83"/>
      <c r="AB73" s="186" t="str">
        <f ca="1">IFERROR(VALUE(IF(VLOOKUP($A73,数出表_Excel!$A$6:$T$150,COLUMN()/2+1,FALSE)=0,"",VLOOKUP($A73,数出表_Excel!$A$6:$T$150,COLUMN()/2+1,FALSE))),"")</f>
        <v/>
      </c>
      <c r="AC73" s="83"/>
      <c r="AD73" s="186" t="str">
        <f ca="1">IFERROR(VALUE(IF(VLOOKUP($A73,数出表_Excel!$A$6:$T$150,COLUMN()/2+1,FALSE)=0,"",VLOOKUP($A73,数出表_Excel!$A$6:$T$150,COLUMN()/2+1,FALSE))),"")</f>
        <v/>
      </c>
      <c r="AE73" s="83"/>
      <c r="AF73" s="186" t="str">
        <f ca="1">IFERROR(VALUE(IF(VLOOKUP($A73,数出表_Excel!$A$6:$T$150,COLUMN()/2+1,FALSE)=0,"",VLOOKUP($A73,数出表_Excel!$A$6:$T$150,COLUMN()/2+1,FALSE))),"")</f>
        <v/>
      </c>
      <c r="AG73" s="83"/>
      <c r="AH73" s="186" t="str">
        <f ca="1">IFERROR(VALUE(IF(VLOOKUP($A73,数出表_Excel!$A$6:$T$150,COLUMN()/2+1,FALSE)=0,"",VLOOKUP($A73,数出表_Excel!$A$6:$T$150,COLUMN()/2+1,FALSE))),"")</f>
        <v/>
      </c>
      <c r="AI73" s="83"/>
      <c r="AJ73" s="186" t="str">
        <f ca="1">IFERROR(VALUE(IF(VLOOKUP($A73,数出表_Excel!$A$6:$T$150,COLUMN()/2+1,FALSE)=0,"",VLOOKUP($A73,数出表_Excel!$A$6:$T$150,COLUMN()/2+1,FALSE))),"")</f>
        <v/>
      </c>
      <c r="AK73" s="83"/>
      <c r="AL73" s="70" t="e">
        <f ca="1">IF(A73&lt;&gt;"",
IF(VLOOKUP($A73,数出表_Excel!$A$6:$T$150,COLUMN()/2+1,FALSE)=0,"",VLOOKUP($A73,数出表_Excel!$A$6:$T$150,COLUMN()/2+1,FALSE)),"")</f>
        <v>#N/A</v>
      </c>
      <c r="AM73" s="98" t="e">
        <f>数出表_Excel!V73</f>
        <v>#N/A</v>
      </c>
      <c r="AN73" s="99" t="e">
        <f>数出表_Excel!W73</f>
        <v>#N/A</v>
      </c>
    </row>
    <row r="74" spans="1:40" ht="16.2" customHeight="1">
      <c r="A74" s="88" t="e">
        <f t="array" aca="1" ref="A74" ca="1">IF(OR(COUNTIF(A72,"*10002*"),COUNTIF(A72,"")),"",INDEX(貼り付け用!$A1:$A200,MATCH(A72,貼り付け用!$A1:$A200,0)+2,0))</f>
        <v>#N/A</v>
      </c>
      <c r="B74" s="185" t="str">
        <f ca="1">IFERROR(VALUE(IF(VLOOKUP($A74,数出表_Excel!$A$6:$T$150,COLUMN()/2+1,FALSE)=0,"",VLOOKUP($A74,数出表_Excel!$A$6:$T$150,COLUMN()/2+1,FALSE))),"")</f>
        <v/>
      </c>
      <c r="C74" s="66"/>
      <c r="D74" s="185" t="str">
        <f ca="1">IFERROR(VALUE(IF(VLOOKUP($A74,数出表_Excel!$A$6:$T$150,COLUMN()/2+1,FALSE)=0,"",VLOOKUP($A74,数出表_Excel!$A$6:$T$150,COLUMN()/2+1,FALSE))),"")</f>
        <v/>
      </c>
      <c r="E74" s="82"/>
      <c r="F74" s="196" t="str">
        <f ca="1">IFERROR(VALUE(IF(VLOOKUP($A74,数出表_Excel!$A$6:$T$150,COLUMN()/2+1,FALSE)=0,"",VLOOKUP($A74,数出表_Excel!$A$6:$T$150,COLUMN()/2+1,FALSE))),"")</f>
        <v/>
      </c>
      <c r="G74" s="66"/>
      <c r="H74" s="185" t="str">
        <f ca="1">IFERROR(VALUE(IF(VLOOKUP($A74,数出表_Excel!$A$6:$T$150,COLUMN()/2+1,FALSE)=0,"",VLOOKUP($A74,数出表_Excel!$A$6:$T$150,COLUMN()/2+1,FALSE))),"")</f>
        <v/>
      </c>
      <c r="I74" s="82"/>
      <c r="J74" s="196" t="str">
        <f ca="1">IFERROR(VALUE(IF(VLOOKUP($A74,数出表_Excel!$A$6:$T$150,COLUMN()/2+1,FALSE)=0,"",VLOOKUP($A74,数出表_Excel!$A$6:$T$150,COLUMN()/2+1,FALSE))),"")</f>
        <v/>
      </c>
      <c r="K74" s="66"/>
      <c r="L74" s="185" t="str">
        <f ca="1">IFERROR(VALUE(IF(VLOOKUP($A74,数出表_Excel!$A$6:$T$150,COLUMN()/2+1,FALSE)=0,"",VLOOKUP($A74,数出表_Excel!$A$6:$T$150,COLUMN()/2+1,FALSE))),"")</f>
        <v/>
      </c>
      <c r="M74" s="82"/>
      <c r="N74" s="196" t="str">
        <f ca="1">IFERROR(VALUE(IF(VLOOKUP($A74,数出表_Excel!$A$6:$T$150,COLUMN()/2+1,FALSE)=0,"",VLOOKUP($A74,数出表_Excel!$A$6:$T$150,COLUMN()/2+1,FALSE))),"")</f>
        <v/>
      </c>
      <c r="O74" s="66"/>
      <c r="P74" s="185" t="str">
        <f ca="1">IFERROR(VALUE(IF(VLOOKUP($A74,数出表_Excel!$A$6:$T$150,COLUMN()/2+1,FALSE)=0,"",VLOOKUP($A74,数出表_Excel!$A$6:$T$150,COLUMN()/2+1,FALSE))),"")</f>
        <v/>
      </c>
      <c r="Q74" s="82"/>
      <c r="R74" s="196" t="str">
        <f ca="1">IFERROR(VALUE(IF(VLOOKUP($A74,数出表_Excel!$A$6:$T$150,COLUMN()/2+1,FALSE)=0,"",VLOOKUP($A74,数出表_Excel!$A$6:$T$150,COLUMN()/2+1,FALSE))),"")</f>
        <v/>
      </c>
      <c r="S74" s="66"/>
      <c r="T74" s="185" t="str">
        <f ca="1">IFERROR(VALUE(IF(VLOOKUP($A74,数出表_Excel!$A$6:$T$150,COLUMN()/2+1,FALSE)=0,"",VLOOKUP($A74,数出表_Excel!$A$6:$T$150,COLUMN()/2+1,FALSE))),"")</f>
        <v/>
      </c>
      <c r="U74" s="82"/>
      <c r="V74" s="196" t="str">
        <f ca="1">IFERROR(VALUE(IF(VLOOKUP($A74,数出表_Excel!$A$6:$T$150,COLUMN()/2+1,FALSE)=0,"",VLOOKUP($A74,数出表_Excel!$A$6:$T$150,COLUMN()/2+1,FALSE))),"")</f>
        <v/>
      </c>
      <c r="W74" s="66"/>
      <c r="X74" s="185" t="str">
        <f ca="1">IFERROR(VALUE(IF(VLOOKUP($A74,数出表_Excel!$A$6:$T$150,COLUMN()/2+1,FALSE)=0,"",VLOOKUP($A74,数出表_Excel!$A$6:$T$150,COLUMN()/2+1,FALSE))),"")</f>
        <v/>
      </c>
      <c r="Y74" s="82"/>
      <c r="Z74" s="196" t="str">
        <f ca="1">IFERROR(VALUE(IF(VLOOKUP($A74,数出表_Excel!$A$6:$T$150,COLUMN()/2+1,FALSE)=0,"",VLOOKUP($A74,数出表_Excel!$A$6:$T$150,COLUMN()/2+1,FALSE))),"")</f>
        <v/>
      </c>
      <c r="AA74" s="82"/>
      <c r="AB74" s="185" t="str">
        <f ca="1">IFERROR(VALUE(IF(VLOOKUP($A74,数出表_Excel!$A$6:$T$150,COLUMN()/2+1,FALSE)=0,"",VLOOKUP($A74,数出表_Excel!$A$6:$T$150,COLUMN()/2+1,FALSE))),"")</f>
        <v/>
      </c>
      <c r="AC74" s="82"/>
      <c r="AD74" s="185" t="str">
        <f ca="1">IFERROR(VALUE(IF(VLOOKUP($A74,数出表_Excel!$A$6:$T$150,COLUMN()/2+1,FALSE)=0,"",VLOOKUP($A74,数出表_Excel!$A$6:$T$150,COLUMN()/2+1,FALSE))),"")</f>
        <v/>
      </c>
      <c r="AE74" s="82"/>
      <c r="AF74" s="185" t="str">
        <f ca="1">IFERROR(VALUE(IF(VLOOKUP($A74,数出表_Excel!$A$6:$T$150,COLUMN()/2+1,FALSE)=0,"",VLOOKUP($A74,数出表_Excel!$A$6:$T$150,COLUMN()/2+1,FALSE))),"")</f>
        <v/>
      </c>
      <c r="AG74" s="82"/>
      <c r="AH74" s="185" t="str">
        <f ca="1">IFERROR(VALUE(IF(VLOOKUP($A74,数出表_Excel!$A$6:$T$150,COLUMN()/2+1,FALSE)=0,"",VLOOKUP($A74,数出表_Excel!$A$6:$T$150,COLUMN()/2+1,FALSE))),"")</f>
        <v/>
      </c>
      <c r="AI74" s="82"/>
      <c r="AJ74" s="185" t="str">
        <f ca="1">IFERROR(VALUE(IF(VLOOKUP($A74,数出表_Excel!$A$6:$T$150,COLUMN()/2+1,FALSE)=0,"",VLOOKUP($A74,数出表_Excel!$A$6:$T$150,COLUMN()/2+1,FALSE))),"")</f>
        <v/>
      </c>
      <c r="AK74" s="82"/>
      <c r="AL74" s="68" t="e">
        <f ca="1">IF(A74&lt;&gt;"",
IF(VLOOKUP($A74,数出表_Excel!$A$6:$T$150,COLUMN()/2+1,FALSE)=0,"",VLOOKUP($A74,数出表_Excel!$A$6:$T$150,COLUMN()/2+1,FALSE)),"")</f>
        <v>#N/A</v>
      </c>
      <c r="AM74" s="96" t="e">
        <f>数出表_Excel!V74</f>
        <v>#N/A</v>
      </c>
      <c r="AN74" s="97" t="e">
        <f>数出表_Excel!W74</f>
        <v>#N/A</v>
      </c>
    </row>
    <row r="75" spans="1:40" ht="16.2" customHeight="1">
      <c r="A75" s="89" t="e">
        <f t="array" aca="1" ref="A75" ca="1">IF(OR(COUNTIF(A73,"*1000*"),COUNTIF(A73,"")),"",INDEX(貼り付け用!$A1:$A200,MATCH(A73,貼り付け用!$A1:$A200,0)+2,0))</f>
        <v>#N/A</v>
      </c>
      <c r="B75" s="186" t="str">
        <f ca="1">IFERROR(VALUE(IF(VLOOKUP($A75,数出表_Excel!$A$6:$T$150,COLUMN()/2+1,FALSE)=0,"",VLOOKUP($A75,数出表_Excel!$A$6:$T$150,COLUMN()/2+1,FALSE))),"")</f>
        <v/>
      </c>
      <c r="C75" s="67"/>
      <c r="D75" s="186" t="str">
        <f ca="1">IFERROR(VALUE(IF(VLOOKUP($A75,数出表_Excel!$A$6:$T$150,COLUMN()/2+1,FALSE)=0,"",VLOOKUP($A75,数出表_Excel!$A$6:$T$150,COLUMN()/2+1,FALSE))),"")</f>
        <v/>
      </c>
      <c r="E75" s="83"/>
      <c r="F75" s="197" t="str">
        <f ca="1">IFERROR(VALUE(IF(VLOOKUP($A75,数出表_Excel!$A$6:$T$150,COLUMN()/2+1,FALSE)=0,"",VLOOKUP($A75,数出表_Excel!$A$6:$T$150,COLUMN()/2+1,FALSE))),"")</f>
        <v/>
      </c>
      <c r="G75" s="67"/>
      <c r="H75" s="186" t="str">
        <f ca="1">IFERROR(VALUE(IF(VLOOKUP($A75,数出表_Excel!$A$6:$T$150,COLUMN()/2+1,FALSE)=0,"",VLOOKUP($A75,数出表_Excel!$A$6:$T$150,COLUMN()/2+1,FALSE))),"")</f>
        <v/>
      </c>
      <c r="I75" s="83"/>
      <c r="J75" s="197" t="str">
        <f ca="1">IFERROR(VALUE(IF(VLOOKUP($A75,数出表_Excel!$A$6:$T$150,COLUMN()/2+1,FALSE)=0,"",VLOOKUP($A75,数出表_Excel!$A$6:$T$150,COLUMN()/2+1,FALSE))),"")</f>
        <v/>
      </c>
      <c r="K75" s="67"/>
      <c r="L75" s="186" t="str">
        <f ca="1">IFERROR(VALUE(IF(VLOOKUP($A75,数出表_Excel!$A$6:$T$150,COLUMN()/2+1,FALSE)=0,"",VLOOKUP($A75,数出表_Excel!$A$6:$T$150,COLUMN()/2+1,FALSE))),"")</f>
        <v/>
      </c>
      <c r="M75" s="83"/>
      <c r="N75" s="197" t="str">
        <f ca="1">IFERROR(VALUE(IF(VLOOKUP($A75,数出表_Excel!$A$6:$T$150,COLUMN()/2+1,FALSE)=0,"",VLOOKUP($A75,数出表_Excel!$A$6:$T$150,COLUMN()/2+1,FALSE))),"")</f>
        <v/>
      </c>
      <c r="O75" s="67"/>
      <c r="P75" s="186" t="str">
        <f ca="1">IFERROR(VALUE(IF(VLOOKUP($A75,数出表_Excel!$A$6:$T$150,COLUMN()/2+1,FALSE)=0,"",VLOOKUP($A75,数出表_Excel!$A$6:$T$150,COLUMN()/2+1,FALSE))),"")</f>
        <v/>
      </c>
      <c r="Q75" s="83"/>
      <c r="R75" s="197" t="str">
        <f ca="1">IFERROR(VALUE(IF(VLOOKUP($A75,数出表_Excel!$A$6:$T$150,COLUMN()/2+1,FALSE)=0,"",VLOOKUP($A75,数出表_Excel!$A$6:$T$150,COLUMN()/2+1,FALSE))),"")</f>
        <v/>
      </c>
      <c r="S75" s="67"/>
      <c r="T75" s="186" t="str">
        <f ca="1">IFERROR(VALUE(IF(VLOOKUP($A75,数出表_Excel!$A$6:$T$150,COLUMN()/2+1,FALSE)=0,"",VLOOKUP($A75,数出表_Excel!$A$6:$T$150,COLUMN()/2+1,FALSE))),"")</f>
        <v/>
      </c>
      <c r="U75" s="83"/>
      <c r="V75" s="197" t="str">
        <f ca="1">IFERROR(VALUE(IF(VLOOKUP($A75,数出表_Excel!$A$6:$T$150,COLUMN()/2+1,FALSE)=0,"",VLOOKUP($A75,数出表_Excel!$A$6:$T$150,COLUMN()/2+1,FALSE))),"")</f>
        <v/>
      </c>
      <c r="W75" s="67"/>
      <c r="X75" s="186" t="str">
        <f ca="1">IFERROR(VALUE(IF(VLOOKUP($A75,数出表_Excel!$A$6:$T$150,COLUMN()/2+1,FALSE)=0,"",VLOOKUP($A75,数出表_Excel!$A$6:$T$150,COLUMN()/2+1,FALSE))),"")</f>
        <v/>
      </c>
      <c r="Y75" s="83"/>
      <c r="Z75" s="197" t="str">
        <f ca="1">IFERROR(VALUE(IF(VLOOKUP($A75,数出表_Excel!$A$6:$T$150,COLUMN()/2+1,FALSE)=0,"",VLOOKUP($A75,数出表_Excel!$A$6:$T$150,COLUMN()/2+1,FALSE))),"")</f>
        <v/>
      </c>
      <c r="AA75" s="83"/>
      <c r="AB75" s="186" t="str">
        <f ca="1">IFERROR(VALUE(IF(VLOOKUP($A75,数出表_Excel!$A$6:$T$150,COLUMN()/2+1,FALSE)=0,"",VLOOKUP($A75,数出表_Excel!$A$6:$T$150,COLUMN()/2+1,FALSE))),"")</f>
        <v/>
      </c>
      <c r="AC75" s="83"/>
      <c r="AD75" s="186" t="str">
        <f ca="1">IFERROR(VALUE(IF(VLOOKUP($A75,数出表_Excel!$A$6:$T$150,COLUMN()/2+1,FALSE)=0,"",VLOOKUP($A75,数出表_Excel!$A$6:$T$150,COLUMN()/2+1,FALSE))),"")</f>
        <v/>
      </c>
      <c r="AE75" s="83"/>
      <c r="AF75" s="186" t="str">
        <f ca="1">IFERROR(VALUE(IF(VLOOKUP($A75,数出表_Excel!$A$6:$T$150,COLUMN()/2+1,FALSE)=0,"",VLOOKUP($A75,数出表_Excel!$A$6:$T$150,COLUMN()/2+1,FALSE))),"")</f>
        <v/>
      </c>
      <c r="AG75" s="83"/>
      <c r="AH75" s="186" t="str">
        <f ca="1">IFERROR(VALUE(IF(VLOOKUP($A75,数出表_Excel!$A$6:$T$150,COLUMN()/2+1,FALSE)=0,"",VLOOKUP($A75,数出表_Excel!$A$6:$T$150,COLUMN()/2+1,FALSE))),"")</f>
        <v/>
      </c>
      <c r="AI75" s="83"/>
      <c r="AJ75" s="186" t="str">
        <f ca="1">IFERROR(VALUE(IF(VLOOKUP($A75,数出表_Excel!$A$6:$T$150,COLUMN()/2+1,FALSE)=0,"",VLOOKUP($A75,数出表_Excel!$A$6:$T$150,COLUMN()/2+1,FALSE))),"")</f>
        <v/>
      </c>
      <c r="AK75" s="83"/>
      <c r="AL75" s="70" t="e">
        <f ca="1">IF(A75&lt;&gt;"",
IF(VLOOKUP($A75,数出表_Excel!$A$6:$T$150,COLUMN()/2+1,FALSE)=0,"",VLOOKUP($A75,数出表_Excel!$A$6:$T$150,COLUMN()/2+1,FALSE)),"")</f>
        <v>#N/A</v>
      </c>
      <c r="AM75" s="98" t="e">
        <f>数出表_Excel!V75</f>
        <v>#N/A</v>
      </c>
      <c r="AN75" s="99" t="e">
        <f>数出表_Excel!W75</f>
        <v>#N/A</v>
      </c>
    </row>
    <row r="76" spans="1:40" ht="16.2" customHeight="1">
      <c r="A76" s="88" t="e">
        <f t="array" aca="1" ref="A76" ca="1">IF(OR(COUNTIF(A74,"*10002*"),COUNTIF(A74,"")),"",INDEX(貼り付け用!$A1:$A200,MATCH(A74,貼り付け用!$A1:$A200,0)+2,0))</f>
        <v>#N/A</v>
      </c>
      <c r="B76" s="185" t="str">
        <f ca="1">IFERROR(VALUE(IF(VLOOKUP($A76,数出表_Excel!$A$6:$T$150,COLUMN()/2+1,FALSE)=0,"",VLOOKUP($A76,数出表_Excel!$A$6:$T$150,COLUMN()/2+1,FALSE))),"")</f>
        <v/>
      </c>
      <c r="C76" s="66"/>
      <c r="D76" s="185" t="str">
        <f ca="1">IFERROR(VALUE(IF(VLOOKUP($A76,数出表_Excel!$A$6:$T$150,COLUMN()/2+1,FALSE)=0,"",VLOOKUP($A76,数出表_Excel!$A$6:$T$150,COLUMN()/2+1,FALSE))),"")</f>
        <v/>
      </c>
      <c r="E76" s="82"/>
      <c r="F76" s="196" t="str">
        <f ca="1">IFERROR(VALUE(IF(VLOOKUP($A76,数出表_Excel!$A$6:$T$150,COLUMN()/2+1,FALSE)=0,"",VLOOKUP($A76,数出表_Excel!$A$6:$T$150,COLUMN()/2+1,FALSE))),"")</f>
        <v/>
      </c>
      <c r="G76" s="66"/>
      <c r="H76" s="185" t="str">
        <f ca="1">IFERROR(VALUE(IF(VLOOKUP($A76,数出表_Excel!$A$6:$T$150,COLUMN()/2+1,FALSE)=0,"",VLOOKUP($A76,数出表_Excel!$A$6:$T$150,COLUMN()/2+1,FALSE))),"")</f>
        <v/>
      </c>
      <c r="I76" s="82"/>
      <c r="J76" s="196" t="str">
        <f ca="1">IFERROR(VALUE(IF(VLOOKUP($A76,数出表_Excel!$A$6:$T$150,COLUMN()/2+1,FALSE)=0,"",VLOOKUP($A76,数出表_Excel!$A$6:$T$150,COLUMN()/2+1,FALSE))),"")</f>
        <v/>
      </c>
      <c r="K76" s="66"/>
      <c r="L76" s="185" t="str">
        <f ca="1">IFERROR(VALUE(IF(VLOOKUP($A76,数出表_Excel!$A$6:$T$150,COLUMN()/2+1,FALSE)=0,"",VLOOKUP($A76,数出表_Excel!$A$6:$T$150,COLUMN()/2+1,FALSE))),"")</f>
        <v/>
      </c>
      <c r="M76" s="82"/>
      <c r="N76" s="196" t="str">
        <f ca="1">IFERROR(VALUE(IF(VLOOKUP($A76,数出表_Excel!$A$6:$T$150,COLUMN()/2+1,FALSE)=0,"",VLOOKUP($A76,数出表_Excel!$A$6:$T$150,COLUMN()/2+1,FALSE))),"")</f>
        <v/>
      </c>
      <c r="O76" s="66"/>
      <c r="P76" s="185" t="str">
        <f ca="1">IFERROR(VALUE(IF(VLOOKUP($A76,数出表_Excel!$A$6:$T$150,COLUMN()/2+1,FALSE)=0,"",VLOOKUP($A76,数出表_Excel!$A$6:$T$150,COLUMN()/2+1,FALSE))),"")</f>
        <v/>
      </c>
      <c r="Q76" s="82"/>
      <c r="R76" s="196" t="str">
        <f ca="1">IFERROR(VALUE(IF(VLOOKUP($A76,数出表_Excel!$A$6:$T$150,COLUMN()/2+1,FALSE)=0,"",VLOOKUP($A76,数出表_Excel!$A$6:$T$150,COLUMN()/2+1,FALSE))),"")</f>
        <v/>
      </c>
      <c r="S76" s="66"/>
      <c r="T76" s="185" t="str">
        <f ca="1">IFERROR(VALUE(IF(VLOOKUP($A76,数出表_Excel!$A$6:$T$150,COLUMN()/2+1,FALSE)=0,"",VLOOKUP($A76,数出表_Excel!$A$6:$T$150,COLUMN()/2+1,FALSE))),"")</f>
        <v/>
      </c>
      <c r="U76" s="82"/>
      <c r="V76" s="196" t="str">
        <f ca="1">IFERROR(VALUE(IF(VLOOKUP($A76,数出表_Excel!$A$6:$T$150,COLUMN()/2+1,FALSE)=0,"",VLOOKUP($A76,数出表_Excel!$A$6:$T$150,COLUMN()/2+1,FALSE))),"")</f>
        <v/>
      </c>
      <c r="W76" s="66"/>
      <c r="X76" s="185" t="str">
        <f ca="1">IFERROR(VALUE(IF(VLOOKUP($A76,数出表_Excel!$A$6:$T$150,COLUMN()/2+1,FALSE)=0,"",VLOOKUP($A76,数出表_Excel!$A$6:$T$150,COLUMN()/2+1,FALSE))),"")</f>
        <v/>
      </c>
      <c r="Y76" s="82"/>
      <c r="Z76" s="196" t="str">
        <f ca="1">IFERROR(VALUE(IF(VLOOKUP($A76,数出表_Excel!$A$6:$T$150,COLUMN()/2+1,FALSE)=0,"",VLOOKUP($A76,数出表_Excel!$A$6:$T$150,COLUMN()/2+1,FALSE))),"")</f>
        <v/>
      </c>
      <c r="AA76" s="82"/>
      <c r="AB76" s="185" t="str">
        <f ca="1">IFERROR(VALUE(IF(VLOOKUP($A76,数出表_Excel!$A$6:$T$150,COLUMN()/2+1,FALSE)=0,"",VLOOKUP($A76,数出表_Excel!$A$6:$T$150,COLUMN()/2+1,FALSE))),"")</f>
        <v/>
      </c>
      <c r="AC76" s="82"/>
      <c r="AD76" s="185" t="str">
        <f ca="1">IFERROR(VALUE(IF(VLOOKUP($A76,数出表_Excel!$A$6:$T$150,COLUMN()/2+1,FALSE)=0,"",VLOOKUP($A76,数出表_Excel!$A$6:$T$150,COLUMN()/2+1,FALSE))),"")</f>
        <v/>
      </c>
      <c r="AE76" s="82"/>
      <c r="AF76" s="185" t="str">
        <f ca="1">IFERROR(VALUE(IF(VLOOKUP($A76,数出表_Excel!$A$6:$T$150,COLUMN()/2+1,FALSE)=0,"",VLOOKUP($A76,数出表_Excel!$A$6:$T$150,COLUMN()/2+1,FALSE))),"")</f>
        <v/>
      </c>
      <c r="AG76" s="82"/>
      <c r="AH76" s="185" t="str">
        <f ca="1">IFERROR(VALUE(IF(VLOOKUP($A76,数出表_Excel!$A$6:$T$150,COLUMN()/2+1,FALSE)=0,"",VLOOKUP($A76,数出表_Excel!$A$6:$T$150,COLUMN()/2+1,FALSE))),"")</f>
        <v/>
      </c>
      <c r="AI76" s="82"/>
      <c r="AJ76" s="185" t="str">
        <f ca="1">IFERROR(VALUE(IF(VLOOKUP($A76,数出表_Excel!$A$6:$T$150,COLUMN()/2+1,FALSE)=0,"",VLOOKUP($A76,数出表_Excel!$A$6:$T$150,COLUMN()/2+1,FALSE))),"")</f>
        <v/>
      </c>
      <c r="AK76" s="82"/>
      <c r="AL76" s="68" t="e">
        <f ca="1">IF(A76&lt;&gt;"",
IF(VLOOKUP($A76,数出表_Excel!$A$6:$T$150,COLUMN()/2+1,FALSE)=0,"",VLOOKUP($A76,数出表_Excel!$A$6:$T$150,COLUMN()/2+1,FALSE)),"")</f>
        <v>#N/A</v>
      </c>
      <c r="AM76" s="96" t="e">
        <f>数出表_Excel!V76</f>
        <v>#N/A</v>
      </c>
      <c r="AN76" s="97" t="e">
        <f>数出表_Excel!W76</f>
        <v>#N/A</v>
      </c>
    </row>
    <row r="77" spans="1:40" ht="16.2" customHeight="1">
      <c r="A77" s="89" t="e">
        <f t="array" aca="1" ref="A77" ca="1">IF(OR(COUNTIF(A75,"*1000*"),COUNTIF(A75,"")),"",INDEX(貼り付け用!$A1:$A200,MATCH(A75,貼り付け用!$A1:$A200,0)+2,0))</f>
        <v>#N/A</v>
      </c>
      <c r="B77" s="186" t="str">
        <f ca="1">IFERROR(VALUE(IF(VLOOKUP($A77,数出表_Excel!$A$6:$T$150,COLUMN()/2+1,FALSE)=0,"",VLOOKUP($A77,数出表_Excel!$A$6:$T$150,COLUMN()/2+1,FALSE))),"")</f>
        <v/>
      </c>
      <c r="C77" s="67"/>
      <c r="D77" s="186" t="str">
        <f ca="1">IFERROR(VALUE(IF(VLOOKUP($A77,数出表_Excel!$A$6:$T$150,COLUMN()/2+1,FALSE)=0,"",VLOOKUP($A77,数出表_Excel!$A$6:$T$150,COLUMN()/2+1,FALSE))),"")</f>
        <v/>
      </c>
      <c r="E77" s="83"/>
      <c r="F77" s="197" t="str">
        <f ca="1">IFERROR(VALUE(IF(VLOOKUP($A77,数出表_Excel!$A$6:$T$150,COLUMN()/2+1,FALSE)=0,"",VLOOKUP($A77,数出表_Excel!$A$6:$T$150,COLUMN()/2+1,FALSE))),"")</f>
        <v/>
      </c>
      <c r="G77" s="67"/>
      <c r="H77" s="186" t="str">
        <f ca="1">IFERROR(VALUE(IF(VLOOKUP($A77,数出表_Excel!$A$6:$T$150,COLUMN()/2+1,FALSE)=0,"",VLOOKUP($A77,数出表_Excel!$A$6:$T$150,COLUMN()/2+1,FALSE))),"")</f>
        <v/>
      </c>
      <c r="I77" s="83"/>
      <c r="J77" s="197" t="str">
        <f ca="1">IFERROR(VALUE(IF(VLOOKUP($A77,数出表_Excel!$A$6:$T$150,COLUMN()/2+1,FALSE)=0,"",VLOOKUP($A77,数出表_Excel!$A$6:$T$150,COLUMN()/2+1,FALSE))),"")</f>
        <v/>
      </c>
      <c r="K77" s="67"/>
      <c r="L77" s="186" t="str">
        <f ca="1">IFERROR(VALUE(IF(VLOOKUP($A77,数出表_Excel!$A$6:$T$150,COLUMN()/2+1,FALSE)=0,"",VLOOKUP($A77,数出表_Excel!$A$6:$T$150,COLUMN()/2+1,FALSE))),"")</f>
        <v/>
      </c>
      <c r="M77" s="83"/>
      <c r="N77" s="197" t="str">
        <f ca="1">IFERROR(VALUE(IF(VLOOKUP($A77,数出表_Excel!$A$6:$T$150,COLUMN()/2+1,FALSE)=0,"",VLOOKUP($A77,数出表_Excel!$A$6:$T$150,COLUMN()/2+1,FALSE))),"")</f>
        <v/>
      </c>
      <c r="O77" s="67"/>
      <c r="P77" s="186" t="str">
        <f ca="1">IFERROR(VALUE(IF(VLOOKUP($A77,数出表_Excel!$A$6:$T$150,COLUMN()/2+1,FALSE)=0,"",VLOOKUP($A77,数出表_Excel!$A$6:$T$150,COLUMN()/2+1,FALSE))),"")</f>
        <v/>
      </c>
      <c r="Q77" s="83"/>
      <c r="R77" s="197" t="str">
        <f ca="1">IFERROR(VALUE(IF(VLOOKUP($A77,数出表_Excel!$A$6:$T$150,COLUMN()/2+1,FALSE)=0,"",VLOOKUP($A77,数出表_Excel!$A$6:$T$150,COLUMN()/2+1,FALSE))),"")</f>
        <v/>
      </c>
      <c r="S77" s="67"/>
      <c r="T77" s="186" t="str">
        <f ca="1">IFERROR(VALUE(IF(VLOOKUP($A77,数出表_Excel!$A$6:$T$150,COLUMN()/2+1,FALSE)=0,"",VLOOKUP($A77,数出表_Excel!$A$6:$T$150,COLUMN()/2+1,FALSE))),"")</f>
        <v/>
      </c>
      <c r="U77" s="83"/>
      <c r="V77" s="197" t="str">
        <f ca="1">IFERROR(VALUE(IF(VLOOKUP($A77,数出表_Excel!$A$6:$T$150,COLUMN()/2+1,FALSE)=0,"",VLOOKUP($A77,数出表_Excel!$A$6:$T$150,COLUMN()/2+1,FALSE))),"")</f>
        <v/>
      </c>
      <c r="W77" s="67"/>
      <c r="X77" s="186" t="str">
        <f ca="1">IFERROR(VALUE(IF(VLOOKUP($A77,数出表_Excel!$A$6:$T$150,COLUMN()/2+1,FALSE)=0,"",VLOOKUP($A77,数出表_Excel!$A$6:$T$150,COLUMN()/2+1,FALSE))),"")</f>
        <v/>
      </c>
      <c r="Y77" s="83"/>
      <c r="Z77" s="197" t="str">
        <f ca="1">IFERROR(VALUE(IF(VLOOKUP($A77,数出表_Excel!$A$6:$T$150,COLUMN()/2+1,FALSE)=0,"",VLOOKUP($A77,数出表_Excel!$A$6:$T$150,COLUMN()/2+1,FALSE))),"")</f>
        <v/>
      </c>
      <c r="AA77" s="83"/>
      <c r="AB77" s="186" t="str">
        <f ca="1">IFERROR(VALUE(IF(VLOOKUP($A77,数出表_Excel!$A$6:$T$150,COLUMN()/2+1,FALSE)=0,"",VLOOKUP($A77,数出表_Excel!$A$6:$T$150,COLUMN()/2+1,FALSE))),"")</f>
        <v/>
      </c>
      <c r="AC77" s="83"/>
      <c r="AD77" s="186" t="str">
        <f ca="1">IFERROR(VALUE(IF(VLOOKUP($A77,数出表_Excel!$A$6:$T$150,COLUMN()/2+1,FALSE)=0,"",VLOOKUP($A77,数出表_Excel!$A$6:$T$150,COLUMN()/2+1,FALSE))),"")</f>
        <v/>
      </c>
      <c r="AE77" s="83"/>
      <c r="AF77" s="186" t="str">
        <f ca="1">IFERROR(VALUE(IF(VLOOKUP($A77,数出表_Excel!$A$6:$T$150,COLUMN()/2+1,FALSE)=0,"",VLOOKUP($A77,数出表_Excel!$A$6:$T$150,COLUMN()/2+1,FALSE))),"")</f>
        <v/>
      </c>
      <c r="AG77" s="83"/>
      <c r="AH77" s="186" t="str">
        <f ca="1">IFERROR(VALUE(IF(VLOOKUP($A77,数出表_Excel!$A$6:$T$150,COLUMN()/2+1,FALSE)=0,"",VLOOKUP($A77,数出表_Excel!$A$6:$T$150,COLUMN()/2+1,FALSE))),"")</f>
        <v/>
      </c>
      <c r="AI77" s="83"/>
      <c r="AJ77" s="186" t="str">
        <f ca="1">IFERROR(VALUE(IF(VLOOKUP($A77,数出表_Excel!$A$6:$T$150,COLUMN()/2+1,FALSE)=0,"",VLOOKUP($A77,数出表_Excel!$A$6:$T$150,COLUMN()/2+1,FALSE))),"")</f>
        <v/>
      </c>
      <c r="AK77" s="83"/>
      <c r="AL77" s="70" t="e">
        <f ca="1">IF(A77&lt;&gt;"",
IF(VLOOKUP($A77,数出表_Excel!$A$6:$T$150,COLUMN()/2+1,FALSE)=0,"",VLOOKUP($A77,数出表_Excel!$A$6:$T$150,COLUMN()/2+1,FALSE)),"")</f>
        <v>#N/A</v>
      </c>
      <c r="AM77" s="98" t="e">
        <f>数出表_Excel!V77</f>
        <v>#N/A</v>
      </c>
      <c r="AN77" s="99" t="e">
        <f>数出表_Excel!W77</f>
        <v>#N/A</v>
      </c>
    </row>
    <row r="78" spans="1:40" ht="16.2" customHeight="1">
      <c r="A78" s="88" t="e">
        <f t="array" aca="1" ref="A78" ca="1">IF(OR(COUNTIF(A76,"*10002*"),COUNTIF(A76,"")),"",INDEX(貼り付け用!$A1:$A200,MATCH(A76,貼り付け用!$A1:$A200,0)+2,0))</f>
        <v>#N/A</v>
      </c>
      <c r="B78" s="185" t="str">
        <f ca="1">IFERROR(VALUE(IF(VLOOKUP($A78,数出表_Excel!$A$6:$T$150,COLUMN()/2+1,FALSE)=0,"",VLOOKUP($A78,数出表_Excel!$A$6:$T$150,COLUMN()/2+1,FALSE))),"")</f>
        <v/>
      </c>
      <c r="C78" s="66"/>
      <c r="D78" s="185" t="str">
        <f ca="1">IFERROR(VALUE(IF(VLOOKUP($A78,数出表_Excel!$A$6:$T$150,COLUMN()/2+1,FALSE)=0,"",VLOOKUP($A78,数出表_Excel!$A$6:$T$150,COLUMN()/2+1,FALSE))),"")</f>
        <v/>
      </c>
      <c r="E78" s="82"/>
      <c r="F78" s="196" t="str">
        <f ca="1">IFERROR(VALUE(IF(VLOOKUP($A78,数出表_Excel!$A$6:$T$150,COLUMN()/2+1,FALSE)=0,"",VLOOKUP($A78,数出表_Excel!$A$6:$T$150,COLUMN()/2+1,FALSE))),"")</f>
        <v/>
      </c>
      <c r="G78" s="66"/>
      <c r="H78" s="185" t="str">
        <f ca="1">IFERROR(VALUE(IF(VLOOKUP($A78,数出表_Excel!$A$6:$T$150,COLUMN()/2+1,FALSE)=0,"",VLOOKUP($A78,数出表_Excel!$A$6:$T$150,COLUMN()/2+1,FALSE))),"")</f>
        <v/>
      </c>
      <c r="I78" s="82"/>
      <c r="J78" s="196" t="str">
        <f ca="1">IFERROR(VALUE(IF(VLOOKUP($A78,数出表_Excel!$A$6:$T$150,COLUMN()/2+1,FALSE)=0,"",VLOOKUP($A78,数出表_Excel!$A$6:$T$150,COLUMN()/2+1,FALSE))),"")</f>
        <v/>
      </c>
      <c r="K78" s="66"/>
      <c r="L78" s="185" t="str">
        <f ca="1">IFERROR(VALUE(IF(VLOOKUP($A78,数出表_Excel!$A$6:$T$150,COLUMN()/2+1,FALSE)=0,"",VLOOKUP($A78,数出表_Excel!$A$6:$T$150,COLUMN()/2+1,FALSE))),"")</f>
        <v/>
      </c>
      <c r="M78" s="82"/>
      <c r="N78" s="196" t="str">
        <f ca="1">IFERROR(VALUE(IF(VLOOKUP($A78,数出表_Excel!$A$6:$T$150,COLUMN()/2+1,FALSE)=0,"",VLOOKUP($A78,数出表_Excel!$A$6:$T$150,COLUMN()/2+1,FALSE))),"")</f>
        <v/>
      </c>
      <c r="O78" s="66"/>
      <c r="P78" s="185" t="str">
        <f ca="1">IFERROR(VALUE(IF(VLOOKUP($A78,数出表_Excel!$A$6:$T$150,COLUMN()/2+1,FALSE)=0,"",VLOOKUP($A78,数出表_Excel!$A$6:$T$150,COLUMN()/2+1,FALSE))),"")</f>
        <v/>
      </c>
      <c r="Q78" s="82"/>
      <c r="R78" s="196" t="str">
        <f ca="1">IFERROR(VALUE(IF(VLOOKUP($A78,数出表_Excel!$A$6:$T$150,COLUMN()/2+1,FALSE)=0,"",VLOOKUP($A78,数出表_Excel!$A$6:$T$150,COLUMN()/2+1,FALSE))),"")</f>
        <v/>
      </c>
      <c r="S78" s="66"/>
      <c r="T78" s="185" t="str">
        <f ca="1">IFERROR(VALUE(IF(VLOOKUP($A78,数出表_Excel!$A$6:$T$150,COLUMN()/2+1,FALSE)=0,"",VLOOKUP($A78,数出表_Excel!$A$6:$T$150,COLUMN()/2+1,FALSE))),"")</f>
        <v/>
      </c>
      <c r="U78" s="82"/>
      <c r="V78" s="196" t="str">
        <f ca="1">IFERROR(VALUE(IF(VLOOKUP($A78,数出表_Excel!$A$6:$T$150,COLUMN()/2+1,FALSE)=0,"",VLOOKUP($A78,数出表_Excel!$A$6:$T$150,COLUMN()/2+1,FALSE))),"")</f>
        <v/>
      </c>
      <c r="W78" s="66"/>
      <c r="X78" s="185" t="str">
        <f ca="1">IFERROR(VALUE(IF(VLOOKUP($A78,数出表_Excel!$A$6:$T$150,COLUMN()/2+1,FALSE)=0,"",VLOOKUP($A78,数出表_Excel!$A$6:$T$150,COLUMN()/2+1,FALSE))),"")</f>
        <v/>
      </c>
      <c r="Y78" s="82"/>
      <c r="Z78" s="196" t="str">
        <f ca="1">IFERROR(VALUE(IF(VLOOKUP($A78,数出表_Excel!$A$6:$T$150,COLUMN()/2+1,FALSE)=0,"",VLOOKUP($A78,数出表_Excel!$A$6:$T$150,COLUMN()/2+1,FALSE))),"")</f>
        <v/>
      </c>
      <c r="AA78" s="82"/>
      <c r="AB78" s="185" t="str">
        <f ca="1">IFERROR(VALUE(IF(VLOOKUP($A78,数出表_Excel!$A$6:$T$150,COLUMN()/2+1,FALSE)=0,"",VLOOKUP($A78,数出表_Excel!$A$6:$T$150,COLUMN()/2+1,FALSE))),"")</f>
        <v/>
      </c>
      <c r="AC78" s="82"/>
      <c r="AD78" s="185" t="str">
        <f ca="1">IFERROR(VALUE(IF(VLOOKUP($A78,数出表_Excel!$A$6:$T$150,COLUMN()/2+1,FALSE)=0,"",VLOOKUP($A78,数出表_Excel!$A$6:$T$150,COLUMN()/2+1,FALSE))),"")</f>
        <v/>
      </c>
      <c r="AE78" s="82"/>
      <c r="AF78" s="185" t="str">
        <f ca="1">IFERROR(VALUE(IF(VLOOKUP($A78,数出表_Excel!$A$6:$T$150,COLUMN()/2+1,FALSE)=0,"",VLOOKUP($A78,数出表_Excel!$A$6:$T$150,COLUMN()/2+1,FALSE))),"")</f>
        <v/>
      </c>
      <c r="AG78" s="82"/>
      <c r="AH78" s="185" t="str">
        <f ca="1">IFERROR(VALUE(IF(VLOOKUP($A78,数出表_Excel!$A$6:$T$150,COLUMN()/2+1,FALSE)=0,"",VLOOKUP($A78,数出表_Excel!$A$6:$T$150,COLUMN()/2+1,FALSE))),"")</f>
        <v/>
      </c>
      <c r="AI78" s="82"/>
      <c r="AJ78" s="185" t="str">
        <f ca="1">IFERROR(VALUE(IF(VLOOKUP($A78,数出表_Excel!$A$6:$T$150,COLUMN()/2+1,FALSE)=0,"",VLOOKUP($A78,数出表_Excel!$A$6:$T$150,COLUMN()/2+1,FALSE))),"")</f>
        <v/>
      </c>
      <c r="AK78" s="82"/>
      <c r="AL78" s="68" t="e">
        <f ca="1">IF(A78&lt;&gt;"",
IF(VLOOKUP($A78,数出表_Excel!$A$6:$T$150,COLUMN()/2+1,FALSE)=0,"",VLOOKUP($A78,数出表_Excel!$A$6:$T$150,COLUMN()/2+1,FALSE)),"")</f>
        <v>#N/A</v>
      </c>
      <c r="AM78" s="96" t="e">
        <f>数出表_Excel!V78</f>
        <v>#N/A</v>
      </c>
      <c r="AN78" s="97" t="e">
        <f>数出表_Excel!W78</f>
        <v>#N/A</v>
      </c>
    </row>
    <row r="79" spans="1:40" ht="16.2" customHeight="1">
      <c r="A79" s="89" t="e">
        <f t="array" aca="1" ref="A79" ca="1">IF(OR(COUNTIF(A77,"*1000*"),COUNTIF(A77,"")),"",INDEX(貼り付け用!$A1:$A200,MATCH(A77,貼り付け用!$A1:$A200,0)+2,0))</f>
        <v>#N/A</v>
      </c>
      <c r="B79" s="186" t="str">
        <f ca="1">IFERROR(VALUE(IF(VLOOKUP($A79,数出表_Excel!$A$6:$T$150,COLUMN()/2+1,FALSE)=0,"",VLOOKUP($A79,数出表_Excel!$A$6:$T$150,COLUMN()/2+1,FALSE))),"")</f>
        <v/>
      </c>
      <c r="C79" s="67"/>
      <c r="D79" s="186" t="str">
        <f ca="1">IFERROR(VALUE(IF(VLOOKUP($A79,数出表_Excel!$A$6:$T$150,COLUMN()/2+1,FALSE)=0,"",VLOOKUP($A79,数出表_Excel!$A$6:$T$150,COLUMN()/2+1,FALSE))),"")</f>
        <v/>
      </c>
      <c r="E79" s="83"/>
      <c r="F79" s="197" t="str">
        <f ca="1">IFERROR(VALUE(IF(VLOOKUP($A79,数出表_Excel!$A$6:$T$150,COLUMN()/2+1,FALSE)=0,"",VLOOKUP($A79,数出表_Excel!$A$6:$T$150,COLUMN()/2+1,FALSE))),"")</f>
        <v/>
      </c>
      <c r="G79" s="67"/>
      <c r="H79" s="186" t="str">
        <f ca="1">IFERROR(VALUE(IF(VLOOKUP($A79,数出表_Excel!$A$6:$T$150,COLUMN()/2+1,FALSE)=0,"",VLOOKUP($A79,数出表_Excel!$A$6:$T$150,COLUMN()/2+1,FALSE))),"")</f>
        <v/>
      </c>
      <c r="I79" s="83"/>
      <c r="J79" s="197" t="str">
        <f ca="1">IFERROR(VALUE(IF(VLOOKUP($A79,数出表_Excel!$A$6:$T$150,COLUMN()/2+1,FALSE)=0,"",VLOOKUP($A79,数出表_Excel!$A$6:$T$150,COLUMN()/2+1,FALSE))),"")</f>
        <v/>
      </c>
      <c r="K79" s="67"/>
      <c r="L79" s="186" t="str">
        <f ca="1">IFERROR(VALUE(IF(VLOOKUP($A79,数出表_Excel!$A$6:$T$150,COLUMN()/2+1,FALSE)=0,"",VLOOKUP($A79,数出表_Excel!$A$6:$T$150,COLUMN()/2+1,FALSE))),"")</f>
        <v/>
      </c>
      <c r="M79" s="83"/>
      <c r="N79" s="197" t="str">
        <f ca="1">IFERROR(VALUE(IF(VLOOKUP($A79,数出表_Excel!$A$6:$T$150,COLUMN()/2+1,FALSE)=0,"",VLOOKUP($A79,数出表_Excel!$A$6:$T$150,COLUMN()/2+1,FALSE))),"")</f>
        <v/>
      </c>
      <c r="O79" s="67"/>
      <c r="P79" s="186" t="str">
        <f ca="1">IFERROR(VALUE(IF(VLOOKUP($A79,数出表_Excel!$A$6:$T$150,COLUMN()/2+1,FALSE)=0,"",VLOOKUP($A79,数出表_Excel!$A$6:$T$150,COLUMN()/2+1,FALSE))),"")</f>
        <v/>
      </c>
      <c r="Q79" s="83"/>
      <c r="R79" s="197" t="str">
        <f ca="1">IFERROR(VALUE(IF(VLOOKUP($A79,数出表_Excel!$A$6:$T$150,COLUMN()/2+1,FALSE)=0,"",VLOOKUP($A79,数出表_Excel!$A$6:$T$150,COLUMN()/2+1,FALSE))),"")</f>
        <v/>
      </c>
      <c r="S79" s="67"/>
      <c r="T79" s="186" t="str">
        <f ca="1">IFERROR(VALUE(IF(VLOOKUP($A79,数出表_Excel!$A$6:$T$150,COLUMN()/2+1,FALSE)=0,"",VLOOKUP($A79,数出表_Excel!$A$6:$T$150,COLUMN()/2+1,FALSE))),"")</f>
        <v/>
      </c>
      <c r="U79" s="83"/>
      <c r="V79" s="197" t="str">
        <f ca="1">IFERROR(VALUE(IF(VLOOKUP($A79,数出表_Excel!$A$6:$T$150,COLUMN()/2+1,FALSE)=0,"",VLOOKUP($A79,数出表_Excel!$A$6:$T$150,COLUMN()/2+1,FALSE))),"")</f>
        <v/>
      </c>
      <c r="W79" s="67"/>
      <c r="X79" s="186" t="str">
        <f ca="1">IFERROR(VALUE(IF(VLOOKUP($A79,数出表_Excel!$A$6:$T$150,COLUMN()/2+1,FALSE)=0,"",VLOOKUP($A79,数出表_Excel!$A$6:$T$150,COLUMN()/2+1,FALSE))),"")</f>
        <v/>
      </c>
      <c r="Y79" s="83"/>
      <c r="Z79" s="197" t="str">
        <f ca="1">IFERROR(VALUE(IF(VLOOKUP($A79,数出表_Excel!$A$6:$T$150,COLUMN()/2+1,FALSE)=0,"",VLOOKUP($A79,数出表_Excel!$A$6:$T$150,COLUMN()/2+1,FALSE))),"")</f>
        <v/>
      </c>
      <c r="AA79" s="83"/>
      <c r="AB79" s="186" t="str">
        <f ca="1">IFERROR(VALUE(IF(VLOOKUP($A79,数出表_Excel!$A$6:$T$150,COLUMN()/2+1,FALSE)=0,"",VLOOKUP($A79,数出表_Excel!$A$6:$T$150,COLUMN()/2+1,FALSE))),"")</f>
        <v/>
      </c>
      <c r="AC79" s="83"/>
      <c r="AD79" s="186" t="str">
        <f ca="1">IFERROR(VALUE(IF(VLOOKUP($A79,数出表_Excel!$A$6:$T$150,COLUMN()/2+1,FALSE)=0,"",VLOOKUP($A79,数出表_Excel!$A$6:$T$150,COLUMN()/2+1,FALSE))),"")</f>
        <v/>
      </c>
      <c r="AE79" s="83"/>
      <c r="AF79" s="186" t="str">
        <f ca="1">IFERROR(VALUE(IF(VLOOKUP($A79,数出表_Excel!$A$6:$T$150,COLUMN()/2+1,FALSE)=0,"",VLOOKUP($A79,数出表_Excel!$A$6:$T$150,COLUMN()/2+1,FALSE))),"")</f>
        <v/>
      </c>
      <c r="AG79" s="83"/>
      <c r="AH79" s="186" t="str">
        <f ca="1">IFERROR(VALUE(IF(VLOOKUP($A79,数出表_Excel!$A$6:$T$150,COLUMN()/2+1,FALSE)=0,"",VLOOKUP($A79,数出表_Excel!$A$6:$T$150,COLUMN()/2+1,FALSE))),"")</f>
        <v/>
      </c>
      <c r="AI79" s="83"/>
      <c r="AJ79" s="186" t="str">
        <f ca="1">IFERROR(VALUE(IF(VLOOKUP($A79,数出表_Excel!$A$6:$T$150,COLUMN()/2+1,FALSE)=0,"",VLOOKUP($A79,数出表_Excel!$A$6:$T$150,COLUMN()/2+1,FALSE))),"")</f>
        <v/>
      </c>
      <c r="AK79" s="83"/>
      <c r="AL79" s="70" t="e">
        <f ca="1">IF(A79&lt;&gt;"",
IF(VLOOKUP($A79,数出表_Excel!$A$6:$T$150,COLUMN()/2+1,FALSE)=0,"",VLOOKUP($A79,数出表_Excel!$A$6:$T$150,COLUMN()/2+1,FALSE)),"")</f>
        <v>#N/A</v>
      </c>
      <c r="AM79" s="98" t="e">
        <f>数出表_Excel!V79</f>
        <v>#N/A</v>
      </c>
      <c r="AN79" s="99" t="e">
        <f>数出表_Excel!W79</f>
        <v>#N/A</v>
      </c>
    </row>
    <row r="80" spans="1:40" ht="16.2" customHeight="1">
      <c r="A80" s="88" t="e">
        <f t="array" aca="1" ref="A80" ca="1">IF(OR(COUNTIF(A78,"*10002*"),COUNTIF(A78,"")),"",INDEX(貼り付け用!$A1:$A200,MATCH(A78,貼り付け用!$A1:$A200,0)+2,0))</f>
        <v>#N/A</v>
      </c>
      <c r="B80" s="185" t="str">
        <f ca="1">IFERROR(VALUE(IF(VLOOKUP($A80,数出表_Excel!$A$6:$T$150,COLUMN()/2+1,FALSE)=0,"",VLOOKUP($A80,数出表_Excel!$A$6:$T$150,COLUMN()/2+1,FALSE))),"")</f>
        <v/>
      </c>
      <c r="C80" s="66"/>
      <c r="D80" s="185" t="str">
        <f ca="1">IFERROR(VALUE(IF(VLOOKUP($A80,数出表_Excel!$A$6:$T$150,COLUMN()/2+1,FALSE)=0,"",VLOOKUP($A80,数出表_Excel!$A$6:$T$150,COLUMN()/2+1,FALSE))),"")</f>
        <v/>
      </c>
      <c r="E80" s="82"/>
      <c r="F80" s="196" t="str">
        <f ca="1">IFERROR(VALUE(IF(VLOOKUP($A80,数出表_Excel!$A$6:$T$150,COLUMN()/2+1,FALSE)=0,"",VLOOKUP($A80,数出表_Excel!$A$6:$T$150,COLUMN()/2+1,FALSE))),"")</f>
        <v/>
      </c>
      <c r="G80" s="66"/>
      <c r="H80" s="185" t="str">
        <f ca="1">IFERROR(VALUE(IF(VLOOKUP($A80,数出表_Excel!$A$6:$T$150,COLUMN()/2+1,FALSE)=0,"",VLOOKUP($A80,数出表_Excel!$A$6:$T$150,COLUMN()/2+1,FALSE))),"")</f>
        <v/>
      </c>
      <c r="I80" s="82"/>
      <c r="J80" s="196" t="str">
        <f ca="1">IFERROR(VALUE(IF(VLOOKUP($A80,数出表_Excel!$A$6:$T$150,COLUMN()/2+1,FALSE)=0,"",VLOOKUP($A80,数出表_Excel!$A$6:$T$150,COLUMN()/2+1,FALSE))),"")</f>
        <v/>
      </c>
      <c r="K80" s="66"/>
      <c r="L80" s="185" t="str">
        <f ca="1">IFERROR(VALUE(IF(VLOOKUP($A80,数出表_Excel!$A$6:$T$150,COLUMN()/2+1,FALSE)=0,"",VLOOKUP($A80,数出表_Excel!$A$6:$T$150,COLUMN()/2+1,FALSE))),"")</f>
        <v/>
      </c>
      <c r="M80" s="82"/>
      <c r="N80" s="196" t="str">
        <f ca="1">IFERROR(VALUE(IF(VLOOKUP($A80,数出表_Excel!$A$6:$T$150,COLUMN()/2+1,FALSE)=0,"",VLOOKUP($A80,数出表_Excel!$A$6:$T$150,COLUMN()/2+1,FALSE))),"")</f>
        <v/>
      </c>
      <c r="O80" s="66"/>
      <c r="P80" s="185" t="str">
        <f ca="1">IFERROR(VALUE(IF(VLOOKUP($A80,数出表_Excel!$A$6:$T$150,COLUMN()/2+1,FALSE)=0,"",VLOOKUP($A80,数出表_Excel!$A$6:$T$150,COLUMN()/2+1,FALSE))),"")</f>
        <v/>
      </c>
      <c r="Q80" s="82"/>
      <c r="R80" s="196" t="str">
        <f ca="1">IFERROR(VALUE(IF(VLOOKUP($A80,数出表_Excel!$A$6:$T$150,COLUMN()/2+1,FALSE)=0,"",VLOOKUP($A80,数出表_Excel!$A$6:$T$150,COLUMN()/2+1,FALSE))),"")</f>
        <v/>
      </c>
      <c r="S80" s="66"/>
      <c r="T80" s="185" t="str">
        <f ca="1">IFERROR(VALUE(IF(VLOOKUP($A80,数出表_Excel!$A$6:$T$150,COLUMN()/2+1,FALSE)=0,"",VLOOKUP($A80,数出表_Excel!$A$6:$T$150,COLUMN()/2+1,FALSE))),"")</f>
        <v/>
      </c>
      <c r="U80" s="82"/>
      <c r="V80" s="196" t="str">
        <f ca="1">IFERROR(VALUE(IF(VLOOKUP($A80,数出表_Excel!$A$6:$T$150,COLUMN()/2+1,FALSE)=0,"",VLOOKUP($A80,数出表_Excel!$A$6:$T$150,COLUMN()/2+1,FALSE))),"")</f>
        <v/>
      </c>
      <c r="W80" s="66"/>
      <c r="X80" s="185" t="str">
        <f ca="1">IFERROR(VALUE(IF(VLOOKUP($A80,数出表_Excel!$A$6:$T$150,COLUMN()/2+1,FALSE)=0,"",VLOOKUP($A80,数出表_Excel!$A$6:$T$150,COLUMN()/2+1,FALSE))),"")</f>
        <v/>
      </c>
      <c r="Y80" s="82"/>
      <c r="Z80" s="196" t="str">
        <f ca="1">IFERROR(VALUE(IF(VLOOKUP($A80,数出表_Excel!$A$6:$T$150,COLUMN()/2+1,FALSE)=0,"",VLOOKUP($A80,数出表_Excel!$A$6:$T$150,COLUMN()/2+1,FALSE))),"")</f>
        <v/>
      </c>
      <c r="AA80" s="82"/>
      <c r="AB80" s="185" t="str">
        <f ca="1">IFERROR(VALUE(IF(VLOOKUP($A80,数出表_Excel!$A$6:$T$150,COLUMN()/2+1,FALSE)=0,"",VLOOKUP($A80,数出表_Excel!$A$6:$T$150,COLUMN()/2+1,FALSE))),"")</f>
        <v/>
      </c>
      <c r="AC80" s="82"/>
      <c r="AD80" s="185" t="str">
        <f ca="1">IFERROR(VALUE(IF(VLOOKUP($A80,数出表_Excel!$A$6:$T$150,COLUMN()/2+1,FALSE)=0,"",VLOOKUP($A80,数出表_Excel!$A$6:$T$150,COLUMN()/2+1,FALSE))),"")</f>
        <v/>
      </c>
      <c r="AE80" s="82"/>
      <c r="AF80" s="185" t="str">
        <f ca="1">IFERROR(VALUE(IF(VLOOKUP($A80,数出表_Excel!$A$6:$T$150,COLUMN()/2+1,FALSE)=0,"",VLOOKUP($A80,数出表_Excel!$A$6:$T$150,COLUMN()/2+1,FALSE))),"")</f>
        <v/>
      </c>
      <c r="AG80" s="82"/>
      <c r="AH80" s="185" t="str">
        <f ca="1">IFERROR(VALUE(IF(VLOOKUP($A80,数出表_Excel!$A$6:$T$150,COLUMN()/2+1,FALSE)=0,"",VLOOKUP($A80,数出表_Excel!$A$6:$T$150,COLUMN()/2+1,FALSE))),"")</f>
        <v/>
      </c>
      <c r="AI80" s="82"/>
      <c r="AJ80" s="185" t="str">
        <f ca="1">IFERROR(VALUE(IF(VLOOKUP($A80,数出表_Excel!$A$6:$T$150,COLUMN()/2+1,FALSE)=0,"",VLOOKUP($A80,数出表_Excel!$A$6:$T$150,COLUMN()/2+1,FALSE))),"")</f>
        <v/>
      </c>
      <c r="AK80" s="82"/>
      <c r="AL80" s="68" t="e">
        <f ca="1">IF(A80&lt;&gt;"",
IF(VLOOKUP($A80,数出表_Excel!$A$6:$T$150,COLUMN()/2+1,FALSE)=0,"",VLOOKUP($A80,数出表_Excel!$A$6:$T$150,COLUMN()/2+1,FALSE)),"")</f>
        <v>#N/A</v>
      </c>
      <c r="AM80" s="96" t="e">
        <f>数出表_Excel!V80</f>
        <v>#N/A</v>
      </c>
      <c r="AN80" s="97" t="e">
        <f>数出表_Excel!W80</f>
        <v>#N/A</v>
      </c>
    </row>
    <row r="81" spans="1:40" ht="16.2" customHeight="1">
      <c r="A81" s="89" t="e">
        <f t="array" aca="1" ref="A81" ca="1">IF(OR(COUNTIF(A79,"*1000*"),COUNTIF(A79,"")),"",INDEX(貼り付け用!$A1:$A200,MATCH(A79,貼り付け用!$A1:$A200,0)+2,0))</f>
        <v>#N/A</v>
      </c>
      <c r="B81" s="186" t="str">
        <f ca="1">IFERROR(VALUE(IF(VLOOKUP($A81,数出表_Excel!$A$6:$T$150,COLUMN()/2+1,FALSE)=0,"",VLOOKUP($A81,数出表_Excel!$A$6:$T$150,COLUMN()/2+1,FALSE))),"")</f>
        <v/>
      </c>
      <c r="C81" s="67"/>
      <c r="D81" s="186" t="str">
        <f ca="1">IFERROR(VALUE(IF(VLOOKUP($A81,数出表_Excel!$A$6:$T$150,COLUMN()/2+1,FALSE)=0,"",VLOOKUP($A81,数出表_Excel!$A$6:$T$150,COLUMN()/2+1,FALSE))),"")</f>
        <v/>
      </c>
      <c r="E81" s="83"/>
      <c r="F81" s="197" t="str">
        <f ca="1">IFERROR(VALUE(IF(VLOOKUP($A81,数出表_Excel!$A$6:$T$150,COLUMN()/2+1,FALSE)=0,"",VLOOKUP($A81,数出表_Excel!$A$6:$T$150,COLUMN()/2+1,FALSE))),"")</f>
        <v/>
      </c>
      <c r="G81" s="67"/>
      <c r="H81" s="186" t="str">
        <f ca="1">IFERROR(VALUE(IF(VLOOKUP($A81,数出表_Excel!$A$6:$T$150,COLUMN()/2+1,FALSE)=0,"",VLOOKUP($A81,数出表_Excel!$A$6:$T$150,COLUMN()/2+1,FALSE))),"")</f>
        <v/>
      </c>
      <c r="I81" s="83"/>
      <c r="J81" s="197" t="str">
        <f ca="1">IFERROR(VALUE(IF(VLOOKUP($A81,数出表_Excel!$A$6:$T$150,COLUMN()/2+1,FALSE)=0,"",VLOOKUP($A81,数出表_Excel!$A$6:$T$150,COLUMN()/2+1,FALSE))),"")</f>
        <v/>
      </c>
      <c r="K81" s="67"/>
      <c r="L81" s="186" t="str">
        <f ca="1">IFERROR(VALUE(IF(VLOOKUP($A81,数出表_Excel!$A$6:$T$150,COLUMN()/2+1,FALSE)=0,"",VLOOKUP($A81,数出表_Excel!$A$6:$T$150,COLUMN()/2+1,FALSE))),"")</f>
        <v/>
      </c>
      <c r="M81" s="83"/>
      <c r="N81" s="197" t="str">
        <f ca="1">IFERROR(VALUE(IF(VLOOKUP($A81,数出表_Excel!$A$6:$T$150,COLUMN()/2+1,FALSE)=0,"",VLOOKUP($A81,数出表_Excel!$A$6:$T$150,COLUMN()/2+1,FALSE))),"")</f>
        <v/>
      </c>
      <c r="O81" s="67"/>
      <c r="P81" s="186" t="str">
        <f ca="1">IFERROR(VALUE(IF(VLOOKUP($A81,数出表_Excel!$A$6:$T$150,COLUMN()/2+1,FALSE)=0,"",VLOOKUP($A81,数出表_Excel!$A$6:$T$150,COLUMN()/2+1,FALSE))),"")</f>
        <v/>
      </c>
      <c r="Q81" s="83"/>
      <c r="R81" s="197" t="str">
        <f ca="1">IFERROR(VALUE(IF(VLOOKUP($A81,数出表_Excel!$A$6:$T$150,COLUMN()/2+1,FALSE)=0,"",VLOOKUP($A81,数出表_Excel!$A$6:$T$150,COLUMN()/2+1,FALSE))),"")</f>
        <v/>
      </c>
      <c r="S81" s="67"/>
      <c r="T81" s="186" t="str">
        <f ca="1">IFERROR(VALUE(IF(VLOOKUP($A81,数出表_Excel!$A$6:$T$150,COLUMN()/2+1,FALSE)=0,"",VLOOKUP($A81,数出表_Excel!$A$6:$T$150,COLUMN()/2+1,FALSE))),"")</f>
        <v/>
      </c>
      <c r="U81" s="83"/>
      <c r="V81" s="197" t="str">
        <f ca="1">IFERROR(VALUE(IF(VLOOKUP($A81,数出表_Excel!$A$6:$T$150,COLUMN()/2+1,FALSE)=0,"",VLOOKUP($A81,数出表_Excel!$A$6:$T$150,COLUMN()/2+1,FALSE))),"")</f>
        <v/>
      </c>
      <c r="W81" s="67"/>
      <c r="X81" s="186" t="str">
        <f ca="1">IFERROR(VALUE(IF(VLOOKUP($A81,数出表_Excel!$A$6:$T$150,COLUMN()/2+1,FALSE)=0,"",VLOOKUP($A81,数出表_Excel!$A$6:$T$150,COLUMN()/2+1,FALSE))),"")</f>
        <v/>
      </c>
      <c r="Y81" s="83"/>
      <c r="Z81" s="197" t="str">
        <f ca="1">IFERROR(VALUE(IF(VLOOKUP($A81,数出表_Excel!$A$6:$T$150,COLUMN()/2+1,FALSE)=0,"",VLOOKUP($A81,数出表_Excel!$A$6:$T$150,COLUMN()/2+1,FALSE))),"")</f>
        <v/>
      </c>
      <c r="AA81" s="83"/>
      <c r="AB81" s="186" t="str">
        <f ca="1">IFERROR(VALUE(IF(VLOOKUP($A81,数出表_Excel!$A$6:$T$150,COLUMN()/2+1,FALSE)=0,"",VLOOKUP($A81,数出表_Excel!$A$6:$T$150,COLUMN()/2+1,FALSE))),"")</f>
        <v/>
      </c>
      <c r="AC81" s="83"/>
      <c r="AD81" s="186" t="str">
        <f ca="1">IFERROR(VALUE(IF(VLOOKUP($A81,数出表_Excel!$A$6:$T$150,COLUMN()/2+1,FALSE)=0,"",VLOOKUP($A81,数出表_Excel!$A$6:$T$150,COLUMN()/2+1,FALSE))),"")</f>
        <v/>
      </c>
      <c r="AE81" s="83"/>
      <c r="AF81" s="186" t="str">
        <f ca="1">IFERROR(VALUE(IF(VLOOKUP($A81,数出表_Excel!$A$6:$T$150,COLUMN()/2+1,FALSE)=0,"",VLOOKUP($A81,数出表_Excel!$A$6:$T$150,COLUMN()/2+1,FALSE))),"")</f>
        <v/>
      </c>
      <c r="AG81" s="83"/>
      <c r="AH81" s="186" t="str">
        <f ca="1">IFERROR(VALUE(IF(VLOOKUP($A81,数出表_Excel!$A$6:$T$150,COLUMN()/2+1,FALSE)=0,"",VLOOKUP($A81,数出表_Excel!$A$6:$T$150,COLUMN()/2+1,FALSE))),"")</f>
        <v/>
      </c>
      <c r="AI81" s="83"/>
      <c r="AJ81" s="186" t="str">
        <f ca="1">IFERROR(VALUE(IF(VLOOKUP($A81,数出表_Excel!$A$6:$T$150,COLUMN()/2+1,FALSE)=0,"",VLOOKUP($A81,数出表_Excel!$A$6:$T$150,COLUMN()/2+1,FALSE))),"")</f>
        <v/>
      </c>
      <c r="AK81" s="83"/>
      <c r="AL81" s="70" t="e">
        <f ca="1">IF(A81&lt;&gt;"",
IF(VLOOKUP($A81,数出表_Excel!$A$6:$T$150,COLUMN()/2+1,FALSE)=0,"",VLOOKUP($A81,数出表_Excel!$A$6:$T$150,COLUMN()/2+1,FALSE)),"")</f>
        <v>#N/A</v>
      </c>
      <c r="AM81" s="98" t="e">
        <f>数出表_Excel!V81</f>
        <v>#N/A</v>
      </c>
      <c r="AN81" s="99" t="e">
        <f>数出表_Excel!W81</f>
        <v>#N/A</v>
      </c>
    </row>
    <row r="82" spans="1:40" ht="16.2" customHeight="1">
      <c r="A82" s="88" t="e">
        <f t="array" aca="1" ref="A82" ca="1">IF(OR(COUNTIF(A80,"*10002*"),COUNTIF(A80,"")),"",INDEX(貼り付け用!$A1:$A200,MATCH(A80,貼り付け用!$A1:$A200,0)+2,0))</f>
        <v>#N/A</v>
      </c>
      <c r="B82" s="185" t="str">
        <f ca="1">IFERROR(VALUE(IF(VLOOKUP($A82,数出表_Excel!$A$6:$T$150,COLUMN()/2+1,FALSE)=0,"",VLOOKUP($A82,数出表_Excel!$A$6:$T$150,COLUMN()/2+1,FALSE))),"")</f>
        <v/>
      </c>
      <c r="C82" s="66"/>
      <c r="D82" s="185" t="str">
        <f ca="1">IFERROR(VALUE(IF(VLOOKUP($A82,数出表_Excel!$A$6:$T$150,COLUMN()/2+1,FALSE)=0,"",VLOOKUP($A82,数出表_Excel!$A$6:$T$150,COLUMN()/2+1,FALSE))),"")</f>
        <v/>
      </c>
      <c r="E82" s="82"/>
      <c r="F82" s="196" t="str">
        <f ca="1">IFERROR(VALUE(IF(VLOOKUP($A82,数出表_Excel!$A$6:$T$150,COLUMN()/2+1,FALSE)=0,"",VLOOKUP($A82,数出表_Excel!$A$6:$T$150,COLUMN()/2+1,FALSE))),"")</f>
        <v/>
      </c>
      <c r="G82" s="66"/>
      <c r="H82" s="185" t="str">
        <f ca="1">IFERROR(VALUE(IF(VLOOKUP($A82,数出表_Excel!$A$6:$T$150,COLUMN()/2+1,FALSE)=0,"",VLOOKUP($A82,数出表_Excel!$A$6:$T$150,COLUMN()/2+1,FALSE))),"")</f>
        <v/>
      </c>
      <c r="I82" s="82"/>
      <c r="J82" s="196" t="str">
        <f ca="1">IFERROR(VALUE(IF(VLOOKUP($A82,数出表_Excel!$A$6:$T$150,COLUMN()/2+1,FALSE)=0,"",VLOOKUP($A82,数出表_Excel!$A$6:$T$150,COLUMN()/2+1,FALSE))),"")</f>
        <v/>
      </c>
      <c r="K82" s="66"/>
      <c r="L82" s="185" t="str">
        <f ca="1">IFERROR(VALUE(IF(VLOOKUP($A82,数出表_Excel!$A$6:$T$150,COLUMN()/2+1,FALSE)=0,"",VLOOKUP($A82,数出表_Excel!$A$6:$T$150,COLUMN()/2+1,FALSE))),"")</f>
        <v/>
      </c>
      <c r="M82" s="82"/>
      <c r="N82" s="196" t="str">
        <f ca="1">IFERROR(VALUE(IF(VLOOKUP($A82,数出表_Excel!$A$6:$T$150,COLUMN()/2+1,FALSE)=0,"",VLOOKUP($A82,数出表_Excel!$A$6:$T$150,COLUMN()/2+1,FALSE))),"")</f>
        <v/>
      </c>
      <c r="O82" s="66"/>
      <c r="P82" s="185" t="str">
        <f ca="1">IFERROR(VALUE(IF(VLOOKUP($A82,数出表_Excel!$A$6:$T$150,COLUMN()/2+1,FALSE)=0,"",VLOOKUP($A82,数出表_Excel!$A$6:$T$150,COLUMN()/2+1,FALSE))),"")</f>
        <v/>
      </c>
      <c r="Q82" s="82"/>
      <c r="R82" s="196" t="str">
        <f ca="1">IFERROR(VALUE(IF(VLOOKUP($A82,数出表_Excel!$A$6:$T$150,COLUMN()/2+1,FALSE)=0,"",VLOOKUP($A82,数出表_Excel!$A$6:$T$150,COLUMN()/2+1,FALSE))),"")</f>
        <v/>
      </c>
      <c r="S82" s="66"/>
      <c r="T82" s="185" t="str">
        <f ca="1">IFERROR(VALUE(IF(VLOOKUP($A82,数出表_Excel!$A$6:$T$150,COLUMN()/2+1,FALSE)=0,"",VLOOKUP($A82,数出表_Excel!$A$6:$T$150,COLUMN()/2+1,FALSE))),"")</f>
        <v/>
      </c>
      <c r="U82" s="82"/>
      <c r="V82" s="196" t="str">
        <f ca="1">IFERROR(VALUE(IF(VLOOKUP($A82,数出表_Excel!$A$6:$T$150,COLUMN()/2+1,FALSE)=0,"",VLOOKUP($A82,数出表_Excel!$A$6:$T$150,COLUMN()/2+1,FALSE))),"")</f>
        <v/>
      </c>
      <c r="W82" s="66"/>
      <c r="X82" s="185" t="str">
        <f ca="1">IFERROR(VALUE(IF(VLOOKUP($A82,数出表_Excel!$A$6:$T$150,COLUMN()/2+1,FALSE)=0,"",VLOOKUP($A82,数出表_Excel!$A$6:$T$150,COLUMN()/2+1,FALSE))),"")</f>
        <v/>
      </c>
      <c r="Y82" s="82"/>
      <c r="Z82" s="196" t="str">
        <f ca="1">IFERROR(VALUE(IF(VLOOKUP($A82,数出表_Excel!$A$6:$T$150,COLUMN()/2+1,FALSE)=0,"",VLOOKUP($A82,数出表_Excel!$A$6:$T$150,COLUMN()/2+1,FALSE))),"")</f>
        <v/>
      </c>
      <c r="AA82" s="82"/>
      <c r="AB82" s="185" t="str">
        <f ca="1">IFERROR(VALUE(IF(VLOOKUP($A82,数出表_Excel!$A$6:$T$150,COLUMN()/2+1,FALSE)=0,"",VLOOKUP($A82,数出表_Excel!$A$6:$T$150,COLUMN()/2+1,FALSE))),"")</f>
        <v/>
      </c>
      <c r="AC82" s="82"/>
      <c r="AD82" s="185" t="str">
        <f ca="1">IFERROR(VALUE(IF(VLOOKUP($A82,数出表_Excel!$A$6:$T$150,COLUMN()/2+1,FALSE)=0,"",VLOOKUP($A82,数出表_Excel!$A$6:$T$150,COLUMN()/2+1,FALSE))),"")</f>
        <v/>
      </c>
      <c r="AE82" s="82"/>
      <c r="AF82" s="185" t="str">
        <f ca="1">IFERROR(VALUE(IF(VLOOKUP($A82,数出表_Excel!$A$6:$T$150,COLUMN()/2+1,FALSE)=0,"",VLOOKUP($A82,数出表_Excel!$A$6:$T$150,COLUMN()/2+1,FALSE))),"")</f>
        <v/>
      </c>
      <c r="AG82" s="82"/>
      <c r="AH82" s="185" t="str">
        <f ca="1">IFERROR(VALUE(IF(VLOOKUP($A82,数出表_Excel!$A$6:$T$150,COLUMN()/2+1,FALSE)=0,"",VLOOKUP($A82,数出表_Excel!$A$6:$T$150,COLUMN()/2+1,FALSE))),"")</f>
        <v/>
      </c>
      <c r="AI82" s="82"/>
      <c r="AJ82" s="185" t="str">
        <f ca="1">IFERROR(VALUE(IF(VLOOKUP($A82,数出表_Excel!$A$6:$T$150,COLUMN()/2+1,FALSE)=0,"",VLOOKUP($A82,数出表_Excel!$A$6:$T$150,COLUMN()/2+1,FALSE))),"")</f>
        <v/>
      </c>
      <c r="AK82" s="82"/>
      <c r="AL82" s="68" t="e">
        <f ca="1">IF(A82&lt;&gt;"",
IF(VLOOKUP($A82,数出表_Excel!$A$6:$T$150,COLUMN()/2+1,FALSE)=0,"",VLOOKUP($A82,数出表_Excel!$A$6:$T$150,COLUMN()/2+1,FALSE)),"")</f>
        <v>#N/A</v>
      </c>
      <c r="AM82" s="96" t="e">
        <f>数出表_Excel!V82</f>
        <v>#N/A</v>
      </c>
      <c r="AN82" s="97" t="e">
        <f>数出表_Excel!W82</f>
        <v>#N/A</v>
      </c>
    </row>
    <row r="83" spans="1:40" ht="16.2" customHeight="1">
      <c r="A83" s="89" t="e">
        <f t="array" aca="1" ref="A83" ca="1">IF(OR(COUNTIF(A81,"*1000*"),COUNTIF(A81,"")),"",INDEX(貼り付け用!$A1:$A200,MATCH(A81,貼り付け用!$A1:$A200,0)+2,0))</f>
        <v>#N/A</v>
      </c>
      <c r="B83" s="186" t="str">
        <f ca="1">IFERROR(VALUE(IF(VLOOKUP($A83,数出表_Excel!$A$6:$T$150,COLUMN()/2+1,FALSE)=0,"",VLOOKUP($A83,数出表_Excel!$A$6:$T$150,COLUMN()/2+1,FALSE))),"")</f>
        <v/>
      </c>
      <c r="C83" s="67"/>
      <c r="D83" s="186" t="str">
        <f ca="1">IFERROR(VALUE(IF(VLOOKUP($A83,数出表_Excel!$A$6:$T$150,COLUMN()/2+1,FALSE)=0,"",VLOOKUP($A83,数出表_Excel!$A$6:$T$150,COLUMN()/2+1,FALSE))),"")</f>
        <v/>
      </c>
      <c r="E83" s="83"/>
      <c r="F83" s="197" t="str">
        <f ca="1">IFERROR(VALUE(IF(VLOOKUP($A83,数出表_Excel!$A$6:$T$150,COLUMN()/2+1,FALSE)=0,"",VLOOKUP($A83,数出表_Excel!$A$6:$T$150,COLUMN()/2+1,FALSE))),"")</f>
        <v/>
      </c>
      <c r="G83" s="67"/>
      <c r="H83" s="186" t="str">
        <f ca="1">IFERROR(VALUE(IF(VLOOKUP($A83,数出表_Excel!$A$6:$T$150,COLUMN()/2+1,FALSE)=0,"",VLOOKUP($A83,数出表_Excel!$A$6:$T$150,COLUMN()/2+1,FALSE))),"")</f>
        <v/>
      </c>
      <c r="I83" s="83"/>
      <c r="J83" s="197" t="str">
        <f ca="1">IFERROR(VALUE(IF(VLOOKUP($A83,数出表_Excel!$A$6:$T$150,COLUMN()/2+1,FALSE)=0,"",VLOOKUP($A83,数出表_Excel!$A$6:$T$150,COLUMN()/2+1,FALSE))),"")</f>
        <v/>
      </c>
      <c r="K83" s="67"/>
      <c r="L83" s="186" t="str">
        <f ca="1">IFERROR(VALUE(IF(VLOOKUP($A83,数出表_Excel!$A$6:$T$150,COLUMN()/2+1,FALSE)=0,"",VLOOKUP($A83,数出表_Excel!$A$6:$T$150,COLUMN()/2+1,FALSE))),"")</f>
        <v/>
      </c>
      <c r="M83" s="83"/>
      <c r="N83" s="197" t="str">
        <f ca="1">IFERROR(VALUE(IF(VLOOKUP($A83,数出表_Excel!$A$6:$T$150,COLUMN()/2+1,FALSE)=0,"",VLOOKUP($A83,数出表_Excel!$A$6:$T$150,COLUMN()/2+1,FALSE))),"")</f>
        <v/>
      </c>
      <c r="O83" s="67"/>
      <c r="P83" s="186" t="str">
        <f ca="1">IFERROR(VALUE(IF(VLOOKUP($A83,数出表_Excel!$A$6:$T$150,COLUMN()/2+1,FALSE)=0,"",VLOOKUP($A83,数出表_Excel!$A$6:$T$150,COLUMN()/2+1,FALSE))),"")</f>
        <v/>
      </c>
      <c r="Q83" s="83"/>
      <c r="R83" s="197" t="str">
        <f ca="1">IFERROR(VALUE(IF(VLOOKUP($A83,数出表_Excel!$A$6:$T$150,COLUMN()/2+1,FALSE)=0,"",VLOOKUP($A83,数出表_Excel!$A$6:$T$150,COLUMN()/2+1,FALSE))),"")</f>
        <v/>
      </c>
      <c r="S83" s="67"/>
      <c r="T83" s="186" t="str">
        <f ca="1">IFERROR(VALUE(IF(VLOOKUP($A83,数出表_Excel!$A$6:$T$150,COLUMN()/2+1,FALSE)=0,"",VLOOKUP($A83,数出表_Excel!$A$6:$T$150,COLUMN()/2+1,FALSE))),"")</f>
        <v/>
      </c>
      <c r="U83" s="83"/>
      <c r="V83" s="197" t="str">
        <f ca="1">IFERROR(VALUE(IF(VLOOKUP($A83,数出表_Excel!$A$6:$T$150,COLUMN()/2+1,FALSE)=0,"",VLOOKUP($A83,数出表_Excel!$A$6:$T$150,COLUMN()/2+1,FALSE))),"")</f>
        <v/>
      </c>
      <c r="W83" s="67"/>
      <c r="X83" s="186" t="str">
        <f ca="1">IFERROR(VALUE(IF(VLOOKUP($A83,数出表_Excel!$A$6:$T$150,COLUMN()/2+1,FALSE)=0,"",VLOOKUP($A83,数出表_Excel!$A$6:$T$150,COLUMN()/2+1,FALSE))),"")</f>
        <v/>
      </c>
      <c r="Y83" s="83"/>
      <c r="Z83" s="197" t="str">
        <f ca="1">IFERROR(VALUE(IF(VLOOKUP($A83,数出表_Excel!$A$6:$T$150,COLUMN()/2+1,FALSE)=0,"",VLOOKUP($A83,数出表_Excel!$A$6:$T$150,COLUMN()/2+1,FALSE))),"")</f>
        <v/>
      </c>
      <c r="AA83" s="83"/>
      <c r="AB83" s="186" t="str">
        <f ca="1">IFERROR(VALUE(IF(VLOOKUP($A83,数出表_Excel!$A$6:$T$150,COLUMN()/2+1,FALSE)=0,"",VLOOKUP($A83,数出表_Excel!$A$6:$T$150,COLUMN()/2+1,FALSE))),"")</f>
        <v/>
      </c>
      <c r="AC83" s="83"/>
      <c r="AD83" s="186" t="str">
        <f ca="1">IFERROR(VALUE(IF(VLOOKUP($A83,数出表_Excel!$A$6:$T$150,COLUMN()/2+1,FALSE)=0,"",VLOOKUP($A83,数出表_Excel!$A$6:$T$150,COLUMN()/2+1,FALSE))),"")</f>
        <v/>
      </c>
      <c r="AE83" s="83"/>
      <c r="AF83" s="186" t="str">
        <f ca="1">IFERROR(VALUE(IF(VLOOKUP($A83,数出表_Excel!$A$6:$T$150,COLUMN()/2+1,FALSE)=0,"",VLOOKUP($A83,数出表_Excel!$A$6:$T$150,COLUMN()/2+1,FALSE))),"")</f>
        <v/>
      </c>
      <c r="AG83" s="83"/>
      <c r="AH83" s="186" t="str">
        <f ca="1">IFERROR(VALUE(IF(VLOOKUP($A83,数出表_Excel!$A$6:$T$150,COLUMN()/2+1,FALSE)=0,"",VLOOKUP($A83,数出表_Excel!$A$6:$T$150,COLUMN()/2+1,FALSE))),"")</f>
        <v/>
      </c>
      <c r="AI83" s="83"/>
      <c r="AJ83" s="186" t="str">
        <f ca="1">IFERROR(VALUE(IF(VLOOKUP($A83,数出表_Excel!$A$6:$T$150,COLUMN()/2+1,FALSE)=0,"",VLOOKUP($A83,数出表_Excel!$A$6:$T$150,COLUMN()/2+1,FALSE))),"")</f>
        <v/>
      </c>
      <c r="AK83" s="83"/>
      <c r="AL83" s="70" t="e">
        <f ca="1">IF(A83&lt;&gt;"",
IF(VLOOKUP($A83,数出表_Excel!$A$6:$T$150,COLUMN()/2+1,FALSE)=0,"",VLOOKUP($A83,数出表_Excel!$A$6:$T$150,COLUMN()/2+1,FALSE)),"")</f>
        <v>#N/A</v>
      </c>
      <c r="AM83" s="98" t="e">
        <f>数出表_Excel!V83</f>
        <v>#N/A</v>
      </c>
      <c r="AN83" s="99" t="e">
        <f>数出表_Excel!W83</f>
        <v>#N/A</v>
      </c>
    </row>
    <row r="84" spans="1:40" ht="16.2" customHeight="1">
      <c r="A84" s="88" t="e">
        <f t="array" aca="1" ref="A84" ca="1">IF(OR(COUNTIF(A82,"*10002*"),COUNTIF(A82,"")),"",INDEX(貼り付け用!$A1:$A200,MATCH(A82,貼り付け用!$A1:$A200,0)+2,0))</f>
        <v>#N/A</v>
      </c>
      <c r="B84" s="185" t="str">
        <f ca="1">IFERROR(VALUE(IF(VLOOKUP($A84,数出表_Excel!$A$6:$T$150,COLUMN()/2+1,FALSE)=0,"",VLOOKUP($A84,数出表_Excel!$A$6:$T$150,COLUMN()/2+1,FALSE))),"")</f>
        <v/>
      </c>
      <c r="C84" s="66"/>
      <c r="D84" s="185" t="str">
        <f ca="1">IFERROR(VALUE(IF(VLOOKUP($A84,数出表_Excel!$A$6:$T$150,COLUMN()/2+1,FALSE)=0,"",VLOOKUP($A84,数出表_Excel!$A$6:$T$150,COLUMN()/2+1,FALSE))),"")</f>
        <v/>
      </c>
      <c r="E84" s="82"/>
      <c r="F84" s="196" t="str">
        <f ca="1">IFERROR(VALUE(IF(VLOOKUP($A84,数出表_Excel!$A$6:$T$150,COLUMN()/2+1,FALSE)=0,"",VLOOKUP($A84,数出表_Excel!$A$6:$T$150,COLUMN()/2+1,FALSE))),"")</f>
        <v/>
      </c>
      <c r="G84" s="66"/>
      <c r="H84" s="185" t="str">
        <f ca="1">IFERROR(VALUE(IF(VLOOKUP($A84,数出表_Excel!$A$6:$T$150,COLUMN()/2+1,FALSE)=0,"",VLOOKUP($A84,数出表_Excel!$A$6:$T$150,COLUMN()/2+1,FALSE))),"")</f>
        <v/>
      </c>
      <c r="I84" s="82"/>
      <c r="J84" s="196" t="str">
        <f ca="1">IFERROR(VALUE(IF(VLOOKUP($A84,数出表_Excel!$A$6:$T$150,COLUMN()/2+1,FALSE)=0,"",VLOOKUP($A84,数出表_Excel!$A$6:$T$150,COLUMN()/2+1,FALSE))),"")</f>
        <v/>
      </c>
      <c r="K84" s="66"/>
      <c r="L84" s="185" t="str">
        <f ca="1">IFERROR(VALUE(IF(VLOOKUP($A84,数出表_Excel!$A$6:$T$150,COLUMN()/2+1,FALSE)=0,"",VLOOKUP($A84,数出表_Excel!$A$6:$T$150,COLUMN()/2+1,FALSE))),"")</f>
        <v/>
      </c>
      <c r="M84" s="82"/>
      <c r="N84" s="196" t="str">
        <f ca="1">IFERROR(VALUE(IF(VLOOKUP($A84,数出表_Excel!$A$6:$T$150,COLUMN()/2+1,FALSE)=0,"",VLOOKUP($A84,数出表_Excel!$A$6:$T$150,COLUMN()/2+1,FALSE))),"")</f>
        <v/>
      </c>
      <c r="O84" s="66"/>
      <c r="P84" s="185" t="str">
        <f ca="1">IFERROR(VALUE(IF(VLOOKUP($A84,数出表_Excel!$A$6:$T$150,COLUMN()/2+1,FALSE)=0,"",VLOOKUP($A84,数出表_Excel!$A$6:$T$150,COLUMN()/2+1,FALSE))),"")</f>
        <v/>
      </c>
      <c r="Q84" s="82"/>
      <c r="R84" s="196" t="str">
        <f ca="1">IFERROR(VALUE(IF(VLOOKUP($A84,数出表_Excel!$A$6:$T$150,COLUMN()/2+1,FALSE)=0,"",VLOOKUP($A84,数出表_Excel!$A$6:$T$150,COLUMN()/2+1,FALSE))),"")</f>
        <v/>
      </c>
      <c r="S84" s="66"/>
      <c r="T84" s="185" t="str">
        <f ca="1">IFERROR(VALUE(IF(VLOOKUP($A84,数出表_Excel!$A$6:$T$150,COLUMN()/2+1,FALSE)=0,"",VLOOKUP($A84,数出表_Excel!$A$6:$T$150,COLUMN()/2+1,FALSE))),"")</f>
        <v/>
      </c>
      <c r="U84" s="82"/>
      <c r="V84" s="196" t="str">
        <f ca="1">IFERROR(VALUE(IF(VLOOKUP($A84,数出表_Excel!$A$6:$T$150,COLUMN()/2+1,FALSE)=0,"",VLOOKUP($A84,数出表_Excel!$A$6:$T$150,COLUMN()/2+1,FALSE))),"")</f>
        <v/>
      </c>
      <c r="W84" s="66"/>
      <c r="X84" s="185" t="str">
        <f ca="1">IFERROR(VALUE(IF(VLOOKUP($A84,数出表_Excel!$A$6:$T$150,COLUMN()/2+1,FALSE)=0,"",VLOOKUP($A84,数出表_Excel!$A$6:$T$150,COLUMN()/2+1,FALSE))),"")</f>
        <v/>
      </c>
      <c r="Y84" s="82"/>
      <c r="Z84" s="196" t="str">
        <f ca="1">IFERROR(VALUE(IF(VLOOKUP($A84,数出表_Excel!$A$6:$T$150,COLUMN()/2+1,FALSE)=0,"",VLOOKUP($A84,数出表_Excel!$A$6:$T$150,COLUMN()/2+1,FALSE))),"")</f>
        <v/>
      </c>
      <c r="AA84" s="82"/>
      <c r="AB84" s="185" t="str">
        <f ca="1">IFERROR(VALUE(IF(VLOOKUP($A84,数出表_Excel!$A$6:$T$150,COLUMN()/2+1,FALSE)=0,"",VLOOKUP($A84,数出表_Excel!$A$6:$T$150,COLUMN()/2+1,FALSE))),"")</f>
        <v/>
      </c>
      <c r="AC84" s="82"/>
      <c r="AD84" s="185" t="str">
        <f ca="1">IFERROR(VALUE(IF(VLOOKUP($A84,数出表_Excel!$A$6:$T$150,COLUMN()/2+1,FALSE)=0,"",VLOOKUP($A84,数出表_Excel!$A$6:$T$150,COLUMN()/2+1,FALSE))),"")</f>
        <v/>
      </c>
      <c r="AE84" s="82"/>
      <c r="AF84" s="185" t="str">
        <f ca="1">IFERROR(VALUE(IF(VLOOKUP($A84,数出表_Excel!$A$6:$T$150,COLUMN()/2+1,FALSE)=0,"",VLOOKUP($A84,数出表_Excel!$A$6:$T$150,COLUMN()/2+1,FALSE))),"")</f>
        <v/>
      </c>
      <c r="AG84" s="82"/>
      <c r="AH84" s="185" t="str">
        <f ca="1">IFERROR(VALUE(IF(VLOOKUP($A84,数出表_Excel!$A$6:$T$150,COLUMN()/2+1,FALSE)=0,"",VLOOKUP($A84,数出表_Excel!$A$6:$T$150,COLUMN()/2+1,FALSE))),"")</f>
        <v/>
      </c>
      <c r="AI84" s="82"/>
      <c r="AJ84" s="185" t="str">
        <f ca="1">IFERROR(VALUE(IF(VLOOKUP($A84,数出表_Excel!$A$6:$T$150,COLUMN()/2+1,FALSE)=0,"",VLOOKUP($A84,数出表_Excel!$A$6:$T$150,COLUMN()/2+1,FALSE))),"")</f>
        <v/>
      </c>
      <c r="AK84" s="82"/>
      <c r="AL84" s="68" t="e">
        <f ca="1">IF(A84&lt;&gt;"",
IF(VLOOKUP($A84,数出表_Excel!$A$6:$T$150,COLUMN()/2+1,FALSE)=0,"",VLOOKUP($A84,数出表_Excel!$A$6:$T$150,COLUMN()/2+1,FALSE)),"")</f>
        <v>#N/A</v>
      </c>
      <c r="AM84" s="96" t="e">
        <f>数出表_Excel!V84</f>
        <v>#N/A</v>
      </c>
      <c r="AN84" s="97" t="e">
        <f>数出表_Excel!W84</f>
        <v>#N/A</v>
      </c>
    </row>
    <row r="85" spans="1:40" ht="16.2" customHeight="1">
      <c r="A85" s="89" t="e">
        <f t="array" aca="1" ref="A85" ca="1">IF(OR(COUNTIF(A83,"*1000*"),COUNTIF(A83,"")),"",INDEX(貼り付け用!$A1:$A200,MATCH(A83,貼り付け用!$A1:$A200,0)+2,0))</f>
        <v>#N/A</v>
      </c>
      <c r="B85" s="186" t="str">
        <f ca="1">IFERROR(VALUE(IF(VLOOKUP($A85,数出表_Excel!$A$6:$T$150,COLUMN()/2+1,FALSE)=0,"",VLOOKUP($A85,数出表_Excel!$A$6:$T$150,COLUMN()/2+1,FALSE))),"")</f>
        <v/>
      </c>
      <c r="C85" s="67"/>
      <c r="D85" s="186" t="str">
        <f ca="1">IFERROR(VALUE(IF(VLOOKUP($A85,数出表_Excel!$A$6:$T$150,COLUMN()/2+1,FALSE)=0,"",VLOOKUP($A85,数出表_Excel!$A$6:$T$150,COLUMN()/2+1,FALSE))),"")</f>
        <v/>
      </c>
      <c r="E85" s="83"/>
      <c r="F85" s="197" t="str">
        <f ca="1">IFERROR(VALUE(IF(VLOOKUP($A85,数出表_Excel!$A$6:$T$150,COLUMN()/2+1,FALSE)=0,"",VLOOKUP($A85,数出表_Excel!$A$6:$T$150,COLUMN()/2+1,FALSE))),"")</f>
        <v/>
      </c>
      <c r="G85" s="67"/>
      <c r="H85" s="186" t="str">
        <f ca="1">IFERROR(VALUE(IF(VLOOKUP($A85,数出表_Excel!$A$6:$T$150,COLUMN()/2+1,FALSE)=0,"",VLOOKUP($A85,数出表_Excel!$A$6:$T$150,COLUMN()/2+1,FALSE))),"")</f>
        <v/>
      </c>
      <c r="I85" s="83"/>
      <c r="J85" s="197" t="str">
        <f ca="1">IFERROR(VALUE(IF(VLOOKUP($A85,数出表_Excel!$A$6:$T$150,COLUMN()/2+1,FALSE)=0,"",VLOOKUP($A85,数出表_Excel!$A$6:$T$150,COLUMN()/2+1,FALSE))),"")</f>
        <v/>
      </c>
      <c r="K85" s="67"/>
      <c r="L85" s="186" t="str">
        <f ca="1">IFERROR(VALUE(IF(VLOOKUP($A85,数出表_Excel!$A$6:$T$150,COLUMN()/2+1,FALSE)=0,"",VLOOKUP($A85,数出表_Excel!$A$6:$T$150,COLUMN()/2+1,FALSE))),"")</f>
        <v/>
      </c>
      <c r="M85" s="83"/>
      <c r="N85" s="197" t="str">
        <f ca="1">IFERROR(VALUE(IF(VLOOKUP($A85,数出表_Excel!$A$6:$T$150,COLUMN()/2+1,FALSE)=0,"",VLOOKUP($A85,数出表_Excel!$A$6:$T$150,COLUMN()/2+1,FALSE))),"")</f>
        <v/>
      </c>
      <c r="O85" s="67"/>
      <c r="P85" s="186" t="str">
        <f ca="1">IFERROR(VALUE(IF(VLOOKUP($A85,数出表_Excel!$A$6:$T$150,COLUMN()/2+1,FALSE)=0,"",VLOOKUP($A85,数出表_Excel!$A$6:$T$150,COLUMN()/2+1,FALSE))),"")</f>
        <v/>
      </c>
      <c r="Q85" s="83"/>
      <c r="R85" s="197" t="str">
        <f ca="1">IFERROR(VALUE(IF(VLOOKUP($A85,数出表_Excel!$A$6:$T$150,COLUMN()/2+1,FALSE)=0,"",VLOOKUP($A85,数出表_Excel!$A$6:$T$150,COLUMN()/2+1,FALSE))),"")</f>
        <v/>
      </c>
      <c r="S85" s="67"/>
      <c r="T85" s="186" t="str">
        <f ca="1">IFERROR(VALUE(IF(VLOOKUP($A85,数出表_Excel!$A$6:$T$150,COLUMN()/2+1,FALSE)=0,"",VLOOKUP($A85,数出表_Excel!$A$6:$T$150,COLUMN()/2+1,FALSE))),"")</f>
        <v/>
      </c>
      <c r="U85" s="83"/>
      <c r="V85" s="197" t="str">
        <f ca="1">IFERROR(VALUE(IF(VLOOKUP($A85,数出表_Excel!$A$6:$T$150,COLUMN()/2+1,FALSE)=0,"",VLOOKUP($A85,数出表_Excel!$A$6:$T$150,COLUMN()/2+1,FALSE))),"")</f>
        <v/>
      </c>
      <c r="W85" s="67"/>
      <c r="X85" s="186" t="str">
        <f ca="1">IFERROR(VALUE(IF(VLOOKUP($A85,数出表_Excel!$A$6:$T$150,COLUMN()/2+1,FALSE)=0,"",VLOOKUP($A85,数出表_Excel!$A$6:$T$150,COLUMN()/2+1,FALSE))),"")</f>
        <v/>
      </c>
      <c r="Y85" s="83"/>
      <c r="Z85" s="197" t="str">
        <f ca="1">IFERROR(VALUE(IF(VLOOKUP($A85,数出表_Excel!$A$6:$T$150,COLUMN()/2+1,FALSE)=0,"",VLOOKUP($A85,数出表_Excel!$A$6:$T$150,COLUMN()/2+1,FALSE))),"")</f>
        <v/>
      </c>
      <c r="AA85" s="83"/>
      <c r="AB85" s="186" t="str">
        <f ca="1">IFERROR(VALUE(IF(VLOOKUP($A85,数出表_Excel!$A$6:$T$150,COLUMN()/2+1,FALSE)=0,"",VLOOKUP($A85,数出表_Excel!$A$6:$T$150,COLUMN()/2+1,FALSE))),"")</f>
        <v/>
      </c>
      <c r="AC85" s="83"/>
      <c r="AD85" s="186" t="str">
        <f ca="1">IFERROR(VALUE(IF(VLOOKUP($A85,数出表_Excel!$A$6:$T$150,COLUMN()/2+1,FALSE)=0,"",VLOOKUP($A85,数出表_Excel!$A$6:$T$150,COLUMN()/2+1,FALSE))),"")</f>
        <v/>
      </c>
      <c r="AE85" s="83"/>
      <c r="AF85" s="186" t="str">
        <f ca="1">IFERROR(VALUE(IF(VLOOKUP($A85,数出表_Excel!$A$6:$T$150,COLUMN()/2+1,FALSE)=0,"",VLOOKUP($A85,数出表_Excel!$A$6:$T$150,COLUMN()/2+1,FALSE))),"")</f>
        <v/>
      </c>
      <c r="AG85" s="83"/>
      <c r="AH85" s="186" t="str">
        <f ca="1">IFERROR(VALUE(IF(VLOOKUP($A85,数出表_Excel!$A$6:$T$150,COLUMN()/2+1,FALSE)=0,"",VLOOKUP($A85,数出表_Excel!$A$6:$T$150,COLUMN()/2+1,FALSE))),"")</f>
        <v/>
      </c>
      <c r="AI85" s="83"/>
      <c r="AJ85" s="186" t="str">
        <f ca="1">IFERROR(VALUE(IF(VLOOKUP($A85,数出表_Excel!$A$6:$T$150,COLUMN()/2+1,FALSE)=0,"",VLOOKUP($A85,数出表_Excel!$A$6:$T$150,COLUMN()/2+1,FALSE))),"")</f>
        <v/>
      </c>
      <c r="AK85" s="83"/>
      <c r="AL85" s="70" t="e">
        <f ca="1">IF(A85&lt;&gt;"",
IF(VLOOKUP($A85,数出表_Excel!$A$6:$T$150,COLUMN()/2+1,FALSE)=0,"",VLOOKUP($A85,数出表_Excel!$A$6:$T$150,COLUMN()/2+1,FALSE)),"")</f>
        <v>#N/A</v>
      </c>
      <c r="AM85" s="98" t="e">
        <f>数出表_Excel!V85</f>
        <v>#N/A</v>
      </c>
      <c r="AN85" s="99" t="e">
        <f>数出表_Excel!W85</f>
        <v>#N/A</v>
      </c>
    </row>
    <row r="86" spans="1:40" ht="16.2" customHeight="1">
      <c r="A86" s="88" t="e">
        <f t="array" aca="1" ref="A86" ca="1">IF(OR(COUNTIF(A84,"*10002*"),COUNTIF(A84,"")),"",INDEX(貼り付け用!$A1:$A200,MATCH(A84,貼り付け用!$A1:$A200,0)+2,0))</f>
        <v>#N/A</v>
      </c>
      <c r="B86" s="185" t="str">
        <f ca="1">IFERROR(VALUE(IF(VLOOKUP($A86,数出表_Excel!$A$6:$T$150,COLUMN()/2+1,FALSE)=0,"",VLOOKUP($A86,数出表_Excel!$A$6:$T$150,COLUMN()/2+1,FALSE))),"")</f>
        <v/>
      </c>
      <c r="C86" s="66"/>
      <c r="D86" s="185" t="str">
        <f ca="1">IFERROR(VALUE(IF(VLOOKUP($A86,数出表_Excel!$A$6:$T$150,COLUMN()/2+1,FALSE)=0,"",VLOOKUP($A86,数出表_Excel!$A$6:$T$150,COLUMN()/2+1,FALSE))),"")</f>
        <v/>
      </c>
      <c r="E86" s="82"/>
      <c r="F86" s="196" t="str">
        <f ca="1">IFERROR(VALUE(IF(VLOOKUP($A86,数出表_Excel!$A$6:$T$150,COLUMN()/2+1,FALSE)=0,"",VLOOKUP($A86,数出表_Excel!$A$6:$T$150,COLUMN()/2+1,FALSE))),"")</f>
        <v/>
      </c>
      <c r="G86" s="66"/>
      <c r="H86" s="185" t="str">
        <f ca="1">IFERROR(VALUE(IF(VLOOKUP($A86,数出表_Excel!$A$6:$T$150,COLUMN()/2+1,FALSE)=0,"",VLOOKUP($A86,数出表_Excel!$A$6:$T$150,COLUMN()/2+1,FALSE))),"")</f>
        <v/>
      </c>
      <c r="I86" s="82"/>
      <c r="J86" s="196" t="str">
        <f ca="1">IFERROR(VALUE(IF(VLOOKUP($A86,数出表_Excel!$A$6:$T$150,COLUMN()/2+1,FALSE)=0,"",VLOOKUP($A86,数出表_Excel!$A$6:$T$150,COLUMN()/2+1,FALSE))),"")</f>
        <v/>
      </c>
      <c r="K86" s="66"/>
      <c r="L86" s="185" t="str">
        <f ca="1">IFERROR(VALUE(IF(VLOOKUP($A86,数出表_Excel!$A$6:$T$150,COLUMN()/2+1,FALSE)=0,"",VLOOKUP($A86,数出表_Excel!$A$6:$T$150,COLUMN()/2+1,FALSE))),"")</f>
        <v/>
      </c>
      <c r="M86" s="82"/>
      <c r="N86" s="196" t="str">
        <f ca="1">IFERROR(VALUE(IF(VLOOKUP($A86,数出表_Excel!$A$6:$T$150,COLUMN()/2+1,FALSE)=0,"",VLOOKUP($A86,数出表_Excel!$A$6:$T$150,COLUMN()/2+1,FALSE))),"")</f>
        <v/>
      </c>
      <c r="O86" s="66"/>
      <c r="P86" s="185" t="str">
        <f ca="1">IFERROR(VALUE(IF(VLOOKUP($A86,数出表_Excel!$A$6:$T$150,COLUMN()/2+1,FALSE)=0,"",VLOOKUP($A86,数出表_Excel!$A$6:$T$150,COLUMN()/2+1,FALSE))),"")</f>
        <v/>
      </c>
      <c r="Q86" s="82"/>
      <c r="R86" s="196" t="str">
        <f ca="1">IFERROR(VALUE(IF(VLOOKUP($A86,数出表_Excel!$A$6:$T$150,COLUMN()/2+1,FALSE)=0,"",VLOOKUP($A86,数出表_Excel!$A$6:$T$150,COLUMN()/2+1,FALSE))),"")</f>
        <v/>
      </c>
      <c r="S86" s="66"/>
      <c r="T86" s="185" t="str">
        <f ca="1">IFERROR(VALUE(IF(VLOOKUP($A86,数出表_Excel!$A$6:$T$150,COLUMN()/2+1,FALSE)=0,"",VLOOKUP($A86,数出表_Excel!$A$6:$T$150,COLUMN()/2+1,FALSE))),"")</f>
        <v/>
      </c>
      <c r="U86" s="82"/>
      <c r="V86" s="196" t="str">
        <f ca="1">IFERROR(VALUE(IF(VLOOKUP($A86,数出表_Excel!$A$6:$T$150,COLUMN()/2+1,FALSE)=0,"",VLOOKUP($A86,数出表_Excel!$A$6:$T$150,COLUMN()/2+1,FALSE))),"")</f>
        <v/>
      </c>
      <c r="W86" s="66"/>
      <c r="X86" s="185" t="str">
        <f ca="1">IFERROR(VALUE(IF(VLOOKUP($A86,数出表_Excel!$A$6:$T$150,COLUMN()/2+1,FALSE)=0,"",VLOOKUP($A86,数出表_Excel!$A$6:$T$150,COLUMN()/2+1,FALSE))),"")</f>
        <v/>
      </c>
      <c r="Y86" s="82"/>
      <c r="Z86" s="196" t="str">
        <f ca="1">IFERROR(VALUE(IF(VLOOKUP($A86,数出表_Excel!$A$6:$T$150,COLUMN()/2+1,FALSE)=0,"",VLOOKUP($A86,数出表_Excel!$A$6:$T$150,COLUMN()/2+1,FALSE))),"")</f>
        <v/>
      </c>
      <c r="AA86" s="82"/>
      <c r="AB86" s="185" t="str">
        <f ca="1">IFERROR(VALUE(IF(VLOOKUP($A86,数出表_Excel!$A$6:$T$150,COLUMN()/2+1,FALSE)=0,"",VLOOKUP($A86,数出表_Excel!$A$6:$T$150,COLUMN()/2+1,FALSE))),"")</f>
        <v/>
      </c>
      <c r="AC86" s="82"/>
      <c r="AD86" s="185" t="str">
        <f ca="1">IFERROR(VALUE(IF(VLOOKUP($A86,数出表_Excel!$A$6:$T$150,COLUMN()/2+1,FALSE)=0,"",VLOOKUP($A86,数出表_Excel!$A$6:$T$150,COLUMN()/2+1,FALSE))),"")</f>
        <v/>
      </c>
      <c r="AE86" s="82"/>
      <c r="AF86" s="185" t="str">
        <f ca="1">IFERROR(VALUE(IF(VLOOKUP($A86,数出表_Excel!$A$6:$T$150,COLUMN()/2+1,FALSE)=0,"",VLOOKUP($A86,数出表_Excel!$A$6:$T$150,COLUMN()/2+1,FALSE))),"")</f>
        <v/>
      </c>
      <c r="AG86" s="82"/>
      <c r="AH86" s="185" t="str">
        <f ca="1">IFERROR(VALUE(IF(VLOOKUP($A86,数出表_Excel!$A$6:$T$150,COLUMN()/2+1,FALSE)=0,"",VLOOKUP($A86,数出表_Excel!$A$6:$T$150,COLUMN()/2+1,FALSE))),"")</f>
        <v/>
      </c>
      <c r="AI86" s="82"/>
      <c r="AJ86" s="185" t="str">
        <f ca="1">IFERROR(VALUE(IF(VLOOKUP($A86,数出表_Excel!$A$6:$T$150,COLUMN()/2+1,FALSE)=0,"",VLOOKUP($A86,数出表_Excel!$A$6:$T$150,COLUMN()/2+1,FALSE))),"")</f>
        <v/>
      </c>
      <c r="AK86" s="82"/>
      <c r="AL86" s="68" t="e">
        <f ca="1">IF(A86&lt;&gt;"",
IF(VLOOKUP($A86,数出表_Excel!$A$6:$T$150,COLUMN()/2+1,FALSE)=0,"",VLOOKUP($A86,数出表_Excel!$A$6:$T$150,COLUMN()/2+1,FALSE)),"")</f>
        <v>#N/A</v>
      </c>
      <c r="AM86" s="96" t="e">
        <f>数出表_Excel!V86</f>
        <v>#N/A</v>
      </c>
      <c r="AN86" s="97" t="e">
        <f>数出表_Excel!W86</f>
        <v>#N/A</v>
      </c>
    </row>
    <row r="87" spans="1:40" ht="16.2" customHeight="1">
      <c r="A87" s="89" t="e">
        <f t="array" aca="1" ref="A87" ca="1">IF(OR(COUNTIF(A85,"*1000*"),COUNTIF(A85,"")),"",INDEX(貼り付け用!$A1:$A200,MATCH(A85,貼り付け用!$A1:$A200,0)+2,0))</f>
        <v>#N/A</v>
      </c>
      <c r="B87" s="186" t="str">
        <f ca="1">IFERROR(VALUE(IF(VLOOKUP($A87,数出表_Excel!$A$6:$T$150,COLUMN()/2+1,FALSE)=0,"",VLOOKUP($A87,数出表_Excel!$A$6:$T$150,COLUMN()/2+1,FALSE))),"")</f>
        <v/>
      </c>
      <c r="C87" s="67"/>
      <c r="D87" s="186" t="str">
        <f ca="1">IFERROR(VALUE(IF(VLOOKUP($A87,数出表_Excel!$A$6:$T$150,COLUMN()/2+1,FALSE)=0,"",VLOOKUP($A87,数出表_Excel!$A$6:$T$150,COLUMN()/2+1,FALSE))),"")</f>
        <v/>
      </c>
      <c r="E87" s="83"/>
      <c r="F87" s="197" t="str">
        <f ca="1">IFERROR(VALUE(IF(VLOOKUP($A87,数出表_Excel!$A$6:$T$150,COLUMN()/2+1,FALSE)=0,"",VLOOKUP($A87,数出表_Excel!$A$6:$T$150,COLUMN()/2+1,FALSE))),"")</f>
        <v/>
      </c>
      <c r="G87" s="67"/>
      <c r="H87" s="186" t="str">
        <f ca="1">IFERROR(VALUE(IF(VLOOKUP($A87,数出表_Excel!$A$6:$T$150,COLUMN()/2+1,FALSE)=0,"",VLOOKUP($A87,数出表_Excel!$A$6:$T$150,COLUMN()/2+1,FALSE))),"")</f>
        <v/>
      </c>
      <c r="I87" s="83"/>
      <c r="J87" s="197" t="str">
        <f ca="1">IFERROR(VALUE(IF(VLOOKUP($A87,数出表_Excel!$A$6:$T$150,COLUMN()/2+1,FALSE)=0,"",VLOOKUP($A87,数出表_Excel!$A$6:$T$150,COLUMN()/2+1,FALSE))),"")</f>
        <v/>
      </c>
      <c r="K87" s="67"/>
      <c r="L87" s="186" t="str">
        <f ca="1">IFERROR(VALUE(IF(VLOOKUP($A87,数出表_Excel!$A$6:$T$150,COLUMN()/2+1,FALSE)=0,"",VLOOKUP($A87,数出表_Excel!$A$6:$T$150,COLUMN()/2+1,FALSE))),"")</f>
        <v/>
      </c>
      <c r="M87" s="83"/>
      <c r="N87" s="197" t="str">
        <f ca="1">IFERROR(VALUE(IF(VLOOKUP($A87,数出表_Excel!$A$6:$T$150,COLUMN()/2+1,FALSE)=0,"",VLOOKUP($A87,数出表_Excel!$A$6:$T$150,COLUMN()/2+1,FALSE))),"")</f>
        <v/>
      </c>
      <c r="O87" s="67"/>
      <c r="P87" s="186" t="str">
        <f ca="1">IFERROR(VALUE(IF(VLOOKUP($A87,数出表_Excel!$A$6:$T$150,COLUMN()/2+1,FALSE)=0,"",VLOOKUP($A87,数出表_Excel!$A$6:$T$150,COLUMN()/2+1,FALSE))),"")</f>
        <v/>
      </c>
      <c r="Q87" s="83"/>
      <c r="R87" s="197" t="str">
        <f ca="1">IFERROR(VALUE(IF(VLOOKUP($A87,数出表_Excel!$A$6:$T$150,COLUMN()/2+1,FALSE)=0,"",VLOOKUP($A87,数出表_Excel!$A$6:$T$150,COLUMN()/2+1,FALSE))),"")</f>
        <v/>
      </c>
      <c r="S87" s="67"/>
      <c r="T87" s="186" t="str">
        <f ca="1">IFERROR(VALUE(IF(VLOOKUP($A87,数出表_Excel!$A$6:$T$150,COLUMN()/2+1,FALSE)=0,"",VLOOKUP($A87,数出表_Excel!$A$6:$T$150,COLUMN()/2+1,FALSE))),"")</f>
        <v/>
      </c>
      <c r="U87" s="83"/>
      <c r="V87" s="197" t="str">
        <f ca="1">IFERROR(VALUE(IF(VLOOKUP($A87,数出表_Excel!$A$6:$T$150,COLUMN()/2+1,FALSE)=0,"",VLOOKUP($A87,数出表_Excel!$A$6:$T$150,COLUMN()/2+1,FALSE))),"")</f>
        <v/>
      </c>
      <c r="W87" s="67"/>
      <c r="X87" s="186" t="str">
        <f ca="1">IFERROR(VALUE(IF(VLOOKUP($A87,数出表_Excel!$A$6:$T$150,COLUMN()/2+1,FALSE)=0,"",VLOOKUP($A87,数出表_Excel!$A$6:$T$150,COLUMN()/2+1,FALSE))),"")</f>
        <v/>
      </c>
      <c r="Y87" s="83"/>
      <c r="Z87" s="197" t="str">
        <f ca="1">IFERROR(VALUE(IF(VLOOKUP($A87,数出表_Excel!$A$6:$T$150,COLUMN()/2+1,FALSE)=0,"",VLOOKUP($A87,数出表_Excel!$A$6:$T$150,COLUMN()/2+1,FALSE))),"")</f>
        <v/>
      </c>
      <c r="AA87" s="83"/>
      <c r="AB87" s="186" t="str">
        <f ca="1">IFERROR(VALUE(IF(VLOOKUP($A87,数出表_Excel!$A$6:$T$150,COLUMN()/2+1,FALSE)=0,"",VLOOKUP($A87,数出表_Excel!$A$6:$T$150,COLUMN()/2+1,FALSE))),"")</f>
        <v/>
      </c>
      <c r="AC87" s="83"/>
      <c r="AD87" s="186" t="str">
        <f ca="1">IFERROR(VALUE(IF(VLOOKUP($A87,数出表_Excel!$A$6:$T$150,COLUMN()/2+1,FALSE)=0,"",VLOOKUP($A87,数出表_Excel!$A$6:$T$150,COLUMN()/2+1,FALSE))),"")</f>
        <v/>
      </c>
      <c r="AE87" s="83"/>
      <c r="AF87" s="186" t="str">
        <f ca="1">IFERROR(VALUE(IF(VLOOKUP($A87,数出表_Excel!$A$6:$T$150,COLUMN()/2+1,FALSE)=0,"",VLOOKUP($A87,数出表_Excel!$A$6:$T$150,COLUMN()/2+1,FALSE))),"")</f>
        <v/>
      </c>
      <c r="AG87" s="83"/>
      <c r="AH87" s="186" t="str">
        <f ca="1">IFERROR(VALUE(IF(VLOOKUP($A87,数出表_Excel!$A$6:$T$150,COLUMN()/2+1,FALSE)=0,"",VLOOKUP($A87,数出表_Excel!$A$6:$T$150,COLUMN()/2+1,FALSE))),"")</f>
        <v/>
      </c>
      <c r="AI87" s="83"/>
      <c r="AJ87" s="186" t="str">
        <f ca="1">IFERROR(VALUE(IF(VLOOKUP($A87,数出表_Excel!$A$6:$T$150,COLUMN()/2+1,FALSE)=0,"",VLOOKUP($A87,数出表_Excel!$A$6:$T$150,COLUMN()/2+1,FALSE))),"")</f>
        <v/>
      </c>
      <c r="AK87" s="83"/>
      <c r="AL87" s="70" t="e">
        <f ca="1">IF(A87&lt;&gt;"",
IF(VLOOKUP($A87,数出表_Excel!$A$6:$T$150,COLUMN()/2+1,FALSE)=0,"",VLOOKUP($A87,数出表_Excel!$A$6:$T$150,COLUMN()/2+1,FALSE)),"")</f>
        <v>#N/A</v>
      </c>
      <c r="AM87" s="98" t="e">
        <f>数出表_Excel!V87</f>
        <v>#N/A</v>
      </c>
      <c r="AN87" s="99" t="e">
        <f>数出表_Excel!W87</f>
        <v>#N/A</v>
      </c>
    </row>
    <row r="88" spans="1:40" ht="16.2" customHeight="1">
      <c r="A88" s="88" t="e">
        <f t="array" aca="1" ref="A88" ca="1">IF(OR(COUNTIF(A86,"*10002*"),COUNTIF(A86,"")),"",INDEX(貼り付け用!$A1:$A200,MATCH(A86,貼り付け用!$A1:$A200,0)+2,0))</f>
        <v>#N/A</v>
      </c>
      <c r="B88" s="185" t="str">
        <f ca="1">IFERROR(VALUE(IF(VLOOKUP($A88,数出表_Excel!$A$6:$T$150,COLUMN()/2+1,FALSE)=0,"",VLOOKUP($A88,数出表_Excel!$A$6:$T$150,COLUMN()/2+1,FALSE))),"")</f>
        <v/>
      </c>
      <c r="C88" s="66"/>
      <c r="D88" s="185" t="str">
        <f ca="1">IFERROR(VALUE(IF(VLOOKUP($A88,数出表_Excel!$A$6:$T$150,COLUMN()/2+1,FALSE)=0,"",VLOOKUP($A88,数出表_Excel!$A$6:$T$150,COLUMN()/2+1,FALSE))),"")</f>
        <v/>
      </c>
      <c r="E88" s="82"/>
      <c r="F88" s="196" t="str">
        <f ca="1">IFERROR(VALUE(IF(VLOOKUP($A88,数出表_Excel!$A$6:$T$150,COLUMN()/2+1,FALSE)=0,"",VLOOKUP($A88,数出表_Excel!$A$6:$T$150,COLUMN()/2+1,FALSE))),"")</f>
        <v/>
      </c>
      <c r="G88" s="66"/>
      <c r="H88" s="185" t="str">
        <f ca="1">IFERROR(VALUE(IF(VLOOKUP($A88,数出表_Excel!$A$6:$T$150,COLUMN()/2+1,FALSE)=0,"",VLOOKUP($A88,数出表_Excel!$A$6:$T$150,COLUMN()/2+1,FALSE))),"")</f>
        <v/>
      </c>
      <c r="I88" s="82"/>
      <c r="J88" s="196" t="str">
        <f ca="1">IFERROR(VALUE(IF(VLOOKUP($A88,数出表_Excel!$A$6:$T$150,COLUMN()/2+1,FALSE)=0,"",VLOOKUP($A88,数出表_Excel!$A$6:$T$150,COLUMN()/2+1,FALSE))),"")</f>
        <v/>
      </c>
      <c r="K88" s="66"/>
      <c r="L88" s="185" t="str">
        <f ca="1">IFERROR(VALUE(IF(VLOOKUP($A88,数出表_Excel!$A$6:$T$150,COLUMN()/2+1,FALSE)=0,"",VLOOKUP($A88,数出表_Excel!$A$6:$T$150,COLUMN()/2+1,FALSE))),"")</f>
        <v/>
      </c>
      <c r="M88" s="82"/>
      <c r="N88" s="196" t="str">
        <f ca="1">IFERROR(VALUE(IF(VLOOKUP($A88,数出表_Excel!$A$6:$T$150,COLUMN()/2+1,FALSE)=0,"",VLOOKUP($A88,数出表_Excel!$A$6:$T$150,COLUMN()/2+1,FALSE))),"")</f>
        <v/>
      </c>
      <c r="O88" s="66"/>
      <c r="P88" s="185" t="str">
        <f ca="1">IFERROR(VALUE(IF(VLOOKUP($A88,数出表_Excel!$A$6:$T$150,COLUMN()/2+1,FALSE)=0,"",VLOOKUP($A88,数出表_Excel!$A$6:$T$150,COLUMN()/2+1,FALSE))),"")</f>
        <v/>
      </c>
      <c r="Q88" s="82"/>
      <c r="R88" s="196" t="str">
        <f ca="1">IFERROR(VALUE(IF(VLOOKUP($A88,数出表_Excel!$A$6:$T$150,COLUMN()/2+1,FALSE)=0,"",VLOOKUP($A88,数出表_Excel!$A$6:$T$150,COLUMN()/2+1,FALSE))),"")</f>
        <v/>
      </c>
      <c r="S88" s="66"/>
      <c r="T88" s="185" t="str">
        <f ca="1">IFERROR(VALUE(IF(VLOOKUP($A88,数出表_Excel!$A$6:$T$150,COLUMN()/2+1,FALSE)=0,"",VLOOKUP($A88,数出表_Excel!$A$6:$T$150,COLUMN()/2+1,FALSE))),"")</f>
        <v/>
      </c>
      <c r="U88" s="82"/>
      <c r="V88" s="196" t="str">
        <f ca="1">IFERROR(VALUE(IF(VLOOKUP($A88,数出表_Excel!$A$6:$T$150,COLUMN()/2+1,FALSE)=0,"",VLOOKUP($A88,数出表_Excel!$A$6:$T$150,COLUMN()/2+1,FALSE))),"")</f>
        <v/>
      </c>
      <c r="W88" s="66"/>
      <c r="X88" s="185" t="str">
        <f ca="1">IFERROR(VALUE(IF(VLOOKUP($A88,数出表_Excel!$A$6:$T$150,COLUMN()/2+1,FALSE)=0,"",VLOOKUP($A88,数出表_Excel!$A$6:$T$150,COLUMN()/2+1,FALSE))),"")</f>
        <v/>
      </c>
      <c r="Y88" s="82"/>
      <c r="Z88" s="196" t="str">
        <f ca="1">IFERROR(VALUE(IF(VLOOKUP($A88,数出表_Excel!$A$6:$T$150,COLUMN()/2+1,FALSE)=0,"",VLOOKUP($A88,数出表_Excel!$A$6:$T$150,COLUMN()/2+1,FALSE))),"")</f>
        <v/>
      </c>
      <c r="AA88" s="82"/>
      <c r="AB88" s="185" t="str">
        <f ca="1">IFERROR(VALUE(IF(VLOOKUP($A88,数出表_Excel!$A$6:$T$150,COLUMN()/2+1,FALSE)=0,"",VLOOKUP($A88,数出表_Excel!$A$6:$T$150,COLUMN()/2+1,FALSE))),"")</f>
        <v/>
      </c>
      <c r="AC88" s="82"/>
      <c r="AD88" s="185" t="str">
        <f ca="1">IFERROR(VALUE(IF(VLOOKUP($A88,数出表_Excel!$A$6:$T$150,COLUMN()/2+1,FALSE)=0,"",VLOOKUP($A88,数出表_Excel!$A$6:$T$150,COLUMN()/2+1,FALSE))),"")</f>
        <v/>
      </c>
      <c r="AE88" s="82"/>
      <c r="AF88" s="185" t="str">
        <f ca="1">IFERROR(VALUE(IF(VLOOKUP($A88,数出表_Excel!$A$6:$T$150,COLUMN()/2+1,FALSE)=0,"",VLOOKUP($A88,数出表_Excel!$A$6:$T$150,COLUMN()/2+1,FALSE))),"")</f>
        <v/>
      </c>
      <c r="AG88" s="82"/>
      <c r="AH88" s="185" t="str">
        <f ca="1">IFERROR(VALUE(IF(VLOOKUP($A88,数出表_Excel!$A$6:$T$150,COLUMN()/2+1,FALSE)=0,"",VLOOKUP($A88,数出表_Excel!$A$6:$T$150,COLUMN()/2+1,FALSE))),"")</f>
        <v/>
      </c>
      <c r="AI88" s="82"/>
      <c r="AJ88" s="185" t="str">
        <f ca="1">IFERROR(VALUE(IF(VLOOKUP($A88,数出表_Excel!$A$6:$T$150,COLUMN()/2+1,FALSE)=0,"",VLOOKUP($A88,数出表_Excel!$A$6:$T$150,COLUMN()/2+1,FALSE))),"")</f>
        <v/>
      </c>
      <c r="AK88" s="82"/>
      <c r="AL88" s="68" t="e">
        <f ca="1">IF(A88&lt;&gt;"",
IF(VLOOKUP($A88,数出表_Excel!$A$6:$T$150,COLUMN()/2+1,FALSE)=0,"",VLOOKUP($A88,数出表_Excel!$A$6:$T$150,COLUMN()/2+1,FALSE)),"")</f>
        <v>#N/A</v>
      </c>
      <c r="AM88" s="96" t="e">
        <f>数出表_Excel!V88</f>
        <v>#N/A</v>
      </c>
      <c r="AN88" s="97" t="e">
        <f>数出表_Excel!W88</f>
        <v>#N/A</v>
      </c>
    </row>
    <row r="89" spans="1:40" ht="16.2" customHeight="1">
      <c r="A89" s="89" t="e">
        <f t="array" aca="1" ref="A89" ca="1">IF(OR(COUNTIF(A87,"*1000*"),COUNTIF(A87,"")),"",INDEX(貼り付け用!$A1:$A200,MATCH(A87,貼り付け用!$A1:$A200,0)+2,0))</f>
        <v>#N/A</v>
      </c>
      <c r="B89" s="186" t="str">
        <f ca="1">IFERROR(VALUE(IF(VLOOKUP($A89,数出表_Excel!$A$6:$T$150,COLUMN()/2+1,FALSE)=0,"",VLOOKUP($A89,数出表_Excel!$A$6:$T$150,COLUMN()/2+1,FALSE))),"")</f>
        <v/>
      </c>
      <c r="C89" s="67"/>
      <c r="D89" s="186" t="str">
        <f ca="1">IFERROR(VALUE(IF(VLOOKUP($A89,数出表_Excel!$A$6:$T$150,COLUMN()/2+1,FALSE)=0,"",VLOOKUP($A89,数出表_Excel!$A$6:$T$150,COLUMN()/2+1,FALSE))),"")</f>
        <v/>
      </c>
      <c r="E89" s="83"/>
      <c r="F89" s="197" t="str">
        <f ca="1">IFERROR(VALUE(IF(VLOOKUP($A89,数出表_Excel!$A$6:$T$150,COLUMN()/2+1,FALSE)=0,"",VLOOKUP($A89,数出表_Excel!$A$6:$T$150,COLUMN()/2+1,FALSE))),"")</f>
        <v/>
      </c>
      <c r="G89" s="67"/>
      <c r="H89" s="186" t="str">
        <f ca="1">IFERROR(VALUE(IF(VLOOKUP($A89,数出表_Excel!$A$6:$T$150,COLUMN()/2+1,FALSE)=0,"",VLOOKUP($A89,数出表_Excel!$A$6:$T$150,COLUMN()/2+1,FALSE))),"")</f>
        <v/>
      </c>
      <c r="I89" s="83"/>
      <c r="J89" s="197" t="str">
        <f ca="1">IFERROR(VALUE(IF(VLOOKUP($A89,数出表_Excel!$A$6:$T$150,COLUMN()/2+1,FALSE)=0,"",VLOOKUP($A89,数出表_Excel!$A$6:$T$150,COLUMN()/2+1,FALSE))),"")</f>
        <v/>
      </c>
      <c r="K89" s="67"/>
      <c r="L89" s="186" t="str">
        <f ca="1">IFERROR(VALUE(IF(VLOOKUP($A89,数出表_Excel!$A$6:$T$150,COLUMN()/2+1,FALSE)=0,"",VLOOKUP($A89,数出表_Excel!$A$6:$T$150,COLUMN()/2+1,FALSE))),"")</f>
        <v/>
      </c>
      <c r="M89" s="83"/>
      <c r="N89" s="197" t="str">
        <f ca="1">IFERROR(VALUE(IF(VLOOKUP($A89,数出表_Excel!$A$6:$T$150,COLUMN()/2+1,FALSE)=0,"",VLOOKUP($A89,数出表_Excel!$A$6:$T$150,COLUMN()/2+1,FALSE))),"")</f>
        <v/>
      </c>
      <c r="O89" s="67"/>
      <c r="P89" s="186" t="str">
        <f ca="1">IFERROR(VALUE(IF(VLOOKUP($A89,数出表_Excel!$A$6:$T$150,COLUMN()/2+1,FALSE)=0,"",VLOOKUP($A89,数出表_Excel!$A$6:$T$150,COLUMN()/2+1,FALSE))),"")</f>
        <v/>
      </c>
      <c r="Q89" s="83"/>
      <c r="R89" s="197" t="str">
        <f ca="1">IFERROR(VALUE(IF(VLOOKUP($A89,数出表_Excel!$A$6:$T$150,COLUMN()/2+1,FALSE)=0,"",VLOOKUP($A89,数出表_Excel!$A$6:$T$150,COLUMN()/2+1,FALSE))),"")</f>
        <v/>
      </c>
      <c r="S89" s="67"/>
      <c r="T89" s="186" t="str">
        <f ca="1">IFERROR(VALUE(IF(VLOOKUP($A89,数出表_Excel!$A$6:$T$150,COLUMN()/2+1,FALSE)=0,"",VLOOKUP($A89,数出表_Excel!$A$6:$T$150,COLUMN()/2+1,FALSE))),"")</f>
        <v/>
      </c>
      <c r="U89" s="83"/>
      <c r="V89" s="197" t="str">
        <f ca="1">IFERROR(VALUE(IF(VLOOKUP($A89,数出表_Excel!$A$6:$T$150,COLUMN()/2+1,FALSE)=0,"",VLOOKUP($A89,数出表_Excel!$A$6:$T$150,COLUMN()/2+1,FALSE))),"")</f>
        <v/>
      </c>
      <c r="W89" s="67"/>
      <c r="X89" s="186" t="str">
        <f ca="1">IFERROR(VALUE(IF(VLOOKUP($A89,数出表_Excel!$A$6:$T$150,COLUMN()/2+1,FALSE)=0,"",VLOOKUP($A89,数出表_Excel!$A$6:$T$150,COLUMN()/2+1,FALSE))),"")</f>
        <v/>
      </c>
      <c r="Y89" s="83"/>
      <c r="Z89" s="197" t="str">
        <f ca="1">IFERROR(VALUE(IF(VLOOKUP($A89,数出表_Excel!$A$6:$T$150,COLUMN()/2+1,FALSE)=0,"",VLOOKUP($A89,数出表_Excel!$A$6:$T$150,COLUMN()/2+1,FALSE))),"")</f>
        <v/>
      </c>
      <c r="AA89" s="83"/>
      <c r="AB89" s="186" t="str">
        <f ca="1">IFERROR(VALUE(IF(VLOOKUP($A89,数出表_Excel!$A$6:$T$150,COLUMN()/2+1,FALSE)=0,"",VLOOKUP($A89,数出表_Excel!$A$6:$T$150,COLUMN()/2+1,FALSE))),"")</f>
        <v/>
      </c>
      <c r="AC89" s="83"/>
      <c r="AD89" s="186" t="str">
        <f ca="1">IFERROR(VALUE(IF(VLOOKUP($A89,数出表_Excel!$A$6:$T$150,COLUMN()/2+1,FALSE)=0,"",VLOOKUP($A89,数出表_Excel!$A$6:$T$150,COLUMN()/2+1,FALSE))),"")</f>
        <v/>
      </c>
      <c r="AE89" s="83"/>
      <c r="AF89" s="186" t="str">
        <f ca="1">IFERROR(VALUE(IF(VLOOKUP($A89,数出表_Excel!$A$6:$T$150,COLUMN()/2+1,FALSE)=0,"",VLOOKUP($A89,数出表_Excel!$A$6:$T$150,COLUMN()/2+1,FALSE))),"")</f>
        <v/>
      </c>
      <c r="AG89" s="83"/>
      <c r="AH89" s="186" t="str">
        <f ca="1">IFERROR(VALUE(IF(VLOOKUP($A89,数出表_Excel!$A$6:$T$150,COLUMN()/2+1,FALSE)=0,"",VLOOKUP($A89,数出表_Excel!$A$6:$T$150,COLUMN()/2+1,FALSE))),"")</f>
        <v/>
      </c>
      <c r="AI89" s="83"/>
      <c r="AJ89" s="186" t="str">
        <f ca="1">IFERROR(VALUE(IF(VLOOKUP($A89,数出表_Excel!$A$6:$T$150,COLUMN()/2+1,FALSE)=0,"",VLOOKUP($A89,数出表_Excel!$A$6:$T$150,COLUMN()/2+1,FALSE))),"")</f>
        <v/>
      </c>
      <c r="AK89" s="83"/>
      <c r="AL89" s="70" t="e">
        <f ca="1">IF(A89&lt;&gt;"",
IF(VLOOKUP($A89,数出表_Excel!$A$6:$T$150,COLUMN()/2+1,FALSE)=0,"",VLOOKUP($A89,数出表_Excel!$A$6:$T$150,COLUMN()/2+1,FALSE)),"")</f>
        <v>#N/A</v>
      </c>
      <c r="AM89" s="98" t="e">
        <f>数出表_Excel!V89</f>
        <v>#N/A</v>
      </c>
      <c r="AN89" s="99" t="e">
        <f>数出表_Excel!W89</f>
        <v>#N/A</v>
      </c>
    </row>
    <row r="90" spans="1:40" ht="16.2" customHeight="1">
      <c r="A90" s="88" t="e">
        <f t="array" aca="1" ref="A90" ca="1">IF(OR(COUNTIF(A88,"*10002*"),COUNTIF(A88,"")),"",INDEX(貼り付け用!$A1:$A200,MATCH(A88,貼り付け用!$A1:$A200,0)+2,0))</f>
        <v>#N/A</v>
      </c>
      <c r="B90" s="185" t="str">
        <f ca="1">IFERROR(VALUE(IF(VLOOKUP($A90,数出表_Excel!$A$6:$T$150,COLUMN()/2+1,FALSE)=0,"",VLOOKUP($A90,数出表_Excel!$A$6:$T$150,COLUMN()/2+1,FALSE))),"")</f>
        <v/>
      </c>
      <c r="C90" s="66"/>
      <c r="D90" s="185" t="str">
        <f ca="1">IFERROR(VALUE(IF(VLOOKUP($A90,数出表_Excel!$A$6:$T$150,COLUMN()/2+1,FALSE)=0,"",VLOOKUP($A90,数出表_Excel!$A$6:$T$150,COLUMN()/2+1,FALSE))),"")</f>
        <v/>
      </c>
      <c r="E90" s="82"/>
      <c r="F90" s="196" t="str">
        <f ca="1">IFERROR(VALUE(IF(VLOOKUP($A90,数出表_Excel!$A$6:$T$150,COLUMN()/2+1,FALSE)=0,"",VLOOKUP($A90,数出表_Excel!$A$6:$T$150,COLUMN()/2+1,FALSE))),"")</f>
        <v/>
      </c>
      <c r="G90" s="66"/>
      <c r="H90" s="185" t="str">
        <f ca="1">IFERROR(VALUE(IF(VLOOKUP($A90,数出表_Excel!$A$6:$T$150,COLUMN()/2+1,FALSE)=0,"",VLOOKUP($A90,数出表_Excel!$A$6:$T$150,COLUMN()/2+1,FALSE))),"")</f>
        <v/>
      </c>
      <c r="I90" s="82"/>
      <c r="J90" s="196" t="str">
        <f ca="1">IFERROR(VALUE(IF(VLOOKUP($A90,数出表_Excel!$A$6:$T$150,COLUMN()/2+1,FALSE)=0,"",VLOOKUP($A90,数出表_Excel!$A$6:$T$150,COLUMN()/2+1,FALSE))),"")</f>
        <v/>
      </c>
      <c r="K90" s="66"/>
      <c r="L90" s="185" t="str">
        <f ca="1">IFERROR(VALUE(IF(VLOOKUP($A90,数出表_Excel!$A$6:$T$150,COLUMN()/2+1,FALSE)=0,"",VLOOKUP($A90,数出表_Excel!$A$6:$T$150,COLUMN()/2+1,FALSE))),"")</f>
        <v/>
      </c>
      <c r="M90" s="82"/>
      <c r="N90" s="196" t="str">
        <f ca="1">IFERROR(VALUE(IF(VLOOKUP($A90,数出表_Excel!$A$6:$T$150,COLUMN()/2+1,FALSE)=0,"",VLOOKUP($A90,数出表_Excel!$A$6:$T$150,COLUMN()/2+1,FALSE))),"")</f>
        <v/>
      </c>
      <c r="O90" s="66"/>
      <c r="P90" s="185" t="str">
        <f ca="1">IFERROR(VALUE(IF(VLOOKUP($A90,数出表_Excel!$A$6:$T$150,COLUMN()/2+1,FALSE)=0,"",VLOOKUP($A90,数出表_Excel!$A$6:$T$150,COLUMN()/2+1,FALSE))),"")</f>
        <v/>
      </c>
      <c r="Q90" s="82"/>
      <c r="R90" s="196" t="str">
        <f ca="1">IFERROR(VALUE(IF(VLOOKUP($A90,数出表_Excel!$A$6:$T$150,COLUMN()/2+1,FALSE)=0,"",VLOOKUP($A90,数出表_Excel!$A$6:$T$150,COLUMN()/2+1,FALSE))),"")</f>
        <v/>
      </c>
      <c r="S90" s="66"/>
      <c r="T90" s="185" t="str">
        <f ca="1">IFERROR(VALUE(IF(VLOOKUP($A90,数出表_Excel!$A$6:$T$150,COLUMN()/2+1,FALSE)=0,"",VLOOKUP($A90,数出表_Excel!$A$6:$T$150,COLUMN()/2+1,FALSE))),"")</f>
        <v/>
      </c>
      <c r="U90" s="82"/>
      <c r="V90" s="196" t="str">
        <f ca="1">IFERROR(VALUE(IF(VLOOKUP($A90,数出表_Excel!$A$6:$T$150,COLUMN()/2+1,FALSE)=0,"",VLOOKUP($A90,数出表_Excel!$A$6:$T$150,COLUMN()/2+1,FALSE))),"")</f>
        <v/>
      </c>
      <c r="W90" s="66"/>
      <c r="X90" s="185" t="str">
        <f ca="1">IFERROR(VALUE(IF(VLOOKUP($A90,数出表_Excel!$A$6:$T$150,COLUMN()/2+1,FALSE)=0,"",VLOOKUP($A90,数出表_Excel!$A$6:$T$150,COLUMN()/2+1,FALSE))),"")</f>
        <v/>
      </c>
      <c r="Y90" s="82"/>
      <c r="Z90" s="196" t="str">
        <f ca="1">IFERROR(VALUE(IF(VLOOKUP($A90,数出表_Excel!$A$6:$T$150,COLUMN()/2+1,FALSE)=0,"",VLOOKUP($A90,数出表_Excel!$A$6:$T$150,COLUMN()/2+1,FALSE))),"")</f>
        <v/>
      </c>
      <c r="AA90" s="82"/>
      <c r="AB90" s="185" t="str">
        <f ca="1">IFERROR(VALUE(IF(VLOOKUP($A90,数出表_Excel!$A$6:$T$150,COLUMN()/2+1,FALSE)=0,"",VLOOKUP($A90,数出表_Excel!$A$6:$T$150,COLUMN()/2+1,FALSE))),"")</f>
        <v/>
      </c>
      <c r="AC90" s="82"/>
      <c r="AD90" s="185" t="str">
        <f ca="1">IFERROR(VALUE(IF(VLOOKUP($A90,数出表_Excel!$A$6:$T$150,COLUMN()/2+1,FALSE)=0,"",VLOOKUP($A90,数出表_Excel!$A$6:$T$150,COLUMN()/2+1,FALSE))),"")</f>
        <v/>
      </c>
      <c r="AE90" s="82"/>
      <c r="AF90" s="185" t="str">
        <f ca="1">IFERROR(VALUE(IF(VLOOKUP($A90,数出表_Excel!$A$6:$T$150,COLUMN()/2+1,FALSE)=0,"",VLOOKUP($A90,数出表_Excel!$A$6:$T$150,COLUMN()/2+1,FALSE))),"")</f>
        <v/>
      </c>
      <c r="AG90" s="82"/>
      <c r="AH90" s="185" t="str">
        <f ca="1">IFERROR(VALUE(IF(VLOOKUP($A90,数出表_Excel!$A$6:$T$150,COLUMN()/2+1,FALSE)=0,"",VLOOKUP($A90,数出表_Excel!$A$6:$T$150,COLUMN()/2+1,FALSE))),"")</f>
        <v/>
      </c>
      <c r="AI90" s="82"/>
      <c r="AJ90" s="185" t="str">
        <f ca="1">IFERROR(VALUE(IF(VLOOKUP($A90,数出表_Excel!$A$6:$T$150,COLUMN()/2+1,FALSE)=0,"",VLOOKUP($A90,数出表_Excel!$A$6:$T$150,COLUMN()/2+1,FALSE))),"")</f>
        <v/>
      </c>
      <c r="AK90" s="82"/>
      <c r="AL90" s="68" t="e">
        <f ca="1">IF(A90&lt;&gt;"",
IF(VLOOKUP($A90,数出表_Excel!$A$6:$T$150,COLUMN()/2+1,FALSE)=0,"",VLOOKUP($A90,数出表_Excel!$A$6:$T$150,COLUMN()/2+1,FALSE)),"")</f>
        <v>#N/A</v>
      </c>
      <c r="AM90" s="96" t="e">
        <f>数出表_Excel!V90</f>
        <v>#N/A</v>
      </c>
      <c r="AN90" s="97" t="e">
        <f>数出表_Excel!W90</f>
        <v>#N/A</v>
      </c>
    </row>
    <row r="91" spans="1:40" ht="16.2" customHeight="1">
      <c r="A91" s="89" t="e">
        <f t="array" aca="1" ref="A91" ca="1">IF(OR(COUNTIF(A89,"*1000*"),COUNTIF(A89,"")),"",INDEX(貼り付け用!$A1:$A200,MATCH(A89,貼り付け用!$A1:$A200,0)+2,0))</f>
        <v>#N/A</v>
      </c>
      <c r="B91" s="186" t="str">
        <f ca="1">IFERROR(VALUE(IF(VLOOKUP($A91,数出表_Excel!$A$6:$T$150,COLUMN()/2+1,FALSE)=0,"",VLOOKUP($A91,数出表_Excel!$A$6:$T$150,COLUMN()/2+1,FALSE))),"")</f>
        <v/>
      </c>
      <c r="C91" s="67"/>
      <c r="D91" s="186" t="str">
        <f ca="1">IFERROR(VALUE(IF(VLOOKUP($A91,数出表_Excel!$A$6:$T$150,COLUMN()/2+1,FALSE)=0,"",VLOOKUP($A91,数出表_Excel!$A$6:$T$150,COLUMN()/2+1,FALSE))),"")</f>
        <v/>
      </c>
      <c r="E91" s="83"/>
      <c r="F91" s="197" t="str">
        <f ca="1">IFERROR(VALUE(IF(VLOOKUP($A91,数出表_Excel!$A$6:$T$150,COLUMN()/2+1,FALSE)=0,"",VLOOKUP($A91,数出表_Excel!$A$6:$T$150,COLUMN()/2+1,FALSE))),"")</f>
        <v/>
      </c>
      <c r="G91" s="67"/>
      <c r="H91" s="186" t="str">
        <f ca="1">IFERROR(VALUE(IF(VLOOKUP($A91,数出表_Excel!$A$6:$T$150,COLUMN()/2+1,FALSE)=0,"",VLOOKUP($A91,数出表_Excel!$A$6:$T$150,COLUMN()/2+1,FALSE))),"")</f>
        <v/>
      </c>
      <c r="I91" s="83"/>
      <c r="J91" s="197" t="str">
        <f ca="1">IFERROR(VALUE(IF(VLOOKUP($A91,数出表_Excel!$A$6:$T$150,COLUMN()/2+1,FALSE)=0,"",VLOOKUP($A91,数出表_Excel!$A$6:$T$150,COLUMN()/2+1,FALSE))),"")</f>
        <v/>
      </c>
      <c r="K91" s="67"/>
      <c r="L91" s="186" t="str">
        <f ca="1">IFERROR(VALUE(IF(VLOOKUP($A91,数出表_Excel!$A$6:$T$150,COLUMN()/2+1,FALSE)=0,"",VLOOKUP($A91,数出表_Excel!$A$6:$T$150,COLUMN()/2+1,FALSE))),"")</f>
        <v/>
      </c>
      <c r="M91" s="83"/>
      <c r="N91" s="197" t="str">
        <f ca="1">IFERROR(VALUE(IF(VLOOKUP($A91,数出表_Excel!$A$6:$T$150,COLUMN()/2+1,FALSE)=0,"",VLOOKUP($A91,数出表_Excel!$A$6:$T$150,COLUMN()/2+1,FALSE))),"")</f>
        <v/>
      </c>
      <c r="O91" s="67"/>
      <c r="P91" s="186" t="str">
        <f ca="1">IFERROR(VALUE(IF(VLOOKUP($A91,数出表_Excel!$A$6:$T$150,COLUMN()/2+1,FALSE)=0,"",VLOOKUP($A91,数出表_Excel!$A$6:$T$150,COLUMN()/2+1,FALSE))),"")</f>
        <v/>
      </c>
      <c r="Q91" s="83"/>
      <c r="R91" s="197" t="str">
        <f ca="1">IFERROR(VALUE(IF(VLOOKUP($A91,数出表_Excel!$A$6:$T$150,COLUMN()/2+1,FALSE)=0,"",VLOOKUP($A91,数出表_Excel!$A$6:$T$150,COLUMN()/2+1,FALSE))),"")</f>
        <v/>
      </c>
      <c r="S91" s="67"/>
      <c r="T91" s="186" t="str">
        <f ca="1">IFERROR(VALUE(IF(VLOOKUP($A91,数出表_Excel!$A$6:$T$150,COLUMN()/2+1,FALSE)=0,"",VLOOKUP($A91,数出表_Excel!$A$6:$T$150,COLUMN()/2+1,FALSE))),"")</f>
        <v/>
      </c>
      <c r="U91" s="83"/>
      <c r="V91" s="197" t="str">
        <f ca="1">IFERROR(VALUE(IF(VLOOKUP($A91,数出表_Excel!$A$6:$T$150,COLUMN()/2+1,FALSE)=0,"",VLOOKUP($A91,数出表_Excel!$A$6:$T$150,COLUMN()/2+1,FALSE))),"")</f>
        <v/>
      </c>
      <c r="W91" s="67"/>
      <c r="X91" s="186" t="str">
        <f ca="1">IFERROR(VALUE(IF(VLOOKUP($A91,数出表_Excel!$A$6:$T$150,COLUMN()/2+1,FALSE)=0,"",VLOOKUP($A91,数出表_Excel!$A$6:$T$150,COLUMN()/2+1,FALSE))),"")</f>
        <v/>
      </c>
      <c r="Y91" s="83"/>
      <c r="Z91" s="197" t="str">
        <f ca="1">IFERROR(VALUE(IF(VLOOKUP($A91,数出表_Excel!$A$6:$T$150,COLUMN()/2+1,FALSE)=0,"",VLOOKUP($A91,数出表_Excel!$A$6:$T$150,COLUMN()/2+1,FALSE))),"")</f>
        <v/>
      </c>
      <c r="AA91" s="83"/>
      <c r="AB91" s="186" t="str">
        <f ca="1">IFERROR(VALUE(IF(VLOOKUP($A91,数出表_Excel!$A$6:$T$150,COLUMN()/2+1,FALSE)=0,"",VLOOKUP($A91,数出表_Excel!$A$6:$T$150,COLUMN()/2+1,FALSE))),"")</f>
        <v/>
      </c>
      <c r="AC91" s="83"/>
      <c r="AD91" s="186" t="str">
        <f ca="1">IFERROR(VALUE(IF(VLOOKUP($A91,数出表_Excel!$A$6:$T$150,COLUMN()/2+1,FALSE)=0,"",VLOOKUP($A91,数出表_Excel!$A$6:$T$150,COLUMN()/2+1,FALSE))),"")</f>
        <v/>
      </c>
      <c r="AE91" s="83"/>
      <c r="AF91" s="186" t="str">
        <f ca="1">IFERROR(VALUE(IF(VLOOKUP($A91,数出表_Excel!$A$6:$T$150,COLUMN()/2+1,FALSE)=0,"",VLOOKUP($A91,数出表_Excel!$A$6:$T$150,COLUMN()/2+1,FALSE))),"")</f>
        <v/>
      </c>
      <c r="AG91" s="83"/>
      <c r="AH91" s="186" t="str">
        <f ca="1">IFERROR(VALUE(IF(VLOOKUP($A91,数出表_Excel!$A$6:$T$150,COLUMN()/2+1,FALSE)=0,"",VLOOKUP($A91,数出表_Excel!$A$6:$T$150,COLUMN()/2+1,FALSE))),"")</f>
        <v/>
      </c>
      <c r="AI91" s="83"/>
      <c r="AJ91" s="186" t="str">
        <f ca="1">IFERROR(VALUE(IF(VLOOKUP($A91,数出表_Excel!$A$6:$T$150,COLUMN()/2+1,FALSE)=0,"",VLOOKUP($A91,数出表_Excel!$A$6:$T$150,COLUMN()/2+1,FALSE))),"")</f>
        <v/>
      </c>
      <c r="AK91" s="83"/>
      <c r="AL91" s="70" t="e">
        <f ca="1">IF(A91&lt;&gt;"",
IF(VLOOKUP($A91,数出表_Excel!$A$6:$T$150,COLUMN()/2+1,FALSE)=0,"",VLOOKUP($A91,数出表_Excel!$A$6:$T$150,COLUMN()/2+1,FALSE)),"")</f>
        <v>#N/A</v>
      </c>
      <c r="AM91" s="98" t="e">
        <f>数出表_Excel!V91</f>
        <v>#N/A</v>
      </c>
      <c r="AN91" s="99" t="e">
        <f>数出表_Excel!W91</f>
        <v>#N/A</v>
      </c>
    </row>
    <row r="92" spans="1:40" ht="16.2" customHeight="1">
      <c r="A92" s="88" t="e">
        <f t="array" aca="1" ref="A92" ca="1">IF(OR(COUNTIF(A90,"*10002*"),COUNTIF(A90,"")),"",INDEX(貼り付け用!$A1:$A200,MATCH(A90,貼り付け用!$A1:$A200,0)+2,0))</f>
        <v>#N/A</v>
      </c>
      <c r="B92" s="185" t="str">
        <f ca="1">IFERROR(VALUE(IF(VLOOKUP($A92,数出表_Excel!$A$6:$T$150,COLUMN()/2+1,FALSE)=0,"",VLOOKUP($A92,数出表_Excel!$A$6:$T$150,COLUMN()/2+1,FALSE))),"")</f>
        <v/>
      </c>
      <c r="C92" s="66"/>
      <c r="D92" s="185" t="str">
        <f ca="1">IFERROR(VALUE(IF(VLOOKUP($A92,数出表_Excel!$A$6:$T$150,COLUMN()/2+1,FALSE)=0,"",VLOOKUP($A92,数出表_Excel!$A$6:$T$150,COLUMN()/2+1,FALSE))),"")</f>
        <v/>
      </c>
      <c r="E92" s="82"/>
      <c r="F92" s="196" t="str">
        <f ca="1">IFERROR(VALUE(IF(VLOOKUP($A92,数出表_Excel!$A$6:$T$150,COLUMN()/2+1,FALSE)=0,"",VLOOKUP($A92,数出表_Excel!$A$6:$T$150,COLUMN()/2+1,FALSE))),"")</f>
        <v/>
      </c>
      <c r="G92" s="66"/>
      <c r="H92" s="185" t="str">
        <f ca="1">IFERROR(VALUE(IF(VLOOKUP($A92,数出表_Excel!$A$6:$T$150,COLUMN()/2+1,FALSE)=0,"",VLOOKUP($A92,数出表_Excel!$A$6:$T$150,COLUMN()/2+1,FALSE))),"")</f>
        <v/>
      </c>
      <c r="I92" s="82"/>
      <c r="J92" s="196" t="str">
        <f ca="1">IFERROR(VALUE(IF(VLOOKUP($A92,数出表_Excel!$A$6:$T$150,COLUMN()/2+1,FALSE)=0,"",VLOOKUP($A92,数出表_Excel!$A$6:$T$150,COLUMN()/2+1,FALSE))),"")</f>
        <v/>
      </c>
      <c r="K92" s="66"/>
      <c r="L92" s="185" t="str">
        <f ca="1">IFERROR(VALUE(IF(VLOOKUP($A92,数出表_Excel!$A$6:$T$150,COLUMN()/2+1,FALSE)=0,"",VLOOKUP($A92,数出表_Excel!$A$6:$T$150,COLUMN()/2+1,FALSE))),"")</f>
        <v/>
      </c>
      <c r="M92" s="82"/>
      <c r="N92" s="196" t="str">
        <f ca="1">IFERROR(VALUE(IF(VLOOKUP($A92,数出表_Excel!$A$6:$T$150,COLUMN()/2+1,FALSE)=0,"",VLOOKUP($A92,数出表_Excel!$A$6:$T$150,COLUMN()/2+1,FALSE))),"")</f>
        <v/>
      </c>
      <c r="O92" s="66"/>
      <c r="P92" s="185" t="str">
        <f ca="1">IFERROR(VALUE(IF(VLOOKUP($A92,数出表_Excel!$A$6:$T$150,COLUMN()/2+1,FALSE)=0,"",VLOOKUP($A92,数出表_Excel!$A$6:$T$150,COLUMN()/2+1,FALSE))),"")</f>
        <v/>
      </c>
      <c r="Q92" s="82"/>
      <c r="R92" s="196" t="str">
        <f ca="1">IFERROR(VALUE(IF(VLOOKUP($A92,数出表_Excel!$A$6:$T$150,COLUMN()/2+1,FALSE)=0,"",VLOOKUP($A92,数出表_Excel!$A$6:$T$150,COLUMN()/2+1,FALSE))),"")</f>
        <v/>
      </c>
      <c r="S92" s="66"/>
      <c r="T92" s="185" t="str">
        <f ca="1">IFERROR(VALUE(IF(VLOOKUP($A92,数出表_Excel!$A$6:$T$150,COLUMN()/2+1,FALSE)=0,"",VLOOKUP($A92,数出表_Excel!$A$6:$T$150,COLUMN()/2+1,FALSE))),"")</f>
        <v/>
      </c>
      <c r="U92" s="82"/>
      <c r="V92" s="196" t="str">
        <f ca="1">IFERROR(VALUE(IF(VLOOKUP($A92,数出表_Excel!$A$6:$T$150,COLUMN()/2+1,FALSE)=0,"",VLOOKUP($A92,数出表_Excel!$A$6:$T$150,COLUMN()/2+1,FALSE))),"")</f>
        <v/>
      </c>
      <c r="W92" s="66"/>
      <c r="X92" s="185" t="str">
        <f ca="1">IFERROR(VALUE(IF(VLOOKUP($A92,数出表_Excel!$A$6:$T$150,COLUMN()/2+1,FALSE)=0,"",VLOOKUP($A92,数出表_Excel!$A$6:$T$150,COLUMN()/2+1,FALSE))),"")</f>
        <v/>
      </c>
      <c r="Y92" s="82"/>
      <c r="Z92" s="196" t="str">
        <f ca="1">IFERROR(VALUE(IF(VLOOKUP($A92,数出表_Excel!$A$6:$T$150,COLUMN()/2+1,FALSE)=0,"",VLOOKUP($A92,数出表_Excel!$A$6:$T$150,COLUMN()/2+1,FALSE))),"")</f>
        <v/>
      </c>
      <c r="AA92" s="82"/>
      <c r="AB92" s="185" t="str">
        <f ca="1">IFERROR(VALUE(IF(VLOOKUP($A92,数出表_Excel!$A$6:$T$150,COLUMN()/2+1,FALSE)=0,"",VLOOKUP($A92,数出表_Excel!$A$6:$T$150,COLUMN()/2+1,FALSE))),"")</f>
        <v/>
      </c>
      <c r="AC92" s="82"/>
      <c r="AD92" s="185" t="str">
        <f ca="1">IFERROR(VALUE(IF(VLOOKUP($A92,数出表_Excel!$A$6:$T$150,COLUMN()/2+1,FALSE)=0,"",VLOOKUP($A92,数出表_Excel!$A$6:$T$150,COLUMN()/2+1,FALSE))),"")</f>
        <v/>
      </c>
      <c r="AE92" s="82"/>
      <c r="AF92" s="185" t="str">
        <f ca="1">IFERROR(VALUE(IF(VLOOKUP($A92,数出表_Excel!$A$6:$T$150,COLUMN()/2+1,FALSE)=0,"",VLOOKUP($A92,数出表_Excel!$A$6:$T$150,COLUMN()/2+1,FALSE))),"")</f>
        <v/>
      </c>
      <c r="AG92" s="82"/>
      <c r="AH92" s="185" t="str">
        <f ca="1">IFERROR(VALUE(IF(VLOOKUP($A92,数出表_Excel!$A$6:$T$150,COLUMN()/2+1,FALSE)=0,"",VLOOKUP($A92,数出表_Excel!$A$6:$T$150,COLUMN()/2+1,FALSE))),"")</f>
        <v/>
      </c>
      <c r="AI92" s="82"/>
      <c r="AJ92" s="185" t="str">
        <f ca="1">IFERROR(VALUE(IF(VLOOKUP($A92,数出表_Excel!$A$6:$T$150,COLUMN()/2+1,FALSE)=0,"",VLOOKUP($A92,数出表_Excel!$A$6:$T$150,COLUMN()/2+1,FALSE))),"")</f>
        <v/>
      </c>
      <c r="AK92" s="82"/>
      <c r="AL92" s="68" t="e">
        <f ca="1">IF(A92&lt;&gt;"",
IF(VLOOKUP($A92,数出表_Excel!$A$6:$T$150,COLUMN()/2+1,FALSE)=0,"",VLOOKUP($A92,数出表_Excel!$A$6:$T$150,COLUMN()/2+1,FALSE)),"")</f>
        <v>#N/A</v>
      </c>
      <c r="AM92" s="96" t="e">
        <f>数出表_Excel!V92</f>
        <v>#N/A</v>
      </c>
      <c r="AN92" s="97" t="e">
        <f>数出表_Excel!W92</f>
        <v>#N/A</v>
      </c>
    </row>
    <row r="93" spans="1:40" ht="16.2" customHeight="1">
      <c r="A93" s="89" t="e">
        <f t="array" aca="1" ref="A93" ca="1">IF(OR(COUNTIF(A91,"*1000*"),COUNTIF(A91,"")),"",INDEX(貼り付け用!$A1:$A200,MATCH(A91,貼り付け用!$A1:$A200,0)+2,0))</f>
        <v>#N/A</v>
      </c>
      <c r="B93" s="186" t="str">
        <f ca="1">IFERROR(VALUE(IF(VLOOKUP($A93,数出表_Excel!$A$6:$T$150,COLUMN()/2+1,FALSE)=0,"",VLOOKUP($A93,数出表_Excel!$A$6:$T$150,COLUMN()/2+1,FALSE))),"")</f>
        <v/>
      </c>
      <c r="C93" s="67"/>
      <c r="D93" s="186" t="str">
        <f ca="1">IFERROR(VALUE(IF(VLOOKUP($A93,数出表_Excel!$A$6:$T$150,COLUMN()/2+1,FALSE)=0,"",VLOOKUP($A93,数出表_Excel!$A$6:$T$150,COLUMN()/2+1,FALSE))),"")</f>
        <v/>
      </c>
      <c r="E93" s="83"/>
      <c r="F93" s="197" t="str">
        <f ca="1">IFERROR(VALUE(IF(VLOOKUP($A93,数出表_Excel!$A$6:$T$150,COLUMN()/2+1,FALSE)=0,"",VLOOKUP($A93,数出表_Excel!$A$6:$T$150,COLUMN()/2+1,FALSE))),"")</f>
        <v/>
      </c>
      <c r="G93" s="67"/>
      <c r="H93" s="186" t="str">
        <f ca="1">IFERROR(VALUE(IF(VLOOKUP($A93,数出表_Excel!$A$6:$T$150,COLUMN()/2+1,FALSE)=0,"",VLOOKUP($A93,数出表_Excel!$A$6:$T$150,COLUMN()/2+1,FALSE))),"")</f>
        <v/>
      </c>
      <c r="I93" s="83"/>
      <c r="J93" s="197" t="str">
        <f ca="1">IFERROR(VALUE(IF(VLOOKUP($A93,数出表_Excel!$A$6:$T$150,COLUMN()/2+1,FALSE)=0,"",VLOOKUP($A93,数出表_Excel!$A$6:$T$150,COLUMN()/2+1,FALSE))),"")</f>
        <v/>
      </c>
      <c r="K93" s="67"/>
      <c r="L93" s="186" t="str">
        <f ca="1">IFERROR(VALUE(IF(VLOOKUP($A93,数出表_Excel!$A$6:$T$150,COLUMN()/2+1,FALSE)=0,"",VLOOKUP($A93,数出表_Excel!$A$6:$T$150,COLUMN()/2+1,FALSE))),"")</f>
        <v/>
      </c>
      <c r="M93" s="83"/>
      <c r="N93" s="197" t="str">
        <f ca="1">IFERROR(VALUE(IF(VLOOKUP($A93,数出表_Excel!$A$6:$T$150,COLUMN()/2+1,FALSE)=0,"",VLOOKUP($A93,数出表_Excel!$A$6:$T$150,COLUMN()/2+1,FALSE))),"")</f>
        <v/>
      </c>
      <c r="O93" s="67"/>
      <c r="P93" s="186" t="str">
        <f ca="1">IFERROR(VALUE(IF(VLOOKUP($A93,数出表_Excel!$A$6:$T$150,COLUMN()/2+1,FALSE)=0,"",VLOOKUP($A93,数出表_Excel!$A$6:$T$150,COLUMN()/2+1,FALSE))),"")</f>
        <v/>
      </c>
      <c r="Q93" s="83"/>
      <c r="R93" s="197" t="str">
        <f ca="1">IFERROR(VALUE(IF(VLOOKUP($A93,数出表_Excel!$A$6:$T$150,COLUMN()/2+1,FALSE)=0,"",VLOOKUP($A93,数出表_Excel!$A$6:$T$150,COLUMN()/2+1,FALSE))),"")</f>
        <v/>
      </c>
      <c r="S93" s="67"/>
      <c r="T93" s="186" t="str">
        <f ca="1">IFERROR(VALUE(IF(VLOOKUP($A93,数出表_Excel!$A$6:$T$150,COLUMN()/2+1,FALSE)=0,"",VLOOKUP($A93,数出表_Excel!$A$6:$T$150,COLUMN()/2+1,FALSE))),"")</f>
        <v/>
      </c>
      <c r="U93" s="83"/>
      <c r="V93" s="197" t="str">
        <f ca="1">IFERROR(VALUE(IF(VLOOKUP($A93,数出表_Excel!$A$6:$T$150,COLUMN()/2+1,FALSE)=0,"",VLOOKUP($A93,数出表_Excel!$A$6:$T$150,COLUMN()/2+1,FALSE))),"")</f>
        <v/>
      </c>
      <c r="W93" s="67"/>
      <c r="X93" s="186" t="str">
        <f ca="1">IFERROR(VALUE(IF(VLOOKUP($A93,数出表_Excel!$A$6:$T$150,COLUMN()/2+1,FALSE)=0,"",VLOOKUP($A93,数出表_Excel!$A$6:$T$150,COLUMN()/2+1,FALSE))),"")</f>
        <v/>
      </c>
      <c r="Y93" s="83"/>
      <c r="Z93" s="197" t="str">
        <f ca="1">IFERROR(VALUE(IF(VLOOKUP($A93,数出表_Excel!$A$6:$T$150,COLUMN()/2+1,FALSE)=0,"",VLOOKUP($A93,数出表_Excel!$A$6:$T$150,COLUMN()/2+1,FALSE))),"")</f>
        <v/>
      </c>
      <c r="AA93" s="83"/>
      <c r="AB93" s="186" t="str">
        <f ca="1">IFERROR(VALUE(IF(VLOOKUP($A93,数出表_Excel!$A$6:$T$150,COLUMN()/2+1,FALSE)=0,"",VLOOKUP($A93,数出表_Excel!$A$6:$T$150,COLUMN()/2+1,FALSE))),"")</f>
        <v/>
      </c>
      <c r="AC93" s="83"/>
      <c r="AD93" s="186" t="str">
        <f ca="1">IFERROR(VALUE(IF(VLOOKUP($A93,数出表_Excel!$A$6:$T$150,COLUMN()/2+1,FALSE)=0,"",VLOOKUP($A93,数出表_Excel!$A$6:$T$150,COLUMN()/2+1,FALSE))),"")</f>
        <v/>
      </c>
      <c r="AE93" s="83"/>
      <c r="AF93" s="186" t="str">
        <f ca="1">IFERROR(VALUE(IF(VLOOKUP($A93,数出表_Excel!$A$6:$T$150,COLUMN()/2+1,FALSE)=0,"",VLOOKUP($A93,数出表_Excel!$A$6:$T$150,COLUMN()/2+1,FALSE))),"")</f>
        <v/>
      </c>
      <c r="AG93" s="83"/>
      <c r="AH93" s="186" t="str">
        <f ca="1">IFERROR(VALUE(IF(VLOOKUP($A93,数出表_Excel!$A$6:$T$150,COLUMN()/2+1,FALSE)=0,"",VLOOKUP($A93,数出表_Excel!$A$6:$T$150,COLUMN()/2+1,FALSE))),"")</f>
        <v/>
      </c>
      <c r="AI93" s="83"/>
      <c r="AJ93" s="186" t="str">
        <f ca="1">IFERROR(VALUE(IF(VLOOKUP($A93,数出表_Excel!$A$6:$T$150,COLUMN()/2+1,FALSE)=0,"",VLOOKUP($A93,数出表_Excel!$A$6:$T$150,COLUMN()/2+1,FALSE))),"")</f>
        <v/>
      </c>
      <c r="AK93" s="83"/>
      <c r="AL93" s="70" t="e">
        <f ca="1">IF(A93&lt;&gt;"",
IF(VLOOKUP($A93,数出表_Excel!$A$6:$T$150,COLUMN()/2+1,FALSE)=0,"",VLOOKUP($A93,数出表_Excel!$A$6:$T$150,COLUMN()/2+1,FALSE)),"")</f>
        <v>#N/A</v>
      </c>
      <c r="AM93" s="98" t="e">
        <f>数出表_Excel!V93</f>
        <v>#N/A</v>
      </c>
      <c r="AN93" s="99" t="e">
        <f>数出表_Excel!W93</f>
        <v>#N/A</v>
      </c>
    </row>
    <row r="94" spans="1:40" ht="16.2" customHeight="1">
      <c r="A94" s="88" t="e">
        <f t="array" aca="1" ref="A94" ca="1">IF(OR(COUNTIF(A92,"*10002*"),COUNTIF(A92,"")),"",INDEX(貼り付け用!$A1:$A200,MATCH(A92,貼り付け用!$A1:$A200,0)+2,0))</f>
        <v>#N/A</v>
      </c>
      <c r="B94" s="185" t="str">
        <f ca="1">IFERROR(VALUE(IF(VLOOKUP($A94,数出表_Excel!$A$6:$T$150,COLUMN()/2+1,FALSE)=0,"",VLOOKUP($A94,数出表_Excel!$A$6:$T$150,COLUMN()/2+1,FALSE))),"")</f>
        <v/>
      </c>
      <c r="C94" s="66"/>
      <c r="D94" s="185" t="str">
        <f ca="1">IFERROR(VALUE(IF(VLOOKUP($A94,数出表_Excel!$A$6:$T$150,COLUMN()/2+1,FALSE)=0,"",VLOOKUP($A94,数出表_Excel!$A$6:$T$150,COLUMN()/2+1,FALSE))),"")</f>
        <v/>
      </c>
      <c r="E94" s="82"/>
      <c r="F94" s="196" t="str">
        <f ca="1">IFERROR(VALUE(IF(VLOOKUP($A94,数出表_Excel!$A$6:$T$150,COLUMN()/2+1,FALSE)=0,"",VLOOKUP($A94,数出表_Excel!$A$6:$T$150,COLUMN()/2+1,FALSE))),"")</f>
        <v/>
      </c>
      <c r="G94" s="66"/>
      <c r="H94" s="185" t="str">
        <f ca="1">IFERROR(VALUE(IF(VLOOKUP($A94,数出表_Excel!$A$6:$T$150,COLUMN()/2+1,FALSE)=0,"",VLOOKUP($A94,数出表_Excel!$A$6:$T$150,COLUMN()/2+1,FALSE))),"")</f>
        <v/>
      </c>
      <c r="I94" s="82"/>
      <c r="J94" s="196" t="str">
        <f ca="1">IFERROR(VALUE(IF(VLOOKUP($A94,数出表_Excel!$A$6:$T$150,COLUMN()/2+1,FALSE)=0,"",VLOOKUP($A94,数出表_Excel!$A$6:$T$150,COLUMN()/2+1,FALSE))),"")</f>
        <v/>
      </c>
      <c r="K94" s="66"/>
      <c r="L94" s="185" t="str">
        <f ca="1">IFERROR(VALUE(IF(VLOOKUP($A94,数出表_Excel!$A$6:$T$150,COLUMN()/2+1,FALSE)=0,"",VLOOKUP($A94,数出表_Excel!$A$6:$T$150,COLUMN()/2+1,FALSE))),"")</f>
        <v/>
      </c>
      <c r="M94" s="82"/>
      <c r="N94" s="196" t="str">
        <f ca="1">IFERROR(VALUE(IF(VLOOKUP($A94,数出表_Excel!$A$6:$T$150,COLUMN()/2+1,FALSE)=0,"",VLOOKUP($A94,数出表_Excel!$A$6:$T$150,COLUMN()/2+1,FALSE))),"")</f>
        <v/>
      </c>
      <c r="O94" s="66"/>
      <c r="P94" s="185" t="str">
        <f ca="1">IFERROR(VALUE(IF(VLOOKUP($A94,数出表_Excel!$A$6:$T$150,COLUMN()/2+1,FALSE)=0,"",VLOOKUP($A94,数出表_Excel!$A$6:$T$150,COLUMN()/2+1,FALSE))),"")</f>
        <v/>
      </c>
      <c r="Q94" s="82"/>
      <c r="R94" s="196" t="str">
        <f ca="1">IFERROR(VALUE(IF(VLOOKUP($A94,数出表_Excel!$A$6:$T$150,COLUMN()/2+1,FALSE)=0,"",VLOOKUP($A94,数出表_Excel!$A$6:$T$150,COLUMN()/2+1,FALSE))),"")</f>
        <v/>
      </c>
      <c r="S94" s="66"/>
      <c r="T94" s="185" t="str">
        <f ca="1">IFERROR(VALUE(IF(VLOOKUP($A94,数出表_Excel!$A$6:$T$150,COLUMN()/2+1,FALSE)=0,"",VLOOKUP($A94,数出表_Excel!$A$6:$T$150,COLUMN()/2+1,FALSE))),"")</f>
        <v/>
      </c>
      <c r="U94" s="82"/>
      <c r="V94" s="196" t="str">
        <f ca="1">IFERROR(VALUE(IF(VLOOKUP($A94,数出表_Excel!$A$6:$T$150,COLUMN()/2+1,FALSE)=0,"",VLOOKUP($A94,数出表_Excel!$A$6:$T$150,COLUMN()/2+1,FALSE))),"")</f>
        <v/>
      </c>
      <c r="W94" s="66"/>
      <c r="X94" s="185" t="str">
        <f ca="1">IFERROR(VALUE(IF(VLOOKUP($A94,数出表_Excel!$A$6:$T$150,COLUMN()/2+1,FALSE)=0,"",VLOOKUP($A94,数出表_Excel!$A$6:$T$150,COLUMN()/2+1,FALSE))),"")</f>
        <v/>
      </c>
      <c r="Y94" s="82"/>
      <c r="Z94" s="196" t="str">
        <f ca="1">IFERROR(VALUE(IF(VLOOKUP($A94,数出表_Excel!$A$6:$T$150,COLUMN()/2+1,FALSE)=0,"",VLOOKUP($A94,数出表_Excel!$A$6:$T$150,COLUMN()/2+1,FALSE))),"")</f>
        <v/>
      </c>
      <c r="AA94" s="82"/>
      <c r="AB94" s="185" t="str">
        <f ca="1">IFERROR(VALUE(IF(VLOOKUP($A94,数出表_Excel!$A$6:$T$150,COLUMN()/2+1,FALSE)=0,"",VLOOKUP($A94,数出表_Excel!$A$6:$T$150,COLUMN()/2+1,FALSE))),"")</f>
        <v/>
      </c>
      <c r="AC94" s="82"/>
      <c r="AD94" s="185" t="str">
        <f ca="1">IFERROR(VALUE(IF(VLOOKUP($A94,数出表_Excel!$A$6:$T$150,COLUMN()/2+1,FALSE)=0,"",VLOOKUP($A94,数出表_Excel!$A$6:$T$150,COLUMN()/2+1,FALSE))),"")</f>
        <v/>
      </c>
      <c r="AE94" s="82"/>
      <c r="AF94" s="185" t="str">
        <f ca="1">IFERROR(VALUE(IF(VLOOKUP($A94,数出表_Excel!$A$6:$T$150,COLUMN()/2+1,FALSE)=0,"",VLOOKUP($A94,数出表_Excel!$A$6:$T$150,COLUMN()/2+1,FALSE))),"")</f>
        <v/>
      </c>
      <c r="AG94" s="82"/>
      <c r="AH94" s="185" t="str">
        <f ca="1">IFERROR(VALUE(IF(VLOOKUP($A94,数出表_Excel!$A$6:$T$150,COLUMN()/2+1,FALSE)=0,"",VLOOKUP($A94,数出表_Excel!$A$6:$T$150,COLUMN()/2+1,FALSE))),"")</f>
        <v/>
      </c>
      <c r="AI94" s="82"/>
      <c r="AJ94" s="185" t="str">
        <f ca="1">IFERROR(VALUE(IF(VLOOKUP($A94,数出表_Excel!$A$6:$T$150,COLUMN()/2+1,FALSE)=0,"",VLOOKUP($A94,数出表_Excel!$A$6:$T$150,COLUMN()/2+1,FALSE))),"")</f>
        <v/>
      </c>
      <c r="AK94" s="82"/>
      <c r="AL94" s="68" t="e">
        <f ca="1">IF(A94&lt;&gt;"",
IF(VLOOKUP($A94,数出表_Excel!$A$6:$T$150,COLUMN()/2+1,FALSE)=0,"",VLOOKUP($A94,数出表_Excel!$A$6:$T$150,COLUMN()/2+1,FALSE)),"")</f>
        <v>#N/A</v>
      </c>
      <c r="AM94" s="96" t="e">
        <f>数出表_Excel!V94</f>
        <v>#N/A</v>
      </c>
      <c r="AN94" s="97" t="e">
        <f>数出表_Excel!W94</f>
        <v>#N/A</v>
      </c>
    </row>
    <row r="95" spans="1:40" ht="16.2" customHeight="1">
      <c r="A95" s="89" t="e">
        <f t="array" aca="1" ref="A95" ca="1">IF(OR(COUNTIF(A93,"*1000*"),COUNTIF(A93,"")),"",INDEX(貼り付け用!$A1:$A200,MATCH(A93,貼り付け用!$A1:$A200,0)+2,0))</f>
        <v>#N/A</v>
      </c>
      <c r="B95" s="186" t="str">
        <f ca="1">IFERROR(VALUE(IF(VLOOKUP($A95,数出表_Excel!$A$6:$T$150,COLUMN()/2+1,FALSE)=0,"",VLOOKUP($A95,数出表_Excel!$A$6:$T$150,COLUMN()/2+1,FALSE))),"")</f>
        <v/>
      </c>
      <c r="C95" s="67"/>
      <c r="D95" s="186" t="str">
        <f ca="1">IFERROR(VALUE(IF(VLOOKUP($A95,数出表_Excel!$A$6:$T$150,COLUMN()/2+1,FALSE)=0,"",VLOOKUP($A95,数出表_Excel!$A$6:$T$150,COLUMN()/2+1,FALSE))),"")</f>
        <v/>
      </c>
      <c r="E95" s="83"/>
      <c r="F95" s="197" t="str">
        <f ca="1">IFERROR(VALUE(IF(VLOOKUP($A95,数出表_Excel!$A$6:$T$150,COLUMN()/2+1,FALSE)=0,"",VLOOKUP($A95,数出表_Excel!$A$6:$T$150,COLUMN()/2+1,FALSE))),"")</f>
        <v/>
      </c>
      <c r="G95" s="67"/>
      <c r="H95" s="186" t="str">
        <f ca="1">IFERROR(VALUE(IF(VLOOKUP($A95,数出表_Excel!$A$6:$T$150,COLUMN()/2+1,FALSE)=0,"",VLOOKUP($A95,数出表_Excel!$A$6:$T$150,COLUMN()/2+1,FALSE))),"")</f>
        <v/>
      </c>
      <c r="I95" s="83"/>
      <c r="J95" s="197" t="str">
        <f ca="1">IFERROR(VALUE(IF(VLOOKUP($A95,数出表_Excel!$A$6:$T$150,COLUMN()/2+1,FALSE)=0,"",VLOOKUP($A95,数出表_Excel!$A$6:$T$150,COLUMN()/2+1,FALSE))),"")</f>
        <v/>
      </c>
      <c r="K95" s="67"/>
      <c r="L95" s="186" t="str">
        <f ca="1">IFERROR(VALUE(IF(VLOOKUP($A95,数出表_Excel!$A$6:$T$150,COLUMN()/2+1,FALSE)=0,"",VLOOKUP($A95,数出表_Excel!$A$6:$T$150,COLUMN()/2+1,FALSE))),"")</f>
        <v/>
      </c>
      <c r="M95" s="83"/>
      <c r="N95" s="197" t="str">
        <f ca="1">IFERROR(VALUE(IF(VLOOKUP($A95,数出表_Excel!$A$6:$T$150,COLUMN()/2+1,FALSE)=0,"",VLOOKUP($A95,数出表_Excel!$A$6:$T$150,COLUMN()/2+1,FALSE))),"")</f>
        <v/>
      </c>
      <c r="O95" s="67"/>
      <c r="P95" s="186" t="str">
        <f ca="1">IFERROR(VALUE(IF(VLOOKUP($A95,数出表_Excel!$A$6:$T$150,COLUMN()/2+1,FALSE)=0,"",VLOOKUP($A95,数出表_Excel!$A$6:$T$150,COLUMN()/2+1,FALSE))),"")</f>
        <v/>
      </c>
      <c r="Q95" s="83"/>
      <c r="R95" s="197" t="str">
        <f ca="1">IFERROR(VALUE(IF(VLOOKUP($A95,数出表_Excel!$A$6:$T$150,COLUMN()/2+1,FALSE)=0,"",VLOOKUP($A95,数出表_Excel!$A$6:$T$150,COLUMN()/2+1,FALSE))),"")</f>
        <v/>
      </c>
      <c r="S95" s="67"/>
      <c r="T95" s="186" t="str">
        <f ca="1">IFERROR(VALUE(IF(VLOOKUP($A95,数出表_Excel!$A$6:$T$150,COLUMN()/2+1,FALSE)=0,"",VLOOKUP($A95,数出表_Excel!$A$6:$T$150,COLUMN()/2+1,FALSE))),"")</f>
        <v/>
      </c>
      <c r="U95" s="83"/>
      <c r="V95" s="197" t="str">
        <f ca="1">IFERROR(VALUE(IF(VLOOKUP($A95,数出表_Excel!$A$6:$T$150,COLUMN()/2+1,FALSE)=0,"",VLOOKUP($A95,数出表_Excel!$A$6:$T$150,COLUMN()/2+1,FALSE))),"")</f>
        <v/>
      </c>
      <c r="W95" s="67"/>
      <c r="X95" s="186" t="str">
        <f ca="1">IFERROR(VALUE(IF(VLOOKUP($A95,数出表_Excel!$A$6:$T$150,COLUMN()/2+1,FALSE)=0,"",VLOOKUP($A95,数出表_Excel!$A$6:$T$150,COLUMN()/2+1,FALSE))),"")</f>
        <v/>
      </c>
      <c r="Y95" s="83"/>
      <c r="Z95" s="197" t="str">
        <f ca="1">IFERROR(VALUE(IF(VLOOKUP($A95,数出表_Excel!$A$6:$T$150,COLUMN()/2+1,FALSE)=0,"",VLOOKUP($A95,数出表_Excel!$A$6:$T$150,COLUMN()/2+1,FALSE))),"")</f>
        <v/>
      </c>
      <c r="AA95" s="83"/>
      <c r="AB95" s="186" t="str">
        <f ca="1">IFERROR(VALUE(IF(VLOOKUP($A95,数出表_Excel!$A$6:$T$150,COLUMN()/2+1,FALSE)=0,"",VLOOKUP($A95,数出表_Excel!$A$6:$T$150,COLUMN()/2+1,FALSE))),"")</f>
        <v/>
      </c>
      <c r="AC95" s="83"/>
      <c r="AD95" s="186" t="str">
        <f ca="1">IFERROR(VALUE(IF(VLOOKUP($A95,数出表_Excel!$A$6:$T$150,COLUMN()/2+1,FALSE)=0,"",VLOOKUP($A95,数出表_Excel!$A$6:$T$150,COLUMN()/2+1,FALSE))),"")</f>
        <v/>
      </c>
      <c r="AE95" s="83"/>
      <c r="AF95" s="186" t="str">
        <f ca="1">IFERROR(VALUE(IF(VLOOKUP($A95,数出表_Excel!$A$6:$T$150,COLUMN()/2+1,FALSE)=0,"",VLOOKUP($A95,数出表_Excel!$A$6:$T$150,COLUMN()/2+1,FALSE))),"")</f>
        <v/>
      </c>
      <c r="AG95" s="83"/>
      <c r="AH95" s="186" t="str">
        <f ca="1">IFERROR(VALUE(IF(VLOOKUP($A95,数出表_Excel!$A$6:$T$150,COLUMN()/2+1,FALSE)=0,"",VLOOKUP($A95,数出表_Excel!$A$6:$T$150,COLUMN()/2+1,FALSE))),"")</f>
        <v/>
      </c>
      <c r="AI95" s="83"/>
      <c r="AJ95" s="186" t="str">
        <f ca="1">IFERROR(VALUE(IF(VLOOKUP($A95,数出表_Excel!$A$6:$T$150,COLUMN()/2+1,FALSE)=0,"",VLOOKUP($A95,数出表_Excel!$A$6:$T$150,COLUMN()/2+1,FALSE))),"")</f>
        <v/>
      </c>
      <c r="AK95" s="83"/>
      <c r="AL95" s="70" t="e">
        <f ca="1">IF(A95&lt;&gt;"",
IF(VLOOKUP($A95,数出表_Excel!$A$6:$T$150,COLUMN()/2+1,FALSE)=0,"",VLOOKUP($A95,数出表_Excel!$A$6:$T$150,COLUMN()/2+1,FALSE)),"")</f>
        <v>#N/A</v>
      </c>
      <c r="AM95" s="98" t="e">
        <f>数出表_Excel!V95</f>
        <v>#N/A</v>
      </c>
      <c r="AN95" s="99" t="e">
        <f>数出表_Excel!W95</f>
        <v>#N/A</v>
      </c>
    </row>
    <row r="96" spans="1:40" ht="16.2" customHeight="1">
      <c r="A96" s="88" t="e">
        <f t="array" aca="1" ref="A96" ca="1">IF(OR(COUNTIF(A94,"*10002*"),COUNTIF(A94,"")),"",INDEX(貼り付け用!$A1:$A200,MATCH(A94,貼り付け用!$A1:$A200,0)+2,0))</f>
        <v>#N/A</v>
      </c>
      <c r="B96" s="185" t="str">
        <f ca="1">IFERROR(VALUE(IF(VLOOKUP($A96,数出表_Excel!$A$6:$T$150,COLUMN()/2+1,FALSE)=0,"",VLOOKUP($A96,数出表_Excel!$A$6:$T$150,COLUMN()/2+1,FALSE))),"")</f>
        <v/>
      </c>
      <c r="C96" s="66"/>
      <c r="D96" s="185" t="str">
        <f ca="1">IFERROR(VALUE(IF(VLOOKUP($A96,数出表_Excel!$A$6:$T$150,COLUMN()/2+1,FALSE)=0,"",VLOOKUP($A96,数出表_Excel!$A$6:$T$150,COLUMN()/2+1,FALSE))),"")</f>
        <v/>
      </c>
      <c r="E96" s="82"/>
      <c r="F96" s="196" t="str">
        <f ca="1">IFERROR(VALUE(IF(VLOOKUP($A96,数出表_Excel!$A$6:$T$150,COLUMN()/2+1,FALSE)=0,"",VLOOKUP($A96,数出表_Excel!$A$6:$T$150,COLUMN()/2+1,FALSE))),"")</f>
        <v/>
      </c>
      <c r="G96" s="66"/>
      <c r="H96" s="185" t="str">
        <f ca="1">IFERROR(VALUE(IF(VLOOKUP($A96,数出表_Excel!$A$6:$T$150,COLUMN()/2+1,FALSE)=0,"",VLOOKUP($A96,数出表_Excel!$A$6:$T$150,COLUMN()/2+1,FALSE))),"")</f>
        <v/>
      </c>
      <c r="I96" s="82"/>
      <c r="J96" s="196" t="str">
        <f ca="1">IFERROR(VALUE(IF(VLOOKUP($A96,数出表_Excel!$A$6:$T$150,COLUMN()/2+1,FALSE)=0,"",VLOOKUP($A96,数出表_Excel!$A$6:$T$150,COLUMN()/2+1,FALSE))),"")</f>
        <v/>
      </c>
      <c r="K96" s="66"/>
      <c r="L96" s="185" t="str">
        <f ca="1">IFERROR(VALUE(IF(VLOOKUP($A96,数出表_Excel!$A$6:$T$150,COLUMN()/2+1,FALSE)=0,"",VLOOKUP($A96,数出表_Excel!$A$6:$T$150,COLUMN()/2+1,FALSE))),"")</f>
        <v/>
      </c>
      <c r="M96" s="82"/>
      <c r="N96" s="196" t="str">
        <f ca="1">IFERROR(VALUE(IF(VLOOKUP($A96,数出表_Excel!$A$6:$T$150,COLUMN()/2+1,FALSE)=0,"",VLOOKUP($A96,数出表_Excel!$A$6:$T$150,COLUMN()/2+1,FALSE))),"")</f>
        <v/>
      </c>
      <c r="O96" s="66"/>
      <c r="P96" s="185" t="str">
        <f ca="1">IFERROR(VALUE(IF(VLOOKUP($A96,数出表_Excel!$A$6:$T$150,COLUMN()/2+1,FALSE)=0,"",VLOOKUP($A96,数出表_Excel!$A$6:$T$150,COLUMN()/2+1,FALSE))),"")</f>
        <v/>
      </c>
      <c r="Q96" s="82"/>
      <c r="R96" s="196" t="str">
        <f ca="1">IFERROR(VALUE(IF(VLOOKUP($A96,数出表_Excel!$A$6:$T$150,COLUMN()/2+1,FALSE)=0,"",VLOOKUP($A96,数出表_Excel!$A$6:$T$150,COLUMN()/2+1,FALSE))),"")</f>
        <v/>
      </c>
      <c r="S96" s="66"/>
      <c r="T96" s="185" t="str">
        <f ca="1">IFERROR(VALUE(IF(VLOOKUP($A96,数出表_Excel!$A$6:$T$150,COLUMN()/2+1,FALSE)=0,"",VLOOKUP($A96,数出表_Excel!$A$6:$T$150,COLUMN()/2+1,FALSE))),"")</f>
        <v/>
      </c>
      <c r="U96" s="82"/>
      <c r="V96" s="196" t="str">
        <f ca="1">IFERROR(VALUE(IF(VLOOKUP($A96,数出表_Excel!$A$6:$T$150,COLUMN()/2+1,FALSE)=0,"",VLOOKUP($A96,数出表_Excel!$A$6:$T$150,COLUMN()/2+1,FALSE))),"")</f>
        <v/>
      </c>
      <c r="W96" s="66"/>
      <c r="X96" s="185" t="str">
        <f ca="1">IFERROR(VALUE(IF(VLOOKUP($A96,数出表_Excel!$A$6:$T$150,COLUMN()/2+1,FALSE)=0,"",VLOOKUP($A96,数出表_Excel!$A$6:$T$150,COLUMN()/2+1,FALSE))),"")</f>
        <v/>
      </c>
      <c r="Y96" s="82"/>
      <c r="Z96" s="196" t="str">
        <f ca="1">IFERROR(VALUE(IF(VLOOKUP($A96,数出表_Excel!$A$6:$T$150,COLUMN()/2+1,FALSE)=0,"",VLOOKUP($A96,数出表_Excel!$A$6:$T$150,COLUMN()/2+1,FALSE))),"")</f>
        <v/>
      </c>
      <c r="AA96" s="82"/>
      <c r="AB96" s="185" t="str">
        <f ca="1">IFERROR(VALUE(IF(VLOOKUP($A96,数出表_Excel!$A$6:$T$150,COLUMN()/2+1,FALSE)=0,"",VLOOKUP($A96,数出表_Excel!$A$6:$T$150,COLUMN()/2+1,FALSE))),"")</f>
        <v/>
      </c>
      <c r="AC96" s="82"/>
      <c r="AD96" s="185" t="str">
        <f ca="1">IFERROR(VALUE(IF(VLOOKUP($A96,数出表_Excel!$A$6:$T$150,COLUMN()/2+1,FALSE)=0,"",VLOOKUP($A96,数出表_Excel!$A$6:$T$150,COLUMN()/2+1,FALSE))),"")</f>
        <v/>
      </c>
      <c r="AE96" s="82"/>
      <c r="AF96" s="185" t="str">
        <f ca="1">IFERROR(VALUE(IF(VLOOKUP($A96,数出表_Excel!$A$6:$T$150,COLUMN()/2+1,FALSE)=0,"",VLOOKUP($A96,数出表_Excel!$A$6:$T$150,COLUMN()/2+1,FALSE))),"")</f>
        <v/>
      </c>
      <c r="AG96" s="82"/>
      <c r="AH96" s="185" t="str">
        <f ca="1">IFERROR(VALUE(IF(VLOOKUP($A96,数出表_Excel!$A$6:$T$150,COLUMN()/2+1,FALSE)=0,"",VLOOKUP($A96,数出表_Excel!$A$6:$T$150,COLUMN()/2+1,FALSE))),"")</f>
        <v/>
      </c>
      <c r="AI96" s="82"/>
      <c r="AJ96" s="185" t="str">
        <f ca="1">IFERROR(VALUE(IF(VLOOKUP($A96,数出表_Excel!$A$6:$T$150,COLUMN()/2+1,FALSE)=0,"",VLOOKUP($A96,数出表_Excel!$A$6:$T$150,COLUMN()/2+1,FALSE))),"")</f>
        <v/>
      </c>
      <c r="AK96" s="82"/>
      <c r="AL96" s="68" t="e">
        <f ca="1">IF(A96&lt;&gt;"",
IF(VLOOKUP($A96,数出表_Excel!$A$6:$T$150,COLUMN()/2+1,FALSE)=0,"",VLOOKUP($A96,数出表_Excel!$A$6:$T$150,COLUMN()/2+1,FALSE)),"")</f>
        <v>#N/A</v>
      </c>
      <c r="AM96" s="96" t="e">
        <f>数出表_Excel!V96</f>
        <v>#N/A</v>
      </c>
      <c r="AN96" s="97" t="e">
        <f>数出表_Excel!W96</f>
        <v>#N/A</v>
      </c>
    </row>
    <row r="97" spans="1:40" ht="16.2" customHeight="1">
      <c r="A97" s="89" t="e">
        <f t="array" aca="1" ref="A97" ca="1">IF(OR(COUNTIF(A95,"*1000*"),COUNTIF(A95,"")),"",INDEX(貼り付け用!$A1:$A200,MATCH(A95,貼り付け用!$A1:$A200,0)+2,0))</f>
        <v>#N/A</v>
      </c>
      <c r="B97" s="186" t="str">
        <f ca="1">IFERROR(VALUE(IF(VLOOKUP($A97,数出表_Excel!$A$6:$T$150,COLUMN()/2+1,FALSE)=0,"",VLOOKUP($A97,数出表_Excel!$A$6:$T$150,COLUMN()/2+1,FALSE))),"")</f>
        <v/>
      </c>
      <c r="C97" s="67"/>
      <c r="D97" s="186" t="str">
        <f ca="1">IFERROR(VALUE(IF(VLOOKUP($A97,数出表_Excel!$A$6:$T$150,COLUMN()/2+1,FALSE)=0,"",VLOOKUP($A97,数出表_Excel!$A$6:$T$150,COLUMN()/2+1,FALSE))),"")</f>
        <v/>
      </c>
      <c r="E97" s="83"/>
      <c r="F97" s="197" t="str">
        <f ca="1">IFERROR(VALUE(IF(VLOOKUP($A97,数出表_Excel!$A$6:$T$150,COLUMN()/2+1,FALSE)=0,"",VLOOKUP($A97,数出表_Excel!$A$6:$T$150,COLUMN()/2+1,FALSE))),"")</f>
        <v/>
      </c>
      <c r="G97" s="67"/>
      <c r="H97" s="186" t="str">
        <f ca="1">IFERROR(VALUE(IF(VLOOKUP($A97,数出表_Excel!$A$6:$T$150,COLUMN()/2+1,FALSE)=0,"",VLOOKUP($A97,数出表_Excel!$A$6:$T$150,COLUMN()/2+1,FALSE))),"")</f>
        <v/>
      </c>
      <c r="I97" s="83"/>
      <c r="J97" s="197" t="str">
        <f ca="1">IFERROR(VALUE(IF(VLOOKUP($A97,数出表_Excel!$A$6:$T$150,COLUMN()/2+1,FALSE)=0,"",VLOOKUP($A97,数出表_Excel!$A$6:$T$150,COLUMN()/2+1,FALSE))),"")</f>
        <v/>
      </c>
      <c r="K97" s="67"/>
      <c r="L97" s="186" t="str">
        <f ca="1">IFERROR(VALUE(IF(VLOOKUP($A97,数出表_Excel!$A$6:$T$150,COLUMN()/2+1,FALSE)=0,"",VLOOKUP($A97,数出表_Excel!$A$6:$T$150,COLUMN()/2+1,FALSE))),"")</f>
        <v/>
      </c>
      <c r="M97" s="83"/>
      <c r="N97" s="197" t="str">
        <f ca="1">IFERROR(VALUE(IF(VLOOKUP($A97,数出表_Excel!$A$6:$T$150,COLUMN()/2+1,FALSE)=0,"",VLOOKUP($A97,数出表_Excel!$A$6:$T$150,COLUMN()/2+1,FALSE))),"")</f>
        <v/>
      </c>
      <c r="O97" s="67"/>
      <c r="P97" s="186" t="str">
        <f ca="1">IFERROR(VALUE(IF(VLOOKUP($A97,数出表_Excel!$A$6:$T$150,COLUMN()/2+1,FALSE)=0,"",VLOOKUP($A97,数出表_Excel!$A$6:$T$150,COLUMN()/2+1,FALSE))),"")</f>
        <v/>
      </c>
      <c r="Q97" s="83"/>
      <c r="R97" s="197" t="str">
        <f ca="1">IFERROR(VALUE(IF(VLOOKUP($A97,数出表_Excel!$A$6:$T$150,COLUMN()/2+1,FALSE)=0,"",VLOOKUP($A97,数出表_Excel!$A$6:$T$150,COLUMN()/2+1,FALSE))),"")</f>
        <v/>
      </c>
      <c r="S97" s="67"/>
      <c r="T97" s="186" t="str">
        <f ca="1">IFERROR(VALUE(IF(VLOOKUP($A97,数出表_Excel!$A$6:$T$150,COLUMN()/2+1,FALSE)=0,"",VLOOKUP($A97,数出表_Excel!$A$6:$T$150,COLUMN()/2+1,FALSE))),"")</f>
        <v/>
      </c>
      <c r="U97" s="83"/>
      <c r="V97" s="197" t="str">
        <f ca="1">IFERROR(VALUE(IF(VLOOKUP($A97,数出表_Excel!$A$6:$T$150,COLUMN()/2+1,FALSE)=0,"",VLOOKUP($A97,数出表_Excel!$A$6:$T$150,COLUMN()/2+1,FALSE))),"")</f>
        <v/>
      </c>
      <c r="W97" s="67"/>
      <c r="X97" s="186" t="str">
        <f ca="1">IFERROR(VALUE(IF(VLOOKUP($A97,数出表_Excel!$A$6:$T$150,COLUMN()/2+1,FALSE)=0,"",VLOOKUP($A97,数出表_Excel!$A$6:$T$150,COLUMN()/2+1,FALSE))),"")</f>
        <v/>
      </c>
      <c r="Y97" s="83"/>
      <c r="Z97" s="197" t="str">
        <f ca="1">IFERROR(VALUE(IF(VLOOKUP($A97,数出表_Excel!$A$6:$T$150,COLUMN()/2+1,FALSE)=0,"",VLOOKUP($A97,数出表_Excel!$A$6:$T$150,COLUMN()/2+1,FALSE))),"")</f>
        <v/>
      </c>
      <c r="AA97" s="83"/>
      <c r="AB97" s="186" t="str">
        <f ca="1">IFERROR(VALUE(IF(VLOOKUP($A97,数出表_Excel!$A$6:$T$150,COLUMN()/2+1,FALSE)=0,"",VLOOKUP($A97,数出表_Excel!$A$6:$T$150,COLUMN()/2+1,FALSE))),"")</f>
        <v/>
      </c>
      <c r="AC97" s="83"/>
      <c r="AD97" s="186" t="str">
        <f ca="1">IFERROR(VALUE(IF(VLOOKUP($A97,数出表_Excel!$A$6:$T$150,COLUMN()/2+1,FALSE)=0,"",VLOOKUP($A97,数出表_Excel!$A$6:$T$150,COLUMN()/2+1,FALSE))),"")</f>
        <v/>
      </c>
      <c r="AE97" s="83"/>
      <c r="AF97" s="186" t="str">
        <f ca="1">IFERROR(VALUE(IF(VLOOKUP($A97,数出表_Excel!$A$6:$T$150,COLUMN()/2+1,FALSE)=0,"",VLOOKUP($A97,数出表_Excel!$A$6:$T$150,COLUMN()/2+1,FALSE))),"")</f>
        <v/>
      </c>
      <c r="AG97" s="83"/>
      <c r="AH97" s="186" t="str">
        <f ca="1">IFERROR(VALUE(IF(VLOOKUP($A97,数出表_Excel!$A$6:$T$150,COLUMN()/2+1,FALSE)=0,"",VLOOKUP($A97,数出表_Excel!$A$6:$T$150,COLUMN()/2+1,FALSE))),"")</f>
        <v/>
      </c>
      <c r="AI97" s="83"/>
      <c r="AJ97" s="186" t="str">
        <f ca="1">IFERROR(VALUE(IF(VLOOKUP($A97,数出表_Excel!$A$6:$T$150,COLUMN()/2+1,FALSE)=0,"",VLOOKUP($A97,数出表_Excel!$A$6:$T$150,COLUMN()/2+1,FALSE))),"")</f>
        <v/>
      </c>
      <c r="AK97" s="83"/>
      <c r="AL97" s="70" t="e">
        <f ca="1">IF(A97&lt;&gt;"",
IF(VLOOKUP($A97,数出表_Excel!$A$6:$T$150,COLUMN()/2+1,FALSE)=0,"",VLOOKUP($A97,数出表_Excel!$A$6:$T$150,COLUMN()/2+1,FALSE)),"")</f>
        <v>#N/A</v>
      </c>
      <c r="AM97" s="98" t="e">
        <f>数出表_Excel!V97</f>
        <v>#N/A</v>
      </c>
      <c r="AN97" s="99" t="e">
        <f>数出表_Excel!W97</f>
        <v>#N/A</v>
      </c>
    </row>
    <row r="98" spans="1:40" ht="16.2" customHeight="1">
      <c r="A98" s="88" t="e">
        <f t="array" aca="1" ref="A98" ca="1">IF(OR(COUNTIF(A96,"*10002*"),COUNTIF(A96,"")),"",INDEX(貼り付け用!$A1:$A200,MATCH(A96,貼り付け用!$A1:$A200,0)+2,0))</f>
        <v>#N/A</v>
      </c>
      <c r="B98" s="185" t="str">
        <f ca="1">IFERROR(VALUE(IF(VLOOKUP($A98,数出表_Excel!$A$6:$T$150,COLUMN()/2+1,FALSE)=0,"",VLOOKUP($A98,数出表_Excel!$A$6:$T$150,COLUMN()/2+1,FALSE))),"")</f>
        <v/>
      </c>
      <c r="C98" s="66"/>
      <c r="D98" s="185" t="str">
        <f ca="1">IFERROR(VALUE(IF(VLOOKUP($A98,数出表_Excel!$A$6:$T$150,COLUMN()/2+1,FALSE)=0,"",VLOOKUP($A98,数出表_Excel!$A$6:$T$150,COLUMN()/2+1,FALSE))),"")</f>
        <v/>
      </c>
      <c r="E98" s="82"/>
      <c r="F98" s="196" t="str">
        <f ca="1">IFERROR(VALUE(IF(VLOOKUP($A98,数出表_Excel!$A$6:$T$150,COLUMN()/2+1,FALSE)=0,"",VLOOKUP($A98,数出表_Excel!$A$6:$T$150,COLUMN()/2+1,FALSE))),"")</f>
        <v/>
      </c>
      <c r="G98" s="66"/>
      <c r="H98" s="185" t="str">
        <f ca="1">IFERROR(VALUE(IF(VLOOKUP($A98,数出表_Excel!$A$6:$T$150,COLUMN()/2+1,FALSE)=0,"",VLOOKUP($A98,数出表_Excel!$A$6:$T$150,COLUMN()/2+1,FALSE))),"")</f>
        <v/>
      </c>
      <c r="I98" s="82"/>
      <c r="J98" s="196" t="str">
        <f ca="1">IFERROR(VALUE(IF(VLOOKUP($A98,数出表_Excel!$A$6:$T$150,COLUMN()/2+1,FALSE)=0,"",VLOOKUP($A98,数出表_Excel!$A$6:$T$150,COLUMN()/2+1,FALSE))),"")</f>
        <v/>
      </c>
      <c r="K98" s="66"/>
      <c r="L98" s="185" t="str">
        <f ca="1">IFERROR(VALUE(IF(VLOOKUP($A98,数出表_Excel!$A$6:$T$150,COLUMN()/2+1,FALSE)=0,"",VLOOKUP($A98,数出表_Excel!$A$6:$T$150,COLUMN()/2+1,FALSE))),"")</f>
        <v/>
      </c>
      <c r="M98" s="82"/>
      <c r="N98" s="196" t="str">
        <f ca="1">IFERROR(VALUE(IF(VLOOKUP($A98,数出表_Excel!$A$6:$T$150,COLUMN()/2+1,FALSE)=0,"",VLOOKUP($A98,数出表_Excel!$A$6:$T$150,COLUMN()/2+1,FALSE))),"")</f>
        <v/>
      </c>
      <c r="O98" s="66"/>
      <c r="P98" s="185" t="str">
        <f ca="1">IFERROR(VALUE(IF(VLOOKUP($A98,数出表_Excel!$A$6:$T$150,COLUMN()/2+1,FALSE)=0,"",VLOOKUP($A98,数出表_Excel!$A$6:$T$150,COLUMN()/2+1,FALSE))),"")</f>
        <v/>
      </c>
      <c r="Q98" s="82"/>
      <c r="R98" s="196" t="str">
        <f ca="1">IFERROR(VALUE(IF(VLOOKUP($A98,数出表_Excel!$A$6:$T$150,COLUMN()/2+1,FALSE)=0,"",VLOOKUP($A98,数出表_Excel!$A$6:$T$150,COLUMN()/2+1,FALSE))),"")</f>
        <v/>
      </c>
      <c r="S98" s="66"/>
      <c r="T98" s="185" t="str">
        <f ca="1">IFERROR(VALUE(IF(VLOOKUP($A98,数出表_Excel!$A$6:$T$150,COLUMN()/2+1,FALSE)=0,"",VLOOKUP($A98,数出表_Excel!$A$6:$T$150,COLUMN()/2+1,FALSE))),"")</f>
        <v/>
      </c>
      <c r="U98" s="82"/>
      <c r="V98" s="196" t="str">
        <f ca="1">IFERROR(VALUE(IF(VLOOKUP($A98,数出表_Excel!$A$6:$T$150,COLUMN()/2+1,FALSE)=0,"",VLOOKUP($A98,数出表_Excel!$A$6:$T$150,COLUMN()/2+1,FALSE))),"")</f>
        <v/>
      </c>
      <c r="W98" s="66"/>
      <c r="X98" s="185" t="str">
        <f ca="1">IFERROR(VALUE(IF(VLOOKUP($A98,数出表_Excel!$A$6:$T$150,COLUMN()/2+1,FALSE)=0,"",VLOOKUP($A98,数出表_Excel!$A$6:$T$150,COLUMN()/2+1,FALSE))),"")</f>
        <v/>
      </c>
      <c r="Y98" s="82"/>
      <c r="Z98" s="196" t="str">
        <f ca="1">IFERROR(VALUE(IF(VLOOKUP($A98,数出表_Excel!$A$6:$T$150,COLUMN()/2+1,FALSE)=0,"",VLOOKUP($A98,数出表_Excel!$A$6:$T$150,COLUMN()/2+1,FALSE))),"")</f>
        <v/>
      </c>
      <c r="AA98" s="82"/>
      <c r="AB98" s="185" t="str">
        <f ca="1">IFERROR(VALUE(IF(VLOOKUP($A98,数出表_Excel!$A$6:$T$150,COLUMN()/2+1,FALSE)=0,"",VLOOKUP($A98,数出表_Excel!$A$6:$T$150,COLUMN()/2+1,FALSE))),"")</f>
        <v/>
      </c>
      <c r="AC98" s="82"/>
      <c r="AD98" s="185" t="str">
        <f ca="1">IFERROR(VALUE(IF(VLOOKUP($A98,数出表_Excel!$A$6:$T$150,COLUMN()/2+1,FALSE)=0,"",VLOOKUP($A98,数出表_Excel!$A$6:$T$150,COLUMN()/2+1,FALSE))),"")</f>
        <v/>
      </c>
      <c r="AE98" s="82"/>
      <c r="AF98" s="185" t="str">
        <f ca="1">IFERROR(VALUE(IF(VLOOKUP($A98,数出表_Excel!$A$6:$T$150,COLUMN()/2+1,FALSE)=0,"",VLOOKUP($A98,数出表_Excel!$A$6:$T$150,COLUMN()/2+1,FALSE))),"")</f>
        <v/>
      </c>
      <c r="AG98" s="82"/>
      <c r="AH98" s="185" t="str">
        <f ca="1">IFERROR(VALUE(IF(VLOOKUP($A98,数出表_Excel!$A$6:$T$150,COLUMN()/2+1,FALSE)=0,"",VLOOKUP($A98,数出表_Excel!$A$6:$T$150,COLUMN()/2+1,FALSE))),"")</f>
        <v/>
      </c>
      <c r="AI98" s="82"/>
      <c r="AJ98" s="185" t="str">
        <f ca="1">IFERROR(VALUE(IF(VLOOKUP($A98,数出表_Excel!$A$6:$T$150,COLUMN()/2+1,FALSE)=0,"",VLOOKUP($A98,数出表_Excel!$A$6:$T$150,COLUMN()/2+1,FALSE))),"")</f>
        <v/>
      </c>
      <c r="AK98" s="82"/>
      <c r="AL98" s="68" t="e">
        <f ca="1">IF(A98&lt;&gt;"",
IF(VLOOKUP($A98,数出表_Excel!$A$6:$T$150,COLUMN()/2+1,FALSE)=0,"",VLOOKUP($A98,数出表_Excel!$A$6:$T$150,COLUMN()/2+1,FALSE)),"")</f>
        <v>#N/A</v>
      </c>
      <c r="AM98" s="96" t="e">
        <f>数出表_Excel!V98</f>
        <v>#N/A</v>
      </c>
      <c r="AN98" s="97" t="e">
        <f>数出表_Excel!W98</f>
        <v>#N/A</v>
      </c>
    </row>
    <row r="99" spans="1:40" ht="16.2" customHeight="1">
      <c r="A99" s="89" t="e">
        <f t="array" aca="1" ref="A99" ca="1">IF(OR(COUNTIF(A97,"*1000*"),COUNTIF(A97,"")),"",INDEX(貼り付け用!$A1:$A200,MATCH(A97,貼り付け用!$A1:$A200,0)+2,0))</f>
        <v>#N/A</v>
      </c>
      <c r="B99" s="186" t="str">
        <f ca="1">IFERROR(VALUE(IF(VLOOKUP($A99,数出表_Excel!$A$6:$T$150,COLUMN()/2+1,FALSE)=0,"",VLOOKUP($A99,数出表_Excel!$A$6:$T$150,COLUMN()/2+1,FALSE))),"")</f>
        <v/>
      </c>
      <c r="C99" s="67"/>
      <c r="D99" s="186" t="str">
        <f ca="1">IFERROR(VALUE(IF(VLOOKUP($A99,数出表_Excel!$A$6:$T$150,COLUMN()/2+1,FALSE)=0,"",VLOOKUP($A99,数出表_Excel!$A$6:$T$150,COLUMN()/2+1,FALSE))),"")</f>
        <v/>
      </c>
      <c r="E99" s="83"/>
      <c r="F99" s="197" t="str">
        <f ca="1">IFERROR(VALUE(IF(VLOOKUP($A99,数出表_Excel!$A$6:$T$150,COLUMN()/2+1,FALSE)=0,"",VLOOKUP($A99,数出表_Excel!$A$6:$T$150,COLUMN()/2+1,FALSE))),"")</f>
        <v/>
      </c>
      <c r="G99" s="67"/>
      <c r="H99" s="186" t="str">
        <f ca="1">IFERROR(VALUE(IF(VLOOKUP($A99,数出表_Excel!$A$6:$T$150,COLUMN()/2+1,FALSE)=0,"",VLOOKUP($A99,数出表_Excel!$A$6:$T$150,COLUMN()/2+1,FALSE))),"")</f>
        <v/>
      </c>
      <c r="I99" s="83"/>
      <c r="J99" s="197" t="str">
        <f ca="1">IFERROR(VALUE(IF(VLOOKUP($A99,数出表_Excel!$A$6:$T$150,COLUMN()/2+1,FALSE)=0,"",VLOOKUP($A99,数出表_Excel!$A$6:$T$150,COLUMN()/2+1,FALSE))),"")</f>
        <v/>
      </c>
      <c r="K99" s="67"/>
      <c r="L99" s="186" t="str">
        <f ca="1">IFERROR(VALUE(IF(VLOOKUP($A99,数出表_Excel!$A$6:$T$150,COLUMN()/2+1,FALSE)=0,"",VLOOKUP($A99,数出表_Excel!$A$6:$T$150,COLUMN()/2+1,FALSE))),"")</f>
        <v/>
      </c>
      <c r="M99" s="83"/>
      <c r="N99" s="197" t="str">
        <f ca="1">IFERROR(VALUE(IF(VLOOKUP($A99,数出表_Excel!$A$6:$T$150,COLUMN()/2+1,FALSE)=0,"",VLOOKUP($A99,数出表_Excel!$A$6:$T$150,COLUMN()/2+1,FALSE))),"")</f>
        <v/>
      </c>
      <c r="O99" s="67"/>
      <c r="P99" s="186" t="str">
        <f ca="1">IFERROR(VALUE(IF(VLOOKUP($A99,数出表_Excel!$A$6:$T$150,COLUMN()/2+1,FALSE)=0,"",VLOOKUP($A99,数出表_Excel!$A$6:$T$150,COLUMN()/2+1,FALSE))),"")</f>
        <v/>
      </c>
      <c r="Q99" s="83"/>
      <c r="R99" s="197" t="str">
        <f ca="1">IFERROR(VALUE(IF(VLOOKUP($A99,数出表_Excel!$A$6:$T$150,COLUMN()/2+1,FALSE)=0,"",VLOOKUP($A99,数出表_Excel!$A$6:$T$150,COLUMN()/2+1,FALSE))),"")</f>
        <v/>
      </c>
      <c r="S99" s="67"/>
      <c r="T99" s="186" t="str">
        <f ca="1">IFERROR(VALUE(IF(VLOOKUP($A99,数出表_Excel!$A$6:$T$150,COLUMN()/2+1,FALSE)=0,"",VLOOKUP($A99,数出表_Excel!$A$6:$T$150,COLUMN()/2+1,FALSE))),"")</f>
        <v/>
      </c>
      <c r="U99" s="83"/>
      <c r="V99" s="197" t="str">
        <f ca="1">IFERROR(VALUE(IF(VLOOKUP($A99,数出表_Excel!$A$6:$T$150,COLUMN()/2+1,FALSE)=0,"",VLOOKUP($A99,数出表_Excel!$A$6:$T$150,COLUMN()/2+1,FALSE))),"")</f>
        <v/>
      </c>
      <c r="W99" s="67"/>
      <c r="X99" s="186" t="str">
        <f ca="1">IFERROR(VALUE(IF(VLOOKUP($A99,数出表_Excel!$A$6:$T$150,COLUMN()/2+1,FALSE)=0,"",VLOOKUP($A99,数出表_Excel!$A$6:$T$150,COLUMN()/2+1,FALSE))),"")</f>
        <v/>
      </c>
      <c r="Y99" s="83"/>
      <c r="Z99" s="197" t="str">
        <f ca="1">IFERROR(VALUE(IF(VLOOKUP($A99,数出表_Excel!$A$6:$T$150,COLUMN()/2+1,FALSE)=0,"",VLOOKUP($A99,数出表_Excel!$A$6:$T$150,COLUMN()/2+1,FALSE))),"")</f>
        <v/>
      </c>
      <c r="AA99" s="83"/>
      <c r="AB99" s="186" t="str">
        <f ca="1">IFERROR(VALUE(IF(VLOOKUP($A99,数出表_Excel!$A$6:$T$150,COLUMN()/2+1,FALSE)=0,"",VLOOKUP($A99,数出表_Excel!$A$6:$T$150,COLUMN()/2+1,FALSE))),"")</f>
        <v/>
      </c>
      <c r="AC99" s="83"/>
      <c r="AD99" s="186" t="str">
        <f ca="1">IFERROR(VALUE(IF(VLOOKUP($A99,数出表_Excel!$A$6:$T$150,COLUMN()/2+1,FALSE)=0,"",VLOOKUP($A99,数出表_Excel!$A$6:$T$150,COLUMN()/2+1,FALSE))),"")</f>
        <v/>
      </c>
      <c r="AE99" s="83"/>
      <c r="AF99" s="186" t="str">
        <f ca="1">IFERROR(VALUE(IF(VLOOKUP($A99,数出表_Excel!$A$6:$T$150,COLUMN()/2+1,FALSE)=0,"",VLOOKUP($A99,数出表_Excel!$A$6:$T$150,COLUMN()/2+1,FALSE))),"")</f>
        <v/>
      </c>
      <c r="AG99" s="83"/>
      <c r="AH99" s="186" t="str">
        <f ca="1">IFERROR(VALUE(IF(VLOOKUP($A99,数出表_Excel!$A$6:$T$150,COLUMN()/2+1,FALSE)=0,"",VLOOKUP($A99,数出表_Excel!$A$6:$T$150,COLUMN()/2+1,FALSE))),"")</f>
        <v/>
      </c>
      <c r="AI99" s="83"/>
      <c r="AJ99" s="186" t="str">
        <f ca="1">IFERROR(VALUE(IF(VLOOKUP($A99,数出表_Excel!$A$6:$T$150,COLUMN()/2+1,FALSE)=0,"",VLOOKUP($A99,数出表_Excel!$A$6:$T$150,COLUMN()/2+1,FALSE))),"")</f>
        <v/>
      </c>
      <c r="AK99" s="83"/>
      <c r="AL99" s="70" t="e">
        <f ca="1">IF(A99&lt;&gt;"",
IF(VLOOKUP($A99,数出表_Excel!$A$6:$T$150,COLUMN()/2+1,FALSE)=0,"",VLOOKUP($A99,数出表_Excel!$A$6:$T$150,COLUMN()/2+1,FALSE)),"")</f>
        <v>#N/A</v>
      </c>
      <c r="AM99" s="98" t="e">
        <f>数出表_Excel!V99</f>
        <v>#N/A</v>
      </c>
      <c r="AN99" s="99" t="e">
        <f>数出表_Excel!W99</f>
        <v>#N/A</v>
      </c>
    </row>
    <row r="100" spans="1:40" ht="16.2" customHeight="1">
      <c r="A100" s="88" t="e">
        <f t="array" aca="1" ref="A100" ca="1">IF(OR(COUNTIF(A98,"*10002*"),COUNTIF(A98,"")),"",INDEX(貼り付け用!$A1:$A200,MATCH(A98,貼り付け用!$A1:$A200,0)+2,0))</f>
        <v>#N/A</v>
      </c>
      <c r="B100" s="185" t="str">
        <f ca="1">IFERROR(VALUE(IF(VLOOKUP($A100,数出表_Excel!$A$6:$T$150,COLUMN()/2+1,FALSE)=0,"",VLOOKUP($A100,数出表_Excel!$A$6:$T$150,COLUMN()/2+1,FALSE))),"")</f>
        <v/>
      </c>
      <c r="C100" s="66"/>
      <c r="D100" s="185" t="str">
        <f ca="1">IFERROR(VALUE(IF(VLOOKUP($A100,数出表_Excel!$A$6:$T$150,COLUMN()/2+1,FALSE)=0,"",VLOOKUP($A100,数出表_Excel!$A$6:$T$150,COLUMN()/2+1,FALSE))),"")</f>
        <v/>
      </c>
      <c r="E100" s="82"/>
      <c r="F100" s="196" t="str">
        <f ca="1">IFERROR(VALUE(IF(VLOOKUP($A100,数出表_Excel!$A$6:$T$150,COLUMN()/2+1,FALSE)=0,"",VLOOKUP($A100,数出表_Excel!$A$6:$T$150,COLUMN()/2+1,FALSE))),"")</f>
        <v/>
      </c>
      <c r="G100" s="66"/>
      <c r="H100" s="185" t="str">
        <f ca="1">IFERROR(VALUE(IF(VLOOKUP($A100,数出表_Excel!$A$6:$T$150,COLUMN()/2+1,FALSE)=0,"",VLOOKUP($A100,数出表_Excel!$A$6:$T$150,COLUMN()/2+1,FALSE))),"")</f>
        <v/>
      </c>
      <c r="I100" s="82"/>
      <c r="J100" s="196" t="str">
        <f ca="1">IFERROR(VALUE(IF(VLOOKUP($A100,数出表_Excel!$A$6:$T$150,COLUMN()/2+1,FALSE)=0,"",VLOOKUP($A100,数出表_Excel!$A$6:$T$150,COLUMN()/2+1,FALSE))),"")</f>
        <v/>
      </c>
      <c r="K100" s="66"/>
      <c r="L100" s="185" t="str">
        <f ca="1">IFERROR(VALUE(IF(VLOOKUP($A100,数出表_Excel!$A$6:$T$150,COLUMN()/2+1,FALSE)=0,"",VLOOKUP($A100,数出表_Excel!$A$6:$T$150,COLUMN()/2+1,FALSE))),"")</f>
        <v/>
      </c>
      <c r="M100" s="82"/>
      <c r="N100" s="196" t="str">
        <f ca="1">IFERROR(VALUE(IF(VLOOKUP($A100,数出表_Excel!$A$6:$T$150,COLUMN()/2+1,FALSE)=0,"",VLOOKUP($A100,数出表_Excel!$A$6:$T$150,COLUMN()/2+1,FALSE))),"")</f>
        <v/>
      </c>
      <c r="O100" s="66"/>
      <c r="P100" s="185" t="str">
        <f ca="1">IFERROR(VALUE(IF(VLOOKUP($A100,数出表_Excel!$A$6:$T$150,COLUMN()/2+1,FALSE)=0,"",VLOOKUP($A100,数出表_Excel!$A$6:$T$150,COLUMN()/2+1,FALSE))),"")</f>
        <v/>
      </c>
      <c r="Q100" s="82"/>
      <c r="R100" s="196" t="str">
        <f ca="1">IFERROR(VALUE(IF(VLOOKUP($A100,数出表_Excel!$A$6:$T$150,COLUMN()/2+1,FALSE)=0,"",VLOOKUP($A100,数出表_Excel!$A$6:$T$150,COLUMN()/2+1,FALSE))),"")</f>
        <v/>
      </c>
      <c r="S100" s="66"/>
      <c r="T100" s="185" t="str">
        <f ca="1">IFERROR(VALUE(IF(VLOOKUP($A100,数出表_Excel!$A$6:$T$150,COLUMN()/2+1,FALSE)=0,"",VLOOKUP($A100,数出表_Excel!$A$6:$T$150,COLUMN()/2+1,FALSE))),"")</f>
        <v/>
      </c>
      <c r="U100" s="82"/>
      <c r="V100" s="196" t="str">
        <f ca="1">IFERROR(VALUE(IF(VLOOKUP($A100,数出表_Excel!$A$6:$T$150,COLUMN()/2+1,FALSE)=0,"",VLOOKUP($A100,数出表_Excel!$A$6:$T$150,COLUMN()/2+1,FALSE))),"")</f>
        <v/>
      </c>
      <c r="W100" s="66"/>
      <c r="X100" s="185" t="str">
        <f ca="1">IFERROR(VALUE(IF(VLOOKUP($A100,数出表_Excel!$A$6:$T$150,COLUMN()/2+1,FALSE)=0,"",VLOOKUP($A100,数出表_Excel!$A$6:$T$150,COLUMN()/2+1,FALSE))),"")</f>
        <v/>
      </c>
      <c r="Y100" s="82"/>
      <c r="Z100" s="196" t="str">
        <f ca="1">IFERROR(VALUE(IF(VLOOKUP($A100,数出表_Excel!$A$6:$T$150,COLUMN()/2+1,FALSE)=0,"",VLOOKUP($A100,数出表_Excel!$A$6:$T$150,COLUMN()/2+1,FALSE))),"")</f>
        <v/>
      </c>
      <c r="AA100" s="82"/>
      <c r="AB100" s="185" t="str">
        <f ca="1">IFERROR(VALUE(IF(VLOOKUP($A100,数出表_Excel!$A$6:$T$150,COLUMN()/2+1,FALSE)=0,"",VLOOKUP($A100,数出表_Excel!$A$6:$T$150,COLUMN()/2+1,FALSE))),"")</f>
        <v/>
      </c>
      <c r="AC100" s="82"/>
      <c r="AD100" s="185" t="str">
        <f ca="1">IFERROR(VALUE(IF(VLOOKUP($A100,数出表_Excel!$A$6:$T$150,COLUMN()/2+1,FALSE)=0,"",VLOOKUP($A100,数出表_Excel!$A$6:$T$150,COLUMN()/2+1,FALSE))),"")</f>
        <v/>
      </c>
      <c r="AE100" s="82"/>
      <c r="AF100" s="185" t="str">
        <f ca="1">IFERROR(VALUE(IF(VLOOKUP($A100,数出表_Excel!$A$6:$T$150,COLUMN()/2+1,FALSE)=0,"",VLOOKUP($A100,数出表_Excel!$A$6:$T$150,COLUMN()/2+1,FALSE))),"")</f>
        <v/>
      </c>
      <c r="AG100" s="82"/>
      <c r="AH100" s="185" t="str">
        <f ca="1">IFERROR(VALUE(IF(VLOOKUP($A100,数出表_Excel!$A$6:$T$150,COLUMN()/2+1,FALSE)=0,"",VLOOKUP($A100,数出表_Excel!$A$6:$T$150,COLUMN()/2+1,FALSE))),"")</f>
        <v/>
      </c>
      <c r="AI100" s="82"/>
      <c r="AJ100" s="185" t="str">
        <f ca="1">IFERROR(VALUE(IF(VLOOKUP($A100,数出表_Excel!$A$6:$T$150,COLUMN()/2+1,FALSE)=0,"",VLOOKUP($A100,数出表_Excel!$A$6:$T$150,COLUMN()/2+1,FALSE))),"")</f>
        <v/>
      </c>
      <c r="AK100" s="82"/>
      <c r="AL100" s="68" t="e">
        <f ca="1">IF(A100&lt;&gt;"",
IF(VLOOKUP($A100,数出表_Excel!$A$6:$T$150,COLUMN()/2+1,FALSE)=0,"",VLOOKUP($A100,数出表_Excel!$A$6:$T$150,COLUMN()/2+1,FALSE)),"")</f>
        <v>#N/A</v>
      </c>
      <c r="AM100" s="96" t="e">
        <f>数出表_Excel!V100</f>
        <v>#N/A</v>
      </c>
      <c r="AN100" s="97" t="e">
        <f>数出表_Excel!W100</f>
        <v>#N/A</v>
      </c>
    </row>
    <row r="101" spans="1:40" ht="16.2" customHeight="1">
      <c r="A101" s="89" t="e">
        <f t="array" aca="1" ref="A101" ca="1">IF(OR(COUNTIF(A99,"*1000*"),COUNTIF(A99,"")),"",INDEX(貼り付け用!$A1:$A200,MATCH(A99,貼り付け用!$A1:$A200,0)+2,0))</f>
        <v>#N/A</v>
      </c>
      <c r="B101" s="186" t="str">
        <f ca="1">IFERROR(VALUE(IF(VLOOKUP($A101,数出表_Excel!$A$6:$T$150,COLUMN()/2+1,FALSE)=0,"",VLOOKUP($A101,数出表_Excel!$A$6:$T$150,COLUMN()/2+1,FALSE))),"")</f>
        <v/>
      </c>
      <c r="C101" s="67"/>
      <c r="D101" s="186" t="str">
        <f ca="1">IFERROR(VALUE(IF(VLOOKUP($A101,数出表_Excel!$A$6:$T$150,COLUMN()/2+1,FALSE)=0,"",VLOOKUP($A101,数出表_Excel!$A$6:$T$150,COLUMN()/2+1,FALSE))),"")</f>
        <v/>
      </c>
      <c r="E101" s="83"/>
      <c r="F101" s="197" t="str">
        <f ca="1">IFERROR(VALUE(IF(VLOOKUP($A101,数出表_Excel!$A$6:$T$150,COLUMN()/2+1,FALSE)=0,"",VLOOKUP($A101,数出表_Excel!$A$6:$T$150,COLUMN()/2+1,FALSE))),"")</f>
        <v/>
      </c>
      <c r="G101" s="67"/>
      <c r="H101" s="186" t="str">
        <f ca="1">IFERROR(VALUE(IF(VLOOKUP($A101,数出表_Excel!$A$6:$T$150,COLUMN()/2+1,FALSE)=0,"",VLOOKUP($A101,数出表_Excel!$A$6:$T$150,COLUMN()/2+1,FALSE))),"")</f>
        <v/>
      </c>
      <c r="I101" s="83"/>
      <c r="J101" s="197" t="str">
        <f ca="1">IFERROR(VALUE(IF(VLOOKUP($A101,数出表_Excel!$A$6:$T$150,COLUMN()/2+1,FALSE)=0,"",VLOOKUP($A101,数出表_Excel!$A$6:$T$150,COLUMN()/2+1,FALSE))),"")</f>
        <v/>
      </c>
      <c r="K101" s="67"/>
      <c r="L101" s="186" t="str">
        <f ca="1">IFERROR(VALUE(IF(VLOOKUP($A101,数出表_Excel!$A$6:$T$150,COLUMN()/2+1,FALSE)=0,"",VLOOKUP($A101,数出表_Excel!$A$6:$T$150,COLUMN()/2+1,FALSE))),"")</f>
        <v/>
      </c>
      <c r="M101" s="83"/>
      <c r="N101" s="197" t="str">
        <f ca="1">IFERROR(VALUE(IF(VLOOKUP($A101,数出表_Excel!$A$6:$T$150,COLUMN()/2+1,FALSE)=0,"",VLOOKUP($A101,数出表_Excel!$A$6:$T$150,COLUMN()/2+1,FALSE))),"")</f>
        <v/>
      </c>
      <c r="O101" s="67"/>
      <c r="P101" s="186" t="str">
        <f ca="1">IFERROR(VALUE(IF(VLOOKUP($A101,数出表_Excel!$A$6:$T$150,COLUMN()/2+1,FALSE)=0,"",VLOOKUP($A101,数出表_Excel!$A$6:$T$150,COLUMN()/2+1,FALSE))),"")</f>
        <v/>
      </c>
      <c r="Q101" s="83"/>
      <c r="R101" s="197" t="str">
        <f ca="1">IFERROR(VALUE(IF(VLOOKUP($A101,数出表_Excel!$A$6:$T$150,COLUMN()/2+1,FALSE)=0,"",VLOOKUP($A101,数出表_Excel!$A$6:$T$150,COLUMN()/2+1,FALSE))),"")</f>
        <v/>
      </c>
      <c r="S101" s="67"/>
      <c r="T101" s="186" t="str">
        <f ca="1">IFERROR(VALUE(IF(VLOOKUP($A101,数出表_Excel!$A$6:$T$150,COLUMN()/2+1,FALSE)=0,"",VLOOKUP($A101,数出表_Excel!$A$6:$T$150,COLUMN()/2+1,FALSE))),"")</f>
        <v/>
      </c>
      <c r="U101" s="83"/>
      <c r="V101" s="197" t="str">
        <f ca="1">IFERROR(VALUE(IF(VLOOKUP($A101,数出表_Excel!$A$6:$T$150,COLUMN()/2+1,FALSE)=0,"",VLOOKUP($A101,数出表_Excel!$A$6:$T$150,COLUMN()/2+1,FALSE))),"")</f>
        <v/>
      </c>
      <c r="W101" s="67"/>
      <c r="X101" s="186" t="str">
        <f ca="1">IFERROR(VALUE(IF(VLOOKUP($A101,数出表_Excel!$A$6:$T$150,COLUMN()/2+1,FALSE)=0,"",VLOOKUP($A101,数出表_Excel!$A$6:$T$150,COLUMN()/2+1,FALSE))),"")</f>
        <v/>
      </c>
      <c r="Y101" s="83"/>
      <c r="Z101" s="197" t="str">
        <f ca="1">IFERROR(VALUE(IF(VLOOKUP($A101,数出表_Excel!$A$6:$T$150,COLUMN()/2+1,FALSE)=0,"",VLOOKUP($A101,数出表_Excel!$A$6:$T$150,COLUMN()/2+1,FALSE))),"")</f>
        <v/>
      </c>
      <c r="AA101" s="83"/>
      <c r="AB101" s="186" t="str">
        <f ca="1">IFERROR(VALUE(IF(VLOOKUP($A101,数出表_Excel!$A$6:$T$150,COLUMN()/2+1,FALSE)=0,"",VLOOKUP($A101,数出表_Excel!$A$6:$T$150,COLUMN()/2+1,FALSE))),"")</f>
        <v/>
      </c>
      <c r="AC101" s="83"/>
      <c r="AD101" s="186" t="str">
        <f ca="1">IFERROR(VALUE(IF(VLOOKUP($A101,数出表_Excel!$A$6:$T$150,COLUMN()/2+1,FALSE)=0,"",VLOOKUP($A101,数出表_Excel!$A$6:$T$150,COLUMN()/2+1,FALSE))),"")</f>
        <v/>
      </c>
      <c r="AE101" s="83"/>
      <c r="AF101" s="186" t="str">
        <f ca="1">IFERROR(VALUE(IF(VLOOKUP($A101,数出表_Excel!$A$6:$T$150,COLUMN()/2+1,FALSE)=0,"",VLOOKUP($A101,数出表_Excel!$A$6:$T$150,COLUMN()/2+1,FALSE))),"")</f>
        <v/>
      </c>
      <c r="AG101" s="83"/>
      <c r="AH101" s="186" t="str">
        <f ca="1">IFERROR(VALUE(IF(VLOOKUP($A101,数出表_Excel!$A$6:$T$150,COLUMN()/2+1,FALSE)=0,"",VLOOKUP($A101,数出表_Excel!$A$6:$T$150,COLUMN()/2+1,FALSE))),"")</f>
        <v/>
      </c>
      <c r="AI101" s="83"/>
      <c r="AJ101" s="186" t="str">
        <f ca="1">IFERROR(VALUE(IF(VLOOKUP($A101,数出表_Excel!$A$6:$T$150,COLUMN()/2+1,FALSE)=0,"",VLOOKUP($A101,数出表_Excel!$A$6:$T$150,COLUMN()/2+1,FALSE))),"")</f>
        <v/>
      </c>
      <c r="AK101" s="83"/>
      <c r="AL101" s="70" t="e">
        <f ca="1">IF(A101&lt;&gt;"",
IF(VLOOKUP($A101,数出表_Excel!$A$6:$T$150,COLUMN()/2+1,FALSE)=0,"",VLOOKUP($A101,数出表_Excel!$A$6:$T$150,COLUMN()/2+1,FALSE)),"")</f>
        <v>#N/A</v>
      </c>
      <c r="AM101" s="98" t="e">
        <f>数出表_Excel!V101</f>
        <v>#N/A</v>
      </c>
      <c r="AN101" s="99" t="e">
        <f>数出表_Excel!W101</f>
        <v>#N/A</v>
      </c>
    </row>
    <row r="102" spans="1:40" ht="16.2" customHeight="1">
      <c r="A102" s="88" t="e">
        <f t="array" aca="1" ref="A102" ca="1">IF(OR(COUNTIF(A100,"*10002*"),COUNTIF(A100,"")),"",INDEX(貼り付け用!$A1:$A200,MATCH(A100,貼り付け用!$A1:$A200,0)+2,0))</f>
        <v>#N/A</v>
      </c>
      <c r="B102" s="185" t="str">
        <f ca="1">IFERROR(VALUE(IF(VLOOKUP($A102,数出表_Excel!$A$6:$T$150,COLUMN()/2+1,FALSE)=0,"",VLOOKUP($A102,数出表_Excel!$A$6:$T$150,COLUMN()/2+1,FALSE))),"")</f>
        <v/>
      </c>
      <c r="C102" s="66"/>
      <c r="D102" s="185" t="str">
        <f ca="1">IFERROR(VALUE(IF(VLOOKUP($A102,数出表_Excel!$A$6:$T$150,COLUMN()/2+1,FALSE)=0,"",VLOOKUP($A102,数出表_Excel!$A$6:$T$150,COLUMN()/2+1,FALSE))),"")</f>
        <v/>
      </c>
      <c r="E102" s="82"/>
      <c r="F102" s="196" t="str">
        <f ca="1">IFERROR(VALUE(IF(VLOOKUP($A102,数出表_Excel!$A$6:$T$150,COLUMN()/2+1,FALSE)=0,"",VLOOKUP($A102,数出表_Excel!$A$6:$T$150,COLUMN()/2+1,FALSE))),"")</f>
        <v/>
      </c>
      <c r="G102" s="66"/>
      <c r="H102" s="185" t="str">
        <f ca="1">IFERROR(VALUE(IF(VLOOKUP($A102,数出表_Excel!$A$6:$T$150,COLUMN()/2+1,FALSE)=0,"",VLOOKUP($A102,数出表_Excel!$A$6:$T$150,COLUMN()/2+1,FALSE))),"")</f>
        <v/>
      </c>
      <c r="I102" s="82"/>
      <c r="J102" s="196" t="str">
        <f ca="1">IFERROR(VALUE(IF(VLOOKUP($A102,数出表_Excel!$A$6:$T$150,COLUMN()/2+1,FALSE)=0,"",VLOOKUP($A102,数出表_Excel!$A$6:$T$150,COLUMN()/2+1,FALSE))),"")</f>
        <v/>
      </c>
      <c r="K102" s="66"/>
      <c r="L102" s="185" t="str">
        <f ca="1">IFERROR(VALUE(IF(VLOOKUP($A102,数出表_Excel!$A$6:$T$150,COLUMN()/2+1,FALSE)=0,"",VLOOKUP($A102,数出表_Excel!$A$6:$T$150,COLUMN()/2+1,FALSE))),"")</f>
        <v/>
      </c>
      <c r="M102" s="82"/>
      <c r="N102" s="196" t="str">
        <f ca="1">IFERROR(VALUE(IF(VLOOKUP($A102,数出表_Excel!$A$6:$T$150,COLUMN()/2+1,FALSE)=0,"",VLOOKUP($A102,数出表_Excel!$A$6:$T$150,COLUMN()/2+1,FALSE))),"")</f>
        <v/>
      </c>
      <c r="O102" s="66"/>
      <c r="P102" s="185" t="str">
        <f ca="1">IFERROR(VALUE(IF(VLOOKUP($A102,数出表_Excel!$A$6:$T$150,COLUMN()/2+1,FALSE)=0,"",VLOOKUP($A102,数出表_Excel!$A$6:$T$150,COLUMN()/2+1,FALSE))),"")</f>
        <v/>
      </c>
      <c r="Q102" s="82"/>
      <c r="R102" s="196" t="str">
        <f ca="1">IFERROR(VALUE(IF(VLOOKUP($A102,数出表_Excel!$A$6:$T$150,COLUMN()/2+1,FALSE)=0,"",VLOOKUP($A102,数出表_Excel!$A$6:$T$150,COLUMN()/2+1,FALSE))),"")</f>
        <v/>
      </c>
      <c r="S102" s="66"/>
      <c r="T102" s="185" t="str">
        <f ca="1">IFERROR(VALUE(IF(VLOOKUP($A102,数出表_Excel!$A$6:$T$150,COLUMN()/2+1,FALSE)=0,"",VLOOKUP($A102,数出表_Excel!$A$6:$T$150,COLUMN()/2+1,FALSE))),"")</f>
        <v/>
      </c>
      <c r="U102" s="82"/>
      <c r="V102" s="196" t="str">
        <f ca="1">IFERROR(VALUE(IF(VLOOKUP($A102,数出表_Excel!$A$6:$T$150,COLUMN()/2+1,FALSE)=0,"",VLOOKUP($A102,数出表_Excel!$A$6:$T$150,COLUMN()/2+1,FALSE))),"")</f>
        <v/>
      </c>
      <c r="W102" s="66"/>
      <c r="X102" s="185" t="str">
        <f ca="1">IFERROR(VALUE(IF(VLOOKUP($A102,数出表_Excel!$A$6:$T$150,COLUMN()/2+1,FALSE)=0,"",VLOOKUP($A102,数出表_Excel!$A$6:$T$150,COLUMN()/2+1,FALSE))),"")</f>
        <v/>
      </c>
      <c r="Y102" s="82"/>
      <c r="Z102" s="196" t="str">
        <f ca="1">IFERROR(VALUE(IF(VLOOKUP($A102,数出表_Excel!$A$6:$T$150,COLUMN()/2+1,FALSE)=0,"",VLOOKUP($A102,数出表_Excel!$A$6:$T$150,COLUMN()/2+1,FALSE))),"")</f>
        <v/>
      </c>
      <c r="AA102" s="82"/>
      <c r="AB102" s="185" t="str">
        <f ca="1">IFERROR(VALUE(IF(VLOOKUP($A102,数出表_Excel!$A$6:$T$150,COLUMN()/2+1,FALSE)=0,"",VLOOKUP($A102,数出表_Excel!$A$6:$T$150,COLUMN()/2+1,FALSE))),"")</f>
        <v/>
      </c>
      <c r="AC102" s="82"/>
      <c r="AD102" s="185" t="str">
        <f ca="1">IFERROR(VALUE(IF(VLOOKUP($A102,数出表_Excel!$A$6:$T$150,COLUMN()/2+1,FALSE)=0,"",VLOOKUP($A102,数出表_Excel!$A$6:$T$150,COLUMN()/2+1,FALSE))),"")</f>
        <v/>
      </c>
      <c r="AE102" s="82"/>
      <c r="AF102" s="185" t="str">
        <f ca="1">IFERROR(VALUE(IF(VLOOKUP($A102,数出表_Excel!$A$6:$T$150,COLUMN()/2+1,FALSE)=0,"",VLOOKUP($A102,数出表_Excel!$A$6:$T$150,COLUMN()/2+1,FALSE))),"")</f>
        <v/>
      </c>
      <c r="AG102" s="82"/>
      <c r="AH102" s="185" t="str">
        <f ca="1">IFERROR(VALUE(IF(VLOOKUP($A102,数出表_Excel!$A$6:$T$150,COLUMN()/2+1,FALSE)=0,"",VLOOKUP($A102,数出表_Excel!$A$6:$T$150,COLUMN()/2+1,FALSE))),"")</f>
        <v/>
      </c>
      <c r="AI102" s="82"/>
      <c r="AJ102" s="185" t="str">
        <f ca="1">IFERROR(VALUE(IF(VLOOKUP($A102,数出表_Excel!$A$6:$T$150,COLUMN()/2+1,FALSE)=0,"",VLOOKUP($A102,数出表_Excel!$A$6:$T$150,COLUMN()/2+1,FALSE))),"")</f>
        <v/>
      </c>
      <c r="AK102" s="82"/>
      <c r="AL102" s="68" t="e">
        <f ca="1">IF(A102&lt;&gt;"",
IF(VLOOKUP($A102,数出表_Excel!$A$6:$T$150,COLUMN()/2+1,FALSE)=0,"",VLOOKUP($A102,数出表_Excel!$A$6:$T$150,COLUMN()/2+1,FALSE)),"")</f>
        <v>#N/A</v>
      </c>
      <c r="AM102" s="96" t="e">
        <f>数出表_Excel!V102</f>
        <v>#N/A</v>
      </c>
      <c r="AN102" s="97" t="e">
        <f>数出表_Excel!W102</f>
        <v>#N/A</v>
      </c>
    </row>
    <row r="103" spans="1:40" ht="16.2" customHeight="1">
      <c r="A103" s="89" t="e">
        <f t="array" aca="1" ref="A103" ca="1">IF(OR(COUNTIF(A101,"*1000*"),COUNTIF(A101,"")),"",INDEX(貼り付け用!$A1:$A200,MATCH(A101,貼り付け用!$A1:$A200,0)+2,0))</f>
        <v>#N/A</v>
      </c>
      <c r="B103" s="186" t="str">
        <f ca="1">IFERROR(VALUE(IF(VLOOKUP($A103,数出表_Excel!$A$6:$T$150,COLUMN()/2+1,FALSE)=0,"",VLOOKUP($A103,数出表_Excel!$A$6:$T$150,COLUMN()/2+1,FALSE))),"")</f>
        <v/>
      </c>
      <c r="C103" s="67"/>
      <c r="D103" s="186" t="str">
        <f ca="1">IFERROR(VALUE(IF(VLOOKUP($A103,数出表_Excel!$A$6:$T$150,COLUMN()/2+1,FALSE)=0,"",VLOOKUP($A103,数出表_Excel!$A$6:$T$150,COLUMN()/2+1,FALSE))),"")</f>
        <v/>
      </c>
      <c r="E103" s="83"/>
      <c r="F103" s="197" t="str">
        <f ca="1">IFERROR(VALUE(IF(VLOOKUP($A103,数出表_Excel!$A$6:$T$150,COLUMN()/2+1,FALSE)=0,"",VLOOKUP($A103,数出表_Excel!$A$6:$T$150,COLUMN()/2+1,FALSE))),"")</f>
        <v/>
      </c>
      <c r="G103" s="67"/>
      <c r="H103" s="186" t="str">
        <f ca="1">IFERROR(VALUE(IF(VLOOKUP($A103,数出表_Excel!$A$6:$T$150,COLUMN()/2+1,FALSE)=0,"",VLOOKUP($A103,数出表_Excel!$A$6:$T$150,COLUMN()/2+1,FALSE))),"")</f>
        <v/>
      </c>
      <c r="I103" s="83"/>
      <c r="J103" s="197" t="str">
        <f ca="1">IFERROR(VALUE(IF(VLOOKUP($A103,数出表_Excel!$A$6:$T$150,COLUMN()/2+1,FALSE)=0,"",VLOOKUP($A103,数出表_Excel!$A$6:$T$150,COLUMN()/2+1,FALSE))),"")</f>
        <v/>
      </c>
      <c r="K103" s="67"/>
      <c r="L103" s="186" t="str">
        <f ca="1">IFERROR(VALUE(IF(VLOOKUP($A103,数出表_Excel!$A$6:$T$150,COLUMN()/2+1,FALSE)=0,"",VLOOKUP($A103,数出表_Excel!$A$6:$T$150,COLUMN()/2+1,FALSE))),"")</f>
        <v/>
      </c>
      <c r="M103" s="83"/>
      <c r="N103" s="197" t="str">
        <f ca="1">IFERROR(VALUE(IF(VLOOKUP($A103,数出表_Excel!$A$6:$T$150,COLUMN()/2+1,FALSE)=0,"",VLOOKUP($A103,数出表_Excel!$A$6:$T$150,COLUMN()/2+1,FALSE))),"")</f>
        <v/>
      </c>
      <c r="O103" s="67"/>
      <c r="P103" s="186" t="str">
        <f ca="1">IFERROR(VALUE(IF(VLOOKUP($A103,数出表_Excel!$A$6:$T$150,COLUMN()/2+1,FALSE)=0,"",VLOOKUP($A103,数出表_Excel!$A$6:$T$150,COLUMN()/2+1,FALSE))),"")</f>
        <v/>
      </c>
      <c r="Q103" s="83"/>
      <c r="R103" s="197" t="str">
        <f ca="1">IFERROR(VALUE(IF(VLOOKUP($A103,数出表_Excel!$A$6:$T$150,COLUMN()/2+1,FALSE)=0,"",VLOOKUP($A103,数出表_Excel!$A$6:$T$150,COLUMN()/2+1,FALSE))),"")</f>
        <v/>
      </c>
      <c r="S103" s="67"/>
      <c r="T103" s="186" t="str">
        <f ca="1">IFERROR(VALUE(IF(VLOOKUP($A103,数出表_Excel!$A$6:$T$150,COLUMN()/2+1,FALSE)=0,"",VLOOKUP($A103,数出表_Excel!$A$6:$T$150,COLUMN()/2+1,FALSE))),"")</f>
        <v/>
      </c>
      <c r="U103" s="83"/>
      <c r="V103" s="197" t="str">
        <f ca="1">IFERROR(VALUE(IF(VLOOKUP($A103,数出表_Excel!$A$6:$T$150,COLUMN()/2+1,FALSE)=0,"",VLOOKUP($A103,数出表_Excel!$A$6:$T$150,COLUMN()/2+1,FALSE))),"")</f>
        <v/>
      </c>
      <c r="W103" s="67"/>
      <c r="X103" s="186" t="str">
        <f ca="1">IFERROR(VALUE(IF(VLOOKUP($A103,数出表_Excel!$A$6:$T$150,COLUMN()/2+1,FALSE)=0,"",VLOOKUP($A103,数出表_Excel!$A$6:$T$150,COLUMN()/2+1,FALSE))),"")</f>
        <v/>
      </c>
      <c r="Y103" s="83"/>
      <c r="Z103" s="197" t="str">
        <f ca="1">IFERROR(VALUE(IF(VLOOKUP($A103,数出表_Excel!$A$6:$T$150,COLUMN()/2+1,FALSE)=0,"",VLOOKUP($A103,数出表_Excel!$A$6:$T$150,COLUMN()/2+1,FALSE))),"")</f>
        <v/>
      </c>
      <c r="AA103" s="83"/>
      <c r="AB103" s="186" t="str">
        <f ca="1">IFERROR(VALUE(IF(VLOOKUP($A103,数出表_Excel!$A$6:$T$150,COLUMN()/2+1,FALSE)=0,"",VLOOKUP($A103,数出表_Excel!$A$6:$T$150,COLUMN()/2+1,FALSE))),"")</f>
        <v/>
      </c>
      <c r="AC103" s="83"/>
      <c r="AD103" s="186" t="str">
        <f ca="1">IFERROR(VALUE(IF(VLOOKUP($A103,数出表_Excel!$A$6:$T$150,COLUMN()/2+1,FALSE)=0,"",VLOOKUP($A103,数出表_Excel!$A$6:$T$150,COLUMN()/2+1,FALSE))),"")</f>
        <v/>
      </c>
      <c r="AE103" s="83"/>
      <c r="AF103" s="186" t="str">
        <f ca="1">IFERROR(VALUE(IF(VLOOKUP($A103,数出表_Excel!$A$6:$T$150,COLUMN()/2+1,FALSE)=0,"",VLOOKUP($A103,数出表_Excel!$A$6:$T$150,COLUMN()/2+1,FALSE))),"")</f>
        <v/>
      </c>
      <c r="AG103" s="83"/>
      <c r="AH103" s="186" t="str">
        <f ca="1">IFERROR(VALUE(IF(VLOOKUP($A103,数出表_Excel!$A$6:$T$150,COLUMN()/2+1,FALSE)=0,"",VLOOKUP($A103,数出表_Excel!$A$6:$T$150,COLUMN()/2+1,FALSE))),"")</f>
        <v/>
      </c>
      <c r="AI103" s="83"/>
      <c r="AJ103" s="186" t="str">
        <f ca="1">IFERROR(VALUE(IF(VLOOKUP($A103,数出表_Excel!$A$6:$T$150,COLUMN()/2+1,FALSE)=0,"",VLOOKUP($A103,数出表_Excel!$A$6:$T$150,COLUMN()/2+1,FALSE))),"")</f>
        <v/>
      </c>
      <c r="AK103" s="83"/>
      <c r="AL103" s="70" t="e">
        <f ca="1">IF(A103&lt;&gt;"",
IF(VLOOKUP($A103,数出表_Excel!$A$6:$T$150,COLUMN()/2+1,FALSE)=0,"",VLOOKUP($A103,数出表_Excel!$A$6:$T$150,COLUMN()/2+1,FALSE)),"")</f>
        <v>#N/A</v>
      </c>
      <c r="AM103" s="98" t="e">
        <f>数出表_Excel!V103</f>
        <v>#N/A</v>
      </c>
      <c r="AN103" s="99" t="e">
        <f>数出表_Excel!W103</f>
        <v>#N/A</v>
      </c>
    </row>
    <row r="104" spans="1:40" ht="16.2" customHeight="1">
      <c r="A104" s="88" t="e">
        <f t="array" aca="1" ref="A104" ca="1">IF(OR(COUNTIF(A102,"*10002*"),COUNTIF(A102,"")),"",INDEX(貼り付け用!$A1:$A200,MATCH(A102,貼り付け用!$A1:$A200,0)+2,0))</f>
        <v>#N/A</v>
      </c>
      <c r="B104" s="185" t="str">
        <f ca="1">IFERROR(VALUE(IF(VLOOKUP($A104,数出表_Excel!$A$6:$T$150,COLUMN()/2+1,FALSE)=0,"",VLOOKUP($A104,数出表_Excel!$A$6:$T$150,COLUMN()/2+1,FALSE))),"")</f>
        <v/>
      </c>
      <c r="C104" s="66"/>
      <c r="D104" s="185" t="str">
        <f ca="1">IFERROR(VALUE(IF(VLOOKUP($A104,数出表_Excel!$A$6:$T$150,COLUMN()/2+1,FALSE)=0,"",VLOOKUP($A104,数出表_Excel!$A$6:$T$150,COLUMN()/2+1,FALSE))),"")</f>
        <v/>
      </c>
      <c r="E104" s="82"/>
      <c r="F104" s="196" t="str">
        <f ca="1">IFERROR(VALUE(IF(VLOOKUP($A104,数出表_Excel!$A$6:$T$150,COLUMN()/2+1,FALSE)=0,"",VLOOKUP($A104,数出表_Excel!$A$6:$T$150,COLUMN()/2+1,FALSE))),"")</f>
        <v/>
      </c>
      <c r="G104" s="66"/>
      <c r="H104" s="185" t="str">
        <f ca="1">IFERROR(VALUE(IF(VLOOKUP($A104,数出表_Excel!$A$6:$T$150,COLUMN()/2+1,FALSE)=0,"",VLOOKUP($A104,数出表_Excel!$A$6:$T$150,COLUMN()/2+1,FALSE))),"")</f>
        <v/>
      </c>
      <c r="I104" s="82"/>
      <c r="J104" s="196" t="str">
        <f ca="1">IFERROR(VALUE(IF(VLOOKUP($A104,数出表_Excel!$A$6:$T$150,COLUMN()/2+1,FALSE)=0,"",VLOOKUP($A104,数出表_Excel!$A$6:$T$150,COLUMN()/2+1,FALSE))),"")</f>
        <v/>
      </c>
      <c r="K104" s="66"/>
      <c r="L104" s="185" t="str">
        <f ca="1">IFERROR(VALUE(IF(VLOOKUP($A104,数出表_Excel!$A$6:$T$150,COLUMN()/2+1,FALSE)=0,"",VLOOKUP($A104,数出表_Excel!$A$6:$T$150,COLUMN()/2+1,FALSE))),"")</f>
        <v/>
      </c>
      <c r="M104" s="82"/>
      <c r="N104" s="196" t="str">
        <f ca="1">IFERROR(VALUE(IF(VLOOKUP($A104,数出表_Excel!$A$6:$T$150,COLUMN()/2+1,FALSE)=0,"",VLOOKUP($A104,数出表_Excel!$A$6:$T$150,COLUMN()/2+1,FALSE))),"")</f>
        <v/>
      </c>
      <c r="O104" s="66"/>
      <c r="P104" s="185" t="str">
        <f ca="1">IFERROR(VALUE(IF(VLOOKUP($A104,数出表_Excel!$A$6:$T$150,COLUMN()/2+1,FALSE)=0,"",VLOOKUP($A104,数出表_Excel!$A$6:$T$150,COLUMN()/2+1,FALSE))),"")</f>
        <v/>
      </c>
      <c r="Q104" s="82"/>
      <c r="R104" s="196" t="str">
        <f ca="1">IFERROR(VALUE(IF(VLOOKUP($A104,数出表_Excel!$A$6:$T$150,COLUMN()/2+1,FALSE)=0,"",VLOOKUP($A104,数出表_Excel!$A$6:$T$150,COLUMN()/2+1,FALSE))),"")</f>
        <v/>
      </c>
      <c r="S104" s="66"/>
      <c r="T104" s="185" t="str">
        <f ca="1">IFERROR(VALUE(IF(VLOOKUP($A104,数出表_Excel!$A$6:$T$150,COLUMN()/2+1,FALSE)=0,"",VLOOKUP($A104,数出表_Excel!$A$6:$T$150,COLUMN()/2+1,FALSE))),"")</f>
        <v/>
      </c>
      <c r="U104" s="82"/>
      <c r="V104" s="196" t="str">
        <f ca="1">IFERROR(VALUE(IF(VLOOKUP($A104,数出表_Excel!$A$6:$T$150,COLUMN()/2+1,FALSE)=0,"",VLOOKUP($A104,数出表_Excel!$A$6:$T$150,COLUMN()/2+1,FALSE))),"")</f>
        <v/>
      </c>
      <c r="W104" s="66"/>
      <c r="X104" s="185" t="str">
        <f ca="1">IFERROR(VALUE(IF(VLOOKUP($A104,数出表_Excel!$A$6:$T$150,COLUMN()/2+1,FALSE)=0,"",VLOOKUP($A104,数出表_Excel!$A$6:$T$150,COLUMN()/2+1,FALSE))),"")</f>
        <v/>
      </c>
      <c r="Y104" s="82"/>
      <c r="Z104" s="196" t="str">
        <f ca="1">IFERROR(VALUE(IF(VLOOKUP($A104,数出表_Excel!$A$6:$T$150,COLUMN()/2+1,FALSE)=0,"",VLOOKUP($A104,数出表_Excel!$A$6:$T$150,COLUMN()/2+1,FALSE))),"")</f>
        <v/>
      </c>
      <c r="AA104" s="82"/>
      <c r="AB104" s="185" t="str">
        <f ca="1">IFERROR(VALUE(IF(VLOOKUP($A104,数出表_Excel!$A$6:$T$150,COLUMN()/2+1,FALSE)=0,"",VLOOKUP($A104,数出表_Excel!$A$6:$T$150,COLUMN()/2+1,FALSE))),"")</f>
        <v/>
      </c>
      <c r="AC104" s="82"/>
      <c r="AD104" s="185" t="str">
        <f ca="1">IFERROR(VALUE(IF(VLOOKUP($A104,数出表_Excel!$A$6:$T$150,COLUMN()/2+1,FALSE)=0,"",VLOOKUP($A104,数出表_Excel!$A$6:$T$150,COLUMN()/2+1,FALSE))),"")</f>
        <v/>
      </c>
      <c r="AE104" s="82"/>
      <c r="AF104" s="185" t="str">
        <f ca="1">IFERROR(VALUE(IF(VLOOKUP($A104,数出表_Excel!$A$6:$T$150,COLUMN()/2+1,FALSE)=0,"",VLOOKUP($A104,数出表_Excel!$A$6:$T$150,COLUMN()/2+1,FALSE))),"")</f>
        <v/>
      </c>
      <c r="AG104" s="82"/>
      <c r="AH104" s="185" t="str">
        <f ca="1">IFERROR(VALUE(IF(VLOOKUP($A104,数出表_Excel!$A$6:$T$150,COLUMN()/2+1,FALSE)=0,"",VLOOKUP($A104,数出表_Excel!$A$6:$T$150,COLUMN()/2+1,FALSE))),"")</f>
        <v/>
      </c>
      <c r="AI104" s="82"/>
      <c r="AJ104" s="185" t="str">
        <f ca="1">IFERROR(VALUE(IF(VLOOKUP($A104,数出表_Excel!$A$6:$T$150,COLUMN()/2+1,FALSE)=0,"",VLOOKUP($A104,数出表_Excel!$A$6:$T$150,COLUMN()/2+1,FALSE))),"")</f>
        <v/>
      </c>
      <c r="AK104" s="82"/>
      <c r="AL104" s="68" t="e">
        <f ca="1">IF(A104&lt;&gt;"",
IF(VLOOKUP($A104,数出表_Excel!$A$6:$T$150,COLUMN()/2+1,FALSE)=0,"",VLOOKUP($A104,数出表_Excel!$A$6:$T$150,COLUMN()/2+1,FALSE)),"")</f>
        <v>#N/A</v>
      </c>
      <c r="AM104" s="96" t="e">
        <f>数出表_Excel!V104</f>
        <v>#N/A</v>
      </c>
      <c r="AN104" s="97" t="e">
        <f>数出表_Excel!W104</f>
        <v>#N/A</v>
      </c>
    </row>
    <row r="105" spans="1:40" ht="16.2" customHeight="1">
      <c r="A105" s="89" t="e">
        <f t="array" aca="1" ref="A105" ca="1">IF(OR(COUNTIF(A103,"*1000*"),COUNTIF(A103,"")),"",INDEX(貼り付け用!$A1:$A200,MATCH(A103,貼り付け用!$A1:$A200,0)+2,0))</f>
        <v>#N/A</v>
      </c>
      <c r="B105" s="186" t="str">
        <f ca="1">IFERROR(VALUE(IF(VLOOKUP($A105,数出表_Excel!$A$6:$T$150,COLUMN()/2+1,FALSE)=0,"",VLOOKUP($A105,数出表_Excel!$A$6:$T$150,COLUMN()/2+1,FALSE))),"")</f>
        <v/>
      </c>
      <c r="C105" s="67"/>
      <c r="D105" s="186" t="str">
        <f ca="1">IFERROR(VALUE(IF(VLOOKUP($A105,数出表_Excel!$A$6:$T$150,COLUMN()/2+1,FALSE)=0,"",VLOOKUP($A105,数出表_Excel!$A$6:$T$150,COLUMN()/2+1,FALSE))),"")</f>
        <v/>
      </c>
      <c r="E105" s="83"/>
      <c r="F105" s="197" t="str">
        <f ca="1">IFERROR(VALUE(IF(VLOOKUP($A105,数出表_Excel!$A$6:$T$150,COLUMN()/2+1,FALSE)=0,"",VLOOKUP($A105,数出表_Excel!$A$6:$T$150,COLUMN()/2+1,FALSE))),"")</f>
        <v/>
      </c>
      <c r="G105" s="67"/>
      <c r="H105" s="186" t="str">
        <f ca="1">IFERROR(VALUE(IF(VLOOKUP($A105,数出表_Excel!$A$6:$T$150,COLUMN()/2+1,FALSE)=0,"",VLOOKUP($A105,数出表_Excel!$A$6:$T$150,COLUMN()/2+1,FALSE))),"")</f>
        <v/>
      </c>
      <c r="I105" s="83"/>
      <c r="J105" s="197" t="str">
        <f ca="1">IFERROR(VALUE(IF(VLOOKUP($A105,数出表_Excel!$A$6:$T$150,COLUMN()/2+1,FALSE)=0,"",VLOOKUP($A105,数出表_Excel!$A$6:$T$150,COLUMN()/2+1,FALSE))),"")</f>
        <v/>
      </c>
      <c r="K105" s="67"/>
      <c r="L105" s="186" t="str">
        <f ca="1">IFERROR(VALUE(IF(VLOOKUP($A105,数出表_Excel!$A$6:$T$150,COLUMN()/2+1,FALSE)=0,"",VLOOKUP($A105,数出表_Excel!$A$6:$T$150,COLUMN()/2+1,FALSE))),"")</f>
        <v/>
      </c>
      <c r="M105" s="83"/>
      <c r="N105" s="197" t="str">
        <f ca="1">IFERROR(VALUE(IF(VLOOKUP($A105,数出表_Excel!$A$6:$T$150,COLUMN()/2+1,FALSE)=0,"",VLOOKUP($A105,数出表_Excel!$A$6:$T$150,COLUMN()/2+1,FALSE))),"")</f>
        <v/>
      </c>
      <c r="O105" s="67"/>
      <c r="P105" s="186" t="str">
        <f ca="1">IFERROR(VALUE(IF(VLOOKUP($A105,数出表_Excel!$A$6:$T$150,COLUMN()/2+1,FALSE)=0,"",VLOOKUP($A105,数出表_Excel!$A$6:$T$150,COLUMN()/2+1,FALSE))),"")</f>
        <v/>
      </c>
      <c r="Q105" s="83"/>
      <c r="R105" s="197" t="str">
        <f ca="1">IFERROR(VALUE(IF(VLOOKUP($A105,数出表_Excel!$A$6:$T$150,COLUMN()/2+1,FALSE)=0,"",VLOOKUP($A105,数出表_Excel!$A$6:$T$150,COLUMN()/2+1,FALSE))),"")</f>
        <v/>
      </c>
      <c r="S105" s="67"/>
      <c r="T105" s="186" t="str">
        <f ca="1">IFERROR(VALUE(IF(VLOOKUP($A105,数出表_Excel!$A$6:$T$150,COLUMN()/2+1,FALSE)=0,"",VLOOKUP($A105,数出表_Excel!$A$6:$T$150,COLUMN()/2+1,FALSE))),"")</f>
        <v/>
      </c>
      <c r="U105" s="83"/>
      <c r="V105" s="197" t="str">
        <f ca="1">IFERROR(VALUE(IF(VLOOKUP($A105,数出表_Excel!$A$6:$T$150,COLUMN()/2+1,FALSE)=0,"",VLOOKUP($A105,数出表_Excel!$A$6:$T$150,COLUMN()/2+1,FALSE))),"")</f>
        <v/>
      </c>
      <c r="W105" s="67"/>
      <c r="X105" s="186" t="str">
        <f ca="1">IFERROR(VALUE(IF(VLOOKUP($A105,数出表_Excel!$A$6:$T$150,COLUMN()/2+1,FALSE)=0,"",VLOOKUP($A105,数出表_Excel!$A$6:$T$150,COLUMN()/2+1,FALSE))),"")</f>
        <v/>
      </c>
      <c r="Y105" s="83"/>
      <c r="Z105" s="197" t="str">
        <f ca="1">IFERROR(VALUE(IF(VLOOKUP($A105,数出表_Excel!$A$6:$T$150,COLUMN()/2+1,FALSE)=0,"",VLOOKUP($A105,数出表_Excel!$A$6:$T$150,COLUMN()/2+1,FALSE))),"")</f>
        <v/>
      </c>
      <c r="AA105" s="83"/>
      <c r="AB105" s="186" t="str">
        <f ca="1">IFERROR(VALUE(IF(VLOOKUP($A105,数出表_Excel!$A$6:$T$150,COLUMN()/2+1,FALSE)=0,"",VLOOKUP($A105,数出表_Excel!$A$6:$T$150,COLUMN()/2+1,FALSE))),"")</f>
        <v/>
      </c>
      <c r="AC105" s="83"/>
      <c r="AD105" s="186" t="str">
        <f ca="1">IFERROR(VALUE(IF(VLOOKUP($A105,数出表_Excel!$A$6:$T$150,COLUMN()/2+1,FALSE)=0,"",VLOOKUP($A105,数出表_Excel!$A$6:$T$150,COLUMN()/2+1,FALSE))),"")</f>
        <v/>
      </c>
      <c r="AE105" s="83"/>
      <c r="AF105" s="186" t="str">
        <f ca="1">IFERROR(VALUE(IF(VLOOKUP($A105,数出表_Excel!$A$6:$T$150,COLUMN()/2+1,FALSE)=0,"",VLOOKUP($A105,数出表_Excel!$A$6:$T$150,COLUMN()/2+1,FALSE))),"")</f>
        <v/>
      </c>
      <c r="AG105" s="83"/>
      <c r="AH105" s="186" t="str">
        <f ca="1">IFERROR(VALUE(IF(VLOOKUP($A105,数出表_Excel!$A$6:$T$150,COLUMN()/2+1,FALSE)=0,"",VLOOKUP($A105,数出表_Excel!$A$6:$T$150,COLUMN()/2+1,FALSE))),"")</f>
        <v/>
      </c>
      <c r="AI105" s="83"/>
      <c r="AJ105" s="186" t="str">
        <f ca="1">IFERROR(VALUE(IF(VLOOKUP($A105,数出表_Excel!$A$6:$T$150,COLUMN()/2+1,FALSE)=0,"",VLOOKUP($A105,数出表_Excel!$A$6:$T$150,COLUMN()/2+1,FALSE))),"")</f>
        <v/>
      </c>
      <c r="AK105" s="83"/>
      <c r="AL105" s="70" t="e">
        <f ca="1">IF(A105&lt;&gt;"",
IF(VLOOKUP($A105,数出表_Excel!$A$6:$T$150,COLUMN()/2+1,FALSE)=0,"",VLOOKUP($A105,数出表_Excel!$A$6:$T$150,COLUMN()/2+1,FALSE)),"")</f>
        <v>#N/A</v>
      </c>
      <c r="AM105" s="98" t="e">
        <f>数出表_Excel!V105</f>
        <v>#N/A</v>
      </c>
      <c r="AN105" s="99" t="e">
        <f>数出表_Excel!W105</f>
        <v>#N/A</v>
      </c>
    </row>
    <row r="106" spans="1:40" ht="16.2" customHeight="1">
      <c r="A106" s="88" t="e">
        <f t="array" aca="1" ref="A106" ca="1">IF(OR(COUNTIF(A104,"*10002*"),COUNTIF(A104,"")),"",INDEX(貼り付け用!$A1:$A200,MATCH(A104,貼り付け用!$A1:$A200,0)+2,0))</f>
        <v>#N/A</v>
      </c>
      <c r="B106" s="185" t="str">
        <f ca="1">IFERROR(VALUE(IF(VLOOKUP($A106,数出表_Excel!$A$6:$T$150,COLUMN()/2+1,FALSE)=0,"",VLOOKUP($A106,数出表_Excel!$A$6:$T$150,COLUMN()/2+1,FALSE))),"")</f>
        <v/>
      </c>
      <c r="C106" s="66"/>
      <c r="D106" s="185" t="str">
        <f ca="1">IFERROR(VALUE(IF(VLOOKUP($A106,数出表_Excel!$A$6:$T$150,COLUMN()/2+1,FALSE)=0,"",VLOOKUP($A106,数出表_Excel!$A$6:$T$150,COLUMN()/2+1,FALSE))),"")</f>
        <v/>
      </c>
      <c r="E106" s="82"/>
      <c r="F106" s="196" t="str">
        <f ca="1">IFERROR(VALUE(IF(VLOOKUP($A106,数出表_Excel!$A$6:$T$150,COLUMN()/2+1,FALSE)=0,"",VLOOKUP($A106,数出表_Excel!$A$6:$T$150,COLUMN()/2+1,FALSE))),"")</f>
        <v/>
      </c>
      <c r="G106" s="66"/>
      <c r="H106" s="185" t="str">
        <f ca="1">IFERROR(VALUE(IF(VLOOKUP($A106,数出表_Excel!$A$6:$T$150,COLUMN()/2+1,FALSE)=0,"",VLOOKUP($A106,数出表_Excel!$A$6:$T$150,COLUMN()/2+1,FALSE))),"")</f>
        <v/>
      </c>
      <c r="I106" s="82"/>
      <c r="J106" s="196" t="str">
        <f ca="1">IFERROR(VALUE(IF(VLOOKUP($A106,数出表_Excel!$A$6:$T$150,COLUMN()/2+1,FALSE)=0,"",VLOOKUP($A106,数出表_Excel!$A$6:$T$150,COLUMN()/2+1,FALSE))),"")</f>
        <v/>
      </c>
      <c r="K106" s="66"/>
      <c r="L106" s="185" t="str">
        <f ca="1">IFERROR(VALUE(IF(VLOOKUP($A106,数出表_Excel!$A$6:$T$150,COLUMN()/2+1,FALSE)=0,"",VLOOKUP($A106,数出表_Excel!$A$6:$T$150,COLUMN()/2+1,FALSE))),"")</f>
        <v/>
      </c>
      <c r="M106" s="82"/>
      <c r="N106" s="196" t="str">
        <f ca="1">IFERROR(VALUE(IF(VLOOKUP($A106,数出表_Excel!$A$6:$T$150,COLUMN()/2+1,FALSE)=0,"",VLOOKUP($A106,数出表_Excel!$A$6:$T$150,COLUMN()/2+1,FALSE))),"")</f>
        <v/>
      </c>
      <c r="O106" s="66"/>
      <c r="P106" s="185" t="str">
        <f ca="1">IFERROR(VALUE(IF(VLOOKUP($A106,数出表_Excel!$A$6:$T$150,COLUMN()/2+1,FALSE)=0,"",VLOOKUP($A106,数出表_Excel!$A$6:$T$150,COLUMN()/2+1,FALSE))),"")</f>
        <v/>
      </c>
      <c r="Q106" s="82"/>
      <c r="R106" s="196" t="str">
        <f ca="1">IFERROR(VALUE(IF(VLOOKUP($A106,数出表_Excel!$A$6:$T$150,COLUMN()/2+1,FALSE)=0,"",VLOOKUP($A106,数出表_Excel!$A$6:$T$150,COLUMN()/2+1,FALSE))),"")</f>
        <v/>
      </c>
      <c r="S106" s="66"/>
      <c r="T106" s="185" t="str">
        <f ca="1">IFERROR(VALUE(IF(VLOOKUP($A106,数出表_Excel!$A$6:$T$150,COLUMN()/2+1,FALSE)=0,"",VLOOKUP($A106,数出表_Excel!$A$6:$T$150,COLUMN()/2+1,FALSE))),"")</f>
        <v/>
      </c>
      <c r="U106" s="82"/>
      <c r="V106" s="196" t="str">
        <f ca="1">IFERROR(VALUE(IF(VLOOKUP($A106,数出表_Excel!$A$6:$T$150,COLUMN()/2+1,FALSE)=0,"",VLOOKUP($A106,数出表_Excel!$A$6:$T$150,COLUMN()/2+1,FALSE))),"")</f>
        <v/>
      </c>
      <c r="W106" s="66"/>
      <c r="X106" s="185" t="str">
        <f ca="1">IFERROR(VALUE(IF(VLOOKUP($A106,数出表_Excel!$A$6:$T$150,COLUMN()/2+1,FALSE)=0,"",VLOOKUP($A106,数出表_Excel!$A$6:$T$150,COLUMN()/2+1,FALSE))),"")</f>
        <v/>
      </c>
      <c r="Y106" s="82"/>
      <c r="Z106" s="196" t="str">
        <f ca="1">IFERROR(VALUE(IF(VLOOKUP($A106,数出表_Excel!$A$6:$T$150,COLUMN()/2+1,FALSE)=0,"",VLOOKUP($A106,数出表_Excel!$A$6:$T$150,COLUMN()/2+1,FALSE))),"")</f>
        <v/>
      </c>
      <c r="AA106" s="82"/>
      <c r="AB106" s="185" t="str">
        <f ca="1">IFERROR(VALUE(IF(VLOOKUP($A106,数出表_Excel!$A$6:$T$150,COLUMN()/2+1,FALSE)=0,"",VLOOKUP($A106,数出表_Excel!$A$6:$T$150,COLUMN()/2+1,FALSE))),"")</f>
        <v/>
      </c>
      <c r="AC106" s="82"/>
      <c r="AD106" s="185" t="str">
        <f ca="1">IFERROR(VALUE(IF(VLOOKUP($A106,数出表_Excel!$A$6:$T$150,COLUMN()/2+1,FALSE)=0,"",VLOOKUP($A106,数出表_Excel!$A$6:$T$150,COLUMN()/2+1,FALSE))),"")</f>
        <v/>
      </c>
      <c r="AE106" s="82"/>
      <c r="AF106" s="185" t="str">
        <f ca="1">IFERROR(VALUE(IF(VLOOKUP($A106,数出表_Excel!$A$6:$T$150,COLUMN()/2+1,FALSE)=0,"",VLOOKUP($A106,数出表_Excel!$A$6:$T$150,COLUMN()/2+1,FALSE))),"")</f>
        <v/>
      </c>
      <c r="AG106" s="82"/>
      <c r="AH106" s="185" t="str">
        <f ca="1">IFERROR(VALUE(IF(VLOOKUP($A106,数出表_Excel!$A$6:$T$150,COLUMN()/2+1,FALSE)=0,"",VLOOKUP($A106,数出表_Excel!$A$6:$T$150,COLUMN()/2+1,FALSE))),"")</f>
        <v/>
      </c>
      <c r="AI106" s="82"/>
      <c r="AJ106" s="185" t="str">
        <f ca="1">IFERROR(VALUE(IF(VLOOKUP($A106,数出表_Excel!$A$6:$T$150,COLUMN()/2+1,FALSE)=0,"",VLOOKUP($A106,数出表_Excel!$A$6:$T$150,COLUMN()/2+1,FALSE))),"")</f>
        <v/>
      </c>
      <c r="AK106" s="82"/>
      <c r="AL106" s="68" t="e">
        <f ca="1">IF(A106&lt;&gt;"",
IF(VLOOKUP($A106,数出表_Excel!$A$6:$T$150,COLUMN()/2+1,FALSE)=0,"",VLOOKUP($A106,数出表_Excel!$A$6:$T$150,COLUMN()/2+1,FALSE)),"")</f>
        <v>#N/A</v>
      </c>
      <c r="AM106" s="96" t="e">
        <f>数出表_Excel!V106</f>
        <v>#N/A</v>
      </c>
      <c r="AN106" s="97" t="e">
        <f>数出表_Excel!W106</f>
        <v>#N/A</v>
      </c>
    </row>
    <row r="107" spans="1:40" ht="16.2" customHeight="1">
      <c r="A107" s="89" t="e">
        <f t="array" aca="1" ref="A107" ca="1">IF(OR(COUNTIF(A105,"*1000*"),COUNTIF(A105,"")),"",INDEX(貼り付け用!$A1:$A200,MATCH(A105,貼り付け用!$A1:$A200,0)+2,0))</f>
        <v>#N/A</v>
      </c>
      <c r="B107" s="186" t="str">
        <f ca="1">IFERROR(VALUE(IF(VLOOKUP($A107,数出表_Excel!$A$6:$T$150,COLUMN()/2+1,FALSE)=0,"",VLOOKUP($A107,数出表_Excel!$A$6:$T$150,COLUMN()/2+1,FALSE))),"")</f>
        <v/>
      </c>
      <c r="C107" s="67"/>
      <c r="D107" s="186" t="str">
        <f ca="1">IFERROR(VALUE(IF(VLOOKUP($A107,数出表_Excel!$A$6:$T$150,COLUMN()/2+1,FALSE)=0,"",VLOOKUP($A107,数出表_Excel!$A$6:$T$150,COLUMN()/2+1,FALSE))),"")</f>
        <v/>
      </c>
      <c r="E107" s="83"/>
      <c r="F107" s="197" t="str">
        <f ca="1">IFERROR(VALUE(IF(VLOOKUP($A107,数出表_Excel!$A$6:$T$150,COLUMN()/2+1,FALSE)=0,"",VLOOKUP($A107,数出表_Excel!$A$6:$T$150,COLUMN()/2+1,FALSE))),"")</f>
        <v/>
      </c>
      <c r="G107" s="67"/>
      <c r="H107" s="186" t="str">
        <f ca="1">IFERROR(VALUE(IF(VLOOKUP($A107,数出表_Excel!$A$6:$T$150,COLUMN()/2+1,FALSE)=0,"",VLOOKUP($A107,数出表_Excel!$A$6:$T$150,COLUMN()/2+1,FALSE))),"")</f>
        <v/>
      </c>
      <c r="I107" s="83"/>
      <c r="J107" s="197" t="str">
        <f ca="1">IFERROR(VALUE(IF(VLOOKUP($A107,数出表_Excel!$A$6:$T$150,COLUMN()/2+1,FALSE)=0,"",VLOOKUP($A107,数出表_Excel!$A$6:$T$150,COLUMN()/2+1,FALSE))),"")</f>
        <v/>
      </c>
      <c r="K107" s="67"/>
      <c r="L107" s="186" t="str">
        <f ca="1">IFERROR(VALUE(IF(VLOOKUP($A107,数出表_Excel!$A$6:$T$150,COLUMN()/2+1,FALSE)=0,"",VLOOKUP($A107,数出表_Excel!$A$6:$T$150,COLUMN()/2+1,FALSE))),"")</f>
        <v/>
      </c>
      <c r="M107" s="83"/>
      <c r="N107" s="197" t="str">
        <f ca="1">IFERROR(VALUE(IF(VLOOKUP($A107,数出表_Excel!$A$6:$T$150,COLUMN()/2+1,FALSE)=0,"",VLOOKUP($A107,数出表_Excel!$A$6:$T$150,COLUMN()/2+1,FALSE))),"")</f>
        <v/>
      </c>
      <c r="O107" s="67"/>
      <c r="P107" s="186" t="str">
        <f ca="1">IFERROR(VALUE(IF(VLOOKUP($A107,数出表_Excel!$A$6:$T$150,COLUMN()/2+1,FALSE)=0,"",VLOOKUP($A107,数出表_Excel!$A$6:$T$150,COLUMN()/2+1,FALSE))),"")</f>
        <v/>
      </c>
      <c r="Q107" s="83"/>
      <c r="R107" s="197" t="str">
        <f ca="1">IFERROR(VALUE(IF(VLOOKUP($A107,数出表_Excel!$A$6:$T$150,COLUMN()/2+1,FALSE)=0,"",VLOOKUP($A107,数出表_Excel!$A$6:$T$150,COLUMN()/2+1,FALSE))),"")</f>
        <v/>
      </c>
      <c r="S107" s="67"/>
      <c r="T107" s="186" t="str">
        <f ca="1">IFERROR(VALUE(IF(VLOOKUP($A107,数出表_Excel!$A$6:$T$150,COLUMN()/2+1,FALSE)=0,"",VLOOKUP($A107,数出表_Excel!$A$6:$T$150,COLUMN()/2+1,FALSE))),"")</f>
        <v/>
      </c>
      <c r="U107" s="83"/>
      <c r="V107" s="197" t="str">
        <f ca="1">IFERROR(VALUE(IF(VLOOKUP($A107,数出表_Excel!$A$6:$T$150,COLUMN()/2+1,FALSE)=0,"",VLOOKUP($A107,数出表_Excel!$A$6:$T$150,COLUMN()/2+1,FALSE))),"")</f>
        <v/>
      </c>
      <c r="W107" s="67"/>
      <c r="X107" s="186" t="str">
        <f ca="1">IFERROR(VALUE(IF(VLOOKUP($A107,数出表_Excel!$A$6:$T$150,COLUMN()/2+1,FALSE)=0,"",VLOOKUP($A107,数出表_Excel!$A$6:$T$150,COLUMN()/2+1,FALSE))),"")</f>
        <v/>
      </c>
      <c r="Y107" s="83"/>
      <c r="Z107" s="197" t="str">
        <f ca="1">IFERROR(VALUE(IF(VLOOKUP($A107,数出表_Excel!$A$6:$T$150,COLUMN()/2+1,FALSE)=0,"",VLOOKUP($A107,数出表_Excel!$A$6:$T$150,COLUMN()/2+1,FALSE))),"")</f>
        <v/>
      </c>
      <c r="AA107" s="83"/>
      <c r="AB107" s="186" t="str">
        <f ca="1">IFERROR(VALUE(IF(VLOOKUP($A107,数出表_Excel!$A$6:$T$150,COLUMN()/2+1,FALSE)=0,"",VLOOKUP($A107,数出表_Excel!$A$6:$T$150,COLUMN()/2+1,FALSE))),"")</f>
        <v/>
      </c>
      <c r="AC107" s="83"/>
      <c r="AD107" s="186" t="str">
        <f ca="1">IFERROR(VALUE(IF(VLOOKUP($A107,数出表_Excel!$A$6:$T$150,COLUMN()/2+1,FALSE)=0,"",VLOOKUP($A107,数出表_Excel!$A$6:$T$150,COLUMN()/2+1,FALSE))),"")</f>
        <v/>
      </c>
      <c r="AE107" s="83"/>
      <c r="AF107" s="186" t="str">
        <f ca="1">IFERROR(VALUE(IF(VLOOKUP($A107,数出表_Excel!$A$6:$T$150,COLUMN()/2+1,FALSE)=0,"",VLOOKUP($A107,数出表_Excel!$A$6:$T$150,COLUMN()/2+1,FALSE))),"")</f>
        <v/>
      </c>
      <c r="AG107" s="83"/>
      <c r="AH107" s="186" t="str">
        <f ca="1">IFERROR(VALUE(IF(VLOOKUP($A107,数出表_Excel!$A$6:$T$150,COLUMN()/2+1,FALSE)=0,"",VLOOKUP($A107,数出表_Excel!$A$6:$T$150,COLUMN()/2+1,FALSE))),"")</f>
        <v/>
      </c>
      <c r="AI107" s="83"/>
      <c r="AJ107" s="186" t="str">
        <f ca="1">IFERROR(VALUE(IF(VLOOKUP($A107,数出表_Excel!$A$6:$T$150,COLUMN()/2+1,FALSE)=0,"",VLOOKUP($A107,数出表_Excel!$A$6:$T$150,COLUMN()/2+1,FALSE))),"")</f>
        <v/>
      </c>
      <c r="AK107" s="83"/>
      <c r="AL107" s="70" t="e">
        <f ca="1">IF(A107&lt;&gt;"",
IF(VLOOKUP($A107,数出表_Excel!$A$6:$T$150,COLUMN()/2+1,FALSE)=0,"",VLOOKUP($A107,数出表_Excel!$A$6:$T$150,COLUMN()/2+1,FALSE)),"")</f>
        <v>#N/A</v>
      </c>
      <c r="AM107" s="98" t="e">
        <f>数出表_Excel!V107</f>
        <v>#N/A</v>
      </c>
      <c r="AN107" s="99" t="e">
        <f>数出表_Excel!W107</f>
        <v>#N/A</v>
      </c>
    </row>
    <row r="108" spans="1:40" ht="16.2" customHeight="1">
      <c r="A108" s="88" t="e">
        <f t="array" aca="1" ref="A108" ca="1">IF(OR(COUNTIF(A106,"*10002*"),COUNTIF(A106,"")),"",INDEX(貼り付け用!$A1:$A200,MATCH(A106,貼り付け用!$A1:$A200,0)+2,0))</f>
        <v>#N/A</v>
      </c>
      <c r="B108" s="185" t="str">
        <f ca="1">IFERROR(VALUE(IF(VLOOKUP($A108,数出表_Excel!$A$6:$T$150,COLUMN()/2+1,FALSE)=0,"",VLOOKUP($A108,数出表_Excel!$A$6:$T$150,COLUMN()/2+1,FALSE))),"")</f>
        <v/>
      </c>
      <c r="C108" s="66"/>
      <c r="D108" s="185" t="str">
        <f ca="1">IFERROR(VALUE(IF(VLOOKUP($A108,数出表_Excel!$A$6:$T$150,COLUMN()/2+1,FALSE)=0,"",VLOOKUP($A108,数出表_Excel!$A$6:$T$150,COLUMN()/2+1,FALSE))),"")</f>
        <v/>
      </c>
      <c r="E108" s="82"/>
      <c r="F108" s="196" t="str">
        <f ca="1">IFERROR(VALUE(IF(VLOOKUP($A108,数出表_Excel!$A$6:$T$150,COLUMN()/2+1,FALSE)=0,"",VLOOKUP($A108,数出表_Excel!$A$6:$T$150,COLUMN()/2+1,FALSE))),"")</f>
        <v/>
      </c>
      <c r="G108" s="66"/>
      <c r="H108" s="185" t="str">
        <f ca="1">IFERROR(VALUE(IF(VLOOKUP($A108,数出表_Excel!$A$6:$T$150,COLUMN()/2+1,FALSE)=0,"",VLOOKUP($A108,数出表_Excel!$A$6:$T$150,COLUMN()/2+1,FALSE))),"")</f>
        <v/>
      </c>
      <c r="I108" s="82"/>
      <c r="J108" s="196" t="str">
        <f ca="1">IFERROR(VALUE(IF(VLOOKUP($A108,数出表_Excel!$A$6:$T$150,COLUMN()/2+1,FALSE)=0,"",VLOOKUP($A108,数出表_Excel!$A$6:$T$150,COLUMN()/2+1,FALSE))),"")</f>
        <v/>
      </c>
      <c r="K108" s="66"/>
      <c r="L108" s="185" t="str">
        <f ca="1">IFERROR(VALUE(IF(VLOOKUP($A108,数出表_Excel!$A$6:$T$150,COLUMN()/2+1,FALSE)=0,"",VLOOKUP($A108,数出表_Excel!$A$6:$T$150,COLUMN()/2+1,FALSE))),"")</f>
        <v/>
      </c>
      <c r="M108" s="82"/>
      <c r="N108" s="196" t="str">
        <f ca="1">IFERROR(VALUE(IF(VLOOKUP($A108,数出表_Excel!$A$6:$T$150,COLUMN()/2+1,FALSE)=0,"",VLOOKUP($A108,数出表_Excel!$A$6:$T$150,COLUMN()/2+1,FALSE))),"")</f>
        <v/>
      </c>
      <c r="O108" s="66"/>
      <c r="P108" s="185" t="str">
        <f ca="1">IFERROR(VALUE(IF(VLOOKUP($A108,数出表_Excel!$A$6:$T$150,COLUMN()/2+1,FALSE)=0,"",VLOOKUP($A108,数出表_Excel!$A$6:$T$150,COLUMN()/2+1,FALSE))),"")</f>
        <v/>
      </c>
      <c r="Q108" s="82"/>
      <c r="R108" s="196" t="str">
        <f ca="1">IFERROR(VALUE(IF(VLOOKUP($A108,数出表_Excel!$A$6:$T$150,COLUMN()/2+1,FALSE)=0,"",VLOOKUP($A108,数出表_Excel!$A$6:$T$150,COLUMN()/2+1,FALSE))),"")</f>
        <v/>
      </c>
      <c r="S108" s="66"/>
      <c r="T108" s="185" t="str">
        <f ca="1">IFERROR(VALUE(IF(VLOOKUP($A108,数出表_Excel!$A$6:$T$150,COLUMN()/2+1,FALSE)=0,"",VLOOKUP($A108,数出表_Excel!$A$6:$T$150,COLUMN()/2+1,FALSE))),"")</f>
        <v/>
      </c>
      <c r="U108" s="82"/>
      <c r="V108" s="196" t="str">
        <f ca="1">IFERROR(VALUE(IF(VLOOKUP($A108,数出表_Excel!$A$6:$T$150,COLUMN()/2+1,FALSE)=0,"",VLOOKUP($A108,数出表_Excel!$A$6:$T$150,COLUMN()/2+1,FALSE))),"")</f>
        <v/>
      </c>
      <c r="W108" s="66"/>
      <c r="X108" s="185" t="str">
        <f ca="1">IFERROR(VALUE(IF(VLOOKUP($A108,数出表_Excel!$A$6:$T$150,COLUMN()/2+1,FALSE)=0,"",VLOOKUP($A108,数出表_Excel!$A$6:$T$150,COLUMN()/2+1,FALSE))),"")</f>
        <v/>
      </c>
      <c r="Y108" s="82"/>
      <c r="Z108" s="196" t="str">
        <f ca="1">IFERROR(VALUE(IF(VLOOKUP($A108,数出表_Excel!$A$6:$T$150,COLUMN()/2+1,FALSE)=0,"",VLOOKUP($A108,数出表_Excel!$A$6:$T$150,COLUMN()/2+1,FALSE))),"")</f>
        <v/>
      </c>
      <c r="AA108" s="82"/>
      <c r="AB108" s="185" t="str">
        <f ca="1">IFERROR(VALUE(IF(VLOOKUP($A108,数出表_Excel!$A$6:$T$150,COLUMN()/2+1,FALSE)=0,"",VLOOKUP($A108,数出表_Excel!$A$6:$T$150,COLUMN()/2+1,FALSE))),"")</f>
        <v/>
      </c>
      <c r="AC108" s="82"/>
      <c r="AD108" s="185" t="str">
        <f ca="1">IFERROR(VALUE(IF(VLOOKUP($A108,数出表_Excel!$A$6:$T$150,COLUMN()/2+1,FALSE)=0,"",VLOOKUP($A108,数出表_Excel!$A$6:$T$150,COLUMN()/2+1,FALSE))),"")</f>
        <v/>
      </c>
      <c r="AE108" s="82"/>
      <c r="AF108" s="185" t="str">
        <f ca="1">IFERROR(VALUE(IF(VLOOKUP($A108,数出表_Excel!$A$6:$T$150,COLUMN()/2+1,FALSE)=0,"",VLOOKUP($A108,数出表_Excel!$A$6:$T$150,COLUMN()/2+1,FALSE))),"")</f>
        <v/>
      </c>
      <c r="AG108" s="82"/>
      <c r="AH108" s="185" t="str">
        <f ca="1">IFERROR(VALUE(IF(VLOOKUP($A108,数出表_Excel!$A$6:$T$150,COLUMN()/2+1,FALSE)=0,"",VLOOKUP($A108,数出表_Excel!$A$6:$T$150,COLUMN()/2+1,FALSE))),"")</f>
        <v/>
      </c>
      <c r="AI108" s="82"/>
      <c r="AJ108" s="185" t="str">
        <f ca="1">IFERROR(VALUE(IF(VLOOKUP($A108,数出表_Excel!$A$6:$T$150,COLUMN()/2+1,FALSE)=0,"",VLOOKUP($A108,数出表_Excel!$A$6:$T$150,COLUMN()/2+1,FALSE))),"")</f>
        <v/>
      </c>
      <c r="AK108" s="82"/>
      <c r="AL108" s="68" t="e">
        <f ca="1">IF(A108&lt;&gt;"",
IF(VLOOKUP($A108,数出表_Excel!$A$6:$T$150,COLUMN()/2+1,FALSE)=0,"",VLOOKUP($A108,数出表_Excel!$A$6:$T$150,COLUMN()/2+1,FALSE)),"")</f>
        <v>#N/A</v>
      </c>
      <c r="AM108" s="96" t="e">
        <f>数出表_Excel!V108</f>
        <v>#N/A</v>
      </c>
      <c r="AN108" s="97" t="e">
        <f>数出表_Excel!W108</f>
        <v>#N/A</v>
      </c>
    </row>
    <row r="109" spans="1:40" ht="16.2" customHeight="1">
      <c r="A109" s="89" t="e">
        <f t="array" aca="1" ref="A109" ca="1">IF(OR(COUNTIF(A107,"*1000*"),COUNTIF(A107,"")),"",INDEX(貼り付け用!$A1:$A200,MATCH(A107,貼り付け用!$A1:$A200,0)+2,0))</f>
        <v>#N/A</v>
      </c>
      <c r="B109" s="186" t="str">
        <f ca="1">IFERROR(VALUE(IF(VLOOKUP($A109,数出表_Excel!$A$6:$T$150,COLUMN()/2+1,FALSE)=0,"",VLOOKUP($A109,数出表_Excel!$A$6:$T$150,COLUMN()/2+1,FALSE))),"")</f>
        <v/>
      </c>
      <c r="C109" s="67"/>
      <c r="D109" s="186" t="str">
        <f ca="1">IFERROR(VALUE(IF(VLOOKUP($A109,数出表_Excel!$A$6:$T$150,COLUMN()/2+1,FALSE)=0,"",VLOOKUP($A109,数出表_Excel!$A$6:$T$150,COLUMN()/2+1,FALSE))),"")</f>
        <v/>
      </c>
      <c r="E109" s="83"/>
      <c r="F109" s="197" t="str">
        <f ca="1">IFERROR(VALUE(IF(VLOOKUP($A109,数出表_Excel!$A$6:$T$150,COLUMN()/2+1,FALSE)=0,"",VLOOKUP($A109,数出表_Excel!$A$6:$T$150,COLUMN()/2+1,FALSE))),"")</f>
        <v/>
      </c>
      <c r="G109" s="67"/>
      <c r="H109" s="186" t="str">
        <f ca="1">IFERROR(VALUE(IF(VLOOKUP($A109,数出表_Excel!$A$6:$T$150,COLUMN()/2+1,FALSE)=0,"",VLOOKUP($A109,数出表_Excel!$A$6:$T$150,COLUMN()/2+1,FALSE))),"")</f>
        <v/>
      </c>
      <c r="I109" s="83"/>
      <c r="J109" s="197" t="str">
        <f ca="1">IFERROR(VALUE(IF(VLOOKUP($A109,数出表_Excel!$A$6:$T$150,COLUMN()/2+1,FALSE)=0,"",VLOOKUP($A109,数出表_Excel!$A$6:$T$150,COLUMN()/2+1,FALSE))),"")</f>
        <v/>
      </c>
      <c r="K109" s="67"/>
      <c r="L109" s="186" t="str">
        <f ca="1">IFERROR(VALUE(IF(VLOOKUP($A109,数出表_Excel!$A$6:$T$150,COLUMN()/2+1,FALSE)=0,"",VLOOKUP($A109,数出表_Excel!$A$6:$T$150,COLUMN()/2+1,FALSE))),"")</f>
        <v/>
      </c>
      <c r="M109" s="83"/>
      <c r="N109" s="197" t="str">
        <f ca="1">IFERROR(VALUE(IF(VLOOKUP($A109,数出表_Excel!$A$6:$T$150,COLUMN()/2+1,FALSE)=0,"",VLOOKUP($A109,数出表_Excel!$A$6:$T$150,COLUMN()/2+1,FALSE))),"")</f>
        <v/>
      </c>
      <c r="O109" s="67"/>
      <c r="P109" s="186" t="str">
        <f ca="1">IFERROR(VALUE(IF(VLOOKUP($A109,数出表_Excel!$A$6:$T$150,COLUMN()/2+1,FALSE)=0,"",VLOOKUP($A109,数出表_Excel!$A$6:$T$150,COLUMN()/2+1,FALSE))),"")</f>
        <v/>
      </c>
      <c r="Q109" s="83"/>
      <c r="R109" s="197" t="str">
        <f ca="1">IFERROR(VALUE(IF(VLOOKUP($A109,数出表_Excel!$A$6:$T$150,COLUMN()/2+1,FALSE)=0,"",VLOOKUP($A109,数出表_Excel!$A$6:$T$150,COLUMN()/2+1,FALSE))),"")</f>
        <v/>
      </c>
      <c r="S109" s="67"/>
      <c r="T109" s="186" t="str">
        <f ca="1">IFERROR(VALUE(IF(VLOOKUP($A109,数出表_Excel!$A$6:$T$150,COLUMN()/2+1,FALSE)=0,"",VLOOKUP($A109,数出表_Excel!$A$6:$T$150,COLUMN()/2+1,FALSE))),"")</f>
        <v/>
      </c>
      <c r="U109" s="83"/>
      <c r="V109" s="197" t="str">
        <f ca="1">IFERROR(VALUE(IF(VLOOKUP($A109,数出表_Excel!$A$6:$T$150,COLUMN()/2+1,FALSE)=0,"",VLOOKUP($A109,数出表_Excel!$A$6:$T$150,COLUMN()/2+1,FALSE))),"")</f>
        <v/>
      </c>
      <c r="W109" s="67"/>
      <c r="X109" s="186" t="str">
        <f ca="1">IFERROR(VALUE(IF(VLOOKUP($A109,数出表_Excel!$A$6:$T$150,COLUMN()/2+1,FALSE)=0,"",VLOOKUP($A109,数出表_Excel!$A$6:$T$150,COLUMN()/2+1,FALSE))),"")</f>
        <v/>
      </c>
      <c r="Y109" s="83"/>
      <c r="Z109" s="197" t="str">
        <f ca="1">IFERROR(VALUE(IF(VLOOKUP($A109,数出表_Excel!$A$6:$T$150,COLUMN()/2+1,FALSE)=0,"",VLOOKUP($A109,数出表_Excel!$A$6:$T$150,COLUMN()/2+1,FALSE))),"")</f>
        <v/>
      </c>
      <c r="AA109" s="83"/>
      <c r="AB109" s="186" t="str">
        <f ca="1">IFERROR(VALUE(IF(VLOOKUP($A109,数出表_Excel!$A$6:$T$150,COLUMN()/2+1,FALSE)=0,"",VLOOKUP($A109,数出表_Excel!$A$6:$T$150,COLUMN()/2+1,FALSE))),"")</f>
        <v/>
      </c>
      <c r="AC109" s="83"/>
      <c r="AD109" s="186" t="str">
        <f ca="1">IFERROR(VALUE(IF(VLOOKUP($A109,数出表_Excel!$A$6:$T$150,COLUMN()/2+1,FALSE)=0,"",VLOOKUP($A109,数出表_Excel!$A$6:$T$150,COLUMN()/2+1,FALSE))),"")</f>
        <v/>
      </c>
      <c r="AE109" s="83"/>
      <c r="AF109" s="186" t="str">
        <f ca="1">IFERROR(VALUE(IF(VLOOKUP($A109,数出表_Excel!$A$6:$T$150,COLUMN()/2+1,FALSE)=0,"",VLOOKUP($A109,数出表_Excel!$A$6:$T$150,COLUMN()/2+1,FALSE))),"")</f>
        <v/>
      </c>
      <c r="AG109" s="83"/>
      <c r="AH109" s="186" t="str">
        <f ca="1">IFERROR(VALUE(IF(VLOOKUP($A109,数出表_Excel!$A$6:$T$150,COLUMN()/2+1,FALSE)=0,"",VLOOKUP($A109,数出表_Excel!$A$6:$T$150,COLUMN()/2+1,FALSE))),"")</f>
        <v/>
      </c>
      <c r="AI109" s="83"/>
      <c r="AJ109" s="186" t="str">
        <f ca="1">IFERROR(VALUE(IF(VLOOKUP($A109,数出表_Excel!$A$6:$T$150,COLUMN()/2+1,FALSE)=0,"",VLOOKUP($A109,数出表_Excel!$A$6:$T$150,COLUMN()/2+1,FALSE))),"")</f>
        <v/>
      </c>
      <c r="AK109" s="83"/>
      <c r="AL109" s="70" t="e">
        <f ca="1">IF(A109&lt;&gt;"",
IF(VLOOKUP($A109,数出表_Excel!$A$6:$T$150,COLUMN()/2+1,FALSE)=0,"",VLOOKUP($A109,数出表_Excel!$A$6:$T$150,COLUMN()/2+1,FALSE)),"")</f>
        <v>#N/A</v>
      </c>
      <c r="AM109" s="98" t="e">
        <f>数出表_Excel!V109</f>
        <v>#N/A</v>
      </c>
      <c r="AN109" s="99" t="e">
        <f>数出表_Excel!W109</f>
        <v>#N/A</v>
      </c>
    </row>
    <row r="110" spans="1:40" ht="16.2" customHeight="1">
      <c r="A110" s="88" t="e">
        <f t="array" aca="1" ref="A110" ca="1">IF(OR(COUNTIF(A108,"*10002*"),COUNTIF(A108,"")),"",INDEX(貼り付け用!$A1:$A200,MATCH(A108,貼り付け用!$A1:$A200,0)+2,0))</f>
        <v>#N/A</v>
      </c>
      <c r="B110" s="185" t="str">
        <f ca="1">IFERROR(VALUE(IF(VLOOKUP($A110,数出表_Excel!$A$6:$T$150,COLUMN()/2+1,FALSE)=0,"",VLOOKUP($A110,数出表_Excel!$A$6:$T$150,COLUMN()/2+1,FALSE))),"")</f>
        <v/>
      </c>
      <c r="C110" s="66"/>
      <c r="D110" s="185" t="str">
        <f ca="1">IFERROR(VALUE(IF(VLOOKUP($A110,数出表_Excel!$A$6:$T$150,COLUMN()/2+1,FALSE)=0,"",VLOOKUP($A110,数出表_Excel!$A$6:$T$150,COLUMN()/2+1,FALSE))),"")</f>
        <v/>
      </c>
      <c r="E110" s="82"/>
      <c r="F110" s="196" t="str">
        <f ca="1">IFERROR(VALUE(IF(VLOOKUP($A110,数出表_Excel!$A$6:$T$150,COLUMN()/2+1,FALSE)=0,"",VLOOKUP($A110,数出表_Excel!$A$6:$T$150,COLUMN()/2+1,FALSE))),"")</f>
        <v/>
      </c>
      <c r="G110" s="66"/>
      <c r="H110" s="185" t="str">
        <f ca="1">IFERROR(VALUE(IF(VLOOKUP($A110,数出表_Excel!$A$6:$T$150,COLUMN()/2+1,FALSE)=0,"",VLOOKUP($A110,数出表_Excel!$A$6:$T$150,COLUMN()/2+1,FALSE))),"")</f>
        <v/>
      </c>
      <c r="I110" s="82"/>
      <c r="J110" s="196" t="str">
        <f ca="1">IFERROR(VALUE(IF(VLOOKUP($A110,数出表_Excel!$A$6:$T$150,COLUMN()/2+1,FALSE)=0,"",VLOOKUP($A110,数出表_Excel!$A$6:$T$150,COLUMN()/2+1,FALSE))),"")</f>
        <v/>
      </c>
      <c r="K110" s="66"/>
      <c r="L110" s="185" t="str">
        <f ca="1">IFERROR(VALUE(IF(VLOOKUP($A110,数出表_Excel!$A$6:$T$150,COLUMN()/2+1,FALSE)=0,"",VLOOKUP($A110,数出表_Excel!$A$6:$T$150,COLUMN()/2+1,FALSE))),"")</f>
        <v/>
      </c>
      <c r="M110" s="82"/>
      <c r="N110" s="196" t="str">
        <f ca="1">IFERROR(VALUE(IF(VLOOKUP($A110,数出表_Excel!$A$6:$T$150,COLUMN()/2+1,FALSE)=0,"",VLOOKUP($A110,数出表_Excel!$A$6:$T$150,COLUMN()/2+1,FALSE))),"")</f>
        <v/>
      </c>
      <c r="O110" s="66"/>
      <c r="P110" s="185" t="str">
        <f ca="1">IFERROR(VALUE(IF(VLOOKUP($A110,数出表_Excel!$A$6:$T$150,COLUMN()/2+1,FALSE)=0,"",VLOOKUP($A110,数出表_Excel!$A$6:$T$150,COLUMN()/2+1,FALSE))),"")</f>
        <v/>
      </c>
      <c r="Q110" s="82"/>
      <c r="R110" s="196" t="str">
        <f ca="1">IFERROR(VALUE(IF(VLOOKUP($A110,数出表_Excel!$A$6:$T$150,COLUMN()/2+1,FALSE)=0,"",VLOOKUP($A110,数出表_Excel!$A$6:$T$150,COLUMN()/2+1,FALSE))),"")</f>
        <v/>
      </c>
      <c r="S110" s="66"/>
      <c r="T110" s="185" t="str">
        <f ca="1">IFERROR(VALUE(IF(VLOOKUP($A110,数出表_Excel!$A$6:$T$150,COLUMN()/2+1,FALSE)=0,"",VLOOKUP($A110,数出表_Excel!$A$6:$T$150,COLUMN()/2+1,FALSE))),"")</f>
        <v/>
      </c>
      <c r="U110" s="82"/>
      <c r="V110" s="196" t="str">
        <f ca="1">IFERROR(VALUE(IF(VLOOKUP($A110,数出表_Excel!$A$6:$T$150,COLUMN()/2+1,FALSE)=0,"",VLOOKUP($A110,数出表_Excel!$A$6:$T$150,COLUMN()/2+1,FALSE))),"")</f>
        <v/>
      </c>
      <c r="W110" s="66"/>
      <c r="X110" s="185" t="str">
        <f ca="1">IFERROR(VALUE(IF(VLOOKUP($A110,数出表_Excel!$A$6:$T$150,COLUMN()/2+1,FALSE)=0,"",VLOOKUP($A110,数出表_Excel!$A$6:$T$150,COLUMN()/2+1,FALSE))),"")</f>
        <v/>
      </c>
      <c r="Y110" s="82"/>
      <c r="Z110" s="196" t="str">
        <f ca="1">IFERROR(VALUE(IF(VLOOKUP($A110,数出表_Excel!$A$6:$T$150,COLUMN()/2+1,FALSE)=0,"",VLOOKUP($A110,数出表_Excel!$A$6:$T$150,COLUMN()/2+1,FALSE))),"")</f>
        <v/>
      </c>
      <c r="AA110" s="82"/>
      <c r="AB110" s="185" t="str">
        <f ca="1">IFERROR(VALUE(IF(VLOOKUP($A110,数出表_Excel!$A$6:$T$150,COLUMN()/2+1,FALSE)=0,"",VLOOKUP($A110,数出表_Excel!$A$6:$T$150,COLUMN()/2+1,FALSE))),"")</f>
        <v/>
      </c>
      <c r="AC110" s="82"/>
      <c r="AD110" s="185" t="str">
        <f ca="1">IFERROR(VALUE(IF(VLOOKUP($A110,数出表_Excel!$A$6:$T$150,COLUMN()/2+1,FALSE)=0,"",VLOOKUP($A110,数出表_Excel!$A$6:$T$150,COLUMN()/2+1,FALSE))),"")</f>
        <v/>
      </c>
      <c r="AE110" s="82"/>
      <c r="AF110" s="185" t="str">
        <f ca="1">IFERROR(VALUE(IF(VLOOKUP($A110,数出表_Excel!$A$6:$T$150,COLUMN()/2+1,FALSE)=0,"",VLOOKUP($A110,数出表_Excel!$A$6:$T$150,COLUMN()/2+1,FALSE))),"")</f>
        <v/>
      </c>
      <c r="AG110" s="82"/>
      <c r="AH110" s="185" t="str">
        <f ca="1">IFERROR(VALUE(IF(VLOOKUP($A110,数出表_Excel!$A$6:$T$150,COLUMN()/2+1,FALSE)=0,"",VLOOKUP($A110,数出表_Excel!$A$6:$T$150,COLUMN()/2+1,FALSE))),"")</f>
        <v/>
      </c>
      <c r="AI110" s="82"/>
      <c r="AJ110" s="185" t="str">
        <f ca="1">IFERROR(VALUE(IF(VLOOKUP($A110,数出表_Excel!$A$6:$T$150,COLUMN()/2+1,FALSE)=0,"",VLOOKUP($A110,数出表_Excel!$A$6:$T$150,COLUMN()/2+1,FALSE))),"")</f>
        <v/>
      </c>
      <c r="AK110" s="82"/>
      <c r="AL110" s="68" t="e">
        <f ca="1">IF(A110&lt;&gt;"",
IF(VLOOKUP($A110,数出表_Excel!$A$6:$T$150,COLUMN()/2+1,FALSE)=0,"",VLOOKUP($A110,数出表_Excel!$A$6:$T$150,COLUMN()/2+1,FALSE)),"")</f>
        <v>#N/A</v>
      </c>
      <c r="AM110" s="96" t="e">
        <f>数出表_Excel!V110</f>
        <v>#N/A</v>
      </c>
      <c r="AN110" s="97" t="e">
        <f>数出表_Excel!W110</f>
        <v>#N/A</v>
      </c>
    </row>
    <row r="111" spans="1:40" ht="16.2" customHeight="1">
      <c r="A111" s="89" t="e">
        <f t="array" aca="1" ref="A111" ca="1">IF(OR(COUNTIF(A109,"*1000*"),COUNTIF(A109,"")),"",INDEX(貼り付け用!$A1:$A200,MATCH(A109,貼り付け用!$A1:$A200,0)+2,0))</f>
        <v>#N/A</v>
      </c>
      <c r="B111" s="186" t="str">
        <f ca="1">IFERROR(VALUE(IF(VLOOKUP($A111,数出表_Excel!$A$6:$T$150,COLUMN()/2+1,FALSE)=0,"",VLOOKUP($A111,数出表_Excel!$A$6:$T$150,COLUMN()/2+1,FALSE))),"")</f>
        <v/>
      </c>
      <c r="C111" s="67"/>
      <c r="D111" s="186" t="str">
        <f ca="1">IFERROR(VALUE(IF(VLOOKUP($A111,数出表_Excel!$A$6:$T$150,COLUMN()/2+1,FALSE)=0,"",VLOOKUP($A111,数出表_Excel!$A$6:$T$150,COLUMN()/2+1,FALSE))),"")</f>
        <v/>
      </c>
      <c r="E111" s="83"/>
      <c r="F111" s="197" t="str">
        <f ca="1">IFERROR(VALUE(IF(VLOOKUP($A111,数出表_Excel!$A$6:$T$150,COLUMN()/2+1,FALSE)=0,"",VLOOKUP($A111,数出表_Excel!$A$6:$T$150,COLUMN()/2+1,FALSE))),"")</f>
        <v/>
      </c>
      <c r="G111" s="67"/>
      <c r="H111" s="186" t="str">
        <f ca="1">IFERROR(VALUE(IF(VLOOKUP($A111,数出表_Excel!$A$6:$T$150,COLUMN()/2+1,FALSE)=0,"",VLOOKUP($A111,数出表_Excel!$A$6:$T$150,COLUMN()/2+1,FALSE))),"")</f>
        <v/>
      </c>
      <c r="I111" s="83"/>
      <c r="J111" s="197" t="str">
        <f ca="1">IFERROR(VALUE(IF(VLOOKUP($A111,数出表_Excel!$A$6:$T$150,COLUMN()/2+1,FALSE)=0,"",VLOOKUP($A111,数出表_Excel!$A$6:$T$150,COLUMN()/2+1,FALSE))),"")</f>
        <v/>
      </c>
      <c r="K111" s="67"/>
      <c r="L111" s="186" t="str">
        <f ca="1">IFERROR(VALUE(IF(VLOOKUP($A111,数出表_Excel!$A$6:$T$150,COLUMN()/2+1,FALSE)=0,"",VLOOKUP($A111,数出表_Excel!$A$6:$T$150,COLUMN()/2+1,FALSE))),"")</f>
        <v/>
      </c>
      <c r="M111" s="83"/>
      <c r="N111" s="197" t="str">
        <f ca="1">IFERROR(VALUE(IF(VLOOKUP($A111,数出表_Excel!$A$6:$T$150,COLUMN()/2+1,FALSE)=0,"",VLOOKUP($A111,数出表_Excel!$A$6:$T$150,COLUMN()/2+1,FALSE))),"")</f>
        <v/>
      </c>
      <c r="O111" s="67"/>
      <c r="P111" s="186" t="str">
        <f ca="1">IFERROR(VALUE(IF(VLOOKUP($A111,数出表_Excel!$A$6:$T$150,COLUMN()/2+1,FALSE)=0,"",VLOOKUP($A111,数出表_Excel!$A$6:$T$150,COLUMN()/2+1,FALSE))),"")</f>
        <v/>
      </c>
      <c r="Q111" s="83"/>
      <c r="R111" s="197" t="str">
        <f ca="1">IFERROR(VALUE(IF(VLOOKUP($A111,数出表_Excel!$A$6:$T$150,COLUMN()/2+1,FALSE)=0,"",VLOOKUP($A111,数出表_Excel!$A$6:$T$150,COLUMN()/2+1,FALSE))),"")</f>
        <v/>
      </c>
      <c r="S111" s="67"/>
      <c r="T111" s="186" t="str">
        <f ca="1">IFERROR(VALUE(IF(VLOOKUP($A111,数出表_Excel!$A$6:$T$150,COLUMN()/2+1,FALSE)=0,"",VLOOKUP($A111,数出表_Excel!$A$6:$T$150,COLUMN()/2+1,FALSE))),"")</f>
        <v/>
      </c>
      <c r="U111" s="83"/>
      <c r="V111" s="197" t="str">
        <f ca="1">IFERROR(VALUE(IF(VLOOKUP($A111,数出表_Excel!$A$6:$T$150,COLUMN()/2+1,FALSE)=0,"",VLOOKUP($A111,数出表_Excel!$A$6:$T$150,COLUMN()/2+1,FALSE))),"")</f>
        <v/>
      </c>
      <c r="W111" s="67"/>
      <c r="X111" s="186" t="str">
        <f ca="1">IFERROR(VALUE(IF(VLOOKUP($A111,数出表_Excel!$A$6:$T$150,COLUMN()/2+1,FALSE)=0,"",VLOOKUP($A111,数出表_Excel!$A$6:$T$150,COLUMN()/2+1,FALSE))),"")</f>
        <v/>
      </c>
      <c r="Y111" s="83"/>
      <c r="Z111" s="197" t="str">
        <f ca="1">IFERROR(VALUE(IF(VLOOKUP($A111,数出表_Excel!$A$6:$T$150,COLUMN()/2+1,FALSE)=0,"",VLOOKUP($A111,数出表_Excel!$A$6:$T$150,COLUMN()/2+1,FALSE))),"")</f>
        <v/>
      </c>
      <c r="AA111" s="83"/>
      <c r="AB111" s="186" t="str">
        <f ca="1">IFERROR(VALUE(IF(VLOOKUP($A111,数出表_Excel!$A$6:$T$150,COLUMN()/2+1,FALSE)=0,"",VLOOKUP($A111,数出表_Excel!$A$6:$T$150,COLUMN()/2+1,FALSE))),"")</f>
        <v/>
      </c>
      <c r="AC111" s="83"/>
      <c r="AD111" s="186" t="str">
        <f ca="1">IFERROR(VALUE(IF(VLOOKUP($A111,数出表_Excel!$A$6:$T$150,COLUMN()/2+1,FALSE)=0,"",VLOOKUP($A111,数出表_Excel!$A$6:$T$150,COLUMN()/2+1,FALSE))),"")</f>
        <v/>
      </c>
      <c r="AE111" s="83"/>
      <c r="AF111" s="186" t="str">
        <f ca="1">IFERROR(VALUE(IF(VLOOKUP($A111,数出表_Excel!$A$6:$T$150,COLUMN()/2+1,FALSE)=0,"",VLOOKUP($A111,数出表_Excel!$A$6:$T$150,COLUMN()/2+1,FALSE))),"")</f>
        <v/>
      </c>
      <c r="AG111" s="83"/>
      <c r="AH111" s="186" t="str">
        <f ca="1">IFERROR(VALUE(IF(VLOOKUP($A111,数出表_Excel!$A$6:$T$150,COLUMN()/2+1,FALSE)=0,"",VLOOKUP($A111,数出表_Excel!$A$6:$T$150,COLUMN()/2+1,FALSE))),"")</f>
        <v/>
      </c>
      <c r="AI111" s="83"/>
      <c r="AJ111" s="186" t="str">
        <f ca="1">IFERROR(VALUE(IF(VLOOKUP($A111,数出表_Excel!$A$6:$T$150,COLUMN()/2+1,FALSE)=0,"",VLOOKUP($A111,数出表_Excel!$A$6:$T$150,COLUMN()/2+1,FALSE))),"")</f>
        <v/>
      </c>
      <c r="AK111" s="83"/>
      <c r="AL111" s="70" t="e">
        <f ca="1">IF(A111&lt;&gt;"",
IF(VLOOKUP($A111,数出表_Excel!$A$6:$T$150,COLUMN()/2+1,FALSE)=0,"",VLOOKUP($A111,数出表_Excel!$A$6:$T$150,COLUMN()/2+1,FALSE)),"")</f>
        <v>#N/A</v>
      </c>
      <c r="AM111" s="98" t="e">
        <f>数出表_Excel!V111</f>
        <v>#N/A</v>
      </c>
      <c r="AN111" s="99" t="e">
        <f>数出表_Excel!W111</f>
        <v>#N/A</v>
      </c>
    </row>
    <row r="112" spans="1:40" ht="16.2" customHeight="1">
      <c r="A112" s="88" t="e">
        <f t="array" aca="1" ref="A112" ca="1">IF(OR(COUNTIF(A110,"*10002*"),COUNTIF(A110,"")),"",INDEX(貼り付け用!$A1:$A200,MATCH(A110,貼り付け用!$A1:$A200,0)+2,0))</f>
        <v>#N/A</v>
      </c>
      <c r="B112" s="185" t="str">
        <f ca="1">IFERROR(VALUE(IF(VLOOKUP($A112,数出表_Excel!$A$6:$T$150,COLUMN()/2+1,FALSE)=0,"",VLOOKUP($A112,数出表_Excel!$A$6:$T$150,COLUMN()/2+1,FALSE))),"")</f>
        <v/>
      </c>
      <c r="C112" s="66"/>
      <c r="D112" s="185" t="str">
        <f ca="1">IFERROR(VALUE(IF(VLOOKUP($A112,数出表_Excel!$A$6:$T$150,COLUMN()/2+1,FALSE)=0,"",VLOOKUP($A112,数出表_Excel!$A$6:$T$150,COLUMN()/2+1,FALSE))),"")</f>
        <v/>
      </c>
      <c r="E112" s="82"/>
      <c r="F112" s="196" t="str">
        <f ca="1">IFERROR(VALUE(IF(VLOOKUP($A112,数出表_Excel!$A$6:$T$150,COLUMN()/2+1,FALSE)=0,"",VLOOKUP($A112,数出表_Excel!$A$6:$T$150,COLUMN()/2+1,FALSE))),"")</f>
        <v/>
      </c>
      <c r="G112" s="66"/>
      <c r="H112" s="185" t="str">
        <f ca="1">IFERROR(VALUE(IF(VLOOKUP($A112,数出表_Excel!$A$6:$T$150,COLUMN()/2+1,FALSE)=0,"",VLOOKUP($A112,数出表_Excel!$A$6:$T$150,COLUMN()/2+1,FALSE))),"")</f>
        <v/>
      </c>
      <c r="I112" s="82"/>
      <c r="J112" s="196" t="str">
        <f ca="1">IFERROR(VALUE(IF(VLOOKUP($A112,数出表_Excel!$A$6:$T$150,COLUMN()/2+1,FALSE)=0,"",VLOOKUP($A112,数出表_Excel!$A$6:$T$150,COLUMN()/2+1,FALSE))),"")</f>
        <v/>
      </c>
      <c r="K112" s="66"/>
      <c r="L112" s="185" t="str">
        <f ca="1">IFERROR(VALUE(IF(VLOOKUP($A112,数出表_Excel!$A$6:$T$150,COLUMN()/2+1,FALSE)=0,"",VLOOKUP($A112,数出表_Excel!$A$6:$T$150,COLUMN()/2+1,FALSE))),"")</f>
        <v/>
      </c>
      <c r="M112" s="82"/>
      <c r="N112" s="196" t="str">
        <f ca="1">IFERROR(VALUE(IF(VLOOKUP($A112,数出表_Excel!$A$6:$T$150,COLUMN()/2+1,FALSE)=0,"",VLOOKUP($A112,数出表_Excel!$A$6:$T$150,COLUMN()/2+1,FALSE))),"")</f>
        <v/>
      </c>
      <c r="O112" s="66"/>
      <c r="P112" s="185" t="str">
        <f ca="1">IFERROR(VALUE(IF(VLOOKUP($A112,数出表_Excel!$A$6:$T$150,COLUMN()/2+1,FALSE)=0,"",VLOOKUP($A112,数出表_Excel!$A$6:$T$150,COLUMN()/2+1,FALSE))),"")</f>
        <v/>
      </c>
      <c r="Q112" s="82"/>
      <c r="R112" s="196" t="str">
        <f ca="1">IFERROR(VALUE(IF(VLOOKUP($A112,数出表_Excel!$A$6:$T$150,COLUMN()/2+1,FALSE)=0,"",VLOOKUP($A112,数出表_Excel!$A$6:$T$150,COLUMN()/2+1,FALSE))),"")</f>
        <v/>
      </c>
      <c r="S112" s="66"/>
      <c r="T112" s="185" t="str">
        <f ca="1">IFERROR(VALUE(IF(VLOOKUP($A112,数出表_Excel!$A$6:$T$150,COLUMN()/2+1,FALSE)=0,"",VLOOKUP($A112,数出表_Excel!$A$6:$T$150,COLUMN()/2+1,FALSE))),"")</f>
        <v/>
      </c>
      <c r="U112" s="82"/>
      <c r="V112" s="196" t="str">
        <f ca="1">IFERROR(VALUE(IF(VLOOKUP($A112,数出表_Excel!$A$6:$T$150,COLUMN()/2+1,FALSE)=0,"",VLOOKUP($A112,数出表_Excel!$A$6:$T$150,COLUMN()/2+1,FALSE))),"")</f>
        <v/>
      </c>
      <c r="W112" s="66"/>
      <c r="X112" s="185" t="str">
        <f ca="1">IFERROR(VALUE(IF(VLOOKUP($A112,数出表_Excel!$A$6:$T$150,COLUMN()/2+1,FALSE)=0,"",VLOOKUP($A112,数出表_Excel!$A$6:$T$150,COLUMN()/2+1,FALSE))),"")</f>
        <v/>
      </c>
      <c r="Y112" s="82"/>
      <c r="Z112" s="196" t="str">
        <f ca="1">IFERROR(VALUE(IF(VLOOKUP($A112,数出表_Excel!$A$6:$T$150,COLUMN()/2+1,FALSE)=0,"",VLOOKUP($A112,数出表_Excel!$A$6:$T$150,COLUMN()/2+1,FALSE))),"")</f>
        <v/>
      </c>
      <c r="AA112" s="82"/>
      <c r="AB112" s="185" t="str">
        <f ca="1">IFERROR(VALUE(IF(VLOOKUP($A112,数出表_Excel!$A$6:$T$150,COLUMN()/2+1,FALSE)=0,"",VLOOKUP($A112,数出表_Excel!$A$6:$T$150,COLUMN()/2+1,FALSE))),"")</f>
        <v/>
      </c>
      <c r="AC112" s="82"/>
      <c r="AD112" s="185" t="str">
        <f ca="1">IFERROR(VALUE(IF(VLOOKUP($A112,数出表_Excel!$A$6:$T$150,COLUMN()/2+1,FALSE)=0,"",VLOOKUP($A112,数出表_Excel!$A$6:$T$150,COLUMN()/2+1,FALSE))),"")</f>
        <v/>
      </c>
      <c r="AE112" s="82"/>
      <c r="AF112" s="185" t="str">
        <f ca="1">IFERROR(VALUE(IF(VLOOKUP($A112,数出表_Excel!$A$6:$T$150,COLUMN()/2+1,FALSE)=0,"",VLOOKUP($A112,数出表_Excel!$A$6:$T$150,COLUMN()/2+1,FALSE))),"")</f>
        <v/>
      </c>
      <c r="AG112" s="82"/>
      <c r="AH112" s="185" t="str">
        <f ca="1">IFERROR(VALUE(IF(VLOOKUP($A112,数出表_Excel!$A$6:$T$150,COLUMN()/2+1,FALSE)=0,"",VLOOKUP($A112,数出表_Excel!$A$6:$T$150,COLUMN()/2+1,FALSE))),"")</f>
        <v/>
      </c>
      <c r="AI112" s="82"/>
      <c r="AJ112" s="185" t="str">
        <f ca="1">IFERROR(VALUE(IF(VLOOKUP($A112,数出表_Excel!$A$6:$T$150,COLUMN()/2+1,FALSE)=0,"",VLOOKUP($A112,数出表_Excel!$A$6:$T$150,COLUMN()/2+1,FALSE))),"")</f>
        <v/>
      </c>
      <c r="AK112" s="82"/>
      <c r="AL112" s="68" t="e">
        <f ca="1">IF(A112&lt;&gt;"",
IF(VLOOKUP($A112,数出表_Excel!$A$6:$T$150,COLUMN()/2+1,FALSE)=0,"",VLOOKUP($A112,数出表_Excel!$A$6:$T$150,COLUMN()/2+1,FALSE)),"")</f>
        <v>#N/A</v>
      </c>
      <c r="AM112" s="96" t="e">
        <f>数出表_Excel!V112</f>
        <v>#N/A</v>
      </c>
      <c r="AN112" s="97" t="e">
        <f>数出表_Excel!W112</f>
        <v>#N/A</v>
      </c>
    </row>
    <row r="113" spans="1:40" ht="16.2" customHeight="1">
      <c r="A113" s="89" t="e">
        <f t="array" aca="1" ref="A113" ca="1">IF(OR(COUNTIF(A111,"*1000*"),COUNTIF(A111,"")),"",INDEX(貼り付け用!$A1:$A200,MATCH(A111,貼り付け用!$A1:$A200,0)+2,0))</f>
        <v>#N/A</v>
      </c>
      <c r="B113" s="186" t="str">
        <f ca="1">IFERROR(VALUE(IF(VLOOKUP($A113,数出表_Excel!$A$6:$T$150,COLUMN()/2+1,FALSE)=0,"",VLOOKUP($A113,数出表_Excel!$A$6:$T$150,COLUMN()/2+1,FALSE))),"")</f>
        <v/>
      </c>
      <c r="C113" s="67"/>
      <c r="D113" s="186" t="str">
        <f ca="1">IFERROR(VALUE(IF(VLOOKUP($A113,数出表_Excel!$A$6:$T$150,COLUMN()/2+1,FALSE)=0,"",VLOOKUP($A113,数出表_Excel!$A$6:$T$150,COLUMN()/2+1,FALSE))),"")</f>
        <v/>
      </c>
      <c r="E113" s="83"/>
      <c r="F113" s="197" t="str">
        <f ca="1">IFERROR(VALUE(IF(VLOOKUP($A113,数出表_Excel!$A$6:$T$150,COLUMN()/2+1,FALSE)=0,"",VLOOKUP($A113,数出表_Excel!$A$6:$T$150,COLUMN()/2+1,FALSE))),"")</f>
        <v/>
      </c>
      <c r="G113" s="67"/>
      <c r="H113" s="186" t="str">
        <f ca="1">IFERROR(VALUE(IF(VLOOKUP($A113,数出表_Excel!$A$6:$T$150,COLUMN()/2+1,FALSE)=0,"",VLOOKUP($A113,数出表_Excel!$A$6:$T$150,COLUMN()/2+1,FALSE))),"")</f>
        <v/>
      </c>
      <c r="I113" s="83"/>
      <c r="J113" s="197" t="str">
        <f ca="1">IFERROR(VALUE(IF(VLOOKUP($A113,数出表_Excel!$A$6:$T$150,COLUMN()/2+1,FALSE)=0,"",VLOOKUP($A113,数出表_Excel!$A$6:$T$150,COLUMN()/2+1,FALSE))),"")</f>
        <v/>
      </c>
      <c r="K113" s="67"/>
      <c r="L113" s="186" t="str">
        <f ca="1">IFERROR(VALUE(IF(VLOOKUP($A113,数出表_Excel!$A$6:$T$150,COLUMN()/2+1,FALSE)=0,"",VLOOKUP($A113,数出表_Excel!$A$6:$T$150,COLUMN()/2+1,FALSE))),"")</f>
        <v/>
      </c>
      <c r="M113" s="83"/>
      <c r="N113" s="197" t="str">
        <f ca="1">IFERROR(VALUE(IF(VLOOKUP($A113,数出表_Excel!$A$6:$T$150,COLUMN()/2+1,FALSE)=0,"",VLOOKUP($A113,数出表_Excel!$A$6:$T$150,COLUMN()/2+1,FALSE))),"")</f>
        <v/>
      </c>
      <c r="O113" s="67"/>
      <c r="P113" s="186" t="str">
        <f ca="1">IFERROR(VALUE(IF(VLOOKUP($A113,数出表_Excel!$A$6:$T$150,COLUMN()/2+1,FALSE)=0,"",VLOOKUP($A113,数出表_Excel!$A$6:$T$150,COLUMN()/2+1,FALSE))),"")</f>
        <v/>
      </c>
      <c r="Q113" s="83"/>
      <c r="R113" s="197" t="str">
        <f ca="1">IFERROR(VALUE(IF(VLOOKUP($A113,数出表_Excel!$A$6:$T$150,COLUMN()/2+1,FALSE)=0,"",VLOOKUP($A113,数出表_Excel!$A$6:$T$150,COLUMN()/2+1,FALSE))),"")</f>
        <v/>
      </c>
      <c r="S113" s="67"/>
      <c r="T113" s="186" t="str">
        <f ca="1">IFERROR(VALUE(IF(VLOOKUP($A113,数出表_Excel!$A$6:$T$150,COLUMN()/2+1,FALSE)=0,"",VLOOKUP($A113,数出表_Excel!$A$6:$T$150,COLUMN()/2+1,FALSE))),"")</f>
        <v/>
      </c>
      <c r="U113" s="83"/>
      <c r="V113" s="197" t="str">
        <f ca="1">IFERROR(VALUE(IF(VLOOKUP($A113,数出表_Excel!$A$6:$T$150,COLUMN()/2+1,FALSE)=0,"",VLOOKUP($A113,数出表_Excel!$A$6:$T$150,COLUMN()/2+1,FALSE))),"")</f>
        <v/>
      </c>
      <c r="W113" s="67"/>
      <c r="X113" s="186" t="str">
        <f ca="1">IFERROR(VALUE(IF(VLOOKUP($A113,数出表_Excel!$A$6:$T$150,COLUMN()/2+1,FALSE)=0,"",VLOOKUP($A113,数出表_Excel!$A$6:$T$150,COLUMN()/2+1,FALSE))),"")</f>
        <v/>
      </c>
      <c r="Y113" s="83"/>
      <c r="Z113" s="197" t="str">
        <f ca="1">IFERROR(VALUE(IF(VLOOKUP($A113,数出表_Excel!$A$6:$T$150,COLUMN()/2+1,FALSE)=0,"",VLOOKUP($A113,数出表_Excel!$A$6:$T$150,COLUMN()/2+1,FALSE))),"")</f>
        <v/>
      </c>
      <c r="AA113" s="83"/>
      <c r="AB113" s="186" t="str">
        <f ca="1">IFERROR(VALUE(IF(VLOOKUP($A113,数出表_Excel!$A$6:$T$150,COLUMN()/2+1,FALSE)=0,"",VLOOKUP($A113,数出表_Excel!$A$6:$T$150,COLUMN()/2+1,FALSE))),"")</f>
        <v/>
      </c>
      <c r="AC113" s="83"/>
      <c r="AD113" s="186" t="str">
        <f ca="1">IFERROR(VALUE(IF(VLOOKUP($A113,数出表_Excel!$A$6:$T$150,COLUMN()/2+1,FALSE)=0,"",VLOOKUP($A113,数出表_Excel!$A$6:$T$150,COLUMN()/2+1,FALSE))),"")</f>
        <v/>
      </c>
      <c r="AE113" s="83"/>
      <c r="AF113" s="186" t="str">
        <f ca="1">IFERROR(VALUE(IF(VLOOKUP($A113,数出表_Excel!$A$6:$T$150,COLUMN()/2+1,FALSE)=0,"",VLOOKUP($A113,数出表_Excel!$A$6:$T$150,COLUMN()/2+1,FALSE))),"")</f>
        <v/>
      </c>
      <c r="AG113" s="83"/>
      <c r="AH113" s="186" t="str">
        <f ca="1">IFERROR(VALUE(IF(VLOOKUP($A113,数出表_Excel!$A$6:$T$150,COLUMN()/2+1,FALSE)=0,"",VLOOKUP($A113,数出表_Excel!$A$6:$T$150,COLUMN()/2+1,FALSE))),"")</f>
        <v/>
      </c>
      <c r="AI113" s="83"/>
      <c r="AJ113" s="186" t="str">
        <f ca="1">IFERROR(VALUE(IF(VLOOKUP($A113,数出表_Excel!$A$6:$T$150,COLUMN()/2+1,FALSE)=0,"",VLOOKUP($A113,数出表_Excel!$A$6:$T$150,COLUMN()/2+1,FALSE))),"")</f>
        <v/>
      </c>
      <c r="AK113" s="83"/>
      <c r="AL113" s="70" t="e">
        <f ca="1">IF(A113&lt;&gt;"",
IF(VLOOKUP($A113,数出表_Excel!$A$6:$T$150,COLUMN()/2+1,FALSE)=0,"",VLOOKUP($A113,数出表_Excel!$A$6:$T$150,COLUMN()/2+1,FALSE)),"")</f>
        <v>#N/A</v>
      </c>
      <c r="AM113" s="98" t="e">
        <f>数出表_Excel!V113</f>
        <v>#N/A</v>
      </c>
      <c r="AN113" s="99" t="e">
        <f>数出表_Excel!W113</f>
        <v>#N/A</v>
      </c>
    </row>
    <row r="114" spans="1:40" ht="16.2" customHeight="1">
      <c r="A114" s="88" t="e">
        <f t="array" aca="1" ref="A114" ca="1">IF(OR(COUNTIF(A112,"*10002*"),COUNTIF(A112,"")),"",INDEX(貼り付け用!$A1:$A200,MATCH(A112,貼り付け用!$A1:$A200,0)+2,0))</f>
        <v>#N/A</v>
      </c>
      <c r="B114" s="185" t="str">
        <f ca="1">IFERROR(VALUE(IF(VLOOKUP($A114,数出表_Excel!$A$6:$T$150,COLUMN()/2+1,FALSE)=0,"",VLOOKUP($A114,数出表_Excel!$A$6:$T$150,COLUMN()/2+1,FALSE))),"")</f>
        <v/>
      </c>
      <c r="C114" s="66"/>
      <c r="D114" s="185" t="str">
        <f ca="1">IFERROR(VALUE(IF(VLOOKUP($A114,数出表_Excel!$A$6:$T$150,COLUMN()/2+1,FALSE)=0,"",VLOOKUP($A114,数出表_Excel!$A$6:$T$150,COLUMN()/2+1,FALSE))),"")</f>
        <v/>
      </c>
      <c r="E114" s="82"/>
      <c r="F114" s="196" t="str">
        <f ca="1">IFERROR(VALUE(IF(VLOOKUP($A114,数出表_Excel!$A$6:$T$150,COLUMN()/2+1,FALSE)=0,"",VLOOKUP($A114,数出表_Excel!$A$6:$T$150,COLUMN()/2+1,FALSE))),"")</f>
        <v/>
      </c>
      <c r="G114" s="66"/>
      <c r="H114" s="185" t="str">
        <f ca="1">IFERROR(VALUE(IF(VLOOKUP($A114,数出表_Excel!$A$6:$T$150,COLUMN()/2+1,FALSE)=0,"",VLOOKUP($A114,数出表_Excel!$A$6:$T$150,COLUMN()/2+1,FALSE))),"")</f>
        <v/>
      </c>
      <c r="I114" s="82"/>
      <c r="J114" s="196" t="str">
        <f ca="1">IFERROR(VALUE(IF(VLOOKUP($A114,数出表_Excel!$A$6:$T$150,COLUMN()/2+1,FALSE)=0,"",VLOOKUP($A114,数出表_Excel!$A$6:$T$150,COLUMN()/2+1,FALSE))),"")</f>
        <v/>
      </c>
      <c r="K114" s="66"/>
      <c r="L114" s="185" t="str">
        <f ca="1">IFERROR(VALUE(IF(VLOOKUP($A114,数出表_Excel!$A$6:$T$150,COLUMN()/2+1,FALSE)=0,"",VLOOKUP($A114,数出表_Excel!$A$6:$T$150,COLUMN()/2+1,FALSE))),"")</f>
        <v/>
      </c>
      <c r="M114" s="82"/>
      <c r="N114" s="196" t="str">
        <f ca="1">IFERROR(VALUE(IF(VLOOKUP($A114,数出表_Excel!$A$6:$T$150,COLUMN()/2+1,FALSE)=0,"",VLOOKUP($A114,数出表_Excel!$A$6:$T$150,COLUMN()/2+1,FALSE))),"")</f>
        <v/>
      </c>
      <c r="O114" s="66"/>
      <c r="P114" s="185" t="str">
        <f ca="1">IFERROR(VALUE(IF(VLOOKUP($A114,数出表_Excel!$A$6:$T$150,COLUMN()/2+1,FALSE)=0,"",VLOOKUP($A114,数出表_Excel!$A$6:$T$150,COLUMN()/2+1,FALSE))),"")</f>
        <v/>
      </c>
      <c r="Q114" s="82"/>
      <c r="R114" s="196" t="str">
        <f ca="1">IFERROR(VALUE(IF(VLOOKUP($A114,数出表_Excel!$A$6:$T$150,COLUMN()/2+1,FALSE)=0,"",VLOOKUP($A114,数出表_Excel!$A$6:$T$150,COLUMN()/2+1,FALSE))),"")</f>
        <v/>
      </c>
      <c r="S114" s="66"/>
      <c r="T114" s="185" t="str">
        <f ca="1">IFERROR(VALUE(IF(VLOOKUP($A114,数出表_Excel!$A$6:$T$150,COLUMN()/2+1,FALSE)=0,"",VLOOKUP($A114,数出表_Excel!$A$6:$T$150,COLUMN()/2+1,FALSE))),"")</f>
        <v/>
      </c>
      <c r="U114" s="82"/>
      <c r="V114" s="196" t="str">
        <f ca="1">IFERROR(VALUE(IF(VLOOKUP($A114,数出表_Excel!$A$6:$T$150,COLUMN()/2+1,FALSE)=0,"",VLOOKUP($A114,数出表_Excel!$A$6:$T$150,COLUMN()/2+1,FALSE))),"")</f>
        <v/>
      </c>
      <c r="W114" s="66"/>
      <c r="X114" s="185" t="str">
        <f ca="1">IFERROR(VALUE(IF(VLOOKUP($A114,数出表_Excel!$A$6:$T$150,COLUMN()/2+1,FALSE)=0,"",VLOOKUP($A114,数出表_Excel!$A$6:$T$150,COLUMN()/2+1,FALSE))),"")</f>
        <v/>
      </c>
      <c r="Y114" s="82"/>
      <c r="Z114" s="196" t="str">
        <f ca="1">IFERROR(VALUE(IF(VLOOKUP($A114,数出表_Excel!$A$6:$T$150,COLUMN()/2+1,FALSE)=0,"",VLOOKUP($A114,数出表_Excel!$A$6:$T$150,COLUMN()/2+1,FALSE))),"")</f>
        <v/>
      </c>
      <c r="AA114" s="82"/>
      <c r="AB114" s="185" t="str">
        <f ca="1">IFERROR(VALUE(IF(VLOOKUP($A114,数出表_Excel!$A$6:$T$150,COLUMN()/2+1,FALSE)=0,"",VLOOKUP($A114,数出表_Excel!$A$6:$T$150,COLUMN()/2+1,FALSE))),"")</f>
        <v/>
      </c>
      <c r="AC114" s="82"/>
      <c r="AD114" s="185" t="str">
        <f ca="1">IFERROR(VALUE(IF(VLOOKUP($A114,数出表_Excel!$A$6:$T$150,COLUMN()/2+1,FALSE)=0,"",VLOOKUP($A114,数出表_Excel!$A$6:$T$150,COLUMN()/2+1,FALSE))),"")</f>
        <v/>
      </c>
      <c r="AE114" s="82"/>
      <c r="AF114" s="185" t="str">
        <f ca="1">IFERROR(VALUE(IF(VLOOKUP($A114,数出表_Excel!$A$6:$T$150,COLUMN()/2+1,FALSE)=0,"",VLOOKUP($A114,数出表_Excel!$A$6:$T$150,COLUMN()/2+1,FALSE))),"")</f>
        <v/>
      </c>
      <c r="AG114" s="82"/>
      <c r="AH114" s="185" t="str">
        <f ca="1">IFERROR(VALUE(IF(VLOOKUP($A114,数出表_Excel!$A$6:$T$150,COLUMN()/2+1,FALSE)=0,"",VLOOKUP($A114,数出表_Excel!$A$6:$T$150,COLUMN()/2+1,FALSE))),"")</f>
        <v/>
      </c>
      <c r="AI114" s="82"/>
      <c r="AJ114" s="185" t="str">
        <f ca="1">IFERROR(VALUE(IF(VLOOKUP($A114,数出表_Excel!$A$6:$T$150,COLUMN()/2+1,FALSE)=0,"",VLOOKUP($A114,数出表_Excel!$A$6:$T$150,COLUMN()/2+1,FALSE))),"")</f>
        <v/>
      </c>
      <c r="AK114" s="82"/>
      <c r="AL114" s="68" t="e">
        <f ca="1">IF(A114&lt;&gt;"",
IF(VLOOKUP($A114,数出表_Excel!$A$6:$T$150,COLUMN()/2+1,FALSE)=0,"",VLOOKUP($A114,数出表_Excel!$A$6:$T$150,COLUMN()/2+1,FALSE)),"")</f>
        <v>#N/A</v>
      </c>
      <c r="AM114" s="96" t="e">
        <f>数出表_Excel!V114</f>
        <v>#N/A</v>
      </c>
      <c r="AN114" s="97" t="e">
        <f>数出表_Excel!W114</f>
        <v>#N/A</v>
      </c>
    </row>
    <row r="115" spans="1:40" ht="16.2" customHeight="1">
      <c r="A115" s="89" t="e">
        <f t="array" aca="1" ref="A115" ca="1">IF(OR(COUNTIF(A113,"*1000*"),COUNTIF(A113,"")),"",INDEX(貼り付け用!$A1:$A200,MATCH(A113,貼り付け用!$A1:$A200,0)+2,0))</f>
        <v>#N/A</v>
      </c>
      <c r="B115" s="186" t="str">
        <f ca="1">IFERROR(VALUE(IF(VLOOKUP($A115,数出表_Excel!$A$6:$T$150,COLUMN()/2+1,FALSE)=0,"",VLOOKUP($A115,数出表_Excel!$A$6:$T$150,COLUMN()/2+1,FALSE))),"")</f>
        <v/>
      </c>
      <c r="C115" s="67"/>
      <c r="D115" s="186" t="str">
        <f ca="1">IFERROR(VALUE(IF(VLOOKUP($A115,数出表_Excel!$A$6:$T$150,COLUMN()/2+1,FALSE)=0,"",VLOOKUP($A115,数出表_Excel!$A$6:$T$150,COLUMN()/2+1,FALSE))),"")</f>
        <v/>
      </c>
      <c r="E115" s="83"/>
      <c r="F115" s="197" t="str">
        <f ca="1">IFERROR(VALUE(IF(VLOOKUP($A115,数出表_Excel!$A$6:$T$150,COLUMN()/2+1,FALSE)=0,"",VLOOKUP($A115,数出表_Excel!$A$6:$T$150,COLUMN()/2+1,FALSE))),"")</f>
        <v/>
      </c>
      <c r="G115" s="67"/>
      <c r="H115" s="186" t="str">
        <f ca="1">IFERROR(VALUE(IF(VLOOKUP($A115,数出表_Excel!$A$6:$T$150,COLUMN()/2+1,FALSE)=0,"",VLOOKUP($A115,数出表_Excel!$A$6:$T$150,COLUMN()/2+1,FALSE))),"")</f>
        <v/>
      </c>
      <c r="I115" s="83"/>
      <c r="J115" s="197" t="str">
        <f ca="1">IFERROR(VALUE(IF(VLOOKUP($A115,数出表_Excel!$A$6:$T$150,COLUMN()/2+1,FALSE)=0,"",VLOOKUP($A115,数出表_Excel!$A$6:$T$150,COLUMN()/2+1,FALSE))),"")</f>
        <v/>
      </c>
      <c r="K115" s="67"/>
      <c r="L115" s="186" t="str">
        <f ca="1">IFERROR(VALUE(IF(VLOOKUP($A115,数出表_Excel!$A$6:$T$150,COLUMN()/2+1,FALSE)=0,"",VLOOKUP($A115,数出表_Excel!$A$6:$T$150,COLUMN()/2+1,FALSE))),"")</f>
        <v/>
      </c>
      <c r="M115" s="83"/>
      <c r="N115" s="197" t="str">
        <f ca="1">IFERROR(VALUE(IF(VLOOKUP($A115,数出表_Excel!$A$6:$T$150,COLUMN()/2+1,FALSE)=0,"",VLOOKUP($A115,数出表_Excel!$A$6:$T$150,COLUMN()/2+1,FALSE))),"")</f>
        <v/>
      </c>
      <c r="O115" s="67"/>
      <c r="P115" s="186" t="str">
        <f ca="1">IFERROR(VALUE(IF(VLOOKUP($A115,数出表_Excel!$A$6:$T$150,COLUMN()/2+1,FALSE)=0,"",VLOOKUP($A115,数出表_Excel!$A$6:$T$150,COLUMN()/2+1,FALSE))),"")</f>
        <v/>
      </c>
      <c r="Q115" s="83"/>
      <c r="R115" s="197" t="str">
        <f ca="1">IFERROR(VALUE(IF(VLOOKUP($A115,数出表_Excel!$A$6:$T$150,COLUMN()/2+1,FALSE)=0,"",VLOOKUP($A115,数出表_Excel!$A$6:$T$150,COLUMN()/2+1,FALSE))),"")</f>
        <v/>
      </c>
      <c r="S115" s="67"/>
      <c r="T115" s="186" t="str">
        <f ca="1">IFERROR(VALUE(IF(VLOOKUP($A115,数出表_Excel!$A$6:$T$150,COLUMN()/2+1,FALSE)=0,"",VLOOKUP($A115,数出表_Excel!$A$6:$T$150,COLUMN()/2+1,FALSE))),"")</f>
        <v/>
      </c>
      <c r="U115" s="83"/>
      <c r="V115" s="197" t="str">
        <f ca="1">IFERROR(VALUE(IF(VLOOKUP($A115,数出表_Excel!$A$6:$T$150,COLUMN()/2+1,FALSE)=0,"",VLOOKUP($A115,数出表_Excel!$A$6:$T$150,COLUMN()/2+1,FALSE))),"")</f>
        <v/>
      </c>
      <c r="W115" s="67"/>
      <c r="X115" s="186" t="str">
        <f ca="1">IFERROR(VALUE(IF(VLOOKUP($A115,数出表_Excel!$A$6:$T$150,COLUMN()/2+1,FALSE)=0,"",VLOOKUP($A115,数出表_Excel!$A$6:$T$150,COLUMN()/2+1,FALSE))),"")</f>
        <v/>
      </c>
      <c r="Y115" s="83"/>
      <c r="Z115" s="197" t="str">
        <f ca="1">IFERROR(VALUE(IF(VLOOKUP($A115,数出表_Excel!$A$6:$T$150,COLUMN()/2+1,FALSE)=0,"",VLOOKUP($A115,数出表_Excel!$A$6:$T$150,COLUMN()/2+1,FALSE))),"")</f>
        <v/>
      </c>
      <c r="AA115" s="83"/>
      <c r="AB115" s="186" t="str">
        <f ca="1">IFERROR(VALUE(IF(VLOOKUP($A115,数出表_Excel!$A$6:$T$150,COLUMN()/2+1,FALSE)=0,"",VLOOKUP($A115,数出表_Excel!$A$6:$T$150,COLUMN()/2+1,FALSE))),"")</f>
        <v/>
      </c>
      <c r="AC115" s="83"/>
      <c r="AD115" s="186" t="str">
        <f ca="1">IFERROR(VALUE(IF(VLOOKUP($A115,数出表_Excel!$A$6:$T$150,COLUMN()/2+1,FALSE)=0,"",VLOOKUP($A115,数出表_Excel!$A$6:$T$150,COLUMN()/2+1,FALSE))),"")</f>
        <v/>
      </c>
      <c r="AE115" s="83"/>
      <c r="AF115" s="186" t="str">
        <f ca="1">IFERROR(VALUE(IF(VLOOKUP($A115,数出表_Excel!$A$6:$T$150,COLUMN()/2+1,FALSE)=0,"",VLOOKUP($A115,数出表_Excel!$A$6:$T$150,COLUMN()/2+1,FALSE))),"")</f>
        <v/>
      </c>
      <c r="AG115" s="83"/>
      <c r="AH115" s="186" t="str">
        <f ca="1">IFERROR(VALUE(IF(VLOOKUP($A115,数出表_Excel!$A$6:$T$150,COLUMN()/2+1,FALSE)=0,"",VLOOKUP($A115,数出表_Excel!$A$6:$T$150,COLUMN()/2+1,FALSE))),"")</f>
        <v/>
      </c>
      <c r="AI115" s="83"/>
      <c r="AJ115" s="186" t="str">
        <f ca="1">IFERROR(VALUE(IF(VLOOKUP($A115,数出表_Excel!$A$6:$T$150,COLUMN()/2+1,FALSE)=0,"",VLOOKUP($A115,数出表_Excel!$A$6:$T$150,COLUMN()/2+1,FALSE))),"")</f>
        <v/>
      </c>
      <c r="AK115" s="83"/>
      <c r="AL115" s="70" t="e">
        <f ca="1">IF(A115&lt;&gt;"",
IF(VLOOKUP($A115,数出表_Excel!$A$6:$T$150,COLUMN()/2+1,FALSE)=0,"",VLOOKUP($A115,数出表_Excel!$A$6:$T$150,COLUMN()/2+1,FALSE)),"")</f>
        <v>#N/A</v>
      </c>
      <c r="AM115" s="98" t="e">
        <f>数出表_Excel!V115</f>
        <v>#N/A</v>
      </c>
      <c r="AN115" s="99" t="e">
        <f>数出表_Excel!W115</f>
        <v>#N/A</v>
      </c>
    </row>
    <row r="116" spans="1:40" ht="16.2" customHeight="1">
      <c r="A116" s="88" t="e">
        <f t="array" aca="1" ref="A116" ca="1">IF(OR(COUNTIF(A114,"*10002*"),COUNTIF(A114,"")),"",INDEX(貼り付け用!$A1:$A200,MATCH(A114,貼り付け用!$A1:$A200,0)+2,0))</f>
        <v>#N/A</v>
      </c>
      <c r="B116" s="185" t="str">
        <f ca="1">IFERROR(VALUE(IF(VLOOKUP($A116,数出表_Excel!$A$6:$T$150,COLUMN()/2+1,FALSE)=0,"",VLOOKUP($A116,数出表_Excel!$A$6:$T$150,COLUMN()/2+1,FALSE))),"")</f>
        <v/>
      </c>
      <c r="C116" s="66"/>
      <c r="D116" s="185" t="str">
        <f ca="1">IFERROR(VALUE(IF(VLOOKUP($A116,数出表_Excel!$A$6:$T$150,COLUMN()/2+1,FALSE)=0,"",VLOOKUP($A116,数出表_Excel!$A$6:$T$150,COLUMN()/2+1,FALSE))),"")</f>
        <v/>
      </c>
      <c r="E116" s="82"/>
      <c r="F116" s="196" t="str">
        <f ca="1">IFERROR(VALUE(IF(VLOOKUP($A116,数出表_Excel!$A$6:$T$150,COLUMN()/2+1,FALSE)=0,"",VLOOKUP($A116,数出表_Excel!$A$6:$T$150,COLUMN()/2+1,FALSE))),"")</f>
        <v/>
      </c>
      <c r="G116" s="66"/>
      <c r="H116" s="185" t="str">
        <f ca="1">IFERROR(VALUE(IF(VLOOKUP($A116,数出表_Excel!$A$6:$T$150,COLUMN()/2+1,FALSE)=0,"",VLOOKUP($A116,数出表_Excel!$A$6:$T$150,COLUMN()/2+1,FALSE))),"")</f>
        <v/>
      </c>
      <c r="I116" s="82"/>
      <c r="J116" s="196" t="str">
        <f ca="1">IFERROR(VALUE(IF(VLOOKUP($A116,数出表_Excel!$A$6:$T$150,COLUMN()/2+1,FALSE)=0,"",VLOOKUP($A116,数出表_Excel!$A$6:$T$150,COLUMN()/2+1,FALSE))),"")</f>
        <v/>
      </c>
      <c r="K116" s="66"/>
      <c r="L116" s="185" t="str">
        <f ca="1">IFERROR(VALUE(IF(VLOOKUP($A116,数出表_Excel!$A$6:$T$150,COLUMN()/2+1,FALSE)=0,"",VLOOKUP($A116,数出表_Excel!$A$6:$T$150,COLUMN()/2+1,FALSE))),"")</f>
        <v/>
      </c>
      <c r="M116" s="82"/>
      <c r="N116" s="196" t="str">
        <f ca="1">IFERROR(VALUE(IF(VLOOKUP($A116,数出表_Excel!$A$6:$T$150,COLUMN()/2+1,FALSE)=0,"",VLOOKUP($A116,数出表_Excel!$A$6:$T$150,COLUMN()/2+1,FALSE))),"")</f>
        <v/>
      </c>
      <c r="O116" s="66"/>
      <c r="P116" s="185" t="str">
        <f ca="1">IFERROR(VALUE(IF(VLOOKUP($A116,数出表_Excel!$A$6:$T$150,COLUMN()/2+1,FALSE)=0,"",VLOOKUP($A116,数出表_Excel!$A$6:$T$150,COLUMN()/2+1,FALSE))),"")</f>
        <v/>
      </c>
      <c r="Q116" s="82"/>
      <c r="R116" s="196" t="str">
        <f ca="1">IFERROR(VALUE(IF(VLOOKUP($A116,数出表_Excel!$A$6:$T$150,COLUMN()/2+1,FALSE)=0,"",VLOOKUP($A116,数出表_Excel!$A$6:$T$150,COLUMN()/2+1,FALSE))),"")</f>
        <v/>
      </c>
      <c r="S116" s="66"/>
      <c r="T116" s="185" t="str">
        <f ca="1">IFERROR(VALUE(IF(VLOOKUP($A116,数出表_Excel!$A$6:$T$150,COLUMN()/2+1,FALSE)=0,"",VLOOKUP($A116,数出表_Excel!$A$6:$T$150,COLUMN()/2+1,FALSE))),"")</f>
        <v/>
      </c>
      <c r="U116" s="82"/>
      <c r="V116" s="196" t="str">
        <f ca="1">IFERROR(VALUE(IF(VLOOKUP($A116,数出表_Excel!$A$6:$T$150,COLUMN()/2+1,FALSE)=0,"",VLOOKUP($A116,数出表_Excel!$A$6:$T$150,COLUMN()/2+1,FALSE))),"")</f>
        <v/>
      </c>
      <c r="W116" s="66"/>
      <c r="X116" s="185" t="str">
        <f ca="1">IFERROR(VALUE(IF(VLOOKUP($A116,数出表_Excel!$A$6:$T$150,COLUMN()/2+1,FALSE)=0,"",VLOOKUP($A116,数出表_Excel!$A$6:$T$150,COLUMN()/2+1,FALSE))),"")</f>
        <v/>
      </c>
      <c r="Y116" s="82"/>
      <c r="Z116" s="196" t="str">
        <f ca="1">IFERROR(VALUE(IF(VLOOKUP($A116,数出表_Excel!$A$6:$T$150,COLUMN()/2+1,FALSE)=0,"",VLOOKUP($A116,数出表_Excel!$A$6:$T$150,COLUMN()/2+1,FALSE))),"")</f>
        <v/>
      </c>
      <c r="AA116" s="82"/>
      <c r="AB116" s="185" t="str">
        <f ca="1">IFERROR(VALUE(IF(VLOOKUP($A116,数出表_Excel!$A$6:$T$150,COLUMN()/2+1,FALSE)=0,"",VLOOKUP($A116,数出表_Excel!$A$6:$T$150,COLUMN()/2+1,FALSE))),"")</f>
        <v/>
      </c>
      <c r="AC116" s="82"/>
      <c r="AD116" s="185" t="str">
        <f ca="1">IFERROR(VALUE(IF(VLOOKUP($A116,数出表_Excel!$A$6:$T$150,COLUMN()/2+1,FALSE)=0,"",VLOOKUP($A116,数出表_Excel!$A$6:$T$150,COLUMN()/2+1,FALSE))),"")</f>
        <v/>
      </c>
      <c r="AE116" s="82"/>
      <c r="AF116" s="185" t="str">
        <f ca="1">IFERROR(VALUE(IF(VLOOKUP($A116,数出表_Excel!$A$6:$T$150,COLUMN()/2+1,FALSE)=0,"",VLOOKUP($A116,数出表_Excel!$A$6:$T$150,COLUMN()/2+1,FALSE))),"")</f>
        <v/>
      </c>
      <c r="AG116" s="82"/>
      <c r="AH116" s="185" t="str">
        <f ca="1">IFERROR(VALUE(IF(VLOOKUP($A116,数出表_Excel!$A$6:$T$150,COLUMN()/2+1,FALSE)=0,"",VLOOKUP($A116,数出表_Excel!$A$6:$T$150,COLUMN()/2+1,FALSE))),"")</f>
        <v/>
      </c>
      <c r="AI116" s="82"/>
      <c r="AJ116" s="185" t="str">
        <f ca="1">IFERROR(VALUE(IF(VLOOKUP($A116,数出表_Excel!$A$6:$T$150,COLUMN()/2+1,FALSE)=0,"",VLOOKUP($A116,数出表_Excel!$A$6:$T$150,COLUMN()/2+1,FALSE))),"")</f>
        <v/>
      </c>
      <c r="AK116" s="82"/>
      <c r="AL116" s="68" t="e">
        <f ca="1">IF(A116&lt;&gt;"",
IF(VLOOKUP($A116,数出表_Excel!$A$6:$T$150,COLUMN()/2+1,FALSE)=0,"",VLOOKUP($A116,数出表_Excel!$A$6:$T$150,COLUMN()/2+1,FALSE)),"")</f>
        <v>#N/A</v>
      </c>
      <c r="AM116" s="96" t="e">
        <f>数出表_Excel!V116</f>
        <v>#N/A</v>
      </c>
      <c r="AN116" s="97" t="e">
        <f>数出表_Excel!W116</f>
        <v>#N/A</v>
      </c>
    </row>
    <row r="117" spans="1:40" ht="16.2" customHeight="1">
      <c r="A117" s="89" t="e">
        <f t="array" aca="1" ref="A117" ca="1">IF(OR(COUNTIF(A115,"*1000*"),COUNTIF(A115,"")),"",INDEX(貼り付け用!$A1:$A200,MATCH(A115,貼り付け用!$A1:$A200,0)+2,0))</f>
        <v>#N/A</v>
      </c>
      <c r="B117" s="186" t="str">
        <f ca="1">IFERROR(VALUE(IF(VLOOKUP($A117,数出表_Excel!$A$6:$T$150,COLUMN()/2+1,FALSE)=0,"",VLOOKUP($A117,数出表_Excel!$A$6:$T$150,COLUMN()/2+1,FALSE))),"")</f>
        <v/>
      </c>
      <c r="C117" s="67"/>
      <c r="D117" s="186" t="str">
        <f ca="1">IFERROR(VALUE(IF(VLOOKUP($A117,数出表_Excel!$A$6:$T$150,COLUMN()/2+1,FALSE)=0,"",VLOOKUP($A117,数出表_Excel!$A$6:$T$150,COLUMN()/2+1,FALSE))),"")</f>
        <v/>
      </c>
      <c r="E117" s="83"/>
      <c r="F117" s="197" t="str">
        <f ca="1">IFERROR(VALUE(IF(VLOOKUP($A117,数出表_Excel!$A$6:$T$150,COLUMN()/2+1,FALSE)=0,"",VLOOKUP($A117,数出表_Excel!$A$6:$T$150,COLUMN()/2+1,FALSE))),"")</f>
        <v/>
      </c>
      <c r="G117" s="67"/>
      <c r="H117" s="186" t="str">
        <f ca="1">IFERROR(VALUE(IF(VLOOKUP($A117,数出表_Excel!$A$6:$T$150,COLUMN()/2+1,FALSE)=0,"",VLOOKUP($A117,数出表_Excel!$A$6:$T$150,COLUMN()/2+1,FALSE))),"")</f>
        <v/>
      </c>
      <c r="I117" s="83"/>
      <c r="J117" s="197" t="str">
        <f ca="1">IFERROR(VALUE(IF(VLOOKUP($A117,数出表_Excel!$A$6:$T$150,COLUMN()/2+1,FALSE)=0,"",VLOOKUP($A117,数出表_Excel!$A$6:$T$150,COLUMN()/2+1,FALSE))),"")</f>
        <v/>
      </c>
      <c r="K117" s="67"/>
      <c r="L117" s="186" t="str">
        <f ca="1">IFERROR(VALUE(IF(VLOOKUP($A117,数出表_Excel!$A$6:$T$150,COLUMN()/2+1,FALSE)=0,"",VLOOKUP($A117,数出表_Excel!$A$6:$T$150,COLUMN()/2+1,FALSE))),"")</f>
        <v/>
      </c>
      <c r="M117" s="83"/>
      <c r="N117" s="197" t="str">
        <f ca="1">IFERROR(VALUE(IF(VLOOKUP($A117,数出表_Excel!$A$6:$T$150,COLUMN()/2+1,FALSE)=0,"",VLOOKUP($A117,数出表_Excel!$A$6:$T$150,COLUMN()/2+1,FALSE))),"")</f>
        <v/>
      </c>
      <c r="O117" s="67"/>
      <c r="P117" s="186" t="str">
        <f ca="1">IFERROR(VALUE(IF(VLOOKUP($A117,数出表_Excel!$A$6:$T$150,COLUMN()/2+1,FALSE)=0,"",VLOOKUP($A117,数出表_Excel!$A$6:$T$150,COLUMN()/2+1,FALSE))),"")</f>
        <v/>
      </c>
      <c r="Q117" s="83"/>
      <c r="R117" s="197" t="str">
        <f ca="1">IFERROR(VALUE(IF(VLOOKUP($A117,数出表_Excel!$A$6:$T$150,COLUMN()/2+1,FALSE)=0,"",VLOOKUP($A117,数出表_Excel!$A$6:$T$150,COLUMN()/2+1,FALSE))),"")</f>
        <v/>
      </c>
      <c r="S117" s="67"/>
      <c r="T117" s="186" t="str">
        <f ca="1">IFERROR(VALUE(IF(VLOOKUP($A117,数出表_Excel!$A$6:$T$150,COLUMN()/2+1,FALSE)=0,"",VLOOKUP($A117,数出表_Excel!$A$6:$T$150,COLUMN()/2+1,FALSE))),"")</f>
        <v/>
      </c>
      <c r="U117" s="83"/>
      <c r="V117" s="197" t="str">
        <f ca="1">IFERROR(VALUE(IF(VLOOKUP($A117,数出表_Excel!$A$6:$T$150,COLUMN()/2+1,FALSE)=0,"",VLOOKUP($A117,数出表_Excel!$A$6:$T$150,COLUMN()/2+1,FALSE))),"")</f>
        <v/>
      </c>
      <c r="W117" s="67"/>
      <c r="X117" s="186" t="str">
        <f ca="1">IFERROR(VALUE(IF(VLOOKUP($A117,数出表_Excel!$A$6:$T$150,COLUMN()/2+1,FALSE)=0,"",VLOOKUP($A117,数出表_Excel!$A$6:$T$150,COLUMN()/2+1,FALSE))),"")</f>
        <v/>
      </c>
      <c r="Y117" s="83"/>
      <c r="Z117" s="197" t="str">
        <f ca="1">IFERROR(VALUE(IF(VLOOKUP($A117,数出表_Excel!$A$6:$T$150,COLUMN()/2+1,FALSE)=0,"",VLOOKUP($A117,数出表_Excel!$A$6:$T$150,COLUMN()/2+1,FALSE))),"")</f>
        <v/>
      </c>
      <c r="AA117" s="83"/>
      <c r="AB117" s="186" t="str">
        <f ca="1">IFERROR(VALUE(IF(VLOOKUP($A117,数出表_Excel!$A$6:$T$150,COLUMN()/2+1,FALSE)=0,"",VLOOKUP($A117,数出表_Excel!$A$6:$T$150,COLUMN()/2+1,FALSE))),"")</f>
        <v/>
      </c>
      <c r="AC117" s="83"/>
      <c r="AD117" s="186" t="str">
        <f ca="1">IFERROR(VALUE(IF(VLOOKUP($A117,数出表_Excel!$A$6:$T$150,COLUMN()/2+1,FALSE)=0,"",VLOOKUP($A117,数出表_Excel!$A$6:$T$150,COLUMN()/2+1,FALSE))),"")</f>
        <v/>
      </c>
      <c r="AE117" s="83"/>
      <c r="AF117" s="186" t="str">
        <f ca="1">IFERROR(VALUE(IF(VLOOKUP($A117,数出表_Excel!$A$6:$T$150,COLUMN()/2+1,FALSE)=0,"",VLOOKUP($A117,数出表_Excel!$A$6:$T$150,COLUMN()/2+1,FALSE))),"")</f>
        <v/>
      </c>
      <c r="AG117" s="83"/>
      <c r="AH117" s="186" t="str">
        <f ca="1">IFERROR(VALUE(IF(VLOOKUP($A117,数出表_Excel!$A$6:$T$150,COLUMN()/2+1,FALSE)=0,"",VLOOKUP($A117,数出表_Excel!$A$6:$T$150,COLUMN()/2+1,FALSE))),"")</f>
        <v/>
      </c>
      <c r="AI117" s="83"/>
      <c r="AJ117" s="186" t="str">
        <f ca="1">IFERROR(VALUE(IF(VLOOKUP($A117,数出表_Excel!$A$6:$T$150,COLUMN()/2+1,FALSE)=0,"",VLOOKUP($A117,数出表_Excel!$A$6:$T$150,COLUMN()/2+1,FALSE))),"")</f>
        <v/>
      </c>
      <c r="AK117" s="83"/>
      <c r="AL117" s="70" t="e">
        <f ca="1">IF(A117&lt;&gt;"",
IF(VLOOKUP($A117,数出表_Excel!$A$6:$T$150,COLUMN()/2+1,FALSE)=0,"",VLOOKUP($A117,数出表_Excel!$A$6:$T$150,COLUMN()/2+1,FALSE)),"")</f>
        <v>#N/A</v>
      </c>
      <c r="AM117" s="98" t="e">
        <f>数出表_Excel!V117</f>
        <v>#N/A</v>
      </c>
      <c r="AN117" s="99" t="e">
        <f>数出表_Excel!W117</f>
        <v>#N/A</v>
      </c>
    </row>
    <row r="118" spans="1:40" ht="16.2" customHeight="1">
      <c r="A118" s="88" t="e">
        <f t="array" aca="1" ref="A118" ca="1">IF(OR(COUNTIF(A116,"*10002*"),COUNTIF(A116,"")),"",INDEX(貼り付け用!$A1:$A200,MATCH(A116,貼り付け用!$A1:$A200,0)+2,0))</f>
        <v>#N/A</v>
      </c>
      <c r="B118" s="185" t="str">
        <f ca="1">IFERROR(VALUE(IF(VLOOKUP($A118,数出表_Excel!$A$6:$T$150,COLUMN()/2+1,FALSE)=0,"",VLOOKUP($A118,数出表_Excel!$A$6:$T$150,COLUMN()/2+1,FALSE))),"")</f>
        <v/>
      </c>
      <c r="C118" s="66"/>
      <c r="D118" s="185" t="str">
        <f ca="1">IFERROR(VALUE(IF(VLOOKUP($A118,数出表_Excel!$A$6:$T$150,COLUMN()/2+1,FALSE)=0,"",VLOOKUP($A118,数出表_Excel!$A$6:$T$150,COLUMN()/2+1,FALSE))),"")</f>
        <v/>
      </c>
      <c r="E118" s="82"/>
      <c r="F118" s="196" t="str">
        <f ca="1">IFERROR(VALUE(IF(VLOOKUP($A118,数出表_Excel!$A$6:$T$150,COLUMN()/2+1,FALSE)=0,"",VLOOKUP($A118,数出表_Excel!$A$6:$T$150,COLUMN()/2+1,FALSE))),"")</f>
        <v/>
      </c>
      <c r="G118" s="66"/>
      <c r="H118" s="185" t="str">
        <f ca="1">IFERROR(VALUE(IF(VLOOKUP($A118,数出表_Excel!$A$6:$T$150,COLUMN()/2+1,FALSE)=0,"",VLOOKUP($A118,数出表_Excel!$A$6:$T$150,COLUMN()/2+1,FALSE))),"")</f>
        <v/>
      </c>
      <c r="I118" s="82"/>
      <c r="J118" s="196" t="str">
        <f ca="1">IFERROR(VALUE(IF(VLOOKUP($A118,数出表_Excel!$A$6:$T$150,COLUMN()/2+1,FALSE)=0,"",VLOOKUP($A118,数出表_Excel!$A$6:$T$150,COLUMN()/2+1,FALSE))),"")</f>
        <v/>
      </c>
      <c r="K118" s="66"/>
      <c r="L118" s="185" t="str">
        <f ca="1">IFERROR(VALUE(IF(VLOOKUP($A118,数出表_Excel!$A$6:$T$150,COLUMN()/2+1,FALSE)=0,"",VLOOKUP($A118,数出表_Excel!$A$6:$T$150,COLUMN()/2+1,FALSE))),"")</f>
        <v/>
      </c>
      <c r="M118" s="82"/>
      <c r="N118" s="196" t="str">
        <f ca="1">IFERROR(VALUE(IF(VLOOKUP($A118,数出表_Excel!$A$6:$T$150,COLUMN()/2+1,FALSE)=0,"",VLOOKUP($A118,数出表_Excel!$A$6:$T$150,COLUMN()/2+1,FALSE))),"")</f>
        <v/>
      </c>
      <c r="O118" s="66"/>
      <c r="P118" s="185" t="str">
        <f ca="1">IFERROR(VALUE(IF(VLOOKUP($A118,数出表_Excel!$A$6:$T$150,COLUMN()/2+1,FALSE)=0,"",VLOOKUP($A118,数出表_Excel!$A$6:$T$150,COLUMN()/2+1,FALSE))),"")</f>
        <v/>
      </c>
      <c r="Q118" s="82"/>
      <c r="R118" s="196" t="str">
        <f ca="1">IFERROR(VALUE(IF(VLOOKUP($A118,数出表_Excel!$A$6:$T$150,COLUMN()/2+1,FALSE)=0,"",VLOOKUP($A118,数出表_Excel!$A$6:$T$150,COLUMN()/2+1,FALSE))),"")</f>
        <v/>
      </c>
      <c r="S118" s="66"/>
      <c r="T118" s="185" t="str">
        <f ca="1">IFERROR(VALUE(IF(VLOOKUP($A118,数出表_Excel!$A$6:$T$150,COLUMN()/2+1,FALSE)=0,"",VLOOKUP($A118,数出表_Excel!$A$6:$T$150,COLUMN()/2+1,FALSE))),"")</f>
        <v/>
      </c>
      <c r="U118" s="82"/>
      <c r="V118" s="196" t="str">
        <f ca="1">IFERROR(VALUE(IF(VLOOKUP($A118,数出表_Excel!$A$6:$T$150,COLUMN()/2+1,FALSE)=0,"",VLOOKUP($A118,数出表_Excel!$A$6:$T$150,COLUMN()/2+1,FALSE))),"")</f>
        <v/>
      </c>
      <c r="W118" s="66"/>
      <c r="X118" s="185" t="str">
        <f ca="1">IFERROR(VALUE(IF(VLOOKUP($A118,数出表_Excel!$A$6:$T$150,COLUMN()/2+1,FALSE)=0,"",VLOOKUP($A118,数出表_Excel!$A$6:$T$150,COLUMN()/2+1,FALSE))),"")</f>
        <v/>
      </c>
      <c r="Y118" s="82"/>
      <c r="Z118" s="196" t="str">
        <f ca="1">IFERROR(VALUE(IF(VLOOKUP($A118,数出表_Excel!$A$6:$T$150,COLUMN()/2+1,FALSE)=0,"",VLOOKUP($A118,数出表_Excel!$A$6:$T$150,COLUMN()/2+1,FALSE))),"")</f>
        <v/>
      </c>
      <c r="AA118" s="82"/>
      <c r="AB118" s="185" t="str">
        <f ca="1">IFERROR(VALUE(IF(VLOOKUP($A118,数出表_Excel!$A$6:$T$150,COLUMN()/2+1,FALSE)=0,"",VLOOKUP($A118,数出表_Excel!$A$6:$T$150,COLUMN()/2+1,FALSE))),"")</f>
        <v/>
      </c>
      <c r="AC118" s="82"/>
      <c r="AD118" s="185" t="str">
        <f ca="1">IFERROR(VALUE(IF(VLOOKUP($A118,数出表_Excel!$A$6:$T$150,COLUMN()/2+1,FALSE)=0,"",VLOOKUP($A118,数出表_Excel!$A$6:$T$150,COLUMN()/2+1,FALSE))),"")</f>
        <v/>
      </c>
      <c r="AE118" s="82"/>
      <c r="AF118" s="185" t="str">
        <f ca="1">IFERROR(VALUE(IF(VLOOKUP($A118,数出表_Excel!$A$6:$T$150,COLUMN()/2+1,FALSE)=0,"",VLOOKUP($A118,数出表_Excel!$A$6:$T$150,COLUMN()/2+1,FALSE))),"")</f>
        <v/>
      </c>
      <c r="AG118" s="82"/>
      <c r="AH118" s="185" t="str">
        <f ca="1">IFERROR(VALUE(IF(VLOOKUP($A118,数出表_Excel!$A$6:$T$150,COLUMN()/2+1,FALSE)=0,"",VLOOKUP($A118,数出表_Excel!$A$6:$T$150,COLUMN()/2+1,FALSE))),"")</f>
        <v/>
      </c>
      <c r="AI118" s="82"/>
      <c r="AJ118" s="185" t="str">
        <f ca="1">IFERROR(VALUE(IF(VLOOKUP($A118,数出表_Excel!$A$6:$T$150,COLUMN()/2+1,FALSE)=0,"",VLOOKUP($A118,数出表_Excel!$A$6:$T$150,COLUMN()/2+1,FALSE))),"")</f>
        <v/>
      </c>
      <c r="AK118" s="82"/>
      <c r="AL118" s="68" t="e">
        <f ca="1">IF(A118&lt;&gt;"",
IF(VLOOKUP($A118,数出表_Excel!$A$6:$T$150,COLUMN()/2+1,FALSE)=0,"",VLOOKUP($A118,数出表_Excel!$A$6:$T$150,COLUMN()/2+1,FALSE)),"")</f>
        <v>#N/A</v>
      </c>
      <c r="AM118" s="96" t="e">
        <f>数出表_Excel!V118</f>
        <v>#N/A</v>
      </c>
      <c r="AN118" s="97" t="e">
        <f>数出表_Excel!W118</f>
        <v>#N/A</v>
      </c>
    </row>
    <row r="119" spans="1:40" ht="16.2" customHeight="1">
      <c r="A119" s="89" t="e">
        <f t="array" aca="1" ref="A119" ca="1">IF(OR(COUNTIF(A117,"*1000*"),COUNTIF(A117,"")),"",INDEX(貼り付け用!$A1:$A200,MATCH(A117,貼り付け用!$A1:$A200,0)+2,0))</f>
        <v>#N/A</v>
      </c>
      <c r="B119" s="186" t="str">
        <f ca="1">IFERROR(VALUE(IF(VLOOKUP($A119,数出表_Excel!$A$6:$T$150,COLUMN()/2+1,FALSE)=0,"",VLOOKUP($A119,数出表_Excel!$A$6:$T$150,COLUMN()/2+1,FALSE))),"")</f>
        <v/>
      </c>
      <c r="C119" s="67"/>
      <c r="D119" s="186" t="str">
        <f ca="1">IFERROR(VALUE(IF(VLOOKUP($A119,数出表_Excel!$A$6:$T$150,COLUMN()/2+1,FALSE)=0,"",VLOOKUP($A119,数出表_Excel!$A$6:$T$150,COLUMN()/2+1,FALSE))),"")</f>
        <v/>
      </c>
      <c r="E119" s="83"/>
      <c r="F119" s="197" t="str">
        <f ca="1">IFERROR(VALUE(IF(VLOOKUP($A119,数出表_Excel!$A$6:$T$150,COLUMN()/2+1,FALSE)=0,"",VLOOKUP($A119,数出表_Excel!$A$6:$T$150,COLUMN()/2+1,FALSE))),"")</f>
        <v/>
      </c>
      <c r="G119" s="67"/>
      <c r="H119" s="186" t="str">
        <f ca="1">IFERROR(VALUE(IF(VLOOKUP($A119,数出表_Excel!$A$6:$T$150,COLUMN()/2+1,FALSE)=0,"",VLOOKUP($A119,数出表_Excel!$A$6:$T$150,COLUMN()/2+1,FALSE))),"")</f>
        <v/>
      </c>
      <c r="I119" s="83"/>
      <c r="J119" s="197" t="str">
        <f ca="1">IFERROR(VALUE(IF(VLOOKUP($A119,数出表_Excel!$A$6:$T$150,COLUMN()/2+1,FALSE)=0,"",VLOOKUP($A119,数出表_Excel!$A$6:$T$150,COLUMN()/2+1,FALSE))),"")</f>
        <v/>
      </c>
      <c r="K119" s="67"/>
      <c r="L119" s="186" t="str">
        <f ca="1">IFERROR(VALUE(IF(VLOOKUP($A119,数出表_Excel!$A$6:$T$150,COLUMN()/2+1,FALSE)=0,"",VLOOKUP($A119,数出表_Excel!$A$6:$T$150,COLUMN()/2+1,FALSE))),"")</f>
        <v/>
      </c>
      <c r="M119" s="83"/>
      <c r="N119" s="197" t="str">
        <f ca="1">IFERROR(VALUE(IF(VLOOKUP($A119,数出表_Excel!$A$6:$T$150,COLUMN()/2+1,FALSE)=0,"",VLOOKUP($A119,数出表_Excel!$A$6:$T$150,COLUMN()/2+1,FALSE))),"")</f>
        <v/>
      </c>
      <c r="O119" s="67"/>
      <c r="P119" s="186" t="str">
        <f ca="1">IFERROR(VALUE(IF(VLOOKUP($A119,数出表_Excel!$A$6:$T$150,COLUMN()/2+1,FALSE)=0,"",VLOOKUP($A119,数出表_Excel!$A$6:$T$150,COLUMN()/2+1,FALSE))),"")</f>
        <v/>
      </c>
      <c r="Q119" s="83"/>
      <c r="R119" s="197" t="str">
        <f ca="1">IFERROR(VALUE(IF(VLOOKUP($A119,数出表_Excel!$A$6:$T$150,COLUMN()/2+1,FALSE)=0,"",VLOOKUP($A119,数出表_Excel!$A$6:$T$150,COLUMN()/2+1,FALSE))),"")</f>
        <v/>
      </c>
      <c r="S119" s="67"/>
      <c r="T119" s="186" t="str">
        <f ca="1">IFERROR(VALUE(IF(VLOOKUP($A119,数出表_Excel!$A$6:$T$150,COLUMN()/2+1,FALSE)=0,"",VLOOKUP($A119,数出表_Excel!$A$6:$T$150,COLUMN()/2+1,FALSE))),"")</f>
        <v/>
      </c>
      <c r="U119" s="83"/>
      <c r="V119" s="197" t="str">
        <f ca="1">IFERROR(VALUE(IF(VLOOKUP($A119,数出表_Excel!$A$6:$T$150,COLUMN()/2+1,FALSE)=0,"",VLOOKUP($A119,数出表_Excel!$A$6:$T$150,COLUMN()/2+1,FALSE))),"")</f>
        <v/>
      </c>
      <c r="W119" s="67"/>
      <c r="X119" s="186" t="str">
        <f ca="1">IFERROR(VALUE(IF(VLOOKUP($A119,数出表_Excel!$A$6:$T$150,COLUMN()/2+1,FALSE)=0,"",VLOOKUP($A119,数出表_Excel!$A$6:$T$150,COLUMN()/2+1,FALSE))),"")</f>
        <v/>
      </c>
      <c r="Y119" s="83"/>
      <c r="Z119" s="197" t="str">
        <f ca="1">IFERROR(VALUE(IF(VLOOKUP($A119,数出表_Excel!$A$6:$T$150,COLUMN()/2+1,FALSE)=0,"",VLOOKUP($A119,数出表_Excel!$A$6:$T$150,COLUMN()/2+1,FALSE))),"")</f>
        <v/>
      </c>
      <c r="AA119" s="83"/>
      <c r="AB119" s="186" t="str">
        <f ca="1">IFERROR(VALUE(IF(VLOOKUP($A119,数出表_Excel!$A$6:$T$150,COLUMN()/2+1,FALSE)=0,"",VLOOKUP($A119,数出表_Excel!$A$6:$T$150,COLUMN()/2+1,FALSE))),"")</f>
        <v/>
      </c>
      <c r="AC119" s="83"/>
      <c r="AD119" s="186" t="str">
        <f ca="1">IFERROR(VALUE(IF(VLOOKUP($A119,数出表_Excel!$A$6:$T$150,COLUMN()/2+1,FALSE)=0,"",VLOOKUP($A119,数出表_Excel!$A$6:$T$150,COLUMN()/2+1,FALSE))),"")</f>
        <v/>
      </c>
      <c r="AE119" s="83"/>
      <c r="AF119" s="186" t="str">
        <f ca="1">IFERROR(VALUE(IF(VLOOKUP($A119,数出表_Excel!$A$6:$T$150,COLUMN()/2+1,FALSE)=0,"",VLOOKUP($A119,数出表_Excel!$A$6:$T$150,COLUMN()/2+1,FALSE))),"")</f>
        <v/>
      </c>
      <c r="AG119" s="83"/>
      <c r="AH119" s="186" t="str">
        <f ca="1">IFERROR(VALUE(IF(VLOOKUP($A119,数出表_Excel!$A$6:$T$150,COLUMN()/2+1,FALSE)=0,"",VLOOKUP($A119,数出表_Excel!$A$6:$T$150,COLUMN()/2+1,FALSE))),"")</f>
        <v/>
      </c>
      <c r="AI119" s="83"/>
      <c r="AJ119" s="186" t="str">
        <f ca="1">IFERROR(VALUE(IF(VLOOKUP($A119,数出表_Excel!$A$6:$T$150,COLUMN()/2+1,FALSE)=0,"",VLOOKUP($A119,数出表_Excel!$A$6:$T$150,COLUMN()/2+1,FALSE))),"")</f>
        <v/>
      </c>
      <c r="AK119" s="83"/>
      <c r="AL119" s="70" t="e">
        <f ca="1">IF(A119&lt;&gt;"",
IF(VLOOKUP($A119,数出表_Excel!$A$6:$T$150,COLUMN()/2+1,FALSE)=0,"",VLOOKUP($A119,数出表_Excel!$A$6:$T$150,COLUMN()/2+1,FALSE)),"")</f>
        <v>#N/A</v>
      </c>
      <c r="AM119" s="98" t="e">
        <f>数出表_Excel!V119</f>
        <v>#N/A</v>
      </c>
      <c r="AN119" s="99" t="e">
        <f>数出表_Excel!W119</f>
        <v>#N/A</v>
      </c>
    </row>
    <row r="120" spans="1:40" ht="16.2" customHeight="1">
      <c r="A120" s="88" t="e">
        <f t="array" aca="1" ref="A120" ca="1">IF(OR(COUNTIF(A118,"*10002*"),COUNTIF(A118,"")),"",INDEX(貼り付け用!$A1:$A200,MATCH(A118,貼り付け用!$A1:$A200,0)+2,0))</f>
        <v>#N/A</v>
      </c>
      <c r="B120" s="185" t="str">
        <f ca="1">IFERROR(VALUE(IF(VLOOKUP($A120,数出表_Excel!$A$6:$T$150,COLUMN()/2+1,FALSE)=0,"",VLOOKUP($A120,数出表_Excel!$A$6:$T$150,COLUMN()/2+1,FALSE))),"")</f>
        <v/>
      </c>
      <c r="C120" s="66"/>
      <c r="D120" s="185" t="str">
        <f ca="1">IFERROR(VALUE(IF(VLOOKUP($A120,数出表_Excel!$A$6:$T$150,COLUMN()/2+1,FALSE)=0,"",VLOOKUP($A120,数出表_Excel!$A$6:$T$150,COLUMN()/2+1,FALSE))),"")</f>
        <v/>
      </c>
      <c r="E120" s="82"/>
      <c r="F120" s="196" t="str">
        <f ca="1">IFERROR(VALUE(IF(VLOOKUP($A120,数出表_Excel!$A$6:$T$150,COLUMN()/2+1,FALSE)=0,"",VLOOKUP($A120,数出表_Excel!$A$6:$T$150,COLUMN()/2+1,FALSE))),"")</f>
        <v/>
      </c>
      <c r="G120" s="66"/>
      <c r="H120" s="185" t="str">
        <f ca="1">IFERROR(VALUE(IF(VLOOKUP($A120,数出表_Excel!$A$6:$T$150,COLUMN()/2+1,FALSE)=0,"",VLOOKUP($A120,数出表_Excel!$A$6:$T$150,COLUMN()/2+1,FALSE))),"")</f>
        <v/>
      </c>
      <c r="I120" s="82"/>
      <c r="J120" s="196" t="str">
        <f ca="1">IFERROR(VALUE(IF(VLOOKUP($A120,数出表_Excel!$A$6:$T$150,COLUMN()/2+1,FALSE)=0,"",VLOOKUP($A120,数出表_Excel!$A$6:$T$150,COLUMN()/2+1,FALSE))),"")</f>
        <v/>
      </c>
      <c r="K120" s="66"/>
      <c r="L120" s="185" t="str">
        <f ca="1">IFERROR(VALUE(IF(VLOOKUP($A120,数出表_Excel!$A$6:$T$150,COLUMN()/2+1,FALSE)=0,"",VLOOKUP($A120,数出表_Excel!$A$6:$T$150,COLUMN()/2+1,FALSE))),"")</f>
        <v/>
      </c>
      <c r="M120" s="82"/>
      <c r="N120" s="196" t="str">
        <f ca="1">IFERROR(VALUE(IF(VLOOKUP($A120,数出表_Excel!$A$6:$T$150,COLUMN()/2+1,FALSE)=0,"",VLOOKUP($A120,数出表_Excel!$A$6:$T$150,COLUMN()/2+1,FALSE))),"")</f>
        <v/>
      </c>
      <c r="O120" s="66"/>
      <c r="P120" s="185" t="str">
        <f ca="1">IFERROR(VALUE(IF(VLOOKUP($A120,数出表_Excel!$A$6:$T$150,COLUMN()/2+1,FALSE)=0,"",VLOOKUP($A120,数出表_Excel!$A$6:$T$150,COLUMN()/2+1,FALSE))),"")</f>
        <v/>
      </c>
      <c r="Q120" s="82"/>
      <c r="R120" s="196" t="str">
        <f ca="1">IFERROR(VALUE(IF(VLOOKUP($A120,数出表_Excel!$A$6:$T$150,COLUMN()/2+1,FALSE)=0,"",VLOOKUP($A120,数出表_Excel!$A$6:$T$150,COLUMN()/2+1,FALSE))),"")</f>
        <v/>
      </c>
      <c r="S120" s="66"/>
      <c r="T120" s="185" t="str">
        <f ca="1">IFERROR(VALUE(IF(VLOOKUP($A120,数出表_Excel!$A$6:$T$150,COLUMN()/2+1,FALSE)=0,"",VLOOKUP($A120,数出表_Excel!$A$6:$T$150,COLUMN()/2+1,FALSE))),"")</f>
        <v/>
      </c>
      <c r="U120" s="82"/>
      <c r="V120" s="196" t="str">
        <f ca="1">IFERROR(VALUE(IF(VLOOKUP($A120,数出表_Excel!$A$6:$T$150,COLUMN()/2+1,FALSE)=0,"",VLOOKUP($A120,数出表_Excel!$A$6:$T$150,COLUMN()/2+1,FALSE))),"")</f>
        <v/>
      </c>
      <c r="W120" s="66"/>
      <c r="X120" s="185" t="str">
        <f ca="1">IFERROR(VALUE(IF(VLOOKUP($A120,数出表_Excel!$A$6:$T$150,COLUMN()/2+1,FALSE)=0,"",VLOOKUP($A120,数出表_Excel!$A$6:$T$150,COLUMN()/2+1,FALSE))),"")</f>
        <v/>
      </c>
      <c r="Y120" s="82"/>
      <c r="Z120" s="196" t="str">
        <f ca="1">IFERROR(VALUE(IF(VLOOKUP($A120,数出表_Excel!$A$6:$T$150,COLUMN()/2+1,FALSE)=0,"",VLOOKUP($A120,数出表_Excel!$A$6:$T$150,COLUMN()/2+1,FALSE))),"")</f>
        <v/>
      </c>
      <c r="AA120" s="82"/>
      <c r="AB120" s="185" t="str">
        <f ca="1">IFERROR(VALUE(IF(VLOOKUP($A120,数出表_Excel!$A$6:$T$150,COLUMN()/2+1,FALSE)=0,"",VLOOKUP($A120,数出表_Excel!$A$6:$T$150,COLUMN()/2+1,FALSE))),"")</f>
        <v/>
      </c>
      <c r="AC120" s="82"/>
      <c r="AD120" s="185" t="str">
        <f ca="1">IFERROR(VALUE(IF(VLOOKUP($A120,数出表_Excel!$A$6:$T$150,COLUMN()/2+1,FALSE)=0,"",VLOOKUP($A120,数出表_Excel!$A$6:$T$150,COLUMN()/2+1,FALSE))),"")</f>
        <v/>
      </c>
      <c r="AE120" s="82"/>
      <c r="AF120" s="185" t="str">
        <f ca="1">IFERROR(VALUE(IF(VLOOKUP($A120,数出表_Excel!$A$6:$T$150,COLUMN()/2+1,FALSE)=0,"",VLOOKUP($A120,数出表_Excel!$A$6:$T$150,COLUMN()/2+1,FALSE))),"")</f>
        <v/>
      </c>
      <c r="AG120" s="82"/>
      <c r="AH120" s="185" t="str">
        <f ca="1">IFERROR(VALUE(IF(VLOOKUP($A120,数出表_Excel!$A$6:$T$150,COLUMN()/2+1,FALSE)=0,"",VLOOKUP($A120,数出表_Excel!$A$6:$T$150,COLUMN()/2+1,FALSE))),"")</f>
        <v/>
      </c>
      <c r="AI120" s="82"/>
      <c r="AJ120" s="185" t="str">
        <f ca="1">IFERROR(VALUE(IF(VLOOKUP($A120,数出表_Excel!$A$6:$T$150,COLUMN()/2+1,FALSE)=0,"",VLOOKUP($A120,数出表_Excel!$A$6:$T$150,COLUMN()/2+1,FALSE))),"")</f>
        <v/>
      </c>
      <c r="AK120" s="82"/>
      <c r="AL120" s="68" t="e">
        <f ca="1">IF(A120&lt;&gt;"",
IF(VLOOKUP($A120,数出表_Excel!$A$6:$T$150,COLUMN()/2+1,FALSE)=0,"",VLOOKUP($A120,数出表_Excel!$A$6:$T$150,COLUMN()/2+1,FALSE)),"")</f>
        <v>#N/A</v>
      </c>
      <c r="AM120" s="96" t="e">
        <f>数出表_Excel!V120</f>
        <v>#N/A</v>
      </c>
      <c r="AN120" s="97" t="e">
        <f>数出表_Excel!W120</f>
        <v>#N/A</v>
      </c>
    </row>
    <row r="121" spans="1:40" ht="16.2" customHeight="1">
      <c r="A121" s="89" t="e">
        <f t="array" aca="1" ref="A121" ca="1">IF(OR(COUNTIF(A119,"*1000*"),COUNTIF(A119,"")),"",INDEX(貼り付け用!$A1:$A200,MATCH(A119,貼り付け用!$A1:$A200,0)+2,0))</f>
        <v>#N/A</v>
      </c>
      <c r="B121" s="186" t="str">
        <f ca="1">IFERROR(VALUE(IF(VLOOKUP($A121,数出表_Excel!$A$6:$T$150,COLUMN()/2+1,FALSE)=0,"",VLOOKUP($A121,数出表_Excel!$A$6:$T$150,COLUMN()/2+1,FALSE))),"")</f>
        <v/>
      </c>
      <c r="C121" s="67"/>
      <c r="D121" s="186" t="str">
        <f ca="1">IFERROR(VALUE(IF(VLOOKUP($A121,数出表_Excel!$A$6:$T$150,COLUMN()/2+1,FALSE)=0,"",VLOOKUP($A121,数出表_Excel!$A$6:$T$150,COLUMN()/2+1,FALSE))),"")</f>
        <v/>
      </c>
      <c r="E121" s="83"/>
      <c r="F121" s="197" t="str">
        <f ca="1">IFERROR(VALUE(IF(VLOOKUP($A121,数出表_Excel!$A$6:$T$150,COLUMN()/2+1,FALSE)=0,"",VLOOKUP($A121,数出表_Excel!$A$6:$T$150,COLUMN()/2+1,FALSE))),"")</f>
        <v/>
      </c>
      <c r="G121" s="67"/>
      <c r="H121" s="186" t="str">
        <f ca="1">IFERROR(VALUE(IF(VLOOKUP($A121,数出表_Excel!$A$6:$T$150,COLUMN()/2+1,FALSE)=0,"",VLOOKUP($A121,数出表_Excel!$A$6:$T$150,COLUMN()/2+1,FALSE))),"")</f>
        <v/>
      </c>
      <c r="I121" s="83"/>
      <c r="J121" s="197" t="str">
        <f ca="1">IFERROR(VALUE(IF(VLOOKUP($A121,数出表_Excel!$A$6:$T$150,COLUMN()/2+1,FALSE)=0,"",VLOOKUP($A121,数出表_Excel!$A$6:$T$150,COLUMN()/2+1,FALSE))),"")</f>
        <v/>
      </c>
      <c r="K121" s="67"/>
      <c r="L121" s="186" t="str">
        <f ca="1">IFERROR(VALUE(IF(VLOOKUP($A121,数出表_Excel!$A$6:$T$150,COLUMN()/2+1,FALSE)=0,"",VLOOKUP($A121,数出表_Excel!$A$6:$T$150,COLUMN()/2+1,FALSE))),"")</f>
        <v/>
      </c>
      <c r="M121" s="83"/>
      <c r="N121" s="197" t="str">
        <f ca="1">IFERROR(VALUE(IF(VLOOKUP($A121,数出表_Excel!$A$6:$T$150,COLUMN()/2+1,FALSE)=0,"",VLOOKUP($A121,数出表_Excel!$A$6:$T$150,COLUMN()/2+1,FALSE))),"")</f>
        <v/>
      </c>
      <c r="O121" s="67"/>
      <c r="P121" s="186" t="str">
        <f ca="1">IFERROR(VALUE(IF(VLOOKUP($A121,数出表_Excel!$A$6:$T$150,COLUMN()/2+1,FALSE)=0,"",VLOOKUP($A121,数出表_Excel!$A$6:$T$150,COLUMN()/2+1,FALSE))),"")</f>
        <v/>
      </c>
      <c r="Q121" s="83"/>
      <c r="R121" s="197" t="str">
        <f ca="1">IFERROR(VALUE(IF(VLOOKUP($A121,数出表_Excel!$A$6:$T$150,COLUMN()/2+1,FALSE)=0,"",VLOOKUP($A121,数出表_Excel!$A$6:$T$150,COLUMN()/2+1,FALSE))),"")</f>
        <v/>
      </c>
      <c r="S121" s="67"/>
      <c r="T121" s="186" t="str">
        <f ca="1">IFERROR(VALUE(IF(VLOOKUP($A121,数出表_Excel!$A$6:$T$150,COLUMN()/2+1,FALSE)=0,"",VLOOKUP($A121,数出表_Excel!$A$6:$T$150,COLUMN()/2+1,FALSE))),"")</f>
        <v/>
      </c>
      <c r="U121" s="83"/>
      <c r="V121" s="197" t="str">
        <f ca="1">IFERROR(VALUE(IF(VLOOKUP($A121,数出表_Excel!$A$6:$T$150,COLUMN()/2+1,FALSE)=0,"",VLOOKUP($A121,数出表_Excel!$A$6:$T$150,COLUMN()/2+1,FALSE))),"")</f>
        <v/>
      </c>
      <c r="W121" s="67"/>
      <c r="X121" s="186" t="str">
        <f ca="1">IFERROR(VALUE(IF(VLOOKUP($A121,数出表_Excel!$A$6:$T$150,COLUMN()/2+1,FALSE)=0,"",VLOOKUP($A121,数出表_Excel!$A$6:$T$150,COLUMN()/2+1,FALSE))),"")</f>
        <v/>
      </c>
      <c r="Y121" s="83"/>
      <c r="Z121" s="197" t="str">
        <f ca="1">IFERROR(VALUE(IF(VLOOKUP($A121,数出表_Excel!$A$6:$T$150,COLUMN()/2+1,FALSE)=0,"",VLOOKUP($A121,数出表_Excel!$A$6:$T$150,COLUMN()/2+1,FALSE))),"")</f>
        <v/>
      </c>
      <c r="AA121" s="83"/>
      <c r="AB121" s="186" t="str">
        <f ca="1">IFERROR(VALUE(IF(VLOOKUP($A121,数出表_Excel!$A$6:$T$150,COLUMN()/2+1,FALSE)=0,"",VLOOKUP($A121,数出表_Excel!$A$6:$T$150,COLUMN()/2+1,FALSE))),"")</f>
        <v/>
      </c>
      <c r="AC121" s="83"/>
      <c r="AD121" s="186" t="str">
        <f ca="1">IFERROR(VALUE(IF(VLOOKUP($A121,数出表_Excel!$A$6:$T$150,COLUMN()/2+1,FALSE)=0,"",VLOOKUP($A121,数出表_Excel!$A$6:$T$150,COLUMN()/2+1,FALSE))),"")</f>
        <v/>
      </c>
      <c r="AE121" s="83"/>
      <c r="AF121" s="186" t="str">
        <f ca="1">IFERROR(VALUE(IF(VLOOKUP($A121,数出表_Excel!$A$6:$T$150,COLUMN()/2+1,FALSE)=0,"",VLOOKUP($A121,数出表_Excel!$A$6:$T$150,COLUMN()/2+1,FALSE))),"")</f>
        <v/>
      </c>
      <c r="AG121" s="83"/>
      <c r="AH121" s="186" t="str">
        <f ca="1">IFERROR(VALUE(IF(VLOOKUP($A121,数出表_Excel!$A$6:$T$150,COLUMN()/2+1,FALSE)=0,"",VLOOKUP($A121,数出表_Excel!$A$6:$T$150,COLUMN()/2+1,FALSE))),"")</f>
        <v/>
      </c>
      <c r="AI121" s="83"/>
      <c r="AJ121" s="186" t="str">
        <f ca="1">IFERROR(VALUE(IF(VLOOKUP($A121,数出表_Excel!$A$6:$T$150,COLUMN()/2+1,FALSE)=0,"",VLOOKUP($A121,数出表_Excel!$A$6:$T$150,COLUMN()/2+1,FALSE))),"")</f>
        <v/>
      </c>
      <c r="AK121" s="83"/>
      <c r="AL121" s="70" t="e">
        <f ca="1">IF(A121&lt;&gt;"",
IF(VLOOKUP($A121,数出表_Excel!$A$6:$T$150,COLUMN()/2+1,FALSE)=0,"",VLOOKUP($A121,数出表_Excel!$A$6:$T$150,COLUMN()/2+1,FALSE)),"")</f>
        <v>#N/A</v>
      </c>
      <c r="AM121" s="98" t="e">
        <f>数出表_Excel!V121</f>
        <v>#N/A</v>
      </c>
      <c r="AN121" s="99" t="e">
        <f>数出表_Excel!W121</f>
        <v>#N/A</v>
      </c>
    </row>
    <row r="122" spans="1:40" ht="16.2" customHeight="1">
      <c r="A122" s="88" t="e">
        <f t="array" aca="1" ref="A122" ca="1">IF(OR(COUNTIF(A120,"*10002*"),COUNTIF(A120,"")),"",INDEX(貼り付け用!$A1:$A200,MATCH(A120,貼り付け用!$A1:$A200,0)+2,0))</f>
        <v>#N/A</v>
      </c>
      <c r="B122" s="185" t="str">
        <f ca="1">IFERROR(VALUE(IF(VLOOKUP($A122,数出表_Excel!$A$6:$T$150,COLUMN()/2+1,FALSE)=0,"",VLOOKUP($A122,数出表_Excel!$A$6:$T$150,COLUMN()/2+1,FALSE))),"")</f>
        <v/>
      </c>
      <c r="C122" s="66"/>
      <c r="D122" s="185" t="str">
        <f ca="1">IFERROR(VALUE(IF(VLOOKUP($A122,数出表_Excel!$A$6:$T$150,COLUMN()/2+1,FALSE)=0,"",VLOOKUP($A122,数出表_Excel!$A$6:$T$150,COLUMN()/2+1,FALSE))),"")</f>
        <v/>
      </c>
      <c r="E122" s="82"/>
      <c r="F122" s="196" t="str">
        <f ca="1">IFERROR(VALUE(IF(VLOOKUP($A122,数出表_Excel!$A$6:$T$150,COLUMN()/2+1,FALSE)=0,"",VLOOKUP($A122,数出表_Excel!$A$6:$T$150,COLUMN()/2+1,FALSE))),"")</f>
        <v/>
      </c>
      <c r="G122" s="66"/>
      <c r="H122" s="185" t="str">
        <f ca="1">IFERROR(VALUE(IF(VLOOKUP($A122,数出表_Excel!$A$6:$T$150,COLUMN()/2+1,FALSE)=0,"",VLOOKUP($A122,数出表_Excel!$A$6:$T$150,COLUMN()/2+1,FALSE))),"")</f>
        <v/>
      </c>
      <c r="I122" s="82"/>
      <c r="J122" s="196" t="str">
        <f ca="1">IFERROR(VALUE(IF(VLOOKUP($A122,数出表_Excel!$A$6:$T$150,COLUMN()/2+1,FALSE)=0,"",VLOOKUP($A122,数出表_Excel!$A$6:$T$150,COLUMN()/2+1,FALSE))),"")</f>
        <v/>
      </c>
      <c r="K122" s="66"/>
      <c r="L122" s="185" t="str">
        <f ca="1">IFERROR(VALUE(IF(VLOOKUP($A122,数出表_Excel!$A$6:$T$150,COLUMN()/2+1,FALSE)=0,"",VLOOKUP($A122,数出表_Excel!$A$6:$T$150,COLUMN()/2+1,FALSE))),"")</f>
        <v/>
      </c>
      <c r="M122" s="82"/>
      <c r="N122" s="196" t="str">
        <f ca="1">IFERROR(VALUE(IF(VLOOKUP($A122,数出表_Excel!$A$6:$T$150,COLUMN()/2+1,FALSE)=0,"",VLOOKUP($A122,数出表_Excel!$A$6:$T$150,COLUMN()/2+1,FALSE))),"")</f>
        <v/>
      </c>
      <c r="O122" s="66"/>
      <c r="P122" s="185" t="str">
        <f ca="1">IFERROR(VALUE(IF(VLOOKUP($A122,数出表_Excel!$A$6:$T$150,COLUMN()/2+1,FALSE)=0,"",VLOOKUP($A122,数出表_Excel!$A$6:$T$150,COLUMN()/2+1,FALSE))),"")</f>
        <v/>
      </c>
      <c r="Q122" s="82"/>
      <c r="R122" s="196" t="str">
        <f ca="1">IFERROR(VALUE(IF(VLOOKUP($A122,数出表_Excel!$A$6:$T$150,COLUMN()/2+1,FALSE)=0,"",VLOOKUP($A122,数出表_Excel!$A$6:$T$150,COLUMN()/2+1,FALSE))),"")</f>
        <v/>
      </c>
      <c r="S122" s="66"/>
      <c r="T122" s="185" t="str">
        <f ca="1">IFERROR(VALUE(IF(VLOOKUP($A122,数出表_Excel!$A$6:$T$150,COLUMN()/2+1,FALSE)=0,"",VLOOKUP($A122,数出表_Excel!$A$6:$T$150,COLUMN()/2+1,FALSE))),"")</f>
        <v/>
      </c>
      <c r="U122" s="82"/>
      <c r="V122" s="196" t="str">
        <f ca="1">IFERROR(VALUE(IF(VLOOKUP($A122,数出表_Excel!$A$6:$T$150,COLUMN()/2+1,FALSE)=0,"",VLOOKUP($A122,数出表_Excel!$A$6:$T$150,COLUMN()/2+1,FALSE))),"")</f>
        <v/>
      </c>
      <c r="W122" s="66"/>
      <c r="X122" s="185" t="str">
        <f ca="1">IFERROR(VALUE(IF(VLOOKUP($A122,数出表_Excel!$A$6:$T$150,COLUMN()/2+1,FALSE)=0,"",VLOOKUP($A122,数出表_Excel!$A$6:$T$150,COLUMN()/2+1,FALSE))),"")</f>
        <v/>
      </c>
      <c r="Y122" s="82"/>
      <c r="Z122" s="196" t="str">
        <f ca="1">IFERROR(VALUE(IF(VLOOKUP($A122,数出表_Excel!$A$6:$T$150,COLUMN()/2+1,FALSE)=0,"",VLOOKUP($A122,数出表_Excel!$A$6:$T$150,COLUMN()/2+1,FALSE))),"")</f>
        <v/>
      </c>
      <c r="AA122" s="82"/>
      <c r="AB122" s="185" t="str">
        <f ca="1">IFERROR(VALUE(IF(VLOOKUP($A122,数出表_Excel!$A$6:$T$150,COLUMN()/2+1,FALSE)=0,"",VLOOKUP($A122,数出表_Excel!$A$6:$T$150,COLUMN()/2+1,FALSE))),"")</f>
        <v/>
      </c>
      <c r="AC122" s="82"/>
      <c r="AD122" s="185" t="str">
        <f ca="1">IFERROR(VALUE(IF(VLOOKUP($A122,数出表_Excel!$A$6:$T$150,COLUMN()/2+1,FALSE)=0,"",VLOOKUP($A122,数出表_Excel!$A$6:$T$150,COLUMN()/2+1,FALSE))),"")</f>
        <v/>
      </c>
      <c r="AE122" s="82"/>
      <c r="AF122" s="185" t="str">
        <f ca="1">IFERROR(VALUE(IF(VLOOKUP($A122,数出表_Excel!$A$6:$T$150,COLUMN()/2+1,FALSE)=0,"",VLOOKUP($A122,数出表_Excel!$A$6:$T$150,COLUMN()/2+1,FALSE))),"")</f>
        <v/>
      </c>
      <c r="AG122" s="82"/>
      <c r="AH122" s="185" t="str">
        <f ca="1">IFERROR(VALUE(IF(VLOOKUP($A122,数出表_Excel!$A$6:$T$150,COLUMN()/2+1,FALSE)=0,"",VLOOKUP($A122,数出表_Excel!$A$6:$T$150,COLUMN()/2+1,FALSE))),"")</f>
        <v/>
      </c>
      <c r="AI122" s="82"/>
      <c r="AJ122" s="185" t="str">
        <f ca="1">IFERROR(VALUE(IF(VLOOKUP($A122,数出表_Excel!$A$6:$T$150,COLUMN()/2+1,FALSE)=0,"",VLOOKUP($A122,数出表_Excel!$A$6:$T$150,COLUMN()/2+1,FALSE))),"")</f>
        <v/>
      </c>
      <c r="AK122" s="82"/>
      <c r="AL122" s="68" t="e">
        <f ca="1">IF(A122&lt;&gt;"",
IF(VLOOKUP($A122,数出表_Excel!$A$6:$T$150,COLUMN()/2+1,FALSE)=0,"",VLOOKUP($A122,数出表_Excel!$A$6:$T$150,COLUMN()/2+1,FALSE)),"")</f>
        <v>#N/A</v>
      </c>
      <c r="AM122" s="96" t="e">
        <f>数出表_Excel!V122</f>
        <v>#N/A</v>
      </c>
      <c r="AN122" s="97" t="e">
        <f>数出表_Excel!W122</f>
        <v>#N/A</v>
      </c>
    </row>
    <row r="123" spans="1:40" ht="16.2" customHeight="1">
      <c r="A123" s="89" t="e">
        <f t="array" aca="1" ref="A123" ca="1">IF(OR(COUNTIF(A121,"*1000*"),COUNTIF(A121,"")),"",INDEX(貼り付け用!$A1:$A200,MATCH(A121,貼り付け用!$A1:$A200,0)+2,0))</f>
        <v>#N/A</v>
      </c>
      <c r="B123" s="186" t="str">
        <f ca="1">IFERROR(VALUE(IF(VLOOKUP($A123,数出表_Excel!$A$6:$T$150,COLUMN()/2+1,FALSE)=0,"",VLOOKUP($A123,数出表_Excel!$A$6:$T$150,COLUMN()/2+1,FALSE))),"")</f>
        <v/>
      </c>
      <c r="C123" s="67"/>
      <c r="D123" s="186" t="str">
        <f ca="1">IFERROR(VALUE(IF(VLOOKUP($A123,数出表_Excel!$A$6:$T$150,COLUMN()/2+1,FALSE)=0,"",VLOOKUP($A123,数出表_Excel!$A$6:$T$150,COLUMN()/2+1,FALSE))),"")</f>
        <v/>
      </c>
      <c r="E123" s="83"/>
      <c r="F123" s="197" t="str">
        <f ca="1">IFERROR(VALUE(IF(VLOOKUP($A123,数出表_Excel!$A$6:$T$150,COLUMN()/2+1,FALSE)=0,"",VLOOKUP($A123,数出表_Excel!$A$6:$T$150,COLUMN()/2+1,FALSE))),"")</f>
        <v/>
      </c>
      <c r="G123" s="67"/>
      <c r="H123" s="186" t="str">
        <f ca="1">IFERROR(VALUE(IF(VLOOKUP($A123,数出表_Excel!$A$6:$T$150,COLUMN()/2+1,FALSE)=0,"",VLOOKUP($A123,数出表_Excel!$A$6:$T$150,COLUMN()/2+1,FALSE))),"")</f>
        <v/>
      </c>
      <c r="I123" s="83"/>
      <c r="J123" s="197" t="str">
        <f ca="1">IFERROR(VALUE(IF(VLOOKUP($A123,数出表_Excel!$A$6:$T$150,COLUMN()/2+1,FALSE)=0,"",VLOOKUP($A123,数出表_Excel!$A$6:$T$150,COLUMN()/2+1,FALSE))),"")</f>
        <v/>
      </c>
      <c r="K123" s="67"/>
      <c r="L123" s="186" t="str">
        <f ca="1">IFERROR(VALUE(IF(VLOOKUP($A123,数出表_Excel!$A$6:$T$150,COLUMN()/2+1,FALSE)=0,"",VLOOKUP($A123,数出表_Excel!$A$6:$T$150,COLUMN()/2+1,FALSE))),"")</f>
        <v/>
      </c>
      <c r="M123" s="83"/>
      <c r="N123" s="197" t="str">
        <f ca="1">IFERROR(VALUE(IF(VLOOKUP($A123,数出表_Excel!$A$6:$T$150,COLUMN()/2+1,FALSE)=0,"",VLOOKUP($A123,数出表_Excel!$A$6:$T$150,COLUMN()/2+1,FALSE))),"")</f>
        <v/>
      </c>
      <c r="O123" s="67"/>
      <c r="P123" s="186" t="str">
        <f ca="1">IFERROR(VALUE(IF(VLOOKUP($A123,数出表_Excel!$A$6:$T$150,COLUMN()/2+1,FALSE)=0,"",VLOOKUP($A123,数出表_Excel!$A$6:$T$150,COLUMN()/2+1,FALSE))),"")</f>
        <v/>
      </c>
      <c r="Q123" s="83"/>
      <c r="R123" s="197" t="str">
        <f ca="1">IFERROR(VALUE(IF(VLOOKUP($A123,数出表_Excel!$A$6:$T$150,COLUMN()/2+1,FALSE)=0,"",VLOOKUP($A123,数出表_Excel!$A$6:$T$150,COLUMN()/2+1,FALSE))),"")</f>
        <v/>
      </c>
      <c r="S123" s="67"/>
      <c r="T123" s="186" t="str">
        <f ca="1">IFERROR(VALUE(IF(VLOOKUP($A123,数出表_Excel!$A$6:$T$150,COLUMN()/2+1,FALSE)=0,"",VLOOKUP($A123,数出表_Excel!$A$6:$T$150,COLUMN()/2+1,FALSE))),"")</f>
        <v/>
      </c>
      <c r="U123" s="83"/>
      <c r="V123" s="197" t="str">
        <f ca="1">IFERROR(VALUE(IF(VLOOKUP($A123,数出表_Excel!$A$6:$T$150,COLUMN()/2+1,FALSE)=0,"",VLOOKUP($A123,数出表_Excel!$A$6:$T$150,COLUMN()/2+1,FALSE))),"")</f>
        <v/>
      </c>
      <c r="W123" s="67"/>
      <c r="X123" s="186" t="str">
        <f ca="1">IFERROR(VALUE(IF(VLOOKUP($A123,数出表_Excel!$A$6:$T$150,COLUMN()/2+1,FALSE)=0,"",VLOOKUP($A123,数出表_Excel!$A$6:$T$150,COLUMN()/2+1,FALSE))),"")</f>
        <v/>
      </c>
      <c r="Y123" s="83"/>
      <c r="Z123" s="197" t="str">
        <f ca="1">IFERROR(VALUE(IF(VLOOKUP($A123,数出表_Excel!$A$6:$T$150,COLUMN()/2+1,FALSE)=0,"",VLOOKUP($A123,数出表_Excel!$A$6:$T$150,COLUMN()/2+1,FALSE))),"")</f>
        <v/>
      </c>
      <c r="AA123" s="83"/>
      <c r="AB123" s="186" t="str">
        <f ca="1">IFERROR(VALUE(IF(VLOOKUP($A123,数出表_Excel!$A$6:$T$150,COLUMN()/2+1,FALSE)=0,"",VLOOKUP($A123,数出表_Excel!$A$6:$T$150,COLUMN()/2+1,FALSE))),"")</f>
        <v/>
      </c>
      <c r="AC123" s="83"/>
      <c r="AD123" s="186" t="str">
        <f ca="1">IFERROR(VALUE(IF(VLOOKUP($A123,数出表_Excel!$A$6:$T$150,COLUMN()/2+1,FALSE)=0,"",VLOOKUP($A123,数出表_Excel!$A$6:$T$150,COLUMN()/2+1,FALSE))),"")</f>
        <v/>
      </c>
      <c r="AE123" s="83"/>
      <c r="AF123" s="186" t="str">
        <f ca="1">IFERROR(VALUE(IF(VLOOKUP($A123,数出表_Excel!$A$6:$T$150,COLUMN()/2+1,FALSE)=0,"",VLOOKUP($A123,数出表_Excel!$A$6:$T$150,COLUMN()/2+1,FALSE))),"")</f>
        <v/>
      </c>
      <c r="AG123" s="83"/>
      <c r="AH123" s="186" t="str">
        <f ca="1">IFERROR(VALUE(IF(VLOOKUP($A123,数出表_Excel!$A$6:$T$150,COLUMN()/2+1,FALSE)=0,"",VLOOKUP($A123,数出表_Excel!$A$6:$T$150,COLUMN()/2+1,FALSE))),"")</f>
        <v/>
      </c>
      <c r="AI123" s="83"/>
      <c r="AJ123" s="186" t="str">
        <f ca="1">IFERROR(VALUE(IF(VLOOKUP($A123,数出表_Excel!$A$6:$T$150,COLUMN()/2+1,FALSE)=0,"",VLOOKUP($A123,数出表_Excel!$A$6:$T$150,COLUMN()/2+1,FALSE))),"")</f>
        <v/>
      </c>
      <c r="AK123" s="83"/>
      <c r="AL123" s="70" t="e">
        <f ca="1">IF(A123&lt;&gt;"",
IF(VLOOKUP($A123,数出表_Excel!$A$6:$T$150,COLUMN()/2+1,FALSE)=0,"",VLOOKUP($A123,数出表_Excel!$A$6:$T$150,COLUMN()/2+1,FALSE)),"")</f>
        <v>#N/A</v>
      </c>
      <c r="AM123" s="98" t="e">
        <f>数出表_Excel!V123</f>
        <v>#N/A</v>
      </c>
      <c r="AN123" s="99" t="e">
        <f>数出表_Excel!W123</f>
        <v>#N/A</v>
      </c>
    </row>
    <row r="124" spans="1:40" ht="16.2" customHeight="1">
      <c r="A124" s="88" t="e">
        <f t="array" aca="1" ref="A124" ca="1">IF(OR(COUNTIF(A122,"*10002*"),COUNTIF(A122,"")),"",INDEX(貼り付け用!$A1:$A200,MATCH(A122,貼り付け用!$A1:$A200,0)+2,0))</f>
        <v>#N/A</v>
      </c>
      <c r="B124" s="185" t="str">
        <f ca="1">IFERROR(VALUE(IF(VLOOKUP($A124,数出表_Excel!$A$6:$T$150,COLUMN()/2+1,FALSE)=0,"",VLOOKUP($A124,数出表_Excel!$A$6:$T$150,COLUMN()/2+1,FALSE))),"")</f>
        <v/>
      </c>
      <c r="C124" s="66"/>
      <c r="D124" s="185" t="str">
        <f ca="1">IFERROR(VALUE(IF(VLOOKUP($A124,数出表_Excel!$A$6:$T$150,COLUMN()/2+1,FALSE)=0,"",VLOOKUP($A124,数出表_Excel!$A$6:$T$150,COLUMN()/2+1,FALSE))),"")</f>
        <v/>
      </c>
      <c r="E124" s="82"/>
      <c r="F124" s="196" t="str">
        <f ca="1">IFERROR(VALUE(IF(VLOOKUP($A124,数出表_Excel!$A$6:$T$150,COLUMN()/2+1,FALSE)=0,"",VLOOKUP($A124,数出表_Excel!$A$6:$T$150,COLUMN()/2+1,FALSE))),"")</f>
        <v/>
      </c>
      <c r="G124" s="66"/>
      <c r="H124" s="185" t="str">
        <f ca="1">IFERROR(VALUE(IF(VLOOKUP($A124,数出表_Excel!$A$6:$T$150,COLUMN()/2+1,FALSE)=0,"",VLOOKUP($A124,数出表_Excel!$A$6:$T$150,COLUMN()/2+1,FALSE))),"")</f>
        <v/>
      </c>
      <c r="I124" s="82"/>
      <c r="J124" s="196" t="str">
        <f ca="1">IFERROR(VALUE(IF(VLOOKUP($A124,数出表_Excel!$A$6:$T$150,COLUMN()/2+1,FALSE)=0,"",VLOOKUP($A124,数出表_Excel!$A$6:$T$150,COLUMN()/2+1,FALSE))),"")</f>
        <v/>
      </c>
      <c r="K124" s="66"/>
      <c r="L124" s="185" t="str">
        <f ca="1">IFERROR(VALUE(IF(VLOOKUP($A124,数出表_Excel!$A$6:$T$150,COLUMN()/2+1,FALSE)=0,"",VLOOKUP($A124,数出表_Excel!$A$6:$T$150,COLUMN()/2+1,FALSE))),"")</f>
        <v/>
      </c>
      <c r="M124" s="82"/>
      <c r="N124" s="196" t="str">
        <f ca="1">IFERROR(VALUE(IF(VLOOKUP($A124,数出表_Excel!$A$6:$T$150,COLUMN()/2+1,FALSE)=0,"",VLOOKUP($A124,数出表_Excel!$A$6:$T$150,COLUMN()/2+1,FALSE))),"")</f>
        <v/>
      </c>
      <c r="O124" s="66"/>
      <c r="P124" s="185" t="str">
        <f ca="1">IFERROR(VALUE(IF(VLOOKUP($A124,数出表_Excel!$A$6:$T$150,COLUMN()/2+1,FALSE)=0,"",VLOOKUP($A124,数出表_Excel!$A$6:$T$150,COLUMN()/2+1,FALSE))),"")</f>
        <v/>
      </c>
      <c r="Q124" s="82"/>
      <c r="R124" s="196" t="str">
        <f ca="1">IFERROR(VALUE(IF(VLOOKUP($A124,数出表_Excel!$A$6:$T$150,COLUMN()/2+1,FALSE)=0,"",VLOOKUP($A124,数出表_Excel!$A$6:$T$150,COLUMN()/2+1,FALSE))),"")</f>
        <v/>
      </c>
      <c r="S124" s="66"/>
      <c r="T124" s="185" t="str">
        <f ca="1">IFERROR(VALUE(IF(VLOOKUP($A124,数出表_Excel!$A$6:$T$150,COLUMN()/2+1,FALSE)=0,"",VLOOKUP($A124,数出表_Excel!$A$6:$T$150,COLUMN()/2+1,FALSE))),"")</f>
        <v/>
      </c>
      <c r="U124" s="82"/>
      <c r="V124" s="196" t="str">
        <f ca="1">IFERROR(VALUE(IF(VLOOKUP($A124,数出表_Excel!$A$6:$T$150,COLUMN()/2+1,FALSE)=0,"",VLOOKUP($A124,数出表_Excel!$A$6:$T$150,COLUMN()/2+1,FALSE))),"")</f>
        <v/>
      </c>
      <c r="W124" s="66"/>
      <c r="X124" s="185" t="str">
        <f ca="1">IFERROR(VALUE(IF(VLOOKUP($A124,数出表_Excel!$A$6:$T$150,COLUMN()/2+1,FALSE)=0,"",VLOOKUP($A124,数出表_Excel!$A$6:$T$150,COLUMN()/2+1,FALSE))),"")</f>
        <v/>
      </c>
      <c r="Y124" s="82"/>
      <c r="Z124" s="196" t="str">
        <f ca="1">IFERROR(VALUE(IF(VLOOKUP($A124,数出表_Excel!$A$6:$T$150,COLUMN()/2+1,FALSE)=0,"",VLOOKUP($A124,数出表_Excel!$A$6:$T$150,COLUMN()/2+1,FALSE))),"")</f>
        <v/>
      </c>
      <c r="AA124" s="82"/>
      <c r="AB124" s="185" t="str">
        <f ca="1">IFERROR(VALUE(IF(VLOOKUP($A124,数出表_Excel!$A$6:$T$150,COLUMN()/2+1,FALSE)=0,"",VLOOKUP($A124,数出表_Excel!$A$6:$T$150,COLUMN()/2+1,FALSE))),"")</f>
        <v/>
      </c>
      <c r="AC124" s="82"/>
      <c r="AD124" s="185" t="str">
        <f ca="1">IFERROR(VALUE(IF(VLOOKUP($A124,数出表_Excel!$A$6:$T$150,COLUMN()/2+1,FALSE)=0,"",VLOOKUP($A124,数出表_Excel!$A$6:$T$150,COLUMN()/2+1,FALSE))),"")</f>
        <v/>
      </c>
      <c r="AE124" s="82"/>
      <c r="AF124" s="185" t="str">
        <f ca="1">IFERROR(VALUE(IF(VLOOKUP($A124,数出表_Excel!$A$6:$T$150,COLUMN()/2+1,FALSE)=0,"",VLOOKUP($A124,数出表_Excel!$A$6:$T$150,COLUMN()/2+1,FALSE))),"")</f>
        <v/>
      </c>
      <c r="AG124" s="82"/>
      <c r="AH124" s="185" t="str">
        <f ca="1">IFERROR(VALUE(IF(VLOOKUP($A124,数出表_Excel!$A$6:$T$150,COLUMN()/2+1,FALSE)=0,"",VLOOKUP($A124,数出表_Excel!$A$6:$T$150,COLUMN()/2+1,FALSE))),"")</f>
        <v/>
      </c>
      <c r="AI124" s="82"/>
      <c r="AJ124" s="185" t="str">
        <f ca="1">IFERROR(VALUE(IF(VLOOKUP($A124,数出表_Excel!$A$6:$T$150,COLUMN()/2+1,FALSE)=0,"",VLOOKUP($A124,数出表_Excel!$A$6:$T$150,COLUMN()/2+1,FALSE))),"")</f>
        <v/>
      </c>
      <c r="AK124" s="82"/>
      <c r="AL124" s="68" t="e">
        <f ca="1">IF(A124&lt;&gt;"",
IF(VLOOKUP($A124,数出表_Excel!$A$6:$T$150,COLUMN()/2+1,FALSE)=0,"",VLOOKUP($A124,数出表_Excel!$A$6:$T$150,COLUMN()/2+1,FALSE)),"")</f>
        <v>#N/A</v>
      </c>
      <c r="AM124" s="96" t="e">
        <f>数出表_Excel!V124</f>
        <v>#N/A</v>
      </c>
      <c r="AN124" s="97" t="e">
        <f>数出表_Excel!W124</f>
        <v>#N/A</v>
      </c>
    </row>
    <row r="125" spans="1:40" ht="16.2" customHeight="1">
      <c r="A125" s="89" t="e">
        <f t="array" aca="1" ref="A125" ca="1">IF(OR(COUNTIF(A123,"*1000*"),COUNTIF(A123,"")),"",INDEX(貼り付け用!$A1:$A200,MATCH(A123,貼り付け用!$A1:$A200,0)+2,0))</f>
        <v>#N/A</v>
      </c>
      <c r="B125" s="186" t="str">
        <f ca="1">IFERROR(VALUE(IF(VLOOKUP($A125,数出表_Excel!$A$6:$T$150,COLUMN()/2+1,FALSE)=0,"",VLOOKUP($A125,数出表_Excel!$A$6:$T$150,COLUMN()/2+1,FALSE))),"")</f>
        <v/>
      </c>
      <c r="C125" s="67"/>
      <c r="D125" s="186" t="str">
        <f ca="1">IFERROR(VALUE(IF(VLOOKUP($A125,数出表_Excel!$A$6:$T$150,COLUMN()/2+1,FALSE)=0,"",VLOOKUP($A125,数出表_Excel!$A$6:$T$150,COLUMN()/2+1,FALSE))),"")</f>
        <v/>
      </c>
      <c r="E125" s="83"/>
      <c r="F125" s="197" t="str">
        <f ca="1">IFERROR(VALUE(IF(VLOOKUP($A125,数出表_Excel!$A$6:$T$150,COLUMN()/2+1,FALSE)=0,"",VLOOKUP($A125,数出表_Excel!$A$6:$T$150,COLUMN()/2+1,FALSE))),"")</f>
        <v/>
      </c>
      <c r="G125" s="67"/>
      <c r="H125" s="186" t="str">
        <f ca="1">IFERROR(VALUE(IF(VLOOKUP($A125,数出表_Excel!$A$6:$T$150,COLUMN()/2+1,FALSE)=0,"",VLOOKUP($A125,数出表_Excel!$A$6:$T$150,COLUMN()/2+1,FALSE))),"")</f>
        <v/>
      </c>
      <c r="I125" s="83"/>
      <c r="J125" s="197" t="str">
        <f ca="1">IFERROR(VALUE(IF(VLOOKUP($A125,数出表_Excel!$A$6:$T$150,COLUMN()/2+1,FALSE)=0,"",VLOOKUP($A125,数出表_Excel!$A$6:$T$150,COLUMN()/2+1,FALSE))),"")</f>
        <v/>
      </c>
      <c r="K125" s="67"/>
      <c r="L125" s="186" t="str">
        <f ca="1">IFERROR(VALUE(IF(VLOOKUP($A125,数出表_Excel!$A$6:$T$150,COLUMN()/2+1,FALSE)=0,"",VLOOKUP($A125,数出表_Excel!$A$6:$T$150,COLUMN()/2+1,FALSE))),"")</f>
        <v/>
      </c>
      <c r="M125" s="83"/>
      <c r="N125" s="197" t="str">
        <f ca="1">IFERROR(VALUE(IF(VLOOKUP($A125,数出表_Excel!$A$6:$T$150,COLUMN()/2+1,FALSE)=0,"",VLOOKUP($A125,数出表_Excel!$A$6:$T$150,COLUMN()/2+1,FALSE))),"")</f>
        <v/>
      </c>
      <c r="O125" s="67"/>
      <c r="P125" s="186" t="str">
        <f ca="1">IFERROR(VALUE(IF(VLOOKUP($A125,数出表_Excel!$A$6:$T$150,COLUMN()/2+1,FALSE)=0,"",VLOOKUP($A125,数出表_Excel!$A$6:$T$150,COLUMN()/2+1,FALSE))),"")</f>
        <v/>
      </c>
      <c r="Q125" s="83"/>
      <c r="R125" s="197" t="str">
        <f ca="1">IFERROR(VALUE(IF(VLOOKUP($A125,数出表_Excel!$A$6:$T$150,COLUMN()/2+1,FALSE)=0,"",VLOOKUP($A125,数出表_Excel!$A$6:$T$150,COLUMN()/2+1,FALSE))),"")</f>
        <v/>
      </c>
      <c r="S125" s="67"/>
      <c r="T125" s="186" t="str">
        <f ca="1">IFERROR(VALUE(IF(VLOOKUP($A125,数出表_Excel!$A$6:$T$150,COLUMN()/2+1,FALSE)=0,"",VLOOKUP($A125,数出表_Excel!$A$6:$T$150,COLUMN()/2+1,FALSE))),"")</f>
        <v/>
      </c>
      <c r="U125" s="83"/>
      <c r="V125" s="197" t="str">
        <f ca="1">IFERROR(VALUE(IF(VLOOKUP($A125,数出表_Excel!$A$6:$T$150,COLUMN()/2+1,FALSE)=0,"",VLOOKUP($A125,数出表_Excel!$A$6:$T$150,COLUMN()/2+1,FALSE))),"")</f>
        <v/>
      </c>
      <c r="W125" s="67"/>
      <c r="X125" s="186" t="str">
        <f ca="1">IFERROR(VALUE(IF(VLOOKUP($A125,数出表_Excel!$A$6:$T$150,COLUMN()/2+1,FALSE)=0,"",VLOOKUP($A125,数出表_Excel!$A$6:$T$150,COLUMN()/2+1,FALSE))),"")</f>
        <v/>
      </c>
      <c r="Y125" s="83"/>
      <c r="Z125" s="197" t="str">
        <f ca="1">IFERROR(VALUE(IF(VLOOKUP($A125,数出表_Excel!$A$6:$T$150,COLUMN()/2+1,FALSE)=0,"",VLOOKUP($A125,数出表_Excel!$A$6:$T$150,COLUMN()/2+1,FALSE))),"")</f>
        <v/>
      </c>
      <c r="AA125" s="83"/>
      <c r="AB125" s="186" t="str">
        <f ca="1">IFERROR(VALUE(IF(VLOOKUP($A125,数出表_Excel!$A$6:$T$150,COLUMN()/2+1,FALSE)=0,"",VLOOKUP($A125,数出表_Excel!$A$6:$T$150,COLUMN()/2+1,FALSE))),"")</f>
        <v/>
      </c>
      <c r="AC125" s="83"/>
      <c r="AD125" s="186" t="str">
        <f ca="1">IFERROR(VALUE(IF(VLOOKUP($A125,数出表_Excel!$A$6:$T$150,COLUMN()/2+1,FALSE)=0,"",VLOOKUP($A125,数出表_Excel!$A$6:$T$150,COLUMN()/2+1,FALSE))),"")</f>
        <v/>
      </c>
      <c r="AE125" s="83"/>
      <c r="AF125" s="186" t="str">
        <f ca="1">IFERROR(VALUE(IF(VLOOKUP($A125,数出表_Excel!$A$6:$T$150,COLUMN()/2+1,FALSE)=0,"",VLOOKUP($A125,数出表_Excel!$A$6:$T$150,COLUMN()/2+1,FALSE))),"")</f>
        <v/>
      </c>
      <c r="AG125" s="83"/>
      <c r="AH125" s="186" t="str">
        <f ca="1">IFERROR(VALUE(IF(VLOOKUP($A125,数出表_Excel!$A$6:$T$150,COLUMN()/2+1,FALSE)=0,"",VLOOKUP($A125,数出表_Excel!$A$6:$T$150,COLUMN()/2+1,FALSE))),"")</f>
        <v/>
      </c>
      <c r="AI125" s="83"/>
      <c r="AJ125" s="186" t="str">
        <f ca="1">IFERROR(VALUE(IF(VLOOKUP($A125,数出表_Excel!$A$6:$T$150,COLUMN()/2+1,FALSE)=0,"",VLOOKUP($A125,数出表_Excel!$A$6:$T$150,COLUMN()/2+1,FALSE))),"")</f>
        <v/>
      </c>
      <c r="AK125" s="83"/>
      <c r="AL125" s="70" t="e">
        <f ca="1">IF(A125&lt;&gt;"",
IF(VLOOKUP($A125,数出表_Excel!$A$6:$T$150,COLUMN()/2+1,FALSE)=0,"",VLOOKUP($A125,数出表_Excel!$A$6:$T$150,COLUMN()/2+1,FALSE)),"")</f>
        <v>#N/A</v>
      </c>
      <c r="AM125" s="98" t="e">
        <f>数出表_Excel!V125</f>
        <v>#N/A</v>
      </c>
      <c r="AN125" s="99" t="e">
        <f>数出表_Excel!W125</f>
        <v>#N/A</v>
      </c>
    </row>
    <row r="126" spans="1:40" ht="16.2" customHeight="1">
      <c r="A126" s="88" t="e">
        <f t="array" aca="1" ref="A126" ca="1">IF(OR(COUNTIF(A124,"*10002*"),COUNTIF(A124,"")),"",INDEX(貼り付け用!$A1:$A200,MATCH(A124,貼り付け用!$A1:$A200,0)+2,0))</f>
        <v>#N/A</v>
      </c>
      <c r="B126" s="185" t="str">
        <f ca="1">IFERROR(VALUE(IF(VLOOKUP($A126,数出表_Excel!$A$6:$T$150,COLUMN()/2+1,FALSE)=0,"",VLOOKUP($A126,数出表_Excel!$A$6:$T$150,COLUMN()/2+1,FALSE))),"")</f>
        <v/>
      </c>
      <c r="C126" s="66"/>
      <c r="D126" s="185" t="str">
        <f ca="1">IFERROR(VALUE(IF(VLOOKUP($A126,数出表_Excel!$A$6:$T$150,COLUMN()/2+1,FALSE)=0,"",VLOOKUP($A126,数出表_Excel!$A$6:$T$150,COLUMN()/2+1,FALSE))),"")</f>
        <v/>
      </c>
      <c r="E126" s="82"/>
      <c r="F126" s="196" t="str">
        <f ca="1">IFERROR(VALUE(IF(VLOOKUP($A126,数出表_Excel!$A$6:$T$150,COLUMN()/2+1,FALSE)=0,"",VLOOKUP($A126,数出表_Excel!$A$6:$T$150,COLUMN()/2+1,FALSE))),"")</f>
        <v/>
      </c>
      <c r="G126" s="66"/>
      <c r="H126" s="185" t="str">
        <f ca="1">IFERROR(VALUE(IF(VLOOKUP($A126,数出表_Excel!$A$6:$T$150,COLUMN()/2+1,FALSE)=0,"",VLOOKUP($A126,数出表_Excel!$A$6:$T$150,COLUMN()/2+1,FALSE))),"")</f>
        <v/>
      </c>
      <c r="I126" s="82"/>
      <c r="J126" s="196" t="str">
        <f ca="1">IFERROR(VALUE(IF(VLOOKUP($A126,数出表_Excel!$A$6:$T$150,COLUMN()/2+1,FALSE)=0,"",VLOOKUP($A126,数出表_Excel!$A$6:$T$150,COLUMN()/2+1,FALSE))),"")</f>
        <v/>
      </c>
      <c r="K126" s="66"/>
      <c r="L126" s="185" t="str">
        <f ca="1">IFERROR(VALUE(IF(VLOOKUP($A126,数出表_Excel!$A$6:$T$150,COLUMN()/2+1,FALSE)=0,"",VLOOKUP($A126,数出表_Excel!$A$6:$T$150,COLUMN()/2+1,FALSE))),"")</f>
        <v/>
      </c>
      <c r="M126" s="82"/>
      <c r="N126" s="196" t="str">
        <f ca="1">IFERROR(VALUE(IF(VLOOKUP($A126,数出表_Excel!$A$6:$T$150,COLUMN()/2+1,FALSE)=0,"",VLOOKUP($A126,数出表_Excel!$A$6:$T$150,COLUMN()/2+1,FALSE))),"")</f>
        <v/>
      </c>
      <c r="O126" s="66"/>
      <c r="P126" s="185" t="str">
        <f ca="1">IFERROR(VALUE(IF(VLOOKUP($A126,数出表_Excel!$A$6:$T$150,COLUMN()/2+1,FALSE)=0,"",VLOOKUP($A126,数出表_Excel!$A$6:$T$150,COLUMN()/2+1,FALSE))),"")</f>
        <v/>
      </c>
      <c r="Q126" s="82"/>
      <c r="R126" s="196" t="str">
        <f ca="1">IFERROR(VALUE(IF(VLOOKUP($A126,数出表_Excel!$A$6:$T$150,COLUMN()/2+1,FALSE)=0,"",VLOOKUP($A126,数出表_Excel!$A$6:$T$150,COLUMN()/2+1,FALSE))),"")</f>
        <v/>
      </c>
      <c r="S126" s="66"/>
      <c r="T126" s="185" t="str">
        <f ca="1">IFERROR(VALUE(IF(VLOOKUP($A126,数出表_Excel!$A$6:$T$150,COLUMN()/2+1,FALSE)=0,"",VLOOKUP($A126,数出表_Excel!$A$6:$T$150,COLUMN()/2+1,FALSE))),"")</f>
        <v/>
      </c>
      <c r="U126" s="82"/>
      <c r="V126" s="196" t="str">
        <f ca="1">IFERROR(VALUE(IF(VLOOKUP($A126,数出表_Excel!$A$6:$T$150,COLUMN()/2+1,FALSE)=0,"",VLOOKUP($A126,数出表_Excel!$A$6:$T$150,COLUMN()/2+1,FALSE))),"")</f>
        <v/>
      </c>
      <c r="W126" s="66"/>
      <c r="X126" s="185" t="str">
        <f ca="1">IFERROR(VALUE(IF(VLOOKUP($A126,数出表_Excel!$A$6:$T$150,COLUMN()/2+1,FALSE)=0,"",VLOOKUP($A126,数出表_Excel!$A$6:$T$150,COLUMN()/2+1,FALSE))),"")</f>
        <v/>
      </c>
      <c r="Y126" s="82"/>
      <c r="Z126" s="196" t="str">
        <f ca="1">IFERROR(VALUE(IF(VLOOKUP($A126,数出表_Excel!$A$6:$T$150,COLUMN()/2+1,FALSE)=0,"",VLOOKUP($A126,数出表_Excel!$A$6:$T$150,COLUMN()/2+1,FALSE))),"")</f>
        <v/>
      </c>
      <c r="AA126" s="82"/>
      <c r="AB126" s="185" t="str">
        <f ca="1">IFERROR(VALUE(IF(VLOOKUP($A126,数出表_Excel!$A$6:$T$150,COLUMN()/2+1,FALSE)=0,"",VLOOKUP($A126,数出表_Excel!$A$6:$T$150,COLUMN()/2+1,FALSE))),"")</f>
        <v/>
      </c>
      <c r="AC126" s="82"/>
      <c r="AD126" s="185" t="str">
        <f ca="1">IFERROR(VALUE(IF(VLOOKUP($A126,数出表_Excel!$A$6:$T$150,COLUMN()/2+1,FALSE)=0,"",VLOOKUP($A126,数出表_Excel!$A$6:$T$150,COLUMN()/2+1,FALSE))),"")</f>
        <v/>
      </c>
      <c r="AE126" s="82"/>
      <c r="AF126" s="185" t="str">
        <f ca="1">IFERROR(VALUE(IF(VLOOKUP($A126,数出表_Excel!$A$6:$T$150,COLUMN()/2+1,FALSE)=0,"",VLOOKUP($A126,数出表_Excel!$A$6:$T$150,COLUMN()/2+1,FALSE))),"")</f>
        <v/>
      </c>
      <c r="AG126" s="82"/>
      <c r="AH126" s="185" t="str">
        <f ca="1">IFERROR(VALUE(IF(VLOOKUP($A126,数出表_Excel!$A$6:$T$150,COLUMN()/2+1,FALSE)=0,"",VLOOKUP($A126,数出表_Excel!$A$6:$T$150,COLUMN()/2+1,FALSE))),"")</f>
        <v/>
      </c>
      <c r="AI126" s="82"/>
      <c r="AJ126" s="185" t="str">
        <f ca="1">IFERROR(VALUE(IF(VLOOKUP($A126,数出表_Excel!$A$6:$T$150,COLUMN()/2+1,FALSE)=0,"",VLOOKUP($A126,数出表_Excel!$A$6:$T$150,COLUMN()/2+1,FALSE))),"")</f>
        <v/>
      </c>
      <c r="AK126" s="82"/>
      <c r="AL126" s="68" t="e">
        <f ca="1">IF(A126&lt;&gt;"",
IF(VLOOKUP($A126,数出表_Excel!$A$6:$T$150,COLUMN()/2+1,FALSE)=0,"",VLOOKUP($A126,数出表_Excel!$A$6:$T$150,COLUMN()/2+1,FALSE)),"")</f>
        <v>#N/A</v>
      </c>
      <c r="AM126" s="96" t="e">
        <f>数出表_Excel!V126</f>
        <v>#N/A</v>
      </c>
      <c r="AN126" s="97" t="e">
        <f>数出表_Excel!W126</f>
        <v>#N/A</v>
      </c>
    </row>
    <row r="127" spans="1:40" ht="16.2" customHeight="1">
      <c r="A127" s="89" t="e">
        <f t="array" aca="1" ref="A127" ca="1">IF(OR(COUNTIF(A125,"*1000*"),COUNTIF(A125,"")),"",INDEX(貼り付け用!$A1:$A200,MATCH(A125,貼り付け用!$A1:$A200,0)+2,0))</f>
        <v>#N/A</v>
      </c>
      <c r="B127" s="186" t="str">
        <f ca="1">IFERROR(VALUE(IF(VLOOKUP($A127,数出表_Excel!$A$6:$T$150,COLUMN()/2+1,FALSE)=0,"",VLOOKUP($A127,数出表_Excel!$A$6:$T$150,COLUMN()/2+1,FALSE))),"")</f>
        <v/>
      </c>
      <c r="C127" s="67"/>
      <c r="D127" s="186" t="str">
        <f ca="1">IFERROR(VALUE(IF(VLOOKUP($A127,数出表_Excel!$A$6:$T$150,COLUMN()/2+1,FALSE)=0,"",VLOOKUP($A127,数出表_Excel!$A$6:$T$150,COLUMN()/2+1,FALSE))),"")</f>
        <v/>
      </c>
      <c r="E127" s="83"/>
      <c r="F127" s="197" t="str">
        <f ca="1">IFERROR(VALUE(IF(VLOOKUP($A127,数出表_Excel!$A$6:$T$150,COLUMN()/2+1,FALSE)=0,"",VLOOKUP($A127,数出表_Excel!$A$6:$T$150,COLUMN()/2+1,FALSE))),"")</f>
        <v/>
      </c>
      <c r="G127" s="67"/>
      <c r="H127" s="186" t="str">
        <f ca="1">IFERROR(VALUE(IF(VLOOKUP($A127,数出表_Excel!$A$6:$T$150,COLUMN()/2+1,FALSE)=0,"",VLOOKUP($A127,数出表_Excel!$A$6:$T$150,COLUMN()/2+1,FALSE))),"")</f>
        <v/>
      </c>
      <c r="I127" s="83"/>
      <c r="J127" s="197" t="str">
        <f ca="1">IFERROR(VALUE(IF(VLOOKUP($A127,数出表_Excel!$A$6:$T$150,COLUMN()/2+1,FALSE)=0,"",VLOOKUP($A127,数出表_Excel!$A$6:$T$150,COLUMN()/2+1,FALSE))),"")</f>
        <v/>
      </c>
      <c r="K127" s="67"/>
      <c r="L127" s="186" t="str">
        <f ca="1">IFERROR(VALUE(IF(VLOOKUP($A127,数出表_Excel!$A$6:$T$150,COLUMN()/2+1,FALSE)=0,"",VLOOKUP($A127,数出表_Excel!$A$6:$T$150,COLUMN()/2+1,FALSE))),"")</f>
        <v/>
      </c>
      <c r="M127" s="83"/>
      <c r="N127" s="197" t="str">
        <f ca="1">IFERROR(VALUE(IF(VLOOKUP($A127,数出表_Excel!$A$6:$T$150,COLUMN()/2+1,FALSE)=0,"",VLOOKUP($A127,数出表_Excel!$A$6:$T$150,COLUMN()/2+1,FALSE))),"")</f>
        <v/>
      </c>
      <c r="O127" s="67"/>
      <c r="P127" s="186" t="str">
        <f ca="1">IFERROR(VALUE(IF(VLOOKUP($A127,数出表_Excel!$A$6:$T$150,COLUMN()/2+1,FALSE)=0,"",VLOOKUP($A127,数出表_Excel!$A$6:$T$150,COLUMN()/2+1,FALSE))),"")</f>
        <v/>
      </c>
      <c r="Q127" s="83"/>
      <c r="R127" s="197" t="str">
        <f ca="1">IFERROR(VALUE(IF(VLOOKUP($A127,数出表_Excel!$A$6:$T$150,COLUMN()/2+1,FALSE)=0,"",VLOOKUP($A127,数出表_Excel!$A$6:$T$150,COLUMN()/2+1,FALSE))),"")</f>
        <v/>
      </c>
      <c r="S127" s="67"/>
      <c r="T127" s="186" t="str">
        <f ca="1">IFERROR(VALUE(IF(VLOOKUP($A127,数出表_Excel!$A$6:$T$150,COLUMN()/2+1,FALSE)=0,"",VLOOKUP($A127,数出表_Excel!$A$6:$T$150,COLUMN()/2+1,FALSE))),"")</f>
        <v/>
      </c>
      <c r="U127" s="83"/>
      <c r="V127" s="197" t="str">
        <f ca="1">IFERROR(VALUE(IF(VLOOKUP($A127,数出表_Excel!$A$6:$T$150,COLUMN()/2+1,FALSE)=0,"",VLOOKUP($A127,数出表_Excel!$A$6:$T$150,COLUMN()/2+1,FALSE))),"")</f>
        <v/>
      </c>
      <c r="W127" s="67"/>
      <c r="X127" s="186" t="str">
        <f ca="1">IFERROR(VALUE(IF(VLOOKUP($A127,数出表_Excel!$A$6:$T$150,COLUMN()/2+1,FALSE)=0,"",VLOOKUP($A127,数出表_Excel!$A$6:$T$150,COLUMN()/2+1,FALSE))),"")</f>
        <v/>
      </c>
      <c r="Y127" s="83"/>
      <c r="Z127" s="197" t="str">
        <f ca="1">IFERROR(VALUE(IF(VLOOKUP($A127,数出表_Excel!$A$6:$T$150,COLUMN()/2+1,FALSE)=0,"",VLOOKUP($A127,数出表_Excel!$A$6:$T$150,COLUMN()/2+1,FALSE))),"")</f>
        <v/>
      </c>
      <c r="AA127" s="83"/>
      <c r="AB127" s="186" t="str">
        <f ca="1">IFERROR(VALUE(IF(VLOOKUP($A127,数出表_Excel!$A$6:$T$150,COLUMN()/2+1,FALSE)=0,"",VLOOKUP($A127,数出表_Excel!$A$6:$T$150,COLUMN()/2+1,FALSE))),"")</f>
        <v/>
      </c>
      <c r="AC127" s="83"/>
      <c r="AD127" s="186" t="str">
        <f ca="1">IFERROR(VALUE(IF(VLOOKUP($A127,数出表_Excel!$A$6:$T$150,COLUMN()/2+1,FALSE)=0,"",VLOOKUP($A127,数出表_Excel!$A$6:$T$150,COLUMN()/2+1,FALSE))),"")</f>
        <v/>
      </c>
      <c r="AE127" s="83"/>
      <c r="AF127" s="186" t="str">
        <f ca="1">IFERROR(VALUE(IF(VLOOKUP($A127,数出表_Excel!$A$6:$T$150,COLUMN()/2+1,FALSE)=0,"",VLOOKUP($A127,数出表_Excel!$A$6:$T$150,COLUMN()/2+1,FALSE))),"")</f>
        <v/>
      </c>
      <c r="AG127" s="83"/>
      <c r="AH127" s="186" t="str">
        <f ca="1">IFERROR(VALUE(IF(VLOOKUP($A127,数出表_Excel!$A$6:$T$150,COLUMN()/2+1,FALSE)=0,"",VLOOKUP($A127,数出表_Excel!$A$6:$T$150,COLUMN()/2+1,FALSE))),"")</f>
        <v/>
      </c>
      <c r="AI127" s="83"/>
      <c r="AJ127" s="186" t="str">
        <f ca="1">IFERROR(VALUE(IF(VLOOKUP($A127,数出表_Excel!$A$6:$T$150,COLUMN()/2+1,FALSE)=0,"",VLOOKUP($A127,数出表_Excel!$A$6:$T$150,COLUMN()/2+1,FALSE))),"")</f>
        <v/>
      </c>
      <c r="AK127" s="83"/>
      <c r="AL127" s="70" t="e">
        <f ca="1">IF(A127&lt;&gt;"",
IF(VLOOKUP($A127,数出表_Excel!$A$6:$T$150,COLUMN()/2+1,FALSE)=0,"",VLOOKUP($A127,数出表_Excel!$A$6:$T$150,COLUMN()/2+1,FALSE)),"")</f>
        <v>#N/A</v>
      </c>
      <c r="AM127" s="98" t="e">
        <f>数出表_Excel!V127</f>
        <v>#N/A</v>
      </c>
      <c r="AN127" s="99" t="e">
        <f>数出表_Excel!W127</f>
        <v>#N/A</v>
      </c>
    </row>
    <row r="128" spans="1:40" ht="16.2" customHeight="1">
      <c r="A128" s="88" t="e">
        <f t="array" aca="1" ref="A128" ca="1">IF(OR(COUNTIF(A126,"*10002*"),COUNTIF(A126,"")),"",INDEX(貼り付け用!$A1:$A200,MATCH(A126,貼り付け用!$A1:$A200,0)+2,0))</f>
        <v>#N/A</v>
      </c>
      <c r="B128" s="185" t="str">
        <f ca="1">IFERROR(VALUE(IF(VLOOKUP($A128,数出表_Excel!$A$6:$T$150,COLUMN()/2+1,FALSE)=0,"",VLOOKUP($A128,数出表_Excel!$A$6:$T$150,COLUMN()/2+1,FALSE))),"")</f>
        <v/>
      </c>
      <c r="C128" s="66"/>
      <c r="D128" s="185" t="str">
        <f ca="1">IFERROR(VALUE(IF(VLOOKUP($A128,数出表_Excel!$A$6:$T$150,COLUMN()/2+1,FALSE)=0,"",VLOOKUP($A128,数出表_Excel!$A$6:$T$150,COLUMN()/2+1,FALSE))),"")</f>
        <v/>
      </c>
      <c r="E128" s="82"/>
      <c r="F128" s="196" t="str">
        <f ca="1">IFERROR(VALUE(IF(VLOOKUP($A128,数出表_Excel!$A$6:$T$150,COLUMN()/2+1,FALSE)=0,"",VLOOKUP($A128,数出表_Excel!$A$6:$T$150,COLUMN()/2+1,FALSE))),"")</f>
        <v/>
      </c>
      <c r="G128" s="66"/>
      <c r="H128" s="185" t="str">
        <f ca="1">IFERROR(VALUE(IF(VLOOKUP($A128,数出表_Excel!$A$6:$T$150,COLUMN()/2+1,FALSE)=0,"",VLOOKUP($A128,数出表_Excel!$A$6:$T$150,COLUMN()/2+1,FALSE))),"")</f>
        <v/>
      </c>
      <c r="I128" s="82"/>
      <c r="J128" s="196" t="str">
        <f ca="1">IFERROR(VALUE(IF(VLOOKUP($A128,数出表_Excel!$A$6:$T$150,COLUMN()/2+1,FALSE)=0,"",VLOOKUP($A128,数出表_Excel!$A$6:$T$150,COLUMN()/2+1,FALSE))),"")</f>
        <v/>
      </c>
      <c r="K128" s="66"/>
      <c r="L128" s="185" t="str">
        <f ca="1">IFERROR(VALUE(IF(VLOOKUP($A128,数出表_Excel!$A$6:$T$150,COLUMN()/2+1,FALSE)=0,"",VLOOKUP($A128,数出表_Excel!$A$6:$T$150,COLUMN()/2+1,FALSE))),"")</f>
        <v/>
      </c>
      <c r="M128" s="82"/>
      <c r="N128" s="196" t="str">
        <f ca="1">IFERROR(VALUE(IF(VLOOKUP($A128,数出表_Excel!$A$6:$T$150,COLUMN()/2+1,FALSE)=0,"",VLOOKUP($A128,数出表_Excel!$A$6:$T$150,COLUMN()/2+1,FALSE))),"")</f>
        <v/>
      </c>
      <c r="O128" s="66"/>
      <c r="P128" s="185" t="str">
        <f ca="1">IFERROR(VALUE(IF(VLOOKUP($A128,数出表_Excel!$A$6:$T$150,COLUMN()/2+1,FALSE)=0,"",VLOOKUP($A128,数出表_Excel!$A$6:$T$150,COLUMN()/2+1,FALSE))),"")</f>
        <v/>
      </c>
      <c r="Q128" s="82"/>
      <c r="R128" s="196" t="str">
        <f ca="1">IFERROR(VALUE(IF(VLOOKUP($A128,数出表_Excel!$A$6:$T$150,COLUMN()/2+1,FALSE)=0,"",VLOOKUP($A128,数出表_Excel!$A$6:$T$150,COLUMN()/2+1,FALSE))),"")</f>
        <v/>
      </c>
      <c r="S128" s="66"/>
      <c r="T128" s="185" t="str">
        <f ca="1">IFERROR(VALUE(IF(VLOOKUP($A128,数出表_Excel!$A$6:$T$150,COLUMN()/2+1,FALSE)=0,"",VLOOKUP($A128,数出表_Excel!$A$6:$T$150,COLUMN()/2+1,FALSE))),"")</f>
        <v/>
      </c>
      <c r="U128" s="82"/>
      <c r="V128" s="196" t="str">
        <f ca="1">IFERROR(VALUE(IF(VLOOKUP($A128,数出表_Excel!$A$6:$T$150,COLUMN()/2+1,FALSE)=0,"",VLOOKUP($A128,数出表_Excel!$A$6:$T$150,COLUMN()/2+1,FALSE))),"")</f>
        <v/>
      </c>
      <c r="W128" s="66"/>
      <c r="X128" s="185" t="str">
        <f ca="1">IFERROR(VALUE(IF(VLOOKUP($A128,数出表_Excel!$A$6:$T$150,COLUMN()/2+1,FALSE)=0,"",VLOOKUP($A128,数出表_Excel!$A$6:$T$150,COLUMN()/2+1,FALSE))),"")</f>
        <v/>
      </c>
      <c r="Y128" s="82"/>
      <c r="Z128" s="196" t="str">
        <f ca="1">IFERROR(VALUE(IF(VLOOKUP($A128,数出表_Excel!$A$6:$T$150,COLUMN()/2+1,FALSE)=0,"",VLOOKUP($A128,数出表_Excel!$A$6:$T$150,COLUMN()/2+1,FALSE))),"")</f>
        <v/>
      </c>
      <c r="AA128" s="82"/>
      <c r="AB128" s="185" t="str">
        <f ca="1">IFERROR(VALUE(IF(VLOOKUP($A128,数出表_Excel!$A$6:$T$150,COLUMN()/2+1,FALSE)=0,"",VLOOKUP($A128,数出表_Excel!$A$6:$T$150,COLUMN()/2+1,FALSE))),"")</f>
        <v/>
      </c>
      <c r="AC128" s="82"/>
      <c r="AD128" s="185" t="str">
        <f ca="1">IFERROR(VALUE(IF(VLOOKUP($A128,数出表_Excel!$A$6:$T$150,COLUMN()/2+1,FALSE)=0,"",VLOOKUP($A128,数出表_Excel!$A$6:$T$150,COLUMN()/2+1,FALSE))),"")</f>
        <v/>
      </c>
      <c r="AE128" s="82"/>
      <c r="AF128" s="185" t="str">
        <f ca="1">IFERROR(VALUE(IF(VLOOKUP($A128,数出表_Excel!$A$6:$T$150,COLUMN()/2+1,FALSE)=0,"",VLOOKUP($A128,数出表_Excel!$A$6:$T$150,COLUMN()/2+1,FALSE))),"")</f>
        <v/>
      </c>
      <c r="AG128" s="82"/>
      <c r="AH128" s="185" t="str">
        <f ca="1">IFERROR(VALUE(IF(VLOOKUP($A128,数出表_Excel!$A$6:$T$150,COLUMN()/2+1,FALSE)=0,"",VLOOKUP($A128,数出表_Excel!$A$6:$T$150,COLUMN()/2+1,FALSE))),"")</f>
        <v/>
      </c>
      <c r="AI128" s="82"/>
      <c r="AJ128" s="185" t="str">
        <f ca="1">IFERROR(VALUE(IF(VLOOKUP($A128,数出表_Excel!$A$6:$T$150,COLUMN()/2+1,FALSE)=0,"",VLOOKUP($A128,数出表_Excel!$A$6:$T$150,COLUMN()/2+1,FALSE))),"")</f>
        <v/>
      </c>
      <c r="AK128" s="82"/>
      <c r="AL128" s="68" t="e">
        <f ca="1">IF(A128&lt;&gt;"",
IF(VLOOKUP($A128,数出表_Excel!$A$6:$T$150,COLUMN()/2+1,FALSE)=0,"",VLOOKUP($A128,数出表_Excel!$A$6:$T$150,COLUMN()/2+1,FALSE)),"")</f>
        <v>#N/A</v>
      </c>
      <c r="AM128" s="96" t="e">
        <f>数出表_Excel!V128</f>
        <v>#N/A</v>
      </c>
      <c r="AN128" s="97" t="e">
        <f>数出表_Excel!W128</f>
        <v>#N/A</v>
      </c>
    </row>
    <row r="129" spans="1:40" ht="16.2" customHeight="1">
      <c r="A129" s="89" t="e">
        <f t="array" aca="1" ref="A129" ca="1">IF(OR(COUNTIF(A127,"*1000*"),COUNTIF(A127,"")),"",INDEX(貼り付け用!$A1:$A200,MATCH(A127,貼り付け用!$A1:$A200,0)+2,0))</f>
        <v>#N/A</v>
      </c>
      <c r="B129" s="186" t="str">
        <f ca="1">IFERROR(VALUE(IF(VLOOKUP($A129,数出表_Excel!$A$6:$T$150,COLUMN()/2+1,FALSE)=0,"",VLOOKUP($A129,数出表_Excel!$A$6:$T$150,COLUMN()/2+1,FALSE))),"")</f>
        <v/>
      </c>
      <c r="C129" s="67"/>
      <c r="D129" s="186" t="str">
        <f ca="1">IFERROR(VALUE(IF(VLOOKUP($A129,数出表_Excel!$A$6:$T$150,COLUMN()/2+1,FALSE)=0,"",VLOOKUP($A129,数出表_Excel!$A$6:$T$150,COLUMN()/2+1,FALSE))),"")</f>
        <v/>
      </c>
      <c r="E129" s="83"/>
      <c r="F129" s="197" t="str">
        <f ca="1">IFERROR(VALUE(IF(VLOOKUP($A129,数出表_Excel!$A$6:$T$150,COLUMN()/2+1,FALSE)=0,"",VLOOKUP($A129,数出表_Excel!$A$6:$T$150,COLUMN()/2+1,FALSE))),"")</f>
        <v/>
      </c>
      <c r="G129" s="67"/>
      <c r="H129" s="186" t="str">
        <f ca="1">IFERROR(VALUE(IF(VLOOKUP($A129,数出表_Excel!$A$6:$T$150,COLUMN()/2+1,FALSE)=0,"",VLOOKUP($A129,数出表_Excel!$A$6:$T$150,COLUMN()/2+1,FALSE))),"")</f>
        <v/>
      </c>
      <c r="I129" s="83"/>
      <c r="J129" s="197" t="str">
        <f ca="1">IFERROR(VALUE(IF(VLOOKUP($A129,数出表_Excel!$A$6:$T$150,COLUMN()/2+1,FALSE)=0,"",VLOOKUP($A129,数出表_Excel!$A$6:$T$150,COLUMN()/2+1,FALSE))),"")</f>
        <v/>
      </c>
      <c r="K129" s="67"/>
      <c r="L129" s="186" t="str">
        <f ca="1">IFERROR(VALUE(IF(VLOOKUP($A129,数出表_Excel!$A$6:$T$150,COLUMN()/2+1,FALSE)=0,"",VLOOKUP($A129,数出表_Excel!$A$6:$T$150,COLUMN()/2+1,FALSE))),"")</f>
        <v/>
      </c>
      <c r="M129" s="83"/>
      <c r="N129" s="197" t="str">
        <f ca="1">IFERROR(VALUE(IF(VLOOKUP($A129,数出表_Excel!$A$6:$T$150,COLUMN()/2+1,FALSE)=0,"",VLOOKUP($A129,数出表_Excel!$A$6:$T$150,COLUMN()/2+1,FALSE))),"")</f>
        <v/>
      </c>
      <c r="O129" s="67"/>
      <c r="P129" s="186" t="str">
        <f ca="1">IFERROR(VALUE(IF(VLOOKUP($A129,数出表_Excel!$A$6:$T$150,COLUMN()/2+1,FALSE)=0,"",VLOOKUP($A129,数出表_Excel!$A$6:$T$150,COLUMN()/2+1,FALSE))),"")</f>
        <v/>
      </c>
      <c r="Q129" s="83"/>
      <c r="R129" s="197" t="str">
        <f ca="1">IFERROR(VALUE(IF(VLOOKUP($A129,数出表_Excel!$A$6:$T$150,COLUMN()/2+1,FALSE)=0,"",VLOOKUP($A129,数出表_Excel!$A$6:$T$150,COLUMN()/2+1,FALSE))),"")</f>
        <v/>
      </c>
      <c r="S129" s="67"/>
      <c r="T129" s="186" t="str">
        <f ca="1">IFERROR(VALUE(IF(VLOOKUP($A129,数出表_Excel!$A$6:$T$150,COLUMN()/2+1,FALSE)=0,"",VLOOKUP($A129,数出表_Excel!$A$6:$T$150,COLUMN()/2+1,FALSE))),"")</f>
        <v/>
      </c>
      <c r="U129" s="83"/>
      <c r="V129" s="197" t="str">
        <f ca="1">IFERROR(VALUE(IF(VLOOKUP($A129,数出表_Excel!$A$6:$T$150,COLUMN()/2+1,FALSE)=0,"",VLOOKUP($A129,数出表_Excel!$A$6:$T$150,COLUMN()/2+1,FALSE))),"")</f>
        <v/>
      </c>
      <c r="W129" s="67"/>
      <c r="X129" s="186" t="str">
        <f ca="1">IFERROR(VALUE(IF(VLOOKUP($A129,数出表_Excel!$A$6:$T$150,COLUMN()/2+1,FALSE)=0,"",VLOOKUP($A129,数出表_Excel!$A$6:$T$150,COLUMN()/2+1,FALSE))),"")</f>
        <v/>
      </c>
      <c r="Y129" s="83"/>
      <c r="Z129" s="197" t="str">
        <f ca="1">IFERROR(VALUE(IF(VLOOKUP($A129,数出表_Excel!$A$6:$T$150,COLUMN()/2+1,FALSE)=0,"",VLOOKUP($A129,数出表_Excel!$A$6:$T$150,COLUMN()/2+1,FALSE))),"")</f>
        <v/>
      </c>
      <c r="AA129" s="83"/>
      <c r="AB129" s="186" t="str">
        <f ca="1">IFERROR(VALUE(IF(VLOOKUP($A129,数出表_Excel!$A$6:$T$150,COLUMN()/2+1,FALSE)=0,"",VLOOKUP($A129,数出表_Excel!$A$6:$T$150,COLUMN()/2+1,FALSE))),"")</f>
        <v/>
      </c>
      <c r="AC129" s="83"/>
      <c r="AD129" s="186" t="str">
        <f ca="1">IFERROR(VALUE(IF(VLOOKUP($A129,数出表_Excel!$A$6:$T$150,COLUMN()/2+1,FALSE)=0,"",VLOOKUP($A129,数出表_Excel!$A$6:$T$150,COLUMN()/2+1,FALSE))),"")</f>
        <v/>
      </c>
      <c r="AE129" s="83"/>
      <c r="AF129" s="186" t="str">
        <f ca="1">IFERROR(VALUE(IF(VLOOKUP($A129,数出表_Excel!$A$6:$T$150,COLUMN()/2+1,FALSE)=0,"",VLOOKUP($A129,数出表_Excel!$A$6:$T$150,COLUMN()/2+1,FALSE))),"")</f>
        <v/>
      </c>
      <c r="AG129" s="83"/>
      <c r="AH129" s="186" t="str">
        <f ca="1">IFERROR(VALUE(IF(VLOOKUP($A129,数出表_Excel!$A$6:$T$150,COLUMN()/2+1,FALSE)=0,"",VLOOKUP($A129,数出表_Excel!$A$6:$T$150,COLUMN()/2+1,FALSE))),"")</f>
        <v/>
      </c>
      <c r="AI129" s="83"/>
      <c r="AJ129" s="186" t="str">
        <f ca="1">IFERROR(VALUE(IF(VLOOKUP($A129,数出表_Excel!$A$6:$T$150,COLUMN()/2+1,FALSE)=0,"",VLOOKUP($A129,数出表_Excel!$A$6:$T$150,COLUMN()/2+1,FALSE))),"")</f>
        <v/>
      </c>
      <c r="AK129" s="83"/>
      <c r="AL129" s="70" t="e">
        <f ca="1">IF(A129&lt;&gt;"",
IF(VLOOKUP($A129,数出表_Excel!$A$6:$T$150,COLUMN()/2+1,FALSE)=0,"",VLOOKUP($A129,数出表_Excel!$A$6:$T$150,COLUMN()/2+1,FALSE)),"")</f>
        <v>#N/A</v>
      </c>
      <c r="AM129" s="98" t="e">
        <f>数出表_Excel!V129</f>
        <v>#N/A</v>
      </c>
      <c r="AN129" s="99" t="e">
        <f>数出表_Excel!W129</f>
        <v>#N/A</v>
      </c>
    </row>
    <row r="130" spans="1:40" ht="16.2" customHeight="1">
      <c r="A130" s="88" t="e">
        <f t="array" aca="1" ref="A130" ca="1">IF(OR(COUNTIF(A128,"*10002*"),COUNTIF(A128,"")),"",INDEX(貼り付け用!$A1:$A200,MATCH(A128,貼り付け用!$A1:$A200,0)+2,0))</f>
        <v>#N/A</v>
      </c>
      <c r="B130" s="185" t="str">
        <f ca="1">IFERROR(VALUE(IF(VLOOKUP($A130,数出表_Excel!$A$6:$T$150,COLUMN()/2+1,FALSE)=0,"",VLOOKUP($A130,数出表_Excel!$A$6:$T$150,COLUMN()/2+1,FALSE))),"")</f>
        <v/>
      </c>
      <c r="C130" s="66"/>
      <c r="D130" s="185" t="str">
        <f ca="1">IFERROR(VALUE(IF(VLOOKUP($A130,数出表_Excel!$A$6:$T$150,COLUMN()/2+1,FALSE)=0,"",VLOOKUP($A130,数出表_Excel!$A$6:$T$150,COLUMN()/2+1,FALSE))),"")</f>
        <v/>
      </c>
      <c r="E130" s="82"/>
      <c r="F130" s="196" t="str">
        <f ca="1">IFERROR(VALUE(IF(VLOOKUP($A130,数出表_Excel!$A$6:$T$150,COLUMN()/2+1,FALSE)=0,"",VLOOKUP($A130,数出表_Excel!$A$6:$T$150,COLUMN()/2+1,FALSE))),"")</f>
        <v/>
      </c>
      <c r="G130" s="66"/>
      <c r="H130" s="185" t="str">
        <f ca="1">IFERROR(VALUE(IF(VLOOKUP($A130,数出表_Excel!$A$6:$T$150,COLUMN()/2+1,FALSE)=0,"",VLOOKUP($A130,数出表_Excel!$A$6:$T$150,COLUMN()/2+1,FALSE))),"")</f>
        <v/>
      </c>
      <c r="I130" s="82"/>
      <c r="J130" s="196" t="str">
        <f ca="1">IFERROR(VALUE(IF(VLOOKUP($A130,数出表_Excel!$A$6:$T$150,COLUMN()/2+1,FALSE)=0,"",VLOOKUP($A130,数出表_Excel!$A$6:$T$150,COLUMN()/2+1,FALSE))),"")</f>
        <v/>
      </c>
      <c r="K130" s="66"/>
      <c r="L130" s="185" t="str">
        <f ca="1">IFERROR(VALUE(IF(VLOOKUP($A130,数出表_Excel!$A$6:$T$150,COLUMN()/2+1,FALSE)=0,"",VLOOKUP($A130,数出表_Excel!$A$6:$T$150,COLUMN()/2+1,FALSE))),"")</f>
        <v/>
      </c>
      <c r="M130" s="82"/>
      <c r="N130" s="196" t="str">
        <f ca="1">IFERROR(VALUE(IF(VLOOKUP($A130,数出表_Excel!$A$6:$T$150,COLUMN()/2+1,FALSE)=0,"",VLOOKUP($A130,数出表_Excel!$A$6:$T$150,COLUMN()/2+1,FALSE))),"")</f>
        <v/>
      </c>
      <c r="O130" s="66"/>
      <c r="P130" s="185" t="str">
        <f ca="1">IFERROR(VALUE(IF(VLOOKUP($A130,数出表_Excel!$A$6:$T$150,COLUMN()/2+1,FALSE)=0,"",VLOOKUP($A130,数出表_Excel!$A$6:$T$150,COLUMN()/2+1,FALSE))),"")</f>
        <v/>
      </c>
      <c r="Q130" s="82"/>
      <c r="R130" s="196" t="str">
        <f ca="1">IFERROR(VALUE(IF(VLOOKUP($A130,数出表_Excel!$A$6:$T$150,COLUMN()/2+1,FALSE)=0,"",VLOOKUP($A130,数出表_Excel!$A$6:$T$150,COLUMN()/2+1,FALSE))),"")</f>
        <v/>
      </c>
      <c r="S130" s="66"/>
      <c r="T130" s="185" t="str">
        <f ca="1">IFERROR(VALUE(IF(VLOOKUP($A130,数出表_Excel!$A$6:$T$150,COLUMN()/2+1,FALSE)=0,"",VLOOKUP($A130,数出表_Excel!$A$6:$T$150,COLUMN()/2+1,FALSE))),"")</f>
        <v/>
      </c>
      <c r="U130" s="82"/>
      <c r="V130" s="196" t="str">
        <f ca="1">IFERROR(VALUE(IF(VLOOKUP($A130,数出表_Excel!$A$6:$T$150,COLUMN()/2+1,FALSE)=0,"",VLOOKUP($A130,数出表_Excel!$A$6:$T$150,COLUMN()/2+1,FALSE))),"")</f>
        <v/>
      </c>
      <c r="W130" s="66"/>
      <c r="X130" s="185" t="str">
        <f ca="1">IFERROR(VALUE(IF(VLOOKUP($A130,数出表_Excel!$A$6:$T$150,COLUMN()/2+1,FALSE)=0,"",VLOOKUP($A130,数出表_Excel!$A$6:$T$150,COLUMN()/2+1,FALSE))),"")</f>
        <v/>
      </c>
      <c r="Y130" s="82"/>
      <c r="Z130" s="196" t="str">
        <f ca="1">IFERROR(VALUE(IF(VLOOKUP($A130,数出表_Excel!$A$6:$T$150,COLUMN()/2+1,FALSE)=0,"",VLOOKUP($A130,数出表_Excel!$A$6:$T$150,COLUMN()/2+1,FALSE))),"")</f>
        <v/>
      </c>
      <c r="AA130" s="82"/>
      <c r="AB130" s="185" t="str">
        <f ca="1">IFERROR(VALUE(IF(VLOOKUP($A130,数出表_Excel!$A$6:$T$150,COLUMN()/2+1,FALSE)=0,"",VLOOKUP($A130,数出表_Excel!$A$6:$T$150,COLUMN()/2+1,FALSE))),"")</f>
        <v/>
      </c>
      <c r="AC130" s="82"/>
      <c r="AD130" s="185" t="str">
        <f ca="1">IFERROR(VALUE(IF(VLOOKUP($A130,数出表_Excel!$A$6:$T$150,COLUMN()/2+1,FALSE)=0,"",VLOOKUP($A130,数出表_Excel!$A$6:$T$150,COLUMN()/2+1,FALSE))),"")</f>
        <v/>
      </c>
      <c r="AE130" s="82"/>
      <c r="AF130" s="185" t="str">
        <f ca="1">IFERROR(VALUE(IF(VLOOKUP($A130,数出表_Excel!$A$6:$T$150,COLUMN()/2+1,FALSE)=0,"",VLOOKUP($A130,数出表_Excel!$A$6:$T$150,COLUMN()/2+1,FALSE))),"")</f>
        <v/>
      </c>
      <c r="AG130" s="82"/>
      <c r="AH130" s="185" t="str">
        <f ca="1">IFERROR(VALUE(IF(VLOOKUP($A130,数出表_Excel!$A$6:$T$150,COLUMN()/2+1,FALSE)=0,"",VLOOKUP($A130,数出表_Excel!$A$6:$T$150,COLUMN()/2+1,FALSE))),"")</f>
        <v/>
      </c>
      <c r="AI130" s="82"/>
      <c r="AJ130" s="185" t="str">
        <f ca="1">IFERROR(VALUE(IF(VLOOKUP($A130,数出表_Excel!$A$6:$T$150,COLUMN()/2+1,FALSE)=0,"",VLOOKUP($A130,数出表_Excel!$A$6:$T$150,COLUMN()/2+1,FALSE))),"")</f>
        <v/>
      </c>
      <c r="AK130" s="82"/>
      <c r="AL130" s="68" t="e">
        <f ca="1">IF(A130&lt;&gt;"",
IF(VLOOKUP($A130,数出表_Excel!$A$6:$T$150,COLUMN()/2+1,FALSE)=0,"",VLOOKUP($A130,数出表_Excel!$A$6:$T$150,COLUMN()/2+1,FALSE)),"")</f>
        <v>#N/A</v>
      </c>
      <c r="AM130" s="96" t="e">
        <f>数出表_Excel!V130</f>
        <v>#N/A</v>
      </c>
      <c r="AN130" s="97" t="e">
        <f>数出表_Excel!W130</f>
        <v>#N/A</v>
      </c>
    </row>
    <row r="131" spans="1:40" ht="16.2" customHeight="1">
      <c r="A131" s="89" t="e">
        <f t="array" aca="1" ref="A131" ca="1">IF(OR(COUNTIF(A129,"*1000*"),COUNTIF(A129,"")),"",INDEX(貼り付け用!$A1:$A200,MATCH(A129,貼り付け用!$A1:$A200,0)+2,0))</f>
        <v>#N/A</v>
      </c>
      <c r="B131" s="186" t="str">
        <f ca="1">IFERROR(VALUE(IF(VLOOKUP($A131,数出表_Excel!$A$6:$T$150,COLUMN()/2+1,FALSE)=0,"",VLOOKUP($A131,数出表_Excel!$A$6:$T$150,COLUMN()/2+1,FALSE))),"")</f>
        <v/>
      </c>
      <c r="C131" s="67"/>
      <c r="D131" s="186" t="str">
        <f ca="1">IFERROR(VALUE(IF(VLOOKUP($A131,数出表_Excel!$A$6:$T$150,COLUMN()/2+1,FALSE)=0,"",VLOOKUP($A131,数出表_Excel!$A$6:$T$150,COLUMN()/2+1,FALSE))),"")</f>
        <v/>
      </c>
      <c r="E131" s="83"/>
      <c r="F131" s="197" t="str">
        <f ca="1">IFERROR(VALUE(IF(VLOOKUP($A131,数出表_Excel!$A$6:$T$150,COLUMN()/2+1,FALSE)=0,"",VLOOKUP($A131,数出表_Excel!$A$6:$T$150,COLUMN()/2+1,FALSE))),"")</f>
        <v/>
      </c>
      <c r="G131" s="67"/>
      <c r="H131" s="186" t="str">
        <f ca="1">IFERROR(VALUE(IF(VLOOKUP($A131,数出表_Excel!$A$6:$T$150,COLUMN()/2+1,FALSE)=0,"",VLOOKUP($A131,数出表_Excel!$A$6:$T$150,COLUMN()/2+1,FALSE))),"")</f>
        <v/>
      </c>
      <c r="I131" s="83"/>
      <c r="J131" s="197" t="str">
        <f ca="1">IFERROR(VALUE(IF(VLOOKUP($A131,数出表_Excel!$A$6:$T$150,COLUMN()/2+1,FALSE)=0,"",VLOOKUP($A131,数出表_Excel!$A$6:$T$150,COLUMN()/2+1,FALSE))),"")</f>
        <v/>
      </c>
      <c r="K131" s="67"/>
      <c r="L131" s="186" t="str">
        <f ca="1">IFERROR(VALUE(IF(VLOOKUP($A131,数出表_Excel!$A$6:$T$150,COLUMN()/2+1,FALSE)=0,"",VLOOKUP($A131,数出表_Excel!$A$6:$T$150,COLUMN()/2+1,FALSE))),"")</f>
        <v/>
      </c>
      <c r="M131" s="83"/>
      <c r="N131" s="197" t="str">
        <f ca="1">IFERROR(VALUE(IF(VLOOKUP($A131,数出表_Excel!$A$6:$T$150,COLUMN()/2+1,FALSE)=0,"",VLOOKUP($A131,数出表_Excel!$A$6:$T$150,COLUMN()/2+1,FALSE))),"")</f>
        <v/>
      </c>
      <c r="O131" s="67"/>
      <c r="P131" s="186" t="str">
        <f ca="1">IFERROR(VALUE(IF(VLOOKUP($A131,数出表_Excel!$A$6:$T$150,COLUMN()/2+1,FALSE)=0,"",VLOOKUP($A131,数出表_Excel!$A$6:$T$150,COLUMN()/2+1,FALSE))),"")</f>
        <v/>
      </c>
      <c r="Q131" s="83"/>
      <c r="R131" s="197" t="str">
        <f ca="1">IFERROR(VALUE(IF(VLOOKUP($A131,数出表_Excel!$A$6:$T$150,COLUMN()/2+1,FALSE)=0,"",VLOOKUP($A131,数出表_Excel!$A$6:$T$150,COLUMN()/2+1,FALSE))),"")</f>
        <v/>
      </c>
      <c r="S131" s="67"/>
      <c r="T131" s="186" t="str">
        <f ca="1">IFERROR(VALUE(IF(VLOOKUP($A131,数出表_Excel!$A$6:$T$150,COLUMN()/2+1,FALSE)=0,"",VLOOKUP($A131,数出表_Excel!$A$6:$T$150,COLUMN()/2+1,FALSE))),"")</f>
        <v/>
      </c>
      <c r="U131" s="83"/>
      <c r="V131" s="197" t="str">
        <f ca="1">IFERROR(VALUE(IF(VLOOKUP($A131,数出表_Excel!$A$6:$T$150,COLUMN()/2+1,FALSE)=0,"",VLOOKUP($A131,数出表_Excel!$A$6:$T$150,COLUMN()/2+1,FALSE))),"")</f>
        <v/>
      </c>
      <c r="W131" s="67"/>
      <c r="X131" s="186" t="str">
        <f ca="1">IFERROR(VALUE(IF(VLOOKUP($A131,数出表_Excel!$A$6:$T$150,COLUMN()/2+1,FALSE)=0,"",VLOOKUP($A131,数出表_Excel!$A$6:$T$150,COLUMN()/2+1,FALSE))),"")</f>
        <v/>
      </c>
      <c r="Y131" s="83"/>
      <c r="Z131" s="197" t="str">
        <f ca="1">IFERROR(VALUE(IF(VLOOKUP($A131,数出表_Excel!$A$6:$T$150,COLUMN()/2+1,FALSE)=0,"",VLOOKUP($A131,数出表_Excel!$A$6:$T$150,COLUMN()/2+1,FALSE))),"")</f>
        <v/>
      </c>
      <c r="AA131" s="83"/>
      <c r="AB131" s="186" t="str">
        <f ca="1">IFERROR(VALUE(IF(VLOOKUP($A131,数出表_Excel!$A$6:$T$150,COLUMN()/2+1,FALSE)=0,"",VLOOKUP($A131,数出表_Excel!$A$6:$T$150,COLUMN()/2+1,FALSE))),"")</f>
        <v/>
      </c>
      <c r="AC131" s="83"/>
      <c r="AD131" s="186" t="str">
        <f ca="1">IFERROR(VALUE(IF(VLOOKUP($A131,数出表_Excel!$A$6:$T$150,COLUMN()/2+1,FALSE)=0,"",VLOOKUP($A131,数出表_Excel!$A$6:$T$150,COLUMN()/2+1,FALSE))),"")</f>
        <v/>
      </c>
      <c r="AE131" s="83"/>
      <c r="AF131" s="186" t="str">
        <f ca="1">IFERROR(VALUE(IF(VLOOKUP($A131,数出表_Excel!$A$6:$T$150,COLUMN()/2+1,FALSE)=0,"",VLOOKUP($A131,数出表_Excel!$A$6:$T$150,COLUMN()/2+1,FALSE))),"")</f>
        <v/>
      </c>
      <c r="AG131" s="83"/>
      <c r="AH131" s="186" t="str">
        <f ca="1">IFERROR(VALUE(IF(VLOOKUP($A131,数出表_Excel!$A$6:$T$150,COLUMN()/2+1,FALSE)=0,"",VLOOKUP($A131,数出表_Excel!$A$6:$T$150,COLUMN()/2+1,FALSE))),"")</f>
        <v/>
      </c>
      <c r="AI131" s="83"/>
      <c r="AJ131" s="186" t="str">
        <f ca="1">IFERROR(VALUE(IF(VLOOKUP($A131,数出表_Excel!$A$6:$T$150,COLUMN()/2+1,FALSE)=0,"",VLOOKUP($A131,数出表_Excel!$A$6:$T$150,COLUMN()/2+1,FALSE))),"")</f>
        <v/>
      </c>
      <c r="AK131" s="83"/>
      <c r="AL131" s="70" t="e">
        <f ca="1">IF(A131&lt;&gt;"",
IF(VLOOKUP($A131,数出表_Excel!$A$6:$T$150,COLUMN()/2+1,FALSE)=0,"",VLOOKUP($A131,数出表_Excel!$A$6:$T$150,COLUMN()/2+1,FALSE)),"")</f>
        <v>#N/A</v>
      </c>
      <c r="AM131" s="98" t="e">
        <f>数出表_Excel!V131</f>
        <v>#N/A</v>
      </c>
      <c r="AN131" s="99" t="e">
        <f>数出表_Excel!W131</f>
        <v>#N/A</v>
      </c>
    </row>
    <row r="132" spans="1:40" ht="16.2" customHeight="1">
      <c r="A132" s="88" t="e">
        <f t="array" aca="1" ref="A132" ca="1">IF(OR(COUNTIF(A130,"*10002*"),COUNTIF(A130,"")),"",INDEX(貼り付け用!$A1:$A200,MATCH(A130,貼り付け用!$A1:$A200,0)+2,0))</f>
        <v>#N/A</v>
      </c>
      <c r="B132" s="185" t="str">
        <f ca="1">IFERROR(VALUE(IF(VLOOKUP($A132,数出表_Excel!$A$6:$T$150,COLUMN()/2+1,FALSE)=0,"",VLOOKUP($A132,数出表_Excel!$A$6:$T$150,COLUMN()/2+1,FALSE))),"")</f>
        <v/>
      </c>
      <c r="C132" s="66"/>
      <c r="D132" s="185" t="str">
        <f ca="1">IFERROR(VALUE(IF(VLOOKUP($A132,数出表_Excel!$A$6:$T$150,COLUMN()/2+1,FALSE)=0,"",VLOOKUP($A132,数出表_Excel!$A$6:$T$150,COLUMN()/2+1,FALSE))),"")</f>
        <v/>
      </c>
      <c r="E132" s="82"/>
      <c r="F132" s="196" t="str">
        <f ca="1">IFERROR(VALUE(IF(VLOOKUP($A132,数出表_Excel!$A$6:$T$150,COLUMN()/2+1,FALSE)=0,"",VLOOKUP($A132,数出表_Excel!$A$6:$T$150,COLUMN()/2+1,FALSE))),"")</f>
        <v/>
      </c>
      <c r="G132" s="66"/>
      <c r="H132" s="185" t="str">
        <f ca="1">IFERROR(VALUE(IF(VLOOKUP($A132,数出表_Excel!$A$6:$T$150,COLUMN()/2+1,FALSE)=0,"",VLOOKUP($A132,数出表_Excel!$A$6:$T$150,COLUMN()/2+1,FALSE))),"")</f>
        <v/>
      </c>
      <c r="I132" s="82"/>
      <c r="J132" s="196" t="str">
        <f ca="1">IFERROR(VALUE(IF(VLOOKUP($A132,数出表_Excel!$A$6:$T$150,COLUMN()/2+1,FALSE)=0,"",VLOOKUP($A132,数出表_Excel!$A$6:$T$150,COLUMN()/2+1,FALSE))),"")</f>
        <v/>
      </c>
      <c r="K132" s="66"/>
      <c r="L132" s="185" t="str">
        <f ca="1">IFERROR(VALUE(IF(VLOOKUP($A132,数出表_Excel!$A$6:$T$150,COLUMN()/2+1,FALSE)=0,"",VLOOKUP($A132,数出表_Excel!$A$6:$T$150,COLUMN()/2+1,FALSE))),"")</f>
        <v/>
      </c>
      <c r="M132" s="82"/>
      <c r="N132" s="196" t="str">
        <f ca="1">IFERROR(VALUE(IF(VLOOKUP($A132,数出表_Excel!$A$6:$T$150,COLUMN()/2+1,FALSE)=0,"",VLOOKUP($A132,数出表_Excel!$A$6:$T$150,COLUMN()/2+1,FALSE))),"")</f>
        <v/>
      </c>
      <c r="O132" s="66"/>
      <c r="P132" s="185" t="str">
        <f ca="1">IFERROR(VALUE(IF(VLOOKUP($A132,数出表_Excel!$A$6:$T$150,COLUMN()/2+1,FALSE)=0,"",VLOOKUP($A132,数出表_Excel!$A$6:$T$150,COLUMN()/2+1,FALSE))),"")</f>
        <v/>
      </c>
      <c r="Q132" s="82"/>
      <c r="R132" s="196" t="str">
        <f ca="1">IFERROR(VALUE(IF(VLOOKUP($A132,数出表_Excel!$A$6:$T$150,COLUMN()/2+1,FALSE)=0,"",VLOOKUP($A132,数出表_Excel!$A$6:$T$150,COLUMN()/2+1,FALSE))),"")</f>
        <v/>
      </c>
      <c r="S132" s="66"/>
      <c r="T132" s="185" t="str">
        <f ca="1">IFERROR(VALUE(IF(VLOOKUP($A132,数出表_Excel!$A$6:$T$150,COLUMN()/2+1,FALSE)=0,"",VLOOKUP($A132,数出表_Excel!$A$6:$T$150,COLUMN()/2+1,FALSE))),"")</f>
        <v/>
      </c>
      <c r="U132" s="82"/>
      <c r="V132" s="196" t="str">
        <f ca="1">IFERROR(VALUE(IF(VLOOKUP($A132,数出表_Excel!$A$6:$T$150,COLUMN()/2+1,FALSE)=0,"",VLOOKUP($A132,数出表_Excel!$A$6:$T$150,COLUMN()/2+1,FALSE))),"")</f>
        <v/>
      </c>
      <c r="W132" s="66"/>
      <c r="X132" s="185" t="str">
        <f ca="1">IFERROR(VALUE(IF(VLOOKUP($A132,数出表_Excel!$A$6:$T$150,COLUMN()/2+1,FALSE)=0,"",VLOOKUP($A132,数出表_Excel!$A$6:$T$150,COLUMN()/2+1,FALSE))),"")</f>
        <v/>
      </c>
      <c r="Y132" s="82"/>
      <c r="Z132" s="196" t="str">
        <f ca="1">IFERROR(VALUE(IF(VLOOKUP($A132,数出表_Excel!$A$6:$T$150,COLUMN()/2+1,FALSE)=0,"",VLOOKUP($A132,数出表_Excel!$A$6:$T$150,COLUMN()/2+1,FALSE))),"")</f>
        <v/>
      </c>
      <c r="AA132" s="82"/>
      <c r="AB132" s="185" t="str">
        <f ca="1">IFERROR(VALUE(IF(VLOOKUP($A132,数出表_Excel!$A$6:$T$150,COLUMN()/2+1,FALSE)=0,"",VLOOKUP($A132,数出表_Excel!$A$6:$T$150,COLUMN()/2+1,FALSE))),"")</f>
        <v/>
      </c>
      <c r="AC132" s="82"/>
      <c r="AD132" s="185" t="str">
        <f ca="1">IFERROR(VALUE(IF(VLOOKUP($A132,数出表_Excel!$A$6:$T$150,COLUMN()/2+1,FALSE)=0,"",VLOOKUP($A132,数出表_Excel!$A$6:$T$150,COLUMN()/2+1,FALSE))),"")</f>
        <v/>
      </c>
      <c r="AE132" s="82"/>
      <c r="AF132" s="185" t="str">
        <f ca="1">IFERROR(VALUE(IF(VLOOKUP($A132,数出表_Excel!$A$6:$T$150,COLUMN()/2+1,FALSE)=0,"",VLOOKUP($A132,数出表_Excel!$A$6:$T$150,COLUMN()/2+1,FALSE))),"")</f>
        <v/>
      </c>
      <c r="AG132" s="82"/>
      <c r="AH132" s="185" t="str">
        <f ca="1">IFERROR(VALUE(IF(VLOOKUP($A132,数出表_Excel!$A$6:$T$150,COLUMN()/2+1,FALSE)=0,"",VLOOKUP($A132,数出表_Excel!$A$6:$T$150,COLUMN()/2+1,FALSE))),"")</f>
        <v/>
      </c>
      <c r="AI132" s="82"/>
      <c r="AJ132" s="185" t="str">
        <f ca="1">IFERROR(VALUE(IF(VLOOKUP($A132,数出表_Excel!$A$6:$T$150,COLUMN()/2+1,FALSE)=0,"",VLOOKUP($A132,数出表_Excel!$A$6:$T$150,COLUMN()/2+1,FALSE))),"")</f>
        <v/>
      </c>
      <c r="AK132" s="82"/>
      <c r="AL132" s="68" t="e">
        <f ca="1">IF(A132&lt;&gt;"",
IF(VLOOKUP($A132,数出表_Excel!$A$6:$T$150,COLUMN()/2+1,FALSE)=0,"",VLOOKUP($A132,数出表_Excel!$A$6:$T$150,COLUMN()/2+1,FALSE)),"")</f>
        <v>#N/A</v>
      </c>
      <c r="AM132" s="96" t="e">
        <f>数出表_Excel!V132</f>
        <v>#N/A</v>
      </c>
      <c r="AN132" s="97" t="e">
        <f>数出表_Excel!W132</f>
        <v>#N/A</v>
      </c>
    </row>
    <row r="133" spans="1:40" ht="16.2" customHeight="1">
      <c r="A133" s="89" t="e">
        <f t="array" aca="1" ref="A133" ca="1">IF(OR(COUNTIF(A131,"*1000*"),COUNTIF(A131,"")),"",INDEX(貼り付け用!$A1:$A200,MATCH(A131,貼り付け用!$A1:$A200,0)+2,0))</f>
        <v>#N/A</v>
      </c>
      <c r="B133" s="186" t="str">
        <f ca="1">IFERROR(VALUE(IF(VLOOKUP($A133,数出表_Excel!$A$6:$T$150,COLUMN()/2+1,FALSE)=0,"",VLOOKUP($A133,数出表_Excel!$A$6:$T$150,COLUMN()/2+1,FALSE))),"")</f>
        <v/>
      </c>
      <c r="C133" s="67"/>
      <c r="D133" s="186" t="str">
        <f ca="1">IFERROR(VALUE(IF(VLOOKUP($A133,数出表_Excel!$A$6:$T$150,COLUMN()/2+1,FALSE)=0,"",VLOOKUP($A133,数出表_Excel!$A$6:$T$150,COLUMN()/2+1,FALSE))),"")</f>
        <v/>
      </c>
      <c r="E133" s="83"/>
      <c r="F133" s="197" t="str">
        <f ca="1">IFERROR(VALUE(IF(VLOOKUP($A133,数出表_Excel!$A$6:$T$150,COLUMN()/2+1,FALSE)=0,"",VLOOKUP($A133,数出表_Excel!$A$6:$T$150,COLUMN()/2+1,FALSE))),"")</f>
        <v/>
      </c>
      <c r="G133" s="67"/>
      <c r="H133" s="186" t="str">
        <f ca="1">IFERROR(VALUE(IF(VLOOKUP($A133,数出表_Excel!$A$6:$T$150,COLUMN()/2+1,FALSE)=0,"",VLOOKUP($A133,数出表_Excel!$A$6:$T$150,COLUMN()/2+1,FALSE))),"")</f>
        <v/>
      </c>
      <c r="I133" s="83"/>
      <c r="J133" s="197" t="str">
        <f ca="1">IFERROR(VALUE(IF(VLOOKUP($A133,数出表_Excel!$A$6:$T$150,COLUMN()/2+1,FALSE)=0,"",VLOOKUP($A133,数出表_Excel!$A$6:$T$150,COLUMN()/2+1,FALSE))),"")</f>
        <v/>
      </c>
      <c r="K133" s="67"/>
      <c r="L133" s="186" t="str">
        <f ca="1">IFERROR(VALUE(IF(VLOOKUP($A133,数出表_Excel!$A$6:$T$150,COLUMN()/2+1,FALSE)=0,"",VLOOKUP($A133,数出表_Excel!$A$6:$T$150,COLUMN()/2+1,FALSE))),"")</f>
        <v/>
      </c>
      <c r="M133" s="83"/>
      <c r="N133" s="197" t="str">
        <f ca="1">IFERROR(VALUE(IF(VLOOKUP($A133,数出表_Excel!$A$6:$T$150,COLUMN()/2+1,FALSE)=0,"",VLOOKUP($A133,数出表_Excel!$A$6:$T$150,COLUMN()/2+1,FALSE))),"")</f>
        <v/>
      </c>
      <c r="O133" s="67"/>
      <c r="P133" s="186" t="str">
        <f ca="1">IFERROR(VALUE(IF(VLOOKUP($A133,数出表_Excel!$A$6:$T$150,COLUMN()/2+1,FALSE)=0,"",VLOOKUP($A133,数出表_Excel!$A$6:$T$150,COLUMN()/2+1,FALSE))),"")</f>
        <v/>
      </c>
      <c r="Q133" s="83"/>
      <c r="R133" s="197" t="str">
        <f ca="1">IFERROR(VALUE(IF(VLOOKUP($A133,数出表_Excel!$A$6:$T$150,COLUMN()/2+1,FALSE)=0,"",VLOOKUP($A133,数出表_Excel!$A$6:$T$150,COLUMN()/2+1,FALSE))),"")</f>
        <v/>
      </c>
      <c r="S133" s="67"/>
      <c r="T133" s="186" t="str">
        <f ca="1">IFERROR(VALUE(IF(VLOOKUP($A133,数出表_Excel!$A$6:$T$150,COLUMN()/2+1,FALSE)=0,"",VLOOKUP($A133,数出表_Excel!$A$6:$T$150,COLUMN()/2+1,FALSE))),"")</f>
        <v/>
      </c>
      <c r="U133" s="83"/>
      <c r="V133" s="197" t="str">
        <f ca="1">IFERROR(VALUE(IF(VLOOKUP($A133,数出表_Excel!$A$6:$T$150,COLUMN()/2+1,FALSE)=0,"",VLOOKUP($A133,数出表_Excel!$A$6:$T$150,COLUMN()/2+1,FALSE))),"")</f>
        <v/>
      </c>
      <c r="W133" s="67"/>
      <c r="X133" s="186" t="str">
        <f ca="1">IFERROR(VALUE(IF(VLOOKUP($A133,数出表_Excel!$A$6:$T$150,COLUMN()/2+1,FALSE)=0,"",VLOOKUP($A133,数出表_Excel!$A$6:$T$150,COLUMN()/2+1,FALSE))),"")</f>
        <v/>
      </c>
      <c r="Y133" s="83"/>
      <c r="Z133" s="197" t="str">
        <f ca="1">IFERROR(VALUE(IF(VLOOKUP($A133,数出表_Excel!$A$6:$T$150,COLUMN()/2+1,FALSE)=0,"",VLOOKUP($A133,数出表_Excel!$A$6:$T$150,COLUMN()/2+1,FALSE))),"")</f>
        <v/>
      </c>
      <c r="AA133" s="83"/>
      <c r="AB133" s="186" t="str">
        <f ca="1">IFERROR(VALUE(IF(VLOOKUP($A133,数出表_Excel!$A$6:$T$150,COLUMN()/2+1,FALSE)=0,"",VLOOKUP($A133,数出表_Excel!$A$6:$T$150,COLUMN()/2+1,FALSE))),"")</f>
        <v/>
      </c>
      <c r="AC133" s="83"/>
      <c r="AD133" s="186" t="str">
        <f ca="1">IFERROR(VALUE(IF(VLOOKUP($A133,数出表_Excel!$A$6:$T$150,COLUMN()/2+1,FALSE)=0,"",VLOOKUP($A133,数出表_Excel!$A$6:$T$150,COLUMN()/2+1,FALSE))),"")</f>
        <v/>
      </c>
      <c r="AE133" s="83"/>
      <c r="AF133" s="186" t="str">
        <f ca="1">IFERROR(VALUE(IF(VLOOKUP($A133,数出表_Excel!$A$6:$T$150,COLUMN()/2+1,FALSE)=0,"",VLOOKUP($A133,数出表_Excel!$A$6:$T$150,COLUMN()/2+1,FALSE))),"")</f>
        <v/>
      </c>
      <c r="AG133" s="83"/>
      <c r="AH133" s="186" t="str">
        <f ca="1">IFERROR(VALUE(IF(VLOOKUP($A133,数出表_Excel!$A$6:$T$150,COLUMN()/2+1,FALSE)=0,"",VLOOKUP($A133,数出表_Excel!$A$6:$T$150,COLUMN()/2+1,FALSE))),"")</f>
        <v/>
      </c>
      <c r="AI133" s="83"/>
      <c r="AJ133" s="186" t="str">
        <f ca="1">IFERROR(VALUE(IF(VLOOKUP($A133,数出表_Excel!$A$6:$T$150,COLUMN()/2+1,FALSE)=0,"",VLOOKUP($A133,数出表_Excel!$A$6:$T$150,COLUMN()/2+1,FALSE))),"")</f>
        <v/>
      </c>
      <c r="AK133" s="83"/>
      <c r="AL133" s="70" t="e">
        <f ca="1">IF(A133&lt;&gt;"",
IF(VLOOKUP($A133,数出表_Excel!$A$6:$T$150,COLUMN()/2+1,FALSE)=0,"",VLOOKUP($A133,数出表_Excel!$A$6:$T$150,COLUMN()/2+1,FALSE)),"")</f>
        <v>#N/A</v>
      </c>
      <c r="AM133" s="98" t="e">
        <f>数出表_Excel!V133</f>
        <v>#N/A</v>
      </c>
      <c r="AN133" s="99" t="e">
        <f>数出表_Excel!W133</f>
        <v>#N/A</v>
      </c>
    </row>
    <row r="134" spans="1:40" ht="16.2" customHeight="1">
      <c r="A134" s="88" t="e">
        <f t="array" aca="1" ref="A134" ca="1">IF(OR(COUNTIF(A132,"*10002*"),COUNTIF(A132,"")),"",INDEX(貼り付け用!$A1:$A200,MATCH(A132,貼り付け用!$A1:$A200,0)+2,0))</f>
        <v>#N/A</v>
      </c>
      <c r="B134" s="185" t="str">
        <f ca="1">IFERROR(VALUE(IF(VLOOKUP($A134,数出表_Excel!$A$6:$T$150,COLUMN()/2+1,FALSE)=0,"",VLOOKUP($A134,数出表_Excel!$A$6:$T$150,COLUMN()/2+1,FALSE))),"")</f>
        <v/>
      </c>
      <c r="C134" s="66"/>
      <c r="D134" s="185" t="str">
        <f ca="1">IFERROR(VALUE(IF(VLOOKUP($A134,数出表_Excel!$A$6:$T$150,COLUMN()/2+1,FALSE)=0,"",VLOOKUP($A134,数出表_Excel!$A$6:$T$150,COLUMN()/2+1,FALSE))),"")</f>
        <v/>
      </c>
      <c r="E134" s="82"/>
      <c r="F134" s="196" t="str">
        <f ca="1">IFERROR(VALUE(IF(VLOOKUP($A134,数出表_Excel!$A$6:$T$150,COLUMN()/2+1,FALSE)=0,"",VLOOKUP($A134,数出表_Excel!$A$6:$T$150,COLUMN()/2+1,FALSE))),"")</f>
        <v/>
      </c>
      <c r="G134" s="66"/>
      <c r="H134" s="185" t="str">
        <f ca="1">IFERROR(VALUE(IF(VLOOKUP($A134,数出表_Excel!$A$6:$T$150,COLUMN()/2+1,FALSE)=0,"",VLOOKUP($A134,数出表_Excel!$A$6:$T$150,COLUMN()/2+1,FALSE))),"")</f>
        <v/>
      </c>
      <c r="I134" s="82"/>
      <c r="J134" s="196" t="str">
        <f ca="1">IFERROR(VALUE(IF(VLOOKUP($A134,数出表_Excel!$A$6:$T$150,COLUMN()/2+1,FALSE)=0,"",VLOOKUP($A134,数出表_Excel!$A$6:$T$150,COLUMN()/2+1,FALSE))),"")</f>
        <v/>
      </c>
      <c r="K134" s="66"/>
      <c r="L134" s="185" t="str">
        <f ca="1">IFERROR(VALUE(IF(VLOOKUP($A134,数出表_Excel!$A$6:$T$150,COLUMN()/2+1,FALSE)=0,"",VLOOKUP($A134,数出表_Excel!$A$6:$T$150,COLUMN()/2+1,FALSE))),"")</f>
        <v/>
      </c>
      <c r="M134" s="82"/>
      <c r="N134" s="196" t="str">
        <f ca="1">IFERROR(VALUE(IF(VLOOKUP($A134,数出表_Excel!$A$6:$T$150,COLUMN()/2+1,FALSE)=0,"",VLOOKUP($A134,数出表_Excel!$A$6:$T$150,COLUMN()/2+1,FALSE))),"")</f>
        <v/>
      </c>
      <c r="O134" s="66"/>
      <c r="P134" s="185" t="str">
        <f ca="1">IFERROR(VALUE(IF(VLOOKUP($A134,数出表_Excel!$A$6:$T$150,COLUMN()/2+1,FALSE)=0,"",VLOOKUP($A134,数出表_Excel!$A$6:$T$150,COLUMN()/2+1,FALSE))),"")</f>
        <v/>
      </c>
      <c r="Q134" s="82"/>
      <c r="R134" s="196" t="str">
        <f ca="1">IFERROR(VALUE(IF(VLOOKUP($A134,数出表_Excel!$A$6:$T$150,COLUMN()/2+1,FALSE)=0,"",VLOOKUP($A134,数出表_Excel!$A$6:$T$150,COLUMN()/2+1,FALSE))),"")</f>
        <v/>
      </c>
      <c r="S134" s="66"/>
      <c r="T134" s="185" t="str">
        <f ca="1">IFERROR(VALUE(IF(VLOOKUP($A134,数出表_Excel!$A$6:$T$150,COLUMN()/2+1,FALSE)=0,"",VLOOKUP($A134,数出表_Excel!$A$6:$T$150,COLUMN()/2+1,FALSE))),"")</f>
        <v/>
      </c>
      <c r="U134" s="82"/>
      <c r="V134" s="196" t="str">
        <f ca="1">IFERROR(VALUE(IF(VLOOKUP($A134,数出表_Excel!$A$6:$T$150,COLUMN()/2+1,FALSE)=0,"",VLOOKUP($A134,数出表_Excel!$A$6:$T$150,COLUMN()/2+1,FALSE))),"")</f>
        <v/>
      </c>
      <c r="W134" s="66"/>
      <c r="X134" s="185" t="str">
        <f ca="1">IFERROR(VALUE(IF(VLOOKUP($A134,数出表_Excel!$A$6:$T$150,COLUMN()/2+1,FALSE)=0,"",VLOOKUP($A134,数出表_Excel!$A$6:$T$150,COLUMN()/2+1,FALSE))),"")</f>
        <v/>
      </c>
      <c r="Y134" s="82"/>
      <c r="Z134" s="196" t="str">
        <f ca="1">IFERROR(VALUE(IF(VLOOKUP($A134,数出表_Excel!$A$6:$T$150,COLUMN()/2+1,FALSE)=0,"",VLOOKUP($A134,数出表_Excel!$A$6:$T$150,COLUMN()/2+1,FALSE))),"")</f>
        <v/>
      </c>
      <c r="AA134" s="82"/>
      <c r="AB134" s="185" t="str">
        <f ca="1">IFERROR(VALUE(IF(VLOOKUP($A134,数出表_Excel!$A$6:$T$150,COLUMN()/2+1,FALSE)=0,"",VLOOKUP($A134,数出表_Excel!$A$6:$T$150,COLUMN()/2+1,FALSE))),"")</f>
        <v/>
      </c>
      <c r="AC134" s="82"/>
      <c r="AD134" s="185" t="str">
        <f ca="1">IFERROR(VALUE(IF(VLOOKUP($A134,数出表_Excel!$A$6:$T$150,COLUMN()/2+1,FALSE)=0,"",VLOOKUP($A134,数出表_Excel!$A$6:$T$150,COLUMN()/2+1,FALSE))),"")</f>
        <v/>
      </c>
      <c r="AE134" s="82"/>
      <c r="AF134" s="185" t="str">
        <f ca="1">IFERROR(VALUE(IF(VLOOKUP($A134,数出表_Excel!$A$6:$T$150,COLUMN()/2+1,FALSE)=0,"",VLOOKUP($A134,数出表_Excel!$A$6:$T$150,COLUMN()/2+1,FALSE))),"")</f>
        <v/>
      </c>
      <c r="AG134" s="82"/>
      <c r="AH134" s="185" t="str">
        <f ca="1">IFERROR(VALUE(IF(VLOOKUP($A134,数出表_Excel!$A$6:$T$150,COLUMN()/2+1,FALSE)=0,"",VLOOKUP($A134,数出表_Excel!$A$6:$T$150,COLUMN()/2+1,FALSE))),"")</f>
        <v/>
      </c>
      <c r="AI134" s="82"/>
      <c r="AJ134" s="185" t="str">
        <f ca="1">IFERROR(VALUE(IF(VLOOKUP($A134,数出表_Excel!$A$6:$T$150,COLUMN()/2+1,FALSE)=0,"",VLOOKUP($A134,数出表_Excel!$A$6:$T$150,COLUMN()/2+1,FALSE))),"")</f>
        <v/>
      </c>
      <c r="AK134" s="82"/>
      <c r="AL134" s="68" t="e">
        <f ca="1">IF(A134&lt;&gt;"",
IF(VLOOKUP($A134,数出表_Excel!$A$6:$T$150,COLUMN()/2+1,FALSE)=0,"",VLOOKUP($A134,数出表_Excel!$A$6:$T$150,COLUMN()/2+1,FALSE)),"")</f>
        <v>#N/A</v>
      </c>
      <c r="AM134" s="96" t="e">
        <f>数出表_Excel!V134</f>
        <v>#N/A</v>
      </c>
      <c r="AN134" s="97" t="e">
        <f>数出表_Excel!W134</f>
        <v>#N/A</v>
      </c>
    </row>
    <row r="135" spans="1:40" ht="16.2" customHeight="1">
      <c r="A135" s="89" t="e">
        <f t="array" aca="1" ref="A135" ca="1">IF(OR(COUNTIF(A133,"*1000*"),COUNTIF(A133,"")),"",INDEX(貼り付け用!$A1:$A200,MATCH(A133,貼り付け用!$A1:$A200,0)+2,0))</f>
        <v>#N/A</v>
      </c>
      <c r="B135" s="186" t="str">
        <f ca="1">IFERROR(VALUE(IF(VLOOKUP($A135,数出表_Excel!$A$6:$T$150,COLUMN()/2+1,FALSE)=0,"",VLOOKUP($A135,数出表_Excel!$A$6:$T$150,COLUMN()/2+1,FALSE))),"")</f>
        <v/>
      </c>
      <c r="C135" s="67"/>
      <c r="D135" s="186" t="str">
        <f ca="1">IFERROR(VALUE(IF(VLOOKUP($A135,数出表_Excel!$A$6:$T$150,COLUMN()/2+1,FALSE)=0,"",VLOOKUP($A135,数出表_Excel!$A$6:$T$150,COLUMN()/2+1,FALSE))),"")</f>
        <v/>
      </c>
      <c r="E135" s="83"/>
      <c r="F135" s="197" t="str">
        <f ca="1">IFERROR(VALUE(IF(VLOOKUP($A135,数出表_Excel!$A$6:$T$150,COLUMN()/2+1,FALSE)=0,"",VLOOKUP($A135,数出表_Excel!$A$6:$T$150,COLUMN()/2+1,FALSE))),"")</f>
        <v/>
      </c>
      <c r="G135" s="67"/>
      <c r="H135" s="186" t="str">
        <f ca="1">IFERROR(VALUE(IF(VLOOKUP($A135,数出表_Excel!$A$6:$T$150,COLUMN()/2+1,FALSE)=0,"",VLOOKUP($A135,数出表_Excel!$A$6:$T$150,COLUMN()/2+1,FALSE))),"")</f>
        <v/>
      </c>
      <c r="I135" s="83"/>
      <c r="J135" s="197" t="str">
        <f ca="1">IFERROR(VALUE(IF(VLOOKUP($A135,数出表_Excel!$A$6:$T$150,COLUMN()/2+1,FALSE)=0,"",VLOOKUP($A135,数出表_Excel!$A$6:$T$150,COLUMN()/2+1,FALSE))),"")</f>
        <v/>
      </c>
      <c r="K135" s="67"/>
      <c r="L135" s="186" t="str">
        <f ca="1">IFERROR(VALUE(IF(VLOOKUP($A135,数出表_Excel!$A$6:$T$150,COLUMN()/2+1,FALSE)=0,"",VLOOKUP($A135,数出表_Excel!$A$6:$T$150,COLUMN()/2+1,FALSE))),"")</f>
        <v/>
      </c>
      <c r="M135" s="83"/>
      <c r="N135" s="197" t="str">
        <f ca="1">IFERROR(VALUE(IF(VLOOKUP($A135,数出表_Excel!$A$6:$T$150,COLUMN()/2+1,FALSE)=0,"",VLOOKUP($A135,数出表_Excel!$A$6:$T$150,COLUMN()/2+1,FALSE))),"")</f>
        <v/>
      </c>
      <c r="O135" s="67"/>
      <c r="P135" s="186" t="str">
        <f ca="1">IFERROR(VALUE(IF(VLOOKUP($A135,数出表_Excel!$A$6:$T$150,COLUMN()/2+1,FALSE)=0,"",VLOOKUP($A135,数出表_Excel!$A$6:$T$150,COLUMN()/2+1,FALSE))),"")</f>
        <v/>
      </c>
      <c r="Q135" s="83"/>
      <c r="R135" s="197" t="str">
        <f ca="1">IFERROR(VALUE(IF(VLOOKUP($A135,数出表_Excel!$A$6:$T$150,COLUMN()/2+1,FALSE)=0,"",VLOOKUP($A135,数出表_Excel!$A$6:$T$150,COLUMN()/2+1,FALSE))),"")</f>
        <v/>
      </c>
      <c r="S135" s="67"/>
      <c r="T135" s="186" t="str">
        <f ca="1">IFERROR(VALUE(IF(VLOOKUP($A135,数出表_Excel!$A$6:$T$150,COLUMN()/2+1,FALSE)=0,"",VLOOKUP($A135,数出表_Excel!$A$6:$T$150,COLUMN()/2+1,FALSE))),"")</f>
        <v/>
      </c>
      <c r="U135" s="83"/>
      <c r="V135" s="197" t="str">
        <f ca="1">IFERROR(VALUE(IF(VLOOKUP($A135,数出表_Excel!$A$6:$T$150,COLUMN()/2+1,FALSE)=0,"",VLOOKUP($A135,数出表_Excel!$A$6:$T$150,COLUMN()/2+1,FALSE))),"")</f>
        <v/>
      </c>
      <c r="W135" s="67"/>
      <c r="X135" s="186" t="str">
        <f ca="1">IFERROR(VALUE(IF(VLOOKUP($A135,数出表_Excel!$A$6:$T$150,COLUMN()/2+1,FALSE)=0,"",VLOOKUP($A135,数出表_Excel!$A$6:$T$150,COLUMN()/2+1,FALSE))),"")</f>
        <v/>
      </c>
      <c r="Y135" s="83"/>
      <c r="Z135" s="197" t="str">
        <f ca="1">IFERROR(VALUE(IF(VLOOKUP($A135,数出表_Excel!$A$6:$T$150,COLUMN()/2+1,FALSE)=0,"",VLOOKUP($A135,数出表_Excel!$A$6:$T$150,COLUMN()/2+1,FALSE))),"")</f>
        <v/>
      </c>
      <c r="AA135" s="83"/>
      <c r="AB135" s="186" t="str">
        <f ca="1">IFERROR(VALUE(IF(VLOOKUP($A135,数出表_Excel!$A$6:$T$150,COLUMN()/2+1,FALSE)=0,"",VLOOKUP($A135,数出表_Excel!$A$6:$T$150,COLUMN()/2+1,FALSE))),"")</f>
        <v/>
      </c>
      <c r="AC135" s="83"/>
      <c r="AD135" s="186" t="str">
        <f ca="1">IFERROR(VALUE(IF(VLOOKUP($A135,数出表_Excel!$A$6:$T$150,COLUMN()/2+1,FALSE)=0,"",VLOOKUP($A135,数出表_Excel!$A$6:$T$150,COLUMN()/2+1,FALSE))),"")</f>
        <v/>
      </c>
      <c r="AE135" s="83"/>
      <c r="AF135" s="186" t="str">
        <f ca="1">IFERROR(VALUE(IF(VLOOKUP($A135,数出表_Excel!$A$6:$T$150,COLUMN()/2+1,FALSE)=0,"",VLOOKUP($A135,数出表_Excel!$A$6:$T$150,COLUMN()/2+1,FALSE))),"")</f>
        <v/>
      </c>
      <c r="AG135" s="83"/>
      <c r="AH135" s="186" t="str">
        <f ca="1">IFERROR(VALUE(IF(VLOOKUP($A135,数出表_Excel!$A$6:$T$150,COLUMN()/2+1,FALSE)=0,"",VLOOKUP($A135,数出表_Excel!$A$6:$T$150,COLUMN()/2+1,FALSE))),"")</f>
        <v/>
      </c>
      <c r="AI135" s="83"/>
      <c r="AJ135" s="186" t="str">
        <f ca="1">IFERROR(VALUE(IF(VLOOKUP($A135,数出表_Excel!$A$6:$T$150,COLUMN()/2+1,FALSE)=0,"",VLOOKUP($A135,数出表_Excel!$A$6:$T$150,COLUMN()/2+1,FALSE))),"")</f>
        <v/>
      </c>
      <c r="AK135" s="83"/>
      <c r="AL135" s="70" t="e">
        <f ca="1">IF(A135&lt;&gt;"",
IF(VLOOKUP($A135,数出表_Excel!$A$6:$T$150,COLUMN()/2+1,FALSE)=0,"",VLOOKUP($A135,数出表_Excel!$A$6:$T$150,COLUMN()/2+1,FALSE)),"")</f>
        <v>#N/A</v>
      </c>
      <c r="AM135" s="98" t="e">
        <f>数出表_Excel!V135</f>
        <v>#N/A</v>
      </c>
      <c r="AN135" s="99" t="e">
        <f>数出表_Excel!W135</f>
        <v>#N/A</v>
      </c>
    </row>
    <row r="136" spans="1:40" ht="16.2" customHeight="1">
      <c r="A136" s="88" t="e">
        <f t="array" aca="1" ref="A136" ca="1">IF(OR(COUNTIF(A134,"*10002*"),COUNTIF(A134,"")),"",INDEX(貼り付け用!$A1:$A200,MATCH(A134,貼り付け用!$A1:$A200,0)+2,0))</f>
        <v>#N/A</v>
      </c>
      <c r="B136" s="185" t="str">
        <f ca="1">IFERROR(VALUE(IF(VLOOKUP($A136,数出表_Excel!$A$6:$T$150,COLUMN()/2+1,FALSE)=0,"",VLOOKUP($A136,数出表_Excel!$A$6:$T$150,COLUMN()/2+1,FALSE))),"")</f>
        <v/>
      </c>
      <c r="C136" s="66"/>
      <c r="D136" s="185" t="str">
        <f ca="1">IFERROR(VALUE(IF(VLOOKUP($A136,数出表_Excel!$A$6:$T$150,COLUMN()/2+1,FALSE)=0,"",VLOOKUP($A136,数出表_Excel!$A$6:$T$150,COLUMN()/2+1,FALSE))),"")</f>
        <v/>
      </c>
      <c r="E136" s="82"/>
      <c r="F136" s="196" t="str">
        <f ca="1">IFERROR(VALUE(IF(VLOOKUP($A136,数出表_Excel!$A$6:$T$150,COLUMN()/2+1,FALSE)=0,"",VLOOKUP($A136,数出表_Excel!$A$6:$T$150,COLUMN()/2+1,FALSE))),"")</f>
        <v/>
      </c>
      <c r="G136" s="66"/>
      <c r="H136" s="185" t="str">
        <f ca="1">IFERROR(VALUE(IF(VLOOKUP($A136,数出表_Excel!$A$6:$T$150,COLUMN()/2+1,FALSE)=0,"",VLOOKUP($A136,数出表_Excel!$A$6:$T$150,COLUMN()/2+1,FALSE))),"")</f>
        <v/>
      </c>
      <c r="I136" s="82"/>
      <c r="J136" s="196" t="str">
        <f ca="1">IFERROR(VALUE(IF(VLOOKUP($A136,数出表_Excel!$A$6:$T$150,COLUMN()/2+1,FALSE)=0,"",VLOOKUP($A136,数出表_Excel!$A$6:$T$150,COLUMN()/2+1,FALSE))),"")</f>
        <v/>
      </c>
      <c r="K136" s="66"/>
      <c r="L136" s="185" t="str">
        <f ca="1">IFERROR(VALUE(IF(VLOOKUP($A136,数出表_Excel!$A$6:$T$150,COLUMN()/2+1,FALSE)=0,"",VLOOKUP($A136,数出表_Excel!$A$6:$T$150,COLUMN()/2+1,FALSE))),"")</f>
        <v/>
      </c>
      <c r="M136" s="82"/>
      <c r="N136" s="196" t="str">
        <f ca="1">IFERROR(VALUE(IF(VLOOKUP($A136,数出表_Excel!$A$6:$T$150,COLUMN()/2+1,FALSE)=0,"",VLOOKUP($A136,数出表_Excel!$A$6:$T$150,COLUMN()/2+1,FALSE))),"")</f>
        <v/>
      </c>
      <c r="O136" s="66"/>
      <c r="P136" s="185" t="str">
        <f ca="1">IFERROR(VALUE(IF(VLOOKUP($A136,数出表_Excel!$A$6:$T$150,COLUMN()/2+1,FALSE)=0,"",VLOOKUP($A136,数出表_Excel!$A$6:$T$150,COLUMN()/2+1,FALSE))),"")</f>
        <v/>
      </c>
      <c r="Q136" s="82"/>
      <c r="R136" s="196" t="str">
        <f ca="1">IFERROR(VALUE(IF(VLOOKUP($A136,数出表_Excel!$A$6:$T$150,COLUMN()/2+1,FALSE)=0,"",VLOOKUP($A136,数出表_Excel!$A$6:$T$150,COLUMN()/2+1,FALSE))),"")</f>
        <v/>
      </c>
      <c r="S136" s="66"/>
      <c r="T136" s="185" t="str">
        <f ca="1">IFERROR(VALUE(IF(VLOOKUP($A136,数出表_Excel!$A$6:$T$150,COLUMN()/2+1,FALSE)=0,"",VLOOKUP($A136,数出表_Excel!$A$6:$T$150,COLUMN()/2+1,FALSE))),"")</f>
        <v/>
      </c>
      <c r="U136" s="82"/>
      <c r="V136" s="196" t="str">
        <f ca="1">IFERROR(VALUE(IF(VLOOKUP($A136,数出表_Excel!$A$6:$T$150,COLUMN()/2+1,FALSE)=0,"",VLOOKUP($A136,数出表_Excel!$A$6:$T$150,COLUMN()/2+1,FALSE))),"")</f>
        <v/>
      </c>
      <c r="W136" s="66"/>
      <c r="X136" s="185" t="str">
        <f ca="1">IFERROR(VALUE(IF(VLOOKUP($A136,数出表_Excel!$A$6:$T$150,COLUMN()/2+1,FALSE)=0,"",VLOOKUP($A136,数出表_Excel!$A$6:$T$150,COLUMN()/2+1,FALSE))),"")</f>
        <v/>
      </c>
      <c r="Y136" s="82"/>
      <c r="Z136" s="196" t="str">
        <f ca="1">IFERROR(VALUE(IF(VLOOKUP($A136,数出表_Excel!$A$6:$T$150,COLUMN()/2+1,FALSE)=0,"",VLOOKUP($A136,数出表_Excel!$A$6:$T$150,COLUMN()/2+1,FALSE))),"")</f>
        <v/>
      </c>
      <c r="AA136" s="82"/>
      <c r="AB136" s="185" t="str">
        <f ca="1">IFERROR(VALUE(IF(VLOOKUP($A136,数出表_Excel!$A$6:$T$150,COLUMN()/2+1,FALSE)=0,"",VLOOKUP($A136,数出表_Excel!$A$6:$T$150,COLUMN()/2+1,FALSE))),"")</f>
        <v/>
      </c>
      <c r="AC136" s="82"/>
      <c r="AD136" s="185" t="str">
        <f ca="1">IFERROR(VALUE(IF(VLOOKUP($A136,数出表_Excel!$A$6:$T$150,COLUMN()/2+1,FALSE)=0,"",VLOOKUP($A136,数出表_Excel!$A$6:$T$150,COLUMN()/2+1,FALSE))),"")</f>
        <v/>
      </c>
      <c r="AE136" s="82"/>
      <c r="AF136" s="185" t="str">
        <f ca="1">IFERROR(VALUE(IF(VLOOKUP($A136,数出表_Excel!$A$6:$T$150,COLUMN()/2+1,FALSE)=0,"",VLOOKUP($A136,数出表_Excel!$A$6:$T$150,COLUMN()/2+1,FALSE))),"")</f>
        <v/>
      </c>
      <c r="AG136" s="82"/>
      <c r="AH136" s="185" t="str">
        <f ca="1">IFERROR(VALUE(IF(VLOOKUP($A136,数出表_Excel!$A$6:$T$150,COLUMN()/2+1,FALSE)=0,"",VLOOKUP($A136,数出表_Excel!$A$6:$T$150,COLUMN()/2+1,FALSE))),"")</f>
        <v/>
      </c>
      <c r="AI136" s="82"/>
      <c r="AJ136" s="185" t="str">
        <f ca="1">IFERROR(VALUE(IF(VLOOKUP($A136,数出表_Excel!$A$6:$T$150,COLUMN()/2+1,FALSE)=0,"",VLOOKUP($A136,数出表_Excel!$A$6:$T$150,COLUMN()/2+1,FALSE))),"")</f>
        <v/>
      </c>
      <c r="AK136" s="82"/>
      <c r="AL136" s="68" t="e">
        <f ca="1">IF(A136&lt;&gt;"",
IF(VLOOKUP($A136,数出表_Excel!$A$6:$T$150,COLUMN()/2+1,FALSE)=0,"",VLOOKUP($A136,数出表_Excel!$A$6:$T$150,COLUMN()/2+1,FALSE)),"")</f>
        <v>#N/A</v>
      </c>
      <c r="AM136" s="96" t="e">
        <f>数出表_Excel!V136</f>
        <v>#N/A</v>
      </c>
      <c r="AN136" s="97" t="e">
        <f>数出表_Excel!W136</f>
        <v>#N/A</v>
      </c>
    </row>
    <row r="137" spans="1:40" ht="16.2" customHeight="1">
      <c r="A137" s="89" t="e">
        <f t="array" aca="1" ref="A137" ca="1">IF(OR(COUNTIF(A135,"*1000*"),COUNTIF(A135,"")),"",INDEX(貼り付け用!$A1:$A200,MATCH(A135,貼り付け用!$A1:$A200,0)+2,0))</f>
        <v>#N/A</v>
      </c>
      <c r="B137" s="186" t="str">
        <f ca="1">IFERROR(VALUE(IF(VLOOKUP($A137,数出表_Excel!$A$6:$T$150,COLUMN()/2+1,FALSE)=0,"",VLOOKUP($A137,数出表_Excel!$A$6:$T$150,COLUMN()/2+1,FALSE))),"")</f>
        <v/>
      </c>
      <c r="C137" s="67"/>
      <c r="D137" s="186" t="str">
        <f ca="1">IFERROR(VALUE(IF(VLOOKUP($A137,数出表_Excel!$A$6:$T$150,COLUMN()/2+1,FALSE)=0,"",VLOOKUP($A137,数出表_Excel!$A$6:$T$150,COLUMN()/2+1,FALSE))),"")</f>
        <v/>
      </c>
      <c r="E137" s="83"/>
      <c r="F137" s="197" t="str">
        <f ca="1">IFERROR(VALUE(IF(VLOOKUP($A137,数出表_Excel!$A$6:$T$150,COLUMN()/2+1,FALSE)=0,"",VLOOKUP($A137,数出表_Excel!$A$6:$T$150,COLUMN()/2+1,FALSE))),"")</f>
        <v/>
      </c>
      <c r="G137" s="67"/>
      <c r="H137" s="186" t="str">
        <f ca="1">IFERROR(VALUE(IF(VLOOKUP($A137,数出表_Excel!$A$6:$T$150,COLUMN()/2+1,FALSE)=0,"",VLOOKUP($A137,数出表_Excel!$A$6:$T$150,COLUMN()/2+1,FALSE))),"")</f>
        <v/>
      </c>
      <c r="I137" s="83"/>
      <c r="J137" s="197" t="str">
        <f ca="1">IFERROR(VALUE(IF(VLOOKUP($A137,数出表_Excel!$A$6:$T$150,COLUMN()/2+1,FALSE)=0,"",VLOOKUP($A137,数出表_Excel!$A$6:$T$150,COLUMN()/2+1,FALSE))),"")</f>
        <v/>
      </c>
      <c r="K137" s="67"/>
      <c r="L137" s="186" t="str">
        <f ca="1">IFERROR(VALUE(IF(VLOOKUP($A137,数出表_Excel!$A$6:$T$150,COLUMN()/2+1,FALSE)=0,"",VLOOKUP($A137,数出表_Excel!$A$6:$T$150,COLUMN()/2+1,FALSE))),"")</f>
        <v/>
      </c>
      <c r="M137" s="83"/>
      <c r="N137" s="197" t="str">
        <f ca="1">IFERROR(VALUE(IF(VLOOKUP($A137,数出表_Excel!$A$6:$T$150,COLUMN()/2+1,FALSE)=0,"",VLOOKUP($A137,数出表_Excel!$A$6:$T$150,COLUMN()/2+1,FALSE))),"")</f>
        <v/>
      </c>
      <c r="O137" s="67"/>
      <c r="P137" s="186" t="str">
        <f ca="1">IFERROR(VALUE(IF(VLOOKUP($A137,数出表_Excel!$A$6:$T$150,COLUMN()/2+1,FALSE)=0,"",VLOOKUP($A137,数出表_Excel!$A$6:$T$150,COLUMN()/2+1,FALSE))),"")</f>
        <v/>
      </c>
      <c r="Q137" s="83"/>
      <c r="R137" s="197" t="str">
        <f ca="1">IFERROR(VALUE(IF(VLOOKUP($A137,数出表_Excel!$A$6:$T$150,COLUMN()/2+1,FALSE)=0,"",VLOOKUP($A137,数出表_Excel!$A$6:$T$150,COLUMN()/2+1,FALSE))),"")</f>
        <v/>
      </c>
      <c r="S137" s="67"/>
      <c r="T137" s="186" t="str">
        <f ca="1">IFERROR(VALUE(IF(VLOOKUP($A137,数出表_Excel!$A$6:$T$150,COLUMN()/2+1,FALSE)=0,"",VLOOKUP($A137,数出表_Excel!$A$6:$T$150,COLUMN()/2+1,FALSE))),"")</f>
        <v/>
      </c>
      <c r="U137" s="83"/>
      <c r="V137" s="197" t="str">
        <f ca="1">IFERROR(VALUE(IF(VLOOKUP($A137,数出表_Excel!$A$6:$T$150,COLUMN()/2+1,FALSE)=0,"",VLOOKUP($A137,数出表_Excel!$A$6:$T$150,COLUMN()/2+1,FALSE))),"")</f>
        <v/>
      </c>
      <c r="W137" s="67"/>
      <c r="X137" s="186" t="str">
        <f ca="1">IFERROR(VALUE(IF(VLOOKUP($A137,数出表_Excel!$A$6:$T$150,COLUMN()/2+1,FALSE)=0,"",VLOOKUP($A137,数出表_Excel!$A$6:$T$150,COLUMN()/2+1,FALSE))),"")</f>
        <v/>
      </c>
      <c r="Y137" s="83"/>
      <c r="Z137" s="197" t="str">
        <f ca="1">IFERROR(VALUE(IF(VLOOKUP($A137,数出表_Excel!$A$6:$T$150,COLUMN()/2+1,FALSE)=0,"",VLOOKUP($A137,数出表_Excel!$A$6:$T$150,COLUMN()/2+1,FALSE))),"")</f>
        <v/>
      </c>
      <c r="AA137" s="83"/>
      <c r="AB137" s="186" t="str">
        <f ca="1">IFERROR(VALUE(IF(VLOOKUP($A137,数出表_Excel!$A$6:$T$150,COLUMN()/2+1,FALSE)=0,"",VLOOKUP($A137,数出表_Excel!$A$6:$T$150,COLUMN()/2+1,FALSE))),"")</f>
        <v/>
      </c>
      <c r="AC137" s="83"/>
      <c r="AD137" s="186" t="str">
        <f ca="1">IFERROR(VALUE(IF(VLOOKUP($A137,数出表_Excel!$A$6:$T$150,COLUMN()/2+1,FALSE)=0,"",VLOOKUP($A137,数出表_Excel!$A$6:$T$150,COLUMN()/2+1,FALSE))),"")</f>
        <v/>
      </c>
      <c r="AE137" s="83"/>
      <c r="AF137" s="186" t="str">
        <f ca="1">IFERROR(VALUE(IF(VLOOKUP($A137,数出表_Excel!$A$6:$T$150,COLUMN()/2+1,FALSE)=0,"",VLOOKUP($A137,数出表_Excel!$A$6:$T$150,COLUMN()/2+1,FALSE))),"")</f>
        <v/>
      </c>
      <c r="AG137" s="83"/>
      <c r="AH137" s="186" t="str">
        <f ca="1">IFERROR(VALUE(IF(VLOOKUP($A137,数出表_Excel!$A$6:$T$150,COLUMN()/2+1,FALSE)=0,"",VLOOKUP($A137,数出表_Excel!$A$6:$T$150,COLUMN()/2+1,FALSE))),"")</f>
        <v/>
      </c>
      <c r="AI137" s="83"/>
      <c r="AJ137" s="186" t="str">
        <f ca="1">IFERROR(VALUE(IF(VLOOKUP($A137,数出表_Excel!$A$6:$T$150,COLUMN()/2+1,FALSE)=0,"",VLOOKUP($A137,数出表_Excel!$A$6:$T$150,COLUMN()/2+1,FALSE))),"")</f>
        <v/>
      </c>
      <c r="AK137" s="83"/>
      <c r="AL137" s="70" t="e">
        <f ca="1">IF(A137&lt;&gt;"",
IF(VLOOKUP($A137,数出表_Excel!$A$6:$T$150,COLUMN()/2+1,FALSE)=0,"",VLOOKUP($A137,数出表_Excel!$A$6:$T$150,COLUMN()/2+1,FALSE)),"")</f>
        <v>#N/A</v>
      </c>
      <c r="AM137" s="98" t="e">
        <f>数出表_Excel!V137</f>
        <v>#N/A</v>
      </c>
      <c r="AN137" s="99" t="e">
        <f>数出表_Excel!W137</f>
        <v>#N/A</v>
      </c>
    </row>
    <row r="138" spans="1:40" ht="16.2" customHeight="1">
      <c r="A138" s="88" t="e">
        <f t="array" aca="1" ref="A138" ca="1">IF(OR(COUNTIF(A136,"*10002*"),COUNTIF(A136,"")),"",INDEX(貼り付け用!$A1:$A200,MATCH(A136,貼り付け用!$A1:$A200,0)+2,0))</f>
        <v>#N/A</v>
      </c>
      <c r="B138" s="185" t="str">
        <f ca="1">IFERROR(VALUE(IF(VLOOKUP($A138,数出表_Excel!$A$6:$T$150,COLUMN()/2+1,FALSE)=0,"",VLOOKUP($A138,数出表_Excel!$A$6:$T$150,COLUMN()/2+1,FALSE))),"")</f>
        <v/>
      </c>
      <c r="C138" s="66"/>
      <c r="D138" s="185" t="str">
        <f ca="1">IFERROR(VALUE(IF(VLOOKUP($A138,数出表_Excel!$A$6:$T$150,COLUMN()/2+1,FALSE)=0,"",VLOOKUP($A138,数出表_Excel!$A$6:$T$150,COLUMN()/2+1,FALSE))),"")</f>
        <v/>
      </c>
      <c r="E138" s="82"/>
      <c r="F138" s="196" t="str">
        <f ca="1">IFERROR(VALUE(IF(VLOOKUP($A138,数出表_Excel!$A$6:$T$150,COLUMN()/2+1,FALSE)=0,"",VLOOKUP($A138,数出表_Excel!$A$6:$T$150,COLUMN()/2+1,FALSE))),"")</f>
        <v/>
      </c>
      <c r="G138" s="66"/>
      <c r="H138" s="185" t="str">
        <f ca="1">IFERROR(VALUE(IF(VLOOKUP($A138,数出表_Excel!$A$6:$T$150,COLUMN()/2+1,FALSE)=0,"",VLOOKUP($A138,数出表_Excel!$A$6:$T$150,COLUMN()/2+1,FALSE))),"")</f>
        <v/>
      </c>
      <c r="I138" s="82"/>
      <c r="J138" s="196" t="str">
        <f ca="1">IFERROR(VALUE(IF(VLOOKUP($A138,数出表_Excel!$A$6:$T$150,COLUMN()/2+1,FALSE)=0,"",VLOOKUP($A138,数出表_Excel!$A$6:$T$150,COLUMN()/2+1,FALSE))),"")</f>
        <v/>
      </c>
      <c r="K138" s="66"/>
      <c r="L138" s="185" t="str">
        <f ca="1">IFERROR(VALUE(IF(VLOOKUP($A138,数出表_Excel!$A$6:$T$150,COLUMN()/2+1,FALSE)=0,"",VLOOKUP($A138,数出表_Excel!$A$6:$T$150,COLUMN()/2+1,FALSE))),"")</f>
        <v/>
      </c>
      <c r="M138" s="82"/>
      <c r="N138" s="196" t="str">
        <f ca="1">IFERROR(VALUE(IF(VLOOKUP($A138,数出表_Excel!$A$6:$T$150,COLUMN()/2+1,FALSE)=0,"",VLOOKUP($A138,数出表_Excel!$A$6:$T$150,COLUMN()/2+1,FALSE))),"")</f>
        <v/>
      </c>
      <c r="O138" s="66"/>
      <c r="P138" s="185" t="str">
        <f ca="1">IFERROR(VALUE(IF(VLOOKUP($A138,数出表_Excel!$A$6:$T$150,COLUMN()/2+1,FALSE)=0,"",VLOOKUP($A138,数出表_Excel!$A$6:$T$150,COLUMN()/2+1,FALSE))),"")</f>
        <v/>
      </c>
      <c r="Q138" s="82"/>
      <c r="R138" s="196" t="str">
        <f ca="1">IFERROR(VALUE(IF(VLOOKUP($A138,数出表_Excel!$A$6:$T$150,COLUMN()/2+1,FALSE)=0,"",VLOOKUP($A138,数出表_Excel!$A$6:$T$150,COLUMN()/2+1,FALSE))),"")</f>
        <v/>
      </c>
      <c r="S138" s="66"/>
      <c r="T138" s="185" t="str">
        <f ca="1">IFERROR(VALUE(IF(VLOOKUP($A138,数出表_Excel!$A$6:$T$150,COLUMN()/2+1,FALSE)=0,"",VLOOKUP($A138,数出表_Excel!$A$6:$T$150,COLUMN()/2+1,FALSE))),"")</f>
        <v/>
      </c>
      <c r="U138" s="82"/>
      <c r="V138" s="196" t="str">
        <f ca="1">IFERROR(VALUE(IF(VLOOKUP($A138,数出表_Excel!$A$6:$T$150,COLUMN()/2+1,FALSE)=0,"",VLOOKUP($A138,数出表_Excel!$A$6:$T$150,COLUMN()/2+1,FALSE))),"")</f>
        <v/>
      </c>
      <c r="W138" s="66"/>
      <c r="X138" s="185" t="str">
        <f ca="1">IFERROR(VALUE(IF(VLOOKUP($A138,数出表_Excel!$A$6:$T$150,COLUMN()/2+1,FALSE)=0,"",VLOOKUP($A138,数出表_Excel!$A$6:$T$150,COLUMN()/2+1,FALSE))),"")</f>
        <v/>
      </c>
      <c r="Y138" s="82"/>
      <c r="Z138" s="196" t="str">
        <f ca="1">IFERROR(VALUE(IF(VLOOKUP($A138,数出表_Excel!$A$6:$T$150,COLUMN()/2+1,FALSE)=0,"",VLOOKUP($A138,数出表_Excel!$A$6:$T$150,COLUMN()/2+1,FALSE))),"")</f>
        <v/>
      </c>
      <c r="AA138" s="82"/>
      <c r="AB138" s="185" t="str">
        <f ca="1">IFERROR(VALUE(IF(VLOOKUP($A138,数出表_Excel!$A$6:$T$150,COLUMN()/2+1,FALSE)=0,"",VLOOKUP($A138,数出表_Excel!$A$6:$T$150,COLUMN()/2+1,FALSE))),"")</f>
        <v/>
      </c>
      <c r="AC138" s="82"/>
      <c r="AD138" s="185" t="str">
        <f ca="1">IFERROR(VALUE(IF(VLOOKUP($A138,数出表_Excel!$A$6:$T$150,COLUMN()/2+1,FALSE)=0,"",VLOOKUP($A138,数出表_Excel!$A$6:$T$150,COLUMN()/2+1,FALSE))),"")</f>
        <v/>
      </c>
      <c r="AE138" s="82"/>
      <c r="AF138" s="185" t="str">
        <f ca="1">IFERROR(VALUE(IF(VLOOKUP($A138,数出表_Excel!$A$6:$T$150,COLUMN()/2+1,FALSE)=0,"",VLOOKUP($A138,数出表_Excel!$A$6:$T$150,COLUMN()/2+1,FALSE))),"")</f>
        <v/>
      </c>
      <c r="AG138" s="82"/>
      <c r="AH138" s="185" t="str">
        <f ca="1">IFERROR(VALUE(IF(VLOOKUP($A138,数出表_Excel!$A$6:$T$150,COLUMN()/2+1,FALSE)=0,"",VLOOKUP($A138,数出表_Excel!$A$6:$T$150,COLUMN()/2+1,FALSE))),"")</f>
        <v/>
      </c>
      <c r="AI138" s="82"/>
      <c r="AJ138" s="185" t="str">
        <f ca="1">IFERROR(VALUE(IF(VLOOKUP($A138,数出表_Excel!$A$6:$T$150,COLUMN()/2+1,FALSE)=0,"",VLOOKUP($A138,数出表_Excel!$A$6:$T$150,COLUMN()/2+1,FALSE))),"")</f>
        <v/>
      </c>
      <c r="AK138" s="82"/>
      <c r="AL138" s="68" t="e">
        <f ca="1">IF(A138&lt;&gt;"",
IF(VLOOKUP($A138,数出表_Excel!$A$6:$T$150,COLUMN()/2+1,FALSE)=0,"",VLOOKUP($A138,数出表_Excel!$A$6:$T$150,COLUMN()/2+1,FALSE)),"")</f>
        <v>#N/A</v>
      </c>
      <c r="AM138" s="96" t="e">
        <f>数出表_Excel!V138</f>
        <v>#N/A</v>
      </c>
      <c r="AN138" s="97" t="e">
        <f>数出表_Excel!W138</f>
        <v>#N/A</v>
      </c>
    </row>
    <row r="139" spans="1:40" ht="16.2" customHeight="1">
      <c r="A139" s="89" t="e">
        <f t="array" aca="1" ref="A139" ca="1">IF(OR(COUNTIF(A137,"*1000*"),COUNTIF(A137,"")),"",INDEX(貼り付け用!$A1:$A200,MATCH(A137,貼り付け用!$A1:$A200,0)+2,0))</f>
        <v>#N/A</v>
      </c>
      <c r="B139" s="186" t="str">
        <f ca="1">IFERROR(VALUE(IF(VLOOKUP($A139,数出表_Excel!$A$6:$T$150,COLUMN()/2+1,FALSE)=0,"",VLOOKUP($A139,数出表_Excel!$A$6:$T$150,COLUMN()/2+1,FALSE))),"")</f>
        <v/>
      </c>
      <c r="C139" s="67"/>
      <c r="D139" s="186" t="str">
        <f ca="1">IFERROR(VALUE(IF(VLOOKUP($A139,数出表_Excel!$A$6:$T$150,COLUMN()/2+1,FALSE)=0,"",VLOOKUP($A139,数出表_Excel!$A$6:$T$150,COLUMN()/2+1,FALSE))),"")</f>
        <v/>
      </c>
      <c r="E139" s="83"/>
      <c r="F139" s="197" t="str">
        <f ca="1">IFERROR(VALUE(IF(VLOOKUP($A139,数出表_Excel!$A$6:$T$150,COLUMN()/2+1,FALSE)=0,"",VLOOKUP($A139,数出表_Excel!$A$6:$T$150,COLUMN()/2+1,FALSE))),"")</f>
        <v/>
      </c>
      <c r="G139" s="67"/>
      <c r="H139" s="186" t="str">
        <f ca="1">IFERROR(VALUE(IF(VLOOKUP($A139,数出表_Excel!$A$6:$T$150,COLUMN()/2+1,FALSE)=0,"",VLOOKUP($A139,数出表_Excel!$A$6:$T$150,COLUMN()/2+1,FALSE))),"")</f>
        <v/>
      </c>
      <c r="I139" s="83"/>
      <c r="J139" s="197" t="str">
        <f ca="1">IFERROR(VALUE(IF(VLOOKUP($A139,数出表_Excel!$A$6:$T$150,COLUMN()/2+1,FALSE)=0,"",VLOOKUP($A139,数出表_Excel!$A$6:$T$150,COLUMN()/2+1,FALSE))),"")</f>
        <v/>
      </c>
      <c r="K139" s="67"/>
      <c r="L139" s="186" t="str">
        <f ca="1">IFERROR(VALUE(IF(VLOOKUP($A139,数出表_Excel!$A$6:$T$150,COLUMN()/2+1,FALSE)=0,"",VLOOKUP($A139,数出表_Excel!$A$6:$T$150,COLUMN()/2+1,FALSE))),"")</f>
        <v/>
      </c>
      <c r="M139" s="83"/>
      <c r="N139" s="197" t="str">
        <f ca="1">IFERROR(VALUE(IF(VLOOKUP($A139,数出表_Excel!$A$6:$T$150,COLUMN()/2+1,FALSE)=0,"",VLOOKUP($A139,数出表_Excel!$A$6:$T$150,COLUMN()/2+1,FALSE))),"")</f>
        <v/>
      </c>
      <c r="O139" s="67"/>
      <c r="P139" s="186" t="str">
        <f ca="1">IFERROR(VALUE(IF(VLOOKUP($A139,数出表_Excel!$A$6:$T$150,COLUMN()/2+1,FALSE)=0,"",VLOOKUP($A139,数出表_Excel!$A$6:$T$150,COLUMN()/2+1,FALSE))),"")</f>
        <v/>
      </c>
      <c r="Q139" s="83"/>
      <c r="R139" s="197" t="str">
        <f ca="1">IFERROR(VALUE(IF(VLOOKUP($A139,数出表_Excel!$A$6:$T$150,COLUMN()/2+1,FALSE)=0,"",VLOOKUP($A139,数出表_Excel!$A$6:$T$150,COLUMN()/2+1,FALSE))),"")</f>
        <v/>
      </c>
      <c r="S139" s="67"/>
      <c r="T139" s="186" t="str">
        <f ca="1">IFERROR(VALUE(IF(VLOOKUP($A139,数出表_Excel!$A$6:$T$150,COLUMN()/2+1,FALSE)=0,"",VLOOKUP($A139,数出表_Excel!$A$6:$T$150,COLUMN()/2+1,FALSE))),"")</f>
        <v/>
      </c>
      <c r="U139" s="83"/>
      <c r="V139" s="197" t="str">
        <f ca="1">IFERROR(VALUE(IF(VLOOKUP($A139,数出表_Excel!$A$6:$T$150,COLUMN()/2+1,FALSE)=0,"",VLOOKUP($A139,数出表_Excel!$A$6:$T$150,COLUMN()/2+1,FALSE))),"")</f>
        <v/>
      </c>
      <c r="W139" s="67"/>
      <c r="X139" s="186" t="str">
        <f ca="1">IFERROR(VALUE(IF(VLOOKUP($A139,数出表_Excel!$A$6:$T$150,COLUMN()/2+1,FALSE)=0,"",VLOOKUP($A139,数出表_Excel!$A$6:$T$150,COLUMN()/2+1,FALSE))),"")</f>
        <v/>
      </c>
      <c r="Y139" s="83"/>
      <c r="Z139" s="197" t="str">
        <f ca="1">IFERROR(VALUE(IF(VLOOKUP($A139,数出表_Excel!$A$6:$T$150,COLUMN()/2+1,FALSE)=0,"",VLOOKUP($A139,数出表_Excel!$A$6:$T$150,COLUMN()/2+1,FALSE))),"")</f>
        <v/>
      </c>
      <c r="AA139" s="83"/>
      <c r="AB139" s="186" t="str">
        <f ca="1">IFERROR(VALUE(IF(VLOOKUP($A139,数出表_Excel!$A$6:$T$150,COLUMN()/2+1,FALSE)=0,"",VLOOKUP($A139,数出表_Excel!$A$6:$T$150,COLUMN()/2+1,FALSE))),"")</f>
        <v/>
      </c>
      <c r="AC139" s="83"/>
      <c r="AD139" s="186" t="str">
        <f ca="1">IFERROR(VALUE(IF(VLOOKUP($A139,数出表_Excel!$A$6:$T$150,COLUMN()/2+1,FALSE)=0,"",VLOOKUP($A139,数出表_Excel!$A$6:$T$150,COLUMN()/2+1,FALSE))),"")</f>
        <v/>
      </c>
      <c r="AE139" s="83"/>
      <c r="AF139" s="186" t="str">
        <f ca="1">IFERROR(VALUE(IF(VLOOKUP($A139,数出表_Excel!$A$6:$T$150,COLUMN()/2+1,FALSE)=0,"",VLOOKUP($A139,数出表_Excel!$A$6:$T$150,COLUMN()/2+1,FALSE))),"")</f>
        <v/>
      </c>
      <c r="AG139" s="83"/>
      <c r="AH139" s="186" t="str">
        <f ca="1">IFERROR(VALUE(IF(VLOOKUP($A139,数出表_Excel!$A$6:$T$150,COLUMN()/2+1,FALSE)=0,"",VLOOKUP($A139,数出表_Excel!$A$6:$T$150,COLUMN()/2+1,FALSE))),"")</f>
        <v/>
      </c>
      <c r="AI139" s="83"/>
      <c r="AJ139" s="186" t="str">
        <f ca="1">IFERROR(VALUE(IF(VLOOKUP($A139,数出表_Excel!$A$6:$T$150,COLUMN()/2+1,FALSE)=0,"",VLOOKUP($A139,数出表_Excel!$A$6:$T$150,COLUMN()/2+1,FALSE))),"")</f>
        <v/>
      </c>
      <c r="AK139" s="83"/>
      <c r="AL139" s="70" t="e">
        <f ca="1">IF(A139&lt;&gt;"",
IF(VLOOKUP($A139,数出表_Excel!$A$6:$T$150,COLUMN()/2+1,FALSE)=0,"",VLOOKUP($A139,数出表_Excel!$A$6:$T$150,COLUMN()/2+1,FALSE)),"")</f>
        <v>#N/A</v>
      </c>
      <c r="AM139" s="98" t="e">
        <f>数出表_Excel!V139</f>
        <v>#N/A</v>
      </c>
      <c r="AN139" s="99" t="e">
        <f>数出表_Excel!W139</f>
        <v>#N/A</v>
      </c>
    </row>
    <row r="140" spans="1:40" ht="16.2" customHeight="1">
      <c r="A140" s="88" t="e">
        <f t="array" aca="1" ref="A140" ca="1">IF(OR(COUNTIF(A138,"*10002*"),COUNTIF(A138,"")),"",INDEX(貼り付け用!$A1:$A200,MATCH(A138,貼り付け用!$A1:$A200,0)+2,0))</f>
        <v>#N/A</v>
      </c>
      <c r="B140" s="185" t="str">
        <f ca="1">IFERROR(VALUE(IF(VLOOKUP($A140,数出表_Excel!$A$6:$T$150,COLUMN()/2+1,FALSE)=0,"",VLOOKUP($A140,数出表_Excel!$A$6:$T$150,COLUMN()/2+1,FALSE))),"")</f>
        <v/>
      </c>
      <c r="C140" s="66"/>
      <c r="D140" s="185" t="str">
        <f ca="1">IFERROR(VALUE(IF(VLOOKUP($A140,数出表_Excel!$A$6:$T$150,COLUMN()/2+1,FALSE)=0,"",VLOOKUP($A140,数出表_Excel!$A$6:$T$150,COLUMN()/2+1,FALSE))),"")</f>
        <v/>
      </c>
      <c r="E140" s="82"/>
      <c r="F140" s="196" t="str">
        <f ca="1">IFERROR(VALUE(IF(VLOOKUP($A140,数出表_Excel!$A$6:$T$150,COLUMN()/2+1,FALSE)=0,"",VLOOKUP($A140,数出表_Excel!$A$6:$T$150,COLUMN()/2+1,FALSE))),"")</f>
        <v/>
      </c>
      <c r="G140" s="66"/>
      <c r="H140" s="185" t="str">
        <f ca="1">IFERROR(VALUE(IF(VLOOKUP($A140,数出表_Excel!$A$6:$T$150,COLUMN()/2+1,FALSE)=0,"",VLOOKUP($A140,数出表_Excel!$A$6:$T$150,COLUMN()/2+1,FALSE))),"")</f>
        <v/>
      </c>
      <c r="I140" s="82"/>
      <c r="J140" s="196" t="str">
        <f ca="1">IFERROR(VALUE(IF(VLOOKUP($A140,数出表_Excel!$A$6:$T$150,COLUMN()/2+1,FALSE)=0,"",VLOOKUP($A140,数出表_Excel!$A$6:$T$150,COLUMN()/2+1,FALSE))),"")</f>
        <v/>
      </c>
      <c r="K140" s="66"/>
      <c r="L140" s="185" t="str">
        <f ca="1">IFERROR(VALUE(IF(VLOOKUP($A140,数出表_Excel!$A$6:$T$150,COLUMN()/2+1,FALSE)=0,"",VLOOKUP($A140,数出表_Excel!$A$6:$T$150,COLUMN()/2+1,FALSE))),"")</f>
        <v/>
      </c>
      <c r="M140" s="82"/>
      <c r="N140" s="196" t="str">
        <f ca="1">IFERROR(VALUE(IF(VLOOKUP($A140,数出表_Excel!$A$6:$T$150,COLUMN()/2+1,FALSE)=0,"",VLOOKUP($A140,数出表_Excel!$A$6:$T$150,COLUMN()/2+1,FALSE))),"")</f>
        <v/>
      </c>
      <c r="O140" s="66"/>
      <c r="P140" s="185" t="str">
        <f ca="1">IFERROR(VALUE(IF(VLOOKUP($A140,数出表_Excel!$A$6:$T$150,COLUMN()/2+1,FALSE)=0,"",VLOOKUP($A140,数出表_Excel!$A$6:$T$150,COLUMN()/2+1,FALSE))),"")</f>
        <v/>
      </c>
      <c r="Q140" s="82"/>
      <c r="R140" s="196" t="str">
        <f ca="1">IFERROR(VALUE(IF(VLOOKUP($A140,数出表_Excel!$A$6:$T$150,COLUMN()/2+1,FALSE)=0,"",VLOOKUP($A140,数出表_Excel!$A$6:$T$150,COLUMN()/2+1,FALSE))),"")</f>
        <v/>
      </c>
      <c r="S140" s="66"/>
      <c r="T140" s="185" t="str">
        <f ca="1">IFERROR(VALUE(IF(VLOOKUP($A140,数出表_Excel!$A$6:$T$150,COLUMN()/2+1,FALSE)=0,"",VLOOKUP($A140,数出表_Excel!$A$6:$T$150,COLUMN()/2+1,FALSE))),"")</f>
        <v/>
      </c>
      <c r="U140" s="82"/>
      <c r="V140" s="196" t="str">
        <f ca="1">IFERROR(VALUE(IF(VLOOKUP($A140,数出表_Excel!$A$6:$T$150,COLUMN()/2+1,FALSE)=0,"",VLOOKUP($A140,数出表_Excel!$A$6:$T$150,COLUMN()/2+1,FALSE))),"")</f>
        <v/>
      </c>
      <c r="W140" s="66"/>
      <c r="X140" s="185" t="str">
        <f ca="1">IFERROR(VALUE(IF(VLOOKUP($A140,数出表_Excel!$A$6:$T$150,COLUMN()/2+1,FALSE)=0,"",VLOOKUP($A140,数出表_Excel!$A$6:$T$150,COLUMN()/2+1,FALSE))),"")</f>
        <v/>
      </c>
      <c r="Y140" s="82"/>
      <c r="Z140" s="196" t="str">
        <f ca="1">IFERROR(VALUE(IF(VLOOKUP($A140,数出表_Excel!$A$6:$T$150,COLUMN()/2+1,FALSE)=0,"",VLOOKUP($A140,数出表_Excel!$A$6:$T$150,COLUMN()/2+1,FALSE))),"")</f>
        <v/>
      </c>
      <c r="AA140" s="82"/>
      <c r="AB140" s="185" t="str">
        <f ca="1">IFERROR(VALUE(IF(VLOOKUP($A140,数出表_Excel!$A$6:$T$150,COLUMN()/2+1,FALSE)=0,"",VLOOKUP($A140,数出表_Excel!$A$6:$T$150,COLUMN()/2+1,FALSE))),"")</f>
        <v/>
      </c>
      <c r="AC140" s="82"/>
      <c r="AD140" s="185" t="str">
        <f ca="1">IFERROR(VALUE(IF(VLOOKUP($A140,数出表_Excel!$A$6:$T$150,COLUMN()/2+1,FALSE)=0,"",VLOOKUP($A140,数出表_Excel!$A$6:$T$150,COLUMN()/2+1,FALSE))),"")</f>
        <v/>
      </c>
      <c r="AE140" s="82"/>
      <c r="AF140" s="185" t="str">
        <f ca="1">IFERROR(VALUE(IF(VLOOKUP($A140,数出表_Excel!$A$6:$T$150,COLUMN()/2+1,FALSE)=0,"",VLOOKUP($A140,数出表_Excel!$A$6:$T$150,COLUMN()/2+1,FALSE))),"")</f>
        <v/>
      </c>
      <c r="AG140" s="82"/>
      <c r="AH140" s="185" t="str">
        <f ca="1">IFERROR(VALUE(IF(VLOOKUP($A140,数出表_Excel!$A$6:$T$150,COLUMN()/2+1,FALSE)=0,"",VLOOKUP($A140,数出表_Excel!$A$6:$T$150,COLUMN()/2+1,FALSE))),"")</f>
        <v/>
      </c>
      <c r="AI140" s="82"/>
      <c r="AJ140" s="185" t="str">
        <f ca="1">IFERROR(VALUE(IF(VLOOKUP($A140,数出表_Excel!$A$6:$T$150,COLUMN()/2+1,FALSE)=0,"",VLOOKUP($A140,数出表_Excel!$A$6:$T$150,COLUMN()/2+1,FALSE))),"")</f>
        <v/>
      </c>
      <c r="AK140" s="82"/>
      <c r="AL140" s="68" t="e">
        <f ca="1">IF(A140&lt;&gt;"",
IF(VLOOKUP($A140,数出表_Excel!$A$6:$T$150,COLUMN()/2+1,FALSE)=0,"",VLOOKUP($A140,数出表_Excel!$A$6:$T$150,COLUMN()/2+1,FALSE)),"")</f>
        <v>#N/A</v>
      </c>
      <c r="AM140" s="96" t="e">
        <f>数出表_Excel!V140</f>
        <v>#N/A</v>
      </c>
      <c r="AN140" s="97" t="e">
        <f>数出表_Excel!W140</f>
        <v>#N/A</v>
      </c>
    </row>
    <row r="141" spans="1:40" ht="16.2" customHeight="1">
      <c r="A141" s="89" t="e">
        <f t="array" aca="1" ref="A141" ca="1">IF(OR(COUNTIF(A139,"*1000*"),COUNTIF(A139,"")),"",INDEX(貼り付け用!$A1:$A200,MATCH(A139,貼り付け用!$A1:$A200,0)+2,0))</f>
        <v>#N/A</v>
      </c>
      <c r="B141" s="186" t="str">
        <f ca="1">IFERROR(VALUE(IF(VLOOKUP($A141,数出表_Excel!$A$6:$T$150,COLUMN()/2+1,FALSE)=0,"",VLOOKUP($A141,数出表_Excel!$A$6:$T$150,COLUMN()/2+1,FALSE))),"")</f>
        <v/>
      </c>
      <c r="C141" s="67"/>
      <c r="D141" s="186" t="str">
        <f ca="1">IFERROR(VALUE(IF(VLOOKUP($A141,数出表_Excel!$A$6:$T$150,COLUMN()/2+1,FALSE)=0,"",VLOOKUP($A141,数出表_Excel!$A$6:$T$150,COLUMN()/2+1,FALSE))),"")</f>
        <v/>
      </c>
      <c r="E141" s="83"/>
      <c r="F141" s="197" t="str">
        <f ca="1">IFERROR(VALUE(IF(VLOOKUP($A141,数出表_Excel!$A$6:$T$150,COLUMN()/2+1,FALSE)=0,"",VLOOKUP($A141,数出表_Excel!$A$6:$T$150,COLUMN()/2+1,FALSE))),"")</f>
        <v/>
      </c>
      <c r="G141" s="67"/>
      <c r="H141" s="186" t="str">
        <f ca="1">IFERROR(VALUE(IF(VLOOKUP($A141,数出表_Excel!$A$6:$T$150,COLUMN()/2+1,FALSE)=0,"",VLOOKUP($A141,数出表_Excel!$A$6:$T$150,COLUMN()/2+1,FALSE))),"")</f>
        <v/>
      </c>
      <c r="I141" s="83"/>
      <c r="J141" s="197" t="str">
        <f ca="1">IFERROR(VALUE(IF(VLOOKUP($A141,数出表_Excel!$A$6:$T$150,COLUMN()/2+1,FALSE)=0,"",VLOOKUP($A141,数出表_Excel!$A$6:$T$150,COLUMN()/2+1,FALSE))),"")</f>
        <v/>
      </c>
      <c r="K141" s="67"/>
      <c r="L141" s="186" t="str">
        <f ca="1">IFERROR(VALUE(IF(VLOOKUP($A141,数出表_Excel!$A$6:$T$150,COLUMN()/2+1,FALSE)=0,"",VLOOKUP($A141,数出表_Excel!$A$6:$T$150,COLUMN()/2+1,FALSE))),"")</f>
        <v/>
      </c>
      <c r="M141" s="83"/>
      <c r="N141" s="197" t="str">
        <f ca="1">IFERROR(VALUE(IF(VLOOKUP($A141,数出表_Excel!$A$6:$T$150,COLUMN()/2+1,FALSE)=0,"",VLOOKUP($A141,数出表_Excel!$A$6:$T$150,COLUMN()/2+1,FALSE))),"")</f>
        <v/>
      </c>
      <c r="O141" s="67"/>
      <c r="P141" s="186" t="str">
        <f ca="1">IFERROR(VALUE(IF(VLOOKUP($A141,数出表_Excel!$A$6:$T$150,COLUMN()/2+1,FALSE)=0,"",VLOOKUP($A141,数出表_Excel!$A$6:$T$150,COLUMN()/2+1,FALSE))),"")</f>
        <v/>
      </c>
      <c r="Q141" s="83"/>
      <c r="R141" s="197" t="str">
        <f ca="1">IFERROR(VALUE(IF(VLOOKUP($A141,数出表_Excel!$A$6:$T$150,COLUMN()/2+1,FALSE)=0,"",VLOOKUP($A141,数出表_Excel!$A$6:$T$150,COLUMN()/2+1,FALSE))),"")</f>
        <v/>
      </c>
      <c r="S141" s="67"/>
      <c r="T141" s="186" t="str">
        <f ca="1">IFERROR(VALUE(IF(VLOOKUP($A141,数出表_Excel!$A$6:$T$150,COLUMN()/2+1,FALSE)=0,"",VLOOKUP($A141,数出表_Excel!$A$6:$T$150,COLUMN()/2+1,FALSE))),"")</f>
        <v/>
      </c>
      <c r="U141" s="83"/>
      <c r="V141" s="197" t="str">
        <f ca="1">IFERROR(VALUE(IF(VLOOKUP($A141,数出表_Excel!$A$6:$T$150,COLUMN()/2+1,FALSE)=0,"",VLOOKUP($A141,数出表_Excel!$A$6:$T$150,COLUMN()/2+1,FALSE))),"")</f>
        <v/>
      </c>
      <c r="W141" s="67"/>
      <c r="X141" s="186" t="str">
        <f ca="1">IFERROR(VALUE(IF(VLOOKUP($A141,数出表_Excel!$A$6:$T$150,COLUMN()/2+1,FALSE)=0,"",VLOOKUP($A141,数出表_Excel!$A$6:$T$150,COLUMN()/2+1,FALSE))),"")</f>
        <v/>
      </c>
      <c r="Y141" s="83"/>
      <c r="Z141" s="197" t="str">
        <f ca="1">IFERROR(VALUE(IF(VLOOKUP($A141,数出表_Excel!$A$6:$T$150,COLUMN()/2+1,FALSE)=0,"",VLOOKUP($A141,数出表_Excel!$A$6:$T$150,COLUMN()/2+1,FALSE))),"")</f>
        <v/>
      </c>
      <c r="AA141" s="83"/>
      <c r="AB141" s="186" t="str">
        <f ca="1">IFERROR(VALUE(IF(VLOOKUP($A141,数出表_Excel!$A$6:$T$150,COLUMN()/2+1,FALSE)=0,"",VLOOKUP($A141,数出表_Excel!$A$6:$T$150,COLUMN()/2+1,FALSE))),"")</f>
        <v/>
      </c>
      <c r="AC141" s="83"/>
      <c r="AD141" s="186" t="str">
        <f ca="1">IFERROR(VALUE(IF(VLOOKUP($A141,数出表_Excel!$A$6:$T$150,COLUMN()/2+1,FALSE)=0,"",VLOOKUP($A141,数出表_Excel!$A$6:$T$150,COLUMN()/2+1,FALSE))),"")</f>
        <v/>
      </c>
      <c r="AE141" s="83"/>
      <c r="AF141" s="186" t="str">
        <f ca="1">IFERROR(VALUE(IF(VLOOKUP($A141,数出表_Excel!$A$6:$T$150,COLUMN()/2+1,FALSE)=0,"",VLOOKUP($A141,数出表_Excel!$A$6:$T$150,COLUMN()/2+1,FALSE))),"")</f>
        <v/>
      </c>
      <c r="AG141" s="83"/>
      <c r="AH141" s="186" t="str">
        <f ca="1">IFERROR(VALUE(IF(VLOOKUP($A141,数出表_Excel!$A$6:$T$150,COLUMN()/2+1,FALSE)=0,"",VLOOKUP($A141,数出表_Excel!$A$6:$T$150,COLUMN()/2+1,FALSE))),"")</f>
        <v/>
      </c>
      <c r="AI141" s="83"/>
      <c r="AJ141" s="186" t="str">
        <f ca="1">IFERROR(VALUE(IF(VLOOKUP($A141,数出表_Excel!$A$6:$T$150,COLUMN()/2+1,FALSE)=0,"",VLOOKUP($A141,数出表_Excel!$A$6:$T$150,COLUMN()/2+1,FALSE))),"")</f>
        <v/>
      </c>
      <c r="AK141" s="83"/>
      <c r="AL141" s="70" t="e">
        <f ca="1">IF(A141&lt;&gt;"",
IF(VLOOKUP($A141,数出表_Excel!$A$6:$T$150,COLUMN()/2+1,FALSE)=0,"",VLOOKUP($A141,数出表_Excel!$A$6:$T$150,COLUMN()/2+1,FALSE)),"")</f>
        <v>#N/A</v>
      </c>
      <c r="AM141" s="98" t="e">
        <f>数出表_Excel!V141</f>
        <v>#N/A</v>
      </c>
      <c r="AN141" s="99" t="e">
        <f>数出表_Excel!W141</f>
        <v>#N/A</v>
      </c>
    </row>
    <row r="142" spans="1:40" ht="16.2" customHeight="1">
      <c r="A142" s="88" t="e">
        <f t="array" aca="1" ref="A142" ca="1">IF(OR(COUNTIF(A140,"*10002*"),COUNTIF(A140,"")),"",INDEX(貼り付け用!$A1:$A200,MATCH(A140,貼り付け用!$A1:$A200,0)+2,0))</f>
        <v>#N/A</v>
      </c>
      <c r="B142" s="185" t="str">
        <f ca="1">IFERROR(VALUE(IF(VLOOKUP($A142,数出表_Excel!$A$6:$T$150,COLUMN()/2+1,FALSE)=0,"",VLOOKUP($A142,数出表_Excel!$A$6:$T$150,COLUMN()/2+1,FALSE))),"")</f>
        <v/>
      </c>
      <c r="C142" s="66"/>
      <c r="D142" s="185" t="str">
        <f ca="1">IFERROR(VALUE(IF(VLOOKUP($A142,数出表_Excel!$A$6:$T$150,COLUMN()/2+1,FALSE)=0,"",VLOOKUP($A142,数出表_Excel!$A$6:$T$150,COLUMN()/2+1,FALSE))),"")</f>
        <v/>
      </c>
      <c r="E142" s="82"/>
      <c r="F142" s="196" t="str">
        <f ca="1">IFERROR(VALUE(IF(VLOOKUP($A142,数出表_Excel!$A$6:$T$150,COLUMN()/2+1,FALSE)=0,"",VLOOKUP($A142,数出表_Excel!$A$6:$T$150,COLUMN()/2+1,FALSE))),"")</f>
        <v/>
      </c>
      <c r="G142" s="66"/>
      <c r="H142" s="185" t="str">
        <f ca="1">IFERROR(VALUE(IF(VLOOKUP($A142,数出表_Excel!$A$6:$T$150,COLUMN()/2+1,FALSE)=0,"",VLOOKUP($A142,数出表_Excel!$A$6:$T$150,COLUMN()/2+1,FALSE))),"")</f>
        <v/>
      </c>
      <c r="I142" s="82"/>
      <c r="J142" s="196" t="str">
        <f ca="1">IFERROR(VALUE(IF(VLOOKUP($A142,数出表_Excel!$A$6:$T$150,COLUMN()/2+1,FALSE)=0,"",VLOOKUP($A142,数出表_Excel!$A$6:$T$150,COLUMN()/2+1,FALSE))),"")</f>
        <v/>
      </c>
      <c r="K142" s="66"/>
      <c r="L142" s="185" t="str">
        <f ca="1">IFERROR(VALUE(IF(VLOOKUP($A142,数出表_Excel!$A$6:$T$150,COLUMN()/2+1,FALSE)=0,"",VLOOKUP($A142,数出表_Excel!$A$6:$T$150,COLUMN()/2+1,FALSE))),"")</f>
        <v/>
      </c>
      <c r="M142" s="82"/>
      <c r="N142" s="196" t="str">
        <f ca="1">IFERROR(VALUE(IF(VLOOKUP($A142,数出表_Excel!$A$6:$T$150,COLUMN()/2+1,FALSE)=0,"",VLOOKUP($A142,数出表_Excel!$A$6:$T$150,COLUMN()/2+1,FALSE))),"")</f>
        <v/>
      </c>
      <c r="O142" s="66"/>
      <c r="P142" s="185" t="str">
        <f ca="1">IFERROR(VALUE(IF(VLOOKUP($A142,数出表_Excel!$A$6:$T$150,COLUMN()/2+1,FALSE)=0,"",VLOOKUP($A142,数出表_Excel!$A$6:$T$150,COLUMN()/2+1,FALSE))),"")</f>
        <v/>
      </c>
      <c r="Q142" s="82"/>
      <c r="R142" s="196" t="str">
        <f ca="1">IFERROR(VALUE(IF(VLOOKUP($A142,数出表_Excel!$A$6:$T$150,COLUMN()/2+1,FALSE)=0,"",VLOOKUP($A142,数出表_Excel!$A$6:$T$150,COLUMN()/2+1,FALSE))),"")</f>
        <v/>
      </c>
      <c r="S142" s="66"/>
      <c r="T142" s="185" t="str">
        <f ca="1">IFERROR(VALUE(IF(VLOOKUP($A142,数出表_Excel!$A$6:$T$150,COLUMN()/2+1,FALSE)=0,"",VLOOKUP($A142,数出表_Excel!$A$6:$T$150,COLUMN()/2+1,FALSE))),"")</f>
        <v/>
      </c>
      <c r="U142" s="82"/>
      <c r="V142" s="196" t="str">
        <f ca="1">IFERROR(VALUE(IF(VLOOKUP($A142,数出表_Excel!$A$6:$T$150,COLUMN()/2+1,FALSE)=0,"",VLOOKUP($A142,数出表_Excel!$A$6:$T$150,COLUMN()/2+1,FALSE))),"")</f>
        <v/>
      </c>
      <c r="W142" s="66"/>
      <c r="X142" s="185" t="str">
        <f ca="1">IFERROR(VALUE(IF(VLOOKUP($A142,数出表_Excel!$A$6:$T$150,COLUMN()/2+1,FALSE)=0,"",VLOOKUP($A142,数出表_Excel!$A$6:$T$150,COLUMN()/2+1,FALSE))),"")</f>
        <v/>
      </c>
      <c r="Y142" s="82"/>
      <c r="Z142" s="196" t="str">
        <f ca="1">IFERROR(VALUE(IF(VLOOKUP($A142,数出表_Excel!$A$6:$T$150,COLUMN()/2+1,FALSE)=0,"",VLOOKUP($A142,数出表_Excel!$A$6:$T$150,COLUMN()/2+1,FALSE))),"")</f>
        <v/>
      </c>
      <c r="AA142" s="82"/>
      <c r="AB142" s="185" t="str">
        <f ca="1">IFERROR(VALUE(IF(VLOOKUP($A142,数出表_Excel!$A$6:$T$150,COLUMN()/2+1,FALSE)=0,"",VLOOKUP($A142,数出表_Excel!$A$6:$T$150,COLUMN()/2+1,FALSE))),"")</f>
        <v/>
      </c>
      <c r="AC142" s="82"/>
      <c r="AD142" s="185" t="str">
        <f ca="1">IFERROR(VALUE(IF(VLOOKUP($A142,数出表_Excel!$A$6:$T$150,COLUMN()/2+1,FALSE)=0,"",VLOOKUP($A142,数出表_Excel!$A$6:$T$150,COLUMN()/2+1,FALSE))),"")</f>
        <v/>
      </c>
      <c r="AE142" s="82"/>
      <c r="AF142" s="185" t="str">
        <f ca="1">IFERROR(VALUE(IF(VLOOKUP($A142,数出表_Excel!$A$6:$T$150,COLUMN()/2+1,FALSE)=0,"",VLOOKUP($A142,数出表_Excel!$A$6:$T$150,COLUMN()/2+1,FALSE))),"")</f>
        <v/>
      </c>
      <c r="AG142" s="82"/>
      <c r="AH142" s="185" t="str">
        <f ca="1">IFERROR(VALUE(IF(VLOOKUP($A142,数出表_Excel!$A$6:$T$150,COLUMN()/2+1,FALSE)=0,"",VLOOKUP($A142,数出表_Excel!$A$6:$T$150,COLUMN()/2+1,FALSE))),"")</f>
        <v/>
      </c>
      <c r="AI142" s="82"/>
      <c r="AJ142" s="185" t="str">
        <f ca="1">IFERROR(VALUE(IF(VLOOKUP($A142,数出表_Excel!$A$6:$T$150,COLUMN()/2+1,FALSE)=0,"",VLOOKUP($A142,数出表_Excel!$A$6:$T$150,COLUMN()/2+1,FALSE))),"")</f>
        <v/>
      </c>
      <c r="AK142" s="82"/>
      <c r="AL142" s="68" t="e">
        <f ca="1">IF(A142&lt;&gt;"",
IF(VLOOKUP($A142,数出表_Excel!$A$6:$T$150,COLUMN()/2+1,FALSE)=0,"",VLOOKUP($A142,数出表_Excel!$A$6:$T$150,COLUMN()/2+1,FALSE)),"")</f>
        <v>#N/A</v>
      </c>
      <c r="AM142" s="96" t="e">
        <f>数出表_Excel!V142</f>
        <v>#N/A</v>
      </c>
      <c r="AN142" s="97" t="e">
        <f>数出表_Excel!W142</f>
        <v>#N/A</v>
      </c>
    </row>
    <row r="143" spans="1:40" ht="16.2" customHeight="1">
      <c r="A143" s="89" t="e">
        <f t="array" aca="1" ref="A143" ca="1">IF(OR(COUNTIF(A141,"*1000*"),COUNTIF(A141,"")),"",INDEX(貼り付け用!$A1:$A200,MATCH(A141,貼り付け用!$A1:$A200,0)+2,0))</f>
        <v>#N/A</v>
      </c>
      <c r="B143" s="186" t="str">
        <f ca="1">IFERROR(VALUE(IF(VLOOKUP($A143,数出表_Excel!$A$6:$T$150,COLUMN()/2+1,FALSE)=0,"",VLOOKUP($A143,数出表_Excel!$A$6:$T$150,COLUMN()/2+1,FALSE))),"")</f>
        <v/>
      </c>
      <c r="C143" s="67"/>
      <c r="D143" s="186" t="str">
        <f ca="1">IFERROR(VALUE(IF(VLOOKUP($A143,数出表_Excel!$A$6:$T$150,COLUMN()/2+1,FALSE)=0,"",VLOOKUP($A143,数出表_Excel!$A$6:$T$150,COLUMN()/2+1,FALSE))),"")</f>
        <v/>
      </c>
      <c r="E143" s="83"/>
      <c r="F143" s="197" t="str">
        <f ca="1">IFERROR(VALUE(IF(VLOOKUP($A143,数出表_Excel!$A$6:$T$150,COLUMN()/2+1,FALSE)=0,"",VLOOKUP($A143,数出表_Excel!$A$6:$T$150,COLUMN()/2+1,FALSE))),"")</f>
        <v/>
      </c>
      <c r="G143" s="67"/>
      <c r="H143" s="186" t="str">
        <f ca="1">IFERROR(VALUE(IF(VLOOKUP($A143,数出表_Excel!$A$6:$T$150,COLUMN()/2+1,FALSE)=0,"",VLOOKUP($A143,数出表_Excel!$A$6:$T$150,COLUMN()/2+1,FALSE))),"")</f>
        <v/>
      </c>
      <c r="I143" s="83"/>
      <c r="J143" s="197" t="str">
        <f ca="1">IFERROR(VALUE(IF(VLOOKUP($A143,数出表_Excel!$A$6:$T$150,COLUMN()/2+1,FALSE)=0,"",VLOOKUP($A143,数出表_Excel!$A$6:$T$150,COLUMN()/2+1,FALSE))),"")</f>
        <v/>
      </c>
      <c r="K143" s="67"/>
      <c r="L143" s="186" t="str">
        <f ca="1">IFERROR(VALUE(IF(VLOOKUP($A143,数出表_Excel!$A$6:$T$150,COLUMN()/2+1,FALSE)=0,"",VLOOKUP($A143,数出表_Excel!$A$6:$T$150,COLUMN()/2+1,FALSE))),"")</f>
        <v/>
      </c>
      <c r="M143" s="83"/>
      <c r="N143" s="197" t="str">
        <f ca="1">IFERROR(VALUE(IF(VLOOKUP($A143,数出表_Excel!$A$6:$T$150,COLUMN()/2+1,FALSE)=0,"",VLOOKUP($A143,数出表_Excel!$A$6:$T$150,COLUMN()/2+1,FALSE))),"")</f>
        <v/>
      </c>
      <c r="O143" s="67"/>
      <c r="P143" s="186" t="str">
        <f ca="1">IFERROR(VALUE(IF(VLOOKUP($A143,数出表_Excel!$A$6:$T$150,COLUMN()/2+1,FALSE)=0,"",VLOOKUP($A143,数出表_Excel!$A$6:$T$150,COLUMN()/2+1,FALSE))),"")</f>
        <v/>
      </c>
      <c r="Q143" s="83"/>
      <c r="R143" s="197" t="str">
        <f ca="1">IFERROR(VALUE(IF(VLOOKUP($A143,数出表_Excel!$A$6:$T$150,COLUMN()/2+1,FALSE)=0,"",VLOOKUP($A143,数出表_Excel!$A$6:$T$150,COLUMN()/2+1,FALSE))),"")</f>
        <v/>
      </c>
      <c r="S143" s="67"/>
      <c r="T143" s="186" t="str">
        <f ca="1">IFERROR(VALUE(IF(VLOOKUP($A143,数出表_Excel!$A$6:$T$150,COLUMN()/2+1,FALSE)=0,"",VLOOKUP($A143,数出表_Excel!$A$6:$T$150,COLUMN()/2+1,FALSE))),"")</f>
        <v/>
      </c>
      <c r="U143" s="83"/>
      <c r="V143" s="197" t="str">
        <f ca="1">IFERROR(VALUE(IF(VLOOKUP($A143,数出表_Excel!$A$6:$T$150,COLUMN()/2+1,FALSE)=0,"",VLOOKUP($A143,数出表_Excel!$A$6:$T$150,COLUMN()/2+1,FALSE))),"")</f>
        <v/>
      </c>
      <c r="W143" s="67"/>
      <c r="X143" s="186" t="str">
        <f ca="1">IFERROR(VALUE(IF(VLOOKUP($A143,数出表_Excel!$A$6:$T$150,COLUMN()/2+1,FALSE)=0,"",VLOOKUP($A143,数出表_Excel!$A$6:$T$150,COLUMN()/2+1,FALSE))),"")</f>
        <v/>
      </c>
      <c r="Y143" s="83"/>
      <c r="Z143" s="197" t="str">
        <f ca="1">IFERROR(VALUE(IF(VLOOKUP($A143,数出表_Excel!$A$6:$T$150,COLUMN()/2+1,FALSE)=0,"",VLOOKUP($A143,数出表_Excel!$A$6:$T$150,COLUMN()/2+1,FALSE))),"")</f>
        <v/>
      </c>
      <c r="AA143" s="83"/>
      <c r="AB143" s="186" t="str">
        <f ca="1">IFERROR(VALUE(IF(VLOOKUP($A143,数出表_Excel!$A$6:$T$150,COLUMN()/2+1,FALSE)=0,"",VLOOKUP($A143,数出表_Excel!$A$6:$T$150,COLUMN()/2+1,FALSE))),"")</f>
        <v/>
      </c>
      <c r="AC143" s="83"/>
      <c r="AD143" s="186" t="str">
        <f ca="1">IFERROR(VALUE(IF(VLOOKUP($A143,数出表_Excel!$A$6:$T$150,COLUMN()/2+1,FALSE)=0,"",VLOOKUP($A143,数出表_Excel!$A$6:$T$150,COLUMN()/2+1,FALSE))),"")</f>
        <v/>
      </c>
      <c r="AE143" s="83"/>
      <c r="AF143" s="186" t="str">
        <f ca="1">IFERROR(VALUE(IF(VLOOKUP($A143,数出表_Excel!$A$6:$T$150,COLUMN()/2+1,FALSE)=0,"",VLOOKUP($A143,数出表_Excel!$A$6:$T$150,COLUMN()/2+1,FALSE))),"")</f>
        <v/>
      </c>
      <c r="AG143" s="83"/>
      <c r="AH143" s="186" t="str">
        <f ca="1">IFERROR(VALUE(IF(VLOOKUP($A143,数出表_Excel!$A$6:$T$150,COLUMN()/2+1,FALSE)=0,"",VLOOKUP($A143,数出表_Excel!$A$6:$T$150,COLUMN()/2+1,FALSE))),"")</f>
        <v/>
      </c>
      <c r="AI143" s="83"/>
      <c r="AJ143" s="186" t="str">
        <f ca="1">IFERROR(VALUE(IF(VLOOKUP($A143,数出表_Excel!$A$6:$T$150,COLUMN()/2+1,FALSE)=0,"",VLOOKUP($A143,数出表_Excel!$A$6:$T$150,COLUMN()/2+1,FALSE))),"")</f>
        <v/>
      </c>
      <c r="AK143" s="83"/>
      <c r="AL143" s="70" t="e">
        <f ca="1">IF(A143&lt;&gt;"",
IF(VLOOKUP($A143,数出表_Excel!$A$6:$T$150,COLUMN()/2+1,FALSE)=0,"",VLOOKUP($A143,数出表_Excel!$A$6:$T$150,COLUMN()/2+1,FALSE)),"")</f>
        <v>#N/A</v>
      </c>
      <c r="AM143" s="98" t="e">
        <f>数出表_Excel!V143</f>
        <v>#N/A</v>
      </c>
      <c r="AN143" s="99" t="e">
        <f>数出表_Excel!W143</f>
        <v>#N/A</v>
      </c>
    </row>
    <row r="144" spans="1:40" ht="16.2" customHeight="1">
      <c r="A144" s="88" t="e">
        <f t="array" aca="1" ref="A144" ca="1">IF(OR(COUNTIF(A142,"*10002*"),COUNTIF(A142,"")),"",INDEX(貼り付け用!$A1:$A200,MATCH(A142,貼り付け用!$A1:$A200,0)+2,0))</f>
        <v>#N/A</v>
      </c>
      <c r="B144" s="185" t="str">
        <f ca="1">IFERROR(VALUE(IF(VLOOKUP($A144,数出表_Excel!$A$6:$T$150,COLUMN()/2+1,FALSE)=0,"",VLOOKUP($A144,数出表_Excel!$A$6:$T$150,COLUMN()/2+1,FALSE))),"")</f>
        <v/>
      </c>
      <c r="C144" s="66"/>
      <c r="D144" s="185" t="str">
        <f ca="1">IFERROR(VALUE(IF(VLOOKUP($A144,数出表_Excel!$A$6:$T$150,COLUMN()/2+1,FALSE)=0,"",VLOOKUP($A144,数出表_Excel!$A$6:$T$150,COLUMN()/2+1,FALSE))),"")</f>
        <v/>
      </c>
      <c r="E144" s="82"/>
      <c r="F144" s="196" t="str">
        <f ca="1">IFERROR(VALUE(IF(VLOOKUP($A144,数出表_Excel!$A$6:$T$150,COLUMN()/2+1,FALSE)=0,"",VLOOKUP($A144,数出表_Excel!$A$6:$T$150,COLUMN()/2+1,FALSE))),"")</f>
        <v/>
      </c>
      <c r="G144" s="66"/>
      <c r="H144" s="185" t="str">
        <f ca="1">IFERROR(VALUE(IF(VLOOKUP($A144,数出表_Excel!$A$6:$T$150,COLUMN()/2+1,FALSE)=0,"",VLOOKUP($A144,数出表_Excel!$A$6:$T$150,COLUMN()/2+1,FALSE))),"")</f>
        <v/>
      </c>
      <c r="I144" s="82"/>
      <c r="J144" s="196" t="str">
        <f ca="1">IFERROR(VALUE(IF(VLOOKUP($A144,数出表_Excel!$A$6:$T$150,COLUMN()/2+1,FALSE)=0,"",VLOOKUP($A144,数出表_Excel!$A$6:$T$150,COLUMN()/2+1,FALSE))),"")</f>
        <v/>
      </c>
      <c r="K144" s="66"/>
      <c r="L144" s="185" t="str">
        <f ca="1">IFERROR(VALUE(IF(VLOOKUP($A144,数出表_Excel!$A$6:$T$150,COLUMN()/2+1,FALSE)=0,"",VLOOKUP($A144,数出表_Excel!$A$6:$T$150,COLUMN()/2+1,FALSE))),"")</f>
        <v/>
      </c>
      <c r="M144" s="82"/>
      <c r="N144" s="196" t="str">
        <f ca="1">IFERROR(VALUE(IF(VLOOKUP($A144,数出表_Excel!$A$6:$T$150,COLUMN()/2+1,FALSE)=0,"",VLOOKUP($A144,数出表_Excel!$A$6:$T$150,COLUMN()/2+1,FALSE))),"")</f>
        <v/>
      </c>
      <c r="O144" s="66"/>
      <c r="P144" s="185" t="str">
        <f ca="1">IFERROR(VALUE(IF(VLOOKUP($A144,数出表_Excel!$A$6:$T$150,COLUMN()/2+1,FALSE)=0,"",VLOOKUP($A144,数出表_Excel!$A$6:$T$150,COLUMN()/2+1,FALSE))),"")</f>
        <v/>
      </c>
      <c r="Q144" s="82"/>
      <c r="R144" s="196" t="str">
        <f ca="1">IFERROR(VALUE(IF(VLOOKUP($A144,数出表_Excel!$A$6:$T$150,COLUMN()/2+1,FALSE)=0,"",VLOOKUP($A144,数出表_Excel!$A$6:$T$150,COLUMN()/2+1,FALSE))),"")</f>
        <v/>
      </c>
      <c r="S144" s="66"/>
      <c r="T144" s="185" t="str">
        <f ca="1">IFERROR(VALUE(IF(VLOOKUP($A144,数出表_Excel!$A$6:$T$150,COLUMN()/2+1,FALSE)=0,"",VLOOKUP($A144,数出表_Excel!$A$6:$T$150,COLUMN()/2+1,FALSE))),"")</f>
        <v/>
      </c>
      <c r="U144" s="82"/>
      <c r="V144" s="196" t="str">
        <f ca="1">IFERROR(VALUE(IF(VLOOKUP($A144,数出表_Excel!$A$6:$T$150,COLUMN()/2+1,FALSE)=0,"",VLOOKUP($A144,数出表_Excel!$A$6:$T$150,COLUMN()/2+1,FALSE))),"")</f>
        <v/>
      </c>
      <c r="W144" s="66"/>
      <c r="X144" s="185" t="str">
        <f ca="1">IFERROR(VALUE(IF(VLOOKUP($A144,数出表_Excel!$A$6:$T$150,COLUMN()/2+1,FALSE)=0,"",VLOOKUP($A144,数出表_Excel!$A$6:$T$150,COLUMN()/2+1,FALSE))),"")</f>
        <v/>
      </c>
      <c r="Y144" s="82"/>
      <c r="Z144" s="196" t="str">
        <f ca="1">IFERROR(VALUE(IF(VLOOKUP($A144,数出表_Excel!$A$6:$T$150,COLUMN()/2+1,FALSE)=0,"",VLOOKUP($A144,数出表_Excel!$A$6:$T$150,COLUMN()/2+1,FALSE))),"")</f>
        <v/>
      </c>
      <c r="AA144" s="82"/>
      <c r="AB144" s="185" t="str">
        <f ca="1">IFERROR(VALUE(IF(VLOOKUP($A144,数出表_Excel!$A$6:$T$150,COLUMN()/2+1,FALSE)=0,"",VLOOKUP($A144,数出表_Excel!$A$6:$T$150,COLUMN()/2+1,FALSE))),"")</f>
        <v/>
      </c>
      <c r="AC144" s="82"/>
      <c r="AD144" s="185" t="str">
        <f ca="1">IFERROR(VALUE(IF(VLOOKUP($A144,数出表_Excel!$A$6:$T$150,COLUMN()/2+1,FALSE)=0,"",VLOOKUP($A144,数出表_Excel!$A$6:$T$150,COLUMN()/2+1,FALSE))),"")</f>
        <v/>
      </c>
      <c r="AE144" s="82"/>
      <c r="AF144" s="185" t="str">
        <f ca="1">IFERROR(VALUE(IF(VLOOKUP($A144,数出表_Excel!$A$6:$T$150,COLUMN()/2+1,FALSE)=0,"",VLOOKUP($A144,数出表_Excel!$A$6:$T$150,COLUMN()/2+1,FALSE))),"")</f>
        <v/>
      </c>
      <c r="AG144" s="82"/>
      <c r="AH144" s="185" t="str">
        <f ca="1">IFERROR(VALUE(IF(VLOOKUP($A144,数出表_Excel!$A$6:$T$150,COLUMN()/2+1,FALSE)=0,"",VLOOKUP($A144,数出表_Excel!$A$6:$T$150,COLUMN()/2+1,FALSE))),"")</f>
        <v/>
      </c>
      <c r="AI144" s="82"/>
      <c r="AJ144" s="185" t="str">
        <f ca="1">IFERROR(VALUE(IF(VLOOKUP($A144,数出表_Excel!$A$6:$T$150,COLUMN()/2+1,FALSE)=0,"",VLOOKUP($A144,数出表_Excel!$A$6:$T$150,COLUMN()/2+1,FALSE))),"")</f>
        <v/>
      </c>
      <c r="AK144" s="82"/>
      <c r="AL144" s="68" t="e">
        <f ca="1">IF(A144&lt;&gt;"",
IF(VLOOKUP($A144,数出表_Excel!$A$6:$T$150,COLUMN()/2+1,FALSE)=0,"",VLOOKUP($A144,数出表_Excel!$A$6:$T$150,COLUMN()/2+1,FALSE)),"")</f>
        <v>#N/A</v>
      </c>
      <c r="AM144" s="96" t="e">
        <f>数出表_Excel!V144</f>
        <v>#N/A</v>
      </c>
      <c r="AN144" s="97" t="e">
        <f>数出表_Excel!W144</f>
        <v>#N/A</v>
      </c>
    </row>
    <row r="145" spans="1:40" ht="16.2" customHeight="1">
      <c r="A145" s="89" t="e">
        <f t="array" aca="1" ref="A145" ca="1">IF(OR(COUNTIF(A143,"*1000*"),COUNTIF(A143,"")),"",INDEX(貼り付け用!$A1:$A200,MATCH(A143,貼り付け用!$A1:$A200,0)+2,0))</f>
        <v>#N/A</v>
      </c>
      <c r="B145" s="186" t="str">
        <f ca="1">IFERROR(VALUE(IF(VLOOKUP($A145,数出表_Excel!$A$6:$T$150,COLUMN()/2+1,FALSE)=0,"",VLOOKUP($A145,数出表_Excel!$A$6:$T$150,COLUMN()/2+1,FALSE))),"")</f>
        <v/>
      </c>
      <c r="C145" s="67"/>
      <c r="D145" s="186" t="str">
        <f ca="1">IFERROR(VALUE(IF(VLOOKUP($A145,数出表_Excel!$A$6:$T$150,COLUMN()/2+1,FALSE)=0,"",VLOOKUP($A145,数出表_Excel!$A$6:$T$150,COLUMN()/2+1,FALSE))),"")</f>
        <v/>
      </c>
      <c r="E145" s="83"/>
      <c r="F145" s="197" t="str">
        <f ca="1">IFERROR(VALUE(IF(VLOOKUP($A145,数出表_Excel!$A$6:$T$150,COLUMN()/2+1,FALSE)=0,"",VLOOKUP($A145,数出表_Excel!$A$6:$T$150,COLUMN()/2+1,FALSE))),"")</f>
        <v/>
      </c>
      <c r="G145" s="67"/>
      <c r="H145" s="186" t="str">
        <f ca="1">IFERROR(VALUE(IF(VLOOKUP($A145,数出表_Excel!$A$6:$T$150,COLUMN()/2+1,FALSE)=0,"",VLOOKUP($A145,数出表_Excel!$A$6:$T$150,COLUMN()/2+1,FALSE))),"")</f>
        <v/>
      </c>
      <c r="I145" s="83"/>
      <c r="J145" s="197" t="str">
        <f ca="1">IFERROR(VALUE(IF(VLOOKUP($A145,数出表_Excel!$A$6:$T$150,COLUMN()/2+1,FALSE)=0,"",VLOOKUP($A145,数出表_Excel!$A$6:$T$150,COLUMN()/2+1,FALSE))),"")</f>
        <v/>
      </c>
      <c r="K145" s="67"/>
      <c r="L145" s="186" t="str">
        <f ca="1">IFERROR(VALUE(IF(VLOOKUP($A145,数出表_Excel!$A$6:$T$150,COLUMN()/2+1,FALSE)=0,"",VLOOKUP($A145,数出表_Excel!$A$6:$T$150,COLUMN()/2+1,FALSE))),"")</f>
        <v/>
      </c>
      <c r="M145" s="83"/>
      <c r="N145" s="197" t="str">
        <f ca="1">IFERROR(VALUE(IF(VLOOKUP($A145,数出表_Excel!$A$6:$T$150,COLUMN()/2+1,FALSE)=0,"",VLOOKUP($A145,数出表_Excel!$A$6:$T$150,COLUMN()/2+1,FALSE))),"")</f>
        <v/>
      </c>
      <c r="O145" s="67"/>
      <c r="P145" s="186" t="str">
        <f ca="1">IFERROR(VALUE(IF(VLOOKUP($A145,数出表_Excel!$A$6:$T$150,COLUMN()/2+1,FALSE)=0,"",VLOOKUP($A145,数出表_Excel!$A$6:$T$150,COLUMN()/2+1,FALSE))),"")</f>
        <v/>
      </c>
      <c r="Q145" s="83"/>
      <c r="R145" s="197" t="str">
        <f ca="1">IFERROR(VALUE(IF(VLOOKUP($A145,数出表_Excel!$A$6:$T$150,COLUMN()/2+1,FALSE)=0,"",VLOOKUP($A145,数出表_Excel!$A$6:$T$150,COLUMN()/2+1,FALSE))),"")</f>
        <v/>
      </c>
      <c r="S145" s="67"/>
      <c r="T145" s="186" t="str">
        <f ca="1">IFERROR(VALUE(IF(VLOOKUP($A145,数出表_Excel!$A$6:$T$150,COLUMN()/2+1,FALSE)=0,"",VLOOKUP($A145,数出表_Excel!$A$6:$T$150,COLUMN()/2+1,FALSE))),"")</f>
        <v/>
      </c>
      <c r="U145" s="83"/>
      <c r="V145" s="197" t="str">
        <f ca="1">IFERROR(VALUE(IF(VLOOKUP($A145,数出表_Excel!$A$6:$T$150,COLUMN()/2+1,FALSE)=0,"",VLOOKUP($A145,数出表_Excel!$A$6:$T$150,COLUMN()/2+1,FALSE))),"")</f>
        <v/>
      </c>
      <c r="W145" s="67"/>
      <c r="X145" s="186" t="str">
        <f ca="1">IFERROR(VALUE(IF(VLOOKUP($A145,数出表_Excel!$A$6:$T$150,COLUMN()/2+1,FALSE)=0,"",VLOOKUP($A145,数出表_Excel!$A$6:$T$150,COLUMN()/2+1,FALSE))),"")</f>
        <v/>
      </c>
      <c r="Y145" s="83"/>
      <c r="Z145" s="197" t="str">
        <f ca="1">IFERROR(VALUE(IF(VLOOKUP($A145,数出表_Excel!$A$6:$T$150,COLUMN()/2+1,FALSE)=0,"",VLOOKUP($A145,数出表_Excel!$A$6:$T$150,COLUMN()/2+1,FALSE))),"")</f>
        <v/>
      </c>
      <c r="AA145" s="83"/>
      <c r="AB145" s="186" t="str">
        <f ca="1">IFERROR(VALUE(IF(VLOOKUP($A145,数出表_Excel!$A$6:$T$150,COLUMN()/2+1,FALSE)=0,"",VLOOKUP($A145,数出表_Excel!$A$6:$T$150,COLUMN()/2+1,FALSE))),"")</f>
        <v/>
      </c>
      <c r="AC145" s="83"/>
      <c r="AD145" s="186" t="str">
        <f ca="1">IFERROR(VALUE(IF(VLOOKUP($A145,数出表_Excel!$A$6:$T$150,COLUMN()/2+1,FALSE)=0,"",VLOOKUP($A145,数出表_Excel!$A$6:$T$150,COLUMN()/2+1,FALSE))),"")</f>
        <v/>
      </c>
      <c r="AE145" s="83"/>
      <c r="AF145" s="186" t="str">
        <f ca="1">IFERROR(VALUE(IF(VLOOKUP($A145,数出表_Excel!$A$6:$T$150,COLUMN()/2+1,FALSE)=0,"",VLOOKUP($A145,数出表_Excel!$A$6:$T$150,COLUMN()/2+1,FALSE))),"")</f>
        <v/>
      </c>
      <c r="AG145" s="83"/>
      <c r="AH145" s="186" t="str">
        <f ca="1">IFERROR(VALUE(IF(VLOOKUP($A145,数出表_Excel!$A$6:$T$150,COLUMN()/2+1,FALSE)=0,"",VLOOKUP($A145,数出表_Excel!$A$6:$T$150,COLUMN()/2+1,FALSE))),"")</f>
        <v/>
      </c>
      <c r="AI145" s="83"/>
      <c r="AJ145" s="186" t="str">
        <f ca="1">IFERROR(VALUE(IF(VLOOKUP($A145,数出表_Excel!$A$6:$T$150,COLUMN()/2+1,FALSE)=0,"",VLOOKUP($A145,数出表_Excel!$A$6:$T$150,COLUMN()/2+1,FALSE))),"")</f>
        <v/>
      </c>
      <c r="AK145" s="83"/>
      <c r="AL145" s="70" t="e">
        <f ca="1">IF(A145&lt;&gt;"",
IF(VLOOKUP($A145,数出表_Excel!$A$6:$T$150,COLUMN()/2+1,FALSE)=0,"",VLOOKUP($A145,数出表_Excel!$A$6:$T$150,COLUMN()/2+1,FALSE)),"")</f>
        <v>#N/A</v>
      </c>
      <c r="AM145" s="98" t="e">
        <f>数出表_Excel!V145</f>
        <v>#N/A</v>
      </c>
      <c r="AN145" s="99" t="e">
        <f>数出表_Excel!W145</f>
        <v>#N/A</v>
      </c>
    </row>
    <row r="146" spans="1:40" ht="16.2" customHeight="1">
      <c r="A146" s="88" t="e">
        <f>数出表_Excel!A146</f>
        <v>#N/A</v>
      </c>
      <c r="B146" s="187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81"/>
      <c r="D146" s="187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84"/>
      <c r="F146" s="198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81"/>
      <c r="H146" s="187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84"/>
      <c r="J146" s="198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81"/>
      <c r="L146" s="187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84"/>
      <c r="N146" s="198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81"/>
      <c r="P146" s="187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84"/>
      <c r="R146" s="198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81"/>
      <c r="T146" s="187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84"/>
      <c r="V146" s="198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81"/>
      <c r="X146" s="187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84"/>
      <c r="Z146" s="198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84"/>
      <c r="AB146" s="187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84"/>
      <c r="AD146" s="187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84"/>
      <c r="AF146" s="187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84"/>
      <c r="AH146" s="187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84"/>
      <c r="AJ146" s="187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84"/>
      <c r="AL146" s="68" t="e">
        <f>数出表_Excel!T146</f>
        <v>#N/A</v>
      </c>
      <c r="AM146" s="93" t="e">
        <f>数出表_Excel!V146</f>
        <v>#N/A</v>
      </c>
      <c r="AN146" s="94" t="e">
        <f>数出表_Excel!W146</f>
        <v>#N/A</v>
      </c>
    </row>
    <row r="147" spans="1:40" ht="16.2" customHeight="1">
      <c r="A147" s="89" t="e">
        <f>数出表_Excel!A147</f>
        <v>#N/A</v>
      </c>
      <c r="B147" s="186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67"/>
      <c r="D147" s="186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83"/>
      <c r="F147" s="197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7"/>
      <c r="H147" s="186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83"/>
      <c r="J147" s="197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7"/>
      <c r="L147" s="186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83"/>
      <c r="N147" s="197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7"/>
      <c r="P147" s="186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83"/>
      <c r="R147" s="197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7"/>
      <c r="T147" s="186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83"/>
      <c r="V147" s="197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7"/>
      <c r="X147" s="186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83"/>
      <c r="Z147" s="197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83"/>
      <c r="AB147" s="186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83"/>
      <c r="AD147" s="186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83"/>
      <c r="AF147" s="186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83"/>
      <c r="AH147" s="186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83"/>
      <c r="AJ147" s="186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83"/>
      <c r="AL147" s="70" t="e">
        <f>数出表_Excel!T147</f>
        <v>#N/A</v>
      </c>
      <c r="AM147" s="100" t="e">
        <f>数出表_Excel!V147</f>
        <v>#N/A</v>
      </c>
      <c r="AN147" s="101" t="e">
        <f>数出表_Excel!W147</f>
        <v>#N/A</v>
      </c>
    </row>
    <row r="148" spans="1:40" ht="16.2" customHeight="1">
      <c r="B148" s="192"/>
      <c r="C148" s="201"/>
      <c r="D148" s="192"/>
      <c r="E148" s="189"/>
      <c r="F148" s="203"/>
      <c r="G148" s="201"/>
      <c r="H148" s="192"/>
      <c r="I148" s="189"/>
      <c r="J148" s="203"/>
      <c r="K148" s="201"/>
      <c r="L148" s="192"/>
      <c r="M148" s="189"/>
      <c r="N148" s="203"/>
      <c r="O148" s="201"/>
      <c r="P148" s="192"/>
      <c r="Q148" s="189"/>
      <c r="R148" s="203"/>
      <c r="S148" s="201"/>
      <c r="T148" s="192"/>
      <c r="U148" s="189"/>
      <c r="V148" s="199"/>
      <c r="W148" s="201"/>
      <c r="X148" s="188"/>
      <c r="Y148" s="189"/>
      <c r="Z148" s="199"/>
      <c r="AA148" s="189"/>
      <c r="AB148" s="188"/>
      <c r="AC148" s="189"/>
      <c r="AD148" s="188"/>
      <c r="AE148" s="189"/>
      <c r="AF148" s="188"/>
      <c r="AG148" s="189"/>
      <c r="AH148" s="188"/>
      <c r="AI148" s="189"/>
      <c r="AJ148" s="188"/>
      <c r="AK148" s="189"/>
      <c r="AL148" s="71"/>
    </row>
    <row r="149" spans="1:40" ht="23.4" customHeight="1">
      <c r="A149" s="91" t="s">
        <v>23</v>
      </c>
      <c r="B149" s="190"/>
      <c r="C149" s="195"/>
      <c r="D149" s="190"/>
      <c r="E149" s="191"/>
      <c r="F149" s="200" t="str">
        <f>IF(OR(F150&lt;&gt;"",F153&lt;&gt;""),F146-F150-F151-F152-F153,"")</f>
        <v/>
      </c>
      <c r="G149" s="202"/>
      <c r="H149" s="190" t="str">
        <f>IF(OR(H150&lt;&gt;"",H153&lt;&gt;""),H146-H150-H151-H152-H153,"")</f>
        <v/>
      </c>
      <c r="I149" s="204"/>
      <c r="J149" s="200" t="str">
        <f>IF(OR(J150&lt;&gt;"",J153&lt;&gt;""),J146-J150-J151-J152-J153,"")</f>
        <v/>
      </c>
      <c r="K149" s="195"/>
      <c r="L149" s="190" t="str">
        <f>IF(OR(L150&lt;&gt;"",L153&lt;&gt;""),L146-L150-L151-L152-L153,"")</f>
        <v/>
      </c>
      <c r="M149" s="204"/>
      <c r="N149" s="200" t="str">
        <f>IF(OR(N150&lt;&gt;"",N153&lt;&gt;""),N146-N150-N151-N152-N153,"")</f>
        <v/>
      </c>
      <c r="O149" s="202"/>
      <c r="P149" s="190" t="str">
        <f>IF(OR(P150&lt;&gt;"",P153&lt;&gt;""),P146-P150-P151-P152-P153,"")</f>
        <v/>
      </c>
      <c r="Q149" s="204"/>
      <c r="R149" s="200" t="str">
        <f>IF(OR(R150&lt;&gt;"",R153&lt;&gt;""),R146-R150-R151-R152-R153,"")</f>
        <v/>
      </c>
      <c r="S149" s="202"/>
      <c r="T149" s="190" t="str">
        <f>IF(OR(T150&lt;&gt;"",T153&lt;&gt;""),T146-T150-T151-T152-T153,"")</f>
        <v/>
      </c>
      <c r="U149" s="191"/>
      <c r="V149" s="200" t="str">
        <f>IF(OR(V150&lt;&gt;"",V153&lt;&gt;""),V146-V150-V151-V152-V153,"")</f>
        <v/>
      </c>
      <c r="W149" s="195"/>
      <c r="X149" s="190" t="str">
        <f>IF(OR(X150&lt;&gt;"",X153&lt;&gt;""),X146-X150-X151-X152-X153,"")</f>
        <v/>
      </c>
      <c r="Y149" s="191"/>
      <c r="Z149" s="200" t="str">
        <f>IF(OR(Z150&lt;&gt;"",Z153&lt;&gt;""),Z146-Z150-Z151-Z152-Z153,"")</f>
        <v/>
      </c>
      <c r="AA149" s="191"/>
      <c r="AB149" s="190" t="str">
        <f>IF(OR(AB150&lt;&gt;"",AB153&lt;&gt;""),AB146-AB150-AB151-AB152-AB153,"")</f>
        <v/>
      </c>
      <c r="AC149" s="191"/>
      <c r="AD149" s="190" t="str">
        <f>IF(OR(AD150&lt;&gt;"",AD153&lt;&gt;""),AD146-AD150-AD151-AD152-AD153,"")</f>
        <v/>
      </c>
      <c r="AE149" s="191"/>
      <c r="AF149" s="190" t="str">
        <f>IF(OR(AF150&lt;&gt;"",AF153&lt;&gt;""),AF146-AF150-AF151-AF152-AF153,"")</f>
        <v/>
      </c>
      <c r="AG149" s="191"/>
      <c r="AH149" s="190" t="str">
        <f>IF(OR(AH150&lt;&gt;"",AH153&lt;&gt;""),AH146-AH150-AH151-AH152-AH153,"")</f>
        <v/>
      </c>
      <c r="AI149" s="191"/>
      <c r="AJ149" s="190" t="str">
        <f>IF(OR(AJ150&lt;&gt;"",AJ153&lt;&gt;""),AJ146-AJ150-AJ151-AJ152-AJ153,"")</f>
        <v/>
      </c>
      <c r="AK149" s="191"/>
      <c r="AL149" s="80" t="str">
        <f>IF(OR(AL150&lt;&gt;"",AL153&lt;&gt;""),AL146-AL150-AL151-AL152-AL153,"")</f>
        <v/>
      </c>
    </row>
    <row r="150" spans="1:40" ht="16.2" customHeight="1">
      <c r="A150" s="176" t="s">
        <v>24</v>
      </c>
      <c r="B150" s="193"/>
      <c r="C150" s="141">
        <f>SUM(C6:C145)</f>
        <v>0</v>
      </c>
      <c r="D150" s="193"/>
      <c r="E150" s="144">
        <f>SUM(E6:E145)</f>
        <v>0</v>
      </c>
      <c r="F150" s="73"/>
      <c r="G150" s="141">
        <f>SUM(G6:G145)</f>
        <v>0</v>
      </c>
      <c r="H150" s="72"/>
      <c r="I150" s="144">
        <f>SUM(I6:I145)</f>
        <v>0</v>
      </c>
      <c r="J150" s="73"/>
      <c r="K150" s="141">
        <f>SUM(K6:K145)</f>
        <v>0</v>
      </c>
      <c r="L150" s="72"/>
      <c r="M150" s="144">
        <f>SUM(M6:M145)</f>
        <v>0</v>
      </c>
      <c r="N150" s="205"/>
      <c r="O150" s="141">
        <f>SUM(O6:O145)</f>
        <v>0</v>
      </c>
      <c r="P150" s="72"/>
      <c r="Q150" s="144">
        <f>SUM(Q6:Q145)</f>
        <v>0</v>
      </c>
      <c r="R150" s="73"/>
      <c r="S150" s="141">
        <f>SUM(S6:S145)</f>
        <v>0</v>
      </c>
      <c r="T150" s="72"/>
      <c r="U150" s="144">
        <f>SUM(U6:U145)</f>
        <v>0</v>
      </c>
      <c r="V150" s="73"/>
      <c r="W150" s="141">
        <f>SUM(W6:W145)</f>
        <v>0</v>
      </c>
      <c r="X150" s="72"/>
      <c r="Y150" s="144">
        <f>SUM(Y6:Y145)</f>
        <v>0</v>
      </c>
      <c r="Z150" s="73"/>
      <c r="AA150" s="144">
        <f>SUM(AA6:AA145)</f>
        <v>0</v>
      </c>
      <c r="AB150" s="72"/>
      <c r="AC150" s="144">
        <f>SUM(AC6:AC145)</f>
        <v>0</v>
      </c>
      <c r="AD150" s="72"/>
      <c r="AE150" s="144">
        <f>SUM(AE6:AE145)</f>
        <v>0</v>
      </c>
      <c r="AF150" s="74"/>
      <c r="AG150" s="144">
        <f>SUM(AG6:AG145)</f>
        <v>0</v>
      </c>
      <c r="AH150" s="74"/>
      <c r="AI150" s="144">
        <f>SUM(AI6:AI145)</f>
        <v>0</v>
      </c>
      <c r="AJ150" s="74"/>
      <c r="AK150" s="144">
        <f>SUM(AK6:AK145)</f>
        <v>0</v>
      </c>
      <c r="AL150" s="75"/>
      <c r="AM150" s="102"/>
      <c r="AN150" s="103"/>
    </row>
    <row r="151" spans="1:40" ht="16.2" customHeight="1">
      <c r="A151" s="176" t="s">
        <v>25</v>
      </c>
      <c r="B151" s="193"/>
      <c r="C151" s="142"/>
      <c r="D151" s="193"/>
      <c r="E151" s="145"/>
      <c r="F151" s="73"/>
      <c r="G151" s="142"/>
      <c r="H151" s="72"/>
      <c r="I151" s="145"/>
      <c r="J151" s="73"/>
      <c r="K151" s="142"/>
      <c r="L151" s="72"/>
      <c r="M151" s="145"/>
      <c r="N151" s="205"/>
      <c r="O151" s="142"/>
      <c r="P151" s="72"/>
      <c r="Q151" s="145"/>
      <c r="R151" s="73"/>
      <c r="S151" s="142"/>
      <c r="T151" s="72"/>
      <c r="U151" s="145"/>
      <c r="V151" s="73"/>
      <c r="W151" s="142"/>
      <c r="X151" s="72"/>
      <c r="Y151" s="145"/>
      <c r="Z151" s="73"/>
      <c r="AA151" s="145"/>
      <c r="AB151" s="72"/>
      <c r="AC151" s="145"/>
      <c r="AD151" s="72"/>
      <c r="AE151" s="145"/>
      <c r="AF151" s="74"/>
      <c r="AG151" s="145"/>
      <c r="AH151" s="74"/>
      <c r="AI151" s="145"/>
      <c r="AJ151" s="74"/>
      <c r="AK151" s="145"/>
      <c r="AL151" s="75"/>
      <c r="AM151" s="102"/>
      <c r="AN151" s="103"/>
    </row>
    <row r="152" spans="1:40" ht="16.2" customHeight="1">
      <c r="A152" s="176" t="s">
        <v>26</v>
      </c>
      <c r="B152" s="193"/>
      <c r="C152" s="142"/>
      <c r="D152" s="193"/>
      <c r="E152" s="145"/>
      <c r="F152" s="73"/>
      <c r="G152" s="142"/>
      <c r="H152" s="72"/>
      <c r="I152" s="145"/>
      <c r="J152" s="73"/>
      <c r="K152" s="142"/>
      <c r="L152" s="72"/>
      <c r="M152" s="145"/>
      <c r="N152" s="205"/>
      <c r="O152" s="142"/>
      <c r="P152" s="72"/>
      <c r="Q152" s="145"/>
      <c r="R152" s="73"/>
      <c r="S152" s="142"/>
      <c r="T152" s="72"/>
      <c r="U152" s="145"/>
      <c r="V152" s="73"/>
      <c r="W152" s="142"/>
      <c r="X152" s="72"/>
      <c r="Y152" s="145"/>
      <c r="Z152" s="73"/>
      <c r="AA152" s="145"/>
      <c r="AB152" s="72"/>
      <c r="AC152" s="145"/>
      <c r="AD152" s="72"/>
      <c r="AE152" s="145"/>
      <c r="AF152" s="74"/>
      <c r="AG152" s="145"/>
      <c r="AH152" s="74"/>
      <c r="AI152" s="145"/>
      <c r="AJ152" s="74"/>
      <c r="AK152" s="145"/>
      <c r="AL152" s="75"/>
    </row>
    <row r="153" spans="1:40" s="65" customFormat="1" ht="16.2" customHeight="1">
      <c r="A153" s="177" t="s">
        <v>27</v>
      </c>
      <c r="B153" s="194"/>
      <c r="C153" s="143"/>
      <c r="D153" s="194"/>
      <c r="E153" s="146"/>
      <c r="F153" s="77"/>
      <c r="G153" s="143"/>
      <c r="H153" s="76"/>
      <c r="I153" s="146"/>
      <c r="J153" s="77"/>
      <c r="K153" s="143"/>
      <c r="L153" s="76"/>
      <c r="M153" s="146"/>
      <c r="N153" s="206"/>
      <c r="O153" s="143"/>
      <c r="P153" s="76"/>
      <c r="Q153" s="146"/>
      <c r="R153" s="77"/>
      <c r="S153" s="143"/>
      <c r="T153" s="76"/>
      <c r="U153" s="146"/>
      <c r="V153" s="77"/>
      <c r="W153" s="143"/>
      <c r="X153" s="76"/>
      <c r="Y153" s="146"/>
      <c r="Z153" s="77"/>
      <c r="AA153" s="146"/>
      <c r="AB153" s="76"/>
      <c r="AC153" s="146"/>
      <c r="AD153" s="76"/>
      <c r="AE153" s="146"/>
      <c r="AF153" s="78"/>
      <c r="AG153" s="146"/>
      <c r="AH153" s="78"/>
      <c r="AI153" s="146"/>
      <c r="AJ153" s="78"/>
      <c r="AK153" s="146"/>
      <c r="AL153" s="79"/>
      <c r="AM153" s="104"/>
      <c r="AN153" s="104"/>
    </row>
    <row r="154" spans="1:40" ht="16.2" customHeight="1">
      <c r="A154" s="92" t="s">
        <v>28</v>
      </c>
    </row>
  </sheetData>
  <mergeCells count="18">
    <mergeCell ref="C150:C153"/>
    <mergeCell ref="W150:W153"/>
    <mergeCell ref="I150:I153"/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AG150:AG153"/>
    <mergeCell ref="Q150:Q153"/>
  </mergeCells>
  <phoneticPr fontId="1"/>
  <pageMargins left="0.7" right="0.7" top="0.75" bottom="0.75" header="0.3" footer="0.3"/>
  <pageSetup paperSize="8" scale="31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Sheet3.ToggleColoring">
                <anchor moveWithCells="1" sizeWithCells="1">
                  <from>
                    <xdr:col>39</xdr:col>
                    <xdr:colOff>274320</xdr:colOff>
                    <xdr:row>0</xdr:row>
                    <xdr:rowOff>45720</xdr:rowOff>
                  </from>
                  <to>
                    <xdr:col>39</xdr:col>
                    <xdr:colOff>1828800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zoomScaleNormal="100" workbookViewId="0">
      <selection activeCell="E6" sqref="E6"/>
    </sheetView>
  </sheetViews>
  <sheetFormatPr defaultRowHeight="18"/>
  <cols>
    <col min="1" max="1" width="23.8984375" style="29" customWidth="1"/>
    <col min="10" max="10" width="8.796875" style="63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ca="1">IF('数出表_Excel（アレルギー入力）'!F150=0,
IF(AND(K2&lt;&gt;0,K2&gt;-10,K2&lt;10),0,
IF(AND(L2&lt;&gt;0,L2&gt;-13,L2&lt;13),
K2+L2,K2)),'数出表_Excel（アレルギー入力）'!F150)</f>
        <v>0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ca="1">IF('数出表_Excel（アレルギー入力）'!H150=0,
IF(AND(K3&lt;&gt;0,K3&gt;-10,K3&lt;10),0,
IF(AND(L3&lt;&gt;0,L3&gt;-13,L3&lt;13),
K3+L3,K3)),'数出表_Excel（アレルギー入力）'!H150)</f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ca="1">IF('数出表_Excel（アレルギー入力）'!J150=0,
IF(AND(K4&lt;&gt;0,K4&gt;-10,K4&lt;10),0,
IF(AND(L4&lt;&gt;0,L4&gt;-13,L4&lt;13),
K4+L4,K4)),'数出表_Excel（アレルギー入力）'!J150)</f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ca="1">IF('数出表_Excel（アレルギー入力）'!L150=0,
IF(AND(K5&lt;&gt;0,K5&gt;-10,K5&lt;10),0,
IF(AND(L5&lt;&gt;0,L5&gt;-13,L5&lt;13),
K5+L5,K5)),'数出表_Excel（アレルギー入力）'!L150)</f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ca="1">IF('数出表_Excel（アレルギー入力）'!P150=0,
IF(AND(K6&lt;&gt;0,K6&gt;-10,K6&lt;10),0,
IF(AND(L6&lt;&gt;0,L6&gt;-13,L6&lt;13),
K6+L6,K6)),'数出表_Excel（アレルギー入力）'!P150)</f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ca="1">IF('数出表_Excel（アレルギー入力）'!R150=0,
IF(AND(K7&lt;&gt;0,K7&gt;-10,K7&lt;10),0,
IF(AND(L7&lt;&gt;0,L7&gt;-13,L7&lt;13),
K7+L7,K7)),'数出表_Excel（アレルギー入力）'!R150)</f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ca="1">IF('数出表_Excel（アレルギー入力）'!T150=0,
IF(AND(K8&lt;&gt;0,K8&gt;-10,K8&lt;10),0,
IF(AND(L8&lt;&gt;0,L8&gt;-13,L8&lt;13),
K8+L8,K8)),'数出表_Excel（アレルギー入力）'!T150)</f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T64"/>
  <sheetViews>
    <sheetView topLeftCell="K1" workbookViewId="0">
      <selection activeCell="R4" sqref="R4:T15"/>
    </sheetView>
  </sheetViews>
  <sheetFormatPr defaultRowHeight="18"/>
  <cols>
    <col min="1" max="1" width="17.3984375" style="29" customWidth="1"/>
  </cols>
  <sheetData>
    <row r="1" spans="1:20">
      <c r="A1" s="63" t="str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/>
      </c>
      <c r="B1" s="63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63"/>
      <c r="D1" s="63"/>
      <c r="E1" s="63"/>
      <c r="F1" s="63" t="str">
        <f t="array" aca="1" ref="F1" ca="1">IFERROR(IF(B1&lt;&gt;"",
INDIRECT("'数出表_Excel（アレルギー入力）'!"&amp;P1&amp;O1&amp;""),""),"")</f>
        <v/>
      </c>
      <c r="G1" s="63"/>
      <c r="H1" s="63"/>
      <c r="I1" s="63"/>
      <c r="J1" s="63"/>
      <c r="K1" s="63"/>
      <c r="L1" s="63"/>
      <c r="M1" s="63"/>
      <c r="N1" s="63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29</v>
      </c>
      <c r="R1" s="139" t="str">
        <f t="array" aca="1" ref="R1" ca="1">IFERROR(INDEX($A:$A,SMALL(IF($A$1:$A$64&lt;&gt;"",ROW($A$1:$A$64)),ROW(A1))),"")</f>
        <v/>
      </c>
      <c r="S1" s="139">
        <f t="shared" ref="S1:S15" ca="1" si="0">VLOOKUP(R1,A1:N8,2,FALSE)</f>
        <v>0</v>
      </c>
      <c r="T1" s="139" t="str">
        <f t="shared" ref="T1:T15" ca="1" si="1">VLOOKUP(R1,A1:N8,6,FALSE)</f>
        <v/>
      </c>
    </row>
    <row r="2" spans="1:20">
      <c r="A2" s="63" t="str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/>
      </c>
      <c r="B2" s="63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63"/>
      <c r="D2" s="63"/>
      <c r="E2" s="63"/>
      <c r="F2" s="63" t="str">
        <f t="array" aca="1" ref="F2" ca="1">IFERROR(IF(B2&lt;&gt;"",
INDIRECT("'数出表_Excel（アレルギー入力）'!"&amp;P2&amp;O2&amp;""),""),"")</f>
        <v/>
      </c>
      <c r="G2" s="63"/>
      <c r="H2" s="63"/>
      <c r="I2" s="63"/>
      <c r="J2" s="63"/>
      <c r="K2" s="63"/>
      <c r="L2" s="63"/>
      <c r="M2" s="63"/>
      <c r="N2" s="63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30</v>
      </c>
      <c r="R2" s="139" t="str">
        <f t="array" aca="1" ref="R2" ca="1">IFERROR(INDEX($A:$A,SMALL(IF($A$1:$A$64&lt;&gt;"",ROW($A$1:$A$64)),ROW(A2))),"")</f>
        <v/>
      </c>
      <c r="S2" s="139">
        <f t="shared" ca="1" si="0"/>
        <v>0</v>
      </c>
      <c r="T2" s="139" t="str">
        <f t="shared" ca="1" si="1"/>
        <v/>
      </c>
    </row>
    <row r="3" spans="1:20">
      <c r="A3" s="63" t="str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/>
      </c>
      <c r="B3" s="63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63"/>
      <c r="D3" s="63"/>
      <c r="E3" s="63"/>
      <c r="F3" s="63" t="str">
        <f t="array" aca="1" ref="F3" ca="1">IFERROR(IF(B3&lt;&gt;"",
INDIRECT("'数出表_Excel（アレルギー入力）'!"&amp;P3&amp;O3&amp;""),""),"")</f>
        <v/>
      </c>
      <c r="G3" s="63"/>
      <c r="H3" s="63"/>
      <c r="I3" s="63"/>
      <c r="J3" s="63"/>
      <c r="K3" s="63"/>
      <c r="L3" s="63"/>
      <c r="M3" s="63"/>
      <c r="N3" s="63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31</v>
      </c>
      <c r="R3" s="139" t="str">
        <f t="array" aca="1" ref="R3" ca="1">IFERROR(INDEX($A:$A,SMALL(IF($A$1:$A$64&lt;&gt;"",ROW($A$1:$A$64)),ROW(A3))),"")</f>
        <v/>
      </c>
      <c r="S3" s="139">
        <f t="shared" ca="1" si="0"/>
        <v>0</v>
      </c>
      <c r="T3" s="139" t="str">
        <f t="shared" ca="1" si="1"/>
        <v/>
      </c>
    </row>
    <row r="4" spans="1:20">
      <c r="A4" s="63" t="str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/>
      </c>
      <c r="B4" s="63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63"/>
      <c r="D4" s="63"/>
      <c r="E4" s="63"/>
      <c r="F4" s="63" t="str">
        <f t="array" aca="1" ref="F4" ca="1">IFERROR(IF(B4&lt;&gt;"",
INDIRECT("'数出表_Excel（アレルギー入力）'!"&amp;P4&amp;O4&amp;""),""),"")</f>
        <v/>
      </c>
      <c r="G4" s="63"/>
      <c r="H4" s="63"/>
      <c r="I4" s="63"/>
      <c r="J4" s="63"/>
      <c r="K4" s="63"/>
      <c r="L4" s="63"/>
      <c r="M4" s="63"/>
      <c r="N4" s="63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32</v>
      </c>
      <c r="R4" s="139" t="str">
        <f t="array" aca="1" ref="R4" ca="1">IFERROR(INDEX($A:$A,SMALL(IF($A$1:$A$64&lt;&gt;"",ROW($A$1:$A$64)),ROW(A4))),"")</f>
        <v/>
      </c>
      <c r="S4" s="139">
        <f t="shared" ca="1" si="0"/>
        <v>0</v>
      </c>
      <c r="T4" s="139" t="str">
        <f t="shared" ca="1" si="1"/>
        <v/>
      </c>
    </row>
    <row r="5" spans="1:20">
      <c r="A5" s="63" t="str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/>
      </c>
      <c r="B5" s="63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63"/>
      <c r="D5" s="63"/>
      <c r="E5" s="63"/>
      <c r="F5" s="63" t="str">
        <f t="array" aca="1" ref="F5" ca="1">IFERROR(IF(B5&lt;&gt;"",
INDIRECT("'数出表_Excel（アレルギー入力）'!"&amp;P5&amp;O5&amp;""),""),"")</f>
        <v/>
      </c>
      <c r="G5" s="63"/>
      <c r="H5" s="63"/>
      <c r="I5" s="63"/>
      <c r="J5" s="63"/>
      <c r="K5" s="63"/>
      <c r="L5" s="63"/>
      <c r="M5" s="63"/>
      <c r="N5" s="63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33</v>
      </c>
      <c r="R5" s="139" t="str">
        <f t="array" aca="1" ref="R5" ca="1">IFERROR(INDEX($A:$A,SMALL(IF($A$1:$A$64&lt;&gt;"",ROW($A$1:$A$64)),ROW(A5))),"")</f>
        <v/>
      </c>
      <c r="S5" s="139">
        <f t="shared" ca="1" si="0"/>
        <v>0</v>
      </c>
      <c r="T5" s="139" t="str">
        <f t="shared" ca="1" si="1"/>
        <v/>
      </c>
    </row>
    <row r="6" spans="1:20">
      <c r="A6" s="63" t="str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/>
      </c>
      <c r="B6" s="63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63"/>
      <c r="D6" s="63"/>
      <c r="E6" s="63"/>
      <c r="F6" s="63" t="str">
        <f t="array" aca="1" ref="F6" ca="1">IFERROR(IF(B6&lt;&gt;"",
INDIRECT("'数出表_Excel（アレルギー入力）'!"&amp;P6&amp;O6&amp;""),""),"")</f>
        <v/>
      </c>
      <c r="G6" s="63"/>
      <c r="H6" s="63"/>
      <c r="I6" s="63"/>
      <c r="J6" s="63"/>
      <c r="K6" s="63"/>
      <c r="L6" s="63"/>
      <c r="M6" s="63"/>
      <c r="N6" s="63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34</v>
      </c>
      <c r="R6" s="139" t="str">
        <f t="array" aca="1" ref="R6" ca="1">IFERROR(INDEX($A:$A,SMALL(IF($A$1:$A$64&lt;&gt;"",ROW($A$1:$A$64)),ROW(A6))),"")</f>
        <v/>
      </c>
      <c r="S6" s="139">
        <f t="shared" ca="1" si="0"/>
        <v>0</v>
      </c>
      <c r="T6" s="139" t="str">
        <f t="shared" ca="1" si="1"/>
        <v/>
      </c>
    </row>
    <row r="7" spans="1:20">
      <c r="A7" s="63" t="str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/>
      </c>
      <c r="B7" s="63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63"/>
      <c r="D7" s="63"/>
      <c r="E7" s="63"/>
      <c r="F7" s="63" t="str">
        <f t="array" aca="1" ref="F7" ca="1">IFERROR(IF(B7&lt;&gt;"",
INDIRECT("'数出表_Excel（アレルギー入力）'!"&amp;P7&amp;O7&amp;""),""),"")</f>
        <v/>
      </c>
      <c r="G7" s="63"/>
      <c r="H7" s="63"/>
      <c r="I7" s="63"/>
      <c r="J7" s="63"/>
      <c r="K7" s="63"/>
      <c r="L7" s="63"/>
      <c r="M7" s="63"/>
      <c r="N7" s="63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35</v>
      </c>
      <c r="R7" s="139" t="str">
        <f t="array" aca="1" ref="R7" ca="1">IFERROR(INDEX($A:$A,SMALL(IF($A$1:$A$64&lt;&gt;"",ROW($A$1:$A$64)),ROW(A7))),"")</f>
        <v/>
      </c>
      <c r="S7" s="139">
        <f t="shared" ca="1" si="0"/>
        <v>0</v>
      </c>
      <c r="T7" s="139" t="str">
        <f t="shared" ca="1" si="1"/>
        <v/>
      </c>
    </row>
    <row r="8" spans="1:20">
      <c r="A8" s="63" t="str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/>
      </c>
      <c r="B8" s="63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63"/>
      <c r="D8" s="63"/>
      <c r="E8" s="63"/>
      <c r="F8" s="63" t="str">
        <f t="array" aca="1" ref="F8" ca="1">IFERROR(IF(B8&lt;&gt;"",
INDIRECT("'数出表_Excel（アレルギー入力）'!"&amp;P8&amp;O8&amp;""),""),"")</f>
        <v/>
      </c>
      <c r="G8" s="63"/>
      <c r="H8" s="63"/>
      <c r="I8" s="63"/>
      <c r="J8" s="63"/>
      <c r="K8" s="63"/>
      <c r="L8" s="63"/>
      <c r="M8" s="63"/>
      <c r="N8" s="63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36</v>
      </c>
      <c r="R8" s="139" t="str">
        <f t="array" aca="1" ref="R8" ca="1">IFERROR(INDEX($A:$A,SMALL(IF($A$1:$A$64&lt;&gt;"",ROW($A$1:$A$64)),ROW(A8))),"")</f>
        <v/>
      </c>
      <c r="S8" s="139">
        <f t="shared" ca="1" si="0"/>
        <v>0</v>
      </c>
      <c r="T8" s="139" t="str">
        <f t="shared" ca="1" si="1"/>
        <v/>
      </c>
    </row>
    <row r="9" spans="1:20">
      <c r="A9" s="85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85" t="str">
        <f t="array" aca="1" ref="B9" ca="1">IF(AND(B1&lt;&gt;"",O9&lt;&gt;0),
IF(INDIRECT("'数出表_Excel（アレルギー入力）'!"&amp;P9&amp;"147")&lt;&gt;F1,B1,""),"")</f>
        <v/>
      </c>
      <c r="C9" s="85"/>
      <c r="D9" s="85"/>
      <c r="E9" s="85"/>
      <c r="F9" s="8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85"/>
      <c r="H9" s="85"/>
      <c r="I9" s="85"/>
      <c r="J9" s="85"/>
      <c r="K9" s="85"/>
      <c r="L9" s="85"/>
      <c r="M9" s="85"/>
      <c r="N9" s="8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29</v>
      </c>
      <c r="R9" s="139" t="str">
        <f t="array" aca="1" ref="R9" ca="1">IFERROR(INDEX($A:$A,SMALL(IF($A$1:$A$64&lt;&gt;"",ROW($A$1:$A$64)),ROW(A9))),"")</f>
        <v/>
      </c>
      <c r="S9" s="139" t="str">
        <f t="shared" ca="1" si="0"/>
        <v/>
      </c>
      <c r="T9" s="139" t="str">
        <f t="shared" ca="1" si="1"/>
        <v/>
      </c>
    </row>
    <row r="10" spans="1:20">
      <c r="A10" s="85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85" t="str">
        <f t="array" aca="1" ref="B10" ca="1">IF(AND(B2&lt;&gt;"",O10&lt;&gt;0),
IF(INDIRECT("'数出表_Excel（アレルギー入力）'!"&amp;P10&amp;"147")&lt;&gt;F2,B2,""),"")</f>
        <v/>
      </c>
      <c r="C10" s="85"/>
      <c r="D10" s="85"/>
      <c r="E10" s="85"/>
      <c r="F10" s="8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85"/>
      <c r="H10" s="85"/>
      <c r="I10" s="85"/>
      <c r="J10" s="85"/>
      <c r="K10" s="85"/>
      <c r="L10" s="85"/>
      <c r="M10" s="85"/>
      <c r="N10" s="8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30</v>
      </c>
      <c r="R10" s="139" t="str">
        <f t="array" aca="1" ref="R10" ca="1">IFERROR(INDEX($A:$A,SMALL(IF($A$1:$A$64&lt;&gt;"",ROW($A$1:$A$64)),ROW(A10))),"")</f>
        <v/>
      </c>
      <c r="S10" s="139" t="str">
        <f t="shared" ca="1" si="0"/>
        <v/>
      </c>
      <c r="T10" s="139" t="str">
        <f t="shared" ca="1" si="1"/>
        <v/>
      </c>
    </row>
    <row r="11" spans="1:20">
      <c r="A11" s="85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85" t="str">
        <f t="array" aca="1" ref="B11" ca="1">IF(AND(B3&lt;&gt;"",O11&lt;&gt;0),
IF(INDIRECT("'数出表_Excel（アレルギー入力）'!"&amp;P11&amp;"147")&lt;&gt;F3,B3,""),"")</f>
        <v/>
      </c>
      <c r="C11" s="85"/>
      <c r="D11" s="85"/>
      <c r="E11" s="85"/>
      <c r="F11" s="8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85"/>
      <c r="H11" s="85"/>
      <c r="I11" s="85"/>
      <c r="J11" s="85"/>
      <c r="K11" s="85"/>
      <c r="L11" s="85"/>
      <c r="M11" s="85"/>
      <c r="N11" s="8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31</v>
      </c>
      <c r="R11" s="139" t="str">
        <f t="array" aca="1" ref="R11" ca="1">IFERROR(INDEX($A:$A,SMALL(IF($A$1:$A$64&lt;&gt;"",ROW($A$1:$A$64)),ROW(A11))),"")</f>
        <v/>
      </c>
      <c r="S11" s="139" t="str">
        <f t="shared" ca="1" si="0"/>
        <v/>
      </c>
      <c r="T11" s="139" t="str">
        <f t="shared" ca="1" si="1"/>
        <v/>
      </c>
    </row>
    <row r="12" spans="1:20">
      <c r="A12" s="85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85" t="str">
        <f t="array" aca="1" ref="B12" ca="1">IF(AND(B4&lt;&gt;"",O12&lt;&gt;0),
IF(INDIRECT("'数出表_Excel（アレルギー入力）'!"&amp;P12&amp;"147")&lt;&gt;F4,B4,""),"")</f>
        <v/>
      </c>
      <c r="C12" s="85"/>
      <c r="D12" s="85"/>
      <c r="E12" s="85"/>
      <c r="F12" s="8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85"/>
      <c r="H12" s="85"/>
      <c r="I12" s="85"/>
      <c r="J12" s="85"/>
      <c r="K12" s="85"/>
      <c r="L12" s="85"/>
      <c r="M12" s="85"/>
      <c r="N12" s="8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32</v>
      </c>
      <c r="R12" s="139" t="str">
        <f t="array" aca="1" ref="R12" ca="1">IFERROR(INDEX($A:$A,SMALL(IF($A$1:$A$64&lt;&gt;"",ROW($A$1:$A$64)),ROW(A12))),"")</f>
        <v/>
      </c>
      <c r="S12" s="139" t="str">
        <f t="shared" ca="1" si="0"/>
        <v/>
      </c>
      <c r="T12" s="139" t="str">
        <f t="shared" ca="1" si="1"/>
        <v/>
      </c>
    </row>
    <row r="13" spans="1:20">
      <c r="A13" s="85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85" t="str">
        <f t="array" aca="1" ref="B13" ca="1">IF(AND(B5&lt;&gt;"",O13&lt;&gt;0),
IF(INDIRECT("'数出表_Excel（アレルギー入力）'!"&amp;P13&amp;"147")&lt;&gt;F5,B5,""),"")</f>
        <v/>
      </c>
      <c r="C13" s="85"/>
      <c r="D13" s="85"/>
      <c r="E13" s="85"/>
      <c r="F13" s="8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85"/>
      <c r="H13" s="85"/>
      <c r="I13" s="85"/>
      <c r="J13" s="85"/>
      <c r="K13" s="85"/>
      <c r="L13" s="85"/>
      <c r="M13" s="85"/>
      <c r="N13" s="8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33</v>
      </c>
      <c r="R13" s="139" t="str">
        <f t="array" aca="1" ref="R13" ca="1">IFERROR(INDEX($A:$A,SMALL(IF($A$1:$A$64&lt;&gt;"",ROW($A$1:$A$64)),ROW(A13))),"")</f>
        <v/>
      </c>
      <c r="S13" s="139" t="str">
        <f t="shared" ca="1" si="0"/>
        <v/>
      </c>
      <c r="T13" s="139" t="str">
        <f t="shared" ca="1" si="1"/>
        <v/>
      </c>
    </row>
    <row r="14" spans="1:20">
      <c r="A14" s="85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85" t="str">
        <f t="array" aca="1" ref="B14" ca="1">IF(AND(B6&lt;&gt;"",O14&lt;&gt;0),
IF(INDIRECT("'数出表_Excel（アレルギー入力）'!"&amp;P14&amp;"147")&lt;&gt;F6,B6,""),"")</f>
        <v/>
      </c>
      <c r="C14" s="85"/>
      <c r="D14" s="85"/>
      <c r="E14" s="85"/>
      <c r="F14" s="8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85"/>
      <c r="H14" s="85"/>
      <c r="I14" s="85"/>
      <c r="J14" s="85"/>
      <c r="K14" s="85"/>
      <c r="L14" s="85"/>
      <c r="M14" s="85"/>
      <c r="N14" s="8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34</v>
      </c>
      <c r="R14" s="139" t="str">
        <f t="array" aca="1" ref="R14" ca="1">IFERROR(INDEX($A:$A,SMALL(IF($A$1:$A$64&lt;&gt;"",ROW($A$1:$A$64)),ROW(A14))),"")</f>
        <v/>
      </c>
      <c r="S14" s="139" t="str">
        <f t="shared" ca="1" si="0"/>
        <v/>
      </c>
      <c r="T14" s="139" t="str">
        <f t="shared" ca="1" si="1"/>
        <v/>
      </c>
    </row>
    <row r="15" spans="1:20">
      <c r="A15" s="85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85" t="str">
        <f t="array" aca="1" ref="B15" ca="1">IF(AND(B7&lt;&gt;"",O15&lt;&gt;0),
IF(INDIRECT("'数出表_Excel（アレルギー入力）'!"&amp;P15&amp;"147")&lt;&gt;F7,B7,""),"")</f>
        <v/>
      </c>
      <c r="C15" s="85"/>
      <c r="D15" s="85"/>
      <c r="E15" s="85"/>
      <c r="F15" s="8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85"/>
      <c r="H15" s="85"/>
      <c r="I15" s="85"/>
      <c r="J15" s="85"/>
      <c r="K15" s="85"/>
      <c r="L15" s="85"/>
      <c r="M15" s="85"/>
      <c r="N15" s="8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35</v>
      </c>
      <c r="R15" s="139" t="str">
        <f t="array" aca="1" ref="R15" ca="1">IFERROR(INDEX($A:$A,SMALL(IF($A$1:$A$64&lt;&gt;"",ROW($A$1:$A$64)),ROW(A15))),"")</f>
        <v/>
      </c>
      <c r="S15" s="139" t="str">
        <f t="shared" ca="1" si="0"/>
        <v/>
      </c>
      <c r="T15" s="139" t="str">
        <f t="shared" ca="1" si="1"/>
        <v/>
      </c>
    </row>
    <row r="16" spans="1:20">
      <c r="A16" s="85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85" t="str">
        <f t="array" aca="1" ref="B16" ca="1">IF(AND(B8&lt;&gt;"",O16&lt;&gt;0),
IF(INDIRECT("'数出表_Excel（アレルギー入力）'!"&amp;P16&amp;"147")&lt;&gt;F8,B8,""),"")</f>
        <v/>
      </c>
      <c r="C16" s="85"/>
      <c r="D16" s="85"/>
      <c r="E16" s="85"/>
      <c r="F16" s="8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85"/>
      <c r="H16" s="85"/>
      <c r="I16" s="85"/>
      <c r="J16" s="85"/>
      <c r="K16" s="85"/>
      <c r="L16" s="85"/>
      <c r="M16" s="85"/>
      <c r="N16" s="8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36</v>
      </c>
    </row>
    <row r="17" spans="1:16">
      <c r="A17" s="86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86" t="str">
        <f t="array" aca="1" ref="B17" ca="1">IF(AND(B9&lt;&gt;"",O17&lt;&gt;0),
IF(INDIRECT("'数出表_Excel（アレルギー入力）'!"&amp;P17&amp;"147")&lt;&gt;F9,B9,""),"")</f>
        <v/>
      </c>
      <c r="C17" s="86"/>
      <c r="D17" s="86"/>
      <c r="E17" s="86"/>
      <c r="F17" s="8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86"/>
      <c r="H17" s="86"/>
      <c r="I17" s="86"/>
      <c r="J17" s="86"/>
      <c r="K17" s="86"/>
      <c r="L17" s="86"/>
      <c r="M17" s="86"/>
      <c r="N17" s="8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29</v>
      </c>
    </row>
    <row r="18" spans="1:16">
      <c r="A18" s="86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86" t="str">
        <f t="array" aca="1" ref="B18" ca="1">IF(AND(B10&lt;&gt;"",O18&lt;&gt;0),
IF(INDIRECT("'数出表_Excel（アレルギー入力）'!"&amp;P18&amp;"147")&lt;&gt;F10,B10,""),"")</f>
        <v/>
      </c>
      <c r="C18" s="86"/>
      <c r="D18" s="86"/>
      <c r="E18" s="86"/>
      <c r="F18" s="8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86"/>
      <c r="H18" s="86"/>
      <c r="I18" s="86"/>
      <c r="J18" s="86"/>
      <c r="K18" s="86"/>
      <c r="L18" s="86"/>
      <c r="M18" s="86"/>
      <c r="N18" s="8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30</v>
      </c>
    </row>
    <row r="19" spans="1:16">
      <c r="A19" s="86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86" t="str">
        <f t="array" aca="1" ref="B19" ca="1">IF(AND(B11&lt;&gt;"",O19&lt;&gt;0),
IF(INDIRECT("'数出表_Excel（アレルギー入力）'!"&amp;P19&amp;"147")&lt;&gt;F11,B11,""),"")</f>
        <v/>
      </c>
      <c r="C19" s="86"/>
      <c r="D19" s="86"/>
      <c r="E19" s="86"/>
      <c r="F19" s="8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86"/>
      <c r="H19" s="86"/>
      <c r="I19" s="86"/>
      <c r="J19" s="86"/>
      <c r="K19" s="86"/>
      <c r="L19" s="86"/>
      <c r="M19" s="86"/>
      <c r="N19" s="8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31</v>
      </c>
    </row>
    <row r="20" spans="1:16">
      <c r="A20" s="86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86" t="str">
        <f t="array" aca="1" ref="B20" ca="1">IF(AND(B12&lt;&gt;"",O20&lt;&gt;0),
IF(INDIRECT("'数出表_Excel（アレルギー入力）'!"&amp;P20&amp;"147")&lt;&gt;F12,B12,""),"")</f>
        <v/>
      </c>
      <c r="C20" s="86"/>
      <c r="D20" s="86"/>
      <c r="E20" s="86"/>
      <c r="F20" s="8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86"/>
      <c r="H20" s="86"/>
      <c r="I20" s="86"/>
      <c r="J20" s="86"/>
      <c r="K20" s="86"/>
      <c r="L20" s="86"/>
      <c r="M20" s="86"/>
      <c r="N20" s="8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32</v>
      </c>
    </row>
    <row r="21" spans="1:16">
      <c r="A21" s="86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86" t="str">
        <f t="array" aca="1" ref="B21" ca="1">IF(AND(B13&lt;&gt;"",O21&lt;&gt;0),
IF(INDIRECT("'数出表_Excel（アレルギー入力）'!"&amp;P21&amp;"147")&lt;&gt;F13,B13,""),"")</f>
        <v/>
      </c>
      <c r="C21" s="86"/>
      <c r="D21" s="86"/>
      <c r="E21" s="86"/>
      <c r="F21" s="8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86"/>
      <c r="H21" s="86"/>
      <c r="I21" s="86"/>
      <c r="J21" s="86"/>
      <c r="K21" s="86"/>
      <c r="L21" s="86"/>
      <c r="M21" s="86"/>
      <c r="N21" s="8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33</v>
      </c>
    </row>
    <row r="22" spans="1:16">
      <c r="A22" s="86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86" t="str">
        <f t="array" aca="1" ref="B22" ca="1">IF(AND(B14&lt;&gt;"",O22&lt;&gt;0),
IF(INDIRECT("'数出表_Excel（アレルギー入力）'!"&amp;P22&amp;"147")&lt;&gt;F14,B14,""),"")</f>
        <v/>
      </c>
      <c r="C22" s="86"/>
      <c r="D22" s="86"/>
      <c r="E22" s="86"/>
      <c r="F22" s="8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86"/>
      <c r="H22" s="86"/>
      <c r="I22" s="86"/>
      <c r="J22" s="86"/>
      <c r="K22" s="86"/>
      <c r="L22" s="86"/>
      <c r="M22" s="86"/>
      <c r="N22" s="8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34</v>
      </c>
    </row>
    <row r="23" spans="1:16">
      <c r="A23" s="86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86" t="str">
        <f t="array" aca="1" ref="B23" ca="1">IF(AND(B15&lt;&gt;"",O23&lt;&gt;0),
IF(INDIRECT("'数出表_Excel（アレルギー入力）'!"&amp;P23&amp;"147")&lt;&gt;F15,B15,""),"")</f>
        <v/>
      </c>
      <c r="C23" s="86"/>
      <c r="D23" s="86"/>
      <c r="E23" s="86"/>
      <c r="F23" s="8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86"/>
      <c r="H23" s="86"/>
      <c r="I23" s="86"/>
      <c r="J23" s="86"/>
      <c r="K23" s="86"/>
      <c r="L23" s="86"/>
      <c r="M23" s="86"/>
      <c r="N23" s="8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35</v>
      </c>
    </row>
    <row r="24" spans="1:16">
      <c r="A24" s="86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86" t="str">
        <f t="array" aca="1" ref="B24" ca="1">IF(AND(B16&lt;&gt;"",O24&lt;&gt;0),
IF(INDIRECT("'数出表_Excel（アレルギー入力）'!"&amp;P24&amp;"147")&lt;&gt;F16,B16,""),"")</f>
        <v/>
      </c>
      <c r="C24" s="86"/>
      <c r="D24" s="86"/>
      <c r="E24" s="86"/>
      <c r="F24" s="8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86"/>
      <c r="H24" s="86"/>
      <c r="I24" s="86"/>
      <c r="J24" s="86"/>
      <c r="K24" s="86"/>
      <c r="L24" s="86"/>
      <c r="M24" s="86"/>
      <c r="N24" s="8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36</v>
      </c>
    </row>
    <row r="25" spans="1:16">
      <c r="A25" s="123" t="str">
        <f t="array" aca="1" ref="A25" ca="1">IF(F25&lt;&gt;"",
IF(LEFT(INDIRECT("'数出表_Excel（アレルギー入力）'!A"&amp;MATCH(F25,INDIRECT("'数出表_Excel（アレルギー入力）'!"&amp;P25&amp;":"&amp;P25&amp;""),0)),2)="博多",
LEFT(INDIRECT("'数出表_Excel（アレルギー入力）'!A"&amp;MATCH(F25,INDIRECT("'数出表_Excel（アレルギー入力）'!"&amp;P25&amp;":"&amp;P25&amp;""),0)),FIND("週",INDIRECT("'数出表_Excel（アレルギー入力）'!A"&amp;MATCH(F25,INDIRECT("'数出表_Excel（アレルギー入力）'!"&amp;P25&amp;":"&amp;P25&amp;""),0)))-1),
INDIRECT("'数出表_Excel（アレルギー入力）'!A"&amp;MATCH(F25,INDIRECT("'数出表_Excel（アレルギー入力）'!"&amp;P25&amp;":"&amp;P25&amp;""),0))),"")</f>
        <v/>
      </c>
      <c r="B25" s="123" t="str">
        <f t="array" aca="1" ref="B25" ca="1">IF(AND(B17&lt;&gt;"",O25&lt;&gt;0),
IF(INDIRECT("'数出表_Excel（アレルギー入力）'!"&amp;P25&amp;"147")&lt;&gt;F17,B17,""),"")</f>
        <v/>
      </c>
      <c r="C25" s="123"/>
      <c r="D25" s="123"/>
      <c r="E25" s="123"/>
      <c r="F25" s="123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123"/>
      <c r="H25" s="123"/>
      <c r="I25" s="123"/>
      <c r="J25" s="123"/>
      <c r="K25" s="123"/>
      <c r="L25" s="123"/>
      <c r="M25" s="123"/>
      <c r="N25" s="123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29</v>
      </c>
    </row>
    <row r="26" spans="1:16">
      <c r="A26" s="123" t="str">
        <f t="array" aca="1" ref="A26" ca="1">IF(F26&lt;&gt;"",
IF(LEFT(INDIRECT("'数出表_Excel（アレルギー入力）'!A"&amp;MATCH(F26,INDIRECT("'数出表_Excel（アレルギー入力）'!"&amp;P26&amp;":"&amp;P26&amp;""),0)),2)="博多",
LEFT(INDIRECT("'数出表_Excel（アレルギー入力）'!A"&amp;MATCH(F26,INDIRECT("'数出表_Excel（アレルギー入力）'!"&amp;P26&amp;":"&amp;P26&amp;""),0)),FIND("週",INDIRECT("'数出表_Excel（アレルギー入力）'!A"&amp;MATCH(F26,INDIRECT("'数出表_Excel（アレルギー入力）'!"&amp;P26&amp;":"&amp;P26&amp;""),0)))-1),
INDIRECT("'数出表_Excel（アレルギー入力）'!A"&amp;MATCH(F26,INDIRECT("'数出表_Excel（アレルギー入力）'!"&amp;P26&amp;":"&amp;P26&amp;""),0))),"")</f>
        <v/>
      </c>
      <c r="B26" s="123" t="str">
        <f t="array" aca="1" ref="B26" ca="1">IF(AND(B18&lt;&gt;"",O26&lt;&gt;0),
IF(INDIRECT("'数出表_Excel（アレルギー入力）'!"&amp;P26&amp;"147")&lt;&gt;F18,B18,""),"")</f>
        <v/>
      </c>
      <c r="C26" s="123"/>
      <c r="D26" s="123"/>
      <c r="E26" s="123"/>
      <c r="F26" s="123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123"/>
      <c r="H26" s="123"/>
      <c r="I26" s="123"/>
      <c r="J26" s="123"/>
      <c r="K26" s="123"/>
      <c r="L26" s="123"/>
      <c r="M26" s="123"/>
      <c r="N26" s="123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30</v>
      </c>
    </row>
    <row r="27" spans="1:16">
      <c r="A27" s="123" t="str">
        <f t="array" aca="1" ref="A27" ca="1">IF(F27&lt;&gt;"",
IF(LEFT(INDIRECT("'数出表_Excel（アレルギー入力）'!A"&amp;MATCH(F27,INDIRECT("'数出表_Excel（アレルギー入力）'!"&amp;P27&amp;":"&amp;P27&amp;""),0)),2)="博多",
LEFT(INDIRECT("'数出表_Excel（アレルギー入力）'!A"&amp;MATCH(F27,INDIRECT("'数出表_Excel（アレルギー入力）'!"&amp;P27&amp;":"&amp;P27&amp;""),0)),FIND("週",INDIRECT("'数出表_Excel（アレルギー入力）'!A"&amp;MATCH(F27,INDIRECT("'数出表_Excel（アレルギー入力）'!"&amp;P27&amp;":"&amp;P27&amp;""),0)))-1),
INDIRECT("'数出表_Excel（アレルギー入力）'!A"&amp;MATCH(F27,INDIRECT("'数出表_Excel（アレルギー入力）'!"&amp;P27&amp;":"&amp;P27&amp;""),0))),"")</f>
        <v/>
      </c>
      <c r="B27" s="123" t="str">
        <f t="array" aca="1" ref="B27" ca="1">IF(AND(B19&lt;&gt;"",O27&lt;&gt;0),
IF(INDIRECT("'数出表_Excel（アレルギー入力）'!"&amp;P27&amp;"147")&lt;&gt;F19,B19,""),"")</f>
        <v/>
      </c>
      <c r="C27" s="123"/>
      <c r="D27" s="123"/>
      <c r="E27" s="123"/>
      <c r="F27" s="123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123"/>
      <c r="H27" s="123"/>
      <c r="I27" s="123"/>
      <c r="J27" s="123"/>
      <c r="K27" s="123"/>
      <c r="L27" s="123"/>
      <c r="M27" s="123"/>
      <c r="N27" s="123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31</v>
      </c>
    </row>
    <row r="28" spans="1:16">
      <c r="A28" s="123" t="str">
        <f t="array" aca="1" ref="A28" ca="1">IF(F28&lt;&gt;"",
IF(LEFT(INDIRECT("'数出表_Excel（アレルギー入力）'!A"&amp;MATCH(F28,INDIRECT("'数出表_Excel（アレルギー入力）'!"&amp;P28&amp;":"&amp;P28&amp;""),0)),2)="博多",
LEFT(INDIRECT("'数出表_Excel（アレルギー入力）'!A"&amp;MATCH(F28,INDIRECT("'数出表_Excel（アレルギー入力）'!"&amp;P28&amp;":"&amp;P28&amp;""),0)),FIND("週",INDIRECT("'数出表_Excel（アレルギー入力）'!A"&amp;MATCH(F28,INDIRECT("'数出表_Excel（アレルギー入力）'!"&amp;P28&amp;":"&amp;P28&amp;""),0)))-1),
INDIRECT("'数出表_Excel（アレルギー入力）'!A"&amp;MATCH(F28,INDIRECT("'数出表_Excel（アレルギー入力）'!"&amp;P28&amp;":"&amp;P28&amp;""),0))),"")</f>
        <v/>
      </c>
      <c r="B28" s="123" t="str">
        <f t="array" aca="1" ref="B28" ca="1">IF(AND(B20&lt;&gt;"",O28&lt;&gt;0),
IF(INDIRECT("'数出表_Excel（アレルギー入力）'!"&amp;P28&amp;"147")&lt;&gt;F20,B20,""),"")</f>
        <v/>
      </c>
      <c r="C28" s="123"/>
      <c r="D28" s="123"/>
      <c r="E28" s="123"/>
      <c r="F28" s="123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123"/>
      <c r="H28" s="123"/>
      <c r="I28" s="123"/>
      <c r="J28" s="123"/>
      <c r="K28" s="123"/>
      <c r="L28" s="123"/>
      <c r="M28" s="123"/>
      <c r="N28" s="123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32</v>
      </c>
    </row>
    <row r="29" spans="1:16">
      <c r="A29" s="123" t="str">
        <f t="array" aca="1" ref="A29" ca="1">IF(F29&lt;&gt;"",
IF(LEFT(INDIRECT("'数出表_Excel（アレルギー入力）'!A"&amp;MATCH(F29,INDIRECT("'数出表_Excel（アレルギー入力）'!"&amp;P29&amp;":"&amp;P29&amp;""),0)),2)="博多",
LEFT(INDIRECT("'数出表_Excel（アレルギー入力）'!A"&amp;MATCH(F29,INDIRECT("'数出表_Excel（アレルギー入力）'!"&amp;P29&amp;":"&amp;P29&amp;""),0)),FIND("週",INDIRECT("'数出表_Excel（アレルギー入力）'!A"&amp;MATCH(F29,INDIRECT("'数出表_Excel（アレルギー入力）'!"&amp;P29&amp;":"&amp;P29&amp;""),0)))-1),
INDIRECT("'数出表_Excel（アレルギー入力）'!A"&amp;MATCH(F29,INDIRECT("'数出表_Excel（アレルギー入力）'!"&amp;P29&amp;":"&amp;P29&amp;""),0))),"")</f>
        <v/>
      </c>
      <c r="B29" s="123" t="str">
        <f t="array" aca="1" ref="B29" ca="1">IF(AND(B21&lt;&gt;"",O29&lt;&gt;0),
IF(INDIRECT("'数出表_Excel（アレルギー入力）'!"&amp;P29&amp;"147")&lt;&gt;F21,B21,""),"")</f>
        <v/>
      </c>
      <c r="C29" s="123"/>
      <c r="D29" s="123"/>
      <c r="E29" s="123"/>
      <c r="F29" s="123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123"/>
      <c r="H29" s="123"/>
      <c r="I29" s="123"/>
      <c r="J29" s="123"/>
      <c r="K29" s="123"/>
      <c r="L29" s="123"/>
      <c r="M29" s="123"/>
      <c r="N29" s="123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33</v>
      </c>
    </row>
    <row r="30" spans="1:16">
      <c r="A30" s="123" t="str">
        <f t="array" aca="1" ref="A30" ca="1">IF(F30&lt;&gt;"",
IF(LEFT(INDIRECT("'数出表_Excel（アレルギー入力）'!A"&amp;MATCH(F30,INDIRECT("'数出表_Excel（アレルギー入力）'!"&amp;P30&amp;":"&amp;P30&amp;""),0)),2)="博多",
LEFT(INDIRECT("'数出表_Excel（アレルギー入力）'!A"&amp;MATCH(F30,INDIRECT("'数出表_Excel（アレルギー入力）'!"&amp;P30&amp;":"&amp;P30&amp;""),0)),FIND("週",INDIRECT("'数出表_Excel（アレルギー入力）'!A"&amp;MATCH(F30,INDIRECT("'数出表_Excel（アレルギー入力）'!"&amp;P30&amp;":"&amp;P30&amp;""),0)))-1),
INDIRECT("'数出表_Excel（アレルギー入力）'!A"&amp;MATCH(F30,INDIRECT("'数出表_Excel（アレルギー入力）'!"&amp;P30&amp;":"&amp;P30&amp;""),0))),"")</f>
        <v/>
      </c>
      <c r="B30" s="123" t="str">
        <f t="array" aca="1" ref="B30" ca="1">IF(AND(B22&lt;&gt;"",O30&lt;&gt;0),
IF(INDIRECT("'数出表_Excel（アレルギー入力）'!"&amp;P30&amp;"147")&lt;&gt;F22,B22,""),"")</f>
        <v/>
      </c>
      <c r="C30" s="123"/>
      <c r="D30" s="123"/>
      <c r="E30" s="123"/>
      <c r="F30" s="123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123"/>
      <c r="H30" s="123"/>
      <c r="I30" s="123"/>
      <c r="J30" s="123"/>
      <c r="K30" s="123"/>
      <c r="L30" s="123"/>
      <c r="M30" s="123"/>
      <c r="N30" s="123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34</v>
      </c>
    </row>
    <row r="31" spans="1:16">
      <c r="A31" s="123" t="str">
        <f t="array" aca="1" ref="A31" ca="1">IF(F31&lt;&gt;"",
IF(LEFT(INDIRECT("'数出表_Excel（アレルギー入力）'!A"&amp;MATCH(F31,INDIRECT("'数出表_Excel（アレルギー入力）'!"&amp;P31&amp;":"&amp;P31&amp;""),0)),2)="博多",
LEFT(INDIRECT("'数出表_Excel（アレルギー入力）'!A"&amp;MATCH(F31,INDIRECT("'数出表_Excel（アレルギー入力）'!"&amp;P31&amp;":"&amp;P31&amp;""),0)),FIND("週",INDIRECT("'数出表_Excel（アレルギー入力）'!A"&amp;MATCH(F31,INDIRECT("'数出表_Excel（アレルギー入力）'!"&amp;P31&amp;":"&amp;P31&amp;""),0)))-1),
INDIRECT("'数出表_Excel（アレルギー入力）'!A"&amp;MATCH(F31,INDIRECT("'数出表_Excel（アレルギー入力）'!"&amp;P31&amp;":"&amp;P31&amp;""),0))),"")</f>
        <v/>
      </c>
      <c r="B31" s="123" t="str">
        <f t="array" aca="1" ref="B31" ca="1">IF(AND(B23&lt;&gt;"",O31&lt;&gt;0),
IF(INDIRECT("'数出表_Excel（アレルギー入力）'!"&amp;P31&amp;"147")&lt;&gt;F23,B23,""),"")</f>
        <v/>
      </c>
      <c r="C31" s="123"/>
      <c r="D31" s="123"/>
      <c r="E31" s="123"/>
      <c r="F31" s="123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123"/>
      <c r="H31" s="123"/>
      <c r="I31" s="123"/>
      <c r="J31" s="123"/>
      <c r="K31" s="123"/>
      <c r="L31" s="123"/>
      <c r="M31" s="123"/>
      <c r="N31" s="123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35</v>
      </c>
    </row>
    <row r="32" spans="1:16">
      <c r="A32" s="123" t="str">
        <f t="array" aca="1" ref="A32" ca="1">IF(F32&lt;&gt;"",
IF(LEFT(INDIRECT("'数出表_Excel（アレルギー入力）'!A"&amp;MATCH(F32,INDIRECT("'数出表_Excel（アレルギー入力）'!"&amp;P32&amp;":"&amp;P32&amp;""),0)),2)="博多",
LEFT(INDIRECT("'数出表_Excel（アレルギー入力）'!A"&amp;MATCH(F32,INDIRECT("'数出表_Excel（アレルギー入力）'!"&amp;P32&amp;":"&amp;P32&amp;""),0)),FIND("週",INDIRECT("'数出表_Excel（アレルギー入力）'!A"&amp;MATCH(F32,INDIRECT("'数出表_Excel（アレルギー入力）'!"&amp;P32&amp;":"&amp;P32&amp;""),0)))-1),
INDIRECT("'数出表_Excel（アレルギー入力）'!A"&amp;MATCH(F32,INDIRECT("'数出表_Excel（アレルギー入力）'!"&amp;P32&amp;":"&amp;P32&amp;""),0))),"")</f>
        <v/>
      </c>
      <c r="B32" s="123" t="str">
        <f t="array" aca="1" ref="B32" ca="1">IF(AND(B24&lt;&gt;"",O32&lt;&gt;0),
IF(INDIRECT("'数出表_Excel（アレルギー入力）'!"&amp;P32&amp;"147")&lt;&gt;F24,B24,""),"")</f>
        <v/>
      </c>
      <c r="C32" s="123"/>
      <c r="D32" s="123"/>
      <c r="E32" s="123"/>
      <c r="F32" s="123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123"/>
      <c r="H32" s="123"/>
      <c r="I32" s="123"/>
      <c r="J32" s="123"/>
      <c r="K32" s="123"/>
      <c r="L32" s="123"/>
      <c r="M32" s="123"/>
      <c r="N32" s="123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36</v>
      </c>
    </row>
    <row r="33" spans="1:16">
      <c r="A33" s="136" t="str">
        <f t="array" aca="1" ref="A33" ca="1">IF(F33&lt;&gt;"",
IF(LEFT(INDIRECT("'数出表_Excel（アレルギー入力）'!A"&amp;MATCH(F33,INDIRECT("'数出表_Excel（アレルギー入力）'!"&amp;P33&amp;":"&amp;P33&amp;""),0)),2)="博多",
LEFT(INDIRECT("'数出表_Excel（アレルギー入力）'!A"&amp;MATCH(F33,INDIRECT("'数出表_Excel（アレルギー入力）'!"&amp;P33&amp;":"&amp;P33&amp;""),0)),FIND("週",INDIRECT("'数出表_Excel（アレルギー入力）'!A"&amp;MATCH(F33,INDIRECT("'数出表_Excel（アレルギー入力）'!"&amp;P33&amp;":"&amp;P33&amp;""),0)))-1),
INDIRECT("'数出表_Excel（アレルギー入力）'!A"&amp;MATCH(F33,INDIRECT("'数出表_Excel（アレルギー入力）'!"&amp;P33&amp;":"&amp;P33&amp;""),0))),"")</f>
        <v/>
      </c>
      <c r="B33" s="136" t="str">
        <f t="array" aca="1" ref="B33" ca="1">IF(AND(B25&lt;&gt;"",O33&lt;&gt;0),
IF(INDIRECT("'数出表_Excel（アレルギー入力）'!"&amp;P33&amp;"147")&lt;&gt;F25,B25,""),"")</f>
        <v/>
      </c>
      <c r="C33" s="136"/>
      <c r="D33" s="136"/>
      <c r="E33" s="136"/>
      <c r="F33" s="136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36"/>
      <c r="H33" s="136"/>
      <c r="I33" s="136"/>
      <c r="J33" s="136"/>
      <c r="K33" s="136"/>
      <c r="L33" s="136"/>
      <c r="M33" s="136"/>
      <c r="N33" s="136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29</v>
      </c>
    </row>
    <row r="34" spans="1:16">
      <c r="A34" s="136" t="str">
        <f t="array" aca="1" ref="A34" ca="1">IF(F34&lt;&gt;"",
IF(LEFT(INDIRECT("'数出表_Excel（アレルギー入力）'!A"&amp;MATCH(F34,INDIRECT("'数出表_Excel（アレルギー入力）'!"&amp;P34&amp;":"&amp;P34&amp;""),0)),2)="博多",
LEFT(INDIRECT("'数出表_Excel（アレルギー入力）'!A"&amp;MATCH(F34,INDIRECT("'数出表_Excel（アレルギー入力）'!"&amp;P34&amp;":"&amp;P34&amp;""),0)),FIND("週",INDIRECT("'数出表_Excel（アレルギー入力）'!A"&amp;MATCH(F34,INDIRECT("'数出表_Excel（アレルギー入力）'!"&amp;P34&amp;":"&amp;P34&amp;""),0)))-1),
INDIRECT("'数出表_Excel（アレルギー入力）'!A"&amp;MATCH(F34,INDIRECT("'数出表_Excel（アレルギー入力）'!"&amp;P34&amp;":"&amp;P34&amp;""),0))),"")</f>
        <v/>
      </c>
      <c r="B34" s="136" t="str">
        <f t="array" aca="1" ref="B34" ca="1">IF(AND(B26&lt;&gt;"",O34&lt;&gt;0),
IF(INDIRECT("'数出表_Excel（アレルギー入力）'!"&amp;P34&amp;"147")&lt;&gt;F26,B26,""),"")</f>
        <v/>
      </c>
      <c r="C34" s="136"/>
      <c r="D34" s="136"/>
      <c r="E34" s="136"/>
      <c r="F34" s="136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36"/>
      <c r="H34" s="136"/>
      <c r="I34" s="136"/>
      <c r="J34" s="136"/>
      <c r="K34" s="136"/>
      <c r="L34" s="136"/>
      <c r="M34" s="136"/>
      <c r="N34" s="136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30</v>
      </c>
    </row>
    <row r="35" spans="1:16">
      <c r="A35" s="136" t="str">
        <f t="array" aca="1" ref="A35" ca="1">IF(F35&lt;&gt;"",
IF(LEFT(INDIRECT("'数出表_Excel（アレルギー入力）'!A"&amp;MATCH(F35,INDIRECT("'数出表_Excel（アレルギー入力）'!"&amp;P35&amp;":"&amp;P35&amp;""),0)),2)="博多",
LEFT(INDIRECT("'数出表_Excel（アレルギー入力）'!A"&amp;MATCH(F35,INDIRECT("'数出表_Excel（アレルギー入力）'!"&amp;P35&amp;":"&amp;P35&amp;""),0)),FIND("週",INDIRECT("'数出表_Excel（アレルギー入力）'!A"&amp;MATCH(F35,INDIRECT("'数出表_Excel（アレルギー入力）'!"&amp;P35&amp;":"&amp;P35&amp;""),0)))-1),
INDIRECT("'数出表_Excel（アレルギー入力）'!A"&amp;MATCH(F35,INDIRECT("'数出表_Excel（アレルギー入力）'!"&amp;P35&amp;":"&amp;P35&amp;""),0))),"")</f>
        <v/>
      </c>
      <c r="B35" s="136" t="str">
        <f t="array" aca="1" ref="B35" ca="1">IF(AND(B27&lt;&gt;"",O35&lt;&gt;0),
IF(INDIRECT("'数出表_Excel（アレルギー入力）'!"&amp;P35&amp;"147")&lt;&gt;F27,B27,""),"")</f>
        <v/>
      </c>
      <c r="C35" s="136"/>
      <c r="D35" s="136"/>
      <c r="E35" s="136"/>
      <c r="F35" s="136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36"/>
      <c r="H35" s="136"/>
      <c r="I35" s="136"/>
      <c r="J35" s="136"/>
      <c r="K35" s="136"/>
      <c r="L35" s="136"/>
      <c r="M35" s="136"/>
      <c r="N35" s="136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31</v>
      </c>
    </row>
    <row r="36" spans="1:16">
      <c r="A36" s="136" t="str">
        <f t="array" aca="1" ref="A36" ca="1">IF(F36&lt;&gt;"",
IF(LEFT(INDIRECT("'数出表_Excel（アレルギー入力）'!A"&amp;MATCH(F36,INDIRECT("'数出表_Excel（アレルギー入力）'!"&amp;P36&amp;":"&amp;P36&amp;""),0)),2)="博多",
LEFT(INDIRECT("'数出表_Excel（アレルギー入力）'!A"&amp;MATCH(F36,INDIRECT("'数出表_Excel（アレルギー入力）'!"&amp;P36&amp;":"&amp;P36&amp;""),0)),FIND("週",INDIRECT("'数出表_Excel（アレルギー入力）'!A"&amp;MATCH(F36,INDIRECT("'数出表_Excel（アレルギー入力）'!"&amp;P36&amp;":"&amp;P36&amp;""),0)))-1),
INDIRECT("'数出表_Excel（アレルギー入力）'!A"&amp;MATCH(F36,INDIRECT("'数出表_Excel（アレルギー入力）'!"&amp;P36&amp;":"&amp;P36&amp;""),0))),"")</f>
        <v/>
      </c>
      <c r="B36" s="136" t="str">
        <f t="array" aca="1" ref="B36" ca="1">IF(AND(B28&lt;&gt;"",O36&lt;&gt;0),
IF(INDIRECT("'数出表_Excel（アレルギー入力）'!"&amp;P36&amp;"147")&lt;&gt;F28,B28,""),"")</f>
        <v/>
      </c>
      <c r="C36" s="136"/>
      <c r="D36" s="136"/>
      <c r="E36" s="136"/>
      <c r="F36" s="136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36"/>
      <c r="H36" s="136"/>
      <c r="I36" s="136"/>
      <c r="J36" s="136"/>
      <c r="K36" s="136"/>
      <c r="L36" s="136"/>
      <c r="M36" s="136"/>
      <c r="N36" s="136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32</v>
      </c>
    </row>
    <row r="37" spans="1:16">
      <c r="A37" s="136" t="str">
        <f t="array" aca="1" ref="A37" ca="1">IF(F37&lt;&gt;"",
IF(LEFT(INDIRECT("'数出表_Excel（アレルギー入力）'!A"&amp;MATCH(F37,INDIRECT("'数出表_Excel（アレルギー入力）'!"&amp;P37&amp;":"&amp;P37&amp;""),0)),2)="博多",
LEFT(INDIRECT("'数出表_Excel（アレルギー入力）'!A"&amp;MATCH(F37,INDIRECT("'数出表_Excel（アレルギー入力）'!"&amp;P37&amp;":"&amp;P37&amp;""),0)),FIND("週",INDIRECT("'数出表_Excel（アレルギー入力）'!A"&amp;MATCH(F37,INDIRECT("'数出表_Excel（アレルギー入力）'!"&amp;P37&amp;":"&amp;P37&amp;""),0)))-1),
INDIRECT("'数出表_Excel（アレルギー入力）'!A"&amp;MATCH(F37,INDIRECT("'数出表_Excel（アレルギー入力）'!"&amp;P37&amp;":"&amp;P37&amp;""),0))),"")</f>
        <v/>
      </c>
      <c r="B37" s="136" t="str">
        <f t="array" aca="1" ref="B37" ca="1">IF(AND(B29&lt;&gt;"",O37&lt;&gt;0),
IF(INDIRECT("'数出表_Excel（アレルギー入力）'!"&amp;P37&amp;"147")&lt;&gt;F29,B29,""),"")</f>
        <v/>
      </c>
      <c r="C37" s="136"/>
      <c r="D37" s="136"/>
      <c r="E37" s="136"/>
      <c r="F37" s="136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36"/>
      <c r="H37" s="136"/>
      <c r="I37" s="136"/>
      <c r="J37" s="136"/>
      <c r="K37" s="136"/>
      <c r="L37" s="136"/>
      <c r="M37" s="136"/>
      <c r="N37" s="136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33</v>
      </c>
    </row>
    <row r="38" spans="1:16">
      <c r="A38" s="136" t="str">
        <f t="array" aca="1" ref="A38" ca="1">IF(F38&lt;&gt;"",
IF(LEFT(INDIRECT("'数出表_Excel（アレルギー入力）'!A"&amp;MATCH(F38,INDIRECT("'数出表_Excel（アレルギー入力）'!"&amp;P38&amp;":"&amp;P38&amp;""),0)),2)="博多",
LEFT(INDIRECT("'数出表_Excel（アレルギー入力）'!A"&amp;MATCH(F38,INDIRECT("'数出表_Excel（アレルギー入力）'!"&amp;P38&amp;":"&amp;P38&amp;""),0)),FIND("週",INDIRECT("'数出表_Excel（アレルギー入力）'!A"&amp;MATCH(F38,INDIRECT("'数出表_Excel（アレルギー入力）'!"&amp;P38&amp;":"&amp;P38&amp;""),0)))-1),
INDIRECT("'数出表_Excel（アレルギー入力）'!A"&amp;MATCH(F38,INDIRECT("'数出表_Excel（アレルギー入力）'!"&amp;P38&amp;":"&amp;P38&amp;""),0))),"")</f>
        <v/>
      </c>
      <c r="B38" s="136" t="str">
        <f t="array" aca="1" ref="B38" ca="1">IF(AND(B30&lt;&gt;"",O38&lt;&gt;0),
IF(INDIRECT("'数出表_Excel（アレルギー入力）'!"&amp;P38&amp;"147")&lt;&gt;F30,B30,""),"")</f>
        <v/>
      </c>
      <c r="C38" s="136"/>
      <c r="D38" s="136"/>
      <c r="E38" s="136"/>
      <c r="F38" s="136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36"/>
      <c r="H38" s="136"/>
      <c r="I38" s="136"/>
      <c r="J38" s="136"/>
      <c r="K38" s="136"/>
      <c r="L38" s="136"/>
      <c r="M38" s="136"/>
      <c r="N38" s="136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34</v>
      </c>
    </row>
    <row r="39" spans="1:16">
      <c r="A39" s="136" t="str">
        <f t="array" aca="1" ref="A39" ca="1">IF(F39&lt;&gt;"",
IF(LEFT(INDIRECT("'数出表_Excel（アレルギー入力）'!A"&amp;MATCH(F39,INDIRECT("'数出表_Excel（アレルギー入力）'!"&amp;P39&amp;":"&amp;P39&amp;""),0)),2)="博多",
LEFT(INDIRECT("'数出表_Excel（アレルギー入力）'!A"&amp;MATCH(F39,INDIRECT("'数出表_Excel（アレルギー入力）'!"&amp;P39&amp;":"&amp;P39&amp;""),0)),FIND("週",INDIRECT("'数出表_Excel（アレルギー入力）'!A"&amp;MATCH(F39,INDIRECT("'数出表_Excel（アレルギー入力）'!"&amp;P39&amp;":"&amp;P39&amp;""),0)))-1),
INDIRECT("'数出表_Excel（アレルギー入力）'!A"&amp;MATCH(F39,INDIRECT("'数出表_Excel（アレルギー入力）'!"&amp;P39&amp;":"&amp;P39&amp;""),0))),"")</f>
        <v/>
      </c>
      <c r="B39" s="136" t="str">
        <f t="array" aca="1" ref="B39" ca="1">IF(AND(B31&lt;&gt;"",O39&lt;&gt;0),
IF(INDIRECT("'数出表_Excel（アレルギー入力）'!"&amp;P39&amp;"147")&lt;&gt;F31,B31,""),"")</f>
        <v/>
      </c>
      <c r="C39" s="136"/>
      <c r="D39" s="136"/>
      <c r="E39" s="136"/>
      <c r="F39" s="136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36"/>
      <c r="H39" s="136"/>
      <c r="I39" s="136"/>
      <c r="J39" s="136"/>
      <c r="K39" s="136"/>
      <c r="L39" s="136"/>
      <c r="M39" s="136"/>
      <c r="N39" s="136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35</v>
      </c>
    </row>
    <row r="40" spans="1:16">
      <c r="A40" s="136" t="str">
        <f t="array" aca="1" ref="A40" ca="1">IF(F40&lt;&gt;"",
IF(LEFT(INDIRECT("'数出表_Excel（アレルギー入力）'!A"&amp;MATCH(F40,INDIRECT("'数出表_Excel（アレルギー入力）'!"&amp;P40&amp;":"&amp;P40&amp;""),0)),2)="博多",
LEFT(INDIRECT("'数出表_Excel（アレルギー入力）'!A"&amp;MATCH(F40,INDIRECT("'数出表_Excel（アレルギー入力）'!"&amp;P40&amp;":"&amp;P40&amp;""),0)),FIND("週",INDIRECT("'数出表_Excel（アレルギー入力）'!A"&amp;MATCH(F40,INDIRECT("'数出表_Excel（アレルギー入力）'!"&amp;P40&amp;":"&amp;P40&amp;""),0)))-1),
INDIRECT("'数出表_Excel（アレルギー入力）'!A"&amp;MATCH(F40,INDIRECT("'数出表_Excel（アレルギー入力）'!"&amp;P40&amp;":"&amp;P40&amp;""),0))),"")</f>
        <v/>
      </c>
      <c r="B40" s="136" t="str">
        <f t="array" aca="1" ref="B40" ca="1">IF(AND(B32&lt;&gt;"",O40&lt;&gt;0),
IF(INDIRECT("'数出表_Excel（アレルギー入力）'!"&amp;P40&amp;"147")&lt;&gt;F32,B32,""),"")</f>
        <v/>
      </c>
      <c r="C40" s="136"/>
      <c r="D40" s="136"/>
      <c r="E40" s="136"/>
      <c r="F40" s="136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36"/>
      <c r="H40" s="136"/>
      <c r="I40" s="136"/>
      <c r="J40" s="136"/>
      <c r="K40" s="136"/>
      <c r="L40" s="136"/>
      <c r="M40" s="136"/>
      <c r="N40" s="136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36</v>
      </c>
    </row>
    <row r="41" spans="1:16">
      <c r="A41" s="137" t="str">
        <f t="array" aca="1" ref="A41" ca="1">IF(F41&lt;&gt;"",
IF(LEFT(INDIRECT("'数出表_Excel（アレルギー入力）'!A"&amp;MATCH(F41,INDIRECT("'数出表_Excel（アレルギー入力）'!"&amp;P41&amp;":"&amp;P41&amp;""),0)),2)="博多",
LEFT(INDIRECT("'数出表_Excel（アレルギー入力）'!A"&amp;MATCH(F41,INDIRECT("'数出表_Excel（アレルギー入力）'!"&amp;P41&amp;":"&amp;P41&amp;""),0)),FIND("週",INDIRECT("'数出表_Excel（アレルギー入力）'!A"&amp;MATCH(F41,INDIRECT("'数出表_Excel（アレルギー入力）'!"&amp;P41&amp;":"&amp;P41&amp;""),0)))-1),
INDIRECT("'数出表_Excel（アレルギー入力）'!A"&amp;MATCH(F41,INDIRECT("'数出表_Excel（アレルギー入力）'!"&amp;P41&amp;":"&amp;P41&amp;""),0))),"")</f>
        <v/>
      </c>
      <c r="B41" s="137" t="str">
        <f t="array" aca="1" ref="B41" ca="1">IF(AND(B33&lt;&gt;"",O41&lt;&gt;0),
IF(INDIRECT("'数出表_Excel（アレルギー入力）'!"&amp;P41&amp;"147")&lt;&gt;F33,B33,""),"")</f>
        <v/>
      </c>
      <c r="C41" s="137"/>
      <c r="D41" s="137"/>
      <c r="E41" s="137"/>
      <c r="F41" s="137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37"/>
      <c r="H41" s="137"/>
      <c r="I41" s="137"/>
      <c r="J41" s="137"/>
      <c r="K41" s="137"/>
      <c r="L41" s="137"/>
      <c r="M41" s="137"/>
      <c r="N41" s="137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29</v>
      </c>
    </row>
    <row r="42" spans="1:16">
      <c r="A42" s="137" t="str">
        <f t="array" aca="1" ref="A42" ca="1">IF(F42&lt;&gt;"",
IF(LEFT(INDIRECT("'数出表_Excel（アレルギー入力）'!A"&amp;MATCH(F42,INDIRECT("'数出表_Excel（アレルギー入力）'!"&amp;P42&amp;":"&amp;P42&amp;""),0)),2)="博多",
LEFT(INDIRECT("'数出表_Excel（アレルギー入力）'!A"&amp;MATCH(F42,INDIRECT("'数出表_Excel（アレルギー入力）'!"&amp;P42&amp;":"&amp;P42&amp;""),0)),FIND("週",INDIRECT("'数出表_Excel（アレルギー入力）'!A"&amp;MATCH(F42,INDIRECT("'数出表_Excel（アレルギー入力）'!"&amp;P42&amp;":"&amp;P42&amp;""),0)))-1),
INDIRECT("'数出表_Excel（アレルギー入力）'!A"&amp;MATCH(F42,INDIRECT("'数出表_Excel（アレルギー入力）'!"&amp;P42&amp;":"&amp;P42&amp;""),0))),"")</f>
        <v/>
      </c>
      <c r="B42" s="137" t="str">
        <f t="array" aca="1" ref="B42" ca="1">IF(AND(B34&lt;&gt;"",O42&lt;&gt;0),
IF(INDIRECT("'数出表_Excel（アレルギー入力）'!"&amp;P42&amp;"147")&lt;&gt;F34,B34,""),"")</f>
        <v/>
      </c>
      <c r="C42" s="137"/>
      <c r="D42" s="137"/>
      <c r="E42" s="137"/>
      <c r="F42" s="137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37"/>
      <c r="H42" s="137"/>
      <c r="I42" s="137"/>
      <c r="J42" s="137"/>
      <c r="K42" s="137"/>
      <c r="L42" s="137"/>
      <c r="M42" s="137"/>
      <c r="N42" s="137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30</v>
      </c>
    </row>
    <row r="43" spans="1:16">
      <c r="A43" s="137" t="str">
        <f t="array" aca="1" ref="A43" ca="1">IF(F43&lt;&gt;"",
IF(LEFT(INDIRECT("'数出表_Excel（アレルギー入力）'!A"&amp;MATCH(F43,INDIRECT("'数出表_Excel（アレルギー入力）'!"&amp;P43&amp;":"&amp;P43&amp;""),0)),2)="博多",
LEFT(INDIRECT("'数出表_Excel（アレルギー入力）'!A"&amp;MATCH(F43,INDIRECT("'数出表_Excel（アレルギー入力）'!"&amp;P43&amp;":"&amp;P43&amp;""),0)),FIND("週",INDIRECT("'数出表_Excel（アレルギー入力）'!A"&amp;MATCH(F43,INDIRECT("'数出表_Excel（アレルギー入力）'!"&amp;P43&amp;":"&amp;P43&amp;""),0)))-1),
INDIRECT("'数出表_Excel（アレルギー入力）'!A"&amp;MATCH(F43,INDIRECT("'数出表_Excel（アレルギー入力）'!"&amp;P43&amp;":"&amp;P43&amp;""),0))),"")</f>
        <v/>
      </c>
      <c r="B43" s="137" t="str">
        <f t="array" aca="1" ref="B43" ca="1">IF(AND(B35&lt;&gt;"",O43&lt;&gt;0),
IF(INDIRECT("'数出表_Excel（アレルギー入力）'!"&amp;P43&amp;"147")&lt;&gt;F35,B35,""),"")</f>
        <v/>
      </c>
      <c r="C43" s="137"/>
      <c r="D43" s="137"/>
      <c r="E43" s="137"/>
      <c r="F43" s="137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37"/>
      <c r="H43" s="137"/>
      <c r="I43" s="137"/>
      <c r="J43" s="137"/>
      <c r="K43" s="137"/>
      <c r="L43" s="137"/>
      <c r="M43" s="137"/>
      <c r="N43" s="137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31</v>
      </c>
    </row>
    <row r="44" spans="1:16">
      <c r="A44" s="137" t="str">
        <f t="array" aca="1" ref="A44" ca="1">IF(F44&lt;&gt;"",
IF(LEFT(INDIRECT("'数出表_Excel（アレルギー入力）'!A"&amp;MATCH(F44,INDIRECT("'数出表_Excel（アレルギー入力）'!"&amp;P44&amp;":"&amp;P44&amp;""),0)),2)="博多",
LEFT(INDIRECT("'数出表_Excel（アレルギー入力）'!A"&amp;MATCH(F44,INDIRECT("'数出表_Excel（アレルギー入力）'!"&amp;P44&amp;":"&amp;P44&amp;""),0)),FIND("週",INDIRECT("'数出表_Excel（アレルギー入力）'!A"&amp;MATCH(F44,INDIRECT("'数出表_Excel（アレルギー入力）'!"&amp;P44&amp;":"&amp;P44&amp;""),0)))-1),
INDIRECT("'数出表_Excel（アレルギー入力）'!A"&amp;MATCH(F44,INDIRECT("'数出表_Excel（アレルギー入力）'!"&amp;P44&amp;":"&amp;P44&amp;""),0))),"")</f>
        <v/>
      </c>
      <c r="B44" s="137" t="str">
        <f t="array" aca="1" ref="B44" ca="1">IF(AND(B36&lt;&gt;"",O44&lt;&gt;0),
IF(INDIRECT("'数出表_Excel（アレルギー入力）'!"&amp;P44&amp;"147")&lt;&gt;F36,B36,""),"")</f>
        <v/>
      </c>
      <c r="C44" s="137"/>
      <c r="D44" s="137"/>
      <c r="E44" s="137"/>
      <c r="F44" s="137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37"/>
      <c r="H44" s="137"/>
      <c r="I44" s="137"/>
      <c r="J44" s="137"/>
      <c r="K44" s="137"/>
      <c r="L44" s="137"/>
      <c r="M44" s="137"/>
      <c r="N44" s="137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32</v>
      </c>
    </row>
    <row r="45" spans="1:16">
      <c r="A45" s="137" t="str">
        <f t="array" aca="1" ref="A45" ca="1">IF(F45&lt;&gt;"",
IF(LEFT(INDIRECT("'数出表_Excel（アレルギー入力）'!A"&amp;MATCH(F45,INDIRECT("'数出表_Excel（アレルギー入力）'!"&amp;P45&amp;":"&amp;P45&amp;""),0)),2)="博多",
LEFT(INDIRECT("'数出表_Excel（アレルギー入力）'!A"&amp;MATCH(F45,INDIRECT("'数出表_Excel（アレルギー入力）'!"&amp;P45&amp;":"&amp;P45&amp;""),0)),FIND("週",INDIRECT("'数出表_Excel（アレルギー入力）'!A"&amp;MATCH(F45,INDIRECT("'数出表_Excel（アレルギー入力）'!"&amp;P45&amp;":"&amp;P45&amp;""),0)))-1),
INDIRECT("'数出表_Excel（アレルギー入力）'!A"&amp;MATCH(F45,INDIRECT("'数出表_Excel（アレルギー入力）'!"&amp;P45&amp;":"&amp;P45&amp;""),0))),"")</f>
        <v/>
      </c>
      <c r="B45" s="137" t="str">
        <f t="array" aca="1" ref="B45" ca="1">IF(AND(B37&lt;&gt;"",O45&lt;&gt;0),
IF(INDIRECT("'数出表_Excel（アレルギー入力）'!"&amp;P45&amp;"147")&lt;&gt;F37,B37,""),"")</f>
        <v/>
      </c>
      <c r="C45" s="137"/>
      <c r="D45" s="137"/>
      <c r="E45" s="137"/>
      <c r="F45" s="137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37"/>
      <c r="H45" s="137"/>
      <c r="I45" s="137"/>
      <c r="J45" s="137"/>
      <c r="K45" s="137"/>
      <c r="L45" s="137"/>
      <c r="M45" s="137"/>
      <c r="N45" s="137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33</v>
      </c>
    </row>
    <row r="46" spans="1:16">
      <c r="A46" s="137" t="str">
        <f t="array" aca="1" ref="A46" ca="1">IF(F46&lt;&gt;"",
IF(LEFT(INDIRECT("'数出表_Excel（アレルギー入力）'!A"&amp;MATCH(F46,INDIRECT("'数出表_Excel（アレルギー入力）'!"&amp;P46&amp;":"&amp;P46&amp;""),0)),2)="博多",
LEFT(INDIRECT("'数出表_Excel（アレルギー入力）'!A"&amp;MATCH(F46,INDIRECT("'数出表_Excel（アレルギー入力）'!"&amp;P46&amp;":"&amp;P46&amp;""),0)),FIND("週",INDIRECT("'数出表_Excel（アレルギー入力）'!A"&amp;MATCH(F46,INDIRECT("'数出表_Excel（アレルギー入力）'!"&amp;P46&amp;":"&amp;P46&amp;""),0)))-1),
INDIRECT("'数出表_Excel（アレルギー入力）'!A"&amp;MATCH(F46,INDIRECT("'数出表_Excel（アレルギー入力）'!"&amp;P46&amp;":"&amp;P46&amp;""),0))),"")</f>
        <v/>
      </c>
      <c r="B46" s="137" t="str">
        <f t="array" aca="1" ref="B46" ca="1">IF(AND(B38&lt;&gt;"",O46&lt;&gt;0),
IF(INDIRECT("'数出表_Excel（アレルギー入力）'!"&amp;P46&amp;"147")&lt;&gt;F38,B38,""),"")</f>
        <v/>
      </c>
      <c r="C46" s="137"/>
      <c r="D46" s="137"/>
      <c r="E46" s="137"/>
      <c r="F46" s="137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37"/>
      <c r="H46" s="137"/>
      <c r="I46" s="137"/>
      <c r="J46" s="137"/>
      <c r="K46" s="137"/>
      <c r="L46" s="137"/>
      <c r="M46" s="137"/>
      <c r="N46" s="137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34</v>
      </c>
    </row>
    <row r="47" spans="1:16">
      <c r="A47" s="137" t="str">
        <f t="array" aca="1" ref="A47" ca="1">IF(F47&lt;&gt;"",
IF(LEFT(INDIRECT("'数出表_Excel（アレルギー入力）'!A"&amp;MATCH(F47,INDIRECT("'数出表_Excel（アレルギー入力）'!"&amp;P47&amp;":"&amp;P47&amp;""),0)),2)="博多",
LEFT(INDIRECT("'数出表_Excel（アレルギー入力）'!A"&amp;MATCH(F47,INDIRECT("'数出表_Excel（アレルギー入力）'!"&amp;P47&amp;":"&amp;P47&amp;""),0)),FIND("週",INDIRECT("'数出表_Excel（アレルギー入力）'!A"&amp;MATCH(F47,INDIRECT("'数出表_Excel（アレルギー入力）'!"&amp;P47&amp;":"&amp;P47&amp;""),0)))-1),
INDIRECT("'数出表_Excel（アレルギー入力）'!A"&amp;MATCH(F47,INDIRECT("'数出表_Excel（アレルギー入力）'!"&amp;P47&amp;":"&amp;P47&amp;""),0))),"")</f>
        <v/>
      </c>
      <c r="B47" s="137" t="str">
        <f t="array" aca="1" ref="B47" ca="1">IF(AND(B39&lt;&gt;"",O47&lt;&gt;0),
IF(INDIRECT("'数出表_Excel（アレルギー入力）'!"&amp;P47&amp;"147")&lt;&gt;F39,B39,""),"")</f>
        <v/>
      </c>
      <c r="C47" s="137"/>
      <c r="D47" s="137"/>
      <c r="E47" s="137"/>
      <c r="F47" s="137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37"/>
      <c r="H47" s="137"/>
      <c r="I47" s="137"/>
      <c r="J47" s="137"/>
      <c r="K47" s="137"/>
      <c r="L47" s="137"/>
      <c r="M47" s="137"/>
      <c r="N47" s="137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35</v>
      </c>
    </row>
    <row r="48" spans="1:16">
      <c r="A48" s="137" t="str">
        <f t="array" aca="1" ref="A48" ca="1">IF(F48&lt;&gt;"",
IF(LEFT(INDIRECT("'数出表_Excel（アレルギー入力）'!A"&amp;MATCH(F48,INDIRECT("'数出表_Excel（アレルギー入力）'!"&amp;P48&amp;":"&amp;P48&amp;""),0)),2)="博多",
LEFT(INDIRECT("'数出表_Excel（アレルギー入力）'!A"&amp;MATCH(F48,INDIRECT("'数出表_Excel（アレルギー入力）'!"&amp;P48&amp;":"&amp;P48&amp;""),0)),FIND("週",INDIRECT("'数出表_Excel（アレルギー入力）'!A"&amp;MATCH(F48,INDIRECT("'数出表_Excel（アレルギー入力）'!"&amp;P48&amp;":"&amp;P48&amp;""),0)))-1),
INDIRECT("'数出表_Excel（アレルギー入力）'!A"&amp;MATCH(F48,INDIRECT("'数出表_Excel（アレルギー入力）'!"&amp;P48&amp;":"&amp;P48&amp;""),0))),"")</f>
        <v/>
      </c>
      <c r="B48" s="137" t="str">
        <f t="array" aca="1" ref="B48" ca="1">IF(AND(B40&lt;&gt;"",O48&lt;&gt;0),
IF(INDIRECT("'数出表_Excel（アレルギー入力）'!"&amp;P48&amp;"147")&lt;&gt;F40,B40,""),"")</f>
        <v/>
      </c>
      <c r="C48" s="137"/>
      <c r="D48" s="137"/>
      <c r="E48" s="137"/>
      <c r="F48" s="137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37"/>
      <c r="H48" s="137"/>
      <c r="I48" s="137"/>
      <c r="J48" s="137"/>
      <c r="K48" s="137"/>
      <c r="L48" s="137"/>
      <c r="M48" s="137"/>
      <c r="N48" s="137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36</v>
      </c>
    </row>
    <row r="49" spans="1:16">
      <c r="A49" s="138" t="str">
        <f t="array" aca="1" ref="A49" ca="1">IF(F49&lt;&gt;"",
IF(LEFT(INDIRECT("'数出表_Excel（アレルギー入力）'!A"&amp;MATCH(F49,INDIRECT("'数出表_Excel（アレルギー入力）'!"&amp;P49&amp;":"&amp;P49&amp;""),0)),2)="博多",
LEFT(INDIRECT("'数出表_Excel（アレルギー入力）'!A"&amp;MATCH(F49,INDIRECT("'数出表_Excel（アレルギー入力）'!"&amp;P49&amp;":"&amp;P49&amp;""),0)),FIND("週",INDIRECT("'数出表_Excel（アレルギー入力）'!A"&amp;MATCH(F49,INDIRECT("'数出表_Excel（アレルギー入力）'!"&amp;P49&amp;":"&amp;P49&amp;""),0)))-1),
INDIRECT("'数出表_Excel（アレルギー入力）'!A"&amp;MATCH(F49,INDIRECT("'数出表_Excel（アレルギー入力）'!"&amp;P49&amp;":"&amp;P49&amp;""),0))),"")</f>
        <v/>
      </c>
      <c r="B49" s="138" t="str">
        <f t="array" aca="1" ref="B49" ca="1">IF(AND(B41&lt;&gt;"",O49&lt;&gt;0),
IF(INDIRECT("'数出表_Excel（アレルギー入力）'!"&amp;P49&amp;"147")&lt;&gt;F41,B41,""),"")</f>
        <v/>
      </c>
      <c r="C49" s="138"/>
      <c r="D49" s="138"/>
      <c r="E49" s="138"/>
      <c r="F49" s="138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38"/>
      <c r="H49" s="138"/>
      <c r="I49" s="138"/>
      <c r="J49" s="138"/>
      <c r="K49" s="138"/>
      <c r="L49" s="138"/>
      <c r="M49" s="138"/>
      <c r="N49" s="138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29</v>
      </c>
    </row>
    <row r="50" spans="1:16">
      <c r="A50" s="138" t="str">
        <f t="array" aca="1" ref="A50" ca="1">IF(F50&lt;&gt;"",
IF(LEFT(INDIRECT("'数出表_Excel（アレルギー入力）'!A"&amp;MATCH(F50,INDIRECT("'数出表_Excel（アレルギー入力）'!"&amp;P50&amp;":"&amp;P50&amp;""),0)),2)="博多",
LEFT(INDIRECT("'数出表_Excel（アレルギー入力）'!A"&amp;MATCH(F50,INDIRECT("'数出表_Excel（アレルギー入力）'!"&amp;P50&amp;":"&amp;P50&amp;""),0)),FIND("週",INDIRECT("'数出表_Excel（アレルギー入力）'!A"&amp;MATCH(F50,INDIRECT("'数出表_Excel（アレルギー入力）'!"&amp;P50&amp;":"&amp;P50&amp;""),0)))-1),
INDIRECT("'数出表_Excel（アレルギー入力）'!A"&amp;MATCH(F50,INDIRECT("'数出表_Excel（アレルギー入力）'!"&amp;P50&amp;":"&amp;P50&amp;""),0))),"")</f>
        <v/>
      </c>
      <c r="B50" s="138" t="str">
        <f t="array" aca="1" ref="B50" ca="1">IF(AND(B42&lt;&gt;"",O50&lt;&gt;0),
IF(INDIRECT("'数出表_Excel（アレルギー入力）'!"&amp;P50&amp;"147")&lt;&gt;F42,B42,""),"")</f>
        <v/>
      </c>
      <c r="C50" s="138"/>
      <c r="D50" s="138"/>
      <c r="E50" s="138"/>
      <c r="F50" s="138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38"/>
      <c r="H50" s="138"/>
      <c r="I50" s="138"/>
      <c r="J50" s="138"/>
      <c r="K50" s="138"/>
      <c r="L50" s="138"/>
      <c r="M50" s="138"/>
      <c r="N50" s="138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30</v>
      </c>
    </row>
    <row r="51" spans="1:16">
      <c r="A51" s="138" t="str">
        <f t="array" aca="1" ref="A51" ca="1">IF(F51&lt;&gt;"",
IF(LEFT(INDIRECT("'数出表_Excel（アレルギー入力）'!A"&amp;MATCH(F51,INDIRECT("'数出表_Excel（アレルギー入力）'!"&amp;P51&amp;":"&amp;P51&amp;""),0)),2)="博多",
LEFT(INDIRECT("'数出表_Excel（アレルギー入力）'!A"&amp;MATCH(F51,INDIRECT("'数出表_Excel（アレルギー入力）'!"&amp;P51&amp;":"&amp;P51&amp;""),0)),FIND("週",INDIRECT("'数出表_Excel（アレルギー入力）'!A"&amp;MATCH(F51,INDIRECT("'数出表_Excel（アレルギー入力）'!"&amp;P51&amp;":"&amp;P51&amp;""),0)))-1),
INDIRECT("'数出表_Excel（アレルギー入力）'!A"&amp;MATCH(F51,INDIRECT("'数出表_Excel（アレルギー入力）'!"&amp;P51&amp;":"&amp;P51&amp;""),0))),"")</f>
        <v/>
      </c>
      <c r="B51" s="138" t="str">
        <f t="array" aca="1" ref="B51" ca="1">IF(AND(B43&lt;&gt;"",O51&lt;&gt;0),
IF(INDIRECT("'数出表_Excel（アレルギー入力）'!"&amp;P51&amp;"147")&lt;&gt;F43,B43,""),"")</f>
        <v/>
      </c>
      <c r="C51" s="138"/>
      <c r="D51" s="138"/>
      <c r="E51" s="138"/>
      <c r="F51" s="138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38"/>
      <c r="H51" s="138"/>
      <c r="I51" s="138"/>
      <c r="J51" s="138"/>
      <c r="K51" s="138"/>
      <c r="L51" s="138"/>
      <c r="M51" s="138"/>
      <c r="N51" s="138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31</v>
      </c>
    </row>
    <row r="52" spans="1:16">
      <c r="A52" s="138" t="str">
        <f t="array" aca="1" ref="A52" ca="1">IF(F52&lt;&gt;"",
IF(LEFT(INDIRECT("'数出表_Excel（アレルギー入力）'!A"&amp;MATCH(F52,INDIRECT("'数出表_Excel（アレルギー入力）'!"&amp;P52&amp;":"&amp;P52&amp;""),0)),2)="博多",
LEFT(INDIRECT("'数出表_Excel（アレルギー入力）'!A"&amp;MATCH(F52,INDIRECT("'数出表_Excel（アレルギー入力）'!"&amp;P52&amp;":"&amp;P52&amp;""),0)),FIND("週",INDIRECT("'数出表_Excel（アレルギー入力）'!A"&amp;MATCH(F52,INDIRECT("'数出表_Excel（アレルギー入力）'!"&amp;P52&amp;":"&amp;P52&amp;""),0)))-1),
INDIRECT("'数出表_Excel（アレルギー入力）'!A"&amp;MATCH(F52,INDIRECT("'数出表_Excel（アレルギー入力）'!"&amp;P52&amp;":"&amp;P52&amp;""),0))),"")</f>
        <v/>
      </c>
      <c r="B52" s="138" t="str">
        <f t="array" aca="1" ref="B52" ca="1">IF(AND(B44&lt;&gt;"",O52&lt;&gt;0),
IF(INDIRECT("'数出表_Excel（アレルギー入力）'!"&amp;P52&amp;"147")&lt;&gt;F44,B44,""),"")</f>
        <v/>
      </c>
      <c r="C52" s="138"/>
      <c r="D52" s="138"/>
      <c r="E52" s="138"/>
      <c r="F52" s="138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38"/>
      <c r="H52" s="138"/>
      <c r="I52" s="138"/>
      <c r="J52" s="138"/>
      <c r="K52" s="138"/>
      <c r="L52" s="138"/>
      <c r="M52" s="138"/>
      <c r="N52" s="138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32</v>
      </c>
    </row>
    <row r="53" spans="1:16">
      <c r="A53" s="138" t="str">
        <f t="array" aca="1" ref="A53" ca="1">IF(F53&lt;&gt;"",
IF(LEFT(INDIRECT("'数出表_Excel（アレルギー入力）'!A"&amp;MATCH(F53,INDIRECT("'数出表_Excel（アレルギー入力）'!"&amp;P53&amp;":"&amp;P53&amp;""),0)),2)="博多",
LEFT(INDIRECT("'数出表_Excel（アレルギー入力）'!A"&amp;MATCH(F53,INDIRECT("'数出表_Excel（アレルギー入力）'!"&amp;P53&amp;":"&amp;P53&amp;""),0)),FIND("週",INDIRECT("'数出表_Excel（アレルギー入力）'!A"&amp;MATCH(F53,INDIRECT("'数出表_Excel（アレルギー入力）'!"&amp;P53&amp;":"&amp;P53&amp;""),0)))-1),
INDIRECT("'数出表_Excel（アレルギー入力）'!A"&amp;MATCH(F53,INDIRECT("'数出表_Excel（アレルギー入力）'!"&amp;P53&amp;":"&amp;P53&amp;""),0))),"")</f>
        <v/>
      </c>
      <c r="B53" s="138" t="str">
        <f t="array" aca="1" ref="B53" ca="1">IF(AND(B45&lt;&gt;"",O53&lt;&gt;0),
IF(INDIRECT("'数出表_Excel（アレルギー入力）'!"&amp;P53&amp;"147")&lt;&gt;F45,B45,""),"")</f>
        <v/>
      </c>
      <c r="C53" s="138"/>
      <c r="D53" s="138"/>
      <c r="E53" s="138"/>
      <c r="F53" s="138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38"/>
      <c r="H53" s="138"/>
      <c r="I53" s="138"/>
      <c r="J53" s="138"/>
      <c r="K53" s="138"/>
      <c r="L53" s="138"/>
      <c r="M53" s="138"/>
      <c r="N53" s="138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33</v>
      </c>
    </row>
    <row r="54" spans="1:16">
      <c r="A54" s="138" t="str">
        <f t="array" aca="1" ref="A54" ca="1">IF(F54&lt;&gt;"",
IF(LEFT(INDIRECT("'数出表_Excel（アレルギー入力）'!A"&amp;MATCH(F54,INDIRECT("'数出表_Excel（アレルギー入力）'!"&amp;P54&amp;":"&amp;P54&amp;""),0)),2)="博多",
LEFT(INDIRECT("'数出表_Excel（アレルギー入力）'!A"&amp;MATCH(F54,INDIRECT("'数出表_Excel（アレルギー入力）'!"&amp;P54&amp;":"&amp;P54&amp;""),0)),FIND("週",INDIRECT("'数出表_Excel（アレルギー入力）'!A"&amp;MATCH(F54,INDIRECT("'数出表_Excel（アレルギー入力）'!"&amp;P54&amp;":"&amp;P54&amp;""),0)))-1),
INDIRECT("'数出表_Excel（アレルギー入力）'!A"&amp;MATCH(F54,INDIRECT("'数出表_Excel（アレルギー入力）'!"&amp;P54&amp;":"&amp;P54&amp;""),0))),"")</f>
        <v/>
      </c>
      <c r="B54" s="138" t="str">
        <f t="array" aca="1" ref="B54" ca="1">IF(AND(B46&lt;&gt;"",O54&lt;&gt;0),
IF(INDIRECT("'数出表_Excel（アレルギー入力）'!"&amp;P54&amp;"147")&lt;&gt;F46,B46,""),"")</f>
        <v/>
      </c>
      <c r="C54" s="138"/>
      <c r="D54" s="138"/>
      <c r="E54" s="138"/>
      <c r="F54" s="138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38"/>
      <c r="H54" s="138"/>
      <c r="I54" s="138"/>
      <c r="J54" s="138"/>
      <c r="K54" s="138"/>
      <c r="L54" s="138"/>
      <c r="M54" s="138"/>
      <c r="N54" s="138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34</v>
      </c>
    </row>
    <row r="55" spans="1:16">
      <c r="A55" s="138" t="str">
        <f t="array" aca="1" ref="A55" ca="1">IF(F55&lt;&gt;"",
IF(LEFT(INDIRECT("'数出表_Excel（アレルギー入力）'!A"&amp;MATCH(F55,INDIRECT("'数出表_Excel（アレルギー入力）'!"&amp;P55&amp;":"&amp;P55&amp;""),0)),2)="博多",
LEFT(INDIRECT("'数出表_Excel（アレルギー入力）'!A"&amp;MATCH(F55,INDIRECT("'数出表_Excel（アレルギー入力）'!"&amp;P55&amp;":"&amp;P55&amp;""),0)),FIND("週",INDIRECT("'数出表_Excel（アレルギー入力）'!A"&amp;MATCH(F55,INDIRECT("'数出表_Excel（アレルギー入力）'!"&amp;P55&amp;":"&amp;P55&amp;""),0)))-1),
INDIRECT("'数出表_Excel（アレルギー入力）'!A"&amp;MATCH(F55,INDIRECT("'数出表_Excel（アレルギー入力）'!"&amp;P55&amp;":"&amp;P55&amp;""),0))),"")</f>
        <v/>
      </c>
      <c r="B55" s="138" t="str">
        <f t="array" aca="1" ref="B55" ca="1">IF(AND(B47&lt;&gt;"",O55&lt;&gt;0),
IF(INDIRECT("'数出表_Excel（アレルギー入力）'!"&amp;P55&amp;"147")&lt;&gt;F47,B47,""),"")</f>
        <v/>
      </c>
      <c r="C55" s="138"/>
      <c r="D55" s="138"/>
      <c r="E55" s="138"/>
      <c r="F55" s="138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38"/>
      <c r="H55" s="138"/>
      <c r="I55" s="138"/>
      <c r="J55" s="138"/>
      <c r="K55" s="138"/>
      <c r="L55" s="138"/>
      <c r="M55" s="138"/>
      <c r="N55" s="138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35</v>
      </c>
    </row>
    <row r="56" spans="1:16">
      <c r="A56" s="138" t="str">
        <f t="array" aca="1" ref="A56" ca="1">IF(F56&lt;&gt;"",
IF(LEFT(INDIRECT("'数出表_Excel（アレルギー入力）'!A"&amp;MATCH(F56,INDIRECT("'数出表_Excel（アレルギー入力）'!"&amp;P56&amp;":"&amp;P56&amp;""),0)),2)="博多",
LEFT(INDIRECT("'数出表_Excel（アレルギー入力）'!A"&amp;MATCH(F56,INDIRECT("'数出表_Excel（アレルギー入力）'!"&amp;P56&amp;":"&amp;P56&amp;""),0)),FIND("週",INDIRECT("'数出表_Excel（アレルギー入力）'!A"&amp;MATCH(F56,INDIRECT("'数出表_Excel（アレルギー入力）'!"&amp;P56&amp;":"&amp;P56&amp;""),0)))-1),
INDIRECT("'数出表_Excel（アレルギー入力）'!A"&amp;MATCH(F56,INDIRECT("'数出表_Excel（アレルギー入力）'!"&amp;P56&amp;":"&amp;P56&amp;""),0))),"")</f>
        <v/>
      </c>
      <c r="B56" s="138" t="str">
        <f t="array" aca="1" ref="B56" ca="1">IF(AND(B48&lt;&gt;"",O56&lt;&gt;0),
IF(INDIRECT("'数出表_Excel（アレルギー入力）'!"&amp;P56&amp;"147")&lt;&gt;F48,B48,""),"")</f>
        <v/>
      </c>
      <c r="C56" s="138"/>
      <c r="D56" s="138"/>
      <c r="E56" s="138"/>
      <c r="F56" s="138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38"/>
      <c r="H56" s="138"/>
      <c r="I56" s="138"/>
      <c r="J56" s="138"/>
      <c r="K56" s="138"/>
      <c r="L56" s="138"/>
      <c r="M56" s="138"/>
      <c r="N56" s="138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36</v>
      </c>
    </row>
    <row r="57" spans="1:16">
      <c r="A57" s="123" t="str">
        <f t="array" aca="1" ref="A57" ca="1">IF(F57&lt;&gt;"",
IF(LEFT(INDIRECT("'数出表_Excel（アレルギー入力）'!A"&amp;MATCH(F57,INDIRECT("'数出表_Excel（アレルギー入力）'!"&amp;P57&amp;":"&amp;P57&amp;""),0)),2)="博多",
LEFT(INDIRECT("'数出表_Excel（アレルギー入力）'!A"&amp;MATCH(F57,INDIRECT("'数出表_Excel（アレルギー入力）'!"&amp;P57&amp;":"&amp;P57&amp;""),0)),FIND("週",INDIRECT("'数出表_Excel（アレルギー入力）'!A"&amp;MATCH(F57,INDIRECT("'数出表_Excel（アレルギー入力）'!"&amp;P57&amp;":"&amp;P57&amp;""),0)))-1),
INDIRECT("'数出表_Excel（アレルギー入力）'!A"&amp;MATCH(F57,INDIRECT("'数出表_Excel（アレルギー入力）'!"&amp;P57&amp;":"&amp;P57&amp;""),0))),"")</f>
        <v/>
      </c>
      <c r="B57" s="123" t="str">
        <f t="array" aca="1" ref="B57" ca="1">IF(AND(B49&lt;&gt;"",O57&lt;&gt;0),
IF(INDIRECT("'数出表_Excel（アレルギー入力）'!"&amp;P57&amp;"147")&lt;&gt;F49,B49,""),"")</f>
        <v/>
      </c>
      <c r="C57" s="123"/>
      <c r="D57" s="123"/>
      <c r="E57" s="123"/>
      <c r="F57" s="123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123"/>
      <c r="H57" s="123"/>
      <c r="I57" s="123"/>
      <c r="J57" s="123"/>
      <c r="K57" s="123"/>
      <c r="L57" s="123"/>
      <c r="M57" s="123"/>
      <c r="N57" s="123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29</v>
      </c>
    </row>
    <row r="58" spans="1:16">
      <c r="A58" s="123" t="str">
        <f t="array" aca="1" ref="A58" ca="1">IF(F58&lt;&gt;"",
IF(LEFT(INDIRECT("'数出表_Excel（アレルギー入力）'!A"&amp;MATCH(F58,INDIRECT("'数出表_Excel（アレルギー入力）'!"&amp;P58&amp;":"&amp;P58&amp;""),0)),2)="博多",
LEFT(INDIRECT("'数出表_Excel（アレルギー入力）'!A"&amp;MATCH(F58,INDIRECT("'数出表_Excel（アレルギー入力）'!"&amp;P58&amp;":"&amp;P58&amp;""),0)),FIND("週",INDIRECT("'数出表_Excel（アレルギー入力）'!A"&amp;MATCH(F58,INDIRECT("'数出表_Excel（アレルギー入力）'!"&amp;P58&amp;":"&amp;P58&amp;""),0)))-1),
INDIRECT("'数出表_Excel（アレルギー入力）'!A"&amp;MATCH(F58,INDIRECT("'数出表_Excel（アレルギー入力）'!"&amp;P58&amp;":"&amp;P58&amp;""),0))),"")</f>
        <v/>
      </c>
      <c r="B58" s="123" t="str">
        <f t="array" aca="1" ref="B58" ca="1">IF(AND(B50&lt;&gt;"",O58&lt;&gt;0),
IF(INDIRECT("'数出表_Excel（アレルギー入力）'!"&amp;P58&amp;"147")&lt;&gt;F50,B50,""),"")</f>
        <v/>
      </c>
      <c r="C58" s="123"/>
      <c r="D58" s="123"/>
      <c r="E58" s="123"/>
      <c r="F58" s="123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123"/>
      <c r="H58" s="123"/>
      <c r="I58" s="123"/>
      <c r="J58" s="123"/>
      <c r="K58" s="123"/>
      <c r="L58" s="123"/>
      <c r="M58" s="123"/>
      <c r="N58" s="123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30</v>
      </c>
    </row>
    <row r="59" spans="1:16">
      <c r="A59" s="123" t="str">
        <f t="array" aca="1" ref="A59" ca="1">IF(F59&lt;&gt;"",
IF(LEFT(INDIRECT("'数出表_Excel（アレルギー入力）'!A"&amp;MATCH(F59,INDIRECT("'数出表_Excel（アレルギー入力）'!"&amp;P59&amp;":"&amp;P59&amp;""),0)),2)="博多",
LEFT(INDIRECT("'数出表_Excel（アレルギー入力）'!A"&amp;MATCH(F59,INDIRECT("'数出表_Excel（アレルギー入力）'!"&amp;P59&amp;":"&amp;P59&amp;""),0)),FIND("週",INDIRECT("'数出表_Excel（アレルギー入力）'!A"&amp;MATCH(F59,INDIRECT("'数出表_Excel（アレルギー入力）'!"&amp;P59&amp;":"&amp;P59&amp;""),0)))-1),
INDIRECT("'数出表_Excel（アレルギー入力）'!A"&amp;MATCH(F59,INDIRECT("'数出表_Excel（アレルギー入力）'!"&amp;P59&amp;":"&amp;P59&amp;""),0))),"")</f>
        <v/>
      </c>
      <c r="B59" s="123" t="str">
        <f t="array" aca="1" ref="B59" ca="1">IF(AND(B51&lt;&gt;"",O59&lt;&gt;0),
IF(INDIRECT("'数出表_Excel（アレルギー入力）'!"&amp;P59&amp;"147")&lt;&gt;F51,B51,""),"")</f>
        <v/>
      </c>
      <c r="C59" s="123"/>
      <c r="D59" s="123"/>
      <c r="E59" s="123"/>
      <c r="F59" s="123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123"/>
      <c r="H59" s="123"/>
      <c r="I59" s="123"/>
      <c r="J59" s="123"/>
      <c r="K59" s="123"/>
      <c r="L59" s="123"/>
      <c r="M59" s="123"/>
      <c r="N59" s="123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31</v>
      </c>
    </row>
    <row r="60" spans="1:16">
      <c r="A60" s="123" t="str">
        <f t="array" aca="1" ref="A60" ca="1">IF(F60&lt;&gt;"",
IF(LEFT(INDIRECT("'数出表_Excel（アレルギー入力）'!A"&amp;MATCH(F60,INDIRECT("'数出表_Excel（アレルギー入力）'!"&amp;P60&amp;":"&amp;P60&amp;""),0)),2)="博多",
LEFT(INDIRECT("'数出表_Excel（アレルギー入力）'!A"&amp;MATCH(F60,INDIRECT("'数出表_Excel（アレルギー入力）'!"&amp;P60&amp;":"&amp;P60&amp;""),0)),FIND("週",INDIRECT("'数出表_Excel（アレルギー入力）'!A"&amp;MATCH(F60,INDIRECT("'数出表_Excel（アレルギー入力）'!"&amp;P60&amp;":"&amp;P60&amp;""),0)))-1),
INDIRECT("'数出表_Excel（アレルギー入力）'!A"&amp;MATCH(F60,INDIRECT("'数出表_Excel（アレルギー入力）'!"&amp;P60&amp;":"&amp;P60&amp;""),0))),"")</f>
        <v/>
      </c>
      <c r="B60" s="123" t="str">
        <f t="array" aca="1" ref="B60" ca="1">IF(AND(B52&lt;&gt;"",O60&lt;&gt;0),
IF(INDIRECT("'数出表_Excel（アレルギー入力）'!"&amp;P60&amp;"147")&lt;&gt;F52,B52,""),"")</f>
        <v/>
      </c>
      <c r="C60" s="123"/>
      <c r="D60" s="123"/>
      <c r="E60" s="123"/>
      <c r="F60" s="123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123"/>
      <c r="H60" s="123"/>
      <c r="I60" s="123"/>
      <c r="J60" s="123"/>
      <c r="K60" s="123"/>
      <c r="L60" s="123"/>
      <c r="M60" s="123"/>
      <c r="N60" s="123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32</v>
      </c>
    </row>
    <row r="61" spans="1:16">
      <c r="A61" s="123" t="str">
        <f t="array" aca="1" ref="A61" ca="1">IF(F61&lt;&gt;"",
IF(LEFT(INDIRECT("'数出表_Excel（アレルギー入力）'!A"&amp;MATCH(F61,INDIRECT("'数出表_Excel（アレルギー入力）'!"&amp;P61&amp;":"&amp;P61&amp;""),0)),2)="博多",
LEFT(INDIRECT("'数出表_Excel（アレルギー入力）'!A"&amp;MATCH(F61,INDIRECT("'数出表_Excel（アレルギー入力）'!"&amp;P61&amp;":"&amp;P61&amp;""),0)),FIND("週",INDIRECT("'数出表_Excel（アレルギー入力）'!A"&amp;MATCH(F61,INDIRECT("'数出表_Excel（アレルギー入力）'!"&amp;P61&amp;":"&amp;P61&amp;""),0)))-1),
INDIRECT("'数出表_Excel（アレルギー入力）'!A"&amp;MATCH(F61,INDIRECT("'数出表_Excel（アレルギー入力）'!"&amp;P61&amp;":"&amp;P61&amp;""),0))),"")</f>
        <v/>
      </c>
      <c r="B61" s="123" t="str">
        <f t="array" aca="1" ref="B61" ca="1">IF(AND(B53&lt;&gt;"",O61&lt;&gt;0),
IF(INDIRECT("'数出表_Excel（アレルギー入力）'!"&amp;P61&amp;"147")&lt;&gt;F53,B53,""),"")</f>
        <v/>
      </c>
      <c r="C61" s="123"/>
      <c r="D61" s="123"/>
      <c r="E61" s="123"/>
      <c r="F61" s="123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123"/>
      <c r="H61" s="123"/>
      <c r="I61" s="123"/>
      <c r="J61" s="123"/>
      <c r="K61" s="123"/>
      <c r="L61" s="123"/>
      <c r="M61" s="123"/>
      <c r="N61" s="123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33</v>
      </c>
    </row>
    <row r="62" spans="1:16">
      <c r="A62" s="123" t="str">
        <f t="array" aca="1" ref="A62" ca="1">IF(F62&lt;&gt;"",
IF(LEFT(INDIRECT("'数出表_Excel（アレルギー入力）'!A"&amp;MATCH(F62,INDIRECT("'数出表_Excel（アレルギー入力）'!"&amp;P62&amp;":"&amp;P62&amp;""),0)),2)="博多",
LEFT(INDIRECT("'数出表_Excel（アレルギー入力）'!A"&amp;MATCH(F62,INDIRECT("'数出表_Excel（アレルギー入力）'!"&amp;P62&amp;":"&amp;P62&amp;""),0)),FIND("週",INDIRECT("'数出表_Excel（アレルギー入力）'!A"&amp;MATCH(F62,INDIRECT("'数出表_Excel（アレルギー入力）'!"&amp;P62&amp;":"&amp;P62&amp;""),0)))-1),
INDIRECT("'数出表_Excel（アレルギー入力）'!A"&amp;MATCH(F62,INDIRECT("'数出表_Excel（アレルギー入力）'!"&amp;P62&amp;":"&amp;P62&amp;""),0))),"")</f>
        <v/>
      </c>
      <c r="B62" s="123" t="str">
        <f t="array" aca="1" ref="B62" ca="1">IF(AND(B54&lt;&gt;"",O62&lt;&gt;0),
IF(INDIRECT("'数出表_Excel（アレルギー入力）'!"&amp;P62&amp;"147")&lt;&gt;F54,B54,""),"")</f>
        <v/>
      </c>
      <c r="C62" s="123"/>
      <c r="D62" s="123"/>
      <c r="E62" s="123"/>
      <c r="F62" s="123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123"/>
      <c r="H62" s="123"/>
      <c r="I62" s="123"/>
      <c r="J62" s="123"/>
      <c r="K62" s="123"/>
      <c r="L62" s="123"/>
      <c r="M62" s="123"/>
      <c r="N62" s="123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34</v>
      </c>
    </row>
    <row r="63" spans="1:16">
      <c r="A63" s="123" t="str">
        <f t="array" aca="1" ref="A63" ca="1">IF(F63&lt;&gt;"",
IF(LEFT(INDIRECT("'数出表_Excel（アレルギー入力）'!A"&amp;MATCH(F63,INDIRECT("'数出表_Excel（アレルギー入力）'!"&amp;P63&amp;":"&amp;P63&amp;""),0)),2)="博多",
LEFT(INDIRECT("'数出表_Excel（アレルギー入力）'!A"&amp;MATCH(F63,INDIRECT("'数出表_Excel（アレルギー入力）'!"&amp;P63&amp;":"&amp;P63&amp;""),0)),FIND("週",INDIRECT("'数出表_Excel（アレルギー入力）'!A"&amp;MATCH(F63,INDIRECT("'数出表_Excel（アレルギー入力）'!"&amp;P63&amp;":"&amp;P63&amp;""),0)))-1),
INDIRECT("'数出表_Excel（アレルギー入力）'!A"&amp;MATCH(F63,INDIRECT("'数出表_Excel（アレルギー入力）'!"&amp;P63&amp;":"&amp;P63&amp;""),0))),"")</f>
        <v/>
      </c>
      <c r="B63" s="123" t="str">
        <f t="array" aca="1" ref="B63" ca="1">IF(AND(B55&lt;&gt;"",O63&lt;&gt;0),
IF(INDIRECT("'数出表_Excel（アレルギー入力）'!"&amp;P63&amp;"147")&lt;&gt;F55,B55,""),"")</f>
        <v/>
      </c>
      <c r="C63" s="123"/>
      <c r="D63" s="123"/>
      <c r="E63" s="123"/>
      <c r="F63" s="123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123"/>
      <c r="H63" s="123"/>
      <c r="I63" s="123"/>
      <c r="J63" s="123"/>
      <c r="K63" s="123"/>
      <c r="L63" s="123"/>
      <c r="M63" s="123"/>
      <c r="N63" s="123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35</v>
      </c>
    </row>
    <row r="64" spans="1:16">
      <c r="A64" s="123" t="str">
        <f t="array" aca="1" ref="A64" ca="1">IF(F64&lt;&gt;"",
IF(LEFT(INDIRECT("'数出表_Excel（アレルギー入力）'!A"&amp;MATCH(F64,INDIRECT("'数出表_Excel（アレルギー入力）'!"&amp;P64&amp;":"&amp;P64&amp;""),0)),2)="博多",
LEFT(INDIRECT("'数出表_Excel（アレルギー入力）'!A"&amp;MATCH(F64,INDIRECT("'数出表_Excel（アレルギー入力）'!"&amp;P64&amp;":"&amp;P64&amp;""),0)),FIND("週",INDIRECT("'数出表_Excel（アレルギー入力）'!A"&amp;MATCH(F64,INDIRECT("'数出表_Excel（アレルギー入力）'!"&amp;P64&amp;":"&amp;P64&amp;""),0)))-1),
INDIRECT("'数出表_Excel（アレルギー入力）'!A"&amp;MATCH(F64,INDIRECT("'数出表_Excel（アレルギー入力）'!"&amp;P64&amp;":"&amp;P64&amp;""),0))),"")</f>
        <v/>
      </c>
      <c r="B64" s="123" t="str">
        <f t="array" aca="1" ref="B64" ca="1">IF(AND(B56&lt;&gt;"",O64&lt;&gt;0),
IF(INDIRECT("'数出表_Excel（アレルギー入力）'!"&amp;P64&amp;"147")&lt;&gt;F56,B56,""),"")</f>
        <v/>
      </c>
      <c r="C64" s="123"/>
      <c r="D64" s="123"/>
      <c r="E64" s="123"/>
      <c r="F64" s="123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123"/>
      <c r="H64" s="123"/>
      <c r="I64" s="123"/>
      <c r="J64" s="123"/>
      <c r="K64" s="123"/>
      <c r="L64" s="123"/>
      <c r="M64" s="123"/>
      <c r="N64" s="123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36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J2" sqref="J2"/>
    </sheetView>
  </sheetViews>
  <sheetFormatPr defaultRowHeight="18"/>
  <cols>
    <col min="1" max="1" width="15.8984375" style="29" customWidth="1"/>
  </cols>
  <sheetData>
    <row r="1" spans="1:10">
      <c r="A1" t="s">
        <v>9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9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37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38</v>
      </c>
      <c r="E4" t="e">
        <f ca="1">MID(B3,FIND("新日本",B3)+3,FIND("ニシム",B3)-1-(FIND("新日本",B3)+3))</f>
        <v>#N/A</v>
      </c>
    </row>
    <row r="5" spans="1:10">
      <c r="A5" t="s">
        <v>39</v>
      </c>
      <c r="E5">
        <v>2</v>
      </c>
    </row>
    <row r="6" spans="1:10">
      <c r="A6" t="s">
        <v>40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U374"/>
  <sheetViews>
    <sheetView zoomScale="40" zoomScaleNormal="40" zoomScalePageLayoutView="55" workbookViewId="0">
      <selection activeCell="G1" sqref="G1"/>
    </sheetView>
  </sheetViews>
  <sheetFormatPr defaultRowHeight="22.2"/>
  <cols>
    <col min="1" max="1" width="7.19921875" style="107" customWidth="1"/>
    <col min="2" max="2" width="14.09765625" style="49" customWidth="1"/>
    <col min="3" max="3" width="31.69921875" style="107" customWidth="1"/>
    <col min="4" max="4" width="37.8984375" style="107" customWidth="1"/>
    <col min="5" max="5" width="5.09765625" style="107" customWidth="1"/>
    <col min="6" max="7" width="11.69921875" style="107" customWidth="1"/>
    <col min="8" max="9" width="8.796875" style="49" customWidth="1"/>
    <col min="10" max="10" width="6.796875" style="49" customWidth="1"/>
    <col min="11" max="18" width="8.796875" style="49" customWidth="1"/>
    <col min="19" max="19" width="36.3984375" style="107" customWidth="1"/>
    <col min="20" max="20" width="38" style="49" customWidth="1"/>
    <col min="21" max="21" width="8.796875" style="122" customWidth="1"/>
    <col min="22" max="22" width="17.69921875" style="49" customWidth="1"/>
    <col min="23" max="29" width="8.796875" style="49" customWidth="1"/>
    <col min="30" max="30" width="8.19921875" style="49" customWidth="1"/>
    <col min="31" max="31" width="8" style="49" customWidth="1"/>
    <col min="32" max="32" width="20.296875" style="49" customWidth="1"/>
    <col min="33" max="33" width="17.59765625" style="49" customWidth="1"/>
    <col min="34" max="34" width="8.796875" style="122" customWidth="1"/>
    <col min="35" max="46" width="8.796875" style="49" customWidth="1"/>
    <col min="47" max="47" width="11.59765625" style="49" customWidth="1"/>
    <col min="48" max="58" width="8.796875" style="49" customWidth="1"/>
    <col min="59" max="16384" width="8.796875" style="49"/>
  </cols>
  <sheetData>
    <row r="1" spans="1:47" ht="18" customHeight="1">
      <c r="A1" s="50">
        <v>7</v>
      </c>
      <c r="B1" s="50" t="str">
        <f>IF(COUNTIF(C1,"*雙葉*"),
IF(COUNTIF(C1,"*先生*"),"雙葉先生","雙葉"),
IF(COUNTIF(C1,"*社食*"),"社食'",
IF(LEFT(C1,2)="博多",
IF(IFERROR(TRIM(LEFT(C1,FIND("幼",C1)-1)),TRIM(C1))=IFERROR(TRIM(LEFT(C1,FIND("幼",C1)-1)),TRIM(C1)),
IFERROR(TRIM(LEFT(C1,FIND("幼",C1)-1)),TRIM(C1))&amp;"'",IFERROR(TRIM(LEFT(C1,FIND("幼",C1)-1)),TRIM(C1))),
IF(LEFT(C1,3)="奈良屋",
IF(TRIM(LEFT(C1,FIND("幼",C1)-1))=TRIM(LEFT(C1,FIND("幼",C1)-1)),
"奈良屋'","奈良屋"),""))))</f>
        <v/>
      </c>
      <c r="C1" s="50" t="str">
        <f>IF(OR(クライアント抽出!B1&lt;&gt;"",クライアント抽出!E1&lt;&gt;""),クライアント抽出!A1,"")</f>
        <v/>
      </c>
      <c r="D1" s="50" t="str">
        <f t="array" aca="1" ref="D1" ca="1">IF(C1&lt;&gt;"",INDIRECT("クライアント抽出!"&amp;E1&amp;MATCH(C1,クライアント抽出!A:A,0)&amp;""),"")</f>
        <v/>
      </c>
      <c r="E1" s="50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51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50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06" t="str">
        <f>IF(C1&lt;&gt;"",
クライアント抽出!B1,"")</f>
        <v/>
      </c>
      <c r="I1" s="50" t="str">
        <f t="array" aca="1" ref="I1" ca="1">IF(C1&lt;&gt;"",
IF(O1=1,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INDIRECT("数出表_Excel!"&amp;INDEX(_xlfn.UNIQUE(_xlfn._xlws.FILTER(クライアント抽出!P1:U1,COUNTIF(クライアント抽出!P1:U1,クライアント抽出!P1:U1)&gt;1)),1)&amp;L1&amp;""),0),クライアント抽出!E1),"")</f>
        <v/>
      </c>
      <c r="J1" s="50" t="str">
        <f>IF(C1&lt;&gt;"",
VLOOKUP(
"*"&amp;LEFT(IF(COUNTIF(D1,"*学食*"),"キャラ弁（学食）",
IF(COUNTIF(D1,"*赤*"),"赤",
IF(COUNTIF(D1,"*キャラ弁当*"),"キャラ弁当",D1))),4)&amp;"*",注文弁当の抽出!$E$1:$F$15,2,FALSE),"")</f>
        <v/>
      </c>
      <c r="K1" s="50" t="str">
        <f ca="1">IF(クライアント抽出!P1&lt;&gt;"",SUBSTITUTE(ADDRESS(1,(CODE(クライアント抽出!P1)-64)*2-1,4),"1",""),"")</f>
        <v/>
      </c>
      <c r="L1" s="50" t="str">
        <f>IF(C1&lt;&gt;"",クライアント抽出!I1,"")</f>
        <v/>
      </c>
      <c r="M1" s="50">
        <f t="array" aca="1" ref="M1" ca="1">IF(C1&lt;&gt;"",
IF(K1&lt;&gt;"",INDIRECT("'数出表_Excel（アレルギー入力）'!"&amp;K1&amp;L1-1&amp;""),),)</f>
        <v>0</v>
      </c>
      <c r="N1" s="50" t="str">
        <f>IF(C1&lt;&gt;"",IF(OR(COUNTIF('盛付札（関数）'!D1,"*赤*"),COUNTIF('盛付札（関数）'!D1,"*キャラ*")),1,
VLOOKUP("*"&amp;D1&amp;"*",商品マスタ一覧!D:H,5,FALSE)),"")</f>
        <v/>
      </c>
      <c r="O1" s="50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50">
        <f t="shared" ref="P1:P64" si="0">IF(COUNTIF(Q1,"TRUE"),
IF(OR(COUNTIF(B1,"*'*"),H1=0),0,ROW()),0)</f>
        <v>0</v>
      </c>
      <c r="Q1" s="50" t="b">
        <f t="shared" ref="Q1:Q64" si="1">IF(C1&lt;&gt;"",
IF(OR(N1=1,COUNTIF(D1,"*朝食*"),COUNTIF(D1,"*夕食*")),TRUE,FALSE),FALSE)</f>
        <v>0</v>
      </c>
      <c r="R1" s="134">
        <f t="array" aca="1" ref="R1" ca="1">IFERROR(SMALL(IF(P$1:P$311&lt;&gt;0,P$1:P$311),ROW(A1)),"")</f>
        <v>211</v>
      </c>
      <c r="S1" s="134" t="str">
        <f t="array" aca="1" ref="S1" ca="1">IF($R1&lt;&gt;"",
SUBSTITUTE(SUBSTITUTE(INDIRECT("C"&amp;$R1&amp;"")," 週3ｺｰｽ","")," 週5ｺｰｽ",""),"")</f>
        <v>ニシム</v>
      </c>
      <c r="T1" s="134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135" cm="1">
        <f t="array" aca="1" ref="U1" ca="1">IF($R1&lt;&gt;"",
INDIRECT("F"&amp;$R1&amp;""),"")</f>
        <v>0</v>
      </c>
      <c r="V1" s="134">
        <f t="array" aca="1" ref="V1" ca="1">IF($R1&lt;&gt;"",
INDIRECT("G"&amp;$R1&amp;""),"")</f>
        <v>0</v>
      </c>
      <c r="W1" s="134" t="e">
        <f t="array" aca="1" ref="W1" ca="1">IF($R1&lt;&gt;"",
IF(AND(COUNTIF(INDIRECT("B"&amp;R1&amp;""),"*雙葉*"),COUNTIF($B$71:$B$210,"*雙葉*")&gt;=1),
IF(COUNTIF(INDIRECT("B"&amp;R1&amp;""),"*雙葉先生*"),INDIRECT("H"&amp;R1&amp;""),INDIRECT("H"&amp;R1&amp;"")+INDIRECT("H"&amp;MATCH("雙葉'",INDIRECT("B"&amp;R1+3&amp;":B210"),0)+2+R1&amp;"")),
IF(AND(LEFT(INDIRECT("B"&amp;R1&amp;""),2)="博多",COUNTIF(B:B,"*博多*")&gt;=2),
INDIRECT("H"&amp;R1&amp;"")+INDIRECT("H"&amp;MATCH("*"&amp;INDIRECT("B"&amp;R1&amp;"")&amp;"*",INDIRECT("B"&amp;R1+1&amp;":B210"),0)+R1&amp;""),
IF(AND(LEFT(INDIRECT("B"&amp;R1&amp;""),3)="奈良屋",COUNTIF(B:B,"*奈良屋*")&gt;=2),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134">
        <f t="array" aca="1" ref="X1" ca="1">IF($R1&lt;&gt;"",
INDIRECT(""&amp;IF(COLUMN(I1)&lt;=26,CHAR(COLUMN(I1)+64),CHAR(INT((COLUMN(I1)-1)/26)+64)&amp;CHAR(MOD(COLUMN(I1)-1,26)+65))&amp;$R1&amp;""),"")</f>
        <v>0</v>
      </c>
      <c r="Y1" s="134">
        <f t="array" aca="1" ref="Y1" ca="1">IF($R1&lt;&gt;"",
INDIRECT(""&amp;IF(COLUMN(J1)&lt;=26,CHAR(COLUMN(J1)+64),CHAR(INT((COLUMN(J1)-1)/26)+64)&amp;CHAR(MOD(COLUMN(J1)-1,26)+65))&amp;$R1&amp;""),"")</f>
        <v>0</v>
      </c>
      <c r="Z1" s="134" t="str">
        <f t="shared" ref="Z1:Z64" ca="1" si="2">IF(R1&lt;&gt;"",
IFERROR(INT(W1/Y1),""),"")</f>
        <v/>
      </c>
      <c r="AA1" s="134" t="str">
        <f t="shared" ref="AA1:AA64" ca="1" si="3">IFERROR(MOD(W1,Y1),"")</f>
        <v/>
      </c>
      <c r="AB1" s="134">
        <f t="array" aca="1" ref="AB1" ca="1">IF($R1&lt;&gt;"",
IF(AND(COUNTIF(INDIRECT("B"&amp;R1&amp;""),"*雙葉*"),COUNTIF(B:B,"*雙葉*")&gt;=2),
INDIRECT("M"&amp;R1&amp;"")+INDIRECT("M"&amp;MATCH("雙葉'",INDIRECT("B"&amp;R1+1&amp;":B210"),0)+R1&amp;""),
IF(AND(LEFT(INDIRECT("B"&amp;R1&amp;""),2)="博多",COUNTIF(B:B,"*博多*")&gt;=2),
INDIRECT("M"&amp;R1&amp;"")+INDIRECT("M"&amp;MATCH("*"&amp;INDIRECT("B"&amp;R1&amp;"")&amp;"*",INDIRECT("B"&amp;R1+1&amp;":B210"),0)+R1&amp;""),
IF(AND(LEFT(INDIRECT("B"&amp;R1&amp;""),3)="奈良屋",COUNTIF(B:B,"*奈良屋*")&gt;=2),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  <c r="AC1" s="134" t="e">
        <f ca="1">IF(S1&lt;&gt;"",INDEX(A:A, MATCH("*"&amp;LEFT(S1,4)&amp;"*", C:C, 0)),"")</f>
        <v>#N/A</v>
      </c>
      <c r="AD1" s="49" t="str">
        <f ca="1">IFERROR(INDEX(AC:AC,MATCH(SMALL($AU:$AU,ROW()+3),$AU:$AU,0)),"")</f>
        <v/>
      </c>
      <c r="AE1" s="49" t="str">
        <f ca="1">IFERROR(INDEX(R:R,MATCH(SMALL($AU:$AU,ROW()+3),$AU:$AU,0)),"")</f>
        <v/>
      </c>
      <c r="AF1" s="49" t="str">
        <f ca="1">IFERROR(INDEX(S:S,MATCH(SMALL($AU:$AU,ROW()+3),$AU:$AU,0)),"")</f>
        <v/>
      </c>
      <c r="AG1" s="49" t="str">
        <f ca="1">IFERROR(INDEX(T:T,MATCH(SMALL($AU:$AU,ROW()+3),$AU:$AU,0)),"")</f>
        <v/>
      </c>
      <c r="AH1" s="122" t="str">
        <f ca="1">IFERROR(INDEX(U:U,MATCH(SMALL($AU:$AU,ROW()+3),$AU:$AU,0)),"")</f>
        <v/>
      </c>
      <c r="AI1" s="49" t="str">
        <f ca="1">IFERROR(INDEX(V:V,MATCH(SMALL($AU:$AU,ROW()+3),$AU:$AU,0)),"")</f>
        <v/>
      </c>
      <c r="AJ1" s="49" t="str">
        <f ca="1">IFERROR(INDEX(W:W,MATCH(SMALL($AU:$AU,ROW()+3),$AU:$AU,0)),"")</f>
        <v/>
      </c>
      <c r="AK1" s="49" t="str">
        <f ca="1">IFERROR(INDEX(X:X,MATCH(SMALL($AU:$AU,ROW()+3),$AU:$AU,0)),"")</f>
        <v/>
      </c>
      <c r="AL1" s="49" t="str">
        <f ca="1">IFERROR(INDEX(Y:Y,MATCH(SMALL($AU:$AU,ROW()+3),$AU:$AU,0)),"")</f>
        <v/>
      </c>
      <c r="AM1" s="49" t="str">
        <f ca="1">IFERROR(INDEX(Z:Z,MATCH(SMALL($AU:$AU,ROW()+3),$AU:$AU,0)),"")</f>
        <v/>
      </c>
      <c r="AN1" s="49" t="str">
        <f ca="1">IFERROR(INDEX(AA:AA,MATCH(SMALL($AU:$AU,ROW()+3),$AU:$AU,0)),"")</f>
        <v/>
      </c>
      <c r="AO1" s="49" t="str">
        <f ca="1">IFERROR(INDEX(AB:AB,MATCH(SMALL($AU:$AU,ROW()+3),$AU:$AU,0)),"")</f>
        <v/>
      </c>
      <c r="AP1" s="49" t="str">
        <f ca="1">IFERROR(INDEX(AC:AC,MATCH(SMALL($AU:$AU,ROW()+3),$AU:$AU,0)),"")</f>
        <v/>
      </c>
      <c r="AU1" s="49" t="str">
        <f ca="1">IFERROR(IF(R1&gt;=219, 1000000+R1, AC1*1000+R1),"")</f>
        <v/>
      </c>
    </row>
    <row r="2" spans="1:47" ht="18" customHeight="1">
      <c r="A2" s="108">
        <f t="shared" ref="A2:A33" si="4">A1+2</f>
        <v>9</v>
      </c>
      <c r="B2" s="50" t="str">
        <f t="shared" ref="B2:B33" si="5">IF(COUNTIF(C2,"*雙葉*"),
IF(COUNTIF(C2,"*先生*"),"雙葉先生","雙葉"),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50" t="str">
        <f>IF(OR(クライアント抽出!B2&lt;&gt;"",クライアント抽出!E2&lt;&gt;""),クライアント抽出!A2,"")</f>
        <v/>
      </c>
      <c r="D2" s="50" t="str">
        <f t="array" aca="1" ref="D2" ca="1">IF(C2&lt;&gt;"",INDIRECT("クライアント抽出!"&amp;E2&amp;MATCH(C2,クライアント抽出!A:A,0)&amp;""),"")</f>
        <v/>
      </c>
      <c r="E2" s="50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51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50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06" t="str">
        <f>IF(C2&lt;&gt;"",
クライアント抽出!B2,"")</f>
        <v/>
      </c>
      <c r="I2" s="50" t="str">
        <f t="array" aca="1" ref="I2" ca="1">IF(C2&lt;&gt;"",
IF(O2=1,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INDIRECT("数出表_Excel!"&amp;INDEX(_xlfn.UNIQUE(_xlfn._xlws.FILTER(クライアント抽出!P2:U2,COUNTIF(クライアント抽出!P2:U2,クライアント抽出!P2:U2)&gt;1)),1)&amp;L2&amp;""),0),クライアント抽出!E2),"")</f>
        <v/>
      </c>
      <c r="J2" s="50" t="str">
        <f>IF(C2&lt;&gt;"",
VLOOKUP(
"*"&amp;LEFT(IF(COUNTIF(D2,"*学食*"),"キャラ弁（学食）",
IF(COUNTIF(D2,"*赤*"),"赤",
IF(COUNTIF(D2,"*キャラ弁当*"),"キャラ弁当",D2))),4)&amp;"*",注文弁当の抽出!$E$1:$F$15,2,FALSE),"")</f>
        <v/>
      </c>
      <c r="K2" s="50" t="str">
        <f ca="1">IF(クライアント抽出!P2&lt;&gt;"",SUBSTITUTE(ADDRESS(1,(CODE(クライアント抽出!P2)-64)*2-1,4),"1",""),"")</f>
        <v/>
      </c>
      <c r="L2" s="50" t="str">
        <f>IF(C2&lt;&gt;"",クライアント抽出!I2,"")</f>
        <v/>
      </c>
      <c r="M2" s="50">
        <f t="array" aca="1" ref="M2" ca="1">IF(C2&lt;&gt;"",
IF(K2&lt;&gt;"",INDIRECT("'数出表_Excel（アレルギー入力）'!"&amp;K2&amp;L2-1&amp;""),),)</f>
        <v>0</v>
      </c>
      <c r="N2" s="50" t="str">
        <f>IF(C2&lt;&gt;"",IF(OR(COUNTIF('盛付札（関数）'!D2,"*赤*"),COUNTIF('盛付札（関数）'!D2,"*キャラ*")),1,
VLOOKUP("*"&amp;D2&amp;"*",商品マスタ一覧!D:H,5,FALSE)),"")</f>
        <v/>
      </c>
      <c r="O2" s="50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50">
        <f t="shared" si="0"/>
        <v>0</v>
      </c>
      <c r="Q2" s="50" t="b">
        <f t="shared" si="1"/>
        <v>0</v>
      </c>
      <c r="R2" s="134">
        <f t="array" aca="1" ref="R2" ca="1">IFERROR(SMALL(IF(P$1:P$311&lt;&gt;0,P$1:P$311),ROW(A2)),"")</f>
        <v>212</v>
      </c>
      <c r="S2" s="134" t="str">
        <f t="array" aca="1" ref="S2" ca="1">IF($R2&lt;&gt;"",
SUBSTITUTE(SUBSTITUTE(INDIRECT("C"&amp;$R2&amp;"")," 週3ｺｰｽ","")," 週5ｺｰｽ",""),"")</f>
        <v>新日本製薬</v>
      </c>
      <c r="T2" s="134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135">
        <f t="array" aca="1" ref="U2" ca="1">IF($R2&lt;&gt;"",
INDIRECT("F"&amp;$R2&amp;""),"")</f>
        <v>0</v>
      </c>
      <c r="V2" s="134">
        <f t="array" aca="1" ref="V2" ca="1">IF($R2&lt;&gt;"",
INDIRECT("G"&amp;$R2&amp;""),"")</f>
        <v>0</v>
      </c>
      <c r="W2" s="134" t="e">
        <f t="array" aca="1" ref="W2" ca="1">IF($R2&lt;&gt;"",
IF(AND(COUNTIF(INDIRECT("B"&amp;R2&amp;""),"*雙葉*"),COUNTIF($B$71:$B$210,"*雙葉*")&gt;=1),
IF(OR(COUNTIF(INDIRECT("B"&amp;R2&amp;""),"*雙葉先生*"),COUNTIF(INDIRECT("B"&amp;R2-1&amp;""),"*雙葉*")),INDIRECT("H"&amp;R2&amp;""),INDIRECT("H"&amp;R2&amp;"")+INDIRECT("H"&amp;MATCH("雙葉'",INDIRECT("B"&amp;R2+3&amp;":B210"),0)+2+R2&amp;"")),
IF(AND(LEFT(INDIRECT("B"&amp;R2&amp;""),2)="博多",COUNTIF(B:B,"*博多*")&gt;=2),
INDIRECT("H"&amp;R2&amp;"")+INDIRECT("H"&amp;MATCH("*"&amp;INDIRECT("B"&amp;R2&amp;"")&amp;"*",INDIRECT("B"&amp;R2+1&amp;":B210"),0)+R2&amp;""),
IF(AND(LEFT(INDIRECT("B"&amp;R2&amp;""),3)="奈良屋",COUNTIF(B:B,"*奈良屋*")&gt;=2),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134">
        <f t="array" aca="1" ref="X2" ca="1">IF($R2&lt;&gt;"",
INDIRECT(""&amp;IF(COLUMN(I2)&lt;=26,CHAR(COLUMN(I2)+64),CHAR(INT((COLUMN(I2)-1)/26)+64)&amp;CHAR(MOD(COLUMN(I2)-1,26)+65))&amp;$R2&amp;""),"")</f>
        <v>0</v>
      </c>
      <c r="Y2" s="134">
        <f t="array" aca="1" ref="Y2" ca="1">IF($R2&lt;&gt;"",
INDIRECT(""&amp;IF(COLUMN(J2)&lt;=26,CHAR(COLUMN(J2)+64),CHAR(INT((COLUMN(J2)-1)/26)+64)&amp;CHAR(MOD(COLUMN(J2)-1,26)+65))&amp;$R2&amp;""),"")</f>
        <v>0</v>
      </c>
      <c r="Z2" s="134" t="str">
        <f t="shared" ca="1" si="2"/>
        <v/>
      </c>
      <c r="AA2" s="134" t="str">
        <f t="shared" ca="1" si="3"/>
        <v/>
      </c>
      <c r="AB2" s="134">
        <f t="array" aca="1" ref="AB2" ca="1">IF($R2&lt;&gt;"",
IF(AND(COUNTIF(INDIRECT("B"&amp;R2&amp;""),"*雙葉*"),COUNTIF(B:B,"*雙葉*")&gt;=2),
INDIRECT("M"&amp;R2&amp;"")+INDIRECT("M"&amp;MATCH("雙葉'",INDIRECT("B"&amp;R2+1&amp;":B210"),0)+R2&amp;""),
IF(AND(LEFT(INDIRECT("B"&amp;R2&amp;""),2)="博多",COUNTIF(B:B,"*博多*")&gt;=2),
INDIRECT("M"&amp;R2&amp;"")+INDIRECT("M"&amp;MATCH("*"&amp;INDIRECT("B"&amp;R2&amp;"")&amp;"*",INDIRECT("B"&amp;R2+1&amp;":B210"),0)+R2&amp;""),
IF(AND(LEFT(INDIRECT("B"&amp;R2&amp;""),3)="奈良屋",COUNTIF(B:B,"*奈良屋*")&gt;=2),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  <c r="AC2" s="134" t="e">
        <f ca="1">IF(S2&lt;&gt;"",INDEX(A:A, MATCH("*"&amp;LEFT(S2,4)&amp;"*", C:C, 0)),"")</f>
        <v>#N/A</v>
      </c>
      <c r="AD2" s="49" t="str">
        <f ca="1">IFERROR(INDEX(AC:AC,MATCH(SMALL($AU:$AU,ROW()+3),$AU:$AU,0)),"")</f>
        <v/>
      </c>
      <c r="AE2" s="49" t="str">
        <f ca="1">IFERROR(INDEX(R:R,MATCH(SMALL($AU:$AU,ROW()+3),$AU:$AU,0)),"")</f>
        <v/>
      </c>
      <c r="AF2" s="49" t="str">
        <f ca="1">IFERROR(INDEX(S:S,MATCH(SMALL($AU:$AU,ROW()+3),$AU:$AU,0)),"")</f>
        <v/>
      </c>
      <c r="AG2" s="49" t="str">
        <f ca="1">IFERROR(INDEX(T:T,MATCH(SMALL($AU:$AU,ROW()+3),$AU:$AU,0)),"")</f>
        <v/>
      </c>
      <c r="AH2" s="122" t="str">
        <f ca="1">IFERROR(INDEX(U:U,MATCH(SMALL($AU:$AU,ROW()+3),$AU:$AU,0)),"")</f>
        <v/>
      </c>
      <c r="AI2" s="49" t="str">
        <f ca="1">IFERROR(INDEX(V:V,MATCH(SMALL($AU:$AU,ROW()+3),$AU:$AU,0)),"")</f>
        <v/>
      </c>
      <c r="AJ2" s="49" t="str">
        <f ca="1">IFERROR(INDEX(W:W,MATCH(SMALL($AU:$AU,ROW()+3),$AU:$AU,0)),"")</f>
        <v/>
      </c>
      <c r="AK2" s="49" t="str">
        <f ca="1">IFERROR(INDEX(X:X,MATCH(SMALL($AU:$AU,ROW()+3),$AU:$AU,0)),"")</f>
        <v/>
      </c>
      <c r="AL2" s="49" t="str">
        <f ca="1">IFERROR(INDEX(Y:Y,MATCH(SMALL($AU:$AU,ROW()+3),$AU:$AU,0)),"")</f>
        <v/>
      </c>
      <c r="AM2" s="49" t="str">
        <f ca="1">IFERROR(INDEX(Z:Z,MATCH(SMALL($AU:$AU,ROW()+3),$AU:$AU,0)),"")</f>
        <v/>
      </c>
      <c r="AN2" s="49" t="str">
        <f ca="1">IFERROR(INDEX(AA:AA,MATCH(SMALL($AU:$AU,ROW()+3),$AU:$AU,0)),"")</f>
        <v/>
      </c>
      <c r="AO2" s="49" t="str">
        <f ca="1">IFERROR(INDEX(AB:AB,MATCH(SMALL($AU:$AU,ROW()+3),$AU:$AU,0)),"")</f>
        <v/>
      </c>
      <c r="AP2" s="49" t="str">
        <f ca="1">IFERROR(INDEX(AC:AC,MATCH(SMALL($AU:$AU,ROW()+3),$AU:$AU,0)),"")</f>
        <v/>
      </c>
      <c r="AU2" s="49" t="str">
        <f t="shared" ref="AU2:AU65" ca="1" si="6">IFERROR(IF(R2&gt;=219, 1000000+R2, AC2*1000+R2),"")</f>
        <v/>
      </c>
    </row>
    <row r="3" spans="1:47" ht="22.2" customHeight="1">
      <c r="A3" s="108">
        <f t="shared" si="4"/>
        <v>11</v>
      </c>
      <c r="B3" s="50" t="str">
        <f t="shared" si="5"/>
        <v/>
      </c>
      <c r="C3" s="50" t="str">
        <f>IF(OR(クライアント抽出!B3&lt;&gt;"",クライアント抽出!E3&lt;&gt;""),クライアント抽出!A3,"")</f>
        <v/>
      </c>
      <c r="D3" s="50" t="str">
        <f t="array" aca="1" ref="D3" ca="1">IF(C3&lt;&gt;"",INDIRECT("クライアント抽出!"&amp;E3&amp;MATCH(C3,クライアント抽出!A:A,0)&amp;""),"")</f>
        <v/>
      </c>
      <c r="E3" s="50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51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50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06" t="str">
        <f>IF(C3&lt;&gt;"",
クライアント抽出!B3,"")</f>
        <v/>
      </c>
      <c r="I3" s="50" t="str">
        <f t="array" aca="1" ref="I3" ca="1">IF(C3&lt;&gt;"",
IF(O3=1,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INDIRECT("数出表_Excel!"&amp;INDEX(_xlfn.UNIQUE(_xlfn._xlws.FILTER(クライアント抽出!P3:U3,COUNTIF(クライアント抽出!P3:U3,クライアント抽出!P3:U3)&gt;1)),1)&amp;L3&amp;""),0),クライアント抽出!E3),"")</f>
        <v/>
      </c>
      <c r="J3" s="50" t="str">
        <f>IF(C3&lt;&gt;"",
VLOOKUP(
"*"&amp;LEFT(IF(COUNTIF(D3,"*学食*"),"キャラ弁（学食）",
IF(COUNTIF(D3,"*赤*"),"赤",
IF(COUNTIF(D3,"*キャラ弁当*"),"キャラ弁当",D3))),4)&amp;"*",注文弁当の抽出!$E$1:$F$15,2,FALSE),"")</f>
        <v/>
      </c>
      <c r="K3" s="50" t="str">
        <f ca="1">IF(クライアント抽出!P3&lt;&gt;"",SUBSTITUTE(ADDRESS(1,(CODE(クライアント抽出!P3)-64)*2-1,4),"1",""),"")</f>
        <v/>
      </c>
      <c r="L3" s="50" t="str">
        <f>IF(C3&lt;&gt;"",クライアント抽出!I3,"")</f>
        <v/>
      </c>
      <c r="M3" s="50">
        <f t="array" aca="1" ref="M3" ca="1">IF(C3&lt;&gt;"",
IF(K3&lt;&gt;"",INDIRECT("'数出表_Excel（アレルギー入力）'!"&amp;K3&amp;L3-1&amp;""),),)</f>
        <v>0</v>
      </c>
      <c r="N3" s="50" t="str">
        <f>IF(C3&lt;&gt;"",IF(OR(COUNTIF('盛付札（関数）'!D3,"*赤*"),COUNTIF('盛付札（関数）'!D3,"*キャラ*")),1,
VLOOKUP("*"&amp;D3&amp;"*",商品マスタ一覧!D:H,5,FALSE)),"")</f>
        <v/>
      </c>
      <c r="O3" s="50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50">
        <f t="shared" si="0"/>
        <v>0</v>
      </c>
      <c r="Q3" s="50" t="b">
        <f t="shared" si="1"/>
        <v>0</v>
      </c>
      <c r="R3" s="134">
        <f t="array" aca="1" ref="R3" ca="1">IFERROR(SMALL(IF(P$1:P$311&lt;&gt;0,P$1:P$311),ROW(A3)),"")</f>
        <v>213</v>
      </c>
      <c r="S3" s="134" t="str">
        <f t="array" aca="1" ref="S3" ca="1">IF($R3&lt;&gt;"",
SUBSTITUTE(SUBSTITUTE(INDIRECT("C"&amp;$R3&amp;"")," 週3ｺｰｽ","")," 週5ｺｰｽ",""),"")</f>
        <v>配送</v>
      </c>
      <c r="T3" s="134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135">
        <f t="array" aca="1" ref="U3" ca="1">IF($R3&lt;&gt;"",
INDIRECT("F"&amp;$R3&amp;""),"")</f>
        <v>0</v>
      </c>
      <c r="V3" s="134">
        <f t="array" aca="1" ref="V3" ca="1">IF($R3&lt;&gt;"",
INDIRECT("G"&amp;$R3&amp;""),"")</f>
        <v>0</v>
      </c>
      <c r="W3" s="134">
        <f t="array" aca="1" ref="W3" ca="1">IF($R3&lt;&gt;"",
IF(AND(COUNTIF(INDIRECT("B"&amp;R3&amp;""),"*雙葉*"),COUNTIF($B$71:$B$210,"*雙葉*")&gt;=1),
IF(OR(COUNTIF(INDIRECT("B"&amp;R3&amp;""),"*雙葉先生*"),COUNTIF(INDIRECT("B"&amp;R3-1&amp;""),"*雙葉*")),INDIRECT("H"&amp;R3&amp;""),INDIRECT("H"&amp;R3&amp;"")+INDIRECT("H"&amp;MATCH("雙葉'",INDIRECT("B"&amp;R3+3&amp;":B210"),0)+2+R3&amp;"")),
IF(AND(LEFT(INDIRECT("B"&amp;R3&amp;""),2)="博多",COUNTIF(B:B,"*博多*")&gt;=2),
INDIRECT("H"&amp;R3&amp;"")+INDIRECT("H"&amp;MATCH("*"&amp;INDIRECT("B"&amp;R3&amp;"")&amp;"*",INDIRECT("B"&amp;R3+1&amp;":B210"),0)+R3&amp;""),
IF(AND(LEFT(INDIRECT("B"&amp;R3&amp;""),3)="奈良屋",COUNTIF(B:B,"*奈良屋*")&gt;=2),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134">
        <f t="array" aca="1" ref="X3" ca="1">IF($R3&lt;&gt;"",
INDIRECT(""&amp;IF(COLUMN(I3)&lt;=26,CHAR(COLUMN(I3)+64),CHAR(INT((COLUMN(I3)-1)/26)+64)&amp;CHAR(MOD(COLUMN(I3)-1,26)+65))&amp;$R3&amp;""),"")</f>
        <v>0</v>
      </c>
      <c r="Y3" s="134">
        <f t="array" aca="1" ref="Y3" ca="1">IF($R3&lt;&gt;"",
INDIRECT(""&amp;IF(COLUMN(J3)&lt;=26,CHAR(COLUMN(J3)+64),CHAR(INT((COLUMN(J3)-1)/26)+64)&amp;CHAR(MOD(COLUMN(J3)-1,26)+65))&amp;$R3&amp;""),"")</f>
        <v>0</v>
      </c>
      <c r="Z3" s="134" t="str">
        <f t="shared" ca="1" si="2"/>
        <v/>
      </c>
      <c r="AA3" s="134" t="str">
        <f t="shared" ca="1" si="3"/>
        <v/>
      </c>
      <c r="AB3" s="134">
        <f t="array" aca="1" ref="AB3" ca="1">IF($R3&lt;&gt;"",
IF(AND(COUNTIF(INDIRECT("B"&amp;R3&amp;""),"*雙葉*"),COUNTIF(B:B,"*雙葉*")&gt;=2),
INDIRECT("M"&amp;R3&amp;"")+INDIRECT("M"&amp;MATCH("雙葉'",INDIRECT("B"&amp;R3+1&amp;":B210"),0)+R3&amp;""),
IF(AND(LEFT(INDIRECT("B"&amp;R3&amp;""),2)="博多",COUNTIF(B:B,"*博多*")&gt;=2),
INDIRECT("M"&amp;R3&amp;"")+INDIRECT("M"&amp;MATCH("*"&amp;INDIRECT("B"&amp;R3&amp;"")&amp;"*",INDIRECT("B"&amp;R3+1&amp;":B210"),0)+R3&amp;""),
IF(AND(LEFT(INDIRECT("B"&amp;R3&amp;""),3)="奈良屋",COUNTIF(B:B,"*奈良屋*")&gt;=2),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  <c r="AC3" s="134" t="e">
        <f ca="1">IF(S3&lt;&gt;"",INDEX(A:A, MATCH("*"&amp;LEFT(S3,4)&amp;"*", C:C, 0)),"")</f>
        <v>#N/A</v>
      </c>
      <c r="AD3" s="49" t="str">
        <f ca="1">IFERROR(INDEX(AC:AC,MATCH(SMALL($AU:$AU,ROW()+3),$AU:$AU,0)),"")</f>
        <v/>
      </c>
      <c r="AE3" s="49" t="str">
        <f ca="1">IFERROR(INDEX(R:R,MATCH(SMALL($AU:$AU,ROW()+3),$AU:$AU,0)),"")</f>
        <v/>
      </c>
      <c r="AF3" s="49" t="str">
        <f ca="1">IFERROR(INDEX(S:S,MATCH(SMALL($AU:$AU,ROW()+3),$AU:$AU,0)),"")</f>
        <v/>
      </c>
      <c r="AG3" s="49" t="str">
        <f ca="1">IFERROR(INDEX(T:T,MATCH(SMALL($AU:$AU,ROW()+3),$AU:$AU,0)),"")</f>
        <v/>
      </c>
      <c r="AH3" s="122" t="str">
        <f ca="1">IFERROR(INDEX(U:U,MATCH(SMALL($AU:$AU,ROW()+3),$AU:$AU,0)),"")</f>
        <v/>
      </c>
      <c r="AI3" s="49" t="str">
        <f ca="1">IFERROR(INDEX(V:V,MATCH(SMALL($AU:$AU,ROW()+3),$AU:$AU,0)),"")</f>
        <v/>
      </c>
      <c r="AJ3" s="49" t="str">
        <f ca="1">IFERROR(INDEX(W:W,MATCH(SMALL($AU:$AU,ROW()+3),$AU:$AU,0)),"")</f>
        <v/>
      </c>
      <c r="AK3" s="49" t="str">
        <f ca="1">IFERROR(INDEX(X:X,MATCH(SMALL($AU:$AU,ROW()+3),$AU:$AU,0)),"")</f>
        <v/>
      </c>
      <c r="AL3" s="49" t="str">
        <f ca="1">IFERROR(INDEX(Y:Y,MATCH(SMALL($AU:$AU,ROW()+3),$AU:$AU,0)),"")</f>
        <v/>
      </c>
      <c r="AM3" s="49" t="str">
        <f ca="1">IFERROR(INDEX(Z:Z,MATCH(SMALL($AU:$AU,ROW()+3),$AU:$AU,0)),"")</f>
        <v/>
      </c>
      <c r="AN3" s="49" t="str">
        <f ca="1">IFERROR(INDEX(AA:AA,MATCH(SMALL($AU:$AU,ROW()+3),$AU:$AU,0)),"")</f>
        <v/>
      </c>
      <c r="AO3" s="49" t="str">
        <f ca="1">IFERROR(INDEX(AB:AB,MATCH(SMALL($AU:$AU,ROW()+3),$AU:$AU,0)),"")</f>
        <v/>
      </c>
      <c r="AP3" s="49" t="str">
        <f ca="1">IFERROR(INDEX(AC:AC,MATCH(SMALL($AU:$AU,ROW()+3),$AU:$AU,0)),"")</f>
        <v/>
      </c>
      <c r="AU3" s="49" t="str">
        <f t="shared" ca="1" si="6"/>
        <v/>
      </c>
    </row>
    <row r="4" spans="1:47" ht="18" customHeight="1">
      <c r="A4" s="108">
        <f t="shared" si="4"/>
        <v>13</v>
      </c>
      <c r="B4" s="50" t="str">
        <f t="shared" si="5"/>
        <v/>
      </c>
      <c r="C4" s="50" t="str">
        <f>IF(OR(クライアント抽出!B4&lt;&gt;"",クライアント抽出!E4&lt;&gt;""),クライアント抽出!A4,"")</f>
        <v/>
      </c>
      <c r="D4" s="50" t="str">
        <f t="array" aca="1" ref="D4" ca="1">IF(C4&lt;&gt;"",INDIRECT("クライアント抽出!"&amp;E4&amp;MATCH(C4,クライアント抽出!A:A,0)&amp;""),"")</f>
        <v/>
      </c>
      <c r="E4" s="50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51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50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06" t="str">
        <f>IF(C4&lt;&gt;"",
クライアント抽出!B4,"")</f>
        <v/>
      </c>
      <c r="I4" s="50" t="str">
        <f t="array" aca="1" ref="I4" ca="1">IF(C4&lt;&gt;"",
IF(O4=1,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INDIRECT("数出表_Excel!"&amp;INDEX(_xlfn.UNIQUE(_xlfn._xlws.FILTER(クライアント抽出!P4:U4,COUNTIF(クライアント抽出!P4:U4,クライアント抽出!P4:U4)&gt;1)),1)&amp;L4&amp;""),0),クライアント抽出!E4),"")</f>
        <v/>
      </c>
      <c r="J4" s="50" t="str">
        <f>IF(C4&lt;&gt;"",
VLOOKUP(
"*"&amp;LEFT(IF(COUNTIF(D4,"*学食*"),"キャラ弁（学食）",
IF(COUNTIF(D4,"*赤*"),"赤",
IF(COUNTIF(D4,"*キャラ弁当*"),"キャラ弁当",D4))),4)&amp;"*",注文弁当の抽出!$E$1:$F$15,2,FALSE),"")</f>
        <v/>
      </c>
      <c r="K4" s="50" t="str">
        <f ca="1">IF(クライアント抽出!P4&lt;&gt;"",SUBSTITUTE(ADDRESS(1,(CODE(クライアント抽出!P4)-64)*2-1,4),"1",""),"")</f>
        <v/>
      </c>
      <c r="L4" s="50" t="str">
        <f>IF(C4&lt;&gt;"",クライアント抽出!I4,"")</f>
        <v/>
      </c>
      <c r="M4" s="50">
        <f t="array" aca="1" ref="M4" ca="1">IF(C4&lt;&gt;"",
IF(K4&lt;&gt;"",INDIRECT("'数出表_Excel（アレルギー入力）'!"&amp;K4&amp;L4-1&amp;""),),)</f>
        <v>0</v>
      </c>
      <c r="N4" s="50" t="str">
        <f>IF(C4&lt;&gt;"",IF(OR(COUNTIF('盛付札（関数）'!D4,"*赤*"),COUNTIF('盛付札（関数）'!D4,"*キャラ*")),1,
VLOOKUP("*"&amp;D4&amp;"*",商品マスタ一覧!D:H,5,FALSE)),"")</f>
        <v/>
      </c>
      <c r="O4" s="50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50">
        <f t="shared" si="0"/>
        <v>0</v>
      </c>
      <c r="Q4" s="50" t="b">
        <f t="shared" si="1"/>
        <v>0</v>
      </c>
      <c r="R4" s="134">
        <f t="array" aca="1" ref="R4" ca="1">IFERROR(SMALL(IF(P$1:P$311&lt;&gt;0,P$1:P$311),ROW(A4)),"")</f>
        <v>214</v>
      </c>
      <c r="S4" s="134" t="str">
        <f t="array" aca="1" ref="S4" ca="1">IF($R4&lt;&gt;"",
SUBSTITUTE(SUBSTITUTE(INDIRECT("C"&amp;$R4&amp;"")," 週3ｺｰｽ","")," 週5ｺｰｽ",""),"")</f>
        <v>先生用</v>
      </c>
      <c r="T4" s="134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135" t="e">
        <f t="array" aca="1" ref="U4" ca="1">IF($R4&lt;&gt;"",
INDIRECT("F"&amp;$R4&amp;""),"")</f>
        <v>#N/A</v>
      </c>
      <c r="V4" s="134" t="e">
        <f t="array" aca="1" ref="V4" ca="1">IF($R4&lt;&gt;"",
INDIRECT("G"&amp;$R4&amp;""),"")</f>
        <v>#N/A</v>
      </c>
      <c r="W4" s="134" t="e">
        <f t="array" aca="1" ref="W4" ca="1">IF($R4&lt;&gt;"",
IF(AND(COUNTIF(INDIRECT("B"&amp;R4&amp;""),"*雙葉*"),COUNTIF($B$71:$B$210,"*雙葉*")&gt;=1),
IF(OR(COUNTIF(INDIRECT("B"&amp;R4&amp;""),"*雙葉先生*"),COUNTIF(INDIRECT("B"&amp;R4-1&amp;""),"*雙葉*")),INDIRECT("H"&amp;R4&amp;""),INDIRECT("H"&amp;R4&amp;"")+INDIRECT("H"&amp;MATCH("雙葉'",INDIRECT("B"&amp;R4+3&amp;":B210"),0)+2+R4&amp;"")),
IF(AND(LEFT(INDIRECT("B"&amp;R4&amp;""),2)="博多",COUNTIF(B:B,"*博多*")&gt;=2),
INDIRECT("H"&amp;R4&amp;"")+INDIRECT("H"&amp;MATCH("*"&amp;INDIRECT("B"&amp;R4&amp;"")&amp;"*",INDIRECT("B"&amp;R4+1&amp;":B210"),0)+R4&amp;""),
IF(AND(LEFT(INDIRECT("B"&amp;R4&amp;""),3)="奈良屋",COUNTIF(B:B,"*奈良屋*")&gt;=2),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134">
        <f t="array" aca="1" ref="X4" ca="1">IF($R4&lt;&gt;"",
INDIRECT(""&amp;IF(COLUMN(I4)&lt;=26,CHAR(COLUMN(I4)+64),CHAR(INT((COLUMN(I4)-1)/26)+64)&amp;CHAR(MOD(COLUMN(I4)-1,26)+65))&amp;$R4&amp;""),"")</f>
        <v>0</v>
      </c>
      <c r="Y4" s="134">
        <f t="array" aca="1" ref="Y4" ca="1">IF($R4&lt;&gt;"",
INDIRECT(""&amp;IF(COLUMN(J4)&lt;=26,CHAR(COLUMN(J4)+64),CHAR(INT((COLUMN(J4)-1)/26)+64)&amp;CHAR(MOD(COLUMN(J4)-1,26)+65))&amp;$R4&amp;""),"")</f>
        <v>12</v>
      </c>
      <c r="Z4" s="134" t="str">
        <f ca="1">IF(R4&lt;&gt;"",
IFERROR(INT(W4/Y4),""),"")</f>
        <v/>
      </c>
      <c r="AA4" s="134" t="str">
        <f ca="1">IFERROR(MOD(W4,Y4),"")</f>
        <v/>
      </c>
      <c r="AB4" s="134">
        <f t="array" aca="1" ref="AB4" ca="1">IF($R4&lt;&gt;"",
IF(AND(COUNTIF(INDIRECT("B"&amp;R4&amp;""),"*雙葉*"),COUNTIF(B:B,"*雙葉*")&gt;=2),
INDIRECT("M"&amp;R4&amp;"")+INDIRECT("M"&amp;MATCH("雙葉'",INDIRECT("B"&amp;R4+1&amp;":B210"),0)+R4&amp;""),
IF(AND(LEFT(INDIRECT("B"&amp;R4&amp;""),2)="博多",COUNTIF(B:B,"*博多*")&gt;=2),
INDIRECT("M"&amp;R4&amp;"")+INDIRECT("M"&amp;MATCH("*"&amp;INDIRECT("B"&amp;R4&amp;"")&amp;"*",INDIRECT("B"&amp;R4+1&amp;":B210"),0)+R4&amp;""),
IF(AND(LEFT(INDIRECT("B"&amp;R4&amp;""),3)="奈良屋",COUNTIF(B:B,"*奈良屋*")&gt;=2),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  <c r="AC4" s="134">
        <f ca="1">IF(S4&lt;&gt;"",INDEX(A:A, MATCH("*"&amp;LEFT(S4,4)&amp;"*", C:C, 0)),"")</f>
        <v>146</v>
      </c>
      <c r="AD4" s="49" t="str">
        <f ca="1">IFERROR(INDEX(AC:AC,MATCH(SMALL($AU:$AU,ROW()+3),$AU:$AU,0)),"")</f>
        <v/>
      </c>
      <c r="AE4" s="49" t="str">
        <f ca="1">IFERROR(INDEX(R:R,MATCH(SMALL($AU:$AU,ROW()+3),$AU:$AU,0)),"")</f>
        <v/>
      </c>
      <c r="AF4" s="49" t="str">
        <f ca="1">IFERROR(INDEX(S:S,MATCH(SMALL($AU:$AU,ROW()+3),$AU:$AU,0)),"")</f>
        <v/>
      </c>
      <c r="AG4" s="49" t="str">
        <f ca="1">IFERROR(INDEX(T:T,MATCH(SMALL($AU:$AU,ROW()+3),$AU:$AU,0)),"")</f>
        <v/>
      </c>
      <c r="AH4" s="122" t="str">
        <f ca="1">IFERROR(INDEX(U:U,MATCH(SMALL($AU:$AU,ROW()+3),$AU:$AU,0)),"")</f>
        <v/>
      </c>
      <c r="AI4" s="49" t="str">
        <f ca="1">IFERROR(INDEX(V:V,MATCH(SMALL($AU:$AU,ROW()+3),$AU:$AU,0)),"")</f>
        <v/>
      </c>
      <c r="AJ4" s="49" t="str">
        <f ca="1">IFERROR(INDEX(W:W,MATCH(SMALL($AU:$AU,ROW()+3),$AU:$AU,0)),"")</f>
        <v/>
      </c>
      <c r="AK4" s="49" t="str">
        <f ca="1">IFERROR(INDEX(X:X,MATCH(SMALL($AU:$AU,ROW()+3),$AU:$AU,0)),"")</f>
        <v/>
      </c>
      <c r="AL4" s="49" t="str">
        <f ca="1">IFERROR(INDEX(Y:Y,MATCH(SMALL($AU:$AU,ROW()+3),$AU:$AU,0)),"")</f>
        <v/>
      </c>
      <c r="AM4" s="49" t="str">
        <f ca="1">IFERROR(INDEX(Z:Z,MATCH(SMALL($AU:$AU,ROW()+3),$AU:$AU,0)),"")</f>
        <v/>
      </c>
      <c r="AN4" s="49" t="str">
        <f ca="1">IFERROR(INDEX(AA:AA,MATCH(SMALL($AU:$AU,ROW()+3),$AU:$AU,0)),"")</f>
        <v/>
      </c>
      <c r="AO4" s="49" t="str">
        <f ca="1">IFERROR(INDEX(AB:AB,MATCH(SMALL($AU:$AU,ROW()+3),$AU:$AU,0)),"")</f>
        <v/>
      </c>
      <c r="AP4" s="49" t="str">
        <f ca="1">IFERROR(INDEX(AC:AC,MATCH(SMALL($AU:$AU,ROW()+3),$AU:$AU,0)),"")</f>
        <v/>
      </c>
      <c r="AU4" s="49">
        <f t="shared" ca="1" si="6"/>
        <v>146214</v>
      </c>
    </row>
    <row r="5" spans="1:47" ht="18" customHeight="1">
      <c r="A5" s="108">
        <f t="shared" si="4"/>
        <v>15</v>
      </c>
      <c r="B5" s="50" t="str">
        <f t="shared" si="5"/>
        <v/>
      </c>
      <c r="C5" s="50" t="str">
        <f>IF(OR(クライアント抽出!B5&lt;&gt;"",クライアント抽出!E5&lt;&gt;""),クライアント抽出!A5,"")</f>
        <v/>
      </c>
      <c r="D5" s="50" t="str">
        <f t="array" aca="1" ref="D5" ca="1">IF(C5&lt;&gt;"",INDIRECT("クライアント抽出!"&amp;E5&amp;MATCH(C5,クライアント抽出!A:A,0)&amp;""),"")</f>
        <v/>
      </c>
      <c r="E5" s="50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51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50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06" t="str">
        <f>IF(C5&lt;&gt;"",
クライアント抽出!B5,"")</f>
        <v/>
      </c>
      <c r="I5" s="50" t="str">
        <f t="array" aca="1" ref="I5" ca="1">IF(C5&lt;&gt;"",
IF(O5=1,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INDIRECT("数出表_Excel!"&amp;INDEX(_xlfn.UNIQUE(_xlfn._xlws.FILTER(クライアント抽出!P5:U5,COUNTIF(クライアント抽出!P5:U5,クライアント抽出!P5:U5)&gt;1)),1)&amp;L5&amp;""),0),クライアント抽出!E5),"")</f>
        <v/>
      </c>
      <c r="J5" s="50" t="str">
        <f>IF(C5&lt;&gt;"",
VLOOKUP(
"*"&amp;LEFT(IF(COUNTIF(D5,"*学食*"),"キャラ弁（学食）",
IF(COUNTIF(D5,"*赤*"),"赤",
IF(COUNTIF(D5,"*キャラ弁当*"),"キャラ弁当",D5))),4)&amp;"*",注文弁当の抽出!$E$1:$F$15,2,FALSE),"")</f>
        <v/>
      </c>
      <c r="K5" s="50" t="str">
        <f ca="1">IF(クライアント抽出!P5&lt;&gt;"",SUBSTITUTE(ADDRESS(1,(CODE(クライアント抽出!P5)-64)*2-1,4),"1",""),"")</f>
        <v/>
      </c>
      <c r="L5" s="50" t="str">
        <f>IF(C5&lt;&gt;"",クライアント抽出!I5,"")</f>
        <v/>
      </c>
      <c r="M5" s="50">
        <f t="array" aca="1" ref="M5" ca="1">IF(C5&lt;&gt;"",
IF(K5&lt;&gt;"",INDIRECT("'数出表_Excel（アレルギー入力）'!"&amp;K5&amp;L5-1&amp;""),),)</f>
        <v>0</v>
      </c>
      <c r="N5" s="50" t="str">
        <f>IF(C5&lt;&gt;"",IF(OR(COUNTIF('盛付札（関数）'!D5,"*赤*"),COUNTIF('盛付札（関数）'!D5,"*キャラ*")),1,
VLOOKUP("*"&amp;D5&amp;"*",商品マスタ一覧!D:H,5,FALSE)),"")</f>
        <v/>
      </c>
      <c r="O5" s="50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50">
        <f t="shared" si="0"/>
        <v>0</v>
      </c>
      <c r="Q5" s="50" t="b">
        <f t="shared" si="1"/>
        <v>0</v>
      </c>
      <c r="R5" s="134">
        <f t="array" aca="1" ref="R5" ca="1">IFERROR(SMALL(IF(P$1:P$311&lt;&gt;0,P$1:P$311),ROW(A5)),"")</f>
        <v>215</v>
      </c>
      <c r="S5" s="134" t="str">
        <f t="array" aca="1" ref="S5" ca="1">IF($R5&lt;&gt;"",
SUBSTITUTE(SUBSTITUTE(INDIRECT("C"&amp;$R5&amp;"")," 週3ｺｰｽ","")," 週5ｺｰｽ",""),"")</f>
        <v>社食</v>
      </c>
      <c r="T5" s="134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135">
        <f t="array" aca="1" ref="U5" ca="1">IF($R5&lt;&gt;"",
INDIRECT("F"&amp;$R5&amp;""),"")</f>
        <v>0</v>
      </c>
      <c r="V5" s="134">
        <f t="array" aca="1" ref="V5" ca="1">IF($R5&lt;&gt;"",
INDIRECT("G"&amp;$R5&amp;""),"")</f>
        <v>0</v>
      </c>
      <c r="W5" s="134" t="e">
        <f t="array" aca="1" ref="W5" ca="1">IF($R5&lt;&gt;"",
IF(AND(COUNTIF(INDIRECT("B"&amp;R5&amp;""),"*雙葉*"),COUNTIF($B$71:$B$210,"*雙葉*")&gt;=1),
IF(OR(COUNTIF(INDIRECT("B"&amp;R5&amp;""),"*雙葉先生*"),COUNTIF(INDIRECT("B"&amp;R5-1&amp;""),"*雙葉*")),INDIRECT("H"&amp;R5&amp;""),INDIRECT("H"&amp;R5&amp;"")+INDIRECT("H"&amp;MATCH("雙葉'",INDIRECT("B"&amp;R5+3&amp;":B210"),0)+2+R5&amp;"")),
IF(AND(LEFT(INDIRECT("B"&amp;R5&amp;""),2)="博多",COUNTIF(B:B,"*博多*")&gt;=2),
INDIRECT("H"&amp;R5&amp;"")+INDIRECT("H"&amp;MATCH("*"&amp;INDIRECT("B"&amp;R5&amp;"")&amp;"*",INDIRECT("B"&amp;R5+1&amp;":B210"),0)+R5&amp;""),
IF(AND(LEFT(INDIRECT("B"&amp;R5&amp;""),3)="奈良屋",COUNTIF(B:B,"*奈良屋*")&gt;=2),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134" t="str">
        <f t="array" aca="1" ref="X5" ca="1">IF($R5&lt;&gt;"",
INDIRECT(""&amp;IF(COLUMN(I5)&lt;=26,CHAR(COLUMN(I5)+64),CHAR(INT((COLUMN(I5)-1)/26)+64)&amp;CHAR(MOD(COLUMN(I5)-1,26)+65))&amp;$R5&amp;""),"")</f>
        <v/>
      </c>
      <c r="Y5" s="134">
        <f t="array" aca="1" ref="Y5" ca="1">IF($R5&lt;&gt;"",
INDIRECT(""&amp;IF(COLUMN(J5)&lt;=26,CHAR(COLUMN(J5)+64),CHAR(INT((COLUMN(J5)-1)/26)+64)&amp;CHAR(MOD(COLUMN(J5)-1,26)+65))&amp;$R5&amp;""),"")</f>
        <v>0</v>
      </c>
      <c r="Z5" s="134" t="str">
        <f t="shared" ca="1" si="2"/>
        <v/>
      </c>
      <c r="AA5" s="134" t="str">
        <f t="shared" ca="1" si="3"/>
        <v/>
      </c>
      <c r="AB5" s="134">
        <f t="array" aca="1" ref="AB5" ca="1">IF($R5&lt;&gt;"",
IF(AND(COUNTIF(INDIRECT("B"&amp;R5&amp;""),"*雙葉*"),COUNTIF(B:B,"*雙葉*")&gt;=2),
INDIRECT("M"&amp;R5&amp;"")+INDIRECT("M"&amp;MATCH("雙葉'",INDIRECT("B"&amp;R5+1&amp;":B210"),0)+R5&amp;""),
IF(AND(LEFT(INDIRECT("B"&amp;R5&amp;""),2)="博多",COUNTIF(B:B,"*博多*")&gt;=2),
INDIRECT("M"&amp;R5&amp;"")+INDIRECT("M"&amp;MATCH("*"&amp;INDIRECT("B"&amp;R5&amp;"")&amp;"*",INDIRECT("B"&amp;R5+1&amp;":B210"),0)+R5&amp;""),
IF(AND(LEFT(INDIRECT("B"&amp;R5&amp;""),3)="奈良屋",COUNTIF(B:B,"*奈良屋*")&gt;=2),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  <c r="AC5" s="134" t="e">
        <f ca="1">IF(S5&lt;&gt;"",INDEX(A:A, MATCH("*"&amp;LEFT(S5,4)&amp;"*", C:C, 0)),"")</f>
        <v>#N/A</v>
      </c>
      <c r="AD5" s="49" t="str">
        <f ca="1">IFERROR(INDEX(AC:AC,MATCH(SMALL($AU:$AU,ROW()+3),$AU:$AU,0)),"")</f>
        <v/>
      </c>
      <c r="AE5" s="49" t="str">
        <f ca="1">IFERROR(INDEX(R:R,MATCH(SMALL($AU:$AU,ROW()+3),$AU:$AU,0)),"")</f>
        <v/>
      </c>
      <c r="AF5" s="49" t="str">
        <f ca="1">IFERROR(INDEX(S:S,MATCH(SMALL($AU:$AU,ROW()+3),$AU:$AU,0)),"")</f>
        <v/>
      </c>
      <c r="AG5" s="49" t="str">
        <f ca="1">IFERROR(INDEX(T:T,MATCH(SMALL($AU:$AU,ROW()+3),$AU:$AU,0)),"")</f>
        <v/>
      </c>
      <c r="AH5" s="122" t="str">
        <f ca="1">IFERROR(INDEX(U:U,MATCH(SMALL($AU:$AU,ROW()+3),$AU:$AU,0)),"")</f>
        <v/>
      </c>
      <c r="AI5" s="49" t="str">
        <f ca="1">IFERROR(INDEX(V:V,MATCH(SMALL($AU:$AU,ROW()+3),$AU:$AU,0)),"")</f>
        <v/>
      </c>
      <c r="AJ5" s="49" t="str">
        <f ca="1">IFERROR(INDEX(W:W,MATCH(SMALL($AU:$AU,ROW()+3),$AU:$AU,0)),"")</f>
        <v/>
      </c>
      <c r="AK5" s="49" t="str">
        <f ca="1">IFERROR(INDEX(X:X,MATCH(SMALL($AU:$AU,ROW()+3),$AU:$AU,0)),"")</f>
        <v/>
      </c>
      <c r="AL5" s="49" t="str">
        <f ca="1">IFERROR(INDEX(Y:Y,MATCH(SMALL($AU:$AU,ROW()+3),$AU:$AU,0)),"")</f>
        <v/>
      </c>
      <c r="AM5" s="49" t="str">
        <f ca="1">IFERROR(INDEX(Z:Z,MATCH(SMALL($AU:$AU,ROW()+3),$AU:$AU,0)),"")</f>
        <v/>
      </c>
      <c r="AN5" s="49" t="str">
        <f ca="1">IFERROR(INDEX(AA:AA,MATCH(SMALL($AU:$AU,ROW()+3),$AU:$AU,0)),"")</f>
        <v/>
      </c>
      <c r="AO5" s="49" t="str">
        <f ca="1">IFERROR(INDEX(AB:AB,MATCH(SMALL($AU:$AU,ROW()+3),$AU:$AU,0)),"")</f>
        <v/>
      </c>
      <c r="AP5" s="49" t="str">
        <f ca="1">IFERROR(INDEX(AC:AC,MATCH(SMALL($AU:$AU,ROW()+3),$AU:$AU,0)),"")</f>
        <v/>
      </c>
      <c r="AU5" s="49" t="str">
        <f t="shared" ca="1" si="6"/>
        <v/>
      </c>
    </row>
    <row r="6" spans="1:47" ht="22.2" customHeight="1">
      <c r="A6" s="108">
        <f t="shared" si="4"/>
        <v>17</v>
      </c>
      <c r="B6" s="50" t="str">
        <f t="shared" si="5"/>
        <v/>
      </c>
      <c r="C6" s="50" t="str">
        <f>IF(OR(クライアント抽出!B6&lt;&gt;"",クライアント抽出!E6&lt;&gt;""),クライアント抽出!A6,"")</f>
        <v/>
      </c>
      <c r="D6" s="50" t="str">
        <f t="array" aca="1" ref="D6" ca="1">IF(C6&lt;&gt;"",INDIRECT("クライアント抽出!"&amp;E6&amp;MATCH(C6,クライアント抽出!A:A,0)&amp;""),"")</f>
        <v/>
      </c>
      <c r="E6" s="50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51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50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06" t="str">
        <f>IF(C6&lt;&gt;"",
クライアント抽出!B6,"")</f>
        <v/>
      </c>
      <c r="I6" s="50" t="str">
        <f t="array" aca="1" ref="I6" ca="1">IF(C6&lt;&gt;"",
IF(O6=1,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INDIRECT("数出表_Excel!"&amp;INDEX(_xlfn.UNIQUE(_xlfn._xlws.FILTER(クライアント抽出!P6:U6,COUNTIF(クライアント抽出!P6:U6,クライアント抽出!P6:U6)&gt;1)),1)&amp;L6&amp;""),0),クライアント抽出!E6),"")</f>
        <v/>
      </c>
      <c r="J6" s="50" t="str">
        <f>IF(C6&lt;&gt;"",
VLOOKUP(
"*"&amp;LEFT(IF(COUNTIF(D6,"*学食*"),"キャラ弁（学食）",
IF(COUNTIF(D6,"*赤*"),"赤",
IF(COUNTIF(D6,"*キャラ弁当*"),"キャラ弁当",D6))),4)&amp;"*",注文弁当の抽出!$E$1:$F$15,2,FALSE),"")</f>
        <v/>
      </c>
      <c r="K6" s="50" t="str">
        <f ca="1">IF(クライアント抽出!P6&lt;&gt;"",SUBSTITUTE(ADDRESS(1,(CODE(クライアント抽出!P6)-64)*2-1,4),"1",""),"")</f>
        <v/>
      </c>
      <c r="L6" s="50" t="str">
        <f>IF(C6&lt;&gt;"",クライアント抽出!I6,"")</f>
        <v/>
      </c>
      <c r="M6" s="50">
        <f t="array" aca="1" ref="M6" ca="1">IF(C6&lt;&gt;"",
IF(K6&lt;&gt;"",INDIRECT("'数出表_Excel（アレルギー入力）'!"&amp;K6&amp;L6-1&amp;""),),)</f>
        <v>0</v>
      </c>
      <c r="N6" s="50" t="str">
        <f>IF(C6&lt;&gt;"",IF(OR(COUNTIF('盛付札（関数）'!D6,"*赤*"),COUNTIF('盛付札（関数）'!D6,"*キャラ*")),1,
VLOOKUP("*"&amp;D6&amp;"*",商品マスタ一覧!D:H,5,FALSE)),"")</f>
        <v/>
      </c>
      <c r="O6" s="50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50">
        <f t="shared" si="0"/>
        <v>0</v>
      </c>
      <c r="Q6" s="50" t="b">
        <f t="shared" si="1"/>
        <v>0</v>
      </c>
      <c r="R6" s="134">
        <f t="array" aca="1" ref="R6" ca="1">IFERROR(SMALL(IF(P$1:P$311&lt;&gt;0,P$1:P$311),ROW(A6)),"")</f>
        <v>216</v>
      </c>
      <c r="S6" s="134" t="str">
        <f t="array" aca="1" ref="S6" ca="1">IF($R6&lt;&gt;"",
SUBSTITUTE(SUBSTITUTE(INDIRECT("C"&amp;$R6&amp;"")," 週3ｺｰｽ","")," 週5ｺｰｽ",""),"")</f>
        <v>社食</v>
      </c>
      <c r="T6" s="134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135">
        <f t="array" aca="1" ref="U6" ca="1">IF($R6&lt;&gt;"",
INDIRECT("F"&amp;$R6&amp;""),"")</f>
        <v>0</v>
      </c>
      <c r="V6" s="134">
        <f t="array" aca="1" ref="V6" ca="1">IF($R6&lt;&gt;"",
INDIRECT("G"&amp;$R6&amp;""),"")</f>
        <v>0</v>
      </c>
      <c r="W6" s="134" t="e">
        <f t="array" aca="1" ref="W6" ca="1">IF($R6&lt;&gt;"",
IF(AND(COUNTIF(INDIRECT("B"&amp;R6&amp;""),"*雙葉*"),COUNTIF($B$71:$B$210,"*雙葉*")&gt;=1),
IF(OR(COUNTIF(INDIRECT("B"&amp;R6&amp;""),"*雙葉先生*"),COUNTIF(INDIRECT("B"&amp;R6-1&amp;""),"*雙葉*")),INDIRECT("H"&amp;R6&amp;""),INDIRECT("H"&amp;R6&amp;"")+INDIRECT("H"&amp;MATCH("雙葉'",INDIRECT("B"&amp;R6+3&amp;":B210"),0)+2+R6&amp;"")),
IF(AND(LEFT(INDIRECT("B"&amp;R6&amp;""),2)="博多",COUNTIF(B:B,"*博多*")&gt;=2),
INDIRECT("H"&amp;R6&amp;"")+INDIRECT("H"&amp;MATCH("*"&amp;INDIRECT("B"&amp;R6&amp;"")&amp;"*",INDIRECT("B"&amp;R6+1&amp;":B210"),0)+R6&amp;""),
IF(AND(LEFT(INDIRECT("B"&amp;R6&amp;""),3)="奈良屋",COUNTIF(B:B,"*奈良屋*")&gt;=2),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134" t="str">
        <f t="array" aca="1" ref="X6" ca="1">IF($R6&lt;&gt;"",
INDIRECT(""&amp;IF(COLUMN(I6)&lt;=26,CHAR(COLUMN(I6)+64),CHAR(INT((COLUMN(I6)-1)/26)+64)&amp;CHAR(MOD(COLUMN(I6)-1,26)+65))&amp;$R6&amp;""),"")</f>
        <v/>
      </c>
      <c r="Y6" s="134">
        <f t="array" aca="1" ref="Y6" ca="1">IF($R6&lt;&gt;"",
INDIRECT(""&amp;IF(COLUMN(J6)&lt;=26,CHAR(COLUMN(J6)+64),CHAR(INT((COLUMN(J6)-1)/26)+64)&amp;CHAR(MOD(COLUMN(J6)-1,26)+65))&amp;$R6&amp;""),"")</f>
        <v>0</v>
      </c>
      <c r="Z6" s="134" t="str">
        <f t="shared" ca="1" si="2"/>
        <v/>
      </c>
      <c r="AA6" s="134" t="str">
        <f t="shared" ca="1" si="3"/>
        <v/>
      </c>
      <c r="AB6" s="134">
        <f t="array" aca="1" ref="AB6" ca="1">IF($R6&lt;&gt;"",
IF(AND(COUNTIF(INDIRECT("B"&amp;R6&amp;""),"*雙葉*"),COUNTIF(B:B,"*雙葉*")&gt;=2),
INDIRECT("M"&amp;R6&amp;"")+INDIRECT("M"&amp;MATCH("雙葉'",INDIRECT("B"&amp;R6+1&amp;":B210"),0)+R6&amp;""),
IF(AND(LEFT(INDIRECT("B"&amp;R6&amp;""),2)="博多",COUNTIF(B:B,"*博多*")&gt;=2),
INDIRECT("M"&amp;R6&amp;"")+INDIRECT("M"&amp;MATCH("*"&amp;INDIRECT("B"&amp;R6&amp;"")&amp;"*",INDIRECT("B"&amp;R6+1&amp;":B210"),0)+R6&amp;""),
IF(AND(LEFT(INDIRECT("B"&amp;R6&amp;""),3)="奈良屋",COUNTIF(B:B,"*奈良屋*")&gt;=2),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  <c r="AC6" s="134" t="e">
        <f ca="1">IF(S6&lt;&gt;"",INDEX(A:A, MATCH("*"&amp;LEFT(S6,4)&amp;"*", C:C, 0)),"")</f>
        <v>#N/A</v>
      </c>
      <c r="AD6" s="49" t="str">
        <f ca="1">IFERROR(INDEX(AC:AC,MATCH(SMALL($AU:$AU,ROW()+3),$AU:$AU,0)),"")</f>
        <v/>
      </c>
      <c r="AE6" s="49" t="str">
        <f ca="1">IFERROR(INDEX(R:R,MATCH(SMALL($AU:$AU,ROW()+3),$AU:$AU,0)),"")</f>
        <v/>
      </c>
      <c r="AF6" s="49" t="str">
        <f ca="1">IFERROR(INDEX(S:S,MATCH(SMALL($AU:$AU,ROW()+3),$AU:$AU,0)),"")</f>
        <v/>
      </c>
      <c r="AG6" s="49" t="str">
        <f ca="1">IFERROR(INDEX(T:T,MATCH(SMALL($AU:$AU,ROW()+3),$AU:$AU,0)),"")</f>
        <v/>
      </c>
      <c r="AH6" s="122" t="str">
        <f ca="1">IFERROR(INDEX(U:U,MATCH(SMALL($AU:$AU,ROW()+3),$AU:$AU,0)),"")</f>
        <v/>
      </c>
      <c r="AI6" s="49" t="str">
        <f ca="1">IFERROR(INDEX(V:V,MATCH(SMALL($AU:$AU,ROW()+3),$AU:$AU,0)),"")</f>
        <v/>
      </c>
      <c r="AJ6" s="49" t="str">
        <f ca="1">IFERROR(INDEX(W:W,MATCH(SMALL($AU:$AU,ROW()+3),$AU:$AU,0)),"")</f>
        <v/>
      </c>
      <c r="AK6" s="49" t="str">
        <f ca="1">IFERROR(INDEX(X:X,MATCH(SMALL($AU:$AU,ROW()+3),$AU:$AU,0)),"")</f>
        <v/>
      </c>
      <c r="AL6" s="49" t="str">
        <f ca="1">IFERROR(INDEX(Y:Y,MATCH(SMALL($AU:$AU,ROW()+3),$AU:$AU,0)),"")</f>
        <v/>
      </c>
      <c r="AM6" s="49" t="str">
        <f ca="1">IFERROR(INDEX(Z:Z,MATCH(SMALL($AU:$AU,ROW()+3),$AU:$AU,0)),"")</f>
        <v/>
      </c>
      <c r="AN6" s="49" t="str">
        <f ca="1">IFERROR(INDEX(AA:AA,MATCH(SMALL($AU:$AU,ROW()+3),$AU:$AU,0)),"")</f>
        <v/>
      </c>
      <c r="AO6" s="49" t="str">
        <f ca="1">IFERROR(INDEX(AB:AB,MATCH(SMALL($AU:$AU,ROW()+3),$AU:$AU,0)),"")</f>
        <v/>
      </c>
      <c r="AP6" s="49" t="str">
        <f ca="1">IFERROR(INDEX(AC:AC,MATCH(SMALL($AU:$AU,ROW()+3),$AU:$AU,0)),"")</f>
        <v/>
      </c>
      <c r="AU6" s="49" t="str">
        <f t="shared" ca="1" si="6"/>
        <v/>
      </c>
    </row>
    <row r="7" spans="1:47" ht="21" customHeight="1">
      <c r="A7" s="108">
        <f t="shared" si="4"/>
        <v>19</v>
      </c>
      <c r="B7" s="50" t="str">
        <f t="shared" si="5"/>
        <v/>
      </c>
      <c r="C7" s="50" t="str">
        <f>IF(OR(クライアント抽出!B7&lt;&gt;"",クライアント抽出!E7&lt;&gt;""),クライアント抽出!A7,"")</f>
        <v/>
      </c>
      <c r="D7" s="50" t="str">
        <f t="array" aca="1" ref="D7" ca="1">IF(C7&lt;&gt;"",INDIRECT("クライアント抽出!"&amp;E7&amp;MATCH(C7,クライアント抽出!A:A,0)&amp;""),"")</f>
        <v/>
      </c>
      <c r="E7" s="50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51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50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06" t="str">
        <f>IF(C7&lt;&gt;"",
クライアント抽出!B7,"")</f>
        <v/>
      </c>
      <c r="I7" s="50" t="str">
        <f t="array" aca="1" ref="I7" ca="1">IF(C7&lt;&gt;"",
IF(O7=1,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INDIRECT("数出表_Excel!"&amp;INDEX(_xlfn.UNIQUE(_xlfn._xlws.FILTER(クライアント抽出!P7:U7,COUNTIF(クライアント抽出!P7:U7,クライアント抽出!P7:U7)&gt;1)),1)&amp;L7&amp;""),0),クライアント抽出!E7),"")</f>
        <v/>
      </c>
      <c r="J7" s="50" t="str">
        <f>IF(C7&lt;&gt;"",
VLOOKUP(
"*"&amp;LEFT(IF(COUNTIF(D7,"*学食*"),"キャラ弁（学食）",
IF(COUNTIF(D7,"*赤*"),"赤",
IF(COUNTIF(D7,"*キャラ弁当*"),"キャラ弁当",D7))),4)&amp;"*",注文弁当の抽出!$E$1:$F$15,2,FALSE),"")</f>
        <v/>
      </c>
      <c r="K7" s="50" t="str">
        <f ca="1">IF(クライアント抽出!P7&lt;&gt;"",SUBSTITUTE(ADDRESS(1,(CODE(クライアント抽出!P7)-64)*2-1,4),"1",""),"")</f>
        <v/>
      </c>
      <c r="L7" s="50" t="str">
        <f>IF(C7&lt;&gt;"",クライアント抽出!I7,"")</f>
        <v/>
      </c>
      <c r="M7" s="50">
        <f t="array" aca="1" ref="M7" ca="1">IF(C7&lt;&gt;"",
IF(K7&lt;&gt;"",INDIRECT("'数出表_Excel（アレルギー入力）'!"&amp;K7&amp;L7-1&amp;""),),)</f>
        <v>0</v>
      </c>
      <c r="N7" s="50" t="str">
        <f>IF(C7&lt;&gt;"",IF(OR(COUNTIF('盛付札（関数）'!D7,"*赤*"),COUNTIF('盛付札（関数）'!D7,"*キャラ*")),1,
VLOOKUP("*"&amp;D7&amp;"*",商品マスタ一覧!D:H,5,FALSE)),"")</f>
        <v/>
      </c>
      <c r="O7" s="50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50">
        <f t="shared" si="0"/>
        <v>0</v>
      </c>
      <c r="Q7" s="50" t="b">
        <f t="shared" si="1"/>
        <v>0</v>
      </c>
      <c r="R7" s="134" t="str">
        <f t="array" aca="1" ref="R7" ca="1">IFERROR(SMALL(IF(P$1:P$311&lt;&gt;0,P$1:P$311),ROW(A7)),"")</f>
        <v/>
      </c>
      <c r="S7" s="134" t="str">
        <f t="array" aca="1" ref="S7" ca="1">IF($R7&lt;&gt;"",
SUBSTITUTE(SUBSTITUTE(INDIRECT("C"&amp;$R7&amp;"")," 週3ｺｰｽ","")," 週5ｺｰｽ",""),"")</f>
        <v/>
      </c>
      <c r="T7" s="134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135" t="str">
        <f t="array" aca="1" ref="U7" ca="1">IF($R7&lt;&gt;"",
INDIRECT("F"&amp;$R7&amp;""),"")</f>
        <v/>
      </c>
      <c r="V7" s="134" t="str">
        <f t="array" aca="1" ref="V7" ca="1">IF($R7&lt;&gt;"",
INDIRECT("G"&amp;$R7&amp;""),"")</f>
        <v/>
      </c>
      <c r="W7" s="134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IF(OR(COUNTIF(INDIRECT("B"&amp;R7&amp;""),"*雙葉先生*"),COUNTIF(INDIRECT("B"&amp;R7-1&amp;""),"*雙葉*")),INDIRECT("H"&amp;R7&amp;""),INDIRECT("H"&amp;R7&amp;"")+INDIRECT("H"&amp;MATCH("雙葉'",INDIRECT("B"&amp;R7+3&amp;":B210"),0)+2+R7&amp;"")),
IF(AND(LEFT(INDIRECT("B"&amp;R7&amp;""),2)="博多",COUNTIF(B:B,"*博多*")&gt;=2),
INDIRECT("H"&amp;R7&amp;"")+INDIRECT("H"&amp;MATCH("*"&amp;INDIRECT("B"&amp;R7&amp;"")&amp;"*",INDIRECT("B"&amp;R7+1&amp;":B210"),0)+R7&amp;""),
IF(AND(LEFT(INDIRECT("B"&amp;R7&amp;""),3)="奈良屋",COUNTIF(B:B,"*奈良屋*")&gt;=2),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134" t="str">
        <f t="array" aca="1" ref="X7" ca="1">IF($R7&lt;&gt;"",
INDIRECT(""&amp;IF(COLUMN(I7)&lt;=26,CHAR(COLUMN(I7)+64),CHAR(INT((COLUMN(I7)-1)/26)+64)&amp;CHAR(MOD(COLUMN(I7)-1,26)+65))&amp;$R7&amp;""),"")</f>
        <v/>
      </c>
      <c r="Y7" s="134" t="str">
        <f t="array" aca="1" ref="Y7" ca="1">IF($R7&lt;&gt;"",
INDIRECT(""&amp;IF(COLUMN(J7)&lt;=26,CHAR(COLUMN(J7)+64),CHAR(INT((COLUMN(J7)-1)/26)+64)&amp;CHAR(MOD(COLUMN(J7)-1,26)+65))&amp;$R7&amp;""),"")</f>
        <v/>
      </c>
      <c r="Z7" s="134" t="str">
        <f t="shared" ca="1" si="2"/>
        <v/>
      </c>
      <c r="AA7" s="134" t="str">
        <f t="shared" ca="1" si="3"/>
        <v/>
      </c>
      <c r="AB7" s="134" t="str">
        <f t="array" aca="1" ref="AB7" ca="1">IF($R7&lt;&gt;"",
IF(AND(COUNTIF(INDIRECT("B"&amp;R7&amp;""),"*雙葉*"),COUNTIF(B:B,"*雙葉*")&gt;=2),
INDIRECT("M"&amp;R7&amp;"")+INDIRECT("M"&amp;MATCH("雙葉'",INDIRECT("B"&amp;R7+1&amp;":B210"),0)+R7&amp;""),
IF(AND(LEFT(INDIRECT("B"&amp;R7&amp;""),2)="博多",COUNTIF(B:B,"*博多*")&gt;=2),
INDIRECT("M"&amp;R7&amp;"")+INDIRECT("M"&amp;MATCH("*"&amp;INDIRECT("B"&amp;R7&amp;"")&amp;"*",INDIRECT("B"&amp;R7+1&amp;":B210"),0)+R7&amp;""),
IF(AND(LEFT(INDIRECT("B"&amp;R7&amp;""),3)="奈良屋",COUNTIF(B:B,"*奈良屋*")&gt;=2),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  <c r="AC7" s="134" t="str">
        <f ca="1">IF(S7&lt;&gt;"",INDEX(A:A, MATCH("*"&amp;LEFT(S7,4)&amp;"*", C:C, 0)),"")</f>
        <v/>
      </c>
      <c r="AD7" s="49" t="str">
        <f ca="1">IFERROR(INDEX(AC:AC,MATCH(SMALL($AU:$AU,ROW()+3),$AU:$AU,0)),"")</f>
        <v/>
      </c>
      <c r="AE7" s="49" t="str">
        <f ca="1">IFERROR(INDEX(R:R,MATCH(SMALL($AU:$AU,ROW()+3),$AU:$AU,0)),"")</f>
        <v/>
      </c>
      <c r="AF7" s="49" t="str">
        <f ca="1">IFERROR(INDEX(S:S,MATCH(SMALL($AU:$AU,ROW()+3),$AU:$AU,0)),"")</f>
        <v/>
      </c>
      <c r="AG7" s="49" t="str">
        <f ca="1">IFERROR(INDEX(T:T,MATCH(SMALL($AU:$AU,ROW()+3),$AU:$AU,0)),"")</f>
        <v/>
      </c>
      <c r="AH7" s="122" t="str">
        <f ca="1">IFERROR(INDEX(U:U,MATCH(SMALL($AU:$AU,ROW()+3),$AU:$AU,0)),"")</f>
        <v/>
      </c>
      <c r="AI7" s="49" t="str">
        <f ca="1">IFERROR(INDEX(V:V,MATCH(SMALL($AU:$AU,ROW()+3),$AU:$AU,0)),"")</f>
        <v/>
      </c>
      <c r="AJ7" s="49" t="str">
        <f ca="1">IFERROR(INDEX(W:W,MATCH(SMALL($AU:$AU,ROW()+3),$AU:$AU,0)),"")</f>
        <v/>
      </c>
      <c r="AK7" s="49" t="str">
        <f ca="1">IFERROR(INDEX(X:X,MATCH(SMALL($AU:$AU,ROW()+3),$AU:$AU,0)),"")</f>
        <v/>
      </c>
      <c r="AL7" s="49" t="str">
        <f ca="1">IFERROR(INDEX(Y:Y,MATCH(SMALL($AU:$AU,ROW()+3),$AU:$AU,0)),"")</f>
        <v/>
      </c>
      <c r="AM7" s="49" t="str">
        <f ca="1">IFERROR(INDEX(Z:Z,MATCH(SMALL($AU:$AU,ROW()+3),$AU:$AU,0)),"")</f>
        <v/>
      </c>
      <c r="AN7" s="49" t="str">
        <f ca="1">IFERROR(INDEX(AA:AA,MATCH(SMALL($AU:$AU,ROW()+3),$AU:$AU,0)),"")</f>
        <v/>
      </c>
      <c r="AO7" s="49" t="str">
        <f ca="1">IFERROR(INDEX(AB:AB,MATCH(SMALL($AU:$AU,ROW()+3),$AU:$AU,0)),"")</f>
        <v/>
      </c>
      <c r="AP7" s="49" t="str">
        <f ca="1">IFERROR(INDEX(AC:AC,MATCH(SMALL($AU:$AU,ROW()+3),$AU:$AU,0)),"")</f>
        <v/>
      </c>
      <c r="AU7" s="49" t="str">
        <f t="shared" ca="1" si="6"/>
        <v/>
      </c>
    </row>
    <row r="8" spans="1:47" ht="18" customHeight="1">
      <c r="A8" s="108">
        <f t="shared" si="4"/>
        <v>21</v>
      </c>
      <c r="B8" s="50" t="str">
        <f t="shared" si="5"/>
        <v/>
      </c>
      <c r="C8" s="50" t="str">
        <f>IF(OR(クライアント抽出!B8&lt;&gt;"",クライアント抽出!E8&lt;&gt;""),クライアント抽出!A8,"")</f>
        <v/>
      </c>
      <c r="D8" s="50" t="str">
        <f t="array" aca="1" ref="D8" ca="1">IF(C8&lt;&gt;"",INDIRECT("クライアント抽出!"&amp;E8&amp;MATCH(C8,クライアント抽出!A:A,0)&amp;""),"")</f>
        <v/>
      </c>
      <c r="E8" s="50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51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50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06" t="str">
        <f>IF(C8&lt;&gt;"",
クライアント抽出!B8,"")</f>
        <v/>
      </c>
      <c r="I8" s="50" t="str">
        <f t="array" aca="1" ref="I8" ca="1">IF(C8&lt;&gt;"",
IF(O8=1,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INDIRECT("数出表_Excel!"&amp;INDEX(_xlfn.UNIQUE(_xlfn._xlws.FILTER(クライアント抽出!P8:U8,COUNTIF(クライアント抽出!P8:U8,クライアント抽出!P8:U8)&gt;1)),1)&amp;L8&amp;""),0),クライアント抽出!E8),"")</f>
        <v/>
      </c>
      <c r="J8" s="50" t="str">
        <f>IF(C8&lt;&gt;"",
VLOOKUP(
"*"&amp;LEFT(IF(COUNTIF(D8,"*学食*"),"キャラ弁（学食）",
IF(COUNTIF(D8,"*赤*"),"赤",
IF(COUNTIF(D8,"*キャラ弁当*"),"キャラ弁当",D8))),4)&amp;"*",注文弁当の抽出!$E$1:$F$15,2,FALSE),"")</f>
        <v/>
      </c>
      <c r="K8" s="50" t="str">
        <f ca="1">IF(クライアント抽出!P8&lt;&gt;"",SUBSTITUTE(ADDRESS(1,(CODE(クライアント抽出!P8)-64)*2-1,4),"1",""),"")</f>
        <v/>
      </c>
      <c r="L8" s="50" t="str">
        <f>IF(C8&lt;&gt;"",クライアント抽出!I8,"")</f>
        <v/>
      </c>
      <c r="M8" s="50">
        <f t="array" aca="1" ref="M8" ca="1">IF(C8&lt;&gt;"",
IF(K8&lt;&gt;"",INDIRECT("'数出表_Excel（アレルギー入力）'!"&amp;K8&amp;L8-1&amp;""),),)</f>
        <v>0</v>
      </c>
      <c r="N8" s="50" t="str">
        <f>IF(C8&lt;&gt;"",IF(OR(COUNTIF('盛付札（関数）'!D8,"*赤*"),COUNTIF('盛付札（関数）'!D8,"*キャラ*")),1,
VLOOKUP("*"&amp;D8&amp;"*",商品マスタ一覧!D:H,5,FALSE)),"")</f>
        <v/>
      </c>
      <c r="O8" s="50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50">
        <f t="shared" si="0"/>
        <v>0</v>
      </c>
      <c r="Q8" s="50" t="b">
        <f t="shared" si="1"/>
        <v>0</v>
      </c>
      <c r="R8" s="134" t="str">
        <f t="array" aca="1" ref="R8" ca="1">IFERROR(SMALL(IF(P$1:P$311&lt;&gt;0,P$1:P$311),ROW(A8)),"")</f>
        <v/>
      </c>
      <c r="S8" s="134" t="str">
        <f t="array" aca="1" ref="S8" ca="1">IF($R8&lt;&gt;"",
SUBSTITUTE(SUBSTITUTE(INDIRECT("C"&amp;$R8&amp;"")," 週3ｺｰｽ","")," 週5ｺｰｽ",""),"")</f>
        <v/>
      </c>
      <c r="T8" s="134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135" t="str">
        <f t="array" aca="1" ref="U8" ca="1">IF($R8&lt;&gt;"",
INDIRECT("F"&amp;$R8&amp;""),"")</f>
        <v/>
      </c>
      <c r="V8" s="134" t="str">
        <f t="array" aca="1" ref="V8" ca="1">IF($R8&lt;&gt;"",
INDIRECT("G"&amp;$R8&amp;""),"")</f>
        <v/>
      </c>
      <c r="W8" s="134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IF(OR(COUNTIF(INDIRECT("B"&amp;R8&amp;""),"*雙葉先生*"),COUNTIF(INDIRECT("B"&amp;R8-1&amp;""),"*雙葉*")),INDIRECT("H"&amp;R8&amp;""),INDIRECT("H"&amp;R8&amp;"")+INDIRECT("H"&amp;MATCH("雙葉'",INDIRECT("B"&amp;R8+3&amp;":B210"),0)+2+R8&amp;"")),
IF(AND(LEFT(INDIRECT("B"&amp;R8&amp;""),2)="博多",COUNTIF(B:B,"*博多*")&gt;=2),
INDIRECT("H"&amp;R8&amp;"")+INDIRECT("H"&amp;MATCH("*"&amp;INDIRECT("B"&amp;R8&amp;"")&amp;"*",INDIRECT("B"&amp;R8+1&amp;":B210"),0)+R8&amp;""),
IF(AND(LEFT(INDIRECT("B"&amp;R8&amp;""),3)="奈良屋",COUNTIF(B:B,"*奈良屋*")&gt;=2),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134" t="str">
        <f t="array" aca="1" ref="X8" ca="1">IF($R8&lt;&gt;"",
INDIRECT(""&amp;IF(COLUMN(I8)&lt;=26,CHAR(COLUMN(I8)+64),CHAR(INT((COLUMN(I8)-1)/26)+64)&amp;CHAR(MOD(COLUMN(I8)-1,26)+65))&amp;$R8&amp;""),"")</f>
        <v/>
      </c>
      <c r="Y8" s="134" t="str">
        <f t="array" aca="1" ref="Y8" ca="1">IF($R8&lt;&gt;"",
INDIRECT(""&amp;IF(COLUMN(J8)&lt;=26,CHAR(COLUMN(J8)+64),CHAR(INT((COLUMN(J8)-1)/26)+64)&amp;CHAR(MOD(COLUMN(J8)-1,26)+65))&amp;$R8&amp;""),"")</f>
        <v/>
      </c>
      <c r="Z8" s="134" t="str">
        <f t="shared" ca="1" si="2"/>
        <v/>
      </c>
      <c r="AA8" s="134" t="str">
        <f t="shared" ca="1" si="3"/>
        <v/>
      </c>
      <c r="AB8" s="134" t="str">
        <f t="array" aca="1" ref="AB8" ca="1">IF($R8&lt;&gt;"",
IF(AND(COUNTIF(INDIRECT("B"&amp;R8&amp;""),"*雙葉*"),COUNTIF(B:B,"*雙葉*")&gt;=2),
INDIRECT("M"&amp;R8&amp;"")+INDIRECT("M"&amp;MATCH("雙葉'",INDIRECT("B"&amp;R8+1&amp;":B210"),0)+R8&amp;""),
IF(AND(LEFT(INDIRECT("B"&amp;R8&amp;""),2)="博多",COUNTIF(B:B,"*博多*")&gt;=2),
INDIRECT("M"&amp;R8&amp;"")+INDIRECT("M"&amp;MATCH("*"&amp;INDIRECT("B"&amp;R8&amp;"")&amp;"*",INDIRECT("B"&amp;R8+1&amp;":B210"),0)+R8&amp;""),
IF(AND(LEFT(INDIRECT("B"&amp;R8&amp;""),3)="奈良屋",COUNTIF(B:B,"*奈良屋*")&gt;=2),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  <c r="AC8" s="134" t="str">
        <f ca="1">IF(S8&lt;&gt;"",INDEX(A:A, MATCH("*"&amp;LEFT(S8,4)&amp;"*", C:C, 0)),"")</f>
        <v/>
      </c>
      <c r="AD8" s="49" t="str">
        <f ca="1">IFERROR(INDEX(AC:AC,MATCH(SMALL($AU:$AU,ROW()+3),$AU:$AU,0)),"")</f>
        <v/>
      </c>
      <c r="AE8" s="49" t="str">
        <f ca="1">IFERROR(INDEX(R:R,MATCH(SMALL($AU:$AU,ROW()+3),$AU:$AU,0)),"")</f>
        <v/>
      </c>
      <c r="AF8" s="49" t="str">
        <f ca="1">IFERROR(INDEX(S:S,MATCH(SMALL($AU:$AU,ROW()+3),$AU:$AU,0)),"")</f>
        <v/>
      </c>
      <c r="AG8" s="49" t="str">
        <f ca="1">IFERROR(INDEX(T:T,MATCH(SMALL($AU:$AU,ROW()+3),$AU:$AU,0)),"")</f>
        <v/>
      </c>
      <c r="AH8" s="122" t="str">
        <f ca="1">IFERROR(INDEX(U:U,MATCH(SMALL($AU:$AU,ROW()+3),$AU:$AU,0)),"")</f>
        <v/>
      </c>
      <c r="AI8" s="49" t="str">
        <f ca="1">IFERROR(INDEX(V:V,MATCH(SMALL($AU:$AU,ROW()+3),$AU:$AU,0)),"")</f>
        <v/>
      </c>
      <c r="AJ8" s="49" t="str">
        <f ca="1">IFERROR(INDEX(W:W,MATCH(SMALL($AU:$AU,ROW()+3),$AU:$AU,0)),"")</f>
        <v/>
      </c>
      <c r="AK8" s="49" t="str">
        <f ca="1">IFERROR(INDEX(X:X,MATCH(SMALL($AU:$AU,ROW()+3),$AU:$AU,0)),"")</f>
        <v/>
      </c>
      <c r="AL8" s="49" t="str">
        <f ca="1">IFERROR(INDEX(Y:Y,MATCH(SMALL($AU:$AU,ROW()+3),$AU:$AU,0)),"")</f>
        <v/>
      </c>
      <c r="AM8" s="49" t="str">
        <f ca="1">IFERROR(INDEX(Z:Z,MATCH(SMALL($AU:$AU,ROW()+3),$AU:$AU,0)),"")</f>
        <v/>
      </c>
      <c r="AN8" s="49" t="str">
        <f ca="1">IFERROR(INDEX(AA:AA,MATCH(SMALL($AU:$AU,ROW()+3),$AU:$AU,0)),"")</f>
        <v/>
      </c>
      <c r="AO8" s="49" t="str">
        <f ca="1">IFERROR(INDEX(AB:AB,MATCH(SMALL($AU:$AU,ROW()+3),$AU:$AU,0)),"")</f>
        <v/>
      </c>
      <c r="AP8" s="49" t="str">
        <f ca="1">IFERROR(INDEX(AC:AC,MATCH(SMALL($AU:$AU,ROW()+3),$AU:$AU,0)),"")</f>
        <v/>
      </c>
      <c r="AU8" s="49" t="str">
        <f t="shared" ca="1" si="6"/>
        <v/>
      </c>
    </row>
    <row r="9" spans="1:47" ht="18" customHeight="1">
      <c r="A9" s="108">
        <f t="shared" si="4"/>
        <v>23</v>
      </c>
      <c r="B9" s="50" t="str">
        <f t="shared" si="5"/>
        <v/>
      </c>
      <c r="C9" s="50" t="str">
        <f>IF(OR(クライアント抽出!B9&lt;&gt;"",クライアント抽出!E9&lt;&gt;""),クライアント抽出!A9,"")</f>
        <v/>
      </c>
      <c r="D9" s="50" t="str">
        <f t="array" aca="1" ref="D9" ca="1">IF(C9&lt;&gt;"",INDIRECT("クライアント抽出!"&amp;E9&amp;MATCH(C9,クライアント抽出!A:A,0)&amp;""),"")</f>
        <v/>
      </c>
      <c r="E9" s="50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51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50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06" t="str">
        <f>IF(C9&lt;&gt;"",
クライアント抽出!B9,"")</f>
        <v/>
      </c>
      <c r="I9" s="50" t="str">
        <f t="array" aca="1" ref="I9" ca="1">IF(C9&lt;&gt;"",
IF(O9=1,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INDIRECT("数出表_Excel!"&amp;INDEX(_xlfn.UNIQUE(_xlfn._xlws.FILTER(クライアント抽出!P9:U9,COUNTIF(クライアント抽出!P9:U9,クライアント抽出!P9:U9)&gt;1)),1)&amp;L9&amp;""),0),クライアント抽出!E9),"")</f>
        <v/>
      </c>
      <c r="J9" s="50" t="str">
        <f>IF(C9&lt;&gt;"",
VLOOKUP(
"*"&amp;LEFT(IF(COUNTIF(D9,"*学食*"),"キャラ弁（学食）",
IF(COUNTIF(D9,"*赤*"),"赤",
IF(COUNTIF(D9,"*キャラ弁当*"),"キャラ弁当",D9))),4)&amp;"*",注文弁当の抽出!$E$1:$F$15,2,FALSE),"")</f>
        <v/>
      </c>
      <c r="K9" s="50" t="str">
        <f ca="1">IF(クライアント抽出!P9&lt;&gt;"",SUBSTITUTE(ADDRESS(1,(CODE(クライアント抽出!P9)-64)*2-1,4),"1",""),"")</f>
        <v/>
      </c>
      <c r="L9" s="50" t="str">
        <f>IF(C9&lt;&gt;"",クライアント抽出!I9,"")</f>
        <v/>
      </c>
      <c r="M9" s="50">
        <f t="array" aca="1" ref="M9" ca="1">IF(C9&lt;&gt;"",
IF(K9&lt;&gt;"",INDIRECT("'数出表_Excel（アレルギー入力）'!"&amp;K9&amp;L9-1&amp;""),),)</f>
        <v>0</v>
      </c>
      <c r="N9" s="50" t="str">
        <f>IF(C9&lt;&gt;"",IF(OR(COUNTIF('盛付札（関数）'!D9,"*赤*"),COUNTIF('盛付札（関数）'!D9,"*キャラ*")),1,
VLOOKUP("*"&amp;D9&amp;"*",商品マスタ一覧!D:H,5,FALSE)),"")</f>
        <v/>
      </c>
      <c r="O9" s="50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50">
        <f t="shared" si="0"/>
        <v>0</v>
      </c>
      <c r="Q9" s="50" t="b">
        <f t="shared" si="1"/>
        <v>0</v>
      </c>
      <c r="R9" s="134" t="str">
        <f t="array" aca="1" ref="R9" ca="1">IFERROR(SMALL(IF(P$1:P$311&lt;&gt;0,P$1:P$311),ROW(A9)),"")</f>
        <v/>
      </c>
      <c r="S9" s="134" t="str">
        <f t="array" aca="1" ref="S9" ca="1">IF($R9&lt;&gt;"",
SUBSTITUTE(SUBSTITUTE(INDIRECT("C"&amp;$R9&amp;"")," 週3ｺｰｽ","")," 週5ｺｰｽ",""),"")</f>
        <v/>
      </c>
      <c r="T9" s="134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135" t="str">
        <f t="array" aca="1" ref="U9" ca="1">IF($R9&lt;&gt;"",
INDIRECT("F"&amp;$R9&amp;""),"")</f>
        <v/>
      </c>
      <c r="V9" s="134" t="str">
        <f t="array" aca="1" ref="V9" ca="1">IF($R9&lt;&gt;"",
INDIRECT("G"&amp;$R9&amp;""),"")</f>
        <v/>
      </c>
      <c r="W9" s="134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IF(OR(COUNTIF(INDIRECT("B"&amp;R9&amp;""),"*雙葉先生*"),COUNTIF(INDIRECT("B"&amp;R9-1&amp;""),"*雙葉*")),INDIRECT("H"&amp;R9&amp;""),INDIRECT("H"&amp;R9&amp;"")+INDIRECT("H"&amp;MATCH("雙葉'",INDIRECT("B"&amp;R9+3&amp;":B210"),0)+2+R9&amp;"")),
IF(AND(LEFT(INDIRECT("B"&amp;R9&amp;""),2)="博多",COUNTIF(B:B,"*博多*")&gt;=2),
INDIRECT("H"&amp;R9&amp;"")+INDIRECT("H"&amp;MATCH("*"&amp;INDIRECT("B"&amp;R9&amp;"")&amp;"*",INDIRECT("B"&amp;R9+1&amp;":B210"),0)+R9&amp;""),
IF(AND(LEFT(INDIRECT("B"&amp;R9&amp;""),3)="奈良屋",COUNTIF(B:B,"*奈良屋*")&gt;=2),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134" t="str">
        <f t="array" aca="1" ref="X9" ca="1">IF($R9&lt;&gt;"",
INDIRECT(""&amp;IF(COLUMN(I9)&lt;=26,CHAR(COLUMN(I9)+64),CHAR(INT((COLUMN(I9)-1)/26)+64)&amp;CHAR(MOD(COLUMN(I9)-1,26)+65))&amp;$R9&amp;""),"")</f>
        <v/>
      </c>
      <c r="Y9" s="134" t="str">
        <f t="array" aca="1" ref="Y9" ca="1">IF($R9&lt;&gt;"",
INDIRECT(""&amp;IF(COLUMN(J9)&lt;=26,CHAR(COLUMN(J9)+64),CHAR(INT((COLUMN(J9)-1)/26)+64)&amp;CHAR(MOD(COLUMN(J9)-1,26)+65))&amp;$R9&amp;""),"")</f>
        <v/>
      </c>
      <c r="Z9" s="134" t="str">
        <f t="shared" ca="1" si="2"/>
        <v/>
      </c>
      <c r="AA9" s="134" t="str">
        <f t="shared" ca="1" si="3"/>
        <v/>
      </c>
      <c r="AB9" s="134" t="str">
        <f t="array" aca="1" ref="AB9" ca="1">IF($R9&lt;&gt;"",
IF(AND(COUNTIF(INDIRECT("B"&amp;R9&amp;""),"*雙葉*"),COUNTIF(B:B,"*雙葉*")&gt;=2),
INDIRECT("M"&amp;R9&amp;"")+INDIRECT("M"&amp;MATCH("雙葉'",INDIRECT("B"&amp;R9+1&amp;":B210"),0)+R9&amp;""),
IF(AND(LEFT(INDIRECT("B"&amp;R9&amp;""),2)="博多",COUNTIF(B:B,"*博多*")&gt;=2),
INDIRECT("M"&amp;R9&amp;"")+INDIRECT("M"&amp;MATCH("*"&amp;INDIRECT("B"&amp;R9&amp;"")&amp;"*",INDIRECT("B"&amp;R9+1&amp;":B210"),0)+R9&amp;""),
IF(AND(LEFT(INDIRECT("B"&amp;R9&amp;""),3)="奈良屋",COUNTIF(B:B,"*奈良屋*")&gt;=2),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  <c r="AC9" s="134" t="str">
        <f ca="1">IF(S9&lt;&gt;"",INDEX(A:A, MATCH("*"&amp;LEFT(S9,4)&amp;"*", C:C, 0)),"")</f>
        <v/>
      </c>
      <c r="AD9" s="49" t="str">
        <f ca="1">IFERROR(INDEX(AC:AC,MATCH(SMALL($AU:$AU,ROW()+3),$AU:$AU,0)),"")</f>
        <v/>
      </c>
      <c r="AE9" s="49" t="str">
        <f ca="1">IFERROR(INDEX(R:R,MATCH(SMALL($AU:$AU,ROW()+3),$AU:$AU,0)),"")</f>
        <v/>
      </c>
      <c r="AF9" s="49" t="str">
        <f ca="1">IFERROR(INDEX(S:S,MATCH(SMALL($AU:$AU,ROW()+3),$AU:$AU,0)),"")</f>
        <v/>
      </c>
      <c r="AG9" s="49" t="str">
        <f ca="1">IFERROR(INDEX(T:T,MATCH(SMALL($AU:$AU,ROW()+3),$AU:$AU,0)),"")</f>
        <v/>
      </c>
      <c r="AH9" s="122" t="str">
        <f ca="1">IFERROR(INDEX(U:U,MATCH(SMALL($AU:$AU,ROW()+3),$AU:$AU,0)),"")</f>
        <v/>
      </c>
      <c r="AI9" s="49" t="str">
        <f ca="1">IFERROR(INDEX(V:V,MATCH(SMALL($AU:$AU,ROW()+3),$AU:$AU,0)),"")</f>
        <v/>
      </c>
      <c r="AJ9" s="49" t="str">
        <f ca="1">IFERROR(INDEX(W:W,MATCH(SMALL($AU:$AU,ROW()+3),$AU:$AU,0)),"")</f>
        <v/>
      </c>
      <c r="AK9" s="49" t="str">
        <f ca="1">IFERROR(INDEX(X:X,MATCH(SMALL($AU:$AU,ROW()+3),$AU:$AU,0)),"")</f>
        <v/>
      </c>
      <c r="AL9" s="49" t="str">
        <f ca="1">IFERROR(INDEX(Y:Y,MATCH(SMALL($AU:$AU,ROW()+3),$AU:$AU,0)),"")</f>
        <v/>
      </c>
      <c r="AM9" s="49" t="str">
        <f ca="1">IFERROR(INDEX(Z:Z,MATCH(SMALL($AU:$AU,ROW()+3),$AU:$AU,0)),"")</f>
        <v/>
      </c>
      <c r="AN9" s="49" t="str">
        <f ca="1">IFERROR(INDEX(AA:AA,MATCH(SMALL($AU:$AU,ROW()+3),$AU:$AU,0)),"")</f>
        <v/>
      </c>
      <c r="AO9" s="49" t="str">
        <f ca="1">IFERROR(INDEX(AB:AB,MATCH(SMALL($AU:$AU,ROW()+3),$AU:$AU,0)),"")</f>
        <v/>
      </c>
      <c r="AP9" s="49" t="str">
        <f ca="1">IFERROR(INDEX(AC:AC,MATCH(SMALL($AU:$AU,ROW()+3),$AU:$AU,0)),"")</f>
        <v/>
      </c>
      <c r="AU9" s="49" t="str">
        <f t="shared" ca="1" si="6"/>
        <v/>
      </c>
    </row>
    <row r="10" spans="1:47" ht="22.2" customHeight="1">
      <c r="A10" s="108">
        <f t="shared" si="4"/>
        <v>25</v>
      </c>
      <c r="B10" s="50" t="str">
        <f t="shared" si="5"/>
        <v/>
      </c>
      <c r="C10" s="50" t="str">
        <f>IF(OR(クライアント抽出!B10&lt;&gt;"",クライアント抽出!E10&lt;&gt;""),クライアント抽出!A10,"")</f>
        <v/>
      </c>
      <c r="D10" s="50" t="str">
        <f t="array" aca="1" ref="D10" ca="1">IF(C10&lt;&gt;"",INDIRECT("クライアント抽出!"&amp;E10&amp;MATCH(C10,クライアント抽出!A:A,0)&amp;""),"")</f>
        <v/>
      </c>
      <c r="E10" s="50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51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50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06" t="str">
        <f>IF(C10&lt;&gt;"",
クライアント抽出!B10,"")</f>
        <v/>
      </c>
      <c r="I10" s="50" t="str">
        <f t="array" aca="1" ref="I10" ca="1">IF(C10&lt;&gt;"",
IF(O10=1,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INDIRECT("数出表_Excel!"&amp;INDEX(_xlfn.UNIQUE(_xlfn._xlws.FILTER(クライアント抽出!P10:U10,COUNTIF(クライアント抽出!P10:U10,クライアント抽出!P10:U10)&gt;1)),1)&amp;L10&amp;""),0),クライアント抽出!E10),"")</f>
        <v/>
      </c>
      <c r="J10" s="50" t="str">
        <f>IF(C10&lt;&gt;"",
VLOOKUP(
"*"&amp;LEFT(IF(COUNTIF(D10,"*学食*"),"キャラ弁（学食）",
IF(COUNTIF(D10,"*赤*"),"赤",
IF(COUNTIF(D10,"*キャラ弁当*"),"キャラ弁当",D10))),4)&amp;"*",注文弁当の抽出!$E$1:$F$15,2,FALSE),"")</f>
        <v/>
      </c>
      <c r="K10" s="50" t="str">
        <f ca="1">IF(クライアント抽出!P10&lt;&gt;"",SUBSTITUTE(ADDRESS(1,(CODE(クライアント抽出!P10)-64)*2-1,4),"1",""),"")</f>
        <v/>
      </c>
      <c r="L10" s="50" t="str">
        <f>IF(C10&lt;&gt;"",クライアント抽出!I10,"")</f>
        <v/>
      </c>
      <c r="M10" s="50">
        <f t="array" aca="1" ref="M10" ca="1">IF(C10&lt;&gt;"",
IF(K10&lt;&gt;"",INDIRECT("'数出表_Excel（アレルギー入力）'!"&amp;K10&amp;L10-1&amp;""),),)</f>
        <v>0</v>
      </c>
      <c r="N10" s="50" t="str">
        <f>IF(C10&lt;&gt;"",IF(OR(COUNTIF('盛付札（関数）'!D10,"*赤*"),COUNTIF('盛付札（関数）'!D10,"*キャラ*")),1,
VLOOKUP("*"&amp;D10&amp;"*",商品マスタ一覧!D:H,5,FALSE)),"")</f>
        <v/>
      </c>
      <c r="O10" s="50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50">
        <f t="shared" si="0"/>
        <v>0</v>
      </c>
      <c r="Q10" s="50" t="b">
        <f t="shared" si="1"/>
        <v>0</v>
      </c>
      <c r="R10" s="134" t="str">
        <f t="array" aca="1" ref="R10" ca="1">IFERROR(SMALL(IF(P$1:P$311&lt;&gt;0,P$1:P$311),ROW(A10)),"")</f>
        <v/>
      </c>
      <c r="S10" s="134" t="str">
        <f t="array" aca="1" ref="S10" ca="1">IF($R10&lt;&gt;"",
SUBSTITUTE(SUBSTITUTE(INDIRECT("C"&amp;$R10&amp;"")," 週3ｺｰｽ","")," 週5ｺｰｽ",""),"")</f>
        <v/>
      </c>
      <c r="T10" s="134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135" t="str">
        <f t="array" aca="1" ref="U10" ca="1">IF($R10&lt;&gt;"",
INDIRECT("F"&amp;$R10&amp;""),"")</f>
        <v/>
      </c>
      <c r="V10" s="134" t="str">
        <f t="array" aca="1" ref="V10" ca="1">IF($R10&lt;&gt;"",
INDIRECT("G"&amp;$R10&amp;""),"")</f>
        <v/>
      </c>
      <c r="W10" s="134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IF(OR(COUNTIF(INDIRECT("B"&amp;R10&amp;""),"*雙葉先生*"),COUNTIF(INDIRECT("B"&amp;R10-1&amp;""),"*雙葉*")),INDIRECT("H"&amp;R10&amp;""),INDIRECT("H"&amp;R10&amp;"")+INDIRECT("H"&amp;MATCH("雙葉'",INDIRECT("B"&amp;R10+3&amp;":B210"),0)+2+R10&amp;"")),
IF(AND(LEFT(INDIRECT("B"&amp;R10&amp;""),2)="博多",COUNTIF(B:B,"*博多*")&gt;=2),
INDIRECT("H"&amp;R10&amp;"")+INDIRECT("H"&amp;MATCH("*"&amp;INDIRECT("B"&amp;R10&amp;"")&amp;"*",INDIRECT("B"&amp;R10+1&amp;":B210"),0)+R10&amp;""),
IF(AND(LEFT(INDIRECT("B"&amp;R10&amp;""),3)="奈良屋",COUNTIF(B:B,"*奈良屋*")&gt;=2),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134" t="str">
        <f t="array" aca="1" ref="X10" ca="1">IF($R10&lt;&gt;"",
INDIRECT(""&amp;IF(COLUMN(I10)&lt;=26,CHAR(COLUMN(I10)+64),CHAR(INT((COLUMN(I10)-1)/26)+64)&amp;CHAR(MOD(COLUMN(I10)-1,26)+65))&amp;$R10&amp;""),"")</f>
        <v/>
      </c>
      <c r="Y10" s="134" t="str">
        <f t="array" aca="1" ref="Y10" ca="1">IF($R10&lt;&gt;"",
INDIRECT(""&amp;IF(COLUMN(J10)&lt;=26,CHAR(COLUMN(J10)+64),CHAR(INT((COLUMN(J10)-1)/26)+64)&amp;CHAR(MOD(COLUMN(J10)-1,26)+65))&amp;$R10&amp;""),"")</f>
        <v/>
      </c>
      <c r="Z10" s="134" t="str">
        <f t="shared" ca="1" si="2"/>
        <v/>
      </c>
      <c r="AA10" s="134" t="str">
        <f t="shared" ca="1" si="3"/>
        <v/>
      </c>
      <c r="AB10" s="134" t="str">
        <f t="array" aca="1" ref="AB10" ca="1">IF($R10&lt;&gt;"",
IF(AND(COUNTIF(INDIRECT("B"&amp;R10&amp;""),"*雙葉*"),COUNTIF(B:B,"*雙葉*")&gt;=2),
INDIRECT("M"&amp;R10&amp;"")+INDIRECT("M"&amp;MATCH("雙葉'",INDIRECT("B"&amp;R10+1&amp;":B210"),0)+R10&amp;""),
IF(AND(LEFT(INDIRECT("B"&amp;R10&amp;""),2)="博多",COUNTIF(B:B,"*博多*")&gt;=2),
INDIRECT("M"&amp;R10&amp;"")+INDIRECT("M"&amp;MATCH("*"&amp;INDIRECT("B"&amp;R10&amp;"")&amp;"*",INDIRECT("B"&amp;R10+1&amp;":B210"),0)+R10&amp;""),
IF(AND(LEFT(INDIRECT("B"&amp;R10&amp;""),3)="奈良屋",COUNTIF(B:B,"*奈良屋*")&gt;=2),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  <c r="AC10" s="134" t="str">
        <f ca="1">IF(S10&lt;&gt;"",INDEX(A:A, MATCH("*"&amp;LEFT(S10,4)&amp;"*", C:C, 0)),"")</f>
        <v/>
      </c>
      <c r="AD10" s="49" t="str">
        <f ca="1">IFERROR(INDEX(AC:AC,MATCH(SMALL($AU:$AU,ROW()+3),$AU:$AU,0)),"")</f>
        <v/>
      </c>
      <c r="AE10" s="49" t="str">
        <f ca="1">IFERROR(INDEX(R:R,MATCH(SMALL($AU:$AU,ROW()+3),$AU:$AU,0)),"")</f>
        <v/>
      </c>
      <c r="AF10" s="49" t="str">
        <f ca="1">IFERROR(INDEX(S:S,MATCH(SMALL($AU:$AU,ROW()+3),$AU:$AU,0)),"")</f>
        <v/>
      </c>
      <c r="AG10" s="49" t="str">
        <f ca="1">IFERROR(INDEX(T:T,MATCH(SMALL($AU:$AU,ROW()+3),$AU:$AU,0)),"")</f>
        <v/>
      </c>
      <c r="AH10" s="122" t="str">
        <f ca="1">IFERROR(INDEX(U:U,MATCH(SMALL($AU:$AU,ROW()+3),$AU:$AU,0)),"")</f>
        <v/>
      </c>
      <c r="AI10" s="49" t="str">
        <f ca="1">IFERROR(INDEX(V:V,MATCH(SMALL($AU:$AU,ROW()+3),$AU:$AU,0)),"")</f>
        <v/>
      </c>
      <c r="AJ10" s="49" t="str">
        <f ca="1">IFERROR(INDEX(W:W,MATCH(SMALL($AU:$AU,ROW()+3),$AU:$AU,0)),"")</f>
        <v/>
      </c>
      <c r="AK10" s="49" t="str">
        <f ca="1">IFERROR(INDEX(X:X,MATCH(SMALL($AU:$AU,ROW()+3),$AU:$AU,0)),"")</f>
        <v/>
      </c>
      <c r="AL10" s="49" t="str">
        <f ca="1">IFERROR(INDEX(Y:Y,MATCH(SMALL($AU:$AU,ROW()+3),$AU:$AU,0)),"")</f>
        <v/>
      </c>
      <c r="AM10" s="49" t="str">
        <f ca="1">IFERROR(INDEX(Z:Z,MATCH(SMALL($AU:$AU,ROW()+3),$AU:$AU,0)),"")</f>
        <v/>
      </c>
      <c r="AN10" s="49" t="str">
        <f ca="1">IFERROR(INDEX(AA:AA,MATCH(SMALL($AU:$AU,ROW()+3),$AU:$AU,0)),"")</f>
        <v/>
      </c>
      <c r="AO10" s="49" t="str">
        <f ca="1">IFERROR(INDEX(AB:AB,MATCH(SMALL($AU:$AU,ROW()+3),$AU:$AU,0)),"")</f>
        <v/>
      </c>
      <c r="AP10" s="49" t="str">
        <f ca="1">IFERROR(INDEX(AC:AC,MATCH(SMALL($AU:$AU,ROW()+3),$AU:$AU,0)),"")</f>
        <v/>
      </c>
      <c r="AU10" s="49" t="str">
        <f t="shared" ca="1" si="6"/>
        <v/>
      </c>
    </row>
    <row r="11" spans="1:47" ht="18" customHeight="1">
      <c r="A11" s="108">
        <f t="shared" si="4"/>
        <v>27</v>
      </c>
      <c r="B11" s="50" t="str">
        <f t="shared" si="5"/>
        <v/>
      </c>
      <c r="C11" s="50" t="str">
        <f>IF(OR(クライアント抽出!B11&lt;&gt;"",クライアント抽出!E11&lt;&gt;""),クライアント抽出!A11,"")</f>
        <v/>
      </c>
      <c r="D11" s="50" t="str">
        <f t="array" aca="1" ref="D11" ca="1">IF(C11&lt;&gt;"",INDIRECT("クライアント抽出!"&amp;E11&amp;MATCH(C11,クライアント抽出!A:A,0)&amp;""),"")</f>
        <v/>
      </c>
      <c r="E11" s="50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51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50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06" t="str">
        <f>IF(C11&lt;&gt;"",
クライアント抽出!B11,"")</f>
        <v/>
      </c>
      <c r="I11" s="50" t="str">
        <f t="array" aca="1" ref="I11" ca="1">IF(C11&lt;&gt;"",
IF(O11=1,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INDIRECT("数出表_Excel!"&amp;INDEX(_xlfn.UNIQUE(_xlfn._xlws.FILTER(クライアント抽出!P11:U11,COUNTIF(クライアント抽出!P11:U11,クライアント抽出!P11:U11)&gt;1)),1)&amp;L11&amp;""),0),クライアント抽出!E11),"")</f>
        <v/>
      </c>
      <c r="J11" s="50" t="str">
        <f>IF(C11&lt;&gt;"",
VLOOKUP(
"*"&amp;LEFT(IF(COUNTIF(D11,"*学食*"),"キャラ弁（学食）",
IF(COUNTIF(D11,"*赤*"),"赤",
IF(COUNTIF(D11,"*キャラ弁当*"),"キャラ弁当",D11))),4)&amp;"*",注文弁当の抽出!$E$1:$F$15,2,FALSE),"")</f>
        <v/>
      </c>
      <c r="K11" s="50" t="str">
        <f ca="1">IF(クライアント抽出!P11&lt;&gt;"",SUBSTITUTE(ADDRESS(1,(CODE(クライアント抽出!P11)-64)*2-1,4),"1",""),"")</f>
        <v/>
      </c>
      <c r="L11" s="50" t="str">
        <f>IF(C11&lt;&gt;"",クライアント抽出!I11,"")</f>
        <v/>
      </c>
      <c r="M11" s="50">
        <f t="array" aca="1" ref="M11" ca="1">IF(C11&lt;&gt;"",
IF(K11&lt;&gt;"",INDIRECT("'数出表_Excel（アレルギー入力）'!"&amp;K11&amp;L11-1&amp;""),),)</f>
        <v>0</v>
      </c>
      <c r="N11" s="50" t="str">
        <f>IF(C11&lt;&gt;"",IF(OR(COUNTIF('盛付札（関数）'!D11,"*赤*"),COUNTIF('盛付札（関数）'!D11,"*キャラ*")),1,
VLOOKUP("*"&amp;D11&amp;"*",商品マスタ一覧!D:H,5,FALSE)),"")</f>
        <v/>
      </c>
      <c r="O11" s="50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50">
        <f t="shared" si="0"/>
        <v>0</v>
      </c>
      <c r="Q11" s="50" t="b">
        <f t="shared" si="1"/>
        <v>0</v>
      </c>
      <c r="R11" s="134" t="str">
        <f t="array" aca="1" ref="R11" ca="1">IFERROR(SMALL(IF(P$1:P$311&lt;&gt;0,P$1:P$311),ROW(A11)),"")</f>
        <v/>
      </c>
      <c r="S11" s="134" t="str">
        <f t="array" aca="1" ref="S11" ca="1">IF($R11&lt;&gt;"",
SUBSTITUTE(SUBSTITUTE(INDIRECT("C"&amp;$R11&amp;"")," 週3ｺｰｽ","")," 週5ｺｰｽ",""),"")</f>
        <v/>
      </c>
      <c r="T11" s="134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135" t="str">
        <f t="array" aca="1" ref="U11" ca="1">IF($R11&lt;&gt;"",
INDIRECT("F"&amp;$R11&amp;""),"")</f>
        <v/>
      </c>
      <c r="V11" s="134" t="str">
        <f t="array" aca="1" ref="V11" ca="1">IF($R11&lt;&gt;"",
INDIRECT("G"&amp;$R11&amp;""),"")</f>
        <v/>
      </c>
      <c r="W11" s="134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IF(OR(COUNTIF(INDIRECT("B"&amp;R11&amp;""),"*雙葉先生*"),COUNTIF(INDIRECT("B"&amp;R11-1&amp;""),"*雙葉*")),INDIRECT("H"&amp;R11&amp;""),INDIRECT("H"&amp;R11&amp;"")+INDIRECT("H"&amp;MATCH("雙葉'",INDIRECT("B"&amp;R11+3&amp;":B210"),0)+2+R11&amp;"")),
IF(AND(LEFT(INDIRECT("B"&amp;R11&amp;""),2)="博多",COUNTIF(B:B,"*博多*")&gt;=2),
INDIRECT("H"&amp;R11&amp;"")+INDIRECT("H"&amp;MATCH("*"&amp;INDIRECT("B"&amp;R11&amp;"")&amp;"*",INDIRECT("B"&amp;R11+1&amp;":B210"),0)+R11&amp;""),
IF(AND(LEFT(INDIRECT("B"&amp;R11&amp;""),3)="奈良屋",COUNTIF(B:B,"*奈良屋*")&gt;=2),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134" t="str">
        <f t="array" aca="1" ref="X11" ca="1">IF($R11&lt;&gt;"",
INDIRECT(""&amp;IF(COLUMN(I11)&lt;=26,CHAR(COLUMN(I11)+64),CHAR(INT((COLUMN(I11)-1)/26)+64)&amp;CHAR(MOD(COLUMN(I11)-1,26)+65))&amp;$R11&amp;""),"")</f>
        <v/>
      </c>
      <c r="Y11" s="134" t="str">
        <f t="array" aca="1" ref="Y11" ca="1">IF($R11&lt;&gt;"",
INDIRECT(""&amp;IF(COLUMN(J11)&lt;=26,CHAR(COLUMN(J11)+64),CHAR(INT((COLUMN(J11)-1)/26)+64)&amp;CHAR(MOD(COLUMN(J11)-1,26)+65))&amp;$R11&amp;""),"")</f>
        <v/>
      </c>
      <c r="Z11" s="134" t="str">
        <f t="shared" ca="1" si="2"/>
        <v/>
      </c>
      <c r="AA11" s="134" t="str">
        <f t="shared" ca="1" si="3"/>
        <v/>
      </c>
      <c r="AB11" s="134" t="str">
        <f t="array" aca="1" ref="AB11" ca="1">IF($R11&lt;&gt;"",
IF(AND(COUNTIF(INDIRECT("B"&amp;R11&amp;""),"*雙葉*"),COUNTIF(B:B,"*雙葉*")&gt;=2),
INDIRECT("M"&amp;R11&amp;"")+INDIRECT("M"&amp;MATCH("雙葉'",INDIRECT("B"&amp;R11+1&amp;":B210"),0)+R11&amp;""),
IF(AND(LEFT(INDIRECT("B"&amp;R11&amp;""),2)="博多",COUNTIF(B:B,"*博多*")&gt;=2),
INDIRECT("M"&amp;R11&amp;"")+INDIRECT("M"&amp;MATCH("*"&amp;INDIRECT("B"&amp;R11&amp;"")&amp;"*",INDIRECT("B"&amp;R11+1&amp;":B210"),0)+R11&amp;""),
IF(AND(LEFT(INDIRECT("B"&amp;R11&amp;""),3)="奈良屋",COUNTIF(B:B,"*奈良屋*")&gt;=2),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  <c r="AC11" s="134" t="str">
        <f ca="1">IF(S11&lt;&gt;"",INDEX(A:A, MATCH("*"&amp;LEFT(S11,4)&amp;"*", C:C, 0)),"")</f>
        <v/>
      </c>
      <c r="AD11" s="49" t="str">
        <f ca="1">IFERROR(INDEX(AC:AC,MATCH(SMALL($AU:$AU,ROW()+3),$AU:$AU,0)),"")</f>
        <v/>
      </c>
      <c r="AE11" s="49" t="str">
        <f ca="1">IFERROR(INDEX(R:R,MATCH(SMALL($AU:$AU,ROW()+3),$AU:$AU,0)),"")</f>
        <v/>
      </c>
      <c r="AF11" s="49" t="str">
        <f ca="1">IFERROR(INDEX(S:S,MATCH(SMALL($AU:$AU,ROW()+3),$AU:$AU,0)),"")</f>
        <v/>
      </c>
      <c r="AG11" s="49" t="str">
        <f ca="1">IFERROR(INDEX(T:T,MATCH(SMALL($AU:$AU,ROW()+3),$AU:$AU,0)),"")</f>
        <v/>
      </c>
      <c r="AH11" s="122" t="str">
        <f ca="1">IFERROR(INDEX(U:U,MATCH(SMALL($AU:$AU,ROW()+3),$AU:$AU,0)),"")</f>
        <v/>
      </c>
      <c r="AI11" s="49" t="str">
        <f ca="1">IFERROR(INDEX(V:V,MATCH(SMALL($AU:$AU,ROW()+3),$AU:$AU,0)),"")</f>
        <v/>
      </c>
      <c r="AJ11" s="49" t="str">
        <f ca="1">IFERROR(INDEX(W:W,MATCH(SMALL($AU:$AU,ROW()+3),$AU:$AU,0)),"")</f>
        <v/>
      </c>
      <c r="AK11" s="49" t="str">
        <f ca="1">IFERROR(INDEX(X:X,MATCH(SMALL($AU:$AU,ROW()+3),$AU:$AU,0)),"")</f>
        <v/>
      </c>
      <c r="AL11" s="49" t="str">
        <f ca="1">IFERROR(INDEX(Y:Y,MATCH(SMALL($AU:$AU,ROW()+3),$AU:$AU,0)),"")</f>
        <v/>
      </c>
      <c r="AM11" s="49" t="str">
        <f ca="1">IFERROR(INDEX(Z:Z,MATCH(SMALL($AU:$AU,ROW()+3),$AU:$AU,0)),"")</f>
        <v/>
      </c>
      <c r="AN11" s="49" t="str">
        <f ca="1">IFERROR(INDEX(AA:AA,MATCH(SMALL($AU:$AU,ROW()+3),$AU:$AU,0)),"")</f>
        <v/>
      </c>
      <c r="AO11" s="49" t="str">
        <f ca="1">IFERROR(INDEX(AB:AB,MATCH(SMALL($AU:$AU,ROW()+3),$AU:$AU,0)),"")</f>
        <v/>
      </c>
      <c r="AP11" s="49" t="str">
        <f ca="1">IFERROR(INDEX(AC:AC,MATCH(SMALL($AU:$AU,ROW()+3),$AU:$AU,0)),"")</f>
        <v/>
      </c>
      <c r="AU11" s="49" t="str">
        <f t="shared" ca="1" si="6"/>
        <v/>
      </c>
    </row>
    <row r="12" spans="1:47" ht="18" customHeight="1">
      <c r="A12" s="108">
        <f t="shared" si="4"/>
        <v>29</v>
      </c>
      <c r="B12" s="50" t="str">
        <f t="shared" si="5"/>
        <v/>
      </c>
      <c r="C12" s="50" t="str">
        <f>IF(OR(クライアント抽出!B12&lt;&gt;"",クライアント抽出!E12&lt;&gt;""),クライアント抽出!A12,"")</f>
        <v/>
      </c>
      <c r="D12" s="50" t="str">
        <f t="array" aca="1" ref="D12" ca="1">IF(C12&lt;&gt;"",INDIRECT("クライアント抽出!"&amp;E12&amp;MATCH(C12,クライアント抽出!A:A,0)&amp;""),"")</f>
        <v/>
      </c>
      <c r="E12" s="50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51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50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06" t="str">
        <f>IF(C12&lt;&gt;"",
クライアント抽出!B12,"")</f>
        <v/>
      </c>
      <c r="I12" s="50" t="str">
        <f t="array" aca="1" ref="I12" ca="1">IF(C12&lt;&gt;"",
IF(O12=1,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INDIRECT("数出表_Excel!"&amp;INDEX(_xlfn.UNIQUE(_xlfn._xlws.FILTER(クライアント抽出!P12:U12,COUNTIF(クライアント抽出!P12:U12,クライアント抽出!P12:U12)&gt;1)),1)&amp;L12&amp;""),0),クライアント抽出!E12),"")</f>
        <v/>
      </c>
      <c r="J12" s="50" t="str">
        <f>IF(C12&lt;&gt;"",
VLOOKUP(
"*"&amp;LEFT(IF(COUNTIF(D12,"*学食*"),"キャラ弁（学食）",
IF(COUNTIF(D12,"*赤*"),"赤",
IF(COUNTIF(D12,"*キャラ弁当*"),"キャラ弁当",D12))),4)&amp;"*",注文弁当の抽出!$E$1:$F$15,2,FALSE),"")</f>
        <v/>
      </c>
      <c r="K12" s="50" t="str">
        <f ca="1">IF(クライアント抽出!P12&lt;&gt;"",SUBSTITUTE(ADDRESS(1,(CODE(クライアント抽出!P12)-64)*2-1,4),"1",""),"")</f>
        <v/>
      </c>
      <c r="L12" s="50" t="str">
        <f>IF(C12&lt;&gt;"",クライアント抽出!I12,"")</f>
        <v/>
      </c>
      <c r="M12" s="50">
        <f t="array" aca="1" ref="M12" ca="1">IF(C12&lt;&gt;"",
IF(K12&lt;&gt;"",INDIRECT("'数出表_Excel（アレルギー入力）'!"&amp;K12&amp;L12-1&amp;""),),)</f>
        <v>0</v>
      </c>
      <c r="N12" s="50" t="str">
        <f>IF(C12&lt;&gt;"",IF(OR(COUNTIF('盛付札（関数）'!D12,"*赤*"),COUNTIF('盛付札（関数）'!D12,"*キャラ*")),1,
VLOOKUP("*"&amp;D12&amp;"*",商品マスタ一覧!D:H,5,FALSE)),"")</f>
        <v/>
      </c>
      <c r="O12" s="50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50">
        <f t="shared" si="0"/>
        <v>0</v>
      </c>
      <c r="Q12" s="50" t="b">
        <f t="shared" si="1"/>
        <v>0</v>
      </c>
      <c r="R12" s="134" t="str">
        <f t="array" aca="1" ref="R12" ca="1">IFERROR(SMALL(IF(P$1:P$311&lt;&gt;0,P$1:P$311),ROW(A12)),"")</f>
        <v/>
      </c>
      <c r="S12" s="134" t="str">
        <f t="array" aca="1" ref="S12" ca="1">IF($R12&lt;&gt;"",
SUBSTITUTE(SUBSTITUTE(INDIRECT("C"&amp;$R12&amp;"")," 週3ｺｰｽ","")," 週5ｺｰｽ",""),"")</f>
        <v/>
      </c>
      <c r="T12" s="134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135" t="str">
        <f t="array" aca="1" ref="U12" ca="1">IF($R12&lt;&gt;"",
INDIRECT("F"&amp;$R12&amp;""),"")</f>
        <v/>
      </c>
      <c r="V12" s="134" t="str">
        <f t="array" aca="1" ref="V12" ca="1">IF($R12&lt;&gt;"",
INDIRECT("G"&amp;$R12&amp;""),"")</f>
        <v/>
      </c>
      <c r="W12" s="134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IF(OR(COUNTIF(INDIRECT("B"&amp;R12&amp;""),"*雙葉先生*"),COUNTIF(INDIRECT("B"&amp;R12-1&amp;""),"*雙葉*")),INDIRECT("H"&amp;R12&amp;""),INDIRECT("H"&amp;R12&amp;"")+INDIRECT("H"&amp;MATCH("雙葉'",INDIRECT("B"&amp;R12+3&amp;":B210"),0)+2+R12&amp;"")),
IF(AND(LEFT(INDIRECT("B"&amp;R12&amp;""),2)="博多",COUNTIF(B:B,"*博多*")&gt;=2),
INDIRECT("H"&amp;R12&amp;"")+INDIRECT("H"&amp;MATCH("*"&amp;INDIRECT("B"&amp;R12&amp;"")&amp;"*",INDIRECT("B"&amp;R12+1&amp;":B210"),0)+R12&amp;""),
IF(AND(LEFT(INDIRECT("B"&amp;R12&amp;""),3)="奈良屋",COUNTIF(B:B,"*奈良屋*")&gt;=2),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134" t="str">
        <f t="array" aca="1" ref="X12" ca="1">IF($R12&lt;&gt;"",
INDIRECT(""&amp;IF(COLUMN(I12)&lt;=26,CHAR(COLUMN(I12)+64),CHAR(INT((COLUMN(I12)-1)/26)+64)&amp;CHAR(MOD(COLUMN(I12)-1,26)+65))&amp;$R12&amp;""),"")</f>
        <v/>
      </c>
      <c r="Y12" s="134" t="str">
        <f t="array" aca="1" ref="Y12" ca="1">IF($R12&lt;&gt;"",
INDIRECT(""&amp;IF(COLUMN(J12)&lt;=26,CHAR(COLUMN(J12)+64),CHAR(INT((COLUMN(J12)-1)/26)+64)&amp;CHAR(MOD(COLUMN(J12)-1,26)+65))&amp;$R12&amp;""),"")</f>
        <v/>
      </c>
      <c r="Z12" s="134" t="str">
        <f t="shared" ca="1" si="2"/>
        <v/>
      </c>
      <c r="AA12" s="134" t="str">
        <f t="shared" ca="1" si="3"/>
        <v/>
      </c>
      <c r="AB12" s="134" t="str">
        <f t="array" aca="1" ref="AB12" ca="1">IF($R12&lt;&gt;"",
IF(AND(COUNTIF(INDIRECT("B"&amp;R12&amp;""),"*雙葉*"),COUNTIF(B:B,"*雙葉*")&gt;=2),
INDIRECT("M"&amp;R12&amp;"")+INDIRECT("M"&amp;MATCH("雙葉'",INDIRECT("B"&amp;R12+1&amp;":B210"),0)+R12&amp;""),
IF(AND(LEFT(INDIRECT("B"&amp;R12&amp;""),2)="博多",COUNTIF(B:B,"*博多*")&gt;=2),
INDIRECT("M"&amp;R12&amp;"")+INDIRECT("M"&amp;MATCH("*"&amp;INDIRECT("B"&amp;R12&amp;"")&amp;"*",INDIRECT("B"&amp;R12+1&amp;":B210"),0)+R12&amp;""),
IF(AND(LEFT(INDIRECT("B"&amp;R12&amp;""),3)="奈良屋",COUNTIF(B:B,"*奈良屋*")&gt;=2),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  <c r="AC12" s="134" t="str">
        <f ca="1">IF(S12&lt;&gt;"",INDEX(A:A, MATCH("*"&amp;LEFT(S12,4)&amp;"*", C:C, 0)),"")</f>
        <v/>
      </c>
      <c r="AD12" s="49" t="str">
        <f ca="1">IFERROR(INDEX(AC:AC,MATCH(SMALL($AU:$AU,ROW()+3),$AU:$AU,0)),"")</f>
        <v/>
      </c>
      <c r="AE12" s="49" t="str">
        <f ca="1">IFERROR(INDEX(R:R,MATCH(SMALL($AU:$AU,ROW()+3),$AU:$AU,0)),"")</f>
        <v/>
      </c>
      <c r="AF12" s="49" t="str">
        <f ca="1">IFERROR(INDEX(S:S,MATCH(SMALL($AU:$AU,ROW()+3),$AU:$AU,0)),"")</f>
        <v/>
      </c>
      <c r="AG12" s="49" t="str">
        <f ca="1">IFERROR(INDEX(T:T,MATCH(SMALL($AU:$AU,ROW()+3),$AU:$AU,0)),"")</f>
        <v/>
      </c>
      <c r="AH12" s="122" t="str">
        <f ca="1">IFERROR(INDEX(U:U,MATCH(SMALL($AU:$AU,ROW()+3),$AU:$AU,0)),"")</f>
        <v/>
      </c>
      <c r="AI12" s="49" t="str">
        <f ca="1">IFERROR(INDEX(V:V,MATCH(SMALL($AU:$AU,ROW()+3),$AU:$AU,0)),"")</f>
        <v/>
      </c>
      <c r="AJ12" s="49" t="str">
        <f ca="1">IFERROR(INDEX(W:W,MATCH(SMALL($AU:$AU,ROW()+3),$AU:$AU,0)),"")</f>
        <v/>
      </c>
      <c r="AK12" s="49" t="str">
        <f ca="1">IFERROR(INDEX(X:X,MATCH(SMALL($AU:$AU,ROW()+3),$AU:$AU,0)),"")</f>
        <v/>
      </c>
      <c r="AL12" s="49" t="str">
        <f ca="1">IFERROR(INDEX(Y:Y,MATCH(SMALL($AU:$AU,ROW()+3),$AU:$AU,0)),"")</f>
        <v/>
      </c>
      <c r="AM12" s="49" t="str">
        <f ca="1">IFERROR(INDEX(Z:Z,MATCH(SMALL($AU:$AU,ROW()+3),$AU:$AU,0)),"")</f>
        <v/>
      </c>
      <c r="AN12" s="49" t="str">
        <f ca="1">IFERROR(INDEX(AA:AA,MATCH(SMALL($AU:$AU,ROW()+3),$AU:$AU,0)),"")</f>
        <v/>
      </c>
      <c r="AO12" s="49" t="str">
        <f ca="1">IFERROR(INDEX(AB:AB,MATCH(SMALL($AU:$AU,ROW()+3),$AU:$AU,0)),"")</f>
        <v/>
      </c>
      <c r="AP12" s="49" t="str">
        <f ca="1">IFERROR(INDEX(AC:AC,MATCH(SMALL($AU:$AU,ROW()+3),$AU:$AU,0)),"")</f>
        <v/>
      </c>
      <c r="AU12" s="49" t="str">
        <f t="shared" ca="1" si="6"/>
        <v/>
      </c>
    </row>
    <row r="13" spans="1:47" ht="22.2" customHeight="1">
      <c r="A13" s="108">
        <f t="shared" si="4"/>
        <v>31</v>
      </c>
      <c r="B13" s="50" t="str">
        <f t="shared" si="5"/>
        <v/>
      </c>
      <c r="C13" s="50" t="str">
        <f>IF(OR(クライアント抽出!B13&lt;&gt;"",クライアント抽出!E13&lt;&gt;""),クライアント抽出!A13,"")</f>
        <v/>
      </c>
      <c r="D13" s="50" t="str">
        <f t="array" aca="1" ref="D13" ca="1">IF(C13&lt;&gt;"",INDIRECT("クライアント抽出!"&amp;E13&amp;MATCH(C13,クライアント抽出!A:A,0)&amp;""),"")</f>
        <v/>
      </c>
      <c r="E13" s="50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51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50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06" t="str">
        <f>IF(C13&lt;&gt;"",
クライアント抽出!B13,"")</f>
        <v/>
      </c>
      <c r="I13" s="50" t="str">
        <f t="array" aca="1" ref="I13" ca="1">IF(C13&lt;&gt;"",
IF(O13=1,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INDIRECT("数出表_Excel!"&amp;INDEX(_xlfn.UNIQUE(_xlfn._xlws.FILTER(クライアント抽出!P13:U13,COUNTIF(クライアント抽出!P13:U13,クライアント抽出!P13:U13)&gt;1)),1)&amp;L13&amp;""),0),クライアント抽出!E13),"")</f>
        <v/>
      </c>
      <c r="J13" s="50" t="str">
        <f>IF(C13&lt;&gt;"",
VLOOKUP(
"*"&amp;LEFT(IF(COUNTIF(D13,"*学食*"),"キャラ弁（学食）",
IF(COUNTIF(D13,"*赤*"),"赤",
IF(COUNTIF(D13,"*キャラ弁当*"),"キャラ弁当",D13))),4)&amp;"*",注文弁当の抽出!$E$1:$F$15,2,FALSE),"")</f>
        <v/>
      </c>
      <c r="K13" s="50" t="str">
        <f ca="1">IF(クライアント抽出!P13&lt;&gt;"",SUBSTITUTE(ADDRESS(1,(CODE(クライアント抽出!P13)-64)*2-1,4),"1",""),"")</f>
        <v/>
      </c>
      <c r="L13" s="50" t="str">
        <f>IF(C13&lt;&gt;"",クライアント抽出!I13,"")</f>
        <v/>
      </c>
      <c r="M13" s="50">
        <f t="array" aca="1" ref="M13" ca="1">IF(C13&lt;&gt;"",
IF(K13&lt;&gt;"",INDIRECT("'数出表_Excel（アレルギー入力）'!"&amp;K13&amp;L13-1&amp;""),),)</f>
        <v>0</v>
      </c>
      <c r="N13" s="50" t="str">
        <f>IF(C13&lt;&gt;"",IF(OR(COUNTIF('盛付札（関数）'!D13,"*赤*"),COUNTIF('盛付札（関数）'!D13,"*キャラ*")),1,
VLOOKUP("*"&amp;D13&amp;"*",商品マスタ一覧!D:H,5,FALSE)),"")</f>
        <v/>
      </c>
      <c r="O13" s="50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50">
        <f t="shared" si="0"/>
        <v>0</v>
      </c>
      <c r="Q13" s="50" t="b">
        <f t="shared" si="1"/>
        <v>0</v>
      </c>
      <c r="R13" s="134" t="str">
        <f t="array" aca="1" ref="R13" ca="1">IFERROR(SMALL(IF(P$1:P$311&lt;&gt;0,P$1:P$311),ROW(A13)),"")</f>
        <v/>
      </c>
      <c r="S13" s="134" t="str">
        <f t="array" aca="1" ref="S13" ca="1">IF($R13&lt;&gt;"",
SUBSTITUTE(SUBSTITUTE(INDIRECT("C"&amp;$R13&amp;"")," 週3ｺｰｽ","")," 週5ｺｰｽ",""),"")</f>
        <v/>
      </c>
      <c r="T13" s="134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135" t="str">
        <f t="array" aca="1" ref="U13" ca="1">IF($R13&lt;&gt;"",
INDIRECT("F"&amp;$R13&amp;""),"")</f>
        <v/>
      </c>
      <c r="V13" s="134" t="str">
        <f t="array" aca="1" ref="V13" ca="1">IF($R13&lt;&gt;"",
INDIRECT("G"&amp;$R13&amp;""),"")</f>
        <v/>
      </c>
      <c r="W13" s="134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IF(OR(COUNTIF(INDIRECT("B"&amp;R13&amp;""),"*雙葉先生*"),COUNTIF(INDIRECT("B"&amp;R13-1&amp;""),"*雙葉*")),INDIRECT("H"&amp;R13&amp;""),INDIRECT("H"&amp;R13&amp;"")+INDIRECT("H"&amp;MATCH("雙葉'",INDIRECT("B"&amp;R13+3&amp;":B210"),0)+2+R13&amp;"")),
IF(AND(LEFT(INDIRECT("B"&amp;R13&amp;""),2)="博多",COUNTIF(B:B,"*博多*")&gt;=2),
INDIRECT("H"&amp;R13&amp;"")+INDIRECT("H"&amp;MATCH("*"&amp;INDIRECT("B"&amp;R13&amp;"")&amp;"*",INDIRECT("B"&amp;R13+1&amp;":B210"),0)+R13&amp;""),
IF(AND(LEFT(INDIRECT("B"&amp;R13&amp;""),3)="奈良屋",COUNTIF(B:B,"*奈良屋*")&gt;=2),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134" t="str">
        <f t="array" aca="1" ref="X13" ca="1">IF($R13&lt;&gt;"",
INDIRECT(""&amp;IF(COLUMN(I13)&lt;=26,CHAR(COLUMN(I13)+64),CHAR(INT((COLUMN(I13)-1)/26)+64)&amp;CHAR(MOD(COLUMN(I13)-1,26)+65))&amp;$R13&amp;""),"")</f>
        <v/>
      </c>
      <c r="Y13" s="134" t="str">
        <f t="array" aca="1" ref="Y13" ca="1">IF($R13&lt;&gt;"",
INDIRECT(""&amp;IF(COLUMN(J13)&lt;=26,CHAR(COLUMN(J13)+64),CHAR(INT((COLUMN(J13)-1)/26)+64)&amp;CHAR(MOD(COLUMN(J13)-1,26)+65))&amp;$R13&amp;""),"")</f>
        <v/>
      </c>
      <c r="Z13" s="134" t="str">
        <f t="shared" ca="1" si="2"/>
        <v/>
      </c>
      <c r="AA13" s="134" t="str">
        <f t="shared" ca="1" si="3"/>
        <v/>
      </c>
      <c r="AB13" s="134" t="str">
        <f t="array" aca="1" ref="AB13" ca="1">IF($R13&lt;&gt;"",
IF(AND(COUNTIF(INDIRECT("B"&amp;R13&amp;""),"*雙葉*"),COUNTIF(B:B,"*雙葉*")&gt;=2),
INDIRECT("M"&amp;R13&amp;"")+INDIRECT("M"&amp;MATCH("雙葉'",INDIRECT("B"&amp;R13+1&amp;":B210"),0)+R13&amp;""),
IF(AND(LEFT(INDIRECT("B"&amp;R13&amp;""),2)="博多",COUNTIF(B:B,"*博多*")&gt;=2),
INDIRECT("M"&amp;R13&amp;"")+INDIRECT("M"&amp;MATCH("*"&amp;INDIRECT("B"&amp;R13&amp;"")&amp;"*",INDIRECT("B"&amp;R13+1&amp;":B210"),0)+R13&amp;""),
IF(AND(LEFT(INDIRECT("B"&amp;R13&amp;""),3)="奈良屋",COUNTIF(B:B,"*奈良屋*")&gt;=2),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  <c r="AC13" s="134" t="str">
        <f ca="1">IF(S13&lt;&gt;"",INDEX(A:A, MATCH("*"&amp;LEFT(S13,4)&amp;"*", C:C, 0)),"")</f>
        <v/>
      </c>
      <c r="AD13" s="49" t="str">
        <f ca="1">IFERROR(INDEX(AC:AC,MATCH(SMALL($AU:$AU,ROW()+3),$AU:$AU,0)),"")</f>
        <v/>
      </c>
      <c r="AE13" s="49" t="str">
        <f ca="1">IFERROR(INDEX(R:R,MATCH(SMALL($AU:$AU,ROW()+3),$AU:$AU,0)),"")</f>
        <v/>
      </c>
      <c r="AF13" s="49" t="str">
        <f ca="1">IFERROR(INDEX(S:S,MATCH(SMALL($AU:$AU,ROW()+3),$AU:$AU,0)),"")</f>
        <v/>
      </c>
      <c r="AG13" s="49" t="str">
        <f ca="1">IFERROR(INDEX(T:T,MATCH(SMALL($AU:$AU,ROW()+3),$AU:$AU,0)),"")</f>
        <v/>
      </c>
      <c r="AH13" s="122" t="str">
        <f ca="1">IFERROR(INDEX(U:U,MATCH(SMALL($AU:$AU,ROW()+3),$AU:$AU,0)),"")</f>
        <v/>
      </c>
      <c r="AI13" s="49" t="str">
        <f ca="1">IFERROR(INDEX(V:V,MATCH(SMALL($AU:$AU,ROW()+3),$AU:$AU,0)),"")</f>
        <v/>
      </c>
      <c r="AJ13" s="49" t="str">
        <f ca="1">IFERROR(INDEX(W:W,MATCH(SMALL($AU:$AU,ROW()+3),$AU:$AU,0)),"")</f>
        <v/>
      </c>
      <c r="AK13" s="49" t="str">
        <f ca="1">IFERROR(INDEX(X:X,MATCH(SMALL($AU:$AU,ROW()+3),$AU:$AU,0)),"")</f>
        <v/>
      </c>
      <c r="AL13" s="49" t="str">
        <f ca="1">IFERROR(INDEX(Y:Y,MATCH(SMALL($AU:$AU,ROW()+3),$AU:$AU,0)),"")</f>
        <v/>
      </c>
      <c r="AM13" s="49" t="str">
        <f ca="1">IFERROR(INDEX(Z:Z,MATCH(SMALL($AU:$AU,ROW()+3),$AU:$AU,0)),"")</f>
        <v/>
      </c>
      <c r="AN13" s="49" t="str">
        <f ca="1">IFERROR(INDEX(AA:AA,MATCH(SMALL($AU:$AU,ROW()+3),$AU:$AU,0)),"")</f>
        <v/>
      </c>
      <c r="AO13" s="49" t="str">
        <f ca="1">IFERROR(INDEX(AB:AB,MATCH(SMALL($AU:$AU,ROW()+3),$AU:$AU,0)),"")</f>
        <v/>
      </c>
      <c r="AP13" s="49" t="str">
        <f ca="1">IFERROR(INDEX(AC:AC,MATCH(SMALL($AU:$AU,ROW()+3),$AU:$AU,0)),"")</f>
        <v/>
      </c>
      <c r="AU13" s="49" t="str">
        <f t="shared" ca="1" si="6"/>
        <v/>
      </c>
    </row>
    <row r="14" spans="1:47" ht="21" customHeight="1">
      <c r="A14" s="108">
        <f t="shared" si="4"/>
        <v>33</v>
      </c>
      <c r="B14" s="50" t="str">
        <f t="shared" si="5"/>
        <v/>
      </c>
      <c r="C14" s="50" t="str">
        <f>IF(OR(クライアント抽出!B14&lt;&gt;"",クライアント抽出!E14&lt;&gt;""),クライアント抽出!A14,"")</f>
        <v/>
      </c>
      <c r="D14" s="50" t="str">
        <f t="array" aca="1" ref="D14" ca="1">IF(C14&lt;&gt;"",INDIRECT("クライアント抽出!"&amp;E14&amp;MATCH(C14,クライアント抽出!A:A,0)&amp;""),"")</f>
        <v/>
      </c>
      <c r="E14" s="50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51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50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06" t="str">
        <f>IF(C14&lt;&gt;"",
クライアント抽出!B14,"")</f>
        <v/>
      </c>
      <c r="I14" s="50" t="str">
        <f t="array" aca="1" ref="I14" ca="1">IF(C14&lt;&gt;"",
IF(O14=1,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INDIRECT("数出表_Excel!"&amp;INDEX(_xlfn.UNIQUE(_xlfn._xlws.FILTER(クライアント抽出!P14:U14,COUNTIF(クライアント抽出!P14:U14,クライアント抽出!P14:U14)&gt;1)),1)&amp;L14&amp;""),0),クライアント抽出!E14),"")</f>
        <v/>
      </c>
      <c r="J14" s="50" t="str">
        <f>IF(C14&lt;&gt;"",
VLOOKUP(
"*"&amp;LEFT(IF(COUNTIF(D14,"*学食*"),"キャラ弁（学食）",
IF(COUNTIF(D14,"*赤*"),"赤",
IF(COUNTIF(D14,"*キャラ弁当*"),"キャラ弁当",D14))),4)&amp;"*",注文弁当の抽出!$E$1:$F$15,2,FALSE),"")</f>
        <v/>
      </c>
      <c r="K14" s="50" t="str">
        <f ca="1">IF(クライアント抽出!P14&lt;&gt;"",SUBSTITUTE(ADDRESS(1,(CODE(クライアント抽出!P14)-64)*2-1,4),"1",""),"")</f>
        <v/>
      </c>
      <c r="L14" s="50" t="str">
        <f>IF(C14&lt;&gt;"",クライアント抽出!I14,"")</f>
        <v/>
      </c>
      <c r="M14" s="50">
        <f t="array" aca="1" ref="M14" ca="1">IF(C14&lt;&gt;"",
IF(K14&lt;&gt;"",INDIRECT("'数出表_Excel（アレルギー入力）'!"&amp;K14&amp;L14-1&amp;""),),)</f>
        <v>0</v>
      </c>
      <c r="N14" s="50" t="str">
        <f>IF(C14&lt;&gt;"",IF(OR(COUNTIF('盛付札（関数）'!D14,"*赤*"),COUNTIF('盛付札（関数）'!D14,"*キャラ*")),1,
VLOOKUP("*"&amp;D14&amp;"*",商品マスタ一覧!D:H,5,FALSE)),"")</f>
        <v/>
      </c>
      <c r="O14" s="50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50">
        <f t="shared" si="0"/>
        <v>0</v>
      </c>
      <c r="Q14" s="50" t="b">
        <f t="shared" si="1"/>
        <v>0</v>
      </c>
      <c r="R14" s="134" t="str">
        <f t="array" aca="1" ref="R14" ca="1">IFERROR(SMALL(IF(P$1:P$311&lt;&gt;0,P$1:P$311),ROW(A14)),"")</f>
        <v/>
      </c>
      <c r="S14" s="134" t="str">
        <f t="array" aca="1" ref="S14" ca="1">IF($R14&lt;&gt;"",
SUBSTITUTE(SUBSTITUTE(INDIRECT("C"&amp;$R14&amp;"")," 週3ｺｰｽ","")," 週5ｺｰｽ",""),"")</f>
        <v/>
      </c>
      <c r="T14" s="134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135" t="str">
        <f t="array" aca="1" ref="U14" ca="1">IF($R14&lt;&gt;"",
INDIRECT("F"&amp;$R14&amp;""),"")</f>
        <v/>
      </c>
      <c r="V14" s="134" t="str">
        <f t="array" aca="1" ref="V14" ca="1">IF($R14&lt;&gt;"",
INDIRECT("G"&amp;$R14&amp;""),"")</f>
        <v/>
      </c>
      <c r="W14" s="134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IF(OR(COUNTIF(INDIRECT("B"&amp;R14&amp;""),"*雙葉先生*"),COUNTIF(INDIRECT("B"&amp;R14-1&amp;""),"*雙葉*")),INDIRECT("H"&amp;R14&amp;""),INDIRECT("H"&amp;R14&amp;"")+INDIRECT("H"&amp;MATCH("雙葉'",INDIRECT("B"&amp;R14+3&amp;":B210"),0)+2+R14&amp;"")),
IF(AND(LEFT(INDIRECT("B"&amp;R14&amp;""),2)="博多",COUNTIF(B:B,"*博多*")&gt;=2),
INDIRECT("H"&amp;R14&amp;"")+INDIRECT("H"&amp;MATCH("*"&amp;INDIRECT("B"&amp;R14&amp;"")&amp;"*",INDIRECT("B"&amp;R14+1&amp;":B210"),0)+R14&amp;""),
IF(AND(LEFT(INDIRECT("B"&amp;R14&amp;""),3)="奈良屋",COUNTIF(B:B,"*奈良屋*")&gt;=2),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134" t="str">
        <f t="array" aca="1" ref="X14" ca="1">IF($R14&lt;&gt;"",
INDIRECT(""&amp;IF(COLUMN(I14)&lt;=26,CHAR(COLUMN(I14)+64),CHAR(INT((COLUMN(I14)-1)/26)+64)&amp;CHAR(MOD(COLUMN(I14)-1,26)+65))&amp;$R14&amp;""),"")</f>
        <v/>
      </c>
      <c r="Y14" s="134" t="str">
        <f t="array" aca="1" ref="Y14" ca="1">IF($R14&lt;&gt;"",
INDIRECT(""&amp;IF(COLUMN(J14)&lt;=26,CHAR(COLUMN(J14)+64),CHAR(INT((COLUMN(J14)-1)/26)+64)&amp;CHAR(MOD(COLUMN(J14)-1,26)+65))&amp;$R14&amp;""),"")</f>
        <v/>
      </c>
      <c r="Z14" s="134" t="str">
        <f t="shared" ca="1" si="2"/>
        <v/>
      </c>
      <c r="AA14" s="134" t="str">
        <f t="shared" ca="1" si="3"/>
        <v/>
      </c>
      <c r="AB14" s="134" t="str">
        <f t="array" aca="1" ref="AB14" ca="1">IF($R14&lt;&gt;"",
IF(AND(COUNTIF(INDIRECT("B"&amp;R14&amp;""),"*雙葉*"),COUNTIF(B:B,"*雙葉*")&gt;=2),
INDIRECT("M"&amp;R14&amp;"")+INDIRECT("M"&amp;MATCH("雙葉'",INDIRECT("B"&amp;R14+1&amp;":B210"),0)+R14&amp;""),
IF(AND(LEFT(INDIRECT("B"&amp;R14&amp;""),2)="博多",COUNTIF(B:B,"*博多*")&gt;=2),
INDIRECT("M"&amp;R14&amp;"")+INDIRECT("M"&amp;MATCH("*"&amp;INDIRECT("B"&amp;R14&amp;"")&amp;"*",INDIRECT("B"&amp;R14+1&amp;":B210"),0)+R14&amp;""),
IF(AND(LEFT(INDIRECT("B"&amp;R14&amp;""),3)="奈良屋",COUNTIF(B:B,"*奈良屋*")&gt;=2),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  <c r="AC14" s="134" t="str">
        <f ca="1">IF(S14&lt;&gt;"",INDEX(A:A, MATCH("*"&amp;LEFT(S14,4)&amp;"*", C:C, 0)),"")</f>
        <v/>
      </c>
      <c r="AD14" s="49" t="str">
        <f ca="1">IFERROR(INDEX(AC:AC,MATCH(SMALL($AU:$AU,ROW()+3),$AU:$AU,0)),"")</f>
        <v/>
      </c>
      <c r="AE14" s="49" t="str">
        <f ca="1">IFERROR(INDEX(R:R,MATCH(SMALL($AU:$AU,ROW()+3),$AU:$AU,0)),"")</f>
        <v/>
      </c>
      <c r="AF14" s="49" t="str">
        <f ca="1">IFERROR(INDEX(S:S,MATCH(SMALL($AU:$AU,ROW()+3),$AU:$AU,0)),"")</f>
        <v/>
      </c>
      <c r="AG14" s="49" t="str">
        <f ca="1">IFERROR(INDEX(T:T,MATCH(SMALL($AU:$AU,ROW()+3),$AU:$AU,0)),"")</f>
        <v/>
      </c>
      <c r="AH14" s="122" t="str">
        <f ca="1">IFERROR(INDEX(U:U,MATCH(SMALL($AU:$AU,ROW()+3),$AU:$AU,0)),"")</f>
        <v/>
      </c>
      <c r="AI14" s="49" t="str">
        <f ca="1">IFERROR(INDEX(V:V,MATCH(SMALL($AU:$AU,ROW()+3),$AU:$AU,0)),"")</f>
        <v/>
      </c>
      <c r="AJ14" s="49" t="str">
        <f ca="1">IFERROR(INDEX(W:W,MATCH(SMALL($AU:$AU,ROW()+3),$AU:$AU,0)),"")</f>
        <v/>
      </c>
      <c r="AK14" s="49" t="str">
        <f ca="1">IFERROR(INDEX(X:X,MATCH(SMALL($AU:$AU,ROW()+3),$AU:$AU,0)),"")</f>
        <v/>
      </c>
      <c r="AL14" s="49" t="str">
        <f ca="1">IFERROR(INDEX(Y:Y,MATCH(SMALL($AU:$AU,ROW()+3),$AU:$AU,0)),"")</f>
        <v/>
      </c>
      <c r="AM14" s="49" t="str">
        <f ca="1">IFERROR(INDEX(Z:Z,MATCH(SMALL($AU:$AU,ROW()+3),$AU:$AU,0)),"")</f>
        <v/>
      </c>
      <c r="AN14" s="49" t="str">
        <f ca="1">IFERROR(INDEX(AA:AA,MATCH(SMALL($AU:$AU,ROW()+3),$AU:$AU,0)),"")</f>
        <v/>
      </c>
      <c r="AO14" s="49" t="str">
        <f ca="1">IFERROR(INDEX(AB:AB,MATCH(SMALL($AU:$AU,ROW()+3),$AU:$AU,0)),"")</f>
        <v/>
      </c>
      <c r="AP14" s="49" t="str">
        <f ca="1">IFERROR(INDEX(AC:AC,MATCH(SMALL($AU:$AU,ROW()+3),$AU:$AU,0)),"")</f>
        <v/>
      </c>
      <c r="AU14" s="49" t="str">
        <f t="shared" ca="1" si="6"/>
        <v/>
      </c>
    </row>
    <row r="15" spans="1:47" ht="18" customHeight="1">
      <c r="A15" s="108">
        <f t="shared" si="4"/>
        <v>35</v>
      </c>
      <c r="B15" s="50" t="str">
        <f t="shared" si="5"/>
        <v/>
      </c>
      <c r="C15" s="50" t="str">
        <f>IF(OR(クライアント抽出!B15&lt;&gt;"",クライアント抽出!E15&lt;&gt;""),クライアント抽出!A15,"")</f>
        <v/>
      </c>
      <c r="D15" s="50" t="str">
        <f t="array" aca="1" ref="D15" ca="1">IF(C15&lt;&gt;"",INDIRECT("クライアント抽出!"&amp;E15&amp;MATCH(C15,クライアント抽出!A:A,0)&amp;""),"")</f>
        <v/>
      </c>
      <c r="E15" s="50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51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50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06" t="str">
        <f>IF(C15&lt;&gt;"",
クライアント抽出!B15,"")</f>
        <v/>
      </c>
      <c r="I15" s="50" t="str">
        <f t="array" aca="1" ref="I15" ca="1">IF(C15&lt;&gt;"",
IF(O15=1,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INDIRECT("数出表_Excel!"&amp;INDEX(_xlfn.UNIQUE(_xlfn._xlws.FILTER(クライアント抽出!P15:U15,COUNTIF(クライアント抽出!P15:U15,クライアント抽出!P15:U15)&gt;1)),1)&amp;L15&amp;""),0),クライアント抽出!E15),"")</f>
        <v/>
      </c>
      <c r="J15" s="50" t="str">
        <f>IF(C15&lt;&gt;"",
VLOOKUP(
"*"&amp;LEFT(IF(COUNTIF(D15,"*学食*"),"キャラ弁（学食）",
IF(COUNTIF(D15,"*赤*"),"赤",
IF(COUNTIF(D15,"*キャラ弁当*"),"キャラ弁当",D15))),4)&amp;"*",注文弁当の抽出!$E$1:$F$15,2,FALSE),"")</f>
        <v/>
      </c>
      <c r="K15" s="50" t="str">
        <f ca="1">IF(クライアント抽出!P15&lt;&gt;"",SUBSTITUTE(ADDRESS(1,(CODE(クライアント抽出!P15)-64)*2-1,4),"1",""),"")</f>
        <v/>
      </c>
      <c r="L15" s="50" t="str">
        <f>IF(C15&lt;&gt;"",クライアント抽出!I15,"")</f>
        <v/>
      </c>
      <c r="M15" s="50">
        <f t="array" aca="1" ref="M15" ca="1">IF(C15&lt;&gt;"",
IF(K15&lt;&gt;"",INDIRECT("'数出表_Excel（アレルギー入力）'!"&amp;K15&amp;L15-1&amp;""),),)</f>
        <v>0</v>
      </c>
      <c r="N15" s="50" t="str">
        <f>IF(C15&lt;&gt;"",IF(OR(COUNTIF('盛付札（関数）'!D15,"*赤*"),COUNTIF('盛付札（関数）'!D15,"*キャラ*")),1,
VLOOKUP("*"&amp;D15&amp;"*",商品マスタ一覧!D:H,5,FALSE)),"")</f>
        <v/>
      </c>
      <c r="O15" s="50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50">
        <f t="shared" si="0"/>
        <v>0</v>
      </c>
      <c r="Q15" s="50" t="b">
        <f t="shared" si="1"/>
        <v>0</v>
      </c>
      <c r="R15" s="134" t="str">
        <f t="array" aca="1" ref="R15" ca="1">IFERROR(SMALL(IF(P$1:P$311&lt;&gt;0,P$1:P$311),ROW(A15)),"")</f>
        <v/>
      </c>
      <c r="S15" s="134" t="str">
        <f t="array" aca="1" ref="S15" ca="1">IF($R15&lt;&gt;"",
SUBSTITUTE(SUBSTITUTE(INDIRECT("C"&amp;$R15&amp;"")," 週3ｺｰｽ","")," 週5ｺｰｽ",""),"")</f>
        <v/>
      </c>
      <c r="T15" s="134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135" t="str">
        <f t="array" aca="1" ref="U15" ca="1">IF($R15&lt;&gt;"",
INDIRECT("F"&amp;$R15&amp;""),"")</f>
        <v/>
      </c>
      <c r="V15" s="134" t="str">
        <f t="array" aca="1" ref="V15" ca="1">IF($R15&lt;&gt;"",
INDIRECT("G"&amp;$R15&amp;""),"")</f>
        <v/>
      </c>
      <c r="W15" s="134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IF(OR(COUNTIF(INDIRECT("B"&amp;R15&amp;""),"*雙葉先生*"),COUNTIF(INDIRECT("B"&amp;R15-1&amp;""),"*雙葉*")),INDIRECT("H"&amp;R15&amp;""),INDIRECT("H"&amp;R15&amp;"")+INDIRECT("H"&amp;MATCH("雙葉'",INDIRECT("B"&amp;R15+3&amp;":B210"),0)+2+R15&amp;"")),
IF(AND(LEFT(INDIRECT("B"&amp;R15&amp;""),2)="博多",COUNTIF(B:B,"*博多*")&gt;=2),
INDIRECT("H"&amp;R15&amp;"")+INDIRECT("H"&amp;MATCH("*"&amp;INDIRECT("B"&amp;R15&amp;"")&amp;"*",INDIRECT("B"&amp;R15+1&amp;":B210"),0)+R15&amp;""),
IF(AND(LEFT(INDIRECT("B"&amp;R15&amp;""),3)="奈良屋",COUNTIF(B:B,"*奈良屋*")&gt;=2),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134" t="str">
        <f t="array" aca="1" ref="X15" ca="1">IF($R15&lt;&gt;"",
INDIRECT(""&amp;IF(COLUMN(I15)&lt;=26,CHAR(COLUMN(I15)+64),CHAR(INT((COLUMN(I15)-1)/26)+64)&amp;CHAR(MOD(COLUMN(I15)-1,26)+65))&amp;$R15&amp;""),"")</f>
        <v/>
      </c>
      <c r="Y15" s="134" t="str">
        <f t="array" aca="1" ref="Y15" ca="1">IF($R15&lt;&gt;"",
INDIRECT(""&amp;IF(COLUMN(J15)&lt;=26,CHAR(COLUMN(J15)+64),CHAR(INT((COLUMN(J15)-1)/26)+64)&amp;CHAR(MOD(COLUMN(J15)-1,26)+65))&amp;$R15&amp;""),"")</f>
        <v/>
      </c>
      <c r="Z15" s="134" t="str">
        <f t="shared" ca="1" si="2"/>
        <v/>
      </c>
      <c r="AA15" s="134" t="str">
        <f t="shared" ca="1" si="3"/>
        <v/>
      </c>
      <c r="AB15" s="134" t="str">
        <f t="array" aca="1" ref="AB15" ca="1">IF($R15&lt;&gt;"",
IF(AND(COUNTIF(INDIRECT("B"&amp;R15&amp;""),"*雙葉*"),COUNTIF(B:B,"*雙葉*")&gt;=2),
INDIRECT("M"&amp;R15&amp;"")+INDIRECT("M"&amp;MATCH("雙葉'",INDIRECT("B"&amp;R15+1&amp;":B210"),0)+R15&amp;""),
IF(AND(LEFT(INDIRECT("B"&amp;R15&amp;""),2)="博多",COUNTIF(B:B,"*博多*")&gt;=2),
INDIRECT("M"&amp;R15&amp;"")+INDIRECT("M"&amp;MATCH("*"&amp;INDIRECT("B"&amp;R15&amp;"")&amp;"*",INDIRECT("B"&amp;R15+1&amp;":B210"),0)+R15&amp;""),
IF(AND(LEFT(INDIRECT("B"&amp;R15&amp;""),3)="奈良屋",COUNTIF(B:B,"*奈良屋*")&gt;=2),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  <c r="AC15" s="134" t="str">
        <f ca="1">IF(S15&lt;&gt;"",INDEX(A:A, MATCH("*"&amp;LEFT(S15,4)&amp;"*", C:C, 0)),"")</f>
        <v/>
      </c>
      <c r="AD15" s="49" t="str">
        <f ca="1">IFERROR(INDEX(AC:AC,MATCH(SMALL($AU:$AU,ROW()+3),$AU:$AU,0)),"")</f>
        <v/>
      </c>
      <c r="AE15" s="49" t="str">
        <f ca="1">IFERROR(INDEX(R:R,MATCH(SMALL($AU:$AU,ROW()+3),$AU:$AU,0)),"")</f>
        <v/>
      </c>
      <c r="AF15" s="49" t="str">
        <f ca="1">IFERROR(INDEX(S:S,MATCH(SMALL($AU:$AU,ROW()+3),$AU:$AU,0)),"")</f>
        <v/>
      </c>
      <c r="AG15" s="49" t="str">
        <f ca="1">IFERROR(INDEX(T:T,MATCH(SMALL($AU:$AU,ROW()+3),$AU:$AU,0)),"")</f>
        <v/>
      </c>
      <c r="AH15" s="122" t="str">
        <f ca="1">IFERROR(INDEX(U:U,MATCH(SMALL($AU:$AU,ROW()+3),$AU:$AU,0)),"")</f>
        <v/>
      </c>
      <c r="AI15" s="49" t="str">
        <f ca="1">IFERROR(INDEX(V:V,MATCH(SMALL($AU:$AU,ROW()+3),$AU:$AU,0)),"")</f>
        <v/>
      </c>
      <c r="AJ15" s="49" t="str">
        <f ca="1">IFERROR(INDEX(W:W,MATCH(SMALL($AU:$AU,ROW()+3),$AU:$AU,0)),"")</f>
        <v/>
      </c>
      <c r="AK15" s="49" t="str">
        <f ca="1">IFERROR(INDEX(X:X,MATCH(SMALL($AU:$AU,ROW()+3),$AU:$AU,0)),"")</f>
        <v/>
      </c>
      <c r="AL15" s="49" t="str">
        <f ca="1">IFERROR(INDEX(Y:Y,MATCH(SMALL($AU:$AU,ROW()+3),$AU:$AU,0)),"")</f>
        <v/>
      </c>
      <c r="AM15" s="49" t="str">
        <f ca="1">IFERROR(INDEX(Z:Z,MATCH(SMALL($AU:$AU,ROW()+3),$AU:$AU,0)),"")</f>
        <v/>
      </c>
      <c r="AN15" s="49" t="str">
        <f ca="1">IFERROR(INDEX(AA:AA,MATCH(SMALL($AU:$AU,ROW()+3),$AU:$AU,0)),"")</f>
        <v/>
      </c>
      <c r="AO15" s="49" t="str">
        <f ca="1">IFERROR(INDEX(AB:AB,MATCH(SMALL($AU:$AU,ROW()+3),$AU:$AU,0)),"")</f>
        <v/>
      </c>
      <c r="AP15" s="49" t="str">
        <f ca="1">IFERROR(INDEX(AC:AC,MATCH(SMALL($AU:$AU,ROW()+3),$AU:$AU,0)),"")</f>
        <v/>
      </c>
      <c r="AU15" s="49" t="str">
        <f t="shared" ca="1" si="6"/>
        <v/>
      </c>
    </row>
    <row r="16" spans="1:47" ht="18" customHeight="1">
      <c r="A16" s="108">
        <f t="shared" si="4"/>
        <v>37</v>
      </c>
      <c r="B16" s="50" t="str">
        <f t="shared" si="5"/>
        <v/>
      </c>
      <c r="C16" s="50" t="str">
        <f>IF(OR(クライアント抽出!B16&lt;&gt;"",クライアント抽出!E16&lt;&gt;""),クライアント抽出!A16,"")</f>
        <v/>
      </c>
      <c r="D16" s="50" t="str">
        <f t="array" aca="1" ref="D16" ca="1">IF(C16&lt;&gt;"",INDIRECT("クライアント抽出!"&amp;E16&amp;MATCH(C16,クライアント抽出!A:A,0)&amp;""),"")</f>
        <v/>
      </c>
      <c r="E16" s="50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51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50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06" t="str">
        <f>IF(C16&lt;&gt;"",
クライアント抽出!B16,"")</f>
        <v/>
      </c>
      <c r="I16" s="50" t="str">
        <f t="array" aca="1" ref="I16" ca="1">IF(C16&lt;&gt;"",
IF(O16=1,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INDIRECT("数出表_Excel!"&amp;INDEX(_xlfn.UNIQUE(_xlfn._xlws.FILTER(クライアント抽出!P16:U16,COUNTIF(クライアント抽出!P16:U16,クライアント抽出!P16:U16)&gt;1)),1)&amp;L16&amp;""),0),クライアント抽出!E16),"")</f>
        <v/>
      </c>
      <c r="J16" s="50" t="str">
        <f>IF(C16&lt;&gt;"",
VLOOKUP(
"*"&amp;LEFT(IF(COUNTIF(D16,"*学食*"),"キャラ弁（学食）",
IF(COUNTIF(D16,"*赤*"),"赤",
IF(COUNTIF(D16,"*キャラ弁当*"),"キャラ弁当",D16))),4)&amp;"*",注文弁当の抽出!$E$1:$F$15,2,FALSE),"")</f>
        <v/>
      </c>
      <c r="K16" s="50" t="str">
        <f ca="1">IF(クライアント抽出!P16&lt;&gt;"",SUBSTITUTE(ADDRESS(1,(CODE(クライアント抽出!P16)-64)*2-1,4),"1",""),"")</f>
        <v/>
      </c>
      <c r="L16" s="50" t="str">
        <f>IF(C16&lt;&gt;"",クライアント抽出!I16,"")</f>
        <v/>
      </c>
      <c r="M16" s="50">
        <f t="array" aca="1" ref="M16" ca="1">IF(C16&lt;&gt;"",
IF(K16&lt;&gt;"",INDIRECT("'数出表_Excel（アレルギー入力）'!"&amp;K16&amp;L16-1&amp;""),),)</f>
        <v>0</v>
      </c>
      <c r="N16" s="50" t="str">
        <f>IF(C16&lt;&gt;"",IF(OR(COUNTIF('盛付札（関数）'!D16,"*赤*"),COUNTIF('盛付札（関数）'!D16,"*キャラ*")),1,
VLOOKUP("*"&amp;D16&amp;"*",商品マスタ一覧!D:H,5,FALSE)),"")</f>
        <v/>
      </c>
      <c r="O16" s="50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50">
        <f t="shared" si="0"/>
        <v>0</v>
      </c>
      <c r="Q16" s="50" t="b">
        <f t="shared" si="1"/>
        <v>0</v>
      </c>
      <c r="R16" s="134" t="str">
        <f t="array" aca="1" ref="R16" ca="1">IFERROR(SMALL(IF(P$1:P$311&lt;&gt;0,P$1:P$311),ROW(A16)),"")</f>
        <v/>
      </c>
      <c r="S16" s="134" t="str">
        <f t="array" aca="1" ref="S16" ca="1">IF($R16&lt;&gt;"",
SUBSTITUTE(SUBSTITUTE(INDIRECT("C"&amp;$R16&amp;"")," 週3ｺｰｽ","")," 週5ｺｰｽ",""),"")</f>
        <v/>
      </c>
      <c r="T16" s="134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135" t="str">
        <f t="array" aca="1" ref="U16" ca="1">IF($R16&lt;&gt;"",
INDIRECT("F"&amp;$R16&amp;""),"")</f>
        <v/>
      </c>
      <c r="V16" s="134" t="str">
        <f t="array" aca="1" ref="V16" ca="1">IF($R16&lt;&gt;"",
INDIRECT("G"&amp;$R16&amp;""),"")</f>
        <v/>
      </c>
      <c r="W16" s="134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IF(OR(COUNTIF(INDIRECT("B"&amp;R16&amp;""),"*雙葉先生*"),COUNTIF(INDIRECT("B"&amp;R16-1&amp;""),"*雙葉*")),INDIRECT("H"&amp;R16&amp;""),INDIRECT("H"&amp;R16&amp;"")+INDIRECT("H"&amp;MATCH("雙葉'",INDIRECT("B"&amp;R16+3&amp;":B210"),0)+2+R16&amp;"")),
IF(AND(LEFT(INDIRECT("B"&amp;R16&amp;""),2)="博多",COUNTIF(B:B,"*博多*")&gt;=2),
INDIRECT("H"&amp;R16&amp;"")+INDIRECT("H"&amp;MATCH("*"&amp;INDIRECT("B"&amp;R16&amp;"")&amp;"*",INDIRECT("B"&amp;R16+1&amp;":B210"),0)+R16&amp;""),
IF(AND(LEFT(INDIRECT("B"&amp;R16&amp;""),3)="奈良屋",COUNTIF(B:B,"*奈良屋*")&gt;=2),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134" t="str">
        <f t="array" aca="1" ref="X16" ca="1">IF($R16&lt;&gt;"",
INDIRECT(""&amp;IF(COLUMN(I16)&lt;=26,CHAR(COLUMN(I16)+64),CHAR(INT((COLUMN(I16)-1)/26)+64)&amp;CHAR(MOD(COLUMN(I16)-1,26)+65))&amp;$R16&amp;""),"")</f>
        <v/>
      </c>
      <c r="Y16" s="134" t="str">
        <f t="array" aca="1" ref="Y16" ca="1">IF($R16&lt;&gt;"",
INDIRECT(""&amp;IF(COLUMN(J16)&lt;=26,CHAR(COLUMN(J16)+64),CHAR(INT((COLUMN(J16)-1)/26)+64)&amp;CHAR(MOD(COLUMN(J16)-1,26)+65))&amp;$R16&amp;""),"")</f>
        <v/>
      </c>
      <c r="Z16" s="134" t="str">
        <f t="shared" ca="1" si="2"/>
        <v/>
      </c>
      <c r="AA16" s="134" t="str">
        <f t="shared" ca="1" si="3"/>
        <v/>
      </c>
      <c r="AB16" s="134" t="str">
        <f t="array" aca="1" ref="AB16" ca="1">IF($R16&lt;&gt;"",
IF(AND(COUNTIF(INDIRECT("B"&amp;R16&amp;""),"*雙葉*"),COUNTIF(B:B,"*雙葉*")&gt;=2),
INDIRECT("M"&amp;R16&amp;"")+INDIRECT("M"&amp;MATCH("雙葉'",INDIRECT("B"&amp;R16+1&amp;":B210"),0)+R16&amp;""),
IF(AND(LEFT(INDIRECT("B"&amp;R16&amp;""),2)="博多",COUNTIF(B:B,"*博多*")&gt;=2),
INDIRECT("M"&amp;R16&amp;"")+INDIRECT("M"&amp;MATCH("*"&amp;INDIRECT("B"&amp;R16&amp;"")&amp;"*",INDIRECT("B"&amp;R16+1&amp;":B210"),0)+R16&amp;""),
IF(AND(LEFT(INDIRECT("B"&amp;R16&amp;""),3)="奈良屋",COUNTIF(B:B,"*奈良屋*")&gt;=2),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  <c r="AC16" s="134" t="str">
        <f ca="1">IF(S16&lt;&gt;"",INDEX(A:A, MATCH("*"&amp;LEFT(S16,4)&amp;"*", C:C, 0)),"")</f>
        <v/>
      </c>
      <c r="AD16" s="49" t="str">
        <f ca="1">IFERROR(INDEX(AC:AC,MATCH(SMALL($AU:$AU,ROW()+3),$AU:$AU,0)),"")</f>
        <v/>
      </c>
      <c r="AE16" s="49" t="str">
        <f ca="1">IFERROR(INDEX(R:R,MATCH(SMALL($AU:$AU,ROW()+3),$AU:$AU,0)),"")</f>
        <v/>
      </c>
      <c r="AF16" s="49" t="str">
        <f ca="1">IFERROR(INDEX(S:S,MATCH(SMALL($AU:$AU,ROW()+3),$AU:$AU,0)),"")</f>
        <v/>
      </c>
      <c r="AG16" s="49" t="str">
        <f ca="1">IFERROR(INDEX(T:T,MATCH(SMALL($AU:$AU,ROW()+3),$AU:$AU,0)),"")</f>
        <v/>
      </c>
      <c r="AH16" s="122" t="str">
        <f ca="1">IFERROR(INDEX(U:U,MATCH(SMALL($AU:$AU,ROW()+3),$AU:$AU,0)),"")</f>
        <v/>
      </c>
      <c r="AI16" s="49" t="str">
        <f ca="1">IFERROR(INDEX(V:V,MATCH(SMALL($AU:$AU,ROW()+3),$AU:$AU,0)),"")</f>
        <v/>
      </c>
      <c r="AJ16" s="49" t="str">
        <f ca="1">IFERROR(INDEX(W:W,MATCH(SMALL($AU:$AU,ROW()+3),$AU:$AU,0)),"")</f>
        <v/>
      </c>
      <c r="AK16" s="49" t="str">
        <f ca="1">IFERROR(INDEX(X:X,MATCH(SMALL($AU:$AU,ROW()+3),$AU:$AU,0)),"")</f>
        <v/>
      </c>
      <c r="AL16" s="49" t="str">
        <f ca="1">IFERROR(INDEX(Y:Y,MATCH(SMALL($AU:$AU,ROW()+3),$AU:$AU,0)),"")</f>
        <v/>
      </c>
      <c r="AM16" s="49" t="str">
        <f ca="1">IFERROR(INDEX(Z:Z,MATCH(SMALL($AU:$AU,ROW()+3),$AU:$AU,0)),"")</f>
        <v/>
      </c>
      <c r="AN16" s="49" t="str">
        <f ca="1">IFERROR(INDEX(AA:AA,MATCH(SMALL($AU:$AU,ROW()+3),$AU:$AU,0)),"")</f>
        <v/>
      </c>
      <c r="AO16" s="49" t="str">
        <f ca="1">IFERROR(INDEX(AB:AB,MATCH(SMALL($AU:$AU,ROW()+3),$AU:$AU,0)),"")</f>
        <v/>
      </c>
      <c r="AP16" s="49" t="str">
        <f ca="1">IFERROR(INDEX(AC:AC,MATCH(SMALL($AU:$AU,ROW()+3),$AU:$AU,0)),"")</f>
        <v/>
      </c>
      <c r="AU16" s="49" t="str">
        <f t="shared" ca="1" si="6"/>
        <v/>
      </c>
    </row>
    <row r="17" spans="1:47" ht="22.2" customHeight="1">
      <c r="A17" s="108">
        <f t="shared" si="4"/>
        <v>39</v>
      </c>
      <c r="B17" s="50" t="str">
        <f t="shared" si="5"/>
        <v/>
      </c>
      <c r="C17" s="50" t="str">
        <f>IF(OR(クライアント抽出!B17&lt;&gt;"",クライアント抽出!E17&lt;&gt;""),クライアント抽出!A17,"")</f>
        <v/>
      </c>
      <c r="D17" s="50" t="str">
        <f t="array" aca="1" ref="D17" ca="1">IF(C17&lt;&gt;"",INDIRECT("クライアント抽出!"&amp;E17&amp;MATCH(C17,クライアント抽出!A:A,0)&amp;""),"")</f>
        <v/>
      </c>
      <c r="E17" s="50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51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50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06" t="str">
        <f>IF(C17&lt;&gt;"",
クライアント抽出!B17,"")</f>
        <v/>
      </c>
      <c r="I17" s="50" t="str">
        <f t="array" aca="1" ref="I17" ca="1">IF(C17&lt;&gt;"",
IF(O17=1,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INDIRECT("数出表_Excel!"&amp;INDEX(_xlfn.UNIQUE(_xlfn._xlws.FILTER(クライアント抽出!P17:U17,COUNTIF(クライアント抽出!P17:U17,クライアント抽出!P17:U17)&gt;1)),1)&amp;L17&amp;""),0),クライアント抽出!E17),"")</f>
        <v/>
      </c>
      <c r="J17" s="50" t="str">
        <f>IF(C17&lt;&gt;"",
VLOOKUP(
"*"&amp;LEFT(IF(COUNTIF(D17,"*学食*"),"キャラ弁（学食）",
IF(COUNTIF(D17,"*赤*"),"赤",
IF(COUNTIF(D17,"*キャラ弁当*"),"キャラ弁当",D17))),4)&amp;"*",注文弁当の抽出!$E$1:$F$15,2,FALSE),"")</f>
        <v/>
      </c>
      <c r="K17" s="50" t="str">
        <f ca="1">IF(クライアント抽出!P17&lt;&gt;"",SUBSTITUTE(ADDRESS(1,(CODE(クライアント抽出!P17)-64)*2-1,4),"1",""),"")</f>
        <v/>
      </c>
      <c r="L17" s="50" t="str">
        <f>IF(C17&lt;&gt;"",クライアント抽出!I17,"")</f>
        <v/>
      </c>
      <c r="M17" s="50">
        <f t="array" aca="1" ref="M17" ca="1">IF(C17&lt;&gt;"",
IF(K17&lt;&gt;"",INDIRECT("'数出表_Excel（アレルギー入力）'!"&amp;K17&amp;L17-1&amp;""),),)</f>
        <v>0</v>
      </c>
      <c r="N17" s="50" t="str">
        <f>IF(C17&lt;&gt;"",IF(OR(COUNTIF('盛付札（関数）'!D17,"*赤*"),COUNTIF('盛付札（関数）'!D17,"*キャラ*")),1,
VLOOKUP("*"&amp;D17&amp;"*",商品マスタ一覧!D:H,5,FALSE)),"")</f>
        <v/>
      </c>
      <c r="O17" s="50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50">
        <f t="shared" si="0"/>
        <v>0</v>
      </c>
      <c r="Q17" s="50" t="b">
        <f t="shared" si="1"/>
        <v>0</v>
      </c>
      <c r="R17" s="134" t="str">
        <f t="array" aca="1" ref="R17" ca="1">IFERROR(SMALL(IF(P$1:P$311&lt;&gt;0,P$1:P$311),ROW(A17)),"")</f>
        <v/>
      </c>
      <c r="S17" s="134" t="str">
        <f t="array" aca="1" ref="S17" ca="1">IF($R17&lt;&gt;"",
SUBSTITUTE(SUBSTITUTE(INDIRECT("C"&amp;$R17&amp;"")," 週3ｺｰｽ","")," 週5ｺｰｽ",""),"")</f>
        <v/>
      </c>
      <c r="T17" s="134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135" t="str">
        <f t="array" aca="1" ref="U17" ca="1">IF($R17&lt;&gt;"",
INDIRECT("F"&amp;$R17&amp;""),"")</f>
        <v/>
      </c>
      <c r="V17" s="134" t="str">
        <f t="array" aca="1" ref="V17" ca="1">IF($R17&lt;&gt;"",
INDIRECT("G"&amp;$R17&amp;""),"")</f>
        <v/>
      </c>
      <c r="W17" s="134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IF(OR(COUNTIF(INDIRECT("B"&amp;R17&amp;""),"*雙葉先生*"),COUNTIF(INDIRECT("B"&amp;R17-1&amp;""),"*雙葉*")),INDIRECT("H"&amp;R17&amp;""),INDIRECT("H"&amp;R17&amp;"")+INDIRECT("H"&amp;MATCH("雙葉'",INDIRECT("B"&amp;R17+3&amp;":B210"),0)+2+R17&amp;"")),
IF(AND(LEFT(INDIRECT("B"&amp;R17&amp;""),2)="博多",COUNTIF(B:B,"*博多*")&gt;=2),
INDIRECT("H"&amp;R17&amp;"")+INDIRECT("H"&amp;MATCH("*"&amp;INDIRECT("B"&amp;R17&amp;"")&amp;"*",INDIRECT("B"&amp;R17+1&amp;":B210"),0)+R17&amp;""),
IF(AND(LEFT(INDIRECT("B"&amp;R17&amp;""),3)="奈良屋",COUNTIF(B:B,"*奈良屋*")&gt;=2),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134" t="str">
        <f t="array" aca="1" ref="X17" ca="1">IF($R17&lt;&gt;"",
INDIRECT(""&amp;IF(COLUMN(I17)&lt;=26,CHAR(COLUMN(I17)+64),CHAR(INT((COLUMN(I17)-1)/26)+64)&amp;CHAR(MOD(COLUMN(I17)-1,26)+65))&amp;$R17&amp;""),"")</f>
        <v/>
      </c>
      <c r="Y17" s="134" t="str">
        <f t="array" aca="1" ref="Y17" ca="1">IF($R17&lt;&gt;"",
INDIRECT(""&amp;IF(COLUMN(J17)&lt;=26,CHAR(COLUMN(J17)+64),CHAR(INT((COLUMN(J17)-1)/26)+64)&amp;CHAR(MOD(COLUMN(J17)-1,26)+65))&amp;$R17&amp;""),"")</f>
        <v/>
      </c>
      <c r="Z17" s="134" t="str">
        <f t="shared" ca="1" si="2"/>
        <v/>
      </c>
      <c r="AA17" s="134" t="str">
        <f t="shared" ca="1" si="3"/>
        <v/>
      </c>
      <c r="AB17" s="134" t="str">
        <f t="array" aca="1" ref="AB17" ca="1">IF($R17&lt;&gt;"",
IF(AND(COUNTIF(INDIRECT("B"&amp;R17&amp;""),"*雙葉*"),COUNTIF(B:B,"*雙葉*")&gt;=2),
INDIRECT("M"&amp;R17&amp;"")+INDIRECT("M"&amp;MATCH("雙葉'",INDIRECT("B"&amp;R17+1&amp;":B210"),0)+R17&amp;""),
IF(AND(LEFT(INDIRECT("B"&amp;R17&amp;""),2)="博多",COUNTIF(B:B,"*博多*")&gt;=2),
INDIRECT("M"&amp;R17&amp;"")+INDIRECT("M"&amp;MATCH("*"&amp;INDIRECT("B"&amp;R17&amp;"")&amp;"*",INDIRECT("B"&amp;R17+1&amp;":B210"),0)+R17&amp;""),
IF(AND(LEFT(INDIRECT("B"&amp;R17&amp;""),3)="奈良屋",COUNTIF(B:B,"*奈良屋*")&gt;=2),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  <c r="AC17" s="134" t="str">
        <f ca="1">IF(S17&lt;&gt;"",INDEX(A:A, MATCH("*"&amp;LEFT(S17,4)&amp;"*", C:C, 0)),"")</f>
        <v/>
      </c>
      <c r="AD17" s="49" t="str">
        <f ca="1">IFERROR(INDEX(AC:AC,MATCH(SMALL($AU:$AU,ROW()+3),$AU:$AU,0)),"")</f>
        <v/>
      </c>
      <c r="AE17" s="49" t="str">
        <f ca="1">IFERROR(INDEX(R:R,MATCH(SMALL($AU:$AU,ROW()+3),$AU:$AU,0)),"")</f>
        <v/>
      </c>
      <c r="AF17" s="49" t="str">
        <f ca="1">IFERROR(INDEX(S:S,MATCH(SMALL($AU:$AU,ROW()+3),$AU:$AU,0)),"")</f>
        <v/>
      </c>
      <c r="AG17" s="49" t="str">
        <f ca="1">IFERROR(INDEX(T:T,MATCH(SMALL($AU:$AU,ROW()+3),$AU:$AU,0)),"")</f>
        <v/>
      </c>
      <c r="AH17" s="122" t="str">
        <f ca="1">IFERROR(INDEX(U:U,MATCH(SMALL($AU:$AU,ROW()+3),$AU:$AU,0)),"")</f>
        <v/>
      </c>
      <c r="AI17" s="49" t="str">
        <f ca="1">IFERROR(INDEX(V:V,MATCH(SMALL($AU:$AU,ROW()+3),$AU:$AU,0)),"")</f>
        <v/>
      </c>
      <c r="AJ17" s="49" t="str">
        <f ca="1">IFERROR(INDEX(W:W,MATCH(SMALL($AU:$AU,ROW()+3),$AU:$AU,0)),"")</f>
        <v/>
      </c>
      <c r="AK17" s="49" t="str">
        <f ca="1">IFERROR(INDEX(X:X,MATCH(SMALL($AU:$AU,ROW()+3),$AU:$AU,0)),"")</f>
        <v/>
      </c>
      <c r="AL17" s="49" t="str">
        <f ca="1">IFERROR(INDEX(Y:Y,MATCH(SMALL($AU:$AU,ROW()+3),$AU:$AU,0)),"")</f>
        <v/>
      </c>
      <c r="AM17" s="49" t="str">
        <f ca="1">IFERROR(INDEX(Z:Z,MATCH(SMALL($AU:$AU,ROW()+3),$AU:$AU,0)),"")</f>
        <v/>
      </c>
      <c r="AN17" s="49" t="str">
        <f ca="1">IFERROR(INDEX(AA:AA,MATCH(SMALL($AU:$AU,ROW()+3),$AU:$AU,0)),"")</f>
        <v/>
      </c>
      <c r="AO17" s="49" t="str">
        <f ca="1">IFERROR(INDEX(AB:AB,MATCH(SMALL($AU:$AU,ROW()+3),$AU:$AU,0)),"")</f>
        <v/>
      </c>
      <c r="AP17" s="49" t="str">
        <f ca="1">IFERROR(INDEX(AC:AC,MATCH(SMALL($AU:$AU,ROW()+3),$AU:$AU,0)),"")</f>
        <v/>
      </c>
      <c r="AU17" s="49" t="str">
        <f t="shared" ca="1" si="6"/>
        <v/>
      </c>
    </row>
    <row r="18" spans="1:47" ht="18" customHeight="1">
      <c r="A18" s="108">
        <f t="shared" si="4"/>
        <v>41</v>
      </c>
      <c r="B18" s="50" t="str">
        <f t="shared" si="5"/>
        <v/>
      </c>
      <c r="C18" s="50" t="str">
        <f>IF(OR(クライアント抽出!B18&lt;&gt;"",クライアント抽出!E18&lt;&gt;""),クライアント抽出!A18,"")</f>
        <v/>
      </c>
      <c r="D18" s="50" t="str">
        <f t="array" aca="1" ref="D18" ca="1">IF(C18&lt;&gt;"",INDIRECT("クライアント抽出!"&amp;E18&amp;MATCH(C18,クライアント抽出!A:A,0)&amp;""),"")</f>
        <v/>
      </c>
      <c r="E18" s="50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51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50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06" t="str">
        <f>IF(C18&lt;&gt;"",
クライアント抽出!B18,"")</f>
        <v/>
      </c>
      <c r="I18" s="50" t="str">
        <f t="array" aca="1" ref="I18" ca="1">IF(C18&lt;&gt;"",
IF(O18=1,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INDIRECT("数出表_Excel!"&amp;INDEX(_xlfn.UNIQUE(_xlfn._xlws.FILTER(クライアント抽出!P18:U18,COUNTIF(クライアント抽出!P18:U18,クライアント抽出!P18:U18)&gt;1)),1)&amp;L18&amp;""),0),クライアント抽出!E18),"")</f>
        <v/>
      </c>
      <c r="J18" s="50" t="str">
        <f>IF(C18&lt;&gt;"",
VLOOKUP(
"*"&amp;LEFT(IF(COUNTIF(D18,"*学食*"),"キャラ弁（学食）",
IF(COUNTIF(D18,"*赤*"),"赤",
IF(COUNTIF(D18,"*キャラ弁当*"),"キャラ弁当",D18))),4)&amp;"*",注文弁当の抽出!$E$1:$F$15,2,FALSE),"")</f>
        <v/>
      </c>
      <c r="K18" s="50" t="str">
        <f ca="1">IF(クライアント抽出!P18&lt;&gt;"",SUBSTITUTE(ADDRESS(1,(CODE(クライアント抽出!P18)-64)*2-1,4),"1",""),"")</f>
        <v/>
      </c>
      <c r="L18" s="50" t="str">
        <f>IF(C18&lt;&gt;"",クライアント抽出!I18,"")</f>
        <v/>
      </c>
      <c r="M18" s="50">
        <f t="array" aca="1" ref="M18" ca="1">IF(C18&lt;&gt;"",
IF(K18&lt;&gt;"",INDIRECT("'数出表_Excel（アレルギー入力）'!"&amp;K18&amp;L18-1&amp;""),),)</f>
        <v>0</v>
      </c>
      <c r="N18" s="50" t="str">
        <f>IF(C18&lt;&gt;"",IF(OR(COUNTIF('盛付札（関数）'!D18,"*赤*"),COUNTIF('盛付札（関数）'!D18,"*キャラ*")),1,
VLOOKUP("*"&amp;D18&amp;"*",商品マスタ一覧!D:H,5,FALSE)),"")</f>
        <v/>
      </c>
      <c r="O18" s="50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50">
        <f t="shared" si="0"/>
        <v>0</v>
      </c>
      <c r="Q18" s="50" t="b">
        <f t="shared" si="1"/>
        <v>0</v>
      </c>
      <c r="R18" s="134" t="str">
        <f t="array" aca="1" ref="R18" ca="1">IFERROR(SMALL(IF(P$1:P$311&lt;&gt;0,P$1:P$311),ROW(A18)),"")</f>
        <v/>
      </c>
      <c r="S18" s="134" t="str">
        <f t="array" aca="1" ref="S18" ca="1">IF($R18&lt;&gt;"",
SUBSTITUTE(SUBSTITUTE(INDIRECT("C"&amp;$R18&amp;"")," 週3ｺｰｽ","")," 週5ｺｰｽ",""),"")</f>
        <v/>
      </c>
      <c r="T18" s="134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135" t="str">
        <f t="array" aca="1" ref="U18" ca="1">IF($R18&lt;&gt;"",
INDIRECT("F"&amp;$R18&amp;""),"")</f>
        <v/>
      </c>
      <c r="V18" s="134" t="str">
        <f t="array" aca="1" ref="V18" ca="1">IF($R18&lt;&gt;"",
INDIRECT("G"&amp;$R18&amp;""),"")</f>
        <v/>
      </c>
      <c r="W18" s="134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IF(OR(COUNTIF(INDIRECT("B"&amp;R18&amp;""),"*雙葉先生*"),COUNTIF(INDIRECT("B"&amp;R18-1&amp;""),"*雙葉*")),INDIRECT("H"&amp;R18&amp;""),INDIRECT("H"&amp;R18&amp;"")+INDIRECT("H"&amp;MATCH("雙葉'",INDIRECT("B"&amp;R18+3&amp;":B210"),0)+2+R18&amp;"")),
IF(AND(LEFT(INDIRECT("B"&amp;R18&amp;""),2)="博多",COUNTIF(B:B,"*博多*")&gt;=2),
INDIRECT("H"&amp;R18&amp;"")+INDIRECT("H"&amp;MATCH("*"&amp;INDIRECT("B"&amp;R18&amp;"")&amp;"*",INDIRECT("B"&amp;R18+1&amp;":B210"),0)+R18&amp;""),
IF(AND(LEFT(INDIRECT("B"&amp;R18&amp;""),3)="奈良屋",COUNTIF(B:B,"*奈良屋*")&gt;=2),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134" t="str">
        <f t="array" aca="1" ref="X18" ca="1">IF($R18&lt;&gt;"",
INDIRECT(""&amp;IF(COLUMN(I18)&lt;=26,CHAR(COLUMN(I18)+64),CHAR(INT((COLUMN(I18)-1)/26)+64)&amp;CHAR(MOD(COLUMN(I18)-1,26)+65))&amp;$R18&amp;""),"")</f>
        <v/>
      </c>
      <c r="Y18" s="134" t="str">
        <f t="array" aca="1" ref="Y18" ca="1">IF($R18&lt;&gt;"",
INDIRECT(""&amp;IF(COLUMN(J18)&lt;=26,CHAR(COLUMN(J18)+64),CHAR(INT((COLUMN(J18)-1)/26)+64)&amp;CHAR(MOD(COLUMN(J18)-1,26)+65))&amp;$R18&amp;""),"")</f>
        <v/>
      </c>
      <c r="Z18" s="134" t="str">
        <f t="shared" ca="1" si="2"/>
        <v/>
      </c>
      <c r="AA18" s="134" t="str">
        <f t="shared" ca="1" si="3"/>
        <v/>
      </c>
      <c r="AB18" s="134" t="str">
        <f t="array" aca="1" ref="AB18" ca="1">IF($R18&lt;&gt;"",
IF(AND(COUNTIF(INDIRECT("B"&amp;R18&amp;""),"*雙葉*"),COUNTIF(B:B,"*雙葉*")&gt;=2),
INDIRECT("M"&amp;R18&amp;"")+INDIRECT("M"&amp;MATCH("雙葉'",INDIRECT("B"&amp;R18+1&amp;":B210"),0)+R18&amp;""),
IF(AND(LEFT(INDIRECT("B"&amp;R18&amp;""),2)="博多",COUNTIF(B:B,"*博多*")&gt;=2),
INDIRECT("M"&amp;R18&amp;"")+INDIRECT("M"&amp;MATCH("*"&amp;INDIRECT("B"&amp;R18&amp;"")&amp;"*",INDIRECT("B"&amp;R18+1&amp;":B210"),0)+R18&amp;""),
IF(AND(LEFT(INDIRECT("B"&amp;R18&amp;""),3)="奈良屋",COUNTIF(B:B,"*奈良屋*")&gt;=2),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  <c r="AC18" s="134" t="str">
        <f ca="1">IF(S18&lt;&gt;"",INDEX(A:A, MATCH("*"&amp;LEFT(S18,4)&amp;"*", C:C, 0)),"")</f>
        <v/>
      </c>
      <c r="AD18" s="49" t="str">
        <f ca="1">IFERROR(INDEX(AC:AC,MATCH(SMALL($AU:$AU,ROW()+3),$AU:$AU,0)),"")</f>
        <v/>
      </c>
      <c r="AE18" s="49" t="str">
        <f ca="1">IFERROR(INDEX(R:R,MATCH(SMALL($AU:$AU,ROW()+3),$AU:$AU,0)),"")</f>
        <v/>
      </c>
      <c r="AF18" s="49" t="str">
        <f ca="1">IFERROR(INDEX(S:S,MATCH(SMALL($AU:$AU,ROW()+3),$AU:$AU,0)),"")</f>
        <v/>
      </c>
      <c r="AG18" s="49" t="str">
        <f ca="1">IFERROR(INDEX(T:T,MATCH(SMALL($AU:$AU,ROW()+3),$AU:$AU,0)),"")</f>
        <v/>
      </c>
      <c r="AH18" s="122" t="str">
        <f ca="1">IFERROR(INDEX(U:U,MATCH(SMALL($AU:$AU,ROW()+3),$AU:$AU,0)),"")</f>
        <v/>
      </c>
      <c r="AI18" s="49" t="str">
        <f ca="1">IFERROR(INDEX(V:V,MATCH(SMALL($AU:$AU,ROW()+3),$AU:$AU,0)),"")</f>
        <v/>
      </c>
      <c r="AJ18" s="49" t="str">
        <f ca="1">IFERROR(INDEX(W:W,MATCH(SMALL($AU:$AU,ROW()+3),$AU:$AU,0)),"")</f>
        <v/>
      </c>
      <c r="AK18" s="49" t="str">
        <f ca="1">IFERROR(INDEX(X:X,MATCH(SMALL($AU:$AU,ROW()+3),$AU:$AU,0)),"")</f>
        <v/>
      </c>
      <c r="AL18" s="49" t="str">
        <f ca="1">IFERROR(INDEX(Y:Y,MATCH(SMALL($AU:$AU,ROW()+3),$AU:$AU,0)),"")</f>
        <v/>
      </c>
      <c r="AM18" s="49" t="str">
        <f ca="1">IFERROR(INDEX(Z:Z,MATCH(SMALL($AU:$AU,ROW()+3),$AU:$AU,0)),"")</f>
        <v/>
      </c>
      <c r="AN18" s="49" t="str">
        <f ca="1">IFERROR(INDEX(AA:AA,MATCH(SMALL($AU:$AU,ROW()+3),$AU:$AU,0)),"")</f>
        <v/>
      </c>
      <c r="AO18" s="49" t="str">
        <f ca="1">IFERROR(INDEX(AB:AB,MATCH(SMALL($AU:$AU,ROW()+3),$AU:$AU,0)),"")</f>
        <v/>
      </c>
      <c r="AP18" s="49" t="str">
        <f ca="1">IFERROR(INDEX(AC:AC,MATCH(SMALL($AU:$AU,ROW()+3),$AU:$AU,0)),"")</f>
        <v/>
      </c>
      <c r="AU18" s="49" t="str">
        <f t="shared" ca="1" si="6"/>
        <v/>
      </c>
    </row>
    <row r="19" spans="1:47" ht="18" customHeight="1">
      <c r="A19" s="108">
        <f t="shared" si="4"/>
        <v>43</v>
      </c>
      <c r="B19" s="50" t="str">
        <f t="shared" si="5"/>
        <v/>
      </c>
      <c r="C19" s="50" t="str">
        <f>IF(OR(クライアント抽出!B19&lt;&gt;"",クライアント抽出!E19&lt;&gt;""),クライアント抽出!A19,"")</f>
        <v/>
      </c>
      <c r="D19" s="50" t="str">
        <f t="array" aca="1" ref="D19" ca="1">IF(C19&lt;&gt;"",INDIRECT("クライアント抽出!"&amp;E19&amp;MATCH(C19,クライアント抽出!A:A,0)&amp;""),"")</f>
        <v/>
      </c>
      <c r="E19" s="50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51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50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06" t="str">
        <f>IF(C19&lt;&gt;"",
クライアント抽出!B19,"")</f>
        <v/>
      </c>
      <c r="I19" s="50" t="str">
        <f t="array" aca="1" ref="I19" ca="1">IF(C19&lt;&gt;"",
IF(O19=1,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INDIRECT("数出表_Excel!"&amp;INDEX(_xlfn.UNIQUE(_xlfn._xlws.FILTER(クライアント抽出!P19:U19,COUNTIF(クライアント抽出!P19:U19,クライアント抽出!P19:U19)&gt;1)),1)&amp;L19&amp;""),0),クライアント抽出!E19),"")</f>
        <v/>
      </c>
      <c r="J19" s="50" t="str">
        <f>IF(C19&lt;&gt;"",
VLOOKUP(
"*"&amp;LEFT(IF(COUNTIF(D19,"*学食*"),"キャラ弁（学食）",
IF(COUNTIF(D19,"*赤*"),"赤",
IF(COUNTIF(D19,"*キャラ弁当*"),"キャラ弁当",D19))),4)&amp;"*",注文弁当の抽出!$E$1:$F$15,2,FALSE),"")</f>
        <v/>
      </c>
      <c r="K19" s="50" t="str">
        <f ca="1">IF(クライアント抽出!P19&lt;&gt;"",SUBSTITUTE(ADDRESS(1,(CODE(クライアント抽出!P19)-64)*2-1,4),"1",""),"")</f>
        <v/>
      </c>
      <c r="L19" s="50" t="str">
        <f>IF(C19&lt;&gt;"",クライアント抽出!I19,"")</f>
        <v/>
      </c>
      <c r="M19" s="50">
        <f t="array" aca="1" ref="M19" ca="1">IF(C19&lt;&gt;"",
IF(K19&lt;&gt;"",INDIRECT("'数出表_Excel（アレルギー入力）'!"&amp;K19&amp;L19-1&amp;""),),)</f>
        <v>0</v>
      </c>
      <c r="N19" s="50" t="str">
        <f>IF(C19&lt;&gt;"",IF(OR(COUNTIF('盛付札（関数）'!D19,"*赤*"),COUNTIF('盛付札（関数）'!D19,"*キャラ*")),1,
VLOOKUP("*"&amp;D19&amp;"*",商品マスタ一覧!D:H,5,FALSE)),"")</f>
        <v/>
      </c>
      <c r="O19" s="50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50">
        <f t="shared" si="0"/>
        <v>0</v>
      </c>
      <c r="Q19" s="50" t="b">
        <f t="shared" si="1"/>
        <v>0</v>
      </c>
      <c r="R19" s="134" t="str">
        <f t="array" aca="1" ref="R19" ca="1">IFERROR(SMALL(IF(P$1:P$311&lt;&gt;0,P$1:P$311),ROW(A19)),"")</f>
        <v/>
      </c>
      <c r="S19" s="134" t="str">
        <f t="array" aca="1" ref="S19" ca="1">IF($R19&lt;&gt;"",
SUBSTITUTE(SUBSTITUTE(INDIRECT("C"&amp;$R19&amp;"")," 週3ｺｰｽ","")," 週5ｺｰｽ",""),"")</f>
        <v/>
      </c>
      <c r="T19" s="134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135" t="str">
        <f t="array" aca="1" ref="U19" ca="1">IF($R19&lt;&gt;"",
INDIRECT("F"&amp;$R19&amp;""),"")</f>
        <v/>
      </c>
      <c r="V19" s="134" t="str">
        <f t="array" aca="1" ref="V19" ca="1">IF($R19&lt;&gt;"",
INDIRECT("G"&amp;$R19&amp;""),"")</f>
        <v/>
      </c>
      <c r="W19" s="134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IF(OR(COUNTIF(INDIRECT("B"&amp;R19&amp;""),"*雙葉先生*"),COUNTIF(INDIRECT("B"&amp;R19-1&amp;""),"*雙葉*")),INDIRECT("H"&amp;R19&amp;""),INDIRECT("H"&amp;R19&amp;"")+INDIRECT("H"&amp;MATCH("雙葉'",INDIRECT("B"&amp;R19+3&amp;":B210"),0)+2+R19&amp;"")),
IF(AND(LEFT(INDIRECT("B"&amp;R19&amp;""),2)="博多",COUNTIF(B:B,"*博多*")&gt;=2),
INDIRECT("H"&amp;R19&amp;"")+INDIRECT("H"&amp;MATCH("*"&amp;INDIRECT("B"&amp;R19&amp;"")&amp;"*",INDIRECT("B"&amp;R19+1&amp;":B210"),0)+R19&amp;""),
IF(AND(LEFT(INDIRECT("B"&amp;R19&amp;""),3)="奈良屋",COUNTIF(B:B,"*奈良屋*")&gt;=2),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134" t="str">
        <f t="array" aca="1" ref="X19" ca="1">IF($R19&lt;&gt;"",
INDIRECT(""&amp;IF(COLUMN(I19)&lt;=26,CHAR(COLUMN(I19)+64),CHAR(INT((COLUMN(I19)-1)/26)+64)&amp;CHAR(MOD(COLUMN(I19)-1,26)+65))&amp;$R19&amp;""),"")</f>
        <v/>
      </c>
      <c r="Y19" s="134" t="str">
        <f t="array" aca="1" ref="Y19" ca="1">IF($R19&lt;&gt;"",
INDIRECT(""&amp;IF(COLUMN(J19)&lt;=26,CHAR(COLUMN(J19)+64),CHAR(INT((COLUMN(J19)-1)/26)+64)&amp;CHAR(MOD(COLUMN(J19)-1,26)+65))&amp;$R19&amp;""),"")</f>
        <v/>
      </c>
      <c r="Z19" s="134" t="str">
        <f t="shared" ca="1" si="2"/>
        <v/>
      </c>
      <c r="AA19" s="134" t="str">
        <f t="shared" ca="1" si="3"/>
        <v/>
      </c>
      <c r="AB19" s="134" t="str">
        <f t="array" aca="1" ref="AB19" ca="1">IF($R19&lt;&gt;"",
IF(AND(COUNTIF(INDIRECT("B"&amp;R19&amp;""),"*雙葉*"),COUNTIF(B:B,"*雙葉*")&gt;=2),
INDIRECT("M"&amp;R19&amp;"")+INDIRECT("M"&amp;MATCH("雙葉'",INDIRECT("B"&amp;R19+1&amp;":B210"),0)+R19&amp;""),
IF(AND(LEFT(INDIRECT("B"&amp;R19&amp;""),2)="博多",COUNTIF(B:B,"*博多*")&gt;=2),
INDIRECT("M"&amp;R19&amp;"")+INDIRECT("M"&amp;MATCH("*"&amp;INDIRECT("B"&amp;R19&amp;"")&amp;"*",INDIRECT("B"&amp;R19+1&amp;":B210"),0)+R19&amp;""),
IF(AND(LEFT(INDIRECT("B"&amp;R19&amp;""),3)="奈良屋",COUNTIF(B:B,"*奈良屋*")&gt;=2),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  <c r="AC19" s="134" t="str">
        <f ca="1">IF(S19&lt;&gt;"",INDEX(A:A, MATCH("*"&amp;LEFT(S19,4)&amp;"*", C:C, 0)),"")</f>
        <v/>
      </c>
      <c r="AD19" s="49" t="str">
        <f ca="1">IFERROR(INDEX(AC:AC,MATCH(SMALL($AU:$AU,ROW()+3),$AU:$AU,0)),"")</f>
        <v/>
      </c>
      <c r="AE19" s="49" t="str">
        <f ca="1">IFERROR(INDEX(R:R,MATCH(SMALL($AU:$AU,ROW()+3),$AU:$AU,0)),"")</f>
        <v/>
      </c>
      <c r="AF19" s="49" t="str">
        <f ca="1">IFERROR(INDEX(S:S,MATCH(SMALL($AU:$AU,ROW()+3),$AU:$AU,0)),"")</f>
        <v/>
      </c>
      <c r="AG19" s="49" t="str">
        <f ca="1">IFERROR(INDEX(T:T,MATCH(SMALL($AU:$AU,ROW()+3),$AU:$AU,0)),"")</f>
        <v/>
      </c>
      <c r="AH19" s="122" t="str">
        <f ca="1">IFERROR(INDEX(U:U,MATCH(SMALL($AU:$AU,ROW()+3),$AU:$AU,0)),"")</f>
        <v/>
      </c>
      <c r="AI19" s="49" t="str">
        <f ca="1">IFERROR(INDEX(V:V,MATCH(SMALL($AU:$AU,ROW()+3),$AU:$AU,0)),"")</f>
        <v/>
      </c>
      <c r="AJ19" s="49" t="str">
        <f ca="1">IFERROR(INDEX(W:W,MATCH(SMALL($AU:$AU,ROW()+3),$AU:$AU,0)),"")</f>
        <v/>
      </c>
      <c r="AK19" s="49" t="str">
        <f ca="1">IFERROR(INDEX(X:X,MATCH(SMALL($AU:$AU,ROW()+3),$AU:$AU,0)),"")</f>
        <v/>
      </c>
      <c r="AL19" s="49" t="str">
        <f ca="1">IFERROR(INDEX(Y:Y,MATCH(SMALL($AU:$AU,ROW()+3),$AU:$AU,0)),"")</f>
        <v/>
      </c>
      <c r="AM19" s="49" t="str">
        <f ca="1">IFERROR(INDEX(Z:Z,MATCH(SMALL($AU:$AU,ROW()+3),$AU:$AU,0)),"")</f>
        <v/>
      </c>
      <c r="AN19" s="49" t="str">
        <f ca="1">IFERROR(INDEX(AA:AA,MATCH(SMALL($AU:$AU,ROW()+3),$AU:$AU,0)),"")</f>
        <v/>
      </c>
      <c r="AO19" s="49" t="str">
        <f ca="1">IFERROR(INDEX(AB:AB,MATCH(SMALL($AU:$AU,ROW()+3),$AU:$AU,0)),"")</f>
        <v/>
      </c>
      <c r="AP19" s="49" t="str">
        <f ca="1">IFERROR(INDEX(AC:AC,MATCH(SMALL($AU:$AU,ROW()+3),$AU:$AU,0)),"")</f>
        <v/>
      </c>
      <c r="AU19" s="49" t="str">
        <f t="shared" ca="1" si="6"/>
        <v/>
      </c>
    </row>
    <row r="20" spans="1:47" ht="22.2" customHeight="1">
      <c r="A20" s="108">
        <f t="shared" si="4"/>
        <v>45</v>
      </c>
      <c r="B20" s="50" t="str">
        <f t="shared" si="5"/>
        <v/>
      </c>
      <c r="C20" s="50" t="str">
        <f>IF(OR(クライアント抽出!B20&lt;&gt;"",クライアント抽出!E20&lt;&gt;""),クライアント抽出!A20,"")</f>
        <v/>
      </c>
      <c r="D20" s="50" t="str">
        <f t="array" aca="1" ref="D20" ca="1">IF(C20&lt;&gt;"",INDIRECT("クライアント抽出!"&amp;E20&amp;MATCH(C20,クライアント抽出!A:A,0)&amp;""),"")</f>
        <v/>
      </c>
      <c r="E20" s="50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51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50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06" t="str">
        <f>IF(C20&lt;&gt;"",
クライアント抽出!B20,"")</f>
        <v/>
      </c>
      <c r="I20" s="50" t="str">
        <f t="array" aca="1" ref="I20" ca="1">IF(C20&lt;&gt;"",
IF(O20=1,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INDIRECT("数出表_Excel!"&amp;INDEX(_xlfn.UNIQUE(_xlfn._xlws.FILTER(クライアント抽出!P20:U20,COUNTIF(クライアント抽出!P20:U20,クライアント抽出!P20:U20)&gt;1)),1)&amp;L20&amp;""),0),クライアント抽出!E20),"")</f>
        <v/>
      </c>
      <c r="J20" s="50" t="str">
        <f>IF(C20&lt;&gt;"",
VLOOKUP(
"*"&amp;LEFT(IF(COUNTIF(D20,"*学食*"),"キャラ弁（学食）",
IF(COUNTIF(D20,"*赤*"),"赤",
IF(COUNTIF(D20,"*キャラ弁当*"),"キャラ弁当",D20))),4)&amp;"*",注文弁当の抽出!$E$1:$F$15,2,FALSE),"")</f>
        <v/>
      </c>
      <c r="K20" s="50" t="str">
        <f ca="1">IF(クライアント抽出!P20&lt;&gt;"",SUBSTITUTE(ADDRESS(1,(CODE(クライアント抽出!P20)-64)*2-1,4),"1",""),"")</f>
        <v/>
      </c>
      <c r="L20" s="50" t="str">
        <f>IF(C20&lt;&gt;"",クライアント抽出!I20,"")</f>
        <v/>
      </c>
      <c r="M20" s="50">
        <f t="array" aca="1" ref="M20" ca="1">IF(C20&lt;&gt;"",
IF(K20&lt;&gt;"",INDIRECT("'数出表_Excel（アレルギー入力）'!"&amp;K20&amp;L20-1&amp;""),),)</f>
        <v>0</v>
      </c>
      <c r="N20" s="50" t="str">
        <f>IF(C20&lt;&gt;"",IF(OR(COUNTIF('盛付札（関数）'!D20,"*赤*"),COUNTIF('盛付札（関数）'!D20,"*キャラ*")),1,
VLOOKUP("*"&amp;D20&amp;"*",商品マスタ一覧!D:H,5,FALSE)),"")</f>
        <v/>
      </c>
      <c r="O20" s="50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50">
        <f t="shared" si="0"/>
        <v>0</v>
      </c>
      <c r="Q20" s="50" t="b">
        <f t="shared" si="1"/>
        <v>0</v>
      </c>
      <c r="R20" s="134" t="str">
        <f t="array" aca="1" ref="R20" ca="1">IFERROR(SMALL(IF(P$1:P$311&lt;&gt;0,P$1:P$311),ROW(A20)),"")</f>
        <v/>
      </c>
      <c r="S20" s="134" t="str">
        <f t="array" aca="1" ref="S20" ca="1">IF($R20&lt;&gt;"",
SUBSTITUTE(SUBSTITUTE(INDIRECT("C"&amp;$R20&amp;"")," 週3ｺｰｽ","")," 週5ｺｰｽ",""),"")</f>
        <v/>
      </c>
      <c r="T20" s="134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135" t="str">
        <f t="array" aca="1" ref="U20" ca="1">IF($R20&lt;&gt;"",
INDIRECT("F"&amp;$R20&amp;""),"")</f>
        <v/>
      </c>
      <c r="V20" s="134" t="str">
        <f t="array" aca="1" ref="V20" ca="1">IF($R20&lt;&gt;"",
INDIRECT("G"&amp;$R20&amp;""),"")</f>
        <v/>
      </c>
      <c r="W20" s="134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IF(OR(COUNTIF(INDIRECT("B"&amp;R20&amp;""),"*雙葉先生*"),COUNTIF(INDIRECT("B"&amp;R20-1&amp;""),"*雙葉*")),INDIRECT("H"&amp;R20&amp;""),INDIRECT("H"&amp;R20&amp;"")+INDIRECT("H"&amp;MATCH("雙葉'",INDIRECT("B"&amp;R20+3&amp;":B210"),0)+2+R20&amp;"")),
IF(AND(LEFT(INDIRECT("B"&amp;R20&amp;""),2)="博多",COUNTIF(B:B,"*博多*")&gt;=2),
INDIRECT("H"&amp;R20&amp;"")+INDIRECT("H"&amp;MATCH("*"&amp;INDIRECT("B"&amp;R20&amp;"")&amp;"*",INDIRECT("B"&amp;R20+1&amp;":B210"),0)+R20&amp;""),
IF(AND(LEFT(INDIRECT("B"&amp;R20&amp;""),3)="奈良屋",COUNTIF(B:B,"*奈良屋*")&gt;=2),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134" t="str">
        <f t="array" aca="1" ref="X20" ca="1">IF($R20&lt;&gt;"",
INDIRECT(""&amp;IF(COLUMN(I20)&lt;=26,CHAR(COLUMN(I20)+64),CHAR(INT((COLUMN(I20)-1)/26)+64)&amp;CHAR(MOD(COLUMN(I20)-1,26)+65))&amp;$R20&amp;""),"")</f>
        <v/>
      </c>
      <c r="Y20" s="134" t="str">
        <f t="array" aca="1" ref="Y20" ca="1">IF($R20&lt;&gt;"",
INDIRECT(""&amp;IF(COLUMN(J20)&lt;=26,CHAR(COLUMN(J20)+64),CHAR(INT((COLUMN(J20)-1)/26)+64)&amp;CHAR(MOD(COLUMN(J20)-1,26)+65))&amp;$R20&amp;""),"")</f>
        <v/>
      </c>
      <c r="Z20" s="134" t="str">
        <f t="shared" ca="1" si="2"/>
        <v/>
      </c>
      <c r="AA20" s="134" t="str">
        <f t="shared" ca="1" si="3"/>
        <v/>
      </c>
      <c r="AB20" s="134" t="str">
        <f t="array" aca="1" ref="AB20" ca="1">IF($R20&lt;&gt;"",
IF(AND(COUNTIF(INDIRECT("B"&amp;R20&amp;""),"*雙葉*"),COUNTIF(B:B,"*雙葉*")&gt;=2),
INDIRECT("M"&amp;R20&amp;"")+INDIRECT("M"&amp;MATCH("雙葉'",INDIRECT("B"&amp;R20+1&amp;":B210"),0)+R20&amp;""),
IF(AND(LEFT(INDIRECT("B"&amp;R20&amp;""),2)="博多",COUNTIF(B:B,"*博多*")&gt;=2),
INDIRECT("M"&amp;R20&amp;"")+INDIRECT("M"&amp;MATCH("*"&amp;INDIRECT("B"&amp;R20&amp;"")&amp;"*",INDIRECT("B"&amp;R20+1&amp;":B210"),0)+R20&amp;""),
IF(AND(LEFT(INDIRECT("B"&amp;R20&amp;""),3)="奈良屋",COUNTIF(B:B,"*奈良屋*")&gt;=2),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  <c r="AC20" s="134" t="str">
        <f ca="1">IF(S20&lt;&gt;"",INDEX(A:A, MATCH("*"&amp;LEFT(S20,4)&amp;"*", C:C, 0)),"")</f>
        <v/>
      </c>
      <c r="AD20" s="49" t="str">
        <f ca="1">IFERROR(INDEX(AC:AC,MATCH(SMALL($AU:$AU,ROW()+3),$AU:$AU,0)),"")</f>
        <v/>
      </c>
      <c r="AE20" s="49" t="str">
        <f ca="1">IFERROR(INDEX(R:R,MATCH(SMALL($AU:$AU,ROW()+3),$AU:$AU,0)),"")</f>
        <v/>
      </c>
      <c r="AF20" s="49" t="str">
        <f ca="1">IFERROR(INDEX(S:S,MATCH(SMALL($AU:$AU,ROW()+3),$AU:$AU,0)),"")</f>
        <v/>
      </c>
      <c r="AG20" s="49" t="str">
        <f ca="1">IFERROR(INDEX(T:T,MATCH(SMALL($AU:$AU,ROW()+3),$AU:$AU,0)),"")</f>
        <v/>
      </c>
      <c r="AH20" s="122" t="str">
        <f ca="1">IFERROR(INDEX(U:U,MATCH(SMALL($AU:$AU,ROW()+3),$AU:$AU,0)),"")</f>
        <v/>
      </c>
      <c r="AI20" s="49" t="str">
        <f ca="1">IFERROR(INDEX(V:V,MATCH(SMALL($AU:$AU,ROW()+3),$AU:$AU,0)),"")</f>
        <v/>
      </c>
      <c r="AJ20" s="49" t="str">
        <f ca="1">IFERROR(INDEX(W:W,MATCH(SMALL($AU:$AU,ROW()+3),$AU:$AU,0)),"")</f>
        <v/>
      </c>
      <c r="AK20" s="49" t="str">
        <f ca="1">IFERROR(INDEX(X:X,MATCH(SMALL($AU:$AU,ROW()+3),$AU:$AU,0)),"")</f>
        <v/>
      </c>
      <c r="AL20" s="49" t="str">
        <f ca="1">IFERROR(INDEX(Y:Y,MATCH(SMALL($AU:$AU,ROW()+3),$AU:$AU,0)),"")</f>
        <v/>
      </c>
      <c r="AM20" s="49" t="str">
        <f ca="1">IFERROR(INDEX(Z:Z,MATCH(SMALL($AU:$AU,ROW()+3),$AU:$AU,0)),"")</f>
        <v/>
      </c>
      <c r="AN20" s="49" t="str">
        <f ca="1">IFERROR(INDEX(AA:AA,MATCH(SMALL($AU:$AU,ROW()+3),$AU:$AU,0)),"")</f>
        <v/>
      </c>
      <c r="AO20" s="49" t="str">
        <f ca="1">IFERROR(INDEX(AB:AB,MATCH(SMALL($AU:$AU,ROW()+3),$AU:$AU,0)),"")</f>
        <v/>
      </c>
      <c r="AP20" s="49" t="str">
        <f ca="1">IFERROR(INDEX(AC:AC,MATCH(SMALL($AU:$AU,ROW()+3),$AU:$AU,0)),"")</f>
        <v/>
      </c>
      <c r="AU20" s="49" t="str">
        <f t="shared" ca="1" si="6"/>
        <v/>
      </c>
    </row>
    <row r="21" spans="1:47" ht="21" customHeight="1">
      <c r="A21" s="108">
        <f t="shared" si="4"/>
        <v>47</v>
      </c>
      <c r="B21" s="50" t="str">
        <f t="shared" si="5"/>
        <v/>
      </c>
      <c r="C21" s="50" t="str">
        <f>IF(OR(クライアント抽出!B21&lt;&gt;"",クライアント抽出!E21&lt;&gt;""),クライアント抽出!A21,"")</f>
        <v/>
      </c>
      <c r="D21" s="50" t="str">
        <f t="array" aca="1" ref="D21" ca="1">IF(C21&lt;&gt;"",INDIRECT("クライアント抽出!"&amp;E21&amp;MATCH(C21,クライアント抽出!A:A,0)&amp;""),"")</f>
        <v/>
      </c>
      <c r="E21" s="50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51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50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06" t="str">
        <f>IF(C21&lt;&gt;"",
クライアント抽出!B21,"")</f>
        <v/>
      </c>
      <c r="I21" s="50" t="str">
        <f t="array" aca="1" ref="I21" ca="1">IF(C21&lt;&gt;"",
IF(O21=1,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INDIRECT("数出表_Excel!"&amp;INDEX(_xlfn.UNIQUE(_xlfn._xlws.FILTER(クライアント抽出!P21:U21,COUNTIF(クライアント抽出!P21:U21,クライアント抽出!P21:U21)&gt;1)),1)&amp;L21&amp;""),0),クライアント抽出!E21),"")</f>
        <v/>
      </c>
      <c r="J21" s="50" t="str">
        <f>IF(C21&lt;&gt;"",
VLOOKUP(
"*"&amp;LEFT(IF(COUNTIF(D21,"*学食*"),"キャラ弁（学食）",
IF(COUNTIF(D21,"*赤*"),"赤",
IF(COUNTIF(D21,"*キャラ弁当*"),"キャラ弁当",D21))),4)&amp;"*",注文弁当の抽出!$E$1:$F$15,2,FALSE),"")</f>
        <v/>
      </c>
      <c r="K21" s="50" t="str">
        <f ca="1">IF(クライアント抽出!P21&lt;&gt;"",SUBSTITUTE(ADDRESS(1,(CODE(クライアント抽出!P21)-64)*2-1,4),"1",""),"")</f>
        <v/>
      </c>
      <c r="L21" s="50" t="str">
        <f>IF(C21&lt;&gt;"",クライアント抽出!I21,"")</f>
        <v/>
      </c>
      <c r="M21" s="50">
        <f t="array" aca="1" ref="M21" ca="1">IF(C21&lt;&gt;"",
IF(K21&lt;&gt;"",INDIRECT("'数出表_Excel（アレルギー入力）'!"&amp;K21&amp;L21-1&amp;""),),)</f>
        <v>0</v>
      </c>
      <c r="N21" s="50" t="str">
        <f>IF(C21&lt;&gt;"",IF(OR(COUNTIF('盛付札（関数）'!D21,"*赤*"),COUNTIF('盛付札（関数）'!D21,"*キャラ*")),1,
VLOOKUP("*"&amp;D21&amp;"*",商品マスタ一覧!D:H,5,FALSE)),"")</f>
        <v/>
      </c>
      <c r="O21" s="50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50">
        <f t="shared" si="0"/>
        <v>0</v>
      </c>
      <c r="Q21" s="50" t="b">
        <f t="shared" si="1"/>
        <v>0</v>
      </c>
      <c r="R21" s="134" t="str">
        <f t="array" aca="1" ref="R21" ca="1">IFERROR(SMALL(IF(P$1:P$311&lt;&gt;0,P$1:P$311),ROW(A21)),"")</f>
        <v/>
      </c>
      <c r="S21" s="134" t="str">
        <f t="array" aca="1" ref="S21" ca="1">IF($R21&lt;&gt;"",
SUBSTITUTE(SUBSTITUTE(INDIRECT("C"&amp;$R21&amp;"")," 週3ｺｰｽ","")," 週5ｺｰｽ",""),"")</f>
        <v/>
      </c>
      <c r="T21" s="134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135" t="str">
        <f t="array" aca="1" ref="U21" ca="1">IF($R21&lt;&gt;"",
INDIRECT("F"&amp;$R21&amp;""),"")</f>
        <v/>
      </c>
      <c r="V21" s="134" t="str">
        <f t="array" aca="1" ref="V21" ca="1">IF($R21&lt;&gt;"",
INDIRECT("G"&amp;$R21&amp;""),"")</f>
        <v/>
      </c>
      <c r="W21" s="134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IF(OR(COUNTIF(INDIRECT("B"&amp;R21&amp;""),"*雙葉先生*"),COUNTIF(INDIRECT("B"&amp;R21-1&amp;""),"*雙葉*")),INDIRECT("H"&amp;R21&amp;""),INDIRECT("H"&amp;R21&amp;"")+INDIRECT("H"&amp;MATCH("雙葉'",INDIRECT("B"&amp;R21+3&amp;":B210"),0)+2+R21&amp;"")),
IF(AND(LEFT(INDIRECT("B"&amp;R21&amp;""),2)="博多",COUNTIF(B:B,"*博多*")&gt;=2),
INDIRECT("H"&amp;R21&amp;"")+INDIRECT("H"&amp;MATCH("*"&amp;INDIRECT("B"&amp;R21&amp;"")&amp;"*",INDIRECT("B"&amp;R21+1&amp;":B210"),0)+R21&amp;""),
IF(AND(LEFT(INDIRECT("B"&amp;R21&amp;""),3)="奈良屋",COUNTIF(B:B,"*奈良屋*")&gt;=2),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134" t="str">
        <f t="array" aca="1" ref="X21" ca="1">IF($R21&lt;&gt;"",
INDIRECT(""&amp;IF(COLUMN(I21)&lt;=26,CHAR(COLUMN(I21)+64),CHAR(INT((COLUMN(I21)-1)/26)+64)&amp;CHAR(MOD(COLUMN(I21)-1,26)+65))&amp;$R21&amp;""),"")</f>
        <v/>
      </c>
      <c r="Y21" s="134" t="str">
        <f t="array" aca="1" ref="Y21" ca="1">IF($R21&lt;&gt;"",
INDIRECT(""&amp;IF(COLUMN(J21)&lt;=26,CHAR(COLUMN(J21)+64),CHAR(INT((COLUMN(J21)-1)/26)+64)&amp;CHAR(MOD(COLUMN(J21)-1,26)+65))&amp;$R21&amp;""),"")</f>
        <v/>
      </c>
      <c r="Z21" s="134" t="str">
        <f t="shared" ca="1" si="2"/>
        <v/>
      </c>
      <c r="AA21" s="134" t="str">
        <f t="shared" ca="1" si="3"/>
        <v/>
      </c>
      <c r="AB21" s="134" t="str">
        <f t="array" aca="1" ref="AB21" ca="1">IF($R21&lt;&gt;"",
IF(AND(COUNTIF(INDIRECT("B"&amp;R21&amp;""),"*雙葉*"),COUNTIF(B:B,"*雙葉*")&gt;=2),
INDIRECT("M"&amp;R21&amp;"")+INDIRECT("M"&amp;MATCH("雙葉'",INDIRECT("B"&amp;R21+1&amp;":B210"),0)+R21&amp;""),
IF(AND(LEFT(INDIRECT("B"&amp;R21&amp;""),2)="博多",COUNTIF(B:B,"*博多*")&gt;=2),
INDIRECT("M"&amp;R21&amp;"")+INDIRECT("M"&amp;MATCH("*"&amp;INDIRECT("B"&amp;R21&amp;"")&amp;"*",INDIRECT("B"&amp;R21+1&amp;":B210"),0)+R21&amp;""),
IF(AND(LEFT(INDIRECT("B"&amp;R21&amp;""),3)="奈良屋",COUNTIF(B:B,"*奈良屋*")&gt;=2),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  <c r="AC21" s="134" t="str">
        <f ca="1">IF(S21&lt;&gt;"",INDEX(A:A, MATCH("*"&amp;LEFT(S21,4)&amp;"*", C:C, 0)),"")</f>
        <v/>
      </c>
      <c r="AD21" s="49" t="str">
        <f ca="1">IFERROR(INDEX(AC:AC,MATCH(SMALL($AU:$AU,ROW()+3),$AU:$AU,0)),"")</f>
        <v/>
      </c>
      <c r="AE21" s="49" t="str">
        <f ca="1">IFERROR(INDEX(R:R,MATCH(SMALL($AU:$AU,ROW()+3),$AU:$AU,0)),"")</f>
        <v/>
      </c>
      <c r="AF21" s="49" t="str">
        <f ca="1">IFERROR(INDEX(S:S,MATCH(SMALL($AU:$AU,ROW()+3),$AU:$AU,0)),"")</f>
        <v/>
      </c>
      <c r="AG21" s="49" t="str">
        <f ca="1">IFERROR(INDEX(T:T,MATCH(SMALL($AU:$AU,ROW()+3),$AU:$AU,0)),"")</f>
        <v/>
      </c>
      <c r="AH21" s="122" t="str">
        <f ca="1">IFERROR(INDEX(U:U,MATCH(SMALL($AU:$AU,ROW()+3),$AU:$AU,0)),"")</f>
        <v/>
      </c>
      <c r="AI21" s="49" t="str">
        <f ca="1">IFERROR(INDEX(V:V,MATCH(SMALL($AU:$AU,ROW()+3),$AU:$AU,0)),"")</f>
        <v/>
      </c>
      <c r="AJ21" s="49" t="str">
        <f ca="1">IFERROR(INDEX(W:W,MATCH(SMALL($AU:$AU,ROW()+3),$AU:$AU,0)),"")</f>
        <v/>
      </c>
      <c r="AK21" s="49" t="str">
        <f ca="1">IFERROR(INDEX(X:X,MATCH(SMALL($AU:$AU,ROW()+3),$AU:$AU,0)),"")</f>
        <v/>
      </c>
      <c r="AL21" s="49" t="str">
        <f ca="1">IFERROR(INDEX(Y:Y,MATCH(SMALL($AU:$AU,ROW()+3),$AU:$AU,0)),"")</f>
        <v/>
      </c>
      <c r="AM21" s="49" t="str">
        <f ca="1">IFERROR(INDEX(Z:Z,MATCH(SMALL($AU:$AU,ROW()+3),$AU:$AU,0)),"")</f>
        <v/>
      </c>
      <c r="AN21" s="49" t="str">
        <f ca="1">IFERROR(INDEX(AA:AA,MATCH(SMALL($AU:$AU,ROW()+3),$AU:$AU,0)),"")</f>
        <v/>
      </c>
      <c r="AO21" s="49" t="str">
        <f ca="1">IFERROR(INDEX(AB:AB,MATCH(SMALL($AU:$AU,ROW()+3),$AU:$AU,0)),"")</f>
        <v/>
      </c>
      <c r="AP21" s="49" t="str">
        <f ca="1">IFERROR(INDEX(AC:AC,MATCH(SMALL($AU:$AU,ROW()+3),$AU:$AU,0)),"")</f>
        <v/>
      </c>
      <c r="AU21" s="49" t="str">
        <f t="shared" ca="1" si="6"/>
        <v/>
      </c>
    </row>
    <row r="22" spans="1:47" ht="18" customHeight="1">
      <c r="A22" s="108">
        <f t="shared" si="4"/>
        <v>49</v>
      </c>
      <c r="B22" s="50" t="str">
        <f t="shared" si="5"/>
        <v/>
      </c>
      <c r="C22" s="50" t="str">
        <f>IF(OR(クライアント抽出!B22&lt;&gt;"",クライアント抽出!E22&lt;&gt;""),クライアント抽出!A22,"")</f>
        <v/>
      </c>
      <c r="D22" s="50" t="str">
        <f t="array" aca="1" ref="D22" ca="1">IF(C22&lt;&gt;"",INDIRECT("クライアント抽出!"&amp;E22&amp;MATCH(C22,クライアント抽出!A:A,0)&amp;""),"")</f>
        <v/>
      </c>
      <c r="E22" s="50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51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50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06" t="str">
        <f>IF(C22&lt;&gt;"",
クライアント抽出!B22,"")</f>
        <v/>
      </c>
      <c r="I22" s="50" t="str">
        <f t="array" aca="1" ref="I22" ca="1">IF(C22&lt;&gt;"",
IF(O22=1,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INDIRECT("数出表_Excel!"&amp;INDEX(_xlfn.UNIQUE(_xlfn._xlws.FILTER(クライアント抽出!P22:U22,COUNTIF(クライアント抽出!P22:U22,クライアント抽出!P22:U22)&gt;1)),1)&amp;L22&amp;""),0),クライアント抽出!E22),"")</f>
        <v/>
      </c>
      <c r="J22" s="50" t="str">
        <f>IF(C22&lt;&gt;"",
VLOOKUP(
"*"&amp;LEFT(IF(COUNTIF(D22,"*学食*"),"キャラ弁（学食）",
IF(COUNTIF(D22,"*赤*"),"赤",
IF(COUNTIF(D22,"*キャラ弁当*"),"キャラ弁当",D22))),4)&amp;"*",注文弁当の抽出!$E$1:$F$15,2,FALSE),"")</f>
        <v/>
      </c>
      <c r="K22" s="50" t="str">
        <f ca="1">IF(クライアント抽出!P22&lt;&gt;"",SUBSTITUTE(ADDRESS(1,(CODE(クライアント抽出!P22)-64)*2-1,4),"1",""),"")</f>
        <v/>
      </c>
      <c r="L22" s="50" t="str">
        <f>IF(C22&lt;&gt;"",クライアント抽出!I22,"")</f>
        <v/>
      </c>
      <c r="M22" s="50">
        <f t="array" aca="1" ref="M22" ca="1">IF(C22&lt;&gt;"",
IF(K22&lt;&gt;"",INDIRECT("'数出表_Excel（アレルギー入力）'!"&amp;K22&amp;L22-1&amp;""),),)</f>
        <v>0</v>
      </c>
      <c r="N22" s="50" t="str">
        <f>IF(C22&lt;&gt;"",IF(OR(COUNTIF('盛付札（関数）'!D22,"*赤*"),COUNTIF('盛付札（関数）'!D22,"*キャラ*")),1,
VLOOKUP("*"&amp;D22&amp;"*",商品マスタ一覧!D:H,5,FALSE)),"")</f>
        <v/>
      </c>
      <c r="O22" s="50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50">
        <f t="shared" si="0"/>
        <v>0</v>
      </c>
      <c r="Q22" s="50" t="b">
        <f t="shared" si="1"/>
        <v>0</v>
      </c>
      <c r="R22" s="134" t="str">
        <f t="array" aca="1" ref="R22" ca="1">IFERROR(SMALL(IF(P$1:P$311&lt;&gt;0,P$1:P$311),ROW(A22)),"")</f>
        <v/>
      </c>
      <c r="S22" s="134" t="str">
        <f t="array" aca="1" ref="S22" ca="1">IF($R22&lt;&gt;"",
SUBSTITUTE(SUBSTITUTE(INDIRECT("C"&amp;$R22&amp;"")," 週3ｺｰｽ","")," 週5ｺｰｽ",""),"")</f>
        <v/>
      </c>
      <c r="T22" s="134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135" t="str">
        <f t="array" aca="1" ref="U22" ca="1">IF($R22&lt;&gt;"",
INDIRECT("F"&amp;$R22&amp;""),"")</f>
        <v/>
      </c>
      <c r="V22" s="134" t="str">
        <f t="array" aca="1" ref="V22" ca="1">IF($R22&lt;&gt;"",
INDIRECT("G"&amp;$R22&amp;""),"")</f>
        <v/>
      </c>
      <c r="W22" s="134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IF(OR(COUNTIF(INDIRECT("B"&amp;R22&amp;""),"*雙葉先生*"),COUNTIF(INDIRECT("B"&amp;R22-1&amp;""),"*雙葉*")),INDIRECT("H"&amp;R22&amp;""),INDIRECT("H"&amp;R22&amp;"")+INDIRECT("H"&amp;MATCH("雙葉'",INDIRECT("B"&amp;R22+3&amp;":B210"),0)+2+R22&amp;"")),
IF(AND(LEFT(INDIRECT("B"&amp;R22&amp;""),2)="博多",COUNTIF(B:B,"*博多*")&gt;=2),
INDIRECT("H"&amp;R22&amp;"")+INDIRECT("H"&amp;MATCH("*"&amp;INDIRECT("B"&amp;R22&amp;"")&amp;"*",INDIRECT("B"&amp;R22+1&amp;":B210"),0)+R22&amp;""),
IF(AND(LEFT(INDIRECT("B"&amp;R22&amp;""),3)="奈良屋",COUNTIF(B:B,"*奈良屋*")&gt;=2),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134" t="str">
        <f t="array" aca="1" ref="X22" ca="1">IF($R22&lt;&gt;"",
INDIRECT(""&amp;IF(COLUMN(I22)&lt;=26,CHAR(COLUMN(I22)+64),CHAR(INT((COLUMN(I22)-1)/26)+64)&amp;CHAR(MOD(COLUMN(I22)-1,26)+65))&amp;$R22&amp;""),"")</f>
        <v/>
      </c>
      <c r="Y22" s="134" t="str">
        <f t="array" aca="1" ref="Y22" ca="1">IF($R22&lt;&gt;"",
INDIRECT(""&amp;IF(COLUMN(J22)&lt;=26,CHAR(COLUMN(J22)+64),CHAR(INT((COLUMN(J22)-1)/26)+64)&amp;CHAR(MOD(COLUMN(J22)-1,26)+65))&amp;$R22&amp;""),"")</f>
        <v/>
      </c>
      <c r="Z22" s="134" t="str">
        <f t="shared" ca="1" si="2"/>
        <v/>
      </c>
      <c r="AA22" s="134" t="str">
        <f t="shared" ca="1" si="3"/>
        <v/>
      </c>
      <c r="AB22" s="134" t="str">
        <f t="array" aca="1" ref="AB22" ca="1">IF($R22&lt;&gt;"",
IF(AND(COUNTIF(INDIRECT("B"&amp;R22&amp;""),"*雙葉*"),COUNTIF(B:B,"*雙葉*")&gt;=2),
INDIRECT("M"&amp;R22&amp;"")+INDIRECT("M"&amp;MATCH("雙葉'",INDIRECT("B"&amp;R22+1&amp;":B210"),0)+R22&amp;""),
IF(AND(LEFT(INDIRECT("B"&amp;R22&amp;""),2)="博多",COUNTIF(B:B,"*博多*")&gt;=2),
INDIRECT("M"&amp;R22&amp;"")+INDIRECT("M"&amp;MATCH("*"&amp;INDIRECT("B"&amp;R22&amp;"")&amp;"*",INDIRECT("B"&amp;R22+1&amp;":B210"),0)+R22&amp;""),
IF(AND(LEFT(INDIRECT("B"&amp;R22&amp;""),3)="奈良屋",COUNTIF(B:B,"*奈良屋*")&gt;=2),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  <c r="AC22" s="134" t="str">
        <f ca="1">IF(S22&lt;&gt;"",INDEX(A:A, MATCH("*"&amp;LEFT(S22,4)&amp;"*", C:C, 0)),"")</f>
        <v/>
      </c>
      <c r="AD22" s="49" t="str">
        <f ca="1">IFERROR(INDEX(AC:AC,MATCH(SMALL($AU:$AU,ROW()+3),$AU:$AU,0)),"")</f>
        <v/>
      </c>
      <c r="AE22" s="49" t="str">
        <f ca="1">IFERROR(INDEX(R:R,MATCH(SMALL($AU:$AU,ROW()+3),$AU:$AU,0)),"")</f>
        <v/>
      </c>
      <c r="AF22" s="49" t="str">
        <f ca="1">IFERROR(INDEX(S:S,MATCH(SMALL($AU:$AU,ROW()+3),$AU:$AU,0)),"")</f>
        <v/>
      </c>
      <c r="AG22" s="49" t="str">
        <f ca="1">IFERROR(INDEX(T:T,MATCH(SMALL($AU:$AU,ROW()+3),$AU:$AU,0)),"")</f>
        <v/>
      </c>
      <c r="AH22" s="122" t="str">
        <f ca="1">IFERROR(INDEX(U:U,MATCH(SMALL($AU:$AU,ROW()+3),$AU:$AU,0)),"")</f>
        <v/>
      </c>
      <c r="AI22" s="49" t="str">
        <f ca="1">IFERROR(INDEX(V:V,MATCH(SMALL($AU:$AU,ROW()+3),$AU:$AU,0)),"")</f>
        <v/>
      </c>
      <c r="AJ22" s="49" t="str">
        <f ca="1">IFERROR(INDEX(W:W,MATCH(SMALL($AU:$AU,ROW()+3),$AU:$AU,0)),"")</f>
        <v/>
      </c>
      <c r="AK22" s="49" t="str">
        <f ca="1">IFERROR(INDEX(X:X,MATCH(SMALL($AU:$AU,ROW()+3),$AU:$AU,0)),"")</f>
        <v/>
      </c>
      <c r="AL22" s="49" t="str">
        <f ca="1">IFERROR(INDEX(Y:Y,MATCH(SMALL($AU:$AU,ROW()+3),$AU:$AU,0)),"")</f>
        <v/>
      </c>
      <c r="AM22" s="49" t="str">
        <f ca="1">IFERROR(INDEX(Z:Z,MATCH(SMALL($AU:$AU,ROW()+3),$AU:$AU,0)),"")</f>
        <v/>
      </c>
      <c r="AN22" s="49" t="str">
        <f ca="1">IFERROR(INDEX(AA:AA,MATCH(SMALL($AU:$AU,ROW()+3),$AU:$AU,0)),"")</f>
        <v/>
      </c>
      <c r="AO22" s="49" t="str">
        <f ca="1">IFERROR(INDEX(AB:AB,MATCH(SMALL($AU:$AU,ROW()+3),$AU:$AU,0)),"")</f>
        <v/>
      </c>
      <c r="AP22" s="49" t="str">
        <f ca="1">IFERROR(INDEX(AC:AC,MATCH(SMALL($AU:$AU,ROW()+3),$AU:$AU,0)),"")</f>
        <v/>
      </c>
      <c r="AU22" s="49" t="str">
        <f t="shared" ca="1" si="6"/>
        <v/>
      </c>
    </row>
    <row r="23" spans="1:47" ht="18" customHeight="1">
      <c r="A23" s="108">
        <f t="shared" si="4"/>
        <v>51</v>
      </c>
      <c r="B23" s="50" t="str">
        <f t="shared" si="5"/>
        <v/>
      </c>
      <c r="C23" s="50" t="str">
        <f>IF(OR(クライアント抽出!B23&lt;&gt;"",クライアント抽出!E23&lt;&gt;""),クライアント抽出!A23,"")</f>
        <v/>
      </c>
      <c r="D23" s="50" t="str">
        <f t="array" aca="1" ref="D23" ca="1">IF(C23&lt;&gt;"",INDIRECT("クライアント抽出!"&amp;E23&amp;MATCH(C23,クライアント抽出!A:A,0)&amp;""),"")</f>
        <v/>
      </c>
      <c r="E23" s="50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51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50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06" t="str">
        <f>IF(C23&lt;&gt;"",
クライアント抽出!B23,"")</f>
        <v/>
      </c>
      <c r="I23" s="50" t="str">
        <f t="array" aca="1" ref="I23" ca="1">IF(C23&lt;&gt;"",
IF(O23=1,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INDIRECT("数出表_Excel!"&amp;INDEX(_xlfn.UNIQUE(_xlfn._xlws.FILTER(クライアント抽出!P23:U23,COUNTIF(クライアント抽出!P23:U23,クライアント抽出!P23:U23)&gt;1)),1)&amp;L23&amp;""),0),クライアント抽出!E23),"")</f>
        <v/>
      </c>
      <c r="J23" s="50" t="str">
        <f>IF(C23&lt;&gt;"",
VLOOKUP(
"*"&amp;LEFT(IF(COUNTIF(D23,"*学食*"),"キャラ弁（学食）",
IF(COUNTIF(D23,"*赤*"),"赤",
IF(COUNTIF(D23,"*キャラ弁当*"),"キャラ弁当",D23))),4)&amp;"*",注文弁当の抽出!$E$1:$F$15,2,FALSE),"")</f>
        <v/>
      </c>
      <c r="K23" s="50" t="str">
        <f ca="1">IF(クライアント抽出!P23&lt;&gt;"",SUBSTITUTE(ADDRESS(1,(CODE(クライアント抽出!P23)-64)*2-1,4),"1",""),"")</f>
        <v/>
      </c>
      <c r="L23" s="50" t="str">
        <f>IF(C23&lt;&gt;"",クライアント抽出!I23,"")</f>
        <v/>
      </c>
      <c r="M23" s="50">
        <f t="array" aca="1" ref="M23" ca="1">IF(C23&lt;&gt;"",
IF(K23&lt;&gt;"",INDIRECT("'数出表_Excel（アレルギー入力）'!"&amp;K23&amp;L23-1&amp;""),),)</f>
        <v>0</v>
      </c>
      <c r="N23" s="50" t="str">
        <f>IF(C23&lt;&gt;"",IF(OR(COUNTIF('盛付札（関数）'!D23,"*赤*"),COUNTIF('盛付札（関数）'!D23,"*キャラ*")),1,
VLOOKUP("*"&amp;D23&amp;"*",商品マスタ一覧!D:H,5,FALSE)),"")</f>
        <v/>
      </c>
      <c r="O23" s="50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50">
        <f t="shared" si="0"/>
        <v>0</v>
      </c>
      <c r="Q23" s="50" t="b">
        <f t="shared" si="1"/>
        <v>0</v>
      </c>
      <c r="R23" s="134" t="str">
        <f t="array" aca="1" ref="R23" ca="1">IFERROR(SMALL(IF(P$1:P$311&lt;&gt;0,P$1:P$311),ROW(A23)),"")</f>
        <v/>
      </c>
      <c r="S23" s="134" t="str">
        <f t="array" aca="1" ref="S23" ca="1">IF($R23&lt;&gt;"",
SUBSTITUTE(SUBSTITUTE(INDIRECT("C"&amp;$R23&amp;"")," 週3ｺｰｽ","")," 週5ｺｰｽ",""),"")</f>
        <v/>
      </c>
      <c r="T23" s="134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135" t="str">
        <f t="array" aca="1" ref="U23" ca="1">IF($R23&lt;&gt;"",
INDIRECT("F"&amp;$R23&amp;""),"")</f>
        <v/>
      </c>
      <c r="V23" s="134" t="str">
        <f t="array" aca="1" ref="V23" ca="1">IF($R23&lt;&gt;"",
INDIRECT("G"&amp;$R23&amp;""),"")</f>
        <v/>
      </c>
      <c r="W23" s="134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IF(OR(COUNTIF(INDIRECT("B"&amp;R23&amp;""),"*雙葉先生*"),COUNTIF(INDIRECT("B"&amp;R23-1&amp;""),"*雙葉*")),INDIRECT("H"&amp;R23&amp;""),INDIRECT("H"&amp;R23&amp;"")+INDIRECT("H"&amp;MATCH("雙葉'",INDIRECT("B"&amp;R23+3&amp;":B210"),0)+2+R23&amp;"")),
IF(AND(LEFT(INDIRECT("B"&amp;R23&amp;""),2)="博多",COUNTIF(B:B,"*博多*")&gt;=2),
INDIRECT("H"&amp;R23&amp;"")+INDIRECT("H"&amp;MATCH("*"&amp;INDIRECT("B"&amp;R23&amp;"")&amp;"*",INDIRECT("B"&amp;R23+1&amp;":B210"),0)+R23&amp;""),
IF(AND(LEFT(INDIRECT("B"&amp;R23&amp;""),3)="奈良屋",COUNTIF(B:B,"*奈良屋*")&gt;=2),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134" t="str">
        <f t="array" aca="1" ref="X23" ca="1">IF($R23&lt;&gt;"",
INDIRECT(""&amp;IF(COLUMN(I23)&lt;=26,CHAR(COLUMN(I23)+64),CHAR(INT((COLUMN(I23)-1)/26)+64)&amp;CHAR(MOD(COLUMN(I23)-1,26)+65))&amp;$R23&amp;""),"")</f>
        <v/>
      </c>
      <c r="Y23" s="134" t="str">
        <f t="array" aca="1" ref="Y23" ca="1">IF($R23&lt;&gt;"",
INDIRECT(""&amp;IF(COLUMN(J23)&lt;=26,CHAR(COLUMN(J23)+64),CHAR(INT((COLUMN(J23)-1)/26)+64)&amp;CHAR(MOD(COLUMN(J23)-1,26)+65))&amp;$R23&amp;""),"")</f>
        <v/>
      </c>
      <c r="Z23" s="134" t="str">
        <f t="shared" ca="1" si="2"/>
        <v/>
      </c>
      <c r="AA23" s="134" t="str">
        <f t="shared" ca="1" si="3"/>
        <v/>
      </c>
      <c r="AB23" s="134" t="str">
        <f t="array" aca="1" ref="AB23" ca="1">IF($R23&lt;&gt;"",
IF(AND(COUNTIF(INDIRECT("B"&amp;R23&amp;""),"*雙葉*"),COUNTIF(B:B,"*雙葉*")&gt;=2),
INDIRECT("M"&amp;R23&amp;"")+INDIRECT("M"&amp;MATCH("雙葉'",INDIRECT("B"&amp;R23+1&amp;":B210"),0)+R23&amp;""),
IF(AND(LEFT(INDIRECT("B"&amp;R23&amp;""),2)="博多",COUNTIF(B:B,"*博多*")&gt;=2),
INDIRECT("M"&amp;R23&amp;"")+INDIRECT("M"&amp;MATCH("*"&amp;INDIRECT("B"&amp;R23&amp;"")&amp;"*",INDIRECT("B"&amp;R23+1&amp;":B210"),0)+R23&amp;""),
IF(AND(LEFT(INDIRECT("B"&amp;R23&amp;""),3)="奈良屋",COUNTIF(B:B,"*奈良屋*")&gt;=2),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  <c r="AC23" s="134" t="str">
        <f ca="1">IF(S23&lt;&gt;"",INDEX(A:A, MATCH("*"&amp;LEFT(S23,4)&amp;"*", C:C, 0)),"")</f>
        <v/>
      </c>
      <c r="AD23" s="49" t="str">
        <f ca="1">IFERROR(INDEX(AC:AC,MATCH(SMALL($AU:$AU,ROW()+3),$AU:$AU,0)),"")</f>
        <v/>
      </c>
      <c r="AE23" s="49" t="str">
        <f ca="1">IFERROR(INDEX(R:R,MATCH(SMALL($AU:$AU,ROW()+3),$AU:$AU,0)),"")</f>
        <v/>
      </c>
      <c r="AF23" s="49" t="str">
        <f ca="1">IFERROR(INDEX(S:S,MATCH(SMALL($AU:$AU,ROW()+3),$AU:$AU,0)),"")</f>
        <v/>
      </c>
      <c r="AG23" s="49" t="str">
        <f ca="1">IFERROR(INDEX(T:T,MATCH(SMALL($AU:$AU,ROW()+3),$AU:$AU,0)),"")</f>
        <v/>
      </c>
      <c r="AH23" s="122" t="str">
        <f ca="1">IFERROR(INDEX(U:U,MATCH(SMALL($AU:$AU,ROW()+3),$AU:$AU,0)),"")</f>
        <v/>
      </c>
      <c r="AI23" s="49" t="str">
        <f ca="1">IFERROR(INDEX(V:V,MATCH(SMALL($AU:$AU,ROW()+3),$AU:$AU,0)),"")</f>
        <v/>
      </c>
      <c r="AJ23" s="49" t="str">
        <f ca="1">IFERROR(INDEX(W:W,MATCH(SMALL($AU:$AU,ROW()+3),$AU:$AU,0)),"")</f>
        <v/>
      </c>
      <c r="AK23" s="49" t="str">
        <f ca="1">IFERROR(INDEX(X:X,MATCH(SMALL($AU:$AU,ROW()+3),$AU:$AU,0)),"")</f>
        <v/>
      </c>
      <c r="AL23" s="49" t="str">
        <f ca="1">IFERROR(INDEX(Y:Y,MATCH(SMALL($AU:$AU,ROW()+3),$AU:$AU,0)),"")</f>
        <v/>
      </c>
      <c r="AM23" s="49" t="str">
        <f ca="1">IFERROR(INDEX(Z:Z,MATCH(SMALL($AU:$AU,ROW()+3),$AU:$AU,0)),"")</f>
        <v/>
      </c>
      <c r="AN23" s="49" t="str">
        <f ca="1">IFERROR(INDEX(AA:AA,MATCH(SMALL($AU:$AU,ROW()+3),$AU:$AU,0)),"")</f>
        <v/>
      </c>
      <c r="AO23" s="49" t="str">
        <f ca="1">IFERROR(INDEX(AB:AB,MATCH(SMALL($AU:$AU,ROW()+3),$AU:$AU,0)),"")</f>
        <v/>
      </c>
      <c r="AP23" s="49" t="str">
        <f ca="1">IFERROR(INDEX(AC:AC,MATCH(SMALL($AU:$AU,ROW()+3),$AU:$AU,0)),"")</f>
        <v/>
      </c>
      <c r="AU23" s="49" t="str">
        <f t="shared" ca="1" si="6"/>
        <v/>
      </c>
    </row>
    <row r="24" spans="1:47" ht="22.2" customHeight="1">
      <c r="A24" s="108">
        <f t="shared" si="4"/>
        <v>53</v>
      </c>
      <c r="B24" s="50" t="str">
        <f t="shared" si="5"/>
        <v/>
      </c>
      <c r="C24" s="50" t="str">
        <f>IF(OR(クライアント抽出!B24&lt;&gt;"",クライアント抽出!E24&lt;&gt;""),クライアント抽出!A24,"")</f>
        <v/>
      </c>
      <c r="D24" s="50" t="str">
        <f t="array" aca="1" ref="D24" ca="1">IF(C24&lt;&gt;"",INDIRECT("クライアント抽出!"&amp;E24&amp;MATCH(C24,クライアント抽出!A:A,0)&amp;""),"")</f>
        <v/>
      </c>
      <c r="E24" s="50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51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50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06" t="str">
        <f>IF(C24&lt;&gt;"",
クライアント抽出!B24,"")</f>
        <v/>
      </c>
      <c r="I24" s="50" t="str">
        <f t="array" aca="1" ref="I24" ca="1">IF(C24&lt;&gt;"",
IF(O24=1,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INDIRECT("数出表_Excel!"&amp;INDEX(_xlfn.UNIQUE(_xlfn._xlws.FILTER(クライアント抽出!P24:U24,COUNTIF(クライアント抽出!P24:U24,クライアント抽出!P24:U24)&gt;1)),1)&amp;L24&amp;""),0),クライアント抽出!E24),"")</f>
        <v/>
      </c>
      <c r="J24" s="50" t="str">
        <f>IF(C24&lt;&gt;"",
VLOOKUP(
"*"&amp;LEFT(IF(COUNTIF(D24,"*学食*"),"キャラ弁（学食）",
IF(COUNTIF(D24,"*赤*"),"赤",
IF(COUNTIF(D24,"*キャラ弁当*"),"キャラ弁当",D24))),4)&amp;"*",注文弁当の抽出!$E$1:$F$15,2,FALSE),"")</f>
        <v/>
      </c>
      <c r="K24" s="50" t="str">
        <f ca="1">IF(クライアント抽出!P24&lt;&gt;"",SUBSTITUTE(ADDRESS(1,(CODE(クライアント抽出!P24)-64)*2-1,4),"1",""),"")</f>
        <v/>
      </c>
      <c r="L24" s="50" t="str">
        <f>IF(C24&lt;&gt;"",クライアント抽出!I24,"")</f>
        <v/>
      </c>
      <c r="M24" s="50">
        <f t="array" aca="1" ref="M24" ca="1">IF(C24&lt;&gt;"",
IF(K24&lt;&gt;"",INDIRECT("'数出表_Excel（アレルギー入力）'!"&amp;K24&amp;L24-1&amp;""),),)</f>
        <v>0</v>
      </c>
      <c r="N24" s="50" t="str">
        <f>IF(C24&lt;&gt;"",IF(OR(COUNTIF('盛付札（関数）'!D24,"*赤*"),COUNTIF('盛付札（関数）'!D24,"*キャラ*")),1,
VLOOKUP("*"&amp;D24&amp;"*",商品マスタ一覧!D:H,5,FALSE)),"")</f>
        <v/>
      </c>
      <c r="O24" s="50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50">
        <f t="shared" si="0"/>
        <v>0</v>
      </c>
      <c r="Q24" s="50" t="b">
        <f t="shared" si="1"/>
        <v>0</v>
      </c>
      <c r="R24" s="134" t="str">
        <f t="array" aca="1" ref="R24" ca="1">IFERROR(SMALL(IF(P$1:P$311&lt;&gt;0,P$1:P$311),ROW(A24)),"")</f>
        <v/>
      </c>
      <c r="S24" s="134" t="str">
        <f t="array" aca="1" ref="S24" ca="1">IF($R24&lt;&gt;"",
SUBSTITUTE(SUBSTITUTE(INDIRECT("C"&amp;$R24&amp;"")," 週3ｺｰｽ","")," 週5ｺｰｽ",""),"")</f>
        <v/>
      </c>
      <c r="T24" s="134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135" t="str">
        <f t="array" aca="1" ref="U24" ca="1">IF($R24&lt;&gt;"",
INDIRECT("F"&amp;$R24&amp;""),"")</f>
        <v/>
      </c>
      <c r="V24" s="134" t="str">
        <f t="array" aca="1" ref="V24" ca="1">IF($R24&lt;&gt;"",
INDIRECT("G"&amp;$R24&amp;""),"")</f>
        <v/>
      </c>
      <c r="W24" s="134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IF(OR(COUNTIF(INDIRECT("B"&amp;R24&amp;""),"*雙葉先生*"),COUNTIF(INDIRECT("B"&amp;R24-1&amp;""),"*雙葉*")),INDIRECT("H"&amp;R24&amp;""),INDIRECT("H"&amp;R24&amp;"")+INDIRECT("H"&amp;MATCH("雙葉'",INDIRECT("B"&amp;R24+3&amp;":B210"),0)+2+R24&amp;"")),
IF(AND(LEFT(INDIRECT("B"&amp;R24&amp;""),2)="博多",COUNTIF(B:B,"*博多*")&gt;=2),
INDIRECT("H"&amp;R24&amp;"")+INDIRECT("H"&amp;MATCH("*"&amp;INDIRECT("B"&amp;R24&amp;"")&amp;"*",INDIRECT("B"&amp;R24+1&amp;":B210"),0)+R24&amp;""),
IF(AND(LEFT(INDIRECT("B"&amp;R24&amp;""),3)="奈良屋",COUNTIF(B:B,"*奈良屋*")&gt;=2),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134" t="str">
        <f t="array" aca="1" ref="X24" ca="1">IF($R24&lt;&gt;"",
INDIRECT(""&amp;IF(COLUMN(I24)&lt;=26,CHAR(COLUMN(I24)+64),CHAR(INT((COLUMN(I24)-1)/26)+64)&amp;CHAR(MOD(COLUMN(I24)-1,26)+65))&amp;$R24&amp;""),"")</f>
        <v/>
      </c>
      <c r="Y24" s="134" t="str">
        <f t="array" aca="1" ref="Y24" ca="1">IF($R24&lt;&gt;"",
INDIRECT(""&amp;IF(COLUMN(J24)&lt;=26,CHAR(COLUMN(J24)+64),CHAR(INT((COLUMN(J24)-1)/26)+64)&amp;CHAR(MOD(COLUMN(J24)-1,26)+65))&amp;$R24&amp;""),"")</f>
        <v/>
      </c>
      <c r="Z24" s="134" t="str">
        <f t="shared" ca="1" si="2"/>
        <v/>
      </c>
      <c r="AA24" s="134" t="str">
        <f t="shared" ca="1" si="3"/>
        <v/>
      </c>
      <c r="AB24" s="134" t="str">
        <f t="array" aca="1" ref="AB24" ca="1">IF($R24&lt;&gt;"",
IF(AND(COUNTIF(INDIRECT("B"&amp;R24&amp;""),"*雙葉*"),COUNTIF(B:B,"*雙葉*")&gt;=2),
INDIRECT("M"&amp;R24&amp;"")+INDIRECT("M"&amp;MATCH("雙葉'",INDIRECT("B"&amp;R24+1&amp;":B210"),0)+R24&amp;""),
IF(AND(LEFT(INDIRECT("B"&amp;R24&amp;""),2)="博多",COUNTIF(B:B,"*博多*")&gt;=2),
INDIRECT("M"&amp;R24&amp;"")+INDIRECT("M"&amp;MATCH("*"&amp;INDIRECT("B"&amp;R24&amp;"")&amp;"*",INDIRECT("B"&amp;R24+1&amp;":B210"),0)+R24&amp;""),
IF(AND(LEFT(INDIRECT("B"&amp;R24&amp;""),3)="奈良屋",COUNTIF(B:B,"*奈良屋*")&gt;=2),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  <c r="AC24" s="134" t="str">
        <f ca="1">IF(S24&lt;&gt;"",INDEX(A:A, MATCH("*"&amp;LEFT(S24,4)&amp;"*", C:C, 0)),"")</f>
        <v/>
      </c>
      <c r="AD24" s="49" t="str">
        <f ca="1">IFERROR(INDEX(AC:AC,MATCH(SMALL($AU:$AU,ROW()+3),$AU:$AU,0)),"")</f>
        <v/>
      </c>
      <c r="AE24" s="49" t="str">
        <f ca="1">IFERROR(INDEX(R:R,MATCH(SMALL($AU:$AU,ROW()+3),$AU:$AU,0)),"")</f>
        <v/>
      </c>
      <c r="AF24" s="49" t="str">
        <f ca="1">IFERROR(INDEX(S:S,MATCH(SMALL($AU:$AU,ROW()+3),$AU:$AU,0)),"")</f>
        <v/>
      </c>
      <c r="AG24" s="49" t="str">
        <f ca="1">IFERROR(INDEX(T:T,MATCH(SMALL($AU:$AU,ROW()+3),$AU:$AU,0)),"")</f>
        <v/>
      </c>
      <c r="AH24" s="122" t="str">
        <f ca="1">IFERROR(INDEX(U:U,MATCH(SMALL($AU:$AU,ROW()+3),$AU:$AU,0)),"")</f>
        <v/>
      </c>
      <c r="AI24" s="49" t="str">
        <f ca="1">IFERROR(INDEX(V:V,MATCH(SMALL($AU:$AU,ROW()+3),$AU:$AU,0)),"")</f>
        <v/>
      </c>
      <c r="AJ24" s="49" t="str">
        <f ca="1">IFERROR(INDEX(W:W,MATCH(SMALL($AU:$AU,ROW()+3),$AU:$AU,0)),"")</f>
        <v/>
      </c>
      <c r="AK24" s="49" t="str">
        <f ca="1">IFERROR(INDEX(X:X,MATCH(SMALL($AU:$AU,ROW()+3),$AU:$AU,0)),"")</f>
        <v/>
      </c>
      <c r="AL24" s="49" t="str">
        <f ca="1">IFERROR(INDEX(Y:Y,MATCH(SMALL($AU:$AU,ROW()+3),$AU:$AU,0)),"")</f>
        <v/>
      </c>
      <c r="AM24" s="49" t="str">
        <f ca="1">IFERROR(INDEX(Z:Z,MATCH(SMALL($AU:$AU,ROW()+3),$AU:$AU,0)),"")</f>
        <v/>
      </c>
      <c r="AN24" s="49" t="str">
        <f ca="1">IFERROR(INDEX(AA:AA,MATCH(SMALL($AU:$AU,ROW()+3),$AU:$AU,0)),"")</f>
        <v/>
      </c>
      <c r="AO24" s="49" t="str">
        <f ca="1">IFERROR(INDEX(AB:AB,MATCH(SMALL($AU:$AU,ROW()+3),$AU:$AU,0)),"")</f>
        <v/>
      </c>
      <c r="AP24" s="49" t="str">
        <f ca="1">IFERROR(INDEX(AC:AC,MATCH(SMALL($AU:$AU,ROW()+3),$AU:$AU,0)),"")</f>
        <v/>
      </c>
      <c r="AU24" s="49" t="str">
        <f t="shared" ca="1" si="6"/>
        <v/>
      </c>
    </row>
    <row r="25" spans="1:47" ht="18" customHeight="1">
      <c r="A25" s="108">
        <f t="shared" si="4"/>
        <v>55</v>
      </c>
      <c r="B25" s="50" t="str">
        <f t="shared" si="5"/>
        <v/>
      </c>
      <c r="C25" s="50" t="str">
        <f>IF(OR(クライアント抽出!B25&lt;&gt;"",クライアント抽出!E25&lt;&gt;""),クライアント抽出!A25,"")</f>
        <v/>
      </c>
      <c r="D25" s="50" t="str">
        <f t="array" aca="1" ref="D25" ca="1">IF(C25&lt;&gt;"",INDIRECT("クライアント抽出!"&amp;E25&amp;MATCH(C25,クライアント抽出!A:A,0)&amp;""),"")</f>
        <v/>
      </c>
      <c r="E25" s="50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51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50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06" t="str">
        <f>IF(C25&lt;&gt;"",
クライアント抽出!B25,"")</f>
        <v/>
      </c>
      <c r="I25" s="50" t="str">
        <f t="array" aca="1" ref="I25" ca="1">IF(C25&lt;&gt;"",
IF(O25=1,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INDIRECT("数出表_Excel!"&amp;INDEX(_xlfn.UNIQUE(_xlfn._xlws.FILTER(クライアント抽出!P25:U25,COUNTIF(クライアント抽出!P25:U25,クライアント抽出!P25:U25)&gt;1)),1)&amp;L25&amp;""),0),クライアント抽出!E25),"")</f>
        <v/>
      </c>
      <c r="J25" s="50" t="str">
        <f>IF(C25&lt;&gt;"",
VLOOKUP(
"*"&amp;LEFT(IF(COUNTIF(D25,"*学食*"),"キャラ弁（学食）",
IF(COUNTIF(D25,"*赤*"),"赤",
IF(COUNTIF(D25,"*キャラ弁当*"),"キャラ弁当",D25))),4)&amp;"*",注文弁当の抽出!$E$1:$F$15,2,FALSE),"")</f>
        <v/>
      </c>
      <c r="K25" s="50" t="str">
        <f ca="1">IF(クライアント抽出!P25&lt;&gt;"",SUBSTITUTE(ADDRESS(1,(CODE(クライアント抽出!P25)-64)*2-1,4),"1",""),"")</f>
        <v/>
      </c>
      <c r="L25" s="50" t="str">
        <f>IF(C25&lt;&gt;"",クライアント抽出!I25,"")</f>
        <v/>
      </c>
      <c r="M25" s="50">
        <f t="array" aca="1" ref="M25" ca="1">IF(C25&lt;&gt;"",
IF(K25&lt;&gt;"",INDIRECT("'数出表_Excel（アレルギー入力）'!"&amp;K25&amp;L25-1&amp;""),),)</f>
        <v>0</v>
      </c>
      <c r="N25" s="50" t="str">
        <f>IF(C25&lt;&gt;"",IF(OR(COUNTIF('盛付札（関数）'!D25,"*赤*"),COUNTIF('盛付札（関数）'!D25,"*キャラ*")),1,
VLOOKUP("*"&amp;D25&amp;"*",商品マスタ一覧!D:H,5,FALSE)),"")</f>
        <v/>
      </c>
      <c r="O25" s="50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50">
        <f t="shared" si="0"/>
        <v>0</v>
      </c>
      <c r="Q25" s="50" t="b">
        <f t="shared" si="1"/>
        <v>0</v>
      </c>
      <c r="R25" s="134" t="str">
        <f t="array" aca="1" ref="R25" ca="1">IFERROR(SMALL(IF(P$1:P$311&lt;&gt;0,P$1:P$311),ROW(A25)),"")</f>
        <v/>
      </c>
      <c r="S25" s="134" t="str">
        <f t="array" aca="1" ref="S25" ca="1">IF($R25&lt;&gt;"",
SUBSTITUTE(SUBSTITUTE(INDIRECT("C"&amp;$R25&amp;"")," 週3ｺｰｽ","")," 週5ｺｰｽ",""),"")</f>
        <v/>
      </c>
      <c r="T25" s="134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135" t="str">
        <f t="array" aca="1" ref="U25" ca="1">IF($R25&lt;&gt;"",
INDIRECT("F"&amp;$R25&amp;""),"")</f>
        <v/>
      </c>
      <c r="V25" s="134" t="str">
        <f t="array" aca="1" ref="V25" ca="1">IF($R25&lt;&gt;"",
INDIRECT("G"&amp;$R25&amp;""),"")</f>
        <v/>
      </c>
      <c r="W25" s="134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IF(OR(COUNTIF(INDIRECT("B"&amp;R25&amp;""),"*雙葉先生*"),COUNTIF(INDIRECT("B"&amp;R25-1&amp;""),"*雙葉*")),INDIRECT("H"&amp;R25&amp;""),INDIRECT("H"&amp;R25&amp;"")+INDIRECT("H"&amp;MATCH("雙葉'",INDIRECT("B"&amp;R25+3&amp;":B210"),0)+2+R25&amp;"")),
IF(AND(LEFT(INDIRECT("B"&amp;R25&amp;""),2)="博多",COUNTIF(B:B,"*博多*")&gt;=2),
INDIRECT("H"&amp;R25&amp;"")+INDIRECT("H"&amp;MATCH("*"&amp;INDIRECT("B"&amp;R25&amp;"")&amp;"*",INDIRECT("B"&amp;R25+1&amp;":B210"),0)+R25&amp;""),
IF(AND(LEFT(INDIRECT("B"&amp;R25&amp;""),3)="奈良屋",COUNTIF(B:B,"*奈良屋*")&gt;=2),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134" t="str">
        <f t="array" aca="1" ref="X25" ca="1">IF($R25&lt;&gt;"",
INDIRECT(""&amp;IF(COLUMN(I25)&lt;=26,CHAR(COLUMN(I25)+64),CHAR(INT((COLUMN(I25)-1)/26)+64)&amp;CHAR(MOD(COLUMN(I25)-1,26)+65))&amp;$R25&amp;""),"")</f>
        <v/>
      </c>
      <c r="Y25" s="134" t="str">
        <f t="array" aca="1" ref="Y25" ca="1">IF($R25&lt;&gt;"",
INDIRECT(""&amp;IF(COLUMN(J25)&lt;=26,CHAR(COLUMN(J25)+64),CHAR(INT((COLUMN(J25)-1)/26)+64)&amp;CHAR(MOD(COLUMN(J25)-1,26)+65))&amp;$R25&amp;""),"")</f>
        <v/>
      </c>
      <c r="Z25" s="134" t="str">
        <f t="shared" ca="1" si="2"/>
        <v/>
      </c>
      <c r="AA25" s="134" t="str">
        <f t="shared" ca="1" si="3"/>
        <v/>
      </c>
      <c r="AB25" s="134" t="str">
        <f t="array" aca="1" ref="AB25" ca="1">IF($R25&lt;&gt;"",
IF(AND(COUNTIF(INDIRECT("B"&amp;R25&amp;""),"*雙葉*"),COUNTIF(B:B,"*雙葉*")&gt;=2),
INDIRECT("M"&amp;R25&amp;"")+INDIRECT("M"&amp;MATCH("雙葉'",INDIRECT("B"&amp;R25+1&amp;":B210"),0)+R25&amp;""),
IF(AND(LEFT(INDIRECT("B"&amp;R25&amp;""),2)="博多",COUNTIF(B:B,"*博多*")&gt;=2),
INDIRECT("M"&amp;R25&amp;"")+INDIRECT("M"&amp;MATCH("*"&amp;INDIRECT("B"&amp;R25&amp;"")&amp;"*",INDIRECT("B"&amp;R25+1&amp;":B210"),0)+R25&amp;""),
IF(AND(LEFT(INDIRECT("B"&amp;R25&amp;""),3)="奈良屋",COUNTIF(B:B,"*奈良屋*")&gt;=2),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  <c r="AC25" s="134" t="str">
        <f ca="1">IF(S25&lt;&gt;"",INDEX(A:A, MATCH("*"&amp;LEFT(S25,4)&amp;"*", C:C, 0)),"")</f>
        <v/>
      </c>
      <c r="AD25" s="49" t="str">
        <f ca="1">IFERROR(INDEX(AC:AC,MATCH(SMALL($AU:$AU,ROW()+3),$AU:$AU,0)),"")</f>
        <v/>
      </c>
      <c r="AE25" s="49" t="str">
        <f ca="1">IFERROR(INDEX(R:R,MATCH(SMALL($AU:$AU,ROW()+3),$AU:$AU,0)),"")</f>
        <v/>
      </c>
      <c r="AF25" s="49" t="str">
        <f ca="1">IFERROR(INDEX(S:S,MATCH(SMALL($AU:$AU,ROW()+3),$AU:$AU,0)),"")</f>
        <v/>
      </c>
      <c r="AG25" s="49" t="str">
        <f ca="1">IFERROR(INDEX(T:T,MATCH(SMALL($AU:$AU,ROW()+3),$AU:$AU,0)),"")</f>
        <v/>
      </c>
      <c r="AH25" s="122" t="str">
        <f ca="1">IFERROR(INDEX(U:U,MATCH(SMALL($AU:$AU,ROW()+3),$AU:$AU,0)),"")</f>
        <v/>
      </c>
      <c r="AI25" s="49" t="str">
        <f ca="1">IFERROR(INDEX(V:V,MATCH(SMALL($AU:$AU,ROW()+3),$AU:$AU,0)),"")</f>
        <v/>
      </c>
      <c r="AJ25" s="49" t="str">
        <f ca="1">IFERROR(INDEX(W:W,MATCH(SMALL($AU:$AU,ROW()+3),$AU:$AU,0)),"")</f>
        <v/>
      </c>
      <c r="AK25" s="49" t="str">
        <f ca="1">IFERROR(INDEX(X:X,MATCH(SMALL($AU:$AU,ROW()+3),$AU:$AU,0)),"")</f>
        <v/>
      </c>
      <c r="AL25" s="49" t="str">
        <f ca="1">IFERROR(INDEX(Y:Y,MATCH(SMALL($AU:$AU,ROW()+3),$AU:$AU,0)),"")</f>
        <v/>
      </c>
      <c r="AM25" s="49" t="str">
        <f ca="1">IFERROR(INDEX(Z:Z,MATCH(SMALL($AU:$AU,ROW()+3),$AU:$AU,0)),"")</f>
        <v/>
      </c>
      <c r="AN25" s="49" t="str">
        <f ca="1">IFERROR(INDEX(AA:AA,MATCH(SMALL($AU:$AU,ROW()+3),$AU:$AU,0)),"")</f>
        <v/>
      </c>
      <c r="AO25" s="49" t="str">
        <f ca="1">IFERROR(INDEX(AB:AB,MATCH(SMALL($AU:$AU,ROW()+3),$AU:$AU,0)),"")</f>
        <v/>
      </c>
      <c r="AP25" s="49" t="str">
        <f ca="1">IFERROR(INDEX(AC:AC,MATCH(SMALL($AU:$AU,ROW()+3),$AU:$AU,0)),"")</f>
        <v/>
      </c>
      <c r="AU25" s="49" t="str">
        <f t="shared" ca="1" si="6"/>
        <v/>
      </c>
    </row>
    <row r="26" spans="1:47" ht="18" customHeight="1">
      <c r="A26" s="108">
        <f t="shared" si="4"/>
        <v>57</v>
      </c>
      <c r="B26" s="50" t="str">
        <f t="shared" si="5"/>
        <v/>
      </c>
      <c r="C26" s="50" t="str">
        <f>IF(OR(クライアント抽出!B26&lt;&gt;"",クライアント抽出!E26&lt;&gt;""),クライアント抽出!A26,"")</f>
        <v/>
      </c>
      <c r="D26" s="50" t="str">
        <f t="array" aca="1" ref="D26" ca="1">IF(C26&lt;&gt;"",INDIRECT("クライアント抽出!"&amp;E26&amp;MATCH(C26,クライアント抽出!A:A,0)&amp;""),"")</f>
        <v/>
      </c>
      <c r="E26" s="50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51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50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06" t="str">
        <f>IF(C26&lt;&gt;"",
クライアント抽出!B26,"")</f>
        <v/>
      </c>
      <c r="I26" s="50" t="str">
        <f t="array" aca="1" ref="I26" ca="1">IF(C26&lt;&gt;"",
IF(O26=1,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INDIRECT("数出表_Excel!"&amp;INDEX(_xlfn.UNIQUE(_xlfn._xlws.FILTER(クライアント抽出!P26:U26,COUNTIF(クライアント抽出!P26:U26,クライアント抽出!P26:U26)&gt;1)),1)&amp;L26&amp;""),0),クライアント抽出!E26),"")</f>
        <v/>
      </c>
      <c r="J26" s="50" t="str">
        <f>IF(C26&lt;&gt;"",
VLOOKUP(
"*"&amp;LEFT(IF(COUNTIF(D26,"*学食*"),"キャラ弁（学食）",
IF(COUNTIF(D26,"*赤*"),"赤",
IF(COUNTIF(D26,"*キャラ弁当*"),"キャラ弁当",D26))),4)&amp;"*",注文弁当の抽出!$E$1:$F$15,2,FALSE),"")</f>
        <v/>
      </c>
      <c r="K26" s="50" t="str">
        <f ca="1">IF(クライアント抽出!P26&lt;&gt;"",SUBSTITUTE(ADDRESS(1,(CODE(クライアント抽出!P26)-64)*2-1,4),"1",""),"")</f>
        <v/>
      </c>
      <c r="L26" s="50" t="str">
        <f>IF(C26&lt;&gt;"",クライアント抽出!I26,"")</f>
        <v/>
      </c>
      <c r="M26" s="50">
        <f t="array" aca="1" ref="M26" ca="1">IF(C26&lt;&gt;"",
IF(K26&lt;&gt;"",INDIRECT("'数出表_Excel（アレルギー入力）'!"&amp;K26&amp;L26-1&amp;""),),)</f>
        <v>0</v>
      </c>
      <c r="N26" s="50" t="str">
        <f>IF(C26&lt;&gt;"",IF(OR(COUNTIF('盛付札（関数）'!D26,"*赤*"),COUNTIF('盛付札（関数）'!D26,"*キャラ*")),1,
VLOOKUP("*"&amp;D26&amp;"*",商品マスタ一覧!D:H,5,FALSE)),"")</f>
        <v/>
      </c>
      <c r="O26" s="50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50">
        <f t="shared" si="0"/>
        <v>0</v>
      </c>
      <c r="Q26" s="50" t="b">
        <f t="shared" si="1"/>
        <v>0</v>
      </c>
      <c r="R26" s="134" t="str">
        <f t="array" aca="1" ref="R26" ca="1">IFERROR(SMALL(IF(P$1:P$311&lt;&gt;0,P$1:P$311),ROW(A26)),"")</f>
        <v/>
      </c>
      <c r="S26" s="134" t="str">
        <f t="array" aca="1" ref="S26" ca="1">IF($R26&lt;&gt;"",
SUBSTITUTE(SUBSTITUTE(INDIRECT("C"&amp;$R26&amp;"")," 週3ｺｰｽ","")," 週5ｺｰｽ",""),"")</f>
        <v/>
      </c>
      <c r="T26" s="134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135" t="str">
        <f t="array" aca="1" ref="U26" ca="1">IF($R26&lt;&gt;"",
INDIRECT("F"&amp;$R26&amp;""),"")</f>
        <v/>
      </c>
      <c r="V26" s="134" t="str">
        <f t="array" aca="1" ref="V26" ca="1">IF($R26&lt;&gt;"",
INDIRECT("G"&amp;$R26&amp;""),"")</f>
        <v/>
      </c>
      <c r="W26" s="134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IF(OR(COUNTIF(INDIRECT("B"&amp;R26&amp;""),"*雙葉先生*"),COUNTIF(INDIRECT("B"&amp;R26-1&amp;""),"*雙葉*")),INDIRECT("H"&amp;R26&amp;""),INDIRECT("H"&amp;R26&amp;"")+INDIRECT("H"&amp;MATCH("雙葉'",INDIRECT("B"&amp;R26+3&amp;":B210"),0)+2+R26&amp;"")),
IF(AND(LEFT(INDIRECT("B"&amp;R26&amp;""),2)="博多",COUNTIF(B:B,"*博多*")&gt;=2),
INDIRECT("H"&amp;R26&amp;"")+INDIRECT("H"&amp;MATCH("*"&amp;INDIRECT("B"&amp;R26&amp;"")&amp;"*",INDIRECT("B"&amp;R26+1&amp;":B210"),0)+R26&amp;""),
IF(AND(LEFT(INDIRECT("B"&amp;R26&amp;""),3)="奈良屋",COUNTIF(B:B,"*奈良屋*")&gt;=2),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134" t="str">
        <f t="array" aca="1" ref="X26" ca="1">IF($R26&lt;&gt;"",
INDIRECT(""&amp;IF(COLUMN(I26)&lt;=26,CHAR(COLUMN(I26)+64),CHAR(INT((COLUMN(I26)-1)/26)+64)&amp;CHAR(MOD(COLUMN(I26)-1,26)+65))&amp;$R26&amp;""),"")</f>
        <v/>
      </c>
      <c r="Y26" s="134" t="str">
        <f t="array" aca="1" ref="Y26" ca="1">IF($R26&lt;&gt;"",
INDIRECT(""&amp;IF(COLUMN(J26)&lt;=26,CHAR(COLUMN(J26)+64),CHAR(INT((COLUMN(J26)-1)/26)+64)&amp;CHAR(MOD(COLUMN(J26)-1,26)+65))&amp;$R26&amp;""),"")</f>
        <v/>
      </c>
      <c r="Z26" s="134" t="str">
        <f t="shared" ca="1" si="2"/>
        <v/>
      </c>
      <c r="AA26" s="134" t="str">
        <f t="shared" ca="1" si="3"/>
        <v/>
      </c>
      <c r="AB26" s="134" t="str">
        <f t="array" aca="1" ref="AB26" ca="1">IF($R26&lt;&gt;"",
IF(AND(COUNTIF(INDIRECT("B"&amp;R26&amp;""),"*雙葉*"),COUNTIF(B:B,"*雙葉*")&gt;=2),
INDIRECT("M"&amp;R26&amp;"")+INDIRECT("M"&amp;MATCH("雙葉'",INDIRECT("B"&amp;R26+1&amp;":B210"),0)+R26&amp;""),
IF(AND(LEFT(INDIRECT("B"&amp;R26&amp;""),2)="博多",COUNTIF(B:B,"*博多*")&gt;=2),
INDIRECT("M"&amp;R26&amp;"")+INDIRECT("M"&amp;MATCH("*"&amp;INDIRECT("B"&amp;R26&amp;"")&amp;"*",INDIRECT("B"&amp;R26+1&amp;":B210"),0)+R26&amp;""),
IF(AND(LEFT(INDIRECT("B"&amp;R26&amp;""),3)="奈良屋",COUNTIF(B:B,"*奈良屋*")&gt;=2),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  <c r="AC26" s="134" t="str">
        <f ca="1">IF(S26&lt;&gt;"",INDEX(A:A, MATCH("*"&amp;LEFT(S26,4)&amp;"*", C:C, 0)),"")</f>
        <v/>
      </c>
      <c r="AD26" s="49" t="str">
        <f ca="1">IFERROR(INDEX(AC:AC,MATCH(SMALL($AU:$AU,ROW()+3),$AU:$AU,0)),"")</f>
        <v/>
      </c>
      <c r="AE26" s="49" t="str">
        <f ca="1">IFERROR(INDEX(R:R,MATCH(SMALL($AU:$AU,ROW()+3),$AU:$AU,0)),"")</f>
        <v/>
      </c>
      <c r="AF26" s="49" t="str">
        <f ca="1">IFERROR(INDEX(S:S,MATCH(SMALL($AU:$AU,ROW()+3),$AU:$AU,0)),"")</f>
        <v/>
      </c>
      <c r="AG26" s="49" t="str">
        <f ca="1">IFERROR(INDEX(T:T,MATCH(SMALL($AU:$AU,ROW()+3),$AU:$AU,0)),"")</f>
        <v/>
      </c>
      <c r="AH26" s="122" t="str">
        <f ca="1">IFERROR(INDEX(U:U,MATCH(SMALL($AU:$AU,ROW()+3),$AU:$AU,0)),"")</f>
        <v/>
      </c>
      <c r="AI26" s="49" t="str">
        <f ca="1">IFERROR(INDEX(V:V,MATCH(SMALL($AU:$AU,ROW()+3),$AU:$AU,0)),"")</f>
        <v/>
      </c>
      <c r="AJ26" s="49" t="str">
        <f ca="1">IFERROR(INDEX(W:W,MATCH(SMALL($AU:$AU,ROW()+3),$AU:$AU,0)),"")</f>
        <v/>
      </c>
      <c r="AK26" s="49" t="str">
        <f ca="1">IFERROR(INDEX(X:X,MATCH(SMALL($AU:$AU,ROW()+3),$AU:$AU,0)),"")</f>
        <v/>
      </c>
      <c r="AL26" s="49" t="str">
        <f ca="1">IFERROR(INDEX(Y:Y,MATCH(SMALL($AU:$AU,ROW()+3),$AU:$AU,0)),"")</f>
        <v/>
      </c>
      <c r="AM26" s="49" t="str">
        <f ca="1">IFERROR(INDEX(Z:Z,MATCH(SMALL($AU:$AU,ROW()+3),$AU:$AU,0)),"")</f>
        <v/>
      </c>
      <c r="AN26" s="49" t="str">
        <f ca="1">IFERROR(INDEX(AA:AA,MATCH(SMALL($AU:$AU,ROW()+3),$AU:$AU,0)),"")</f>
        <v/>
      </c>
      <c r="AO26" s="49" t="str">
        <f ca="1">IFERROR(INDEX(AB:AB,MATCH(SMALL($AU:$AU,ROW()+3),$AU:$AU,0)),"")</f>
        <v/>
      </c>
      <c r="AP26" s="49" t="str">
        <f ca="1">IFERROR(INDEX(AC:AC,MATCH(SMALL($AU:$AU,ROW()+3),$AU:$AU,0)),"")</f>
        <v/>
      </c>
      <c r="AU26" s="49" t="str">
        <f t="shared" ca="1" si="6"/>
        <v/>
      </c>
    </row>
    <row r="27" spans="1:47" ht="22.2" customHeight="1">
      <c r="A27" s="108">
        <f t="shared" si="4"/>
        <v>59</v>
      </c>
      <c r="B27" s="50" t="str">
        <f t="shared" si="5"/>
        <v/>
      </c>
      <c r="C27" s="50" t="str">
        <f>IF(OR(クライアント抽出!B27&lt;&gt;"",クライアント抽出!E27&lt;&gt;""),クライアント抽出!A27,"")</f>
        <v/>
      </c>
      <c r="D27" s="50" t="str">
        <f t="array" aca="1" ref="D27" ca="1">IF(C27&lt;&gt;"",INDIRECT("クライアント抽出!"&amp;E27&amp;MATCH(C27,クライアント抽出!A:A,0)&amp;""),"")</f>
        <v/>
      </c>
      <c r="E27" s="50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51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50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06" t="str">
        <f>IF(C27&lt;&gt;"",
クライアント抽出!B27,"")</f>
        <v/>
      </c>
      <c r="I27" s="50" t="str">
        <f t="array" aca="1" ref="I27" ca="1">IF(C27&lt;&gt;"",
IF(O27=1,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INDIRECT("数出表_Excel!"&amp;INDEX(_xlfn.UNIQUE(_xlfn._xlws.FILTER(クライアント抽出!P27:U27,COUNTIF(クライアント抽出!P27:U27,クライアント抽出!P27:U27)&gt;1)),1)&amp;L27&amp;""),0),クライアント抽出!E27),"")</f>
        <v/>
      </c>
      <c r="J27" s="50" t="str">
        <f>IF(C27&lt;&gt;"",
VLOOKUP(
"*"&amp;LEFT(IF(COUNTIF(D27,"*学食*"),"キャラ弁（学食）",
IF(COUNTIF(D27,"*赤*"),"赤",
IF(COUNTIF(D27,"*キャラ弁当*"),"キャラ弁当",D27))),4)&amp;"*",注文弁当の抽出!$E$1:$F$15,2,FALSE),"")</f>
        <v/>
      </c>
      <c r="K27" s="50" t="str">
        <f ca="1">IF(クライアント抽出!P27&lt;&gt;"",SUBSTITUTE(ADDRESS(1,(CODE(クライアント抽出!P27)-64)*2-1,4),"1",""),"")</f>
        <v/>
      </c>
      <c r="L27" s="50" t="str">
        <f>IF(C27&lt;&gt;"",クライアント抽出!I27,"")</f>
        <v/>
      </c>
      <c r="M27" s="50">
        <f t="array" aca="1" ref="M27" ca="1">IF(C27&lt;&gt;"",
IF(K27&lt;&gt;"",INDIRECT("'数出表_Excel（アレルギー入力）'!"&amp;K27&amp;L27-1&amp;""),),)</f>
        <v>0</v>
      </c>
      <c r="N27" s="50" t="str">
        <f>IF(C27&lt;&gt;"",IF(OR(COUNTIF('盛付札（関数）'!D27,"*赤*"),COUNTIF('盛付札（関数）'!D27,"*キャラ*")),1,
VLOOKUP("*"&amp;D27&amp;"*",商品マスタ一覧!D:H,5,FALSE)),"")</f>
        <v/>
      </c>
      <c r="O27" s="50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50">
        <f t="shared" si="0"/>
        <v>0</v>
      </c>
      <c r="Q27" s="50" t="b">
        <f t="shared" si="1"/>
        <v>0</v>
      </c>
      <c r="R27" s="134" t="str">
        <f t="array" aca="1" ref="R27" ca="1">IFERROR(SMALL(IF(P$1:P$311&lt;&gt;0,P$1:P$311),ROW(A27)),"")</f>
        <v/>
      </c>
      <c r="S27" s="134" t="str">
        <f t="array" aca="1" ref="S27" ca="1">IF($R27&lt;&gt;"",
SUBSTITUTE(SUBSTITUTE(INDIRECT("C"&amp;$R27&amp;"")," 週3ｺｰｽ","")," 週5ｺｰｽ",""),"")</f>
        <v/>
      </c>
      <c r="T27" s="134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135" t="str">
        <f t="array" aca="1" ref="U27" ca="1">IF($R27&lt;&gt;"",
INDIRECT("F"&amp;$R27&amp;""),"")</f>
        <v/>
      </c>
      <c r="V27" s="134" t="str">
        <f t="array" aca="1" ref="V27" ca="1">IF($R27&lt;&gt;"",
INDIRECT("G"&amp;$R27&amp;""),"")</f>
        <v/>
      </c>
      <c r="W27" s="134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IF(OR(COUNTIF(INDIRECT("B"&amp;R27&amp;""),"*雙葉先生*"),COUNTIF(INDIRECT("B"&amp;R27-1&amp;""),"*雙葉*")),INDIRECT("H"&amp;R27&amp;""),INDIRECT("H"&amp;R27&amp;"")+INDIRECT("H"&amp;MATCH("雙葉'",INDIRECT("B"&amp;R27+3&amp;":B210"),0)+2+R27&amp;"")),
IF(AND(LEFT(INDIRECT("B"&amp;R27&amp;""),2)="博多",COUNTIF(B:B,"*博多*")&gt;=2),
INDIRECT("H"&amp;R27&amp;"")+INDIRECT("H"&amp;MATCH("*"&amp;INDIRECT("B"&amp;R27&amp;"")&amp;"*",INDIRECT("B"&amp;R27+1&amp;":B210"),0)+R27&amp;""),
IF(AND(LEFT(INDIRECT("B"&amp;R27&amp;""),3)="奈良屋",COUNTIF(B:B,"*奈良屋*")&gt;=2),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134" t="str">
        <f t="array" aca="1" ref="X27" ca="1">IF($R27&lt;&gt;"",
INDIRECT(""&amp;IF(COLUMN(I27)&lt;=26,CHAR(COLUMN(I27)+64),CHAR(INT((COLUMN(I27)-1)/26)+64)&amp;CHAR(MOD(COLUMN(I27)-1,26)+65))&amp;$R27&amp;""),"")</f>
        <v/>
      </c>
      <c r="Y27" s="134" t="str">
        <f t="array" aca="1" ref="Y27" ca="1">IF($R27&lt;&gt;"",
INDIRECT(""&amp;IF(COLUMN(J27)&lt;=26,CHAR(COLUMN(J27)+64),CHAR(INT((COLUMN(J27)-1)/26)+64)&amp;CHAR(MOD(COLUMN(J27)-1,26)+65))&amp;$R27&amp;""),"")</f>
        <v/>
      </c>
      <c r="Z27" s="134" t="str">
        <f t="shared" ca="1" si="2"/>
        <v/>
      </c>
      <c r="AA27" s="134" t="str">
        <f t="shared" ca="1" si="3"/>
        <v/>
      </c>
      <c r="AB27" s="134" t="str">
        <f t="array" aca="1" ref="AB27" ca="1">IF($R27&lt;&gt;"",
IF(AND(COUNTIF(INDIRECT("B"&amp;R27&amp;""),"*雙葉*"),COUNTIF(B:B,"*雙葉*")&gt;=2),
INDIRECT("M"&amp;R27&amp;"")+INDIRECT("M"&amp;MATCH("雙葉'",INDIRECT("B"&amp;R27+1&amp;":B210"),0)+R27&amp;""),
IF(AND(LEFT(INDIRECT("B"&amp;R27&amp;""),2)="博多",COUNTIF(B:B,"*博多*")&gt;=2),
INDIRECT("M"&amp;R27&amp;"")+INDIRECT("M"&amp;MATCH("*"&amp;INDIRECT("B"&amp;R27&amp;"")&amp;"*",INDIRECT("B"&amp;R27+1&amp;":B210"),0)+R27&amp;""),
IF(AND(LEFT(INDIRECT("B"&amp;R27&amp;""),3)="奈良屋",COUNTIF(B:B,"*奈良屋*")&gt;=2),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  <c r="AC27" s="134" t="str">
        <f ca="1">IF(S27&lt;&gt;"",INDEX(A:A, MATCH("*"&amp;LEFT(S27,4)&amp;"*", C:C, 0)),"")</f>
        <v/>
      </c>
      <c r="AD27" s="49" t="str">
        <f ca="1">IFERROR(INDEX(AC:AC,MATCH(SMALL($AU:$AU,ROW()+3),$AU:$AU,0)),"")</f>
        <v/>
      </c>
      <c r="AE27" s="49" t="str">
        <f ca="1">IFERROR(INDEX(R:R,MATCH(SMALL($AU:$AU,ROW()+3),$AU:$AU,0)),"")</f>
        <v/>
      </c>
      <c r="AF27" s="49" t="str">
        <f ca="1">IFERROR(INDEX(S:S,MATCH(SMALL($AU:$AU,ROW()+3),$AU:$AU,0)),"")</f>
        <v/>
      </c>
      <c r="AG27" s="49" t="str">
        <f ca="1">IFERROR(INDEX(T:T,MATCH(SMALL($AU:$AU,ROW()+3),$AU:$AU,0)),"")</f>
        <v/>
      </c>
      <c r="AH27" s="122" t="str">
        <f ca="1">IFERROR(INDEX(U:U,MATCH(SMALL($AU:$AU,ROW()+3),$AU:$AU,0)),"")</f>
        <v/>
      </c>
      <c r="AI27" s="49" t="str">
        <f ca="1">IFERROR(INDEX(V:V,MATCH(SMALL($AU:$AU,ROW()+3),$AU:$AU,0)),"")</f>
        <v/>
      </c>
      <c r="AJ27" s="49" t="str">
        <f ca="1">IFERROR(INDEX(W:W,MATCH(SMALL($AU:$AU,ROW()+3),$AU:$AU,0)),"")</f>
        <v/>
      </c>
      <c r="AK27" s="49" t="str">
        <f ca="1">IFERROR(INDEX(X:X,MATCH(SMALL($AU:$AU,ROW()+3),$AU:$AU,0)),"")</f>
        <v/>
      </c>
      <c r="AL27" s="49" t="str">
        <f ca="1">IFERROR(INDEX(Y:Y,MATCH(SMALL($AU:$AU,ROW()+3),$AU:$AU,0)),"")</f>
        <v/>
      </c>
      <c r="AM27" s="49" t="str">
        <f ca="1">IFERROR(INDEX(Z:Z,MATCH(SMALL($AU:$AU,ROW()+3),$AU:$AU,0)),"")</f>
        <v/>
      </c>
      <c r="AN27" s="49" t="str">
        <f ca="1">IFERROR(INDEX(AA:AA,MATCH(SMALL($AU:$AU,ROW()+3),$AU:$AU,0)),"")</f>
        <v/>
      </c>
      <c r="AO27" s="49" t="str">
        <f ca="1">IFERROR(INDEX(AB:AB,MATCH(SMALL($AU:$AU,ROW()+3),$AU:$AU,0)),"")</f>
        <v/>
      </c>
      <c r="AP27" s="49" t="str">
        <f ca="1">IFERROR(INDEX(AC:AC,MATCH(SMALL($AU:$AU,ROW()+3),$AU:$AU,0)),"")</f>
        <v/>
      </c>
      <c r="AU27" s="49" t="str">
        <f t="shared" ca="1" si="6"/>
        <v/>
      </c>
    </row>
    <row r="28" spans="1:47" ht="21" customHeight="1">
      <c r="A28" s="108">
        <f t="shared" si="4"/>
        <v>61</v>
      </c>
      <c r="B28" s="50" t="str">
        <f t="shared" si="5"/>
        <v/>
      </c>
      <c r="C28" s="50" t="str">
        <f>IF(OR(クライアント抽出!B28&lt;&gt;"",クライアント抽出!E28&lt;&gt;""),クライアント抽出!A28,"")</f>
        <v/>
      </c>
      <c r="D28" s="50" t="str">
        <f t="array" aca="1" ref="D28" ca="1">IF(C28&lt;&gt;"",INDIRECT("クライアント抽出!"&amp;E28&amp;MATCH(C28,クライアント抽出!A:A,0)&amp;""),"")</f>
        <v/>
      </c>
      <c r="E28" s="50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51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50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06" t="str">
        <f>IF(C28&lt;&gt;"",
クライアント抽出!B28,"")</f>
        <v/>
      </c>
      <c r="I28" s="50" t="str">
        <f t="array" aca="1" ref="I28" ca="1">IF(C28&lt;&gt;"",
IF(O28=1,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INDIRECT("数出表_Excel!"&amp;INDEX(_xlfn.UNIQUE(_xlfn._xlws.FILTER(クライアント抽出!P28:U28,COUNTIF(クライアント抽出!P28:U28,クライアント抽出!P28:U28)&gt;1)),1)&amp;L28&amp;""),0),クライアント抽出!E28),"")</f>
        <v/>
      </c>
      <c r="J28" s="50" t="str">
        <f>IF(C28&lt;&gt;"",
VLOOKUP(
"*"&amp;LEFT(IF(COUNTIF(D28,"*学食*"),"キャラ弁（学食）",
IF(COUNTIF(D28,"*赤*"),"赤",
IF(COUNTIF(D28,"*キャラ弁当*"),"キャラ弁当",D28))),4)&amp;"*",注文弁当の抽出!$E$1:$F$15,2,FALSE),"")</f>
        <v/>
      </c>
      <c r="K28" s="50" t="str">
        <f ca="1">IF(クライアント抽出!P28&lt;&gt;"",SUBSTITUTE(ADDRESS(1,(CODE(クライアント抽出!P28)-64)*2-1,4),"1",""),"")</f>
        <v/>
      </c>
      <c r="L28" s="50" t="str">
        <f>IF(C28&lt;&gt;"",クライアント抽出!I28,"")</f>
        <v/>
      </c>
      <c r="M28" s="50">
        <f t="array" aca="1" ref="M28" ca="1">IF(C28&lt;&gt;"",
IF(K28&lt;&gt;"",INDIRECT("'数出表_Excel（アレルギー入力）'!"&amp;K28&amp;L28-1&amp;""),),)</f>
        <v>0</v>
      </c>
      <c r="N28" s="50" t="str">
        <f>IF(C28&lt;&gt;"",IF(OR(COUNTIF('盛付札（関数）'!D28,"*赤*"),COUNTIF('盛付札（関数）'!D28,"*キャラ*")),1,
VLOOKUP("*"&amp;D28&amp;"*",商品マスタ一覧!D:H,5,FALSE)),"")</f>
        <v/>
      </c>
      <c r="O28" s="50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50">
        <f t="shared" si="0"/>
        <v>0</v>
      </c>
      <c r="Q28" s="50" t="b">
        <f t="shared" si="1"/>
        <v>0</v>
      </c>
      <c r="R28" s="134" t="str">
        <f t="array" aca="1" ref="R28" ca="1">IFERROR(SMALL(IF(P$1:P$311&lt;&gt;0,P$1:P$311),ROW(A28)),"")</f>
        <v/>
      </c>
      <c r="S28" s="134" t="str">
        <f t="array" aca="1" ref="S28" ca="1">IF($R28&lt;&gt;"",
SUBSTITUTE(SUBSTITUTE(INDIRECT("C"&amp;$R28&amp;"")," 週3ｺｰｽ","")," 週5ｺｰｽ",""),"")</f>
        <v/>
      </c>
      <c r="T28" s="134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135" t="str">
        <f t="array" aca="1" ref="U28" ca="1">IF($R28&lt;&gt;"",
INDIRECT("F"&amp;$R28&amp;""),"")</f>
        <v/>
      </c>
      <c r="V28" s="134" t="str">
        <f t="array" aca="1" ref="V28" ca="1">IF($R28&lt;&gt;"",
INDIRECT("G"&amp;$R28&amp;""),"")</f>
        <v/>
      </c>
      <c r="W28" s="134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IF(OR(COUNTIF(INDIRECT("B"&amp;R28&amp;""),"*雙葉先生*"),COUNTIF(INDIRECT("B"&amp;R28-1&amp;""),"*雙葉*")),INDIRECT("H"&amp;R28&amp;""),INDIRECT("H"&amp;R28&amp;"")+INDIRECT("H"&amp;MATCH("雙葉'",INDIRECT("B"&amp;R28+3&amp;":B210"),0)+2+R28&amp;"")),
IF(AND(LEFT(INDIRECT("B"&amp;R28&amp;""),2)="博多",COUNTIF(B:B,"*博多*")&gt;=2),
INDIRECT("H"&amp;R28&amp;"")+INDIRECT("H"&amp;MATCH("*"&amp;INDIRECT("B"&amp;R28&amp;"")&amp;"*",INDIRECT("B"&amp;R28+1&amp;":B210"),0)+R28&amp;""),
IF(AND(LEFT(INDIRECT("B"&amp;R28&amp;""),3)="奈良屋",COUNTIF(B:B,"*奈良屋*")&gt;=2),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134" t="str">
        <f t="array" aca="1" ref="X28" ca="1">IF($R28&lt;&gt;"",
INDIRECT(""&amp;IF(COLUMN(I28)&lt;=26,CHAR(COLUMN(I28)+64),CHAR(INT((COLUMN(I28)-1)/26)+64)&amp;CHAR(MOD(COLUMN(I28)-1,26)+65))&amp;$R28&amp;""),"")</f>
        <v/>
      </c>
      <c r="Y28" s="134" t="str">
        <f t="array" aca="1" ref="Y28" ca="1">IF($R28&lt;&gt;"",
INDIRECT(""&amp;IF(COLUMN(J28)&lt;=26,CHAR(COLUMN(J28)+64),CHAR(INT((COLUMN(J28)-1)/26)+64)&amp;CHAR(MOD(COLUMN(J28)-1,26)+65))&amp;$R28&amp;""),"")</f>
        <v/>
      </c>
      <c r="Z28" s="134" t="str">
        <f t="shared" ca="1" si="2"/>
        <v/>
      </c>
      <c r="AA28" s="134" t="str">
        <f t="shared" ca="1" si="3"/>
        <v/>
      </c>
      <c r="AB28" s="134" t="str">
        <f t="array" aca="1" ref="AB28" ca="1">IF($R28&lt;&gt;"",
IF(AND(COUNTIF(INDIRECT("B"&amp;R28&amp;""),"*雙葉*"),COUNTIF(B:B,"*雙葉*")&gt;=2),
INDIRECT("M"&amp;R28&amp;"")+INDIRECT("M"&amp;MATCH("雙葉'",INDIRECT("B"&amp;R28+1&amp;":B210"),0)+R28&amp;""),
IF(AND(LEFT(INDIRECT("B"&amp;R28&amp;""),2)="博多",COUNTIF(B:B,"*博多*")&gt;=2),
INDIRECT("M"&amp;R28&amp;"")+INDIRECT("M"&amp;MATCH("*"&amp;INDIRECT("B"&amp;R28&amp;"")&amp;"*",INDIRECT("B"&amp;R28+1&amp;":B210"),0)+R28&amp;""),
IF(AND(LEFT(INDIRECT("B"&amp;R28&amp;""),3)="奈良屋",COUNTIF(B:B,"*奈良屋*")&gt;=2),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  <c r="AC28" s="134" t="str">
        <f ca="1">IF(S28&lt;&gt;"",INDEX(A:A, MATCH("*"&amp;LEFT(S28,4)&amp;"*", C:C, 0)),"")</f>
        <v/>
      </c>
      <c r="AD28" s="49" t="str">
        <f ca="1">IFERROR(INDEX(AC:AC,MATCH(SMALL($AU:$AU,ROW()+3),$AU:$AU,0)),"")</f>
        <v/>
      </c>
      <c r="AE28" s="49" t="str">
        <f ca="1">IFERROR(INDEX(R:R,MATCH(SMALL($AU:$AU,ROW()+3),$AU:$AU,0)),"")</f>
        <v/>
      </c>
      <c r="AF28" s="49" t="str">
        <f ca="1">IFERROR(INDEX(S:S,MATCH(SMALL($AU:$AU,ROW()+3),$AU:$AU,0)),"")</f>
        <v/>
      </c>
      <c r="AG28" s="49" t="str">
        <f ca="1">IFERROR(INDEX(T:T,MATCH(SMALL($AU:$AU,ROW()+3),$AU:$AU,0)),"")</f>
        <v/>
      </c>
      <c r="AH28" s="122" t="str">
        <f ca="1">IFERROR(INDEX(U:U,MATCH(SMALL($AU:$AU,ROW()+3),$AU:$AU,0)),"")</f>
        <v/>
      </c>
      <c r="AI28" s="49" t="str">
        <f ca="1">IFERROR(INDEX(V:V,MATCH(SMALL($AU:$AU,ROW()+3),$AU:$AU,0)),"")</f>
        <v/>
      </c>
      <c r="AJ28" s="49" t="str">
        <f ca="1">IFERROR(INDEX(W:W,MATCH(SMALL($AU:$AU,ROW()+3),$AU:$AU,0)),"")</f>
        <v/>
      </c>
      <c r="AK28" s="49" t="str">
        <f ca="1">IFERROR(INDEX(X:X,MATCH(SMALL($AU:$AU,ROW()+3),$AU:$AU,0)),"")</f>
        <v/>
      </c>
      <c r="AL28" s="49" t="str">
        <f ca="1">IFERROR(INDEX(Y:Y,MATCH(SMALL($AU:$AU,ROW()+3),$AU:$AU,0)),"")</f>
        <v/>
      </c>
      <c r="AM28" s="49" t="str">
        <f ca="1">IFERROR(INDEX(Z:Z,MATCH(SMALL($AU:$AU,ROW()+3),$AU:$AU,0)),"")</f>
        <v/>
      </c>
      <c r="AN28" s="49" t="str">
        <f ca="1">IFERROR(INDEX(AA:AA,MATCH(SMALL($AU:$AU,ROW()+3),$AU:$AU,0)),"")</f>
        <v/>
      </c>
      <c r="AO28" s="49" t="str">
        <f ca="1">IFERROR(INDEX(AB:AB,MATCH(SMALL($AU:$AU,ROW()+3),$AU:$AU,0)),"")</f>
        <v/>
      </c>
      <c r="AP28" s="49" t="str">
        <f ca="1">IFERROR(INDEX(AC:AC,MATCH(SMALL($AU:$AU,ROW()+3),$AU:$AU,0)),"")</f>
        <v/>
      </c>
      <c r="AU28" s="49" t="str">
        <f t="shared" ca="1" si="6"/>
        <v/>
      </c>
    </row>
    <row r="29" spans="1:47" ht="18" customHeight="1">
      <c r="A29" s="108">
        <f t="shared" si="4"/>
        <v>63</v>
      </c>
      <c r="B29" s="50" t="str">
        <f t="shared" si="5"/>
        <v/>
      </c>
      <c r="C29" s="50" t="str">
        <f>IF(OR(クライアント抽出!B29&lt;&gt;"",クライアント抽出!E29&lt;&gt;""),クライアント抽出!A29,"")</f>
        <v/>
      </c>
      <c r="D29" s="50" t="str">
        <f t="array" aca="1" ref="D29" ca="1">IF(C29&lt;&gt;"",INDIRECT("クライアント抽出!"&amp;E29&amp;MATCH(C29,クライアント抽出!A:A,0)&amp;""),"")</f>
        <v/>
      </c>
      <c r="E29" s="50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51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50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06" t="str">
        <f>IF(C29&lt;&gt;"",
クライアント抽出!B29,"")</f>
        <v/>
      </c>
      <c r="I29" s="50" t="str">
        <f t="array" aca="1" ref="I29" ca="1">IF(C29&lt;&gt;"",
IF(O29=1,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INDIRECT("数出表_Excel!"&amp;INDEX(_xlfn.UNIQUE(_xlfn._xlws.FILTER(クライアント抽出!P29:U29,COUNTIF(クライアント抽出!P29:U29,クライアント抽出!P29:U29)&gt;1)),1)&amp;L29&amp;""),0),クライアント抽出!E29),"")</f>
        <v/>
      </c>
      <c r="J29" s="50" t="str">
        <f>IF(C29&lt;&gt;"",
VLOOKUP(
"*"&amp;LEFT(IF(COUNTIF(D29,"*学食*"),"キャラ弁（学食）",
IF(COUNTIF(D29,"*赤*"),"赤",
IF(COUNTIF(D29,"*キャラ弁当*"),"キャラ弁当",D29))),4)&amp;"*",注文弁当の抽出!$E$1:$F$15,2,FALSE),"")</f>
        <v/>
      </c>
      <c r="K29" s="50" t="str">
        <f ca="1">IF(クライアント抽出!P29&lt;&gt;"",SUBSTITUTE(ADDRESS(1,(CODE(クライアント抽出!P29)-64)*2-1,4),"1",""),"")</f>
        <v/>
      </c>
      <c r="L29" s="50" t="str">
        <f>IF(C29&lt;&gt;"",クライアント抽出!I29,"")</f>
        <v/>
      </c>
      <c r="M29" s="50">
        <f t="array" aca="1" ref="M29" ca="1">IF(C29&lt;&gt;"",
IF(K29&lt;&gt;"",INDIRECT("'数出表_Excel（アレルギー入力）'!"&amp;K29&amp;L29-1&amp;""),),)</f>
        <v>0</v>
      </c>
      <c r="N29" s="50" t="str">
        <f>IF(C29&lt;&gt;"",IF(OR(COUNTIF('盛付札（関数）'!D29,"*赤*"),COUNTIF('盛付札（関数）'!D29,"*キャラ*")),1,
VLOOKUP("*"&amp;D29&amp;"*",商品マスタ一覧!D:H,5,FALSE)),"")</f>
        <v/>
      </c>
      <c r="O29" s="50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50">
        <f t="shared" si="0"/>
        <v>0</v>
      </c>
      <c r="Q29" s="50" t="b">
        <f t="shared" si="1"/>
        <v>0</v>
      </c>
      <c r="R29" s="134" t="str">
        <f t="array" aca="1" ref="R29" ca="1">IFERROR(SMALL(IF(P$1:P$311&lt;&gt;0,P$1:P$311),ROW(A29)),"")</f>
        <v/>
      </c>
      <c r="S29" s="134" t="str">
        <f t="array" aca="1" ref="S29" ca="1">IF($R29&lt;&gt;"",
SUBSTITUTE(SUBSTITUTE(INDIRECT("C"&amp;$R29&amp;"")," 週3ｺｰｽ","")," 週5ｺｰｽ",""),"")</f>
        <v/>
      </c>
      <c r="T29" s="134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135" t="str">
        <f t="array" aca="1" ref="U29" ca="1">IF($R29&lt;&gt;"",
INDIRECT("F"&amp;$R29&amp;""),"")</f>
        <v/>
      </c>
      <c r="V29" s="134" t="str">
        <f t="array" aca="1" ref="V29" ca="1">IF($R29&lt;&gt;"",
INDIRECT("G"&amp;$R29&amp;""),"")</f>
        <v/>
      </c>
      <c r="W29" s="134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IF(OR(COUNTIF(INDIRECT("B"&amp;R29&amp;""),"*雙葉先生*"),COUNTIF(INDIRECT("B"&amp;R29-1&amp;""),"*雙葉*")),INDIRECT("H"&amp;R29&amp;""),INDIRECT("H"&amp;R29&amp;"")+INDIRECT("H"&amp;MATCH("雙葉'",INDIRECT("B"&amp;R29+3&amp;":B210"),0)+2+R29&amp;"")),
IF(AND(LEFT(INDIRECT("B"&amp;R29&amp;""),2)="博多",COUNTIF(B:B,"*博多*")&gt;=2),
INDIRECT("H"&amp;R29&amp;"")+INDIRECT("H"&amp;MATCH("*"&amp;INDIRECT("B"&amp;R29&amp;"")&amp;"*",INDIRECT("B"&amp;R29+1&amp;":B210"),0)+R29&amp;""),
IF(AND(LEFT(INDIRECT("B"&amp;R29&amp;""),3)="奈良屋",COUNTIF(B:B,"*奈良屋*")&gt;=2),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134" t="str">
        <f t="array" aca="1" ref="X29" ca="1">IF($R29&lt;&gt;"",
INDIRECT(""&amp;IF(COLUMN(I29)&lt;=26,CHAR(COLUMN(I29)+64),CHAR(INT((COLUMN(I29)-1)/26)+64)&amp;CHAR(MOD(COLUMN(I29)-1,26)+65))&amp;$R29&amp;""),"")</f>
        <v/>
      </c>
      <c r="Y29" s="134" t="str">
        <f t="array" aca="1" ref="Y29" ca="1">IF($R29&lt;&gt;"",
INDIRECT(""&amp;IF(COLUMN(J29)&lt;=26,CHAR(COLUMN(J29)+64),CHAR(INT((COLUMN(J29)-1)/26)+64)&amp;CHAR(MOD(COLUMN(J29)-1,26)+65))&amp;$R29&amp;""),"")</f>
        <v/>
      </c>
      <c r="Z29" s="134" t="str">
        <f t="shared" ca="1" si="2"/>
        <v/>
      </c>
      <c r="AA29" s="134" t="str">
        <f t="shared" ca="1" si="3"/>
        <v/>
      </c>
      <c r="AB29" s="134" t="str">
        <f t="array" aca="1" ref="AB29" ca="1">IF($R29&lt;&gt;"",
IF(AND(COUNTIF(INDIRECT("B"&amp;R29&amp;""),"*雙葉*"),COUNTIF(B:B,"*雙葉*")&gt;=2),
INDIRECT("M"&amp;R29&amp;"")+INDIRECT("M"&amp;MATCH("雙葉'",INDIRECT("B"&amp;R29+1&amp;":B210"),0)+R29&amp;""),
IF(AND(LEFT(INDIRECT("B"&amp;R29&amp;""),2)="博多",COUNTIF(B:B,"*博多*")&gt;=2),
INDIRECT("M"&amp;R29&amp;"")+INDIRECT("M"&amp;MATCH("*"&amp;INDIRECT("B"&amp;R29&amp;"")&amp;"*",INDIRECT("B"&amp;R29+1&amp;":B210"),0)+R29&amp;""),
IF(AND(LEFT(INDIRECT("B"&amp;R29&amp;""),3)="奈良屋",COUNTIF(B:B,"*奈良屋*")&gt;=2),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  <c r="AC29" s="134" t="str">
        <f ca="1">IF(S29&lt;&gt;"",INDEX(A:A, MATCH("*"&amp;LEFT(S29,4)&amp;"*", C:C, 0)),"")</f>
        <v/>
      </c>
      <c r="AD29" s="49" t="str">
        <f ca="1">IFERROR(INDEX(AC:AC,MATCH(SMALL($AU:$AU,ROW()+3),$AU:$AU,0)),"")</f>
        <v/>
      </c>
      <c r="AE29" s="49" t="str">
        <f ca="1">IFERROR(INDEX(R:R,MATCH(SMALL($AU:$AU,ROW()+3),$AU:$AU,0)),"")</f>
        <v/>
      </c>
      <c r="AF29" s="49" t="str">
        <f ca="1">IFERROR(INDEX(S:S,MATCH(SMALL($AU:$AU,ROW()+3),$AU:$AU,0)),"")</f>
        <v/>
      </c>
      <c r="AG29" s="49" t="str">
        <f ca="1">IFERROR(INDEX(T:T,MATCH(SMALL($AU:$AU,ROW()+3),$AU:$AU,0)),"")</f>
        <v/>
      </c>
      <c r="AH29" s="122" t="str">
        <f ca="1">IFERROR(INDEX(U:U,MATCH(SMALL($AU:$AU,ROW()+3),$AU:$AU,0)),"")</f>
        <v/>
      </c>
      <c r="AI29" s="49" t="str">
        <f ca="1">IFERROR(INDEX(V:V,MATCH(SMALL($AU:$AU,ROW()+3),$AU:$AU,0)),"")</f>
        <v/>
      </c>
      <c r="AJ29" s="49" t="str">
        <f ca="1">IFERROR(INDEX(W:W,MATCH(SMALL($AU:$AU,ROW()+3),$AU:$AU,0)),"")</f>
        <v/>
      </c>
      <c r="AK29" s="49" t="str">
        <f ca="1">IFERROR(INDEX(X:X,MATCH(SMALL($AU:$AU,ROW()+3),$AU:$AU,0)),"")</f>
        <v/>
      </c>
      <c r="AL29" s="49" t="str">
        <f ca="1">IFERROR(INDEX(Y:Y,MATCH(SMALL($AU:$AU,ROW()+3),$AU:$AU,0)),"")</f>
        <v/>
      </c>
      <c r="AM29" s="49" t="str">
        <f ca="1">IFERROR(INDEX(Z:Z,MATCH(SMALL($AU:$AU,ROW()+3),$AU:$AU,0)),"")</f>
        <v/>
      </c>
      <c r="AN29" s="49" t="str">
        <f ca="1">IFERROR(INDEX(AA:AA,MATCH(SMALL($AU:$AU,ROW()+3),$AU:$AU,0)),"")</f>
        <v/>
      </c>
      <c r="AO29" s="49" t="str">
        <f ca="1">IFERROR(INDEX(AB:AB,MATCH(SMALL($AU:$AU,ROW()+3),$AU:$AU,0)),"")</f>
        <v/>
      </c>
      <c r="AP29" s="49" t="str">
        <f ca="1">IFERROR(INDEX(AC:AC,MATCH(SMALL($AU:$AU,ROW()+3),$AU:$AU,0)),"")</f>
        <v/>
      </c>
      <c r="AU29" s="49" t="str">
        <f t="shared" ca="1" si="6"/>
        <v/>
      </c>
    </row>
    <row r="30" spans="1:47" ht="18" customHeight="1">
      <c r="A30" s="108">
        <f t="shared" si="4"/>
        <v>65</v>
      </c>
      <c r="B30" s="50" t="str">
        <f t="shared" si="5"/>
        <v/>
      </c>
      <c r="C30" s="50" t="str">
        <f>IF(OR(クライアント抽出!B30&lt;&gt;"",クライアント抽出!E30&lt;&gt;""),クライアント抽出!A30,"")</f>
        <v/>
      </c>
      <c r="D30" s="50" t="str">
        <f t="array" aca="1" ref="D30" ca="1">IF(C30&lt;&gt;"",INDIRECT("クライアント抽出!"&amp;E30&amp;MATCH(C30,クライアント抽出!A:A,0)&amp;""),"")</f>
        <v/>
      </c>
      <c r="E30" s="50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51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50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06" t="str">
        <f>IF(C30&lt;&gt;"",
クライアント抽出!B30,"")</f>
        <v/>
      </c>
      <c r="I30" s="50" t="str">
        <f t="array" aca="1" ref="I30" ca="1">IF(C30&lt;&gt;"",
IF(O30=1,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INDIRECT("数出表_Excel!"&amp;INDEX(_xlfn.UNIQUE(_xlfn._xlws.FILTER(クライアント抽出!P30:U30,COUNTIF(クライアント抽出!P30:U30,クライアント抽出!P30:U30)&gt;1)),1)&amp;L30&amp;""),0),クライアント抽出!E30),"")</f>
        <v/>
      </c>
      <c r="J30" s="50" t="str">
        <f>IF(C30&lt;&gt;"",
VLOOKUP(
"*"&amp;LEFT(IF(COUNTIF(D30,"*学食*"),"キャラ弁（学食）",
IF(COUNTIF(D30,"*赤*"),"赤",
IF(COUNTIF(D30,"*キャラ弁当*"),"キャラ弁当",D30))),4)&amp;"*",注文弁当の抽出!$E$1:$F$15,2,FALSE),"")</f>
        <v/>
      </c>
      <c r="K30" s="50" t="str">
        <f ca="1">IF(クライアント抽出!P30&lt;&gt;"",SUBSTITUTE(ADDRESS(1,(CODE(クライアント抽出!P30)-64)*2-1,4),"1",""),"")</f>
        <v/>
      </c>
      <c r="L30" s="50" t="str">
        <f>IF(C30&lt;&gt;"",クライアント抽出!I30,"")</f>
        <v/>
      </c>
      <c r="M30" s="50">
        <f t="array" aca="1" ref="M30" ca="1">IF(C30&lt;&gt;"",
IF(K30&lt;&gt;"",INDIRECT("'数出表_Excel（アレルギー入力）'!"&amp;K30&amp;L30-1&amp;""),),)</f>
        <v>0</v>
      </c>
      <c r="N30" s="50" t="str">
        <f>IF(C30&lt;&gt;"",IF(OR(COUNTIF('盛付札（関数）'!D30,"*赤*"),COUNTIF('盛付札（関数）'!D30,"*キャラ*")),1,
VLOOKUP("*"&amp;D30&amp;"*",商品マスタ一覧!D:H,5,FALSE)),"")</f>
        <v/>
      </c>
      <c r="O30" s="50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50">
        <f t="shared" si="0"/>
        <v>0</v>
      </c>
      <c r="Q30" s="50" t="b">
        <f t="shared" si="1"/>
        <v>0</v>
      </c>
      <c r="R30" s="134" t="str">
        <f t="array" aca="1" ref="R30" ca="1">IFERROR(SMALL(IF(P$1:P$311&lt;&gt;0,P$1:P$311),ROW(A30)),"")</f>
        <v/>
      </c>
      <c r="S30" s="134" t="str">
        <f t="array" aca="1" ref="S30" ca="1">IF($R30&lt;&gt;"",
SUBSTITUTE(SUBSTITUTE(INDIRECT("C"&amp;$R30&amp;"")," 週3ｺｰｽ","")," 週5ｺｰｽ",""),"")</f>
        <v/>
      </c>
      <c r="T30" s="134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135" t="str">
        <f t="array" aca="1" ref="U30" ca="1">IF($R30&lt;&gt;"",
INDIRECT("F"&amp;$R30&amp;""),"")</f>
        <v/>
      </c>
      <c r="V30" s="134" t="str">
        <f t="array" aca="1" ref="V30" ca="1">IF($R30&lt;&gt;"",
INDIRECT("G"&amp;$R30&amp;""),"")</f>
        <v/>
      </c>
      <c r="W30" s="134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IF(OR(COUNTIF(INDIRECT("B"&amp;R30&amp;""),"*雙葉先生*"),COUNTIF(INDIRECT("B"&amp;R30-1&amp;""),"*雙葉*")),INDIRECT("H"&amp;R30&amp;""),INDIRECT("H"&amp;R30&amp;"")+INDIRECT("H"&amp;MATCH("雙葉'",INDIRECT("B"&amp;R30+3&amp;":B210"),0)+2+R30&amp;"")),
IF(AND(LEFT(INDIRECT("B"&amp;R30&amp;""),2)="博多",COUNTIF(B:B,"*博多*")&gt;=2),
INDIRECT("H"&amp;R30&amp;"")+INDIRECT("H"&amp;MATCH("*"&amp;INDIRECT("B"&amp;R30&amp;"")&amp;"*",INDIRECT("B"&amp;R30+1&amp;":B210"),0)+R30&amp;""),
IF(AND(LEFT(INDIRECT("B"&amp;R30&amp;""),3)="奈良屋",COUNTIF(B:B,"*奈良屋*")&gt;=2),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134" t="str">
        <f t="array" aca="1" ref="X30" ca="1">IF($R30&lt;&gt;"",
INDIRECT(""&amp;IF(COLUMN(I30)&lt;=26,CHAR(COLUMN(I30)+64),CHAR(INT((COLUMN(I30)-1)/26)+64)&amp;CHAR(MOD(COLUMN(I30)-1,26)+65))&amp;$R30&amp;""),"")</f>
        <v/>
      </c>
      <c r="Y30" s="134" t="str">
        <f t="array" aca="1" ref="Y30" ca="1">IF($R30&lt;&gt;"",
INDIRECT(""&amp;IF(COLUMN(J30)&lt;=26,CHAR(COLUMN(J30)+64),CHAR(INT((COLUMN(J30)-1)/26)+64)&amp;CHAR(MOD(COLUMN(J30)-1,26)+65))&amp;$R30&amp;""),"")</f>
        <v/>
      </c>
      <c r="Z30" s="134" t="str">
        <f t="shared" ca="1" si="2"/>
        <v/>
      </c>
      <c r="AA30" s="134" t="str">
        <f t="shared" ca="1" si="3"/>
        <v/>
      </c>
      <c r="AB30" s="134" t="str">
        <f t="array" aca="1" ref="AB30" ca="1">IF($R30&lt;&gt;"",
IF(AND(COUNTIF(INDIRECT("B"&amp;R30&amp;""),"*雙葉*"),COUNTIF(B:B,"*雙葉*")&gt;=2),
INDIRECT("M"&amp;R30&amp;"")+INDIRECT("M"&amp;MATCH("雙葉'",INDIRECT("B"&amp;R30+1&amp;":B210"),0)+R30&amp;""),
IF(AND(LEFT(INDIRECT("B"&amp;R30&amp;""),2)="博多",COUNTIF(B:B,"*博多*")&gt;=2),
INDIRECT("M"&amp;R30&amp;"")+INDIRECT("M"&amp;MATCH("*"&amp;INDIRECT("B"&amp;R30&amp;"")&amp;"*",INDIRECT("B"&amp;R30+1&amp;":B210"),0)+R30&amp;""),
IF(AND(LEFT(INDIRECT("B"&amp;R30&amp;""),3)="奈良屋",COUNTIF(B:B,"*奈良屋*")&gt;=2),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  <c r="AC30" s="134" t="str">
        <f ca="1">IF(S30&lt;&gt;"",INDEX(A:A, MATCH("*"&amp;LEFT(S30,4)&amp;"*", C:C, 0)),"")</f>
        <v/>
      </c>
      <c r="AD30" s="49" t="str">
        <f ca="1">IFERROR(INDEX(AC:AC,MATCH(SMALL($AU:$AU,ROW()+3),$AU:$AU,0)),"")</f>
        <v/>
      </c>
      <c r="AE30" s="49" t="str">
        <f ca="1">IFERROR(INDEX(R:R,MATCH(SMALL($AU:$AU,ROW()+3),$AU:$AU,0)),"")</f>
        <v/>
      </c>
      <c r="AF30" s="49" t="str">
        <f ca="1">IFERROR(INDEX(S:S,MATCH(SMALL($AU:$AU,ROW()+3),$AU:$AU,0)),"")</f>
        <v/>
      </c>
      <c r="AG30" s="49" t="str">
        <f ca="1">IFERROR(INDEX(T:T,MATCH(SMALL($AU:$AU,ROW()+3),$AU:$AU,0)),"")</f>
        <v/>
      </c>
      <c r="AH30" s="122" t="str">
        <f ca="1">IFERROR(INDEX(U:U,MATCH(SMALL($AU:$AU,ROW()+3),$AU:$AU,0)),"")</f>
        <v/>
      </c>
      <c r="AI30" s="49" t="str">
        <f ca="1">IFERROR(INDEX(V:V,MATCH(SMALL($AU:$AU,ROW()+3),$AU:$AU,0)),"")</f>
        <v/>
      </c>
      <c r="AJ30" s="49" t="str">
        <f ca="1">IFERROR(INDEX(W:W,MATCH(SMALL($AU:$AU,ROW()+3),$AU:$AU,0)),"")</f>
        <v/>
      </c>
      <c r="AK30" s="49" t="str">
        <f ca="1">IFERROR(INDEX(X:X,MATCH(SMALL($AU:$AU,ROW()+3),$AU:$AU,0)),"")</f>
        <v/>
      </c>
      <c r="AL30" s="49" t="str">
        <f ca="1">IFERROR(INDEX(Y:Y,MATCH(SMALL($AU:$AU,ROW()+3),$AU:$AU,0)),"")</f>
        <v/>
      </c>
      <c r="AM30" s="49" t="str">
        <f ca="1">IFERROR(INDEX(Z:Z,MATCH(SMALL($AU:$AU,ROW()+3),$AU:$AU,0)),"")</f>
        <v/>
      </c>
      <c r="AN30" s="49" t="str">
        <f ca="1">IFERROR(INDEX(AA:AA,MATCH(SMALL($AU:$AU,ROW()+3),$AU:$AU,0)),"")</f>
        <v/>
      </c>
      <c r="AO30" s="49" t="str">
        <f ca="1">IFERROR(INDEX(AB:AB,MATCH(SMALL($AU:$AU,ROW()+3),$AU:$AU,0)),"")</f>
        <v/>
      </c>
      <c r="AP30" s="49" t="str">
        <f ca="1">IFERROR(INDEX(AC:AC,MATCH(SMALL($AU:$AU,ROW()+3),$AU:$AU,0)),"")</f>
        <v/>
      </c>
      <c r="AU30" s="49" t="str">
        <f t="shared" ca="1" si="6"/>
        <v/>
      </c>
    </row>
    <row r="31" spans="1:47" ht="22.2" customHeight="1">
      <c r="A31" s="108">
        <f t="shared" si="4"/>
        <v>67</v>
      </c>
      <c r="B31" s="50" t="str">
        <f t="shared" si="5"/>
        <v/>
      </c>
      <c r="C31" s="50" t="str">
        <f>IF(OR(クライアント抽出!B31&lt;&gt;"",クライアント抽出!E31&lt;&gt;""),クライアント抽出!A31,"")</f>
        <v/>
      </c>
      <c r="D31" s="50" t="str">
        <f t="array" aca="1" ref="D31" ca="1">IF(C31&lt;&gt;"",INDIRECT("クライアント抽出!"&amp;E31&amp;MATCH(C31,クライアント抽出!A:A,0)&amp;""),"")</f>
        <v/>
      </c>
      <c r="E31" s="50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51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50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06" t="str">
        <f>IF(C31&lt;&gt;"",
クライアント抽出!B31,"")</f>
        <v/>
      </c>
      <c r="I31" s="50" t="str">
        <f t="array" aca="1" ref="I31" ca="1">IF(C31&lt;&gt;"",
IF(O31=1,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INDIRECT("数出表_Excel!"&amp;INDEX(_xlfn.UNIQUE(_xlfn._xlws.FILTER(クライアント抽出!P31:U31,COUNTIF(クライアント抽出!P31:U31,クライアント抽出!P31:U31)&gt;1)),1)&amp;L31&amp;""),0),クライアント抽出!E31),"")</f>
        <v/>
      </c>
      <c r="J31" s="50" t="str">
        <f>IF(C31&lt;&gt;"",
VLOOKUP(
"*"&amp;LEFT(IF(COUNTIF(D31,"*学食*"),"キャラ弁（学食）",
IF(COUNTIF(D31,"*赤*"),"赤",
IF(COUNTIF(D31,"*キャラ弁当*"),"キャラ弁当",D31))),4)&amp;"*",注文弁当の抽出!$E$1:$F$15,2,FALSE),"")</f>
        <v/>
      </c>
      <c r="K31" s="50" t="str">
        <f ca="1">IF(クライアント抽出!P31&lt;&gt;"",SUBSTITUTE(ADDRESS(1,(CODE(クライアント抽出!P31)-64)*2-1,4),"1",""),"")</f>
        <v/>
      </c>
      <c r="L31" s="50" t="str">
        <f>IF(C31&lt;&gt;"",クライアント抽出!I31,"")</f>
        <v/>
      </c>
      <c r="M31" s="50">
        <f t="array" aca="1" ref="M31" ca="1">IF(C31&lt;&gt;"",
IF(K31&lt;&gt;"",INDIRECT("'数出表_Excel（アレルギー入力）'!"&amp;K31&amp;L31-1&amp;""),),)</f>
        <v>0</v>
      </c>
      <c r="N31" s="50" t="str">
        <f>IF(C31&lt;&gt;"",IF(OR(COUNTIF('盛付札（関数）'!D31,"*赤*"),COUNTIF('盛付札（関数）'!D31,"*キャラ*")),1,
VLOOKUP("*"&amp;D31&amp;"*",商品マスタ一覧!D:H,5,FALSE)),"")</f>
        <v/>
      </c>
      <c r="O31" s="50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50">
        <f t="shared" si="0"/>
        <v>0</v>
      </c>
      <c r="Q31" s="50" t="b">
        <f t="shared" si="1"/>
        <v>0</v>
      </c>
      <c r="R31" s="134" t="str">
        <f t="array" aca="1" ref="R31" ca="1">IFERROR(SMALL(IF(P$1:P$311&lt;&gt;0,P$1:P$311),ROW(A31)),"")</f>
        <v/>
      </c>
      <c r="S31" s="134" t="str">
        <f t="array" aca="1" ref="S31" ca="1">IF($R31&lt;&gt;"",
SUBSTITUTE(SUBSTITUTE(INDIRECT("C"&amp;$R31&amp;"")," 週3ｺｰｽ","")," 週5ｺｰｽ",""),"")</f>
        <v/>
      </c>
      <c r="T31" s="134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135" t="str">
        <f t="array" aca="1" ref="U31" ca="1">IF($R31&lt;&gt;"",
INDIRECT("F"&amp;$R31&amp;""),"")</f>
        <v/>
      </c>
      <c r="V31" s="134" t="str">
        <f t="array" aca="1" ref="V31" ca="1">IF($R31&lt;&gt;"",
INDIRECT("G"&amp;$R31&amp;""),"")</f>
        <v/>
      </c>
      <c r="W31" s="134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IF(OR(COUNTIF(INDIRECT("B"&amp;R31&amp;""),"*雙葉先生*"),COUNTIF(INDIRECT("B"&amp;R31-1&amp;""),"*雙葉*")),INDIRECT("H"&amp;R31&amp;""),INDIRECT("H"&amp;R31&amp;"")+INDIRECT("H"&amp;MATCH("雙葉'",INDIRECT("B"&amp;R31+3&amp;":B210"),0)+2+R31&amp;"")),
IF(AND(LEFT(INDIRECT("B"&amp;R31&amp;""),2)="博多",COUNTIF(B:B,"*博多*")&gt;=2),
INDIRECT("H"&amp;R31&amp;"")+INDIRECT("H"&amp;MATCH("*"&amp;INDIRECT("B"&amp;R31&amp;"")&amp;"*",INDIRECT("B"&amp;R31+1&amp;":B210"),0)+R31&amp;""),
IF(AND(LEFT(INDIRECT("B"&amp;R31&amp;""),3)="奈良屋",COUNTIF(B:B,"*奈良屋*")&gt;=2),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134" t="str">
        <f t="array" aca="1" ref="X31" ca="1">IF($R31&lt;&gt;"",
INDIRECT(""&amp;IF(COLUMN(I31)&lt;=26,CHAR(COLUMN(I31)+64),CHAR(INT((COLUMN(I31)-1)/26)+64)&amp;CHAR(MOD(COLUMN(I31)-1,26)+65))&amp;$R31&amp;""),"")</f>
        <v/>
      </c>
      <c r="Y31" s="134" t="str">
        <f t="array" aca="1" ref="Y31" ca="1">IF($R31&lt;&gt;"",
INDIRECT(""&amp;IF(COLUMN(J31)&lt;=26,CHAR(COLUMN(J31)+64),CHAR(INT((COLUMN(J31)-1)/26)+64)&amp;CHAR(MOD(COLUMN(J31)-1,26)+65))&amp;$R31&amp;""),"")</f>
        <v/>
      </c>
      <c r="Z31" s="134" t="str">
        <f t="shared" ca="1" si="2"/>
        <v/>
      </c>
      <c r="AA31" s="134" t="str">
        <f t="shared" ca="1" si="3"/>
        <v/>
      </c>
      <c r="AB31" s="134" t="str">
        <f t="array" aca="1" ref="AB31" ca="1">IF($R31&lt;&gt;"",
IF(AND(COUNTIF(INDIRECT("B"&amp;R31&amp;""),"*雙葉*"),COUNTIF(B:B,"*雙葉*")&gt;=2),
INDIRECT("M"&amp;R31&amp;"")+INDIRECT("M"&amp;MATCH("雙葉'",INDIRECT("B"&amp;R31+1&amp;":B210"),0)+R31&amp;""),
IF(AND(LEFT(INDIRECT("B"&amp;R31&amp;""),2)="博多",COUNTIF(B:B,"*博多*")&gt;=2),
INDIRECT("M"&amp;R31&amp;"")+INDIRECT("M"&amp;MATCH("*"&amp;INDIRECT("B"&amp;R31&amp;"")&amp;"*",INDIRECT("B"&amp;R31+1&amp;":B210"),0)+R31&amp;""),
IF(AND(LEFT(INDIRECT("B"&amp;R31&amp;""),3)="奈良屋",COUNTIF(B:B,"*奈良屋*")&gt;=2),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  <c r="AC31" s="134" t="str">
        <f ca="1">IF(S31&lt;&gt;"",INDEX(A:A, MATCH("*"&amp;LEFT(S31,4)&amp;"*", C:C, 0)),"")</f>
        <v/>
      </c>
      <c r="AD31" s="49" t="str">
        <f ca="1">IFERROR(INDEX(AC:AC,MATCH(SMALL($AU:$AU,ROW()+3),$AU:$AU,0)),"")</f>
        <v/>
      </c>
      <c r="AE31" s="49" t="str">
        <f ca="1">IFERROR(INDEX(R:R,MATCH(SMALL($AU:$AU,ROW()+3),$AU:$AU,0)),"")</f>
        <v/>
      </c>
      <c r="AF31" s="49" t="str">
        <f ca="1">IFERROR(INDEX(S:S,MATCH(SMALL($AU:$AU,ROW()+3),$AU:$AU,0)),"")</f>
        <v/>
      </c>
      <c r="AG31" s="49" t="str">
        <f ca="1">IFERROR(INDEX(T:T,MATCH(SMALL($AU:$AU,ROW()+3),$AU:$AU,0)),"")</f>
        <v/>
      </c>
      <c r="AH31" s="122" t="str">
        <f ca="1">IFERROR(INDEX(U:U,MATCH(SMALL($AU:$AU,ROW()+3),$AU:$AU,0)),"")</f>
        <v/>
      </c>
      <c r="AI31" s="49" t="str">
        <f ca="1">IFERROR(INDEX(V:V,MATCH(SMALL($AU:$AU,ROW()+3),$AU:$AU,0)),"")</f>
        <v/>
      </c>
      <c r="AJ31" s="49" t="str">
        <f ca="1">IFERROR(INDEX(W:W,MATCH(SMALL($AU:$AU,ROW()+3),$AU:$AU,0)),"")</f>
        <v/>
      </c>
      <c r="AK31" s="49" t="str">
        <f ca="1">IFERROR(INDEX(X:X,MATCH(SMALL($AU:$AU,ROW()+3),$AU:$AU,0)),"")</f>
        <v/>
      </c>
      <c r="AL31" s="49" t="str">
        <f ca="1">IFERROR(INDEX(Y:Y,MATCH(SMALL($AU:$AU,ROW()+3),$AU:$AU,0)),"")</f>
        <v/>
      </c>
      <c r="AM31" s="49" t="str">
        <f ca="1">IFERROR(INDEX(Z:Z,MATCH(SMALL($AU:$AU,ROW()+3),$AU:$AU,0)),"")</f>
        <v/>
      </c>
      <c r="AN31" s="49" t="str">
        <f ca="1">IFERROR(INDEX(AA:AA,MATCH(SMALL($AU:$AU,ROW()+3),$AU:$AU,0)),"")</f>
        <v/>
      </c>
      <c r="AO31" s="49" t="str">
        <f ca="1">IFERROR(INDEX(AB:AB,MATCH(SMALL($AU:$AU,ROW()+3),$AU:$AU,0)),"")</f>
        <v/>
      </c>
      <c r="AP31" s="49" t="str">
        <f ca="1">IFERROR(INDEX(AC:AC,MATCH(SMALL($AU:$AU,ROW()+3),$AU:$AU,0)),"")</f>
        <v/>
      </c>
      <c r="AU31" s="49" t="str">
        <f t="shared" ca="1" si="6"/>
        <v/>
      </c>
    </row>
    <row r="32" spans="1:47" ht="18" customHeight="1">
      <c r="A32" s="108">
        <f t="shared" si="4"/>
        <v>69</v>
      </c>
      <c r="B32" s="50" t="str">
        <f t="shared" si="5"/>
        <v/>
      </c>
      <c r="C32" s="50" t="str">
        <f>IF(OR(クライアント抽出!B32&lt;&gt;"",クライアント抽出!E32&lt;&gt;""),クライアント抽出!A32,"")</f>
        <v/>
      </c>
      <c r="D32" s="50" t="str">
        <f t="array" aca="1" ref="D32" ca="1">IF(C32&lt;&gt;"",INDIRECT("クライアント抽出!"&amp;E32&amp;MATCH(C32,クライアント抽出!A:A,0)&amp;""),"")</f>
        <v/>
      </c>
      <c r="E32" s="50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51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50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06" t="str">
        <f>IF(C32&lt;&gt;"",
クライアント抽出!B32,"")</f>
        <v/>
      </c>
      <c r="I32" s="50" t="str">
        <f t="array" aca="1" ref="I32" ca="1">IF(C32&lt;&gt;"",
IF(O32=1,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INDIRECT("数出表_Excel!"&amp;INDEX(_xlfn.UNIQUE(_xlfn._xlws.FILTER(クライアント抽出!P32:U32,COUNTIF(クライアント抽出!P32:U32,クライアント抽出!P32:U32)&gt;1)),1)&amp;L32&amp;""),0),クライアント抽出!E32),"")</f>
        <v/>
      </c>
      <c r="J32" s="50" t="str">
        <f>IF(C32&lt;&gt;"",
VLOOKUP(
"*"&amp;LEFT(IF(COUNTIF(D32,"*学食*"),"キャラ弁（学食）",
IF(COUNTIF(D32,"*赤*"),"赤",
IF(COUNTIF(D32,"*キャラ弁当*"),"キャラ弁当",D32))),4)&amp;"*",注文弁当の抽出!$E$1:$F$15,2,FALSE),"")</f>
        <v/>
      </c>
      <c r="K32" s="50" t="str">
        <f ca="1">IF(クライアント抽出!P32&lt;&gt;"",SUBSTITUTE(ADDRESS(1,(CODE(クライアント抽出!P32)-64)*2-1,4),"1",""),"")</f>
        <v/>
      </c>
      <c r="L32" s="50" t="str">
        <f>IF(C32&lt;&gt;"",クライアント抽出!I32,"")</f>
        <v/>
      </c>
      <c r="M32" s="50">
        <f t="array" aca="1" ref="M32" ca="1">IF(C32&lt;&gt;"",
IF(K32&lt;&gt;"",INDIRECT("'数出表_Excel（アレルギー入力）'!"&amp;K32&amp;L32-1&amp;""),),)</f>
        <v>0</v>
      </c>
      <c r="N32" s="50" t="str">
        <f>IF(C32&lt;&gt;"",IF(OR(COUNTIF('盛付札（関数）'!D32,"*赤*"),COUNTIF('盛付札（関数）'!D32,"*キャラ*")),1,
VLOOKUP("*"&amp;D32&amp;"*",商品マスタ一覧!D:H,5,FALSE)),"")</f>
        <v/>
      </c>
      <c r="O32" s="50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50">
        <f t="shared" si="0"/>
        <v>0</v>
      </c>
      <c r="Q32" s="50" t="b">
        <f t="shared" si="1"/>
        <v>0</v>
      </c>
      <c r="R32" s="134" t="str">
        <f t="array" aca="1" ref="R32" ca="1">IFERROR(SMALL(IF(P$1:P$311&lt;&gt;0,P$1:P$311),ROW(A32)),"")</f>
        <v/>
      </c>
      <c r="S32" s="134" t="str">
        <f t="array" aca="1" ref="S32" ca="1">IF($R32&lt;&gt;"",
SUBSTITUTE(SUBSTITUTE(INDIRECT("C"&amp;$R32&amp;"")," 週3ｺｰｽ","")," 週5ｺｰｽ",""),"")</f>
        <v/>
      </c>
      <c r="T32" s="134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135" t="str">
        <f t="array" aca="1" ref="U32" ca="1">IF($R32&lt;&gt;"",
INDIRECT("F"&amp;$R32&amp;""),"")</f>
        <v/>
      </c>
      <c r="V32" s="134" t="str">
        <f t="array" aca="1" ref="V32" ca="1">IF($R32&lt;&gt;"",
INDIRECT("G"&amp;$R32&amp;""),"")</f>
        <v/>
      </c>
      <c r="W32" s="134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IF(OR(COUNTIF(INDIRECT("B"&amp;R32&amp;""),"*雙葉先生*"),COUNTIF(INDIRECT("B"&amp;R32-1&amp;""),"*雙葉*")),INDIRECT("H"&amp;R32&amp;""),INDIRECT("H"&amp;R32&amp;"")+INDIRECT("H"&amp;MATCH("雙葉'",INDIRECT("B"&amp;R32+3&amp;":B210"),0)+2+R32&amp;"")),
IF(AND(LEFT(INDIRECT("B"&amp;R32&amp;""),2)="博多",COUNTIF(B:B,"*博多*")&gt;=2),
INDIRECT("H"&amp;R32&amp;"")+INDIRECT("H"&amp;MATCH("*"&amp;INDIRECT("B"&amp;R32&amp;"")&amp;"*",INDIRECT("B"&amp;R32+1&amp;":B210"),0)+R32&amp;""),
IF(AND(LEFT(INDIRECT("B"&amp;R32&amp;""),3)="奈良屋",COUNTIF(B:B,"*奈良屋*")&gt;=2),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134" t="str">
        <f t="array" aca="1" ref="X32" ca="1">IF($R32&lt;&gt;"",
INDIRECT(""&amp;IF(COLUMN(I32)&lt;=26,CHAR(COLUMN(I32)+64),CHAR(INT((COLUMN(I32)-1)/26)+64)&amp;CHAR(MOD(COLUMN(I32)-1,26)+65))&amp;$R32&amp;""),"")</f>
        <v/>
      </c>
      <c r="Y32" s="134" t="str">
        <f t="array" aca="1" ref="Y32" ca="1">IF($R32&lt;&gt;"",
INDIRECT(""&amp;IF(COLUMN(J32)&lt;=26,CHAR(COLUMN(J32)+64),CHAR(INT((COLUMN(J32)-1)/26)+64)&amp;CHAR(MOD(COLUMN(J32)-1,26)+65))&amp;$R32&amp;""),"")</f>
        <v/>
      </c>
      <c r="Z32" s="134" t="str">
        <f t="shared" ca="1" si="2"/>
        <v/>
      </c>
      <c r="AA32" s="134" t="str">
        <f t="shared" ca="1" si="3"/>
        <v/>
      </c>
      <c r="AB32" s="134" t="str">
        <f t="array" aca="1" ref="AB32" ca="1">IF($R32&lt;&gt;"",
IF(AND(COUNTIF(INDIRECT("B"&amp;R32&amp;""),"*雙葉*"),COUNTIF(B:B,"*雙葉*")&gt;=2),
INDIRECT("M"&amp;R32&amp;"")+INDIRECT("M"&amp;MATCH("雙葉'",INDIRECT("B"&amp;R32+1&amp;":B210"),0)+R32&amp;""),
IF(AND(LEFT(INDIRECT("B"&amp;R32&amp;""),2)="博多",COUNTIF(B:B,"*博多*")&gt;=2),
INDIRECT("M"&amp;R32&amp;"")+INDIRECT("M"&amp;MATCH("*"&amp;INDIRECT("B"&amp;R32&amp;"")&amp;"*",INDIRECT("B"&amp;R32+1&amp;":B210"),0)+R32&amp;""),
IF(AND(LEFT(INDIRECT("B"&amp;R32&amp;""),3)="奈良屋",COUNTIF(B:B,"*奈良屋*")&gt;=2),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  <c r="AC32" s="134" t="str">
        <f ca="1">IF(S32&lt;&gt;"",INDEX(A:A, MATCH("*"&amp;LEFT(S32,4)&amp;"*", C:C, 0)),"")</f>
        <v/>
      </c>
      <c r="AD32" s="49" t="str">
        <f ca="1">IFERROR(INDEX(AC:AC,MATCH(SMALL($AU:$AU,ROW()+3),$AU:$AU,0)),"")</f>
        <v/>
      </c>
      <c r="AE32" s="49" t="str">
        <f ca="1">IFERROR(INDEX(R:R,MATCH(SMALL($AU:$AU,ROW()+3),$AU:$AU,0)),"")</f>
        <v/>
      </c>
      <c r="AF32" s="49" t="str">
        <f ca="1">IFERROR(INDEX(S:S,MATCH(SMALL($AU:$AU,ROW()+3),$AU:$AU,0)),"")</f>
        <v/>
      </c>
      <c r="AG32" s="49" t="str">
        <f ca="1">IFERROR(INDEX(T:T,MATCH(SMALL($AU:$AU,ROW()+3),$AU:$AU,0)),"")</f>
        <v/>
      </c>
      <c r="AH32" s="122" t="str">
        <f ca="1">IFERROR(INDEX(U:U,MATCH(SMALL($AU:$AU,ROW()+3),$AU:$AU,0)),"")</f>
        <v/>
      </c>
      <c r="AI32" s="49" t="str">
        <f ca="1">IFERROR(INDEX(V:V,MATCH(SMALL($AU:$AU,ROW()+3),$AU:$AU,0)),"")</f>
        <v/>
      </c>
      <c r="AJ32" s="49" t="str">
        <f ca="1">IFERROR(INDEX(W:W,MATCH(SMALL($AU:$AU,ROW()+3),$AU:$AU,0)),"")</f>
        <v/>
      </c>
      <c r="AK32" s="49" t="str">
        <f ca="1">IFERROR(INDEX(X:X,MATCH(SMALL($AU:$AU,ROW()+3),$AU:$AU,0)),"")</f>
        <v/>
      </c>
      <c r="AL32" s="49" t="str">
        <f ca="1">IFERROR(INDEX(Y:Y,MATCH(SMALL($AU:$AU,ROW()+3),$AU:$AU,0)),"")</f>
        <v/>
      </c>
      <c r="AM32" s="49" t="str">
        <f ca="1">IFERROR(INDEX(Z:Z,MATCH(SMALL($AU:$AU,ROW()+3),$AU:$AU,0)),"")</f>
        <v/>
      </c>
      <c r="AN32" s="49" t="str">
        <f ca="1">IFERROR(INDEX(AA:AA,MATCH(SMALL($AU:$AU,ROW()+3),$AU:$AU,0)),"")</f>
        <v/>
      </c>
      <c r="AO32" s="49" t="str">
        <f ca="1">IFERROR(INDEX(AB:AB,MATCH(SMALL($AU:$AU,ROW()+3),$AU:$AU,0)),"")</f>
        <v/>
      </c>
      <c r="AP32" s="49" t="str">
        <f ca="1">IFERROR(INDEX(AC:AC,MATCH(SMALL($AU:$AU,ROW()+3),$AU:$AU,0)),"")</f>
        <v/>
      </c>
      <c r="AU32" s="49" t="str">
        <f t="shared" ca="1" si="6"/>
        <v/>
      </c>
    </row>
    <row r="33" spans="1:47" ht="18" customHeight="1">
      <c r="A33" s="108">
        <f t="shared" si="4"/>
        <v>71</v>
      </c>
      <c r="B33" s="50" t="str">
        <f t="shared" si="5"/>
        <v/>
      </c>
      <c r="C33" s="50" t="str">
        <f>IF(OR(クライアント抽出!B33&lt;&gt;"",クライアント抽出!E33&lt;&gt;""),クライアント抽出!A33,"")</f>
        <v/>
      </c>
      <c r="D33" s="50" t="str">
        <f t="array" aca="1" ref="D33" ca="1">IF(C33&lt;&gt;"",INDIRECT("クライアント抽出!"&amp;E33&amp;MATCH(C33,クライアント抽出!A:A,0)&amp;""),"")</f>
        <v/>
      </c>
      <c r="E33" s="50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51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50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06" t="str">
        <f>IF(C33&lt;&gt;"",
クライアント抽出!B33,"")</f>
        <v/>
      </c>
      <c r="I33" s="50" t="str">
        <f t="array" aca="1" ref="I33" ca="1">IF(C33&lt;&gt;"",
IF(O33=1,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INDIRECT("数出表_Excel!"&amp;INDEX(_xlfn.UNIQUE(_xlfn._xlws.FILTER(クライアント抽出!P33:U33,COUNTIF(クライアント抽出!P33:U33,クライアント抽出!P33:U33)&gt;1)),1)&amp;L33&amp;""),0),クライアント抽出!E33),"")</f>
        <v/>
      </c>
      <c r="J33" s="50" t="str">
        <f>IF(C33&lt;&gt;"",
VLOOKUP(
"*"&amp;LEFT(IF(COUNTIF(D33,"*学食*"),"キャラ弁（学食）",
IF(COUNTIF(D33,"*赤*"),"赤",
IF(COUNTIF(D33,"*キャラ弁当*"),"キャラ弁当",D33))),4)&amp;"*",注文弁当の抽出!$E$1:$F$15,2,FALSE),"")</f>
        <v/>
      </c>
      <c r="K33" s="50" t="str">
        <f ca="1">IF(クライアント抽出!P33&lt;&gt;"",SUBSTITUTE(ADDRESS(1,(CODE(クライアント抽出!P33)-64)*2-1,4),"1",""),"")</f>
        <v/>
      </c>
      <c r="L33" s="50" t="str">
        <f>IF(C33&lt;&gt;"",クライアント抽出!I33,"")</f>
        <v/>
      </c>
      <c r="M33" s="50">
        <f t="array" aca="1" ref="M33" ca="1">IF(C33&lt;&gt;"",
IF(K33&lt;&gt;"",INDIRECT("'数出表_Excel（アレルギー入力）'!"&amp;K33&amp;L33-1&amp;""),),)</f>
        <v>0</v>
      </c>
      <c r="N33" s="50" t="str">
        <f>IF(C33&lt;&gt;"",IF(OR(COUNTIF('盛付札（関数）'!D33,"*赤*"),COUNTIF('盛付札（関数）'!D33,"*キャラ*")),1,
VLOOKUP("*"&amp;D33&amp;"*",商品マスタ一覧!D:H,5,FALSE)),"")</f>
        <v/>
      </c>
      <c r="O33" s="50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50">
        <f t="shared" si="0"/>
        <v>0</v>
      </c>
      <c r="Q33" s="50" t="b">
        <f t="shared" si="1"/>
        <v>0</v>
      </c>
      <c r="R33" s="134" t="str">
        <f t="array" aca="1" ref="R33" ca="1">IFERROR(SMALL(IF(P$1:P$311&lt;&gt;0,P$1:P$311),ROW(A33)),"")</f>
        <v/>
      </c>
      <c r="S33" s="134" t="str">
        <f t="array" aca="1" ref="S33" ca="1">IF($R33&lt;&gt;"",
SUBSTITUTE(SUBSTITUTE(INDIRECT("C"&amp;$R33&amp;"")," 週3ｺｰｽ","")," 週5ｺｰｽ",""),"")</f>
        <v/>
      </c>
      <c r="T33" s="134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135" t="str">
        <f t="array" aca="1" ref="U33" ca="1">IF($R33&lt;&gt;"",
INDIRECT("F"&amp;$R33&amp;""),"")</f>
        <v/>
      </c>
      <c r="V33" s="134" t="str">
        <f t="array" aca="1" ref="V33" ca="1">IF($R33&lt;&gt;"",
INDIRECT("G"&amp;$R33&amp;""),"")</f>
        <v/>
      </c>
      <c r="W33" s="134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IF(OR(COUNTIF(INDIRECT("B"&amp;R33&amp;""),"*雙葉先生*"),COUNTIF(INDIRECT("B"&amp;R33-1&amp;""),"*雙葉*")),INDIRECT("H"&amp;R33&amp;""),INDIRECT("H"&amp;R33&amp;"")+INDIRECT("H"&amp;MATCH("雙葉'",INDIRECT("B"&amp;R33+3&amp;":B210"),0)+2+R33&amp;"")),
IF(AND(LEFT(INDIRECT("B"&amp;R33&amp;""),2)="博多",COUNTIF(B:B,"*博多*")&gt;=2),
INDIRECT("H"&amp;R33&amp;"")+INDIRECT("H"&amp;MATCH("*"&amp;INDIRECT("B"&amp;R33&amp;"")&amp;"*",INDIRECT("B"&amp;R33+1&amp;":B210"),0)+R33&amp;""),
IF(AND(LEFT(INDIRECT("B"&amp;R33&amp;""),3)="奈良屋",COUNTIF(B:B,"*奈良屋*")&gt;=2),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134" t="str">
        <f t="array" aca="1" ref="X33" ca="1">IF($R33&lt;&gt;"",
INDIRECT(""&amp;IF(COLUMN(I33)&lt;=26,CHAR(COLUMN(I33)+64),CHAR(INT((COLUMN(I33)-1)/26)+64)&amp;CHAR(MOD(COLUMN(I33)-1,26)+65))&amp;$R33&amp;""),"")</f>
        <v/>
      </c>
      <c r="Y33" s="134" t="str">
        <f t="array" aca="1" ref="Y33" ca="1">IF($R33&lt;&gt;"",
INDIRECT(""&amp;IF(COLUMN(J33)&lt;=26,CHAR(COLUMN(J33)+64),CHAR(INT((COLUMN(J33)-1)/26)+64)&amp;CHAR(MOD(COLUMN(J33)-1,26)+65))&amp;$R33&amp;""),"")</f>
        <v/>
      </c>
      <c r="Z33" s="134" t="str">
        <f t="shared" ca="1" si="2"/>
        <v/>
      </c>
      <c r="AA33" s="134" t="str">
        <f t="shared" ca="1" si="3"/>
        <v/>
      </c>
      <c r="AB33" s="134" t="str">
        <f t="array" aca="1" ref="AB33" ca="1">IF($R33&lt;&gt;"",
IF(AND(COUNTIF(INDIRECT("B"&amp;R33&amp;""),"*雙葉*"),COUNTIF(B:B,"*雙葉*")&gt;=2),
INDIRECT("M"&amp;R33&amp;"")+INDIRECT("M"&amp;MATCH("雙葉'",INDIRECT("B"&amp;R33+1&amp;":B210"),0)+R33&amp;""),
IF(AND(LEFT(INDIRECT("B"&amp;R33&amp;""),2)="博多",COUNTIF(B:B,"*博多*")&gt;=2),
INDIRECT("M"&amp;R33&amp;"")+INDIRECT("M"&amp;MATCH("*"&amp;INDIRECT("B"&amp;R33&amp;"")&amp;"*",INDIRECT("B"&amp;R33+1&amp;":B210"),0)+R33&amp;""),
IF(AND(LEFT(INDIRECT("B"&amp;R33&amp;""),3)="奈良屋",COUNTIF(B:B,"*奈良屋*")&gt;=2),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  <c r="AC33" s="134" t="str">
        <f ca="1">IF(S33&lt;&gt;"",INDEX(A:A, MATCH("*"&amp;LEFT(S33,4)&amp;"*", C:C, 0)),"")</f>
        <v/>
      </c>
      <c r="AD33" s="49" t="str">
        <f ca="1">IFERROR(INDEX(AC:AC,MATCH(SMALL($AU:$AU,ROW()+3),$AU:$AU,0)),"")</f>
        <v/>
      </c>
      <c r="AE33" s="49" t="str">
        <f ca="1">IFERROR(INDEX(R:R,MATCH(SMALL($AU:$AU,ROW()+3),$AU:$AU,0)),"")</f>
        <v/>
      </c>
      <c r="AF33" s="49" t="str">
        <f ca="1">IFERROR(INDEX(S:S,MATCH(SMALL($AU:$AU,ROW()+3),$AU:$AU,0)),"")</f>
        <v/>
      </c>
      <c r="AG33" s="49" t="str">
        <f ca="1">IFERROR(INDEX(T:T,MATCH(SMALL($AU:$AU,ROW()+3),$AU:$AU,0)),"")</f>
        <v/>
      </c>
      <c r="AH33" s="122" t="str">
        <f ca="1">IFERROR(INDEX(U:U,MATCH(SMALL($AU:$AU,ROW()+3),$AU:$AU,0)),"")</f>
        <v/>
      </c>
      <c r="AI33" s="49" t="str">
        <f ca="1">IFERROR(INDEX(V:V,MATCH(SMALL($AU:$AU,ROW()+3),$AU:$AU,0)),"")</f>
        <v/>
      </c>
      <c r="AJ33" s="49" t="str">
        <f ca="1">IFERROR(INDEX(W:W,MATCH(SMALL($AU:$AU,ROW()+3),$AU:$AU,0)),"")</f>
        <v/>
      </c>
      <c r="AK33" s="49" t="str">
        <f ca="1">IFERROR(INDEX(X:X,MATCH(SMALL($AU:$AU,ROW()+3),$AU:$AU,0)),"")</f>
        <v/>
      </c>
      <c r="AL33" s="49" t="str">
        <f ca="1">IFERROR(INDEX(Y:Y,MATCH(SMALL($AU:$AU,ROW()+3),$AU:$AU,0)),"")</f>
        <v/>
      </c>
      <c r="AM33" s="49" t="str">
        <f ca="1">IFERROR(INDEX(Z:Z,MATCH(SMALL($AU:$AU,ROW()+3),$AU:$AU,0)),"")</f>
        <v/>
      </c>
      <c r="AN33" s="49" t="str">
        <f ca="1">IFERROR(INDEX(AA:AA,MATCH(SMALL($AU:$AU,ROW()+3),$AU:$AU,0)),"")</f>
        <v/>
      </c>
      <c r="AO33" s="49" t="str">
        <f ca="1">IFERROR(INDEX(AB:AB,MATCH(SMALL($AU:$AU,ROW()+3),$AU:$AU,0)),"")</f>
        <v/>
      </c>
      <c r="AP33" s="49" t="str">
        <f ca="1">IFERROR(INDEX(AC:AC,MATCH(SMALL($AU:$AU,ROW()+3),$AU:$AU,0)),"")</f>
        <v/>
      </c>
      <c r="AU33" s="49" t="str">
        <f t="shared" ca="1" si="6"/>
        <v/>
      </c>
    </row>
    <row r="34" spans="1:47" ht="22.2" customHeight="1">
      <c r="A34" s="108">
        <f t="shared" ref="A34:A70" si="7">A33+2</f>
        <v>73</v>
      </c>
      <c r="B34" s="50" t="str">
        <f t="shared" ref="B34:B65" si="8">IF(COUNTIF(C34,"*雙葉*"),
IF(COUNTIF(C34,"*先生*"),"雙葉先生","雙葉"),
IF(COUNTIF(C34,"*社食*"),"社食'",
IF(LEFT(C34,2)="博多",
IF(IFERROR(TRIM(LEFT(C33,FIND("幼",C33)-1)),TRIM(C33))=IFERROR(TRIM(LEFT(C34,FIND("幼",C34)-1)),TRIM(C34)),
IFERROR(TRIM(LEFT(C34,FIND("幼",C34)-1)),TRIM(C34))&amp;"'",IFERROR(TRIM(LEFT(C34,FIND("幼",C34)-1)),TRIM(C34))),
IF(LEFT(C34,3)="奈良屋",
IF(TRIM(LEFT(C33,FIND("幼",C33)-1))=TRIM(LEFT(C34,FIND("幼",C34)-1)),
"奈良屋'","奈良屋"),""))))</f>
        <v/>
      </c>
      <c r="C34" s="50" t="str">
        <f>IF(OR(クライアント抽出!B34&lt;&gt;"",クライアント抽出!E34&lt;&gt;""),クライアント抽出!A34,"")</f>
        <v/>
      </c>
      <c r="D34" s="50" t="str">
        <f t="array" aca="1" ref="D34" ca="1">IF(C34&lt;&gt;"",INDIRECT("クライアント抽出!"&amp;E34&amp;MATCH(C34,クライアント抽出!A:A,0)&amp;""),"")</f>
        <v/>
      </c>
      <c r="E34" s="50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51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50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06" t="str">
        <f>IF(C34&lt;&gt;"",
クライアント抽出!B34,"")</f>
        <v/>
      </c>
      <c r="I34" s="50" t="str">
        <f t="array" aca="1" ref="I34" ca="1">IF(C34&lt;&gt;"",
IF(O34=1,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INDIRECT("数出表_Excel!"&amp;INDEX(_xlfn.UNIQUE(_xlfn._xlws.FILTER(クライアント抽出!P34:U34,COUNTIF(クライアント抽出!P34:U34,クライアント抽出!P34:U34)&gt;1)),1)&amp;L34&amp;""),0),クライアント抽出!E34),"")</f>
        <v/>
      </c>
      <c r="J34" s="50" t="str">
        <f>IF(C34&lt;&gt;"",
VLOOKUP(
"*"&amp;LEFT(IF(COUNTIF(D34,"*学食*"),"キャラ弁（学食）",
IF(COUNTIF(D34,"*赤*"),"赤",
IF(COUNTIF(D34,"*キャラ弁当*"),"キャラ弁当",D34))),4)&amp;"*",注文弁当の抽出!$E$1:$F$15,2,FALSE),"")</f>
        <v/>
      </c>
      <c r="K34" s="50" t="str">
        <f ca="1">IF(クライアント抽出!P34&lt;&gt;"",SUBSTITUTE(ADDRESS(1,(CODE(クライアント抽出!P34)-64)*2-1,4),"1",""),"")</f>
        <v/>
      </c>
      <c r="L34" s="50" t="str">
        <f>IF(C34&lt;&gt;"",クライアント抽出!I34,"")</f>
        <v/>
      </c>
      <c r="M34" s="50">
        <f t="array" aca="1" ref="M34" ca="1">IF(C34&lt;&gt;"",
IF(K34&lt;&gt;"",INDIRECT("'数出表_Excel（アレルギー入力）'!"&amp;K34&amp;L34-1&amp;""),),)</f>
        <v>0</v>
      </c>
      <c r="N34" s="50" t="str">
        <f>IF(C34&lt;&gt;"",IF(OR(COUNTIF('盛付札（関数）'!D34,"*赤*"),COUNTIF('盛付札（関数）'!D34,"*キャラ*")),1,
VLOOKUP("*"&amp;D34&amp;"*",商品マスタ一覧!D:H,5,FALSE)),"")</f>
        <v/>
      </c>
      <c r="O34" s="50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50">
        <f t="shared" si="0"/>
        <v>0</v>
      </c>
      <c r="Q34" s="50" t="b">
        <f t="shared" si="1"/>
        <v>0</v>
      </c>
      <c r="R34" s="134" t="str">
        <f t="array" aca="1" ref="R34" ca="1">IFERROR(SMALL(IF(P$1:P$311&lt;&gt;0,P$1:P$311),ROW(A34)),"")</f>
        <v/>
      </c>
      <c r="S34" s="134" t="str">
        <f t="array" aca="1" ref="S34" ca="1">IF($R34&lt;&gt;"",
SUBSTITUTE(SUBSTITUTE(INDIRECT("C"&amp;$R34&amp;"")," 週3ｺｰｽ","")," 週5ｺｰｽ",""),"")</f>
        <v/>
      </c>
      <c r="T34" s="134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135" t="str">
        <f t="array" aca="1" ref="U34" ca="1">IF($R34&lt;&gt;"",
INDIRECT("F"&amp;$R34&amp;""),"")</f>
        <v/>
      </c>
      <c r="V34" s="134" t="str">
        <f t="array" aca="1" ref="V34" ca="1">IF($R34&lt;&gt;"",
INDIRECT("G"&amp;$R34&amp;""),"")</f>
        <v/>
      </c>
      <c r="W34" s="134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IF(OR(COUNTIF(INDIRECT("B"&amp;R34&amp;""),"*雙葉先生*"),COUNTIF(INDIRECT("B"&amp;R34-1&amp;""),"*雙葉*")),INDIRECT("H"&amp;R34&amp;""),INDIRECT("H"&amp;R34&amp;"")+INDIRECT("H"&amp;MATCH("雙葉'",INDIRECT("B"&amp;R34+3&amp;":B210"),0)+2+R34&amp;"")),
IF(AND(LEFT(INDIRECT("B"&amp;R34&amp;""),2)="博多",COUNTIF(B:B,"*博多*")&gt;=2),
INDIRECT("H"&amp;R34&amp;"")+INDIRECT("H"&amp;MATCH("*"&amp;INDIRECT("B"&amp;R34&amp;"")&amp;"*",INDIRECT("B"&amp;R34+1&amp;":B210"),0)+R34&amp;""),
IF(AND(LEFT(INDIRECT("B"&amp;R34&amp;""),3)="奈良屋",COUNTIF(B:B,"*奈良屋*")&gt;=2),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134" t="str">
        <f t="array" aca="1" ref="X34" ca="1">IF($R34&lt;&gt;"",
INDIRECT(""&amp;IF(COLUMN(I34)&lt;=26,CHAR(COLUMN(I34)+64),CHAR(INT((COLUMN(I34)-1)/26)+64)&amp;CHAR(MOD(COLUMN(I34)-1,26)+65))&amp;$R34&amp;""),"")</f>
        <v/>
      </c>
      <c r="Y34" s="134" t="str">
        <f t="array" aca="1" ref="Y34" ca="1">IF($R34&lt;&gt;"",
INDIRECT(""&amp;IF(COLUMN(J34)&lt;=26,CHAR(COLUMN(J34)+64),CHAR(INT((COLUMN(J34)-1)/26)+64)&amp;CHAR(MOD(COLUMN(J34)-1,26)+65))&amp;$R34&amp;""),"")</f>
        <v/>
      </c>
      <c r="Z34" s="134" t="str">
        <f t="shared" ca="1" si="2"/>
        <v/>
      </c>
      <c r="AA34" s="134" t="str">
        <f t="shared" ca="1" si="3"/>
        <v/>
      </c>
      <c r="AB34" s="134" t="str">
        <f t="array" aca="1" ref="AB34" ca="1">IF($R34&lt;&gt;"",
IF(AND(COUNTIF(INDIRECT("B"&amp;R34&amp;""),"*雙葉*"),COUNTIF(B:B,"*雙葉*")&gt;=2),
INDIRECT("M"&amp;R34&amp;"")+INDIRECT("M"&amp;MATCH("雙葉'",INDIRECT("B"&amp;R34+1&amp;":B210"),0)+R34&amp;""),
IF(AND(LEFT(INDIRECT("B"&amp;R34&amp;""),2)="博多",COUNTIF(B:B,"*博多*")&gt;=2),
INDIRECT("M"&amp;R34&amp;"")+INDIRECT("M"&amp;MATCH("*"&amp;INDIRECT("B"&amp;R34&amp;"")&amp;"*",INDIRECT("B"&amp;R34+1&amp;":B210"),0)+R34&amp;""),
IF(AND(LEFT(INDIRECT("B"&amp;R34&amp;""),3)="奈良屋",COUNTIF(B:B,"*奈良屋*")&gt;=2),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  <c r="AC34" s="134" t="str">
        <f ca="1">IF(S34&lt;&gt;"",INDEX(A:A, MATCH("*"&amp;LEFT(S34,4)&amp;"*", C:C, 0)),"")</f>
        <v/>
      </c>
      <c r="AD34" s="49" t="str">
        <f ca="1">IFERROR(INDEX(AC:AC,MATCH(SMALL($AU:$AU,ROW()+3),$AU:$AU,0)),"")</f>
        <v/>
      </c>
      <c r="AE34" s="49" t="str">
        <f ca="1">IFERROR(INDEX(R:R,MATCH(SMALL($AU:$AU,ROW()+3),$AU:$AU,0)),"")</f>
        <v/>
      </c>
      <c r="AF34" s="49" t="str">
        <f ca="1">IFERROR(INDEX(S:S,MATCH(SMALL($AU:$AU,ROW()+3),$AU:$AU,0)),"")</f>
        <v/>
      </c>
      <c r="AG34" s="49" t="str">
        <f ca="1">IFERROR(INDEX(T:T,MATCH(SMALL($AU:$AU,ROW()+3),$AU:$AU,0)),"")</f>
        <v/>
      </c>
      <c r="AH34" s="122" t="str">
        <f ca="1">IFERROR(INDEX(U:U,MATCH(SMALL($AU:$AU,ROW()+3),$AU:$AU,0)),"")</f>
        <v/>
      </c>
      <c r="AI34" s="49" t="str">
        <f ca="1">IFERROR(INDEX(V:V,MATCH(SMALL($AU:$AU,ROW()+3),$AU:$AU,0)),"")</f>
        <v/>
      </c>
      <c r="AJ34" s="49" t="str">
        <f ca="1">IFERROR(INDEX(W:W,MATCH(SMALL($AU:$AU,ROW()+3),$AU:$AU,0)),"")</f>
        <v/>
      </c>
      <c r="AK34" s="49" t="str">
        <f ca="1">IFERROR(INDEX(X:X,MATCH(SMALL($AU:$AU,ROW()+3),$AU:$AU,0)),"")</f>
        <v/>
      </c>
      <c r="AL34" s="49" t="str">
        <f ca="1">IFERROR(INDEX(Y:Y,MATCH(SMALL($AU:$AU,ROW()+3),$AU:$AU,0)),"")</f>
        <v/>
      </c>
      <c r="AM34" s="49" t="str">
        <f ca="1">IFERROR(INDEX(Z:Z,MATCH(SMALL($AU:$AU,ROW()+3),$AU:$AU,0)),"")</f>
        <v/>
      </c>
      <c r="AN34" s="49" t="str">
        <f ca="1">IFERROR(INDEX(AA:AA,MATCH(SMALL($AU:$AU,ROW()+3),$AU:$AU,0)),"")</f>
        <v/>
      </c>
      <c r="AO34" s="49" t="str">
        <f ca="1">IFERROR(INDEX(AB:AB,MATCH(SMALL($AU:$AU,ROW()+3),$AU:$AU,0)),"")</f>
        <v/>
      </c>
      <c r="AP34" s="49" t="str">
        <f ca="1">IFERROR(INDEX(AC:AC,MATCH(SMALL($AU:$AU,ROW()+3),$AU:$AU,0)),"")</f>
        <v/>
      </c>
      <c r="AU34" s="49" t="str">
        <f t="shared" ca="1" si="6"/>
        <v/>
      </c>
    </row>
    <row r="35" spans="1:47" ht="21" customHeight="1">
      <c r="A35" s="108">
        <f t="shared" si="7"/>
        <v>75</v>
      </c>
      <c r="B35" s="50" t="str">
        <f t="shared" si="8"/>
        <v/>
      </c>
      <c r="C35" s="50" t="str">
        <f>IF(OR(クライアント抽出!B35&lt;&gt;"",クライアント抽出!E35&lt;&gt;""),クライアント抽出!A35,"")</f>
        <v/>
      </c>
      <c r="D35" s="50" t="str">
        <f t="array" aca="1" ref="D35" ca="1">IF(C35&lt;&gt;"",INDIRECT("クライアント抽出!"&amp;E35&amp;MATCH(C35,クライアント抽出!A:A,0)&amp;""),"")</f>
        <v/>
      </c>
      <c r="E35" s="50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51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50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06" t="str">
        <f>IF(C35&lt;&gt;"",
クライアント抽出!B35,"")</f>
        <v/>
      </c>
      <c r="I35" s="50" t="str">
        <f t="array" aca="1" ref="I35" ca="1">IF(C35&lt;&gt;"",
IF(O35=1,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INDIRECT("数出表_Excel!"&amp;INDEX(_xlfn.UNIQUE(_xlfn._xlws.FILTER(クライアント抽出!P35:U35,COUNTIF(クライアント抽出!P35:U35,クライアント抽出!P35:U35)&gt;1)),1)&amp;L35&amp;""),0),クライアント抽出!E35),"")</f>
        <v/>
      </c>
      <c r="J35" s="50" t="str">
        <f>IF(C35&lt;&gt;"",
VLOOKUP(
"*"&amp;LEFT(IF(COUNTIF(D35,"*学食*"),"キャラ弁（学食）",
IF(COUNTIF(D35,"*赤*"),"赤",
IF(COUNTIF(D35,"*キャラ弁当*"),"キャラ弁当",D35))),4)&amp;"*",注文弁当の抽出!$E$1:$F$15,2,FALSE),"")</f>
        <v/>
      </c>
      <c r="K35" s="50" t="str">
        <f ca="1">IF(クライアント抽出!P35&lt;&gt;"",SUBSTITUTE(ADDRESS(1,(CODE(クライアント抽出!P35)-64)*2-1,4),"1",""),"")</f>
        <v/>
      </c>
      <c r="L35" s="50" t="str">
        <f>IF(C35&lt;&gt;"",クライアント抽出!I35,"")</f>
        <v/>
      </c>
      <c r="M35" s="50">
        <f t="array" aca="1" ref="M35" ca="1">IF(C35&lt;&gt;"",
IF(K35&lt;&gt;"",INDIRECT("'数出表_Excel（アレルギー入力）'!"&amp;K35&amp;L35-1&amp;""),),)</f>
        <v>0</v>
      </c>
      <c r="N35" s="50" t="str">
        <f>IF(C35&lt;&gt;"",IF(OR(COUNTIF('盛付札（関数）'!D35,"*赤*"),COUNTIF('盛付札（関数）'!D35,"*キャラ*")),1,
VLOOKUP("*"&amp;D35&amp;"*",商品マスタ一覧!D:H,5,FALSE)),"")</f>
        <v/>
      </c>
      <c r="O35" s="50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50">
        <f t="shared" si="0"/>
        <v>0</v>
      </c>
      <c r="Q35" s="50" t="b">
        <f t="shared" si="1"/>
        <v>0</v>
      </c>
      <c r="R35" s="134" t="str">
        <f t="array" aca="1" ref="R35" ca="1">IFERROR(SMALL(IF(P$1:P$311&lt;&gt;0,P$1:P$311),ROW(A35)),"")</f>
        <v/>
      </c>
      <c r="S35" s="134" t="str">
        <f t="array" aca="1" ref="S35" ca="1">IF($R35&lt;&gt;"",
SUBSTITUTE(SUBSTITUTE(INDIRECT("C"&amp;$R35&amp;"")," 週3ｺｰｽ","")," 週5ｺｰｽ",""),"")</f>
        <v/>
      </c>
      <c r="T35" s="134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135" t="str">
        <f t="array" aca="1" ref="U35" ca="1">IF($R35&lt;&gt;"",
INDIRECT("F"&amp;$R35&amp;""),"")</f>
        <v/>
      </c>
      <c r="V35" s="134" t="str">
        <f t="array" aca="1" ref="V35" ca="1">IF($R35&lt;&gt;"",
INDIRECT("G"&amp;$R35&amp;""),"")</f>
        <v/>
      </c>
      <c r="W35" s="134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IF(OR(COUNTIF(INDIRECT("B"&amp;R35&amp;""),"*雙葉先生*"),COUNTIF(INDIRECT("B"&amp;R35-1&amp;""),"*雙葉*")),INDIRECT("H"&amp;R35&amp;""),INDIRECT("H"&amp;R35&amp;"")+INDIRECT("H"&amp;MATCH("雙葉'",INDIRECT("B"&amp;R35+3&amp;":B210"),0)+2+R35&amp;"")),
IF(AND(LEFT(INDIRECT("B"&amp;R35&amp;""),2)="博多",COUNTIF(B:B,"*博多*")&gt;=2),
INDIRECT("H"&amp;R35&amp;"")+INDIRECT("H"&amp;MATCH("*"&amp;INDIRECT("B"&amp;R35&amp;"")&amp;"*",INDIRECT("B"&amp;R35+1&amp;":B210"),0)+R35&amp;""),
IF(AND(LEFT(INDIRECT("B"&amp;R35&amp;""),3)="奈良屋",COUNTIF(B:B,"*奈良屋*")&gt;=2),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134" t="str">
        <f t="array" aca="1" ref="X35" ca="1">IF($R35&lt;&gt;"",
INDIRECT(""&amp;IF(COLUMN(I35)&lt;=26,CHAR(COLUMN(I35)+64),CHAR(INT((COLUMN(I35)-1)/26)+64)&amp;CHAR(MOD(COLUMN(I35)-1,26)+65))&amp;$R35&amp;""),"")</f>
        <v/>
      </c>
      <c r="Y35" s="134" t="str">
        <f t="array" aca="1" ref="Y35" ca="1">IF($R35&lt;&gt;"",
INDIRECT(""&amp;IF(COLUMN(J35)&lt;=26,CHAR(COLUMN(J35)+64),CHAR(INT((COLUMN(J35)-1)/26)+64)&amp;CHAR(MOD(COLUMN(J35)-1,26)+65))&amp;$R35&amp;""),"")</f>
        <v/>
      </c>
      <c r="Z35" s="134" t="str">
        <f t="shared" ca="1" si="2"/>
        <v/>
      </c>
      <c r="AA35" s="134" t="str">
        <f t="shared" ca="1" si="3"/>
        <v/>
      </c>
      <c r="AB35" s="134" t="str">
        <f t="array" aca="1" ref="AB35" ca="1">IF($R35&lt;&gt;"",
IF(AND(COUNTIF(INDIRECT("B"&amp;R35&amp;""),"*雙葉*"),COUNTIF(B:B,"*雙葉*")&gt;=2),
INDIRECT("M"&amp;R35&amp;"")+INDIRECT("M"&amp;MATCH("雙葉'",INDIRECT("B"&amp;R35+1&amp;":B210"),0)+R35&amp;""),
IF(AND(LEFT(INDIRECT("B"&amp;R35&amp;""),2)="博多",COUNTIF(B:B,"*博多*")&gt;=2),
INDIRECT("M"&amp;R35&amp;"")+INDIRECT("M"&amp;MATCH("*"&amp;INDIRECT("B"&amp;R35&amp;"")&amp;"*",INDIRECT("B"&amp;R35+1&amp;":B210"),0)+R35&amp;""),
IF(AND(LEFT(INDIRECT("B"&amp;R35&amp;""),3)="奈良屋",COUNTIF(B:B,"*奈良屋*")&gt;=2),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  <c r="AC35" s="134" t="str">
        <f ca="1">IF(S35&lt;&gt;"",INDEX(A:A, MATCH("*"&amp;LEFT(S35,4)&amp;"*", C:C, 0)),"")</f>
        <v/>
      </c>
      <c r="AD35" s="49" t="str">
        <f ca="1">IFERROR(INDEX(AC:AC,MATCH(SMALL($AU:$AU,ROW()+3),$AU:$AU,0)),"")</f>
        <v/>
      </c>
      <c r="AE35" s="49" t="str">
        <f ca="1">IFERROR(INDEX(R:R,MATCH(SMALL($AU:$AU,ROW()+3),$AU:$AU,0)),"")</f>
        <v/>
      </c>
      <c r="AF35" s="49" t="str">
        <f ca="1">IFERROR(INDEX(S:S,MATCH(SMALL($AU:$AU,ROW()+3),$AU:$AU,0)),"")</f>
        <v/>
      </c>
      <c r="AG35" s="49" t="str">
        <f ca="1">IFERROR(INDEX(T:T,MATCH(SMALL($AU:$AU,ROW()+3),$AU:$AU,0)),"")</f>
        <v/>
      </c>
      <c r="AH35" s="122" t="str">
        <f ca="1">IFERROR(INDEX(U:U,MATCH(SMALL($AU:$AU,ROW()+3),$AU:$AU,0)),"")</f>
        <v/>
      </c>
      <c r="AI35" s="49" t="str">
        <f ca="1">IFERROR(INDEX(V:V,MATCH(SMALL($AU:$AU,ROW()+3),$AU:$AU,0)),"")</f>
        <v/>
      </c>
      <c r="AJ35" s="49" t="str">
        <f ca="1">IFERROR(INDEX(W:W,MATCH(SMALL($AU:$AU,ROW()+3),$AU:$AU,0)),"")</f>
        <v/>
      </c>
      <c r="AK35" s="49" t="str">
        <f ca="1">IFERROR(INDEX(X:X,MATCH(SMALL($AU:$AU,ROW()+3),$AU:$AU,0)),"")</f>
        <v/>
      </c>
      <c r="AL35" s="49" t="str">
        <f ca="1">IFERROR(INDEX(Y:Y,MATCH(SMALL($AU:$AU,ROW()+3),$AU:$AU,0)),"")</f>
        <v/>
      </c>
      <c r="AM35" s="49" t="str">
        <f ca="1">IFERROR(INDEX(Z:Z,MATCH(SMALL($AU:$AU,ROW()+3),$AU:$AU,0)),"")</f>
        <v/>
      </c>
      <c r="AN35" s="49" t="str">
        <f ca="1">IFERROR(INDEX(AA:AA,MATCH(SMALL($AU:$AU,ROW()+3),$AU:$AU,0)),"")</f>
        <v/>
      </c>
      <c r="AO35" s="49" t="str">
        <f ca="1">IFERROR(INDEX(AB:AB,MATCH(SMALL($AU:$AU,ROW()+3),$AU:$AU,0)),"")</f>
        <v/>
      </c>
      <c r="AP35" s="49" t="str">
        <f ca="1">IFERROR(INDEX(AC:AC,MATCH(SMALL($AU:$AU,ROW()+3),$AU:$AU,0)),"")</f>
        <v/>
      </c>
      <c r="AU35" s="49" t="str">
        <f t="shared" ca="1" si="6"/>
        <v/>
      </c>
    </row>
    <row r="36" spans="1:47" ht="19.2" customHeight="1">
      <c r="A36" s="108">
        <f t="shared" si="7"/>
        <v>77</v>
      </c>
      <c r="B36" s="50" t="str">
        <f t="shared" si="8"/>
        <v/>
      </c>
      <c r="C36" s="50" t="str">
        <f>IF(OR(クライアント抽出!B36&lt;&gt;"",クライアント抽出!E36&lt;&gt;""),クライアント抽出!A36,"")</f>
        <v/>
      </c>
      <c r="D36" s="50" t="str">
        <f t="array" aca="1" ref="D36" ca="1">IF(C36&lt;&gt;"",INDIRECT("クライアント抽出!"&amp;E36&amp;MATCH(C36,クライアント抽出!A:A,0)&amp;""),"")</f>
        <v/>
      </c>
      <c r="E36" s="50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51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50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06" t="str">
        <f>IF(C36&lt;&gt;"",
クライアント抽出!B36,"")</f>
        <v/>
      </c>
      <c r="I36" s="50" t="str">
        <f t="array" aca="1" ref="I36" ca="1">IF(C36&lt;&gt;"",
IF(O36=1,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INDIRECT("数出表_Excel!"&amp;INDEX(_xlfn.UNIQUE(_xlfn._xlws.FILTER(クライアント抽出!P36:U36,COUNTIF(クライアント抽出!P36:U36,クライアント抽出!P36:U36)&gt;1)),1)&amp;L36&amp;""),0),クライアント抽出!E36),"")</f>
        <v/>
      </c>
      <c r="J36" s="50" t="str">
        <f>IF(C36&lt;&gt;"",
VLOOKUP(
"*"&amp;LEFT(IF(COUNTIF(D36,"*学食*"),"キャラ弁（学食）",
IF(COUNTIF(D36,"*赤*"),"赤",
IF(COUNTIF(D36,"*キャラ弁当*"),"キャラ弁当",D36))),4)&amp;"*",注文弁当の抽出!$E$1:$F$15,2,FALSE),"")</f>
        <v/>
      </c>
      <c r="K36" s="50" t="str">
        <f ca="1">IF(クライアント抽出!P36&lt;&gt;"",SUBSTITUTE(ADDRESS(1,(CODE(クライアント抽出!P36)-64)*2-1,4),"1",""),"")</f>
        <v/>
      </c>
      <c r="L36" s="50" t="str">
        <f>IF(C36&lt;&gt;"",クライアント抽出!I36,"")</f>
        <v/>
      </c>
      <c r="M36" s="50">
        <f t="array" aca="1" ref="M36" ca="1">IF(C36&lt;&gt;"",
IF(K36&lt;&gt;"",INDIRECT("'数出表_Excel（アレルギー入力）'!"&amp;K36&amp;L36-1&amp;""),),)</f>
        <v>0</v>
      </c>
      <c r="N36" s="50" t="str">
        <f>IF(C36&lt;&gt;"",IF(OR(COUNTIF('盛付札（関数）'!D36,"*赤*"),COUNTIF('盛付札（関数）'!D36,"*キャラ*")),1,
VLOOKUP("*"&amp;D36&amp;"*",商品マスタ一覧!D:H,5,FALSE)),"")</f>
        <v/>
      </c>
      <c r="O36" s="50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50">
        <f t="shared" si="0"/>
        <v>0</v>
      </c>
      <c r="Q36" s="50" t="b">
        <f t="shared" si="1"/>
        <v>0</v>
      </c>
      <c r="R36" s="134" t="str">
        <f t="array" aca="1" ref="R36" ca="1">IFERROR(SMALL(IF(P$1:P$311&lt;&gt;0,P$1:P$311),ROW(A36)),"")</f>
        <v/>
      </c>
      <c r="S36" s="134" t="str">
        <f t="array" aca="1" ref="S36" ca="1">IF($R36&lt;&gt;"",
SUBSTITUTE(SUBSTITUTE(INDIRECT("C"&amp;$R36&amp;"")," 週3ｺｰｽ","")," 週5ｺｰｽ",""),"")</f>
        <v/>
      </c>
      <c r="T36" s="134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135" t="str">
        <f t="array" aca="1" ref="U36" ca="1">IF($R36&lt;&gt;"",
INDIRECT("F"&amp;$R36&amp;""),"")</f>
        <v/>
      </c>
      <c r="V36" s="134" t="str">
        <f t="array" aca="1" ref="V36" ca="1">IF($R36&lt;&gt;"",
INDIRECT("G"&amp;$R36&amp;""),"")</f>
        <v/>
      </c>
      <c r="W36" s="134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IF(OR(COUNTIF(INDIRECT("B"&amp;R36&amp;""),"*雙葉先生*"),COUNTIF(INDIRECT("B"&amp;R36-1&amp;""),"*雙葉*")),INDIRECT("H"&amp;R36&amp;""),INDIRECT("H"&amp;R36&amp;"")+INDIRECT("H"&amp;MATCH("雙葉'",INDIRECT("B"&amp;R36+3&amp;":B210"),0)+2+R36&amp;"")),
IF(AND(LEFT(INDIRECT("B"&amp;R36&amp;""),2)="博多",COUNTIF(B:B,"*博多*")&gt;=2),
INDIRECT("H"&amp;R36&amp;"")+INDIRECT("H"&amp;MATCH("*"&amp;INDIRECT("B"&amp;R36&amp;"")&amp;"*",INDIRECT("B"&amp;R36+1&amp;":B210"),0)+R36&amp;""),
IF(AND(LEFT(INDIRECT("B"&amp;R36&amp;""),3)="奈良屋",COUNTIF(B:B,"*奈良屋*")&gt;=2),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134" t="str">
        <f t="array" aca="1" ref="X36" ca="1">IF($R36&lt;&gt;"",
INDIRECT(""&amp;IF(COLUMN(I36)&lt;=26,CHAR(COLUMN(I36)+64),CHAR(INT((COLUMN(I36)-1)/26)+64)&amp;CHAR(MOD(COLUMN(I36)-1,26)+65))&amp;$R36&amp;""),"")</f>
        <v/>
      </c>
      <c r="Y36" s="134" t="str">
        <f t="array" aca="1" ref="Y36" ca="1">IF($R36&lt;&gt;"",
INDIRECT(""&amp;IF(COLUMN(J36)&lt;=26,CHAR(COLUMN(J36)+64),CHAR(INT((COLUMN(J36)-1)/26)+64)&amp;CHAR(MOD(COLUMN(J36)-1,26)+65))&amp;$R36&amp;""),"")</f>
        <v/>
      </c>
      <c r="Z36" s="134" t="str">
        <f t="shared" ca="1" si="2"/>
        <v/>
      </c>
      <c r="AA36" s="134" t="str">
        <f t="shared" ca="1" si="3"/>
        <v/>
      </c>
      <c r="AB36" s="134" t="str">
        <f t="array" aca="1" ref="AB36" ca="1">IF($R36&lt;&gt;"",
IF(AND(COUNTIF(INDIRECT("B"&amp;R36&amp;""),"*雙葉*"),COUNTIF(B:B,"*雙葉*")&gt;=2),
INDIRECT("M"&amp;R36&amp;"")+INDIRECT("M"&amp;MATCH("雙葉'",INDIRECT("B"&amp;R36+1&amp;":B210"),0)+R36&amp;""),
IF(AND(LEFT(INDIRECT("B"&amp;R36&amp;""),2)="博多",COUNTIF(B:B,"*博多*")&gt;=2),
INDIRECT("M"&amp;R36&amp;"")+INDIRECT("M"&amp;MATCH("*"&amp;INDIRECT("B"&amp;R36&amp;"")&amp;"*",INDIRECT("B"&amp;R36+1&amp;":B210"),0)+R36&amp;""),
IF(AND(LEFT(INDIRECT("B"&amp;R36&amp;""),3)="奈良屋",COUNTIF(B:B,"*奈良屋*")&gt;=2),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  <c r="AC36" s="134" t="str">
        <f ca="1">IF(S36&lt;&gt;"",INDEX(A:A, MATCH("*"&amp;LEFT(S36,4)&amp;"*", C:C, 0)),"")</f>
        <v/>
      </c>
      <c r="AD36" s="49" t="str">
        <f ca="1">IFERROR(INDEX(AC:AC,MATCH(SMALL($AU:$AU,ROW()+3),$AU:$AU,0)),"")</f>
        <v/>
      </c>
      <c r="AE36" s="49" t="str">
        <f ca="1">IFERROR(INDEX(R:R,MATCH(SMALL($AU:$AU,ROW()+3),$AU:$AU,0)),"")</f>
        <v/>
      </c>
      <c r="AF36" s="49" t="str">
        <f ca="1">IFERROR(INDEX(S:S,MATCH(SMALL($AU:$AU,ROW()+3),$AU:$AU,0)),"")</f>
        <v/>
      </c>
      <c r="AG36" s="49" t="str">
        <f ca="1">IFERROR(INDEX(T:T,MATCH(SMALL($AU:$AU,ROW()+3),$AU:$AU,0)),"")</f>
        <v/>
      </c>
      <c r="AH36" s="122" t="str">
        <f ca="1">IFERROR(INDEX(U:U,MATCH(SMALL($AU:$AU,ROW()+3),$AU:$AU,0)),"")</f>
        <v/>
      </c>
      <c r="AI36" s="49" t="str">
        <f ca="1">IFERROR(INDEX(V:V,MATCH(SMALL($AU:$AU,ROW()+3),$AU:$AU,0)),"")</f>
        <v/>
      </c>
      <c r="AJ36" s="49" t="str">
        <f ca="1">IFERROR(INDEX(W:W,MATCH(SMALL($AU:$AU,ROW()+3),$AU:$AU,0)),"")</f>
        <v/>
      </c>
      <c r="AK36" s="49" t="str">
        <f ca="1">IFERROR(INDEX(X:X,MATCH(SMALL($AU:$AU,ROW()+3),$AU:$AU,0)),"")</f>
        <v/>
      </c>
      <c r="AL36" s="49" t="str">
        <f ca="1">IFERROR(INDEX(Y:Y,MATCH(SMALL($AU:$AU,ROW()+3),$AU:$AU,0)),"")</f>
        <v/>
      </c>
      <c r="AM36" s="49" t="str">
        <f ca="1">IFERROR(INDEX(Z:Z,MATCH(SMALL($AU:$AU,ROW()+3),$AU:$AU,0)),"")</f>
        <v/>
      </c>
      <c r="AN36" s="49" t="str">
        <f ca="1">IFERROR(INDEX(AA:AA,MATCH(SMALL($AU:$AU,ROW()+3),$AU:$AU,0)),"")</f>
        <v/>
      </c>
      <c r="AO36" s="49" t="str">
        <f ca="1">IFERROR(INDEX(AB:AB,MATCH(SMALL($AU:$AU,ROW()+3),$AU:$AU,0)),"")</f>
        <v/>
      </c>
      <c r="AP36" s="49" t="str">
        <f ca="1">IFERROR(INDEX(AC:AC,MATCH(SMALL($AU:$AU,ROW()+3),$AU:$AU,0)),"")</f>
        <v/>
      </c>
      <c r="AU36" s="49" t="str">
        <f t="shared" ca="1" si="6"/>
        <v/>
      </c>
    </row>
    <row r="37" spans="1:47" ht="19.2" customHeight="1">
      <c r="A37" s="108">
        <f t="shared" si="7"/>
        <v>79</v>
      </c>
      <c r="B37" s="50" t="str">
        <f t="shared" si="8"/>
        <v/>
      </c>
      <c r="C37" s="50" t="str">
        <f>IF(OR(クライアント抽出!B37&lt;&gt;"",クライアント抽出!E37&lt;&gt;""),クライアント抽出!A37,"")</f>
        <v/>
      </c>
      <c r="D37" s="50" t="str">
        <f t="array" aca="1" ref="D37" ca="1">IF(C37&lt;&gt;"",INDIRECT("クライアント抽出!"&amp;E37&amp;MATCH(C37,クライアント抽出!A:A,0)&amp;""),"")</f>
        <v/>
      </c>
      <c r="E37" s="50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51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50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06" t="str">
        <f>IF(C37&lt;&gt;"",
クライアント抽出!B37,"")</f>
        <v/>
      </c>
      <c r="I37" s="50" t="str">
        <f t="array" aca="1" ref="I37" ca="1">IF(C37&lt;&gt;"",
IF(O37=1,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INDIRECT("数出表_Excel!"&amp;INDEX(_xlfn.UNIQUE(_xlfn._xlws.FILTER(クライアント抽出!P37:U37,COUNTIF(クライアント抽出!P37:U37,クライアント抽出!P37:U37)&gt;1)),1)&amp;L37&amp;""),0),クライアント抽出!E37),"")</f>
        <v/>
      </c>
      <c r="J37" s="50" t="str">
        <f>IF(C37&lt;&gt;"",
VLOOKUP(
"*"&amp;LEFT(IF(COUNTIF(D37,"*学食*"),"キャラ弁（学食）",
IF(COUNTIF(D37,"*赤*"),"赤",
IF(COUNTIF(D37,"*キャラ弁当*"),"キャラ弁当",D37))),4)&amp;"*",注文弁当の抽出!$E$1:$F$15,2,FALSE),"")</f>
        <v/>
      </c>
      <c r="K37" s="50" t="str">
        <f ca="1">IF(クライアント抽出!P37&lt;&gt;"",SUBSTITUTE(ADDRESS(1,(CODE(クライアント抽出!P37)-64)*2-1,4),"1",""),"")</f>
        <v/>
      </c>
      <c r="L37" s="50" t="str">
        <f>IF(C37&lt;&gt;"",クライアント抽出!I37,"")</f>
        <v/>
      </c>
      <c r="M37" s="50">
        <f t="array" aca="1" ref="M37" ca="1">IF(C37&lt;&gt;"",
IF(K37&lt;&gt;"",INDIRECT("'数出表_Excel（アレルギー入力）'!"&amp;K37&amp;L37-1&amp;""),),)</f>
        <v>0</v>
      </c>
      <c r="N37" s="50" t="str">
        <f>IF(C37&lt;&gt;"",IF(OR(COUNTIF('盛付札（関数）'!D37,"*赤*"),COUNTIF('盛付札（関数）'!D37,"*キャラ*")),1,
VLOOKUP("*"&amp;D37&amp;"*",商品マスタ一覧!D:H,5,FALSE)),"")</f>
        <v/>
      </c>
      <c r="O37" s="50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50">
        <f t="shared" si="0"/>
        <v>0</v>
      </c>
      <c r="Q37" s="50" t="b">
        <f t="shared" si="1"/>
        <v>0</v>
      </c>
      <c r="R37" s="134" t="str">
        <f t="array" aca="1" ref="R37" ca="1">IFERROR(SMALL(IF(P$1:P$311&lt;&gt;0,P$1:P$311),ROW(A37)),"")</f>
        <v/>
      </c>
      <c r="S37" s="134" t="str" cm="1">
        <f t="array" aca="1" ref="S37" ca="1">IF($R37&lt;&gt;"",
SUBSTITUTE(SUBSTITUTE(INDIRECT("C"&amp;$R37&amp;"")," 週3ｺｰｽ","")," 週5ｺｰｽ",""),"")</f>
        <v/>
      </c>
      <c r="T37" s="134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135" t="str">
        <f t="array" aca="1" ref="U37" ca="1">IF($R37&lt;&gt;"",
INDIRECT("F"&amp;$R37&amp;""),"")</f>
        <v/>
      </c>
      <c r="V37" s="134" t="str">
        <f t="array" aca="1" ref="V37" ca="1">IF($R37&lt;&gt;"",
INDIRECT("G"&amp;$R37&amp;""),"")</f>
        <v/>
      </c>
      <c r="W37" s="134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IF(OR(COUNTIF(INDIRECT("B"&amp;R37&amp;""),"*雙葉先生*"),COUNTIF(INDIRECT("B"&amp;R37-1&amp;""),"*雙葉*")),INDIRECT("H"&amp;R37&amp;""),INDIRECT("H"&amp;R37&amp;"")+INDIRECT("H"&amp;MATCH("雙葉'",INDIRECT("B"&amp;R37+3&amp;":B210"),0)+2+R37&amp;"")),
IF(AND(LEFT(INDIRECT("B"&amp;R37&amp;""),2)="博多",COUNTIF(B:B,"*博多*")&gt;=2),
INDIRECT("H"&amp;R37&amp;"")+INDIRECT("H"&amp;MATCH("*"&amp;INDIRECT("B"&amp;R37&amp;"")&amp;"*",INDIRECT("B"&amp;R37+1&amp;":B210"),0)+R37&amp;""),
IF(AND(LEFT(INDIRECT("B"&amp;R37&amp;""),3)="奈良屋",COUNTIF(B:B,"*奈良屋*")&gt;=2),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134" t="str">
        <f t="array" aca="1" ref="X37" ca="1">IF($R37&lt;&gt;"",
INDIRECT(""&amp;IF(COLUMN(I37)&lt;=26,CHAR(COLUMN(I37)+64),CHAR(INT((COLUMN(I37)-1)/26)+64)&amp;CHAR(MOD(COLUMN(I37)-1,26)+65))&amp;$R37&amp;""),"")</f>
        <v/>
      </c>
      <c r="Y37" s="134" t="str">
        <f t="array" aca="1" ref="Y37" ca="1">IF($R37&lt;&gt;"",
INDIRECT(""&amp;IF(COLUMN(J37)&lt;=26,CHAR(COLUMN(J37)+64),CHAR(INT((COLUMN(J37)-1)/26)+64)&amp;CHAR(MOD(COLUMN(J37)-1,26)+65))&amp;$R37&amp;""),"")</f>
        <v/>
      </c>
      <c r="Z37" s="134" t="str">
        <f t="shared" ca="1" si="2"/>
        <v/>
      </c>
      <c r="AA37" s="134" t="str">
        <f t="shared" ca="1" si="3"/>
        <v/>
      </c>
      <c r="AB37" s="134" t="str">
        <f t="array" aca="1" ref="AB37" ca="1">IF($R37&lt;&gt;"",
IF(AND(COUNTIF(INDIRECT("B"&amp;R37&amp;""),"*雙葉*"),COUNTIF(B:B,"*雙葉*")&gt;=2),
INDIRECT("M"&amp;R37&amp;"")+INDIRECT("M"&amp;MATCH("雙葉'",INDIRECT("B"&amp;R37+1&amp;":B210"),0)+R37&amp;""),
IF(AND(LEFT(INDIRECT("B"&amp;R37&amp;""),2)="博多",COUNTIF(B:B,"*博多*")&gt;=2),
INDIRECT("M"&amp;R37&amp;"")+INDIRECT("M"&amp;MATCH("*"&amp;INDIRECT("B"&amp;R37&amp;"")&amp;"*",INDIRECT("B"&amp;R37+1&amp;":B210"),0)+R37&amp;""),
IF(AND(LEFT(INDIRECT("B"&amp;R37&amp;""),3)="奈良屋",COUNTIF(B:B,"*奈良屋*")&gt;=2),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  <c r="AC37" s="134" t="str">
        <f ca="1">IF(S37&lt;&gt;"",INDEX(A:A, MATCH("*"&amp;LEFT(S37,4)&amp;"*", C:C, 0)),"")</f>
        <v/>
      </c>
      <c r="AD37" s="49" t="str">
        <f ca="1">IFERROR(INDEX(AC:AC,MATCH(SMALL($AU:$AU,ROW()+3),$AU:$AU,0)),"")</f>
        <v/>
      </c>
      <c r="AE37" s="49" t="str">
        <f ca="1">IFERROR(INDEX(R:R,MATCH(SMALL($AU:$AU,ROW()+3),$AU:$AU,0)),"")</f>
        <v/>
      </c>
      <c r="AF37" s="49" t="str">
        <f ca="1">IFERROR(INDEX(S:S,MATCH(SMALL($AU:$AU,ROW()+3),$AU:$AU,0)),"")</f>
        <v/>
      </c>
      <c r="AG37" s="49" t="str">
        <f ca="1">IFERROR(INDEX(T:T,MATCH(SMALL($AU:$AU,ROW()+3),$AU:$AU,0)),"")</f>
        <v/>
      </c>
      <c r="AH37" s="122" t="str">
        <f ca="1">IFERROR(INDEX(U:U,MATCH(SMALL($AU:$AU,ROW()+3),$AU:$AU,0)),"")</f>
        <v/>
      </c>
      <c r="AI37" s="49" t="str">
        <f ca="1">IFERROR(INDEX(V:V,MATCH(SMALL($AU:$AU,ROW()+3),$AU:$AU,0)),"")</f>
        <v/>
      </c>
      <c r="AJ37" s="49" t="str">
        <f ca="1">IFERROR(INDEX(W:W,MATCH(SMALL($AU:$AU,ROW()+3),$AU:$AU,0)),"")</f>
        <v/>
      </c>
      <c r="AK37" s="49" t="str">
        <f ca="1">IFERROR(INDEX(X:X,MATCH(SMALL($AU:$AU,ROW()+3),$AU:$AU,0)),"")</f>
        <v/>
      </c>
      <c r="AL37" s="49" t="str">
        <f ca="1">IFERROR(INDEX(Y:Y,MATCH(SMALL($AU:$AU,ROW()+3),$AU:$AU,0)),"")</f>
        <v/>
      </c>
      <c r="AM37" s="49" t="str">
        <f ca="1">IFERROR(INDEX(Z:Z,MATCH(SMALL($AU:$AU,ROW()+3),$AU:$AU,0)),"")</f>
        <v/>
      </c>
      <c r="AN37" s="49" t="str">
        <f ca="1">IFERROR(INDEX(AA:AA,MATCH(SMALL($AU:$AU,ROW()+3),$AU:$AU,0)),"")</f>
        <v/>
      </c>
      <c r="AO37" s="49" t="str">
        <f ca="1">IFERROR(INDEX(AB:AB,MATCH(SMALL($AU:$AU,ROW()+3),$AU:$AU,0)),"")</f>
        <v/>
      </c>
      <c r="AP37" s="49" t="str">
        <f ca="1">IFERROR(INDEX(AC:AC,MATCH(SMALL($AU:$AU,ROW()+3),$AU:$AU,0)),"")</f>
        <v/>
      </c>
      <c r="AU37" s="49" t="str">
        <f t="shared" ca="1" si="6"/>
        <v/>
      </c>
    </row>
    <row r="38" spans="1:47" ht="22.2" customHeight="1">
      <c r="A38" s="108">
        <f t="shared" si="7"/>
        <v>81</v>
      </c>
      <c r="B38" s="50" t="str">
        <f t="shared" si="8"/>
        <v/>
      </c>
      <c r="C38" s="50" t="str">
        <f>IF(OR(クライアント抽出!B38&lt;&gt;"",クライアント抽出!E38&lt;&gt;""),クライアント抽出!A38,"")</f>
        <v/>
      </c>
      <c r="D38" s="50" t="str">
        <f t="array" aca="1" ref="D38" ca="1">IF(C38&lt;&gt;"",INDIRECT("クライアント抽出!"&amp;E38&amp;MATCH(C38,クライアント抽出!A:A,0)&amp;""),"")</f>
        <v/>
      </c>
      <c r="E38" s="50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51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50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06" t="str">
        <f>IF(C38&lt;&gt;"",
クライアント抽出!B38,"")</f>
        <v/>
      </c>
      <c r="I38" s="50" t="str">
        <f t="array" aca="1" ref="I38" ca="1">IF(C38&lt;&gt;"",
IF(O38=1,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INDIRECT("数出表_Excel!"&amp;INDEX(_xlfn.UNIQUE(_xlfn._xlws.FILTER(クライアント抽出!P38:U38,COUNTIF(クライアント抽出!P38:U38,クライアント抽出!P38:U38)&gt;1)),1)&amp;L38&amp;""),0),クライアント抽出!E38),"")</f>
        <v/>
      </c>
      <c r="J38" s="50" t="str">
        <f>IF(C38&lt;&gt;"",
VLOOKUP(
"*"&amp;LEFT(IF(COUNTIF(D38,"*学食*"),"キャラ弁（学食）",
IF(COUNTIF(D38,"*赤*"),"赤",
IF(COUNTIF(D38,"*キャラ弁当*"),"キャラ弁当",D38))),4)&amp;"*",注文弁当の抽出!$E$1:$F$15,2,FALSE),"")</f>
        <v/>
      </c>
      <c r="K38" s="50" t="str">
        <f ca="1">IF(クライアント抽出!P38&lt;&gt;"",SUBSTITUTE(ADDRESS(1,(CODE(クライアント抽出!P38)-64)*2-1,4),"1",""),"")</f>
        <v/>
      </c>
      <c r="L38" s="50" t="str">
        <f>IF(C38&lt;&gt;"",クライアント抽出!I38,"")</f>
        <v/>
      </c>
      <c r="M38" s="50">
        <f t="array" aca="1" ref="M38" ca="1">IF(C38&lt;&gt;"",
IF(K38&lt;&gt;"",INDIRECT("'数出表_Excel（アレルギー入力）'!"&amp;K38&amp;L38-1&amp;""),),)</f>
        <v>0</v>
      </c>
      <c r="N38" s="50" t="str">
        <f>IF(C38&lt;&gt;"",IF(OR(COUNTIF('盛付札（関数）'!D38,"*赤*"),COUNTIF('盛付札（関数）'!D38,"*キャラ*")),1,
VLOOKUP("*"&amp;D38&amp;"*",商品マスタ一覧!D:H,5,FALSE)),"")</f>
        <v/>
      </c>
      <c r="O38" s="50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50">
        <f t="shared" si="0"/>
        <v>0</v>
      </c>
      <c r="Q38" s="50" t="b">
        <f t="shared" si="1"/>
        <v>0</v>
      </c>
      <c r="R38" s="134" t="str">
        <f t="array" aca="1" ref="R38" ca="1">IFERROR(SMALL(IF(P$1:P$311&lt;&gt;0,P$1:P$311),ROW(A38)),"")</f>
        <v/>
      </c>
      <c r="S38" s="134" t="str">
        <f t="array" aca="1" ref="S38" ca="1">IF($R38&lt;&gt;"",
SUBSTITUTE(SUBSTITUTE(INDIRECT("C"&amp;$R38&amp;"")," 週3ｺｰｽ","")," 週5ｺｰｽ",""),"")</f>
        <v/>
      </c>
      <c r="T38" s="134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135" t="str">
        <f t="array" aca="1" ref="U38" ca="1">IF($R38&lt;&gt;"",
INDIRECT("F"&amp;$R38&amp;""),"")</f>
        <v/>
      </c>
      <c r="V38" s="134" t="str">
        <f t="array" aca="1" ref="V38" ca="1">IF($R38&lt;&gt;"",
INDIRECT("G"&amp;$R38&amp;""),"")</f>
        <v/>
      </c>
      <c r="W38" s="134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IF(OR(COUNTIF(INDIRECT("B"&amp;R38&amp;""),"*雙葉先生*"),COUNTIF(INDIRECT("B"&amp;R38-1&amp;""),"*雙葉*")),INDIRECT("H"&amp;R38&amp;""),INDIRECT("H"&amp;R38&amp;"")+INDIRECT("H"&amp;MATCH("雙葉'",INDIRECT("B"&amp;R38+3&amp;":B210"),0)+2+R38&amp;"")),
IF(AND(LEFT(INDIRECT("B"&amp;R38&amp;""),2)="博多",COUNTIF(B:B,"*博多*")&gt;=2),
INDIRECT("H"&amp;R38&amp;"")+INDIRECT("H"&amp;MATCH("*"&amp;INDIRECT("B"&amp;R38&amp;"")&amp;"*",INDIRECT("B"&amp;R38+1&amp;":B210"),0)+R38&amp;""),
IF(AND(LEFT(INDIRECT("B"&amp;R38&amp;""),3)="奈良屋",COUNTIF(B:B,"*奈良屋*")&gt;=2),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134" t="str">
        <f t="array" aca="1" ref="X38" ca="1">IF($R38&lt;&gt;"",
INDIRECT(""&amp;IF(COLUMN(I38)&lt;=26,CHAR(COLUMN(I38)+64),CHAR(INT((COLUMN(I38)-1)/26)+64)&amp;CHAR(MOD(COLUMN(I38)-1,26)+65))&amp;$R38&amp;""),"")</f>
        <v/>
      </c>
      <c r="Y38" s="134" t="str">
        <f t="array" aca="1" ref="Y38" ca="1">IF($R38&lt;&gt;"",
INDIRECT(""&amp;IF(COLUMN(J38)&lt;=26,CHAR(COLUMN(J38)+64),CHAR(INT((COLUMN(J38)-1)/26)+64)&amp;CHAR(MOD(COLUMN(J38)-1,26)+65))&amp;$R38&amp;""),"")</f>
        <v/>
      </c>
      <c r="Z38" s="134" t="str">
        <f t="shared" ca="1" si="2"/>
        <v/>
      </c>
      <c r="AA38" s="134" t="str">
        <f t="shared" ca="1" si="3"/>
        <v/>
      </c>
      <c r="AB38" s="134" t="str">
        <f t="array" aca="1" ref="AB38" ca="1">IF($R38&lt;&gt;"",
IF(AND(COUNTIF(INDIRECT("B"&amp;R38&amp;""),"*雙葉*"),COUNTIF(B:B,"*雙葉*")&gt;=2),
INDIRECT("M"&amp;R38&amp;"")+INDIRECT("M"&amp;MATCH("雙葉'",INDIRECT("B"&amp;R38+1&amp;":B210"),0)+R38&amp;""),
IF(AND(LEFT(INDIRECT("B"&amp;R38&amp;""),2)="博多",COUNTIF(B:B,"*博多*")&gt;=2),
INDIRECT("M"&amp;R38&amp;"")+INDIRECT("M"&amp;MATCH("*"&amp;INDIRECT("B"&amp;R38&amp;"")&amp;"*",INDIRECT("B"&amp;R38+1&amp;":B210"),0)+R38&amp;""),
IF(AND(LEFT(INDIRECT("B"&amp;R38&amp;""),3)="奈良屋",COUNTIF(B:B,"*奈良屋*")&gt;=2),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  <c r="AC38" s="134" t="str">
        <f ca="1">IF(S38&lt;&gt;"",INDEX(A:A, MATCH("*"&amp;LEFT(S38,4)&amp;"*", C:C, 0)),"")</f>
        <v/>
      </c>
      <c r="AD38" s="49" t="str">
        <f ca="1">IFERROR(INDEX(AC:AC,MATCH(SMALL($AU:$AU,ROW()+3),$AU:$AU,0)),"")</f>
        <v/>
      </c>
      <c r="AE38" s="49" t="str">
        <f ca="1">IFERROR(INDEX(R:R,MATCH(SMALL($AU:$AU,ROW()+3),$AU:$AU,0)),"")</f>
        <v/>
      </c>
      <c r="AF38" s="49" t="str">
        <f ca="1">IFERROR(INDEX(S:S,MATCH(SMALL($AU:$AU,ROW()+3),$AU:$AU,0)),"")</f>
        <v/>
      </c>
      <c r="AG38" s="49" t="str">
        <f ca="1">IFERROR(INDEX(T:T,MATCH(SMALL($AU:$AU,ROW()+3),$AU:$AU,0)),"")</f>
        <v/>
      </c>
      <c r="AH38" s="122" t="str">
        <f ca="1">IFERROR(INDEX(U:U,MATCH(SMALL($AU:$AU,ROW()+3),$AU:$AU,0)),"")</f>
        <v/>
      </c>
      <c r="AI38" s="49" t="str">
        <f ca="1">IFERROR(INDEX(V:V,MATCH(SMALL($AU:$AU,ROW()+3),$AU:$AU,0)),"")</f>
        <v/>
      </c>
      <c r="AJ38" s="49" t="str">
        <f ca="1">IFERROR(INDEX(W:W,MATCH(SMALL($AU:$AU,ROW()+3),$AU:$AU,0)),"")</f>
        <v/>
      </c>
      <c r="AK38" s="49" t="str">
        <f ca="1">IFERROR(INDEX(X:X,MATCH(SMALL($AU:$AU,ROW()+3),$AU:$AU,0)),"")</f>
        <v/>
      </c>
      <c r="AL38" s="49" t="str">
        <f ca="1">IFERROR(INDEX(Y:Y,MATCH(SMALL($AU:$AU,ROW()+3),$AU:$AU,0)),"")</f>
        <v/>
      </c>
      <c r="AM38" s="49" t="str">
        <f ca="1">IFERROR(INDEX(Z:Z,MATCH(SMALL($AU:$AU,ROW()+3),$AU:$AU,0)),"")</f>
        <v/>
      </c>
      <c r="AN38" s="49" t="str">
        <f ca="1">IFERROR(INDEX(AA:AA,MATCH(SMALL($AU:$AU,ROW()+3),$AU:$AU,0)),"")</f>
        <v/>
      </c>
      <c r="AO38" s="49" t="str">
        <f ca="1">IFERROR(INDEX(AB:AB,MATCH(SMALL($AU:$AU,ROW()+3),$AU:$AU,0)),"")</f>
        <v/>
      </c>
      <c r="AP38" s="49" t="str">
        <f ca="1">IFERROR(INDEX(AC:AC,MATCH(SMALL($AU:$AU,ROW()+3),$AU:$AU,0)),"")</f>
        <v/>
      </c>
      <c r="AU38" s="49" t="str">
        <f t="shared" ca="1" si="6"/>
        <v/>
      </c>
    </row>
    <row r="39" spans="1:47" ht="18" customHeight="1">
      <c r="A39" s="108">
        <f t="shared" si="7"/>
        <v>83</v>
      </c>
      <c r="B39" s="50" t="str">
        <f t="shared" si="8"/>
        <v/>
      </c>
      <c r="C39" s="50" t="str">
        <f>IF(OR(クライアント抽出!B39&lt;&gt;"",クライアント抽出!E39&lt;&gt;""),クライアント抽出!A39,"")</f>
        <v/>
      </c>
      <c r="D39" s="50" t="str">
        <f t="array" aca="1" ref="D39" ca="1">IF(C39&lt;&gt;"",INDIRECT("クライアント抽出!"&amp;E39&amp;MATCH(C39,クライアント抽出!A:A,0)&amp;""),"")</f>
        <v/>
      </c>
      <c r="E39" s="50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51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50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06" t="str">
        <f>IF(C39&lt;&gt;"",
クライアント抽出!B39,"")</f>
        <v/>
      </c>
      <c r="I39" s="50" t="str">
        <f t="array" aca="1" ref="I39" ca="1">IF(C39&lt;&gt;"",
IF(O39=1,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INDIRECT("数出表_Excel!"&amp;INDEX(_xlfn.UNIQUE(_xlfn._xlws.FILTER(クライアント抽出!P39:U39,COUNTIF(クライアント抽出!P39:U39,クライアント抽出!P39:U39)&gt;1)),1)&amp;L39&amp;""),0),クライアント抽出!E39),"")</f>
        <v/>
      </c>
      <c r="J39" s="50" t="str">
        <f>IF(C39&lt;&gt;"",
VLOOKUP(
"*"&amp;LEFT(IF(COUNTIF(D39,"*学食*"),"キャラ弁（学食）",
IF(COUNTIF(D39,"*赤*"),"赤",
IF(COUNTIF(D39,"*キャラ弁当*"),"キャラ弁当",D39))),4)&amp;"*",注文弁当の抽出!$E$1:$F$15,2,FALSE),"")</f>
        <v/>
      </c>
      <c r="K39" s="50" t="str">
        <f ca="1">IF(クライアント抽出!P39&lt;&gt;"",SUBSTITUTE(ADDRESS(1,(CODE(クライアント抽出!P39)-64)*2-1,4),"1",""),"")</f>
        <v/>
      </c>
      <c r="L39" s="50" t="str">
        <f>IF(C39&lt;&gt;"",クライアント抽出!I39,"")</f>
        <v/>
      </c>
      <c r="M39" s="50">
        <f t="array" aca="1" ref="M39" ca="1">IF(C39&lt;&gt;"",
IF(K39&lt;&gt;"",INDIRECT("'数出表_Excel（アレルギー入力）'!"&amp;K39&amp;L39-1&amp;""),),)</f>
        <v>0</v>
      </c>
      <c r="N39" s="50" t="str">
        <f>IF(C39&lt;&gt;"",IF(OR(COUNTIF('盛付札（関数）'!D39,"*赤*"),COUNTIF('盛付札（関数）'!D39,"*キャラ*")),1,
VLOOKUP("*"&amp;D39&amp;"*",商品マスタ一覧!D:H,5,FALSE)),"")</f>
        <v/>
      </c>
      <c r="O39" s="50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50">
        <f t="shared" si="0"/>
        <v>0</v>
      </c>
      <c r="Q39" s="50" t="b">
        <f t="shared" si="1"/>
        <v>0</v>
      </c>
      <c r="R39" s="134" t="str">
        <f t="array" aca="1" ref="R39" ca="1">IFERROR(SMALL(IF(P$1:P$311&lt;&gt;0,P$1:P$311),ROW(A39)),"")</f>
        <v/>
      </c>
      <c r="S39" s="134" t="str">
        <f t="array" aca="1" ref="S39" ca="1">IF($R39&lt;&gt;"",
SUBSTITUTE(SUBSTITUTE(INDIRECT("C"&amp;$R39&amp;"")," 週3ｺｰｽ","")," 週5ｺｰｽ",""),"")</f>
        <v/>
      </c>
      <c r="T39" s="134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135" t="str">
        <f t="array" aca="1" ref="U39" ca="1">IF($R39&lt;&gt;"",
INDIRECT("F"&amp;$R39&amp;""),"")</f>
        <v/>
      </c>
      <c r="V39" s="134" t="str">
        <f t="array" aca="1" ref="V39" ca="1">IF($R39&lt;&gt;"",
INDIRECT("G"&amp;$R39&amp;""),"")</f>
        <v/>
      </c>
      <c r="W39" s="134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IF(OR(COUNTIF(INDIRECT("B"&amp;R39&amp;""),"*雙葉先生*"),COUNTIF(INDIRECT("B"&amp;R39-1&amp;""),"*雙葉*")),INDIRECT("H"&amp;R39&amp;""),INDIRECT("H"&amp;R39&amp;"")+INDIRECT("H"&amp;MATCH("雙葉'",INDIRECT("B"&amp;R39+3&amp;":B210"),0)+2+R39&amp;"")),
IF(AND(LEFT(INDIRECT("B"&amp;R39&amp;""),2)="博多",COUNTIF(B:B,"*博多*")&gt;=2),
INDIRECT("H"&amp;R39&amp;"")+INDIRECT("H"&amp;MATCH("*"&amp;INDIRECT("B"&amp;R39&amp;"")&amp;"*",INDIRECT("B"&amp;R39+1&amp;":B210"),0)+R39&amp;""),
IF(AND(LEFT(INDIRECT("B"&amp;R39&amp;""),3)="奈良屋",COUNTIF(B:B,"*奈良屋*")&gt;=2),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134" t="str">
        <f t="array" aca="1" ref="X39" ca="1">IF($R39&lt;&gt;"",
INDIRECT(""&amp;IF(COLUMN(I39)&lt;=26,CHAR(COLUMN(I39)+64),CHAR(INT((COLUMN(I39)-1)/26)+64)&amp;CHAR(MOD(COLUMN(I39)-1,26)+65))&amp;$R39&amp;""),"")</f>
        <v/>
      </c>
      <c r="Y39" s="134" t="str">
        <f t="array" aca="1" ref="Y39" ca="1">IF($R39&lt;&gt;"",
INDIRECT(""&amp;IF(COLUMN(J39)&lt;=26,CHAR(COLUMN(J39)+64),CHAR(INT((COLUMN(J39)-1)/26)+64)&amp;CHAR(MOD(COLUMN(J39)-1,26)+65))&amp;$R39&amp;""),"")</f>
        <v/>
      </c>
      <c r="Z39" s="134" t="str">
        <f t="shared" ca="1" si="2"/>
        <v/>
      </c>
      <c r="AA39" s="134" t="str">
        <f t="shared" ca="1" si="3"/>
        <v/>
      </c>
      <c r="AB39" s="134" t="str">
        <f t="array" aca="1" ref="AB39" ca="1">IF($R39&lt;&gt;"",
IF(AND(COUNTIF(INDIRECT("B"&amp;R39&amp;""),"*雙葉*"),COUNTIF(B:B,"*雙葉*")&gt;=2),
INDIRECT("M"&amp;R39&amp;"")+INDIRECT("M"&amp;MATCH("雙葉'",INDIRECT("B"&amp;R39+1&amp;":B210"),0)+R39&amp;""),
IF(AND(LEFT(INDIRECT("B"&amp;R39&amp;""),2)="博多",COUNTIF(B:B,"*博多*")&gt;=2),
INDIRECT("M"&amp;R39&amp;"")+INDIRECT("M"&amp;MATCH("*"&amp;INDIRECT("B"&amp;R39&amp;"")&amp;"*",INDIRECT("B"&amp;R39+1&amp;":B210"),0)+R39&amp;""),
IF(AND(LEFT(INDIRECT("B"&amp;R39&amp;""),3)="奈良屋",COUNTIF(B:B,"*奈良屋*")&gt;=2),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  <c r="AC39" s="134" t="str">
        <f ca="1">IF(S39&lt;&gt;"",INDEX(A:A, MATCH("*"&amp;LEFT(S39,4)&amp;"*", C:C, 0)),"")</f>
        <v/>
      </c>
      <c r="AD39" s="49" t="str">
        <f ca="1">IFERROR(INDEX(AC:AC,MATCH(SMALL($AU:$AU,ROW()+3),$AU:$AU,0)),"")</f>
        <v/>
      </c>
      <c r="AE39" s="49" t="str">
        <f ca="1">IFERROR(INDEX(R:R,MATCH(SMALL($AU:$AU,ROW()+3),$AU:$AU,0)),"")</f>
        <v/>
      </c>
      <c r="AF39" s="49" t="str">
        <f ca="1">IFERROR(INDEX(S:S,MATCH(SMALL($AU:$AU,ROW()+3),$AU:$AU,0)),"")</f>
        <v/>
      </c>
      <c r="AG39" s="49" t="str">
        <f ca="1">IFERROR(INDEX(T:T,MATCH(SMALL($AU:$AU,ROW()+3),$AU:$AU,0)),"")</f>
        <v/>
      </c>
      <c r="AH39" s="122" t="str">
        <f ca="1">IFERROR(INDEX(U:U,MATCH(SMALL($AU:$AU,ROW()+3),$AU:$AU,0)),"")</f>
        <v/>
      </c>
      <c r="AI39" s="49" t="str">
        <f ca="1">IFERROR(INDEX(V:V,MATCH(SMALL($AU:$AU,ROW()+3),$AU:$AU,0)),"")</f>
        <v/>
      </c>
      <c r="AJ39" s="49" t="str">
        <f ca="1">IFERROR(INDEX(W:W,MATCH(SMALL($AU:$AU,ROW()+3),$AU:$AU,0)),"")</f>
        <v/>
      </c>
      <c r="AK39" s="49" t="str">
        <f ca="1">IFERROR(INDEX(X:X,MATCH(SMALL($AU:$AU,ROW()+3),$AU:$AU,0)),"")</f>
        <v/>
      </c>
      <c r="AL39" s="49" t="str">
        <f ca="1">IFERROR(INDEX(Y:Y,MATCH(SMALL($AU:$AU,ROW()+3),$AU:$AU,0)),"")</f>
        <v/>
      </c>
      <c r="AM39" s="49" t="str">
        <f ca="1">IFERROR(INDEX(Z:Z,MATCH(SMALL($AU:$AU,ROW()+3),$AU:$AU,0)),"")</f>
        <v/>
      </c>
      <c r="AN39" s="49" t="str">
        <f ca="1">IFERROR(INDEX(AA:AA,MATCH(SMALL($AU:$AU,ROW()+3),$AU:$AU,0)),"")</f>
        <v/>
      </c>
      <c r="AO39" s="49" t="str">
        <f ca="1">IFERROR(INDEX(AB:AB,MATCH(SMALL($AU:$AU,ROW()+3),$AU:$AU,0)),"")</f>
        <v/>
      </c>
      <c r="AP39" s="49" t="str">
        <f ca="1">IFERROR(INDEX(AC:AC,MATCH(SMALL($AU:$AU,ROW()+3),$AU:$AU,0)),"")</f>
        <v/>
      </c>
      <c r="AU39" s="49" t="str">
        <f t="shared" ca="1" si="6"/>
        <v/>
      </c>
    </row>
    <row r="40" spans="1:47" ht="18" customHeight="1">
      <c r="A40" s="108">
        <f t="shared" si="7"/>
        <v>85</v>
      </c>
      <c r="B40" s="50" t="str">
        <f t="shared" si="8"/>
        <v/>
      </c>
      <c r="C40" s="50" t="str">
        <f>IF(OR(クライアント抽出!B40&lt;&gt;"",クライアント抽出!E40&lt;&gt;""),クライアント抽出!A40,"")</f>
        <v/>
      </c>
      <c r="D40" s="50" t="str">
        <f t="array" aca="1" ref="D40" ca="1">IF(C40&lt;&gt;"",INDIRECT("クライアント抽出!"&amp;E40&amp;MATCH(C40,クライアント抽出!A:A,0)&amp;""),"")</f>
        <v/>
      </c>
      <c r="E40" s="50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51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50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06" t="str">
        <f>IF(C40&lt;&gt;"",
クライアント抽出!B40,"")</f>
        <v/>
      </c>
      <c r="I40" s="50" t="str">
        <f t="array" aca="1" ref="I40" ca="1">IF(C40&lt;&gt;"",
IF(O40=1,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INDIRECT("数出表_Excel!"&amp;INDEX(_xlfn.UNIQUE(_xlfn._xlws.FILTER(クライアント抽出!P40:U40,COUNTIF(クライアント抽出!P40:U40,クライアント抽出!P40:U40)&gt;1)),1)&amp;L40&amp;""),0),クライアント抽出!E40),"")</f>
        <v/>
      </c>
      <c r="J40" s="50" t="str">
        <f>IF(C40&lt;&gt;"",
VLOOKUP(
"*"&amp;LEFT(IF(COUNTIF(D40,"*学食*"),"キャラ弁（学食）",
IF(COUNTIF(D40,"*赤*"),"赤",
IF(COUNTIF(D40,"*キャラ弁当*"),"キャラ弁当",D40))),4)&amp;"*",注文弁当の抽出!$E$1:$F$15,2,FALSE),"")</f>
        <v/>
      </c>
      <c r="K40" s="50" t="str">
        <f ca="1">IF(クライアント抽出!P40&lt;&gt;"",SUBSTITUTE(ADDRESS(1,(CODE(クライアント抽出!P40)-64)*2-1,4),"1",""),"")</f>
        <v/>
      </c>
      <c r="L40" s="50" t="str">
        <f>IF(C40&lt;&gt;"",クライアント抽出!I40,"")</f>
        <v/>
      </c>
      <c r="M40" s="50">
        <f t="array" aca="1" ref="M40" ca="1">IF(C40&lt;&gt;"",
IF(K40&lt;&gt;"",INDIRECT("'数出表_Excel（アレルギー入力）'!"&amp;K40&amp;L40-1&amp;""),),)</f>
        <v>0</v>
      </c>
      <c r="N40" s="50" t="str">
        <f>IF(C40&lt;&gt;"",IF(OR(COUNTIF('盛付札（関数）'!D40,"*赤*"),COUNTIF('盛付札（関数）'!D40,"*キャラ*")),1,
VLOOKUP("*"&amp;D40&amp;"*",商品マスタ一覧!D:H,5,FALSE)),"")</f>
        <v/>
      </c>
      <c r="O40" s="50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50">
        <f t="shared" si="0"/>
        <v>0</v>
      </c>
      <c r="Q40" s="50" t="b">
        <f t="shared" si="1"/>
        <v>0</v>
      </c>
      <c r="R40" s="134" t="str">
        <f t="array" aca="1" ref="R40" ca="1">IFERROR(SMALL(IF(P$1:P$311&lt;&gt;0,P$1:P$311),ROW(A40)),"")</f>
        <v/>
      </c>
      <c r="S40" s="134" t="str">
        <f t="array" aca="1" ref="S40" ca="1">IF($R40&lt;&gt;"",
SUBSTITUTE(SUBSTITUTE(INDIRECT("C"&amp;$R40&amp;"")," 週3ｺｰｽ","")," 週5ｺｰｽ",""),"")</f>
        <v/>
      </c>
      <c r="T40" s="134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135" t="str">
        <f t="array" aca="1" ref="U40" ca="1">IF($R40&lt;&gt;"",
INDIRECT("F"&amp;$R40&amp;""),"")</f>
        <v/>
      </c>
      <c r="V40" s="134" t="str">
        <f t="array" aca="1" ref="V40" ca="1">IF($R40&lt;&gt;"",
INDIRECT("G"&amp;$R40&amp;""),"")</f>
        <v/>
      </c>
      <c r="W40" s="134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IF(OR(COUNTIF(INDIRECT("B"&amp;R40&amp;""),"*雙葉先生*"),COUNTIF(INDIRECT("B"&amp;R40-1&amp;""),"*雙葉*")),INDIRECT("H"&amp;R40&amp;""),INDIRECT("H"&amp;R40&amp;"")+INDIRECT("H"&amp;MATCH("雙葉'",INDIRECT("B"&amp;R40+3&amp;":B210"),0)+2+R40&amp;"")),
IF(AND(LEFT(INDIRECT("B"&amp;R40&amp;""),2)="博多",COUNTIF(B:B,"*博多*")&gt;=2),
INDIRECT("H"&amp;R40&amp;"")+INDIRECT("H"&amp;MATCH("*"&amp;INDIRECT("B"&amp;R40&amp;"")&amp;"*",INDIRECT("B"&amp;R40+1&amp;":B210"),0)+R40&amp;""),
IF(AND(LEFT(INDIRECT("B"&amp;R40&amp;""),3)="奈良屋",COUNTIF(B:B,"*奈良屋*")&gt;=2),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134" t="str">
        <f t="array" aca="1" ref="X40" ca="1">IF($R40&lt;&gt;"",
INDIRECT(""&amp;IF(COLUMN(I40)&lt;=26,CHAR(COLUMN(I40)+64),CHAR(INT((COLUMN(I40)-1)/26)+64)&amp;CHAR(MOD(COLUMN(I40)-1,26)+65))&amp;$R40&amp;""),"")</f>
        <v/>
      </c>
      <c r="Y40" s="134" t="str">
        <f t="array" aca="1" ref="Y40" ca="1">IF($R40&lt;&gt;"",
INDIRECT(""&amp;IF(COLUMN(J40)&lt;=26,CHAR(COLUMN(J40)+64),CHAR(INT((COLUMN(J40)-1)/26)+64)&amp;CHAR(MOD(COLUMN(J40)-1,26)+65))&amp;$R40&amp;""),"")</f>
        <v/>
      </c>
      <c r="Z40" s="134" t="str">
        <f t="shared" ca="1" si="2"/>
        <v/>
      </c>
      <c r="AA40" s="134" t="str">
        <f t="shared" ca="1" si="3"/>
        <v/>
      </c>
      <c r="AB40" s="134" t="str">
        <f t="array" aca="1" ref="AB40" ca="1">IF($R40&lt;&gt;"",
IF(AND(COUNTIF(INDIRECT("B"&amp;R40&amp;""),"*雙葉*"),COUNTIF(B:B,"*雙葉*")&gt;=2),
INDIRECT("M"&amp;R40&amp;"")+INDIRECT("M"&amp;MATCH("雙葉'",INDIRECT("B"&amp;R40+1&amp;":B210"),0)+R40&amp;""),
IF(AND(LEFT(INDIRECT("B"&amp;R40&amp;""),2)="博多",COUNTIF(B:B,"*博多*")&gt;=2),
INDIRECT("M"&amp;R40&amp;"")+INDIRECT("M"&amp;MATCH("*"&amp;INDIRECT("B"&amp;R40&amp;"")&amp;"*",INDIRECT("B"&amp;R40+1&amp;":B210"),0)+R40&amp;""),
IF(AND(LEFT(INDIRECT("B"&amp;R40&amp;""),3)="奈良屋",COUNTIF(B:B,"*奈良屋*")&gt;=2),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  <c r="AC40" s="134" t="str">
        <f ca="1">IF(S40&lt;&gt;"",INDEX(A:A, MATCH("*"&amp;LEFT(S40,4)&amp;"*", C:C, 0)),"")</f>
        <v/>
      </c>
      <c r="AD40" s="49" t="str">
        <f ca="1">IFERROR(INDEX(AC:AC,MATCH(SMALL($AU:$AU,ROW()+3),$AU:$AU,0)),"")</f>
        <v/>
      </c>
      <c r="AE40" s="49" t="str">
        <f ca="1">IFERROR(INDEX(R:R,MATCH(SMALL($AU:$AU,ROW()+3),$AU:$AU,0)),"")</f>
        <v/>
      </c>
      <c r="AF40" s="49" t="str">
        <f ca="1">IFERROR(INDEX(S:S,MATCH(SMALL($AU:$AU,ROW()+3),$AU:$AU,0)),"")</f>
        <v/>
      </c>
      <c r="AG40" s="49" t="str">
        <f ca="1">IFERROR(INDEX(T:T,MATCH(SMALL($AU:$AU,ROW()+3),$AU:$AU,0)),"")</f>
        <v/>
      </c>
      <c r="AH40" s="122" t="str">
        <f ca="1">IFERROR(INDEX(U:U,MATCH(SMALL($AU:$AU,ROW()+3),$AU:$AU,0)),"")</f>
        <v/>
      </c>
      <c r="AI40" s="49" t="str">
        <f ca="1">IFERROR(INDEX(V:V,MATCH(SMALL($AU:$AU,ROW()+3),$AU:$AU,0)),"")</f>
        <v/>
      </c>
      <c r="AJ40" s="49" t="str">
        <f ca="1">IFERROR(INDEX(W:W,MATCH(SMALL($AU:$AU,ROW()+3),$AU:$AU,0)),"")</f>
        <v/>
      </c>
      <c r="AK40" s="49" t="str">
        <f ca="1">IFERROR(INDEX(X:X,MATCH(SMALL($AU:$AU,ROW()+3),$AU:$AU,0)),"")</f>
        <v/>
      </c>
      <c r="AL40" s="49" t="str">
        <f ca="1">IFERROR(INDEX(Y:Y,MATCH(SMALL($AU:$AU,ROW()+3),$AU:$AU,0)),"")</f>
        <v/>
      </c>
      <c r="AM40" s="49" t="str">
        <f ca="1">IFERROR(INDEX(Z:Z,MATCH(SMALL($AU:$AU,ROW()+3),$AU:$AU,0)),"")</f>
        <v/>
      </c>
      <c r="AN40" s="49" t="str">
        <f ca="1">IFERROR(INDEX(AA:AA,MATCH(SMALL($AU:$AU,ROW()+3),$AU:$AU,0)),"")</f>
        <v/>
      </c>
      <c r="AO40" s="49" t="str">
        <f ca="1">IFERROR(INDEX(AB:AB,MATCH(SMALL($AU:$AU,ROW()+3),$AU:$AU,0)),"")</f>
        <v/>
      </c>
      <c r="AP40" s="49" t="str">
        <f ca="1">IFERROR(INDEX(AC:AC,MATCH(SMALL($AU:$AU,ROW()+3),$AU:$AU,0)),"")</f>
        <v/>
      </c>
      <c r="AU40" s="49" t="str">
        <f t="shared" ca="1" si="6"/>
        <v/>
      </c>
    </row>
    <row r="41" spans="1:47" ht="22.2" customHeight="1">
      <c r="A41" s="108">
        <f t="shared" si="7"/>
        <v>87</v>
      </c>
      <c r="B41" s="50" t="str">
        <f t="shared" si="8"/>
        <v/>
      </c>
      <c r="C41" s="50" t="str">
        <f>IF(OR(クライアント抽出!B41&lt;&gt;"",クライアント抽出!E41&lt;&gt;""),クライアント抽出!A41,"")</f>
        <v/>
      </c>
      <c r="D41" s="50" t="str">
        <f t="array" aca="1" ref="D41" ca="1">IF(C41&lt;&gt;"",INDIRECT("クライアント抽出!"&amp;E41&amp;MATCH(C41,クライアント抽出!A:A,0)&amp;""),"")</f>
        <v/>
      </c>
      <c r="E41" s="50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51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50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06" t="str">
        <f>IF(C41&lt;&gt;"",
クライアント抽出!B41,"")</f>
        <v/>
      </c>
      <c r="I41" s="50" t="str">
        <f t="array" aca="1" ref="I41" ca="1">IF(C41&lt;&gt;"",
IF(O41=1,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INDIRECT("数出表_Excel!"&amp;INDEX(_xlfn.UNIQUE(_xlfn._xlws.FILTER(クライアント抽出!P41:U41,COUNTIF(クライアント抽出!P41:U41,クライアント抽出!P41:U41)&gt;1)),1)&amp;L41&amp;""),0),クライアント抽出!E41),"")</f>
        <v/>
      </c>
      <c r="J41" s="50" t="str">
        <f>IF(C41&lt;&gt;"",
VLOOKUP(
"*"&amp;LEFT(IF(COUNTIF(D41,"*学食*"),"キャラ弁（学食）",
IF(COUNTIF(D41,"*赤*"),"赤",
IF(COUNTIF(D41,"*キャラ弁当*"),"キャラ弁当",D41))),4)&amp;"*",注文弁当の抽出!$E$1:$F$15,2,FALSE),"")</f>
        <v/>
      </c>
      <c r="K41" s="50" t="str">
        <f ca="1">IF(クライアント抽出!P41&lt;&gt;"",SUBSTITUTE(ADDRESS(1,(CODE(クライアント抽出!P41)-64)*2-1,4),"1",""),"")</f>
        <v/>
      </c>
      <c r="L41" s="50" t="str">
        <f>IF(C41&lt;&gt;"",クライアント抽出!I41,"")</f>
        <v/>
      </c>
      <c r="M41" s="50">
        <f t="array" aca="1" ref="M41" ca="1">IF(C41&lt;&gt;"",
IF(K41&lt;&gt;"",INDIRECT("'数出表_Excel（アレルギー入力）'!"&amp;K41&amp;L41-1&amp;""),),)</f>
        <v>0</v>
      </c>
      <c r="N41" s="50" t="str">
        <f>IF(C41&lt;&gt;"",IF(OR(COUNTIF('盛付札（関数）'!D41,"*赤*"),COUNTIF('盛付札（関数）'!D41,"*キャラ*")),1,
VLOOKUP("*"&amp;D41&amp;"*",商品マスタ一覧!D:H,5,FALSE)),"")</f>
        <v/>
      </c>
      <c r="O41" s="50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50">
        <f t="shared" si="0"/>
        <v>0</v>
      </c>
      <c r="Q41" s="50" t="b">
        <f t="shared" si="1"/>
        <v>0</v>
      </c>
      <c r="R41" s="134" t="str">
        <f t="array" aca="1" ref="R41" ca="1">IFERROR(SMALL(IF(P$1:P$311&lt;&gt;0,P$1:P$311),ROW(A41)),"")</f>
        <v/>
      </c>
      <c r="S41" s="134" t="str">
        <f t="array" aca="1" ref="S41" ca="1">IF($R41&lt;&gt;"",
SUBSTITUTE(SUBSTITUTE(INDIRECT("C"&amp;$R41&amp;"")," 週3ｺｰｽ","")," 週5ｺｰｽ",""),"")</f>
        <v/>
      </c>
      <c r="T41" s="134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135" t="str">
        <f t="array" aca="1" ref="U41" ca="1">IF($R41&lt;&gt;"",
INDIRECT("F"&amp;$R41&amp;""),"")</f>
        <v/>
      </c>
      <c r="V41" s="134" t="str">
        <f t="array" aca="1" ref="V41" ca="1">IF($R41&lt;&gt;"",
INDIRECT("G"&amp;$R41&amp;""),"")</f>
        <v/>
      </c>
      <c r="W41" s="134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IF(OR(COUNTIF(INDIRECT("B"&amp;R41&amp;""),"*雙葉先生*"),COUNTIF(INDIRECT("B"&amp;R41-1&amp;""),"*雙葉*")),INDIRECT("H"&amp;R41&amp;""),INDIRECT("H"&amp;R41&amp;"")+INDIRECT("H"&amp;MATCH("雙葉'",INDIRECT("B"&amp;R41+3&amp;":B210"),0)+2+R41&amp;"")),
IF(AND(LEFT(INDIRECT("B"&amp;R41&amp;""),2)="博多",COUNTIF(B:B,"*博多*")&gt;=2),
INDIRECT("H"&amp;R41&amp;"")+INDIRECT("H"&amp;MATCH("*"&amp;INDIRECT("B"&amp;R41&amp;"")&amp;"*",INDIRECT("B"&amp;R41+1&amp;":B210"),0)+R41&amp;""),
IF(AND(LEFT(INDIRECT("B"&amp;R41&amp;""),3)="奈良屋",COUNTIF(B:B,"*奈良屋*")&gt;=2),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134" t="str">
        <f t="array" aca="1" ref="X41" ca="1">IF($R41&lt;&gt;"",
INDIRECT(""&amp;IF(COLUMN(I41)&lt;=26,CHAR(COLUMN(I41)+64),CHAR(INT((COLUMN(I41)-1)/26)+64)&amp;CHAR(MOD(COLUMN(I41)-1,26)+65))&amp;$R41&amp;""),"")</f>
        <v/>
      </c>
      <c r="Y41" s="134" t="str">
        <f t="array" aca="1" ref="Y41" ca="1">IF($R41&lt;&gt;"",
INDIRECT(""&amp;IF(COLUMN(J41)&lt;=26,CHAR(COLUMN(J41)+64),CHAR(INT((COLUMN(J41)-1)/26)+64)&amp;CHAR(MOD(COLUMN(J41)-1,26)+65))&amp;$R41&amp;""),"")</f>
        <v/>
      </c>
      <c r="Z41" s="134" t="str">
        <f t="shared" ca="1" si="2"/>
        <v/>
      </c>
      <c r="AA41" s="134" t="str">
        <f t="shared" ca="1" si="3"/>
        <v/>
      </c>
      <c r="AB41" s="134" t="str">
        <f t="array" aca="1" ref="AB41" ca="1">IF($R41&lt;&gt;"",
IF(AND(COUNTIF(INDIRECT("B"&amp;R41&amp;""),"*雙葉*"),COUNTIF(B:B,"*雙葉*")&gt;=2),
INDIRECT("M"&amp;R41&amp;"")+INDIRECT("M"&amp;MATCH("雙葉'",INDIRECT("B"&amp;R41+1&amp;":B210"),0)+R41&amp;""),
IF(AND(LEFT(INDIRECT("B"&amp;R41&amp;""),2)="博多",COUNTIF(B:B,"*博多*")&gt;=2),
INDIRECT("M"&amp;R41&amp;"")+INDIRECT("M"&amp;MATCH("*"&amp;INDIRECT("B"&amp;R41&amp;"")&amp;"*",INDIRECT("B"&amp;R41+1&amp;":B210"),0)+R41&amp;""),
IF(AND(LEFT(INDIRECT("B"&amp;R41&amp;""),3)="奈良屋",COUNTIF(B:B,"*奈良屋*")&gt;=2),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  <c r="AC41" s="134" t="str">
        <f ca="1">IF(S41&lt;&gt;"",INDEX(A:A, MATCH("*"&amp;LEFT(S41,4)&amp;"*", C:C, 0)),"")</f>
        <v/>
      </c>
      <c r="AD41" s="49" t="str">
        <f ca="1">IFERROR(INDEX(AC:AC,MATCH(SMALL($AU:$AU,ROW()+3),$AU:$AU,0)),"")</f>
        <v/>
      </c>
      <c r="AE41" s="49" t="str">
        <f ca="1">IFERROR(INDEX(R:R,MATCH(SMALL($AU:$AU,ROW()+3),$AU:$AU,0)),"")</f>
        <v/>
      </c>
      <c r="AF41" s="49" t="str">
        <f ca="1">IFERROR(INDEX(S:S,MATCH(SMALL($AU:$AU,ROW()+3),$AU:$AU,0)),"")</f>
        <v/>
      </c>
      <c r="AG41" s="49" t="str">
        <f ca="1">IFERROR(INDEX(T:T,MATCH(SMALL($AU:$AU,ROW()+3),$AU:$AU,0)),"")</f>
        <v/>
      </c>
      <c r="AH41" s="122" t="str">
        <f ca="1">IFERROR(INDEX(U:U,MATCH(SMALL($AU:$AU,ROW()+3),$AU:$AU,0)),"")</f>
        <v/>
      </c>
      <c r="AI41" s="49" t="str">
        <f ca="1">IFERROR(INDEX(V:V,MATCH(SMALL($AU:$AU,ROW()+3),$AU:$AU,0)),"")</f>
        <v/>
      </c>
      <c r="AJ41" s="49" t="str">
        <f ca="1">IFERROR(INDEX(W:W,MATCH(SMALL($AU:$AU,ROW()+3),$AU:$AU,0)),"")</f>
        <v/>
      </c>
      <c r="AK41" s="49" t="str">
        <f ca="1">IFERROR(INDEX(X:X,MATCH(SMALL($AU:$AU,ROW()+3),$AU:$AU,0)),"")</f>
        <v/>
      </c>
      <c r="AL41" s="49" t="str">
        <f ca="1">IFERROR(INDEX(Y:Y,MATCH(SMALL($AU:$AU,ROW()+3),$AU:$AU,0)),"")</f>
        <v/>
      </c>
      <c r="AM41" s="49" t="str">
        <f ca="1">IFERROR(INDEX(Z:Z,MATCH(SMALL($AU:$AU,ROW()+3),$AU:$AU,0)),"")</f>
        <v/>
      </c>
      <c r="AN41" s="49" t="str">
        <f ca="1">IFERROR(INDEX(AA:AA,MATCH(SMALL($AU:$AU,ROW()+3),$AU:$AU,0)),"")</f>
        <v/>
      </c>
      <c r="AO41" s="49" t="str">
        <f ca="1">IFERROR(INDEX(AB:AB,MATCH(SMALL($AU:$AU,ROW()+3),$AU:$AU,0)),"")</f>
        <v/>
      </c>
      <c r="AP41" s="49" t="str">
        <f ca="1">IFERROR(INDEX(AC:AC,MATCH(SMALL($AU:$AU,ROW()+3),$AU:$AU,0)),"")</f>
        <v/>
      </c>
      <c r="AU41" s="49" t="str">
        <f t="shared" ca="1" si="6"/>
        <v/>
      </c>
    </row>
    <row r="42" spans="1:47" ht="21" customHeight="1">
      <c r="A42" s="108">
        <f t="shared" si="7"/>
        <v>89</v>
      </c>
      <c r="B42" s="50" t="str">
        <f t="shared" si="8"/>
        <v/>
      </c>
      <c r="C42" s="50" t="str">
        <f>IF(OR(クライアント抽出!B42&lt;&gt;"",クライアント抽出!E42&lt;&gt;""),クライアント抽出!A42,"")</f>
        <v/>
      </c>
      <c r="D42" s="50" t="str">
        <f t="array" aca="1" ref="D42" ca="1">IF(C42&lt;&gt;"",INDIRECT("クライアント抽出!"&amp;E42&amp;MATCH(C42,クライアント抽出!A:A,0)&amp;""),"")</f>
        <v/>
      </c>
      <c r="E42" s="50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51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50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06" t="str">
        <f>IF(C42&lt;&gt;"",
クライアント抽出!B42,"")</f>
        <v/>
      </c>
      <c r="I42" s="50" t="str">
        <f t="array" aca="1" ref="I42" ca="1">IF(C42&lt;&gt;"",
IF(O42=1,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INDIRECT("数出表_Excel!"&amp;INDEX(_xlfn.UNIQUE(_xlfn._xlws.FILTER(クライアント抽出!P42:U42,COUNTIF(クライアント抽出!P42:U42,クライアント抽出!P42:U42)&gt;1)),1)&amp;L42&amp;""),0),クライアント抽出!E42),"")</f>
        <v/>
      </c>
      <c r="J42" s="50" t="str">
        <f>IF(C42&lt;&gt;"",
VLOOKUP(
"*"&amp;LEFT(IF(COUNTIF(D42,"*学食*"),"キャラ弁（学食）",
IF(COUNTIF(D42,"*赤*"),"赤",
IF(COUNTIF(D42,"*キャラ弁当*"),"キャラ弁当",D42))),4)&amp;"*",注文弁当の抽出!$E$1:$F$15,2,FALSE),"")</f>
        <v/>
      </c>
      <c r="K42" s="50" t="str">
        <f ca="1">IF(クライアント抽出!P42&lt;&gt;"",SUBSTITUTE(ADDRESS(1,(CODE(クライアント抽出!P42)-64)*2-1,4),"1",""),"")</f>
        <v/>
      </c>
      <c r="L42" s="50" t="str">
        <f>IF(C42&lt;&gt;"",クライアント抽出!I42,"")</f>
        <v/>
      </c>
      <c r="M42" s="50">
        <f t="array" aca="1" ref="M42" ca="1">IF(C42&lt;&gt;"",
IF(K42&lt;&gt;"",INDIRECT("'数出表_Excel（アレルギー入力）'!"&amp;K42&amp;L42-1&amp;""),),)</f>
        <v>0</v>
      </c>
      <c r="N42" s="50" t="str">
        <f>IF(C42&lt;&gt;"",IF(OR(COUNTIF('盛付札（関数）'!D42,"*赤*"),COUNTIF('盛付札（関数）'!D42,"*キャラ*")),1,
VLOOKUP("*"&amp;D42&amp;"*",商品マスタ一覧!D:H,5,FALSE)),"")</f>
        <v/>
      </c>
      <c r="O42" s="50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50">
        <f t="shared" si="0"/>
        <v>0</v>
      </c>
      <c r="Q42" s="50" t="b">
        <f t="shared" si="1"/>
        <v>0</v>
      </c>
      <c r="R42" s="134" t="str">
        <f t="array" aca="1" ref="R42" ca="1">IFERROR(SMALL(IF(P$1:P$311&lt;&gt;0,P$1:P$311),ROW(A42)),"")</f>
        <v/>
      </c>
      <c r="S42" s="134" t="str">
        <f t="array" aca="1" ref="S42" ca="1">IF($R42&lt;&gt;"",
SUBSTITUTE(SUBSTITUTE(INDIRECT("C"&amp;$R42&amp;"")," 週3ｺｰｽ","")," 週5ｺｰｽ",""),"")</f>
        <v/>
      </c>
      <c r="T42" s="134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135" t="str">
        <f t="array" aca="1" ref="U42" ca="1">IF($R42&lt;&gt;"",
INDIRECT("F"&amp;$R42&amp;""),"")</f>
        <v/>
      </c>
      <c r="V42" s="134" t="str">
        <f t="array" aca="1" ref="V42" ca="1">IF($R42&lt;&gt;"",
INDIRECT("G"&amp;$R42&amp;""),"")</f>
        <v/>
      </c>
      <c r="W42" s="134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IF(OR(COUNTIF(INDIRECT("B"&amp;R42&amp;""),"*雙葉先生*"),COUNTIF(INDIRECT("B"&amp;R42-1&amp;""),"*雙葉*")),INDIRECT("H"&amp;R42&amp;""),INDIRECT("H"&amp;R42&amp;"")+INDIRECT("H"&amp;MATCH("雙葉'",INDIRECT("B"&amp;R42+3&amp;":B210"),0)+2+R42&amp;"")),
IF(AND(LEFT(INDIRECT("B"&amp;R42&amp;""),2)="博多",COUNTIF(B:B,"*博多*")&gt;=2),
INDIRECT("H"&amp;R42&amp;"")+INDIRECT("H"&amp;MATCH("*"&amp;INDIRECT("B"&amp;R42&amp;"")&amp;"*",INDIRECT("B"&amp;R42+1&amp;":B210"),0)+R42&amp;""),
IF(AND(LEFT(INDIRECT("B"&amp;R42&amp;""),3)="奈良屋",COUNTIF(B:B,"*奈良屋*")&gt;=2),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134" t="str">
        <f t="array" aca="1" ref="X42" ca="1">IF($R42&lt;&gt;"",
INDIRECT(""&amp;IF(COLUMN(I42)&lt;=26,CHAR(COLUMN(I42)+64),CHAR(INT((COLUMN(I42)-1)/26)+64)&amp;CHAR(MOD(COLUMN(I42)-1,26)+65))&amp;$R42&amp;""),"")</f>
        <v/>
      </c>
      <c r="Y42" s="134" t="str">
        <f t="array" aca="1" ref="Y42" ca="1">IF($R42&lt;&gt;"",
INDIRECT(""&amp;IF(COLUMN(J42)&lt;=26,CHAR(COLUMN(J42)+64),CHAR(INT((COLUMN(J42)-1)/26)+64)&amp;CHAR(MOD(COLUMN(J42)-1,26)+65))&amp;$R42&amp;""),"")</f>
        <v/>
      </c>
      <c r="Z42" s="134" t="str">
        <f t="shared" ca="1" si="2"/>
        <v/>
      </c>
      <c r="AA42" s="134" t="str">
        <f t="shared" ca="1" si="3"/>
        <v/>
      </c>
      <c r="AB42" s="134" t="str">
        <f t="array" aca="1" ref="AB42" ca="1">IF($R42&lt;&gt;"",
IF(AND(COUNTIF(INDIRECT("B"&amp;R42&amp;""),"*雙葉*"),COUNTIF(B:B,"*雙葉*")&gt;=2),
INDIRECT("M"&amp;R42&amp;"")+INDIRECT("M"&amp;MATCH("雙葉'",INDIRECT("B"&amp;R42+1&amp;":B210"),0)+R42&amp;""),
IF(AND(LEFT(INDIRECT("B"&amp;R42&amp;""),2)="博多",COUNTIF(B:B,"*博多*")&gt;=2),
INDIRECT("M"&amp;R42&amp;"")+INDIRECT("M"&amp;MATCH("*"&amp;INDIRECT("B"&amp;R42&amp;"")&amp;"*",INDIRECT("B"&amp;R42+1&amp;":B210"),0)+R42&amp;""),
IF(AND(LEFT(INDIRECT("B"&amp;R42&amp;""),3)="奈良屋",COUNTIF(B:B,"*奈良屋*")&gt;=2),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  <c r="AC42" s="134" t="str">
        <f ca="1">IF(S42&lt;&gt;"",INDEX(A:A, MATCH("*"&amp;LEFT(S42,4)&amp;"*", C:C, 0)),"")</f>
        <v/>
      </c>
      <c r="AD42" s="49" t="str">
        <f ca="1">IFERROR(INDEX(AC:AC,MATCH(SMALL($AU:$AU,ROW()+3),$AU:$AU,0)),"")</f>
        <v/>
      </c>
      <c r="AE42" s="49" t="str">
        <f ca="1">IFERROR(INDEX(R:R,MATCH(SMALL($AU:$AU,ROW()+3),$AU:$AU,0)),"")</f>
        <v/>
      </c>
      <c r="AF42" s="49" t="str">
        <f ca="1">IFERROR(INDEX(S:S,MATCH(SMALL($AU:$AU,ROW()+3),$AU:$AU,0)),"")</f>
        <v/>
      </c>
      <c r="AG42" s="49" t="str">
        <f ca="1">IFERROR(INDEX(T:T,MATCH(SMALL($AU:$AU,ROW()+3),$AU:$AU,0)),"")</f>
        <v/>
      </c>
      <c r="AH42" s="122" t="str">
        <f ca="1">IFERROR(INDEX(U:U,MATCH(SMALL($AU:$AU,ROW()+3),$AU:$AU,0)),"")</f>
        <v/>
      </c>
      <c r="AI42" s="49" t="str">
        <f ca="1">IFERROR(INDEX(V:V,MATCH(SMALL($AU:$AU,ROW()+3),$AU:$AU,0)),"")</f>
        <v/>
      </c>
      <c r="AJ42" s="49" t="str">
        <f ca="1">IFERROR(INDEX(W:W,MATCH(SMALL($AU:$AU,ROW()+3),$AU:$AU,0)),"")</f>
        <v/>
      </c>
      <c r="AK42" s="49" t="str">
        <f ca="1">IFERROR(INDEX(X:X,MATCH(SMALL($AU:$AU,ROW()+3),$AU:$AU,0)),"")</f>
        <v/>
      </c>
      <c r="AL42" s="49" t="str">
        <f ca="1">IFERROR(INDEX(Y:Y,MATCH(SMALL($AU:$AU,ROW()+3),$AU:$AU,0)),"")</f>
        <v/>
      </c>
      <c r="AM42" s="49" t="str">
        <f ca="1">IFERROR(INDEX(Z:Z,MATCH(SMALL($AU:$AU,ROW()+3),$AU:$AU,0)),"")</f>
        <v/>
      </c>
      <c r="AN42" s="49" t="str">
        <f ca="1">IFERROR(INDEX(AA:AA,MATCH(SMALL($AU:$AU,ROW()+3),$AU:$AU,0)),"")</f>
        <v/>
      </c>
      <c r="AO42" s="49" t="str">
        <f ca="1">IFERROR(INDEX(AB:AB,MATCH(SMALL($AU:$AU,ROW()+3),$AU:$AU,0)),"")</f>
        <v/>
      </c>
      <c r="AP42" s="49" t="str">
        <f ca="1">IFERROR(INDEX(AC:AC,MATCH(SMALL($AU:$AU,ROW()+3),$AU:$AU,0)),"")</f>
        <v/>
      </c>
      <c r="AU42" s="49" t="str">
        <f t="shared" ca="1" si="6"/>
        <v/>
      </c>
    </row>
    <row r="43" spans="1:47" ht="18" customHeight="1">
      <c r="A43" s="108">
        <f t="shared" si="7"/>
        <v>91</v>
      </c>
      <c r="B43" s="50" t="str">
        <f t="shared" si="8"/>
        <v/>
      </c>
      <c r="C43" s="50" t="str">
        <f>IF(OR(クライアント抽出!B43&lt;&gt;"",クライアント抽出!E43&lt;&gt;""),クライアント抽出!A43,"")</f>
        <v/>
      </c>
      <c r="D43" s="50" t="str">
        <f t="array" aca="1" ref="D43" ca="1">IF(C43&lt;&gt;"",INDIRECT("クライアント抽出!"&amp;E43&amp;MATCH(C43,クライアント抽出!A:A,0)&amp;""),"")</f>
        <v/>
      </c>
      <c r="E43" s="50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51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50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06" t="str">
        <f>IF(C43&lt;&gt;"",
クライアント抽出!B43,"")</f>
        <v/>
      </c>
      <c r="I43" s="50" t="str">
        <f t="array" aca="1" ref="I43" ca="1">IF(C43&lt;&gt;"",
IF(O43=1,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INDIRECT("数出表_Excel!"&amp;INDEX(_xlfn.UNIQUE(_xlfn._xlws.FILTER(クライアント抽出!P43:U43,COUNTIF(クライアント抽出!P43:U43,クライアント抽出!P43:U43)&gt;1)),1)&amp;L43&amp;""),0),クライアント抽出!E43),"")</f>
        <v/>
      </c>
      <c r="J43" s="50" t="str">
        <f>IF(C43&lt;&gt;"",
VLOOKUP(
"*"&amp;LEFT(IF(COUNTIF(D43,"*学食*"),"キャラ弁（学食）",
IF(COUNTIF(D43,"*赤*"),"赤",
IF(COUNTIF(D43,"*キャラ弁当*"),"キャラ弁当",D43))),4)&amp;"*",注文弁当の抽出!$E$1:$F$15,2,FALSE),"")</f>
        <v/>
      </c>
      <c r="K43" s="50" t="str">
        <f ca="1">IF(クライアント抽出!P43&lt;&gt;"",SUBSTITUTE(ADDRESS(1,(CODE(クライアント抽出!P43)-64)*2-1,4),"1",""),"")</f>
        <v/>
      </c>
      <c r="L43" s="50" t="str">
        <f>IF(C43&lt;&gt;"",クライアント抽出!I43,"")</f>
        <v/>
      </c>
      <c r="M43" s="50">
        <f t="array" aca="1" ref="M43" ca="1">IF(C43&lt;&gt;"",
IF(K43&lt;&gt;"",INDIRECT("'数出表_Excel（アレルギー入力）'!"&amp;K43&amp;L43-1&amp;""),),)</f>
        <v>0</v>
      </c>
      <c r="N43" s="50" t="str">
        <f>IF(C43&lt;&gt;"",IF(OR(COUNTIF('盛付札（関数）'!D43,"*赤*"),COUNTIF('盛付札（関数）'!D43,"*キャラ*")),1,
VLOOKUP("*"&amp;D43&amp;"*",商品マスタ一覧!D:H,5,FALSE)),"")</f>
        <v/>
      </c>
      <c r="O43" s="50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50">
        <f t="shared" si="0"/>
        <v>0</v>
      </c>
      <c r="Q43" s="50" t="b">
        <f t="shared" si="1"/>
        <v>0</v>
      </c>
      <c r="R43" s="134" t="str">
        <f t="array" aca="1" ref="R43" ca="1">IFERROR(SMALL(IF(P$1:P$311&lt;&gt;0,P$1:P$311),ROW(A43)),"")</f>
        <v/>
      </c>
      <c r="S43" s="134" t="str">
        <f t="array" aca="1" ref="S43" ca="1">IF($R43&lt;&gt;"",
SUBSTITUTE(SUBSTITUTE(INDIRECT("C"&amp;$R43&amp;"")," 週3ｺｰｽ","")," 週5ｺｰｽ",""),"")</f>
        <v/>
      </c>
      <c r="T43" s="134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135" t="str">
        <f t="array" aca="1" ref="U43" ca="1">IF($R43&lt;&gt;"",
INDIRECT("F"&amp;$R43&amp;""),"")</f>
        <v/>
      </c>
      <c r="V43" s="134" t="str">
        <f t="array" aca="1" ref="V43" ca="1">IF($R43&lt;&gt;"",
INDIRECT("G"&amp;$R43&amp;""),"")</f>
        <v/>
      </c>
      <c r="W43" s="134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IF(OR(COUNTIF(INDIRECT("B"&amp;R43&amp;""),"*雙葉先生*"),COUNTIF(INDIRECT("B"&amp;R43-1&amp;""),"*雙葉*")),INDIRECT("H"&amp;R43&amp;""),INDIRECT("H"&amp;R43&amp;"")+INDIRECT("H"&amp;MATCH("雙葉'",INDIRECT("B"&amp;R43+3&amp;":B210"),0)+2+R43&amp;"")),
IF(AND(LEFT(INDIRECT("B"&amp;R43&amp;""),2)="博多",COUNTIF(B:B,"*博多*")&gt;=2),
INDIRECT("H"&amp;R43&amp;"")+INDIRECT("H"&amp;MATCH("*"&amp;INDIRECT("B"&amp;R43&amp;"")&amp;"*",INDIRECT("B"&amp;R43+1&amp;":B210"),0)+R43&amp;""),
IF(AND(LEFT(INDIRECT("B"&amp;R43&amp;""),3)="奈良屋",COUNTIF(B:B,"*奈良屋*")&gt;=2),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134" t="str">
        <f t="array" aca="1" ref="X43" ca="1">IF($R43&lt;&gt;"",
INDIRECT(""&amp;IF(COLUMN(I43)&lt;=26,CHAR(COLUMN(I43)+64),CHAR(INT((COLUMN(I43)-1)/26)+64)&amp;CHAR(MOD(COLUMN(I43)-1,26)+65))&amp;$R43&amp;""),"")</f>
        <v/>
      </c>
      <c r="Y43" s="134" t="str">
        <f t="array" aca="1" ref="Y43" ca="1">IF($R43&lt;&gt;"",
INDIRECT(""&amp;IF(COLUMN(J43)&lt;=26,CHAR(COLUMN(J43)+64),CHAR(INT((COLUMN(J43)-1)/26)+64)&amp;CHAR(MOD(COLUMN(J43)-1,26)+65))&amp;$R43&amp;""),"")</f>
        <v/>
      </c>
      <c r="Z43" s="134" t="str">
        <f t="shared" ca="1" si="2"/>
        <v/>
      </c>
      <c r="AA43" s="134" t="str">
        <f t="shared" ca="1" si="3"/>
        <v/>
      </c>
      <c r="AB43" s="134" t="str">
        <f t="array" aca="1" ref="AB43" ca="1">IF($R43&lt;&gt;"",
IF(AND(COUNTIF(INDIRECT("B"&amp;R43&amp;""),"*雙葉*"),COUNTIF(B:B,"*雙葉*")&gt;=2),
INDIRECT("M"&amp;R43&amp;"")+INDIRECT("M"&amp;MATCH("雙葉'",INDIRECT("B"&amp;R43+1&amp;":B210"),0)+R43&amp;""),
IF(AND(LEFT(INDIRECT("B"&amp;R43&amp;""),2)="博多",COUNTIF(B:B,"*博多*")&gt;=2),
INDIRECT("M"&amp;R43&amp;"")+INDIRECT("M"&amp;MATCH("*"&amp;INDIRECT("B"&amp;R43&amp;"")&amp;"*",INDIRECT("B"&amp;R43+1&amp;":B210"),0)+R43&amp;""),
IF(AND(LEFT(INDIRECT("B"&amp;R43&amp;""),3)="奈良屋",COUNTIF(B:B,"*奈良屋*")&gt;=2),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  <c r="AC43" s="134" t="str">
        <f ca="1">IF(S43&lt;&gt;"",INDEX(A:A, MATCH("*"&amp;LEFT(S43,4)&amp;"*", C:C, 0)),"")</f>
        <v/>
      </c>
      <c r="AD43" s="49" t="str">
        <f ca="1">IFERROR(INDEX(AC:AC,MATCH(SMALL($AU:$AU,ROW()+3),$AU:$AU,0)),"")</f>
        <v/>
      </c>
      <c r="AE43" s="49" t="str">
        <f ca="1">IFERROR(INDEX(R:R,MATCH(SMALL($AU:$AU,ROW()+3),$AU:$AU,0)),"")</f>
        <v/>
      </c>
      <c r="AF43" s="49" t="str">
        <f ca="1">IFERROR(INDEX(S:S,MATCH(SMALL($AU:$AU,ROW()+3),$AU:$AU,0)),"")</f>
        <v/>
      </c>
      <c r="AG43" s="49" t="str">
        <f ca="1">IFERROR(INDEX(T:T,MATCH(SMALL($AU:$AU,ROW()+3),$AU:$AU,0)),"")</f>
        <v/>
      </c>
      <c r="AH43" s="122" t="str">
        <f ca="1">IFERROR(INDEX(U:U,MATCH(SMALL($AU:$AU,ROW()+3),$AU:$AU,0)),"")</f>
        <v/>
      </c>
      <c r="AI43" s="49" t="str">
        <f ca="1">IFERROR(INDEX(V:V,MATCH(SMALL($AU:$AU,ROW()+3),$AU:$AU,0)),"")</f>
        <v/>
      </c>
      <c r="AJ43" s="49" t="str">
        <f ca="1">IFERROR(INDEX(W:W,MATCH(SMALL($AU:$AU,ROW()+3),$AU:$AU,0)),"")</f>
        <v/>
      </c>
      <c r="AK43" s="49" t="str">
        <f ca="1">IFERROR(INDEX(X:X,MATCH(SMALL($AU:$AU,ROW()+3),$AU:$AU,0)),"")</f>
        <v/>
      </c>
      <c r="AL43" s="49" t="str">
        <f ca="1">IFERROR(INDEX(Y:Y,MATCH(SMALL($AU:$AU,ROW()+3),$AU:$AU,0)),"")</f>
        <v/>
      </c>
      <c r="AM43" s="49" t="str">
        <f ca="1">IFERROR(INDEX(Z:Z,MATCH(SMALL($AU:$AU,ROW()+3),$AU:$AU,0)),"")</f>
        <v/>
      </c>
      <c r="AN43" s="49" t="str">
        <f ca="1">IFERROR(INDEX(AA:AA,MATCH(SMALL($AU:$AU,ROW()+3),$AU:$AU,0)),"")</f>
        <v/>
      </c>
      <c r="AO43" s="49" t="str">
        <f ca="1">IFERROR(INDEX(AB:AB,MATCH(SMALL($AU:$AU,ROW()+3),$AU:$AU,0)),"")</f>
        <v/>
      </c>
      <c r="AP43" s="49" t="str">
        <f ca="1">IFERROR(INDEX(AC:AC,MATCH(SMALL($AU:$AU,ROW()+3),$AU:$AU,0)),"")</f>
        <v/>
      </c>
      <c r="AU43" s="49" t="str">
        <f t="shared" ca="1" si="6"/>
        <v/>
      </c>
    </row>
    <row r="44" spans="1:47" ht="18" customHeight="1">
      <c r="A44" s="108">
        <f t="shared" si="7"/>
        <v>93</v>
      </c>
      <c r="B44" s="50" t="str">
        <f t="shared" si="8"/>
        <v/>
      </c>
      <c r="C44" s="50" t="str">
        <f>IF(OR(クライアント抽出!B44&lt;&gt;"",クライアント抽出!E44&lt;&gt;""),クライアント抽出!A44,"")</f>
        <v/>
      </c>
      <c r="D44" s="50" t="str">
        <f t="array" aca="1" ref="D44" ca="1">IF(C44&lt;&gt;"",INDIRECT("クライアント抽出!"&amp;E44&amp;MATCH(C44,クライアント抽出!A:A,0)&amp;""),"")</f>
        <v/>
      </c>
      <c r="E44" s="50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51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50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06" t="str">
        <f>IF(C44&lt;&gt;"",
クライアント抽出!B44,"")</f>
        <v/>
      </c>
      <c r="I44" s="50" t="str">
        <f t="array" aca="1" ref="I44" ca="1">IF(C44&lt;&gt;"",
IF(O44=1,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INDIRECT("数出表_Excel!"&amp;INDEX(_xlfn.UNIQUE(_xlfn._xlws.FILTER(クライアント抽出!P44:U44,COUNTIF(クライアント抽出!P44:U44,クライアント抽出!P44:U44)&gt;1)),1)&amp;L44&amp;""),0),クライアント抽出!E44),"")</f>
        <v/>
      </c>
      <c r="J44" s="50" t="str">
        <f>IF(C44&lt;&gt;"",
VLOOKUP(
"*"&amp;LEFT(IF(COUNTIF(D44,"*学食*"),"キャラ弁（学食）",
IF(COUNTIF(D44,"*赤*"),"赤",
IF(COUNTIF(D44,"*キャラ弁当*"),"キャラ弁当",D44))),4)&amp;"*",注文弁当の抽出!$E$1:$F$15,2,FALSE),"")</f>
        <v/>
      </c>
      <c r="K44" s="50" t="str">
        <f ca="1">IF(クライアント抽出!P44&lt;&gt;"",SUBSTITUTE(ADDRESS(1,(CODE(クライアント抽出!P44)-64)*2-1,4),"1",""),"")</f>
        <v/>
      </c>
      <c r="L44" s="50" t="str">
        <f>IF(C44&lt;&gt;"",クライアント抽出!I44,"")</f>
        <v/>
      </c>
      <c r="M44" s="50">
        <f t="array" aca="1" ref="M44" ca="1">IF(C44&lt;&gt;"",
IF(K44&lt;&gt;"",INDIRECT("'数出表_Excel（アレルギー入力）'!"&amp;K44&amp;L44-1&amp;""),),)</f>
        <v>0</v>
      </c>
      <c r="N44" s="50" t="str">
        <f>IF(C44&lt;&gt;"",IF(OR(COUNTIF('盛付札（関数）'!D44,"*赤*"),COUNTIF('盛付札（関数）'!D44,"*キャラ*")),1,
VLOOKUP("*"&amp;D44&amp;"*",商品マスタ一覧!D:H,5,FALSE)),"")</f>
        <v/>
      </c>
      <c r="O44" s="50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50">
        <f t="shared" si="0"/>
        <v>0</v>
      </c>
      <c r="Q44" s="50" t="b">
        <f t="shared" si="1"/>
        <v>0</v>
      </c>
      <c r="R44" s="134" t="str">
        <f t="array" aca="1" ref="R44" ca="1">IFERROR(SMALL(IF(P$1:P$311&lt;&gt;0,P$1:P$311),ROW(A44)),"")</f>
        <v/>
      </c>
      <c r="S44" s="134" t="str">
        <f t="array" aca="1" ref="S44" ca="1">IF($R44&lt;&gt;"",
SUBSTITUTE(SUBSTITUTE(INDIRECT("C"&amp;$R44&amp;"")," 週3ｺｰｽ","")," 週5ｺｰｽ",""),"")</f>
        <v/>
      </c>
      <c r="T44" s="134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135" t="str">
        <f t="array" aca="1" ref="U44" ca="1">IF($R44&lt;&gt;"",
INDIRECT("F"&amp;$R44&amp;""),"")</f>
        <v/>
      </c>
      <c r="V44" s="134" t="str">
        <f t="array" aca="1" ref="V44" ca="1">IF($R44&lt;&gt;"",
INDIRECT("G"&amp;$R44&amp;""),"")</f>
        <v/>
      </c>
      <c r="W44" s="134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IF(OR(COUNTIF(INDIRECT("B"&amp;R44&amp;""),"*雙葉先生*"),COUNTIF(INDIRECT("B"&amp;R44-1&amp;""),"*雙葉*")),INDIRECT("H"&amp;R44&amp;""),INDIRECT("H"&amp;R44&amp;"")+INDIRECT("H"&amp;MATCH("雙葉'",INDIRECT("B"&amp;R44+3&amp;":B210"),0)+2+R44&amp;"")),
IF(AND(LEFT(INDIRECT("B"&amp;R44&amp;""),2)="博多",COUNTIF(B:B,"*博多*")&gt;=2),
INDIRECT("H"&amp;R44&amp;"")+INDIRECT("H"&amp;MATCH("*"&amp;INDIRECT("B"&amp;R44&amp;"")&amp;"*",INDIRECT("B"&amp;R44+1&amp;":B210"),0)+R44&amp;""),
IF(AND(LEFT(INDIRECT("B"&amp;R44&amp;""),3)="奈良屋",COUNTIF(B:B,"*奈良屋*")&gt;=2),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134" t="str">
        <f t="array" aca="1" ref="X44" ca="1">IF($R44&lt;&gt;"",
INDIRECT(""&amp;IF(COLUMN(I44)&lt;=26,CHAR(COLUMN(I44)+64),CHAR(INT((COLUMN(I44)-1)/26)+64)&amp;CHAR(MOD(COLUMN(I44)-1,26)+65))&amp;$R44&amp;""),"")</f>
        <v/>
      </c>
      <c r="Y44" s="134" t="str">
        <f t="array" aca="1" ref="Y44" ca="1">IF($R44&lt;&gt;"",
INDIRECT(""&amp;IF(COLUMN(J44)&lt;=26,CHAR(COLUMN(J44)+64),CHAR(INT((COLUMN(J44)-1)/26)+64)&amp;CHAR(MOD(COLUMN(J44)-1,26)+65))&amp;$R44&amp;""),"")</f>
        <v/>
      </c>
      <c r="Z44" s="134" t="str">
        <f t="shared" ca="1" si="2"/>
        <v/>
      </c>
      <c r="AA44" s="134" t="str">
        <f t="shared" ca="1" si="3"/>
        <v/>
      </c>
      <c r="AB44" s="134" t="str">
        <f t="array" aca="1" ref="AB44" ca="1">IF($R44&lt;&gt;"",
IF(AND(COUNTIF(INDIRECT("B"&amp;R44&amp;""),"*雙葉*"),COUNTIF(B:B,"*雙葉*")&gt;=2),
INDIRECT("M"&amp;R44&amp;"")+INDIRECT("M"&amp;MATCH("雙葉'",INDIRECT("B"&amp;R44+1&amp;":B210"),0)+R44&amp;""),
IF(AND(LEFT(INDIRECT("B"&amp;R44&amp;""),2)="博多",COUNTIF(B:B,"*博多*")&gt;=2),
INDIRECT("M"&amp;R44&amp;"")+INDIRECT("M"&amp;MATCH("*"&amp;INDIRECT("B"&amp;R44&amp;"")&amp;"*",INDIRECT("B"&amp;R44+1&amp;":B210"),0)+R44&amp;""),
IF(AND(LEFT(INDIRECT("B"&amp;R44&amp;""),3)="奈良屋",COUNTIF(B:B,"*奈良屋*")&gt;=2),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  <c r="AC44" s="134" t="str">
        <f ca="1">IF(S44&lt;&gt;"",INDEX(A:A, MATCH("*"&amp;LEFT(S44,4)&amp;"*", C:C, 0)),"")</f>
        <v/>
      </c>
      <c r="AD44" s="49" t="str">
        <f ca="1">IFERROR(INDEX(AC:AC,MATCH(SMALL($AU:$AU,ROW()+3),$AU:$AU,0)),"")</f>
        <v/>
      </c>
      <c r="AE44" s="49" t="str">
        <f ca="1">IFERROR(INDEX(R:R,MATCH(SMALL($AU:$AU,ROW()+3),$AU:$AU,0)),"")</f>
        <v/>
      </c>
      <c r="AF44" s="49" t="str">
        <f ca="1">IFERROR(INDEX(S:S,MATCH(SMALL($AU:$AU,ROW()+3),$AU:$AU,0)),"")</f>
        <v/>
      </c>
      <c r="AG44" s="49" t="str">
        <f ca="1">IFERROR(INDEX(T:T,MATCH(SMALL($AU:$AU,ROW()+3),$AU:$AU,0)),"")</f>
        <v/>
      </c>
      <c r="AH44" s="122" t="str">
        <f ca="1">IFERROR(INDEX(U:U,MATCH(SMALL($AU:$AU,ROW()+3),$AU:$AU,0)),"")</f>
        <v/>
      </c>
      <c r="AI44" s="49" t="str">
        <f ca="1">IFERROR(INDEX(V:V,MATCH(SMALL($AU:$AU,ROW()+3),$AU:$AU,0)),"")</f>
        <v/>
      </c>
      <c r="AJ44" s="49" t="str">
        <f ca="1">IFERROR(INDEX(W:W,MATCH(SMALL($AU:$AU,ROW()+3),$AU:$AU,0)),"")</f>
        <v/>
      </c>
      <c r="AK44" s="49" t="str">
        <f ca="1">IFERROR(INDEX(X:X,MATCH(SMALL($AU:$AU,ROW()+3),$AU:$AU,0)),"")</f>
        <v/>
      </c>
      <c r="AL44" s="49" t="str">
        <f ca="1">IFERROR(INDEX(Y:Y,MATCH(SMALL($AU:$AU,ROW()+3),$AU:$AU,0)),"")</f>
        <v/>
      </c>
      <c r="AM44" s="49" t="str">
        <f ca="1">IFERROR(INDEX(Z:Z,MATCH(SMALL($AU:$AU,ROW()+3),$AU:$AU,0)),"")</f>
        <v/>
      </c>
      <c r="AN44" s="49" t="str">
        <f ca="1">IFERROR(INDEX(AA:AA,MATCH(SMALL($AU:$AU,ROW()+3),$AU:$AU,0)),"")</f>
        <v/>
      </c>
      <c r="AO44" s="49" t="str">
        <f ca="1">IFERROR(INDEX(AB:AB,MATCH(SMALL($AU:$AU,ROW()+3),$AU:$AU,0)),"")</f>
        <v/>
      </c>
      <c r="AP44" s="49" t="str">
        <f ca="1">IFERROR(INDEX(AC:AC,MATCH(SMALL($AU:$AU,ROW()+3),$AU:$AU,0)),"")</f>
        <v/>
      </c>
      <c r="AU44" s="49" t="str">
        <f t="shared" ca="1" si="6"/>
        <v/>
      </c>
    </row>
    <row r="45" spans="1:47" ht="22.2" customHeight="1">
      <c r="A45" s="108">
        <f t="shared" si="7"/>
        <v>95</v>
      </c>
      <c r="B45" s="50" t="str">
        <f t="shared" si="8"/>
        <v/>
      </c>
      <c r="C45" s="50" t="str">
        <f>IF(OR(クライアント抽出!B45&lt;&gt;"",クライアント抽出!E45&lt;&gt;""),クライアント抽出!A45,"")</f>
        <v/>
      </c>
      <c r="D45" s="50" t="str">
        <f t="array" aca="1" ref="D45" ca="1">IF(C45&lt;&gt;"",INDIRECT("クライアント抽出!"&amp;E45&amp;MATCH(C45,クライアント抽出!A:A,0)&amp;""),"")</f>
        <v/>
      </c>
      <c r="E45" s="50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51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50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06" t="str">
        <f>IF(C45&lt;&gt;"",
クライアント抽出!B45,"")</f>
        <v/>
      </c>
      <c r="I45" s="50" t="str">
        <f t="array" aca="1" ref="I45" ca="1">IF(C45&lt;&gt;"",
IF(O45=1,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INDIRECT("数出表_Excel!"&amp;INDEX(_xlfn.UNIQUE(_xlfn._xlws.FILTER(クライアント抽出!P45:U45,COUNTIF(クライアント抽出!P45:U45,クライアント抽出!P45:U45)&gt;1)),1)&amp;L45&amp;""),0),クライアント抽出!E45),"")</f>
        <v/>
      </c>
      <c r="J45" s="50" t="str">
        <f>IF(C45&lt;&gt;"",
VLOOKUP(
"*"&amp;LEFT(IF(COUNTIF(D45,"*学食*"),"キャラ弁（学食）",
IF(COUNTIF(D45,"*赤*"),"赤",
IF(COUNTIF(D45,"*キャラ弁当*"),"キャラ弁当",D45))),4)&amp;"*",注文弁当の抽出!$E$1:$F$15,2,FALSE),"")</f>
        <v/>
      </c>
      <c r="K45" s="50" t="str">
        <f ca="1">IF(クライアント抽出!P45&lt;&gt;"",SUBSTITUTE(ADDRESS(1,(CODE(クライアント抽出!P45)-64)*2-1,4),"1",""),"")</f>
        <v/>
      </c>
      <c r="L45" s="50" t="str">
        <f>IF(C45&lt;&gt;"",クライアント抽出!I45,"")</f>
        <v/>
      </c>
      <c r="M45" s="50">
        <f t="array" aca="1" ref="M45" ca="1">IF(C45&lt;&gt;"",
IF(K45&lt;&gt;"",INDIRECT("'数出表_Excel（アレルギー入力）'!"&amp;K45&amp;L45-1&amp;""),),)</f>
        <v>0</v>
      </c>
      <c r="N45" s="50" t="str">
        <f>IF(C45&lt;&gt;"",IF(OR(COUNTIF('盛付札（関数）'!D45,"*赤*"),COUNTIF('盛付札（関数）'!D45,"*キャラ*")),1,
VLOOKUP("*"&amp;D45&amp;"*",商品マスタ一覧!D:H,5,FALSE)),"")</f>
        <v/>
      </c>
      <c r="O45" s="50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50">
        <f t="shared" si="0"/>
        <v>0</v>
      </c>
      <c r="Q45" s="50" t="b">
        <f t="shared" si="1"/>
        <v>0</v>
      </c>
      <c r="R45" s="134" t="str">
        <f t="array" aca="1" ref="R45" ca="1">IFERROR(SMALL(IF(P$1:P$311&lt;&gt;0,P$1:P$311),ROW(A45)),"")</f>
        <v/>
      </c>
      <c r="S45" s="134" t="str">
        <f t="array" aca="1" ref="S45" ca="1">IF($R45&lt;&gt;"",
SUBSTITUTE(SUBSTITUTE(INDIRECT("C"&amp;$R45&amp;"")," 週3ｺｰｽ","")," 週5ｺｰｽ",""),"")</f>
        <v/>
      </c>
      <c r="T45" s="134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135" t="str">
        <f t="array" aca="1" ref="U45" ca="1">IF($R45&lt;&gt;"",
INDIRECT("F"&amp;$R45&amp;""),"")</f>
        <v/>
      </c>
      <c r="V45" s="134" t="str">
        <f t="array" aca="1" ref="V45" ca="1">IF($R45&lt;&gt;"",
INDIRECT("G"&amp;$R45&amp;""),"")</f>
        <v/>
      </c>
      <c r="W45" s="134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IF(OR(COUNTIF(INDIRECT("B"&amp;R45&amp;""),"*雙葉先生*"),COUNTIF(INDIRECT("B"&amp;R45-1&amp;""),"*雙葉*")),INDIRECT("H"&amp;R45&amp;""),INDIRECT("H"&amp;R45&amp;"")+INDIRECT("H"&amp;MATCH("雙葉'",INDIRECT("B"&amp;R45+3&amp;":B210"),0)+2+R45&amp;"")),
IF(AND(LEFT(INDIRECT("B"&amp;R45&amp;""),2)="博多",COUNTIF(B:B,"*博多*")&gt;=2),
INDIRECT("H"&amp;R45&amp;"")+INDIRECT("H"&amp;MATCH("*"&amp;INDIRECT("B"&amp;R45&amp;"")&amp;"*",INDIRECT("B"&amp;R45+1&amp;":B210"),0)+R45&amp;""),
IF(AND(LEFT(INDIRECT("B"&amp;R45&amp;""),3)="奈良屋",COUNTIF(B:B,"*奈良屋*")&gt;=2),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134" t="str">
        <f t="array" aca="1" ref="X45" ca="1">IF($R45&lt;&gt;"",
INDIRECT(""&amp;IF(COLUMN(I45)&lt;=26,CHAR(COLUMN(I45)+64),CHAR(INT((COLUMN(I45)-1)/26)+64)&amp;CHAR(MOD(COLUMN(I45)-1,26)+65))&amp;$R45&amp;""),"")</f>
        <v/>
      </c>
      <c r="Y45" s="134" t="str">
        <f t="array" aca="1" ref="Y45" ca="1">IF($R45&lt;&gt;"",
INDIRECT(""&amp;IF(COLUMN(J45)&lt;=26,CHAR(COLUMN(J45)+64),CHAR(INT((COLUMN(J45)-1)/26)+64)&amp;CHAR(MOD(COLUMN(J45)-1,26)+65))&amp;$R45&amp;""),"")</f>
        <v/>
      </c>
      <c r="Z45" s="134" t="str">
        <f t="shared" ca="1" si="2"/>
        <v/>
      </c>
      <c r="AA45" s="134" t="str">
        <f t="shared" ca="1" si="3"/>
        <v/>
      </c>
      <c r="AB45" s="134" t="str">
        <f t="array" aca="1" ref="AB45" ca="1">IF($R45&lt;&gt;"",
IF(AND(COUNTIF(INDIRECT("B"&amp;R45&amp;""),"*雙葉*"),COUNTIF(B:B,"*雙葉*")&gt;=2),
INDIRECT("M"&amp;R45&amp;"")+INDIRECT("M"&amp;MATCH("雙葉'",INDIRECT("B"&amp;R45+1&amp;":B210"),0)+R45&amp;""),
IF(AND(LEFT(INDIRECT("B"&amp;R45&amp;""),2)="博多",COUNTIF(B:B,"*博多*")&gt;=2),
INDIRECT("M"&amp;R45&amp;"")+INDIRECT("M"&amp;MATCH("*"&amp;INDIRECT("B"&amp;R45&amp;"")&amp;"*",INDIRECT("B"&amp;R45+1&amp;":B210"),0)+R45&amp;""),
IF(AND(LEFT(INDIRECT("B"&amp;R45&amp;""),3)="奈良屋",COUNTIF(B:B,"*奈良屋*")&gt;=2),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  <c r="AC45" s="134" t="str">
        <f ca="1">IF(S45&lt;&gt;"",INDEX(A:A, MATCH("*"&amp;LEFT(S45,4)&amp;"*", C:C, 0)),"")</f>
        <v/>
      </c>
      <c r="AD45" s="49" t="str">
        <f ca="1">IFERROR(INDEX(AC:AC,MATCH(SMALL($AU:$AU,ROW()+3),$AU:$AU,0)),"")</f>
        <v/>
      </c>
      <c r="AE45" s="49" t="str">
        <f ca="1">IFERROR(INDEX(R:R,MATCH(SMALL($AU:$AU,ROW()+3),$AU:$AU,0)),"")</f>
        <v/>
      </c>
      <c r="AF45" s="49" t="str">
        <f ca="1">IFERROR(INDEX(S:S,MATCH(SMALL($AU:$AU,ROW()+3),$AU:$AU,0)),"")</f>
        <v/>
      </c>
      <c r="AG45" s="49" t="str">
        <f ca="1">IFERROR(INDEX(T:T,MATCH(SMALL($AU:$AU,ROW()+3),$AU:$AU,0)),"")</f>
        <v/>
      </c>
      <c r="AH45" s="122" t="str">
        <f ca="1">IFERROR(INDEX(U:U,MATCH(SMALL($AU:$AU,ROW()+3),$AU:$AU,0)),"")</f>
        <v/>
      </c>
      <c r="AI45" s="49" t="str">
        <f ca="1">IFERROR(INDEX(V:V,MATCH(SMALL($AU:$AU,ROW()+3),$AU:$AU,0)),"")</f>
        <v/>
      </c>
      <c r="AJ45" s="49" t="str">
        <f ca="1">IFERROR(INDEX(W:W,MATCH(SMALL($AU:$AU,ROW()+3),$AU:$AU,0)),"")</f>
        <v/>
      </c>
      <c r="AK45" s="49" t="str">
        <f ca="1">IFERROR(INDEX(X:X,MATCH(SMALL($AU:$AU,ROW()+3),$AU:$AU,0)),"")</f>
        <v/>
      </c>
      <c r="AL45" s="49" t="str">
        <f ca="1">IFERROR(INDEX(Y:Y,MATCH(SMALL($AU:$AU,ROW()+3),$AU:$AU,0)),"")</f>
        <v/>
      </c>
      <c r="AM45" s="49" t="str">
        <f ca="1">IFERROR(INDEX(Z:Z,MATCH(SMALL($AU:$AU,ROW()+3),$AU:$AU,0)),"")</f>
        <v/>
      </c>
      <c r="AN45" s="49" t="str">
        <f ca="1">IFERROR(INDEX(AA:AA,MATCH(SMALL($AU:$AU,ROW()+3),$AU:$AU,0)),"")</f>
        <v/>
      </c>
      <c r="AO45" s="49" t="str">
        <f ca="1">IFERROR(INDEX(AB:AB,MATCH(SMALL($AU:$AU,ROW()+3),$AU:$AU,0)),"")</f>
        <v/>
      </c>
      <c r="AP45" s="49" t="str">
        <f ca="1">IFERROR(INDEX(AC:AC,MATCH(SMALL($AU:$AU,ROW()+3),$AU:$AU,0)),"")</f>
        <v/>
      </c>
      <c r="AU45" s="49" t="str">
        <f t="shared" ca="1" si="6"/>
        <v/>
      </c>
    </row>
    <row r="46" spans="1:47" ht="18" customHeight="1">
      <c r="A46" s="108">
        <f t="shared" si="7"/>
        <v>97</v>
      </c>
      <c r="B46" s="50" t="str">
        <f t="shared" si="8"/>
        <v/>
      </c>
      <c r="C46" s="50" t="str">
        <f>IF(OR(クライアント抽出!B46&lt;&gt;"",クライアント抽出!E46&lt;&gt;""),クライアント抽出!A46,"")</f>
        <v/>
      </c>
      <c r="D46" s="50" t="str">
        <f t="array" aca="1" ref="D46" ca="1">IF(C46&lt;&gt;"",INDIRECT("クライアント抽出!"&amp;E46&amp;MATCH(C46,クライアント抽出!A:A,0)&amp;""),"")</f>
        <v/>
      </c>
      <c r="E46" s="50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51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50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06" t="str">
        <f>IF(C46&lt;&gt;"",
クライアント抽出!B46,"")</f>
        <v/>
      </c>
      <c r="I46" s="50" t="str">
        <f t="array" aca="1" ref="I46" ca="1">IF(C46&lt;&gt;"",
IF(O46=1,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INDIRECT("数出表_Excel!"&amp;INDEX(_xlfn.UNIQUE(_xlfn._xlws.FILTER(クライアント抽出!P46:U46,COUNTIF(クライアント抽出!P46:U46,クライアント抽出!P46:U46)&gt;1)),1)&amp;L46&amp;""),0),クライアント抽出!E46),"")</f>
        <v/>
      </c>
      <c r="J46" s="50" t="str">
        <f>IF(C46&lt;&gt;"",
VLOOKUP(
"*"&amp;LEFT(IF(COUNTIF(D46,"*学食*"),"キャラ弁（学食）",
IF(COUNTIF(D46,"*赤*"),"赤",
IF(COUNTIF(D46,"*キャラ弁当*"),"キャラ弁当",D46))),4)&amp;"*",注文弁当の抽出!$E$1:$F$15,2,FALSE),"")</f>
        <v/>
      </c>
      <c r="K46" s="50" t="str">
        <f ca="1">IF(クライアント抽出!P46&lt;&gt;"",SUBSTITUTE(ADDRESS(1,(CODE(クライアント抽出!P46)-64)*2-1,4),"1",""),"")</f>
        <v/>
      </c>
      <c r="L46" s="50" t="str">
        <f>IF(C46&lt;&gt;"",クライアント抽出!I46,"")</f>
        <v/>
      </c>
      <c r="M46" s="50">
        <f t="array" aca="1" ref="M46" ca="1">IF(C46&lt;&gt;"",
IF(K46&lt;&gt;"",INDIRECT("'数出表_Excel（アレルギー入力）'!"&amp;K46&amp;L46-1&amp;""),),)</f>
        <v>0</v>
      </c>
      <c r="N46" s="50" t="str">
        <f>IF(C46&lt;&gt;"",IF(OR(COUNTIF('盛付札（関数）'!D46,"*赤*"),COUNTIF('盛付札（関数）'!D46,"*キャラ*")),1,
VLOOKUP("*"&amp;D46&amp;"*",商品マスタ一覧!D:H,5,FALSE)),"")</f>
        <v/>
      </c>
      <c r="O46" s="50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50">
        <f t="shared" si="0"/>
        <v>0</v>
      </c>
      <c r="Q46" s="50" t="b">
        <f t="shared" si="1"/>
        <v>0</v>
      </c>
      <c r="R46" s="134" t="str">
        <f t="array" aca="1" ref="R46" ca="1">IFERROR(SMALL(IF(P$1:P$311&lt;&gt;0,P$1:P$311),ROW(A46)),"")</f>
        <v/>
      </c>
      <c r="S46" s="134" t="str">
        <f t="array" aca="1" ref="S46" ca="1">IF($R46&lt;&gt;"",
SUBSTITUTE(SUBSTITUTE(INDIRECT("C"&amp;$R46&amp;"")," 週3ｺｰｽ","")," 週5ｺｰｽ",""),"")</f>
        <v/>
      </c>
      <c r="T46" s="134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135" t="str">
        <f t="array" aca="1" ref="U46" ca="1">IF($R46&lt;&gt;"",
INDIRECT("F"&amp;$R46&amp;""),"")</f>
        <v/>
      </c>
      <c r="V46" s="134" t="str">
        <f t="array" aca="1" ref="V46" ca="1">IF($R46&lt;&gt;"",
INDIRECT("G"&amp;$R46&amp;""),"")</f>
        <v/>
      </c>
      <c r="W46" s="134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IF(OR(COUNTIF(INDIRECT("B"&amp;R46&amp;""),"*雙葉先生*"),COUNTIF(INDIRECT("B"&amp;R46-1&amp;""),"*雙葉*")),INDIRECT("H"&amp;R46&amp;""),INDIRECT("H"&amp;R46&amp;"")+INDIRECT("H"&amp;MATCH("雙葉'",INDIRECT("B"&amp;R46+3&amp;":B210"),0)+2+R46&amp;"")),
IF(AND(LEFT(INDIRECT("B"&amp;R46&amp;""),2)="博多",COUNTIF(B:B,"*博多*")&gt;=2),
INDIRECT("H"&amp;R46&amp;"")+INDIRECT("H"&amp;MATCH("*"&amp;INDIRECT("B"&amp;R46&amp;"")&amp;"*",INDIRECT("B"&amp;R46+1&amp;":B210"),0)+R46&amp;""),
IF(AND(LEFT(INDIRECT("B"&amp;R46&amp;""),3)="奈良屋",COUNTIF(B:B,"*奈良屋*")&gt;=2),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134" t="str">
        <f t="array" aca="1" ref="X46" ca="1">IF($R46&lt;&gt;"",
INDIRECT(""&amp;IF(COLUMN(I46)&lt;=26,CHAR(COLUMN(I46)+64),CHAR(INT((COLUMN(I46)-1)/26)+64)&amp;CHAR(MOD(COLUMN(I46)-1,26)+65))&amp;$R46&amp;""),"")</f>
        <v/>
      </c>
      <c r="Y46" s="134" t="str">
        <f t="array" aca="1" ref="Y46" ca="1">IF($R46&lt;&gt;"",
INDIRECT(""&amp;IF(COLUMN(J46)&lt;=26,CHAR(COLUMN(J46)+64),CHAR(INT((COLUMN(J46)-1)/26)+64)&amp;CHAR(MOD(COLUMN(J46)-1,26)+65))&amp;$R46&amp;""),"")</f>
        <v/>
      </c>
      <c r="Z46" s="134" t="str">
        <f t="shared" ca="1" si="2"/>
        <v/>
      </c>
      <c r="AA46" s="134" t="str">
        <f t="shared" ca="1" si="3"/>
        <v/>
      </c>
      <c r="AB46" s="134" t="str">
        <f t="array" aca="1" ref="AB46" ca="1">IF($R46&lt;&gt;"",
IF(AND(COUNTIF(INDIRECT("B"&amp;R46&amp;""),"*雙葉*"),COUNTIF(B:B,"*雙葉*")&gt;=2),
INDIRECT("M"&amp;R46&amp;"")+INDIRECT("M"&amp;MATCH("雙葉'",INDIRECT("B"&amp;R46+1&amp;":B210"),0)+R46&amp;""),
IF(AND(LEFT(INDIRECT("B"&amp;R46&amp;""),2)="博多",COUNTIF(B:B,"*博多*")&gt;=2),
INDIRECT("M"&amp;R46&amp;"")+INDIRECT("M"&amp;MATCH("*"&amp;INDIRECT("B"&amp;R46&amp;"")&amp;"*",INDIRECT("B"&amp;R46+1&amp;":B210"),0)+R46&amp;""),
IF(AND(LEFT(INDIRECT("B"&amp;R46&amp;""),3)="奈良屋",COUNTIF(B:B,"*奈良屋*")&gt;=2),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  <c r="AC46" s="134" t="str">
        <f ca="1">IF(S46&lt;&gt;"",INDEX(A:A, MATCH("*"&amp;LEFT(S46,4)&amp;"*", C:C, 0)),"")</f>
        <v/>
      </c>
      <c r="AD46" s="49" t="str">
        <f ca="1">IFERROR(INDEX(AC:AC,MATCH(SMALL($AU:$AU,ROW()+3),$AU:$AU,0)),"")</f>
        <v/>
      </c>
      <c r="AE46" s="49" t="str">
        <f ca="1">IFERROR(INDEX(R:R,MATCH(SMALL($AU:$AU,ROW()+3),$AU:$AU,0)),"")</f>
        <v/>
      </c>
      <c r="AF46" s="49" t="str">
        <f ca="1">IFERROR(INDEX(S:S,MATCH(SMALL($AU:$AU,ROW()+3),$AU:$AU,0)),"")</f>
        <v/>
      </c>
      <c r="AG46" s="49" t="str">
        <f ca="1">IFERROR(INDEX(T:T,MATCH(SMALL($AU:$AU,ROW()+3),$AU:$AU,0)),"")</f>
        <v/>
      </c>
      <c r="AH46" s="122" t="str">
        <f ca="1">IFERROR(INDEX(U:U,MATCH(SMALL($AU:$AU,ROW()+3),$AU:$AU,0)),"")</f>
        <v/>
      </c>
      <c r="AI46" s="49" t="str">
        <f ca="1">IFERROR(INDEX(V:V,MATCH(SMALL($AU:$AU,ROW()+3),$AU:$AU,0)),"")</f>
        <v/>
      </c>
      <c r="AJ46" s="49" t="str">
        <f ca="1">IFERROR(INDEX(W:W,MATCH(SMALL($AU:$AU,ROW()+3),$AU:$AU,0)),"")</f>
        <v/>
      </c>
      <c r="AK46" s="49" t="str">
        <f ca="1">IFERROR(INDEX(X:X,MATCH(SMALL($AU:$AU,ROW()+3),$AU:$AU,0)),"")</f>
        <v/>
      </c>
      <c r="AL46" s="49" t="str">
        <f ca="1">IFERROR(INDEX(Y:Y,MATCH(SMALL($AU:$AU,ROW()+3),$AU:$AU,0)),"")</f>
        <v/>
      </c>
      <c r="AM46" s="49" t="str">
        <f ca="1">IFERROR(INDEX(Z:Z,MATCH(SMALL($AU:$AU,ROW()+3),$AU:$AU,0)),"")</f>
        <v/>
      </c>
      <c r="AN46" s="49" t="str">
        <f ca="1">IFERROR(INDEX(AA:AA,MATCH(SMALL($AU:$AU,ROW()+3),$AU:$AU,0)),"")</f>
        <v/>
      </c>
      <c r="AO46" s="49" t="str">
        <f ca="1">IFERROR(INDEX(AB:AB,MATCH(SMALL($AU:$AU,ROW()+3),$AU:$AU,0)),"")</f>
        <v/>
      </c>
      <c r="AP46" s="49" t="str">
        <f ca="1">IFERROR(INDEX(AC:AC,MATCH(SMALL($AU:$AU,ROW()+3),$AU:$AU,0)),"")</f>
        <v/>
      </c>
      <c r="AU46" s="49" t="str">
        <f t="shared" ca="1" si="6"/>
        <v/>
      </c>
    </row>
    <row r="47" spans="1:47" ht="18" customHeight="1">
      <c r="A47" s="108">
        <f t="shared" si="7"/>
        <v>99</v>
      </c>
      <c r="B47" s="50" t="str">
        <f t="shared" si="8"/>
        <v/>
      </c>
      <c r="C47" s="50" t="str">
        <f>IF(OR(クライアント抽出!B47&lt;&gt;"",クライアント抽出!E47&lt;&gt;""),クライアント抽出!A47,"")</f>
        <v/>
      </c>
      <c r="D47" s="50" t="str">
        <f t="array" aca="1" ref="D47" ca="1">IF(C47&lt;&gt;"",INDIRECT("クライアント抽出!"&amp;E47&amp;MATCH(C47,クライアント抽出!A:A,0)&amp;""),"")</f>
        <v/>
      </c>
      <c r="E47" s="50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51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50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06" t="str">
        <f>IF(C47&lt;&gt;"",
クライアント抽出!B47,"")</f>
        <v/>
      </c>
      <c r="I47" s="50" t="str">
        <f t="array" aca="1" ref="I47" ca="1">IF(C47&lt;&gt;"",
IF(O47=1,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INDIRECT("数出表_Excel!"&amp;INDEX(_xlfn.UNIQUE(_xlfn._xlws.FILTER(クライアント抽出!P47:U47,COUNTIF(クライアント抽出!P47:U47,クライアント抽出!P47:U47)&gt;1)),1)&amp;L47&amp;""),0),クライアント抽出!E47),"")</f>
        <v/>
      </c>
      <c r="J47" s="50" t="str">
        <f>IF(C47&lt;&gt;"",
VLOOKUP(
"*"&amp;LEFT(IF(COUNTIF(D47,"*学食*"),"キャラ弁（学食）",
IF(COUNTIF(D47,"*赤*"),"赤",
IF(COUNTIF(D47,"*キャラ弁当*"),"キャラ弁当",D47))),4)&amp;"*",注文弁当の抽出!$E$1:$F$15,2,FALSE),"")</f>
        <v/>
      </c>
      <c r="K47" s="50" t="str">
        <f ca="1">IF(クライアント抽出!P47&lt;&gt;"",SUBSTITUTE(ADDRESS(1,(CODE(クライアント抽出!P47)-64)*2-1,4),"1",""),"")</f>
        <v/>
      </c>
      <c r="L47" s="50" t="str">
        <f>IF(C47&lt;&gt;"",クライアント抽出!I47,"")</f>
        <v/>
      </c>
      <c r="M47" s="50">
        <f t="array" aca="1" ref="M47" ca="1">IF(C47&lt;&gt;"",
IF(K47&lt;&gt;"",INDIRECT("'数出表_Excel（アレルギー入力）'!"&amp;K47&amp;L47-1&amp;""),),)</f>
        <v>0</v>
      </c>
      <c r="N47" s="50" t="str">
        <f>IF(C47&lt;&gt;"",IF(OR(COUNTIF('盛付札（関数）'!D47,"*赤*"),COUNTIF('盛付札（関数）'!D47,"*キャラ*")),1,
VLOOKUP("*"&amp;D47&amp;"*",商品マスタ一覧!D:H,5,FALSE)),"")</f>
        <v/>
      </c>
      <c r="O47" s="50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50">
        <f t="shared" si="0"/>
        <v>0</v>
      </c>
      <c r="Q47" s="50" t="b">
        <f t="shared" si="1"/>
        <v>0</v>
      </c>
      <c r="R47" s="134" t="str">
        <f t="array" aca="1" ref="R47" ca="1">IFERROR(SMALL(IF(P$1:P$311&lt;&gt;0,P$1:P$311),ROW(A47)),"")</f>
        <v/>
      </c>
      <c r="S47" s="134" t="str">
        <f t="array" aca="1" ref="S47" ca="1">IF($R47&lt;&gt;"",
SUBSTITUTE(SUBSTITUTE(INDIRECT("C"&amp;$R47&amp;"")," 週3ｺｰｽ","")," 週5ｺｰｽ",""),"")</f>
        <v/>
      </c>
      <c r="T47" s="134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135" t="str">
        <f t="array" aca="1" ref="U47" ca="1">IF($R47&lt;&gt;"",
INDIRECT("F"&amp;$R47&amp;""),"")</f>
        <v/>
      </c>
      <c r="V47" s="134" t="str">
        <f t="array" aca="1" ref="V47" ca="1">IF($R47&lt;&gt;"",
INDIRECT("G"&amp;$R47&amp;""),"")</f>
        <v/>
      </c>
      <c r="W47" s="134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IF(OR(COUNTIF(INDIRECT("B"&amp;R47&amp;""),"*雙葉先生*"),COUNTIF(INDIRECT("B"&amp;R47-1&amp;""),"*雙葉*")),INDIRECT("H"&amp;R47&amp;""),INDIRECT("H"&amp;R47&amp;"")+INDIRECT("H"&amp;MATCH("雙葉'",INDIRECT("B"&amp;R47+3&amp;":B210"),0)+2+R47&amp;"")),
IF(AND(LEFT(INDIRECT("B"&amp;R47&amp;""),2)="博多",COUNTIF(B:B,"*博多*")&gt;=2),
INDIRECT("H"&amp;R47&amp;"")+INDIRECT("H"&amp;MATCH("*"&amp;INDIRECT("B"&amp;R47&amp;"")&amp;"*",INDIRECT("B"&amp;R47+1&amp;":B210"),0)+R47&amp;""),
IF(AND(LEFT(INDIRECT("B"&amp;R47&amp;""),3)="奈良屋",COUNTIF(B:B,"*奈良屋*")&gt;=2),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134" t="str">
        <f t="array" aca="1" ref="X47" ca="1">IF($R47&lt;&gt;"",
INDIRECT(""&amp;IF(COLUMN(I47)&lt;=26,CHAR(COLUMN(I47)+64),CHAR(INT((COLUMN(I47)-1)/26)+64)&amp;CHAR(MOD(COLUMN(I47)-1,26)+65))&amp;$R47&amp;""),"")</f>
        <v/>
      </c>
      <c r="Y47" s="134" t="str">
        <f t="array" aca="1" ref="Y47" ca="1">IF($R47&lt;&gt;"",
INDIRECT(""&amp;IF(COLUMN(J47)&lt;=26,CHAR(COLUMN(J47)+64),CHAR(INT((COLUMN(J47)-1)/26)+64)&amp;CHAR(MOD(COLUMN(J47)-1,26)+65))&amp;$R47&amp;""),"")</f>
        <v/>
      </c>
      <c r="Z47" s="134" t="str">
        <f t="shared" ca="1" si="2"/>
        <v/>
      </c>
      <c r="AA47" s="134" t="str">
        <f t="shared" ca="1" si="3"/>
        <v/>
      </c>
      <c r="AB47" s="134" t="str">
        <f t="array" aca="1" ref="AB47" ca="1">IF($R47&lt;&gt;"",
IF(AND(COUNTIF(INDIRECT("B"&amp;R47&amp;""),"*雙葉*"),COUNTIF(B:B,"*雙葉*")&gt;=2),
INDIRECT("M"&amp;R47&amp;"")+INDIRECT("M"&amp;MATCH("雙葉'",INDIRECT("B"&amp;R47+1&amp;":B210"),0)+R47&amp;""),
IF(AND(LEFT(INDIRECT("B"&amp;R47&amp;""),2)="博多",COUNTIF(B:B,"*博多*")&gt;=2),
INDIRECT("M"&amp;R47&amp;"")+INDIRECT("M"&amp;MATCH("*"&amp;INDIRECT("B"&amp;R47&amp;"")&amp;"*",INDIRECT("B"&amp;R47+1&amp;":B210"),0)+R47&amp;""),
IF(AND(LEFT(INDIRECT("B"&amp;R47&amp;""),3)="奈良屋",COUNTIF(B:B,"*奈良屋*")&gt;=2),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  <c r="AC47" s="134" t="str">
        <f ca="1">IF(S47&lt;&gt;"",INDEX(A:A, MATCH("*"&amp;LEFT(S47,4)&amp;"*", C:C, 0)),"")</f>
        <v/>
      </c>
      <c r="AD47" s="49" t="str">
        <f ca="1">IFERROR(INDEX(AC:AC,MATCH(SMALL($AU:$AU,ROW()+3),$AU:$AU,0)),"")</f>
        <v/>
      </c>
      <c r="AE47" s="49" t="str">
        <f ca="1">IFERROR(INDEX(R:R,MATCH(SMALL($AU:$AU,ROW()+3),$AU:$AU,0)),"")</f>
        <v/>
      </c>
      <c r="AF47" s="49" t="str">
        <f ca="1">IFERROR(INDEX(S:S,MATCH(SMALL($AU:$AU,ROW()+3),$AU:$AU,0)),"")</f>
        <v/>
      </c>
      <c r="AG47" s="49" t="str">
        <f ca="1">IFERROR(INDEX(T:T,MATCH(SMALL($AU:$AU,ROW()+3),$AU:$AU,0)),"")</f>
        <v/>
      </c>
      <c r="AH47" s="122" t="str">
        <f ca="1">IFERROR(INDEX(U:U,MATCH(SMALL($AU:$AU,ROW()+3),$AU:$AU,0)),"")</f>
        <v/>
      </c>
      <c r="AI47" s="49" t="str">
        <f ca="1">IFERROR(INDEX(V:V,MATCH(SMALL($AU:$AU,ROW()+3),$AU:$AU,0)),"")</f>
        <v/>
      </c>
      <c r="AJ47" s="49" t="str">
        <f ca="1">IFERROR(INDEX(W:W,MATCH(SMALL($AU:$AU,ROW()+3),$AU:$AU,0)),"")</f>
        <v/>
      </c>
      <c r="AK47" s="49" t="str">
        <f ca="1">IFERROR(INDEX(X:X,MATCH(SMALL($AU:$AU,ROW()+3),$AU:$AU,0)),"")</f>
        <v/>
      </c>
      <c r="AL47" s="49" t="str">
        <f ca="1">IFERROR(INDEX(Y:Y,MATCH(SMALL($AU:$AU,ROW()+3),$AU:$AU,0)),"")</f>
        <v/>
      </c>
      <c r="AM47" s="49" t="str">
        <f ca="1">IFERROR(INDEX(Z:Z,MATCH(SMALL($AU:$AU,ROW()+3),$AU:$AU,0)),"")</f>
        <v/>
      </c>
      <c r="AN47" s="49" t="str">
        <f ca="1">IFERROR(INDEX(AA:AA,MATCH(SMALL($AU:$AU,ROW()+3),$AU:$AU,0)),"")</f>
        <v/>
      </c>
      <c r="AO47" s="49" t="str">
        <f ca="1">IFERROR(INDEX(AB:AB,MATCH(SMALL($AU:$AU,ROW()+3),$AU:$AU,0)),"")</f>
        <v/>
      </c>
      <c r="AP47" s="49" t="str">
        <f ca="1">IFERROR(INDEX(AC:AC,MATCH(SMALL($AU:$AU,ROW()+3),$AU:$AU,0)),"")</f>
        <v/>
      </c>
      <c r="AU47" s="49" t="str">
        <f t="shared" ca="1" si="6"/>
        <v/>
      </c>
    </row>
    <row r="48" spans="1:47" ht="22.2" customHeight="1">
      <c r="A48" s="108">
        <f t="shared" si="7"/>
        <v>101</v>
      </c>
      <c r="B48" s="50" t="str">
        <f t="shared" si="8"/>
        <v/>
      </c>
      <c r="C48" s="50" t="str">
        <f>IF(OR(クライアント抽出!B48&lt;&gt;"",クライアント抽出!E48&lt;&gt;""),クライアント抽出!A48,"")</f>
        <v/>
      </c>
      <c r="D48" s="50" t="str">
        <f t="array" aca="1" ref="D48" ca="1">IF(C48&lt;&gt;"",INDIRECT("クライアント抽出!"&amp;E48&amp;MATCH(C48,クライアント抽出!A:A,0)&amp;""),"")</f>
        <v/>
      </c>
      <c r="E48" s="50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51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50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06" t="str">
        <f>IF(C48&lt;&gt;"",
クライアント抽出!B48,"")</f>
        <v/>
      </c>
      <c r="I48" s="50" t="str">
        <f t="array" aca="1" ref="I48" ca="1">IF(C48&lt;&gt;"",
IF(O48=1,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INDIRECT("数出表_Excel!"&amp;INDEX(_xlfn.UNIQUE(_xlfn._xlws.FILTER(クライアント抽出!P48:U48,COUNTIF(クライアント抽出!P48:U48,クライアント抽出!P48:U48)&gt;1)),1)&amp;L48&amp;""),0),クライアント抽出!E48),"")</f>
        <v/>
      </c>
      <c r="J48" s="50" t="str">
        <f>IF(C48&lt;&gt;"",
VLOOKUP(
"*"&amp;LEFT(IF(COUNTIF(D48,"*学食*"),"キャラ弁（学食）",
IF(COUNTIF(D48,"*赤*"),"赤",
IF(COUNTIF(D48,"*キャラ弁当*"),"キャラ弁当",D48))),4)&amp;"*",注文弁当の抽出!$E$1:$F$15,2,FALSE),"")</f>
        <v/>
      </c>
      <c r="K48" s="50" t="str">
        <f ca="1">IF(クライアント抽出!P48&lt;&gt;"",SUBSTITUTE(ADDRESS(1,(CODE(クライアント抽出!P48)-64)*2-1,4),"1",""),"")</f>
        <v/>
      </c>
      <c r="L48" s="50" t="str">
        <f>IF(C48&lt;&gt;"",クライアント抽出!I48,"")</f>
        <v/>
      </c>
      <c r="M48" s="50">
        <f t="array" aca="1" ref="M48" ca="1">IF(C48&lt;&gt;"",
IF(K48&lt;&gt;"",INDIRECT("'数出表_Excel（アレルギー入力）'!"&amp;K48&amp;L48-1&amp;""),),)</f>
        <v>0</v>
      </c>
      <c r="N48" s="50" t="str">
        <f>IF(C48&lt;&gt;"",IF(OR(COUNTIF('盛付札（関数）'!D48,"*赤*"),COUNTIF('盛付札（関数）'!D48,"*キャラ*")),1,
VLOOKUP("*"&amp;D48&amp;"*",商品マスタ一覧!D:H,5,FALSE)),"")</f>
        <v/>
      </c>
      <c r="O48" s="50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50">
        <f t="shared" si="0"/>
        <v>0</v>
      </c>
      <c r="Q48" s="50" t="b">
        <f t="shared" si="1"/>
        <v>0</v>
      </c>
      <c r="R48" s="49" t="str">
        <f t="array" aca="1" ref="R48" ca="1">IFERROR(SMALL(IF(P$1:P$311&lt;&gt;0,P$1:P$311),ROW(A48)),"")</f>
        <v/>
      </c>
      <c r="S48" s="49" t="str">
        <f t="array" aca="1" ref="S48" ca="1">IF($R48&lt;&gt;"",
SUBSTITUTE(SUBSTITUTE(INDIRECT("C"&amp;$R48&amp;"")," 週3ｺｰｽ","")," 週5ｺｰｽ",""),"")</f>
        <v/>
      </c>
      <c r="T48" s="49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122" t="str">
        <f t="array" aca="1" ref="U48" ca="1">IF($R48&lt;&gt;"",
INDIRECT("F"&amp;$R48&amp;""),"")</f>
        <v/>
      </c>
      <c r="V48" s="49" t="str">
        <f t="array" aca="1" ref="V48" ca="1">IF($R48&lt;&gt;"",
INDIRECT("G"&amp;$R48&amp;""),"")</f>
        <v/>
      </c>
      <c r="W48" s="49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IF(OR(COUNTIF(INDIRECT("B"&amp;R48&amp;""),"*雙葉先生*"),COUNTIF(INDIRECT("B"&amp;R48-1&amp;""),"*雙葉*")),INDIRECT("H"&amp;R48&amp;""),INDIRECT("H"&amp;R48&amp;"")+INDIRECT("H"&amp;MATCH("雙葉'",INDIRECT("B"&amp;R48+3&amp;":B210"),0)+2+R48&amp;"")),
IF(AND(LEFT(INDIRECT("B"&amp;R48&amp;""),2)="博多",COUNTIF(B:B,"*博多*")&gt;=2),
INDIRECT("H"&amp;R48&amp;"")+INDIRECT("H"&amp;MATCH("*"&amp;INDIRECT("B"&amp;R48&amp;"")&amp;"*",INDIRECT("B"&amp;R48+1&amp;":B210"),0)+R48&amp;""),
IF(AND(LEFT(INDIRECT("B"&amp;R48&amp;""),3)="奈良屋",COUNTIF(B:B,"*奈良屋*")&gt;=2),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49" t="str">
        <f t="array" aca="1" ref="X48" ca="1">IF($R48&lt;&gt;"",
INDIRECT(""&amp;IF(COLUMN(I48)&lt;=26,CHAR(COLUMN(I48)+64),CHAR(INT((COLUMN(I48)-1)/26)+64)&amp;CHAR(MOD(COLUMN(I48)-1,26)+65))&amp;$R48&amp;""),"")</f>
        <v/>
      </c>
      <c r="Y48" s="49" t="str">
        <f t="array" aca="1" ref="Y48" ca="1">IF($R48&lt;&gt;"",
INDIRECT(""&amp;IF(COLUMN(J48)&lt;=26,CHAR(COLUMN(J48)+64),CHAR(INT((COLUMN(J48)-1)/26)+64)&amp;CHAR(MOD(COLUMN(J48)-1,26)+65))&amp;$R48&amp;""),"")</f>
        <v/>
      </c>
      <c r="Z48" s="49" t="str">
        <f t="shared" ca="1" si="2"/>
        <v/>
      </c>
      <c r="AA48" s="49" t="str">
        <f t="shared" ca="1" si="3"/>
        <v/>
      </c>
      <c r="AB48" s="49" t="str">
        <f t="array" aca="1" ref="AB48" ca="1">IF($R48&lt;&gt;"",
IF(AND(COUNTIF(INDIRECT("B"&amp;R48&amp;""),"*雙葉*"),COUNTIF(B:B,"*雙葉*")&gt;=2),
INDIRECT("M"&amp;R48&amp;"")+INDIRECT("M"&amp;MATCH("雙葉'",INDIRECT("B"&amp;R48+1&amp;":B210"),0)+R48&amp;""),
IF(AND(LEFT(INDIRECT("B"&amp;R48&amp;""),2)="博多",COUNTIF(B:B,"*博多*")&gt;=2),
INDIRECT("M"&amp;R48&amp;"")+INDIRECT("M"&amp;MATCH("*"&amp;INDIRECT("B"&amp;R48&amp;"")&amp;"*",INDIRECT("B"&amp;R48+1&amp;":B210"),0)+R48&amp;""),
IF(AND(LEFT(INDIRECT("B"&amp;R48&amp;""),3)="奈良屋",COUNTIF(B:B,"*奈良屋*")&gt;=2),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  <c r="AC48" s="49" t="str">
        <f ca="1">IF(S48&lt;&gt;"",INDEX(A:A, MATCH("*"&amp;LEFT(S48,4)&amp;"*", C:C, 0)),"")</f>
        <v/>
      </c>
      <c r="AD48" s="49" t="str">
        <f ca="1">IFERROR(INDEX(AC:AC,MATCH(SMALL($AU:$AU,ROW()+3),$AU:$AU,0)),"")</f>
        <v/>
      </c>
      <c r="AE48" s="49" t="str">
        <f ca="1">IFERROR(INDEX(R:R,MATCH(SMALL($AU:$AU,ROW()+3),$AU:$AU,0)),"")</f>
        <v/>
      </c>
      <c r="AF48" s="49" t="str">
        <f ca="1">IFERROR(INDEX(S:S,MATCH(SMALL($AU:$AU,ROW()+3),$AU:$AU,0)),"")</f>
        <v/>
      </c>
      <c r="AG48" s="49" t="str">
        <f ca="1">IFERROR(INDEX(T:T,MATCH(SMALL($AU:$AU,ROW()+3),$AU:$AU,0)),"")</f>
        <v/>
      </c>
      <c r="AH48" s="122" t="str">
        <f ca="1">IFERROR(INDEX(U:U,MATCH(SMALL($AU:$AU,ROW()+3),$AU:$AU,0)),"")</f>
        <v/>
      </c>
      <c r="AI48" s="49" t="str">
        <f ca="1">IFERROR(INDEX(V:V,MATCH(SMALL($AU:$AU,ROW()+3),$AU:$AU,0)),"")</f>
        <v/>
      </c>
      <c r="AJ48" s="49" t="str">
        <f ca="1">IFERROR(INDEX(W:W,MATCH(SMALL($AU:$AU,ROW()+3),$AU:$AU,0)),"")</f>
        <v/>
      </c>
      <c r="AK48" s="49" t="str">
        <f ca="1">IFERROR(INDEX(X:X,MATCH(SMALL($AU:$AU,ROW()+3),$AU:$AU,0)),"")</f>
        <v/>
      </c>
      <c r="AL48" s="49" t="str">
        <f ca="1">IFERROR(INDEX(Y:Y,MATCH(SMALL($AU:$AU,ROW()+3),$AU:$AU,0)),"")</f>
        <v/>
      </c>
      <c r="AM48" s="49" t="str">
        <f ca="1">IFERROR(INDEX(Z:Z,MATCH(SMALL($AU:$AU,ROW()+3),$AU:$AU,0)),"")</f>
        <v/>
      </c>
      <c r="AN48" s="49" t="str">
        <f ca="1">IFERROR(INDEX(AA:AA,MATCH(SMALL($AU:$AU,ROW()+3),$AU:$AU,0)),"")</f>
        <v/>
      </c>
      <c r="AO48" s="49" t="str">
        <f ca="1">IFERROR(INDEX(AB:AB,MATCH(SMALL($AU:$AU,ROW()+3),$AU:$AU,0)),"")</f>
        <v/>
      </c>
      <c r="AP48" s="49" t="str">
        <f ca="1">IFERROR(INDEX(AC:AC,MATCH(SMALL($AU:$AU,ROW()+3),$AU:$AU,0)),"")</f>
        <v/>
      </c>
      <c r="AU48" s="49" t="str">
        <f t="shared" ca="1" si="6"/>
        <v/>
      </c>
    </row>
    <row r="49" spans="1:47" ht="21" customHeight="1">
      <c r="A49" s="108">
        <f t="shared" si="7"/>
        <v>103</v>
      </c>
      <c r="B49" s="50" t="str">
        <f t="shared" si="8"/>
        <v/>
      </c>
      <c r="C49" s="50" t="str">
        <f>IF(OR(クライアント抽出!B49&lt;&gt;"",クライアント抽出!E49&lt;&gt;""),クライアント抽出!A49,"")</f>
        <v/>
      </c>
      <c r="D49" s="50" t="str">
        <f t="array" aca="1" ref="D49" ca="1">IF(C49&lt;&gt;"",INDIRECT("クライアント抽出!"&amp;E49&amp;MATCH(C49,クライアント抽出!A:A,0)&amp;""),"")</f>
        <v/>
      </c>
      <c r="E49" s="50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51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50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06" t="str">
        <f>IF(C49&lt;&gt;"",
クライアント抽出!B49,"")</f>
        <v/>
      </c>
      <c r="I49" s="50" t="str">
        <f t="array" aca="1" ref="I49" ca="1">IF(C49&lt;&gt;"",
IF(O49=1,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INDIRECT("数出表_Excel!"&amp;INDEX(_xlfn.UNIQUE(_xlfn._xlws.FILTER(クライアント抽出!P49:U49,COUNTIF(クライアント抽出!P49:U49,クライアント抽出!P49:U49)&gt;1)),1)&amp;L49&amp;""),0),クライアント抽出!E49),"")</f>
        <v/>
      </c>
      <c r="J49" s="50" t="str">
        <f>IF(C49&lt;&gt;"",
VLOOKUP(
"*"&amp;LEFT(IF(COUNTIF(D49,"*学食*"),"キャラ弁（学食）",
IF(COUNTIF(D49,"*赤*"),"赤",
IF(COUNTIF(D49,"*キャラ弁当*"),"キャラ弁当",D49))),4)&amp;"*",注文弁当の抽出!$E$1:$F$15,2,FALSE),"")</f>
        <v/>
      </c>
      <c r="K49" s="50" t="str">
        <f ca="1">IF(クライアント抽出!P49&lt;&gt;"",SUBSTITUTE(ADDRESS(1,(CODE(クライアント抽出!P49)-64)*2-1,4),"1",""),"")</f>
        <v/>
      </c>
      <c r="L49" s="50" t="str">
        <f>IF(C49&lt;&gt;"",クライアント抽出!I49,"")</f>
        <v/>
      </c>
      <c r="M49" s="50">
        <f t="array" aca="1" ref="M49" ca="1">IF(C49&lt;&gt;"",
IF(K49&lt;&gt;"",INDIRECT("'数出表_Excel（アレルギー入力）'!"&amp;K49&amp;L49-1&amp;""),),)</f>
        <v>0</v>
      </c>
      <c r="N49" s="50" t="str">
        <f>IF(C49&lt;&gt;"",IF(OR(COUNTIF('盛付札（関数）'!D49,"*赤*"),COUNTIF('盛付札（関数）'!D49,"*キャラ*")),1,
VLOOKUP("*"&amp;D49&amp;"*",商品マスタ一覧!D:H,5,FALSE)),"")</f>
        <v/>
      </c>
      <c r="O49" s="50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50">
        <f t="shared" si="0"/>
        <v>0</v>
      </c>
      <c r="Q49" s="50" t="b">
        <f t="shared" si="1"/>
        <v>0</v>
      </c>
      <c r="R49" s="49" t="str">
        <f t="array" aca="1" ref="R49" ca="1">IFERROR(SMALL(IF(P$1:P$311&lt;&gt;0,P$1:P$311),ROW(A49)),"")</f>
        <v/>
      </c>
      <c r="S49" s="49" t="str">
        <f t="array" aca="1" ref="S49" ca="1">IF($R49&lt;&gt;"",
SUBSTITUTE(SUBSTITUTE(INDIRECT("C"&amp;$R49&amp;"")," 週3ｺｰｽ","")," 週5ｺｰｽ",""),"")</f>
        <v/>
      </c>
      <c r="T49" s="49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22" t="str">
        <f t="array" aca="1" ref="U49" ca="1">IF($R49&lt;&gt;"",
INDIRECT("F"&amp;$R49&amp;""),"")</f>
        <v/>
      </c>
      <c r="V49" s="49" t="str">
        <f t="array" aca="1" ref="V49" ca="1">IF($R49&lt;&gt;"",
INDIRECT("G"&amp;$R49&amp;""),"")</f>
        <v/>
      </c>
      <c r="W49" s="49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IF(OR(COUNTIF(INDIRECT("B"&amp;R49&amp;""),"*雙葉先生*"),COUNTIF(INDIRECT("B"&amp;R49-1&amp;""),"*雙葉*")),INDIRECT("H"&amp;R49&amp;""),INDIRECT("H"&amp;R49&amp;"")+INDIRECT("H"&amp;MATCH("雙葉'",INDIRECT("B"&amp;R49+3&amp;":B210"),0)+2+R49&amp;"")),
IF(AND(LEFT(INDIRECT("B"&amp;R49&amp;""),2)="博多",COUNTIF(B:B,"*博多*")&gt;=2),
INDIRECT("H"&amp;R49&amp;"")+INDIRECT("H"&amp;MATCH("*"&amp;INDIRECT("B"&amp;R49&amp;"")&amp;"*",INDIRECT("B"&amp;R49+1&amp;":B210"),0)+R49&amp;""),
IF(AND(LEFT(INDIRECT("B"&amp;R49&amp;""),3)="奈良屋",COUNTIF(B:B,"*奈良屋*")&gt;=2),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49" t="str">
        <f t="array" aca="1" ref="X49" ca="1">IF($R49&lt;&gt;"",
INDIRECT(""&amp;IF(COLUMN(I49)&lt;=26,CHAR(COLUMN(I49)+64),CHAR(INT((COLUMN(I49)-1)/26)+64)&amp;CHAR(MOD(COLUMN(I49)-1,26)+65))&amp;$R49&amp;""),"")</f>
        <v/>
      </c>
      <c r="Y49" s="49" t="str">
        <f t="array" aca="1" ref="Y49" ca="1">IF($R49&lt;&gt;"",
INDIRECT(""&amp;IF(COLUMN(J49)&lt;=26,CHAR(COLUMN(J49)+64),CHAR(INT((COLUMN(J49)-1)/26)+64)&amp;CHAR(MOD(COLUMN(J49)-1,26)+65))&amp;$R49&amp;""),"")</f>
        <v/>
      </c>
      <c r="Z49" s="49" t="str">
        <f t="shared" ca="1" si="2"/>
        <v/>
      </c>
      <c r="AA49" s="49" t="str">
        <f t="shared" ca="1" si="3"/>
        <v/>
      </c>
      <c r="AB49" s="49" t="str">
        <f t="array" aca="1" ref="AB49" ca="1">IF($R49&lt;&gt;"",
IF(AND(COUNTIF(INDIRECT("B"&amp;R49&amp;""),"*雙葉*"),COUNTIF(B:B,"*雙葉*")&gt;=2),
INDIRECT("M"&amp;R49&amp;"")+INDIRECT("M"&amp;MATCH("雙葉'",INDIRECT("B"&amp;R49+1&amp;":B210"),0)+R49&amp;""),
IF(AND(LEFT(INDIRECT("B"&amp;R49&amp;""),2)="博多",COUNTIF(B:B,"*博多*")&gt;=2),
INDIRECT("M"&amp;R49&amp;"")+INDIRECT("M"&amp;MATCH("*"&amp;INDIRECT("B"&amp;R49&amp;"")&amp;"*",INDIRECT("B"&amp;R49+1&amp;":B210"),0)+R49&amp;""),
IF(AND(LEFT(INDIRECT("B"&amp;R49&amp;""),3)="奈良屋",COUNTIF(B:B,"*奈良屋*")&gt;=2),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  <c r="AC49" s="49" t="str">
        <f ca="1">IF(S49&lt;&gt;"",INDEX(A:A, MATCH("*"&amp;LEFT(S49,4)&amp;"*", C:C, 0)),"")</f>
        <v/>
      </c>
      <c r="AD49" s="49" t="str">
        <f ca="1">IFERROR(INDEX(AC:AC,MATCH(SMALL($AU:$AU,ROW()+3),$AU:$AU,0)),"")</f>
        <v/>
      </c>
      <c r="AE49" s="49" t="str">
        <f ca="1">IFERROR(INDEX(R:R,MATCH(SMALL($AU:$AU,ROW()+3),$AU:$AU,0)),"")</f>
        <v/>
      </c>
      <c r="AF49" s="49" t="str">
        <f ca="1">IFERROR(INDEX(S:S,MATCH(SMALL($AU:$AU,ROW()+3),$AU:$AU,0)),"")</f>
        <v/>
      </c>
      <c r="AG49" s="49" t="str">
        <f ca="1">IFERROR(INDEX(T:T,MATCH(SMALL($AU:$AU,ROW()+3),$AU:$AU,0)),"")</f>
        <v/>
      </c>
      <c r="AH49" s="122" t="str">
        <f ca="1">IFERROR(INDEX(U:U,MATCH(SMALL($AU:$AU,ROW()+3),$AU:$AU,0)),"")</f>
        <v/>
      </c>
      <c r="AI49" s="49" t="str">
        <f ca="1">IFERROR(INDEX(V:V,MATCH(SMALL($AU:$AU,ROW()+3),$AU:$AU,0)),"")</f>
        <v/>
      </c>
      <c r="AJ49" s="49" t="str">
        <f ca="1">IFERROR(INDEX(W:W,MATCH(SMALL($AU:$AU,ROW()+3),$AU:$AU,0)),"")</f>
        <v/>
      </c>
      <c r="AK49" s="49" t="str">
        <f ca="1">IFERROR(INDEX(X:X,MATCH(SMALL($AU:$AU,ROW()+3),$AU:$AU,0)),"")</f>
        <v/>
      </c>
      <c r="AL49" s="49" t="str">
        <f ca="1">IFERROR(INDEX(Y:Y,MATCH(SMALL($AU:$AU,ROW()+3),$AU:$AU,0)),"")</f>
        <v/>
      </c>
      <c r="AM49" s="49" t="str">
        <f ca="1">IFERROR(INDEX(Z:Z,MATCH(SMALL($AU:$AU,ROW()+3),$AU:$AU,0)),"")</f>
        <v/>
      </c>
      <c r="AN49" s="49" t="str">
        <f ca="1">IFERROR(INDEX(AA:AA,MATCH(SMALL($AU:$AU,ROW()+3),$AU:$AU,0)),"")</f>
        <v/>
      </c>
      <c r="AO49" s="49" t="str">
        <f ca="1">IFERROR(INDEX(AB:AB,MATCH(SMALL($AU:$AU,ROW()+3),$AU:$AU,0)),"")</f>
        <v/>
      </c>
      <c r="AP49" s="49" t="str">
        <f ca="1">IFERROR(INDEX(AC:AC,MATCH(SMALL($AU:$AU,ROW()+3),$AU:$AU,0)),"")</f>
        <v/>
      </c>
      <c r="AU49" s="49" t="str">
        <f t="shared" ca="1" si="6"/>
        <v/>
      </c>
    </row>
    <row r="50" spans="1:47" ht="18" customHeight="1">
      <c r="A50" s="108">
        <f t="shared" si="7"/>
        <v>105</v>
      </c>
      <c r="B50" s="50" t="str">
        <f t="shared" si="8"/>
        <v/>
      </c>
      <c r="C50" s="50" t="str">
        <f>IF(OR(クライアント抽出!B50&lt;&gt;"",クライアント抽出!E50&lt;&gt;""),クライアント抽出!A50,"")</f>
        <v/>
      </c>
      <c r="D50" s="50" t="str">
        <f t="array" aca="1" ref="D50" ca="1">IF(C50&lt;&gt;"",INDIRECT("クライアント抽出!"&amp;E50&amp;MATCH(C50,クライアント抽出!A:A,0)&amp;""),"")</f>
        <v/>
      </c>
      <c r="E50" s="50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51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50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06" t="str">
        <f>IF(C50&lt;&gt;"",
クライアント抽出!B50,"")</f>
        <v/>
      </c>
      <c r="I50" s="50" t="str">
        <f t="array" aca="1" ref="I50" ca="1">IF(C50&lt;&gt;"",
IF(O50=1,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INDIRECT("数出表_Excel!"&amp;INDEX(_xlfn.UNIQUE(_xlfn._xlws.FILTER(クライアント抽出!P50:U50,COUNTIF(クライアント抽出!P50:U50,クライアント抽出!P50:U50)&gt;1)),1)&amp;L50&amp;""),0),クライアント抽出!E50),"")</f>
        <v/>
      </c>
      <c r="J50" s="50" t="str">
        <f>IF(C50&lt;&gt;"",
VLOOKUP(
"*"&amp;LEFT(IF(COUNTIF(D50,"*学食*"),"キャラ弁（学食）",
IF(COUNTIF(D50,"*赤*"),"赤",
IF(COUNTIF(D50,"*キャラ弁当*"),"キャラ弁当",D50))),4)&amp;"*",注文弁当の抽出!$E$1:$F$15,2,FALSE),"")</f>
        <v/>
      </c>
      <c r="K50" s="50" t="str">
        <f ca="1">IF(クライアント抽出!P50&lt;&gt;"",SUBSTITUTE(ADDRESS(1,(CODE(クライアント抽出!P50)-64)*2-1,4),"1",""),"")</f>
        <v/>
      </c>
      <c r="L50" s="50" t="str">
        <f>IF(C50&lt;&gt;"",クライアント抽出!I50,"")</f>
        <v/>
      </c>
      <c r="M50" s="50">
        <f t="array" aca="1" ref="M50" ca="1">IF(C50&lt;&gt;"",
IF(K50&lt;&gt;"",INDIRECT("'数出表_Excel（アレルギー入力）'!"&amp;K50&amp;L50-1&amp;""),),)</f>
        <v>0</v>
      </c>
      <c r="N50" s="50" t="str">
        <f>IF(C50&lt;&gt;"",IF(OR(COUNTIF('盛付札（関数）'!D50,"*赤*"),COUNTIF('盛付札（関数）'!D50,"*キャラ*")),1,
VLOOKUP("*"&amp;D50&amp;"*",商品マスタ一覧!D:H,5,FALSE)),"")</f>
        <v/>
      </c>
      <c r="O50" s="50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50">
        <f t="shared" si="0"/>
        <v>0</v>
      </c>
      <c r="Q50" s="50" t="b">
        <f t="shared" si="1"/>
        <v>0</v>
      </c>
      <c r="R50" s="49" t="str">
        <f t="array" aca="1" ref="R50" ca="1">IFERROR(SMALL(IF(P$1:P$311&lt;&gt;0,P$1:P$311),ROW(A50)),"")</f>
        <v/>
      </c>
      <c r="S50" s="49" t="str">
        <f t="array" aca="1" ref="S50" ca="1">IF($R50&lt;&gt;"",
SUBSTITUTE(SUBSTITUTE(INDIRECT("C"&amp;$R50&amp;"")," 週3ｺｰｽ","")," 週5ｺｰｽ",""),"")</f>
        <v/>
      </c>
      <c r="T50" s="49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22" t="str">
        <f t="array" aca="1" ref="U50" ca="1">IF($R50&lt;&gt;"",
INDIRECT("F"&amp;$R50&amp;""),"")</f>
        <v/>
      </c>
      <c r="V50" s="49" t="str">
        <f t="array" aca="1" ref="V50" ca="1">IF($R50&lt;&gt;"",
INDIRECT("G"&amp;$R50&amp;""),"")</f>
        <v/>
      </c>
      <c r="W50" s="49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IF(OR(COUNTIF(INDIRECT("B"&amp;R50&amp;""),"*雙葉先生*"),COUNTIF(INDIRECT("B"&amp;R50-1&amp;""),"*雙葉*")),INDIRECT("H"&amp;R50&amp;""),INDIRECT("H"&amp;R50&amp;"")+INDIRECT("H"&amp;MATCH("雙葉'",INDIRECT("B"&amp;R50+3&amp;":B210"),0)+2+R50&amp;"")),
IF(AND(LEFT(INDIRECT("B"&amp;R50&amp;""),2)="博多",COUNTIF(B:B,"*博多*")&gt;=2),
INDIRECT("H"&amp;R50&amp;"")+INDIRECT("H"&amp;MATCH("*"&amp;INDIRECT("B"&amp;R50&amp;"")&amp;"*",INDIRECT("B"&amp;R50+1&amp;":B210"),0)+R50&amp;""),
IF(AND(LEFT(INDIRECT("B"&amp;R50&amp;""),3)="奈良屋",COUNTIF(B:B,"*奈良屋*")&gt;=2),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49" t="str">
        <f t="array" aca="1" ref="X50" ca="1">IF($R50&lt;&gt;"",
INDIRECT(""&amp;IF(COLUMN(I50)&lt;=26,CHAR(COLUMN(I50)+64),CHAR(INT((COLUMN(I50)-1)/26)+64)&amp;CHAR(MOD(COLUMN(I50)-1,26)+65))&amp;$R50&amp;""),"")</f>
        <v/>
      </c>
      <c r="Y50" s="49" t="str">
        <f t="array" aca="1" ref="Y50" ca="1">IF($R50&lt;&gt;"",
INDIRECT(""&amp;IF(COLUMN(J50)&lt;=26,CHAR(COLUMN(J50)+64),CHAR(INT((COLUMN(J50)-1)/26)+64)&amp;CHAR(MOD(COLUMN(J50)-1,26)+65))&amp;$R50&amp;""),"")</f>
        <v/>
      </c>
      <c r="Z50" s="49" t="str">
        <f t="shared" ca="1" si="2"/>
        <v/>
      </c>
      <c r="AA50" s="49" t="str">
        <f t="shared" ca="1" si="3"/>
        <v/>
      </c>
      <c r="AB50" s="49" t="str">
        <f t="array" aca="1" ref="AB50" ca="1">IF($R50&lt;&gt;"",
IF(AND(COUNTIF(INDIRECT("B"&amp;R50&amp;""),"*雙葉*"),COUNTIF(B:B,"*雙葉*")&gt;=2),
INDIRECT("M"&amp;R50&amp;"")+INDIRECT("M"&amp;MATCH("雙葉'",INDIRECT("B"&amp;R50+1&amp;":B210"),0)+R50&amp;""),
IF(AND(LEFT(INDIRECT("B"&amp;R50&amp;""),2)="博多",COUNTIF(B:B,"*博多*")&gt;=2),
INDIRECT("M"&amp;R50&amp;"")+INDIRECT("M"&amp;MATCH("*"&amp;INDIRECT("B"&amp;R50&amp;"")&amp;"*",INDIRECT("B"&amp;R50+1&amp;":B210"),0)+R50&amp;""),
IF(AND(LEFT(INDIRECT("B"&amp;R50&amp;""),3)="奈良屋",COUNTIF(B:B,"*奈良屋*")&gt;=2),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  <c r="AC50" s="49" t="str">
        <f ca="1">IF(S50&lt;&gt;"",INDEX(A:A, MATCH("*"&amp;LEFT(S50,4)&amp;"*", C:C, 0)),"")</f>
        <v/>
      </c>
      <c r="AD50" s="49" t="str">
        <f ca="1">IFERROR(INDEX(AC:AC,MATCH(SMALL($AU:$AU,ROW()+3),$AU:$AU,0)),"")</f>
        <v/>
      </c>
      <c r="AE50" s="49" t="str">
        <f ca="1">IFERROR(INDEX(R:R,MATCH(SMALL($AU:$AU,ROW()+3),$AU:$AU,0)),"")</f>
        <v/>
      </c>
      <c r="AF50" s="49" t="str">
        <f ca="1">IFERROR(INDEX(S:S,MATCH(SMALL($AU:$AU,ROW()+3),$AU:$AU,0)),"")</f>
        <v/>
      </c>
      <c r="AG50" s="49" t="str">
        <f ca="1">IFERROR(INDEX(T:T,MATCH(SMALL($AU:$AU,ROW()+3),$AU:$AU,0)),"")</f>
        <v/>
      </c>
      <c r="AH50" s="122" t="str">
        <f ca="1">IFERROR(INDEX(U:U,MATCH(SMALL($AU:$AU,ROW()+3),$AU:$AU,0)),"")</f>
        <v/>
      </c>
      <c r="AI50" s="49" t="str">
        <f ca="1">IFERROR(INDEX(V:V,MATCH(SMALL($AU:$AU,ROW()+3),$AU:$AU,0)),"")</f>
        <v/>
      </c>
      <c r="AJ50" s="49" t="str">
        <f ca="1">IFERROR(INDEX(W:W,MATCH(SMALL($AU:$AU,ROW()+3),$AU:$AU,0)),"")</f>
        <v/>
      </c>
      <c r="AK50" s="49" t="str">
        <f ca="1">IFERROR(INDEX(X:X,MATCH(SMALL($AU:$AU,ROW()+3),$AU:$AU,0)),"")</f>
        <v/>
      </c>
      <c r="AL50" s="49" t="str">
        <f ca="1">IFERROR(INDEX(Y:Y,MATCH(SMALL($AU:$AU,ROW()+3),$AU:$AU,0)),"")</f>
        <v/>
      </c>
      <c r="AM50" s="49" t="str">
        <f ca="1">IFERROR(INDEX(Z:Z,MATCH(SMALL($AU:$AU,ROW()+3),$AU:$AU,0)),"")</f>
        <v/>
      </c>
      <c r="AN50" s="49" t="str">
        <f ca="1">IFERROR(INDEX(AA:AA,MATCH(SMALL($AU:$AU,ROW()+3),$AU:$AU,0)),"")</f>
        <v/>
      </c>
      <c r="AO50" s="49" t="str">
        <f ca="1">IFERROR(INDEX(AB:AB,MATCH(SMALL($AU:$AU,ROW()+3),$AU:$AU,0)),"")</f>
        <v/>
      </c>
      <c r="AP50" s="49" t="str">
        <f ca="1">IFERROR(INDEX(AC:AC,MATCH(SMALL($AU:$AU,ROW()+3),$AU:$AU,0)),"")</f>
        <v/>
      </c>
      <c r="AU50" s="49" t="str">
        <f t="shared" ca="1" si="6"/>
        <v/>
      </c>
    </row>
    <row r="51" spans="1:47" ht="18" customHeight="1">
      <c r="A51" s="108">
        <f t="shared" si="7"/>
        <v>107</v>
      </c>
      <c r="B51" s="50" t="str">
        <f t="shared" si="8"/>
        <v/>
      </c>
      <c r="C51" s="50" t="str">
        <f>IF(OR(クライアント抽出!B51&lt;&gt;"",クライアント抽出!E51&lt;&gt;""),クライアント抽出!A51,"")</f>
        <v/>
      </c>
      <c r="D51" s="50" t="str">
        <f t="array" aca="1" ref="D51" ca="1">IF(C51&lt;&gt;"",INDIRECT("クライアント抽出!"&amp;E51&amp;MATCH(C51,クライアント抽出!A:A,0)&amp;""),"")</f>
        <v/>
      </c>
      <c r="E51" s="50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51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50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06" t="str">
        <f>IF(C51&lt;&gt;"",
クライアント抽出!B51,"")</f>
        <v/>
      </c>
      <c r="I51" s="50" t="str">
        <f t="array" aca="1" ref="I51" ca="1">IF(C51&lt;&gt;"",
IF(O51=1,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INDIRECT("数出表_Excel!"&amp;INDEX(_xlfn.UNIQUE(_xlfn._xlws.FILTER(クライアント抽出!P51:U51,COUNTIF(クライアント抽出!P51:U51,クライアント抽出!P51:U51)&gt;1)),1)&amp;L51&amp;""),0),クライアント抽出!E51),"")</f>
        <v/>
      </c>
      <c r="J51" s="50" t="str">
        <f>IF(C51&lt;&gt;"",
VLOOKUP(
"*"&amp;LEFT(IF(COUNTIF(D51,"*学食*"),"キャラ弁（学食）",
IF(COUNTIF(D51,"*赤*"),"赤",
IF(COUNTIF(D51,"*キャラ弁当*"),"キャラ弁当",D51))),4)&amp;"*",注文弁当の抽出!$E$1:$F$15,2,FALSE),"")</f>
        <v/>
      </c>
      <c r="K51" s="50" t="str">
        <f ca="1">IF(クライアント抽出!P51&lt;&gt;"",SUBSTITUTE(ADDRESS(1,(CODE(クライアント抽出!P51)-64)*2-1,4),"1",""),"")</f>
        <v/>
      </c>
      <c r="L51" s="50" t="str">
        <f>IF(C51&lt;&gt;"",クライアント抽出!I51,"")</f>
        <v/>
      </c>
      <c r="M51" s="50">
        <f t="array" aca="1" ref="M51" ca="1">IF(C51&lt;&gt;"",
IF(K51&lt;&gt;"",INDIRECT("'数出表_Excel（アレルギー入力）'!"&amp;K51&amp;L51-1&amp;""),),)</f>
        <v>0</v>
      </c>
      <c r="N51" s="50" t="str">
        <f>IF(C51&lt;&gt;"",IF(OR(COUNTIF('盛付札（関数）'!D51,"*赤*"),COUNTIF('盛付札（関数）'!D51,"*キャラ*")),1,
VLOOKUP("*"&amp;D51&amp;"*",商品マスタ一覧!D:H,5,FALSE)),"")</f>
        <v/>
      </c>
      <c r="O51" s="50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50">
        <f t="shared" si="0"/>
        <v>0</v>
      </c>
      <c r="Q51" s="50" t="b">
        <f t="shared" si="1"/>
        <v>0</v>
      </c>
      <c r="R51" s="49" t="str">
        <f t="array" aca="1" ref="R51" ca="1">IFERROR(SMALL(IF(P$1:P$311&lt;&gt;0,P$1:P$311),ROW(A51)),"")</f>
        <v/>
      </c>
      <c r="S51" s="49" t="str">
        <f t="array" aca="1" ref="S51" ca="1">IF($R51&lt;&gt;"",
SUBSTITUTE(SUBSTITUTE(INDIRECT("C"&amp;$R51&amp;"")," 週3ｺｰｽ","")," 週5ｺｰｽ",""),"")</f>
        <v/>
      </c>
      <c r="T51" s="49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22" t="str">
        <f t="array" aca="1" ref="U51" ca="1">IF($R51&lt;&gt;"",
INDIRECT("F"&amp;$R51&amp;""),"")</f>
        <v/>
      </c>
      <c r="V51" s="49" t="str">
        <f t="array" aca="1" ref="V51" ca="1">IF($R51&lt;&gt;"",
INDIRECT("G"&amp;$R51&amp;""),"")</f>
        <v/>
      </c>
      <c r="W51" s="49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IF(OR(COUNTIF(INDIRECT("B"&amp;R51&amp;""),"*雙葉先生*"),COUNTIF(INDIRECT("B"&amp;R51-1&amp;""),"*雙葉*")),INDIRECT("H"&amp;R51&amp;""),INDIRECT("H"&amp;R51&amp;"")+INDIRECT("H"&amp;MATCH("雙葉'",INDIRECT("B"&amp;R51+3&amp;":B210"),0)+2+R51&amp;"")),
IF(AND(LEFT(INDIRECT("B"&amp;R51&amp;""),2)="博多",COUNTIF(B:B,"*博多*")&gt;=2),
INDIRECT("H"&amp;R51&amp;"")+INDIRECT("H"&amp;MATCH("*"&amp;INDIRECT("B"&amp;R51&amp;"")&amp;"*",INDIRECT("B"&amp;R51+1&amp;":B210"),0)+R51&amp;""),
IF(AND(LEFT(INDIRECT("B"&amp;R51&amp;""),3)="奈良屋",COUNTIF(B:B,"*奈良屋*")&gt;=2),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49" t="str">
        <f t="array" aca="1" ref="X51" ca="1">IF($R51&lt;&gt;"",
INDIRECT(""&amp;IF(COLUMN(I51)&lt;=26,CHAR(COLUMN(I51)+64),CHAR(INT((COLUMN(I51)-1)/26)+64)&amp;CHAR(MOD(COLUMN(I51)-1,26)+65))&amp;$R51&amp;""),"")</f>
        <v/>
      </c>
      <c r="Y51" s="49" t="str">
        <f t="array" aca="1" ref="Y51" ca="1">IF($R51&lt;&gt;"",
INDIRECT(""&amp;IF(COLUMN(J51)&lt;=26,CHAR(COLUMN(J51)+64),CHAR(INT((COLUMN(J51)-1)/26)+64)&amp;CHAR(MOD(COLUMN(J51)-1,26)+65))&amp;$R51&amp;""),"")</f>
        <v/>
      </c>
      <c r="Z51" s="49" t="str">
        <f t="shared" ca="1" si="2"/>
        <v/>
      </c>
      <c r="AA51" s="49" t="str">
        <f t="shared" ca="1" si="3"/>
        <v/>
      </c>
      <c r="AB51" s="49" t="str">
        <f t="array" aca="1" ref="AB51" ca="1">IF($R51&lt;&gt;"",
IF(AND(COUNTIF(INDIRECT("B"&amp;R51&amp;""),"*雙葉*"),COUNTIF(B:B,"*雙葉*")&gt;=2),
INDIRECT("M"&amp;R51&amp;"")+INDIRECT("M"&amp;MATCH("雙葉'",INDIRECT("B"&amp;R51+1&amp;":B210"),0)+R51&amp;""),
IF(AND(LEFT(INDIRECT("B"&amp;R51&amp;""),2)="博多",COUNTIF(B:B,"*博多*")&gt;=2),
INDIRECT("M"&amp;R51&amp;"")+INDIRECT("M"&amp;MATCH("*"&amp;INDIRECT("B"&amp;R51&amp;"")&amp;"*",INDIRECT("B"&amp;R51+1&amp;":B210"),0)+R51&amp;""),
IF(AND(LEFT(INDIRECT("B"&amp;R51&amp;""),3)="奈良屋",COUNTIF(B:B,"*奈良屋*")&gt;=2),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  <c r="AC51" s="49" t="str">
        <f ca="1">IF(S51&lt;&gt;"",INDEX(A:A, MATCH("*"&amp;LEFT(S51,4)&amp;"*", C:C, 0)),"")</f>
        <v/>
      </c>
      <c r="AD51" s="49" t="str">
        <f ca="1">IFERROR(INDEX(AC:AC,MATCH(SMALL($AU:$AU,ROW()+3),$AU:$AU,0)),"")</f>
        <v/>
      </c>
      <c r="AE51" s="49" t="str">
        <f ca="1">IFERROR(INDEX(R:R,MATCH(SMALL($AU:$AU,ROW()+3),$AU:$AU,0)),"")</f>
        <v/>
      </c>
      <c r="AF51" s="49" t="str">
        <f ca="1">IFERROR(INDEX(S:S,MATCH(SMALL($AU:$AU,ROW()+3),$AU:$AU,0)),"")</f>
        <v/>
      </c>
      <c r="AG51" s="49" t="str">
        <f ca="1">IFERROR(INDEX(T:T,MATCH(SMALL($AU:$AU,ROW()+3),$AU:$AU,0)),"")</f>
        <v/>
      </c>
      <c r="AH51" s="122" t="str">
        <f ca="1">IFERROR(INDEX(U:U,MATCH(SMALL($AU:$AU,ROW()+3),$AU:$AU,0)),"")</f>
        <v/>
      </c>
      <c r="AI51" s="49" t="str">
        <f ca="1">IFERROR(INDEX(V:V,MATCH(SMALL($AU:$AU,ROW()+3),$AU:$AU,0)),"")</f>
        <v/>
      </c>
      <c r="AJ51" s="49" t="str">
        <f ca="1">IFERROR(INDEX(W:W,MATCH(SMALL($AU:$AU,ROW()+3),$AU:$AU,0)),"")</f>
        <v/>
      </c>
      <c r="AK51" s="49" t="str">
        <f ca="1">IFERROR(INDEX(X:X,MATCH(SMALL($AU:$AU,ROW()+3),$AU:$AU,0)),"")</f>
        <v/>
      </c>
      <c r="AL51" s="49" t="str">
        <f ca="1">IFERROR(INDEX(Y:Y,MATCH(SMALL($AU:$AU,ROW()+3),$AU:$AU,0)),"")</f>
        <v/>
      </c>
      <c r="AM51" s="49" t="str">
        <f ca="1">IFERROR(INDEX(Z:Z,MATCH(SMALL($AU:$AU,ROW()+3),$AU:$AU,0)),"")</f>
        <v/>
      </c>
      <c r="AN51" s="49" t="str">
        <f ca="1">IFERROR(INDEX(AA:AA,MATCH(SMALL($AU:$AU,ROW()+3),$AU:$AU,0)),"")</f>
        <v/>
      </c>
      <c r="AO51" s="49" t="str">
        <f ca="1">IFERROR(INDEX(AB:AB,MATCH(SMALL($AU:$AU,ROW()+3),$AU:$AU,0)),"")</f>
        <v/>
      </c>
      <c r="AP51" s="49" t="str">
        <f ca="1">IFERROR(INDEX(AC:AC,MATCH(SMALL($AU:$AU,ROW()+3),$AU:$AU,0)),"")</f>
        <v/>
      </c>
      <c r="AU51" s="49" t="str">
        <f t="shared" ca="1" si="6"/>
        <v/>
      </c>
    </row>
    <row r="52" spans="1:47" ht="22.2" customHeight="1">
      <c r="A52" s="108">
        <f t="shared" si="7"/>
        <v>109</v>
      </c>
      <c r="B52" s="50" t="str">
        <f t="shared" si="8"/>
        <v/>
      </c>
      <c r="C52" s="50" t="str">
        <f>IF(OR(クライアント抽出!B52&lt;&gt;"",クライアント抽出!E52&lt;&gt;""),クライアント抽出!A52,"")</f>
        <v/>
      </c>
      <c r="D52" s="50" t="str">
        <f t="array" aca="1" ref="D52" ca="1">IF(C52&lt;&gt;"",INDIRECT("クライアント抽出!"&amp;E52&amp;MATCH(C52,クライアント抽出!A:A,0)&amp;""),"")</f>
        <v/>
      </c>
      <c r="E52" s="50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51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50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06" t="str">
        <f>IF(C52&lt;&gt;"",
クライアント抽出!B52,"")</f>
        <v/>
      </c>
      <c r="I52" s="50" t="str">
        <f t="array" aca="1" ref="I52" ca="1">IF(C52&lt;&gt;"",
IF(O52=1,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INDIRECT("数出表_Excel!"&amp;INDEX(_xlfn.UNIQUE(_xlfn._xlws.FILTER(クライアント抽出!P52:U52,COUNTIF(クライアント抽出!P52:U52,クライアント抽出!P52:U52)&gt;1)),1)&amp;L52&amp;""),0),クライアント抽出!E52),"")</f>
        <v/>
      </c>
      <c r="J52" s="50" t="str">
        <f>IF(C52&lt;&gt;"",
VLOOKUP(
"*"&amp;LEFT(IF(COUNTIF(D52,"*学食*"),"キャラ弁（学食）",
IF(COUNTIF(D52,"*赤*"),"赤",
IF(COUNTIF(D52,"*キャラ弁当*"),"キャラ弁当",D52))),4)&amp;"*",注文弁当の抽出!$E$1:$F$15,2,FALSE),"")</f>
        <v/>
      </c>
      <c r="K52" s="50" t="str">
        <f ca="1">IF(クライアント抽出!P52&lt;&gt;"",SUBSTITUTE(ADDRESS(1,(CODE(クライアント抽出!P52)-64)*2-1,4),"1",""),"")</f>
        <v/>
      </c>
      <c r="L52" s="50" t="str">
        <f>IF(C52&lt;&gt;"",クライアント抽出!I52,"")</f>
        <v/>
      </c>
      <c r="M52" s="50">
        <f t="array" aca="1" ref="M52" ca="1">IF(C52&lt;&gt;"",
IF(K52&lt;&gt;"",INDIRECT("'数出表_Excel（アレルギー入力）'!"&amp;K52&amp;L52-1&amp;""),),)</f>
        <v>0</v>
      </c>
      <c r="N52" s="50" t="str">
        <f>IF(C52&lt;&gt;"",IF(OR(COUNTIF('盛付札（関数）'!D52,"*赤*"),COUNTIF('盛付札（関数）'!D52,"*キャラ*")),1,
VLOOKUP("*"&amp;D52&amp;"*",商品マスタ一覧!D:H,5,FALSE)),"")</f>
        <v/>
      </c>
      <c r="O52" s="50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50">
        <f t="shared" si="0"/>
        <v>0</v>
      </c>
      <c r="Q52" s="50" t="b">
        <f t="shared" si="1"/>
        <v>0</v>
      </c>
      <c r="R52" s="49" t="str">
        <f t="array" aca="1" ref="R52" ca="1">IFERROR(SMALL(IF(P$1:P$311&lt;&gt;0,P$1:P$311),ROW(A52)),"")</f>
        <v/>
      </c>
      <c r="S52" s="49" t="str">
        <f t="array" aca="1" ref="S52" ca="1">IF($R52&lt;&gt;"",
SUBSTITUTE(SUBSTITUTE(INDIRECT("C"&amp;$R52&amp;"")," 週3ｺｰｽ","")," 週5ｺｰｽ",""),"")</f>
        <v/>
      </c>
      <c r="T52" s="49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22" t="str">
        <f t="array" aca="1" ref="U52" ca="1">IF($R52&lt;&gt;"",
INDIRECT("F"&amp;$R52&amp;""),"")</f>
        <v/>
      </c>
      <c r="V52" s="49" t="str">
        <f t="array" aca="1" ref="V52" ca="1">IF($R52&lt;&gt;"",
INDIRECT("G"&amp;$R52&amp;""),"")</f>
        <v/>
      </c>
      <c r="W52" s="49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IF(OR(COUNTIF(INDIRECT("B"&amp;R52&amp;""),"*雙葉先生*"),COUNTIF(INDIRECT("B"&amp;R52-1&amp;""),"*雙葉*")),INDIRECT("H"&amp;R52&amp;""),INDIRECT("H"&amp;R52&amp;"")+INDIRECT("H"&amp;MATCH("雙葉'",INDIRECT("B"&amp;R52+3&amp;":B210"),0)+2+R52&amp;"")),
IF(AND(LEFT(INDIRECT("B"&amp;R52&amp;""),2)="博多",COUNTIF(B:B,"*博多*")&gt;=2),
INDIRECT("H"&amp;R52&amp;"")+INDIRECT("H"&amp;MATCH("*"&amp;INDIRECT("B"&amp;R52&amp;"")&amp;"*",INDIRECT("B"&amp;R52+1&amp;":B210"),0)+R52&amp;""),
IF(AND(LEFT(INDIRECT("B"&amp;R52&amp;""),3)="奈良屋",COUNTIF(B:B,"*奈良屋*")&gt;=2),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49" t="str">
        <f t="array" aca="1" ref="X52" ca="1">IF($R52&lt;&gt;"",
INDIRECT(""&amp;IF(COLUMN(I52)&lt;=26,CHAR(COLUMN(I52)+64),CHAR(INT((COLUMN(I52)-1)/26)+64)&amp;CHAR(MOD(COLUMN(I52)-1,26)+65))&amp;$R52&amp;""),"")</f>
        <v/>
      </c>
      <c r="Y52" s="49" t="str">
        <f t="array" aca="1" ref="Y52" ca="1">IF($R52&lt;&gt;"",
INDIRECT(""&amp;IF(COLUMN(J52)&lt;=26,CHAR(COLUMN(J52)+64),CHAR(INT((COLUMN(J52)-1)/26)+64)&amp;CHAR(MOD(COLUMN(J52)-1,26)+65))&amp;$R52&amp;""),"")</f>
        <v/>
      </c>
      <c r="Z52" s="49" t="str">
        <f t="shared" ca="1" si="2"/>
        <v/>
      </c>
      <c r="AA52" s="49" t="str">
        <f t="shared" ca="1" si="3"/>
        <v/>
      </c>
      <c r="AB52" s="49" t="str">
        <f t="array" aca="1" ref="AB52" ca="1">IF($R52&lt;&gt;"",
IF(AND(COUNTIF(INDIRECT("B"&amp;R52&amp;""),"*雙葉*"),COUNTIF(B:B,"*雙葉*")&gt;=2),
INDIRECT("M"&amp;R52&amp;"")+INDIRECT("M"&amp;MATCH("雙葉'",INDIRECT("B"&amp;R52+1&amp;":B210"),0)+R52&amp;""),
IF(AND(LEFT(INDIRECT("B"&amp;R52&amp;""),2)="博多",COUNTIF(B:B,"*博多*")&gt;=2),
INDIRECT("M"&amp;R52&amp;"")+INDIRECT("M"&amp;MATCH("*"&amp;INDIRECT("B"&amp;R52&amp;"")&amp;"*",INDIRECT("B"&amp;R52+1&amp;":B210"),0)+R52&amp;""),
IF(AND(LEFT(INDIRECT("B"&amp;R52&amp;""),3)="奈良屋",COUNTIF(B:B,"*奈良屋*")&gt;=2),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  <c r="AC52" s="49" t="str">
        <f ca="1">IF(S52&lt;&gt;"",INDEX(A:A, MATCH("*"&amp;LEFT(S52,4)&amp;"*", C:C, 0)),"")</f>
        <v/>
      </c>
      <c r="AD52" s="49" t="str">
        <f ca="1">IFERROR(INDEX(AC:AC,MATCH(SMALL($AU:$AU,ROW()+3),$AU:$AU,0)),"")</f>
        <v/>
      </c>
      <c r="AE52" s="49" t="str">
        <f ca="1">IFERROR(INDEX(R:R,MATCH(SMALL($AU:$AU,ROW()+3),$AU:$AU,0)),"")</f>
        <v/>
      </c>
      <c r="AF52" s="49" t="str">
        <f ca="1">IFERROR(INDEX(S:S,MATCH(SMALL($AU:$AU,ROW()+3),$AU:$AU,0)),"")</f>
        <v/>
      </c>
      <c r="AG52" s="49" t="str">
        <f ca="1">IFERROR(INDEX(T:T,MATCH(SMALL($AU:$AU,ROW()+3),$AU:$AU,0)),"")</f>
        <v/>
      </c>
      <c r="AH52" s="122" t="str">
        <f ca="1">IFERROR(INDEX(U:U,MATCH(SMALL($AU:$AU,ROW()+3),$AU:$AU,0)),"")</f>
        <v/>
      </c>
      <c r="AI52" s="49" t="str">
        <f ca="1">IFERROR(INDEX(V:V,MATCH(SMALL($AU:$AU,ROW()+3),$AU:$AU,0)),"")</f>
        <v/>
      </c>
      <c r="AJ52" s="49" t="str">
        <f ca="1">IFERROR(INDEX(W:W,MATCH(SMALL($AU:$AU,ROW()+3),$AU:$AU,0)),"")</f>
        <v/>
      </c>
      <c r="AK52" s="49" t="str">
        <f ca="1">IFERROR(INDEX(X:X,MATCH(SMALL($AU:$AU,ROW()+3),$AU:$AU,0)),"")</f>
        <v/>
      </c>
      <c r="AL52" s="49" t="str">
        <f ca="1">IFERROR(INDEX(Y:Y,MATCH(SMALL($AU:$AU,ROW()+3),$AU:$AU,0)),"")</f>
        <v/>
      </c>
      <c r="AM52" s="49" t="str">
        <f ca="1">IFERROR(INDEX(Z:Z,MATCH(SMALL($AU:$AU,ROW()+3),$AU:$AU,0)),"")</f>
        <v/>
      </c>
      <c r="AN52" s="49" t="str">
        <f ca="1">IFERROR(INDEX(AA:AA,MATCH(SMALL($AU:$AU,ROW()+3),$AU:$AU,0)),"")</f>
        <v/>
      </c>
      <c r="AO52" s="49" t="str">
        <f ca="1">IFERROR(INDEX(AB:AB,MATCH(SMALL($AU:$AU,ROW()+3),$AU:$AU,0)),"")</f>
        <v/>
      </c>
      <c r="AP52" s="49" t="str">
        <f ca="1">IFERROR(INDEX(AC:AC,MATCH(SMALL($AU:$AU,ROW()+3),$AU:$AU,0)),"")</f>
        <v/>
      </c>
      <c r="AU52" s="49" t="str">
        <f t="shared" ca="1" si="6"/>
        <v/>
      </c>
    </row>
    <row r="53" spans="1:47" ht="18" customHeight="1">
      <c r="A53" s="108">
        <f t="shared" si="7"/>
        <v>111</v>
      </c>
      <c r="B53" s="50" t="str">
        <f t="shared" si="8"/>
        <v/>
      </c>
      <c r="C53" s="50" t="str">
        <f>IF(OR(クライアント抽出!B53&lt;&gt;"",クライアント抽出!E53&lt;&gt;""),クライアント抽出!A53,"")</f>
        <v/>
      </c>
      <c r="D53" s="50" t="str">
        <f t="array" aca="1" ref="D53" ca="1">IF(C53&lt;&gt;"",INDIRECT("クライアント抽出!"&amp;E53&amp;MATCH(C53,クライアント抽出!A:A,0)&amp;""),"")</f>
        <v/>
      </c>
      <c r="E53" s="50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51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50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06" t="str">
        <f>IF(C53&lt;&gt;"",
クライアント抽出!B53,"")</f>
        <v/>
      </c>
      <c r="I53" s="50" t="str">
        <f t="array" aca="1" ref="I53" ca="1">IF(C53&lt;&gt;"",
IF(O53=1,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INDIRECT("数出表_Excel!"&amp;INDEX(_xlfn.UNIQUE(_xlfn._xlws.FILTER(クライアント抽出!P53:U53,COUNTIF(クライアント抽出!P53:U53,クライアント抽出!P53:U53)&gt;1)),1)&amp;L53&amp;""),0),クライアント抽出!E53),"")</f>
        <v/>
      </c>
      <c r="J53" s="50" t="str">
        <f>IF(C53&lt;&gt;"",
VLOOKUP(
"*"&amp;LEFT(IF(COUNTIF(D53,"*学食*"),"キャラ弁（学食）",
IF(COUNTIF(D53,"*赤*"),"赤",
IF(COUNTIF(D53,"*キャラ弁当*"),"キャラ弁当",D53))),4)&amp;"*",注文弁当の抽出!$E$1:$F$15,2,FALSE),"")</f>
        <v/>
      </c>
      <c r="K53" s="50" t="str">
        <f ca="1">IF(クライアント抽出!P53&lt;&gt;"",SUBSTITUTE(ADDRESS(1,(CODE(クライアント抽出!P53)-64)*2-1,4),"1",""),"")</f>
        <v/>
      </c>
      <c r="L53" s="50" t="str">
        <f>IF(C53&lt;&gt;"",クライアント抽出!I53,"")</f>
        <v/>
      </c>
      <c r="M53" s="50">
        <f t="array" aca="1" ref="M53" ca="1">IF(C53&lt;&gt;"",
IF(K53&lt;&gt;"",INDIRECT("'数出表_Excel（アレルギー入力）'!"&amp;K53&amp;L53-1&amp;""),),)</f>
        <v>0</v>
      </c>
      <c r="N53" s="50" t="str">
        <f>IF(C53&lt;&gt;"",IF(OR(COUNTIF('盛付札（関数）'!D53,"*赤*"),COUNTIF('盛付札（関数）'!D53,"*キャラ*")),1,
VLOOKUP("*"&amp;D53&amp;"*",商品マスタ一覧!D:H,5,FALSE)),"")</f>
        <v/>
      </c>
      <c r="O53" s="50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50">
        <f t="shared" si="0"/>
        <v>0</v>
      </c>
      <c r="Q53" s="50" t="b">
        <f t="shared" si="1"/>
        <v>0</v>
      </c>
      <c r="R53" s="49" t="str">
        <f t="array" aca="1" ref="R53" ca="1">IFERROR(SMALL(IF(P$1:P$311&lt;&gt;0,P$1:P$311),ROW(A53)),"")</f>
        <v/>
      </c>
      <c r="S53" s="49" t="str">
        <f t="array" aca="1" ref="S53" ca="1">IF($R53&lt;&gt;"",
SUBSTITUTE(SUBSTITUTE(INDIRECT("C"&amp;$R53&amp;"")," 週3ｺｰｽ","")," 週5ｺｰｽ",""),"")</f>
        <v/>
      </c>
      <c r="T53" s="49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22" t="str">
        <f t="array" aca="1" ref="U53" ca="1">IF($R53&lt;&gt;"",
INDIRECT("F"&amp;$R53&amp;""),"")</f>
        <v/>
      </c>
      <c r="V53" s="49" t="str">
        <f t="array" aca="1" ref="V53" ca="1">IF($R53&lt;&gt;"",
INDIRECT("G"&amp;$R53&amp;""),"")</f>
        <v/>
      </c>
      <c r="W53" s="49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IF(OR(COUNTIF(INDIRECT("B"&amp;R53&amp;""),"*雙葉先生*"),COUNTIF(INDIRECT("B"&amp;R53-1&amp;""),"*雙葉*")),INDIRECT("H"&amp;R53&amp;""),INDIRECT("H"&amp;R53&amp;"")+INDIRECT("H"&amp;MATCH("雙葉'",INDIRECT("B"&amp;R53+3&amp;":B210"),0)+2+R53&amp;"")),
IF(AND(LEFT(INDIRECT("B"&amp;R53&amp;""),2)="博多",COUNTIF(B:B,"*博多*")&gt;=2),
INDIRECT("H"&amp;R53&amp;"")+INDIRECT("H"&amp;MATCH("*"&amp;INDIRECT("B"&amp;R53&amp;"")&amp;"*",INDIRECT("B"&amp;R53+1&amp;":B210"),0)+R53&amp;""),
IF(AND(LEFT(INDIRECT("B"&amp;R53&amp;""),3)="奈良屋",COUNTIF(B:B,"*奈良屋*")&gt;=2),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49" t="str">
        <f t="array" aca="1" ref="X53" ca="1">IF($R53&lt;&gt;"",
INDIRECT(""&amp;IF(COLUMN(I53)&lt;=26,CHAR(COLUMN(I53)+64),CHAR(INT((COLUMN(I53)-1)/26)+64)&amp;CHAR(MOD(COLUMN(I53)-1,26)+65))&amp;$R53&amp;""),"")</f>
        <v/>
      </c>
      <c r="Y53" s="49" t="str">
        <f t="array" aca="1" ref="Y53" ca="1">IF($R53&lt;&gt;"",
INDIRECT(""&amp;IF(COLUMN(J53)&lt;=26,CHAR(COLUMN(J53)+64),CHAR(INT((COLUMN(J53)-1)/26)+64)&amp;CHAR(MOD(COLUMN(J53)-1,26)+65))&amp;$R53&amp;""),"")</f>
        <v/>
      </c>
      <c r="Z53" s="49" t="str">
        <f t="shared" ca="1" si="2"/>
        <v/>
      </c>
      <c r="AA53" s="49" t="str">
        <f t="shared" ca="1" si="3"/>
        <v/>
      </c>
      <c r="AB53" s="49" t="str">
        <f t="array" aca="1" ref="AB53" ca="1">IF($R53&lt;&gt;"",
IF(AND(COUNTIF(INDIRECT("B"&amp;R53&amp;""),"*雙葉*"),COUNTIF(B:B,"*雙葉*")&gt;=2),
INDIRECT("M"&amp;R53&amp;"")+INDIRECT("M"&amp;MATCH("雙葉'",INDIRECT("B"&amp;R53+1&amp;":B210"),0)+R53&amp;""),
IF(AND(LEFT(INDIRECT("B"&amp;R53&amp;""),2)="博多",COUNTIF(B:B,"*博多*")&gt;=2),
INDIRECT("M"&amp;R53&amp;"")+INDIRECT("M"&amp;MATCH("*"&amp;INDIRECT("B"&amp;R53&amp;"")&amp;"*",INDIRECT("B"&amp;R53+1&amp;":B210"),0)+R53&amp;""),
IF(AND(LEFT(INDIRECT("B"&amp;R53&amp;""),3)="奈良屋",COUNTIF(B:B,"*奈良屋*")&gt;=2),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  <c r="AC53" s="49" t="str">
        <f ca="1">IF(S53&lt;&gt;"",INDEX(A:A, MATCH("*"&amp;LEFT(S53,4)&amp;"*", C:C, 0)),"")</f>
        <v/>
      </c>
      <c r="AD53" s="49" t="str">
        <f ca="1">IFERROR(INDEX(AC:AC,MATCH(SMALL($AU:$AU,ROW()+3),$AU:$AU,0)),"")</f>
        <v/>
      </c>
      <c r="AE53" s="49" t="str">
        <f ca="1">IFERROR(INDEX(R:R,MATCH(SMALL($AU:$AU,ROW()+3),$AU:$AU,0)),"")</f>
        <v/>
      </c>
      <c r="AF53" s="49" t="str">
        <f ca="1">IFERROR(INDEX(S:S,MATCH(SMALL($AU:$AU,ROW()+3),$AU:$AU,0)),"")</f>
        <v/>
      </c>
      <c r="AG53" s="49" t="str">
        <f ca="1">IFERROR(INDEX(T:T,MATCH(SMALL($AU:$AU,ROW()+3),$AU:$AU,0)),"")</f>
        <v/>
      </c>
      <c r="AH53" s="122" t="str">
        <f ca="1">IFERROR(INDEX(U:U,MATCH(SMALL($AU:$AU,ROW()+3),$AU:$AU,0)),"")</f>
        <v/>
      </c>
      <c r="AI53" s="49" t="str">
        <f ca="1">IFERROR(INDEX(V:V,MATCH(SMALL($AU:$AU,ROW()+3),$AU:$AU,0)),"")</f>
        <v/>
      </c>
      <c r="AJ53" s="49" t="str">
        <f ca="1">IFERROR(INDEX(W:W,MATCH(SMALL($AU:$AU,ROW()+3),$AU:$AU,0)),"")</f>
        <v/>
      </c>
      <c r="AK53" s="49" t="str">
        <f ca="1">IFERROR(INDEX(X:X,MATCH(SMALL($AU:$AU,ROW()+3),$AU:$AU,0)),"")</f>
        <v/>
      </c>
      <c r="AL53" s="49" t="str">
        <f ca="1">IFERROR(INDEX(Y:Y,MATCH(SMALL($AU:$AU,ROW()+3),$AU:$AU,0)),"")</f>
        <v/>
      </c>
      <c r="AM53" s="49" t="str">
        <f ca="1">IFERROR(INDEX(Z:Z,MATCH(SMALL($AU:$AU,ROW()+3),$AU:$AU,0)),"")</f>
        <v/>
      </c>
      <c r="AN53" s="49" t="str">
        <f ca="1">IFERROR(INDEX(AA:AA,MATCH(SMALL($AU:$AU,ROW()+3),$AU:$AU,0)),"")</f>
        <v/>
      </c>
      <c r="AO53" s="49" t="str">
        <f ca="1">IFERROR(INDEX(AB:AB,MATCH(SMALL($AU:$AU,ROW()+3),$AU:$AU,0)),"")</f>
        <v/>
      </c>
      <c r="AP53" s="49" t="str">
        <f ca="1">IFERROR(INDEX(AC:AC,MATCH(SMALL($AU:$AU,ROW()+3),$AU:$AU,0)),"")</f>
        <v/>
      </c>
      <c r="AU53" s="49" t="str">
        <f t="shared" ca="1" si="6"/>
        <v/>
      </c>
    </row>
    <row r="54" spans="1:47" ht="18" customHeight="1">
      <c r="A54" s="108">
        <f t="shared" si="7"/>
        <v>113</v>
      </c>
      <c r="B54" s="50" t="str">
        <f t="shared" si="8"/>
        <v/>
      </c>
      <c r="C54" s="50" t="str">
        <f>IF(OR(クライアント抽出!B54&lt;&gt;"",クライアント抽出!E54&lt;&gt;""),クライアント抽出!A54,"")</f>
        <v/>
      </c>
      <c r="D54" s="50" t="str">
        <f t="array" aca="1" ref="D54" ca="1">IF(C54&lt;&gt;"",INDIRECT("クライアント抽出!"&amp;E54&amp;MATCH(C54,クライアント抽出!A:A,0)&amp;""),"")</f>
        <v/>
      </c>
      <c r="E54" s="50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51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50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06" t="str">
        <f>IF(C54&lt;&gt;"",
クライアント抽出!B54,"")</f>
        <v/>
      </c>
      <c r="I54" s="50" t="str">
        <f t="array" aca="1" ref="I54" ca="1">IF(C54&lt;&gt;"",
IF(O54=1,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INDIRECT("数出表_Excel!"&amp;INDEX(_xlfn.UNIQUE(_xlfn._xlws.FILTER(クライアント抽出!P54:U54,COUNTIF(クライアント抽出!P54:U54,クライアント抽出!P54:U54)&gt;1)),1)&amp;L54&amp;""),0),クライアント抽出!E54),"")</f>
        <v/>
      </c>
      <c r="J54" s="50" t="str">
        <f>IF(C54&lt;&gt;"",
VLOOKUP(
"*"&amp;LEFT(IF(COUNTIF(D54,"*学食*"),"キャラ弁（学食）",
IF(COUNTIF(D54,"*赤*"),"赤",
IF(COUNTIF(D54,"*キャラ弁当*"),"キャラ弁当",D54))),4)&amp;"*",注文弁当の抽出!$E$1:$F$15,2,FALSE),"")</f>
        <v/>
      </c>
      <c r="K54" s="50" t="str">
        <f ca="1">IF(クライアント抽出!P54&lt;&gt;"",SUBSTITUTE(ADDRESS(1,(CODE(クライアント抽出!P54)-64)*2-1,4),"1",""),"")</f>
        <v/>
      </c>
      <c r="L54" s="50" t="str">
        <f>IF(C54&lt;&gt;"",クライアント抽出!I54,"")</f>
        <v/>
      </c>
      <c r="M54" s="50">
        <f t="array" aca="1" ref="M54" ca="1">IF(C54&lt;&gt;"",
IF(K54&lt;&gt;"",INDIRECT("'数出表_Excel（アレルギー入力）'!"&amp;K54&amp;L54-1&amp;""),),)</f>
        <v>0</v>
      </c>
      <c r="N54" s="50" t="str">
        <f>IF(C54&lt;&gt;"",IF(OR(COUNTIF('盛付札（関数）'!D54,"*赤*"),COUNTIF('盛付札（関数）'!D54,"*キャラ*")),1,
VLOOKUP("*"&amp;D54&amp;"*",商品マスタ一覧!D:H,5,FALSE)),"")</f>
        <v/>
      </c>
      <c r="O54" s="50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50">
        <f t="shared" si="0"/>
        <v>0</v>
      </c>
      <c r="Q54" s="50" t="b">
        <f t="shared" si="1"/>
        <v>0</v>
      </c>
      <c r="R54" s="49" t="str">
        <f t="array" aca="1" ref="R54" ca="1">IFERROR(SMALL(IF(P$1:P$311&lt;&gt;0,P$1:P$311),ROW(A54)),"")</f>
        <v/>
      </c>
      <c r="S54" s="49" t="str">
        <f t="array" aca="1" ref="S54" ca="1">IF($R54&lt;&gt;"",
SUBSTITUTE(SUBSTITUTE(INDIRECT("C"&amp;$R54&amp;"")," 週3ｺｰｽ","")," 週5ｺｰｽ",""),"")</f>
        <v/>
      </c>
      <c r="T54" s="49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22" t="str">
        <f t="array" aca="1" ref="U54" ca="1">IF($R54&lt;&gt;"",
INDIRECT("F"&amp;$R54&amp;""),"")</f>
        <v/>
      </c>
      <c r="V54" s="49" t="str">
        <f t="array" aca="1" ref="V54" ca="1">IF($R54&lt;&gt;"",
INDIRECT("G"&amp;$R54&amp;""),"")</f>
        <v/>
      </c>
      <c r="W54" s="49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IF(OR(COUNTIF(INDIRECT("B"&amp;R54&amp;""),"*雙葉先生*"),COUNTIF(INDIRECT("B"&amp;R54-1&amp;""),"*雙葉*")),INDIRECT("H"&amp;R54&amp;""),INDIRECT("H"&amp;R54&amp;"")+INDIRECT("H"&amp;MATCH("雙葉'",INDIRECT("B"&amp;R54+3&amp;":B210"),0)+2+R54&amp;"")),
IF(AND(LEFT(INDIRECT("B"&amp;R54&amp;""),2)="博多",COUNTIF(B:B,"*博多*")&gt;=2),
INDIRECT("H"&amp;R54&amp;"")+INDIRECT("H"&amp;MATCH("*"&amp;INDIRECT("B"&amp;R54&amp;"")&amp;"*",INDIRECT("B"&amp;R54+1&amp;":B210"),0)+R54&amp;""),
IF(AND(LEFT(INDIRECT("B"&amp;R54&amp;""),3)="奈良屋",COUNTIF(B:B,"*奈良屋*")&gt;=2),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49" t="str">
        <f t="array" aca="1" ref="X54" ca="1">IF($R54&lt;&gt;"",
INDIRECT(""&amp;IF(COLUMN(I54)&lt;=26,CHAR(COLUMN(I54)+64),CHAR(INT((COLUMN(I54)-1)/26)+64)&amp;CHAR(MOD(COLUMN(I54)-1,26)+65))&amp;$R54&amp;""),"")</f>
        <v/>
      </c>
      <c r="Y54" s="49" t="str">
        <f t="array" aca="1" ref="Y54" ca="1">IF($R54&lt;&gt;"",
INDIRECT(""&amp;IF(COLUMN(J54)&lt;=26,CHAR(COLUMN(J54)+64),CHAR(INT((COLUMN(J54)-1)/26)+64)&amp;CHAR(MOD(COLUMN(J54)-1,26)+65))&amp;$R54&amp;""),"")</f>
        <v/>
      </c>
      <c r="Z54" s="49" t="str">
        <f t="shared" ca="1" si="2"/>
        <v/>
      </c>
      <c r="AA54" s="49" t="str">
        <f t="shared" ca="1" si="3"/>
        <v/>
      </c>
      <c r="AB54" s="49" t="str">
        <f t="array" aca="1" ref="AB54" ca="1">IF($R54&lt;&gt;"",
IF(AND(COUNTIF(INDIRECT("B"&amp;R54&amp;""),"*雙葉*"),COUNTIF(B:B,"*雙葉*")&gt;=2),
INDIRECT("M"&amp;R54&amp;"")+INDIRECT("M"&amp;MATCH("雙葉'",INDIRECT("B"&amp;R54+1&amp;":B210"),0)+R54&amp;""),
IF(AND(LEFT(INDIRECT("B"&amp;R54&amp;""),2)="博多",COUNTIF(B:B,"*博多*")&gt;=2),
INDIRECT("M"&amp;R54&amp;"")+INDIRECT("M"&amp;MATCH("*"&amp;INDIRECT("B"&amp;R54&amp;"")&amp;"*",INDIRECT("B"&amp;R54+1&amp;":B210"),0)+R54&amp;""),
IF(AND(LEFT(INDIRECT("B"&amp;R54&amp;""),3)="奈良屋",COUNTIF(B:B,"*奈良屋*")&gt;=2),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  <c r="AC54" s="49" t="str">
        <f ca="1">IF(S54&lt;&gt;"",INDEX(A:A, MATCH("*"&amp;LEFT(S54,4)&amp;"*", C:C, 0)),"")</f>
        <v/>
      </c>
      <c r="AD54" s="49" t="str">
        <f ca="1">IFERROR(INDEX(AC:AC,MATCH(SMALL($AU:$AU,ROW()+3),$AU:$AU,0)),"")</f>
        <v/>
      </c>
      <c r="AE54" s="49" t="str">
        <f ca="1">IFERROR(INDEX(R:R,MATCH(SMALL($AU:$AU,ROW()+3),$AU:$AU,0)),"")</f>
        <v/>
      </c>
      <c r="AF54" s="49" t="str">
        <f ca="1">IFERROR(INDEX(S:S,MATCH(SMALL($AU:$AU,ROW()+3),$AU:$AU,0)),"")</f>
        <v/>
      </c>
      <c r="AG54" s="49" t="str">
        <f ca="1">IFERROR(INDEX(T:T,MATCH(SMALL($AU:$AU,ROW()+3),$AU:$AU,0)),"")</f>
        <v/>
      </c>
      <c r="AH54" s="122" t="str">
        <f ca="1">IFERROR(INDEX(U:U,MATCH(SMALL($AU:$AU,ROW()+3),$AU:$AU,0)),"")</f>
        <v/>
      </c>
      <c r="AI54" s="49" t="str">
        <f ca="1">IFERROR(INDEX(V:V,MATCH(SMALL($AU:$AU,ROW()+3),$AU:$AU,0)),"")</f>
        <v/>
      </c>
      <c r="AJ54" s="49" t="str">
        <f ca="1">IFERROR(INDEX(W:W,MATCH(SMALL($AU:$AU,ROW()+3),$AU:$AU,0)),"")</f>
        <v/>
      </c>
      <c r="AK54" s="49" t="str">
        <f ca="1">IFERROR(INDEX(X:X,MATCH(SMALL($AU:$AU,ROW()+3),$AU:$AU,0)),"")</f>
        <v/>
      </c>
      <c r="AL54" s="49" t="str">
        <f ca="1">IFERROR(INDEX(Y:Y,MATCH(SMALL($AU:$AU,ROW()+3),$AU:$AU,0)),"")</f>
        <v/>
      </c>
      <c r="AM54" s="49" t="str">
        <f ca="1">IFERROR(INDEX(Z:Z,MATCH(SMALL($AU:$AU,ROW()+3),$AU:$AU,0)),"")</f>
        <v/>
      </c>
      <c r="AN54" s="49" t="str">
        <f ca="1">IFERROR(INDEX(AA:AA,MATCH(SMALL($AU:$AU,ROW()+3),$AU:$AU,0)),"")</f>
        <v/>
      </c>
      <c r="AO54" s="49" t="str">
        <f ca="1">IFERROR(INDEX(AB:AB,MATCH(SMALL($AU:$AU,ROW()+3),$AU:$AU,0)),"")</f>
        <v/>
      </c>
      <c r="AP54" s="49" t="str">
        <f ca="1">IFERROR(INDEX(AC:AC,MATCH(SMALL($AU:$AU,ROW()+3),$AU:$AU,0)),"")</f>
        <v/>
      </c>
      <c r="AU54" s="49" t="str">
        <f t="shared" ca="1" si="6"/>
        <v/>
      </c>
    </row>
    <row r="55" spans="1:47" ht="22.2" customHeight="1">
      <c r="A55" s="108">
        <f t="shared" si="7"/>
        <v>115</v>
      </c>
      <c r="B55" s="50" t="str">
        <f t="shared" si="8"/>
        <v/>
      </c>
      <c r="C55" s="50" t="str">
        <f>IF(OR(クライアント抽出!B55&lt;&gt;"",クライアント抽出!E55&lt;&gt;""),クライアント抽出!A55,"")</f>
        <v/>
      </c>
      <c r="D55" s="50" t="str">
        <f t="array" aca="1" ref="D55" ca="1">IF(C55&lt;&gt;"",INDIRECT("クライアント抽出!"&amp;E55&amp;MATCH(C55,クライアント抽出!A:A,0)&amp;""),"")</f>
        <v/>
      </c>
      <c r="E55" s="50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51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50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06" t="str">
        <f>IF(C55&lt;&gt;"",
クライアント抽出!B55,"")</f>
        <v/>
      </c>
      <c r="I55" s="50" t="str">
        <f t="array" aca="1" ref="I55" ca="1">IF(C55&lt;&gt;"",
IF(O55=1,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INDIRECT("数出表_Excel!"&amp;INDEX(_xlfn.UNIQUE(_xlfn._xlws.FILTER(クライアント抽出!P55:U55,COUNTIF(クライアント抽出!P55:U55,クライアント抽出!P55:U55)&gt;1)),1)&amp;L55&amp;""),0),クライアント抽出!E55),"")</f>
        <v/>
      </c>
      <c r="J55" s="50" t="str">
        <f>IF(C55&lt;&gt;"",
VLOOKUP(
"*"&amp;LEFT(IF(COUNTIF(D55,"*学食*"),"キャラ弁（学食）",
IF(COUNTIF(D55,"*赤*"),"赤",
IF(COUNTIF(D55,"*キャラ弁当*"),"キャラ弁当",D55))),4)&amp;"*",注文弁当の抽出!$E$1:$F$15,2,FALSE),"")</f>
        <v/>
      </c>
      <c r="K55" s="50" t="str">
        <f ca="1">IF(クライアント抽出!P55&lt;&gt;"",SUBSTITUTE(ADDRESS(1,(CODE(クライアント抽出!P55)-64)*2-1,4),"1",""),"")</f>
        <v/>
      </c>
      <c r="L55" s="50" t="str">
        <f>IF(C55&lt;&gt;"",クライアント抽出!I55,"")</f>
        <v/>
      </c>
      <c r="M55" s="50">
        <f t="array" aca="1" ref="M55" ca="1">IF(C55&lt;&gt;"",
IF(K55&lt;&gt;"",INDIRECT("'数出表_Excel（アレルギー入力）'!"&amp;K55&amp;L55-1&amp;""),),)</f>
        <v>0</v>
      </c>
      <c r="N55" s="50" t="str">
        <f>IF(C55&lt;&gt;"",IF(OR(COUNTIF('盛付札（関数）'!D55,"*赤*"),COUNTIF('盛付札（関数）'!D55,"*キャラ*")),1,
VLOOKUP("*"&amp;D55&amp;"*",商品マスタ一覧!D:H,5,FALSE)),"")</f>
        <v/>
      </c>
      <c r="O55" s="50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50">
        <f t="shared" si="0"/>
        <v>0</v>
      </c>
      <c r="Q55" s="50" t="b">
        <f t="shared" si="1"/>
        <v>0</v>
      </c>
      <c r="R55" s="49" t="str">
        <f t="array" aca="1" ref="R55" ca="1">IFERROR(SMALL(IF(P$1:P$311&lt;&gt;0,P$1:P$311),ROW(A55)),"")</f>
        <v/>
      </c>
      <c r="S55" s="49" t="str">
        <f t="array" aca="1" ref="S55" ca="1">IF($R55&lt;&gt;"",
SUBSTITUTE(SUBSTITUTE(INDIRECT("C"&amp;$R55&amp;"")," 週3ｺｰｽ","")," 週5ｺｰｽ",""),"")</f>
        <v/>
      </c>
      <c r="T55" s="49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22" t="str">
        <f t="array" aca="1" ref="U55" ca="1">IF($R55&lt;&gt;"",
INDIRECT("F"&amp;$R55&amp;""),"")</f>
        <v/>
      </c>
      <c r="V55" s="49" t="str">
        <f t="array" aca="1" ref="V55" ca="1">IF($R55&lt;&gt;"",
INDIRECT("G"&amp;$R55&amp;""),"")</f>
        <v/>
      </c>
      <c r="W55" s="49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IF(OR(COUNTIF(INDIRECT("B"&amp;R55&amp;""),"*雙葉先生*"),COUNTIF(INDIRECT("B"&amp;R55-1&amp;""),"*雙葉*")),INDIRECT("H"&amp;R55&amp;""),INDIRECT("H"&amp;R55&amp;"")+INDIRECT("H"&amp;MATCH("雙葉'",INDIRECT("B"&amp;R55+3&amp;":B210"),0)+2+R55&amp;"")),
IF(AND(LEFT(INDIRECT("B"&amp;R55&amp;""),2)="博多",COUNTIF(B:B,"*博多*")&gt;=2),
INDIRECT("H"&amp;R55&amp;"")+INDIRECT("H"&amp;MATCH("*"&amp;INDIRECT("B"&amp;R55&amp;"")&amp;"*",INDIRECT("B"&amp;R55+1&amp;":B210"),0)+R55&amp;""),
IF(AND(LEFT(INDIRECT("B"&amp;R55&amp;""),3)="奈良屋",COUNTIF(B:B,"*奈良屋*")&gt;=2),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49" t="str">
        <f t="array" aca="1" ref="X55" ca="1">IF($R55&lt;&gt;"",
INDIRECT(""&amp;IF(COLUMN(I55)&lt;=26,CHAR(COLUMN(I55)+64),CHAR(INT((COLUMN(I55)-1)/26)+64)&amp;CHAR(MOD(COLUMN(I55)-1,26)+65))&amp;$R55&amp;""),"")</f>
        <v/>
      </c>
      <c r="Y55" s="49" t="str">
        <f t="array" aca="1" ref="Y55" ca="1">IF($R55&lt;&gt;"",
INDIRECT(""&amp;IF(COLUMN(J55)&lt;=26,CHAR(COLUMN(J55)+64),CHAR(INT((COLUMN(J55)-1)/26)+64)&amp;CHAR(MOD(COLUMN(J55)-1,26)+65))&amp;$R55&amp;""),"")</f>
        <v/>
      </c>
      <c r="Z55" s="49" t="str">
        <f t="shared" ca="1" si="2"/>
        <v/>
      </c>
      <c r="AA55" s="49" t="str">
        <f t="shared" ca="1" si="3"/>
        <v/>
      </c>
      <c r="AB55" s="49" t="str">
        <f t="array" aca="1" ref="AB55" ca="1">IF($R55&lt;&gt;"",
IF(AND(COUNTIF(INDIRECT("B"&amp;R55&amp;""),"*雙葉*"),COUNTIF(B:B,"*雙葉*")&gt;=2),
INDIRECT("M"&amp;R55&amp;"")+INDIRECT("M"&amp;MATCH("雙葉'",INDIRECT("B"&amp;R55+1&amp;":B210"),0)+R55&amp;""),
IF(AND(LEFT(INDIRECT("B"&amp;R55&amp;""),2)="博多",COUNTIF(B:B,"*博多*")&gt;=2),
INDIRECT("M"&amp;R55&amp;"")+INDIRECT("M"&amp;MATCH("*"&amp;INDIRECT("B"&amp;R55&amp;"")&amp;"*",INDIRECT("B"&amp;R55+1&amp;":B210"),0)+R55&amp;""),
IF(AND(LEFT(INDIRECT("B"&amp;R55&amp;""),3)="奈良屋",COUNTIF(B:B,"*奈良屋*")&gt;=2),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  <c r="AC55" s="49" t="str">
        <f ca="1">IF(S55&lt;&gt;"",INDEX(A:A, MATCH("*"&amp;LEFT(S55,4)&amp;"*", C:C, 0)),"")</f>
        <v/>
      </c>
      <c r="AD55" s="49" t="str">
        <f ca="1">IFERROR(INDEX(AC:AC,MATCH(SMALL($AU:$AU,ROW()+3),$AU:$AU,0)),"")</f>
        <v/>
      </c>
      <c r="AE55" s="49" t="str">
        <f ca="1">IFERROR(INDEX(R:R,MATCH(SMALL($AU:$AU,ROW()+3),$AU:$AU,0)),"")</f>
        <v/>
      </c>
      <c r="AF55" s="49" t="str">
        <f ca="1">IFERROR(INDEX(S:S,MATCH(SMALL($AU:$AU,ROW()+3),$AU:$AU,0)),"")</f>
        <v/>
      </c>
      <c r="AG55" s="49" t="str">
        <f ca="1">IFERROR(INDEX(T:T,MATCH(SMALL($AU:$AU,ROW()+3),$AU:$AU,0)),"")</f>
        <v/>
      </c>
      <c r="AH55" s="122" t="str">
        <f ca="1">IFERROR(INDEX(U:U,MATCH(SMALL($AU:$AU,ROW()+3),$AU:$AU,0)),"")</f>
        <v/>
      </c>
      <c r="AI55" s="49" t="str">
        <f ca="1">IFERROR(INDEX(V:V,MATCH(SMALL($AU:$AU,ROW()+3),$AU:$AU,0)),"")</f>
        <v/>
      </c>
      <c r="AJ55" s="49" t="str">
        <f ca="1">IFERROR(INDEX(W:W,MATCH(SMALL($AU:$AU,ROW()+3),$AU:$AU,0)),"")</f>
        <v/>
      </c>
      <c r="AK55" s="49" t="str">
        <f ca="1">IFERROR(INDEX(X:X,MATCH(SMALL($AU:$AU,ROW()+3),$AU:$AU,0)),"")</f>
        <v/>
      </c>
      <c r="AL55" s="49" t="str">
        <f ca="1">IFERROR(INDEX(Y:Y,MATCH(SMALL($AU:$AU,ROW()+3),$AU:$AU,0)),"")</f>
        <v/>
      </c>
      <c r="AM55" s="49" t="str">
        <f ca="1">IFERROR(INDEX(Z:Z,MATCH(SMALL($AU:$AU,ROW()+3),$AU:$AU,0)),"")</f>
        <v/>
      </c>
      <c r="AN55" s="49" t="str">
        <f ca="1">IFERROR(INDEX(AA:AA,MATCH(SMALL($AU:$AU,ROW()+3),$AU:$AU,0)),"")</f>
        <v/>
      </c>
      <c r="AO55" s="49" t="str">
        <f ca="1">IFERROR(INDEX(AB:AB,MATCH(SMALL($AU:$AU,ROW()+3),$AU:$AU,0)),"")</f>
        <v/>
      </c>
      <c r="AP55" s="49" t="str">
        <f ca="1">IFERROR(INDEX(AC:AC,MATCH(SMALL($AU:$AU,ROW()+3),$AU:$AU,0)),"")</f>
        <v/>
      </c>
      <c r="AU55" s="49" t="str">
        <f t="shared" ca="1" si="6"/>
        <v/>
      </c>
    </row>
    <row r="56" spans="1:47" ht="21" customHeight="1">
      <c r="A56" s="108">
        <f t="shared" si="7"/>
        <v>117</v>
      </c>
      <c r="B56" s="50" t="str">
        <f t="shared" si="8"/>
        <v/>
      </c>
      <c r="C56" s="50" t="str">
        <f>IF(OR(クライアント抽出!B56&lt;&gt;"",クライアント抽出!E56&lt;&gt;""),クライアント抽出!A56,"")</f>
        <v/>
      </c>
      <c r="D56" s="50" t="str">
        <f t="array" aca="1" ref="D56" ca="1">IF(C56&lt;&gt;"",INDIRECT("クライアント抽出!"&amp;E56&amp;MATCH(C56,クライアント抽出!A:A,0)&amp;""),"")</f>
        <v/>
      </c>
      <c r="E56" s="50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51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50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06" t="str">
        <f>IF(C56&lt;&gt;"",
クライアント抽出!B56,"")</f>
        <v/>
      </c>
      <c r="I56" s="50" t="str">
        <f t="array" aca="1" ref="I56" ca="1">IF(C56&lt;&gt;"",
IF(O56=1,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INDIRECT("数出表_Excel!"&amp;INDEX(_xlfn.UNIQUE(_xlfn._xlws.FILTER(クライアント抽出!P56:U56,COUNTIF(クライアント抽出!P56:U56,クライアント抽出!P56:U56)&gt;1)),1)&amp;L56&amp;""),0),クライアント抽出!E56),"")</f>
        <v/>
      </c>
      <c r="J56" s="50" t="str">
        <f>IF(C56&lt;&gt;"",
VLOOKUP(
"*"&amp;LEFT(IF(COUNTIF(D56,"*学食*"),"キャラ弁（学食）",
IF(COUNTIF(D56,"*赤*"),"赤",
IF(COUNTIF(D56,"*キャラ弁当*"),"キャラ弁当",D56))),4)&amp;"*",注文弁当の抽出!$E$1:$F$15,2,FALSE),"")</f>
        <v/>
      </c>
      <c r="K56" s="50" t="str">
        <f ca="1">IF(クライアント抽出!P56&lt;&gt;"",SUBSTITUTE(ADDRESS(1,(CODE(クライアント抽出!P56)-64)*2-1,4),"1",""),"")</f>
        <v/>
      </c>
      <c r="L56" s="50" t="str">
        <f>IF(C56&lt;&gt;"",クライアント抽出!I56,"")</f>
        <v/>
      </c>
      <c r="M56" s="50">
        <f t="array" aca="1" ref="M56" ca="1">IF(C56&lt;&gt;"",
IF(K56&lt;&gt;"",INDIRECT("'数出表_Excel（アレルギー入力）'!"&amp;K56&amp;L56-1&amp;""),),)</f>
        <v>0</v>
      </c>
      <c r="N56" s="50" t="str">
        <f>IF(C56&lt;&gt;"",IF(OR(COUNTIF('盛付札（関数）'!D56,"*赤*"),COUNTIF('盛付札（関数）'!D56,"*キャラ*")),1,
VLOOKUP("*"&amp;D56&amp;"*",商品マスタ一覧!D:H,5,FALSE)),"")</f>
        <v/>
      </c>
      <c r="O56" s="50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50">
        <f t="shared" si="0"/>
        <v>0</v>
      </c>
      <c r="Q56" s="50" t="b">
        <f t="shared" si="1"/>
        <v>0</v>
      </c>
      <c r="R56" s="49" t="str">
        <f t="array" aca="1" ref="R56" ca="1">IFERROR(SMALL(IF(P$1:P$311&lt;&gt;0,P$1:P$311),ROW(A56)),"")</f>
        <v/>
      </c>
      <c r="S56" s="49" t="str">
        <f t="array" aca="1" ref="S56" ca="1">IF($R56&lt;&gt;"",
SUBSTITUTE(SUBSTITUTE(INDIRECT("C"&amp;$R56&amp;"")," 週3ｺｰｽ","")," 週5ｺｰｽ",""),"")</f>
        <v/>
      </c>
      <c r="T56" s="49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22" t="str">
        <f t="array" aca="1" ref="U56" ca="1">IF($R56&lt;&gt;"",
INDIRECT("F"&amp;$R56&amp;""),"")</f>
        <v/>
      </c>
      <c r="V56" s="49" t="str">
        <f t="array" aca="1" ref="V56" ca="1">IF($R56&lt;&gt;"",
INDIRECT("G"&amp;$R56&amp;""),"")</f>
        <v/>
      </c>
      <c r="W56" s="49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IF(OR(COUNTIF(INDIRECT("B"&amp;R56&amp;""),"*雙葉先生*"),COUNTIF(INDIRECT("B"&amp;R56-1&amp;""),"*雙葉*")),INDIRECT("H"&amp;R56&amp;""),INDIRECT("H"&amp;R56&amp;"")+INDIRECT("H"&amp;MATCH("雙葉'",INDIRECT("B"&amp;R56+3&amp;":B210"),0)+2+R56&amp;"")),
IF(AND(LEFT(INDIRECT("B"&amp;R56&amp;""),2)="博多",COUNTIF(B:B,"*博多*")&gt;=2),
INDIRECT("H"&amp;R56&amp;"")+INDIRECT("H"&amp;MATCH("*"&amp;INDIRECT("B"&amp;R56&amp;"")&amp;"*",INDIRECT("B"&amp;R56+1&amp;":B210"),0)+R56&amp;""),
IF(AND(LEFT(INDIRECT("B"&amp;R56&amp;""),3)="奈良屋",COUNTIF(B:B,"*奈良屋*")&gt;=2),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49" t="str">
        <f t="array" aca="1" ref="X56" ca="1">IF($R56&lt;&gt;"",
INDIRECT(""&amp;IF(COLUMN(I56)&lt;=26,CHAR(COLUMN(I56)+64),CHAR(INT((COLUMN(I56)-1)/26)+64)&amp;CHAR(MOD(COLUMN(I56)-1,26)+65))&amp;$R56&amp;""),"")</f>
        <v/>
      </c>
      <c r="Y56" s="49" t="str">
        <f t="array" aca="1" ref="Y56" ca="1">IF($R56&lt;&gt;"",
INDIRECT(""&amp;IF(COLUMN(J56)&lt;=26,CHAR(COLUMN(J56)+64),CHAR(INT((COLUMN(J56)-1)/26)+64)&amp;CHAR(MOD(COLUMN(J56)-1,26)+65))&amp;$R56&amp;""),"")</f>
        <v/>
      </c>
      <c r="Z56" s="49" t="str">
        <f t="shared" ca="1" si="2"/>
        <v/>
      </c>
      <c r="AA56" s="49" t="str">
        <f t="shared" ca="1" si="3"/>
        <v/>
      </c>
      <c r="AB56" s="49" t="str">
        <f t="array" aca="1" ref="AB56" ca="1">IF($R56&lt;&gt;"",
IF(AND(COUNTIF(INDIRECT("B"&amp;R56&amp;""),"*雙葉*"),COUNTIF(B:B,"*雙葉*")&gt;=2),
INDIRECT("M"&amp;R56&amp;"")+INDIRECT("M"&amp;MATCH("雙葉'",INDIRECT("B"&amp;R56+1&amp;":B210"),0)+R56&amp;""),
IF(AND(LEFT(INDIRECT("B"&amp;R56&amp;""),2)="博多",COUNTIF(B:B,"*博多*")&gt;=2),
INDIRECT("M"&amp;R56&amp;"")+INDIRECT("M"&amp;MATCH("*"&amp;INDIRECT("B"&amp;R56&amp;"")&amp;"*",INDIRECT("B"&amp;R56+1&amp;":B210"),0)+R56&amp;""),
IF(AND(LEFT(INDIRECT("B"&amp;R56&amp;""),3)="奈良屋",COUNTIF(B:B,"*奈良屋*")&gt;=2),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  <c r="AC56" s="49" t="str">
        <f ca="1">IF(S56&lt;&gt;"",INDEX(A:A, MATCH("*"&amp;LEFT(S56,4)&amp;"*", C:C, 0)),"")</f>
        <v/>
      </c>
      <c r="AD56" s="49" t="str">
        <f ca="1">IFERROR(INDEX(AC:AC,MATCH(SMALL($AU:$AU,ROW()+3),$AU:$AU,0)),"")</f>
        <v/>
      </c>
      <c r="AE56" s="49" t="str">
        <f ca="1">IFERROR(INDEX(R:R,MATCH(SMALL($AU:$AU,ROW()+3),$AU:$AU,0)),"")</f>
        <v/>
      </c>
      <c r="AF56" s="49" t="str">
        <f ca="1">IFERROR(INDEX(S:S,MATCH(SMALL($AU:$AU,ROW()+3),$AU:$AU,0)),"")</f>
        <v/>
      </c>
      <c r="AG56" s="49" t="str">
        <f ca="1">IFERROR(INDEX(T:T,MATCH(SMALL($AU:$AU,ROW()+3),$AU:$AU,0)),"")</f>
        <v/>
      </c>
      <c r="AH56" s="122" t="str">
        <f ca="1">IFERROR(INDEX(U:U,MATCH(SMALL($AU:$AU,ROW()+3),$AU:$AU,0)),"")</f>
        <v/>
      </c>
      <c r="AI56" s="49" t="str">
        <f ca="1">IFERROR(INDEX(V:V,MATCH(SMALL($AU:$AU,ROW()+3),$AU:$AU,0)),"")</f>
        <v/>
      </c>
      <c r="AJ56" s="49" t="str">
        <f ca="1">IFERROR(INDEX(W:W,MATCH(SMALL($AU:$AU,ROW()+3),$AU:$AU,0)),"")</f>
        <v/>
      </c>
      <c r="AK56" s="49" t="str">
        <f ca="1">IFERROR(INDEX(X:X,MATCH(SMALL($AU:$AU,ROW()+3),$AU:$AU,0)),"")</f>
        <v/>
      </c>
      <c r="AL56" s="49" t="str">
        <f ca="1">IFERROR(INDEX(Y:Y,MATCH(SMALL($AU:$AU,ROW()+3),$AU:$AU,0)),"")</f>
        <v/>
      </c>
      <c r="AM56" s="49" t="str">
        <f ca="1">IFERROR(INDEX(Z:Z,MATCH(SMALL($AU:$AU,ROW()+3),$AU:$AU,0)),"")</f>
        <v/>
      </c>
      <c r="AN56" s="49" t="str">
        <f ca="1">IFERROR(INDEX(AA:AA,MATCH(SMALL($AU:$AU,ROW()+3),$AU:$AU,0)),"")</f>
        <v/>
      </c>
      <c r="AO56" s="49" t="str">
        <f ca="1">IFERROR(INDEX(AB:AB,MATCH(SMALL($AU:$AU,ROW()+3),$AU:$AU,0)),"")</f>
        <v/>
      </c>
      <c r="AP56" s="49" t="str">
        <f ca="1">IFERROR(INDEX(AC:AC,MATCH(SMALL($AU:$AU,ROW()+3),$AU:$AU,0)),"")</f>
        <v/>
      </c>
      <c r="AU56" s="49" t="str">
        <f t="shared" ca="1" si="6"/>
        <v/>
      </c>
    </row>
    <row r="57" spans="1:47" ht="18" customHeight="1">
      <c r="A57" s="108">
        <f t="shared" si="7"/>
        <v>119</v>
      </c>
      <c r="B57" s="50" t="str">
        <f t="shared" si="8"/>
        <v/>
      </c>
      <c r="C57" s="50" t="str">
        <f>IF(OR(クライアント抽出!B57&lt;&gt;"",クライアント抽出!E57&lt;&gt;""),クライアント抽出!A57,"")</f>
        <v/>
      </c>
      <c r="D57" s="50" t="str">
        <f t="array" aca="1" ref="D57" ca="1">IF(C57&lt;&gt;"",INDIRECT("クライアント抽出!"&amp;E57&amp;MATCH(C57,クライアント抽出!A:A,0)&amp;""),"")</f>
        <v/>
      </c>
      <c r="E57" s="50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51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50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06" t="str">
        <f>IF(C57&lt;&gt;"",
クライアント抽出!B57,"")</f>
        <v/>
      </c>
      <c r="I57" s="50" t="str">
        <f t="array" aca="1" ref="I57" ca="1">IF(C57&lt;&gt;"",
IF(O57=1,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INDIRECT("数出表_Excel!"&amp;INDEX(_xlfn.UNIQUE(_xlfn._xlws.FILTER(クライアント抽出!P57:U57,COUNTIF(クライアント抽出!P57:U57,クライアント抽出!P57:U57)&gt;1)),1)&amp;L57&amp;""),0),クライアント抽出!E57),"")</f>
        <v/>
      </c>
      <c r="J57" s="50" t="str">
        <f>IF(C57&lt;&gt;"",
VLOOKUP(
"*"&amp;LEFT(IF(COUNTIF(D57,"*学食*"),"キャラ弁（学食）",
IF(COUNTIF(D57,"*赤*"),"赤",
IF(COUNTIF(D57,"*キャラ弁当*"),"キャラ弁当",D57))),4)&amp;"*",注文弁当の抽出!$E$1:$F$15,2,FALSE),"")</f>
        <v/>
      </c>
      <c r="K57" s="50" t="str">
        <f ca="1">IF(クライアント抽出!P57&lt;&gt;"",SUBSTITUTE(ADDRESS(1,(CODE(クライアント抽出!P57)-64)*2-1,4),"1",""),"")</f>
        <v/>
      </c>
      <c r="L57" s="50" t="str">
        <f>IF(C57&lt;&gt;"",クライアント抽出!I57,"")</f>
        <v/>
      </c>
      <c r="M57" s="50">
        <f t="array" aca="1" ref="M57" ca="1">IF(C57&lt;&gt;"",
IF(K57&lt;&gt;"",INDIRECT("'数出表_Excel（アレルギー入力）'!"&amp;K57&amp;L57-1&amp;""),),)</f>
        <v>0</v>
      </c>
      <c r="N57" s="50" t="str">
        <f>IF(C57&lt;&gt;"",IF(OR(COUNTIF('盛付札（関数）'!D57,"*赤*"),COUNTIF('盛付札（関数）'!D57,"*キャラ*")),1,
VLOOKUP("*"&amp;D57&amp;"*",商品マスタ一覧!D:H,5,FALSE)),"")</f>
        <v/>
      </c>
      <c r="O57" s="50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50">
        <f t="shared" si="0"/>
        <v>0</v>
      </c>
      <c r="Q57" s="50" t="b">
        <f t="shared" si="1"/>
        <v>0</v>
      </c>
      <c r="R57" s="49" t="str">
        <f t="array" aca="1" ref="R57" ca="1">IFERROR(SMALL(IF(P$1:P$311&lt;&gt;0,P$1:P$311),ROW(A57)),"")</f>
        <v/>
      </c>
      <c r="S57" s="49" t="str">
        <f t="array" aca="1" ref="S57" ca="1">IF($R57&lt;&gt;"",
SUBSTITUTE(SUBSTITUTE(INDIRECT("C"&amp;$R57&amp;"")," 週3ｺｰｽ","")," 週5ｺｰｽ",""),"")</f>
        <v/>
      </c>
      <c r="T57" s="49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22" t="str">
        <f t="array" aca="1" ref="U57" ca="1">IF($R57&lt;&gt;"",
INDIRECT("F"&amp;$R57&amp;""),"")</f>
        <v/>
      </c>
      <c r="V57" s="49" t="str">
        <f t="array" aca="1" ref="V57" ca="1">IF($R57&lt;&gt;"",
INDIRECT("G"&amp;$R57&amp;""),"")</f>
        <v/>
      </c>
      <c r="W57" s="49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IF(OR(COUNTIF(INDIRECT("B"&amp;R57&amp;""),"*雙葉先生*"),COUNTIF(INDIRECT("B"&amp;R57-1&amp;""),"*雙葉*")),INDIRECT("H"&amp;R57&amp;""),INDIRECT("H"&amp;R57&amp;"")+INDIRECT("H"&amp;MATCH("雙葉'",INDIRECT("B"&amp;R57+3&amp;":B210"),0)+2+R57&amp;"")),
IF(AND(LEFT(INDIRECT("B"&amp;R57&amp;""),2)="博多",COUNTIF(B:B,"*博多*")&gt;=2),
INDIRECT("H"&amp;R57&amp;"")+INDIRECT("H"&amp;MATCH("*"&amp;INDIRECT("B"&amp;R57&amp;"")&amp;"*",INDIRECT("B"&amp;R57+1&amp;":B210"),0)+R57&amp;""),
IF(AND(LEFT(INDIRECT("B"&amp;R57&amp;""),3)="奈良屋",COUNTIF(B:B,"*奈良屋*")&gt;=2),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49" t="str">
        <f t="array" aca="1" ref="X57" ca="1">IF($R57&lt;&gt;"",
INDIRECT(""&amp;IF(COLUMN(I57)&lt;=26,CHAR(COLUMN(I57)+64),CHAR(INT((COLUMN(I57)-1)/26)+64)&amp;CHAR(MOD(COLUMN(I57)-1,26)+65))&amp;$R57&amp;""),"")</f>
        <v/>
      </c>
      <c r="Y57" s="49" t="str">
        <f t="array" aca="1" ref="Y57" ca="1">IF($R57&lt;&gt;"",
INDIRECT(""&amp;IF(COLUMN(J57)&lt;=26,CHAR(COLUMN(J57)+64),CHAR(INT((COLUMN(J57)-1)/26)+64)&amp;CHAR(MOD(COLUMN(J57)-1,26)+65))&amp;$R57&amp;""),"")</f>
        <v/>
      </c>
      <c r="Z57" s="49" t="str">
        <f t="shared" ca="1" si="2"/>
        <v/>
      </c>
      <c r="AA57" s="49" t="str">
        <f t="shared" ca="1" si="3"/>
        <v/>
      </c>
      <c r="AB57" s="49" t="str">
        <f t="array" aca="1" ref="AB57" ca="1">IF($R57&lt;&gt;"",
IF(AND(COUNTIF(INDIRECT("B"&amp;R57&amp;""),"*雙葉*"),COUNTIF(B:B,"*雙葉*")&gt;=2),
INDIRECT("M"&amp;R57&amp;"")+INDIRECT("M"&amp;MATCH("雙葉'",INDIRECT("B"&amp;R57+1&amp;":B210"),0)+R57&amp;""),
IF(AND(LEFT(INDIRECT("B"&amp;R57&amp;""),2)="博多",COUNTIF(B:B,"*博多*")&gt;=2),
INDIRECT("M"&amp;R57&amp;"")+INDIRECT("M"&amp;MATCH("*"&amp;INDIRECT("B"&amp;R57&amp;"")&amp;"*",INDIRECT("B"&amp;R57+1&amp;":B210"),0)+R57&amp;""),
IF(AND(LEFT(INDIRECT("B"&amp;R57&amp;""),3)="奈良屋",COUNTIF(B:B,"*奈良屋*")&gt;=2),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  <c r="AC57" s="49" t="str">
        <f ca="1">IF(S57&lt;&gt;"",INDEX(A:A, MATCH("*"&amp;LEFT(S57,4)&amp;"*", C:C, 0)),"")</f>
        <v/>
      </c>
      <c r="AD57" s="49" t="str">
        <f ca="1">IFERROR(INDEX(AC:AC,MATCH(SMALL($AU:$AU,ROW()+3),$AU:$AU,0)),"")</f>
        <v/>
      </c>
      <c r="AE57" s="49" t="str">
        <f ca="1">IFERROR(INDEX(R:R,MATCH(SMALL($AU:$AU,ROW()+3),$AU:$AU,0)),"")</f>
        <v/>
      </c>
      <c r="AF57" s="49" t="str">
        <f ca="1">IFERROR(INDEX(S:S,MATCH(SMALL($AU:$AU,ROW()+3),$AU:$AU,0)),"")</f>
        <v/>
      </c>
      <c r="AG57" s="49" t="str">
        <f ca="1">IFERROR(INDEX(T:T,MATCH(SMALL($AU:$AU,ROW()+3),$AU:$AU,0)),"")</f>
        <v/>
      </c>
      <c r="AH57" s="122" t="str">
        <f ca="1">IFERROR(INDEX(U:U,MATCH(SMALL($AU:$AU,ROW()+3),$AU:$AU,0)),"")</f>
        <v/>
      </c>
      <c r="AI57" s="49" t="str">
        <f ca="1">IFERROR(INDEX(V:V,MATCH(SMALL($AU:$AU,ROW()+3),$AU:$AU,0)),"")</f>
        <v/>
      </c>
      <c r="AJ57" s="49" t="str">
        <f ca="1">IFERROR(INDEX(W:W,MATCH(SMALL($AU:$AU,ROW()+3),$AU:$AU,0)),"")</f>
        <v/>
      </c>
      <c r="AK57" s="49" t="str">
        <f ca="1">IFERROR(INDEX(X:X,MATCH(SMALL($AU:$AU,ROW()+3),$AU:$AU,0)),"")</f>
        <v/>
      </c>
      <c r="AL57" s="49" t="str">
        <f ca="1">IFERROR(INDEX(Y:Y,MATCH(SMALL($AU:$AU,ROW()+3),$AU:$AU,0)),"")</f>
        <v/>
      </c>
      <c r="AM57" s="49" t="str">
        <f ca="1">IFERROR(INDEX(Z:Z,MATCH(SMALL($AU:$AU,ROW()+3),$AU:$AU,0)),"")</f>
        <v/>
      </c>
      <c r="AN57" s="49" t="str">
        <f ca="1">IFERROR(INDEX(AA:AA,MATCH(SMALL($AU:$AU,ROW()+3),$AU:$AU,0)),"")</f>
        <v/>
      </c>
      <c r="AO57" s="49" t="str">
        <f ca="1">IFERROR(INDEX(AB:AB,MATCH(SMALL($AU:$AU,ROW()+3),$AU:$AU,0)),"")</f>
        <v/>
      </c>
      <c r="AP57" s="49" t="str">
        <f ca="1">IFERROR(INDEX(AC:AC,MATCH(SMALL($AU:$AU,ROW()+3),$AU:$AU,0)),"")</f>
        <v/>
      </c>
      <c r="AU57" s="49" t="str">
        <f t="shared" ca="1" si="6"/>
        <v/>
      </c>
    </row>
    <row r="58" spans="1:47" ht="18" customHeight="1">
      <c r="A58" s="108">
        <f t="shared" si="7"/>
        <v>121</v>
      </c>
      <c r="B58" s="50" t="str">
        <f t="shared" si="8"/>
        <v/>
      </c>
      <c r="C58" s="50" t="str">
        <f>IF(OR(クライアント抽出!B58&lt;&gt;"",クライアント抽出!E58&lt;&gt;""),クライアント抽出!A58,"")</f>
        <v/>
      </c>
      <c r="D58" s="50" t="str">
        <f t="array" aca="1" ref="D58" ca="1">IF(C58&lt;&gt;"",INDIRECT("クライアント抽出!"&amp;E58&amp;MATCH(C58,クライアント抽出!A:A,0)&amp;""),"")</f>
        <v/>
      </c>
      <c r="E58" s="50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51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50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06" t="str">
        <f>IF(C58&lt;&gt;"",
クライアント抽出!B58,"")</f>
        <v/>
      </c>
      <c r="I58" s="50" t="str">
        <f t="array" aca="1" ref="I58" ca="1">IF(C58&lt;&gt;"",
IF(O58=1,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INDIRECT("数出表_Excel!"&amp;INDEX(_xlfn.UNIQUE(_xlfn._xlws.FILTER(クライアント抽出!P58:U58,COUNTIF(クライアント抽出!P58:U58,クライアント抽出!P58:U58)&gt;1)),1)&amp;L58&amp;""),0),クライアント抽出!E58),"")</f>
        <v/>
      </c>
      <c r="J58" s="50" t="str">
        <f>IF(C58&lt;&gt;"",
VLOOKUP(
"*"&amp;LEFT(IF(COUNTIF(D58,"*学食*"),"キャラ弁（学食）",
IF(COUNTIF(D58,"*赤*"),"赤",
IF(COUNTIF(D58,"*キャラ弁当*"),"キャラ弁当",D58))),4)&amp;"*",注文弁当の抽出!$E$1:$F$15,2,FALSE),"")</f>
        <v/>
      </c>
      <c r="K58" s="50" t="str">
        <f ca="1">IF(クライアント抽出!P58&lt;&gt;"",SUBSTITUTE(ADDRESS(1,(CODE(クライアント抽出!P58)-64)*2-1,4),"1",""),"")</f>
        <v/>
      </c>
      <c r="L58" s="50" t="str">
        <f>IF(C58&lt;&gt;"",クライアント抽出!I58,"")</f>
        <v/>
      </c>
      <c r="M58" s="50">
        <f t="array" aca="1" ref="M58" ca="1">IF(C58&lt;&gt;"",
IF(K58&lt;&gt;"",INDIRECT("'数出表_Excel（アレルギー入力）'!"&amp;K58&amp;L58-1&amp;""),),)</f>
        <v>0</v>
      </c>
      <c r="N58" s="50" t="str">
        <f>IF(C58&lt;&gt;"",IF(OR(COUNTIF('盛付札（関数）'!D58,"*赤*"),COUNTIF('盛付札（関数）'!D58,"*キャラ*")),1,
VLOOKUP("*"&amp;D58&amp;"*",商品マスタ一覧!D:H,5,FALSE)),"")</f>
        <v/>
      </c>
      <c r="O58" s="50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50">
        <f t="shared" si="0"/>
        <v>0</v>
      </c>
      <c r="Q58" s="50" t="b">
        <f t="shared" si="1"/>
        <v>0</v>
      </c>
      <c r="R58" s="49" t="str">
        <f t="array" aca="1" ref="R58" ca="1">IFERROR(SMALL(IF(P$1:P$311&lt;&gt;0,P$1:P$311),ROW(A58)),"")</f>
        <v/>
      </c>
      <c r="S58" s="49" t="str">
        <f t="array" aca="1" ref="S58" ca="1">IF($R58&lt;&gt;"",
SUBSTITUTE(SUBSTITUTE(INDIRECT("C"&amp;$R58&amp;"")," 週3ｺｰｽ","")," 週5ｺｰｽ",""),"")</f>
        <v/>
      </c>
      <c r="T58" s="49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22" t="str">
        <f t="array" aca="1" ref="U58" ca="1">IF($R58&lt;&gt;"",
INDIRECT("F"&amp;$R58&amp;""),"")</f>
        <v/>
      </c>
      <c r="V58" s="49" t="str">
        <f t="array" aca="1" ref="V58" ca="1">IF($R58&lt;&gt;"",
INDIRECT("G"&amp;$R58&amp;""),"")</f>
        <v/>
      </c>
      <c r="W58" s="49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IF(OR(COUNTIF(INDIRECT("B"&amp;R58&amp;""),"*雙葉先生*"),COUNTIF(INDIRECT("B"&amp;R58-1&amp;""),"*雙葉*")),INDIRECT("H"&amp;R58&amp;""),INDIRECT("H"&amp;R58&amp;"")+INDIRECT("H"&amp;MATCH("雙葉'",INDIRECT("B"&amp;R58+3&amp;":B210"),0)+2+R58&amp;"")),
IF(AND(LEFT(INDIRECT("B"&amp;R58&amp;""),2)="博多",COUNTIF(B:B,"*博多*")&gt;=2),
INDIRECT("H"&amp;R58&amp;"")+INDIRECT("H"&amp;MATCH("*"&amp;INDIRECT("B"&amp;R58&amp;"")&amp;"*",INDIRECT("B"&amp;R58+1&amp;":B210"),0)+R58&amp;""),
IF(AND(LEFT(INDIRECT("B"&amp;R58&amp;""),3)="奈良屋",COUNTIF(B:B,"*奈良屋*")&gt;=2),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49" t="str">
        <f t="array" aca="1" ref="X58" ca="1">IF($R58&lt;&gt;"",
INDIRECT(""&amp;IF(COLUMN(I58)&lt;=26,CHAR(COLUMN(I58)+64),CHAR(INT((COLUMN(I58)-1)/26)+64)&amp;CHAR(MOD(COLUMN(I58)-1,26)+65))&amp;$R58&amp;""),"")</f>
        <v/>
      </c>
      <c r="Y58" s="49" t="str">
        <f t="array" aca="1" ref="Y58" ca="1">IF($R58&lt;&gt;"",
INDIRECT(""&amp;IF(COLUMN(J58)&lt;=26,CHAR(COLUMN(J58)+64),CHAR(INT((COLUMN(J58)-1)/26)+64)&amp;CHAR(MOD(COLUMN(J58)-1,26)+65))&amp;$R58&amp;""),"")</f>
        <v/>
      </c>
      <c r="Z58" s="49" t="str">
        <f t="shared" ca="1" si="2"/>
        <v/>
      </c>
      <c r="AA58" s="49" t="str">
        <f t="shared" ca="1" si="3"/>
        <v/>
      </c>
      <c r="AB58" s="49" t="str">
        <f t="array" aca="1" ref="AB58" ca="1">IF($R58&lt;&gt;"",
IF(AND(COUNTIF(INDIRECT("B"&amp;R58&amp;""),"*雙葉*"),COUNTIF(B:B,"*雙葉*")&gt;=2),
INDIRECT("M"&amp;R58&amp;"")+INDIRECT("M"&amp;MATCH("雙葉'",INDIRECT("B"&amp;R58+1&amp;":B210"),0)+R58&amp;""),
IF(AND(LEFT(INDIRECT("B"&amp;R58&amp;""),2)="博多",COUNTIF(B:B,"*博多*")&gt;=2),
INDIRECT("M"&amp;R58&amp;"")+INDIRECT("M"&amp;MATCH("*"&amp;INDIRECT("B"&amp;R58&amp;"")&amp;"*",INDIRECT("B"&amp;R58+1&amp;":B210"),0)+R58&amp;""),
IF(AND(LEFT(INDIRECT("B"&amp;R58&amp;""),3)="奈良屋",COUNTIF(B:B,"*奈良屋*")&gt;=2),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  <c r="AC58" s="49" t="str">
        <f ca="1">IF(S58&lt;&gt;"",INDEX(A:A, MATCH("*"&amp;LEFT(S58,4)&amp;"*", C:C, 0)),"")</f>
        <v/>
      </c>
      <c r="AD58" s="49" t="str">
        <f ca="1">IFERROR(INDEX(AC:AC,MATCH(SMALL($AU:$AU,ROW()+3),$AU:$AU,0)),"")</f>
        <v/>
      </c>
      <c r="AE58" s="49" t="str">
        <f ca="1">IFERROR(INDEX(R:R,MATCH(SMALL($AU:$AU,ROW()+3),$AU:$AU,0)),"")</f>
        <v/>
      </c>
      <c r="AF58" s="49" t="str">
        <f ca="1">IFERROR(INDEX(S:S,MATCH(SMALL($AU:$AU,ROW()+3),$AU:$AU,0)),"")</f>
        <v/>
      </c>
      <c r="AG58" s="49" t="str">
        <f ca="1">IFERROR(INDEX(T:T,MATCH(SMALL($AU:$AU,ROW()+3),$AU:$AU,0)),"")</f>
        <v/>
      </c>
      <c r="AH58" s="122" t="str">
        <f ca="1">IFERROR(INDEX(U:U,MATCH(SMALL($AU:$AU,ROW()+3),$AU:$AU,0)),"")</f>
        <v/>
      </c>
      <c r="AI58" s="49" t="str">
        <f ca="1">IFERROR(INDEX(V:V,MATCH(SMALL($AU:$AU,ROW()+3),$AU:$AU,0)),"")</f>
        <v/>
      </c>
      <c r="AJ58" s="49" t="str">
        <f ca="1">IFERROR(INDEX(W:W,MATCH(SMALL($AU:$AU,ROW()+3),$AU:$AU,0)),"")</f>
        <v/>
      </c>
      <c r="AK58" s="49" t="str">
        <f ca="1">IFERROR(INDEX(X:X,MATCH(SMALL($AU:$AU,ROW()+3),$AU:$AU,0)),"")</f>
        <v/>
      </c>
      <c r="AL58" s="49" t="str">
        <f ca="1">IFERROR(INDEX(Y:Y,MATCH(SMALL($AU:$AU,ROW()+3),$AU:$AU,0)),"")</f>
        <v/>
      </c>
      <c r="AM58" s="49" t="str">
        <f ca="1">IFERROR(INDEX(Z:Z,MATCH(SMALL($AU:$AU,ROW()+3),$AU:$AU,0)),"")</f>
        <v/>
      </c>
      <c r="AN58" s="49" t="str">
        <f ca="1">IFERROR(INDEX(AA:AA,MATCH(SMALL($AU:$AU,ROW()+3),$AU:$AU,0)),"")</f>
        <v/>
      </c>
      <c r="AO58" s="49" t="str">
        <f ca="1">IFERROR(INDEX(AB:AB,MATCH(SMALL($AU:$AU,ROW()+3),$AU:$AU,0)),"")</f>
        <v/>
      </c>
      <c r="AP58" s="49" t="str">
        <f ca="1">IFERROR(INDEX(AC:AC,MATCH(SMALL($AU:$AU,ROW()+3),$AU:$AU,0)),"")</f>
        <v/>
      </c>
      <c r="AU58" s="49" t="str">
        <f t="shared" ca="1" si="6"/>
        <v/>
      </c>
    </row>
    <row r="59" spans="1:47" ht="22.2" customHeight="1">
      <c r="A59" s="108">
        <f t="shared" si="7"/>
        <v>123</v>
      </c>
      <c r="B59" s="50" t="str">
        <f t="shared" si="8"/>
        <v/>
      </c>
      <c r="C59" s="50" t="str">
        <f>IF(OR(クライアント抽出!B59&lt;&gt;"",クライアント抽出!E59&lt;&gt;""),クライアント抽出!A59,"")</f>
        <v/>
      </c>
      <c r="D59" s="50" t="str">
        <f t="array" aca="1" ref="D59" ca="1">IF(C59&lt;&gt;"",INDIRECT("クライアント抽出!"&amp;E59&amp;MATCH(C59,クライアント抽出!A:A,0)&amp;""),"")</f>
        <v/>
      </c>
      <c r="E59" s="50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51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50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06" t="str">
        <f>IF(C59&lt;&gt;"",
クライアント抽出!B59,"")</f>
        <v/>
      </c>
      <c r="I59" s="50" t="str">
        <f t="array" aca="1" ref="I59" ca="1">IF(C59&lt;&gt;"",
IF(O59=1,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INDIRECT("数出表_Excel!"&amp;INDEX(_xlfn.UNIQUE(_xlfn._xlws.FILTER(クライアント抽出!P59:U59,COUNTIF(クライアント抽出!P59:U59,クライアント抽出!P59:U59)&gt;1)),1)&amp;L59&amp;""),0),クライアント抽出!E59),"")</f>
        <v/>
      </c>
      <c r="J59" s="50" t="str">
        <f>IF(C59&lt;&gt;"",
VLOOKUP(
"*"&amp;LEFT(IF(COUNTIF(D59,"*学食*"),"キャラ弁（学食）",
IF(COUNTIF(D59,"*赤*"),"赤",
IF(COUNTIF(D59,"*キャラ弁当*"),"キャラ弁当",D59))),4)&amp;"*",注文弁当の抽出!$E$1:$F$15,2,FALSE),"")</f>
        <v/>
      </c>
      <c r="K59" s="50" t="str">
        <f ca="1">IF(クライアント抽出!P59&lt;&gt;"",SUBSTITUTE(ADDRESS(1,(CODE(クライアント抽出!P59)-64)*2-1,4),"1",""),"")</f>
        <v/>
      </c>
      <c r="L59" s="50" t="str">
        <f>IF(C59&lt;&gt;"",クライアント抽出!I59,"")</f>
        <v/>
      </c>
      <c r="M59" s="50">
        <f t="array" aca="1" ref="M59" ca="1">IF(C59&lt;&gt;"",
IF(K59&lt;&gt;"",INDIRECT("'数出表_Excel（アレルギー入力）'!"&amp;K59&amp;L59-1&amp;""),),)</f>
        <v>0</v>
      </c>
      <c r="N59" s="50" t="str">
        <f>IF(C59&lt;&gt;"",IF(OR(COUNTIF('盛付札（関数）'!D59,"*赤*"),COUNTIF('盛付札（関数）'!D59,"*キャラ*")),1,
VLOOKUP("*"&amp;D59&amp;"*",商品マスタ一覧!D:H,5,FALSE)),"")</f>
        <v/>
      </c>
      <c r="O59" s="50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50">
        <f t="shared" si="0"/>
        <v>0</v>
      </c>
      <c r="Q59" s="50" t="b">
        <f t="shared" si="1"/>
        <v>0</v>
      </c>
      <c r="R59" s="49" t="str">
        <f t="array" aca="1" ref="R59" ca="1">IFERROR(SMALL(IF(P$1:P$311&lt;&gt;0,P$1:P$311),ROW(A59)),"")</f>
        <v/>
      </c>
      <c r="S59" s="49" t="str">
        <f t="array" aca="1" ref="S59" ca="1">IF($R59&lt;&gt;"",
SUBSTITUTE(SUBSTITUTE(INDIRECT("C"&amp;$R59&amp;"")," 週3ｺｰｽ","")," 週5ｺｰｽ",""),"")</f>
        <v/>
      </c>
      <c r="T59" s="49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22" t="str">
        <f t="array" aca="1" ref="U59" ca="1">IF($R59&lt;&gt;"",
INDIRECT("F"&amp;$R59&amp;""),"")</f>
        <v/>
      </c>
      <c r="V59" s="49" t="str">
        <f t="array" aca="1" ref="V59" ca="1">IF($R59&lt;&gt;"",
INDIRECT("G"&amp;$R59&amp;""),"")</f>
        <v/>
      </c>
      <c r="W59" s="49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IF(OR(COUNTIF(INDIRECT("B"&amp;R59&amp;""),"*雙葉先生*"),COUNTIF(INDIRECT("B"&amp;R59-1&amp;""),"*雙葉*")),INDIRECT("H"&amp;R59&amp;""),INDIRECT("H"&amp;R59&amp;"")+INDIRECT("H"&amp;MATCH("雙葉'",INDIRECT("B"&amp;R59+3&amp;":B210"),0)+2+R59&amp;"")),
IF(AND(LEFT(INDIRECT("B"&amp;R59&amp;""),2)="博多",COUNTIF(B:B,"*博多*")&gt;=2),
INDIRECT("H"&amp;R59&amp;"")+INDIRECT("H"&amp;MATCH("*"&amp;INDIRECT("B"&amp;R59&amp;"")&amp;"*",INDIRECT("B"&amp;R59+1&amp;":B210"),0)+R59&amp;""),
IF(AND(LEFT(INDIRECT("B"&amp;R59&amp;""),3)="奈良屋",COUNTIF(B:B,"*奈良屋*")&gt;=2),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49" t="str">
        <f t="array" aca="1" ref="X59" ca="1">IF($R59&lt;&gt;"",
INDIRECT(""&amp;IF(COLUMN(I59)&lt;=26,CHAR(COLUMN(I59)+64),CHAR(INT((COLUMN(I59)-1)/26)+64)&amp;CHAR(MOD(COLUMN(I59)-1,26)+65))&amp;$R59&amp;""),"")</f>
        <v/>
      </c>
      <c r="Y59" s="49" t="str">
        <f t="array" aca="1" ref="Y59" ca="1">IF($R59&lt;&gt;"",
INDIRECT(""&amp;IF(COLUMN(J59)&lt;=26,CHAR(COLUMN(J59)+64),CHAR(INT((COLUMN(J59)-1)/26)+64)&amp;CHAR(MOD(COLUMN(J59)-1,26)+65))&amp;$R59&amp;""),"")</f>
        <v/>
      </c>
      <c r="Z59" s="49" t="str">
        <f t="shared" ca="1" si="2"/>
        <v/>
      </c>
      <c r="AA59" s="49" t="str">
        <f t="shared" ca="1" si="3"/>
        <v/>
      </c>
      <c r="AB59" s="49" t="str">
        <f t="array" aca="1" ref="AB59" ca="1">IF($R59&lt;&gt;"",
IF(AND(COUNTIF(INDIRECT("B"&amp;R59&amp;""),"*雙葉*"),COUNTIF(B:B,"*雙葉*")&gt;=2),
INDIRECT("M"&amp;R59&amp;"")+INDIRECT("M"&amp;MATCH("雙葉'",INDIRECT("B"&amp;R59+1&amp;":B210"),0)+R59&amp;""),
IF(AND(LEFT(INDIRECT("B"&amp;R59&amp;""),2)="博多",COUNTIF(B:B,"*博多*")&gt;=2),
INDIRECT("M"&amp;R59&amp;"")+INDIRECT("M"&amp;MATCH("*"&amp;INDIRECT("B"&amp;R59&amp;"")&amp;"*",INDIRECT("B"&amp;R59+1&amp;":B210"),0)+R59&amp;""),
IF(AND(LEFT(INDIRECT("B"&amp;R59&amp;""),3)="奈良屋",COUNTIF(B:B,"*奈良屋*")&gt;=2),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  <c r="AC59" s="49" t="str">
        <f ca="1">IF(S59&lt;&gt;"",INDEX(A:A, MATCH("*"&amp;LEFT(S59,4)&amp;"*", C:C, 0)),"")</f>
        <v/>
      </c>
      <c r="AD59" s="49" t="str">
        <f ca="1">IFERROR(INDEX(AC:AC,MATCH(SMALL($AU:$AU,ROW()+3),$AU:$AU,0)),"")</f>
        <v/>
      </c>
      <c r="AE59" s="49" t="str">
        <f ca="1">IFERROR(INDEX(R:R,MATCH(SMALL($AU:$AU,ROW()+3),$AU:$AU,0)),"")</f>
        <v/>
      </c>
      <c r="AF59" s="49" t="str">
        <f ca="1">IFERROR(INDEX(S:S,MATCH(SMALL($AU:$AU,ROW()+3),$AU:$AU,0)),"")</f>
        <v/>
      </c>
      <c r="AG59" s="49" t="str">
        <f ca="1">IFERROR(INDEX(T:T,MATCH(SMALL($AU:$AU,ROW()+3),$AU:$AU,0)),"")</f>
        <v/>
      </c>
      <c r="AH59" s="122" t="str">
        <f ca="1">IFERROR(INDEX(U:U,MATCH(SMALL($AU:$AU,ROW()+3),$AU:$AU,0)),"")</f>
        <v/>
      </c>
      <c r="AI59" s="49" t="str">
        <f ca="1">IFERROR(INDEX(V:V,MATCH(SMALL($AU:$AU,ROW()+3),$AU:$AU,0)),"")</f>
        <v/>
      </c>
      <c r="AJ59" s="49" t="str">
        <f ca="1">IFERROR(INDEX(W:W,MATCH(SMALL($AU:$AU,ROW()+3),$AU:$AU,0)),"")</f>
        <v/>
      </c>
      <c r="AK59" s="49" t="str">
        <f ca="1">IFERROR(INDEX(X:X,MATCH(SMALL($AU:$AU,ROW()+3),$AU:$AU,0)),"")</f>
        <v/>
      </c>
      <c r="AL59" s="49" t="str">
        <f ca="1">IFERROR(INDEX(Y:Y,MATCH(SMALL($AU:$AU,ROW()+3),$AU:$AU,0)),"")</f>
        <v/>
      </c>
      <c r="AM59" s="49" t="str">
        <f ca="1">IFERROR(INDEX(Z:Z,MATCH(SMALL($AU:$AU,ROW()+3),$AU:$AU,0)),"")</f>
        <v/>
      </c>
      <c r="AN59" s="49" t="str">
        <f ca="1">IFERROR(INDEX(AA:AA,MATCH(SMALL($AU:$AU,ROW()+3),$AU:$AU,0)),"")</f>
        <v/>
      </c>
      <c r="AO59" s="49" t="str">
        <f ca="1">IFERROR(INDEX(AB:AB,MATCH(SMALL($AU:$AU,ROW()+3),$AU:$AU,0)),"")</f>
        <v/>
      </c>
      <c r="AP59" s="49" t="str">
        <f ca="1">IFERROR(INDEX(AC:AC,MATCH(SMALL($AU:$AU,ROW()+3),$AU:$AU,0)),"")</f>
        <v/>
      </c>
      <c r="AU59" s="49" t="str">
        <f t="shared" ca="1" si="6"/>
        <v/>
      </c>
    </row>
    <row r="60" spans="1:47" ht="18" customHeight="1">
      <c r="A60" s="108">
        <f t="shared" si="7"/>
        <v>125</v>
      </c>
      <c r="B60" s="50" t="str">
        <f t="shared" si="8"/>
        <v/>
      </c>
      <c r="C60" s="50" t="str">
        <f>IF(OR(クライアント抽出!B60&lt;&gt;"",クライアント抽出!E60&lt;&gt;""),クライアント抽出!A60,"")</f>
        <v/>
      </c>
      <c r="D60" s="50" t="str">
        <f t="array" aca="1" ref="D60" ca="1">IF(C60&lt;&gt;"",INDIRECT("クライアント抽出!"&amp;E60&amp;MATCH(C60,クライアント抽出!A:A,0)&amp;""),"")</f>
        <v/>
      </c>
      <c r="E60" s="50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51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50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06" t="str">
        <f>IF(C60&lt;&gt;"",
クライアント抽出!B60,"")</f>
        <v/>
      </c>
      <c r="I60" s="50" t="str">
        <f t="array" aca="1" ref="I60" ca="1">IF(C60&lt;&gt;"",
IF(O60=1,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INDIRECT("数出表_Excel!"&amp;INDEX(_xlfn.UNIQUE(_xlfn._xlws.FILTER(クライアント抽出!P60:U60,COUNTIF(クライアント抽出!P60:U60,クライアント抽出!P60:U60)&gt;1)),1)&amp;L60&amp;""),0),クライアント抽出!E60),"")</f>
        <v/>
      </c>
      <c r="J60" s="50" t="str">
        <f>IF(C60&lt;&gt;"",
VLOOKUP(
"*"&amp;LEFT(IF(COUNTIF(D60,"*学食*"),"キャラ弁（学食）",
IF(COUNTIF(D60,"*赤*"),"赤",
IF(COUNTIF(D60,"*キャラ弁当*"),"キャラ弁当",D60))),4)&amp;"*",注文弁当の抽出!$E$1:$F$15,2,FALSE),"")</f>
        <v/>
      </c>
      <c r="K60" s="50" t="str">
        <f ca="1">IF(クライアント抽出!P60&lt;&gt;"",SUBSTITUTE(ADDRESS(1,(CODE(クライアント抽出!P60)-64)*2-1,4),"1",""),"")</f>
        <v/>
      </c>
      <c r="L60" s="50" t="str">
        <f>IF(C60&lt;&gt;"",クライアント抽出!I60,"")</f>
        <v/>
      </c>
      <c r="M60" s="50">
        <f t="array" aca="1" ref="M60" ca="1">IF(C60&lt;&gt;"",
IF(K60&lt;&gt;"",INDIRECT("'数出表_Excel（アレルギー入力）'!"&amp;K60&amp;L60-1&amp;""),),)</f>
        <v>0</v>
      </c>
      <c r="N60" s="50" t="str">
        <f>IF(C60&lt;&gt;"",IF(OR(COUNTIF('盛付札（関数）'!D60,"*赤*"),COUNTIF('盛付札（関数）'!D60,"*キャラ*")),1,
VLOOKUP("*"&amp;D60&amp;"*",商品マスタ一覧!D:H,5,FALSE)),"")</f>
        <v/>
      </c>
      <c r="O60" s="50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50">
        <f t="shared" si="0"/>
        <v>0</v>
      </c>
      <c r="Q60" s="50" t="b">
        <f t="shared" si="1"/>
        <v>0</v>
      </c>
      <c r="R60" s="49" t="str">
        <f t="array" aca="1" ref="R60" ca="1">IFERROR(SMALL(IF(P$1:P$311&lt;&gt;0,P$1:P$311),ROW(A60)),"")</f>
        <v/>
      </c>
      <c r="S60" s="49" t="str">
        <f t="array" aca="1" ref="S60" ca="1">IF($R60&lt;&gt;"",
SUBSTITUTE(SUBSTITUTE(INDIRECT("C"&amp;$R60&amp;"")," 週3ｺｰｽ","")," 週5ｺｰｽ",""),"")</f>
        <v/>
      </c>
      <c r="T60" s="49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22" t="str">
        <f t="array" aca="1" ref="U60" ca="1">IF($R60&lt;&gt;"",
INDIRECT("F"&amp;$R60&amp;""),"")</f>
        <v/>
      </c>
      <c r="V60" s="49" t="str">
        <f t="array" aca="1" ref="V60" ca="1">IF($R60&lt;&gt;"",
INDIRECT("G"&amp;$R60&amp;""),"")</f>
        <v/>
      </c>
      <c r="W60" s="49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IF(OR(COUNTIF(INDIRECT("B"&amp;R60&amp;""),"*雙葉先生*"),COUNTIF(INDIRECT("B"&amp;R60-1&amp;""),"*雙葉*")),INDIRECT("H"&amp;R60&amp;""),INDIRECT("H"&amp;R60&amp;"")+INDIRECT("H"&amp;MATCH("雙葉'",INDIRECT("B"&amp;R60+3&amp;":B210"),0)+2+R60&amp;"")),
IF(AND(LEFT(INDIRECT("B"&amp;R60&amp;""),2)="博多",COUNTIF(B:B,"*博多*")&gt;=2),
INDIRECT("H"&amp;R60&amp;"")+INDIRECT("H"&amp;MATCH("*"&amp;INDIRECT("B"&amp;R60&amp;"")&amp;"*",INDIRECT("B"&amp;R60+1&amp;":B210"),0)+R60&amp;""),
IF(AND(LEFT(INDIRECT("B"&amp;R60&amp;""),3)="奈良屋",COUNTIF(B:B,"*奈良屋*")&gt;=2),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49" t="str">
        <f t="array" aca="1" ref="X60" ca="1">IF($R60&lt;&gt;"",
INDIRECT(""&amp;IF(COLUMN(I60)&lt;=26,CHAR(COLUMN(I60)+64),CHAR(INT((COLUMN(I60)-1)/26)+64)&amp;CHAR(MOD(COLUMN(I60)-1,26)+65))&amp;$R60&amp;""),"")</f>
        <v/>
      </c>
      <c r="Y60" s="49" t="str">
        <f t="array" aca="1" ref="Y60" ca="1">IF($R60&lt;&gt;"",
INDIRECT(""&amp;IF(COLUMN(J60)&lt;=26,CHAR(COLUMN(J60)+64),CHAR(INT((COLUMN(J60)-1)/26)+64)&amp;CHAR(MOD(COLUMN(J60)-1,26)+65))&amp;$R60&amp;""),"")</f>
        <v/>
      </c>
      <c r="Z60" s="49" t="str">
        <f t="shared" ca="1" si="2"/>
        <v/>
      </c>
      <c r="AA60" s="49" t="str">
        <f t="shared" ca="1" si="3"/>
        <v/>
      </c>
      <c r="AB60" s="49" t="str">
        <f t="array" aca="1" ref="AB60" ca="1">IF($R60&lt;&gt;"",
IF(AND(COUNTIF(INDIRECT("B"&amp;R60&amp;""),"*雙葉*"),COUNTIF(B:B,"*雙葉*")&gt;=2),
INDIRECT("M"&amp;R60&amp;"")+INDIRECT("M"&amp;MATCH("雙葉'",INDIRECT("B"&amp;R60+1&amp;":B210"),0)+R60&amp;""),
IF(AND(LEFT(INDIRECT("B"&amp;R60&amp;""),2)="博多",COUNTIF(B:B,"*博多*")&gt;=2),
INDIRECT("M"&amp;R60&amp;"")+INDIRECT("M"&amp;MATCH("*"&amp;INDIRECT("B"&amp;R60&amp;"")&amp;"*",INDIRECT("B"&amp;R60+1&amp;":B210"),0)+R60&amp;""),
IF(AND(LEFT(INDIRECT("B"&amp;R60&amp;""),3)="奈良屋",COUNTIF(B:B,"*奈良屋*")&gt;=2),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  <c r="AC60" s="49" t="str">
        <f ca="1">IF(S60&lt;&gt;"",INDEX(A:A, MATCH("*"&amp;LEFT(S60,4)&amp;"*", C:C, 0)),"")</f>
        <v/>
      </c>
      <c r="AD60" s="49" t="str">
        <f ca="1">IFERROR(INDEX(AC:AC,MATCH(SMALL($AU:$AU,ROW()+3),$AU:$AU,0)),"")</f>
        <v/>
      </c>
      <c r="AE60" s="49" t="str">
        <f ca="1">IFERROR(INDEX(R:R,MATCH(SMALL($AU:$AU,ROW()+3),$AU:$AU,0)),"")</f>
        <v/>
      </c>
      <c r="AF60" s="49" t="str">
        <f ca="1">IFERROR(INDEX(S:S,MATCH(SMALL($AU:$AU,ROW()+3),$AU:$AU,0)),"")</f>
        <v/>
      </c>
      <c r="AG60" s="49" t="str">
        <f ca="1">IFERROR(INDEX(T:T,MATCH(SMALL($AU:$AU,ROW()+3),$AU:$AU,0)),"")</f>
        <v/>
      </c>
      <c r="AH60" s="122" t="str">
        <f ca="1">IFERROR(INDEX(U:U,MATCH(SMALL($AU:$AU,ROW()+3),$AU:$AU,0)),"")</f>
        <v/>
      </c>
      <c r="AI60" s="49" t="str">
        <f ca="1">IFERROR(INDEX(V:V,MATCH(SMALL($AU:$AU,ROW()+3),$AU:$AU,0)),"")</f>
        <v/>
      </c>
      <c r="AJ60" s="49" t="str">
        <f ca="1">IFERROR(INDEX(W:W,MATCH(SMALL($AU:$AU,ROW()+3),$AU:$AU,0)),"")</f>
        <v/>
      </c>
      <c r="AK60" s="49" t="str">
        <f ca="1">IFERROR(INDEX(X:X,MATCH(SMALL($AU:$AU,ROW()+3),$AU:$AU,0)),"")</f>
        <v/>
      </c>
      <c r="AL60" s="49" t="str">
        <f ca="1">IFERROR(INDEX(Y:Y,MATCH(SMALL($AU:$AU,ROW()+3),$AU:$AU,0)),"")</f>
        <v/>
      </c>
      <c r="AM60" s="49" t="str">
        <f ca="1">IFERROR(INDEX(Z:Z,MATCH(SMALL($AU:$AU,ROW()+3),$AU:$AU,0)),"")</f>
        <v/>
      </c>
      <c r="AN60" s="49" t="str">
        <f ca="1">IFERROR(INDEX(AA:AA,MATCH(SMALL($AU:$AU,ROW()+3),$AU:$AU,0)),"")</f>
        <v/>
      </c>
      <c r="AO60" s="49" t="str">
        <f ca="1">IFERROR(INDEX(AB:AB,MATCH(SMALL($AU:$AU,ROW()+3),$AU:$AU,0)),"")</f>
        <v/>
      </c>
      <c r="AP60" s="49" t="str">
        <f ca="1">IFERROR(INDEX(AC:AC,MATCH(SMALL($AU:$AU,ROW()+3),$AU:$AU,0)),"")</f>
        <v/>
      </c>
      <c r="AU60" s="49" t="str">
        <f t="shared" ca="1" si="6"/>
        <v/>
      </c>
    </row>
    <row r="61" spans="1:47" ht="18" customHeight="1">
      <c r="A61" s="108">
        <f t="shared" si="7"/>
        <v>127</v>
      </c>
      <c r="B61" s="50" t="str">
        <f t="shared" si="8"/>
        <v/>
      </c>
      <c r="C61" s="50" t="str">
        <f>IF(OR(クライアント抽出!B61&lt;&gt;"",クライアント抽出!E61&lt;&gt;""),クライアント抽出!A61,"")</f>
        <v/>
      </c>
      <c r="D61" s="50" t="str">
        <f t="array" aca="1" ref="D61" ca="1">IF(C61&lt;&gt;"",INDIRECT("クライアント抽出!"&amp;E61&amp;MATCH(C61,クライアント抽出!A:A,0)&amp;""),"")</f>
        <v/>
      </c>
      <c r="E61" s="50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51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50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06" t="str">
        <f>IF(C61&lt;&gt;"",
クライアント抽出!B61,"")</f>
        <v/>
      </c>
      <c r="I61" s="50" t="str">
        <f t="array" aca="1" ref="I61" ca="1">IF(C61&lt;&gt;"",
IF(O61=1,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INDIRECT("数出表_Excel!"&amp;INDEX(_xlfn.UNIQUE(_xlfn._xlws.FILTER(クライアント抽出!P61:U61,COUNTIF(クライアント抽出!P61:U61,クライアント抽出!P61:U61)&gt;1)),1)&amp;L61&amp;""),0),クライアント抽出!E61),"")</f>
        <v/>
      </c>
      <c r="J61" s="50" t="str">
        <f>IF(C61&lt;&gt;"",
VLOOKUP(
"*"&amp;LEFT(IF(COUNTIF(D61,"*学食*"),"キャラ弁（学食）",
IF(COUNTIF(D61,"*赤*"),"赤",
IF(COUNTIF(D61,"*キャラ弁当*"),"キャラ弁当",D61))),4)&amp;"*",注文弁当の抽出!$E$1:$F$15,2,FALSE),"")</f>
        <v/>
      </c>
      <c r="K61" s="50" t="str">
        <f ca="1">IF(クライアント抽出!P61&lt;&gt;"",SUBSTITUTE(ADDRESS(1,(CODE(クライアント抽出!P61)-64)*2-1,4),"1",""),"")</f>
        <v/>
      </c>
      <c r="L61" s="50" t="str">
        <f>IF(C61&lt;&gt;"",クライアント抽出!I61,"")</f>
        <v/>
      </c>
      <c r="M61" s="50">
        <f t="array" aca="1" ref="M61" ca="1">IF(C61&lt;&gt;"",
IF(K61&lt;&gt;"",INDIRECT("'数出表_Excel（アレルギー入力）'!"&amp;K61&amp;L61-1&amp;""),),)</f>
        <v>0</v>
      </c>
      <c r="N61" s="50" t="str">
        <f>IF(C61&lt;&gt;"",IF(OR(COUNTIF('盛付札（関数）'!D61,"*赤*"),COUNTIF('盛付札（関数）'!D61,"*キャラ*")),1,
VLOOKUP("*"&amp;D61&amp;"*",商品マスタ一覧!D:H,5,FALSE)),"")</f>
        <v/>
      </c>
      <c r="O61" s="50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50">
        <f t="shared" si="0"/>
        <v>0</v>
      </c>
      <c r="Q61" s="50" t="b">
        <f t="shared" si="1"/>
        <v>0</v>
      </c>
      <c r="R61" s="49" t="str">
        <f t="array" aca="1" ref="R61" ca="1">IFERROR(SMALL(IF(P$1:P$311&lt;&gt;0,P$1:P$311),ROW(A61)),"")</f>
        <v/>
      </c>
      <c r="S61" s="49" t="str">
        <f t="array" aca="1" ref="S61" ca="1">IF($R61&lt;&gt;"",
SUBSTITUTE(SUBSTITUTE(INDIRECT("C"&amp;$R61&amp;"")," 週3ｺｰｽ","")," 週5ｺｰｽ",""),"")</f>
        <v/>
      </c>
      <c r="T61" s="49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22" t="str">
        <f t="array" aca="1" ref="U61" ca="1">IF($R61&lt;&gt;"",
INDIRECT("F"&amp;$R61&amp;""),"")</f>
        <v/>
      </c>
      <c r="V61" s="49" t="str">
        <f t="array" aca="1" ref="V61" ca="1">IF($R61&lt;&gt;"",
INDIRECT("G"&amp;$R61&amp;""),"")</f>
        <v/>
      </c>
      <c r="W61" s="49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IF(OR(COUNTIF(INDIRECT("B"&amp;R61&amp;""),"*雙葉先生*"),COUNTIF(INDIRECT("B"&amp;R61-1&amp;""),"*雙葉*")),INDIRECT("H"&amp;R61&amp;""),INDIRECT("H"&amp;R61&amp;"")+INDIRECT("H"&amp;MATCH("雙葉'",INDIRECT("B"&amp;R61+3&amp;":B210"),0)+2+R61&amp;"")),
IF(AND(LEFT(INDIRECT("B"&amp;R61&amp;""),2)="博多",COUNTIF(B:B,"*博多*")&gt;=2),
INDIRECT("H"&amp;R61&amp;"")+INDIRECT("H"&amp;MATCH("*"&amp;INDIRECT("B"&amp;R61&amp;"")&amp;"*",INDIRECT("B"&amp;R61+1&amp;":B210"),0)+R61&amp;""),
IF(AND(LEFT(INDIRECT("B"&amp;R61&amp;""),3)="奈良屋",COUNTIF(B:B,"*奈良屋*")&gt;=2),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49" t="str">
        <f t="array" aca="1" ref="X61" ca="1">IF($R61&lt;&gt;"",
INDIRECT(""&amp;IF(COLUMN(I61)&lt;=26,CHAR(COLUMN(I61)+64),CHAR(INT((COLUMN(I61)-1)/26)+64)&amp;CHAR(MOD(COLUMN(I61)-1,26)+65))&amp;$R61&amp;""),"")</f>
        <v/>
      </c>
      <c r="Y61" s="49" t="str">
        <f t="array" aca="1" ref="Y61" ca="1">IF($R61&lt;&gt;"",
INDIRECT(""&amp;IF(COLUMN(J61)&lt;=26,CHAR(COLUMN(J61)+64),CHAR(INT((COLUMN(J61)-1)/26)+64)&amp;CHAR(MOD(COLUMN(J61)-1,26)+65))&amp;$R61&amp;""),"")</f>
        <v/>
      </c>
      <c r="Z61" s="49" t="str">
        <f t="shared" ca="1" si="2"/>
        <v/>
      </c>
      <c r="AA61" s="49" t="str">
        <f t="shared" ca="1" si="3"/>
        <v/>
      </c>
      <c r="AB61" s="49" t="str">
        <f t="array" aca="1" ref="AB61" ca="1">IF($R61&lt;&gt;"",
IF(AND(COUNTIF(INDIRECT("B"&amp;R61&amp;""),"*雙葉*"),COUNTIF(B:B,"*雙葉*")&gt;=2),
INDIRECT("M"&amp;R61&amp;"")+INDIRECT("M"&amp;MATCH("雙葉'",INDIRECT("B"&amp;R61+1&amp;":B210"),0)+R61&amp;""),
IF(AND(LEFT(INDIRECT("B"&amp;R61&amp;""),2)="博多",COUNTIF(B:B,"*博多*")&gt;=2),
INDIRECT("M"&amp;R61&amp;"")+INDIRECT("M"&amp;MATCH("*"&amp;INDIRECT("B"&amp;R61&amp;"")&amp;"*",INDIRECT("B"&amp;R61+1&amp;":B210"),0)+R61&amp;""),
IF(AND(LEFT(INDIRECT("B"&amp;R61&amp;""),3)="奈良屋",COUNTIF(B:B,"*奈良屋*")&gt;=2),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  <c r="AC61" s="49" t="str">
        <f ca="1">IF(S61&lt;&gt;"",INDEX(A:A, MATCH("*"&amp;LEFT(S61,4)&amp;"*", C:C, 0)),"")</f>
        <v/>
      </c>
      <c r="AD61" s="49" t="str">
        <f ca="1">IFERROR(INDEX(AC:AC,MATCH(SMALL($AU:$AU,ROW()+3),$AU:$AU,0)),"")</f>
        <v/>
      </c>
      <c r="AE61" s="49" t="str">
        <f ca="1">IFERROR(INDEX(R:R,MATCH(SMALL($AU:$AU,ROW()+3),$AU:$AU,0)),"")</f>
        <v/>
      </c>
      <c r="AF61" s="49" t="str">
        <f ca="1">IFERROR(INDEX(S:S,MATCH(SMALL($AU:$AU,ROW()+3),$AU:$AU,0)),"")</f>
        <v/>
      </c>
      <c r="AG61" s="49" t="str">
        <f ca="1">IFERROR(INDEX(T:T,MATCH(SMALL($AU:$AU,ROW()+3),$AU:$AU,0)),"")</f>
        <v/>
      </c>
      <c r="AH61" s="122" t="str">
        <f ca="1">IFERROR(INDEX(U:U,MATCH(SMALL($AU:$AU,ROW()+3),$AU:$AU,0)),"")</f>
        <v/>
      </c>
      <c r="AI61" s="49" t="str">
        <f ca="1">IFERROR(INDEX(V:V,MATCH(SMALL($AU:$AU,ROW()+3),$AU:$AU,0)),"")</f>
        <v/>
      </c>
      <c r="AJ61" s="49" t="str">
        <f ca="1">IFERROR(INDEX(W:W,MATCH(SMALL($AU:$AU,ROW()+3),$AU:$AU,0)),"")</f>
        <v/>
      </c>
      <c r="AK61" s="49" t="str">
        <f ca="1">IFERROR(INDEX(X:X,MATCH(SMALL($AU:$AU,ROW()+3),$AU:$AU,0)),"")</f>
        <v/>
      </c>
      <c r="AL61" s="49" t="str">
        <f ca="1">IFERROR(INDEX(Y:Y,MATCH(SMALL($AU:$AU,ROW()+3),$AU:$AU,0)),"")</f>
        <v/>
      </c>
      <c r="AM61" s="49" t="str">
        <f ca="1">IFERROR(INDEX(Z:Z,MATCH(SMALL($AU:$AU,ROW()+3),$AU:$AU,0)),"")</f>
        <v/>
      </c>
      <c r="AN61" s="49" t="str">
        <f ca="1">IFERROR(INDEX(AA:AA,MATCH(SMALL($AU:$AU,ROW()+3),$AU:$AU,0)),"")</f>
        <v/>
      </c>
      <c r="AO61" s="49" t="str">
        <f ca="1">IFERROR(INDEX(AB:AB,MATCH(SMALL($AU:$AU,ROW()+3),$AU:$AU,0)),"")</f>
        <v/>
      </c>
      <c r="AP61" s="49" t="str">
        <f ca="1">IFERROR(INDEX(AC:AC,MATCH(SMALL($AU:$AU,ROW()+3),$AU:$AU,0)),"")</f>
        <v/>
      </c>
      <c r="AU61" s="49" t="str">
        <f t="shared" ca="1" si="6"/>
        <v/>
      </c>
    </row>
    <row r="62" spans="1:47" ht="22.2" customHeight="1">
      <c r="A62" s="108">
        <f t="shared" si="7"/>
        <v>129</v>
      </c>
      <c r="B62" s="50" t="str">
        <f t="shared" si="8"/>
        <v/>
      </c>
      <c r="C62" s="50" t="str">
        <f>IF(OR(クライアント抽出!B62&lt;&gt;"",クライアント抽出!E62&lt;&gt;""),クライアント抽出!A62,"")</f>
        <v/>
      </c>
      <c r="D62" s="50" t="str">
        <f t="array" aca="1" ref="D62" ca="1">IF(C62&lt;&gt;"",INDIRECT("クライアント抽出!"&amp;E62&amp;MATCH(C62,クライアント抽出!A:A,0)&amp;""),"")</f>
        <v/>
      </c>
      <c r="E62" s="50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51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50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06" t="str">
        <f>IF(C62&lt;&gt;"",
クライアント抽出!B62,"")</f>
        <v/>
      </c>
      <c r="I62" s="50" t="str">
        <f t="array" aca="1" ref="I62" ca="1">IF(C62&lt;&gt;"",
IF(O62=1,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INDIRECT("数出表_Excel!"&amp;INDEX(_xlfn.UNIQUE(_xlfn._xlws.FILTER(クライアント抽出!P62:U62,COUNTIF(クライアント抽出!P62:U62,クライアント抽出!P62:U62)&gt;1)),1)&amp;L62&amp;""),0),クライアント抽出!E62),"")</f>
        <v/>
      </c>
      <c r="J62" s="50" t="str">
        <f>IF(C62&lt;&gt;"",
VLOOKUP(
"*"&amp;LEFT(IF(COUNTIF(D62,"*学食*"),"キャラ弁（学食）",
IF(COUNTIF(D62,"*赤*"),"赤",
IF(COUNTIF(D62,"*キャラ弁当*"),"キャラ弁当",D62))),4)&amp;"*",注文弁当の抽出!$E$1:$F$15,2,FALSE),"")</f>
        <v/>
      </c>
      <c r="K62" s="50" t="str">
        <f ca="1">IF(クライアント抽出!P62&lt;&gt;"",SUBSTITUTE(ADDRESS(1,(CODE(クライアント抽出!P62)-64)*2-1,4),"1",""),"")</f>
        <v/>
      </c>
      <c r="L62" s="50" t="str">
        <f>IF(C62&lt;&gt;"",クライアント抽出!I62,"")</f>
        <v/>
      </c>
      <c r="M62" s="50">
        <f t="array" aca="1" ref="M62" ca="1">IF(C62&lt;&gt;"",
IF(K62&lt;&gt;"",INDIRECT("'数出表_Excel（アレルギー入力）'!"&amp;K62&amp;L62-1&amp;""),),)</f>
        <v>0</v>
      </c>
      <c r="N62" s="50" t="str">
        <f>IF(C62&lt;&gt;"",IF(OR(COUNTIF('盛付札（関数）'!D62,"*赤*"),COUNTIF('盛付札（関数）'!D62,"*キャラ*")),1,
VLOOKUP("*"&amp;D62&amp;"*",商品マスタ一覧!D:H,5,FALSE)),"")</f>
        <v/>
      </c>
      <c r="O62" s="50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50">
        <f t="shared" si="0"/>
        <v>0</v>
      </c>
      <c r="Q62" s="50" t="b">
        <f t="shared" si="1"/>
        <v>0</v>
      </c>
      <c r="R62" s="49" t="str">
        <f t="array" aca="1" ref="R62" ca="1">IFERROR(SMALL(IF(P$1:P$311&lt;&gt;0,P$1:P$311),ROW(A62)),"")</f>
        <v/>
      </c>
      <c r="S62" s="49" t="str">
        <f t="array" aca="1" ref="S62" ca="1">IF($R62&lt;&gt;"",
SUBSTITUTE(SUBSTITUTE(INDIRECT("C"&amp;$R62&amp;"")," 週3ｺｰｽ","")," 週5ｺｰｽ",""),"")</f>
        <v/>
      </c>
      <c r="T62" s="49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22" t="str">
        <f t="array" aca="1" ref="U62" ca="1">IF($R62&lt;&gt;"",
INDIRECT("F"&amp;$R62&amp;""),"")</f>
        <v/>
      </c>
      <c r="V62" s="49" t="str">
        <f t="array" aca="1" ref="V62" ca="1">IF($R62&lt;&gt;"",
INDIRECT("G"&amp;$R62&amp;""),"")</f>
        <v/>
      </c>
      <c r="W62" s="49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IF(OR(COUNTIF(INDIRECT("B"&amp;R62&amp;""),"*雙葉先生*"),COUNTIF(INDIRECT("B"&amp;R62-1&amp;""),"*雙葉*")),INDIRECT("H"&amp;R62&amp;""),INDIRECT("H"&amp;R62&amp;"")+INDIRECT("H"&amp;MATCH("雙葉'",INDIRECT("B"&amp;R62+3&amp;":B210"),0)+2+R62&amp;"")),
IF(AND(LEFT(INDIRECT("B"&amp;R62&amp;""),2)="博多",COUNTIF(B:B,"*博多*")&gt;=2),
INDIRECT("H"&amp;R62&amp;"")+INDIRECT("H"&amp;MATCH("*"&amp;INDIRECT("B"&amp;R62&amp;"")&amp;"*",INDIRECT("B"&amp;R62+1&amp;":B210"),0)+R62&amp;""),
IF(AND(LEFT(INDIRECT("B"&amp;R62&amp;""),3)="奈良屋",COUNTIF(B:B,"*奈良屋*")&gt;=2),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49" t="str">
        <f t="array" aca="1" ref="X62" ca="1">IF($R62&lt;&gt;"",
INDIRECT(""&amp;IF(COLUMN(I62)&lt;=26,CHAR(COLUMN(I62)+64),CHAR(INT((COLUMN(I62)-1)/26)+64)&amp;CHAR(MOD(COLUMN(I62)-1,26)+65))&amp;$R62&amp;""),"")</f>
        <v/>
      </c>
      <c r="Y62" s="49" t="str">
        <f t="array" aca="1" ref="Y62" ca="1">IF($R62&lt;&gt;"",
INDIRECT(""&amp;IF(COLUMN(J62)&lt;=26,CHAR(COLUMN(J62)+64),CHAR(INT((COLUMN(J62)-1)/26)+64)&amp;CHAR(MOD(COLUMN(J62)-1,26)+65))&amp;$R62&amp;""),"")</f>
        <v/>
      </c>
      <c r="Z62" s="49" t="str">
        <f t="shared" ca="1" si="2"/>
        <v/>
      </c>
      <c r="AA62" s="49" t="str">
        <f t="shared" ca="1" si="3"/>
        <v/>
      </c>
      <c r="AB62" s="49" t="str">
        <f t="array" aca="1" ref="AB62" ca="1">IF($R62&lt;&gt;"",
IF(AND(COUNTIF(INDIRECT("B"&amp;R62&amp;""),"*雙葉*"),COUNTIF(B:B,"*雙葉*")&gt;=2),
INDIRECT("M"&amp;R62&amp;"")+INDIRECT("M"&amp;MATCH("雙葉'",INDIRECT("B"&amp;R62+1&amp;":B210"),0)+R62&amp;""),
IF(AND(LEFT(INDIRECT("B"&amp;R62&amp;""),2)="博多",COUNTIF(B:B,"*博多*")&gt;=2),
INDIRECT("M"&amp;R62&amp;"")+INDIRECT("M"&amp;MATCH("*"&amp;INDIRECT("B"&amp;R62&amp;"")&amp;"*",INDIRECT("B"&amp;R62+1&amp;":B210"),0)+R62&amp;""),
IF(AND(LEFT(INDIRECT("B"&amp;R62&amp;""),3)="奈良屋",COUNTIF(B:B,"*奈良屋*")&gt;=2),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  <c r="AC62" s="49" t="str">
        <f ca="1">IF(S62&lt;&gt;"",INDEX(A:A, MATCH("*"&amp;LEFT(S62,4)&amp;"*", C:C, 0)),"")</f>
        <v/>
      </c>
      <c r="AD62" s="49" t="str">
        <f ca="1">IFERROR(INDEX(AC:AC,MATCH(SMALL($AU:$AU,ROW()+3),$AU:$AU,0)),"")</f>
        <v/>
      </c>
      <c r="AE62" s="49" t="str">
        <f ca="1">IFERROR(INDEX(R:R,MATCH(SMALL($AU:$AU,ROW()+3),$AU:$AU,0)),"")</f>
        <v/>
      </c>
      <c r="AF62" s="49" t="str">
        <f ca="1">IFERROR(INDEX(S:S,MATCH(SMALL($AU:$AU,ROW()+3),$AU:$AU,0)),"")</f>
        <v/>
      </c>
      <c r="AG62" s="49" t="str">
        <f ca="1">IFERROR(INDEX(T:T,MATCH(SMALL($AU:$AU,ROW()+3),$AU:$AU,0)),"")</f>
        <v/>
      </c>
      <c r="AH62" s="122" t="str">
        <f ca="1">IFERROR(INDEX(U:U,MATCH(SMALL($AU:$AU,ROW()+3),$AU:$AU,0)),"")</f>
        <v/>
      </c>
      <c r="AI62" s="49" t="str">
        <f ca="1">IFERROR(INDEX(V:V,MATCH(SMALL($AU:$AU,ROW()+3),$AU:$AU,0)),"")</f>
        <v/>
      </c>
      <c r="AJ62" s="49" t="str">
        <f ca="1">IFERROR(INDEX(W:W,MATCH(SMALL($AU:$AU,ROW()+3),$AU:$AU,0)),"")</f>
        <v/>
      </c>
      <c r="AK62" s="49" t="str">
        <f ca="1">IFERROR(INDEX(X:X,MATCH(SMALL($AU:$AU,ROW()+3),$AU:$AU,0)),"")</f>
        <v/>
      </c>
      <c r="AL62" s="49" t="str">
        <f ca="1">IFERROR(INDEX(Y:Y,MATCH(SMALL($AU:$AU,ROW()+3),$AU:$AU,0)),"")</f>
        <v/>
      </c>
      <c r="AM62" s="49" t="str">
        <f ca="1">IFERROR(INDEX(Z:Z,MATCH(SMALL($AU:$AU,ROW()+3),$AU:$AU,0)),"")</f>
        <v/>
      </c>
      <c r="AN62" s="49" t="str">
        <f ca="1">IFERROR(INDEX(AA:AA,MATCH(SMALL($AU:$AU,ROW()+3),$AU:$AU,0)),"")</f>
        <v/>
      </c>
      <c r="AO62" s="49" t="str">
        <f ca="1">IFERROR(INDEX(AB:AB,MATCH(SMALL($AU:$AU,ROW()+3),$AU:$AU,0)),"")</f>
        <v/>
      </c>
      <c r="AP62" s="49" t="str">
        <f ca="1">IFERROR(INDEX(AC:AC,MATCH(SMALL($AU:$AU,ROW()+3),$AU:$AU,0)),"")</f>
        <v/>
      </c>
      <c r="AU62" s="49" t="str">
        <f t="shared" ca="1" si="6"/>
        <v/>
      </c>
    </row>
    <row r="63" spans="1:47" ht="21" customHeight="1">
      <c r="A63" s="108">
        <f t="shared" si="7"/>
        <v>131</v>
      </c>
      <c r="B63" s="50" t="str">
        <f t="shared" si="8"/>
        <v/>
      </c>
      <c r="C63" s="50" t="str">
        <f>IF(OR(クライアント抽出!B63&lt;&gt;"",クライアント抽出!E63&lt;&gt;""),クライアント抽出!A63,"")</f>
        <v/>
      </c>
      <c r="D63" s="50" t="str">
        <f t="array" aca="1" ref="D63" ca="1">IF(C63&lt;&gt;"",INDIRECT("クライアント抽出!"&amp;E63&amp;MATCH(C63,クライアント抽出!A:A,0)&amp;""),"")</f>
        <v/>
      </c>
      <c r="E63" s="50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51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50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06" t="str">
        <f>IF(C63&lt;&gt;"",
クライアント抽出!B63,"")</f>
        <v/>
      </c>
      <c r="I63" s="50" t="str">
        <f t="array" aca="1" ref="I63" ca="1">IF(C63&lt;&gt;"",
IF(O63=1,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INDIRECT("数出表_Excel!"&amp;INDEX(_xlfn.UNIQUE(_xlfn._xlws.FILTER(クライアント抽出!P63:U63,COUNTIF(クライアント抽出!P63:U63,クライアント抽出!P63:U63)&gt;1)),1)&amp;L63&amp;""),0),クライアント抽出!E63),"")</f>
        <v/>
      </c>
      <c r="J63" s="50" t="str">
        <f>IF(C63&lt;&gt;"",
VLOOKUP(
"*"&amp;LEFT(IF(COUNTIF(D63,"*学食*"),"キャラ弁（学食）",
IF(COUNTIF(D63,"*赤*"),"赤",
IF(COUNTIF(D63,"*キャラ弁当*"),"キャラ弁当",D63))),4)&amp;"*",注文弁当の抽出!$E$1:$F$15,2,FALSE),"")</f>
        <v/>
      </c>
      <c r="K63" s="50" t="str">
        <f ca="1">IF(クライアント抽出!P63&lt;&gt;"",SUBSTITUTE(ADDRESS(1,(CODE(クライアント抽出!P63)-64)*2-1,4),"1",""),"")</f>
        <v/>
      </c>
      <c r="L63" s="50" t="str">
        <f>IF(C63&lt;&gt;"",クライアント抽出!I63,"")</f>
        <v/>
      </c>
      <c r="M63" s="50">
        <f t="array" aca="1" ref="M63" ca="1">IF(C63&lt;&gt;"",
IF(K63&lt;&gt;"",INDIRECT("'数出表_Excel（アレルギー入力）'!"&amp;K63&amp;L63-1&amp;""),),)</f>
        <v>0</v>
      </c>
      <c r="N63" s="50" t="str">
        <f>IF(C63&lt;&gt;"",IF(OR(COUNTIF('盛付札（関数）'!D63,"*赤*"),COUNTIF('盛付札（関数）'!D63,"*キャラ*")),1,
VLOOKUP("*"&amp;D63&amp;"*",商品マスタ一覧!D:H,5,FALSE)),"")</f>
        <v/>
      </c>
      <c r="O63" s="50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50">
        <f t="shared" si="0"/>
        <v>0</v>
      </c>
      <c r="Q63" s="50" t="b">
        <f t="shared" si="1"/>
        <v>0</v>
      </c>
      <c r="R63" s="49" t="str">
        <f t="array" aca="1" ref="R63" ca="1">IFERROR(SMALL(IF(P$1:P$311&lt;&gt;0,P$1:P$311),ROW(A63)),"")</f>
        <v/>
      </c>
      <c r="S63" s="49" t="str">
        <f t="array" aca="1" ref="S63" ca="1">IF($R63&lt;&gt;"",
SUBSTITUTE(SUBSTITUTE(INDIRECT("C"&amp;$R63&amp;"")," 週3ｺｰｽ","")," 週5ｺｰｽ",""),"")</f>
        <v/>
      </c>
      <c r="T63" s="49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22" t="str">
        <f t="array" aca="1" ref="U63" ca="1">IF($R63&lt;&gt;"",
INDIRECT("F"&amp;$R63&amp;""),"")</f>
        <v/>
      </c>
      <c r="V63" s="49" t="str">
        <f t="array" aca="1" ref="V63" ca="1">IF($R63&lt;&gt;"",
INDIRECT("G"&amp;$R63&amp;""),"")</f>
        <v/>
      </c>
      <c r="W63" s="49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IF(OR(COUNTIF(INDIRECT("B"&amp;R63&amp;""),"*雙葉先生*"),COUNTIF(INDIRECT("B"&amp;R63-1&amp;""),"*雙葉*")),INDIRECT("H"&amp;R63&amp;""),INDIRECT("H"&amp;R63&amp;"")+INDIRECT("H"&amp;MATCH("雙葉'",INDIRECT("B"&amp;R63+3&amp;":B210"),0)+2+R63&amp;"")),
IF(AND(LEFT(INDIRECT("B"&amp;R63&amp;""),2)="博多",COUNTIF(B:B,"*博多*")&gt;=2),
INDIRECT("H"&amp;R63&amp;"")+INDIRECT("H"&amp;MATCH("*"&amp;INDIRECT("B"&amp;R63&amp;"")&amp;"*",INDIRECT("B"&amp;R63+1&amp;":B210"),0)+R63&amp;""),
IF(AND(LEFT(INDIRECT("B"&amp;R63&amp;""),3)="奈良屋",COUNTIF(B:B,"*奈良屋*")&gt;=2),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49" t="str">
        <f t="array" aca="1" ref="X63" ca="1">IF($R63&lt;&gt;"",
INDIRECT(""&amp;IF(COLUMN(I63)&lt;=26,CHAR(COLUMN(I63)+64),CHAR(INT((COLUMN(I63)-1)/26)+64)&amp;CHAR(MOD(COLUMN(I63)-1,26)+65))&amp;$R63&amp;""),"")</f>
        <v/>
      </c>
      <c r="Y63" s="49" t="str">
        <f t="array" aca="1" ref="Y63" ca="1">IF($R63&lt;&gt;"",
INDIRECT(""&amp;IF(COLUMN(J63)&lt;=26,CHAR(COLUMN(J63)+64),CHAR(INT((COLUMN(J63)-1)/26)+64)&amp;CHAR(MOD(COLUMN(J63)-1,26)+65))&amp;$R63&amp;""),"")</f>
        <v/>
      </c>
      <c r="Z63" s="49" t="str">
        <f t="shared" ca="1" si="2"/>
        <v/>
      </c>
      <c r="AA63" s="49" t="str">
        <f t="shared" ca="1" si="3"/>
        <v/>
      </c>
      <c r="AB63" s="49" t="str">
        <f t="array" aca="1" ref="AB63" ca="1">IF($R63&lt;&gt;"",
IF(AND(COUNTIF(INDIRECT("B"&amp;R63&amp;""),"*雙葉*"),COUNTIF(B:B,"*雙葉*")&gt;=2),
INDIRECT("M"&amp;R63&amp;"")+INDIRECT("M"&amp;MATCH("雙葉'",INDIRECT("B"&amp;R63+1&amp;":B210"),0)+R63&amp;""),
IF(AND(LEFT(INDIRECT("B"&amp;R63&amp;""),2)="博多",COUNTIF(B:B,"*博多*")&gt;=2),
INDIRECT("M"&amp;R63&amp;"")+INDIRECT("M"&amp;MATCH("*"&amp;INDIRECT("B"&amp;R63&amp;"")&amp;"*",INDIRECT("B"&amp;R63+1&amp;":B210"),0)+R63&amp;""),
IF(AND(LEFT(INDIRECT("B"&amp;R63&amp;""),3)="奈良屋",COUNTIF(B:B,"*奈良屋*")&gt;=2),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  <c r="AC63" s="49" t="str">
        <f ca="1">IF(S63&lt;&gt;"",INDEX(A:A, MATCH("*"&amp;LEFT(S63,4)&amp;"*", C:C, 0)),"")</f>
        <v/>
      </c>
      <c r="AD63" s="49" t="str">
        <f ca="1">IFERROR(INDEX(AC:AC,MATCH(SMALL($AU:$AU,ROW()+3),$AU:$AU,0)),"")</f>
        <v/>
      </c>
      <c r="AE63" s="49" t="str">
        <f ca="1">IFERROR(INDEX(R:R,MATCH(SMALL($AU:$AU,ROW()+3),$AU:$AU,0)),"")</f>
        <v/>
      </c>
      <c r="AF63" s="49" t="str">
        <f ca="1">IFERROR(INDEX(S:S,MATCH(SMALL($AU:$AU,ROW()+3),$AU:$AU,0)),"")</f>
        <v/>
      </c>
      <c r="AG63" s="49" t="str">
        <f ca="1">IFERROR(INDEX(T:T,MATCH(SMALL($AU:$AU,ROW()+3),$AU:$AU,0)),"")</f>
        <v/>
      </c>
      <c r="AH63" s="122" t="str">
        <f ca="1">IFERROR(INDEX(U:U,MATCH(SMALL($AU:$AU,ROW()+3),$AU:$AU,0)),"")</f>
        <v/>
      </c>
      <c r="AI63" s="49" t="str">
        <f ca="1">IFERROR(INDEX(V:V,MATCH(SMALL($AU:$AU,ROW()+3),$AU:$AU,0)),"")</f>
        <v/>
      </c>
      <c r="AJ63" s="49" t="str">
        <f ca="1">IFERROR(INDEX(W:W,MATCH(SMALL($AU:$AU,ROW()+3),$AU:$AU,0)),"")</f>
        <v/>
      </c>
      <c r="AK63" s="49" t="str">
        <f ca="1">IFERROR(INDEX(X:X,MATCH(SMALL($AU:$AU,ROW()+3),$AU:$AU,0)),"")</f>
        <v/>
      </c>
      <c r="AL63" s="49" t="str">
        <f ca="1">IFERROR(INDEX(Y:Y,MATCH(SMALL($AU:$AU,ROW()+3),$AU:$AU,0)),"")</f>
        <v/>
      </c>
      <c r="AM63" s="49" t="str">
        <f ca="1">IFERROR(INDEX(Z:Z,MATCH(SMALL($AU:$AU,ROW()+3),$AU:$AU,0)),"")</f>
        <v/>
      </c>
      <c r="AN63" s="49" t="str">
        <f ca="1">IFERROR(INDEX(AA:AA,MATCH(SMALL($AU:$AU,ROW()+3),$AU:$AU,0)),"")</f>
        <v/>
      </c>
      <c r="AO63" s="49" t="str">
        <f ca="1">IFERROR(INDEX(AB:AB,MATCH(SMALL($AU:$AU,ROW()+3),$AU:$AU,0)),"")</f>
        <v/>
      </c>
      <c r="AP63" s="49" t="str">
        <f ca="1">IFERROR(INDEX(AC:AC,MATCH(SMALL($AU:$AU,ROW()+3),$AU:$AU,0)),"")</f>
        <v/>
      </c>
      <c r="AU63" s="49" t="str">
        <f t="shared" ca="1" si="6"/>
        <v/>
      </c>
    </row>
    <row r="64" spans="1:47" ht="18" customHeight="1">
      <c r="A64" s="108">
        <f t="shared" si="7"/>
        <v>133</v>
      </c>
      <c r="B64" s="50" t="str">
        <f t="shared" si="8"/>
        <v/>
      </c>
      <c r="C64" s="50" t="str">
        <f>IF(OR(クライアント抽出!B64&lt;&gt;"",クライアント抽出!E64&lt;&gt;""),クライアント抽出!A64,"")</f>
        <v/>
      </c>
      <c r="D64" s="50" t="str">
        <f t="array" aca="1" ref="D64" ca="1">IF(C64&lt;&gt;"",INDIRECT("クライアント抽出!"&amp;E64&amp;MATCH(C64,クライアント抽出!A:A,0)&amp;""),"")</f>
        <v/>
      </c>
      <c r="E64" s="50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51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50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06" t="str">
        <f>IF(C64&lt;&gt;"",
クライアント抽出!B64,"")</f>
        <v/>
      </c>
      <c r="I64" s="50" t="str">
        <f t="array" aca="1" ref="I64" ca="1">IF(C64&lt;&gt;"",
IF(O64=1,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INDIRECT("数出表_Excel!"&amp;INDEX(_xlfn.UNIQUE(_xlfn._xlws.FILTER(クライアント抽出!P64:U64,COUNTIF(クライアント抽出!P64:U64,クライアント抽出!P64:U64)&gt;1)),1)&amp;L64&amp;""),0),クライアント抽出!E64),"")</f>
        <v/>
      </c>
      <c r="J64" s="50" t="str">
        <f>IF(C64&lt;&gt;"",
VLOOKUP(
"*"&amp;LEFT(IF(COUNTIF(D64,"*学食*"),"キャラ弁（学食）",
IF(COUNTIF(D64,"*赤*"),"赤",
IF(COUNTIF(D64,"*キャラ弁当*"),"キャラ弁当",D64))),4)&amp;"*",注文弁当の抽出!$E$1:$F$15,2,FALSE),"")</f>
        <v/>
      </c>
      <c r="K64" s="50" t="str">
        <f ca="1">IF(クライアント抽出!P64&lt;&gt;"",SUBSTITUTE(ADDRESS(1,(CODE(クライアント抽出!P64)-64)*2-1,4),"1",""),"")</f>
        <v/>
      </c>
      <c r="L64" s="50" t="str">
        <f>IF(C64&lt;&gt;"",クライアント抽出!I64,"")</f>
        <v/>
      </c>
      <c r="M64" s="50">
        <f t="array" aca="1" ref="M64" ca="1">IF(C64&lt;&gt;"",
IF(K64&lt;&gt;"",INDIRECT("'数出表_Excel（アレルギー入力）'!"&amp;K64&amp;L64-1&amp;""),),)</f>
        <v>0</v>
      </c>
      <c r="N64" s="50" t="str">
        <f>IF(C64&lt;&gt;"",IF(OR(COUNTIF('盛付札（関数）'!D64,"*赤*"),COUNTIF('盛付札（関数）'!D64,"*キャラ*")),1,
VLOOKUP("*"&amp;D64&amp;"*",商品マスタ一覧!D:H,5,FALSE)),"")</f>
        <v/>
      </c>
      <c r="O64" s="50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50">
        <f t="shared" si="0"/>
        <v>0</v>
      </c>
      <c r="Q64" s="50" t="b">
        <f t="shared" si="1"/>
        <v>0</v>
      </c>
      <c r="R64" s="49" t="str">
        <f t="array" aca="1" ref="R64" ca="1">IFERROR(SMALL(IF(P$1:P$311&lt;&gt;0,P$1:P$311),ROW(A64)),"")</f>
        <v/>
      </c>
      <c r="S64" s="49" t="str">
        <f t="array" aca="1" ref="S64" ca="1">IF($R64&lt;&gt;"",
SUBSTITUTE(SUBSTITUTE(INDIRECT("C"&amp;$R64&amp;"")," 週3ｺｰｽ","")," 週5ｺｰｽ",""),"")</f>
        <v/>
      </c>
      <c r="T64" s="49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22" t="str">
        <f t="array" aca="1" ref="U64" ca="1">IF($R64&lt;&gt;"",
INDIRECT("F"&amp;$R64&amp;""),"")</f>
        <v/>
      </c>
      <c r="V64" s="49" t="str">
        <f t="array" aca="1" ref="V64" ca="1">IF($R64&lt;&gt;"",
INDIRECT("G"&amp;$R64&amp;""),"")</f>
        <v/>
      </c>
      <c r="W64" s="49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IF(OR(COUNTIF(INDIRECT("B"&amp;R64&amp;""),"*雙葉先生*"),COUNTIF(INDIRECT("B"&amp;R64-1&amp;""),"*雙葉*")),INDIRECT("H"&amp;R64&amp;""),INDIRECT("H"&amp;R64&amp;"")+INDIRECT("H"&amp;MATCH("雙葉'",INDIRECT("B"&amp;R64+3&amp;":B210"),0)+2+R64&amp;"")),
IF(AND(LEFT(INDIRECT("B"&amp;R64&amp;""),2)="博多",COUNTIF(B:B,"*博多*")&gt;=2),
INDIRECT("H"&amp;R64&amp;"")+INDIRECT("H"&amp;MATCH("*"&amp;INDIRECT("B"&amp;R64&amp;"")&amp;"*",INDIRECT("B"&amp;R64+1&amp;":B210"),0)+R64&amp;""),
IF(AND(LEFT(INDIRECT("B"&amp;R64&amp;""),3)="奈良屋",COUNTIF(B:B,"*奈良屋*")&gt;=2),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49" t="str">
        <f t="array" aca="1" ref="X64" ca="1">IF($R64&lt;&gt;"",
INDIRECT(""&amp;IF(COLUMN(I64)&lt;=26,CHAR(COLUMN(I64)+64),CHAR(INT((COLUMN(I64)-1)/26)+64)&amp;CHAR(MOD(COLUMN(I64)-1,26)+65))&amp;$R64&amp;""),"")</f>
        <v/>
      </c>
      <c r="Y64" s="49" t="str">
        <f t="array" aca="1" ref="Y64" ca="1">IF($R64&lt;&gt;"",
INDIRECT(""&amp;IF(COLUMN(J64)&lt;=26,CHAR(COLUMN(J64)+64),CHAR(INT((COLUMN(J64)-1)/26)+64)&amp;CHAR(MOD(COLUMN(J64)-1,26)+65))&amp;$R64&amp;""),"")</f>
        <v/>
      </c>
      <c r="Z64" s="49" t="str">
        <f t="shared" ca="1" si="2"/>
        <v/>
      </c>
      <c r="AA64" s="49" t="str">
        <f t="shared" ca="1" si="3"/>
        <v/>
      </c>
      <c r="AB64" s="49" t="str">
        <f t="array" aca="1" ref="AB64" ca="1">IF($R64&lt;&gt;"",
IF(AND(COUNTIF(INDIRECT("B"&amp;R64&amp;""),"*雙葉*"),COUNTIF(B:B,"*雙葉*")&gt;=2),
INDIRECT("M"&amp;R64&amp;"")+INDIRECT("M"&amp;MATCH("雙葉'",INDIRECT("B"&amp;R64+1&amp;":B210"),0)+R64&amp;""),
IF(AND(LEFT(INDIRECT("B"&amp;R64&amp;""),2)="博多",COUNTIF(B:B,"*博多*")&gt;=2),
INDIRECT("M"&amp;R64&amp;"")+INDIRECT("M"&amp;MATCH("*"&amp;INDIRECT("B"&amp;R64&amp;"")&amp;"*",INDIRECT("B"&amp;R64+1&amp;":B210"),0)+R64&amp;""),
IF(AND(LEFT(INDIRECT("B"&amp;R64&amp;""),3)="奈良屋",COUNTIF(B:B,"*奈良屋*")&gt;=2),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  <c r="AC64" s="49" t="str">
        <f ca="1">IF(S64&lt;&gt;"",INDEX(A:A, MATCH("*"&amp;LEFT(S64,4)&amp;"*", C:C, 0)),"")</f>
        <v/>
      </c>
      <c r="AD64" s="49" t="str">
        <f ca="1">IFERROR(INDEX(AC:AC,MATCH(SMALL($AU:$AU,ROW()+3),$AU:$AU,0)),"")</f>
        <v/>
      </c>
      <c r="AE64" s="49" t="str">
        <f ca="1">IFERROR(INDEX(R:R,MATCH(SMALL($AU:$AU,ROW()+3),$AU:$AU,0)),"")</f>
        <v/>
      </c>
      <c r="AF64" s="49" t="str">
        <f ca="1">IFERROR(INDEX(S:S,MATCH(SMALL($AU:$AU,ROW()+3),$AU:$AU,0)),"")</f>
        <v/>
      </c>
      <c r="AG64" s="49" t="str">
        <f ca="1">IFERROR(INDEX(T:T,MATCH(SMALL($AU:$AU,ROW()+3),$AU:$AU,0)),"")</f>
        <v/>
      </c>
      <c r="AH64" s="122" t="str">
        <f ca="1">IFERROR(INDEX(U:U,MATCH(SMALL($AU:$AU,ROW()+3),$AU:$AU,0)),"")</f>
        <v/>
      </c>
      <c r="AI64" s="49" t="str">
        <f ca="1">IFERROR(INDEX(V:V,MATCH(SMALL($AU:$AU,ROW()+3),$AU:$AU,0)),"")</f>
        <v/>
      </c>
      <c r="AJ64" s="49" t="str">
        <f ca="1">IFERROR(INDEX(W:W,MATCH(SMALL($AU:$AU,ROW()+3),$AU:$AU,0)),"")</f>
        <v/>
      </c>
      <c r="AK64" s="49" t="str">
        <f ca="1">IFERROR(INDEX(X:X,MATCH(SMALL($AU:$AU,ROW()+3),$AU:$AU,0)),"")</f>
        <v/>
      </c>
      <c r="AL64" s="49" t="str">
        <f ca="1">IFERROR(INDEX(Y:Y,MATCH(SMALL($AU:$AU,ROW()+3),$AU:$AU,0)),"")</f>
        <v/>
      </c>
      <c r="AM64" s="49" t="str">
        <f ca="1">IFERROR(INDEX(Z:Z,MATCH(SMALL($AU:$AU,ROW()+3),$AU:$AU,0)),"")</f>
        <v/>
      </c>
      <c r="AN64" s="49" t="str">
        <f ca="1">IFERROR(INDEX(AA:AA,MATCH(SMALL($AU:$AU,ROW()+3),$AU:$AU,0)),"")</f>
        <v/>
      </c>
      <c r="AO64" s="49" t="str">
        <f ca="1">IFERROR(INDEX(AB:AB,MATCH(SMALL($AU:$AU,ROW()+3),$AU:$AU,0)),"")</f>
        <v/>
      </c>
      <c r="AP64" s="49" t="str">
        <f ca="1">IFERROR(INDEX(AC:AC,MATCH(SMALL($AU:$AU,ROW()+3),$AU:$AU,0)),"")</f>
        <v/>
      </c>
      <c r="AU64" s="49" t="str">
        <f t="shared" ca="1" si="6"/>
        <v/>
      </c>
    </row>
    <row r="65" spans="1:47" ht="18" customHeight="1">
      <c r="A65" s="108">
        <f t="shared" si="7"/>
        <v>135</v>
      </c>
      <c r="B65" s="50" t="str">
        <f t="shared" si="8"/>
        <v/>
      </c>
      <c r="C65" s="50" t="str">
        <f>IF(OR(クライアント抽出!B65&lt;&gt;"",クライアント抽出!E65&lt;&gt;""),クライアント抽出!A65,"")</f>
        <v/>
      </c>
      <c r="D65" s="50" t="str">
        <f t="array" aca="1" ref="D65" ca="1">IF(C65&lt;&gt;"",INDIRECT("クライアント抽出!"&amp;E65&amp;MATCH(C65,クライアント抽出!A:A,0)&amp;""),"")</f>
        <v/>
      </c>
      <c r="E65" s="50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51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50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06" t="str">
        <f>IF(C65&lt;&gt;"",
クライアント抽出!B65,"")</f>
        <v/>
      </c>
      <c r="I65" s="50" t="str">
        <f t="array" aca="1" ref="I65" ca="1">IF(C65&lt;&gt;"",
IF(O65=1,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INDIRECT("数出表_Excel!"&amp;INDEX(_xlfn.UNIQUE(_xlfn._xlws.FILTER(クライアント抽出!P65:U65,COUNTIF(クライアント抽出!P65:U65,クライアント抽出!P65:U65)&gt;1)),1)&amp;L65&amp;""),0),クライアント抽出!E65),"")</f>
        <v/>
      </c>
      <c r="J65" s="50" t="str">
        <f>IF(C65&lt;&gt;"",
VLOOKUP(
"*"&amp;LEFT(IF(COUNTIF(D65,"*学食*"),"キャラ弁（学食）",
IF(COUNTIF(D65,"*赤*"),"赤",
IF(COUNTIF(D65,"*キャラ弁当*"),"キャラ弁当",D65))),4)&amp;"*",注文弁当の抽出!$E$1:$F$15,2,FALSE),"")</f>
        <v/>
      </c>
      <c r="K65" s="50" t="str">
        <f ca="1">IF(クライアント抽出!P65&lt;&gt;"",SUBSTITUTE(ADDRESS(1,(CODE(クライアント抽出!P65)-64)*2-1,4),"1",""),"")</f>
        <v/>
      </c>
      <c r="L65" s="50" t="str">
        <f>IF(C65&lt;&gt;"",クライアント抽出!I65,"")</f>
        <v/>
      </c>
      <c r="M65" s="50">
        <f t="array" aca="1" ref="M65" ca="1">IF(C65&lt;&gt;"",
IF(K65&lt;&gt;"",INDIRECT("'数出表_Excel（アレルギー入力）'!"&amp;K65&amp;L65-1&amp;""),),)</f>
        <v>0</v>
      </c>
      <c r="N65" s="50" t="str">
        <f>IF(C65&lt;&gt;"",IF(OR(COUNTIF('盛付札（関数）'!D65,"*赤*"),COUNTIF('盛付札（関数）'!D65,"*キャラ*")),1,
VLOOKUP("*"&amp;D65&amp;"*",商品マスタ一覧!D:H,5,FALSE)),"")</f>
        <v/>
      </c>
      <c r="O65" s="50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50">
        <f t="shared" ref="P65:P128" si="9">IF(COUNTIF(Q65,"TRUE"),
IF(OR(COUNTIF(B65,"*'*"),H65=0),0,ROW()),0)</f>
        <v>0</v>
      </c>
      <c r="Q65" s="50" t="b">
        <f t="shared" ref="Q65:Q128" si="10">IF(C65&lt;&gt;"",
IF(OR(N65=1,COUNTIF(D65,"*朝食*"),COUNTIF(D65,"*夕食*")),TRUE,FALSE),FALSE)</f>
        <v>0</v>
      </c>
      <c r="R65" s="49" t="str">
        <f t="array" aca="1" ref="R65" ca="1">IFERROR(SMALL(IF(P$1:P$311&lt;&gt;0,P$1:P$311),ROW(A65)),"")</f>
        <v/>
      </c>
      <c r="S65" s="49" t="str">
        <f t="array" aca="1" ref="S65" ca="1">IF($R65&lt;&gt;"",
SUBSTITUTE(SUBSTITUTE(INDIRECT("C"&amp;$R65&amp;"")," 週3ｺｰｽ","")," 週5ｺｰｽ",""),"")</f>
        <v/>
      </c>
      <c r="T65" s="49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22" t="str">
        <f t="array" aca="1" ref="U65" ca="1">IF($R65&lt;&gt;"",
INDIRECT("F"&amp;$R65&amp;""),"")</f>
        <v/>
      </c>
      <c r="V65" s="49" t="str">
        <f t="array" aca="1" ref="V65" ca="1">IF($R65&lt;&gt;"",
INDIRECT("G"&amp;$R65&amp;""),"")</f>
        <v/>
      </c>
      <c r="W65" s="49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IF(OR(COUNTIF(INDIRECT("B"&amp;R65&amp;""),"*雙葉先生*"),COUNTIF(INDIRECT("B"&amp;R65-1&amp;""),"*雙葉*")),INDIRECT("H"&amp;R65&amp;""),INDIRECT("H"&amp;R65&amp;"")+INDIRECT("H"&amp;MATCH("雙葉'",INDIRECT("B"&amp;R65+3&amp;":B210"),0)+2+R65&amp;"")),
IF(AND(LEFT(INDIRECT("B"&amp;R65&amp;""),2)="博多",COUNTIF(B:B,"*博多*")&gt;=2),
INDIRECT("H"&amp;R65&amp;"")+INDIRECT("H"&amp;MATCH("*"&amp;INDIRECT("B"&amp;R65&amp;"")&amp;"*",INDIRECT("B"&amp;R65+1&amp;":B210"),0)+R65&amp;""),
IF(AND(LEFT(INDIRECT("B"&amp;R65&amp;""),3)="奈良屋",COUNTIF(B:B,"*奈良屋*")&gt;=2),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49" t="str">
        <f t="array" aca="1" ref="X65" ca="1">IF($R65&lt;&gt;"",
INDIRECT(""&amp;IF(COLUMN(I65)&lt;=26,CHAR(COLUMN(I65)+64),CHAR(INT((COLUMN(I65)-1)/26)+64)&amp;CHAR(MOD(COLUMN(I65)-1,26)+65))&amp;$R65&amp;""),"")</f>
        <v/>
      </c>
      <c r="Y65" s="49" t="str">
        <f t="array" aca="1" ref="Y65" ca="1">IF($R65&lt;&gt;"",
INDIRECT(""&amp;IF(COLUMN(J65)&lt;=26,CHAR(COLUMN(J65)+64),CHAR(INT((COLUMN(J65)-1)/26)+64)&amp;CHAR(MOD(COLUMN(J65)-1,26)+65))&amp;$R65&amp;""),"")</f>
        <v/>
      </c>
      <c r="Z65" s="49" t="str">
        <f t="shared" ref="Z65:Z128" ca="1" si="11">IF(R65&lt;&gt;"",
IFERROR(INT(W65/Y65),""),"")</f>
        <v/>
      </c>
      <c r="AA65" s="49" t="str">
        <f t="shared" ref="AA65:AA128" ca="1" si="12">IFERROR(MOD(W65,Y65),"")</f>
        <v/>
      </c>
      <c r="AB65" s="49" t="str">
        <f t="array" aca="1" ref="AB65" ca="1">IF($R65&lt;&gt;"",
IF(AND(COUNTIF(INDIRECT("B"&amp;R65&amp;""),"*雙葉*"),COUNTIF(B:B,"*雙葉*")&gt;=2),
INDIRECT("M"&amp;R65&amp;"")+INDIRECT("M"&amp;MATCH("雙葉'",INDIRECT("B"&amp;R65+1&amp;":B210"),0)+R65&amp;""),
IF(AND(LEFT(INDIRECT("B"&amp;R65&amp;""),2)="博多",COUNTIF(B:B,"*博多*")&gt;=2),
INDIRECT("M"&amp;R65&amp;"")+INDIRECT("M"&amp;MATCH("*"&amp;INDIRECT("B"&amp;R65&amp;"")&amp;"*",INDIRECT("B"&amp;R65+1&amp;":B210"),0)+R65&amp;""),
IF(AND(LEFT(INDIRECT("B"&amp;R65&amp;""),3)="奈良屋",COUNTIF(B:B,"*奈良屋*")&gt;=2),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  <c r="AC65" s="49" t="str">
        <f ca="1">IF(S65&lt;&gt;"",INDEX(A:A, MATCH("*"&amp;LEFT(S65,4)&amp;"*", C:C, 0)),"")</f>
        <v/>
      </c>
      <c r="AD65" s="49" t="str">
        <f ca="1">IFERROR(INDEX(AC:AC,MATCH(SMALL($AU:$AU,ROW()+3),$AU:$AU,0)),"")</f>
        <v/>
      </c>
      <c r="AE65" s="49" t="str">
        <f ca="1">IFERROR(INDEX(R:R,MATCH(SMALL($AU:$AU,ROW()+3),$AU:$AU,0)),"")</f>
        <v/>
      </c>
      <c r="AF65" s="49" t="str">
        <f ca="1">IFERROR(INDEX(S:S,MATCH(SMALL($AU:$AU,ROW()+3),$AU:$AU,0)),"")</f>
        <v/>
      </c>
      <c r="AG65" s="49" t="str">
        <f ca="1">IFERROR(INDEX(T:T,MATCH(SMALL($AU:$AU,ROW()+3),$AU:$AU,0)),"")</f>
        <v/>
      </c>
      <c r="AH65" s="122" t="str">
        <f ca="1">IFERROR(INDEX(U:U,MATCH(SMALL($AU:$AU,ROW()+3),$AU:$AU,0)),"")</f>
        <v/>
      </c>
      <c r="AI65" s="49" t="str">
        <f ca="1">IFERROR(INDEX(V:V,MATCH(SMALL($AU:$AU,ROW()+3),$AU:$AU,0)),"")</f>
        <v/>
      </c>
      <c r="AJ65" s="49" t="str">
        <f ca="1">IFERROR(INDEX(W:W,MATCH(SMALL($AU:$AU,ROW()+3),$AU:$AU,0)),"")</f>
        <v/>
      </c>
      <c r="AK65" s="49" t="str">
        <f ca="1">IFERROR(INDEX(X:X,MATCH(SMALL($AU:$AU,ROW()+3),$AU:$AU,0)),"")</f>
        <v/>
      </c>
      <c r="AL65" s="49" t="str">
        <f ca="1">IFERROR(INDEX(Y:Y,MATCH(SMALL($AU:$AU,ROW()+3),$AU:$AU,0)),"")</f>
        <v/>
      </c>
      <c r="AM65" s="49" t="str">
        <f ca="1">IFERROR(INDEX(Z:Z,MATCH(SMALL($AU:$AU,ROW()+3),$AU:$AU,0)),"")</f>
        <v/>
      </c>
      <c r="AN65" s="49" t="str">
        <f ca="1">IFERROR(INDEX(AA:AA,MATCH(SMALL($AU:$AU,ROW()+3),$AU:$AU,0)),"")</f>
        <v/>
      </c>
      <c r="AO65" s="49" t="str">
        <f ca="1">IFERROR(INDEX(AB:AB,MATCH(SMALL($AU:$AU,ROW()+3),$AU:$AU,0)),"")</f>
        <v/>
      </c>
      <c r="AP65" s="49" t="str">
        <f ca="1">IFERROR(INDEX(AC:AC,MATCH(SMALL($AU:$AU,ROW()+3),$AU:$AU,0)),"")</f>
        <v/>
      </c>
      <c r="AU65" s="49" t="str">
        <f t="shared" ca="1" si="6"/>
        <v/>
      </c>
    </row>
    <row r="66" spans="1:47" ht="22.2" customHeight="1">
      <c r="A66" s="108">
        <f t="shared" si="7"/>
        <v>137</v>
      </c>
      <c r="B66" s="50" t="str">
        <f t="shared" ref="B66:B70" si="13">IF(COUNTIF(C66,"*雙葉*"),
IF(COUNTIF(C66,"*先生*"),"雙葉先生","雙葉"),
IF(COUNTIF(C66,"*社食*"),"社食'",
IF(LEFT(C66,2)="博多",
IF(IFERROR(TRIM(LEFT(C65,FIND("幼",C65)-1)),TRIM(C65))=IFERROR(TRIM(LEFT(C66,FIND("幼",C66)-1)),TRIM(C66)),
IFERROR(TRIM(LEFT(C66,FIND("幼",C66)-1)),TRIM(C66))&amp;"'",IFERROR(TRIM(LEFT(C66,FIND("幼",C66)-1)),TRIM(C66))),
IF(LEFT(C66,3)="奈良屋",
IF(TRIM(LEFT(C65,FIND("幼",C65)-1))=TRIM(LEFT(C66,FIND("幼",C66)-1)),
"奈良屋'","奈良屋"),""))))</f>
        <v/>
      </c>
      <c r="C66" s="50" t="str">
        <f>IF(OR(クライアント抽出!B66&lt;&gt;"",クライアント抽出!E66&lt;&gt;""),クライアント抽出!A66,"")</f>
        <v/>
      </c>
      <c r="D66" s="50" t="str">
        <f t="array" aca="1" ref="D66" ca="1">IF(C66&lt;&gt;"",INDIRECT("クライアント抽出!"&amp;E66&amp;MATCH(C66,クライアント抽出!A:A,0)&amp;""),"")</f>
        <v/>
      </c>
      <c r="E66" s="50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51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50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06" t="str">
        <f>IF(C66&lt;&gt;"",
クライアント抽出!B66,"")</f>
        <v/>
      </c>
      <c r="I66" s="50" t="str">
        <f t="array" aca="1" ref="I66" ca="1">IF(C66&lt;&gt;"",
IF(O66=1,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INDIRECT("数出表_Excel!"&amp;INDEX(_xlfn.UNIQUE(_xlfn._xlws.FILTER(クライアント抽出!P66:U66,COUNTIF(クライアント抽出!P66:U66,クライアント抽出!P66:U66)&gt;1)),1)&amp;L66&amp;""),0),クライアント抽出!E66),"")</f>
        <v/>
      </c>
      <c r="J66" s="50" t="str">
        <f>IF(C66&lt;&gt;"",
VLOOKUP(
"*"&amp;LEFT(IF(COUNTIF(D66,"*学食*"),"キャラ弁（学食）",
IF(COUNTIF(D66,"*赤*"),"赤",
IF(COUNTIF(D66,"*キャラ弁当*"),"キャラ弁当",D66))),4)&amp;"*",注文弁当の抽出!$E$1:$F$15,2,FALSE),"")</f>
        <v/>
      </c>
      <c r="K66" s="50" t="str">
        <f ca="1">IF(クライアント抽出!P66&lt;&gt;"",SUBSTITUTE(ADDRESS(1,(CODE(クライアント抽出!P66)-64)*2-1,4),"1",""),"")</f>
        <v/>
      </c>
      <c r="L66" s="50" t="str">
        <f>IF(C66&lt;&gt;"",クライアント抽出!I66,"")</f>
        <v/>
      </c>
      <c r="M66" s="50">
        <f t="array" aca="1" ref="M66" ca="1">IF(C66&lt;&gt;"",
IF(K66&lt;&gt;"",INDIRECT("'数出表_Excel（アレルギー入力）'!"&amp;K66&amp;L66-1&amp;""),),)</f>
        <v>0</v>
      </c>
      <c r="N66" s="50" t="str">
        <f>IF(C66&lt;&gt;"",IF(OR(COUNTIF('盛付札（関数）'!D66,"*赤*"),COUNTIF('盛付札（関数）'!D66,"*キャラ*")),1,
VLOOKUP("*"&amp;D66&amp;"*",商品マスタ一覧!D:H,5,FALSE)),"")</f>
        <v/>
      </c>
      <c r="O66" s="50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50">
        <f t="shared" si="9"/>
        <v>0</v>
      </c>
      <c r="Q66" s="50" t="b">
        <f t="shared" si="10"/>
        <v>0</v>
      </c>
      <c r="R66" s="49" t="str">
        <f t="array" aca="1" ref="R66" ca="1">IFERROR(SMALL(IF(P$1:P$311&lt;&gt;0,P$1:P$311),ROW(A66)),"")</f>
        <v/>
      </c>
      <c r="S66" s="49" t="str">
        <f t="array" aca="1" ref="S66" ca="1">IF($R66&lt;&gt;"",
SUBSTITUTE(SUBSTITUTE(INDIRECT("C"&amp;$R66&amp;"")," 週3ｺｰｽ","")," 週5ｺｰｽ",""),"")</f>
        <v/>
      </c>
      <c r="T66" s="49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22" t="str">
        <f t="array" aca="1" ref="U66" ca="1">IF($R66&lt;&gt;"",
INDIRECT("F"&amp;$R66&amp;""),"")</f>
        <v/>
      </c>
      <c r="V66" s="49" t="str">
        <f t="array" aca="1" ref="V66" ca="1">IF($R66&lt;&gt;"",
INDIRECT("G"&amp;$R66&amp;""),"")</f>
        <v/>
      </c>
      <c r="W66" s="49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IF(OR(COUNTIF(INDIRECT("B"&amp;R66&amp;""),"*雙葉先生*"),COUNTIF(INDIRECT("B"&amp;R66-1&amp;""),"*雙葉*")),INDIRECT("H"&amp;R66&amp;""),INDIRECT("H"&amp;R66&amp;"")+INDIRECT("H"&amp;MATCH("雙葉'",INDIRECT("B"&amp;R66+3&amp;":B210"),0)+2+R66&amp;"")),
IF(AND(LEFT(INDIRECT("B"&amp;R66&amp;""),2)="博多",COUNTIF(B:B,"*博多*")&gt;=2),
INDIRECT("H"&amp;R66&amp;"")+INDIRECT("H"&amp;MATCH("*"&amp;INDIRECT("B"&amp;R66&amp;"")&amp;"*",INDIRECT("B"&amp;R66+1&amp;":B210"),0)+R66&amp;""),
IF(AND(LEFT(INDIRECT("B"&amp;R66&amp;""),3)="奈良屋",COUNTIF(B:B,"*奈良屋*")&gt;=2),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49" t="str">
        <f t="array" aca="1" ref="X66" ca="1">IF($R66&lt;&gt;"",
INDIRECT(""&amp;IF(COLUMN(I66)&lt;=26,CHAR(COLUMN(I66)+64),CHAR(INT((COLUMN(I66)-1)/26)+64)&amp;CHAR(MOD(COLUMN(I66)-1,26)+65))&amp;$R66&amp;""),"")</f>
        <v/>
      </c>
      <c r="Y66" s="49" t="str">
        <f t="array" aca="1" ref="Y66" ca="1">IF($R66&lt;&gt;"",
INDIRECT(""&amp;IF(COLUMN(J66)&lt;=26,CHAR(COLUMN(J66)+64),CHAR(INT((COLUMN(J66)-1)/26)+64)&amp;CHAR(MOD(COLUMN(J66)-1,26)+65))&amp;$R66&amp;""),"")</f>
        <v/>
      </c>
      <c r="Z66" s="49" t="str">
        <f t="shared" ca="1" si="11"/>
        <v/>
      </c>
      <c r="AA66" s="49" t="str">
        <f t="shared" ca="1" si="12"/>
        <v/>
      </c>
      <c r="AB66" s="49" t="str">
        <f t="array" aca="1" ref="AB66" ca="1">IF($R66&lt;&gt;"",
IF(AND(COUNTIF(INDIRECT("B"&amp;R66&amp;""),"*雙葉*"),COUNTIF(B:B,"*雙葉*")&gt;=2),
INDIRECT("M"&amp;R66&amp;"")+INDIRECT("M"&amp;MATCH("雙葉'",INDIRECT("B"&amp;R66+1&amp;":B210"),0)+R66&amp;""),
IF(AND(LEFT(INDIRECT("B"&amp;R66&amp;""),2)="博多",COUNTIF(B:B,"*博多*")&gt;=2),
INDIRECT("M"&amp;R66&amp;"")+INDIRECT("M"&amp;MATCH("*"&amp;INDIRECT("B"&amp;R66&amp;"")&amp;"*",INDIRECT("B"&amp;R66+1&amp;":B210"),0)+R66&amp;""),
IF(AND(LEFT(INDIRECT("B"&amp;R66&amp;""),3)="奈良屋",COUNTIF(B:B,"*奈良屋*")&gt;=2),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  <c r="AC66" s="49" t="str">
        <f ca="1">IF(S66&lt;&gt;"",INDEX(A:A, MATCH("*"&amp;LEFT(S66,4)&amp;"*", C:C, 0)),"")</f>
        <v/>
      </c>
      <c r="AD66" s="49" t="str">
        <f ca="1">IFERROR(INDEX(AC:AC,MATCH(SMALL($AU:$AU,ROW()+3),$AU:$AU,0)),"")</f>
        <v/>
      </c>
      <c r="AE66" s="49" t="str">
        <f ca="1">IFERROR(INDEX(R:R,MATCH(SMALL($AU:$AU,ROW()+3),$AU:$AU,0)),"")</f>
        <v/>
      </c>
      <c r="AF66" s="49" t="str">
        <f ca="1">IFERROR(INDEX(S:S,MATCH(SMALL($AU:$AU,ROW()+3),$AU:$AU,0)),"")</f>
        <v/>
      </c>
      <c r="AG66" s="49" t="str">
        <f ca="1">IFERROR(INDEX(T:T,MATCH(SMALL($AU:$AU,ROW()+3),$AU:$AU,0)),"")</f>
        <v/>
      </c>
      <c r="AH66" s="122" t="str">
        <f ca="1">IFERROR(INDEX(U:U,MATCH(SMALL($AU:$AU,ROW()+3),$AU:$AU,0)),"")</f>
        <v/>
      </c>
      <c r="AI66" s="49" t="str">
        <f ca="1">IFERROR(INDEX(V:V,MATCH(SMALL($AU:$AU,ROW()+3),$AU:$AU,0)),"")</f>
        <v/>
      </c>
      <c r="AJ66" s="49" t="str">
        <f ca="1">IFERROR(INDEX(W:W,MATCH(SMALL($AU:$AU,ROW()+3),$AU:$AU,0)),"")</f>
        <v/>
      </c>
      <c r="AK66" s="49" t="str">
        <f ca="1">IFERROR(INDEX(X:X,MATCH(SMALL($AU:$AU,ROW()+3),$AU:$AU,0)),"")</f>
        <v/>
      </c>
      <c r="AL66" s="49" t="str">
        <f ca="1">IFERROR(INDEX(Y:Y,MATCH(SMALL($AU:$AU,ROW()+3),$AU:$AU,0)),"")</f>
        <v/>
      </c>
      <c r="AM66" s="49" t="str">
        <f ca="1">IFERROR(INDEX(Z:Z,MATCH(SMALL($AU:$AU,ROW()+3),$AU:$AU,0)),"")</f>
        <v/>
      </c>
      <c r="AN66" s="49" t="str">
        <f ca="1">IFERROR(INDEX(AA:AA,MATCH(SMALL($AU:$AU,ROW()+3),$AU:$AU,0)),"")</f>
        <v/>
      </c>
      <c r="AO66" s="49" t="str">
        <f ca="1">IFERROR(INDEX(AB:AB,MATCH(SMALL($AU:$AU,ROW()+3),$AU:$AU,0)),"")</f>
        <v/>
      </c>
      <c r="AP66" s="49" t="str">
        <f ca="1">IFERROR(INDEX(AC:AC,MATCH(SMALL($AU:$AU,ROW()+3),$AU:$AU,0)),"")</f>
        <v/>
      </c>
      <c r="AU66" s="49" t="str">
        <f t="shared" ref="AU66:AU129" ca="1" si="14">IFERROR(IF(R66&gt;=219, 1000000+R66, AC66*1000+R66),"")</f>
        <v/>
      </c>
    </row>
    <row r="67" spans="1:47" ht="18" customHeight="1">
      <c r="A67" s="108">
        <f t="shared" si="7"/>
        <v>139</v>
      </c>
      <c r="B67" s="50" t="str">
        <f t="shared" si="13"/>
        <v/>
      </c>
      <c r="C67" s="50" t="str">
        <f>IF(OR(クライアント抽出!B67&lt;&gt;"",クライアント抽出!E67&lt;&gt;""),クライアント抽出!A67,"")</f>
        <v/>
      </c>
      <c r="D67" s="50" t="str">
        <f t="array" aca="1" ref="D67" ca="1">IF(C67&lt;&gt;"",INDIRECT("クライアント抽出!"&amp;E67&amp;MATCH(C67,クライアント抽出!A:A,0)&amp;""),"")</f>
        <v/>
      </c>
      <c r="E67" s="50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51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50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06" t="str">
        <f>IF(C67&lt;&gt;"",
クライアント抽出!B67,"")</f>
        <v/>
      </c>
      <c r="I67" s="50" t="str">
        <f t="array" aca="1" ref="I67" ca="1">IF(C67&lt;&gt;"",
IF(O67=1,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INDIRECT("数出表_Excel!"&amp;INDEX(_xlfn.UNIQUE(_xlfn._xlws.FILTER(クライアント抽出!P67:U67,COUNTIF(クライアント抽出!P67:U67,クライアント抽出!P67:U67)&gt;1)),1)&amp;L67&amp;""),0),クライアント抽出!E67),"")</f>
        <v/>
      </c>
      <c r="J67" s="50" t="str">
        <f>IF(C67&lt;&gt;"",
VLOOKUP(
"*"&amp;LEFT(IF(COUNTIF(D67,"*学食*"),"キャラ弁（学食）",
IF(COUNTIF(D67,"*赤*"),"赤",
IF(COUNTIF(D67,"*キャラ弁当*"),"キャラ弁当",D67))),4)&amp;"*",注文弁当の抽出!$E$1:$F$15,2,FALSE),"")</f>
        <v/>
      </c>
      <c r="K67" s="50" t="str">
        <f ca="1">IF(クライアント抽出!P67&lt;&gt;"",SUBSTITUTE(ADDRESS(1,(CODE(クライアント抽出!P67)-64)*2-1,4),"1",""),"")</f>
        <v/>
      </c>
      <c r="L67" s="50" t="str">
        <f>IF(C67&lt;&gt;"",クライアント抽出!I67,"")</f>
        <v/>
      </c>
      <c r="M67" s="50">
        <f t="array" aca="1" ref="M67" ca="1">IF(C67&lt;&gt;"",
IF(K67&lt;&gt;"",INDIRECT("'数出表_Excel（アレルギー入力）'!"&amp;K67&amp;L67-1&amp;""),),)</f>
        <v>0</v>
      </c>
      <c r="N67" s="50" t="str">
        <f>IF(C67&lt;&gt;"",IF(OR(COUNTIF('盛付札（関数）'!D67,"*赤*"),COUNTIF('盛付札（関数）'!D67,"*キャラ*")),1,
VLOOKUP("*"&amp;D67&amp;"*",商品マスタ一覧!D:H,5,FALSE)),"")</f>
        <v/>
      </c>
      <c r="O67" s="50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50">
        <f t="shared" si="9"/>
        <v>0</v>
      </c>
      <c r="Q67" s="50" t="b">
        <f t="shared" si="10"/>
        <v>0</v>
      </c>
      <c r="R67" s="49" t="str">
        <f t="array" aca="1" ref="R67" ca="1">IFERROR(SMALL(IF(P$1:P$311&lt;&gt;0,P$1:P$311),ROW(A67)),"")</f>
        <v/>
      </c>
      <c r="S67" s="49" t="str">
        <f t="array" aca="1" ref="S67" ca="1">IF($R67&lt;&gt;"",
SUBSTITUTE(SUBSTITUTE(INDIRECT("C"&amp;$R67&amp;"")," 週3ｺｰｽ","")," 週5ｺｰｽ",""),"")</f>
        <v/>
      </c>
      <c r="T67" s="49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22" t="str">
        <f t="array" aca="1" ref="U67" ca="1">IF($R67&lt;&gt;"",
INDIRECT("F"&amp;$R67&amp;""),"")</f>
        <v/>
      </c>
      <c r="V67" s="49" t="str">
        <f t="array" aca="1" ref="V67" ca="1">IF($R67&lt;&gt;"",
INDIRECT("G"&amp;$R67&amp;""),"")</f>
        <v/>
      </c>
      <c r="W67" s="49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IF(OR(COUNTIF(INDIRECT("B"&amp;R67&amp;""),"*雙葉先生*"),COUNTIF(INDIRECT("B"&amp;R67-1&amp;""),"*雙葉*")),INDIRECT("H"&amp;R67&amp;""),INDIRECT("H"&amp;R67&amp;"")+INDIRECT("H"&amp;MATCH("雙葉'",INDIRECT("B"&amp;R67+3&amp;":B210"),0)+2+R67&amp;"")),
IF(AND(LEFT(INDIRECT("B"&amp;R67&amp;""),2)="博多",COUNTIF(B:B,"*博多*")&gt;=2),
INDIRECT("H"&amp;R67&amp;"")+INDIRECT("H"&amp;MATCH("*"&amp;INDIRECT("B"&amp;R67&amp;"")&amp;"*",INDIRECT("B"&amp;R67+1&amp;":B210"),0)+R67&amp;""),
IF(AND(LEFT(INDIRECT("B"&amp;R67&amp;""),3)="奈良屋",COUNTIF(B:B,"*奈良屋*")&gt;=2),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49" t="str">
        <f t="array" aca="1" ref="X67" ca="1">IF($R67&lt;&gt;"",
INDIRECT(""&amp;IF(COLUMN(I67)&lt;=26,CHAR(COLUMN(I67)+64),CHAR(INT((COLUMN(I67)-1)/26)+64)&amp;CHAR(MOD(COLUMN(I67)-1,26)+65))&amp;$R67&amp;""),"")</f>
        <v/>
      </c>
      <c r="Y67" s="49" t="str">
        <f t="array" aca="1" ref="Y67" ca="1">IF($R67&lt;&gt;"",
INDIRECT(""&amp;IF(COLUMN(J67)&lt;=26,CHAR(COLUMN(J67)+64),CHAR(INT((COLUMN(J67)-1)/26)+64)&amp;CHAR(MOD(COLUMN(J67)-1,26)+65))&amp;$R67&amp;""),"")</f>
        <v/>
      </c>
      <c r="Z67" s="49" t="str">
        <f t="shared" ca="1" si="11"/>
        <v/>
      </c>
      <c r="AA67" s="49" t="str">
        <f t="shared" ca="1" si="12"/>
        <v/>
      </c>
      <c r="AB67" s="49" t="str">
        <f t="array" aca="1" ref="AB67" ca="1">IF($R67&lt;&gt;"",
IF(AND(COUNTIF(INDIRECT("B"&amp;R67&amp;""),"*雙葉*"),COUNTIF(B:B,"*雙葉*")&gt;=2),
INDIRECT("M"&amp;R67&amp;"")+INDIRECT("M"&amp;MATCH("雙葉'",INDIRECT("B"&amp;R67+1&amp;":B210"),0)+R67&amp;""),
IF(AND(LEFT(INDIRECT("B"&amp;R67&amp;""),2)="博多",COUNTIF(B:B,"*博多*")&gt;=2),
INDIRECT("M"&amp;R67&amp;"")+INDIRECT("M"&amp;MATCH("*"&amp;INDIRECT("B"&amp;R67&amp;"")&amp;"*",INDIRECT("B"&amp;R67+1&amp;":B210"),0)+R67&amp;""),
IF(AND(LEFT(INDIRECT("B"&amp;R67&amp;""),3)="奈良屋",COUNTIF(B:B,"*奈良屋*")&gt;=2),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  <c r="AC67" s="49" t="str">
        <f ca="1">IF(S67&lt;&gt;"",INDEX(A:A, MATCH("*"&amp;LEFT(S67,4)&amp;"*", C:C, 0)),"")</f>
        <v/>
      </c>
      <c r="AD67" s="49" t="str">
        <f ca="1">IFERROR(INDEX(AC:AC,MATCH(SMALL($AU:$AU,ROW()+3),$AU:$AU,0)),"")</f>
        <v/>
      </c>
      <c r="AE67" s="49" t="str">
        <f ca="1">IFERROR(INDEX(R:R,MATCH(SMALL($AU:$AU,ROW()+3),$AU:$AU,0)),"")</f>
        <v/>
      </c>
      <c r="AF67" s="49" t="str">
        <f ca="1">IFERROR(INDEX(S:S,MATCH(SMALL($AU:$AU,ROW()+3),$AU:$AU,0)),"")</f>
        <v/>
      </c>
      <c r="AG67" s="49" t="str">
        <f ca="1">IFERROR(INDEX(T:T,MATCH(SMALL($AU:$AU,ROW()+3),$AU:$AU,0)),"")</f>
        <v/>
      </c>
      <c r="AH67" s="122" t="str">
        <f ca="1">IFERROR(INDEX(U:U,MATCH(SMALL($AU:$AU,ROW()+3),$AU:$AU,0)),"")</f>
        <v/>
      </c>
      <c r="AI67" s="49" t="str">
        <f ca="1">IFERROR(INDEX(V:V,MATCH(SMALL($AU:$AU,ROW()+3),$AU:$AU,0)),"")</f>
        <v/>
      </c>
      <c r="AJ67" s="49" t="str">
        <f ca="1">IFERROR(INDEX(W:W,MATCH(SMALL($AU:$AU,ROW()+3),$AU:$AU,0)),"")</f>
        <v/>
      </c>
      <c r="AK67" s="49" t="str">
        <f ca="1">IFERROR(INDEX(X:X,MATCH(SMALL($AU:$AU,ROW()+3),$AU:$AU,0)),"")</f>
        <v/>
      </c>
      <c r="AL67" s="49" t="str">
        <f ca="1">IFERROR(INDEX(Y:Y,MATCH(SMALL($AU:$AU,ROW()+3),$AU:$AU,0)),"")</f>
        <v/>
      </c>
      <c r="AM67" s="49" t="str">
        <f ca="1">IFERROR(INDEX(Z:Z,MATCH(SMALL($AU:$AU,ROW()+3),$AU:$AU,0)),"")</f>
        <v/>
      </c>
      <c r="AN67" s="49" t="str">
        <f ca="1">IFERROR(INDEX(AA:AA,MATCH(SMALL($AU:$AU,ROW()+3),$AU:$AU,0)),"")</f>
        <v/>
      </c>
      <c r="AO67" s="49" t="str">
        <f ca="1">IFERROR(INDEX(AB:AB,MATCH(SMALL($AU:$AU,ROW()+3),$AU:$AU,0)),"")</f>
        <v/>
      </c>
      <c r="AP67" s="49" t="str">
        <f ca="1">IFERROR(INDEX(AC:AC,MATCH(SMALL($AU:$AU,ROW()+3),$AU:$AU,0)),"")</f>
        <v/>
      </c>
      <c r="AU67" s="49" t="str">
        <f t="shared" ca="1" si="14"/>
        <v/>
      </c>
    </row>
    <row r="68" spans="1:47" ht="18" customHeight="1">
      <c r="A68" s="108">
        <f t="shared" si="7"/>
        <v>141</v>
      </c>
      <c r="B68" s="50" t="str">
        <f t="shared" si="13"/>
        <v/>
      </c>
      <c r="C68" s="50" t="str">
        <f>IF(OR(クライアント抽出!B68&lt;&gt;"",クライアント抽出!E68&lt;&gt;""),クライアント抽出!A68,"")</f>
        <v/>
      </c>
      <c r="D68" s="50" t="str">
        <f t="array" aca="1" ref="D68" ca="1">IF(C68&lt;&gt;"",INDIRECT("クライアント抽出!"&amp;E68&amp;MATCH(C68,クライアント抽出!A:A,0)&amp;""),"")</f>
        <v/>
      </c>
      <c r="E68" s="50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51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50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06" t="str">
        <f>IF(C68&lt;&gt;"",
クライアント抽出!B68,"")</f>
        <v/>
      </c>
      <c r="I68" s="50" t="str">
        <f t="array" aca="1" ref="I68" ca="1">IF(C68&lt;&gt;"",
IF(O68=1,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INDIRECT("数出表_Excel!"&amp;INDEX(_xlfn.UNIQUE(_xlfn._xlws.FILTER(クライアント抽出!P68:U68,COUNTIF(クライアント抽出!P68:U68,クライアント抽出!P68:U68)&gt;1)),1)&amp;L68&amp;""),0),クライアント抽出!E68),"")</f>
        <v/>
      </c>
      <c r="J68" s="50" t="str">
        <f>IF(C68&lt;&gt;"",
VLOOKUP(
"*"&amp;LEFT(IF(COUNTIF(D68,"*学食*"),"キャラ弁（学食）",
IF(COUNTIF(D68,"*赤*"),"赤",
IF(COUNTIF(D68,"*キャラ弁当*"),"キャラ弁当",D68))),4)&amp;"*",注文弁当の抽出!$E$1:$F$15,2,FALSE),"")</f>
        <v/>
      </c>
      <c r="K68" s="50" t="str">
        <f ca="1">IF(クライアント抽出!P68&lt;&gt;"",SUBSTITUTE(ADDRESS(1,(CODE(クライアント抽出!P68)-64)*2-1,4),"1",""),"")</f>
        <v/>
      </c>
      <c r="L68" s="50" t="str">
        <f>IF(C68&lt;&gt;"",クライアント抽出!I68,"")</f>
        <v/>
      </c>
      <c r="M68" s="50">
        <f t="array" aca="1" ref="M68" ca="1">IF(C68&lt;&gt;"",
IF(K68&lt;&gt;"",INDIRECT("'数出表_Excel（アレルギー入力）'!"&amp;K68&amp;L68-1&amp;""),),)</f>
        <v>0</v>
      </c>
      <c r="N68" s="50" t="str">
        <f>IF(C68&lt;&gt;"",IF(OR(COUNTIF('盛付札（関数）'!D68,"*赤*"),COUNTIF('盛付札（関数）'!D68,"*キャラ*")),1,
VLOOKUP("*"&amp;D68&amp;"*",商品マスタ一覧!D:H,5,FALSE)),"")</f>
        <v/>
      </c>
      <c r="O68" s="50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50">
        <f t="shared" si="9"/>
        <v>0</v>
      </c>
      <c r="Q68" s="50" t="b">
        <f t="shared" si="10"/>
        <v>0</v>
      </c>
      <c r="R68" s="49" t="str">
        <f t="array" aca="1" ref="R68" ca="1">IFERROR(SMALL(IF(P$1:P$311&lt;&gt;0,P$1:P$311),ROW(A68)),"")</f>
        <v/>
      </c>
      <c r="S68" s="49" t="str">
        <f t="array" aca="1" ref="S68" ca="1">IF($R68&lt;&gt;"",
SUBSTITUTE(SUBSTITUTE(INDIRECT("C"&amp;$R68&amp;"")," 週3ｺｰｽ","")," 週5ｺｰｽ",""),"")</f>
        <v/>
      </c>
      <c r="T68" s="49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22" t="str">
        <f t="array" aca="1" ref="U68" ca="1">IF($R68&lt;&gt;"",
INDIRECT("F"&amp;$R68&amp;""),"")</f>
        <v/>
      </c>
      <c r="V68" s="49" t="str">
        <f t="array" aca="1" ref="V68" ca="1">IF($R68&lt;&gt;"",
INDIRECT("G"&amp;$R68&amp;""),"")</f>
        <v/>
      </c>
      <c r="W68" s="49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IF(OR(COUNTIF(INDIRECT("B"&amp;R68&amp;""),"*雙葉先生*"),COUNTIF(INDIRECT("B"&amp;R68-1&amp;""),"*雙葉*")),INDIRECT("H"&amp;R68&amp;""),INDIRECT("H"&amp;R68&amp;"")+INDIRECT("H"&amp;MATCH("雙葉'",INDIRECT("B"&amp;R68+3&amp;":B210"),0)+2+R68&amp;"")),
IF(AND(LEFT(INDIRECT("B"&amp;R68&amp;""),2)="博多",COUNTIF(B:B,"*博多*")&gt;=2),
INDIRECT("H"&amp;R68&amp;"")+INDIRECT("H"&amp;MATCH("*"&amp;INDIRECT("B"&amp;R68&amp;"")&amp;"*",INDIRECT("B"&amp;R68+1&amp;":B210"),0)+R68&amp;""),
IF(AND(LEFT(INDIRECT("B"&amp;R68&amp;""),3)="奈良屋",COUNTIF(B:B,"*奈良屋*")&gt;=2),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49" t="str">
        <f t="array" aca="1" ref="X68" ca="1">IF($R68&lt;&gt;"",
INDIRECT(""&amp;IF(COLUMN(I68)&lt;=26,CHAR(COLUMN(I68)+64),CHAR(INT((COLUMN(I68)-1)/26)+64)&amp;CHAR(MOD(COLUMN(I68)-1,26)+65))&amp;$R68&amp;""),"")</f>
        <v/>
      </c>
      <c r="Y68" s="49" t="str">
        <f t="array" aca="1" ref="Y68" ca="1">IF($R68&lt;&gt;"",
INDIRECT(""&amp;IF(COLUMN(J68)&lt;=26,CHAR(COLUMN(J68)+64),CHAR(INT((COLUMN(J68)-1)/26)+64)&amp;CHAR(MOD(COLUMN(J68)-1,26)+65))&amp;$R68&amp;""),"")</f>
        <v/>
      </c>
      <c r="Z68" s="49" t="str">
        <f t="shared" ca="1" si="11"/>
        <v/>
      </c>
      <c r="AA68" s="49" t="str">
        <f t="shared" ca="1" si="12"/>
        <v/>
      </c>
      <c r="AB68" s="49" t="str">
        <f t="array" aca="1" ref="AB68" ca="1">IF($R68&lt;&gt;"",
IF(AND(COUNTIF(INDIRECT("B"&amp;R68&amp;""),"*雙葉*"),COUNTIF(B:B,"*雙葉*")&gt;=2),
INDIRECT("M"&amp;R68&amp;"")+INDIRECT("M"&amp;MATCH("雙葉'",INDIRECT("B"&amp;R68+1&amp;":B210"),0)+R68&amp;""),
IF(AND(LEFT(INDIRECT("B"&amp;R68&amp;""),2)="博多",COUNTIF(B:B,"*博多*")&gt;=2),
INDIRECT("M"&amp;R68&amp;"")+INDIRECT("M"&amp;MATCH("*"&amp;INDIRECT("B"&amp;R68&amp;"")&amp;"*",INDIRECT("B"&amp;R68+1&amp;":B210"),0)+R68&amp;""),
IF(AND(LEFT(INDIRECT("B"&amp;R68&amp;""),3)="奈良屋",COUNTIF(B:B,"*奈良屋*")&gt;=2),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  <c r="AC68" s="49" t="str">
        <f ca="1">IF(S68&lt;&gt;"",INDEX(A:A, MATCH("*"&amp;LEFT(S68,4)&amp;"*", C:C, 0)),"")</f>
        <v/>
      </c>
      <c r="AD68" s="49" t="str">
        <f ca="1">IFERROR(INDEX(AC:AC,MATCH(SMALL($AU:$AU,ROW()+3),$AU:$AU,0)),"")</f>
        <v/>
      </c>
      <c r="AE68" s="49" t="str">
        <f ca="1">IFERROR(INDEX(R:R,MATCH(SMALL($AU:$AU,ROW()+3),$AU:$AU,0)),"")</f>
        <v/>
      </c>
      <c r="AF68" s="49" t="str">
        <f ca="1">IFERROR(INDEX(S:S,MATCH(SMALL($AU:$AU,ROW()+3),$AU:$AU,0)),"")</f>
        <v/>
      </c>
      <c r="AG68" s="49" t="str">
        <f ca="1">IFERROR(INDEX(T:T,MATCH(SMALL($AU:$AU,ROW()+3),$AU:$AU,0)),"")</f>
        <v/>
      </c>
      <c r="AH68" s="122" t="str">
        <f ca="1">IFERROR(INDEX(U:U,MATCH(SMALL($AU:$AU,ROW()+3),$AU:$AU,0)),"")</f>
        <v/>
      </c>
      <c r="AI68" s="49" t="str">
        <f ca="1">IFERROR(INDEX(V:V,MATCH(SMALL($AU:$AU,ROW()+3),$AU:$AU,0)),"")</f>
        <v/>
      </c>
      <c r="AJ68" s="49" t="str">
        <f ca="1">IFERROR(INDEX(W:W,MATCH(SMALL($AU:$AU,ROW()+3),$AU:$AU,0)),"")</f>
        <v/>
      </c>
      <c r="AK68" s="49" t="str">
        <f ca="1">IFERROR(INDEX(X:X,MATCH(SMALL($AU:$AU,ROW()+3),$AU:$AU,0)),"")</f>
        <v/>
      </c>
      <c r="AL68" s="49" t="str">
        <f ca="1">IFERROR(INDEX(Y:Y,MATCH(SMALL($AU:$AU,ROW()+3),$AU:$AU,0)),"")</f>
        <v/>
      </c>
      <c r="AM68" s="49" t="str">
        <f ca="1">IFERROR(INDEX(Z:Z,MATCH(SMALL($AU:$AU,ROW()+3),$AU:$AU,0)),"")</f>
        <v/>
      </c>
      <c r="AN68" s="49" t="str">
        <f ca="1">IFERROR(INDEX(AA:AA,MATCH(SMALL($AU:$AU,ROW()+3),$AU:$AU,0)),"")</f>
        <v/>
      </c>
      <c r="AO68" s="49" t="str">
        <f ca="1">IFERROR(INDEX(AB:AB,MATCH(SMALL($AU:$AU,ROW()+3),$AU:$AU,0)),"")</f>
        <v/>
      </c>
      <c r="AP68" s="49" t="str">
        <f ca="1">IFERROR(INDEX(AC:AC,MATCH(SMALL($AU:$AU,ROW()+3),$AU:$AU,0)),"")</f>
        <v/>
      </c>
      <c r="AU68" s="49" t="str">
        <f t="shared" ca="1" si="14"/>
        <v/>
      </c>
    </row>
    <row r="69" spans="1:47" ht="22.2" customHeight="1">
      <c r="A69" s="108">
        <f t="shared" si="7"/>
        <v>143</v>
      </c>
      <c r="B69" s="50" t="str">
        <f t="shared" si="13"/>
        <v/>
      </c>
      <c r="C69" s="50" t="str">
        <f>IF(OR(クライアント抽出!B69&lt;&gt;"",クライアント抽出!E69&lt;&gt;""),クライアント抽出!A69,"")</f>
        <v/>
      </c>
      <c r="D69" s="50" t="str">
        <f t="array" aca="1" ref="D69" ca="1">IF(C69&lt;&gt;"",INDIRECT("クライアント抽出!"&amp;E69&amp;MATCH(C69,クライアント抽出!A:A,0)&amp;""),"")</f>
        <v/>
      </c>
      <c r="E69" s="50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51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50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06" t="str">
        <f>IF(C69&lt;&gt;"",
クライアント抽出!B69,"")</f>
        <v/>
      </c>
      <c r="I69" s="50" t="str">
        <f t="array" aca="1" ref="I69" ca="1">IF(C69&lt;&gt;"",
IF(O69=1,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INDIRECT("数出表_Excel!"&amp;INDEX(_xlfn.UNIQUE(_xlfn._xlws.FILTER(クライアント抽出!P69:U69,COUNTIF(クライアント抽出!P69:U69,クライアント抽出!P69:U69)&gt;1)),1)&amp;L69&amp;""),0),クライアント抽出!E69),"")</f>
        <v/>
      </c>
      <c r="J69" s="50" t="str">
        <f>IF(C69&lt;&gt;"",
VLOOKUP(
"*"&amp;LEFT(IF(COUNTIF(D69,"*学食*"),"キャラ弁（学食）",
IF(COUNTIF(D69,"*赤*"),"赤",
IF(COUNTIF(D69,"*キャラ弁当*"),"キャラ弁当",D69))),4)&amp;"*",注文弁当の抽出!$E$1:$F$15,2,FALSE),"")</f>
        <v/>
      </c>
      <c r="K69" s="50" t="str">
        <f ca="1">IF(クライアント抽出!P69&lt;&gt;"",SUBSTITUTE(ADDRESS(1,(CODE(クライアント抽出!P69)-64)*2-1,4),"1",""),"")</f>
        <v/>
      </c>
      <c r="L69" s="50" t="str">
        <f>IF(C69&lt;&gt;"",クライアント抽出!I69,"")</f>
        <v/>
      </c>
      <c r="M69" s="50">
        <f t="array" aca="1" ref="M69" ca="1">IF(C69&lt;&gt;"",
IF(K69&lt;&gt;"",INDIRECT("'数出表_Excel（アレルギー入力）'!"&amp;K69&amp;L69-1&amp;""),),)</f>
        <v>0</v>
      </c>
      <c r="N69" s="50" t="str">
        <f>IF(C69&lt;&gt;"",IF(OR(COUNTIF('盛付札（関数）'!D69,"*赤*"),COUNTIF('盛付札（関数）'!D69,"*キャラ*")),1,
VLOOKUP("*"&amp;D69&amp;"*",商品マスタ一覧!D:H,5,FALSE)),"")</f>
        <v/>
      </c>
      <c r="O69" s="50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50">
        <f t="shared" si="9"/>
        <v>0</v>
      </c>
      <c r="Q69" s="50" t="b">
        <f t="shared" si="10"/>
        <v>0</v>
      </c>
      <c r="R69" s="49" t="str">
        <f t="array" aca="1" ref="R69" ca="1">IFERROR(SMALL(IF(P$1:P$311&lt;&gt;0,P$1:P$311),ROW(A69)),"")</f>
        <v/>
      </c>
      <c r="S69" s="49" t="str">
        <f t="array" aca="1" ref="S69" ca="1">IF($R69&lt;&gt;"",
SUBSTITUTE(SUBSTITUTE(INDIRECT("C"&amp;$R69&amp;"")," 週3ｺｰｽ","")," 週5ｺｰｽ",""),"")</f>
        <v/>
      </c>
      <c r="T69" s="49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22" t="str">
        <f t="array" aca="1" ref="U69" ca="1">IF($R69&lt;&gt;"",
INDIRECT("F"&amp;$R69&amp;""),"")</f>
        <v/>
      </c>
      <c r="V69" s="49" t="str">
        <f t="array" aca="1" ref="V69" ca="1">IF($R69&lt;&gt;"",
INDIRECT("G"&amp;$R69&amp;""),"")</f>
        <v/>
      </c>
      <c r="W69" s="49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IF(OR(COUNTIF(INDIRECT("B"&amp;R69&amp;""),"*雙葉先生*"),COUNTIF(INDIRECT("B"&amp;R69-1&amp;""),"*雙葉*")),INDIRECT("H"&amp;R69&amp;""),INDIRECT("H"&amp;R69&amp;"")+INDIRECT("H"&amp;MATCH("雙葉'",INDIRECT("B"&amp;R69+3&amp;":B210"),0)+2+R69&amp;"")),
IF(AND(LEFT(INDIRECT("B"&amp;R69&amp;""),2)="博多",COUNTIF(B:B,"*博多*")&gt;=2),
INDIRECT("H"&amp;R69&amp;"")+INDIRECT("H"&amp;MATCH("*"&amp;INDIRECT("B"&amp;R69&amp;"")&amp;"*",INDIRECT("B"&amp;R69+1&amp;":B210"),0)+R69&amp;""),
IF(AND(LEFT(INDIRECT("B"&amp;R69&amp;""),3)="奈良屋",COUNTIF(B:B,"*奈良屋*")&gt;=2),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49" t="str">
        <f t="array" aca="1" ref="X69" ca="1">IF($R69&lt;&gt;"",
INDIRECT(""&amp;IF(COLUMN(I69)&lt;=26,CHAR(COLUMN(I69)+64),CHAR(INT((COLUMN(I69)-1)/26)+64)&amp;CHAR(MOD(COLUMN(I69)-1,26)+65))&amp;$R69&amp;""),"")</f>
        <v/>
      </c>
      <c r="Y69" s="49" t="str">
        <f t="array" aca="1" ref="Y69" ca="1">IF($R69&lt;&gt;"",
INDIRECT(""&amp;IF(COLUMN(J69)&lt;=26,CHAR(COLUMN(J69)+64),CHAR(INT((COLUMN(J69)-1)/26)+64)&amp;CHAR(MOD(COLUMN(J69)-1,26)+65))&amp;$R69&amp;""),"")</f>
        <v/>
      </c>
      <c r="Z69" s="49" t="str">
        <f t="shared" ca="1" si="11"/>
        <v/>
      </c>
      <c r="AA69" s="49" t="str">
        <f t="shared" ca="1" si="12"/>
        <v/>
      </c>
      <c r="AB69" s="49" t="str">
        <f t="array" aca="1" ref="AB69" ca="1">IF($R69&lt;&gt;"",
IF(AND(COUNTIF(INDIRECT("B"&amp;R69&amp;""),"*雙葉*"),COUNTIF(B:B,"*雙葉*")&gt;=2),
INDIRECT("M"&amp;R69&amp;"")+INDIRECT("M"&amp;MATCH("雙葉'",INDIRECT("B"&amp;R69+1&amp;":B210"),0)+R69&amp;""),
IF(AND(LEFT(INDIRECT("B"&amp;R69&amp;""),2)="博多",COUNTIF(B:B,"*博多*")&gt;=2),
INDIRECT("M"&amp;R69&amp;"")+INDIRECT("M"&amp;MATCH("*"&amp;INDIRECT("B"&amp;R69&amp;"")&amp;"*",INDIRECT("B"&amp;R69+1&amp;":B210"),0)+R69&amp;""),
IF(AND(LEFT(INDIRECT("B"&amp;R69&amp;""),3)="奈良屋",COUNTIF(B:B,"*奈良屋*")&gt;=2),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  <c r="AC69" s="49" t="str">
        <f ca="1">IF(S69&lt;&gt;"",INDEX(A:A, MATCH("*"&amp;LEFT(S69,4)&amp;"*", C:C, 0)),"")</f>
        <v/>
      </c>
      <c r="AD69" s="49" t="str">
        <f ca="1">IFERROR(INDEX(AC:AC,MATCH(SMALL($AU:$AU,ROW()+3),$AU:$AU,0)),"")</f>
        <v/>
      </c>
      <c r="AE69" s="49" t="str">
        <f ca="1">IFERROR(INDEX(R:R,MATCH(SMALL($AU:$AU,ROW()+3),$AU:$AU,0)),"")</f>
        <v/>
      </c>
      <c r="AF69" s="49" t="str">
        <f ca="1">IFERROR(INDEX(S:S,MATCH(SMALL($AU:$AU,ROW()+3),$AU:$AU,0)),"")</f>
        <v/>
      </c>
      <c r="AG69" s="49" t="str">
        <f ca="1">IFERROR(INDEX(T:T,MATCH(SMALL($AU:$AU,ROW()+3),$AU:$AU,0)),"")</f>
        <v/>
      </c>
      <c r="AH69" s="122" t="str">
        <f ca="1">IFERROR(INDEX(U:U,MATCH(SMALL($AU:$AU,ROW()+3),$AU:$AU,0)),"")</f>
        <v/>
      </c>
      <c r="AI69" s="49" t="str">
        <f ca="1">IFERROR(INDEX(V:V,MATCH(SMALL($AU:$AU,ROW()+3),$AU:$AU,0)),"")</f>
        <v/>
      </c>
      <c r="AJ69" s="49" t="str">
        <f ca="1">IFERROR(INDEX(W:W,MATCH(SMALL($AU:$AU,ROW()+3),$AU:$AU,0)),"")</f>
        <v/>
      </c>
      <c r="AK69" s="49" t="str">
        <f ca="1">IFERROR(INDEX(X:X,MATCH(SMALL($AU:$AU,ROW()+3),$AU:$AU,0)),"")</f>
        <v/>
      </c>
      <c r="AL69" s="49" t="str">
        <f ca="1">IFERROR(INDEX(Y:Y,MATCH(SMALL($AU:$AU,ROW()+3),$AU:$AU,0)),"")</f>
        <v/>
      </c>
      <c r="AM69" s="49" t="str">
        <f ca="1">IFERROR(INDEX(Z:Z,MATCH(SMALL($AU:$AU,ROW()+3),$AU:$AU,0)),"")</f>
        <v/>
      </c>
      <c r="AN69" s="49" t="str">
        <f ca="1">IFERROR(INDEX(AA:AA,MATCH(SMALL($AU:$AU,ROW()+3),$AU:$AU,0)),"")</f>
        <v/>
      </c>
      <c r="AO69" s="49" t="str">
        <f ca="1">IFERROR(INDEX(AB:AB,MATCH(SMALL($AU:$AU,ROW()+3),$AU:$AU,0)),"")</f>
        <v/>
      </c>
      <c r="AP69" s="49" t="str">
        <f ca="1">IFERROR(INDEX(AC:AC,MATCH(SMALL($AU:$AU,ROW()+3),$AU:$AU,0)),"")</f>
        <v/>
      </c>
      <c r="AU69" s="49" t="str">
        <f t="shared" ca="1" si="14"/>
        <v/>
      </c>
    </row>
    <row r="70" spans="1:47" ht="21" customHeight="1">
      <c r="A70" s="108">
        <f t="shared" si="7"/>
        <v>145</v>
      </c>
      <c r="B70" s="50" t="str">
        <f t="shared" si="13"/>
        <v/>
      </c>
      <c r="C70" s="50" t="str">
        <f>IF(OR(クライアント抽出!B70&lt;&gt;"",クライアント抽出!E70&lt;&gt;""),クライアント抽出!A70,"")</f>
        <v/>
      </c>
      <c r="D70" s="50" t="str">
        <f t="array" aca="1" ref="D70" ca="1">IF(C70&lt;&gt;"",INDIRECT("クライアント抽出!"&amp;E70&amp;MATCH(C70,クライアント抽出!A:A,0)&amp;""),"")</f>
        <v/>
      </c>
      <c r="E70" s="50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51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50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06" t="str">
        <f>IF(C70&lt;&gt;"",
クライアント抽出!B70,"")</f>
        <v/>
      </c>
      <c r="I70" s="50" t="str">
        <f t="array" aca="1" ref="I70" ca="1">IF(C70&lt;&gt;"",
IF(O70=1,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INDIRECT("数出表_Excel!"&amp;INDEX(_xlfn.UNIQUE(_xlfn._xlws.FILTER(クライアント抽出!P70:U70,COUNTIF(クライアント抽出!P70:U70,クライアント抽出!P70:U70)&gt;1)),1)&amp;L70&amp;""),0),
クライアント抽出!E70),"")</f>
        <v/>
      </c>
      <c r="J70" s="50" t="str">
        <f>IF(C70&lt;&gt;"",
VLOOKUP(
"*"&amp;LEFT(IF(COUNTIF(D70,"*学食*"),"キャラ弁（学食）",
IF(COUNTIF(D70,"*赤*"),"赤",
IF(COUNTIF(D70,"*キャラ弁当*"),"キャラ弁当",D70))),4)&amp;"*",注文弁当の抽出!$E$1:$F$15,2,FALSE),"")</f>
        <v/>
      </c>
      <c r="K70" s="50" t="str">
        <f ca="1">IF(クライアント抽出!P70&lt;&gt;"",SUBSTITUTE(ADDRESS(1,(CODE(クライアント抽出!P70)-64)*2-1,4),"1",""),"")</f>
        <v/>
      </c>
      <c r="L70" s="50" t="str">
        <f>IF(C70&lt;&gt;"",クライアント抽出!I70,"")</f>
        <v/>
      </c>
      <c r="M70" s="50">
        <f t="array" aca="1" ref="M70" ca="1">IF(C70&lt;&gt;"",
IF(K70&lt;&gt;"",INDIRECT("'数出表_Excel（アレルギー入力）'!"&amp;K70&amp;L70-1&amp;""),),)</f>
        <v>0</v>
      </c>
      <c r="N70" s="50" t="str">
        <f>IF(C70&lt;&gt;"",IF(OR(COUNTIF('盛付札（関数）'!D70,"*赤*"),COUNTIF('盛付札（関数）'!D70,"*キャラ*")),1,
VLOOKUP("*"&amp;D70&amp;"*",商品マスタ一覧!D:H,5,FALSE)),"")</f>
        <v/>
      </c>
      <c r="O70" s="50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50">
        <f t="shared" si="9"/>
        <v>0</v>
      </c>
      <c r="Q70" s="50" t="b">
        <f t="shared" si="10"/>
        <v>0</v>
      </c>
      <c r="R70" s="49" t="str">
        <f t="array" aca="1" ref="R70" ca="1">IFERROR(SMALL(IF(P$1:P$311&lt;&gt;0,P$1:P$311),ROW(A70)),"")</f>
        <v/>
      </c>
      <c r="S70" s="49" t="str">
        <f t="array" aca="1" ref="S70" ca="1">IF($R70&lt;&gt;"",
SUBSTITUTE(SUBSTITUTE(INDIRECT("C"&amp;$R70&amp;"")," 週3ｺｰｽ","")," 週5ｺｰｽ",""),"")</f>
        <v/>
      </c>
      <c r="T70" s="49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22" t="str">
        <f t="array" aca="1" ref="U70" ca="1">IF($R70&lt;&gt;"",
INDIRECT("F"&amp;$R70&amp;""),"")</f>
        <v/>
      </c>
      <c r="V70" s="49" t="str">
        <f t="array" aca="1" ref="V70" ca="1">IF($R70&lt;&gt;"",
INDIRECT("G"&amp;$R70&amp;""),"")</f>
        <v/>
      </c>
      <c r="W70" s="49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IF(OR(COUNTIF(INDIRECT("B"&amp;R70&amp;""),"*雙葉先生*"),COUNTIF(INDIRECT("B"&amp;R70-1&amp;""),"*雙葉*")),INDIRECT("H"&amp;R70&amp;""),INDIRECT("H"&amp;R70&amp;"")+INDIRECT("H"&amp;MATCH("雙葉'",INDIRECT("B"&amp;R70+3&amp;":B210"),0)+2+R70&amp;"")),
IF(AND(LEFT(INDIRECT("B"&amp;R70&amp;""),2)="博多",COUNTIF(B:B,"*博多*")&gt;=2),
INDIRECT("H"&amp;R70&amp;"")+INDIRECT("H"&amp;MATCH("*"&amp;INDIRECT("B"&amp;R70&amp;"")&amp;"*",INDIRECT("B"&amp;R70+1&amp;":B210"),0)+R70&amp;""),
IF(AND(LEFT(INDIRECT("B"&amp;R70&amp;""),3)="奈良屋",COUNTIF(B:B,"*奈良屋*")&gt;=2),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49" t="str">
        <f t="array" aca="1" ref="X70" ca="1">IF($R70&lt;&gt;"",
INDIRECT(""&amp;IF(COLUMN(I70)&lt;=26,CHAR(COLUMN(I70)+64),CHAR(INT((COLUMN(I70)-1)/26)+64)&amp;CHAR(MOD(COLUMN(I70)-1,26)+65))&amp;$R70&amp;""),"")</f>
        <v/>
      </c>
      <c r="Y70" s="49" t="str">
        <f t="array" aca="1" ref="Y70" ca="1">IF($R70&lt;&gt;"",
INDIRECT(""&amp;IF(COLUMN(J70)&lt;=26,CHAR(COLUMN(J70)+64),CHAR(INT((COLUMN(J70)-1)/26)+64)&amp;CHAR(MOD(COLUMN(J70)-1,26)+65))&amp;$R70&amp;""),"")</f>
        <v/>
      </c>
      <c r="Z70" s="49" t="str">
        <f t="shared" ca="1" si="11"/>
        <v/>
      </c>
      <c r="AA70" s="49" t="str">
        <f t="shared" ca="1" si="12"/>
        <v/>
      </c>
      <c r="AB70" s="49" t="str">
        <f t="array" aca="1" ref="AB70" ca="1">IF($R70&lt;&gt;"",
IF(AND(COUNTIF(INDIRECT("B"&amp;R70&amp;""),"*雙葉*"),COUNTIF(B:B,"*雙葉*")&gt;=2),
INDIRECT("M"&amp;R70&amp;"")+INDIRECT("M"&amp;MATCH("雙葉'",INDIRECT("B"&amp;R70+1&amp;":B210"),0)+R70&amp;""),
IF(AND(LEFT(INDIRECT("B"&amp;R70&amp;""),2)="博多",COUNTIF(B:B,"*博多*")&gt;=2),
INDIRECT("M"&amp;R70&amp;"")+INDIRECT("M"&amp;MATCH("*"&amp;INDIRECT("B"&amp;R70&amp;"")&amp;"*",INDIRECT("B"&amp;R70+1&amp;":B210"),0)+R70&amp;""),
IF(AND(LEFT(INDIRECT("B"&amp;R70&amp;""),3)="奈良屋",COUNTIF(B:B,"*奈良屋*")&gt;=2),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  <c r="AC70" s="49" t="str">
        <f ca="1">IF(S70&lt;&gt;"",INDEX(A:A, MATCH("*"&amp;LEFT(S70,4)&amp;"*", C:C, 0)),"")</f>
        <v/>
      </c>
      <c r="AD70" s="49" t="str">
        <f ca="1">IFERROR(INDEX(AC:AC,MATCH(SMALL($AU:$AU,ROW()+3),$AU:$AU,0)),"")</f>
        <v/>
      </c>
      <c r="AE70" s="49" t="str">
        <f ca="1">IFERROR(INDEX(R:R,MATCH(SMALL($AU:$AU,ROW()+3),$AU:$AU,0)),"")</f>
        <v/>
      </c>
      <c r="AF70" s="49" t="str">
        <f ca="1">IFERROR(INDEX(S:S,MATCH(SMALL($AU:$AU,ROW()+3),$AU:$AU,0)),"")</f>
        <v/>
      </c>
      <c r="AG70" s="49" t="str">
        <f ca="1">IFERROR(INDEX(T:T,MATCH(SMALL($AU:$AU,ROW()+3),$AU:$AU,0)),"")</f>
        <v/>
      </c>
      <c r="AH70" s="122" t="str">
        <f ca="1">IFERROR(INDEX(U:U,MATCH(SMALL($AU:$AU,ROW()+3),$AU:$AU,0)),"")</f>
        <v/>
      </c>
      <c r="AI70" s="49" t="str">
        <f ca="1">IFERROR(INDEX(V:V,MATCH(SMALL($AU:$AU,ROW()+3),$AU:$AU,0)),"")</f>
        <v/>
      </c>
      <c r="AJ70" s="49" t="str">
        <f ca="1">IFERROR(INDEX(W:W,MATCH(SMALL($AU:$AU,ROW()+3),$AU:$AU,0)),"")</f>
        <v/>
      </c>
      <c r="AK70" s="49" t="str">
        <f ca="1">IFERROR(INDEX(X:X,MATCH(SMALL($AU:$AU,ROW()+3),$AU:$AU,0)),"")</f>
        <v/>
      </c>
      <c r="AL70" s="49" t="str">
        <f ca="1">IFERROR(INDEX(Y:Y,MATCH(SMALL($AU:$AU,ROW()+3),$AU:$AU,0)),"")</f>
        <v/>
      </c>
      <c r="AM70" s="49" t="str">
        <f ca="1">IFERROR(INDEX(Z:Z,MATCH(SMALL($AU:$AU,ROW()+3),$AU:$AU,0)),"")</f>
        <v/>
      </c>
      <c r="AN70" s="49" t="str">
        <f ca="1">IFERROR(INDEX(AA:AA,MATCH(SMALL($AU:$AU,ROW()+3),$AU:$AU,0)),"")</f>
        <v/>
      </c>
      <c r="AO70" s="49" t="str">
        <f ca="1">IFERROR(INDEX(AB:AB,MATCH(SMALL($AU:$AU,ROW()+3),$AU:$AU,0)),"")</f>
        <v/>
      </c>
      <c r="AP70" s="49" t="str">
        <f ca="1">IFERROR(INDEX(AC:AC,MATCH(SMALL($AU:$AU,ROW()+3),$AU:$AU,0)),"")</f>
        <v/>
      </c>
      <c r="AU70" s="49" t="str">
        <f t="shared" ca="1" si="14"/>
        <v/>
      </c>
    </row>
    <row r="71" spans="1:47" ht="22.2" customHeight="1">
      <c r="A71" s="111">
        <v>7</v>
      </c>
      <c r="B71" s="111" t="str">
        <f t="shared" ref="B71:B102" ca="1" si="15">IF(COUNTIF(C71,"*雙葉*"),
IF(COUNTIF(INDIRECT("B1:B"&amp;ROW()-1&amp;""),"雙葉"),
IF(COUNTIF(C71,"*先生*"),"雙葉先生","雙葉'"),"雙葉"),
IF(COUNTIF(C71,"*社食*"),"社食'",
IF(LEFT(C71,2)="博多",
IF(IFERROR(TRIM(LEFT(C70,FIND("幼",C70)-1)),TRIM(C70))=IFERROR(TRIM(LEFT(C71,FIND("幼",C71)-1)),TRIM(C71)),
IFERROR(TRIM(LEFT(C71,FIND("幼",C71)-1)),TRIM(C71))&amp;"'",IFERROR(TRIM(LEFT(C71,FIND("幼",C71)-1)),TRIM(C71))),
IF(LEFT(C71,3)="奈良屋",
IF(TRIM(LEFT(C70,FIND("幼",C70)-1))=TRIM(LEFT(C71,FIND("幼",C71)-1)),
"奈良屋'","奈良屋"),""))))</f>
        <v/>
      </c>
      <c r="C71" s="111" t="str">
        <f>IF(OR(クライアント抽出!C1&lt;&gt;"",クライアント抽出!F1&lt;&gt;""),クライアント抽出!A1,"")</f>
        <v/>
      </c>
      <c r="D71" s="111" t="str">
        <f t="array" aca="1" ref="D71" ca="1">IF(C71&lt;&gt;"",INDIRECT("クライアント抽出!"&amp;E71&amp;MATCH(C71,クライアント抽出!A:A,0)&amp;""),"")</f>
        <v/>
      </c>
      <c r="E71" s="111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112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11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113" t="str">
        <f>IF(C71&lt;&gt;"",
クライアント抽出!C1,"")</f>
        <v/>
      </c>
      <c r="I71" s="111" t="str">
        <f t="array" aca="1" ref="I71" ca="1">IF(C71&lt;&gt;"",
IF(O71=1,
IF(SUMPRODUCT(COUNTIF(クライアント抽出!P1:U1,クライアント抽出!P1:U1))&gt;COUNTA(クライアント抽出!P1:U1),
INDIRECT("数出表_Excel!"&amp;INDEX(_xlfn.UNIQUE(_xlfn._xlws.FILTER(クライアント抽出!P1:U1,COUNTIF(クライアント抽出!P1:U1,クライアント抽出!P1:U1)=1)),1)&amp;L71&amp;""),
0),クライアント抽出!F1),"")</f>
        <v/>
      </c>
      <c r="J71" s="111" t="str">
        <f>IF(C71&lt;&gt;"",
VLOOKUP(
"*"&amp;LEFT(IF(COUNTIF(D71,"*学食*"),"キャラ弁（学食）",
IF(COUNTIF(D71,"*赤*"),"赤",
IF(COUNTIF(D71,"*キャラ弁当*"),"キャラ弁当",D71))),4)&amp;"*",注文弁当の抽出!$E$1:$F$15,2,FALSE),"")</f>
        <v/>
      </c>
      <c r="K71" s="111" t="str">
        <f ca="1">IF(クライアント抽出!Q1&lt;&gt;"",SUBSTITUTE(ADDRESS(1,(CODE(クライアント抽出!Q1)-64)*2-1,4),"1",""),"")</f>
        <v/>
      </c>
      <c r="L71" s="111" t="str">
        <f>IF(C1&lt;&gt;"",クライアント抽出!I1,"")</f>
        <v/>
      </c>
      <c r="M71" s="111">
        <f t="array" aca="1" ref="M71" ca="1">IF(C71&lt;&gt;"",
IF(K71&lt;&gt;"",INDIRECT("'数出表_Excel（アレルギー入力）'!"&amp;K71&amp;L71-1&amp;""),),)</f>
        <v>0</v>
      </c>
      <c r="N71" s="111" t="str">
        <f>IF(C71&lt;&gt;"",IF(OR(COUNTIF('盛付札（関数）'!D71,"*赤*"),COUNTIF('盛付札（関数）'!D71,"*キャラ*")),1,
VLOOKUP("*"&amp;D71&amp;"*",商品マスタ一覧!D:H,5,FALSE)),"")</f>
        <v/>
      </c>
      <c r="O71" s="111">
        <f t="shared" ref="O71:O102" ca="1" si="16">O1</f>
        <v>0</v>
      </c>
      <c r="P71" s="111">
        <f t="shared" si="9"/>
        <v>0</v>
      </c>
      <c r="Q71" s="111" t="b">
        <f t="shared" si="10"/>
        <v>0</v>
      </c>
      <c r="R71" s="49" t="str">
        <f t="array" aca="1" ref="R71" ca="1">IFERROR(SMALL(IF(P$1:P$311&lt;&gt;0,P$1:P$311),ROW(A71)),"")</f>
        <v/>
      </c>
      <c r="S71" s="49" t="str">
        <f t="array" aca="1" ref="S71" ca="1">IF($R71&lt;&gt;"",
SUBSTITUTE(SUBSTITUTE(INDIRECT("C"&amp;$R71&amp;"")," 週3ｺｰｽ","")," 週5ｺｰｽ",""),"")</f>
        <v/>
      </c>
      <c r="T71" s="49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22" t="str">
        <f t="array" aca="1" ref="U71" ca="1">IF($R71&lt;&gt;"",
INDIRECT("F"&amp;$R71&amp;""),"")</f>
        <v/>
      </c>
      <c r="V71" s="49" t="str">
        <f t="array" aca="1" ref="V71" ca="1">IF($R71&lt;&gt;"",
INDIRECT("G"&amp;$R71&amp;""),"")</f>
        <v/>
      </c>
      <c r="W71" s="49" t="str">
        <f t="array" aca="1" ref="W71" ca="1">IF($R71&lt;&gt;"",
IF(AND(COUNTIF(INDIRECT("B"&amp;R71&amp;""),"*雙葉*"),COUNTIF(B:B,"*雙葉*")&gt;=2),
IF(OR(COUNTIF(INDIRECT("B"&amp;R71&amp;""),"*雙葉先生*"),COUNTIF($B$1:$B$70,"*雙葉*")&gt;=2),INDIRECT("H"&amp;R71&amp;""),INDIRECT("H"&amp;R71&amp;"")+INDIRECT("H"&amp;MATCH("雙葉'",INDIRECT("B"&amp;R71+3&amp;":B210"),0)+2+R71&amp;"")),
IF(AND(LEFT(INDIRECT("B"&amp;R71&amp;""),2)="博多",COUNTIF(B:B,"*博多*")&gt;=2),
INDIRECT("H"&amp;R71&amp;"")+INDIRECT("H"&amp;MATCH("*"&amp;INDIRECT("B"&amp;R71&amp;"")&amp;"*",INDIRECT("B"&amp;R71+1&amp;":B210"),0)+R71&amp;""),
IF(AND(LEFT(INDIRECT("B"&amp;R71&amp;""),3)="奈良屋",COUNTIF(B:B,"*奈良屋*")&gt;=2),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49" t="str">
        <f t="array" aca="1" ref="X71" ca="1">IF($R71&lt;&gt;"",
INDIRECT(""&amp;IF(COLUMN(I71)&lt;=26,CHAR(COLUMN(I71)+64),CHAR(INT((COLUMN(I71)-1)/26)+64)&amp;CHAR(MOD(COLUMN(I71)-1,26)+65))&amp;$R71&amp;""),"")</f>
        <v/>
      </c>
      <c r="Y71" s="49" t="str">
        <f t="array" aca="1" ref="Y71" ca="1">IF($R71&lt;&gt;"",
INDIRECT(""&amp;IF(COLUMN(J71)&lt;=26,CHAR(COLUMN(J71)+64),CHAR(INT((COLUMN(J71)-1)/26)+64)&amp;CHAR(MOD(COLUMN(J71)-1,26)+65))&amp;$R71&amp;""),"")</f>
        <v/>
      </c>
      <c r="Z71" s="49" t="str">
        <f t="shared" ca="1" si="11"/>
        <v/>
      </c>
      <c r="AA71" s="49" t="str">
        <f t="shared" ca="1" si="12"/>
        <v/>
      </c>
      <c r="AB71" s="49" t="str">
        <f t="array" aca="1" ref="AB71" ca="1">IF($R71&lt;&gt;"",
IF(AND(COUNTIF(INDIRECT("B"&amp;R71&amp;""),"*雙葉*"),COUNTIF(B:B,"*雙葉*")&gt;=2),
INDIRECT("M"&amp;R71&amp;"")+INDIRECT("M"&amp;MATCH("雙葉'",INDIRECT("B"&amp;R71+1&amp;":B210"),0)+R71&amp;""),
IF(AND(LEFT(INDIRECT("B"&amp;R71&amp;""),2)="博多",COUNTIF(B:B,"*博多*")&gt;=2),
INDIRECT("M"&amp;R71&amp;"")+INDIRECT("M"&amp;MATCH("*"&amp;INDIRECT("B"&amp;R71&amp;"")&amp;"*",INDIRECT("B"&amp;R71+1&amp;":B210"),0)+R71&amp;""),
IF(AND(LEFT(INDIRECT("B"&amp;R71&amp;""),3)="奈良屋",COUNTIF(B:B,"*奈良屋*")&gt;=2),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  <c r="AC71" s="49" t="str">
        <f ca="1">IF(S71&lt;&gt;"",INDEX(A:A, MATCH("*"&amp;LEFT(S71,4)&amp;"*", C:C, 0)),"")</f>
        <v/>
      </c>
      <c r="AD71" s="49" t="str">
        <f ca="1">IFERROR(INDEX(AC:AC,MATCH(SMALL($AU:$AU,ROW()+3),$AU:$AU,0)),"")</f>
        <v/>
      </c>
      <c r="AE71" s="49" t="str">
        <f ca="1">IFERROR(INDEX(R:R,MATCH(SMALL($AU:$AU,ROW()+3),$AU:$AU,0)),"")</f>
        <v/>
      </c>
      <c r="AF71" s="49" t="str">
        <f ca="1">IFERROR(INDEX(S:S,MATCH(SMALL($AU:$AU,ROW()+3),$AU:$AU,0)),"")</f>
        <v/>
      </c>
      <c r="AG71" s="49" t="str">
        <f ca="1">IFERROR(INDEX(T:T,MATCH(SMALL($AU:$AU,ROW()+3),$AU:$AU,0)),"")</f>
        <v/>
      </c>
      <c r="AH71" s="122" t="str">
        <f ca="1">IFERROR(INDEX(U:U,MATCH(SMALL($AU:$AU,ROW()+3),$AU:$AU,0)),"")</f>
        <v/>
      </c>
      <c r="AI71" s="49" t="str">
        <f ca="1">IFERROR(INDEX(V:V,MATCH(SMALL($AU:$AU,ROW()+3),$AU:$AU,0)),"")</f>
        <v/>
      </c>
      <c r="AJ71" s="49" t="str">
        <f ca="1">IFERROR(INDEX(W:W,MATCH(SMALL($AU:$AU,ROW()+3),$AU:$AU,0)),"")</f>
        <v/>
      </c>
      <c r="AK71" s="49" t="str">
        <f ca="1">IFERROR(INDEX(X:X,MATCH(SMALL($AU:$AU,ROW()+3),$AU:$AU,0)),"")</f>
        <v/>
      </c>
      <c r="AL71" s="49" t="str">
        <f ca="1">IFERROR(INDEX(Y:Y,MATCH(SMALL($AU:$AU,ROW()+3),$AU:$AU,0)),"")</f>
        <v/>
      </c>
      <c r="AM71" s="49" t="str">
        <f ca="1">IFERROR(INDEX(Z:Z,MATCH(SMALL($AU:$AU,ROW()+3),$AU:$AU,0)),"")</f>
        <v/>
      </c>
      <c r="AN71" s="49" t="str">
        <f ca="1">IFERROR(INDEX(AA:AA,MATCH(SMALL($AU:$AU,ROW()+3),$AU:$AU,0)),"")</f>
        <v/>
      </c>
      <c r="AO71" s="49" t="str">
        <f ca="1">IFERROR(INDEX(AB:AB,MATCH(SMALL($AU:$AU,ROW()+3),$AU:$AU,0)),"")</f>
        <v/>
      </c>
      <c r="AP71" s="49" t="str">
        <f ca="1">IFERROR(INDEX(AC:AC,MATCH(SMALL($AU:$AU,ROW()+3),$AU:$AU,0)),"")</f>
        <v/>
      </c>
      <c r="AU71" s="49" t="str">
        <f t="shared" ca="1" si="14"/>
        <v/>
      </c>
    </row>
    <row r="72" spans="1:47" ht="21" customHeight="1">
      <c r="A72" s="110">
        <f t="shared" ref="A72:A103" si="17">A71+2</f>
        <v>9</v>
      </c>
      <c r="B72" s="111" t="str">
        <f t="shared" ca="1" si="15"/>
        <v/>
      </c>
      <c r="C72" s="111" t="str">
        <f>IF(OR(クライアント抽出!C2&lt;&gt;"",クライアント抽出!F2&lt;&gt;""),クライアント抽出!A2,"")</f>
        <v/>
      </c>
      <c r="D72" s="111" t="str">
        <f t="array" aca="1" ref="D72" ca="1">IF(C72&lt;&gt;"",INDIRECT("クライアント抽出!"&amp;E72&amp;MATCH(C72,クライアント抽出!A:A,0)&amp;""),"")</f>
        <v/>
      </c>
      <c r="E72" s="111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112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11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113" t="str">
        <f>IF(C72&lt;&gt;"",
クライアント抽出!C2,"")</f>
        <v/>
      </c>
      <c r="I72" s="111" t="str">
        <f t="array" aca="1" ref="I72" ca="1">IF(C72&lt;&gt;"",
IF(O72=1,
IF(SUMPRODUCT(COUNTIF(クライアント抽出!P2:U2,クライアント抽出!P2:U2))&gt;COUNTA(クライアント抽出!P2:U2),
INDIRECT("数出表_Excel!"&amp;INDEX(_xlfn.UNIQUE(_xlfn._xlws.FILTER(クライアント抽出!P2:U2,COUNTIF(クライアント抽出!P2:U2,クライアント抽出!P2:U2)=1)),1)&amp;L72&amp;""),
0),クライアント抽出!F2),"")</f>
        <v/>
      </c>
      <c r="J72" s="111" t="str">
        <f>IF(C72&lt;&gt;"",
VLOOKUP(
"*"&amp;LEFT(IF(COUNTIF(D72,"*学食*"),"キャラ弁（学食）",
IF(COUNTIF(D72,"*赤*"),"赤",
IF(COUNTIF(D72,"*キャラ弁当*"),"キャラ弁当",D72))),4)&amp;"*",注文弁当の抽出!$E$1:$F$15,2,FALSE),"")</f>
        <v/>
      </c>
      <c r="K72" s="111" t="str">
        <f ca="1">IF(クライアント抽出!Q2&lt;&gt;"",SUBSTITUTE(ADDRESS(1,(CODE(クライアント抽出!Q2)-64)*2-1,4),"1",""),"")</f>
        <v/>
      </c>
      <c r="L72" s="111" t="str">
        <f>IF(C2&lt;&gt;"",クライアント抽出!I2,"")</f>
        <v/>
      </c>
      <c r="M72" s="111">
        <f t="array" aca="1" ref="M72" ca="1">IF(C72&lt;&gt;"",
IF(K72&lt;&gt;"",INDIRECT("'数出表_Excel（アレルギー入力）'!"&amp;K72&amp;L72-1&amp;""),),)</f>
        <v>0</v>
      </c>
      <c r="N72" s="111" t="str">
        <f>IF(C72&lt;&gt;"",IF(OR(COUNTIF('盛付札（関数）'!D72,"*赤*"),COUNTIF('盛付札（関数）'!D72,"*キャラ*")),1,
VLOOKUP("*"&amp;D72&amp;"*",商品マスタ一覧!D:H,5,FALSE)),"")</f>
        <v/>
      </c>
      <c r="O72" s="111">
        <f t="shared" ca="1" si="16"/>
        <v>0</v>
      </c>
      <c r="P72" s="111">
        <f t="shared" si="9"/>
        <v>0</v>
      </c>
      <c r="Q72" s="111" t="b">
        <f t="shared" si="10"/>
        <v>0</v>
      </c>
      <c r="R72" s="49" t="str">
        <f t="array" aca="1" ref="R72" ca="1">IFERROR(SMALL(IF(P$1:P$311&lt;&gt;0,P$1:P$311),ROW(A72)),"")</f>
        <v/>
      </c>
      <c r="S72" s="49" t="str">
        <f t="array" aca="1" ref="S72" ca="1">IF($R72&lt;&gt;"",
SUBSTITUTE(SUBSTITUTE(INDIRECT("C"&amp;$R72&amp;"")," 週3ｺｰｽ","")," 週5ｺｰｽ",""),"")</f>
        <v/>
      </c>
      <c r="T72" s="49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22" t="str">
        <f t="array" aca="1" ref="U72" ca="1">IF($R72&lt;&gt;"",
INDIRECT("F"&amp;$R72&amp;""),"")</f>
        <v/>
      </c>
      <c r="V72" s="49" t="str">
        <f t="array" aca="1" ref="V72" ca="1">IF($R72&lt;&gt;"",
INDIRECT("G"&amp;$R72&amp;""),"")</f>
        <v/>
      </c>
      <c r="W72" s="49" t="str">
        <f t="array" aca="1" ref="W72" ca="1">IF($R72&lt;&gt;"",
IF(AND(COUNTIF(INDIRECT("B"&amp;R72&amp;""),"*雙葉*"),COUNTIF(B:B,"*雙葉*")&gt;=2),
IF(OR(COUNTIF(INDIRECT("B"&amp;R72&amp;""),"*雙葉先生*"),COUNTIF($B$1:$B$70,"*雙葉*")&gt;=2),INDIRECT("H"&amp;R72&amp;""),INDIRECT("H"&amp;R72&amp;"")+INDIRECT("H"&amp;MATCH("雙葉'",INDIRECT("B"&amp;R72+3&amp;":B210"),0)+2+R72&amp;"")),
IF(AND(LEFT(INDIRECT("B"&amp;R72&amp;""),2)="博多",COUNTIF(B:B,"*博多*")&gt;=2),
INDIRECT("H"&amp;R72&amp;"")+INDIRECT("H"&amp;MATCH("*"&amp;INDIRECT("B"&amp;R72&amp;"")&amp;"*",INDIRECT("B"&amp;R72+1&amp;":B210"),0)+R72&amp;""),
IF(AND(LEFT(INDIRECT("B"&amp;R72&amp;""),3)="奈良屋",COUNTIF(B:B,"*奈良屋*")&gt;=2),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49" t="str">
        <f t="array" aca="1" ref="X72" ca="1">IF($R72&lt;&gt;"",
INDIRECT(""&amp;IF(COLUMN(I72)&lt;=26,CHAR(COLUMN(I72)+64),CHAR(INT((COLUMN(I72)-1)/26)+64)&amp;CHAR(MOD(COLUMN(I72)-1,26)+65))&amp;$R72&amp;""),"")</f>
        <v/>
      </c>
      <c r="Y72" s="49" t="str">
        <f t="array" aca="1" ref="Y72" ca="1">IF($R72&lt;&gt;"",
INDIRECT(""&amp;IF(COLUMN(J72)&lt;=26,CHAR(COLUMN(J72)+64),CHAR(INT((COLUMN(J72)-1)/26)+64)&amp;CHAR(MOD(COLUMN(J72)-1,26)+65))&amp;$R72&amp;""),"")</f>
        <v/>
      </c>
      <c r="Z72" s="49" t="str">
        <f t="shared" ca="1" si="11"/>
        <v/>
      </c>
      <c r="AA72" s="49" t="str">
        <f t="shared" ca="1" si="12"/>
        <v/>
      </c>
      <c r="AB72" s="49" t="str">
        <f t="array" aca="1" ref="AB72" ca="1">IF($R72&lt;&gt;"",
IF(AND(COUNTIF(INDIRECT("B"&amp;R72&amp;""),"*雙葉*"),COUNTIF(B:B,"*雙葉*")&gt;=2),
INDIRECT("M"&amp;R72&amp;"")+INDIRECT("M"&amp;MATCH("雙葉'",INDIRECT("B"&amp;R72+1&amp;":B210"),0)+R72&amp;""),
IF(AND(LEFT(INDIRECT("B"&amp;R72&amp;""),2)="博多",COUNTIF(B:B,"*博多*")&gt;=2),
INDIRECT("M"&amp;R72&amp;"")+INDIRECT("M"&amp;MATCH("*"&amp;INDIRECT("B"&amp;R72&amp;"")&amp;"*",INDIRECT("B"&amp;R72+1&amp;":B210"),0)+R72&amp;""),
IF(AND(LEFT(INDIRECT("B"&amp;R72&amp;""),3)="奈良屋",COUNTIF(B:B,"*奈良屋*")&gt;=2),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  <c r="AC72" s="49" t="str">
        <f ca="1">IF(S72&lt;&gt;"",INDEX(A:A, MATCH("*"&amp;LEFT(S72,4)&amp;"*", C:C, 0)),"")</f>
        <v/>
      </c>
      <c r="AD72" s="49" t="str">
        <f ca="1">IFERROR(INDEX(AC:AC,MATCH(SMALL($AU:$AU,ROW()+3),$AU:$AU,0)),"")</f>
        <v/>
      </c>
      <c r="AE72" s="49" t="str">
        <f ca="1">IFERROR(INDEX(R:R,MATCH(SMALL($AU:$AU,ROW()+3),$AU:$AU,0)),"")</f>
        <v/>
      </c>
      <c r="AF72" s="49" t="str">
        <f ca="1">IFERROR(INDEX(S:S,MATCH(SMALL($AU:$AU,ROW()+3),$AU:$AU,0)),"")</f>
        <v/>
      </c>
      <c r="AG72" s="49" t="str">
        <f ca="1">IFERROR(INDEX(T:T,MATCH(SMALL($AU:$AU,ROW()+3),$AU:$AU,0)),"")</f>
        <v/>
      </c>
      <c r="AH72" s="122" t="str">
        <f ca="1">IFERROR(INDEX(U:U,MATCH(SMALL($AU:$AU,ROW()+3),$AU:$AU,0)),"")</f>
        <v/>
      </c>
      <c r="AI72" s="49" t="str">
        <f ca="1">IFERROR(INDEX(V:V,MATCH(SMALL($AU:$AU,ROW()+3),$AU:$AU,0)),"")</f>
        <v/>
      </c>
      <c r="AJ72" s="49" t="str">
        <f ca="1">IFERROR(INDEX(W:W,MATCH(SMALL($AU:$AU,ROW()+3),$AU:$AU,0)),"")</f>
        <v/>
      </c>
      <c r="AK72" s="49" t="str">
        <f ca="1">IFERROR(INDEX(X:X,MATCH(SMALL($AU:$AU,ROW()+3),$AU:$AU,0)),"")</f>
        <v/>
      </c>
      <c r="AL72" s="49" t="str">
        <f ca="1">IFERROR(INDEX(Y:Y,MATCH(SMALL($AU:$AU,ROW()+3),$AU:$AU,0)),"")</f>
        <v/>
      </c>
      <c r="AM72" s="49" t="str">
        <f ca="1">IFERROR(INDEX(Z:Z,MATCH(SMALL($AU:$AU,ROW()+3),$AU:$AU,0)),"")</f>
        <v/>
      </c>
      <c r="AN72" s="49" t="str">
        <f ca="1">IFERROR(INDEX(AA:AA,MATCH(SMALL($AU:$AU,ROW()+3),$AU:$AU,0)),"")</f>
        <v/>
      </c>
      <c r="AO72" s="49" t="str">
        <f ca="1">IFERROR(INDEX(AB:AB,MATCH(SMALL($AU:$AU,ROW()+3),$AU:$AU,0)),"")</f>
        <v/>
      </c>
      <c r="AP72" s="49" t="str">
        <f ca="1">IFERROR(INDEX(AC:AC,MATCH(SMALL($AU:$AU,ROW()+3),$AU:$AU,0)),"")</f>
        <v/>
      </c>
      <c r="AU72" s="49" t="str">
        <f t="shared" ca="1" si="14"/>
        <v/>
      </c>
    </row>
    <row r="73" spans="1:47" ht="19.2" customHeight="1">
      <c r="A73" s="110">
        <f t="shared" si="17"/>
        <v>11</v>
      </c>
      <c r="B73" s="111" t="str">
        <f t="shared" ca="1" si="15"/>
        <v/>
      </c>
      <c r="C73" s="111" t="str">
        <f>IF(OR(クライアント抽出!C3&lt;&gt;"",クライアント抽出!F3&lt;&gt;""),クライアント抽出!A3,"")</f>
        <v/>
      </c>
      <c r="D73" s="111" t="str">
        <f t="array" aca="1" ref="D73" ca="1">IF(C73&lt;&gt;"",INDIRECT("クライアント抽出!"&amp;E73&amp;MATCH(C73,クライアント抽出!A:A,0)&amp;""),"")</f>
        <v/>
      </c>
      <c r="E73" s="111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112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11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113" t="str">
        <f>IF(C73&lt;&gt;"",
クライアント抽出!C3,"")</f>
        <v/>
      </c>
      <c r="I73" s="111" t="str">
        <f t="array" aca="1" ref="I73" ca="1">IF(C73&lt;&gt;"",
IF(O73=1,
IF(SUMPRODUCT(COUNTIF(クライアント抽出!P3:U3,クライアント抽出!P3:U3))&gt;COUNTA(クライアント抽出!P3:U3),
INDIRECT("数出表_Excel!"&amp;INDEX(_xlfn.UNIQUE(_xlfn._xlws.FILTER(クライアント抽出!P3:U3,COUNTIF(クライアント抽出!P3:U3,クライアント抽出!P3:U3)=1)),1)&amp;L73&amp;""),
0),クライアント抽出!F3),"")</f>
        <v/>
      </c>
      <c r="J73" s="111" t="str">
        <f>IF(C73&lt;&gt;"",
VLOOKUP(
"*"&amp;LEFT(IF(COUNTIF(D73,"*学食*"),"キャラ弁（学食）",
IF(COUNTIF(D73,"*赤*"),"赤",
IF(COUNTIF(D73,"*キャラ弁当*"),"キャラ弁当",D73))),4)&amp;"*",注文弁当の抽出!$E$1:$F$15,2,FALSE),"")</f>
        <v/>
      </c>
      <c r="K73" s="111" t="str">
        <f ca="1">IF(クライアント抽出!Q3&lt;&gt;"",SUBSTITUTE(ADDRESS(1,(CODE(クライアント抽出!Q3)-64)*2-1,4),"1",""),"")</f>
        <v/>
      </c>
      <c r="L73" s="111" t="str">
        <f>IF(C3&lt;&gt;"",クライアント抽出!I3,"")</f>
        <v/>
      </c>
      <c r="M73" s="111">
        <f t="array" aca="1" ref="M73" ca="1">IF(C73&lt;&gt;"",
IF(K73&lt;&gt;"",INDIRECT("'数出表_Excel（アレルギー入力）'!"&amp;K73&amp;L73-1&amp;""),),)</f>
        <v>0</v>
      </c>
      <c r="N73" s="111" t="str">
        <f>IF(C73&lt;&gt;"",IF(OR(COUNTIF('盛付札（関数）'!D73,"*赤*"),COUNTIF('盛付札（関数）'!D73,"*キャラ*")),1,
VLOOKUP("*"&amp;D73&amp;"*",商品マスタ一覧!D:H,5,FALSE)),"")</f>
        <v/>
      </c>
      <c r="O73" s="111">
        <f t="shared" ca="1" si="16"/>
        <v>0</v>
      </c>
      <c r="P73" s="111">
        <f t="shared" si="9"/>
        <v>0</v>
      </c>
      <c r="Q73" s="111" t="b">
        <f t="shared" si="10"/>
        <v>0</v>
      </c>
      <c r="R73" s="49" t="str">
        <f t="array" aca="1" ref="R73" ca="1">IFERROR(SMALL(IF(P$1:P$311&lt;&gt;0,P$1:P$311),ROW(A73)),"")</f>
        <v/>
      </c>
      <c r="S73" s="49" t="str">
        <f t="array" aca="1" ref="S73" ca="1">IF($R73&lt;&gt;"",
SUBSTITUTE(SUBSTITUTE(INDIRECT("C"&amp;$R73&amp;"")," 週3ｺｰｽ","")," 週5ｺｰｽ",""),"")</f>
        <v/>
      </c>
      <c r="T73" s="49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22" t="str">
        <f t="array" aca="1" ref="U73" ca="1">IF($R73&lt;&gt;"",
INDIRECT("F"&amp;$R73&amp;""),"")</f>
        <v/>
      </c>
      <c r="V73" s="49" t="str">
        <f t="array" aca="1" ref="V73" ca="1">IF($R73&lt;&gt;"",
INDIRECT("G"&amp;$R73&amp;""),"")</f>
        <v/>
      </c>
      <c r="W73" s="49" t="str">
        <f t="array" aca="1" ref="W73" ca="1">IF($R73&lt;&gt;"",
IF(AND(COUNTIF(INDIRECT("B"&amp;R73&amp;""),"*雙葉*"),COUNTIF(B:B,"*雙葉*")&gt;=2),
IF(OR(COUNTIF(INDIRECT("B"&amp;R73&amp;""),"*雙葉先生*"),COUNTIF($B$1:$B$70,"*雙葉*")&gt;=2),INDIRECT("H"&amp;R73&amp;""),INDIRECT("H"&amp;R73&amp;"")+INDIRECT("H"&amp;MATCH("雙葉'",INDIRECT("B"&amp;R73+3&amp;":B210"),0)+2+R73&amp;"")),
IF(AND(LEFT(INDIRECT("B"&amp;R73&amp;""),2)="博多",COUNTIF(B:B,"*博多*")&gt;=2),
INDIRECT("H"&amp;R73&amp;"")+INDIRECT("H"&amp;MATCH("*"&amp;INDIRECT("B"&amp;R73&amp;"")&amp;"*",INDIRECT("B"&amp;R73+1&amp;":B210"),0)+R73&amp;""),
IF(AND(LEFT(INDIRECT("B"&amp;R73&amp;""),3)="奈良屋",COUNTIF(B:B,"*奈良屋*")&gt;=2),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49" t="str">
        <f t="array" aca="1" ref="X73" ca="1">IF($R73&lt;&gt;"",
INDIRECT(""&amp;IF(COLUMN(I73)&lt;=26,CHAR(COLUMN(I73)+64),CHAR(INT((COLUMN(I73)-1)/26)+64)&amp;CHAR(MOD(COLUMN(I73)-1,26)+65))&amp;$R73&amp;""),"")</f>
        <v/>
      </c>
      <c r="Y73" s="49" t="str">
        <f t="array" aca="1" ref="Y73" ca="1">IF($R73&lt;&gt;"",
INDIRECT(""&amp;IF(COLUMN(J73)&lt;=26,CHAR(COLUMN(J73)+64),CHAR(INT((COLUMN(J73)-1)/26)+64)&amp;CHAR(MOD(COLUMN(J73)-1,26)+65))&amp;$R73&amp;""),"")</f>
        <v/>
      </c>
      <c r="Z73" s="49" t="str">
        <f t="shared" ca="1" si="11"/>
        <v/>
      </c>
      <c r="AA73" s="49" t="str">
        <f t="shared" ca="1" si="12"/>
        <v/>
      </c>
      <c r="AB73" s="49" t="str">
        <f t="array" aca="1" ref="AB73" ca="1">IF($R73&lt;&gt;"",
IF(AND(COUNTIF(INDIRECT("B"&amp;R73&amp;""),"*雙葉*"),COUNTIF(B:B,"*雙葉*")&gt;=2),
INDIRECT("M"&amp;R73&amp;"")+INDIRECT("M"&amp;MATCH("雙葉'",INDIRECT("B"&amp;R73+1&amp;":B210"),0)+R73&amp;""),
IF(AND(LEFT(INDIRECT("B"&amp;R73&amp;""),2)="博多",COUNTIF(B:B,"*博多*")&gt;=2),
INDIRECT("M"&amp;R73&amp;"")+INDIRECT("M"&amp;MATCH("*"&amp;INDIRECT("B"&amp;R73&amp;"")&amp;"*",INDIRECT("B"&amp;R73+1&amp;":B210"),0)+R73&amp;""),
IF(AND(LEFT(INDIRECT("B"&amp;R73&amp;""),3)="奈良屋",COUNTIF(B:B,"*奈良屋*")&gt;=2),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  <c r="AC73" s="49" t="str">
        <f ca="1">IF(S73&lt;&gt;"",INDEX(A:A, MATCH("*"&amp;LEFT(S73,4)&amp;"*", C:C, 0)),"")</f>
        <v/>
      </c>
      <c r="AD73" s="49" t="str">
        <f ca="1">IFERROR(INDEX(AC:AC,MATCH(SMALL($AU:$AU,ROW()+3),$AU:$AU,0)),"")</f>
        <v/>
      </c>
      <c r="AE73" s="49" t="str">
        <f ca="1">IFERROR(INDEX(R:R,MATCH(SMALL($AU:$AU,ROW()+3),$AU:$AU,0)),"")</f>
        <v/>
      </c>
      <c r="AF73" s="49" t="str">
        <f ca="1">IFERROR(INDEX(S:S,MATCH(SMALL($AU:$AU,ROW()+3),$AU:$AU,0)),"")</f>
        <v/>
      </c>
      <c r="AG73" s="49" t="str">
        <f ca="1">IFERROR(INDEX(T:T,MATCH(SMALL($AU:$AU,ROW()+3),$AU:$AU,0)),"")</f>
        <v/>
      </c>
      <c r="AH73" s="122" t="str">
        <f ca="1">IFERROR(INDEX(U:U,MATCH(SMALL($AU:$AU,ROW()+3),$AU:$AU,0)),"")</f>
        <v/>
      </c>
      <c r="AI73" s="49" t="str">
        <f ca="1">IFERROR(INDEX(V:V,MATCH(SMALL($AU:$AU,ROW()+3),$AU:$AU,0)),"")</f>
        <v/>
      </c>
      <c r="AJ73" s="49" t="str">
        <f ca="1">IFERROR(INDEX(W:W,MATCH(SMALL($AU:$AU,ROW()+3),$AU:$AU,0)),"")</f>
        <v/>
      </c>
      <c r="AK73" s="49" t="str">
        <f ca="1">IFERROR(INDEX(X:X,MATCH(SMALL($AU:$AU,ROW()+3),$AU:$AU,0)),"")</f>
        <v/>
      </c>
      <c r="AL73" s="49" t="str">
        <f ca="1">IFERROR(INDEX(Y:Y,MATCH(SMALL($AU:$AU,ROW()+3),$AU:$AU,0)),"")</f>
        <v/>
      </c>
      <c r="AM73" s="49" t="str">
        <f ca="1">IFERROR(INDEX(Z:Z,MATCH(SMALL($AU:$AU,ROW()+3),$AU:$AU,0)),"")</f>
        <v/>
      </c>
      <c r="AN73" s="49" t="str">
        <f ca="1">IFERROR(INDEX(AA:AA,MATCH(SMALL($AU:$AU,ROW()+3),$AU:$AU,0)),"")</f>
        <v/>
      </c>
      <c r="AO73" s="49" t="str">
        <f ca="1">IFERROR(INDEX(AB:AB,MATCH(SMALL($AU:$AU,ROW()+3),$AU:$AU,0)),"")</f>
        <v/>
      </c>
      <c r="AP73" s="49" t="str">
        <f ca="1">IFERROR(INDEX(AC:AC,MATCH(SMALL($AU:$AU,ROW()+3),$AU:$AU,0)),"")</f>
        <v/>
      </c>
      <c r="AU73" s="49" t="str">
        <f t="shared" ca="1" si="14"/>
        <v/>
      </c>
    </row>
    <row r="74" spans="1:47" ht="19.2" customHeight="1">
      <c r="A74" s="110">
        <f t="shared" si="17"/>
        <v>13</v>
      </c>
      <c r="B74" s="111" t="str">
        <f t="shared" ca="1" si="15"/>
        <v/>
      </c>
      <c r="C74" s="111" t="str">
        <f>IF(OR(クライアント抽出!C4&lt;&gt;"",クライアント抽出!F4&lt;&gt;""),クライアント抽出!A4,"")</f>
        <v/>
      </c>
      <c r="D74" s="111" t="str">
        <f t="array" aca="1" ref="D74" ca="1">IF(C74&lt;&gt;"",INDIRECT("クライアント抽出!"&amp;E74&amp;MATCH(C74,クライアント抽出!A:A,0)&amp;""),"")</f>
        <v/>
      </c>
      <c r="E74" s="111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112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11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113" t="str">
        <f>IF(C74&lt;&gt;"",
クライアント抽出!C4,"")</f>
        <v/>
      </c>
      <c r="I74" s="111" t="str">
        <f t="array" aca="1" ref="I74" ca="1">IF(C74&lt;&gt;"",
IF(O74=1,
IF(SUMPRODUCT(COUNTIF(クライアント抽出!P4:U4,クライアント抽出!P4:U4))&gt;COUNTA(クライアント抽出!P4:U4),
INDIRECT("数出表_Excel!"&amp;INDEX(_xlfn.UNIQUE(_xlfn._xlws.FILTER(クライアント抽出!P4:U4,COUNTIF(クライアント抽出!P4:U4,クライアント抽出!P4:U4)=1)),1)&amp;L74&amp;""),
0),クライアント抽出!F4),"")</f>
        <v/>
      </c>
      <c r="J74" s="111" t="str">
        <f>IF(C74&lt;&gt;"",
VLOOKUP(
"*"&amp;LEFT(IF(COUNTIF(D74,"*学食*"),"キャラ弁（学食）",
IF(COUNTIF(D74,"*赤*"),"赤",
IF(COUNTIF(D74,"*キャラ弁当*"),"キャラ弁当",D74))),4)&amp;"*",注文弁当の抽出!$E$1:$F$15,2,FALSE),"")</f>
        <v/>
      </c>
      <c r="K74" s="111" t="str">
        <f ca="1">IF(クライアント抽出!Q4&lt;&gt;"",SUBSTITUTE(ADDRESS(1,(CODE(クライアント抽出!Q4)-64)*2-1,4),"1",""),"")</f>
        <v/>
      </c>
      <c r="L74" s="111" t="str">
        <f>IF(C4&lt;&gt;"",クライアント抽出!I4,"")</f>
        <v/>
      </c>
      <c r="M74" s="111">
        <f t="array" aca="1" ref="M74" ca="1">IF(C74&lt;&gt;"",
IF(K74&lt;&gt;"",INDIRECT("'数出表_Excel（アレルギー入力）'!"&amp;K74&amp;L74-1&amp;""),),)</f>
        <v>0</v>
      </c>
      <c r="N74" s="111" t="str">
        <f>IF(C74&lt;&gt;"",IF(OR(COUNTIF('盛付札（関数）'!D74,"*赤*"),COUNTIF('盛付札（関数）'!D74,"*キャラ*")),1,
VLOOKUP("*"&amp;D74&amp;"*",商品マスタ一覧!D:H,5,FALSE)),"")</f>
        <v/>
      </c>
      <c r="O74" s="111">
        <f t="shared" ca="1" si="16"/>
        <v>0</v>
      </c>
      <c r="P74" s="111">
        <f t="shared" si="9"/>
        <v>0</v>
      </c>
      <c r="Q74" s="111" t="b">
        <f t="shared" si="10"/>
        <v>0</v>
      </c>
      <c r="R74" s="49" t="str">
        <f t="array" aca="1" ref="R74" ca="1">IFERROR(SMALL(IF(P$1:P$311&lt;&gt;0,P$1:P$311),ROW(A74)),"")</f>
        <v/>
      </c>
      <c r="S74" s="49"/>
      <c r="T74" s="49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22" t="str">
        <f t="array" aca="1" ref="U74" ca="1">IF($R74&lt;&gt;"",
INDIRECT("F"&amp;$R74&amp;""),"")</f>
        <v/>
      </c>
      <c r="V74" s="49" t="str">
        <f t="array" aca="1" ref="V74" ca="1">IF($R74&lt;&gt;"",
INDIRECT("G"&amp;$R74&amp;""),"")</f>
        <v/>
      </c>
      <c r="W74" s="49" t="str">
        <f t="array" aca="1" ref="W74" ca="1">IF($R74&lt;&gt;"",
IF(AND(COUNTIF(INDIRECT("B"&amp;R74&amp;""),"*雙葉*"),COUNTIF(B:B,"*雙葉*")&gt;=2),
IF(OR(COUNTIF(INDIRECT("B"&amp;R74&amp;""),"*雙葉先生*"),COUNTIF($B$1:$B$70,"*雙葉*")&gt;=2),INDIRECT("H"&amp;R74&amp;""),INDIRECT("H"&amp;R74&amp;"")+INDIRECT("H"&amp;MATCH("雙葉'",INDIRECT("B"&amp;R74+3&amp;":B210"),0)+2+R74&amp;"")),
IF(AND(LEFT(INDIRECT("B"&amp;R74&amp;""),2)="博多",COUNTIF(B:B,"*博多*")&gt;=2),
INDIRECT("H"&amp;R74&amp;"")+INDIRECT("H"&amp;MATCH("*"&amp;INDIRECT("B"&amp;R74&amp;"")&amp;"*",INDIRECT("B"&amp;R74+1&amp;":B210"),0)+R74&amp;""),
IF(AND(LEFT(INDIRECT("B"&amp;R74&amp;""),3)="奈良屋",COUNTIF(B:B,"*奈良屋*")&gt;=2),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49" t="str">
        <f t="array" aca="1" ref="X74" ca="1">IF($R74&lt;&gt;"",
INDIRECT(""&amp;IF(COLUMN(I74)&lt;=26,CHAR(COLUMN(I74)+64),CHAR(INT((COLUMN(I74)-1)/26)+64)&amp;CHAR(MOD(COLUMN(I74)-1,26)+65))&amp;$R74&amp;""),"")</f>
        <v/>
      </c>
      <c r="Y74" s="49" t="str">
        <f t="array" aca="1" ref="Y74" ca="1">IF($R74&lt;&gt;"",
INDIRECT(""&amp;IF(COLUMN(J74)&lt;=26,CHAR(COLUMN(J74)+64),CHAR(INT((COLUMN(J74)-1)/26)+64)&amp;CHAR(MOD(COLUMN(J74)-1,26)+65))&amp;$R74&amp;""),"")</f>
        <v/>
      </c>
      <c r="Z74" s="49" t="str">
        <f t="shared" ca="1" si="11"/>
        <v/>
      </c>
      <c r="AA74" s="49" t="str">
        <f t="shared" ca="1" si="12"/>
        <v/>
      </c>
      <c r="AB74" s="49" t="str">
        <f t="array" aca="1" ref="AB74" ca="1">IF($R74&lt;&gt;"",
IF(AND(COUNTIF(INDIRECT("B"&amp;R74&amp;""),"*雙葉*"),COUNTIF(B:B,"*雙葉*")&gt;=2),
INDIRECT("M"&amp;R74&amp;"")+INDIRECT("M"&amp;MATCH("雙葉'",INDIRECT("B"&amp;R74+1&amp;":B210"),0)+R74&amp;""),
IF(AND(LEFT(INDIRECT("B"&amp;R74&amp;""),2)="博多",COUNTIF(B:B,"*博多*")&gt;=2),
INDIRECT("M"&amp;R74&amp;"")+INDIRECT("M"&amp;MATCH("*"&amp;INDIRECT("B"&amp;R74&amp;"")&amp;"*",INDIRECT("B"&amp;R74+1&amp;":B210"),0)+R74&amp;""),
IF(AND(LEFT(INDIRECT("B"&amp;R74&amp;""),3)="奈良屋",COUNTIF(B:B,"*奈良屋*")&gt;=2),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  <c r="AC74" s="49" t="str">
        <f>IF(S74&lt;&gt;"",INDEX(A:A, MATCH("*"&amp;LEFT(S74,4)&amp;"*", C:C, 0)),"")</f>
        <v/>
      </c>
      <c r="AD74" s="49" t="str">
        <f ca="1">IFERROR(INDEX(AC:AC,MATCH(SMALL($AU:$AU,ROW()+3),$AU:$AU,0)),"")</f>
        <v/>
      </c>
      <c r="AE74" s="49" t="str">
        <f ca="1">IFERROR(INDEX(R:R,MATCH(SMALL($AU:$AU,ROW()+3),$AU:$AU,0)),"")</f>
        <v/>
      </c>
      <c r="AF74" s="49" t="str">
        <f ca="1">IFERROR(INDEX(S:S,MATCH(SMALL($AU:$AU,ROW()+3),$AU:$AU,0)),"")</f>
        <v/>
      </c>
      <c r="AG74" s="49" t="str">
        <f ca="1">IFERROR(INDEX(T:T,MATCH(SMALL($AU:$AU,ROW()+3),$AU:$AU,0)),"")</f>
        <v/>
      </c>
      <c r="AH74" s="122" t="str">
        <f ca="1">IFERROR(INDEX(U:U,MATCH(SMALL($AU:$AU,ROW()+3),$AU:$AU,0)),"")</f>
        <v/>
      </c>
      <c r="AI74" s="49" t="str">
        <f ca="1">IFERROR(INDEX(V:V,MATCH(SMALL($AU:$AU,ROW()+3),$AU:$AU,0)),"")</f>
        <v/>
      </c>
      <c r="AJ74" s="49" t="str">
        <f ca="1">IFERROR(INDEX(W:W,MATCH(SMALL($AU:$AU,ROW()+3),$AU:$AU,0)),"")</f>
        <v/>
      </c>
      <c r="AK74" s="49" t="str">
        <f ca="1">IFERROR(INDEX(X:X,MATCH(SMALL($AU:$AU,ROW()+3),$AU:$AU,0)),"")</f>
        <v/>
      </c>
      <c r="AL74" s="49" t="str">
        <f ca="1">IFERROR(INDEX(Y:Y,MATCH(SMALL($AU:$AU,ROW()+3),$AU:$AU,0)),"")</f>
        <v/>
      </c>
      <c r="AM74" s="49" t="str">
        <f ca="1">IFERROR(INDEX(Z:Z,MATCH(SMALL($AU:$AU,ROW()+3),$AU:$AU,0)),"")</f>
        <v/>
      </c>
      <c r="AN74" s="49" t="str">
        <f ca="1">IFERROR(INDEX(AA:AA,MATCH(SMALL($AU:$AU,ROW()+3),$AU:$AU,0)),"")</f>
        <v/>
      </c>
      <c r="AO74" s="49" t="str">
        <f ca="1">IFERROR(INDEX(AB:AB,MATCH(SMALL($AU:$AU,ROW()+3),$AU:$AU,0)),"")</f>
        <v/>
      </c>
      <c r="AP74" s="49" t="str">
        <f ca="1">IFERROR(INDEX(AC:AC,MATCH(SMALL($AU:$AU,ROW()+3),$AU:$AU,0)),"")</f>
        <v/>
      </c>
      <c r="AU74" s="49" t="str">
        <f t="shared" ca="1" si="14"/>
        <v/>
      </c>
    </row>
    <row r="75" spans="1:47" ht="22.2" customHeight="1">
      <c r="A75" s="110">
        <f t="shared" si="17"/>
        <v>15</v>
      </c>
      <c r="B75" s="111" t="str">
        <f t="shared" ca="1" si="15"/>
        <v/>
      </c>
      <c r="C75" s="111" t="str">
        <f>IF(OR(クライアント抽出!C5&lt;&gt;"",クライアント抽出!F5&lt;&gt;""),クライアント抽出!A5,"")</f>
        <v/>
      </c>
      <c r="D75" s="111" t="str">
        <f t="array" aca="1" ref="D75" ca="1">IF(C75&lt;&gt;"",INDIRECT("クライアント抽出!"&amp;E75&amp;MATCH(C75,クライアント抽出!A:A,0)&amp;""),"")</f>
        <v/>
      </c>
      <c r="E75" s="111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112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11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113" t="str">
        <f>IF(C75&lt;&gt;"",
クライアント抽出!C5,"")</f>
        <v/>
      </c>
      <c r="I75" s="111" t="str">
        <f t="array" aca="1" ref="I75" ca="1">IF(C75&lt;&gt;"",
IF(O75=1,
IF(SUMPRODUCT(COUNTIF(クライアント抽出!P5:U5,クライアント抽出!P5:U5))&gt;COUNTA(クライアント抽出!P5:U5),
INDIRECT("数出表_Excel!"&amp;INDEX(_xlfn.UNIQUE(_xlfn._xlws.FILTER(クライアント抽出!P5:U5,COUNTIF(クライアント抽出!P5:U5,クライアント抽出!P5:U5)=1)),1)&amp;L75&amp;""),
0),クライアント抽出!F5),"")</f>
        <v/>
      </c>
      <c r="J75" s="111" t="str">
        <f>IF(C75&lt;&gt;"",
VLOOKUP(
"*"&amp;LEFT(IF(COUNTIF(D75,"*学食*"),"キャラ弁（学食）",
IF(COUNTIF(D75,"*赤*"),"赤",
IF(COUNTIF(D75,"*キャラ弁当*"),"キャラ弁当",D75))),4)&amp;"*",注文弁当の抽出!$E$1:$F$15,2,FALSE),"")</f>
        <v/>
      </c>
      <c r="K75" s="111" t="str">
        <f ca="1">IF(クライアント抽出!Q5&lt;&gt;"",SUBSTITUTE(ADDRESS(1,(CODE(クライアント抽出!Q5)-64)*2-1,4),"1",""),"")</f>
        <v/>
      </c>
      <c r="L75" s="111" t="str">
        <f>IF(C5&lt;&gt;"",クライアント抽出!I5,"")</f>
        <v/>
      </c>
      <c r="M75" s="111">
        <f t="array" aca="1" ref="M75" ca="1">IF(C75&lt;&gt;"",
IF(K75&lt;&gt;"",INDIRECT("'数出表_Excel（アレルギー入力）'!"&amp;K75&amp;L75-1&amp;""),),)</f>
        <v>0</v>
      </c>
      <c r="N75" s="111" t="str">
        <f>IF(C75&lt;&gt;"",IF(OR(COUNTIF('盛付札（関数）'!D75,"*赤*"),COUNTIF('盛付札（関数）'!D75,"*キャラ*")),1,
VLOOKUP("*"&amp;D75&amp;"*",商品マスタ一覧!D:H,5,FALSE)),"")</f>
        <v/>
      </c>
      <c r="O75" s="111">
        <f t="shared" ca="1" si="16"/>
        <v>0</v>
      </c>
      <c r="P75" s="111">
        <f t="shared" si="9"/>
        <v>0</v>
      </c>
      <c r="Q75" s="111" t="b">
        <f t="shared" si="10"/>
        <v>0</v>
      </c>
      <c r="R75" s="49" t="str">
        <f t="array" aca="1" ref="R75" ca="1">IFERROR(SMALL(IF(P$1:P$311&lt;&gt;0,P$1:P$311),ROW(A75)),"")</f>
        <v/>
      </c>
      <c r="S75" s="49" t="str">
        <f t="array" aca="1" ref="S75" ca="1">IF($R75&lt;&gt;"",
SUBSTITUTE(SUBSTITUTE(INDIRECT("C"&amp;$R75&amp;"")," 週3ｺｰｽ","")," 週5ｺｰｽ",""),"")</f>
        <v/>
      </c>
      <c r="T75" s="49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22" t="str">
        <f t="array" aca="1" ref="U75" ca="1">IF($R75&lt;&gt;"",
INDIRECT("F"&amp;$R75&amp;""),"")</f>
        <v/>
      </c>
      <c r="V75" s="49" t="str">
        <f t="array" aca="1" ref="V75" ca="1">IF($R75&lt;&gt;"",
INDIRECT("G"&amp;$R75&amp;""),"")</f>
        <v/>
      </c>
      <c r="W75" s="49" t="str">
        <f t="array" aca="1" ref="W75" ca="1">IF($R75&lt;&gt;"",
IF(AND(COUNTIF(INDIRECT("B"&amp;R75&amp;""),"*雙葉*"),COUNTIF(B:B,"*雙葉*")&gt;=2),
IF(OR(COUNTIF(INDIRECT("B"&amp;R75&amp;""),"*雙葉先生*"),COUNTIF($B$1:$B$70,"*雙葉*")&gt;=2),INDIRECT("H"&amp;R75&amp;""),INDIRECT("H"&amp;R75&amp;"")+INDIRECT("H"&amp;MATCH("雙葉'",INDIRECT("B"&amp;R75+3&amp;":B210"),0)+2+R75&amp;"")),
IF(AND(LEFT(INDIRECT("B"&amp;R75&amp;""),2)="博多",COUNTIF(B:B,"*博多*")&gt;=2),
INDIRECT("H"&amp;R75&amp;"")+INDIRECT("H"&amp;MATCH("*"&amp;INDIRECT("B"&amp;R75&amp;"")&amp;"*",INDIRECT("B"&amp;R75+1&amp;":B210"),0)+R75&amp;""),
IF(AND(LEFT(INDIRECT("B"&amp;R75&amp;""),3)="奈良屋",COUNTIF(B:B,"*奈良屋*")&gt;=2),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49" t="str">
        <f t="array" aca="1" ref="X75" ca="1">IF($R75&lt;&gt;"",
INDIRECT(""&amp;IF(COLUMN(I75)&lt;=26,CHAR(COLUMN(I75)+64),CHAR(INT((COLUMN(I75)-1)/26)+64)&amp;CHAR(MOD(COLUMN(I75)-1,26)+65))&amp;$R75&amp;""),"")</f>
        <v/>
      </c>
      <c r="Y75" s="49" t="str">
        <f t="array" aca="1" ref="Y75" ca="1">IF($R75&lt;&gt;"",
INDIRECT(""&amp;IF(COLUMN(J75)&lt;=26,CHAR(COLUMN(J75)+64),CHAR(INT((COLUMN(J75)-1)/26)+64)&amp;CHAR(MOD(COLUMN(J75)-1,26)+65))&amp;$R75&amp;""),"")</f>
        <v/>
      </c>
      <c r="Z75" s="49" t="str">
        <f t="shared" ca="1" si="11"/>
        <v/>
      </c>
      <c r="AA75" s="49" t="str">
        <f t="shared" ca="1" si="12"/>
        <v/>
      </c>
      <c r="AB75" s="49" t="str">
        <f t="array" aca="1" ref="AB75" ca="1">IF($R75&lt;&gt;"",
IF(AND(COUNTIF(INDIRECT("B"&amp;R75&amp;""),"*雙葉*"),COUNTIF(B:B,"*雙葉*")&gt;=2),
INDIRECT("M"&amp;R75&amp;"")+INDIRECT("M"&amp;MATCH("雙葉'",INDIRECT("B"&amp;R75+1&amp;":B210"),0)+R75&amp;""),
IF(AND(LEFT(INDIRECT("B"&amp;R75&amp;""),2)="博多",COUNTIF(B:B,"*博多*")&gt;=2),
INDIRECT("M"&amp;R75&amp;"")+INDIRECT("M"&amp;MATCH("*"&amp;INDIRECT("B"&amp;R75&amp;"")&amp;"*",INDIRECT("B"&amp;R75+1&amp;":B210"),0)+R75&amp;""),
IF(AND(LEFT(INDIRECT("B"&amp;R75&amp;""),3)="奈良屋",COUNTIF(B:B,"*奈良屋*")&gt;=2),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  <c r="AC75" s="49" t="str">
        <f ca="1">IF(S75&lt;&gt;"",INDEX(A:A, MATCH("*"&amp;LEFT(S75,4)&amp;"*", C:C, 0)),"")</f>
        <v/>
      </c>
      <c r="AD75" s="49" t="str">
        <f ca="1">IFERROR(INDEX(AC:AC,MATCH(SMALL($AU:$AU,ROW()+3),$AU:$AU,0)),"")</f>
        <v/>
      </c>
      <c r="AE75" s="49" t="str">
        <f ca="1">IFERROR(INDEX(R:R,MATCH(SMALL($AU:$AU,ROW()+3),$AU:$AU,0)),"")</f>
        <v/>
      </c>
      <c r="AF75" s="49" t="str">
        <f ca="1">IFERROR(INDEX(S:S,MATCH(SMALL($AU:$AU,ROW()+3),$AU:$AU,0)),"")</f>
        <v/>
      </c>
      <c r="AG75" s="49" t="str">
        <f ca="1">IFERROR(INDEX(T:T,MATCH(SMALL($AU:$AU,ROW()+3),$AU:$AU,0)),"")</f>
        <v/>
      </c>
      <c r="AH75" s="122" t="str">
        <f ca="1">IFERROR(INDEX(U:U,MATCH(SMALL($AU:$AU,ROW()+3),$AU:$AU,0)),"")</f>
        <v/>
      </c>
      <c r="AI75" s="49" t="str">
        <f ca="1">IFERROR(INDEX(V:V,MATCH(SMALL($AU:$AU,ROW()+3),$AU:$AU,0)),"")</f>
        <v/>
      </c>
      <c r="AJ75" s="49" t="str">
        <f ca="1">IFERROR(INDEX(W:W,MATCH(SMALL($AU:$AU,ROW()+3),$AU:$AU,0)),"")</f>
        <v/>
      </c>
      <c r="AK75" s="49" t="str">
        <f ca="1">IFERROR(INDEX(X:X,MATCH(SMALL($AU:$AU,ROW()+3),$AU:$AU,0)),"")</f>
        <v/>
      </c>
      <c r="AL75" s="49" t="str">
        <f ca="1">IFERROR(INDEX(Y:Y,MATCH(SMALL($AU:$AU,ROW()+3),$AU:$AU,0)),"")</f>
        <v/>
      </c>
      <c r="AM75" s="49" t="str">
        <f ca="1">IFERROR(INDEX(Z:Z,MATCH(SMALL($AU:$AU,ROW()+3),$AU:$AU,0)),"")</f>
        <v/>
      </c>
      <c r="AN75" s="49" t="str">
        <f ca="1">IFERROR(INDEX(AA:AA,MATCH(SMALL($AU:$AU,ROW()+3),$AU:$AU,0)),"")</f>
        <v/>
      </c>
      <c r="AO75" s="49" t="str">
        <f ca="1">IFERROR(INDEX(AB:AB,MATCH(SMALL($AU:$AU,ROW()+3),$AU:$AU,0)),"")</f>
        <v/>
      </c>
      <c r="AP75" s="49" t="str">
        <f ca="1">IFERROR(INDEX(AC:AC,MATCH(SMALL($AU:$AU,ROW()+3),$AU:$AU,0)),"")</f>
        <v/>
      </c>
      <c r="AU75" s="49" t="str">
        <f t="shared" ca="1" si="14"/>
        <v/>
      </c>
    </row>
    <row r="76" spans="1:47" ht="18" customHeight="1">
      <c r="A76" s="110">
        <f t="shared" si="17"/>
        <v>17</v>
      </c>
      <c r="B76" s="111" t="str">
        <f t="shared" ca="1" si="15"/>
        <v/>
      </c>
      <c r="C76" s="111" t="str">
        <f>IF(OR(クライアント抽出!C6&lt;&gt;"",クライアント抽出!F6&lt;&gt;""),クライアント抽出!A6,"")</f>
        <v/>
      </c>
      <c r="D76" s="111" t="str">
        <f t="array" aca="1" ref="D76" ca="1">IF(C76&lt;&gt;"",INDIRECT("クライアント抽出!"&amp;E76&amp;MATCH(C76,クライアント抽出!A:A,0)&amp;""),"")</f>
        <v/>
      </c>
      <c r="E76" s="111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112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11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113" t="str">
        <f>IF(C76&lt;&gt;"",
クライアント抽出!C6,"")</f>
        <v/>
      </c>
      <c r="I76" s="111" t="str">
        <f t="array" aca="1" ref="I76" ca="1">IF(C76&lt;&gt;"",
IF(O76=1,
IF(SUMPRODUCT(COUNTIF(クライアント抽出!P6:U6,クライアント抽出!P6:U6))&gt;COUNTA(クライアント抽出!P6:U6),
INDIRECT("数出表_Excel!"&amp;INDEX(_xlfn.UNIQUE(_xlfn._xlws.FILTER(クライアント抽出!P6:U6,COUNTIF(クライアント抽出!P6:U6,クライアント抽出!P6:U6)=1)),1)&amp;L76&amp;""),
0),クライアント抽出!F6),"")</f>
        <v/>
      </c>
      <c r="J76" s="111" t="str">
        <f>IF(C76&lt;&gt;"",
VLOOKUP(
"*"&amp;LEFT(IF(COUNTIF(D76,"*学食*"),"キャラ弁（学食）",
IF(COUNTIF(D76,"*赤*"),"赤",
IF(COUNTIF(D76,"*キャラ弁当*"),"キャラ弁当",D76))),4)&amp;"*",注文弁当の抽出!$E$1:$F$15,2,FALSE),"")</f>
        <v/>
      </c>
      <c r="K76" s="111" t="str">
        <f ca="1">IF(クライアント抽出!Q6&lt;&gt;"",SUBSTITUTE(ADDRESS(1,(CODE(クライアント抽出!Q6)-64)*2-1,4),"1",""),"")</f>
        <v/>
      </c>
      <c r="L76" s="111" t="str">
        <f>IF(C6&lt;&gt;"",クライアント抽出!I6,"")</f>
        <v/>
      </c>
      <c r="M76" s="111">
        <f t="array" aca="1" ref="M76" ca="1">IF(C76&lt;&gt;"",
IF(K76&lt;&gt;"",INDIRECT("'数出表_Excel（アレルギー入力）'!"&amp;K76&amp;L76-1&amp;""),),)</f>
        <v>0</v>
      </c>
      <c r="N76" s="111" t="str">
        <f>IF(C76&lt;&gt;"",IF(OR(COUNTIF('盛付札（関数）'!D76,"*赤*"),COUNTIF('盛付札（関数）'!D76,"*キャラ*")),1,
VLOOKUP("*"&amp;D76&amp;"*",商品マスタ一覧!D:H,5,FALSE)),"")</f>
        <v/>
      </c>
      <c r="O76" s="111">
        <f t="shared" ca="1" si="16"/>
        <v>0</v>
      </c>
      <c r="P76" s="111">
        <f t="shared" si="9"/>
        <v>0</v>
      </c>
      <c r="Q76" s="111" t="b">
        <f t="shared" si="10"/>
        <v>0</v>
      </c>
      <c r="R76" s="49" t="str">
        <f t="array" aca="1" ref="R76" ca="1">IFERROR(SMALL(IF(P$1:P$311&lt;&gt;0,P$1:P$311),ROW(A76)),"")</f>
        <v/>
      </c>
      <c r="S76" s="49" t="str">
        <f t="array" aca="1" ref="S76" ca="1">IF($R76&lt;&gt;"",
SUBSTITUTE(SUBSTITUTE(INDIRECT("C"&amp;$R76&amp;"")," 週3ｺｰｽ","")," 週5ｺｰｽ",""),"")</f>
        <v/>
      </c>
      <c r="T76" s="49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22" t="str">
        <f t="array" aca="1" ref="U76" ca="1">IF($R76&lt;&gt;"",
INDIRECT("F"&amp;$R76&amp;""),"")</f>
        <v/>
      </c>
      <c r="V76" s="49" t="str">
        <f t="array" aca="1" ref="V76" ca="1">IF($R76&lt;&gt;"",
INDIRECT("G"&amp;$R76&amp;""),"")</f>
        <v/>
      </c>
      <c r="W76" s="49" t="str">
        <f t="array" aca="1" ref="W76" ca="1">IF($R76&lt;&gt;"",
IF(AND(COUNTIF(INDIRECT("B"&amp;R76&amp;""),"*雙葉*"),COUNTIF(B:B,"*雙葉*")&gt;=2),
IF(OR(COUNTIF(INDIRECT("B"&amp;R76&amp;""),"*雙葉先生*"),COUNTIF($B$1:$B$70,"*雙葉*")&gt;=2),INDIRECT("H"&amp;R76&amp;""),INDIRECT("H"&amp;R76&amp;"")+INDIRECT("H"&amp;MATCH("雙葉'",INDIRECT("B"&amp;R76+3&amp;":B210"),0)+2+R76&amp;"")),
IF(AND(LEFT(INDIRECT("B"&amp;R76&amp;""),2)="博多",COUNTIF(B:B,"*博多*")&gt;=2),
INDIRECT("H"&amp;R76&amp;"")+INDIRECT("H"&amp;MATCH("*"&amp;INDIRECT("B"&amp;R76&amp;"")&amp;"*",INDIRECT("B"&amp;R76+1&amp;":B210"),0)+R76&amp;""),
IF(AND(LEFT(INDIRECT("B"&amp;R76&amp;""),3)="奈良屋",COUNTIF(B:B,"*奈良屋*")&gt;=2),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49" t="str">
        <f t="array" aca="1" ref="X76" ca="1">IF($R76&lt;&gt;"",
INDIRECT(""&amp;IF(COLUMN(I76)&lt;=26,CHAR(COLUMN(I76)+64),CHAR(INT((COLUMN(I76)-1)/26)+64)&amp;CHAR(MOD(COLUMN(I76)-1,26)+65))&amp;$R76&amp;""),"")</f>
        <v/>
      </c>
      <c r="Y76" s="49" t="str">
        <f t="array" aca="1" ref="Y76" ca="1">IF($R76&lt;&gt;"",
INDIRECT(""&amp;IF(COLUMN(J76)&lt;=26,CHAR(COLUMN(J76)+64),CHAR(INT((COLUMN(J76)-1)/26)+64)&amp;CHAR(MOD(COLUMN(J76)-1,26)+65))&amp;$R76&amp;""),"")</f>
        <v/>
      </c>
      <c r="Z76" s="49" t="str">
        <f t="shared" ca="1" si="11"/>
        <v/>
      </c>
      <c r="AA76" s="49" t="str">
        <f t="shared" ca="1" si="12"/>
        <v/>
      </c>
      <c r="AB76" s="49" t="str">
        <f t="array" aca="1" ref="AB76" ca="1">IF($R76&lt;&gt;"",
IF(AND(COUNTIF(INDIRECT("B"&amp;R76&amp;""),"*雙葉*"),COUNTIF(B:B,"*雙葉*")&gt;=2),
INDIRECT("M"&amp;R76&amp;"")+INDIRECT("M"&amp;MATCH("雙葉'",INDIRECT("B"&amp;R76+1&amp;":B210"),0)+R76&amp;""),
IF(AND(LEFT(INDIRECT("B"&amp;R76&amp;""),2)="博多",COUNTIF(B:B,"*博多*")&gt;=2),
INDIRECT("M"&amp;R76&amp;"")+INDIRECT("M"&amp;MATCH("*"&amp;INDIRECT("B"&amp;R76&amp;"")&amp;"*",INDIRECT("B"&amp;R76+1&amp;":B210"),0)+R76&amp;""),
IF(AND(LEFT(INDIRECT("B"&amp;R76&amp;""),3)="奈良屋",COUNTIF(B:B,"*奈良屋*")&gt;=2),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  <c r="AC76" s="49" t="str">
        <f ca="1">IF(S76&lt;&gt;"",INDEX(A:A, MATCH("*"&amp;LEFT(S76,4)&amp;"*", C:C, 0)),"")</f>
        <v/>
      </c>
      <c r="AD76" s="49" t="str">
        <f ca="1">IFERROR(INDEX(AC:AC,MATCH(SMALL($AU:$AU,ROW()+3),$AU:$AU,0)),"")</f>
        <v/>
      </c>
      <c r="AE76" s="49" t="str">
        <f ca="1">IFERROR(INDEX(R:R,MATCH(SMALL($AU:$AU,ROW()+3),$AU:$AU,0)),"")</f>
        <v/>
      </c>
      <c r="AF76" s="49" t="str">
        <f ca="1">IFERROR(INDEX(S:S,MATCH(SMALL($AU:$AU,ROW()+3),$AU:$AU,0)),"")</f>
        <v/>
      </c>
      <c r="AG76" s="49" t="str">
        <f ca="1">IFERROR(INDEX(T:T,MATCH(SMALL($AU:$AU,ROW()+3),$AU:$AU,0)),"")</f>
        <v/>
      </c>
      <c r="AH76" s="122" t="str">
        <f ca="1">IFERROR(INDEX(U:U,MATCH(SMALL($AU:$AU,ROW()+3),$AU:$AU,0)),"")</f>
        <v/>
      </c>
      <c r="AI76" s="49" t="str">
        <f ca="1">IFERROR(INDEX(V:V,MATCH(SMALL($AU:$AU,ROW()+3),$AU:$AU,0)),"")</f>
        <v/>
      </c>
      <c r="AJ76" s="49" t="str">
        <f ca="1">IFERROR(INDEX(W:W,MATCH(SMALL($AU:$AU,ROW()+3),$AU:$AU,0)),"")</f>
        <v/>
      </c>
      <c r="AK76" s="49" t="str">
        <f ca="1">IFERROR(INDEX(X:X,MATCH(SMALL($AU:$AU,ROW()+3),$AU:$AU,0)),"")</f>
        <v/>
      </c>
      <c r="AL76" s="49" t="str">
        <f ca="1">IFERROR(INDEX(Y:Y,MATCH(SMALL($AU:$AU,ROW()+3),$AU:$AU,0)),"")</f>
        <v/>
      </c>
      <c r="AM76" s="49" t="str">
        <f ca="1">IFERROR(INDEX(Z:Z,MATCH(SMALL($AU:$AU,ROW()+3),$AU:$AU,0)),"")</f>
        <v/>
      </c>
      <c r="AN76" s="49" t="str">
        <f ca="1">IFERROR(INDEX(AA:AA,MATCH(SMALL($AU:$AU,ROW()+3),$AU:$AU,0)),"")</f>
        <v/>
      </c>
      <c r="AO76" s="49" t="str">
        <f ca="1">IFERROR(INDEX(AB:AB,MATCH(SMALL($AU:$AU,ROW()+3),$AU:$AU,0)),"")</f>
        <v/>
      </c>
      <c r="AP76" s="49" t="str">
        <f ca="1">IFERROR(INDEX(AC:AC,MATCH(SMALL($AU:$AU,ROW()+3),$AU:$AU,0)),"")</f>
        <v/>
      </c>
      <c r="AU76" s="49" t="str">
        <f t="shared" ca="1" si="14"/>
        <v/>
      </c>
    </row>
    <row r="77" spans="1:47" ht="18" customHeight="1">
      <c r="A77" s="110">
        <f t="shared" si="17"/>
        <v>19</v>
      </c>
      <c r="B77" s="111" t="str">
        <f t="shared" ca="1" si="15"/>
        <v/>
      </c>
      <c r="C77" s="111" t="str">
        <f>IF(OR(クライアント抽出!C7&lt;&gt;"",クライアント抽出!F7&lt;&gt;""),クライアント抽出!A7,"")</f>
        <v/>
      </c>
      <c r="D77" s="111" t="str">
        <f t="array" aca="1" ref="D77" ca="1">IF(C77&lt;&gt;"",INDIRECT("クライアント抽出!"&amp;E77&amp;MATCH(C77,クライアント抽出!A:A,0)&amp;""),"")</f>
        <v/>
      </c>
      <c r="E77" s="111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112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11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113" t="str">
        <f>IF(C77&lt;&gt;"",
クライアント抽出!C7,"")</f>
        <v/>
      </c>
      <c r="I77" s="111" t="str">
        <f t="array" aca="1" ref="I77" ca="1">IF(C77&lt;&gt;"",
IF(O77=1,
IF(SUMPRODUCT(COUNTIF(クライアント抽出!P7:U7,クライアント抽出!P7:U7))&gt;COUNTA(クライアント抽出!P7:U7),
INDIRECT("数出表_Excel!"&amp;INDEX(_xlfn.UNIQUE(_xlfn._xlws.FILTER(クライアント抽出!P7:U7,COUNTIF(クライアント抽出!P7:U7,クライアント抽出!P7:U7)=1)),1)&amp;L77&amp;""),
0),クライアント抽出!F7),"")</f>
        <v/>
      </c>
      <c r="J77" s="111" t="str">
        <f>IF(C77&lt;&gt;"",
VLOOKUP(
"*"&amp;LEFT(IF(COUNTIF(D77,"*学食*"),"キャラ弁（学食）",
IF(COUNTIF(D77,"*赤*"),"赤",
IF(COUNTIF(D77,"*キャラ弁当*"),"キャラ弁当",D77))),4)&amp;"*",注文弁当の抽出!$E$1:$F$15,2,FALSE),"")</f>
        <v/>
      </c>
      <c r="K77" s="111" t="str">
        <f ca="1">IF(クライアント抽出!Q7&lt;&gt;"",SUBSTITUTE(ADDRESS(1,(CODE(クライアント抽出!Q7)-64)*2-1,4),"1",""),"")</f>
        <v/>
      </c>
      <c r="L77" s="111" t="str">
        <f>IF(C7&lt;&gt;"",クライアント抽出!I7,"")</f>
        <v/>
      </c>
      <c r="M77" s="111">
        <f t="array" aca="1" ref="M77" ca="1">IF(C77&lt;&gt;"",
IF(K77&lt;&gt;"",INDIRECT("'数出表_Excel（アレルギー入力）'!"&amp;K77&amp;L77-1&amp;""),),)</f>
        <v>0</v>
      </c>
      <c r="N77" s="111" t="str">
        <f>IF(C77&lt;&gt;"",IF(OR(COUNTIF('盛付札（関数）'!D77,"*赤*"),COUNTIF('盛付札（関数）'!D77,"*キャラ*")),1,
VLOOKUP("*"&amp;D77&amp;"*",商品マスタ一覧!D:H,5,FALSE)),"")</f>
        <v/>
      </c>
      <c r="O77" s="111">
        <f t="shared" ca="1" si="16"/>
        <v>0</v>
      </c>
      <c r="P77" s="111">
        <f t="shared" si="9"/>
        <v>0</v>
      </c>
      <c r="Q77" s="111" t="b">
        <f t="shared" si="10"/>
        <v>0</v>
      </c>
      <c r="R77" s="49" t="str">
        <f t="array" aca="1" ref="R77" ca="1">IFERROR(SMALL(IF(P$1:P$311&lt;&gt;0,P$1:P$311),ROW(A77)),"")</f>
        <v/>
      </c>
      <c r="S77" s="49" t="str">
        <f t="array" aca="1" ref="S77" ca="1">IF($R77&lt;&gt;"",
SUBSTITUTE(SUBSTITUTE(INDIRECT("C"&amp;$R77&amp;"")," 週3ｺｰｽ","")," 週5ｺｰｽ",""),"")</f>
        <v/>
      </c>
      <c r="T77" s="49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22" t="str">
        <f t="array" aca="1" ref="U77" ca="1">IF($R77&lt;&gt;"",
INDIRECT("F"&amp;$R77&amp;""),"")</f>
        <v/>
      </c>
      <c r="V77" s="49" t="str">
        <f t="array" aca="1" ref="V77" ca="1">IF($R77&lt;&gt;"",
INDIRECT("G"&amp;$R77&amp;""),"")</f>
        <v/>
      </c>
      <c r="W77" s="49" t="str">
        <f t="array" aca="1" ref="W77" ca="1">IF($R77&lt;&gt;"",
IF(AND(COUNTIF(INDIRECT("B"&amp;R77&amp;""),"*雙葉*"),COUNTIF(B:B,"*雙葉*")&gt;=2),
IF(OR(COUNTIF(INDIRECT("B"&amp;R77&amp;""),"*雙葉先生*"),COUNTIF($B$1:$B$70,"*雙葉*")&gt;=2),INDIRECT("H"&amp;R77&amp;""),INDIRECT("H"&amp;R77&amp;"")+INDIRECT("H"&amp;MATCH("雙葉'",INDIRECT("B"&amp;R77+3&amp;":B210"),0)+2+R77&amp;"")),
IF(AND(LEFT(INDIRECT("B"&amp;R77&amp;""),2)="博多",COUNTIF(B:B,"*博多*")&gt;=2),
INDIRECT("H"&amp;R77&amp;"")+INDIRECT("H"&amp;MATCH("*"&amp;INDIRECT("B"&amp;R77&amp;"")&amp;"*",INDIRECT("B"&amp;R77+1&amp;":B210"),0)+R77&amp;""),
IF(AND(LEFT(INDIRECT("B"&amp;R77&amp;""),3)="奈良屋",COUNTIF(B:B,"*奈良屋*")&gt;=2),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49" t="str">
        <f t="array" aca="1" ref="X77" ca="1">IF($R77&lt;&gt;"",
INDIRECT(""&amp;IF(COLUMN(I77)&lt;=26,CHAR(COLUMN(I77)+64),CHAR(INT((COLUMN(I77)-1)/26)+64)&amp;CHAR(MOD(COLUMN(I77)-1,26)+65))&amp;$R77&amp;""),"")</f>
        <v/>
      </c>
      <c r="Y77" s="49" t="str">
        <f t="array" aca="1" ref="Y77" ca="1">IF($R77&lt;&gt;"",
INDIRECT(""&amp;IF(COLUMN(J77)&lt;=26,CHAR(COLUMN(J77)+64),CHAR(INT((COLUMN(J77)-1)/26)+64)&amp;CHAR(MOD(COLUMN(J77)-1,26)+65))&amp;$R77&amp;""),"")</f>
        <v/>
      </c>
      <c r="Z77" s="49" t="str">
        <f t="shared" ca="1" si="11"/>
        <v/>
      </c>
      <c r="AA77" s="49" t="str">
        <f t="shared" ca="1" si="12"/>
        <v/>
      </c>
      <c r="AB77" s="49" t="str">
        <f t="array" aca="1" ref="AB77" ca="1">IF($R77&lt;&gt;"",
IF(AND(COUNTIF(INDIRECT("B"&amp;R77&amp;""),"*雙葉*"),COUNTIF(B:B,"*雙葉*")&gt;=2),
INDIRECT("M"&amp;R77&amp;"")+INDIRECT("M"&amp;MATCH("雙葉'",INDIRECT("B"&amp;R77+1&amp;":B210"),0)+R77&amp;""),
IF(AND(LEFT(INDIRECT("B"&amp;R77&amp;""),2)="博多",COUNTIF(B:B,"*博多*")&gt;=2),
INDIRECT("M"&amp;R77&amp;"")+INDIRECT("M"&amp;MATCH("*"&amp;INDIRECT("B"&amp;R77&amp;"")&amp;"*",INDIRECT("B"&amp;R77+1&amp;":B210"),0)+R77&amp;""),
IF(AND(LEFT(INDIRECT("B"&amp;R77&amp;""),3)="奈良屋",COUNTIF(B:B,"*奈良屋*")&gt;=2),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  <c r="AC77" s="49" t="str">
        <f ca="1">IF(S77&lt;&gt;"",INDEX(A:A, MATCH("*"&amp;LEFT(S77,4)&amp;"*", C:C, 0)),"")</f>
        <v/>
      </c>
      <c r="AD77" s="49" t="str">
        <f ca="1">IFERROR(INDEX(AC:AC,MATCH(SMALL($AU:$AU,ROW()+3),$AU:$AU,0)),"")</f>
        <v/>
      </c>
      <c r="AE77" s="49" t="str">
        <f ca="1">IFERROR(INDEX(R:R,MATCH(SMALL($AU:$AU,ROW()+3),$AU:$AU,0)),"")</f>
        <v/>
      </c>
      <c r="AF77" s="49" t="str">
        <f ca="1">IFERROR(INDEX(S:S,MATCH(SMALL($AU:$AU,ROW()+3),$AU:$AU,0)),"")</f>
        <v/>
      </c>
      <c r="AG77" s="49" t="str">
        <f ca="1">IFERROR(INDEX(T:T,MATCH(SMALL($AU:$AU,ROW()+3),$AU:$AU,0)),"")</f>
        <v/>
      </c>
      <c r="AH77" s="122" t="str">
        <f ca="1">IFERROR(INDEX(U:U,MATCH(SMALL($AU:$AU,ROW()+3),$AU:$AU,0)),"")</f>
        <v/>
      </c>
      <c r="AI77" s="49" t="str">
        <f ca="1">IFERROR(INDEX(V:V,MATCH(SMALL($AU:$AU,ROW()+3),$AU:$AU,0)),"")</f>
        <v/>
      </c>
      <c r="AJ77" s="49" t="str">
        <f ca="1">IFERROR(INDEX(W:W,MATCH(SMALL($AU:$AU,ROW()+3),$AU:$AU,0)),"")</f>
        <v/>
      </c>
      <c r="AK77" s="49" t="str">
        <f ca="1">IFERROR(INDEX(X:X,MATCH(SMALL($AU:$AU,ROW()+3),$AU:$AU,0)),"")</f>
        <v/>
      </c>
      <c r="AL77" s="49" t="str">
        <f ca="1">IFERROR(INDEX(Y:Y,MATCH(SMALL($AU:$AU,ROW()+3),$AU:$AU,0)),"")</f>
        <v/>
      </c>
      <c r="AM77" s="49" t="str">
        <f ca="1">IFERROR(INDEX(Z:Z,MATCH(SMALL($AU:$AU,ROW()+3),$AU:$AU,0)),"")</f>
        <v/>
      </c>
      <c r="AN77" s="49" t="str">
        <f ca="1">IFERROR(INDEX(AA:AA,MATCH(SMALL($AU:$AU,ROW()+3),$AU:$AU,0)),"")</f>
        <v/>
      </c>
      <c r="AO77" s="49" t="str">
        <f ca="1">IFERROR(INDEX(AB:AB,MATCH(SMALL($AU:$AU,ROW()+3),$AU:$AU,0)),"")</f>
        <v/>
      </c>
      <c r="AP77" s="49" t="str">
        <f ca="1">IFERROR(INDEX(AC:AC,MATCH(SMALL($AU:$AU,ROW()+3),$AU:$AU,0)),"")</f>
        <v/>
      </c>
      <c r="AU77" s="49" t="str">
        <f t="shared" ca="1" si="14"/>
        <v/>
      </c>
    </row>
    <row r="78" spans="1:47" ht="22.2" customHeight="1">
      <c r="A78" s="110">
        <f t="shared" si="17"/>
        <v>21</v>
      </c>
      <c r="B78" s="111" t="str">
        <f t="shared" ca="1" si="15"/>
        <v/>
      </c>
      <c r="C78" s="111" t="str">
        <f>IF(OR(クライアント抽出!C8&lt;&gt;"",クライアント抽出!F8&lt;&gt;""),クライアント抽出!A8,"")</f>
        <v/>
      </c>
      <c r="D78" s="111" t="str">
        <f t="array" aca="1" ref="D78" ca="1">IF(C78&lt;&gt;"",INDIRECT("クライアント抽出!"&amp;E78&amp;MATCH(C78,クライアント抽出!A:A,0)&amp;""),"")</f>
        <v/>
      </c>
      <c r="E78" s="111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112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11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113" t="str">
        <f>IF(C78&lt;&gt;"",
クライアント抽出!C8,"")</f>
        <v/>
      </c>
      <c r="I78" s="111" t="str">
        <f t="array" aca="1" ref="I78" ca="1">IF(C78&lt;&gt;"",
IF(O78=1,
IF(SUMPRODUCT(COUNTIF(クライアント抽出!P8:U8,クライアント抽出!P8:U8))&gt;COUNTA(クライアント抽出!P8:U8),
INDIRECT("数出表_Excel!"&amp;INDEX(_xlfn.UNIQUE(_xlfn._xlws.FILTER(クライアント抽出!P8:U8,COUNTIF(クライアント抽出!P8:U8,クライアント抽出!P8:U8)=1)),1)&amp;L78&amp;""),
0),クライアント抽出!F8),"")</f>
        <v/>
      </c>
      <c r="J78" s="111" t="str">
        <f>IF(C78&lt;&gt;"",
VLOOKUP(
"*"&amp;LEFT(IF(COUNTIF(D78,"*学食*"),"キャラ弁（学食）",
IF(COUNTIF(D78,"*赤*"),"赤",
IF(COUNTIF(D78,"*キャラ弁当*"),"キャラ弁当",D78))),4)&amp;"*",注文弁当の抽出!$E$1:$F$15,2,FALSE),"")</f>
        <v/>
      </c>
      <c r="K78" s="111" t="str">
        <f ca="1">IF(クライアント抽出!Q8&lt;&gt;"",SUBSTITUTE(ADDRESS(1,(CODE(クライアント抽出!Q8)-64)*2-1,4),"1",""),"")</f>
        <v/>
      </c>
      <c r="L78" s="111" t="str">
        <f>IF(C8&lt;&gt;"",クライアント抽出!I8,"")</f>
        <v/>
      </c>
      <c r="M78" s="111">
        <f t="array" aca="1" ref="M78" ca="1">IF(C78&lt;&gt;"",
IF(K78&lt;&gt;"",INDIRECT("'数出表_Excel（アレルギー入力）'!"&amp;K78&amp;L78-1&amp;""),),)</f>
        <v>0</v>
      </c>
      <c r="N78" s="111" t="str">
        <f>IF(C78&lt;&gt;"",IF(OR(COUNTIF('盛付札（関数）'!D78,"*赤*"),COUNTIF('盛付札（関数）'!D78,"*キャラ*")),1,
VLOOKUP("*"&amp;D78&amp;"*",商品マスタ一覧!D:H,5,FALSE)),"")</f>
        <v/>
      </c>
      <c r="O78" s="111">
        <f t="shared" ca="1" si="16"/>
        <v>0</v>
      </c>
      <c r="P78" s="111">
        <f t="shared" si="9"/>
        <v>0</v>
      </c>
      <c r="Q78" s="111" t="b">
        <f t="shared" si="10"/>
        <v>0</v>
      </c>
      <c r="R78" s="49" t="str">
        <f t="array" aca="1" ref="R78" ca="1">IFERROR(SMALL(IF(P$1:P$311&lt;&gt;0,P$1:P$311),ROW(A78)),"")</f>
        <v/>
      </c>
      <c r="S78" s="49" t="str">
        <f t="array" aca="1" ref="S78" ca="1">IF($R78&lt;&gt;"",
SUBSTITUTE(SUBSTITUTE(INDIRECT("C"&amp;$R78&amp;"")," 週3ｺｰｽ","")," 週5ｺｰｽ",""),"")</f>
        <v/>
      </c>
      <c r="T78" s="49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22" t="str">
        <f t="array" aca="1" ref="U78" ca="1">IF($R78&lt;&gt;"",
INDIRECT("F"&amp;$R78&amp;""),"")</f>
        <v/>
      </c>
      <c r="V78" s="49" t="str">
        <f t="array" aca="1" ref="V78" ca="1">IF($R78&lt;&gt;"",
INDIRECT("G"&amp;$R78&amp;""),"")</f>
        <v/>
      </c>
      <c r="W78" s="49" t="str">
        <f t="array" aca="1" ref="W78" ca="1">IF($R78&lt;&gt;"",
IF(AND(COUNTIF(INDIRECT("B"&amp;R78&amp;""),"*雙葉*"),COUNTIF(B:B,"*雙葉*")&gt;=2),
IF(OR(COUNTIF(INDIRECT("B"&amp;R78&amp;""),"*雙葉先生*"),COUNTIF($B$1:$B$70,"*雙葉*")&gt;=2),INDIRECT("H"&amp;R78&amp;""),INDIRECT("H"&amp;R78&amp;"")+INDIRECT("H"&amp;MATCH("雙葉'",INDIRECT("B"&amp;R78+3&amp;":B210"),0)+2+R78&amp;"")),
IF(AND(LEFT(INDIRECT("B"&amp;R78&amp;""),2)="博多",COUNTIF(B:B,"*博多*")&gt;=2),
INDIRECT("H"&amp;R78&amp;"")+INDIRECT("H"&amp;MATCH("*"&amp;INDIRECT("B"&amp;R78&amp;"")&amp;"*",INDIRECT("B"&amp;R78+1&amp;":B210"),0)+R78&amp;""),
IF(AND(LEFT(INDIRECT("B"&amp;R78&amp;""),3)="奈良屋",COUNTIF(B:B,"*奈良屋*")&gt;=2),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49" t="str">
        <f t="array" aca="1" ref="X78" ca="1">IF($R78&lt;&gt;"",
INDIRECT(""&amp;IF(COLUMN(I78)&lt;=26,CHAR(COLUMN(I78)+64),CHAR(INT((COLUMN(I78)-1)/26)+64)&amp;CHAR(MOD(COLUMN(I78)-1,26)+65))&amp;$R78&amp;""),"")</f>
        <v/>
      </c>
      <c r="Y78" s="49" t="str">
        <f t="array" aca="1" ref="Y78" ca="1">IF($R78&lt;&gt;"",
INDIRECT(""&amp;IF(COLUMN(J78)&lt;=26,CHAR(COLUMN(J78)+64),CHAR(INT((COLUMN(J78)-1)/26)+64)&amp;CHAR(MOD(COLUMN(J78)-1,26)+65))&amp;$R78&amp;""),"")</f>
        <v/>
      </c>
      <c r="Z78" s="49" t="str">
        <f t="shared" ca="1" si="11"/>
        <v/>
      </c>
      <c r="AA78" s="49" t="str">
        <f t="shared" ca="1" si="12"/>
        <v/>
      </c>
      <c r="AB78" s="49" t="str">
        <f t="array" aca="1" ref="AB78" ca="1">IF($R78&lt;&gt;"",
IF(AND(COUNTIF(INDIRECT("B"&amp;R78&amp;""),"*雙葉*"),COUNTIF(B:B,"*雙葉*")&gt;=2),
INDIRECT("M"&amp;R78&amp;"")+INDIRECT("M"&amp;MATCH("雙葉'",INDIRECT("B"&amp;R78+1&amp;":B210"),0)+R78&amp;""),
IF(AND(LEFT(INDIRECT("B"&amp;R78&amp;""),2)="博多",COUNTIF(B:B,"*博多*")&gt;=2),
INDIRECT("M"&amp;R78&amp;"")+INDIRECT("M"&amp;MATCH("*"&amp;INDIRECT("B"&amp;R78&amp;"")&amp;"*",INDIRECT("B"&amp;R78+1&amp;":B210"),0)+R78&amp;""),
IF(AND(LEFT(INDIRECT("B"&amp;R78&amp;""),3)="奈良屋",COUNTIF(B:B,"*奈良屋*")&gt;=2),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  <c r="AC78" s="49" t="str">
        <f ca="1">IF(S78&lt;&gt;"",INDEX(A:A, MATCH("*"&amp;LEFT(S78,4)&amp;"*", C:C, 0)),"")</f>
        <v/>
      </c>
      <c r="AD78" s="49" t="str">
        <f ca="1">IFERROR(INDEX(AC:AC,MATCH(SMALL($AU:$AU,ROW()+3),$AU:$AU,0)),"")</f>
        <v/>
      </c>
      <c r="AE78" s="49" t="str">
        <f ca="1">IFERROR(INDEX(R:R,MATCH(SMALL($AU:$AU,ROW()+3),$AU:$AU,0)),"")</f>
        <v/>
      </c>
      <c r="AF78" s="49" t="str">
        <f ca="1">IFERROR(INDEX(S:S,MATCH(SMALL($AU:$AU,ROW()+3),$AU:$AU,0)),"")</f>
        <v/>
      </c>
      <c r="AG78" s="49" t="str">
        <f ca="1">IFERROR(INDEX(T:T,MATCH(SMALL($AU:$AU,ROW()+3),$AU:$AU,0)),"")</f>
        <v/>
      </c>
      <c r="AH78" s="122" t="str">
        <f ca="1">IFERROR(INDEX(U:U,MATCH(SMALL($AU:$AU,ROW()+3),$AU:$AU,0)),"")</f>
        <v/>
      </c>
      <c r="AI78" s="49" t="str">
        <f ca="1">IFERROR(INDEX(V:V,MATCH(SMALL($AU:$AU,ROW()+3),$AU:$AU,0)),"")</f>
        <v/>
      </c>
      <c r="AJ78" s="49" t="str">
        <f ca="1">IFERROR(INDEX(W:W,MATCH(SMALL($AU:$AU,ROW()+3),$AU:$AU,0)),"")</f>
        <v/>
      </c>
      <c r="AK78" s="49" t="str">
        <f ca="1">IFERROR(INDEX(X:X,MATCH(SMALL($AU:$AU,ROW()+3),$AU:$AU,0)),"")</f>
        <v/>
      </c>
      <c r="AL78" s="49" t="str">
        <f ca="1">IFERROR(INDEX(Y:Y,MATCH(SMALL($AU:$AU,ROW()+3),$AU:$AU,0)),"")</f>
        <v/>
      </c>
      <c r="AM78" s="49" t="str">
        <f ca="1">IFERROR(INDEX(Z:Z,MATCH(SMALL($AU:$AU,ROW()+3),$AU:$AU,0)),"")</f>
        <v/>
      </c>
      <c r="AN78" s="49" t="str">
        <f ca="1">IFERROR(INDEX(AA:AA,MATCH(SMALL($AU:$AU,ROW()+3),$AU:$AU,0)),"")</f>
        <v/>
      </c>
      <c r="AO78" s="49" t="str">
        <f ca="1">IFERROR(INDEX(AB:AB,MATCH(SMALL($AU:$AU,ROW()+3),$AU:$AU,0)),"")</f>
        <v/>
      </c>
      <c r="AP78" s="49" t="str">
        <f ca="1">IFERROR(INDEX(AC:AC,MATCH(SMALL($AU:$AU,ROW()+3),$AU:$AU,0)),"")</f>
        <v/>
      </c>
      <c r="AU78" s="49" t="str">
        <f t="shared" ca="1" si="14"/>
        <v/>
      </c>
    </row>
    <row r="79" spans="1:47" ht="21" customHeight="1">
      <c r="A79" s="110">
        <f t="shared" si="17"/>
        <v>23</v>
      </c>
      <c r="B79" s="111" t="str">
        <f t="shared" ca="1" si="15"/>
        <v/>
      </c>
      <c r="C79" s="111" t="str">
        <f>IF(OR(クライアント抽出!C9&lt;&gt;"",クライアント抽出!F9&lt;&gt;""),クライアント抽出!A9,"")</f>
        <v/>
      </c>
      <c r="D79" s="111" t="str">
        <f t="array" aca="1" ref="D79" ca="1">IF(C79&lt;&gt;"",INDIRECT("クライアント抽出!"&amp;E79&amp;MATCH(C79,クライアント抽出!A:A,0)&amp;""),"")</f>
        <v/>
      </c>
      <c r="E79" s="111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112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11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113" t="str">
        <f>IF(C79&lt;&gt;"",
クライアント抽出!C9,"")</f>
        <v/>
      </c>
      <c r="I79" s="111" t="str">
        <f t="array" aca="1" ref="I79" ca="1">IF(C79&lt;&gt;"",
IF(O79=1,
IF(SUMPRODUCT(COUNTIF(クライアント抽出!P9:U9,クライアント抽出!P9:U9))&gt;COUNTA(クライアント抽出!P9:U9),
INDIRECT("数出表_Excel!"&amp;INDEX(_xlfn.UNIQUE(_xlfn._xlws.FILTER(クライアント抽出!P9:U9,COUNTIF(クライアント抽出!P9:U9,クライアント抽出!P9:U9)=1)),1)&amp;L79&amp;""),
0),クライアント抽出!F9),"")</f>
        <v/>
      </c>
      <c r="J79" s="111" t="str">
        <f>IF(C79&lt;&gt;"",
VLOOKUP(
"*"&amp;LEFT(IF(COUNTIF(D79,"*学食*"),"キャラ弁（学食）",
IF(COUNTIF(D79,"*赤*"),"赤",
IF(COUNTIF(D79,"*キャラ弁当*"),"キャラ弁当",D79))),4)&amp;"*",注文弁当の抽出!$E$1:$F$15,2,FALSE),"")</f>
        <v/>
      </c>
      <c r="K79" s="111" t="str">
        <f ca="1">IF(クライアント抽出!Q9&lt;&gt;"",SUBSTITUTE(ADDRESS(1,(CODE(クライアント抽出!Q9)-64)*2-1,4),"1",""),"")</f>
        <v/>
      </c>
      <c r="L79" s="111" t="str">
        <f>IF(C9&lt;&gt;"",クライアント抽出!I9,"")</f>
        <v/>
      </c>
      <c r="M79" s="111">
        <f t="array" aca="1" ref="M79" ca="1">IF(C79&lt;&gt;"",
IF(K79&lt;&gt;"",INDIRECT("'数出表_Excel（アレルギー入力）'!"&amp;K79&amp;L79-1&amp;""),),)</f>
        <v>0</v>
      </c>
      <c r="N79" s="111" t="str">
        <f>IF(C79&lt;&gt;"",IF(OR(COUNTIF('盛付札（関数）'!D79,"*赤*"),COUNTIF('盛付札（関数）'!D79,"*キャラ*")),1,
VLOOKUP("*"&amp;D79&amp;"*",商品マスタ一覧!D:H,5,FALSE)),"")</f>
        <v/>
      </c>
      <c r="O79" s="111">
        <f t="shared" ca="1" si="16"/>
        <v>0</v>
      </c>
      <c r="P79" s="111">
        <f t="shared" si="9"/>
        <v>0</v>
      </c>
      <c r="Q79" s="111" t="b">
        <f t="shared" si="10"/>
        <v>0</v>
      </c>
      <c r="R79" s="49" t="str">
        <f t="array" aca="1" ref="R79" ca="1">IFERROR(SMALL(IF(P$1:P$311&lt;&gt;0,P$1:P$311),ROW(A79)),"")</f>
        <v/>
      </c>
      <c r="S79" s="49" t="str">
        <f t="array" aca="1" ref="S79" ca="1">IF($R79&lt;&gt;"",
SUBSTITUTE(SUBSTITUTE(INDIRECT("C"&amp;$R79&amp;"")," 週3ｺｰｽ","")," 週5ｺｰｽ",""),"")</f>
        <v/>
      </c>
      <c r="T79" s="49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22" t="str">
        <f t="array" aca="1" ref="U79" ca="1">IF($R79&lt;&gt;"",
INDIRECT("F"&amp;$R79&amp;""),"")</f>
        <v/>
      </c>
      <c r="V79" s="49" t="str">
        <f t="array" aca="1" ref="V79" ca="1">IF($R79&lt;&gt;"",
INDIRECT("G"&amp;$R79&amp;""),"")</f>
        <v/>
      </c>
      <c r="W79" s="49" t="str">
        <f t="array" aca="1" ref="W79" ca="1">IF($R79&lt;&gt;"",
IF(AND(COUNTIF(INDIRECT("B"&amp;R79&amp;""),"*雙葉*"),COUNTIF(B:B,"*雙葉*")&gt;=2),
IF(OR(COUNTIF(INDIRECT("B"&amp;R79&amp;""),"*雙葉先生*"),COUNTIF($B$1:$B$70,"*雙葉*")&gt;=2),INDIRECT("H"&amp;R79&amp;""),INDIRECT("H"&amp;R79&amp;"")+INDIRECT("H"&amp;MATCH("雙葉'",INDIRECT("B"&amp;R79+3&amp;":B210"),0)+2+R79&amp;"")),
IF(AND(LEFT(INDIRECT("B"&amp;R79&amp;""),2)="博多",COUNTIF(B:B,"*博多*")&gt;=2),
INDIRECT("H"&amp;R79&amp;"")+INDIRECT("H"&amp;MATCH("*"&amp;INDIRECT("B"&amp;R79&amp;"")&amp;"*",INDIRECT("B"&amp;R79+1&amp;":B210"),0)+R79&amp;""),
IF(AND(LEFT(INDIRECT("B"&amp;R79&amp;""),3)="奈良屋",COUNTIF(B:B,"*奈良屋*")&gt;=2),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49" t="str">
        <f t="array" aca="1" ref="X79" ca="1">IF($R79&lt;&gt;"",
INDIRECT(""&amp;IF(COLUMN(I79)&lt;=26,CHAR(COLUMN(I79)+64),CHAR(INT((COLUMN(I79)-1)/26)+64)&amp;CHAR(MOD(COLUMN(I79)-1,26)+65))&amp;$R79&amp;""),"")</f>
        <v/>
      </c>
      <c r="Y79" s="49" t="str">
        <f t="array" aca="1" ref="Y79" ca="1">IF($R79&lt;&gt;"",
INDIRECT(""&amp;IF(COLUMN(J79)&lt;=26,CHAR(COLUMN(J79)+64),CHAR(INT((COLUMN(J79)-1)/26)+64)&amp;CHAR(MOD(COLUMN(J79)-1,26)+65))&amp;$R79&amp;""),"")</f>
        <v/>
      </c>
      <c r="Z79" s="49" t="str">
        <f t="shared" ca="1" si="11"/>
        <v/>
      </c>
      <c r="AA79" s="49" t="str">
        <f t="shared" ca="1" si="12"/>
        <v/>
      </c>
      <c r="AB79" s="49" t="str">
        <f t="array" aca="1" ref="AB79" ca="1">IF($R79&lt;&gt;"",
IF(AND(COUNTIF(INDIRECT("B"&amp;R79&amp;""),"*雙葉*"),COUNTIF(B:B,"*雙葉*")&gt;=2),
INDIRECT("M"&amp;R79&amp;"")+INDIRECT("M"&amp;MATCH("雙葉'",INDIRECT("B"&amp;R79+1&amp;":B210"),0)+R79&amp;""),
IF(AND(LEFT(INDIRECT("B"&amp;R79&amp;""),2)="博多",COUNTIF(B:B,"*博多*")&gt;=2),
INDIRECT("M"&amp;R79&amp;"")+INDIRECT("M"&amp;MATCH("*"&amp;INDIRECT("B"&amp;R79&amp;"")&amp;"*",INDIRECT("B"&amp;R79+1&amp;":B210"),0)+R79&amp;""),
IF(AND(LEFT(INDIRECT("B"&amp;R79&amp;""),3)="奈良屋",COUNTIF(B:B,"*奈良屋*")&gt;=2),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  <c r="AC79" s="49" t="str">
        <f ca="1">IF(S79&lt;&gt;"",INDEX(A:A, MATCH("*"&amp;LEFT(S79,4)&amp;"*", C:C, 0)),"")</f>
        <v/>
      </c>
      <c r="AD79" s="49" t="str">
        <f ca="1">IFERROR(INDEX(AC:AC,MATCH(SMALL($AU:$AU,ROW()+3),$AU:$AU,0)),"")</f>
        <v/>
      </c>
      <c r="AE79" s="49" t="str">
        <f ca="1">IFERROR(INDEX(R:R,MATCH(SMALL($AU:$AU,ROW()+3),$AU:$AU,0)),"")</f>
        <v/>
      </c>
      <c r="AF79" s="49" t="str">
        <f ca="1">IFERROR(INDEX(S:S,MATCH(SMALL($AU:$AU,ROW()+3),$AU:$AU,0)),"")</f>
        <v/>
      </c>
      <c r="AG79" s="49" t="str">
        <f ca="1">IFERROR(INDEX(T:T,MATCH(SMALL($AU:$AU,ROW()+3),$AU:$AU,0)),"")</f>
        <v/>
      </c>
      <c r="AH79" s="122" t="str">
        <f ca="1">IFERROR(INDEX(U:U,MATCH(SMALL($AU:$AU,ROW()+3),$AU:$AU,0)),"")</f>
        <v/>
      </c>
      <c r="AI79" s="49" t="str">
        <f ca="1">IFERROR(INDEX(V:V,MATCH(SMALL($AU:$AU,ROW()+3),$AU:$AU,0)),"")</f>
        <v/>
      </c>
      <c r="AJ79" s="49" t="str">
        <f ca="1">IFERROR(INDEX(W:W,MATCH(SMALL($AU:$AU,ROW()+3),$AU:$AU,0)),"")</f>
        <v/>
      </c>
      <c r="AK79" s="49" t="str">
        <f ca="1">IFERROR(INDEX(X:X,MATCH(SMALL($AU:$AU,ROW()+3),$AU:$AU,0)),"")</f>
        <v/>
      </c>
      <c r="AL79" s="49" t="str">
        <f ca="1">IFERROR(INDEX(Y:Y,MATCH(SMALL($AU:$AU,ROW()+3),$AU:$AU,0)),"")</f>
        <v/>
      </c>
      <c r="AM79" s="49" t="str">
        <f ca="1">IFERROR(INDEX(Z:Z,MATCH(SMALL($AU:$AU,ROW()+3),$AU:$AU,0)),"")</f>
        <v/>
      </c>
      <c r="AN79" s="49" t="str">
        <f ca="1">IFERROR(INDEX(AA:AA,MATCH(SMALL($AU:$AU,ROW()+3),$AU:$AU,0)),"")</f>
        <v/>
      </c>
      <c r="AO79" s="49" t="str">
        <f ca="1">IFERROR(INDEX(AB:AB,MATCH(SMALL($AU:$AU,ROW()+3),$AU:$AU,0)),"")</f>
        <v/>
      </c>
      <c r="AP79" s="49" t="str">
        <f ca="1">IFERROR(INDEX(AC:AC,MATCH(SMALL($AU:$AU,ROW()+3),$AU:$AU,0)),"")</f>
        <v/>
      </c>
      <c r="AU79" s="49" t="str">
        <f t="shared" ca="1" si="14"/>
        <v/>
      </c>
    </row>
    <row r="80" spans="1:47" ht="22.2" customHeight="1">
      <c r="A80" s="110">
        <f t="shared" si="17"/>
        <v>25</v>
      </c>
      <c r="B80" s="111" t="str">
        <f t="shared" ca="1" si="15"/>
        <v/>
      </c>
      <c r="C80" s="111" t="str">
        <f>IF(OR(クライアント抽出!C10&lt;&gt;"",クライアント抽出!F10&lt;&gt;""),クライアント抽出!A10,"")</f>
        <v/>
      </c>
      <c r="D80" s="111" t="str">
        <f t="array" aca="1" ref="D80" ca="1">IF(C80&lt;&gt;"",INDIRECT("クライアント抽出!"&amp;E80&amp;MATCH(C80,クライアント抽出!A:A,0)&amp;""),"")</f>
        <v/>
      </c>
      <c r="E80" s="111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112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11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113" t="str">
        <f>IF(C80&lt;&gt;"",
クライアント抽出!C10,"")</f>
        <v/>
      </c>
      <c r="I80" s="111" t="str">
        <f t="array" aca="1" ref="I80" ca="1">IF(C80&lt;&gt;"",
IF(O80=1,
IF(SUMPRODUCT(COUNTIF(クライアント抽出!P10:U10,クライアント抽出!P10:U10))&gt;COUNTA(クライアント抽出!P10:U10),
INDIRECT("数出表_Excel!"&amp;INDEX(_xlfn.UNIQUE(_xlfn._xlws.FILTER(クライアント抽出!P10:U10,COUNTIF(クライアント抽出!P10:U10,クライアント抽出!P10:U10)=1)),1)&amp;L80&amp;""),
0),クライアント抽出!F10),"")</f>
        <v/>
      </c>
      <c r="J80" s="111" t="str">
        <f>IF(C80&lt;&gt;"",
VLOOKUP(
"*"&amp;LEFT(IF(COUNTIF(D80,"*学食*"),"キャラ弁（学食）",
IF(COUNTIF(D80,"*赤*"),"赤",
IF(COUNTIF(D80,"*キャラ弁当*"),"キャラ弁当",D80))),4)&amp;"*",注文弁当の抽出!$E$1:$F$15,2,FALSE),"")</f>
        <v/>
      </c>
      <c r="K80" s="111" t="str">
        <f ca="1">IF(クライアント抽出!Q10&lt;&gt;"",SUBSTITUTE(ADDRESS(1,(CODE(クライアント抽出!Q10)-64)*2-1,4),"1",""),"")</f>
        <v/>
      </c>
      <c r="L80" s="111" t="str">
        <f>IF(C10&lt;&gt;"",クライアント抽出!I10,"")</f>
        <v/>
      </c>
      <c r="M80" s="111">
        <f t="array" aca="1" ref="M80" ca="1">IF(C80&lt;&gt;"",
IF(K80&lt;&gt;"",INDIRECT("'数出表_Excel（アレルギー入力）'!"&amp;K80&amp;L80-1&amp;""),),)</f>
        <v>0</v>
      </c>
      <c r="N80" s="111" t="str">
        <f>IF(C80&lt;&gt;"",IF(OR(COUNTIF('盛付札（関数）'!D80,"*赤*"),COUNTIF('盛付札（関数）'!D80,"*キャラ*")),1,
VLOOKUP("*"&amp;D80&amp;"*",商品マスタ一覧!D:H,5,FALSE)),"")</f>
        <v/>
      </c>
      <c r="O80" s="111">
        <f t="shared" ca="1" si="16"/>
        <v>0</v>
      </c>
      <c r="P80" s="111">
        <f t="shared" si="9"/>
        <v>0</v>
      </c>
      <c r="Q80" s="111" t="b">
        <f t="shared" si="10"/>
        <v>0</v>
      </c>
      <c r="R80" s="49" t="str">
        <f t="array" aca="1" ref="R80" ca="1">IFERROR(SMALL(IF(P$1:P$311&lt;&gt;0,P$1:P$311),ROW(A80)),"")</f>
        <v/>
      </c>
      <c r="S80" s="49" t="str">
        <f t="array" aca="1" ref="S80" ca="1">IF($R80&lt;&gt;"",
SUBSTITUTE(SUBSTITUTE(INDIRECT("C"&amp;$R80&amp;"")," 週3ｺｰｽ","")," 週5ｺｰｽ",""),"")</f>
        <v/>
      </c>
      <c r="T80" s="49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22" t="str">
        <f t="array" aca="1" ref="U80" ca="1">IF($R80&lt;&gt;"",
INDIRECT("F"&amp;$R80&amp;""),"")</f>
        <v/>
      </c>
      <c r="V80" s="49" t="str">
        <f t="array" aca="1" ref="V80" ca="1">IF($R80&lt;&gt;"",
INDIRECT("G"&amp;$R80&amp;""),"")</f>
        <v/>
      </c>
      <c r="W80" s="49" t="str">
        <f t="array" aca="1" ref="W80" ca="1">IF($R80&lt;&gt;"",
IF(AND(COUNTIF(INDIRECT("B"&amp;R80&amp;""),"*雙葉*"),COUNTIF(B:B,"*雙葉*")&gt;=2),
IF(OR(COUNTIF(INDIRECT("B"&amp;R80&amp;""),"*雙葉先生*"),COUNTIF($B$1:$B$70,"*雙葉*")&gt;=2),INDIRECT("H"&amp;R80&amp;""),INDIRECT("H"&amp;R80&amp;"")+INDIRECT("H"&amp;MATCH("雙葉'",INDIRECT("B"&amp;R80+3&amp;":B210"),0)+2+R80&amp;"")),
IF(AND(LEFT(INDIRECT("B"&amp;R80&amp;""),2)="博多",COUNTIF(B:B,"*博多*")&gt;=2),
INDIRECT("H"&amp;R80&amp;"")+INDIRECT("H"&amp;MATCH("*"&amp;INDIRECT("B"&amp;R80&amp;"")&amp;"*",INDIRECT("B"&amp;R80+1&amp;":B210"),0)+R80&amp;""),
IF(AND(LEFT(INDIRECT("B"&amp;R80&amp;""),3)="奈良屋",COUNTIF(B:B,"*奈良屋*")&gt;=2),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49" t="str">
        <f t="array" aca="1" ref="X80" ca="1">IF($R80&lt;&gt;"",
INDIRECT(""&amp;IF(COLUMN(I80)&lt;=26,CHAR(COLUMN(I80)+64),CHAR(INT((COLUMN(I80)-1)/26)+64)&amp;CHAR(MOD(COLUMN(I80)-1,26)+65))&amp;$R80&amp;""),"")</f>
        <v/>
      </c>
      <c r="Y80" s="49" t="str">
        <f t="array" aca="1" ref="Y80" ca="1">IF($R80&lt;&gt;"",
INDIRECT(""&amp;IF(COLUMN(J80)&lt;=26,CHAR(COLUMN(J80)+64),CHAR(INT((COLUMN(J80)-1)/26)+64)&amp;CHAR(MOD(COLUMN(J80)-1,26)+65))&amp;$R80&amp;""),"")</f>
        <v/>
      </c>
      <c r="Z80" s="49" t="str">
        <f t="shared" ca="1" si="11"/>
        <v/>
      </c>
      <c r="AA80" s="49" t="str">
        <f t="shared" ca="1" si="12"/>
        <v/>
      </c>
      <c r="AB80" s="49" t="str">
        <f t="array" aca="1" ref="AB80" ca="1">IF($R80&lt;&gt;"",
IF(AND(COUNTIF(INDIRECT("B"&amp;R80&amp;""),"*雙葉*"),COUNTIF(B:B,"*雙葉*")&gt;=2),
INDIRECT("M"&amp;R80&amp;"")+INDIRECT("M"&amp;MATCH("雙葉'",INDIRECT("B"&amp;R80+1&amp;":B210"),0)+R80&amp;""),
IF(AND(LEFT(INDIRECT("B"&amp;R80&amp;""),2)="博多",COUNTIF(B:B,"*博多*")&gt;=2),
INDIRECT("M"&amp;R80&amp;"")+INDIRECT("M"&amp;MATCH("*"&amp;INDIRECT("B"&amp;R80&amp;"")&amp;"*",INDIRECT("B"&amp;R80+1&amp;":B210"),0)+R80&amp;""),
IF(AND(LEFT(INDIRECT("B"&amp;R80&amp;""),3)="奈良屋",COUNTIF(B:B,"*奈良屋*")&gt;=2),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  <c r="AC80" s="49" t="str">
        <f ca="1">IF(S80&lt;&gt;"",INDEX(A:A, MATCH("*"&amp;LEFT(S80,4)&amp;"*", C:C, 0)),"")</f>
        <v/>
      </c>
      <c r="AD80" s="49" t="str">
        <f ca="1">IFERROR(INDEX(AC:AC,MATCH(SMALL($AU:$AU,ROW()+3),$AU:$AU,0)),"")</f>
        <v/>
      </c>
      <c r="AE80" s="49" t="str">
        <f ca="1">IFERROR(INDEX(R:R,MATCH(SMALL($AU:$AU,ROW()+3),$AU:$AU,0)),"")</f>
        <v/>
      </c>
      <c r="AF80" s="49" t="str">
        <f ca="1">IFERROR(INDEX(S:S,MATCH(SMALL($AU:$AU,ROW()+3),$AU:$AU,0)),"")</f>
        <v/>
      </c>
      <c r="AG80" s="49" t="str">
        <f ca="1">IFERROR(INDEX(T:T,MATCH(SMALL($AU:$AU,ROW()+3),$AU:$AU,0)),"")</f>
        <v/>
      </c>
      <c r="AH80" s="122" t="str">
        <f ca="1">IFERROR(INDEX(U:U,MATCH(SMALL($AU:$AU,ROW()+3),$AU:$AU,0)),"")</f>
        <v/>
      </c>
      <c r="AI80" s="49" t="str">
        <f ca="1">IFERROR(INDEX(V:V,MATCH(SMALL($AU:$AU,ROW()+3),$AU:$AU,0)),"")</f>
        <v/>
      </c>
      <c r="AJ80" s="49" t="str">
        <f ca="1">IFERROR(INDEX(W:W,MATCH(SMALL($AU:$AU,ROW()+3),$AU:$AU,0)),"")</f>
        <v/>
      </c>
      <c r="AK80" s="49" t="str">
        <f ca="1">IFERROR(INDEX(X:X,MATCH(SMALL($AU:$AU,ROW()+3),$AU:$AU,0)),"")</f>
        <v/>
      </c>
      <c r="AL80" s="49" t="str">
        <f ca="1">IFERROR(INDEX(Y:Y,MATCH(SMALL($AU:$AU,ROW()+3),$AU:$AU,0)),"")</f>
        <v/>
      </c>
      <c r="AM80" s="49" t="str">
        <f ca="1">IFERROR(INDEX(Z:Z,MATCH(SMALL($AU:$AU,ROW()+3),$AU:$AU,0)),"")</f>
        <v/>
      </c>
      <c r="AN80" s="49" t="str">
        <f ca="1">IFERROR(INDEX(AA:AA,MATCH(SMALL($AU:$AU,ROW()+3),$AU:$AU,0)),"")</f>
        <v/>
      </c>
      <c r="AO80" s="49" t="str">
        <f ca="1">IFERROR(INDEX(AB:AB,MATCH(SMALL($AU:$AU,ROW()+3),$AU:$AU,0)),"")</f>
        <v/>
      </c>
      <c r="AP80" s="49" t="str">
        <f ca="1">IFERROR(INDEX(AC:AC,MATCH(SMALL($AU:$AU,ROW()+3),$AU:$AU,0)),"")</f>
        <v/>
      </c>
      <c r="AU80" s="49" t="str">
        <f t="shared" ca="1" si="14"/>
        <v/>
      </c>
    </row>
    <row r="81" spans="1:47" ht="22.2" customHeight="1">
      <c r="A81" s="110">
        <f t="shared" si="17"/>
        <v>27</v>
      </c>
      <c r="B81" s="111" t="str">
        <f t="shared" ca="1" si="15"/>
        <v/>
      </c>
      <c r="C81" s="111" t="str">
        <f>IF(OR(クライアント抽出!C11&lt;&gt;"",クライアント抽出!F11&lt;&gt;""),クライアント抽出!A11,"")</f>
        <v/>
      </c>
      <c r="D81" s="111" t="str">
        <f t="array" aca="1" ref="D81" ca="1">IF(C81&lt;&gt;"",INDIRECT("クライアント抽出!"&amp;E81&amp;MATCH(C81,クライアント抽出!A:A,0)&amp;""),"")</f>
        <v/>
      </c>
      <c r="E81" s="111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112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11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113" t="str">
        <f>IF(C81&lt;&gt;"",
クライアント抽出!C11,"")</f>
        <v/>
      </c>
      <c r="I81" s="111" t="str">
        <f t="array" aca="1" ref="I81" ca="1">IF(C81&lt;&gt;"",
IF(O81=1,
IF(SUMPRODUCT(COUNTIF(クライアント抽出!P11:U11,クライアント抽出!P11:U11))&gt;COUNTA(クライアント抽出!P11:U11),
INDIRECT("数出表_Excel!"&amp;INDEX(_xlfn.UNIQUE(_xlfn._xlws.FILTER(クライアント抽出!P11:U11,COUNTIF(クライアント抽出!P11:U11,クライアント抽出!P11:U11)=1)),1)&amp;L81&amp;""),
0),クライアント抽出!F11),"")</f>
        <v/>
      </c>
      <c r="J81" s="111" t="str">
        <f>IF(C81&lt;&gt;"",
VLOOKUP(
"*"&amp;LEFT(IF(COUNTIF(D81,"*学食*"),"キャラ弁（学食）",
IF(COUNTIF(D81,"*赤*"),"赤",
IF(COUNTIF(D81,"*キャラ弁当*"),"キャラ弁当",D81))),4)&amp;"*",注文弁当の抽出!$E$1:$F$15,2,FALSE),"")</f>
        <v/>
      </c>
      <c r="K81" s="111" t="str">
        <f ca="1">IF(クライアント抽出!Q11&lt;&gt;"",SUBSTITUTE(ADDRESS(1,(CODE(クライアント抽出!Q11)-64)*2-1,4),"1",""),"")</f>
        <v/>
      </c>
      <c r="L81" s="111" t="str">
        <f>IF(C11&lt;&gt;"",クライアント抽出!I11,"")</f>
        <v/>
      </c>
      <c r="M81" s="111">
        <f t="array" aca="1" ref="M81" ca="1">IF(C81&lt;&gt;"",
IF(K81&lt;&gt;"",INDIRECT("'数出表_Excel（アレルギー入力）'!"&amp;K81&amp;L81-1&amp;""),),)</f>
        <v>0</v>
      </c>
      <c r="N81" s="111" t="str">
        <f>IF(C81&lt;&gt;"",IF(OR(COUNTIF('盛付札（関数）'!D81,"*赤*"),COUNTIF('盛付札（関数）'!D81,"*キャラ*")),1,
VLOOKUP("*"&amp;D81&amp;"*",商品マスタ一覧!D:H,5,FALSE)),"")</f>
        <v/>
      </c>
      <c r="O81" s="111">
        <f t="shared" ca="1" si="16"/>
        <v>0</v>
      </c>
      <c r="P81" s="111">
        <f t="shared" si="9"/>
        <v>0</v>
      </c>
      <c r="Q81" s="111" t="b">
        <f t="shared" si="10"/>
        <v>0</v>
      </c>
      <c r="R81" s="49" t="str">
        <f t="array" aca="1" ref="R81" ca="1">IFERROR(SMALL(IF(P$1:P$311&lt;&gt;0,P$1:P$311),ROW(A81)),"")</f>
        <v/>
      </c>
      <c r="S81" s="49" t="str">
        <f t="array" aca="1" ref="S81" ca="1">IF($R81&lt;&gt;"",
SUBSTITUTE(SUBSTITUTE(INDIRECT("C"&amp;$R81&amp;"")," 週3ｺｰｽ","")," 週5ｺｰｽ",""),"")</f>
        <v/>
      </c>
      <c r="T81" s="49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22" t="str">
        <f t="array" aca="1" ref="U81" ca="1">IF($R81&lt;&gt;"",
INDIRECT("F"&amp;$R81&amp;""),"")</f>
        <v/>
      </c>
      <c r="V81" s="49" t="str">
        <f t="array" aca="1" ref="V81" ca="1">IF($R81&lt;&gt;"",
INDIRECT("G"&amp;$R81&amp;""),"")</f>
        <v/>
      </c>
      <c r="W81" s="49" t="str">
        <f t="array" aca="1" ref="W81" ca="1">IF($R81&lt;&gt;"",
IF(AND(COUNTIF(INDIRECT("B"&amp;R81&amp;""),"*雙葉*"),COUNTIF(B:B,"*雙葉*")&gt;=2),
IF(OR(COUNTIF(INDIRECT("B"&amp;R81&amp;""),"*雙葉先生*"),COUNTIF($B$1:$B$70,"*雙葉*")&gt;=2),INDIRECT("H"&amp;R81&amp;""),INDIRECT("H"&amp;R81&amp;"")+INDIRECT("H"&amp;MATCH("雙葉'",INDIRECT("B"&amp;R81+3&amp;":B210"),0)+2+R81&amp;"")),
IF(AND(LEFT(INDIRECT("B"&amp;R81&amp;""),2)="博多",COUNTIF(B:B,"*博多*")&gt;=2),
INDIRECT("H"&amp;R81&amp;"")+INDIRECT("H"&amp;MATCH("*"&amp;INDIRECT("B"&amp;R81&amp;"")&amp;"*",INDIRECT("B"&amp;R81+1&amp;":B210"),0)+R81&amp;""),
IF(AND(LEFT(INDIRECT("B"&amp;R81&amp;""),3)="奈良屋",COUNTIF(B:B,"*奈良屋*")&gt;=2),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49" t="str">
        <f t="array" aca="1" ref="X81" ca="1">IF($R81&lt;&gt;"",
INDIRECT(""&amp;IF(COLUMN(I81)&lt;=26,CHAR(COLUMN(I81)+64),CHAR(INT((COLUMN(I81)-1)/26)+64)&amp;CHAR(MOD(COLUMN(I81)-1,26)+65))&amp;$R81&amp;""),"")</f>
        <v/>
      </c>
      <c r="Y81" s="49" t="str">
        <f t="array" aca="1" ref="Y81" ca="1">IF($R81&lt;&gt;"",
INDIRECT(""&amp;IF(COLUMN(J81)&lt;=26,CHAR(COLUMN(J81)+64),CHAR(INT((COLUMN(J81)-1)/26)+64)&amp;CHAR(MOD(COLUMN(J81)-1,26)+65))&amp;$R81&amp;""),"")</f>
        <v/>
      </c>
      <c r="Z81" s="49" t="str">
        <f t="shared" ca="1" si="11"/>
        <v/>
      </c>
      <c r="AA81" s="49" t="str">
        <f t="shared" ca="1" si="12"/>
        <v/>
      </c>
      <c r="AB81" s="49" t="str">
        <f t="array" aca="1" ref="AB81" ca="1">IF($R81&lt;&gt;"",
IF(AND(COUNTIF(INDIRECT("B"&amp;R81&amp;""),"*雙葉*"),COUNTIF(B:B,"*雙葉*")&gt;=2),
INDIRECT("M"&amp;R81&amp;"")+INDIRECT("M"&amp;MATCH("雙葉'",INDIRECT("B"&amp;R81+1&amp;":B210"),0)+R81&amp;""),
IF(AND(LEFT(INDIRECT("B"&amp;R81&amp;""),2)="博多",COUNTIF(B:B,"*博多*")&gt;=2),
INDIRECT("M"&amp;R81&amp;"")+INDIRECT("M"&amp;MATCH("*"&amp;INDIRECT("B"&amp;R81&amp;"")&amp;"*",INDIRECT("B"&amp;R81+1&amp;":B210"),0)+R81&amp;""),
IF(AND(LEFT(INDIRECT("B"&amp;R81&amp;""),3)="奈良屋",COUNTIF(B:B,"*奈良屋*")&gt;=2),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  <c r="AC81" s="49" t="str">
        <f ca="1">IF(S81&lt;&gt;"",INDEX(A:A, MATCH("*"&amp;LEFT(S81,4)&amp;"*", C:C, 0)),"")</f>
        <v/>
      </c>
      <c r="AD81" s="49" t="str">
        <f ca="1">IFERROR(INDEX(AC:AC,MATCH(SMALL($AU:$AU,ROW()+3),$AU:$AU,0)),"")</f>
        <v/>
      </c>
      <c r="AE81" s="49" t="str">
        <f ca="1">IFERROR(INDEX(R:R,MATCH(SMALL($AU:$AU,ROW()+3),$AU:$AU,0)),"")</f>
        <v/>
      </c>
      <c r="AF81" s="49" t="str">
        <f ca="1">IFERROR(INDEX(S:S,MATCH(SMALL($AU:$AU,ROW()+3),$AU:$AU,0)),"")</f>
        <v/>
      </c>
      <c r="AG81" s="49" t="str">
        <f ca="1">IFERROR(INDEX(T:T,MATCH(SMALL($AU:$AU,ROW()+3),$AU:$AU,0)),"")</f>
        <v/>
      </c>
      <c r="AH81" s="122" t="str">
        <f ca="1">IFERROR(INDEX(U:U,MATCH(SMALL($AU:$AU,ROW()+3),$AU:$AU,0)),"")</f>
        <v/>
      </c>
      <c r="AI81" s="49" t="str">
        <f ca="1">IFERROR(INDEX(V:V,MATCH(SMALL($AU:$AU,ROW()+3),$AU:$AU,0)),"")</f>
        <v/>
      </c>
      <c r="AJ81" s="49" t="str">
        <f ca="1">IFERROR(INDEX(W:W,MATCH(SMALL($AU:$AU,ROW()+3),$AU:$AU,0)),"")</f>
        <v/>
      </c>
      <c r="AK81" s="49" t="str">
        <f ca="1">IFERROR(INDEX(X:X,MATCH(SMALL($AU:$AU,ROW()+3),$AU:$AU,0)),"")</f>
        <v/>
      </c>
      <c r="AL81" s="49" t="str">
        <f ca="1">IFERROR(INDEX(Y:Y,MATCH(SMALL($AU:$AU,ROW()+3),$AU:$AU,0)),"")</f>
        <v/>
      </c>
      <c r="AM81" s="49" t="str">
        <f ca="1">IFERROR(INDEX(Z:Z,MATCH(SMALL($AU:$AU,ROW()+3),$AU:$AU,0)),"")</f>
        <v/>
      </c>
      <c r="AN81" s="49" t="str">
        <f ca="1">IFERROR(INDEX(AA:AA,MATCH(SMALL($AU:$AU,ROW()+3),$AU:$AU,0)),"")</f>
        <v/>
      </c>
      <c r="AO81" s="49" t="str">
        <f ca="1">IFERROR(INDEX(AB:AB,MATCH(SMALL($AU:$AU,ROW()+3),$AU:$AU,0)),"")</f>
        <v/>
      </c>
      <c r="AP81" s="49" t="str">
        <f ca="1">IFERROR(INDEX(AC:AC,MATCH(SMALL($AU:$AU,ROW()+3),$AU:$AU,0)),"")</f>
        <v/>
      </c>
      <c r="AU81" s="49" t="str">
        <f t="shared" ca="1" si="14"/>
        <v/>
      </c>
    </row>
    <row r="82" spans="1:47" ht="22.2" customHeight="1">
      <c r="A82" s="110">
        <f t="shared" si="17"/>
        <v>29</v>
      </c>
      <c r="B82" s="111" t="str">
        <f t="shared" ca="1" si="15"/>
        <v/>
      </c>
      <c r="C82" s="111" t="str">
        <f>IF(OR(クライアント抽出!C12&lt;&gt;"",クライアント抽出!F12&lt;&gt;""),クライアント抽出!A12,"")</f>
        <v/>
      </c>
      <c r="D82" s="111" t="str">
        <f t="array" aca="1" ref="D82" ca="1">IF(C82&lt;&gt;"",INDIRECT("クライアント抽出!"&amp;E82&amp;MATCH(C82,クライアント抽出!A:A,0)&amp;""),"")</f>
        <v/>
      </c>
      <c r="E82" s="111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112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11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113" t="str">
        <f>IF(C82&lt;&gt;"",
クライアント抽出!C12,"")</f>
        <v/>
      </c>
      <c r="I82" s="111" t="str">
        <f t="array" aca="1" ref="I82" ca="1">IF(C82&lt;&gt;"",
IF(O82=1,
IF(SUMPRODUCT(COUNTIF(クライアント抽出!P12:U12,クライアント抽出!P12:U12))&gt;COUNTA(クライアント抽出!P12:U12),
INDIRECT("数出表_Excel!"&amp;INDEX(_xlfn.UNIQUE(_xlfn._xlws.FILTER(クライアント抽出!P12:U12,COUNTIF(クライアント抽出!P12:U12,クライアント抽出!P12:U12)=1)),1)&amp;L82&amp;""),
0),クライアント抽出!F12),"")</f>
        <v/>
      </c>
      <c r="J82" s="111" t="str">
        <f>IF(C82&lt;&gt;"",
VLOOKUP(
"*"&amp;LEFT(IF(COUNTIF(D82,"*学食*"),"キャラ弁（学食）",
IF(COUNTIF(D82,"*赤*"),"赤",
IF(COUNTIF(D82,"*キャラ弁当*"),"キャラ弁当",D82))),4)&amp;"*",注文弁当の抽出!$E$1:$F$15,2,FALSE),"")</f>
        <v/>
      </c>
      <c r="K82" s="111" t="str">
        <f ca="1">IF(クライアント抽出!Q12&lt;&gt;"",SUBSTITUTE(ADDRESS(1,(CODE(クライアント抽出!Q12)-64)*2-1,4),"1",""),"")</f>
        <v/>
      </c>
      <c r="L82" s="111" t="str">
        <f>IF(C12&lt;&gt;"",クライアント抽出!I12,"")</f>
        <v/>
      </c>
      <c r="M82" s="111">
        <f t="array" aca="1" ref="M82" ca="1">IF(C82&lt;&gt;"",
IF(K82&lt;&gt;"",INDIRECT("'数出表_Excel（アレルギー入力）'!"&amp;K82&amp;L82-1&amp;""),),)</f>
        <v>0</v>
      </c>
      <c r="N82" s="111" t="str">
        <f>IF(C82&lt;&gt;"",IF(OR(COUNTIF('盛付札（関数）'!D82,"*赤*"),COUNTIF('盛付札（関数）'!D82,"*キャラ*")),1,
VLOOKUP("*"&amp;D82&amp;"*",商品マスタ一覧!D:H,5,FALSE)),"")</f>
        <v/>
      </c>
      <c r="O82" s="111">
        <f t="shared" ca="1" si="16"/>
        <v>0</v>
      </c>
      <c r="P82" s="111">
        <f t="shared" si="9"/>
        <v>0</v>
      </c>
      <c r="Q82" s="111" t="b">
        <f t="shared" si="10"/>
        <v>0</v>
      </c>
      <c r="R82" s="49" t="str">
        <f t="array" aca="1" ref="R82" ca="1">IFERROR(SMALL(IF(P$1:P$311&lt;&gt;0,P$1:P$311),ROW(A82)),"")</f>
        <v/>
      </c>
      <c r="S82" s="49" t="str">
        <f t="array" aca="1" ref="S82" ca="1">IF($R82&lt;&gt;"",
SUBSTITUTE(SUBSTITUTE(INDIRECT("C"&amp;$R82&amp;"")," 週3ｺｰｽ","")," 週5ｺｰｽ",""),"")</f>
        <v/>
      </c>
      <c r="T82" s="49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22" t="str">
        <f t="array" aca="1" ref="U82" ca="1">IF($R82&lt;&gt;"",
INDIRECT("F"&amp;$R82&amp;""),"")</f>
        <v/>
      </c>
      <c r="V82" s="49" t="str">
        <f t="array" aca="1" ref="V82" ca="1">IF($R82&lt;&gt;"",
INDIRECT("G"&amp;$R82&amp;""),"")</f>
        <v/>
      </c>
      <c r="W82" s="49" t="str">
        <f t="array" aca="1" ref="W82" ca="1">IF($R82&lt;&gt;"",
IF(AND(COUNTIF(INDIRECT("B"&amp;R82&amp;""),"*雙葉*"),COUNTIF(B:B,"*雙葉*")&gt;=2),
IF(OR(COUNTIF(INDIRECT("B"&amp;R82&amp;""),"*雙葉先生*"),COUNTIF($B$1:$B$70,"*雙葉*")&gt;=2),INDIRECT("H"&amp;R82&amp;""),INDIRECT("H"&amp;R82&amp;"")+INDIRECT("H"&amp;MATCH("雙葉'",INDIRECT("B"&amp;R82+3&amp;":B210"),0)+2+R82&amp;"")),
IF(AND(LEFT(INDIRECT("B"&amp;R82&amp;""),2)="博多",COUNTIF(B:B,"*博多*")&gt;=2),
INDIRECT("H"&amp;R82&amp;"")+INDIRECT("H"&amp;MATCH("*"&amp;INDIRECT("B"&amp;R82&amp;"")&amp;"*",INDIRECT("B"&amp;R82+1&amp;":B210"),0)+R82&amp;""),
IF(AND(LEFT(INDIRECT("B"&amp;R82&amp;""),3)="奈良屋",COUNTIF(B:B,"*奈良屋*")&gt;=2),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49" t="str">
        <f t="array" aca="1" ref="X82" ca="1">IF($R82&lt;&gt;"",
INDIRECT(""&amp;IF(COLUMN(I82)&lt;=26,CHAR(COLUMN(I82)+64),CHAR(INT((COLUMN(I82)-1)/26)+64)&amp;CHAR(MOD(COLUMN(I82)-1,26)+65))&amp;$R82&amp;""),"")</f>
        <v/>
      </c>
      <c r="Y82" s="49" t="str">
        <f t="array" aca="1" ref="Y82" ca="1">IF($R82&lt;&gt;"",
INDIRECT(""&amp;IF(COLUMN(J82)&lt;=26,CHAR(COLUMN(J82)+64),CHAR(INT((COLUMN(J82)-1)/26)+64)&amp;CHAR(MOD(COLUMN(J82)-1,26)+65))&amp;$R82&amp;""),"")</f>
        <v/>
      </c>
      <c r="Z82" s="49" t="str">
        <f t="shared" ca="1" si="11"/>
        <v/>
      </c>
      <c r="AA82" s="49" t="str">
        <f t="shared" ca="1" si="12"/>
        <v/>
      </c>
      <c r="AB82" s="49" t="str">
        <f t="array" aca="1" ref="AB82" ca="1">IF($R82&lt;&gt;"",
IF(AND(COUNTIF(INDIRECT("B"&amp;R82&amp;""),"*雙葉*"),COUNTIF(B:B,"*雙葉*")&gt;=2),
INDIRECT("M"&amp;R82&amp;"")+INDIRECT("M"&amp;MATCH("雙葉'",INDIRECT("B"&amp;R82+1&amp;":B210"),0)+R82&amp;""),
IF(AND(LEFT(INDIRECT("B"&amp;R82&amp;""),2)="博多",COUNTIF(B:B,"*博多*")&gt;=2),
INDIRECT("M"&amp;R82&amp;"")+INDIRECT("M"&amp;MATCH("*"&amp;INDIRECT("B"&amp;R82&amp;"")&amp;"*",INDIRECT("B"&amp;R82+1&amp;":B210"),0)+R82&amp;""),
IF(AND(LEFT(INDIRECT("B"&amp;R82&amp;""),3)="奈良屋",COUNTIF(B:B,"*奈良屋*")&gt;=2),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  <c r="AC82" s="49" t="str">
        <f ca="1">IF(S82&lt;&gt;"",INDEX(A:A, MATCH("*"&amp;LEFT(S82,4)&amp;"*", C:C, 0)),"")</f>
        <v/>
      </c>
      <c r="AD82" s="49" t="str">
        <f ca="1">IFERROR(INDEX(AC:AC,MATCH(SMALL($AU:$AU,ROW()+3),$AU:$AU,0)),"")</f>
        <v/>
      </c>
      <c r="AE82" s="49" t="str">
        <f ca="1">IFERROR(INDEX(R:R,MATCH(SMALL($AU:$AU,ROW()+3),$AU:$AU,0)),"")</f>
        <v/>
      </c>
      <c r="AF82" s="49" t="str">
        <f ca="1">IFERROR(INDEX(S:S,MATCH(SMALL($AU:$AU,ROW()+3),$AU:$AU,0)),"")</f>
        <v/>
      </c>
      <c r="AG82" s="49" t="str">
        <f ca="1">IFERROR(INDEX(T:T,MATCH(SMALL($AU:$AU,ROW()+3),$AU:$AU,0)),"")</f>
        <v/>
      </c>
      <c r="AH82" s="122" t="str">
        <f ca="1">IFERROR(INDEX(U:U,MATCH(SMALL($AU:$AU,ROW()+3),$AU:$AU,0)),"")</f>
        <v/>
      </c>
      <c r="AI82" s="49" t="str">
        <f ca="1">IFERROR(INDEX(V:V,MATCH(SMALL($AU:$AU,ROW()+3),$AU:$AU,0)),"")</f>
        <v/>
      </c>
      <c r="AJ82" s="49" t="str">
        <f ca="1">IFERROR(INDEX(W:W,MATCH(SMALL($AU:$AU,ROW()+3),$AU:$AU,0)),"")</f>
        <v/>
      </c>
      <c r="AK82" s="49" t="str">
        <f ca="1">IFERROR(INDEX(X:X,MATCH(SMALL($AU:$AU,ROW()+3),$AU:$AU,0)),"")</f>
        <v/>
      </c>
      <c r="AL82" s="49" t="str">
        <f ca="1">IFERROR(INDEX(Y:Y,MATCH(SMALL($AU:$AU,ROW()+3),$AU:$AU,0)),"")</f>
        <v/>
      </c>
      <c r="AM82" s="49" t="str">
        <f ca="1">IFERROR(INDEX(Z:Z,MATCH(SMALL($AU:$AU,ROW()+3),$AU:$AU,0)),"")</f>
        <v/>
      </c>
      <c r="AN82" s="49" t="str">
        <f ca="1">IFERROR(INDEX(AA:AA,MATCH(SMALL($AU:$AU,ROW()+3),$AU:$AU,0)),"")</f>
        <v/>
      </c>
      <c r="AO82" s="49" t="str">
        <f ca="1">IFERROR(INDEX(AB:AB,MATCH(SMALL($AU:$AU,ROW()+3),$AU:$AU,0)),"")</f>
        <v/>
      </c>
      <c r="AP82" s="49" t="str">
        <f ca="1">IFERROR(INDEX(AC:AC,MATCH(SMALL($AU:$AU,ROW()+3),$AU:$AU,0)),"")</f>
        <v/>
      </c>
      <c r="AU82" s="49" t="str">
        <f t="shared" ca="1" si="14"/>
        <v/>
      </c>
    </row>
    <row r="83" spans="1:47" ht="22.2" customHeight="1">
      <c r="A83" s="110">
        <f t="shared" si="17"/>
        <v>31</v>
      </c>
      <c r="B83" s="111" t="str">
        <f t="shared" ca="1" si="15"/>
        <v/>
      </c>
      <c r="C83" s="111" t="str">
        <f>IF(OR(クライアント抽出!C13&lt;&gt;"",クライアント抽出!F13&lt;&gt;""),クライアント抽出!A13,"")</f>
        <v/>
      </c>
      <c r="D83" s="111" t="str">
        <f t="array" aca="1" ref="D83" ca="1">IF(C83&lt;&gt;"",INDIRECT("クライアント抽出!"&amp;E83&amp;MATCH(C83,クライアント抽出!A:A,0)&amp;""),"")</f>
        <v/>
      </c>
      <c r="E83" s="111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112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11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113" t="str">
        <f>IF(C83&lt;&gt;"",
クライアント抽出!C13,"")</f>
        <v/>
      </c>
      <c r="I83" s="111" t="str">
        <f t="array" aca="1" ref="I83" ca="1">IF(C83&lt;&gt;"",
IF(O83=1,
IF(SUMPRODUCT(COUNTIF(クライアント抽出!P13:U13,クライアント抽出!P13:U13))&gt;COUNTA(クライアント抽出!P13:U13),
INDIRECT("数出表_Excel!"&amp;INDEX(_xlfn.UNIQUE(_xlfn._xlws.FILTER(クライアント抽出!P13:U13,COUNTIF(クライアント抽出!P13:U13,クライアント抽出!P13:U13)=1)),1)&amp;L83&amp;""),
0),クライアント抽出!F13),"")</f>
        <v/>
      </c>
      <c r="J83" s="111" t="str">
        <f>IF(C83&lt;&gt;"",
VLOOKUP(
"*"&amp;LEFT(IF(COUNTIF(D83,"*学食*"),"キャラ弁（学食）",
IF(COUNTIF(D83,"*赤*"),"赤",
IF(COUNTIF(D83,"*キャラ弁当*"),"キャラ弁当",D83))),4)&amp;"*",注文弁当の抽出!$E$1:$F$15,2,FALSE),"")</f>
        <v/>
      </c>
      <c r="K83" s="111" t="str">
        <f ca="1">IF(クライアント抽出!Q13&lt;&gt;"",SUBSTITUTE(ADDRESS(1,(CODE(クライアント抽出!Q13)-64)*2-1,4),"1",""),"")</f>
        <v/>
      </c>
      <c r="L83" s="111" t="str">
        <f>IF(C13&lt;&gt;"",クライアント抽出!I13,"")</f>
        <v/>
      </c>
      <c r="M83" s="111">
        <f t="array" aca="1" ref="M83" ca="1">IF(C83&lt;&gt;"",
IF(K83&lt;&gt;"",INDIRECT("'数出表_Excel（アレルギー入力）'!"&amp;K83&amp;L83-1&amp;""),),)</f>
        <v>0</v>
      </c>
      <c r="N83" s="111" t="str">
        <f>IF(C83&lt;&gt;"",IF(OR(COUNTIF('盛付札（関数）'!D83,"*赤*"),COUNTIF('盛付札（関数）'!D83,"*キャラ*")),1,
VLOOKUP("*"&amp;D83&amp;"*",商品マスタ一覧!D:H,5,FALSE)),"")</f>
        <v/>
      </c>
      <c r="O83" s="111">
        <f t="shared" ca="1" si="16"/>
        <v>0</v>
      </c>
      <c r="P83" s="111">
        <f t="shared" si="9"/>
        <v>0</v>
      </c>
      <c r="Q83" s="111" t="b">
        <f t="shared" si="10"/>
        <v>0</v>
      </c>
      <c r="R83" s="49" t="str">
        <f t="array" aca="1" ref="R83" ca="1">IFERROR(SMALL(IF(P$1:P$311&lt;&gt;0,P$1:P$311),ROW(A83)),"")</f>
        <v/>
      </c>
      <c r="S83" s="49" t="str">
        <f t="array" aca="1" ref="S83" ca="1">IF($R83&lt;&gt;"",
SUBSTITUTE(SUBSTITUTE(INDIRECT("C"&amp;$R83&amp;"")," 週3ｺｰｽ","")," 週5ｺｰｽ",""),"")</f>
        <v/>
      </c>
      <c r="T83" s="49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22" t="str">
        <f t="array" aca="1" ref="U83" ca="1">IF($R83&lt;&gt;"",
INDIRECT("F"&amp;$R83&amp;""),"")</f>
        <v/>
      </c>
      <c r="V83" s="49" t="str">
        <f t="array" aca="1" ref="V83" ca="1">IF($R83&lt;&gt;"",
INDIRECT("G"&amp;$R83&amp;""),"")</f>
        <v/>
      </c>
      <c r="W83" s="49" t="str">
        <f t="array" aca="1" ref="W83" ca="1">IF($R83&lt;&gt;"",
IF(AND(COUNTIF(INDIRECT("B"&amp;R83&amp;""),"*雙葉*"),COUNTIF(B:B,"*雙葉*")&gt;=2),
IF(OR(COUNTIF(INDIRECT("B"&amp;R83&amp;""),"*雙葉先生*"),COUNTIF($B$1:$B$70,"*雙葉*")&gt;=2),INDIRECT("H"&amp;R83&amp;""),INDIRECT("H"&amp;R83&amp;"")+INDIRECT("H"&amp;MATCH("雙葉'",INDIRECT("B"&amp;R83+3&amp;":B210"),0)+2+R83&amp;"")),
IF(AND(LEFT(INDIRECT("B"&amp;R83&amp;""),2)="博多",COUNTIF(B:B,"*博多*")&gt;=2),
INDIRECT("H"&amp;R83&amp;"")+INDIRECT("H"&amp;MATCH("*"&amp;INDIRECT("B"&amp;R83&amp;"")&amp;"*",INDIRECT("B"&amp;R83+1&amp;":B210"),0)+R83&amp;""),
IF(AND(LEFT(INDIRECT("B"&amp;R83&amp;""),3)="奈良屋",COUNTIF(B:B,"*奈良屋*")&gt;=2),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49" t="str">
        <f t="array" aca="1" ref="X83" ca="1">IF($R83&lt;&gt;"",
INDIRECT(""&amp;IF(COLUMN(I83)&lt;=26,CHAR(COLUMN(I83)+64),CHAR(INT((COLUMN(I83)-1)/26)+64)&amp;CHAR(MOD(COLUMN(I83)-1,26)+65))&amp;$R83&amp;""),"")</f>
        <v/>
      </c>
      <c r="Y83" s="49" t="str">
        <f t="array" aca="1" ref="Y83" ca="1">IF($R83&lt;&gt;"",
INDIRECT(""&amp;IF(COLUMN(J83)&lt;=26,CHAR(COLUMN(J83)+64),CHAR(INT((COLUMN(J83)-1)/26)+64)&amp;CHAR(MOD(COLUMN(J83)-1,26)+65))&amp;$R83&amp;""),"")</f>
        <v/>
      </c>
      <c r="Z83" s="49" t="str">
        <f t="shared" ca="1" si="11"/>
        <v/>
      </c>
      <c r="AA83" s="49" t="str">
        <f t="shared" ca="1" si="12"/>
        <v/>
      </c>
      <c r="AB83" s="49" t="str">
        <f t="array" aca="1" ref="AB83" ca="1">IF($R83&lt;&gt;"",
IF(AND(COUNTIF(INDIRECT("B"&amp;R83&amp;""),"*雙葉*"),COUNTIF(B:B,"*雙葉*")&gt;=2),
INDIRECT("M"&amp;R83&amp;"")+INDIRECT("M"&amp;MATCH("雙葉'",INDIRECT("B"&amp;R83+1&amp;":B210"),0)+R83&amp;""),
IF(AND(LEFT(INDIRECT("B"&amp;R83&amp;""),2)="博多",COUNTIF(B:B,"*博多*")&gt;=2),
INDIRECT("M"&amp;R83&amp;"")+INDIRECT("M"&amp;MATCH("*"&amp;INDIRECT("B"&amp;R83&amp;"")&amp;"*",INDIRECT("B"&amp;R83+1&amp;":B210"),0)+R83&amp;""),
IF(AND(LEFT(INDIRECT("B"&amp;R83&amp;""),3)="奈良屋",COUNTIF(B:B,"*奈良屋*")&gt;=2),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  <c r="AC83" s="49" t="str">
        <f ca="1">IF(S83&lt;&gt;"",INDEX(A:A, MATCH("*"&amp;LEFT(S83,4)&amp;"*", C:C, 0)),"")</f>
        <v/>
      </c>
      <c r="AD83" s="49" t="str">
        <f ca="1">IFERROR(INDEX(AC:AC,MATCH(SMALL($AU:$AU,ROW()+3),$AU:$AU,0)),"")</f>
        <v/>
      </c>
      <c r="AE83" s="49" t="str">
        <f ca="1">IFERROR(INDEX(R:R,MATCH(SMALL($AU:$AU,ROW()+3),$AU:$AU,0)),"")</f>
        <v/>
      </c>
      <c r="AF83" s="49" t="str">
        <f ca="1">IFERROR(INDEX(S:S,MATCH(SMALL($AU:$AU,ROW()+3),$AU:$AU,0)),"")</f>
        <v/>
      </c>
      <c r="AG83" s="49" t="str">
        <f ca="1">IFERROR(INDEX(T:T,MATCH(SMALL($AU:$AU,ROW()+3),$AU:$AU,0)),"")</f>
        <v/>
      </c>
      <c r="AH83" s="122" t="str">
        <f ca="1">IFERROR(INDEX(U:U,MATCH(SMALL($AU:$AU,ROW()+3),$AU:$AU,0)),"")</f>
        <v/>
      </c>
      <c r="AI83" s="49" t="str">
        <f ca="1">IFERROR(INDEX(V:V,MATCH(SMALL($AU:$AU,ROW()+3),$AU:$AU,0)),"")</f>
        <v/>
      </c>
      <c r="AJ83" s="49" t="str">
        <f ca="1">IFERROR(INDEX(W:W,MATCH(SMALL($AU:$AU,ROW()+3),$AU:$AU,0)),"")</f>
        <v/>
      </c>
      <c r="AK83" s="49" t="str">
        <f ca="1">IFERROR(INDEX(X:X,MATCH(SMALL($AU:$AU,ROW()+3),$AU:$AU,0)),"")</f>
        <v/>
      </c>
      <c r="AL83" s="49" t="str">
        <f ca="1">IFERROR(INDEX(Y:Y,MATCH(SMALL($AU:$AU,ROW()+3),$AU:$AU,0)),"")</f>
        <v/>
      </c>
      <c r="AM83" s="49" t="str">
        <f ca="1">IFERROR(INDEX(Z:Z,MATCH(SMALL($AU:$AU,ROW()+3),$AU:$AU,0)),"")</f>
        <v/>
      </c>
      <c r="AN83" s="49" t="str">
        <f ca="1">IFERROR(INDEX(AA:AA,MATCH(SMALL($AU:$AU,ROW()+3),$AU:$AU,0)),"")</f>
        <v/>
      </c>
      <c r="AO83" s="49" t="str">
        <f ca="1">IFERROR(INDEX(AB:AB,MATCH(SMALL($AU:$AU,ROW()+3),$AU:$AU,0)),"")</f>
        <v/>
      </c>
      <c r="AP83" s="49" t="str">
        <f ca="1">IFERROR(INDEX(AC:AC,MATCH(SMALL($AU:$AU,ROW()+3),$AU:$AU,0)),"")</f>
        <v/>
      </c>
      <c r="AU83" s="49" t="str">
        <f t="shared" ca="1" si="14"/>
        <v/>
      </c>
    </row>
    <row r="84" spans="1:47" ht="22.2" customHeight="1">
      <c r="A84" s="110">
        <f t="shared" si="17"/>
        <v>33</v>
      </c>
      <c r="B84" s="111" t="str">
        <f t="shared" ca="1" si="15"/>
        <v/>
      </c>
      <c r="C84" s="111" t="str">
        <f>IF(OR(クライアント抽出!C14&lt;&gt;"",クライアント抽出!F14&lt;&gt;""),クライアント抽出!A14,"")</f>
        <v/>
      </c>
      <c r="D84" s="111" t="str">
        <f t="array" aca="1" ref="D84" ca="1">IF(C84&lt;&gt;"",INDIRECT("クライアント抽出!"&amp;E84&amp;MATCH(C84,クライアント抽出!A:A,0)&amp;""),"")</f>
        <v/>
      </c>
      <c r="E84" s="111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112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11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113" t="str">
        <f>IF(C84&lt;&gt;"",
クライアント抽出!C14,"")</f>
        <v/>
      </c>
      <c r="I84" s="111" t="str">
        <f t="array" aca="1" ref="I84" ca="1">IF(C84&lt;&gt;"",
IF(O84=1,
IF(SUMPRODUCT(COUNTIF(クライアント抽出!P14:U14,クライアント抽出!P14:U14))&gt;COUNTA(クライアント抽出!P14:U14),
INDIRECT("数出表_Excel!"&amp;INDEX(_xlfn.UNIQUE(_xlfn._xlws.FILTER(クライアント抽出!P14:U14,COUNTIF(クライアント抽出!P14:U14,クライアント抽出!P14:U14)=1)),1)&amp;L84&amp;""),
0),クライアント抽出!F14),"")</f>
        <v/>
      </c>
      <c r="J84" s="111" t="str">
        <f>IF(C84&lt;&gt;"",
VLOOKUP(
"*"&amp;LEFT(IF(COUNTIF(D84,"*学食*"),"キャラ弁（学食）",
IF(COUNTIF(D84,"*赤*"),"赤",
IF(COUNTIF(D84,"*キャラ弁当*"),"キャラ弁当",D84))),4)&amp;"*",注文弁当の抽出!$E$1:$F$15,2,FALSE),"")</f>
        <v/>
      </c>
      <c r="K84" s="111" t="str">
        <f ca="1">IF(クライアント抽出!Q14&lt;&gt;"",SUBSTITUTE(ADDRESS(1,(CODE(クライアント抽出!Q14)-64)*2-1,4),"1",""),"")</f>
        <v/>
      </c>
      <c r="L84" s="111" t="str">
        <f>IF(C14&lt;&gt;"",クライアント抽出!I14,"")</f>
        <v/>
      </c>
      <c r="M84" s="111">
        <f t="array" aca="1" ref="M84" ca="1">IF(C84&lt;&gt;"",
IF(K84&lt;&gt;"",INDIRECT("'数出表_Excel（アレルギー入力）'!"&amp;K84&amp;L84-1&amp;""),),)</f>
        <v>0</v>
      </c>
      <c r="N84" s="111" t="str">
        <f>IF(C84&lt;&gt;"",IF(OR(COUNTIF('盛付札（関数）'!D84,"*赤*"),COUNTIF('盛付札（関数）'!D84,"*キャラ*")),1,
VLOOKUP("*"&amp;D84&amp;"*",商品マスタ一覧!D:H,5,FALSE)),"")</f>
        <v/>
      </c>
      <c r="O84" s="111">
        <f t="shared" ca="1" si="16"/>
        <v>0</v>
      </c>
      <c r="P84" s="111">
        <f t="shared" si="9"/>
        <v>0</v>
      </c>
      <c r="Q84" s="111" t="b">
        <f t="shared" si="10"/>
        <v>0</v>
      </c>
      <c r="R84" s="49" t="str">
        <f t="array" aca="1" ref="R84" ca="1">IFERROR(SMALL(IF(P$1:P$311&lt;&gt;0,P$1:P$311),ROW(A84)),"")</f>
        <v/>
      </c>
      <c r="S84" s="49" t="str">
        <f t="array" aca="1" ref="S84" ca="1">IF($R84&lt;&gt;"",
SUBSTITUTE(SUBSTITUTE(INDIRECT("C"&amp;$R84&amp;"")," 週3ｺｰｽ","")," 週5ｺｰｽ",""),"")</f>
        <v/>
      </c>
      <c r="T84" s="49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22" t="str">
        <f t="array" aca="1" ref="U84" ca="1">IF($R84&lt;&gt;"",
INDIRECT("F"&amp;$R84&amp;""),"")</f>
        <v/>
      </c>
      <c r="V84" s="49" t="str">
        <f t="array" aca="1" ref="V84" ca="1">IF($R84&lt;&gt;"",
INDIRECT("G"&amp;$R84&amp;""),"")</f>
        <v/>
      </c>
      <c r="W84" s="49" t="str">
        <f t="array" aca="1" ref="W84" ca="1">IF($R84&lt;&gt;"",
IF(AND(COUNTIF(INDIRECT("B"&amp;R84&amp;""),"*雙葉*"),COUNTIF(B:B,"*雙葉*")&gt;=2),
IF(OR(COUNTIF(INDIRECT("B"&amp;R84&amp;""),"*雙葉先生*"),COUNTIF($B$1:$B$70,"*雙葉*")&gt;=2),INDIRECT("H"&amp;R84&amp;""),INDIRECT("H"&amp;R84&amp;"")+INDIRECT("H"&amp;MATCH("雙葉'",INDIRECT("B"&amp;R84+3&amp;":B210"),0)+2+R84&amp;"")),
IF(AND(LEFT(INDIRECT("B"&amp;R84&amp;""),2)="博多",COUNTIF(B:B,"*博多*")&gt;=2),
INDIRECT("H"&amp;R84&amp;"")+INDIRECT("H"&amp;MATCH("*"&amp;INDIRECT("B"&amp;R84&amp;"")&amp;"*",INDIRECT("B"&amp;R84+1&amp;":B210"),0)+R84&amp;""),
IF(AND(LEFT(INDIRECT("B"&amp;R84&amp;""),3)="奈良屋",COUNTIF(B:B,"*奈良屋*")&gt;=2),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49" t="str">
        <f t="array" aca="1" ref="X84" ca="1">IF($R84&lt;&gt;"",
INDIRECT(""&amp;IF(COLUMN(I84)&lt;=26,CHAR(COLUMN(I84)+64),CHAR(INT((COLUMN(I84)-1)/26)+64)&amp;CHAR(MOD(COLUMN(I84)-1,26)+65))&amp;$R84&amp;""),"")</f>
        <v/>
      </c>
      <c r="Y84" s="49" t="str">
        <f t="array" aca="1" ref="Y84" ca="1">IF($R84&lt;&gt;"",
INDIRECT(""&amp;IF(COLUMN(J84)&lt;=26,CHAR(COLUMN(J84)+64),CHAR(INT((COLUMN(J84)-1)/26)+64)&amp;CHAR(MOD(COLUMN(J84)-1,26)+65))&amp;$R84&amp;""),"")</f>
        <v/>
      </c>
      <c r="Z84" s="49" t="str">
        <f t="shared" ca="1" si="11"/>
        <v/>
      </c>
      <c r="AA84" s="49" t="str">
        <f t="shared" ca="1" si="12"/>
        <v/>
      </c>
      <c r="AB84" s="49" t="str">
        <f t="array" aca="1" ref="AB84" ca="1">IF($R84&lt;&gt;"",
IF(AND(COUNTIF(INDIRECT("B"&amp;R84&amp;""),"*雙葉*"),COUNTIF(B:B,"*雙葉*")&gt;=2),
INDIRECT("M"&amp;R84&amp;"")+INDIRECT("M"&amp;MATCH("雙葉'",INDIRECT("B"&amp;R84+1&amp;":B210"),0)+R84&amp;""),
IF(AND(LEFT(INDIRECT("B"&amp;R84&amp;""),2)="博多",COUNTIF(B:B,"*博多*")&gt;=2),
INDIRECT("M"&amp;R84&amp;"")+INDIRECT("M"&amp;MATCH("*"&amp;INDIRECT("B"&amp;R84&amp;"")&amp;"*",INDIRECT("B"&amp;R84+1&amp;":B210"),0)+R84&amp;""),
IF(AND(LEFT(INDIRECT("B"&amp;R84&amp;""),3)="奈良屋",COUNTIF(B:B,"*奈良屋*")&gt;=2),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  <c r="AC84" s="49" t="str">
        <f ca="1">IF(S84&lt;&gt;"",INDEX(A:A, MATCH("*"&amp;LEFT(S84,4)&amp;"*", C:C, 0)),"")</f>
        <v/>
      </c>
      <c r="AD84" s="49" t="str">
        <f ca="1">IFERROR(INDEX(AC:AC,MATCH(SMALL($AU:$AU,ROW()+3),$AU:$AU,0)),"")</f>
        <v/>
      </c>
      <c r="AE84" s="49" t="str">
        <f ca="1">IFERROR(INDEX(R:R,MATCH(SMALL($AU:$AU,ROW()+3),$AU:$AU,0)),"")</f>
        <v/>
      </c>
      <c r="AF84" s="49" t="str">
        <f ca="1">IFERROR(INDEX(S:S,MATCH(SMALL($AU:$AU,ROW()+3),$AU:$AU,0)),"")</f>
        <v/>
      </c>
      <c r="AG84" s="49" t="str">
        <f ca="1">IFERROR(INDEX(T:T,MATCH(SMALL($AU:$AU,ROW()+3),$AU:$AU,0)),"")</f>
        <v/>
      </c>
      <c r="AH84" s="122" t="str">
        <f ca="1">IFERROR(INDEX(U:U,MATCH(SMALL($AU:$AU,ROW()+3),$AU:$AU,0)),"")</f>
        <v/>
      </c>
      <c r="AI84" s="49" t="str">
        <f ca="1">IFERROR(INDEX(V:V,MATCH(SMALL($AU:$AU,ROW()+3),$AU:$AU,0)),"")</f>
        <v/>
      </c>
      <c r="AJ84" s="49" t="str">
        <f ca="1">IFERROR(INDEX(W:W,MATCH(SMALL($AU:$AU,ROW()+3),$AU:$AU,0)),"")</f>
        <v/>
      </c>
      <c r="AK84" s="49" t="str">
        <f ca="1">IFERROR(INDEX(X:X,MATCH(SMALL($AU:$AU,ROW()+3),$AU:$AU,0)),"")</f>
        <v/>
      </c>
      <c r="AL84" s="49" t="str">
        <f ca="1">IFERROR(INDEX(Y:Y,MATCH(SMALL($AU:$AU,ROW()+3),$AU:$AU,0)),"")</f>
        <v/>
      </c>
      <c r="AM84" s="49" t="str">
        <f ca="1">IFERROR(INDEX(Z:Z,MATCH(SMALL($AU:$AU,ROW()+3),$AU:$AU,0)),"")</f>
        <v/>
      </c>
      <c r="AN84" s="49" t="str">
        <f ca="1">IFERROR(INDEX(AA:AA,MATCH(SMALL($AU:$AU,ROW()+3),$AU:$AU,0)),"")</f>
        <v/>
      </c>
      <c r="AO84" s="49" t="str">
        <f ca="1">IFERROR(INDEX(AB:AB,MATCH(SMALL($AU:$AU,ROW()+3),$AU:$AU,0)),"")</f>
        <v/>
      </c>
      <c r="AP84" s="49" t="str">
        <f ca="1">IFERROR(INDEX(AC:AC,MATCH(SMALL($AU:$AU,ROW()+3),$AU:$AU,0)),"")</f>
        <v/>
      </c>
      <c r="AU84" s="49" t="str">
        <f t="shared" ca="1" si="14"/>
        <v/>
      </c>
    </row>
    <row r="85" spans="1:47" ht="22.2" customHeight="1">
      <c r="A85" s="110">
        <f t="shared" si="17"/>
        <v>35</v>
      </c>
      <c r="B85" s="111" t="str">
        <f t="shared" ca="1" si="15"/>
        <v/>
      </c>
      <c r="C85" s="111" t="str">
        <f>IF(OR(クライアント抽出!C15&lt;&gt;"",クライアント抽出!F15&lt;&gt;""),クライアント抽出!A15,"")</f>
        <v/>
      </c>
      <c r="D85" s="111" t="str">
        <f t="array" aca="1" ref="D85" ca="1">IF(C85&lt;&gt;"",INDIRECT("クライアント抽出!"&amp;E85&amp;MATCH(C85,クライアント抽出!A:A,0)&amp;""),"")</f>
        <v/>
      </c>
      <c r="E85" s="111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112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11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113" t="str">
        <f>IF(C85&lt;&gt;"",
クライアント抽出!C15,"")</f>
        <v/>
      </c>
      <c r="I85" s="111" t="str">
        <f t="array" aca="1" ref="I85" ca="1">IF(C85&lt;&gt;"",
IF(O85=1,
IF(SUMPRODUCT(COUNTIF(クライアント抽出!P15:U15,クライアント抽出!P15:U15))&gt;COUNTA(クライアント抽出!P15:U15),
INDIRECT("数出表_Excel!"&amp;INDEX(_xlfn.UNIQUE(_xlfn._xlws.FILTER(クライアント抽出!P15:U15,COUNTIF(クライアント抽出!P15:U15,クライアント抽出!P15:U15)=1)),1)&amp;L85&amp;""),
0),クライアント抽出!F15),"")</f>
        <v/>
      </c>
      <c r="J85" s="111" t="str">
        <f>IF(C85&lt;&gt;"",
VLOOKUP(
"*"&amp;LEFT(IF(COUNTIF(D85,"*学食*"),"キャラ弁（学食）",
IF(COUNTIF(D85,"*赤*"),"赤",
IF(COUNTIF(D85,"*キャラ弁当*"),"キャラ弁当",D85))),4)&amp;"*",注文弁当の抽出!$E$1:$F$15,2,FALSE),"")</f>
        <v/>
      </c>
      <c r="K85" s="111" t="str">
        <f ca="1">IF(クライアント抽出!Q15&lt;&gt;"",SUBSTITUTE(ADDRESS(1,(CODE(クライアント抽出!Q15)-64)*2-1,4),"1",""),"")</f>
        <v/>
      </c>
      <c r="L85" s="111" t="str">
        <f>IF(C15&lt;&gt;"",クライアント抽出!I15,"")</f>
        <v/>
      </c>
      <c r="M85" s="111">
        <f t="array" aca="1" ref="M85" ca="1">IF(C85&lt;&gt;"",
IF(K85&lt;&gt;"",INDIRECT("'数出表_Excel（アレルギー入力）'!"&amp;K85&amp;L85-1&amp;""),),)</f>
        <v>0</v>
      </c>
      <c r="N85" s="111" t="str">
        <f>IF(C85&lt;&gt;"",IF(OR(COUNTIF('盛付札（関数）'!D85,"*赤*"),COUNTIF('盛付札（関数）'!D85,"*キャラ*")),1,
VLOOKUP("*"&amp;D85&amp;"*",商品マスタ一覧!D:H,5,FALSE)),"")</f>
        <v/>
      </c>
      <c r="O85" s="111">
        <f t="shared" ca="1" si="16"/>
        <v>0</v>
      </c>
      <c r="P85" s="111">
        <f t="shared" si="9"/>
        <v>0</v>
      </c>
      <c r="Q85" s="111" t="b">
        <f t="shared" si="10"/>
        <v>0</v>
      </c>
      <c r="R85" s="49" t="str">
        <f t="array" aca="1" ref="R85" ca="1">IFERROR(SMALL(IF(P$1:P$311&lt;&gt;0,P$1:P$311),ROW(A85)),"")</f>
        <v/>
      </c>
      <c r="S85" s="49" t="str">
        <f t="array" aca="1" ref="S85" ca="1">IF($R85&lt;&gt;"",
SUBSTITUTE(SUBSTITUTE(INDIRECT("C"&amp;$R85&amp;"")," 週3ｺｰｽ","")," 週5ｺｰｽ",""),"")</f>
        <v/>
      </c>
      <c r="T85" s="49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22" t="str">
        <f t="array" aca="1" ref="U85" ca="1">IF($R85&lt;&gt;"",
INDIRECT("F"&amp;$R85&amp;""),"")</f>
        <v/>
      </c>
      <c r="V85" s="49" t="str">
        <f t="array" aca="1" ref="V85" ca="1">IF($R85&lt;&gt;"",
INDIRECT("G"&amp;$R85&amp;""),"")</f>
        <v/>
      </c>
      <c r="W85" s="49" t="str">
        <f t="array" aca="1" ref="W85" ca="1">IF($R85&lt;&gt;"",
IF(AND(COUNTIF(INDIRECT("B"&amp;R85&amp;""),"*雙葉*"),COUNTIF(B:B,"*雙葉*")&gt;=2),
IF(OR(COUNTIF(INDIRECT("B"&amp;R85&amp;""),"*雙葉先生*"),COUNTIF($B$1:$B$70,"*雙葉*")&gt;=2),INDIRECT("H"&amp;R85&amp;""),INDIRECT("H"&amp;R85&amp;"")+INDIRECT("H"&amp;MATCH("雙葉'",INDIRECT("B"&amp;R85+3&amp;":B210"),0)+2+R85&amp;"")),
IF(AND(LEFT(INDIRECT("B"&amp;R85&amp;""),2)="博多",COUNTIF(B:B,"*博多*")&gt;=2),
INDIRECT("H"&amp;R85&amp;"")+INDIRECT("H"&amp;MATCH("*"&amp;INDIRECT("B"&amp;R85&amp;"")&amp;"*",INDIRECT("B"&amp;R85+1&amp;":B210"),0)+R85&amp;""),
IF(AND(LEFT(INDIRECT("B"&amp;R85&amp;""),3)="奈良屋",COUNTIF(B:B,"*奈良屋*")&gt;=2),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49" t="str">
        <f t="array" aca="1" ref="X85" ca="1">IF($R85&lt;&gt;"",
INDIRECT(""&amp;IF(COLUMN(I85)&lt;=26,CHAR(COLUMN(I85)+64),CHAR(INT((COLUMN(I85)-1)/26)+64)&amp;CHAR(MOD(COLUMN(I85)-1,26)+65))&amp;$R85&amp;""),"")</f>
        <v/>
      </c>
      <c r="Y85" s="49" t="str">
        <f t="array" aca="1" ref="Y85" ca="1">IF($R85&lt;&gt;"",
INDIRECT(""&amp;IF(COLUMN(J85)&lt;=26,CHAR(COLUMN(J85)+64),CHAR(INT((COLUMN(J85)-1)/26)+64)&amp;CHAR(MOD(COLUMN(J85)-1,26)+65))&amp;$R85&amp;""),"")</f>
        <v/>
      </c>
      <c r="Z85" s="49" t="str">
        <f t="shared" ca="1" si="11"/>
        <v/>
      </c>
      <c r="AA85" s="49" t="str">
        <f t="shared" ca="1" si="12"/>
        <v/>
      </c>
      <c r="AB85" s="49" t="str">
        <f t="array" aca="1" ref="AB85" ca="1">IF($R85&lt;&gt;"",
IF(AND(COUNTIF(INDIRECT("B"&amp;R85&amp;""),"*雙葉*"),COUNTIF(B:B,"*雙葉*")&gt;=2),
INDIRECT("M"&amp;R85&amp;"")+INDIRECT("M"&amp;MATCH("雙葉'",INDIRECT("B"&amp;R85+1&amp;":B210"),0)+R85&amp;""),
IF(AND(LEFT(INDIRECT("B"&amp;R85&amp;""),2)="博多",COUNTIF(B:B,"*博多*")&gt;=2),
INDIRECT("M"&amp;R85&amp;"")+INDIRECT("M"&amp;MATCH("*"&amp;INDIRECT("B"&amp;R85&amp;"")&amp;"*",INDIRECT("B"&amp;R85+1&amp;":B210"),0)+R85&amp;""),
IF(AND(LEFT(INDIRECT("B"&amp;R85&amp;""),3)="奈良屋",COUNTIF(B:B,"*奈良屋*")&gt;=2),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  <c r="AC85" s="49" t="str">
        <f ca="1">IF(S85&lt;&gt;"",INDEX(A:A, MATCH("*"&amp;LEFT(S85,4)&amp;"*", C:C, 0)),"")</f>
        <v/>
      </c>
      <c r="AD85" s="49" t="str">
        <f ca="1">IFERROR(INDEX(AC:AC,MATCH(SMALL($AU:$AU,ROW()+3),$AU:$AU,0)),"")</f>
        <v/>
      </c>
      <c r="AE85" s="49" t="str">
        <f ca="1">IFERROR(INDEX(R:R,MATCH(SMALL($AU:$AU,ROW()+3),$AU:$AU,0)),"")</f>
        <v/>
      </c>
      <c r="AF85" s="49" t="str">
        <f ca="1">IFERROR(INDEX(S:S,MATCH(SMALL($AU:$AU,ROW()+3),$AU:$AU,0)),"")</f>
        <v/>
      </c>
      <c r="AG85" s="49" t="str">
        <f ca="1">IFERROR(INDEX(T:T,MATCH(SMALL($AU:$AU,ROW()+3),$AU:$AU,0)),"")</f>
        <v/>
      </c>
      <c r="AH85" s="122" t="str">
        <f ca="1">IFERROR(INDEX(U:U,MATCH(SMALL($AU:$AU,ROW()+3),$AU:$AU,0)),"")</f>
        <v/>
      </c>
      <c r="AI85" s="49" t="str">
        <f ca="1">IFERROR(INDEX(V:V,MATCH(SMALL($AU:$AU,ROW()+3),$AU:$AU,0)),"")</f>
        <v/>
      </c>
      <c r="AJ85" s="49" t="str">
        <f ca="1">IFERROR(INDEX(W:W,MATCH(SMALL($AU:$AU,ROW()+3),$AU:$AU,0)),"")</f>
        <v/>
      </c>
      <c r="AK85" s="49" t="str">
        <f ca="1">IFERROR(INDEX(X:X,MATCH(SMALL($AU:$AU,ROW()+3),$AU:$AU,0)),"")</f>
        <v/>
      </c>
      <c r="AL85" s="49" t="str">
        <f ca="1">IFERROR(INDEX(Y:Y,MATCH(SMALL($AU:$AU,ROW()+3),$AU:$AU,0)),"")</f>
        <v/>
      </c>
      <c r="AM85" s="49" t="str">
        <f ca="1">IFERROR(INDEX(Z:Z,MATCH(SMALL($AU:$AU,ROW()+3),$AU:$AU,0)),"")</f>
        <v/>
      </c>
      <c r="AN85" s="49" t="str">
        <f ca="1">IFERROR(INDEX(AA:AA,MATCH(SMALL($AU:$AU,ROW()+3),$AU:$AU,0)),"")</f>
        <v/>
      </c>
      <c r="AO85" s="49" t="str">
        <f ca="1">IFERROR(INDEX(AB:AB,MATCH(SMALL($AU:$AU,ROW()+3),$AU:$AU,0)),"")</f>
        <v/>
      </c>
      <c r="AP85" s="49" t="str">
        <f ca="1">IFERROR(INDEX(AC:AC,MATCH(SMALL($AU:$AU,ROW()+3),$AU:$AU,0)),"")</f>
        <v/>
      </c>
      <c r="AU85" s="49" t="str">
        <f t="shared" ca="1" si="14"/>
        <v/>
      </c>
    </row>
    <row r="86" spans="1:47" ht="22.2" customHeight="1">
      <c r="A86" s="110">
        <f t="shared" si="17"/>
        <v>37</v>
      </c>
      <c r="B86" s="111" t="str">
        <f t="shared" ca="1" si="15"/>
        <v/>
      </c>
      <c r="C86" s="111" t="str">
        <f>IF(OR(クライアント抽出!C16&lt;&gt;"",クライアント抽出!F16&lt;&gt;""),クライアント抽出!A16,"")</f>
        <v/>
      </c>
      <c r="D86" s="111" t="str">
        <f t="array" aca="1" ref="D86" ca="1">IF(C86&lt;&gt;"",INDIRECT("クライアント抽出!"&amp;E86&amp;MATCH(C86,クライアント抽出!A:A,0)&amp;""),"")</f>
        <v/>
      </c>
      <c r="E86" s="111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112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11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113" t="str">
        <f>IF(C86&lt;&gt;"",
クライアント抽出!C16,"")</f>
        <v/>
      </c>
      <c r="I86" s="111" t="str">
        <f t="array" aca="1" ref="I86" ca="1">IF(C86&lt;&gt;"",
IF(O86=1,
IF(SUMPRODUCT(COUNTIF(クライアント抽出!P16:U16,クライアント抽出!P16:U16))&gt;COUNTA(クライアント抽出!P16:U16),
INDIRECT("数出表_Excel!"&amp;INDEX(_xlfn.UNIQUE(_xlfn._xlws.FILTER(クライアント抽出!P16:U16,COUNTIF(クライアント抽出!P16:U16,クライアント抽出!P16:U16)=1)),1)&amp;L86&amp;""),
0),クライアント抽出!F16),"")</f>
        <v/>
      </c>
      <c r="J86" s="111" t="str">
        <f>IF(C86&lt;&gt;"",
VLOOKUP(
"*"&amp;LEFT(IF(COUNTIF(D86,"*学食*"),"キャラ弁（学食）",
IF(COUNTIF(D86,"*赤*"),"赤",
IF(COUNTIF(D86,"*キャラ弁当*"),"キャラ弁当",D86))),4)&amp;"*",注文弁当の抽出!$E$1:$F$15,2,FALSE),"")</f>
        <v/>
      </c>
      <c r="K86" s="111" t="str">
        <f ca="1">IF(クライアント抽出!Q16&lt;&gt;"",SUBSTITUTE(ADDRESS(1,(CODE(クライアント抽出!Q16)-64)*2-1,4),"1",""),"")</f>
        <v/>
      </c>
      <c r="L86" s="111" t="str">
        <f>IF(C16&lt;&gt;"",クライアント抽出!I16,"")</f>
        <v/>
      </c>
      <c r="M86" s="111">
        <f t="array" aca="1" ref="M86" ca="1">IF(C86&lt;&gt;"",
IF(K86&lt;&gt;"",INDIRECT("'数出表_Excel（アレルギー入力）'!"&amp;K86&amp;L86-1&amp;""),),)</f>
        <v>0</v>
      </c>
      <c r="N86" s="111" t="str">
        <f>IF(C86&lt;&gt;"",IF(OR(COUNTIF('盛付札（関数）'!D86,"*赤*"),COUNTIF('盛付札（関数）'!D86,"*キャラ*")),1,
VLOOKUP("*"&amp;D86&amp;"*",商品マスタ一覧!D:H,5,FALSE)),"")</f>
        <v/>
      </c>
      <c r="O86" s="111">
        <f t="shared" ca="1" si="16"/>
        <v>0</v>
      </c>
      <c r="P86" s="111">
        <f t="shared" si="9"/>
        <v>0</v>
      </c>
      <c r="Q86" s="111" t="b">
        <f t="shared" si="10"/>
        <v>0</v>
      </c>
      <c r="R86" s="49" t="str">
        <f t="array" aca="1" ref="R86" ca="1">IFERROR(SMALL(IF(P$1:P$311&lt;&gt;0,P$1:P$311),ROW(A86)),"")</f>
        <v/>
      </c>
      <c r="S86" s="49" t="str">
        <f t="array" aca="1" ref="S86" ca="1">IF($R86&lt;&gt;"",
SUBSTITUTE(SUBSTITUTE(INDIRECT("C"&amp;$R86&amp;"")," 週3ｺｰｽ","")," 週5ｺｰｽ",""),"")</f>
        <v/>
      </c>
      <c r="T86" s="49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22" t="str">
        <f t="array" aca="1" ref="U86" ca="1">IF($R86&lt;&gt;"",
INDIRECT("F"&amp;$R86&amp;""),"")</f>
        <v/>
      </c>
      <c r="V86" s="49" t="str">
        <f t="array" aca="1" ref="V86" ca="1">IF($R86&lt;&gt;"",
INDIRECT("G"&amp;$R86&amp;""),"")</f>
        <v/>
      </c>
      <c r="W86" s="49" t="str">
        <f t="array" aca="1" ref="W86" ca="1">IF($R86&lt;&gt;"",
IF(AND(COUNTIF(INDIRECT("B"&amp;R86&amp;""),"*雙葉*"),COUNTIF(B:B,"*雙葉*")&gt;=2),
IF(OR(COUNTIF(INDIRECT("B"&amp;R86&amp;""),"*雙葉先生*"),COUNTIF($B$1:$B$70,"*雙葉*")&gt;=2),INDIRECT("H"&amp;R86&amp;""),INDIRECT("H"&amp;R86&amp;"")+INDIRECT("H"&amp;MATCH("雙葉'",INDIRECT("B"&amp;R86+3&amp;":B210"),0)+2+R86&amp;"")),
IF(AND(LEFT(INDIRECT("B"&amp;R86&amp;""),2)="博多",COUNTIF(B:B,"*博多*")&gt;=2),
INDIRECT("H"&amp;R86&amp;"")+INDIRECT("H"&amp;MATCH("*"&amp;INDIRECT("B"&amp;R86&amp;"")&amp;"*",INDIRECT("B"&amp;R86+1&amp;":B210"),0)+R86&amp;""),
IF(AND(LEFT(INDIRECT("B"&amp;R86&amp;""),3)="奈良屋",COUNTIF(B:B,"*奈良屋*")&gt;=2),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49" t="str">
        <f t="array" aca="1" ref="X86" ca="1">IF($R86&lt;&gt;"",
INDIRECT(""&amp;IF(COLUMN(I86)&lt;=26,CHAR(COLUMN(I86)+64),CHAR(INT((COLUMN(I86)-1)/26)+64)&amp;CHAR(MOD(COLUMN(I86)-1,26)+65))&amp;$R86&amp;""),"")</f>
        <v/>
      </c>
      <c r="Y86" s="49" t="str">
        <f t="array" aca="1" ref="Y86" ca="1">IF($R86&lt;&gt;"",
INDIRECT(""&amp;IF(COLUMN(J86)&lt;=26,CHAR(COLUMN(J86)+64),CHAR(INT((COLUMN(J86)-1)/26)+64)&amp;CHAR(MOD(COLUMN(J86)-1,26)+65))&amp;$R86&amp;""),"")</f>
        <v/>
      </c>
      <c r="Z86" s="49" t="str">
        <f t="shared" ca="1" si="11"/>
        <v/>
      </c>
      <c r="AA86" s="49" t="str">
        <f t="shared" ca="1" si="12"/>
        <v/>
      </c>
      <c r="AB86" s="49" t="str">
        <f t="array" aca="1" ref="AB86" ca="1">IF($R86&lt;&gt;"",
IF(AND(COUNTIF(INDIRECT("B"&amp;R86&amp;""),"*雙葉*"),COUNTIF(B:B,"*雙葉*")&gt;=2),
INDIRECT("M"&amp;R86&amp;"")+INDIRECT("M"&amp;MATCH("雙葉'",INDIRECT("B"&amp;R86+1&amp;":B210"),0)+R86&amp;""),
IF(AND(LEFT(INDIRECT("B"&amp;R86&amp;""),2)="博多",COUNTIF(B:B,"*博多*")&gt;=2),
INDIRECT("M"&amp;R86&amp;"")+INDIRECT("M"&amp;MATCH("*"&amp;INDIRECT("B"&amp;R86&amp;"")&amp;"*",INDIRECT("B"&amp;R86+1&amp;":B210"),0)+R86&amp;""),
IF(AND(LEFT(INDIRECT("B"&amp;R86&amp;""),3)="奈良屋",COUNTIF(B:B,"*奈良屋*")&gt;=2),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  <c r="AC86" s="49" t="str">
        <f ca="1">IF(S86&lt;&gt;"",INDEX(A:A, MATCH("*"&amp;LEFT(S86,4)&amp;"*", C:C, 0)),"")</f>
        <v/>
      </c>
      <c r="AD86" s="49" t="str">
        <f ca="1">IFERROR(INDEX(AC:AC,MATCH(SMALL($AU:$AU,ROW()+3),$AU:$AU,0)),"")</f>
        <v/>
      </c>
      <c r="AE86" s="49" t="str">
        <f ca="1">IFERROR(INDEX(R:R,MATCH(SMALL($AU:$AU,ROW()+3),$AU:$AU,0)),"")</f>
        <v/>
      </c>
      <c r="AF86" s="49" t="str">
        <f ca="1">IFERROR(INDEX(S:S,MATCH(SMALL($AU:$AU,ROW()+3),$AU:$AU,0)),"")</f>
        <v/>
      </c>
      <c r="AG86" s="49" t="str">
        <f ca="1">IFERROR(INDEX(T:T,MATCH(SMALL($AU:$AU,ROW()+3),$AU:$AU,0)),"")</f>
        <v/>
      </c>
      <c r="AH86" s="122" t="str">
        <f ca="1">IFERROR(INDEX(U:U,MATCH(SMALL($AU:$AU,ROW()+3),$AU:$AU,0)),"")</f>
        <v/>
      </c>
      <c r="AI86" s="49" t="str">
        <f ca="1">IFERROR(INDEX(V:V,MATCH(SMALL($AU:$AU,ROW()+3),$AU:$AU,0)),"")</f>
        <v/>
      </c>
      <c r="AJ86" s="49" t="str">
        <f ca="1">IFERROR(INDEX(W:W,MATCH(SMALL($AU:$AU,ROW()+3),$AU:$AU,0)),"")</f>
        <v/>
      </c>
      <c r="AK86" s="49" t="str">
        <f ca="1">IFERROR(INDEX(X:X,MATCH(SMALL($AU:$AU,ROW()+3),$AU:$AU,0)),"")</f>
        <v/>
      </c>
      <c r="AL86" s="49" t="str">
        <f ca="1">IFERROR(INDEX(Y:Y,MATCH(SMALL($AU:$AU,ROW()+3),$AU:$AU,0)),"")</f>
        <v/>
      </c>
      <c r="AM86" s="49" t="str">
        <f ca="1">IFERROR(INDEX(Z:Z,MATCH(SMALL($AU:$AU,ROW()+3),$AU:$AU,0)),"")</f>
        <v/>
      </c>
      <c r="AN86" s="49" t="str">
        <f ca="1">IFERROR(INDEX(AA:AA,MATCH(SMALL($AU:$AU,ROW()+3),$AU:$AU,0)),"")</f>
        <v/>
      </c>
      <c r="AO86" s="49" t="str">
        <f ca="1">IFERROR(INDEX(AB:AB,MATCH(SMALL($AU:$AU,ROW()+3),$AU:$AU,0)),"")</f>
        <v/>
      </c>
      <c r="AP86" s="49" t="str">
        <f ca="1">IFERROR(INDEX(AC:AC,MATCH(SMALL($AU:$AU,ROW()+3),$AU:$AU,0)),"")</f>
        <v/>
      </c>
      <c r="AU86" s="49" t="str">
        <f t="shared" ca="1" si="14"/>
        <v/>
      </c>
    </row>
    <row r="87" spans="1:47" ht="22.2" customHeight="1">
      <c r="A87" s="110">
        <f t="shared" si="17"/>
        <v>39</v>
      </c>
      <c r="B87" s="111" t="str">
        <f t="shared" ca="1" si="15"/>
        <v/>
      </c>
      <c r="C87" s="111" t="str">
        <f>IF(OR(クライアント抽出!C17&lt;&gt;"",クライアント抽出!F17&lt;&gt;""),クライアント抽出!A17,"")</f>
        <v/>
      </c>
      <c r="D87" s="111" t="str">
        <f t="array" aca="1" ref="D87" ca="1">IF(C87&lt;&gt;"",INDIRECT("クライアント抽出!"&amp;E87&amp;MATCH(C87,クライアント抽出!A:A,0)&amp;""),"")</f>
        <v/>
      </c>
      <c r="E87" s="111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112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11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113" t="str">
        <f>IF(C87&lt;&gt;"",
クライアント抽出!C17,"")</f>
        <v/>
      </c>
      <c r="I87" s="111" t="str">
        <f t="array" aca="1" ref="I87" ca="1">IF(C87&lt;&gt;"",
IF(O87=1,
IF(SUMPRODUCT(COUNTIF(クライアント抽出!P17:U17,クライアント抽出!P17:U17))&gt;COUNTA(クライアント抽出!P17:U17),
INDIRECT("数出表_Excel!"&amp;INDEX(_xlfn.UNIQUE(_xlfn._xlws.FILTER(クライアント抽出!P17:U17,COUNTIF(クライアント抽出!P17:U17,クライアント抽出!P17:U17)=1)),1)&amp;L87&amp;""),
0),クライアント抽出!F17),"")</f>
        <v/>
      </c>
      <c r="J87" s="111" t="str">
        <f>IF(C87&lt;&gt;"",
VLOOKUP(
"*"&amp;LEFT(IF(COUNTIF(D87,"*学食*"),"キャラ弁（学食）",
IF(COUNTIF(D87,"*赤*"),"赤",
IF(COUNTIF(D87,"*キャラ弁当*"),"キャラ弁当",D87))),4)&amp;"*",注文弁当の抽出!$E$1:$F$15,2,FALSE),"")</f>
        <v/>
      </c>
      <c r="K87" s="111" t="str">
        <f ca="1">IF(クライアント抽出!Q17&lt;&gt;"",SUBSTITUTE(ADDRESS(1,(CODE(クライアント抽出!Q17)-64)*2-1,4),"1",""),"")</f>
        <v/>
      </c>
      <c r="L87" s="111" t="str">
        <f>IF(C17&lt;&gt;"",クライアント抽出!I17,"")</f>
        <v/>
      </c>
      <c r="M87" s="111">
        <f t="array" aca="1" ref="M87" ca="1">IF(C87&lt;&gt;"",
IF(K87&lt;&gt;"",INDIRECT("'数出表_Excel（アレルギー入力）'!"&amp;K87&amp;L87-1&amp;""),),)</f>
        <v>0</v>
      </c>
      <c r="N87" s="111" t="str">
        <f>IF(C87&lt;&gt;"",IF(OR(COUNTIF('盛付札（関数）'!D87,"*赤*"),COUNTIF('盛付札（関数）'!D87,"*キャラ*")),1,
VLOOKUP("*"&amp;D87&amp;"*",商品マスタ一覧!D:H,5,FALSE)),"")</f>
        <v/>
      </c>
      <c r="O87" s="111">
        <f t="shared" ca="1" si="16"/>
        <v>0</v>
      </c>
      <c r="P87" s="111">
        <f t="shared" si="9"/>
        <v>0</v>
      </c>
      <c r="Q87" s="111" t="b">
        <f t="shared" si="10"/>
        <v>0</v>
      </c>
      <c r="R87" s="49" t="str">
        <f t="array" aca="1" ref="R87" ca="1">IFERROR(SMALL(IF(P$1:P$311&lt;&gt;0,P$1:P$311),ROW(A87)),"")</f>
        <v/>
      </c>
      <c r="S87" s="49" t="str">
        <f t="array" aca="1" ref="S87" ca="1">IF($R87&lt;&gt;"",
SUBSTITUTE(SUBSTITUTE(INDIRECT("C"&amp;$R87&amp;"")," 週3ｺｰｽ","")," 週5ｺｰｽ",""),"")</f>
        <v/>
      </c>
      <c r="T87" s="49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22" t="str">
        <f t="array" aca="1" ref="U87" ca="1">IF($R87&lt;&gt;"",
INDIRECT("F"&amp;$R87&amp;""),"")</f>
        <v/>
      </c>
      <c r="V87" s="49" t="str">
        <f t="array" aca="1" ref="V87" ca="1">IF($R87&lt;&gt;"",
INDIRECT("G"&amp;$R87&amp;""),"")</f>
        <v/>
      </c>
      <c r="W87" s="49" t="str">
        <f t="array" aca="1" ref="W87" ca="1">IF($R87&lt;&gt;"",
IF(AND(COUNTIF(INDIRECT("B"&amp;R87&amp;""),"*雙葉*"),COUNTIF(B:B,"*雙葉*")&gt;=2),
IF(OR(COUNTIF(INDIRECT("B"&amp;R87&amp;""),"*雙葉先生*"),COUNTIF($B$1:$B$70,"*雙葉*")&gt;=2),INDIRECT("H"&amp;R87&amp;""),INDIRECT("H"&amp;R87&amp;"")+INDIRECT("H"&amp;MATCH("雙葉'",INDIRECT("B"&amp;R87+3&amp;":B210"),0)+2+R87&amp;"")),
IF(AND(LEFT(INDIRECT("B"&amp;R87&amp;""),2)="博多",COUNTIF(B:B,"*博多*")&gt;=2),
INDIRECT("H"&amp;R87&amp;"")+INDIRECT("H"&amp;MATCH("*"&amp;INDIRECT("B"&amp;R87&amp;"")&amp;"*",INDIRECT("B"&amp;R87+1&amp;":B210"),0)+R87&amp;""),
IF(AND(LEFT(INDIRECT("B"&amp;R87&amp;""),3)="奈良屋",COUNTIF(B:B,"*奈良屋*")&gt;=2),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49" t="str">
        <f t="array" aca="1" ref="X87" ca="1">IF($R87&lt;&gt;"",
INDIRECT(""&amp;IF(COLUMN(I87)&lt;=26,CHAR(COLUMN(I87)+64),CHAR(INT((COLUMN(I87)-1)/26)+64)&amp;CHAR(MOD(COLUMN(I87)-1,26)+65))&amp;$R87&amp;""),"")</f>
        <v/>
      </c>
      <c r="Y87" s="49" t="str">
        <f t="array" aca="1" ref="Y87" ca="1">IF($R87&lt;&gt;"",
INDIRECT(""&amp;IF(COLUMN(J87)&lt;=26,CHAR(COLUMN(J87)+64),CHAR(INT((COLUMN(J87)-1)/26)+64)&amp;CHAR(MOD(COLUMN(J87)-1,26)+65))&amp;$R87&amp;""),"")</f>
        <v/>
      </c>
      <c r="Z87" s="49" t="str">
        <f t="shared" ca="1" si="11"/>
        <v/>
      </c>
      <c r="AA87" s="49" t="str">
        <f t="shared" ca="1" si="12"/>
        <v/>
      </c>
      <c r="AB87" s="49" t="str">
        <f t="array" aca="1" ref="AB87" ca="1">IF($R87&lt;&gt;"",
IF(AND(COUNTIF(INDIRECT("B"&amp;R87&amp;""),"*雙葉*"),COUNTIF(B:B,"*雙葉*")&gt;=2),
INDIRECT("M"&amp;R87&amp;"")+INDIRECT("M"&amp;MATCH("雙葉'",INDIRECT("B"&amp;R87+1&amp;":B210"),0)+R87&amp;""),
IF(AND(LEFT(INDIRECT("B"&amp;R87&amp;""),2)="博多",COUNTIF(B:B,"*博多*")&gt;=2),
INDIRECT("M"&amp;R87&amp;"")+INDIRECT("M"&amp;MATCH("*"&amp;INDIRECT("B"&amp;R87&amp;"")&amp;"*",INDIRECT("B"&amp;R87+1&amp;":B210"),0)+R87&amp;""),
IF(AND(LEFT(INDIRECT("B"&amp;R87&amp;""),3)="奈良屋",COUNTIF(B:B,"*奈良屋*")&gt;=2),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  <c r="AC87" s="49" t="str">
        <f ca="1">IF(S87&lt;&gt;"",INDEX(A:A, MATCH("*"&amp;LEFT(S87,4)&amp;"*", C:C, 0)),"")</f>
        <v/>
      </c>
      <c r="AD87" s="49" t="str">
        <f ca="1">IFERROR(INDEX(AC:AC,MATCH(SMALL($AU:$AU,ROW()+3),$AU:$AU,0)),"")</f>
        <v/>
      </c>
      <c r="AE87" s="49" t="str">
        <f ca="1">IFERROR(INDEX(R:R,MATCH(SMALL($AU:$AU,ROW()+3),$AU:$AU,0)),"")</f>
        <v/>
      </c>
      <c r="AF87" s="49" t="str">
        <f ca="1">IFERROR(INDEX(S:S,MATCH(SMALL($AU:$AU,ROW()+3),$AU:$AU,0)),"")</f>
        <v/>
      </c>
      <c r="AG87" s="49" t="str">
        <f ca="1">IFERROR(INDEX(T:T,MATCH(SMALL($AU:$AU,ROW()+3),$AU:$AU,0)),"")</f>
        <v/>
      </c>
      <c r="AH87" s="122" t="str">
        <f ca="1">IFERROR(INDEX(U:U,MATCH(SMALL($AU:$AU,ROW()+3),$AU:$AU,0)),"")</f>
        <v/>
      </c>
      <c r="AI87" s="49" t="str">
        <f ca="1">IFERROR(INDEX(V:V,MATCH(SMALL($AU:$AU,ROW()+3),$AU:$AU,0)),"")</f>
        <v/>
      </c>
      <c r="AJ87" s="49" t="str">
        <f ca="1">IFERROR(INDEX(W:W,MATCH(SMALL($AU:$AU,ROW()+3),$AU:$AU,0)),"")</f>
        <v/>
      </c>
      <c r="AK87" s="49" t="str">
        <f ca="1">IFERROR(INDEX(X:X,MATCH(SMALL($AU:$AU,ROW()+3),$AU:$AU,0)),"")</f>
        <v/>
      </c>
      <c r="AL87" s="49" t="str">
        <f ca="1">IFERROR(INDEX(Y:Y,MATCH(SMALL($AU:$AU,ROW()+3),$AU:$AU,0)),"")</f>
        <v/>
      </c>
      <c r="AM87" s="49" t="str">
        <f ca="1">IFERROR(INDEX(Z:Z,MATCH(SMALL($AU:$AU,ROW()+3),$AU:$AU,0)),"")</f>
        <v/>
      </c>
      <c r="AN87" s="49" t="str">
        <f ca="1">IFERROR(INDEX(AA:AA,MATCH(SMALL($AU:$AU,ROW()+3),$AU:$AU,0)),"")</f>
        <v/>
      </c>
      <c r="AO87" s="49" t="str">
        <f ca="1">IFERROR(INDEX(AB:AB,MATCH(SMALL($AU:$AU,ROW()+3),$AU:$AU,0)),"")</f>
        <v/>
      </c>
      <c r="AP87" s="49" t="str">
        <f ca="1">IFERROR(INDEX(AC:AC,MATCH(SMALL($AU:$AU,ROW()+3),$AU:$AU,0)),"")</f>
        <v/>
      </c>
      <c r="AU87" s="49" t="str">
        <f t="shared" ca="1" si="14"/>
        <v/>
      </c>
    </row>
    <row r="88" spans="1:47" ht="22.2" customHeight="1">
      <c r="A88" s="110">
        <f t="shared" si="17"/>
        <v>41</v>
      </c>
      <c r="B88" s="111" t="str">
        <f t="shared" ca="1" si="15"/>
        <v/>
      </c>
      <c r="C88" s="111" t="str">
        <f>IF(OR(クライアント抽出!C18&lt;&gt;"",クライアント抽出!F18&lt;&gt;""),クライアント抽出!A18,"")</f>
        <v/>
      </c>
      <c r="D88" s="111" t="str">
        <f t="array" aca="1" ref="D88" ca="1">IF(C88&lt;&gt;"",INDIRECT("クライアント抽出!"&amp;E88&amp;MATCH(C88,クライアント抽出!A:A,0)&amp;""),"")</f>
        <v/>
      </c>
      <c r="E88" s="111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112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11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113" t="str">
        <f>IF(C88&lt;&gt;"",
クライアント抽出!C18,"")</f>
        <v/>
      </c>
      <c r="I88" s="111" t="str">
        <f t="array" aca="1" ref="I88" ca="1">IF(C88&lt;&gt;"",
IF(O88=1,
IF(SUMPRODUCT(COUNTIF(クライアント抽出!P18:U18,クライアント抽出!P18:U18))&gt;COUNTA(クライアント抽出!P18:U18),
INDIRECT("数出表_Excel!"&amp;INDEX(_xlfn.UNIQUE(_xlfn._xlws.FILTER(クライアント抽出!P18:U18,COUNTIF(クライアント抽出!P18:U18,クライアント抽出!P18:U18)=1)),1)&amp;L88&amp;""),
0),クライアント抽出!F18),"")</f>
        <v/>
      </c>
      <c r="J88" s="111" t="str">
        <f>IF(C88&lt;&gt;"",
VLOOKUP(
"*"&amp;LEFT(IF(COUNTIF(D88,"*学食*"),"キャラ弁（学食）",
IF(COUNTIF(D88,"*赤*"),"赤",
IF(COUNTIF(D88,"*キャラ弁当*"),"キャラ弁当",D88))),4)&amp;"*",注文弁当の抽出!$E$1:$F$15,2,FALSE),"")</f>
        <v/>
      </c>
      <c r="K88" s="111" t="str">
        <f ca="1">IF(クライアント抽出!Q18&lt;&gt;"",SUBSTITUTE(ADDRESS(1,(CODE(クライアント抽出!Q18)-64)*2-1,4),"1",""),"")</f>
        <v/>
      </c>
      <c r="L88" s="111" t="str">
        <f>IF(C18&lt;&gt;"",クライアント抽出!I18,"")</f>
        <v/>
      </c>
      <c r="M88" s="111">
        <f t="array" aca="1" ref="M88" ca="1">IF(C88&lt;&gt;"",
IF(K88&lt;&gt;"",INDIRECT("'数出表_Excel（アレルギー入力）'!"&amp;K88&amp;L88-1&amp;""),),)</f>
        <v>0</v>
      </c>
      <c r="N88" s="111" t="str">
        <f>IF(C88&lt;&gt;"",IF(OR(COUNTIF('盛付札（関数）'!D88,"*赤*"),COUNTIF('盛付札（関数）'!D88,"*キャラ*")),1,
VLOOKUP("*"&amp;D88&amp;"*",商品マスタ一覧!D:H,5,FALSE)),"")</f>
        <v/>
      </c>
      <c r="O88" s="111">
        <f t="shared" ca="1" si="16"/>
        <v>0</v>
      </c>
      <c r="P88" s="111">
        <f t="shared" si="9"/>
        <v>0</v>
      </c>
      <c r="Q88" s="111" t="b">
        <f t="shared" si="10"/>
        <v>0</v>
      </c>
      <c r="R88" s="49" t="str">
        <f t="array" aca="1" ref="R88" ca="1">IFERROR(SMALL(IF(P$1:P$311&lt;&gt;0,P$1:P$311),ROW(A88)),"")</f>
        <v/>
      </c>
      <c r="S88" s="49" t="str">
        <f t="array" aca="1" ref="S88" ca="1">IF($R88&lt;&gt;"",
SUBSTITUTE(SUBSTITUTE(INDIRECT("C"&amp;$R88&amp;"")," 週3ｺｰｽ","")," 週5ｺｰｽ",""),"")</f>
        <v/>
      </c>
      <c r="T88" s="49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22" t="str">
        <f t="array" aca="1" ref="U88" ca="1">IF($R88&lt;&gt;"",
INDIRECT("F"&amp;$R88&amp;""),"")</f>
        <v/>
      </c>
      <c r="V88" s="49" t="str">
        <f t="array" aca="1" ref="V88" ca="1">IF($R88&lt;&gt;"",
INDIRECT("G"&amp;$R88&amp;""),"")</f>
        <v/>
      </c>
      <c r="W88" s="49" t="str">
        <f t="array" aca="1" ref="W88" ca="1">IF($R88&lt;&gt;"",
IF(AND(COUNTIF(INDIRECT("B"&amp;R88&amp;""),"*雙葉*"),COUNTIF(B:B,"*雙葉*")&gt;=2),
IF(OR(COUNTIF(INDIRECT("B"&amp;R88&amp;""),"*雙葉先生*"),COUNTIF($B$1:$B$70,"*雙葉*")&gt;=2),INDIRECT("H"&amp;R88&amp;""),INDIRECT("H"&amp;R88&amp;"")+INDIRECT("H"&amp;MATCH("雙葉'",INDIRECT("B"&amp;R88+3&amp;":B210"),0)+2+R88&amp;"")),
IF(AND(LEFT(INDIRECT("B"&amp;R88&amp;""),2)="博多",COUNTIF(B:B,"*博多*")&gt;=2),
INDIRECT("H"&amp;R88&amp;"")+INDIRECT("H"&amp;MATCH("*"&amp;INDIRECT("B"&amp;R88&amp;"")&amp;"*",INDIRECT("B"&amp;R88+1&amp;":B210"),0)+R88&amp;""),
IF(AND(LEFT(INDIRECT("B"&amp;R88&amp;""),3)="奈良屋",COUNTIF(B:B,"*奈良屋*")&gt;=2),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49" t="str">
        <f t="array" aca="1" ref="X88" ca="1">IF($R88&lt;&gt;"",
INDIRECT(""&amp;IF(COLUMN(I88)&lt;=26,CHAR(COLUMN(I88)+64),CHAR(INT((COLUMN(I88)-1)/26)+64)&amp;CHAR(MOD(COLUMN(I88)-1,26)+65))&amp;$R88&amp;""),"")</f>
        <v/>
      </c>
      <c r="Y88" s="49" t="str">
        <f t="array" aca="1" ref="Y88" ca="1">IF($R88&lt;&gt;"",
INDIRECT(""&amp;IF(COLUMN(J88)&lt;=26,CHAR(COLUMN(J88)+64),CHAR(INT((COLUMN(J88)-1)/26)+64)&amp;CHAR(MOD(COLUMN(J88)-1,26)+65))&amp;$R88&amp;""),"")</f>
        <v/>
      </c>
      <c r="Z88" s="49" t="str">
        <f t="shared" ca="1" si="11"/>
        <v/>
      </c>
      <c r="AA88" s="49" t="str">
        <f t="shared" ca="1" si="12"/>
        <v/>
      </c>
      <c r="AB88" s="49" t="str">
        <f t="array" aca="1" ref="AB88" ca="1">IF($R88&lt;&gt;"",
IF(AND(COUNTIF(INDIRECT("B"&amp;R88&amp;""),"*雙葉*"),COUNTIF(B:B,"*雙葉*")&gt;=2),
INDIRECT("M"&amp;R88&amp;"")+INDIRECT("M"&amp;MATCH("雙葉'",INDIRECT("B"&amp;R88+1&amp;":B210"),0)+R88&amp;""),
IF(AND(LEFT(INDIRECT("B"&amp;R88&amp;""),2)="博多",COUNTIF(B:B,"*博多*")&gt;=2),
INDIRECT("M"&amp;R88&amp;"")+INDIRECT("M"&amp;MATCH("*"&amp;INDIRECT("B"&amp;R88&amp;"")&amp;"*",INDIRECT("B"&amp;R88+1&amp;":B210"),0)+R88&amp;""),
IF(AND(LEFT(INDIRECT("B"&amp;R88&amp;""),3)="奈良屋",COUNTIF(B:B,"*奈良屋*")&gt;=2),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  <c r="AC88" s="49" t="str">
        <f ca="1">IF(S88&lt;&gt;"",INDEX(A:A, MATCH("*"&amp;LEFT(S88,4)&amp;"*", C:C, 0)),"")</f>
        <v/>
      </c>
      <c r="AD88" s="49" t="str">
        <f ca="1">IFERROR(INDEX(AC:AC,MATCH(SMALL($AU:$AU,ROW()+3),$AU:$AU,0)),"")</f>
        <v/>
      </c>
      <c r="AE88" s="49" t="str">
        <f ca="1">IFERROR(INDEX(R:R,MATCH(SMALL($AU:$AU,ROW()+3),$AU:$AU,0)),"")</f>
        <v/>
      </c>
      <c r="AF88" s="49" t="str">
        <f ca="1">IFERROR(INDEX(S:S,MATCH(SMALL($AU:$AU,ROW()+3),$AU:$AU,0)),"")</f>
        <v/>
      </c>
      <c r="AG88" s="49" t="str">
        <f ca="1">IFERROR(INDEX(T:T,MATCH(SMALL($AU:$AU,ROW()+3),$AU:$AU,0)),"")</f>
        <v/>
      </c>
      <c r="AH88" s="122" t="str">
        <f ca="1">IFERROR(INDEX(U:U,MATCH(SMALL($AU:$AU,ROW()+3),$AU:$AU,0)),"")</f>
        <v/>
      </c>
      <c r="AI88" s="49" t="str">
        <f ca="1">IFERROR(INDEX(V:V,MATCH(SMALL($AU:$AU,ROW()+3),$AU:$AU,0)),"")</f>
        <v/>
      </c>
      <c r="AJ88" s="49" t="str">
        <f ca="1">IFERROR(INDEX(W:W,MATCH(SMALL($AU:$AU,ROW()+3),$AU:$AU,0)),"")</f>
        <v/>
      </c>
      <c r="AK88" s="49" t="str">
        <f ca="1">IFERROR(INDEX(X:X,MATCH(SMALL($AU:$AU,ROW()+3),$AU:$AU,0)),"")</f>
        <v/>
      </c>
      <c r="AL88" s="49" t="str">
        <f ca="1">IFERROR(INDEX(Y:Y,MATCH(SMALL($AU:$AU,ROW()+3),$AU:$AU,0)),"")</f>
        <v/>
      </c>
      <c r="AM88" s="49" t="str">
        <f ca="1">IFERROR(INDEX(Z:Z,MATCH(SMALL($AU:$AU,ROW()+3),$AU:$AU,0)),"")</f>
        <v/>
      </c>
      <c r="AN88" s="49" t="str">
        <f ca="1">IFERROR(INDEX(AA:AA,MATCH(SMALL($AU:$AU,ROW()+3),$AU:$AU,0)),"")</f>
        <v/>
      </c>
      <c r="AO88" s="49" t="str">
        <f ca="1">IFERROR(INDEX(AB:AB,MATCH(SMALL($AU:$AU,ROW()+3),$AU:$AU,0)),"")</f>
        <v/>
      </c>
      <c r="AP88" s="49" t="str">
        <f ca="1">IFERROR(INDEX(AC:AC,MATCH(SMALL($AU:$AU,ROW()+3),$AU:$AU,0)),"")</f>
        <v/>
      </c>
      <c r="AU88" s="49" t="str">
        <f t="shared" ca="1" si="14"/>
        <v/>
      </c>
    </row>
    <row r="89" spans="1:47" ht="22.2" customHeight="1">
      <c r="A89" s="110">
        <f t="shared" si="17"/>
        <v>43</v>
      </c>
      <c r="B89" s="111" t="str">
        <f t="shared" ca="1" si="15"/>
        <v/>
      </c>
      <c r="C89" s="111" t="str">
        <f>IF(OR(クライアント抽出!C19&lt;&gt;"",クライアント抽出!F19&lt;&gt;""),クライアント抽出!A19,"")</f>
        <v/>
      </c>
      <c r="D89" s="111" t="str">
        <f t="array" aca="1" ref="D89" ca="1">IF(C89&lt;&gt;"",INDIRECT("クライアント抽出!"&amp;E89&amp;MATCH(C89,クライアント抽出!A:A,0)&amp;""),"")</f>
        <v/>
      </c>
      <c r="E89" s="111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112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11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113" t="str">
        <f>IF(C89&lt;&gt;"",
クライアント抽出!C19,"")</f>
        <v/>
      </c>
      <c r="I89" s="111" t="str">
        <f t="array" aca="1" ref="I89" ca="1">IF(C89&lt;&gt;"",
IF(O89=1,
IF(SUMPRODUCT(COUNTIF(クライアント抽出!P19:U19,クライアント抽出!P19:U19))&gt;COUNTA(クライアント抽出!P19:U19),
INDIRECT("数出表_Excel!"&amp;INDEX(_xlfn.UNIQUE(_xlfn._xlws.FILTER(クライアント抽出!P19:U19,COUNTIF(クライアント抽出!P19:U19,クライアント抽出!P19:U19)=1)),1)&amp;L89&amp;""),
0),クライアント抽出!F19),"")</f>
        <v/>
      </c>
      <c r="J89" s="111" t="str">
        <f>IF(C89&lt;&gt;"",
VLOOKUP(
"*"&amp;LEFT(IF(COUNTIF(D89,"*学食*"),"キャラ弁（学食）",
IF(COUNTIF(D89,"*赤*"),"赤",
IF(COUNTIF(D89,"*キャラ弁当*"),"キャラ弁当",D89))),4)&amp;"*",注文弁当の抽出!$E$1:$F$15,2,FALSE),"")</f>
        <v/>
      </c>
      <c r="K89" s="111" t="str">
        <f ca="1">IF(クライアント抽出!Q19&lt;&gt;"",SUBSTITUTE(ADDRESS(1,(CODE(クライアント抽出!Q19)-64)*2-1,4),"1",""),"")</f>
        <v/>
      </c>
      <c r="L89" s="111" t="str">
        <f>IF(C19&lt;&gt;"",クライアント抽出!I19,"")</f>
        <v/>
      </c>
      <c r="M89" s="111">
        <f t="array" aca="1" ref="M89" ca="1">IF(C89&lt;&gt;"",
IF(K89&lt;&gt;"",INDIRECT("'数出表_Excel（アレルギー入力）'!"&amp;K89&amp;L89-1&amp;""),),)</f>
        <v>0</v>
      </c>
      <c r="N89" s="111" t="str">
        <f>IF(C89&lt;&gt;"",IF(OR(COUNTIF('盛付札（関数）'!D89,"*赤*"),COUNTIF('盛付札（関数）'!D89,"*キャラ*")),1,
VLOOKUP("*"&amp;D89&amp;"*",商品マスタ一覧!D:H,5,FALSE)),"")</f>
        <v/>
      </c>
      <c r="O89" s="111">
        <f t="shared" ca="1" si="16"/>
        <v>0</v>
      </c>
      <c r="P89" s="111">
        <f t="shared" si="9"/>
        <v>0</v>
      </c>
      <c r="Q89" s="111" t="b">
        <f t="shared" si="10"/>
        <v>0</v>
      </c>
      <c r="R89" s="49" t="str">
        <f t="array" aca="1" ref="R89" ca="1">IFERROR(SMALL(IF(P$1:P$311&lt;&gt;0,P$1:P$311),ROW(A89)),"")</f>
        <v/>
      </c>
      <c r="S89" s="49" t="str">
        <f t="array" aca="1" ref="S89" ca="1">IF($R89&lt;&gt;"",
SUBSTITUTE(SUBSTITUTE(INDIRECT("C"&amp;$R89&amp;"")," 週3ｺｰｽ","")," 週5ｺｰｽ",""),"")</f>
        <v/>
      </c>
      <c r="T89" s="49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22" t="str">
        <f t="array" aca="1" ref="U89" ca="1">IF($R89&lt;&gt;"",
INDIRECT("F"&amp;$R89&amp;""),"")</f>
        <v/>
      </c>
      <c r="V89" s="49" t="str">
        <f t="array" aca="1" ref="V89" ca="1">IF($R89&lt;&gt;"",
INDIRECT("G"&amp;$R89&amp;""),"")</f>
        <v/>
      </c>
      <c r="W89" s="49" t="str">
        <f t="array" aca="1" ref="W89" ca="1">IF($R89&lt;&gt;"",
IF(AND(COUNTIF(INDIRECT("B"&amp;R89&amp;""),"*雙葉*"),COUNTIF(B:B,"*雙葉*")&gt;=2),
IF(OR(COUNTIF(INDIRECT("B"&amp;R89&amp;""),"*雙葉先生*"),COUNTIF($B$1:$B$70,"*雙葉*")&gt;=2),INDIRECT("H"&amp;R89&amp;""),INDIRECT("H"&amp;R89&amp;"")+INDIRECT("H"&amp;MATCH("雙葉'",INDIRECT("B"&amp;R89+3&amp;":B210"),0)+2+R89&amp;"")),
IF(AND(LEFT(INDIRECT("B"&amp;R89&amp;""),2)="博多",COUNTIF(B:B,"*博多*")&gt;=2),
INDIRECT("H"&amp;R89&amp;"")+INDIRECT("H"&amp;MATCH("*"&amp;INDIRECT("B"&amp;R89&amp;"")&amp;"*",INDIRECT("B"&amp;R89+1&amp;":B210"),0)+R89&amp;""),
IF(AND(LEFT(INDIRECT("B"&amp;R89&amp;""),3)="奈良屋",COUNTIF(B:B,"*奈良屋*")&gt;=2),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49" t="str">
        <f t="array" aca="1" ref="X89" ca="1">IF($R89&lt;&gt;"",
INDIRECT(""&amp;IF(COLUMN(I89)&lt;=26,CHAR(COLUMN(I89)+64),CHAR(INT((COLUMN(I89)-1)/26)+64)&amp;CHAR(MOD(COLUMN(I89)-1,26)+65))&amp;$R89&amp;""),"")</f>
        <v/>
      </c>
      <c r="Y89" s="49" t="str">
        <f t="array" aca="1" ref="Y89" ca="1">IF($R89&lt;&gt;"",
INDIRECT(""&amp;IF(COLUMN(J89)&lt;=26,CHAR(COLUMN(J89)+64),CHAR(INT((COLUMN(J89)-1)/26)+64)&amp;CHAR(MOD(COLUMN(J89)-1,26)+65))&amp;$R89&amp;""),"")</f>
        <v/>
      </c>
      <c r="Z89" s="49" t="str">
        <f t="shared" ca="1" si="11"/>
        <v/>
      </c>
      <c r="AA89" s="49" t="str">
        <f t="shared" ca="1" si="12"/>
        <v/>
      </c>
      <c r="AB89" s="49" t="str">
        <f t="array" aca="1" ref="AB89" ca="1">IF($R89&lt;&gt;"",
IF(AND(COUNTIF(INDIRECT("B"&amp;R89&amp;""),"*雙葉*"),COUNTIF(B:B,"*雙葉*")&gt;=2),
INDIRECT("M"&amp;R89&amp;"")+INDIRECT("M"&amp;MATCH("雙葉'",INDIRECT("B"&amp;R89+1&amp;":B210"),0)+R89&amp;""),
IF(AND(LEFT(INDIRECT("B"&amp;R89&amp;""),2)="博多",COUNTIF(B:B,"*博多*")&gt;=2),
INDIRECT("M"&amp;R89&amp;"")+INDIRECT("M"&amp;MATCH("*"&amp;INDIRECT("B"&amp;R89&amp;"")&amp;"*",INDIRECT("B"&amp;R89+1&amp;":B210"),0)+R89&amp;""),
IF(AND(LEFT(INDIRECT("B"&amp;R89&amp;""),3)="奈良屋",COUNTIF(B:B,"*奈良屋*")&gt;=2),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  <c r="AC89" s="49" t="str">
        <f ca="1">IF(S89&lt;&gt;"",INDEX(A:A, MATCH("*"&amp;LEFT(S89,4)&amp;"*", C:C, 0)),"")</f>
        <v/>
      </c>
      <c r="AD89" s="49" t="str">
        <f ca="1">IFERROR(INDEX(AC:AC,MATCH(SMALL($AU:$AU,ROW()+3),$AU:$AU,0)),"")</f>
        <v/>
      </c>
      <c r="AE89" s="49" t="str">
        <f ca="1">IFERROR(INDEX(R:R,MATCH(SMALL($AU:$AU,ROW()+3),$AU:$AU,0)),"")</f>
        <v/>
      </c>
      <c r="AF89" s="49" t="str">
        <f ca="1">IFERROR(INDEX(S:S,MATCH(SMALL($AU:$AU,ROW()+3),$AU:$AU,0)),"")</f>
        <v/>
      </c>
      <c r="AG89" s="49" t="str">
        <f ca="1">IFERROR(INDEX(T:T,MATCH(SMALL($AU:$AU,ROW()+3),$AU:$AU,0)),"")</f>
        <v/>
      </c>
      <c r="AH89" s="122" t="str">
        <f ca="1">IFERROR(INDEX(U:U,MATCH(SMALL($AU:$AU,ROW()+3),$AU:$AU,0)),"")</f>
        <v/>
      </c>
      <c r="AI89" s="49" t="str">
        <f ca="1">IFERROR(INDEX(V:V,MATCH(SMALL($AU:$AU,ROW()+3),$AU:$AU,0)),"")</f>
        <v/>
      </c>
      <c r="AJ89" s="49" t="str">
        <f ca="1">IFERROR(INDEX(W:W,MATCH(SMALL($AU:$AU,ROW()+3),$AU:$AU,0)),"")</f>
        <v/>
      </c>
      <c r="AK89" s="49" t="str">
        <f ca="1">IFERROR(INDEX(X:X,MATCH(SMALL($AU:$AU,ROW()+3),$AU:$AU,0)),"")</f>
        <v/>
      </c>
      <c r="AL89" s="49" t="str">
        <f ca="1">IFERROR(INDEX(Y:Y,MATCH(SMALL($AU:$AU,ROW()+3),$AU:$AU,0)),"")</f>
        <v/>
      </c>
      <c r="AM89" s="49" t="str">
        <f ca="1">IFERROR(INDEX(Z:Z,MATCH(SMALL($AU:$AU,ROW()+3),$AU:$AU,0)),"")</f>
        <v/>
      </c>
      <c r="AN89" s="49" t="str">
        <f ca="1">IFERROR(INDEX(AA:AA,MATCH(SMALL($AU:$AU,ROW()+3),$AU:$AU,0)),"")</f>
        <v/>
      </c>
      <c r="AO89" s="49" t="str">
        <f ca="1">IFERROR(INDEX(AB:AB,MATCH(SMALL($AU:$AU,ROW()+3),$AU:$AU,0)),"")</f>
        <v/>
      </c>
      <c r="AP89" s="49" t="str">
        <f ca="1">IFERROR(INDEX(AC:AC,MATCH(SMALL($AU:$AU,ROW()+3),$AU:$AU,0)),"")</f>
        <v/>
      </c>
      <c r="AU89" s="49" t="str">
        <f t="shared" ca="1" si="14"/>
        <v/>
      </c>
    </row>
    <row r="90" spans="1:47" ht="22.2" customHeight="1">
      <c r="A90" s="110">
        <f t="shared" si="17"/>
        <v>45</v>
      </c>
      <c r="B90" s="111" t="str">
        <f t="shared" ca="1" si="15"/>
        <v/>
      </c>
      <c r="C90" s="111" t="str">
        <f>IF(OR(クライアント抽出!C20&lt;&gt;"",クライアント抽出!F20&lt;&gt;""),クライアント抽出!A20,"")</f>
        <v/>
      </c>
      <c r="D90" s="111" t="str">
        <f t="array" aca="1" ref="D90" ca="1">IF(C90&lt;&gt;"",INDIRECT("クライアント抽出!"&amp;E90&amp;MATCH(C90,クライアント抽出!A:A,0)&amp;""),"")</f>
        <v/>
      </c>
      <c r="E90" s="111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112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11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113" t="str">
        <f>IF(C90&lt;&gt;"",
クライアント抽出!C20,"")</f>
        <v/>
      </c>
      <c r="I90" s="111" t="str">
        <f t="array" aca="1" ref="I90" ca="1">IF(C90&lt;&gt;"",
IF(O90=1,
IF(SUMPRODUCT(COUNTIF(クライアント抽出!P20:U20,クライアント抽出!P20:U20))&gt;COUNTA(クライアント抽出!P20:U20),
INDIRECT("数出表_Excel!"&amp;INDEX(_xlfn.UNIQUE(_xlfn._xlws.FILTER(クライアント抽出!P20:U20,COUNTIF(クライアント抽出!P20:U20,クライアント抽出!P20:U20)=1)),1)&amp;L90&amp;""),
0),クライアント抽出!F20),"")</f>
        <v/>
      </c>
      <c r="J90" s="111" t="str">
        <f>IF(C90&lt;&gt;"",
VLOOKUP(
"*"&amp;LEFT(IF(COUNTIF(D90,"*学食*"),"キャラ弁（学食）",
IF(COUNTIF(D90,"*赤*"),"赤",
IF(COUNTIF(D90,"*キャラ弁当*"),"キャラ弁当",D90))),4)&amp;"*",注文弁当の抽出!$E$1:$F$15,2,FALSE),"")</f>
        <v/>
      </c>
      <c r="K90" s="111" t="str">
        <f ca="1">IF(クライアント抽出!Q20&lt;&gt;"",SUBSTITUTE(ADDRESS(1,(CODE(クライアント抽出!Q20)-64)*2-1,4),"1",""),"")</f>
        <v/>
      </c>
      <c r="L90" s="111" t="str">
        <f>IF(C20&lt;&gt;"",クライアント抽出!I20,"")</f>
        <v/>
      </c>
      <c r="M90" s="111">
        <f t="array" aca="1" ref="M90" ca="1">IF(C90&lt;&gt;"",
IF(K90&lt;&gt;"",INDIRECT("'数出表_Excel（アレルギー入力）'!"&amp;K90&amp;L90-1&amp;""),),)</f>
        <v>0</v>
      </c>
      <c r="N90" s="111" t="str">
        <f>IF(C90&lt;&gt;"",IF(OR(COUNTIF('盛付札（関数）'!D90,"*赤*"),COUNTIF('盛付札（関数）'!D90,"*キャラ*")),1,
VLOOKUP("*"&amp;D90&amp;"*",商品マスタ一覧!D:H,5,FALSE)),"")</f>
        <v/>
      </c>
      <c r="O90" s="111">
        <f t="shared" ca="1" si="16"/>
        <v>0</v>
      </c>
      <c r="P90" s="111">
        <f t="shared" si="9"/>
        <v>0</v>
      </c>
      <c r="Q90" s="111" t="b">
        <f t="shared" si="10"/>
        <v>0</v>
      </c>
      <c r="R90" s="49" t="str">
        <f t="array" aca="1" ref="R90" ca="1">IFERROR(SMALL(IF(P$1:P$311&lt;&gt;0,P$1:P$311),ROW(A90)),"")</f>
        <v/>
      </c>
      <c r="S90" s="49" t="str">
        <f t="array" aca="1" ref="S90" ca="1">IF($R90&lt;&gt;"",
SUBSTITUTE(SUBSTITUTE(INDIRECT("C"&amp;$R90&amp;"")," 週3ｺｰｽ","")," 週5ｺｰｽ",""),"")</f>
        <v/>
      </c>
      <c r="T90" s="49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22" t="str">
        <f t="array" aca="1" ref="U90" ca="1">IF($R90&lt;&gt;"",
INDIRECT("F"&amp;$R90&amp;""),"")</f>
        <v/>
      </c>
      <c r="V90" s="49" t="str">
        <f t="array" aca="1" ref="V90" ca="1">IF($R90&lt;&gt;"",
INDIRECT("G"&amp;$R90&amp;""),"")</f>
        <v/>
      </c>
      <c r="W90" s="49" t="str">
        <f t="array" aca="1" ref="W90" ca="1">IF($R90&lt;&gt;"",
IF(AND(COUNTIF(INDIRECT("B"&amp;R90&amp;""),"*雙葉*"),COUNTIF(B:B,"*雙葉*")&gt;=2),
IF(OR(COUNTIF(INDIRECT("B"&amp;R90&amp;""),"*雙葉先生*"),COUNTIF($B$1:$B$70,"*雙葉*")&gt;=2),INDIRECT("H"&amp;R90&amp;""),INDIRECT("H"&amp;R90&amp;"")+INDIRECT("H"&amp;MATCH("雙葉'",INDIRECT("B"&amp;R90+3&amp;":B210"),0)+2+R90&amp;"")),
IF(AND(LEFT(INDIRECT("B"&amp;R90&amp;""),2)="博多",COUNTIF(B:B,"*博多*")&gt;=2),
INDIRECT("H"&amp;R90&amp;"")+INDIRECT("H"&amp;MATCH("*"&amp;INDIRECT("B"&amp;R90&amp;"")&amp;"*",INDIRECT("B"&amp;R90+1&amp;":B210"),0)+R90&amp;""),
IF(AND(LEFT(INDIRECT("B"&amp;R90&amp;""),3)="奈良屋",COUNTIF(B:B,"*奈良屋*")&gt;=2),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49" t="str">
        <f t="array" aca="1" ref="X90" ca="1">IF($R90&lt;&gt;"",
INDIRECT(""&amp;IF(COLUMN(I90)&lt;=26,CHAR(COLUMN(I90)+64),CHAR(INT((COLUMN(I90)-1)/26)+64)&amp;CHAR(MOD(COLUMN(I90)-1,26)+65))&amp;$R90&amp;""),"")</f>
        <v/>
      </c>
      <c r="Y90" s="49" t="str">
        <f t="array" aca="1" ref="Y90" ca="1">IF($R90&lt;&gt;"",
INDIRECT(""&amp;IF(COLUMN(J90)&lt;=26,CHAR(COLUMN(J90)+64),CHAR(INT((COLUMN(J90)-1)/26)+64)&amp;CHAR(MOD(COLUMN(J90)-1,26)+65))&amp;$R90&amp;""),"")</f>
        <v/>
      </c>
      <c r="Z90" s="49" t="str">
        <f t="shared" ca="1" si="11"/>
        <v/>
      </c>
      <c r="AA90" s="49" t="str">
        <f t="shared" ca="1" si="12"/>
        <v/>
      </c>
      <c r="AB90" s="49" t="str">
        <f t="array" aca="1" ref="AB90" ca="1">IF($R90&lt;&gt;"",
IF(AND(COUNTIF(INDIRECT("B"&amp;R90&amp;""),"*雙葉*"),COUNTIF(B:B,"*雙葉*")&gt;=2),
INDIRECT("M"&amp;R90&amp;"")+INDIRECT("M"&amp;MATCH("雙葉'",INDIRECT("B"&amp;R90+1&amp;":B210"),0)+R90&amp;""),
IF(AND(LEFT(INDIRECT("B"&amp;R90&amp;""),2)="博多",COUNTIF(B:B,"*博多*")&gt;=2),
INDIRECT("M"&amp;R90&amp;"")+INDIRECT("M"&amp;MATCH("*"&amp;INDIRECT("B"&amp;R90&amp;"")&amp;"*",INDIRECT("B"&amp;R90+1&amp;":B210"),0)+R90&amp;""),
IF(AND(LEFT(INDIRECT("B"&amp;R90&amp;""),3)="奈良屋",COUNTIF(B:B,"*奈良屋*")&gt;=2),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  <c r="AC90" s="49" t="str">
        <f ca="1">IF(S90&lt;&gt;"",INDEX(A:A, MATCH("*"&amp;LEFT(S90,4)&amp;"*", C:C, 0)),"")</f>
        <v/>
      </c>
      <c r="AD90" s="49" t="str">
        <f ca="1">IFERROR(INDEX(AC:AC,MATCH(SMALL($AU:$AU,ROW()+3),$AU:$AU,0)),"")</f>
        <v/>
      </c>
      <c r="AE90" s="49" t="str">
        <f ca="1">IFERROR(INDEX(R:R,MATCH(SMALL($AU:$AU,ROW()+3),$AU:$AU,0)),"")</f>
        <v/>
      </c>
      <c r="AF90" s="49" t="str">
        <f ca="1">IFERROR(INDEX(S:S,MATCH(SMALL($AU:$AU,ROW()+3),$AU:$AU,0)),"")</f>
        <v/>
      </c>
      <c r="AG90" s="49" t="str">
        <f ca="1">IFERROR(INDEX(T:T,MATCH(SMALL($AU:$AU,ROW()+3),$AU:$AU,0)),"")</f>
        <v/>
      </c>
      <c r="AH90" s="122" t="str">
        <f ca="1">IFERROR(INDEX(U:U,MATCH(SMALL($AU:$AU,ROW()+3),$AU:$AU,0)),"")</f>
        <v/>
      </c>
      <c r="AI90" s="49" t="str">
        <f ca="1">IFERROR(INDEX(V:V,MATCH(SMALL($AU:$AU,ROW()+3),$AU:$AU,0)),"")</f>
        <v/>
      </c>
      <c r="AJ90" s="49" t="str">
        <f ca="1">IFERROR(INDEX(W:W,MATCH(SMALL($AU:$AU,ROW()+3),$AU:$AU,0)),"")</f>
        <v/>
      </c>
      <c r="AK90" s="49" t="str">
        <f ca="1">IFERROR(INDEX(X:X,MATCH(SMALL($AU:$AU,ROW()+3),$AU:$AU,0)),"")</f>
        <v/>
      </c>
      <c r="AL90" s="49" t="str">
        <f ca="1">IFERROR(INDEX(Y:Y,MATCH(SMALL($AU:$AU,ROW()+3),$AU:$AU,0)),"")</f>
        <v/>
      </c>
      <c r="AM90" s="49" t="str">
        <f ca="1">IFERROR(INDEX(Z:Z,MATCH(SMALL($AU:$AU,ROW()+3),$AU:$AU,0)),"")</f>
        <v/>
      </c>
      <c r="AN90" s="49" t="str">
        <f ca="1">IFERROR(INDEX(AA:AA,MATCH(SMALL($AU:$AU,ROW()+3),$AU:$AU,0)),"")</f>
        <v/>
      </c>
      <c r="AO90" s="49" t="str">
        <f ca="1">IFERROR(INDEX(AB:AB,MATCH(SMALL($AU:$AU,ROW()+3),$AU:$AU,0)),"")</f>
        <v/>
      </c>
      <c r="AP90" s="49" t="str">
        <f ca="1">IFERROR(INDEX(AC:AC,MATCH(SMALL($AU:$AU,ROW()+3),$AU:$AU,0)),"")</f>
        <v/>
      </c>
      <c r="AU90" s="49" t="str">
        <f t="shared" ca="1" si="14"/>
        <v/>
      </c>
    </row>
    <row r="91" spans="1:47" ht="22.2" customHeight="1">
      <c r="A91" s="110">
        <f t="shared" si="17"/>
        <v>47</v>
      </c>
      <c r="B91" s="111" t="str">
        <f t="shared" ca="1" si="15"/>
        <v/>
      </c>
      <c r="C91" s="111" t="str">
        <f>IF(OR(クライアント抽出!C21&lt;&gt;"",クライアント抽出!F21&lt;&gt;""),クライアント抽出!A21,"")</f>
        <v/>
      </c>
      <c r="D91" s="111" t="str">
        <f t="array" aca="1" ref="D91" ca="1">IF(C91&lt;&gt;"",INDIRECT("クライアント抽出!"&amp;E91&amp;MATCH(C91,クライアント抽出!A:A,0)&amp;""),"")</f>
        <v/>
      </c>
      <c r="E91" s="111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112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11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113" t="str">
        <f>IF(C91&lt;&gt;"",
クライアント抽出!C21,"")</f>
        <v/>
      </c>
      <c r="I91" s="111" t="str">
        <f t="array" aca="1" ref="I91" ca="1">IF(C91&lt;&gt;"",
IF(O91=1,
IF(SUMPRODUCT(COUNTIF(クライアント抽出!P21:U21,クライアント抽出!P21:U21))&gt;COUNTA(クライアント抽出!P21:U21),
INDIRECT("数出表_Excel!"&amp;INDEX(_xlfn.UNIQUE(_xlfn._xlws.FILTER(クライアント抽出!P21:U21,COUNTIF(クライアント抽出!P21:U21,クライアント抽出!P21:U21)=1)),1)&amp;L91&amp;""),
0),クライアント抽出!F21),"")</f>
        <v/>
      </c>
      <c r="J91" s="111" t="str">
        <f>IF(C91&lt;&gt;"",
VLOOKUP(
"*"&amp;LEFT(IF(COUNTIF(D91,"*学食*"),"キャラ弁（学食）",
IF(COUNTIF(D91,"*赤*"),"赤",
IF(COUNTIF(D91,"*キャラ弁当*"),"キャラ弁当",D91))),4)&amp;"*",注文弁当の抽出!$E$1:$F$15,2,FALSE),"")</f>
        <v/>
      </c>
      <c r="K91" s="111" t="str">
        <f ca="1">IF(クライアント抽出!Q21&lt;&gt;"",SUBSTITUTE(ADDRESS(1,(CODE(クライアント抽出!Q21)-64)*2-1,4),"1",""),"")</f>
        <v/>
      </c>
      <c r="L91" s="111" t="str">
        <f>IF(C21&lt;&gt;"",クライアント抽出!I21,"")</f>
        <v/>
      </c>
      <c r="M91" s="111">
        <f t="array" aca="1" ref="M91" ca="1">IF(C91&lt;&gt;"",
IF(K91&lt;&gt;"",INDIRECT("'数出表_Excel（アレルギー入力）'!"&amp;K91&amp;L91-1&amp;""),),)</f>
        <v>0</v>
      </c>
      <c r="N91" s="111" t="str">
        <f>IF(C91&lt;&gt;"",IF(OR(COUNTIF('盛付札（関数）'!D91,"*赤*"),COUNTIF('盛付札（関数）'!D91,"*キャラ*")),1,
VLOOKUP("*"&amp;D91&amp;"*",商品マスタ一覧!D:H,5,FALSE)),"")</f>
        <v/>
      </c>
      <c r="O91" s="111">
        <f t="shared" ca="1" si="16"/>
        <v>0</v>
      </c>
      <c r="P91" s="111">
        <f t="shared" si="9"/>
        <v>0</v>
      </c>
      <c r="Q91" s="111" t="b">
        <f t="shared" si="10"/>
        <v>0</v>
      </c>
      <c r="R91" s="49" t="str">
        <f t="array" aca="1" ref="R91" ca="1">IFERROR(SMALL(IF(P$1:P$311&lt;&gt;0,P$1:P$311),ROW(A91)),"")</f>
        <v/>
      </c>
      <c r="S91" s="49" t="str">
        <f t="array" aca="1" ref="S91" ca="1">IF($R91&lt;&gt;"",
SUBSTITUTE(SUBSTITUTE(INDIRECT("C"&amp;$R91&amp;"")," 週3ｺｰｽ","")," 週5ｺｰｽ",""),"")</f>
        <v/>
      </c>
      <c r="T91" s="49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22" t="str">
        <f t="array" aca="1" ref="U91" ca="1">IF($R91&lt;&gt;"",
INDIRECT("F"&amp;$R91&amp;""),"")</f>
        <v/>
      </c>
      <c r="V91" s="49" t="str">
        <f t="array" aca="1" ref="V91" ca="1">IF($R91&lt;&gt;"",
INDIRECT("G"&amp;$R91&amp;""),"")</f>
        <v/>
      </c>
      <c r="W91" s="49" t="str">
        <f t="array" aca="1" ref="W91" ca="1">IF($R91&lt;&gt;"",
IF(AND(COUNTIF(INDIRECT("B"&amp;R91&amp;""),"*雙葉*"),COUNTIF(B:B,"*雙葉*")&gt;=2),
IF(OR(COUNTIF(INDIRECT("B"&amp;R91&amp;""),"*雙葉先生*"),COUNTIF($B$1:$B$70,"*雙葉*")&gt;=2),INDIRECT("H"&amp;R91&amp;""),INDIRECT("H"&amp;R91&amp;"")+INDIRECT("H"&amp;MATCH("雙葉'",INDIRECT("B"&amp;R91+3&amp;":B210"),0)+2+R91&amp;"")),
IF(AND(LEFT(INDIRECT("B"&amp;R91&amp;""),2)="博多",COUNTIF(B:B,"*博多*")&gt;=2),
INDIRECT("H"&amp;R91&amp;"")+INDIRECT("H"&amp;MATCH("*"&amp;INDIRECT("B"&amp;R91&amp;"")&amp;"*",INDIRECT("B"&amp;R91+1&amp;":B210"),0)+R91&amp;""),
IF(AND(LEFT(INDIRECT("B"&amp;R91&amp;""),3)="奈良屋",COUNTIF(B:B,"*奈良屋*")&gt;=2),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49" t="str">
        <f t="array" aca="1" ref="X91" ca="1">IF($R91&lt;&gt;"",
INDIRECT(""&amp;IF(COLUMN(I91)&lt;=26,CHAR(COLUMN(I91)+64),CHAR(INT((COLUMN(I91)-1)/26)+64)&amp;CHAR(MOD(COLUMN(I91)-1,26)+65))&amp;$R91&amp;""),"")</f>
        <v/>
      </c>
      <c r="Y91" s="49" t="str">
        <f t="array" aca="1" ref="Y91" ca="1">IF($R91&lt;&gt;"",
INDIRECT(""&amp;IF(COLUMN(J91)&lt;=26,CHAR(COLUMN(J91)+64),CHAR(INT((COLUMN(J91)-1)/26)+64)&amp;CHAR(MOD(COLUMN(J91)-1,26)+65))&amp;$R91&amp;""),"")</f>
        <v/>
      </c>
      <c r="Z91" s="49" t="str">
        <f t="shared" ca="1" si="11"/>
        <v/>
      </c>
      <c r="AA91" s="49" t="str">
        <f t="shared" ca="1" si="12"/>
        <v/>
      </c>
      <c r="AB91" s="49" t="str">
        <f t="array" aca="1" ref="AB91" ca="1">IF($R91&lt;&gt;"",
IF(AND(COUNTIF(INDIRECT("B"&amp;R91&amp;""),"*雙葉*"),COUNTIF(B:B,"*雙葉*")&gt;=2),
INDIRECT("M"&amp;R91&amp;"")+INDIRECT("M"&amp;MATCH("雙葉'",INDIRECT("B"&amp;R91+1&amp;":B210"),0)+R91&amp;""),
IF(AND(LEFT(INDIRECT("B"&amp;R91&amp;""),2)="博多",COUNTIF(B:B,"*博多*")&gt;=2),
INDIRECT("M"&amp;R91&amp;"")+INDIRECT("M"&amp;MATCH("*"&amp;INDIRECT("B"&amp;R91&amp;"")&amp;"*",INDIRECT("B"&amp;R91+1&amp;":B210"),0)+R91&amp;""),
IF(AND(LEFT(INDIRECT("B"&amp;R91&amp;""),3)="奈良屋",COUNTIF(B:B,"*奈良屋*")&gt;=2),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  <c r="AC91" s="49" t="str">
        <f ca="1">IF(S91&lt;&gt;"",INDEX(A:A, MATCH("*"&amp;LEFT(S91,4)&amp;"*", C:C, 0)),"")</f>
        <v/>
      </c>
      <c r="AD91" s="49" t="str">
        <f ca="1">IFERROR(INDEX(AC:AC,MATCH(SMALL($AU:$AU,ROW()+3),$AU:$AU,0)),"")</f>
        <v/>
      </c>
      <c r="AE91" s="49" t="str">
        <f ca="1">IFERROR(INDEX(R:R,MATCH(SMALL($AU:$AU,ROW()+3),$AU:$AU,0)),"")</f>
        <v/>
      </c>
      <c r="AF91" s="49" t="str">
        <f ca="1">IFERROR(INDEX(S:S,MATCH(SMALL($AU:$AU,ROW()+3),$AU:$AU,0)),"")</f>
        <v/>
      </c>
      <c r="AG91" s="49" t="str">
        <f ca="1">IFERROR(INDEX(T:T,MATCH(SMALL($AU:$AU,ROW()+3),$AU:$AU,0)),"")</f>
        <v/>
      </c>
      <c r="AH91" s="122" t="str">
        <f ca="1">IFERROR(INDEX(U:U,MATCH(SMALL($AU:$AU,ROW()+3),$AU:$AU,0)),"")</f>
        <v/>
      </c>
      <c r="AI91" s="49" t="str">
        <f ca="1">IFERROR(INDEX(V:V,MATCH(SMALL($AU:$AU,ROW()+3),$AU:$AU,0)),"")</f>
        <v/>
      </c>
      <c r="AJ91" s="49" t="str">
        <f ca="1">IFERROR(INDEX(W:W,MATCH(SMALL($AU:$AU,ROW()+3),$AU:$AU,0)),"")</f>
        <v/>
      </c>
      <c r="AK91" s="49" t="str">
        <f ca="1">IFERROR(INDEX(X:X,MATCH(SMALL($AU:$AU,ROW()+3),$AU:$AU,0)),"")</f>
        <v/>
      </c>
      <c r="AL91" s="49" t="str">
        <f ca="1">IFERROR(INDEX(Y:Y,MATCH(SMALL($AU:$AU,ROW()+3),$AU:$AU,0)),"")</f>
        <v/>
      </c>
      <c r="AM91" s="49" t="str">
        <f ca="1">IFERROR(INDEX(Z:Z,MATCH(SMALL($AU:$AU,ROW()+3),$AU:$AU,0)),"")</f>
        <v/>
      </c>
      <c r="AN91" s="49" t="str">
        <f ca="1">IFERROR(INDEX(AA:AA,MATCH(SMALL($AU:$AU,ROW()+3),$AU:$AU,0)),"")</f>
        <v/>
      </c>
      <c r="AO91" s="49" t="str">
        <f ca="1">IFERROR(INDEX(AB:AB,MATCH(SMALL($AU:$AU,ROW()+3),$AU:$AU,0)),"")</f>
        <v/>
      </c>
      <c r="AP91" s="49" t="str">
        <f ca="1">IFERROR(INDEX(AC:AC,MATCH(SMALL($AU:$AU,ROW()+3),$AU:$AU,0)),"")</f>
        <v/>
      </c>
      <c r="AU91" s="49" t="str">
        <f t="shared" ca="1" si="14"/>
        <v/>
      </c>
    </row>
    <row r="92" spans="1:47" ht="22.2" customHeight="1">
      <c r="A92" s="110">
        <f t="shared" si="17"/>
        <v>49</v>
      </c>
      <c r="B92" s="111" t="str">
        <f t="shared" ca="1" si="15"/>
        <v/>
      </c>
      <c r="C92" s="111" t="str">
        <f>IF(OR(クライアント抽出!C22&lt;&gt;"",クライアント抽出!F22&lt;&gt;""),クライアント抽出!A22,"")</f>
        <v/>
      </c>
      <c r="D92" s="111" t="str">
        <f t="array" aca="1" ref="D92" ca="1">IF(C92&lt;&gt;"",INDIRECT("クライアント抽出!"&amp;E92&amp;MATCH(C92,クライアント抽出!A:A,0)&amp;""),"")</f>
        <v/>
      </c>
      <c r="E92" s="111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112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11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113" t="str">
        <f>IF(C92&lt;&gt;"",
クライアント抽出!C22,"")</f>
        <v/>
      </c>
      <c r="I92" s="111" t="str">
        <f t="array" aca="1" ref="I92" ca="1">IF(C92&lt;&gt;"",
IF(O92=1,
IF(SUMPRODUCT(COUNTIF(クライアント抽出!P22:U22,クライアント抽出!P22:U22))&gt;COUNTA(クライアント抽出!P22:U22),
INDIRECT("数出表_Excel!"&amp;INDEX(_xlfn.UNIQUE(_xlfn._xlws.FILTER(クライアント抽出!P22:U22,COUNTIF(クライアント抽出!P22:U22,クライアント抽出!P22:U22)=1)),1)&amp;L92&amp;""),
0),クライアント抽出!F22),"")</f>
        <v/>
      </c>
      <c r="J92" s="111" t="str">
        <f>IF(C92&lt;&gt;"",
VLOOKUP(
"*"&amp;LEFT(IF(COUNTIF(D92,"*学食*"),"キャラ弁（学食）",
IF(COUNTIF(D92,"*赤*"),"赤",
IF(COUNTIF(D92,"*キャラ弁当*"),"キャラ弁当",D92))),4)&amp;"*",注文弁当の抽出!$E$1:$F$15,2,FALSE),"")</f>
        <v/>
      </c>
      <c r="K92" s="111" t="str">
        <f ca="1">IF(クライアント抽出!Q22&lt;&gt;"",SUBSTITUTE(ADDRESS(1,(CODE(クライアント抽出!Q22)-64)*2-1,4),"1",""),"")</f>
        <v/>
      </c>
      <c r="L92" s="111" t="str">
        <f>IF(C22&lt;&gt;"",クライアント抽出!I22,"")</f>
        <v/>
      </c>
      <c r="M92" s="111">
        <f t="array" aca="1" ref="M92" ca="1">IF(C92&lt;&gt;"",
IF(K92&lt;&gt;"",INDIRECT("'数出表_Excel（アレルギー入力）'!"&amp;K92&amp;L92-1&amp;""),),)</f>
        <v>0</v>
      </c>
      <c r="N92" s="111" t="str">
        <f>IF(C92&lt;&gt;"",IF(OR(COUNTIF('盛付札（関数）'!D92,"*赤*"),COUNTIF('盛付札（関数）'!D92,"*キャラ*")),1,
VLOOKUP("*"&amp;D92&amp;"*",商品マスタ一覧!D:H,5,FALSE)),"")</f>
        <v/>
      </c>
      <c r="O92" s="111">
        <f t="shared" ca="1" si="16"/>
        <v>0</v>
      </c>
      <c r="P92" s="111">
        <f t="shared" si="9"/>
        <v>0</v>
      </c>
      <c r="Q92" s="111" t="b">
        <f t="shared" si="10"/>
        <v>0</v>
      </c>
      <c r="R92" s="49" t="str">
        <f t="array" aca="1" ref="R92" ca="1">IFERROR(SMALL(IF(P$1:P$311&lt;&gt;0,P$1:P$311),ROW(A92)),"")</f>
        <v/>
      </c>
      <c r="S92" s="49" t="str">
        <f t="array" aca="1" ref="S92" ca="1">IF($R92&lt;&gt;"",
SUBSTITUTE(SUBSTITUTE(INDIRECT("C"&amp;$R92&amp;"")," 週3ｺｰｽ","")," 週5ｺｰｽ",""),"")</f>
        <v/>
      </c>
      <c r="T92" s="49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22" t="str">
        <f t="array" aca="1" ref="U92" ca="1">IF($R92&lt;&gt;"",
INDIRECT("F"&amp;$R92&amp;""),"")</f>
        <v/>
      </c>
      <c r="V92" s="49" t="str">
        <f t="array" aca="1" ref="V92" ca="1">IF($R92&lt;&gt;"",
INDIRECT("G"&amp;$R92&amp;""),"")</f>
        <v/>
      </c>
      <c r="W92" s="49" t="str">
        <f t="array" aca="1" ref="W92" ca="1">IF($R92&lt;&gt;"",
IF(AND(COUNTIF(INDIRECT("B"&amp;R92&amp;""),"*雙葉*"),COUNTIF(B:B,"*雙葉*")&gt;=2),
IF(OR(COUNTIF(INDIRECT("B"&amp;R92&amp;""),"*雙葉先生*"),COUNTIF($B$1:$B$70,"*雙葉*")&gt;=2),INDIRECT("H"&amp;R92&amp;""),INDIRECT("H"&amp;R92&amp;"")+INDIRECT("H"&amp;MATCH("雙葉'",INDIRECT("B"&amp;R92+3&amp;":B210"),0)+2+R92&amp;"")),
IF(AND(LEFT(INDIRECT("B"&amp;R92&amp;""),2)="博多",COUNTIF(B:B,"*博多*")&gt;=2),
INDIRECT("H"&amp;R92&amp;"")+INDIRECT("H"&amp;MATCH("*"&amp;INDIRECT("B"&amp;R92&amp;"")&amp;"*",INDIRECT("B"&amp;R92+1&amp;":B210"),0)+R92&amp;""),
IF(AND(LEFT(INDIRECT("B"&amp;R92&amp;""),3)="奈良屋",COUNTIF(B:B,"*奈良屋*")&gt;=2),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49" t="str">
        <f t="array" aca="1" ref="X92" ca="1">IF($R92&lt;&gt;"",
INDIRECT(""&amp;IF(COLUMN(I92)&lt;=26,CHAR(COLUMN(I92)+64),CHAR(INT((COLUMN(I92)-1)/26)+64)&amp;CHAR(MOD(COLUMN(I92)-1,26)+65))&amp;$R92&amp;""),"")</f>
        <v/>
      </c>
      <c r="Y92" s="49" t="str">
        <f t="array" aca="1" ref="Y92" ca="1">IF($R92&lt;&gt;"",
INDIRECT(""&amp;IF(COLUMN(J92)&lt;=26,CHAR(COLUMN(J92)+64),CHAR(INT((COLUMN(J92)-1)/26)+64)&amp;CHAR(MOD(COLUMN(J92)-1,26)+65))&amp;$R92&amp;""),"")</f>
        <v/>
      </c>
      <c r="Z92" s="49" t="str">
        <f t="shared" ca="1" si="11"/>
        <v/>
      </c>
      <c r="AA92" s="49" t="str">
        <f t="shared" ca="1" si="12"/>
        <v/>
      </c>
      <c r="AB92" s="49" t="str">
        <f t="array" aca="1" ref="AB92" ca="1">IF($R92&lt;&gt;"",
IF(AND(COUNTIF(INDIRECT("B"&amp;R92&amp;""),"*雙葉*"),COUNTIF(B:B,"*雙葉*")&gt;=2),
INDIRECT("M"&amp;R92&amp;"")+INDIRECT("M"&amp;MATCH("雙葉'",INDIRECT("B"&amp;R92+1&amp;":B210"),0)+R92&amp;""),
IF(AND(LEFT(INDIRECT("B"&amp;R92&amp;""),2)="博多",COUNTIF(B:B,"*博多*")&gt;=2),
INDIRECT("M"&amp;R92&amp;"")+INDIRECT("M"&amp;MATCH("*"&amp;INDIRECT("B"&amp;R92&amp;"")&amp;"*",INDIRECT("B"&amp;R92+1&amp;":B210"),0)+R92&amp;""),
IF(AND(LEFT(INDIRECT("B"&amp;R92&amp;""),3)="奈良屋",COUNTIF(B:B,"*奈良屋*")&gt;=2),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  <c r="AC92" s="49" t="str">
        <f ca="1">IF(S92&lt;&gt;"",INDEX(A:A, MATCH("*"&amp;LEFT(S92,4)&amp;"*", C:C, 0)),"")</f>
        <v/>
      </c>
      <c r="AD92" s="49" t="str">
        <f ca="1">IFERROR(INDEX(AC:AC,MATCH(SMALL($AU:$AU,ROW()+3),$AU:$AU,0)),"")</f>
        <v/>
      </c>
      <c r="AE92" s="49" t="str">
        <f ca="1">IFERROR(INDEX(R:R,MATCH(SMALL($AU:$AU,ROW()+3),$AU:$AU,0)),"")</f>
        <v/>
      </c>
      <c r="AF92" s="49" t="str">
        <f ca="1">IFERROR(INDEX(S:S,MATCH(SMALL($AU:$AU,ROW()+3),$AU:$AU,0)),"")</f>
        <v/>
      </c>
      <c r="AG92" s="49" t="str">
        <f ca="1">IFERROR(INDEX(T:T,MATCH(SMALL($AU:$AU,ROW()+3),$AU:$AU,0)),"")</f>
        <v/>
      </c>
      <c r="AH92" s="122" t="str">
        <f ca="1">IFERROR(INDEX(U:U,MATCH(SMALL($AU:$AU,ROW()+3),$AU:$AU,0)),"")</f>
        <v/>
      </c>
      <c r="AI92" s="49" t="str">
        <f ca="1">IFERROR(INDEX(V:V,MATCH(SMALL($AU:$AU,ROW()+3),$AU:$AU,0)),"")</f>
        <v/>
      </c>
      <c r="AJ92" s="49" t="str">
        <f ca="1">IFERROR(INDEX(W:W,MATCH(SMALL($AU:$AU,ROW()+3),$AU:$AU,0)),"")</f>
        <v/>
      </c>
      <c r="AK92" s="49" t="str">
        <f ca="1">IFERROR(INDEX(X:X,MATCH(SMALL($AU:$AU,ROW()+3),$AU:$AU,0)),"")</f>
        <v/>
      </c>
      <c r="AL92" s="49" t="str">
        <f ca="1">IFERROR(INDEX(Y:Y,MATCH(SMALL($AU:$AU,ROW()+3),$AU:$AU,0)),"")</f>
        <v/>
      </c>
      <c r="AM92" s="49" t="str">
        <f ca="1">IFERROR(INDEX(Z:Z,MATCH(SMALL($AU:$AU,ROW()+3),$AU:$AU,0)),"")</f>
        <v/>
      </c>
      <c r="AN92" s="49" t="str">
        <f ca="1">IFERROR(INDEX(AA:AA,MATCH(SMALL($AU:$AU,ROW()+3),$AU:$AU,0)),"")</f>
        <v/>
      </c>
      <c r="AO92" s="49" t="str">
        <f ca="1">IFERROR(INDEX(AB:AB,MATCH(SMALL($AU:$AU,ROW()+3),$AU:$AU,0)),"")</f>
        <v/>
      </c>
      <c r="AP92" s="49" t="str">
        <f ca="1">IFERROR(INDEX(AC:AC,MATCH(SMALL($AU:$AU,ROW()+3),$AU:$AU,0)),"")</f>
        <v/>
      </c>
      <c r="AU92" s="49" t="str">
        <f t="shared" ca="1" si="14"/>
        <v/>
      </c>
    </row>
    <row r="93" spans="1:47" ht="22.2" customHeight="1">
      <c r="A93" s="110">
        <f t="shared" si="17"/>
        <v>51</v>
      </c>
      <c r="B93" s="111" t="str">
        <f t="shared" ca="1" si="15"/>
        <v/>
      </c>
      <c r="C93" s="111" t="str">
        <f>IF(OR(クライアント抽出!C23&lt;&gt;"",クライアント抽出!F23&lt;&gt;""),クライアント抽出!A23,"")</f>
        <v/>
      </c>
      <c r="D93" s="111" t="str">
        <f t="array" aca="1" ref="D93" ca="1">IF(C93&lt;&gt;"",INDIRECT("クライアント抽出!"&amp;E93&amp;MATCH(C93,クライアント抽出!A:A,0)&amp;""),"")</f>
        <v/>
      </c>
      <c r="E93" s="111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112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11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113" t="str">
        <f>IF(C93&lt;&gt;"",
クライアント抽出!C23,"")</f>
        <v/>
      </c>
      <c r="I93" s="111" t="str">
        <f t="array" aca="1" ref="I93" ca="1">IF(C93&lt;&gt;"",
IF(O93=1,
IF(SUMPRODUCT(COUNTIF(クライアント抽出!P23:U23,クライアント抽出!P23:U23))&gt;COUNTA(クライアント抽出!P23:U23),
INDIRECT("数出表_Excel!"&amp;INDEX(_xlfn.UNIQUE(_xlfn._xlws.FILTER(クライアント抽出!P23:U23,COUNTIF(クライアント抽出!P23:U23,クライアント抽出!P23:U23)=1)),1)&amp;L93&amp;""),
0),クライアント抽出!F23),"")</f>
        <v/>
      </c>
      <c r="J93" s="111" t="str">
        <f>IF(C93&lt;&gt;"",
VLOOKUP(
"*"&amp;LEFT(IF(COUNTIF(D93,"*学食*"),"キャラ弁（学食）",
IF(COUNTIF(D93,"*赤*"),"赤",
IF(COUNTIF(D93,"*キャラ弁当*"),"キャラ弁当",D93))),4)&amp;"*",注文弁当の抽出!$E$1:$F$15,2,FALSE),"")</f>
        <v/>
      </c>
      <c r="K93" s="111" t="str">
        <f ca="1">IF(クライアント抽出!Q23&lt;&gt;"",SUBSTITUTE(ADDRESS(1,(CODE(クライアント抽出!Q23)-64)*2-1,4),"1",""),"")</f>
        <v/>
      </c>
      <c r="L93" s="111" t="str">
        <f>IF(C23&lt;&gt;"",クライアント抽出!I23,"")</f>
        <v/>
      </c>
      <c r="M93" s="111">
        <f t="array" aca="1" ref="M93" ca="1">IF(C93&lt;&gt;"",
IF(K93&lt;&gt;"",INDIRECT("'数出表_Excel（アレルギー入力）'!"&amp;K93&amp;L93-1&amp;""),),)</f>
        <v>0</v>
      </c>
      <c r="N93" s="111" t="str">
        <f>IF(C93&lt;&gt;"",IF(OR(COUNTIF('盛付札（関数）'!D93,"*赤*"),COUNTIF('盛付札（関数）'!D93,"*キャラ*")),1,
VLOOKUP("*"&amp;D93&amp;"*",商品マスタ一覧!D:H,5,FALSE)),"")</f>
        <v/>
      </c>
      <c r="O93" s="111">
        <f t="shared" ca="1" si="16"/>
        <v>0</v>
      </c>
      <c r="P93" s="111">
        <f t="shared" si="9"/>
        <v>0</v>
      </c>
      <c r="Q93" s="111" t="b">
        <f t="shared" si="10"/>
        <v>0</v>
      </c>
      <c r="R93" s="49" t="str">
        <f t="array" aca="1" ref="R93" ca="1">IFERROR(SMALL(IF(P$1:P$311&lt;&gt;0,P$1:P$311),ROW(A93)),"")</f>
        <v/>
      </c>
      <c r="S93" s="49" t="str">
        <f t="array" aca="1" ref="S93" ca="1">IF($R93&lt;&gt;"",
SUBSTITUTE(SUBSTITUTE(INDIRECT("C"&amp;$R93&amp;"")," 週3ｺｰｽ","")," 週5ｺｰｽ",""),"")</f>
        <v/>
      </c>
      <c r="T93" s="49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22" t="str">
        <f t="array" aca="1" ref="U93" ca="1">IF($R93&lt;&gt;"",
INDIRECT("F"&amp;$R93&amp;""),"")</f>
        <v/>
      </c>
      <c r="V93" s="49" t="str">
        <f t="array" aca="1" ref="V93" ca="1">IF($R93&lt;&gt;"",
INDIRECT("G"&amp;$R93&amp;""),"")</f>
        <v/>
      </c>
      <c r="W93" s="49" t="str">
        <f t="array" aca="1" ref="W93" ca="1">IF($R93&lt;&gt;"",
IF(AND(COUNTIF(INDIRECT("B"&amp;R93&amp;""),"*雙葉*"),COUNTIF(B:B,"*雙葉*")&gt;=2),
IF(OR(COUNTIF(INDIRECT("B"&amp;R93&amp;""),"*雙葉先生*"),COUNTIF($B$1:$B$70,"*雙葉*")&gt;=2),INDIRECT("H"&amp;R93&amp;""),INDIRECT("H"&amp;R93&amp;"")+INDIRECT("H"&amp;MATCH("雙葉'",INDIRECT("B"&amp;R93+3&amp;":B210"),0)+2+R93&amp;"")),
IF(AND(LEFT(INDIRECT("B"&amp;R93&amp;""),2)="博多",COUNTIF(B:B,"*博多*")&gt;=2),
INDIRECT("H"&amp;R93&amp;"")+INDIRECT("H"&amp;MATCH("*"&amp;INDIRECT("B"&amp;R93&amp;"")&amp;"*",INDIRECT("B"&amp;R93+1&amp;":B210"),0)+R93&amp;""),
IF(AND(LEFT(INDIRECT("B"&amp;R93&amp;""),3)="奈良屋",COUNTIF(B:B,"*奈良屋*")&gt;=2),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49" t="str">
        <f t="array" aca="1" ref="X93" ca="1">IF($R93&lt;&gt;"",
INDIRECT(""&amp;IF(COLUMN(I93)&lt;=26,CHAR(COLUMN(I93)+64),CHAR(INT((COLUMN(I93)-1)/26)+64)&amp;CHAR(MOD(COLUMN(I93)-1,26)+65))&amp;$R93&amp;""),"")</f>
        <v/>
      </c>
      <c r="Y93" s="49" t="str">
        <f t="array" aca="1" ref="Y93" ca="1">IF($R93&lt;&gt;"",
INDIRECT(""&amp;IF(COLUMN(J93)&lt;=26,CHAR(COLUMN(J93)+64),CHAR(INT((COLUMN(J93)-1)/26)+64)&amp;CHAR(MOD(COLUMN(J93)-1,26)+65))&amp;$R93&amp;""),"")</f>
        <v/>
      </c>
      <c r="Z93" s="49" t="str">
        <f t="shared" ca="1" si="11"/>
        <v/>
      </c>
      <c r="AA93" s="49" t="str">
        <f t="shared" ca="1" si="12"/>
        <v/>
      </c>
      <c r="AB93" s="49" t="str">
        <f t="array" aca="1" ref="AB93" ca="1">IF($R93&lt;&gt;"",
IF(AND(COUNTIF(INDIRECT("B"&amp;R93&amp;""),"*雙葉*"),COUNTIF(B:B,"*雙葉*")&gt;=2),
INDIRECT("M"&amp;R93&amp;"")+INDIRECT("M"&amp;MATCH("雙葉'",INDIRECT("B"&amp;R93+1&amp;":B210"),0)+R93&amp;""),
IF(AND(LEFT(INDIRECT("B"&amp;R93&amp;""),2)="博多",COUNTIF(B:B,"*博多*")&gt;=2),
INDIRECT("M"&amp;R93&amp;"")+INDIRECT("M"&amp;MATCH("*"&amp;INDIRECT("B"&amp;R93&amp;"")&amp;"*",INDIRECT("B"&amp;R93+1&amp;":B210"),0)+R93&amp;""),
IF(AND(LEFT(INDIRECT("B"&amp;R93&amp;""),3)="奈良屋",COUNTIF(B:B,"*奈良屋*")&gt;=2),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  <c r="AC93" s="49" t="str">
        <f ca="1">IF(S93&lt;&gt;"",INDEX(A:A, MATCH("*"&amp;LEFT(S93,4)&amp;"*", C:C, 0)),"")</f>
        <v/>
      </c>
      <c r="AD93" s="49" t="str">
        <f ca="1">IFERROR(INDEX(AC:AC,MATCH(SMALL($AU:$AU,ROW()+3),$AU:$AU,0)),"")</f>
        <v/>
      </c>
      <c r="AE93" s="49" t="str">
        <f ca="1">IFERROR(INDEX(R:R,MATCH(SMALL($AU:$AU,ROW()+3),$AU:$AU,0)),"")</f>
        <v/>
      </c>
      <c r="AF93" s="49" t="str">
        <f ca="1">IFERROR(INDEX(S:S,MATCH(SMALL($AU:$AU,ROW()+3),$AU:$AU,0)),"")</f>
        <v/>
      </c>
      <c r="AG93" s="49" t="str">
        <f ca="1">IFERROR(INDEX(T:T,MATCH(SMALL($AU:$AU,ROW()+3),$AU:$AU,0)),"")</f>
        <v/>
      </c>
      <c r="AH93" s="122" t="str">
        <f ca="1">IFERROR(INDEX(U:U,MATCH(SMALL($AU:$AU,ROW()+3),$AU:$AU,0)),"")</f>
        <v/>
      </c>
      <c r="AI93" s="49" t="str">
        <f ca="1">IFERROR(INDEX(V:V,MATCH(SMALL($AU:$AU,ROW()+3),$AU:$AU,0)),"")</f>
        <v/>
      </c>
      <c r="AJ93" s="49" t="str">
        <f ca="1">IFERROR(INDEX(W:W,MATCH(SMALL($AU:$AU,ROW()+3),$AU:$AU,0)),"")</f>
        <v/>
      </c>
      <c r="AK93" s="49" t="str">
        <f ca="1">IFERROR(INDEX(X:X,MATCH(SMALL($AU:$AU,ROW()+3),$AU:$AU,0)),"")</f>
        <v/>
      </c>
      <c r="AL93" s="49" t="str">
        <f ca="1">IFERROR(INDEX(Y:Y,MATCH(SMALL($AU:$AU,ROW()+3),$AU:$AU,0)),"")</f>
        <v/>
      </c>
      <c r="AM93" s="49" t="str">
        <f ca="1">IFERROR(INDEX(Z:Z,MATCH(SMALL($AU:$AU,ROW()+3),$AU:$AU,0)),"")</f>
        <v/>
      </c>
      <c r="AN93" s="49" t="str">
        <f ca="1">IFERROR(INDEX(AA:AA,MATCH(SMALL($AU:$AU,ROW()+3),$AU:$AU,0)),"")</f>
        <v/>
      </c>
      <c r="AO93" s="49" t="str">
        <f ca="1">IFERROR(INDEX(AB:AB,MATCH(SMALL($AU:$AU,ROW()+3),$AU:$AU,0)),"")</f>
        <v/>
      </c>
      <c r="AP93" s="49" t="str">
        <f ca="1">IFERROR(INDEX(AC:AC,MATCH(SMALL($AU:$AU,ROW()+3),$AU:$AU,0)),"")</f>
        <v/>
      </c>
      <c r="AU93" s="49" t="str">
        <f t="shared" ca="1" si="14"/>
        <v/>
      </c>
    </row>
    <row r="94" spans="1:47" ht="22.2" customHeight="1">
      <c r="A94" s="110">
        <f t="shared" si="17"/>
        <v>53</v>
      </c>
      <c r="B94" s="111" t="str">
        <f t="shared" ca="1" si="15"/>
        <v/>
      </c>
      <c r="C94" s="111" t="str">
        <f>IF(OR(クライアント抽出!C24&lt;&gt;"",クライアント抽出!F24&lt;&gt;""),クライアント抽出!A24,"")</f>
        <v/>
      </c>
      <c r="D94" s="111" t="str">
        <f t="array" aca="1" ref="D94" ca="1">IF(C94&lt;&gt;"",INDIRECT("クライアント抽出!"&amp;E94&amp;MATCH(C94,クライアント抽出!A:A,0)&amp;""),"")</f>
        <v/>
      </c>
      <c r="E94" s="111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112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11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113" t="str">
        <f>IF(C94&lt;&gt;"",
クライアント抽出!C24,"")</f>
        <v/>
      </c>
      <c r="I94" s="111" t="str">
        <f t="array" aca="1" ref="I94" ca="1">IF(C94&lt;&gt;"",
IF(O94=1,
IF(SUMPRODUCT(COUNTIF(クライアント抽出!P24:U24,クライアント抽出!P24:U24))&gt;COUNTA(クライアント抽出!P24:U24),
INDIRECT("数出表_Excel!"&amp;INDEX(_xlfn.UNIQUE(_xlfn._xlws.FILTER(クライアント抽出!P24:U24,COUNTIF(クライアント抽出!P24:U24,クライアント抽出!P24:U24)=1)),1)&amp;L94&amp;""),
0),クライアント抽出!F24),"")</f>
        <v/>
      </c>
      <c r="J94" s="111" t="str">
        <f>IF(C94&lt;&gt;"",
VLOOKUP(
"*"&amp;LEFT(IF(COUNTIF(D94,"*学食*"),"キャラ弁（学食）",
IF(COUNTIF(D94,"*赤*"),"赤",
IF(COUNTIF(D94,"*キャラ弁当*"),"キャラ弁当",D94))),4)&amp;"*",注文弁当の抽出!$E$1:$F$15,2,FALSE),"")</f>
        <v/>
      </c>
      <c r="K94" s="111" t="str">
        <f ca="1">IF(クライアント抽出!Q24&lt;&gt;"",SUBSTITUTE(ADDRESS(1,(CODE(クライアント抽出!Q24)-64)*2-1,4),"1",""),"")</f>
        <v/>
      </c>
      <c r="L94" s="111" t="str">
        <f>IF(C24&lt;&gt;"",クライアント抽出!I24,"")</f>
        <v/>
      </c>
      <c r="M94" s="111">
        <f t="array" aca="1" ref="M94" ca="1">IF(C94&lt;&gt;"",
IF(K94&lt;&gt;"",INDIRECT("'数出表_Excel（アレルギー入力）'!"&amp;K94&amp;L94-1&amp;""),),)</f>
        <v>0</v>
      </c>
      <c r="N94" s="111" t="str">
        <f>IF(C94&lt;&gt;"",IF(OR(COUNTIF('盛付札（関数）'!D94,"*赤*"),COUNTIF('盛付札（関数）'!D94,"*キャラ*")),1,
VLOOKUP("*"&amp;D94&amp;"*",商品マスタ一覧!D:H,5,FALSE)),"")</f>
        <v/>
      </c>
      <c r="O94" s="111">
        <f t="shared" ca="1" si="16"/>
        <v>0</v>
      </c>
      <c r="P94" s="111">
        <f t="shared" si="9"/>
        <v>0</v>
      </c>
      <c r="Q94" s="111" t="b">
        <f t="shared" si="10"/>
        <v>0</v>
      </c>
      <c r="R94" s="49" t="str">
        <f t="array" aca="1" ref="R94" ca="1">IFERROR(SMALL(IF(P$1:P$311&lt;&gt;0,P$1:P$311),ROW(A94)),"")</f>
        <v/>
      </c>
      <c r="S94" s="49" t="str">
        <f t="array" aca="1" ref="S94" ca="1">IF($R94&lt;&gt;"",
SUBSTITUTE(SUBSTITUTE(INDIRECT("C"&amp;$R94&amp;"")," 週3ｺｰｽ","")," 週5ｺｰｽ",""),"")</f>
        <v/>
      </c>
      <c r="T94" s="49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22" t="str">
        <f t="array" aca="1" ref="U94" ca="1">IF($R94&lt;&gt;"",
INDIRECT("F"&amp;$R94&amp;""),"")</f>
        <v/>
      </c>
      <c r="V94" s="49" t="str">
        <f t="array" aca="1" ref="V94" ca="1">IF($R94&lt;&gt;"",
INDIRECT("G"&amp;$R94&amp;""),"")</f>
        <v/>
      </c>
      <c r="W94" s="49" t="str">
        <f t="array" aca="1" ref="W94" ca="1">IF($R94&lt;&gt;"",
IF(AND(COUNTIF(INDIRECT("B"&amp;R94&amp;""),"*雙葉*"),COUNTIF(B:B,"*雙葉*")&gt;=2),
IF(OR(COUNTIF(INDIRECT("B"&amp;R94&amp;""),"*雙葉先生*"),COUNTIF($B$1:$B$70,"*雙葉*")&gt;=2),INDIRECT("H"&amp;R94&amp;""),INDIRECT("H"&amp;R94&amp;"")+INDIRECT("H"&amp;MATCH("雙葉'",INDIRECT("B"&amp;R94+3&amp;":B210"),0)+2+R94&amp;"")),
IF(AND(LEFT(INDIRECT("B"&amp;R94&amp;""),2)="博多",COUNTIF(B:B,"*博多*")&gt;=2),
INDIRECT("H"&amp;R94&amp;"")+INDIRECT("H"&amp;MATCH("*"&amp;INDIRECT("B"&amp;R94&amp;"")&amp;"*",INDIRECT("B"&amp;R94+1&amp;":B210"),0)+R94&amp;""),
IF(AND(LEFT(INDIRECT("B"&amp;R94&amp;""),3)="奈良屋",COUNTIF(B:B,"*奈良屋*")&gt;=2),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49" t="str">
        <f t="array" aca="1" ref="X94" ca="1">IF($R94&lt;&gt;"",
INDIRECT(""&amp;IF(COLUMN(I94)&lt;=26,CHAR(COLUMN(I94)+64),CHAR(INT((COLUMN(I94)-1)/26)+64)&amp;CHAR(MOD(COLUMN(I94)-1,26)+65))&amp;$R94&amp;""),"")</f>
        <v/>
      </c>
      <c r="Y94" s="49" t="str">
        <f t="array" aca="1" ref="Y94" ca="1">IF($R94&lt;&gt;"",
INDIRECT(""&amp;IF(COLUMN(J94)&lt;=26,CHAR(COLUMN(J94)+64),CHAR(INT((COLUMN(J94)-1)/26)+64)&amp;CHAR(MOD(COLUMN(J94)-1,26)+65))&amp;$R94&amp;""),"")</f>
        <v/>
      </c>
      <c r="Z94" s="49" t="str">
        <f t="shared" ca="1" si="11"/>
        <v/>
      </c>
      <c r="AA94" s="49" t="str">
        <f t="shared" ca="1" si="12"/>
        <v/>
      </c>
      <c r="AB94" s="49" t="str">
        <f t="array" aca="1" ref="AB94" ca="1">IF($R94&lt;&gt;"",
IF(AND(COUNTIF(INDIRECT("B"&amp;R94&amp;""),"*雙葉*"),COUNTIF(B:B,"*雙葉*")&gt;=2),
INDIRECT("M"&amp;R94&amp;"")+INDIRECT("M"&amp;MATCH("雙葉'",INDIRECT("B"&amp;R94+1&amp;":B210"),0)+R94&amp;""),
IF(AND(LEFT(INDIRECT("B"&amp;R94&amp;""),2)="博多",COUNTIF(B:B,"*博多*")&gt;=2),
INDIRECT("M"&amp;R94&amp;"")+INDIRECT("M"&amp;MATCH("*"&amp;INDIRECT("B"&amp;R94&amp;"")&amp;"*",INDIRECT("B"&amp;R94+1&amp;":B210"),0)+R94&amp;""),
IF(AND(LEFT(INDIRECT("B"&amp;R94&amp;""),3)="奈良屋",COUNTIF(B:B,"*奈良屋*")&gt;=2),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  <c r="AC94" s="49" t="str">
        <f ca="1">IF(S94&lt;&gt;"",INDEX(A:A, MATCH("*"&amp;LEFT(S94,4)&amp;"*", C:C, 0)),"")</f>
        <v/>
      </c>
      <c r="AD94" s="49" t="str">
        <f ca="1">IFERROR(INDEX(AC:AC,MATCH(SMALL($AU:$AU,ROW()+3),$AU:$AU,0)),"")</f>
        <v/>
      </c>
      <c r="AE94" s="49" t="str">
        <f ca="1">IFERROR(INDEX(R:R,MATCH(SMALL($AU:$AU,ROW()+3),$AU:$AU,0)),"")</f>
        <v/>
      </c>
      <c r="AF94" s="49" t="str">
        <f ca="1">IFERROR(INDEX(S:S,MATCH(SMALL($AU:$AU,ROW()+3),$AU:$AU,0)),"")</f>
        <v/>
      </c>
      <c r="AG94" s="49" t="str">
        <f ca="1">IFERROR(INDEX(T:T,MATCH(SMALL($AU:$AU,ROW()+3),$AU:$AU,0)),"")</f>
        <v/>
      </c>
      <c r="AH94" s="122" t="str">
        <f ca="1">IFERROR(INDEX(U:U,MATCH(SMALL($AU:$AU,ROW()+3),$AU:$AU,0)),"")</f>
        <v/>
      </c>
      <c r="AI94" s="49" t="str">
        <f ca="1">IFERROR(INDEX(V:V,MATCH(SMALL($AU:$AU,ROW()+3),$AU:$AU,0)),"")</f>
        <v/>
      </c>
      <c r="AJ94" s="49" t="str">
        <f ca="1">IFERROR(INDEX(W:W,MATCH(SMALL($AU:$AU,ROW()+3),$AU:$AU,0)),"")</f>
        <v/>
      </c>
      <c r="AK94" s="49" t="str">
        <f ca="1">IFERROR(INDEX(X:X,MATCH(SMALL($AU:$AU,ROW()+3),$AU:$AU,0)),"")</f>
        <v/>
      </c>
      <c r="AL94" s="49" t="str">
        <f ca="1">IFERROR(INDEX(Y:Y,MATCH(SMALL($AU:$AU,ROW()+3),$AU:$AU,0)),"")</f>
        <v/>
      </c>
      <c r="AM94" s="49" t="str">
        <f ca="1">IFERROR(INDEX(Z:Z,MATCH(SMALL($AU:$AU,ROW()+3),$AU:$AU,0)),"")</f>
        <v/>
      </c>
      <c r="AN94" s="49" t="str">
        <f ca="1">IFERROR(INDEX(AA:AA,MATCH(SMALL($AU:$AU,ROW()+3),$AU:$AU,0)),"")</f>
        <v/>
      </c>
      <c r="AO94" s="49" t="str">
        <f ca="1">IFERROR(INDEX(AB:AB,MATCH(SMALL($AU:$AU,ROW()+3),$AU:$AU,0)),"")</f>
        <v/>
      </c>
      <c r="AP94" s="49" t="str">
        <f ca="1">IFERROR(INDEX(AC:AC,MATCH(SMALL($AU:$AU,ROW()+3),$AU:$AU,0)),"")</f>
        <v/>
      </c>
      <c r="AU94" s="49" t="str">
        <f t="shared" ca="1" si="14"/>
        <v/>
      </c>
    </row>
    <row r="95" spans="1:47" ht="22.2" customHeight="1">
      <c r="A95" s="110">
        <f t="shared" si="17"/>
        <v>55</v>
      </c>
      <c r="B95" s="111" t="str">
        <f t="shared" ca="1" si="15"/>
        <v/>
      </c>
      <c r="C95" s="111" t="str">
        <f>IF(OR(クライアント抽出!C25&lt;&gt;"",クライアント抽出!F25&lt;&gt;""),クライアント抽出!A25,"")</f>
        <v/>
      </c>
      <c r="D95" s="111" t="str">
        <f t="array" aca="1" ref="D95" ca="1">IF(C95&lt;&gt;"",INDIRECT("クライアント抽出!"&amp;E95&amp;MATCH(C95,クライアント抽出!A:A,0)&amp;""),"")</f>
        <v/>
      </c>
      <c r="E95" s="111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112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11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113" t="str">
        <f>IF(C95&lt;&gt;"",
クライアント抽出!C25,"")</f>
        <v/>
      </c>
      <c r="I95" s="111" t="str">
        <f t="array" aca="1" ref="I95" ca="1">IF(C95&lt;&gt;"",
IF(O95=1,
IF(SUMPRODUCT(COUNTIF(クライアント抽出!P25:U25,クライアント抽出!P25:U25))&gt;COUNTA(クライアント抽出!P25:U25),
INDIRECT("数出表_Excel!"&amp;INDEX(_xlfn.UNIQUE(_xlfn._xlws.FILTER(クライアント抽出!P25:U25,COUNTIF(クライアント抽出!P25:U25,クライアント抽出!P25:U25)=1)),1)&amp;L95&amp;""),
0),クライアント抽出!F25),"")</f>
        <v/>
      </c>
      <c r="J95" s="111" t="str">
        <f>IF(C95&lt;&gt;"",
VLOOKUP(
"*"&amp;LEFT(IF(COUNTIF(D95,"*学食*"),"キャラ弁（学食）",
IF(COUNTIF(D95,"*赤*"),"赤",
IF(COUNTIF(D95,"*キャラ弁当*"),"キャラ弁当",D95))),4)&amp;"*",注文弁当の抽出!$E$1:$F$15,2,FALSE),"")</f>
        <v/>
      </c>
      <c r="K95" s="111" t="str">
        <f ca="1">IF(クライアント抽出!Q25&lt;&gt;"",SUBSTITUTE(ADDRESS(1,(CODE(クライアント抽出!Q25)-64)*2-1,4),"1",""),"")</f>
        <v/>
      </c>
      <c r="L95" s="111" t="str">
        <f>IF(C25&lt;&gt;"",クライアント抽出!I25,"")</f>
        <v/>
      </c>
      <c r="M95" s="111">
        <f t="array" aca="1" ref="M95" ca="1">IF(C95&lt;&gt;"",
IF(K95&lt;&gt;"",INDIRECT("'数出表_Excel（アレルギー入力）'!"&amp;K95&amp;L95-1&amp;""),),)</f>
        <v>0</v>
      </c>
      <c r="N95" s="111" t="str">
        <f>IF(C95&lt;&gt;"",IF(OR(COUNTIF('盛付札（関数）'!D95,"*赤*"),COUNTIF('盛付札（関数）'!D95,"*キャラ*")),1,
VLOOKUP("*"&amp;D95&amp;"*",商品マスタ一覧!D:H,5,FALSE)),"")</f>
        <v/>
      </c>
      <c r="O95" s="111">
        <f t="shared" ca="1" si="16"/>
        <v>0</v>
      </c>
      <c r="P95" s="111">
        <f t="shared" si="9"/>
        <v>0</v>
      </c>
      <c r="Q95" s="111" t="b">
        <f t="shared" si="10"/>
        <v>0</v>
      </c>
      <c r="R95" s="49" t="str">
        <f t="array" aca="1" ref="R95" ca="1">IFERROR(SMALL(IF(P$1:P$311&lt;&gt;0,P$1:P$311),ROW(A95)),"")</f>
        <v/>
      </c>
      <c r="S95" s="49" t="str">
        <f t="array" aca="1" ref="S95" ca="1">IF($R95&lt;&gt;"",
SUBSTITUTE(SUBSTITUTE(INDIRECT("C"&amp;$R95&amp;"")," 週3ｺｰｽ","")," 週5ｺｰｽ",""),"")</f>
        <v/>
      </c>
      <c r="T95" s="49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22" t="str">
        <f t="array" aca="1" ref="U95" ca="1">IF($R95&lt;&gt;"",
INDIRECT("F"&amp;$R95&amp;""),"")</f>
        <v/>
      </c>
      <c r="V95" s="49" t="str">
        <f t="array" aca="1" ref="V95" ca="1">IF($R95&lt;&gt;"",
INDIRECT("G"&amp;$R95&amp;""),"")</f>
        <v/>
      </c>
      <c r="W95" s="49" t="str">
        <f t="array" aca="1" ref="W95" ca="1">IF($R95&lt;&gt;"",
IF(AND(COUNTIF(INDIRECT("B"&amp;R95&amp;""),"*雙葉*"),COUNTIF(B:B,"*雙葉*")&gt;=2),
IF(OR(COUNTIF(INDIRECT("B"&amp;R95&amp;""),"*雙葉先生*"),COUNTIF($B$1:$B$70,"*雙葉*")&gt;=2),INDIRECT("H"&amp;R95&amp;""),INDIRECT("H"&amp;R95&amp;"")+INDIRECT("H"&amp;MATCH("雙葉'",INDIRECT("B"&amp;R95+3&amp;":B210"),0)+2+R95&amp;"")),
IF(AND(LEFT(INDIRECT("B"&amp;R95&amp;""),2)="博多",COUNTIF(B:B,"*博多*")&gt;=2),
INDIRECT("H"&amp;R95&amp;"")+INDIRECT("H"&amp;MATCH("*"&amp;INDIRECT("B"&amp;R95&amp;"")&amp;"*",INDIRECT("B"&amp;R95+1&amp;":B210"),0)+R95&amp;""),
IF(AND(LEFT(INDIRECT("B"&amp;R95&amp;""),3)="奈良屋",COUNTIF(B:B,"*奈良屋*")&gt;=2),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49" t="str">
        <f t="array" aca="1" ref="X95" ca="1">IF($R95&lt;&gt;"",
INDIRECT(""&amp;IF(COLUMN(I95)&lt;=26,CHAR(COLUMN(I95)+64),CHAR(INT((COLUMN(I95)-1)/26)+64)&amp;CHAR(MOD(COLUMN(I95)-1,26)+65))&amp;$R95&amp;""),"")</f>
        <v/>
      </c>
      <c r="Y95" s="49" t="str">
        <f t="array" aca="1" ref="Y95" ca="1">IF($R95&lt;&gt;"",
INDIRECT(""&amp;IF(COLUMN(J95)&lt;=26,CHAR(COLUMN(J95)+64),CHAR(INT((COLUMN(J95)-1)/26)+64)&amp;CHAR(MOD(COLUMN(J95)-1,26)+65))&amp;$R95&amp;""),"")</f>
        <v/>
      </c>
      <c r="Z95" s="49" t="str">
        <f t="shared" ca="1" si="11"/>
        <v/>
      </c>
      <c r="AA95" s="49" t="str">
        <f t="shared" ca="1" si="12"/>
        <v/>
      </c>
      <c r="AB95" s="49" t="str">
        <f t="array" aca="1" ref="AB95" ca="1">IF($R95&lt;&gt;"",
IF(AND(COUNTIF(INDIRECT("B"&amp;R95&amp;""),"*雙葉*"),COUNTIF(B:B,"*雙葉*")&gt;=2),
INDIRECT("M"&amp;R95&amp;"")+INDIRECT("M"&amp;MATCH("雙葉'",INDIRECT("B"&amp;R95+1&amp;":B210"),0)+R95&amp;""),
IF(AND(LEFT(INDIRECT("B"&amp;R95&amp;""),2)="博多",COUNTIF(B:B,"*博多*")&gt;=2),
INDIRECT("M"&amp;R95&amp;"")+INDIRECT("M"&amp;MATCH("*"&amp;INDIRECT("B"&amp;R95&amp;"")&amp;"*",INDIRECT("B"&amp;R95+1&amp;":B210"),0)+R95&amp;""),
IF(AND(LEFT(INDIRECT("B"&amp;R95&amp;""),3)="奈良屋",COUNTIF(B:B,"*奈良屋*")&gt;=2),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  <c r="AC95" s="49" t="str">
        <f ca="1">IF(S95&lt;&gt;"",INDEX(A:A, MATCH("*"&amp;LEFT(S95,4)&amp;"*", C:C, 0)),"")</f>
        <v/>
      </c>
      <c r="AD95" s="49" t="str">
        <f ca="1">IFERROR(INDEX(AC:AC,MATCH(SMALL($AU:$AU,ROW()+3),$AU:$AU,0)),"")</f>
        <v/>
      </c>
      <c r="AE95" s="49" t="str">
        <f ca="1">IFERROR(INDEX(R:R,MATCH(SMALL($AU:$AU,ROW()+3),$AU:$AU,0)),"")</f>
        <v/>
      </c>
      <c r="AF95" s="49" t="str">
        <f ca="1">IFERROR(INDEX(S:S,MATCH(SMALL($AU:$AU,ROW()+3),$AU:$AU,0)),"")</f>
        <v/>
      </c>
      <c r="AG95" s="49" t="str">
        <f ca="1">IFERROR(INDEX(T:T,MATCH(SMALL($AU:$AU,ROW()+3),$AU:$AU,0)),"")</f>
        <v/>
      </c>
      <c r="AH95" s="122" t="str">
        <f ca="1">IFERROR(INDEX(U:U,MATCH(SMALL($AU:$AU,ROW()+3),$AU:$AU,0)),"")</f>
        <v/>
      </c>
      <c r="AI95" s="49" t="str">
        <f ca="1">IFERROR(INDEX(V:V,MATCH(SMALL($AU:$AU,ROW()+3),$AU:$AU,0)),"")</f>
        <v/>
      </c>
      <c r="AJ95" s="49" t="str">
        <f ca="1">IFERROR(INDEX(W:W,MATCH(SMALL($AU:$AU,ROW()+3),$AU:$AU,0)),"")</f>
        <v/>
      </c>
      <c r="AK95" s="49" t="str">
        <f ca="1">IFERROR(INDEX(X:X,MATCH(SMALL($AU:$AU,ROW()+3),$AU:$AU,0)),"")</f>
        <v/>
      </c>
      <c r="AL95" s="49" t="str">
        <f ca="1">IFERROR(INDEX(Y:Y,MATCH(SMALL($AU:$AU,ROW()+3),$AU:$AU,0)),"")</f>
        <v/>
      </c>
      <c r="AM95" s="49" t="str">
        <f ca="1">IFERROR(INDEX(Z:Z,MATCH(SMALL($AU:$AU,ROW()+3),$AU:$AU,0)),"")</f>
        <v/>
      </c>
      <c r="AN95" s="49" t="str">
        <f ca="1">IFERROR(INDEX(AA:AA,MATCH(SMALL($AU:$AU,ROW()+3),$AU:$AU,0)),"")</f>
        <v/>
      </c>
      <c r="AO95" s="49" t="str">
        <f ca="1">IFERROR(INDEX(AB:AB,MATCH(SMALL($AU:$AU,ROW()+3),$AU:$AU,0)),"")</f>
        <v/>
      </c>
      <c r="AP95" s="49" t="str">
        <f ca="1">IFERROR(INDEX(AC:AC,MATCH(SMALL($AU:$AU,ROW()+3),$AU:$AU,0)),"")</f>
        <v/>
      </c>
      <c r="AU95" s="49" t="str">
        <f t="shared" ca="1" si="14"/>
        <v/>
      </c>
    </row>
    <row r="96" spans="1:47" ht="22.2" customHeight="1">
      <c r="A96" s="110">
        <f t="shared" si="17"/>
        <v>57</v>
      </c>
      <c r="B96" s="111" t="str">
        <f t="shared" ca="1" si="15"/>
        <v/>
      </c>
      <c r="C96" s="111" t="str">
        <f>IF(OR(クライアント抽出!C26&lt;&gt;"",クライアント抽出!F26&lt;&gt;""),クライアント抽出!A26,"")</f>
        <v/>
      </c>
      <c r="D96" s="111" t="str">
        <f t="array" aca="1" ref="D96" ca="1">IF(C96&lt;&gt;"",INDIRECT("クライアント抽出!"&amp;E96&amp;MATCH(C96,クライアント抽出!A:A,0)&amp;""),"")</f>
        <v/>
      </c>
      <c r="E96" s="111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112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11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113" t="str">
        <f>IF(C96&lt;&gt;"",
クライアント抽出!C26,"")</f>
        <v/>
      </c>
      <c r="I96" s="111" t="str">
        <f t="array" aca="1" ref="I96" ca="1">IF(C96&lt;&gt;"",
IF(O96=1,
IF(SUMPRODUCT(COUNTIF(クライアント抽出!P26:U26,クライアント抽出!P26:U26))&gt;COUNTA(クライアント抽出!P26:U26),
INDIRECT("数出表_Excel!"&amp;INDEX(_xlfn.UNIQUE(_xlfn._xlws.FILTER(クライアント抽出!P26:U26,COUNTIF(クライアント抽出!P26:U26,クライアント抽出!P26:U26)=1)),1)&amp;L96&amp;""),
0),クライアント抽出!F26),"")</f>
        <v/>
      </c>
      <c r="J96" s="111" t="str">
        <f>IF(C96&lt;&gt;"",
VLOOKUP(
"*"&amp;LEFT(IF(COUNTIF(D96,"*学食*"),"キャラ弁（学食）",
IF(COUNTIF(D96,"*赤*"),"赤",
IF(COUNTIF(D96,"*キャラ弁当*"),"キャラ弁当",D96))),4)&amp;"*",注文弁当の抽出!$E$1:$F$15,2,FALSE),"")</f>
        <v/>
      </c>
      <c r="K96" s="111" t="str">
        <f ca="1">IF(クライアント抽出!Q26&lt;&gt;"",SUBSTITUTE(ADDRESS(1,(CODE(クライアント抽出!Q26)-64)*2-1,4),"1",""),"")</f>
        <v/>
      </c>
      <c r="L96" s="111" t="str">
        <f>IF(C26&lt;&gt;"",クライアント抽出!I26,"")</f>
        <v/>
      </c>
      <c r="M96" s="111">
        <f t="array" aca="1" ref="M96" ca="1">IF(C96&lt;&gt;"",
IF(K96&lt;&gt;"",INDIRECT("'数出表_Excel（アレルギー入力）'!"&amp;K96&amp;L96-1&amp;""),),)</f>
        <v>0</v>
      </c>
      <c r="N96" s="111" t="str">
        <f>IF(C96&lt;&gt;"",IF(OR(COUNTIF('盛付札（関数）'!D96,"*赤*"),COUNTIF('盛付札（関数）'!D96,"*キャラ*")),1,
VLOOKUP("*"&amp;D96&amp;"*",商品マスタ一覧!D:H,5,FALSE)),"")</f>
        <v/>
      </c>
      <c r="O96" s="111">
        <f t="shared" ca="1" si="16"/>
        <v>0</v>
      </c>
      <c r="P96" s="111">
        <f t="shared" si="9"/>
        <v>0</v>
      </c>
      <c r="Q96" s="111" t="b">
        <f t="shared" si="10"/>
        <v>0</v>
      </c>
      <c r="R96" s="49" t="str">
        <f t="array" aca="1" ref="R96" ca="1">IFERROR(SMALL(IF(P$1:P$311&lt;&gt;0,P$1:P$311),ROW(A96)),"")</f>
        <v/>
      </c>
      <c r="S96" s="49" t="str">
        <f t="array" aca="1" ref="S96" ca="1">IF($R96&lt;&gt;"",
SUBSTITUTE(SUBSTITUTE(INDIRECT("C"&amp;$R96&amp;"")," 週3ｺｰｽ","")," 週5ｺｰｽ",""),"")</f>
        <v/>
      </c>
      <c r="T96" s="49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22" t="str">
        <f t="array" aca="1" ref="U96" ca="1">IF($R96&lt;&gt;"",
INDIRECT("F"&amp;$R96&amp;""),"")</f>
        <v/>
      </c>
      <c r="V96" s="49" t="str">
        <f t="array" aca="1" ref="V96" ca="1">IF($R96&lt;&gt;"",
INDIRECT("G"&amp;$R96&amp;""),"")</f>
        <v/>
      </c>
      <c r="W96" s="49" t="str">
        <f t="array" aca="1" ref="W96" ca="1">IF($R96&lt;&gt;"",
IF(AND(COUNTIF(INDIRECT("B"&amp;R96&amp;""),"*雙葉*"),COUNTIF(B:B,"*雙葉*")&gt;=2),
IF(OR(COUNTIF(INDIRECT("B"&amp;R96&amp;""),"*雙葉先生*"),COUNTIF($B$1:$B$70,"*雙葉*")&gt;=2),INDIRECT("H"&amp;R96&amp;""),INDIRECT("H"&amp;R96&amp;"")+INDIRECT("H"&amp;MATCH("雙葉'",INDIRECT("B"&amp;R96+3&amp;":B210"),0)+2+R96&amp;"")),
IF(AND(LEFT(INDIRECT("B"&amp;R96&amp;""),2)="博多",COUNTIF(B:B,"*博多*")&gt;=2),
INDIRECT("H"&amp;R96&amp;"")+INDIRECT("H"&amp;MATCH("*"&amp;INDIRECT("B"&amp;R96&amp;"")&amp;"*",INDIRECT("B"&amp;R96+1&amp;":B210"),0)+R96&amp;""),
IF(AND(LEFT(INDIRECT("B"&amp;R96&amp;""),3)="奈良屋",COUNTIF(B:B,"*奈良屋*")&gt;=2),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49" t="str">
        <f t="array" aca="1" ref="X96" ca="1">IF($R96&lt;&gt;"",
INDIRECT(""&amp;IF(COLUMN(I96)&lt;=26,CHAR(COLUMN(I96)+64),CHAR(INT((COLUMN(I96)-1)/26)+64)&amp;CHAR(MOD(COLUMN(I96)-1,26)+65))&amp;$R96&amp;""),"")</f>
        <v/>
      </c>
      <c r="Y96" s="49" t="str">
        <f t="array" aca="1" ref="Y96" ca="1">IF($R96&lt;&gt;"",
INDIRECT(""&amp;IF(COLUMN(J96)&lt;=26,CHAR(COLUMN(J96)+64),CHAR(INT((COLUMN(J96)-1)/26)+64)&amp;CHAR(MOD(COLUMN(J96)-1,26)+65))&amp;$R96&amp;""),"")</f>
        <v/>
      </c>
      <c r="Z96" s="49" t="str">
        <f t="shared" ca="1" si="11"/>
        <v/>
      </c>
      <c r="AA96" s="49" t="str">
        <f t="shared" ca="1" si="12"/>
        <v/>
      </c>
      <c r="AB96" s="49" t="str">
        <f t="array" aca="1" ref="AB96" ca="1">IF($R96&lt;&gt;"",
IF(AND(COUNTIF(INDIRECT("B"&amp;R96&amp;""),"*雙葉*"),COUNTIF(B:B,"*雙葉*")&gt;=2),
INDIRECT("M"&amp;R96&amp;"")+INDIRECT("M"&amp;MATCH("雙葉'",INDIRECT("B"&amp;R96+1&amp;":B210"),0)+R96&amp;""),
IF(AND(LEFT(INDIRECT("B"&amp;R96&amp;""),2)="博多",COUNTIF(B:B,"*博多*")&gt;=2),
INDIRECT("M"&amp;R96&amp;"")+INDIRECT("M"&amp;MATCH("*"&amp;INDIRECT("B"&amp;R96&amp;"")&amp;"*",INDIRECT("B"&amp;R96+1&amp;":B210"),0)+R96&amp;""),
IF(AND(LEFT(INDIRECT("B"&amp;R96&amp;""),3)="奈良屋",COUNTIF(B:B,"*奈良屋*")&gt;=2),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  <c r="AC96" s="49" t="str">
        <f ca="1">IF(S96&lt;&gt;"",INDEX(A:A, MATCH("*"&amp;LEFT(S96,4)&amp;"*", C:C, 0)),"")</f>
        <v/>
      </c>
      <c r="AD96" s="49" t="str">
        <f ca="1">IFERROR(INDEX(AC:AC,MATCH(SMALL($AU:$AU,ROW()+3),$AU:$AU,0)),"")</f>
        <v/>
      </c>
      <c r="AE96" s="49" t="str">
        <f ca="1">IFERROR(INDEX(R:R,MATCH(SMALL($AU:$AU,ROW()+3),$AU:$AU,0)),"")</f>
        <v/>
      </c>
      <c r="AF96" s="49" t="str">
        <f ca="1">IFERROR(INDEX(S:S,MATCH(SMALL($AU:$AU,ROW()+3),$AU:$AU,0)),"")</f>
        <v/>
      </c>
      <c r="AG96" s="49" t="str">
        <f ca="1">IFERROR(INDEX(T:T,MATCH(SMALL($AU:$AU,ROW()+3),$AU:$AU,0)),"")</f>
        <v/>
      </c>
      <c r="AH96" s="122" t="str">
        <f ca="1">IFERROR(INDEX(U:U,MATCH(SMALL($AU:$AU,ROW()+3),$AU:$AU,0)),"")</f>
        <v/>
      </c>
      <c r="AI96" s="49" t="str">
        <f ca="1">IFERROR(INDEX(V:V,MATCH(SMALL($AU:$AU,ROW()+3),$AU:$AU,0)),"")</f>
        <v/>
      </c>
      <c r="AJ96" s="49" t="str">
        <f ca="1">IFERROR(INDEX(W:W,MATCH(SMALL($AU:$AU,ROW()+3),$AU:$AU,0)),"")</f>
        <v/>
      </c>
      <c r="AK96" s="49" t="str">
        <f ca="1">IFERROR(INDEX(X:X,MATCH(SMALL($AU:$AU,ROW()+3),$AU:$AU,0)),"")</f>
        <v/>
      </c>
      <c r="AL96" s="49" t="str">
        <f ca="1">IFERROR(INDEX(Y:Y,MATCH(SMALL($AU:$AU,ROW()+3),$AU:$AU,0)),"")</f>
        <v/>
      </c>
      <c r="AM96" s="49" t="str">
        <f ca="1">IFERROR(INDEX(Z:Z,MATCH(SMALL($AU:$AU,ROW()+3),$AU:$AU,0)),"")</f>
        <v/>
      </c>
      <c r="AN96" s="49" t="str">
        <f ca="1">IFERROR(INDEX(AA:AA,MATCH(SMALL($AU:$AU,ROW()+3),$AU:$AU,0)),"")</f>
        <v/>
      </c>
      <c r="AO96" s="49" t="str">
        <f ca="1">IFERROR(INDEX(AB:AB,MATCH(SMALL($AU:$AU,ROW()+3),$AU:$AU,0)),"")</f>
        <v/>
      </c>
      <c r="AP96" s="49" t="str">
        <f ca="1">IFERROR(INDEX(AC:AC,MATCH(SMALL($AU:$AU,ROW()+3),$AU:$AU,0)),"")</f>
        <v/>
      </c>
      <c r="AU96" s="49" t="str">
        <f t="shared" ca="1" si="14"/>
        <v/>
      </c>
    </row>
    <row r="97" spans="1:47" ht="22.2" customHeight="1">
      <c r="A97" s="110">
        <f t="shared" si="17"/>
        <v>59</v>
      </c>
      <c r="B97" s="111" t="str">
        <f t="shared" ca="1" si="15"/>
        <v/>
      </c>
      <c r="C97" s="111" t="str">
        <f>IF(OR(クライアント抽出!C27&lt;&gt;"",クライアント抽出!F27&lt;&gt;""),クライアント抽出!A27,"")</f>
        <v/>
      </c>
      <c r="D97" s="111" t="str">
        <f t="array" aca="1" ref="D97" ca="1">IF(C97&lt;&gt;"",INDIRECT("クライアント抽出!"&amp;E97&amp;MATCH(C97,クライアント抽出!A:A,0)&amp;""),"")</f>
        <v/>
      </c>
      <c r="E97" s="111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112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11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113" t="str">
        <f>IF(C97&lt;&gt;"",
クライアント抽出!C27,"")</f>
        <v/>
      </c>
      <c r="I97" s="111" t="str">
        <f t="array" aca="1" ref="I97" ca="1">IF(C97&lt;&gt;"",
IF(O97=1,
IF(SUMPRODUCT(COUNTIF(クライアント抽出!P27:U27,クライアント抽出!P27:U27))&gt;COUNTA(クライアント抽出!P27:U27),
INDIRECT("数出表_Excel!"&amp;INDEX(_xlfn.UNIQUE(_xlfn._xlws.FILTER(クライアント抽出!P27:U27,COUNTIF(クライアント抽出!P27:U27,クライアント抽出!P27:U27)=1)),1)&amp;L97&amp;""),
0),クライアント抽出!F27),"")</f>
        <v/>
      </c>
      <c r="J97" s="111" t="str">
        <f>IF(C97&lt;&gt;"",
VLOOKUP(
"*"&amp;LEFT(IF(COUNTIF(D97,"*学食*"),"キャラ弁（学食）",
IF(COUNTIF(D97,"*赤*"),"赤",
IF(COUNTIF(D97,"*キャラ弁当*"),"キャラ弁当",D97))),4)&amp;"*",注文弁当の抽出!$E$1:$F$15,2,FALSE),"")</f>
        <v/>
      </c>
      <c r="K97" s="111" t="str">
        <f ca="1">IF(クライアント抽出!Q27&lt;&gt;"",SUBSTITUTE(ADDRESS(1,(CODE(クライアント抽出!Q27)-64)*2-1,4),"1",""),"")</f>
        <v/>
      </c>
      <c r="L97" s="111" t="str">
        <f>IF(C27&lt;&gt;"",クライアント抽出!I27,"")</f>
        <v/>
      </c>
      <c r="M97" s="111">
        <f t="array" aca="1" ref="M97" ca="1">IF(C97&lt;&gt;"",
IF(K97&lt;&gt;"",INDIRECT("'数出表_Excel（アレルギー入力）'!"&amp;K97&amp;L97-1&amp;""),),)</f>
        <v>0</v>
      </c>
      <c r="N97" s="111" t="str">
        <f>IF(C97&lt;&gt;"",IF(OR(COUNTIF('盛付札（関数）'!D97,"*赤*"),COUNTIF('盛付札（関数）'!D97,"*キャラ*")),1,
VLOOKUP("*"&amp;D97&amp;"*",商品マスタ一覧!D:H,5,FALSE)),"")</f>
        <v/>
      </c>
      <c r="O97" s="111">
        <f t="shared" ca="1" si="16"/>
        <v>0</v>
      </c>
      <c r="P97" s="111">
        <f t="shared" si="9"/>
        <v>0</v>
      </c>
      <c r="Q97" s="111" t="b">
        <f t="shared" si="10"/>
        <v>0</v>
      </c>
      <c r="R97" s="49" t="str">
        <f t="array" aca="1" ref="R97" ca="1">IFERROR(SMALL(IF(P$1:P$311&lt;&gt;0,P$1:P$311),ROW(A97)),"")</f>
        <v/>
      </c>
      <c r="S97" s="49" t="str">
        <f t="array" aca="1" ref="S97" ca="1">IF($R97&lt;&gt;"",
SUBSTITUTE(SUBSTITUTE(INDIRECT("C"&amp;$R97&amp;"")," 週3ｺｰｽ","")," 週5ｺｰｽ",""),"")</f>
        <v/>
      </c>
      <c r="T97" s="49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22" t="str">
        <f t="array" aca="1" ref="U97" ca="1">IF($R97&lt;&gt;"",
INDIRECT("F"&amp;$R97&amp;""),"")</f>
        <v/>
      </c>
      <c r="V97" s="49" t="str">
        <f t="array" aca="1" ref="V97" ca="1">IF($R97&lt;&gt;"",
INDIRECT("G"&amp;$R97&amp;""),"")</f>
        <v/>
      </c>
      <c r="W97" s="49" t="str">
        <f t="array" aca="1" ref="W97" ca="1">IF($R97&lt;&gt;"",
IF(AND(COUNTIF(INDIRECT("B"&amp;R97&amp;""),"*雙葉*"),COUNTIF(B:B,"*雙葉*")&gt;=2),
IF(OR(COUNTIF(INDIRECT("B"&amp;R97&amp;""),"*雙葉先生*"),COUNTIF($B$1:$B$70,"*雙葉*")&gt;=2),INDIRECT("H"&amp;R97&amp;""),INDIRECT("H"&amp;R97&amp;"")+INDIRECT("H"&amp;MATCH("雙葉'",INDIRECT("B"&amp;R97+3&amp;":B210"),0)+2+R97&amp;"")),
IF(AND(LEFT(INDIRECT("B"&amp;R97&amp;""),2)="博多",COUNTIF(B:B,"*博多*")&gt;=2),
INDIRECT("H"&amp;R97&amp;"")+INDIRECT("H"&amp;MATCH("*"&amp;INDIRECT("B"&amp;R97&amp;"")&amp;"*",INDIRECT("B"&amp;R97+1&amp;":B210"),0)+R97&amp;""),
IF(AND(LEFT(INDIRECT("B"&amp;R97&amp;""),3)="奈良屋",COUNTIF(B:B,"*奈良屋*")&gt;=2),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49" t="str">
        <f t="array" aca="1" ref="X97" ca="1">IF($R97&lt;&gt;"",
INDIRECT(""&amp;IF(COLUMN(I97)&lt;=26,CHAR(COLUMN(I97)+64),CHAR(INT((COLUMN(I97)-1)/26)+64)&amp;CHAR(MOD(COLUMN(I97)-1,26)+65))&amp;$R97&amp;""),"")</f>
        <v/>
      </c>
      <c r="Y97" s="49" t="str">
        <f t="array" aca="1" ref="Y97" ca="1">IF($R97&lt;&gt;"",
INDIRECT(""&amp;IF(COLUMN(J97)&lt;=26,CHAR(COLUMN(J97)+64),CHAR(INT((COLUMN(J97)-1)/26)+64)&amp;CHAR(MOD(COLUMN(J97)-1,26)+65))&amp;$R97&amp;""),"")</f>
        <v/>
      </c>
      <c r="Z97" s="49" t="str">
        <f t="shared" ca="1" si="11"/>
        <v/>
      </c>
      <c r="AA97" s="49" t="str">
        <f t="shared" ca="1" si="12"/>
        <v/>
      </c>
      <c r="AB97" s="49" t="str">
        <f t="array" aca="1" ref="AB97" ca="1">IF($R97&lt;&gt;"",
IF(AND(COUNTIF(INDIRECT("B"&amp;R97&amp;""),"*雙葉*"),COUNTIF(B:B,"*雙葉*")&gt;=2),
INDIRECT("M"&amp;R97&amp;"")+INDIRECT("M"&amp;MATCH("雙葉'",INDIRECT("B"&amp;R97+1&amp;":B210"),0)+R97&amp;""),
IF(AND(LEFT(INDIRECT("B"&amp;R97&amp;""),2)="博多",COUNTIF(B:B,"*博多*")&gt;=2),
INDIRECT("M"&amp;R97&amp;"")+INDIRECT("M"&amp;MATCH("*"&amp;INDIRECT("B"&amp;R97&amp;"")&amp;"*",INDIRECT("B"&amp;R97+1&amp;":B210"),0)+R97&amp;""),
IF(AND(LEFT(INDIRECT("B"&amp;R97&amp;""),3)="奈良屋",COUNTIF(B:B,"*奈良屋*")&gt;=2),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  <c r="AC97" s="49" t="str">
        <f ca="1">IF(S97&lt;&gt;"",INDEX(A:A, MATCH("*"&amp;LEFT(S97,4)&amp;"*", C:C, 0)),"")</f>
        <v/>
      </c>
      <c r="AD97" s="49" t="str">
        <f ca="1">IFERROR(INDEX(AC:AC,MATCH(SMALL($AU:$AU,ROW()+3),$AU:$AU,0)),"")</f>
        <v/>
      </c>
      <c r="AE97" s="49" t="str">
        <f ca="1">IFERROR(INDEX(R:R,MATCH(SMALL($AU:$AU,ROW()+3),$AU:$AU,0)),"")</f>
        <v/>
      </c>
      <c r="AF97" s="49" t="str">
        <f ca="1">IFERROR(INDEX(S:S,MATCH(SMALL($AU:$AU,ROW()+3),$AU:$AU,0)),"")</f>
        <v/>
      </c>
      <c r="AG97" s="49" t="str">
        <f ca="1">IFERROR(INDEX(T:T,MATCH(SMALL($AU:$AU,ROW()+3),$AU:$AU,0)),"")</f>
        <v/>
      </c>
      <c r="AH97" s="122" t="str">
        <f ca="1">IFERROR(INDEX(U:U,MATCH(SMALL($AU:$AU,ROW()+3),$AU:$AU,0)),"")</f>
        <v/>
      </c>
      <c r="AI97" s="49" t="str">
        <f ca="1">IFERROR(INDEX(V:V,MATCH(SMALL($AU:$AU,ROW()+3),$AU:$AU,0)),"")</f>
        <v/>
      </c>
      <c r="AJ97" s="49" t="str">
        <f ca="1">IFERROR(INDEX(W:W,MATCH(SMALL($AU:$AU,ROW()+3),$AU:$AU,0)),"")</f>
        <v/>
      </c>
      <c r="AK97" s="49" t="str">
        <f ca="1">IFERROR(INDEX(X:X,MATCH(SMALL($AU:$AU,ROW()+3),$AU:$AU,0)),"")</f>
        <v/>
      </c>
      <c r="AL97" s="49" t="str">
        <f ca="1">IFERROR(INDEX(Y:Y,MATCH(SMALL($AU:$AU,ROW()+3),$AU:$AU,0)),"")</f>
        <v/>
      </c>
      <c r="AM97" s="49" t="str">
        <f ca="1">IFERROR(INDEX(Z:Z,MATCH(SMALL($AU:$AU,ROW()+3),$AU:$AU,0)),"")</f>
        <v/>
      </c>
      <c r="AN97" s="49" t="str">
        <f ca="1">IFERROR(INDEX(AA:AA,MATCH(SMALL($AU:$AU,ROW()+3),$AU:$AU,0)),"")</f>
        <v/>
      </c>
      <c r="AO97" s="49" t="str">
        <f ca="1">IFERROR(INDEX(AB:AB,MATCH(SMALL($AU:$AU,ROW()+3),$AU:$AU,0)),"")</f>
        <v/>
      </c>
      <c r="AP97" s="49" t="str">
        <f ca="1">IFERROR(INDEX(AC:AC,MATCH(SMALL($AU:$AU,ROW()+3),$AU:$AU,0)),"")</f>
        <v/>
      </c>
      <c r="AU97" s="49" t="str">
        <f t="shared" ca="1" si="14"/>
        <v/>
      </c>
    </row>
    <row r="98" spans="1:47" ht="22.2" customHeight="1">
      <c r="A98" s="110">
        <f t="shared" si="17"/>
        <v>61</v>
      </c>
      <c r="B98" s="111" t="str">
        <f t="shared" ca="1" si="15"/>
        <v/>
      </c>
      <c r="C98" s="111" t="str">
        <f>IF(OR(クライアント抽出!C28&lt;&gt;"",クライアント抽出!F28&lt;&gt;""),クライアント抽出!A28,"")</f>
        <v/>
      </c>
      <c r="D98" s="111" t="str">
        <f t="array" aca="1" ref="D98" ca="1">IF(C98&lt;&gt;"",INDIRECT("クライアント抽出!"&amp;E98&amp;MATCH(C98,クライアント抽出!A:A,0)&amp;""),"")</f>
        <v/>
      </c>
      <c r="E98" s="111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112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11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113" t="str">
        <f>IF(C98&lt;&gt;"",
クライアント抽出!C28,"")</f>
        <v/>
      </c>
      <c r="I98" s="111" t="str">
        <f t="array" aca="1" ref="I98" ca="1">IF(C98&lt;&gt;"",
IF(O98=1,
IF(SUMPRODUCT(COUNTIF(クライアント抽出!P28:U28,クライアント抽出!P28:U28))&gt;COUNTA(クライアント抽出!P28:U28),
INDIRECT("数出表_Excel!"&amp;INDEX(_xlfn.UNIQUE(_xlfn._xlws.FILTER(クライアント抽出!P28:U28,COUNTIF(クライアント抽出!P28:U28,クライアント抽出!P28:U28)=1)),1)&amp;L98&amp;""),
0),クライアント抽出!F28),"")</f>
        <v/>
      </c>
      <c r="J98" s="111" t="str">
        <f>IF(C98&lt;&gt;"",
VLOOKUP(
"*"&amp;LEFT(IF(COUNTIF(D98,"*学食*"),"キャラ弁（学食）",
IF(COUNTIF(D98,"*赤*"),"赤",
IF(COUNTIF(D98,"*キャラ弁当*"),"キャラ弁当",D98))),4)&amp;"*",注文弁当の抽出!$E$1:$F$15,2,FALSE),"")</f>
        <v/>
      </c>
      <c r="K98" s="111" t="str">
        <f ca="1">IF(クライアント抽出!Q28&lt;&gt;"",SUBSTITUTE(ADDRESS(1,(CODE(クライアント抽出!Q28)-64)*2-1,4),"1",""),"")</f>
        <v/>
      </c>
      <c r="L98" s="111" t="str">
        <f>IF(C28&lt;&gt;"",クライアント抽出!I28,"")</f>
        <v/>
      </c>
      <c r="M98" s="111">
        <f t="array" aca="1" ref="M98" ca="1">IF(C98&lt;&gt;"",
IF(K98&lt;&gt;"",INDIRECT("'数出表_Excel（アレルギー入力）'!"&amp;K98&amp;L98-1&amp;""),),)</f>
        <v>0</v>
      </c>
      <c r="N98" s="111" t="str">
        <f>IF(C98&lt;&gt;"",IF(OR(COUNTIF('盛付札（関数）'!D98,"*赤*"),COUNTIF('盛付札（関数）'!D98,"*キャラ*")),1,
VLOOKUP("*"&amp;D98&amp;"*",商品マスタ一覧!D:H,5,FALSE)),"")</f>
        <v/>
      </c>
      <c r="O98" s="111">
        <f t="shared" ca="1" si="16"/>
        <v>0</v>
      </c>
      <c r="P98" s="111">
        <f t="shared" si="9"/>
        <v>0</v>
      </c>
      <c r="Q98" s="111" t="b">
        <f t="shared" si="10"/>
        <v>0</v>
      </c>
      <c r="R98" s="49" t="str">
        <f t="array" aca="1" ref="R98" ca="1">IFERROR(SMALL(IF(P$1:P$311&lt;&gt;0,P$1:P$311),ROW(A98)),"")</f>
        <v/>
      </c>
      <c r="S98" s="49" t="str">
        <f t="array" aca="1" ref="S98" ca="1">IF($R98&lt;&gt;"",
SUBSTITUTE(SUBSTITUTE(INDIRECT("C"&amp;$R98&amp;"")," 週3ｺｰｽ","")," 週5ｺｰｽ",""),"")</f>
        <v/>
      </c>
      <c r="T98" s="49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22" t="str">
        <f t="array" aca="1" ref="U98" ca="1">IF($R98&lt;&gt;"",
INDIRECT("F"&amp;$R98&amp;""),"")</f>
        <v/>
      </c>
      <c r="V98" s="49" t="str">
        <f t="array" aca="1" ref="V98" ca="1">IF($R98&lt;&gt;"",
INDIRECT("G"&amp;$R98&amp;""),"")</f>
        <v/>
      </c>
      <c r="W98" s="49" t="str">
        <f t="array" aca="1" ref="W98" ca="1">IF($R98&lt;&gt;"",
IF(AND(COUNTIF(INDIRECT("B"&amp;R98&amp;""),"*雙葉*"),COUNTIF(B:B,"*雙葉*")&gt;=2),
IF(OR(COUNTIF(INDIRECT("B"&amp;R98&amp;""),"*雙葉先生*"),COUNTIF($B$1:$B$70,"*雙葉*")&gt;=2),INDIRECT("H"&amp;R98&amp;""),INDIRECT("H"&amp;R98&amp;"")+INDIRECT("H"&amp;MATCH("雙葉'",INDIRECT("B"&amp;R98+3&amp;":B210"),0)+2+R98&amp;"")),
IF(AND(LEFT(INDIRECT("B"&amp;R98&amp;""),2)="博多",COUNTIF(B:B,"*博多*")&gt;=2),
INDIRECT("H"&amp;R98&amp;"")+INDIRECT("H"&amp;MATCH("*"&amp;INDIRECT("B"&amp;R98&amp;"")&amp;"*",INDIRECT("B"&amp;R98+1&amp;":B210"),0)+R98&amp;""),
IF(AND(LEFT(INDIRECT("B"&amp;R98&amp;""),3)="奈良屋",COUNTIF(B:B,"*奈良屋*")&gt;=2),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49" t="str">
        <f t="array" aca="1" ref="X98" ca="1">IF($R98&lt;&gt;"",
INDIRECT(""&amp;IF(COLUMN(I98)&lt;=26,CHAR(COLUMN(I98)+64),CHAR(INT((COLUMN(I98)-1)/26)+64)&amp;CHAR(MOD(COLUMN(I98)-1,26)+65))&amp;$R98&amp;""),"")</f>
        <v/>
      </c>
      <c r="Y98" s="49" t="str">
        <f t="array" aca="1" ref="Y98" ca="1">IF($R98&lt;&gt;"",
INDIRECT(""&amp;IF(COLUMN(J98)&lt;=26,CHAR(COLUMN(J98)+64),CHAR(INT((COLUMN(J98)-1)/26)+64)&amp;CHAR(MOD(COLUMN(J98)-1,26)+65))&amp;$R98&amp;""),"")</f>
        <v/>
      </c>
      <c r="Z98" s="49" t="str">
        <f t="shared" ca="1" si="11"/>
        <v/>
      </c>
      <c r="AA98" s="49" t="str">
        <f t="shared" ca="1" si="12"/>
        <v/>
      </c>
      <c r="AB98" s="49" t="str">
        <f t="array" aca="1" ref="AB98" ca="1">IF($R98&lt;&gt;"",
IF(AND(COUNTIF(INDIRECT("B"&amp;R98&amp;""),"*雙葉*"),COUNTIF(B:B,"*雙葉*")&gt;=2),
INDIRECT("M"&amp;R98&amp;"")+INDIRECT("M"&amp;MATCH("雙葉'",INDIRECT("B"&amp;R98+1&amp;":B210"),0)+R98&amp;""),
IF(AND(LEFT(INDIRECT("B"&amp;R98&amp;""),2)="博多",COUNTIF(B:B,"*博多*")&gt;=2),
INDIRECT("M"&amp;R98&amp;"")+INDIRECT("M"&amp;MATCH("*"&amp;INDIRECT("B"&amp;R98&amp;"")&amp;"*",INDIRECT("B"&amp;R98+1&amp;":B210"),0)+R98&amp;""),
IF(AND(LEFT(INDIRECT("B"&amp;R98&amp;""),3)="奈良屋",COUNTIF(B:B,"*奈良屋*")&gt;=2),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  <c r="AC98" s="49" t="str">
        <f ca="1">IF(S98&lt;&gt;"",INDEX(A:A, MATCH("*"&amp;LEFT(S98,4)&amp;"*", C:C, 0)),"")</f>
        <v/>
      </c>
      <c r="AD98" s="49" t="str">
        <f ca="1">IFERROR(INDEX(AC:AC,MATCH(SMALL($AU:$AU,ROW()+3),$AU:$AU,0)),"")</f>
        <v/>
      </c>
      <c r="AE98" s="49" t="str">
        <f ca="1">IFERROR(INDEX(R:R,MATCH(SMALL($AU:$AU,ROW()+3),$AU:$AU,0)),"")</f>
        <v/>
      </c>
      <c r="AF98" s="49" t="str">
        <f ca="1">IFERROR(INDEX(S:S,MATCH(SMALL($AU:$AU,ROW()+3),$AU:$AU,0)),"")</f>
        <v/>
      </c>
      <c r="AG98" s="49" t="str">
        <f ca="1">IFERROR(INDEX(T:T,MATCH(SMALL($AU:$AU,ROW()+3),$AU:$AU,0)),"")</f>
        <v/>
      </c>
      <c r="AH98" s="122" t="str">
        <f ca="1">IFERROR(INDEX(U:U,MATCH(SMALL($AU:$AU,ROW()+3),$AU:$AU,0)),"")</f>
        <v/>
      </c>
      <c r="AI98" s="49" t="str">
        <f ca="1">IFERROR(INDEX(V:V,MATCH(SMALL($AU:$AU,ROW()+3),$AU:$AU,0)),"")</f>
        <v/>
      </c>
      <c r="AJ98" s="49" t="str">
        <f ca="1">IFERROR(INDEX(W:W,MATCH(SMALL($AU:$AU,ROW()+3),$AU:$AU,0)),"")</f>
        <v/>
      </c>
      <c r="AK98" s="49" t="str">
        <f ca="1">IFERROR(INDEX(X:X,MATCH(SMALL($AU:$AU,ROW()+3),$AU:$AU,0)),"")</f>
        <v/>
      </c>
      <c r="AL98" s="49" t="str">
        <f ca="1">IFERROR(INDEX(Y:Y,MATCH(SMALL($AU:$AU,ROW()+3),$AU:$AU,0)),"")</f>
        <v/>
      </c>
      <c r="AM98" s="49" t="str">
        <f ca="1">IFERROR(INDEX(Z:Z,MATCH(SMALL($AU:$AU,ROW()+3),$AU:$AU,0)),"")</f>
        <v/>
      </c>
      <c r="AN98" s="49" t="str">
        <f ca="1">IFERROR(INDEX(AA:AA,MATCH(SMALL($AU:$AU,ROW()+3),$AU:$AU,0)),"")</f>
        <v/>
      </c>
      <c r="AO98" s="49" t="str">
        <f ca="1">IFERROR(INDEX(AB:AB,MATCH(SMALL($AU:$AU,ROW()+3),$AU:$AU,0)),"")</f>
        <v/>
      </c>
      <c r="AP98" s="49" t="str">
        <f ca="1">IFERROR(INDEX(AC:AC,MATCH(SMALL($AU:$AU,ROW()+3),$AU:$AU,0)),"")</f>
        <v/>
      </c>
      <c r="AU98" s="49" t="str">
        <f t="shared" ca="1" si="14"/>
        <v/>
      </c>
    </row>
    <row r="99" spans="1:47" ht="22.2" customHeight="1">
      <c r="A99" s="110">
        <f t="shared" si="17"/>
        <v>63</v>
      </c>
      <c r="B99" s="111" t="str">
        <f t="shared" ca="1" si="15"/>
        <v/>
      </c>
      <c r="C99" s="111" t="str">
        <f>IF(OR(クライアント抽出!C29&lt;&gt;"",クライアント抽出!F29&lt;&gt;""),クライアント抽出!A29,"")</f>
        <v/>
      </c>
      <c r="D99" s="111" t="str">
        <f t="array" aca="1" ref="D99" ca="1">IF(C99&lt;&gt;"",INDIRECT("クライアント抽出!"&amp;E99&amp;MATCH(C99,クライアント抽出!A:A,0)&amp;""),"")</f>
        <v/>
      </c>
      <c r="E99" s="111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112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11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113" t="str">
        <f>IF(C99&lt;&gt;"",
クライアント抽出!C29,"")</f>
        <v/>
      </c>
      <c r="I99" s="111" t="str">
        <f t="array" aca="1" ref="I99" ca="1">IF(C99&lt;&gt;"",
IF(O99=1,
IF(SUMPRODUCT(COUNTIF(クライアント抽出!P29:U29,クライアント抽出!P29:U29))&gt;COUNTA(クライアント抽出!P29:U29),
INDIRECT("数出表_Excel!"&amp;INDEX(_xlfn.UNIQUE(_xlfn._xlws.FILTER(クライアント抽出!P29:U29,COUNTIF(クライアント抽出!P29:U29,クライアント抽出!P29:U29)=1)),1)&amp;L99&amp;""),
0),クライアント抽出!F29),"")</f>
        <v/>
      </c>
      <c r="J99" s="111" t="str">
        <f>IF(C99&lt;&gt;"",
VLOOKUP(
"*"&amp;LEFT(IF(COUNTIF(D99,"*学食*"),"キャラ弁（学食）",
IF(COUNTIF(D99,"*赤*"),"赤",
IF(COUNTIF(D99,"*キャラ弁当*"),"キャラ弁当",D99))),4)&amp;"*",注文弁当の抽出!$E$1:$F$15,2,FALSE),"")</f>
        <v/>
      </c>
      <c r="K99" s="111" t="str">
        <f ca="1">IF(クライアント抽出!Q29&lt;&gt;"",SUBSTITUTE(ADDRESS(1,(CODE(クライアント抽出!Q29)-64)*2-1,4),"1",""),"")</f>
        <v/>
      </c>
      <c r="L99" s="111" t="str">
        <f>IF(C29&lt;&gt;"",クライアント抽出!I29,"")</f>
        <v/>
      </c>
      <c r="M99" s="111">
        <f t="array" aca="1" ref="M99" ca="1">IF(C99&lt;&gt;"",
IF(K99&lt;&gt;"",INDIRECT("'数出表_Excel（アレルギー入力）'!"&amp;K99&amp;L99-1&amp;""),),)</f>
        <v>0</v>
      </c>
      <c r="N99" s="111" t="str">
        <f>IF(C99&lt;&gt;"",IF(OR(COUNTIF('盛付札（関数）'!D99,"*赤*"),COUNTIF('盛付札（関数）'!D99,"*キャラ*")),1,
VLOOKUP("*"&amp;D99&amp;"*",商品マスタ一覧!D:H,5,FALSE)),"")</f>
        <v/>
      </c>
      <c r="O99" s="111">
        <f t="shared" ca="1" si="16"/>
        <v>0</v>
      </c>
      <c r="P99" s="111">
        <f t="shared" si="9"/>
        <v>0</v>
      </c>
      <c r="Q99" s="111" t="b">
        <f t="shared" si="10"/>
        <v>0</v>
      </c>
      <c r="R99" s="49" t="str">
        <f t="array" aca="1" ref="R99" ca="1">IFERROR(SMALL(IF(P$1:P$311&lt;&gt;0,P$1:P$311),ROW(A99)),"")</f>
        <v/>
      </c>
      <c r="S99" s="49" t="str">
        <f t="array" aca="1" ref="S99" ca="1">IF($R99&lt;&gt;"",
SUBSTITUTE(SUBSTITUTE(INDIRECT("C"&amp;$R99&amp;"")," 週3ｺｰｽ","")," 週5ｺｰｽ",""),"")</f>
        <v/>
      </c>
      <c r="T99" s="49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22" t="str">
        <f t="array" aca="1" ref="U99" ca="1">IF($R99&lt;&gt;"",
INDIRECT("F"&amp;$R99&amp;""),"")</f>
        <v/>
      </c>
      <c r="V99" s="49" t="str">
        <f t="array" aca="1" ref="V99" ca="1">IF($R99&lt;&gt;"",
INDIRECT("G"&amp;$R99&amp;""),"")</f>
        <v/>
      </c>
      <c r="W99" s="49" t="str">
        <f t="array" aca="1" ref="W99" ca="1">IF($R99&lt;&gt;"",
IF(AND(COUNTIF(INDIRECT("B"&amp;R99&amp;""),"*雙葉*"),COUNTIF(B:B,"*雙葉*")&gt;=2),
IF(OR(COUNTIF(INDIRECT("B"&amp;R99&amp;""),"*雙葉先生*"),COUNTIF($B$1:$B$70,"*雙葉*")&gt;=2),INDIRECT("H"&amp;R99&amp;""),INDIRECT("H"&amp;R99&amp;"")+INDIRECT("H"&amp;MATCH("雙葉'",INDIRECT("B"&amp;R99+3&amp;":B210"),0)+2+R99&amp;"")),
IF(AND(LEFT(INDIRECT("B"&amp;R99&amp;""),2)="博多",COUNTIF(B:B,"*博多*")&gt;=2),
INDIRECT("H"&amp;R99&amp;"")+INDIRECT("H"&amp;MATCH("*"&amp;INDIRECT("B"&amp;R99&amp;"")&amp;"*",INDIRECT("B"&amp;R99+1&amp;":B210"),0)+R99&amp;""),
IF(AND(LEFT(INDIRECT("B"&amp;R99&amp;""),3)="奈良屋",COUNTIF(B:B,"*奈良屋*")&gt;=2),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49" t="str">
        <f t="array" aca="1" ref="X99" ca="1">IF($R99&lt;&gt;"",
INDIRECT(""&amp;IF(COLUMN(I99)&lt;=26,CHAR(COLUMN(I99)+64),CHAR(INT((COLUMN(I99)-1)/26)+64)&amp;CHAR(MOD(COLUMN(I99)-1,26)+65))&amp;$R99&amp;""),"")</f>
        <v/>
      </c>
      <c r="Y99" s="49" t="str">
        <f t="array" aca="1" ref="Y99" ca="1">IF($R99&lt;&gt;"",
INDIRECT(""&amp;IF(COLUMN(J99)&lt;=26,CHAR(COLUMN(J99)+64),CHAR(INT((COLUMN(J99)-1)/26)+64)&amp;CHAR(MOD(COLUMN(J99)-1,26)+65))&amp;$R99&amp;""),"")</f>
        <v/>
      </c>
      <c r="Z99" s="49" t="str">
        <f t="shared" ca="1" si="11"/>
        <v/>
      </c>
      <c r="AA99" s="49" t="str">
        <f t="shared" ca="1" si="12"/>
        <v/>
      </c>
      <c r="AB99" s="49" t="str">
        <f t="array" aca="1" ref="AB99" ca="1">IF($R99&lt;&gt;"",
IF(AND(COUNTIF(INDIRECT("B"&amp;R99&amp;""),"*雙葉*"),COUNTIF(B:B,"*雙葉*")&gt;=2),
INDIRECT("M"&amp;R99&amp;"")+INDIRECT("M"&amp;MATCH("雙葉'",INDIRECT("B"&amp;R99+1&amp;":B210"),0)+R99&amp;""),
IF(AND(LEFT(INDIRECT("B"&amp;R99&amp;""),2)="博多",COUNTIF(B:B,"*博多*")&gt;=2),
INDIRECT("M"&amp;R99&amp;"")+INDIRECT("M"&amp;MATCH("*"&amp;INDIRECT("B"&amp;R99&amp;"")&amp;"*",INDIRECT("B"&amp;R99+1&amp;":B210"),0)+R99&amp;""),
IF(AND(LEFT(INDIRECT("B"&amp;R99&amp;""),3)="奈良屋",COUNTIF(B:B,"*奈良屋*")&gt;=2),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  <c r="AC99" s="49" t="str">
        <f ca="1">IF(S99&lt;&gt;"",INDEX(A:A, MATCH("*"&amp;LEFT(S99,4)&amp;"*", C:C, 0)),"")</f>
        <v/>
      </c>
      <c r="AD99" s="49" t="str">
        <f ca="1">IFERROR(INDEX(AC:AC,MATCH(SMALL($AU:$AU,ROW()+3),$AU:$AU,0)),"")</f>
        <v/>
      </c>
      <c r="AE99" s="49" t="str">
        <f ca="1">IFERROR(INDEX(R:R,MATCH(SMALL($AU:$AU,ROW()+3),$AU:$AU,0)),"")</f>
        <v/>
      </c>
      <c r="AF99" s="49" t="str">
        <f ca="1">IFERROR(INDEX(S:S,MATCH(SMALL($AU:$AU,ROW()+3),$AU:$AU,0)),"")</f>
        <v/>
      </c>
      <c r="AG99" s="49" t="str">
        <f ca="1">IFERROR(INDEX(T:T,MATCH(SMALL($AU:$AU,ROW()+3),$AU:$AU,0)),"")</f>
        <v/>
      </c>
      <c r="AH99" s="122" t="str">
        <f ca="1">IFERROR(INDEX(U:U,MATCH(SMALL($AU:$AU,ROW()+3),$AU:$AU,0)),"")</f>
        <v/>
      </c>
      <c r="AI99" s="49" t="str">
        <f ca="1">IFERROR(INDEX(V:V,MATCH(SMALL($AU:$AU,ROW()+3),$AU:$AU,0)),"")</f>
        <v/>
      </c>
      <c r="AJ99" s="49" t="str">
        <f ca="1">IFERROR(INDEX(W:W,MATCH(SMALL($AU:$AU,ROW()+3),$AU:$AU,0)),"")</f>
        <v/>
      </c>
      <c r="AK99" s="49" t="str">
        <f ca="1">IFERROR(INDEX(X:X,MATCH(SMALL($AU:$AU,ROW()+3),$AU:$AU,0)),"")</f>
        <v/>
      </c>
      <c r="AL99" s="49" t="str">
        <f ca="1">IFERROR(INDEX(Y:Y,MATCH(SMALL($AU:$AU,ROW()+3),$AU:$AU,0)),"")</f>
        <v/>
      </c>
      <c r="AM99" s="49" t="str">
        <f ca="1">IFERROR(INDEX(Z:Z,MATCH(SMALL($AU:$AU,ROW()+3),$AU:$AU,0)),"")</f>
        <v/>
      </c>
      <c r="AN99" s="49" t="str">
        <f ca="1">IFERROR(INDEX(AA:AA,MATCH(SMALL($AU:$AU,ROW()+3),$AU:$AU,0)),"")</f>
        <v/>
      </c>
      <c r="AO99" s="49" t="str">
        <f ca="1">IFERROR(INDEX(AB:AB,MATCH(SMALL($AU:$AU,ROW()+3),$AU:$AU,0)),"")</f>
        <v/>
      </c>
      <c r="AP99" s="49" t="str">
        <f ca="1">IFERROR(INDEX(AC:AC,MATCH(SMALL($AU:$AU,ROW()+3),$AU:$AU,0)),"")</f>
        <v/>
      </c>
      <c r="AU99" s="49" t="str">
        <f t="shared" ca="1" si="14"/>
        <v/>
      </c>
    </row>
    <row r="100" spans="1:47" ht="22.2" customHeight="1">
      <c r="A100" s="110">
        <f t="shared" si="17"/>
        <v>65</v>
      </c>
      <c r="B100" s="111" t="str">
        <f t="shared" ca="1" si="15"/>
        <v/>
      </c>
      <c r="C100" s="111" t="str">
        <f>IF(OR(クライアント抽出!C30&lt;&gt;"",クライアント抽出!F30&lt;&gt;""),クライアント抽出!A30,"")</f>
        <v/>
      </c>
      <c r="D100" s="111" t="str">
        <f t="array" aca="1" ref="D100" ca="1">IF(C100&lt;&gt;"",INDIRECT("クライアント抽出!"&amp;E100&amp;MATCH(C100,クライアント抽出!A:A,0)&amp;""),"")</f>
        <v/>
      </c>
      <c r="E100" s="111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112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11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113" t="str">
        <f>IF(C100&lt;&gt;"",
クライアント抽出!C30,"")</f>
        <v/>
      </c>
      <c r="I100" s="111" t="str">
        <f t="array" aca="1" ref="I100" ca="1">IF(C100&lt;&gt;"",
IF(O100=1,
IF(SUMPRODUCT(COUNTIF(クライアント抽出!P30:U30,クライアント抽出!P30:U30))&gt;COUNTA(クライアント抽出!P30:U30),
INDIRECT("数出表_Excel!"&amp;INDEX(_xlfn.UNIQUE(_xlfn._xlws.FILTER(クライアント抽出!P30:U30,COUNTIF(クライアント抽出!P30:U30,クライアント抽出!P30:U30)=1)),1)&amp;L100&amp;""),
0),クライアント抽出!F30),"")</f>
        <v/>
      </c>
      <c r="J100" s="111" t="str">
        <f>IF(C100&lt;&gt;"",
VLOOKUP(
"*"&amp;LEFT(IF(COUNTIF(D100,"*学食*"),"キャラ弁（学食）",
IF(COUNTIF(D100,"*赤*"),"赤",
IF(COUNTIF(D100,"*キャラ弁当*"),"キャラ弁当",D100))),4)&amp;"*",注文弁当の抽出!$E$1:$F$15,2,FALSE),"")</f>
        <v/>
      </c>
      <c r="K100" s="111" t="str">
        <f ca="1">IF(クライアント抽出!Q30&lt;&gt;"",SUBSTITUTE(ADDRESS(1,(CODE(クライアント抽出!Q30)-64)*2-1,4),"1",""),"")</f>
        <v/>
      </c>
      <c r="L100" s="111" t="str">
        <f>IF(C30&lt;&gt;"",クライアント抽出!I30,"")</f>
        <v/>
      </c>
      <c r="M100" s="111">
        <f t="array" aca="1" ref="M100" ca="1">IF(C100&lt;&gt;"",
IF(K100&lt;&gt;"",INDIRECT("'数出表_Excel（アレルギー入力）'!"&amp;K100&amp;L100-1&amp;""),),)</f>
        <v>0</v>
      </c>
      <c r="N100" s="111" t="str">
        <f>IF(C100&lt;&gt;"",IF(OR(COUNTIF('盛付札（関数）'!D100,"*赤*"),COUNTIF('盛付札（関数）'!D100,"*キャラ*")),1,
VLOOKUP("*"&amp;D100&amp;"*",商品マスタ一覧!D:H,5,FALSE)),"")</f>
        <v/>
      </c>
      <c r="O100" s="111">
        <f t="shared" ca="1" si="16"/>
        <v>0</v>
      </c>
      <c r="P100" s="111">
        <f t="shared" si="9"/>
        <v>0</v>
      </c>
      <c r="Q100" s="111" t="b">
        <f t="shared" si="10"/>
        <v>0</v>
      </c>
      <c r="R100" s="49" t="str">
        <f t="array" aca="1" ref="R100" ca="1">IFERROR(SMALL(IF(P$1:P$311&lt;&gt;0,P$1:P$311),ROW(A100)),"")</f>
        <v/>
      </c>
      <c r="S100" s="49" t="str">
        <f t="array" aca="1" ref="S100" ca="1">IF($R100&lt;&gt;"",
SUBSTITUTE(SUBSTITUTE(INDIRECT("C"&amp;$R100&amp;"")," 週3ｺｰｽ","")," 週5ｺｰｽ",""),"")</f>
        <v/>
      </c>
      <c r="T100" s="49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22" t="str">
        <f t="array" aca="1" ref="U100" ca="1">IF($R100&lt;&gt;"",
INDIRECT("F"&amp;$R100&amp;""),"")</f>
        <v/>
      </c>
      <c r="V100" s="49" t="str">
        <f t="array" aca="1" ref="V100" ca="1">IF($R100&lt;&gt;"",
INDIRECT("G"&amp;$R100&amp;""),"")</f>
        <v/>
      </c>
      <c r="W100" s="49" t="str">
        <f t="array" aca="1" ref="W100" ca="1">IF($R100&lt;&gt;"",
IF(AND(COUNTIF(INDIRECT("B"&amp;R100&amp;""),"*雙葉*"),COUNTIF(B:B,"*雙葉*")&gt;=2),
IF(OR(COUNTIF(INDIRECT("B"&amp;R100&amp;""),"*雙葉先生*"),COUNTIF($B$1:$B$70,"*雙葉*")&gt;=2),INDIRECT("H"&amp;R100&amp;""),INDIRECT("H"&amp;R100&amp;"")+INDIRECT("H"&amp;MATCH("雙葉'",INDIRECT("B"&amp;R100+3&amp;":B210"),0)+2+R100&amp;"")),
IF(AND(LEFT(INDIRECT("B"&amp;R100&amp;""),2)="博多",COUNTIF(B:B,"*博多*")&gt;=2),
INDIRECT("H"&amp;R100&amp;"")+INDIRECT("H"&amp;MATCH("*"&amp;INDIRECT("B"&amp;R100&amp;"")&amp;"*",INDIRECT("B"&amp;R100+1&amp;":B210"),0)+R100&amp;""),
IF(AND(LEFT(INDIRECT("B"&amp;R100&amp;""),3)="奈良屋",COUNTIF(B:B,"*奈良屋*")&gt;=2),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49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49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49" t="str">
        <f t="shared" ca="1" si="11"/>
        <v/>
      </c>
      <c r="AA100" s="49" t="str">
        <f t="shared" ca="1" si="12"/>
        <v/>
      </c>
      <c r="AB100" s="49" t="str">
        <f t="array" aca="1" ref="AB100" ca="1">IF($R100&lt;&gt;"",
IF(AND(COUNTIF(INDIRECT("B"&amp;R100&amp;""),"*雙葉*"),COUNTIF(B:B,"*雙葉*")&gt;=2),
INDIRECT("M"&amp;R100&amp;"")+INDIRECT("M"&amp;MATCH("雙葉'",INDIRECT("B"&amp;R100+1&amp;":B210"),0)+R100&amp;""),
IF(AND(LEFT(INDIRECT("B"&amp;R100&amp;""),2)="博多",COUNTIF(B:B,"*博多*")&gt;=2),
INDIRECT("M"&amp;R100&amp;"")+INDIRECT("M"&amp;MATCH("*"&amp;INDIRECT("B"&amp;R100&amp;"")&amp;"*",INDIRECT("B"&amp;R100+1&amp;":B210"),0)+R100&amp;""),
IF(AND(LEFT(INDIRECT("B"&amp;R100&amp;""),3)="奈良屋",COUNTIF(B:B,"*奈良屋*")&gt;=2),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  <c r="AC100" s="49" t="str">
        <f ca="1">IF(S100&lt;&gt;"",INDEX(A:A, MATCH("*"&amp;LEFT(S100,4)&amp;"*", C:C, 0)),"")</f>
        <v/>
      </c>
      <c r="AD100" s="49" t="str">
        <f ca="1">IFERROR(INDEX(AC:AC,MATCH(SMALL($AU:$AU,ROW()+3),$AU:$AU,0)),"")</f>
        <v/>
      </c>
      <c r="AE100" s="49" t="str">
        <f ca="1">IFERROR(INDEX(R:R,MATCH(SMALL($AU:$AU,ROW()+3),$AU:$AU,0)),"")</f>
        <v/>
      </c>
      <c r="AF100" s="49" t="str">
        <f ca="1">IFERROR(INDEX(S:S,MATCH(SMALL($AU:$AU,ROW()+3),$AU:$AU,0)),"")</f>
        <v/>
      </c>
      <c r="AG100" s="49" t="str">
        <f ca="1">IFERROR(INDEX(T:T,MATCH(SMALL($AU:$AU,ROW()+3),$AU:$AU,0)),"")</f>
        <v/>
      </c>
      <c r="AH100" s="122" t="str">
        <f ca="1">IFERROR(INDEX(U:U,MATCH(SMALL($AU:$AU,ROW()+3),$AU:$AU,0)),"")</f>
        <v/>
      </c>
      <c r="AI100" s="49" t="str">
        <f ca="1">IFERROR(INDEX(V:V,MATCH(SMALL($AU:$AU,ROW()+3),$AU:$AU,0)),"")</f>
        <v/>
      </c>
      <c r="AJ100" s="49" t="str">
        <f ca="1">IFERROR(INDEX(W:W,MATCH(SMALL($AU:$AU,ROW()+3),$AU:$AU,0)),"")</f>
        <v/>
      </c>
      <c r="AK100" s="49" t="str">
        <f ca="1">IFERROR(INDEX(X:X,MATCH(SMALL($AU:$AU,ROW()+3),$AU:$AU,0)),"")</f>
        <v/>
      </c>
      <c r="AL100" s="49" t="str">
        <f ca="1">IFERROR(INDEX(Y:Y,MATCH(SMALL($AU:$AU,ROW()+3),$AU:$AU,0)),"")</f>
        <v/>
      </c>
      <c r="AM100" s="49" t="str">
        <f ca="1">IFERROR(INDEX(Z:Z,MATCH(SMALL($AU:$AU,ROW()+3),$AU:$AU,0)),"")</f>
        <v/>
      </c>
      <c r="AN100" s="49" t="str">
        <f ca="1">IFERROR(INDEX(AA:AA,MATCH(SMALL($AU:$AU,ROW()+3),$AU:$AU,0)),"")</f>
        <v/>
      </c>
      <c r="AO100" s="49" t="str">
        <f ca="1">IFERROR(INDEX(AB:AB,MATCH(SMALL($AU:$AU,ROW()+3),$AU:$AU,0)),"")</f>
        <v/>
      </c>
      <c r="AP100" s="49" t="str">
        <f ca="1">IFERROR(INDEX(AC:AC,MATCH(SMALL($AU:$AU,ROW()+3),$AU:$AU,0)),"")</f>
        <v/>
      </c>
      <c r="AU100" s="49" t="str">
        <f t="shared" ca="1" si="14"/>
        <v/>
      </c>
    </row>
    <row r="101" spans="1:47" ht="22.2" customHeight="1">
      <c r="A101" s="110">
        <f t="shared" si="17"/>
        <v>67</v>
      </c>
      <c r="B101" s="111" t="str">
        <f t="shared" ca="1" si="15"/>
        <v/>
      </c>
      <c r="C101" s="111" t="str">
        <f>IF(OR(クライアント抽出!C31&lt;&gt;"",クライアント抽出!F31&lt;&gt;""),クライアント抽出!A31,"")</f>
        <v/>
      </c>
      <c r="D101" s="111" t="str">
        <f t="array" aca="1" ref="D101" ca="1">IF(C101&lt;&gt;"",INDIRECT("クライアント抽出!"&amp;E101&amp;MATCH(C101,クライアント抽出!A:A,0)&amp;""),"")</f>
        <v/>
      </c>
      <c r="E101" s="111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112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11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113" t="str">
        <f>IF(C101&lt;&gt;"",
クライアント抽出!C31,"")</f>
        <v/>
      </c>
      <c r="I101" s="111" t="str">
        <f t="array" aca="1" ref="I101" ca="1">IF(C101&lt;&gt;"",
IF(O101=1,
IF(SUMPRODUCT(COUNTIF(クライアント抽出!P31:U31,クライアント抽出!P31:U31))&gt;COUNTA(クライアント抽出!P31:U31),
INDIRECT("数出表_Excel!"&amp;INDEX(_xlfn.UNIQUE(_xlfn._xlws.FILTER(クライアント抽出!P31:U31,COUNTIF(クライアント抽出!P31:U31,クライアント抽出!P31:U31)=1)),1)&amp;L101&amp;""),
0),クライアント抽出!F31),"")</f>
        <v/>
      </c>
      <c r="J101" s="111" t="str">
        <f>IF(C101&lt;&gt;"",
VLOOKUP(
"*"&amp;LEFT(IF(COUNTIF(D101,"*学食*"),"キャラ弁（学食）",
IF(COUNTIF(D101,"*赤*"),"赤",
IF(COUNTIF(D101,"*キャラ弁当*"),"キャラ弁当",D101))),4)&amp;"*",注文弁当の抽出!$E$1:$F$15,2,FALSE),"")</f>
        <v/>
      </c>
      <c r="K101" s="111" t="str">
        <f ca="1">IF(クライアント抽出!Q31&lt;&gt;"",SUBSTITUTE(ADDRESS(1,(CODE(クライアント抽出!Q31)-64)*2-1,4),"1",""),"")</f>
        <v/>
      </c>
      <c r="L101" s="111" t="str">
        <f>IF(C31&lt;&gt;"",クライアント抽出!I31,"")</f>
        <v/>
      </c>
      <c r="M101" s="111">
        <f t="array" aca="1" ref="M101" ca="1">IF(C101&lt;&gt;"",
IF(K101&lt;&gt;"",INDIRECT("'数出表_Excel（アレルギー入力）'!"&amp;K101&amp;L101-1&amp;""),),)</f>
        <v>0</v>
      </c>
      <c r="N101" s="111" t="str">
        <f>IF(C101&lt;&gt;"",IF(OR(COUNTIF('盛付札（関数）'!D101,"*赤*"),COUNTIF('盛付札（関数）'!D101,"*キャラ*")),1,
VLOOKUP("*"&amp;D101&amp;"*",商品マスタ一覧!D:H,5,FALSE)),"")</f>
        <v/>
      </c>
      <c r="O101" s="111">
        <f t="shared" ca="1" si="16"/>
        <v>0</v>
      </c>
      <c r="P101" s="111">
        <f t="shared" si="9"/>
        <v>0</v>
      </c>
      <c r="Q101" s="111" t="b">
        <f t="shared" si="10"/>
        <v>0</v>
      </c>
      <c r="R101" s="49" t="str">
        <f t="array" aca="1" ref="R101" ca="1">IFERROR(SMALL(IF(P$1:P$311&lt;&gt;0,P$1:P$311),ROW(A101)),"")</f>
        <v/>
      </c>
      <c r="S101" s="49" t="str">
        <f t="array" aca="1" ref="S101" ca="1">IF($R101&lt;&gt;"",
SUBSTITUTE(SUBSTITUTE(INDIRECT("C"&amp;$R101&amp;"")," 週3ｺｰｽ","")," 週5ｺｰｽ",""),"")</f>
        <v/>
      </c>
      <c r="T101" s="49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22" t="str">
        <f t="array" aca="1" ref="U101" ca="1">IF($R101&lt;&gt;"",
INDIRECT("F"&amp;$R101&amp;""),"")</f>
        <v/>
      </c>
      <c r="V101" s="49" t="str">
        <f t="array" aca="1" ref="V101" ca="1">IF($R101&lt;&gt;"",
INDIRECT("G"&amp;$R101&amp;""),"")</f>
        <v/>
      </c>
      <c r="W101" s="49" t="str">
        <f t="array" aca="1" ref="W101" ca="1">IF($R101&lt;&gt;"",
IF(AND(COUNTIF(INDIRECT("B"&amp;R101&amp;""),"*雙葉*"),COUNTIF(B:B,"*雙葉*")&gt;=2),
IF(OR(COUNTIF(INDIRECT("B"&amp;R101&amp;""),"*雙葉先生*"),COUNTIF($B$1:$B$70,"*雙葉*")&gt;=2),INDIRECT("H"&amp;R101&amp;""),INDIRECT("H"&amp;R101&amp;"")+INDIRECT("H"&amp;MATCH("雙葉'",INDIRECT("B"&amp;R101+3&amp;":B210"),0)+2+R101&amp;"")),
IF(AND(LEFT(INDIRECT("B"&amp;R101&amp;""),2)="博多",COUNTIF(B:B,"*博多*")&gt;=2),
INDIRECT("H"&amp;R101&amp;"")+INDIRECT("H"&amp;MATCH("*"&amp;INDIRECT("B"&amp;R101&amp;"")&amp;"*",INDIRECT("B"&amp;R101+1&amp;":B210"),0)+R101&amp;""),
IF(AND(LEFT(INDIRECT("B"&amp;R101&amp;""),3)="奈良屋",COUNTIF(B:B,"*奈良屋*")&gt;=2),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49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49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49" t="str">
        <f t="shared" ca="1" si="11"/>
        <v/>
      </c>
      <c r="AA101" s="49" t="str">
        <f t="shared" ca="1" si="12"/>
        <v/>
      </c>
      <c r="AB101" s="49" t="str">
        <f t="array" aca="1" ref="AB101" ca="1">IF($R101&lt;&gt;"",
IF(AND(COUNTIF(INDIRECT("B"&amp;R101&amp;""),"*雙葉*"),COUNTIF(B:B,"*雙葉*")&gt;=2),
INDIRECT("M"&amp;R101&amp;"")+INDIRECT("M"&amp;MATCH("雙葉'",INDIRECT("B"&amp;R101+1&amp;":B210"),0)+R101&amp;""),
IF(AND(LEFT(INDIRECT("B"&amp;R101&amp;""),2)="博多",COUNTIF(B:B,"*博多*")&gt;=2),
INDIRECT("M"&amp;R101&amp;"")+INDIRECT("M"&amp;MATCH("*"&amp;INDIRECT("B"&amp;R101&amp;"")&amp;"*",INDIRECT("B"&amp;R101+1&amp;":B210"),0)+R101&amp;""),
IF(AND(LEFT(INDIRECT("B"&amp;R101&amp;""),3)="奈良屋",COUNTIF(B:B,"*奈良屋*")&gt;=2),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  <c r="AC101" s="49" t="str">
        <f ca="1">IF(S101&lt;&gt;"",INDEX(A:A, MATCH("*"&amp;LEFT(S101,4)&amp;"*", C:C, 0)),"")</f>
        <v/>
      </c>
      <c r="AD101" s="49" t="str">
        <f ca="1">IFERROR(INDEX(AC:AC,MATCH(SMALL($AU:$AU,ROW()+3),$AU:$AU,0)),"")</f>
        <v/>
      </c>
      <c r="AE101" s="49" t="str">
        <f ca="1">IFERROR(INDEX(R:R,MATCH(SMALL($AU:$AU,ROW()+3),$AU:$AU,0)),"")</f>
        <v/>
      </c>
      <c r="AF101" s="49" t="str">
        <f ca="1">IFERROR(INDEX(S:S,MATCH(SMALL($AU:$AU,ROW()+3),$AU:$AU,0)),"")</f>
        <v/>
      </c>
      <c r="AG101" s="49" t="str">
        <f ca="1">IFERROR(INDEX(T:T,MATCH(SMALL($AU:$AU,ROW()+3),$AU:$AU,0)),"")</f>
        <v/>
      </c>
      <c r="AH101" s="122" t="str">
        <f ca="1">IFERROR(INDEX(U:U,MATCH(SMALL($AU:$AU,ROW()+3),$AU:$AU,0)),"")</f>
        <v/>
      </c>
      <c r="AI101" s="49" t="str">
        <f ca="1">IFERROR(INDEX(V:V,MATCH(SMALL($AU:$AU,ROW()+3),$AU:$AU,0)),"")</f>
        <v/>
      </c>
      <c r="AJ101" s="49" t="str">
        <f ca="1">IFERROR(INDEX(W:W,MATCH(SMALL($AU:$AU,ROW()+3),$AU:$AU,0)),"")</f>
        <v/>
      </c>
      <c r="AK101" s="49" t="str">
        <f ca="1">IFERROR(INDEX(X:X,MATCH(SMALL($AU:$AU,ROW()+3),$AU:$AU,0)),"")</f>
        <v/>
      </c>
      <c r="AL101" s="49" t="str">
        <f ca="1">IFERROR(INDEX(Y:Y,MATCH(SMALL($AU:$AU,ROW()+3),$AU:$AU,0)),"")</f>
        <v/>
      </c>
      <c r="AM101" s="49" t="str">
        <f ca="1">IFERROR(INDEX(Z:Z,MATCH(SMALL($AU:$AU,ROW()+3),$AU:$AU,0)),"")</f>
        <v/>
      </c>
      <c r="AN101" s="49" t="str">
        <f ca="1">IFERROR(INDEX(AA:AA,MATCH(SMALL($AU:$AU,ROW()+3),$AU:$AU,0)),"")</f>
        <v/>
      </c>
      <c r="AO101" s="49" t="str">
        <f ca="1">IFERROR(INDEX(AB:AB,MATCH(SMALL($AU:$AU,ROW()+3),$AU:$AU,0)),"")</f>
        <v/>
      </c>
      <c r="AP101" s="49" t="str">
        <f ca="1">IFERROR(INDEX(AC:AC,MATCH(SMALL($AU:$AU,ROW()+3),$AU:$AU,0)),"")</f>
        <v/>
      </c>
      <c r="AU101" s="49" t="str">
        <f t="shared" ca="1" si="14"/>
        <v/>
      </c>
    </row>
    <row r="102" spans="1:47" ht="22.2" customHeight="1">
      <c r="A102" s="110">
        <f t="shared" si="17"/>
        <v>69</v>
      </c>
      <c r="B102" s="111" t="str">
        <f t="shared" ca="1" si="15"/>
        <v/>
      </c>
      <c r="C102" s="111" t="str">
        <f>IF(OR(クライアント抽出!C32&lt;&gt;"",クライアント抽出!F32&lt;&gt;""),クライアント抽出!A32,"")</f>
        <v/>
      </c>
      <c r="D102" s="111" t="str">
        <f t="array" aca="1" ref="D102" ca="1">IF(C102&lt;&gt;"",INDIRECT("クライアント抽出!"&amp;E102&amp;MATCH(C102,クライアント抽出!A:A,0)&amp;""),"")</f>
        <v/>
      </c>
      <c r="E102" s="111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112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11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113" t="str">
        <f>IF(C102&lt;&gt;"",
クライアント抽出!C32,"")</f>
        <v/>
      </c>
      <c r="I102" s="111" t="str">
        <f t="array" aca="1" ref="I102" ca="1">IF(C102&lt;&gt;"",
IF(O102=1,
IF(SUMPRODUCT(COUNTIF(クライアント抽出!P32:U32,クライアント抽出!P32:U32))&gt;COUNTA(クライアント抽出!P32:U32),
INDIRECT("数出表_Excel!"&amp;INDEX(_xlfn.UNIQUE(_xlfn._xlws.FILTER(クライアント抽出!P32:U32,COUNTIF(クライアント抽出!P32:U32,クライアント抽出!P32:U32)=1)),1)&amp;L102&amp;""),
0),クライアント抽出!F32),"")</f>
        <v/>
      </c>
      <c r="J102" s="111" t="str">
        <f>IF(C102&lt;&gt;"",
VLOOKUP(
"*"&amp;LEFT(IF(COUNTIF(D102,"*学食*"),"キャラ弁（学食）",
IF(COUNTIF(D102,"*赤*"),"赤",
IF(COUNTIF(D102,"*キャラ弁当*"),"キャラ弁当",D102))),4)&amp;"*",注文弁当の抽出!$E$1:$F$15,2,FALSE),"")</f>
        <v/>
      </c>
      <c r="K102" s="111" t="str">
        <f ca="1">IF(クライアント抽出!Q32&lt;&gt;"",SUBSTITUTE(ADDRESS(1,(CODE(クライアント抽出!Q32)-64)*2-1,4),"1",""),"")</f>
        <v/>
      </c>
      <c r="L102" s="111" t="str">
        <f>IF(C32&lt;&gt;"",クライアント抽出!I32,"")</f>
        <v/>
      </c>
      <c r="M102" s="111">
        <f t="array" aca="1" ref="M102" ca="1">IF(C102&lt;&gt;"",
IF(K102&lt;&gt;"",INDIRECT("'数出表_Excel（アレルギー入力）'!"&amp;K102&amp;L102-1&amp;""),),)</f>
        <v>0</v>
      </c>
      <c r="N102" s="111" t="str">
        <f>IF(C102&lt;&gt;"",IF(OR(COUNTIF('盛付札（関数）'!D102,"*赤*"),COUNTIF('盛付札（関数）'!D102,"*キャラ*")),1,
VLOOKUP("*"&amp;D102&amp;"*",商品マスタ一覧!D:H,5,FALSE)),"")</f>
        <v/>
      </c>
      <c r="O102" s="111">
        <f t="shared" ca="1" si="16"/>
        <v>0</v>
      </c>
      <c r="P102" s="111">
        <f t="shared" si="9"/>
        <v>0</v>
      </c>
      <c r="Q102" s="111" t="b">
        <f t="shared" si="10"/>
        <v>0</v>
      </c>
      <c r="R102" s="49" t="str">
        <f t="array" aca="1" ref="R102" ca="1">IFERROR(SMALL(IF(P$1:P$311&lt;&gt;0,P$1:P$311),ROW(A102)),"")</f>
        <v/>
      </c>
      <c r="S102" s="49" t="str">
        <f t="array" aca="1" ref="S102" ca="1">IF($R102&lt;&gt;"",
SUBSTITUTE(SUBSTITUTE(INDIRECT("C"&amp;$R102&amp;"")," 週3ｺｰｽ","")," 週5ｺｰｽ",""),"")</f>
        <v/>
      </c>
      <c r="T102" s="49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22" t="str">
        <f t="array" aca="1" ref="U102" ca="1">IF($R102&lt;&gt;"",
INDIRECT("F"&amp;$R102&amp;""),"")</f>
        <v/>
      </c>
      <c r="V102" s="49" t="str">
        <f t="array" aca="1" ref="V102" ca="1">IF($R102&lt;&gt;"",
INDIRECT("G"&amp;$R102&amp;""),"")</f>
        <v/>
      </c>
      <c r="W102" s="49" t="str">
        <f t="array" aca="1" ref="W102" ca="1">IF($R102&lt;&gt;"",
IF(AND(COUNTIF(INDIRECT("B"&amp;R102&amp;""),"*雙葉*"),COUNTIF(B:B,"*雙葉*")&gt;=2),
IF(OR(COUNTIF(INDIRECT("B"&amp;R102&amp;""),"*雙葉先生*"),COUNTIF($B$1:$B$70,"*雙葉*")&gt;=2),INDIRECT("H"&amp;R102&amp;""),INDIRECT("H"&amp;R102&amp;"")+INDIRECT("H"&amp;MATCH("雙葉'",INDIRECT("B"&amp;R102+3&amp;":B210"),0)+2+R102&amp;"")),
IF(AND(LEFT(INDIRECT("B"&amp;R102&amp;""),2)="博多",COUNTIF(B:B,"*博多*")&gt;=2),
INDIRECT("H"&amp;R102&amp;"")+INDIRECT("H"&amp;MATCH("*"&amp;INDIRECT("B"&amp;R102&amp;"")&amp;"*",INDIRECT("B"&amp;R102+1&amp;":B210"),0)+R102&amp;""),
IF(AND(LEFT(INDIRECT("B"&amp;R102&amp;""),3)="奈良屋",COUNTIF(B:B,"*奈良屋*")&gt;=2),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49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49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49" t="str">
        <f t="shared" ca="1" si="11"/>
        <v/>
      </c>
      <c r="AA102" s="49" t="str">
        <f t="shared" ca="1" si="12"/>
        <v/>
      </c>
      <c r="AB102" s="49" t="str">
        <f t="array" aca="1" ref="AB102" ca="1">IF($R102&lt;&gt;"",
IF(AND(COUNTIF(INDIRECT("B"&amp;R102&amp;""),"*雙葉*"),COUNTIF(B:B,"*雙葉*")&gt;=2),
INDIRECT("M"&amp;R102&amp;"")+INDIRECT("M"&amp;MATCH("雙葉'",INDIRECT("B"&amp;R102+1&amp;":B210"),0)+R102&amp;""),
IF(AND(LEFT(INDIRECT("B"&amp;R102&amp;""),2)="博多",COUNTIF(B:B,"*博多*")&gt;=2),
INDIRECT("M"&amp;R102&amp;"")+INDIRECT("M"&amp;MATCH("*"&amp;INDIRECT("B"&amp;R102&amp;"")&amp;"*",INDIRECT("B"&amp;R102+1&amp;":B210"),0)+R102&amp;""),
IF(AND(LEFT(INDIRECT("B"&amp;R102&amp;""),3)="奈良屋",COUNTIF(B:B,"*奈良屋*")&gt;=2),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  <c r="AC102" s="49" t="str">
        <f ca="1">IF(S102&lt;&gt;"",INDEX(A:A, MATCH("*"&amp;LEFT(S102,4)&amp;"*", C:C, 0)),"")</f>
        <v/>
      </c>
      <c r="AD102" s="49" t="str">
        <f ca="1">IFERROR(INDEX(AC:AC,MATCH(SMALL($AU:$AU,ROW()+3),$AU:$AU,0)),"")</f>
        <v/>
      </c>
      <c r="AE102" s="49" t="str">
        <f ca="1">IFERROR(INDEX(R:R,MATCH(SMALL($AU:$AU,ROW()+3),$AU:$AU,0)),"")</f>
        <v/>
      </c>
      <c r="AF102" s="49" t="str">
        <f ca="1">IFERROR(INDEX(S:S,MATCH(SMALL($AU:$AU,ROW()+3),$AU:$AU,0)),"")</f>
        <v/>
      </c>
      <c r="AG102" s="49" t="str">
        <f ca="1">IFERROR(INDEX(T:T,MATCH(SMALL($AU:$AU,ROW()+3),$AU:$AU,0)),"")</f>
        <v/>
      </c>
      <c r="AH102" s="122" t="str">
        <f ca="1">IFERROR(INDEX(U:U,MATCH(SMALL($AU:$AU,ROW()+3),$AU:$AU,0)),"")</f>
        <v/>
      </c>
      <c r="AI102" s="49" t="str">
        <f ca="1">IFERROR(INDEX(V:V,MATCH(SMALL($AU:$AU,ROW()+3),$AU:$AU,0)),"")</f>
        <v/>
      </c>
      <c r="AJ102" s="49" t="str">
        <f ca="1">IFERROR(INDEX(W:W,MATCH(SMALL($AU:$AU,ROW()+3),$AU:$AU,0)),"")</f>
        <v/>
      </c>
      <c r="AK102" s="49" t="str">
        <f ca="1">IFERROR(INDEX(X:X,MATCH(SMALL($AU:$AU,ROW()+3),$AU:$AU,0)),"")</f>
        <v/>
      </c>
      <c r="AL102" s="49" t="str">
        <f ca="1">IFERROR(INDEX(Y:Y,MATCH(SMALL($AU:$AU,ROW()+3),$AU:$AU,0)),"")</f>
        <v/>
      </c>
      <c r="AM102" s="49" t="str">
        <f ca="1">IFERROR(INDEX(Z:Z,MATCH(SMALL($AU:$AU,ROW()+3),$AU:$AU,0)),"")</f>
        <v/>
      </c>
      <c r="AN102" s="49" t="str">
        <f ca="1">IFERROR(INDEX(AA:AA,MATCH(SMALL($AU:$AU,ROW()+3),$AU:$AU,0)),"")</f>
        <v/>
      </c>
      <c r="AO102" s="49" t="str">
        <f ca="1">IFERROR(INDEX(AB:AB,MATCH(SMALL($AU:$AU,ROW()+3),$AU:$AU,0)),"")</f>
        <v/>
      </c>
      <c r="AP102" s="49" t="str">
        <f ca="1">IFERROR(INDEX(AC:AC,MATCH(SMALL($AU:$AU,ROW()+3),$AU:$AU,0)),"")</f>
        <v/>
      </c>
      <c r="AU102" s="49" t="str">
        <f t="shared" ca="1" si="14"/>
        <v/>
      </c>
    </row>
    <row r="103" spans="1:47" ht="22.2" customHeight="1">
      <c r="A103" s="110">
        <f t="shared" si="17"/>
        <v>71</v>
      </c>
      <c r="B103" s="111" t="str">
        <f t="shared" ref="B103:B134" ca="1" si="18">IF(COUNTIF(C103,"*雙葉*"),
IF(COUNTIF(INDIRECT("B1:B"&amp;ROW()-1&amp;""),"雙葉"),
IF(COUNTIF(C103,"*先生*"),"雙葉先生","雙葉'"),"雙葉"),
IF(COUNTIF(C103,"*社食*"),"社食'",
IF(LEFT(C103,2)="博多",
IF(IFERROR(TRIM(LEFT(C102,FIND("幼",C102)-1)),TRIM(C102))=IFERROR(TRIM(LEFT(C103,FIND("幼",C103)-1)),TRIM(C103)),
IFERROR(TRIM(LEFT(C103,FIND("幼",C103)-1)),TRIM(C103))&amp;"'",IFERROR(TRIM(LEFT(C103,FIND("幼",C103)-1)),TRIM(C103))),
IF(LEFT(C103,3)="奈良屋",
IF(TRIM(LEFT(C102,FIND("幼",C102)-1))=TRIM(LEFT(C103,FIND("幼",C103)-1)),
"奈良屋'","奈良屋"),""))))</f>
        <v/>
      </c>
      <c r="C103" s="111" t="str">
        <f>IF(OR(クライアント抽出!C33&lt;&gt;"",クライアント抽出!F33&lt;&gt;""),クライアント抽出!A33,"")</f>
        <v/>
      </c>
      <c r="D103" s="111" t="str">
        <f t="array" aca="1" ref="D103" ca="1">IF(C103&lt;&gt;"",INDIRECT("クライアント抽出!"&amp;E103&amp;MATCH(C103,クライアント抽出!A:A,0)&amp;""),"")</f>
        <v/>
      </c>
      <c r="E103" s="111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112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11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113" t="str">
        <f>IF(C103&lt;&gt;"",
クライアント抽出!C33,"")</f>
        <v/>
      </c>
      <c r="I103" s="111" t="str">
        <f t="array" aca="1" ref="I103" ca="1">IF(C103&lt;&gt;"",
IF(O103=1,
IF(SUMPRODUCT(COUNTIF(クライアント抽出!P33:U33,クライアント抽出!P33:U33))&gt;COUNTA(クライアント抽出!P33:U33),
INDIRECT("数出表_Excel!"&amp;INDEX(_xlfn.UNIQUE(_xlfn._xlws.FILTER(クライアント抽出!P33:U33,COUNTIF(クライアント抽出!P33:U33,クライアント抽出!P33:U33)=1)),1)&amp;L103&amp;""),
0),クライアント抽出!F33),"")</f>
        <v/>
      </c>
      <c r="J103" s="111" t="str">
        <f>IF(C103&lt;&gt;"",
VLOOKUP(
"*"&amp;LEFT(IF(COUNTIF(D103,"*学食*"),"キャラ弁（学食）",
IF(COUNTIF(D103,"*赤*"),"赤",
IF(COUNTIF(D103,"*キャラ弁当*"),"キャラ弁当",D103))),4)&amp;"*",注文弁当の抽出!$E$1:$F$15,2,FALSE),"")</f>
        <v/>
      </c>
      <c r="K103" s="111" t="str">
        <f ca="1">IF(クライアント抽出!Q33&lt;&gt;"",SUBSTITUTE(ADDRESS(1,(CODE(クライアント抽出!Q33)-64)*2-1,4),"1",""),"")</f>
        <v/>
      </c>
      <c r="L103" s="111" t="str">
        <f>IF(C33&lt;&gt;"",クライアント抽出!I33,"")</f>
        <v/>
      </c>
      <c r="M103" s="111">
        <f t="array" aca="1" ref="M103" ca="1">IF(C103&lt;&gt;"",
IF(K103&lt;&gt;"",INDIRECT("'数出表_Excel（アレルギー入力）'!"&amp;K103&amp;L103-1&amp;""),),)</f>
        <v>0</v>
      </c>
      <c r="N103" s="111" t="str">
        <f>IF(C103&lt;&gt;"",IF(OR(COUNTIF('盛付札（関数）'!D103,"*赤*"),COUNTIF('盛付札（関数）'!D103,"*キャラ*")),1,
VLOOKUP("*"&amp;D103&amp;"*",商品マスタ一覧!D:H,5,FALSE)),"")</f>
        <v/>
      </c>
      <c r="O103" s="111">
        <f t="shared" ref="O103:O134" ca="1" si="19">O33</f>
        <v>0</v>
      </c>
      <c r="P103" s="111">
        <f t="shared" si="9"/>
        <v>0</v>
      </c>
      <c r="Q103" s="111" t="b">
        <f t="shared" si="10"/>
        <v>0</v>
      </c>
      <c r="R103" s="49" t="str">
        <f t="array" aca="1" ref="R103" ca="1">IFERROR(SMALL(IF(P$1:P$311&lt;&gt;0,P$1:P$311),ROW(A103)),"")</f>
        <v/>
      </c>
      <c r="S103" s="49" t="str">
        <f t="array" aca="1" ref="S103" ca="1">IF($R103&lt;&gt;"",
SUBSTITUTE(SUBSTITUTE(INDIRECT("C"&amp;$R103&amp;"")," 週3ｺｰｽ","")," 週5ｺｰｽ",""),"")</f>
        <v/>
      </c>
      <c r="T103" s="49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22" t="str">
        <f t="array" aca="1" ref="U103" ca="1">IF($R103&lt;&gt;"",
INDIRECT("F"&amp;$R103&amp;""),"")</f>
        <v/>
      </c>
      <c r="V103" s="49" t="str">
        <f t="array" aca="1" ref="V103" ca="1">IF($R103&lt;&gt;"",
INDIRECT("G"&amp;$R103&amp;""),"")</f>
        <v/>
      </c>
      <c r="W103" s="49" t="str">
        <f t="array" aca="1" ref="W103" ca="1">IF($R103&lt;&gt;"",
IF(AND(COUNTIF(INDIRECT("B"&amp;R103&amp;""),"*雙葉*"),COUNTIF(B:B,"*雙葉*")&gt;=2),
IF(OR(COUNTIF(INDIRECT("B"&amp;R103&amp;""),"*雙葉先生*"),COUNTIF($B$1:$B$70,"*雙葉*")&gt;=2),INDIRECT("H"&amp;R103&amp;""),INDIRECT("H"&amp;R103&amp;"")+INDIRECT("H"&amp;MATCH("雙葉'",INDIRECT("B"&amp;R103+3&amp;":B210"),0)+2+R103&amp;"")),
IF(AND(LEFT(INDIRECT("B"&amp;R103&amp;""),2)="博多",COUNTIF(B:B,"*博多*")&gt;=2),
INDIRECT("H"&amp;R103&amp;"")+INDIRECT("H"&amp;MATCH("*"&amp;INDIRECT("B"&amp;R103&amp;"")&amp;"*",INDIRECT("B"&amp;R103+1&amp;":B210"),0)+R103&amp;""),
IF(AND(LEFT(INDIRECT("B"&amp;R103&amp;""),3)="奈良屋",COUNTIF(B:B,"*奈良屋*")&gt;=2),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49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49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49" t="str">
        <f t="shared" ca="1" si="11"/>
        <v/>
      </c>
      <c r="AA103" s="49" t="str">
        <f t="shared" ca="1" si="12"/>
        <v/>
      </c>
      <c r="AB103" s="49" t="str">
        <f t="array" aca="1" ref="AB103" ca="1">IF($R103&lt;&gt;"",
IF(AND(COUNTIF(INDIRECT("B"&amp;R103&amp;""),"*雙葉*"),COUNTIF(B:B,"*雙葉*")&gt;=2),
INDIRECT("M"&amp;R103&amp;"")+INDIRECT("M"&amp;MATCH("雙葉'",INDIRECT("B"&amp;R103+1&amp;":B210"),0)+R103&amp;""),
IF(AND(LEFT(INDIRECT("B"&amp;R103&amp;""),2)="博多",COUNTIF(B:B,"*博多*")&gt;=2),
INDIRECT("M"&amp;R103&amp;"")+INDIRECT("M"&amp;MATCH("*"&amp;INDIRECT("B"&amp;R103&amp;"")&amp;"*",INDIRECT("B"&amp;R103+1&amp;":B210"),0)+R103&amp;""),
IF(AND(LEFT(INDIRECT("B"&amp;R103&amp;""),3)="奈良屋",COUNTIF(B:B,"*奈良屋*")&gt;=2),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  <c r="AC103" s="49" t="str">
        <f ca="1">IF(S103&lt;&gt;"",INDEX(A:A, MATCH("*"&amp;LEFT(S103,4)&amp;"*", C:C, 0)),"")</f>
        <v/>
      </c>
      <c r="AD103" s="49" t="str">
        <f ca="1">IFERROR(INDEX(AC:AC,MATCH(SMALL($AU:$AU,ROW()+3),$AU:$AU,0)),"")</f>
        <v/>
      </c>
      <c r="AE103" s="49" t="str">
        <f ca="1">IFERROR(INDEX(R:R,MATCH(SMALL($AU:$AU,ROW()+3),$AU:$AU,0)),"")</f>
        <v/>
      </c>
      <c r="AF103" s="49" t="str">
        <f ca="1">IFERROR(INDEX(S:S,MATCH(SMALL($AU:$AU,ROW()+3),$AU:$AU,0)),"")</f>
        <v/>
      </c>
      <c r="AG103" s="49" t="str">
        <f ca="1">IFERROR(INDEX(T:T,MATCH(SMALL($AU:$AU,ROW()+3),$AU:$AU,0)),"")</f>
        <v/>
      </c>
      <c r="AH103" s="122" t="str">
        <f ca="1">IFERROR(INDEX(U:U,MATCH(SMALL($AU:$AU,ROW()+3),$AU:$AU,0)),"")</f>
        <v/>
      </c>
      <c r="AI103" s="49" t="str">
        <f ca="1">IFERROR(INDEX(V:V,MATCH(SMALL($AU:$AU,ROW()+3),$AU:$AU,0)),"")</f>
        <v/>
      </c>
      <c r="AJ103" s="49" t="str">
        <f ca="1">IFERROR(INDEX(W:W,MATCH(SMALL($AU:$AU,ROW()+3),$AU:$AU,0)),"")</f>
        <v/>
      </c>
      <c r="AK103" s="49" t="str">
        <f ca="1">IFERROR(INDEX(X:X,MATCH(SMALL($AU:$AU,ROW()+3),$AU:$AU,0)),"")</f>
        <v/>
      </c>
      <c r="AL103" s="49" t="str">
        <f ca="1">IFERROR(INDEX(Y:Y,MATCH(SMALL($AU:$AU,ROW()+3),$AU:$AU,0)),"")</f>
        <v/>
      </c>
      <c r="AM103" s="49" t="str">
        <f ca="1">IFERROR(INDEX(Z:Z,MATCH(SMALL($AU:$AU,ROW()+3),$AU:$AU,0)),"")</f>
        <v/>
      </c>
      <c r="AN103" s="49" t="str">
        <f ca="1">IFERROR(INDEX(AA:AA,MATCH(SMALL($AU:$AU,ROW()+3),$AU:$AU,0)),"")</f>
        <v/>
      </c>
      <c r="AO103" s="49" t="str">
        <f ca="1">IFERROR(INDEX(AB:AB,MATCH(SMALL($AU:$AU,ROW()+3),$AU:$AU,0)),"")</f>
        <v/>
      </c>
      <c r="AP103" s="49" t="str">
        <f ca="1">IFERROR(INDEX(AC:AC,MATCH(SMALL($AU:$AU,ROW()+3),$AU:$AU,0)),"")</f>
        <v/>
      </c>
      <c r="AU103" s="49" t="str">
        <f t="shared" ca="1" si="14"/>
        <v/>
      </c>
    </row>
    <row r="104" spans="1:47" ht="22.2" customHeight="1">
      <c r="A104" s="110">
        <f t="shared" ref="A104:A140" si="20">A103+2</f>
        <v>73</v>
      </c>
      <c r="B104" s="111" t="str">
        <f t="shared" ca="1" si="18"/>
        <v/>
      </c>
      <c r="C104" s="111" t="str">
        <f>IF(OR(クライアント抽出!C34&lt;&gt;"",クライアント抽出!F34&lt;&gt;""),クライアント抽出!A34,"")</f>
        <v/>
      </c>
      <c r="D104" s="111" t="str">
        <f t="array" aca="1" ref="D104" ca="1">IF(C104&lt;&gt;"",INDIRECT("クライアント抽出!"&amp;E104&amp;MATCH(C104,クライアント抽出!A:A,0)&amp;""),"")</f>
        <v/>
      </c>
      <c r="E104" s="111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112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11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113" t="str">
        <f>IF(C104&lt;&gt;"",
クライアント抽出!C34,"")</f>
        <v/>
      </c>
      <c r="I104" s="111" t="str">
        <f t="array" aca="1" ref="I104" ca="1">IF(C104&lt;&gt;"",
IF(O104=1,
IF(SUMPRODUCT(COUNTIF(クライアント抽出!P34:U34,クライアント抽出!P34:U34))&gt;COUNTA(クライアント抽出!P34:U34),
INDIRECT("数出表_Excel!"&amp;INDEX(_xlfn.UNIQUE(_xlfn._xlws.FILTER(クライアント抽出!P34:U34,COUNTIF(クライアント抽出!P34:U34,クライアント抽出!P34:U34)=1)),1)&amp;L104&amp;""),
0),クライアント抽出!F34),"")</f>
        <v/>
      </c>
      <c r="J104" s="111" t="str">
        <f>IF(C104&lt;&gt;"",
VLOOKUP(
"*"&amp;LEFT(IF(COUNTIF(D104,"*学食*"),"キャラ弁（学食）",
IF(COUNTIF(D104,"*赤*"),"赤",
IF(COUNTIF(D104,"*キャラ弁当*"),"キャラ弁当",D104))),4)&amp;"*",注文弁当の抽出!$E$1:$F$15,2,FALSE),"")</f>
        <v/>
      </c>
      <c r="K104" s="111" t="str">
        <f ca="1">IF(クライアント抽出!Q34&lt;&gt;"",SUBSTITUTE(ADDRESS(1,(CODE(クライアント抽出!Q34)-64)*2-1,4),"1",""),"")</f>
        <v/>
      </c>
      <c r="L104" s="111" t="str">
        <f>IF(C34&lt;&gt;"",クライアント抽出!I34,"")</f>
        <v/>
      </c>
      <c r="M104" s="111">
        <f t="array" aca="1" ref="M104" ca="1">IF(C104&lt;&gt;"",
IF(K104&lt;&gt;"",INDIRECT("'数出表_Excel（アレルギー入力）'!"&amp;K104&amp;L104-1&amp;""),),)</f>
        <v>0</v>
      </c>
      <c r="N104" s="111" t="str">
        <f>IF(C104&lt;&gt;"",IF(OR(COUNTIF('盛付札（関数）'!D104,"*赤*"),COUNTIF('盛付札（関数）'!D104,"*キャラ*")),1,
VLOOKUP("*"&amp;D104&amp;"*",商品マスタ一覧!D:H,5,FALSE)),"")</f>
        <v/>
      </c>
      <c r="O104" s="111">
        <f t="shared" ca="1" si="19"/>
        <v>0</v>
      </c>
      <c r="P104" s="111">
        <f t="shared" si="9"/>
        <v>0</v>
      </c>
      <c r="Q104" s="111" t="b">
        <f t="shared" si="10"/>
        <v>0</v>
      </c>
      <c r="R104" s="49" t="str">
        <f t="array" aca="1" ref="R104" ca="1">IFERROR(SMALL(IF(P$1:P$311&lt;&gt;0,P$1:P$311),ROW(A104)),"")</f>
        <v/>
      </c>
      <c r="S104" s="49" t="str">
        <f t="array" aca="1" ref="S104" ca="1">IF($R104&lt;&gt;"",
SUBSTITUTE(SUBSTITUTE(INDIRECT("C"&amp;$R104&amp;"")," 週3ｺｰｽ","")," 週5ｺｰｽ",""),"")</f>
        <v/>
      </c>
      <c r="T104" s="49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22" t="str">
        <f t="array" aca="1" ref="U104" ca="1">IF($R104&lt;&gt;"",
INDIRECT("F"&amp;$R104&amp;""),"")</f>
        <v/>
      </c>
      <c r="V104" s="49" t="str">
        <f t="array" aca="1" ref="V104" ca="1">IF($R104&lt;&gt;"",
INDIRECT("G"&amp;$R104&amp;""),"")</f>
        <v/>
      </c>
      <c r="W104" s="49" t="str">
        <f t="array" aca="1" ref="W104" ca="1">IF($R104&lt;&gt;"",
IF(AND(COUNTIF(INDIRECT("B"&amp;R104&amp;""),"*雙葉*"),COUNTIF(B:B,"*雙葉*")&gt;=2),
IF(OR(COUNTIF(INDIRECT("B"&amp;R104&amp;""),"*雙葉先生*"),COUNTIF($B$1:$B$70,"*雙葉*")&gt;=2),INDIRECT("H"&amp;R104&amp;""),INDIRECT("H"&amp;R104&amp;"")+INDIRECT("H"&amp;MATCH("雙葉'",INDIRECT("B"&amp;R104+3&amp;":B210"),0)+2+R104&amp;"")),
IF(AND(LEFT(INDIRECT("B"&amp;R104&amp;""),2)="博多",COUNTIF(B:B,"*博多*")&gt;=2),
INDIRECT("H"&amp;R104&amp;"")+INDIRECT("H"&amp;MATCH("*"&amp;INDIRECT("B"&amp;R104&amp;"")&amp;"*",INDIRECT("B"&amp;R104+1&amp;":B210"),0)+R104&amp;""),
IF(AND(LEFT(INDIRECT("B"&amp;R104&amp;""),3)="奈良屋",COUNTIF(B:B,"*奈良屋*")&gt;=2),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49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49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49" t="str">
        <f t="shared" ca="1" si="11"/>
        <v/>
      </c>
      <c r="AA104" s="49" t="str">
        <f t="shared" ca="1" si="12"/>
        <v/>
      </c>
      <c r="AB104" s="49" t="str">
        <f t="array" aca="1" ref="AB104" ca="1">IF($R104&lt;&gt;"",
IF(AND(COUNTIF(INDIRECT("B"&amp;R104&amp;""),"*雙葉*"),COUNTIF(B:B,"*雙葉*")&gt;=2),
INDIRECT("M"&amp;R104&amp;"")+INDIRECT("M"&amp;MATCH("雙葉'",INDIRECT("B"&amp;R104+1&amp;":B210"),0)+R104&amp;""),
IF(AND(LEFT(INDIRECT("B"&amp;R104&amp;""),2)="博多",COUNTIF(B:B,"*博多*")&gt;=2),
INDIRECT("M"&amp;R104&amp;"")+INDIRECT("M"&amp;MATCH("*"&amp;INDIRECT("B"&amp;R104&amp;"")&amp;"*",INDIRECT("B"&amp;R104+1&amp;":B210"),0)+R104&amp;""),
IF(AND(LEFT(INDIRECT("B"&amp;R104&amp;""),3)="奈良屋",COUNTIF(B:B,"*奈良屋*")&gt;=2),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  <c r="AC104" s="49" t="str">
        <f ca="1">IF(S104&lt;&gt;"",INDEX(A:A, MATCH("*"&amp;LEFT(S104,4)&amp;"*", C:C, 0)),"")</f>
        <v/>
      </c>
      <c r="AD104" s="49" t="str">
        <f ca="1">IFERROR(INDEX(AC:AC,MATCH(SMALL($AU:$AU,ROW()+3),$AU:$AU,0)),"")</f>
        <v/>
      </c>
      <c r="AE104" s="49" t="str">
        <f ca="1">IFERROR(INDEX(R:R,MATCH(SMALL($AU:$AU,ROW()+3),$AU:$AU,0)),"")</f>
        <v/>
      </c>
      <c r="AF104" s="49" t="str">
        <f ca="1">IFERROR(INDEX(S:S,MATCH(SMALL($AU:$AU,ROW()+3),$AU:$AU,0)),"")</f>
        <v/>
      </c>
      <c r="AG104" s="49" t="str">
        <f ca="1">IFERROR(INDEX(T:T,MATCH(SMALL($AU:$AU,ROW()+3),$AU:$AU,0)),"")</f>
        <v/>
      </c>
      <c r="AH104" s="122" t="str">
        <f ca="1">IFERROR(INDEX(U:U,MATCH(SMALL($AU:$AU,ROW()+3),$AU:$AU,0)),"")</f>
        <v/>
      </c>
      <c r="AI104" s="49" t="str">
        <f ca="1">IFERROR(INDEX(V:V,MATCH(SMALL($AU:$AU,ROW()+3),$AU:$AU,0)),"")</f>
        <v/>
      </c>
      <c r="AJ104" s="49" t="str">
        <f ca="1">IFERROR(INDEX(W:W,MATCH(SMALL($AU:$AU,ROW()+3),$AU:$AU,0)),"")</f>
        <v/>
      </c>
      <c r="AK104" s="49" t="str">
        <f ca="1">IFERROR(INDEX(X:X,MATCH(SMALL($AU:$AU,ROW()+3),$AU:$AU,0)),"")</f>
        <v/>
      </c>
      <c r="AL104" s="49" t="str">
        <f ca="1">IFERROR(INDEX(Y:Y,MATCH(SMALL($AU:$AU,ROW()+3),$AU:$AU,0)),"")</f>
        <v/>
      </c>
      <c r="AM104" s="49" t="str">
        <f ca="1">IFERROR(INDEX(Z:Z,MATCH(SMALL($AU:$AU,ROW()+3),$AU:$AU,0)),"")</f>
        <v/>
      </c>
      <c r="AN104" s="49" t="str">
        <f ca="1">IFERROR(INDEX(AA:AA,MATCH(SMALL($AU:$AU,ROW()+3),$AU:$AU,0)),"")</f>
        <v/>
      </c>
      <c r="AO104" s="49" t="str">
        <f ca="1">IFERROR(INDEX(AB:AB,MATCH(SMALL($AU:$AU,ROW()+3),$AU:$AU,0)),"")</f>
        <v/>
      </c>
      <c r="AP104" s="49" t="str">
        <f ca="1">IFERROR(INDEX(AC:AC,MATCH(SMALL($AU:$AU,ROW()+3),$AU:$AU,0)),"")</f>
        <v/>
      </c>
      <c r="AU104" s="49" t="str">
        <f t="shared" ca="1" si="14"/>
        <v/>
      </c>
    </row>
    <row r="105" spans="1:47" ht="22.2" customHeight="1">
      <c r="A105" s="110">
        <f t="shared" si="20"/>
        <v>75</v>
      </c>
      <c r="B105" s="111" t="str">
        <f t="shared" ca="1" si="18"/>
        <v/>
      </c>
      <c r="C105" s="111" t="str">
        <f>IF(OR(クライアント抽出!C35&lt;&gt;"",クライアント抽出!F35&lt;&gt;""),クライアント抽出!A35,"")</f>
        <v/>
      </c>
      <c r="D105" s="111" t="str">
        <f t="array" aca="1" ref="D105" ca="1">IF(C105&lt;&gt;"",INDIRECT("クライアント抽出!"&amp;E105&amp;MATCH(C105,クライアント抽出!A:A,0)&amp;""),"")</f>
        <v/>
      </c>
      <c r="E105" s="111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112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11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113" t="str">
        <f>IF(C105&lt;&gt;"",
クライアント抽出!C35,"")</f>
        <v/>
      </c>
      <c r="I105" s="111" t="str">
        <f t="array" aca="1" ref="I105" ca="1">IF(C105&lt;&gt;"",
IF(O105=1,
IF(SUMPRODUCT(COUNTIF(クライアント抽出!P35:U35,クライアント抽出!P35:U35))&gt;COUNTA(クライアント抽出!P35:U35),
INDIRECT("数出表_Excel!"&amp;INDEX(_xlfn.UNIQUE(_xlfn._xlws.FILTER(クライアント抽出!P35:U35,COUNTIF(クライアント抽出!P35:U35,クライアント抽出!P35:U35)=1)),1)&amp;L105&amp;""),
0),クライアント抽出!F35),"")</f>
        <v/>
      </c>
      <c r="J105" s="111" t="str">
        <f>IF(C105&lt;&gt;"",
VLOOKUP(
"*"&amp;LEFT(IF(COUNTIF(D105,"*学食*"),"キャラ弁（学食）",
IF(COUNTIF(D105,"*赤*"),"赤",
IF(COUNTIF(D105,"*キャラ弁当*"),"キャラ弁当",D105))),4)&amp;"*",注文弁当の抽出!$E$1:$F$15,2,FALSE),"")</f>
        <v/>
      </c>
      <c r="K105" s="111" t="str">
        <f ca="1">IF(クライアント抽出!Q35&lt;&gt;"",SUBSTITUTE(ADDRESS(1,(CODE(クライアント抽出!Q35)-64)*2-1,4),"1",""),"")</f>
        <v/>
      </c>
      <c r="L105" s="111" t="str">
        <f>IF(C35&lt;&gt;"",クライアント抽出!I35,"")</f>
        <v/>
      </c>
      <c r="M105" s="111">
        <f t="array" aca="1" ref="M105" ca="1">IF(C105&lt;&gt;"",
IF(K105&lt;&gt;"",INDIRECT("'数出表_Excel（アレルギー入力）'!"&amp;K105&amp;L105-1&amp;""),),)</f>
        <v>0</v>
      </c>
      <c r="N105" s="111" t="str">
        <f>IF(C105&lt;&gt;"",IF(OR(COUNTIF('盛付札（関数）'!D105,"*赤*"),COUNTIF('盛付札（関数）'!D105,"*キャラ*")),1,
VLOOKUP("*"&amp;D105&amp;"*",商品マスタ一覧!D:H,5,FALSE)),"")</f>
        <v/>
      </c>
      <c r="O105" s="111">
        <f t="shared" ca="1" si="19"/>
        <v>0</v>
      </c>
      <c r="P105" s="111">
        <f t="shared" si="9"/>
        <v>0</v>
      </c>
      <c r="Q105" s="111" t="b">
        <f t="shared" si="10"/>
        <v>0</v>
      </c>
      <c r="R105" s="49" t="str">
        <f t="array" aca="1" ref="R105" ca="1">IFERROR(SMALL(IF(P$1:P$311&lt;&gt;0,P$1:P$311),ROW(A105)),"")</f>
        <v/>
      </c>
      <c r="S105" s="49" t="str">
        <f t="array" aca="1" ref="S105" ca="1">IF($R105&lt;&gt;"",
SUBSTITUTE(SUBSTITUTE(INDIRECT("C"&amp;$R105&amp;"")," 週3ｺｰｽ","")," 週5ｺｰｽ",""),"")</f>
        <v/>
      </c>
      <c r="T105" s="49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22" t="str">
        <f t="array" aca="1" ref="U105" ca="1">IF($R105&lt;&gt;"",
INDIRECT("F"&amp;$R105&amp;""),"")</f>
        <v/>
      </c>
      <c r="V105" s="49" t="str">
        <f t="array" aca="1" ref="V105" ca="1">IF($R105&lt;&gt;"",
INDIRECT("G"&amp;$R105&amp;""),"")</f>
        <v/>
      </c>
      <c r="W105" s="49" t="str">
        <f t="array" aca="1" ref="W105" ca="1">IF($R105&lt;&gt;"",
IF(AND(COUNTIF(INDIRECT("B"&amp;R105&amp;""),"*雙葉*"),COUNTIF(B:B,"*雙葉*")&gt;=2),
IF(OR(COUNTIF(INDIRECT("B"&amp;R105&amp;""),"*雙葉先生*"),COUNTIF($B$1:$B$70,"*雙葉*")&gt;=2),INDIRECT("H"&amp;R105&amp;""),INDIRECT("H"&amp;R105&amp;"")+INDIRECT("H"&amp;MATCH("雙葉'",INDIRECT("B"&amp;R105+3&amp;":B210"),0)+2+R105&amp;"")),
IF(AND(LEFT(INDIRECT("B"&amp;R105&amp;""),2)="博多",COUNTIF(B:B,"*博多*")&gt;=2),
INDIRECT("H"&amp;R105&amp;"")+INDIRECT("H"&amp;MATCH("*"&amp;INDIRECT("B"&amp;R105&amp;"")&amp;"*",INDIRECT("B"&amp;R105+1&amp;":B210"),0)+R105&amp;""),
IF(AND(LEFT(INDIRECT("B"&amp;R105&amp;""),3)="奈良屋",COUNTIF(B:B,"*奈良屋*")&gt;=2),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49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49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49" t="str">
        <f t="shared" ca="1" si="11"/>
        <v/>
      </c>
      <c r="AA105" s="49" t="str">
        <f t="shared" ca="1" si="12"/>
        <v/>
      </c>
      <c r="AB105" s="49" t="str">
        <f t="array" aca="1" ref="AB105" ca="1">IF($R105&lt;&gt;"",
IF(AND(COUNTIF(INDIRECT("B"&amp;R105&amp;""),"*雙葉*"),COUNTIF(B:B,"*雙葉*")&gt;=2),
INDIRECT("M"&amp;R105&amp;"")+INDIRECT("M"&amp;MATCH("雙葉'",INDIRECT("B"&amp;R105+1&amp;":B210"),0)+R105&amp;""),
IF(AND(LEFT(INDIRECT("B"&amp;R105&amp;""),2)="博多",COUNTIF(B:B,"*博多*")&gt;=2),
INDIRECT("M"&amp;R105&amp;"")+INDIRECT("M"&amp;MATCH("*"&amp;INDIRECT("B"&amp;R105&amp;"")&amp;"*",INDIRECT("B"&amp;R105+1&amp;":B210"),0)+R105&amp;""),
IF(AND(LEFT(INDIRECT("B"&amp;R105&amp;""),3)="奈良屋",COUNTIF(B:B,"*奈良屋*")&gt;=2),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  <c r="AC105" s="49" t="str">
        <f ca="1">IF(S105&lt;&gt;"",INDEX(A:A, MATCH("*"&amp;LEFT(S105,4)&amp;"*", C:C, 0)),"")</f>
        <v/>
      </c>
      <c r="AD105" s="49" t="str">
        <f ca="1">IFERROR(INDEX(AC:AC,MATCH(SMALL($AU:$AU,ROW()+3),$AU:$AU,0)),"")</f>
        <v/>
      </c>
      <c r="AE105" s="49" t="str">
        <f ca="1">IFERROR(INDEX(R:R,MATCH(SMALL($AU:$AU,ROW()+3),$AU:$AU,0)),"")</f>
        <v/>
      </c>
      <c r="AF105" s="49" t="str">
        <f ca="1">IFERROR(INDEX(S:S,MATCH(SMALL($AU:$AU,ROW()+3),$AU:$AU,0)),"")</f>
        <v/>
      </c>
      <c r="AG105" s="49" t="str">
        <f ca="1">IFERROR(INDEX(T:T,MATCH(SMALL($AU:$AU,ROW()+3),$AU:$AU,0)),"")</f>
        <v/>
      </c>
      <c r="AH105" s="122" t="str">
        <f ca="1">IFERROR(INDEX(U:U,MATCH(SMALL($AU:$AU,ROW()+3),$AU:$AU,0)),"")</f>
        <v/>
      </c>
      <c r="AI105" s="49" t="str">
        <f ca="1">IFERROR(INDEX(V:V,MATCH(SMALL($AU:$AU,ROW()+3),$AU:$AU,0)),"")</f>
        <v/>
      </c>
      <c r="AJ105" s="49" t="str">
        <f ca="1">IFERROR(INDEX(W:W,MATCH(SMALL($AU:$AU,ROW()+3),$AU:$AU,0)),"")</f>
        <v/>
      </c>
      <c r="AK105" s="49" t="str">
        <f ca="1">IFERROR(INDEX(X:X,MATCH(SMALL($AU:$AU,ROW()+3),$AU:$AU,0)),"")</f>
        <v/>
      </c>
      <c r="AL105" s="49" t="str">
        <f ca="1">IFERROR(INDEX(Y:Y,MATCH(SMALL($AU:$AU,ROW()+3),$AU:$AU,0)),"")</f>
        <v/>
      </c>
      <c r="AM105" s="49" t="str">
        <f ca="1">IFERROR(INDEX(Z:Z,MATCH(SMALL($AU:$AU,ROW()+3),$AU:$AU,0)),"")</f>
        <v/>
      </c>
      <c r="AN105" s="49" t="str">
        <f ca="1">IFERROR(INDEX(AA:AA,MATCH(SMALL($AU:$AU,ROW()+3),$AU:$AU,0)),"")</f>
        <v/>
      </c>
      <c r="AO105" s="49" t="str">
        <f ca="1">IFERROR(INDEX(AB:AB,MATCH(SMALL($AU:$AU,ROW()+3),$AU:$AU,0)),"")</f>
        <v/>
      </c>
      <c r="AP105" s="49" t="str">
        <f ca="1">IFERROR(INDEX(AC:AC,MATCH(SMALL($AU:$AU,ROW()+3),$AU:$AU,0)),"")</f>
        <v/>
      </c>
      <c r="AU105" s="49" t="str">
        <f t="shared" ca="1" si="14"/>
        <v/>
      </c>
    </row>
    <row r="106" spans="1:47" ht="22.2" customHeight="1">
      <c r="A106" s="110">
        <f t="shared" si="20"/>
        <v>77</v>
      </c>
      <c r="B106" s="111" t="str">
        <f t="shared" ca="1" si="18"/>
        <v/>
      </c>
      <c r="C106" s="111" t="str">
        <f>IF(OR(クライアント抽出!C36&lt;&gt;"",クライアント抽出!F36&lt;&gt;""),クライアント抽出!A36,"")</f>
        <v/>
      </c>
      <c r="D106" s="111" t="str">
        <f t="array" aca="1" ref="D106" ca="1">IF(C106&lt;&gt;"",INDIRECT("クライアント抽出!"&amp;E106&amp;MATCH(C106,クライアント抽出!A:A,0)&amp;""),"")</f>
        <v/>
      </c>
      <c r="E106" s="111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112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11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113" t="str">
        <f>IF(C106&lt;&gt;"",
クライアント抽出!C36,"")</f>
        <v/>
      </c>
      <c r="I106" s="111" t="str">
        <f t="array" aca="1" ref="I106" ca="1">IF(C106&lt;&gt;"",
IF(O106=1,
IF(SUMPRODUCT(COUNTIF(クライアント抽出!P36:U36,クライアント抽出!P36:U36))&gt;COUNTA(クライアント抽出!P36:U36),
INDIRECT("数出表_Excel!"&amp;INDEX(_xlfn.UNIQUE(_xlfn._xlws.FILTER(クライアント抽出!P36:U36,COUNTIF(クライアント抽出!P36:U36,クライアント抽出!P36:U36)=1)),1)&amp;L106&amp;""),
0),クライアント抽出!F36),"")</f>
        <v/>
      </c>
      <c r="J106" s="111" t="str">
        <f>IF(C106&lt;&gt;"",
VLOOKUP(
"*"&amp;LEFT(IF(COUNTIF(D106,"*学食*"),"キャラ弁（学食）",
IF(COUNTIF(D106,"*赤*"),"赤",
IF(COUNTIF(D106,"*キャラ弁当*"),"キャラ弁当",D106))),4)&amp;"*",注文弁当の抽出!$E$1:$F$15,2,FALSE),"")</f>
        <v/>
      </c>
      <c r="K106" s="111" t="str">
        <f ca="1">IF(クライアント抽出!Q36&lt;&gt;"",SUBSTITUTE(ADDRESS(1,(CODE(クライアント抽出!Q36)-64)*2-1,4),"1",""),"")</f>
        <v/>
      </c>
      <c r="L106" s="111" t="str">
        <f>IF(C36&lt;&gt;"",クライアント抽出!I36,"")</f>
        <v/>
      </c>
      <c r="M106" s="111">
        <f t="array" aca="1" ref="M106" ca="1">IF(C106&lt;&gt;"",
IF(K106&lt;&gt;"",INDIRECT("'数出表_Excel（アレルギー入力）'!"&amp;K106&amp;L106-1&amp;""),),)</f>
        <v>0</v>
      </c>
      <c r="N106" s="111" t="str">
        <f>IF(C106&lt;&gt;"",IF(OR(COUNTIF('盛付札（関数）'!D106,"*赤*"),COUNTIF('盛付札（関数）'!D106,"*キャラ*")),1,
VLOOKUP("*"&amp;D106&amp;"*",商品マスタ一覧!D:H,5,FALSE)),"")</f>
        <v/>
      </c>
      <c r="O106" s="111">
        <f t="shared" ca="1" si="19"/>
        <v>0</v>
      </c>
      <c r="P106" s="111">
        <f t="shared" si="9"/>
        <v>0</v>
      </c>
      <c r="Q106" s="111" t="b">
        <f t="shared" si="10"/>
        <v>0</v>
      </c>
      <c r="R106" s="49" t="str">
        <f t="array" aca="1" ref="R106" ca="1">IFERROR(SMALL(IF(P$1:P$311&lt;&gt;0,P$1:P$311),ROW(A106)),"")</f>
        <v/>
      </c>
      <c r="S106" s="49" t="str">
        <f t="array" aca="1" ref="S106" ca="1">IF($R106&lt;&gt;"",
SUBSTITUTE(SUBSTITUTE(INDIRECT("C"&amp;$R106&amp;"")," 週3ｺｰｽ","")," 週5ｺｰｽ",""),"")</f>
        <v/>
      </c>
      <c r="T106" s="49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22" t="str">
        <f t="array" aca="1" ref="U106" ca="1">IF($R106&lt;&gt;"",
INDIRECT("F"&amp;$R106&amp;""),"")</f>
        <v/>
      </c>
      <c r="V106" s="49" t="str">
        <f t="array" aca="1" ref="V106" ca="1">IF($R106&lt;&gt;"",
INDIRECT("G"&amp;$R106&amp;""),"")</f>
        <v/>
      </c>
      <c r="W106" s="49" t="str">
        <f t="array" aca="1" ref="W106" ca="1">IF($R106&lt;&gt;"",
IF(AND(COUNTIF(INDIRECT("B"&amp;R106&amp;""),"*雙葉*"),COUNTIF(B:B,"*雙葉*")&gt;=2),
IF(OR(COUNTIF(INDIRECT("B"&amp;R106&amp;""),"*雙葉先生*"),COUNTIF($B$1:$B$70,"*雙葉*")&gt;=2),INDIRECT("H"&amp;R106&amp;""),INDIRECT("H"&amp;R106&amp;"")+INDIRECT("H"&amp;MATCH("雙葉'",INDIRECT("B"&amp;R106+3&amp;":B210"),0)+2+R106&amp;"")),
IF(AND(LEFT(INDIRECT("B"&amp;R106&amp;""),2)="博多",COUNTIF(B:B,"*博多*")&gt;=2),
INDIRECT("H"&amp;R106&amp;"")+INDIRECT("H"&amp;MATCH("*"&amp;INDIRECT("B"&amp;R106&amp;"")&amp;"*",INDIRECT("B"&amp;R106+1&amp;":B210"),0)+R106&amp;""),
IF(AND(LEFT(INDIRECT("B"&amp;R106&amp;""),3)="奈良屋",COUNTIF(B:B,"*奈良屋*")&gt;=2),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49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49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49" t="str">
        <f t="shared" ca="1" si="11"/>
        <v/>
      </c>
      <c r="AA106" s="49" t="str">
        <f t="shared" ca="1" si="12"/>
        <v/>
      </c>
      <c r="AB106" s="49" t="str">
        <f t="array" aca="1" ref="AB106" ca="1">IF($R106&lt;&gt;"",
IF(AND(COUNTIF(INDIRECT("B"&amp;R106&amp;""),"*雙葉*"),COUNTIF(B:B,"*雙葉*")&gt;=2),
INDIRECT("M"&amp;R106&amp;"")+INDIRECT("M"&amp;MATCH("雙葉'",INDIRECT("B"&amp;R106+1&amp;":B210"),0)+R106&amp;""),
IF(AND(LEFT(INDIRECT("B"&amp;R106&amp;""),2)="博多",COUNTIF(B:B,"*博多*")&gt;=2),
INDIRECT("M"&amp;R106&amp;"")+INDIRECT("M"&amp;MATCH("*"&amp;INDIRECT("B"&amp;R106&amp;"")&amp;"*",INDIRECT("B"&amp;R106+1&amp;":B210"),0)+R106&amp;""),
IF(AND(LEFT(INDIRECT("B"&amp;R106&amp;""),3)="奈良屋",COUNTIF(B:B,"*奈良屋*")&gt;=2),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  <c r="AC106" s="49" t="str">
        <f ca="1">IF(S106&lt;&gt;"",INDEX(A:A, MATCH("*"&amp;LEFT(S106,4)&amp;"*", C:C, 0)),"")</f>
        <v/>
      </c>
      <c r="AD106" s="49" t="str">
        <f ca="1">IFERROR(INDEX(AC:AC,MATCH(SMALL($AU:$AU,ROW()+3),$AU:$AU,0)),"")</f>
        <v/>
      </c>
      <c r="AE106" s="49" t="str">
        <f ca="1">IFERROR(INDEX(R:R,MATCH(SMALL($AU:$AU,ROW()+3),$AU:$AU,0)),"")</f>
        <v/>
      </c>
      <c r="AF106" s="49" t="str">
        <f ca="1">IFERROR(INDEX(S:S,MATCH(SMALL($AU:$AU,ROW()+3),$AU:$AU,0)),"")</f>
        <v/>
      </c>
      <c r="AG106" s="49" t="str">
        <f ca="1">IFERROR(INDEX(T:T,MATCH(SMALL($AU:$AU,ROW()+3),$AU:$AU,0)),"")</f>
        <v/>
      </c>
      <c r="AH106" s="122" t="str">
        <f ca="1">IFERROR(INDEX(U:U,MATCH(SMALL($AU:$AU,ROW()+3),$AU:$AU,0)),"")</f>
        <v/>
      </c>
      <c r="AI106" s="49" t="str">
        <f ca="1">IFERROR(INDEX(V:V,MATCH(SMALL($AU:$AU,ROW()+3),$AU:$AU,0)),"")</f>
        <v/>
      </c>
      <c r="AJ106" s="49" t="str">
        <f ca="1">IFERROR(INDEX(W:W,MATCH(SMALL($AU:$AU,ROW()+3),$AU:$AU,0)),"")</f>
        <v/>
      </c>
      <c r="AK106" s="49" t="str">
        <f ca="1">IFERROR(INDEX(X:X,MATCH(SMALL($AU:$AU,ROW()+3),$AU:$AU,0)),"")</f>
        <v/>
      </c>
      <c r="AL106" s="49" t="str">
        <f ca="1">IFERROR(INDEX(Y:Y,MATCH(SMALL($AU:$AU,ROW()+3),$AU:$AU,0)),"")</f>
        <v/>
      </c>
      <c r="AM106" s="49" t="str">
        <f ca="1">IFERROR(INDEX(Z:Z,MATCH(SMALL($AU:$AU,ROW()+3),$AU:$AU,0)),"")</f>
        <v/>
      </c>
      <c r="AN106" s="49" t="str">
        <f ca="1">IFERROR(INDEX(AA:AA,MATCH(SMALL($AU:$AU,ROW()+3),$AU:$AU,0)),"")</f>
        <v/>
      </c>
      <c r="AO106" s="49" t="str">
        <f ca="1">IFERROR(INDEX(AB:AB,MATCH(SMALL($AU:$AU,ROW()+3),$AU:$AU,0)),"")</f>
        <v/>
      </c>
      <c r="AP106" s="49" t="str">
        <f ca="1">IFERROR(INDEX(AC:AC,MATCH(SMALL($AU:$AU,ROW()+3),$AU:$AU,0)),"")</f>
        <v/>
      </c>
      <c r="AU106" s="49" t="str">
        <f t="shared" ca="1" si="14"/>
        <v/>
      </c>
    </row>
    <row r="107" spans="1:47" ht="22.2" customHeight="1">
      <c r="A107" s="110">
        <f t="shared" si="20"/>
        <v>79</v>
      </c>
      <c r="B107" s="111" t="str">
        <f t="shared" ca="1" si="18"/>
        <v/>
      </c>
      <c r="C107" s="111" t="str">
        <f>IF(OR(クライアント抽出!C37&lt;&gt;"",クライアント抽出!F37&lt;&gt;""),クライアント抽出!A37,"")</f>
        <v/>
      </c>
      <c r="D107" s="111" t="str">
        <f t="array" aca="1" ref="D107" ca="1">IF(C107&lt;&gt;"",INDIRECT("クライアント抽出!"&amp;E107&amp;MATCH(C107,クライアント抽出!A:A,0)&amp;""),"")</f>
        <v/>
      </c>
      <c r="E107" s="111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112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11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113" t="str">
        <f>IF(C107&lt;&gt;"",
クライアント抽出!C37,"")</f>
        <v/>
      </c>
      <c r="I107" s="111" t="str">
        <f t="array" aca="1" ref="I107" ca="1">IF(C107&lt;&gt;"",
IF(O107=1,
IF(SUMPRODUCT(COUNTIF(クライアント抽出!P37:U37,クライアント抽出!P37:U37))&gt;COUNTA(クライアント抽出!P37:U37),
INDIRECT("数出表_Excel!"&amp;INDEX(_xlfn.UNIQUE(_xlfn._xlws.FILTER(クライアント抽出!P37:U37,COUNTIF(クライアント抽出!P37:U37,クライアント抽出!P37:U37)=1)),1)&amp;L107&amp;""),
0),クライアント抽出!F37),"")</f>
        <v/>
      </c>
      <c r="J107" s="111" t="str">
        <f>IF(C107&lt;&gt;"",
VLOOKUP(
"*"&amp;LEFT(IF(COUNTIF(D107,"*学食*"),"キャラ弁（学食）",
IF(COUNTIF(D107,"*赤*"),"赤",
IF(COUNTIF(D107,"*キャラ弁当*"),"キャラ弁当",D107))),4)&amp;"*",注文弁当の抽出!$E$1:$F$15,2,FALSE),"")</f>
        <v/>
      </c>
      <c r="K107" s="111" t="str">
        <f ca="1">IF(クライアント抽出!Q37&lt;&gt;"",SUBSTITUTE(ADDRESS(1,(CODE(クライアント抽出!Q37)-64)*2-1,4),"1",""),"")</f>
        <v/>
      </c>
      <c r="L107" s="111" t="str">
        <f>IF(C37&lt;&gt;"",クライアント抽出!I37,"")</f>
        <v/>
      </c>
      <c r="M107" s="111">
        <f t="array" aca="1" ref="M107" ca="1">IF(C107&lt;&gt;"",
IF(K107&lt;&gt;"",INDIRECT("'数出表_Excel（アレルギー入力）'!"&amp;K107&amp;L107-1&amp;""),),)</f>
        <v>0</v>
      </c>
      <c r="N107" s="111" t="str">
        <f>IF(C107&lt;&gt;"",IF(OR(COUNTIF('盛付札（関数）'!D107,"*赤*"),COUNTIF('盛付札（関数）'!D107,"*キャラ*")),1,
VLOOKUP("*"&amp;D107&amp;"*",商品マスタ一覧!D:H,5,FALSE)),"")</f>
        <v/>
      </c>
      <c r="O107" s="111">
        <f t="shared" ca="1" si="19"/>
        <v>0</v>
      </c>
      <c r="P107" s="111">
        <f t="shared" si="9"/>
        <v>0</v>
      </c>
      <c r="Q107" s="111" t="b">
        <f t="shared" si="10"/>
        <v>0</v>
      </c>
      <c r="R107" s="49" t="str">
        <f t="array" aca="1" ref="R107" ca="1">IFERROR(SMALL(IF(P$1:P$311&lt;&gt;0,P$1:P$311),ROW(A107)),"")</f>
        <v/>
      </c>
      <c r="S107" s="49" t="str">
        <f t="array" aca="1" ref="S107" ca="1">IF($R107&lt;&gt;"",
SUBSTITUTE(SUBSTITUTE(INDIRECT("C"&amp;$R107&amp;"")," 週3ｺｰｽ","")," 週5ｺｰｽ",""),"")</f>
        <v/>
      </c>
      <c r="T107" s="49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22" t="str">
        <f t="array" aca="1" ref="U107" ca="1">IF($R107&lt;&gt;"",
INDIRECT("F"&amp;$R107&amp;""),"")</f>
        <v/>
      </c>
      <c r="V107" s="49" t="str">
        <f t="array" aca="1" ref="V107" ca="1">IF($R107&lt;&gt;"",
INDIRECT("G"&amp;$R107&amp;""),"")</f>
        <v/>
      </c>
      <c r="W107" s="49" t="str">
        <f t="array" aca="1" ref="W107" ca="1">IF($R107&lt;&gt;"",
IF(AND(COUNTIF(INDIRECT("B"&amp;R107&amp;""),"*雙葉*"),COUNTIF(B:B,"*雙葉*")&gt;=2),
IF(OR(COUNTIF(INDIRECT("B"&amp;R107&amp;""),"*雙葉先生*"),COUNTIF($B$1:$B$70,"*雙葉*")&gt;=2),INDIRECT("H"&amp;R107&amp;""),INDIRECT("H"&amp;R107&amp;"")+INDIRECT("H"&amp;MATCH("雙葉'",INDIRECT("B"&amp;R107+3&amp;":B210"),0)+2+R107&amp;"")),
IF(AND(LEFT(INDIRECT("B"&amp;R107&amp;""),2)="博多",COUNTIF(B:B,"*博多*")&gt;=2),
INDIRECT("H"&amp;R107&amp;"")+INDIRECT("H"&amp;MATCH("*"&amp;INDIRECT("B"&amp;R107&amp;"")&amp;"*",INDIRECT("B"&amp;R107+1&amp;":B210"),0)+R107&amp;""),
IF(AND(LEFT(INDIRECT("B"&amp;R107&amp;""),3)="奈良屋",COUNTIF(B:B,"*奈良屋*")&gt;=2),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49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49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49" t="str">
        <f t="shared" ca="1" si="11"/>
        <v/>
      </c>
      <c r="AA107" s="49" t="str">
        <f t="shared" ca="1" si="12"/>
        <v/>
      </c>
      <c r="AB107" s="49" t="str">
        <f t="array" aca="1" ref="AB107" ca="1">IF($R107&lt;&gt;"",
IF(AND(COUNTIF(INDIRECT("B"&amp;R107&amp;""),"*雙葉*"),COUNTIF(B:B,"*雙葉*")&gt;=2),
INDIRECT("M"&amp;R107&amp;"")+INDIRECT("M"&amp;MATCH("雙葉'",INDIRECT("B"&amp;R107+1&amp;":B210"),0)+R107&amp;""),
IF(AND(LEFT(INDIRECT("B"&amp;R107&amp;""),2)="博多",COUNTIF(B:B,"*博多*")&gt;=2),
INDIRECT("M"&amp;R107&amp;"")+INDIRECT("M"&amp;MATCH("*"&amp;INDIRECT("B"&amp;R107&amp;"")&amp;"*",INDIRECT("B"&amp;R107+1&amp;":B210"),0)+R107&amp;""),
IF(AND(LEFT(INDIRECT("B"&amp;R107&amp;""),3)="奈良屋",COUNTIF(B:B,"*奈良屋*")&gt;=2),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  <c r="AC107" s="49" t="str">
        <f ca="1">IF(S107&lt;&gt;"",INDEX(A:A, MATCH("*"&amp;LEFT(S107,4)&amp;"*", C:C, 0)),"")</f>
        <v/>
      </c>
      <c r="AD107" s="49" t="str">
        <f ca="1">IFERROR(INDEX(AC:AC,MATCH(SMALL($AU:$AU,ROW()+3),$AU:$AU,0)),"")</f>
        <v/>
      </c>
      <c r="AE107" s="49" t="str">
        <f ca="1">IFERROR(INDEX(R:R,MATCH(SMALL($AU:$AU,ROW()+3),$AU:$AU,0)),"")</f>
        <v/>
      </c>
      <c r="AF107" s="49" t="str">
        <f ca="1">IFERROR(INDEX(S:S,MATCH(SMALL($AU:$AU,ROW()+3),$AU:$AU,0)),"")</f>
        <v/>
      </c>
      <c r="AG107" s="49" t="str">
        <f ca="1">IFERROR(INDEX(T:T,MATCH(SMALL($AU:$AU,ROW()+3),$AU:$AU,0)),"")</f>
        <v/>
      </c>
      <c r="AH107" s="122" t="str">
        <f ca="1">IFERROR(INDEX(U:U,MATCH(SMALL($AU:$AU,ROW()+3),$AU:$AU,0)),"")</f>
        <v/>
      </c>
      <c r="AI107" s="49" t="str">
        <f ca="1">IFERROR(INDEX(V:V,MATCH(SMALL($AU:$AU,ROW()+3),$AU:$AU,0)),"")</f>
        <v/>
      </c>
      <c r="AJ107" s="49" t="str">
        <f ca="1">IFERROR(INDEX(W:W,MATCH(SMALL($AU:$AU,ROW()+3),$AU:$AU,0)),"")</f>
        <v/>
      </c>
      <c r="AK107" s="49" t="str">
        <f ca="1">IFERROR(INDEX(X:X,MATCH(SMALL($AU:$AU,ROW()+3),$AU:$AU,0)),"")</f>
        <v/>
      </c>
      <c r="AL107" s="49" t="str">
        <f ca="1">IFERROR(INDEX(Y:Y,MATCH(SMALL($AU:$AU,ROW()+3),$AU:$AU,0)),"")</f>
        <v/>
      </c>
      <c r="AM107" s="49" t="str">
        <f ca="1">IFERROR(INDEX(Z:Z,MATCH(SMALL($AU:$AU,ROW()+3),$AU:$AU,0)),"")</f>
        <v/>
      </c>
      <c r="AN107" s="49" t="str">
        <f ca="1">IFERROR(INDEX(AA:AA,MATCH(SMALL($AU:$AU,ROW()+3),$AU:$AU,0)),"")</f>
        <v/>
      </c>
      <c r="AO107" s="49" t="str">
        <f ca="1">IFERROR(INDEX(AB:AB,MATCH(SMALL($AU:$AU,ROW()+3),$AU:$AU,0)),"")</f>
        <v/>
      </c>
      <c r="AP107" s="49" t="str">
        <f ca="1">IFERROR(INDEX(AC:AC,MATCH(SMALL($AU:$AU,ROW()+3),$AU:$AU,0)),"")</f>
        <v/>
      </c>
      <c r="AU107" s="49" t="str">
        <f t="shared" ca="1" si="14"/>
        <v/>
      </c>
    </row>
    <row r="108" spans="1:47" ht="22.2" customHeight="1">
      <c r="A108" s="110">
        <f t="shared" si="20"/>
        <v>81</v>
      </c>
      <c r="B108" s="111" t="str">
        <f t="shared" ca="1" si="18"/>
        <v/>
      </c>
      <c r="C108" s="111" t="str">
        <f>IF(OR(クライアント抽出!C38&lt;&gt;"",クライアント抽出!F38&lt;&gt;""),クライアント抽出!A38,"")</f>
        <v/>
      </c>
      <c r="D108" s="111" t="str">
        <f t="array" aca="1" ref="D108" ca="1">IF(C108&lt;&gt;"",INDIRECT("クライアント抽出!"&amp;E108&amp;MATCH(C108,クライアント抽出!A:A,0)&amp;""),"")</f>
        <v/>
      </c>
      <c r="E108" s="111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112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11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113" t="str">
        <f>IF(C108&lt;&gt;"",
クライアント抽出!C38,"")</f>
        <v/>
      </c>
      <c r="I108" s="111" t="str">
        <f t="array" aca="1" ref="I108" ca="1">IF(C108&lt;&gt;"",
IF(O108=1,
IF(SUMPRODUCT(COUNTIF(クライアント抽出!P38:U38,クライアント抽出!P38:U38))&gt;COUNTA(クライアント抽出!P38:U38),
INDIRECT("数出表_Excel!"&amp;INDEX(_xlfn.UNIQUE(_xlfn._xlws.FILTER(クライアント抽出!P38:U38,COUNTIF(クライアント抽出!P38:U38,クライアント抽出!P38:U38)=1)),1)&amp;L108&amp;""),
0),クライアント抽出!F38),"")</f>
        <v/>
      </c>
      <c r="J108" s="111" t="str">
        <f>IF(C108&lt;&gt;"",
VLOOKUP(
"*"&amp;LEFT(IF(COUNTIF(D108,"*学食*"),"キャラ弁（学食）",
IF(COUNTIF(D108,"*赤*"),"赤",
IF(COUNTIF(D108,"*キャラ弁当*"),"キャラ弁当",D108))),4)&amp;"*",注文弁当の抽出!$E$1:$F$15,2,FALSE),"")</f>
        <v/>
      </c>
      <c r="K108" s="111" t="str">
        <f ca="1">IF(クライアント抽出!Q38&lt;&gt;"",SUBSTITUTE(ADDRESS(1,(CODE(クライアント抽出!Q38)-64)*2-1,4),"1",""),"")</f>
        <v/>
      </c>
      <c r="L108" s="111" t="str">
        <f>IF(C38&lt;&gt;"",クライアント抽出!I38,"")</f>
        <v/>
      </c>
      <c r="M108" s="111">
        <f t="array" aca="1" ref="M108" ca="1">IF(C108&lt;&gt;"",
IF(K108&lt;&gt;"",INDIRECT("'数出表_Excel（アレルギー入力）'!"&amp;K108&amp;L108-1&amp;""),),)</f>
        <v>0</v>
      </c>
      <c r="N108" s="111" t="str">
        <f>IF(C108&lt;&gt;"",IF(OR(COUNTIF('盛付札（関数）'!D108,"*赤*"),COUNTIF('盛付札（関数）'!D108,"*キャラ*")),1,
VLOOKUP("*"&amp;D108&amp;"*",商品マスタ一覧!D:H,5,FALSE)),"")</f>
        <v/>
      </c>
      <c r="O108" s="111">
        <f t="shared" ca="1" si="19"/>
        <v>0</v>
      </c>
      <c r="P108" s="111">
        <f t="shared" si="9"/>
        <v>0</v>
      </c>
      <c r="Q108" s="111" t="b">
        <f t="shared" si="10"/>
        <v>0</v>
      </c>
      <c r="R108" s="49" t="str">
        <f t="array" aca="1" ref="R108" ca="1">IFERROR(SMALL(IF(P$1:P$311&lt;&gt;0,P$1:P$311),ROW(A108)),"")</f>
        <v/>
      </c>
      <c r="S108" s="49" t="str">
        <f t="array" aca="1" ref="S108" ca="1">IF($R108&lt;&gt;"",
SUBSTITUTE(SUBSTITUTE(INDIRECT("C"&amp;$R108&amp;"")," 週3ｺｰｽ","")," 週5ｺｰｽ",""),"")</f>
        <v/>
      </c>
      <c r="T108" s="49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22" t="str">
        <f t="array" aca="1" ref="U108" ca="1">IF($R108&lt;&gt;"",
INDIRECT("F"&amp;$R108&amp;""),"")</f>
        <v/>
      </c>
      <c r="V108" s="49" t="str">
        <f t="array" aca="1" ref="V108" ca="1">IF($R108&lt;&gt;"",
INDIRECT("G"&amp;$R108&amp;""),"")</f>
        <v/>
      </c>
      <c r="W108" s="49" t="str">
        <f t="array" aca="1" ref="W108" ca="1">IF($R108&lt;&gt;"",
IF(AND(COUNTIF(INDIRECT("B"&amp;R108&amp;""),"*雙葉*"),COUNTIF(B:B,"*雙葉*")&gt;=2),
IF(OR(COUNTIF(INDIRECT("B"&amp;R108&amp;""),"*雙葉先生*"),COUNTIF($B$1:$B$70,"*雙葉*")&gt;=2),INDIRECT("H"&amp;R108&amp;""),INDIRECT("H"&amp;R108&amp;"")+INDIRECT("H"&amp;MATCH("雙葉'",INDIRECT("B"&amp;R108+3&amp;":B210"),0)+2+R108&amp;"")),
IF(AND(LEFT(INDIRECT("B"&amp;R108&amp;""),2)="博多",COUNTIF(B:B,"*博多*")&gt;=2),
INDIRECT("H"&amp;R108&amp;"")+INDIRECT("H"&amp;MATCH("*"&amp;INDIRECT("B"&amp;R108&amp;"")&amp;"*",INDIRECT("B"&amp;R108+1&amp;":B210"),0)+R108&amp;""),
IF(AND(LEFT(INDIRECT("B"&amp;R108&amp;""),3)="奈良屋",COUNTIF(B:B,"*奈良屋*")&gt;=2),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49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49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49" t="str">
        <f t="shared" ca="1" si="11"/>
        <v/>
      </c>
      <c r="AA108" s="49" t="str">
        <f t="shared" ca="1" si="12"/>
        <v/>
      </c>
      <c r="AB108" s="49" t="str">
        <f t="array" aca="1" ref="AB108" ca="1">IF($R108&lt;&gt;"",
IF(AND(COUNTIF(INDIRECT("B"&amp;R108&amp;""),"*雙葉*"),COUNTIF(B:B,"*雙葉*")&gt;=2),
INDIRECT("M"&amp;R108&amp;"")+INDIRECT("M"&amp;MATCH("雙葉'",INDIRECT("B"&amp;R108+1&amp;":B210"),0)+R108&amp;""),
IF(AND(LEFT(INDIRECT("B"&amp;R108&amp;""),2)="博多",COUNTIF(B:B,"*博多*")&gt;=2),
INDIRECT("M"&amp;R108&amp;"")+INDIRECT("M"&amp;MATCH("*"&amp;INDIRECT("B"&amp;R108&amp;"")&amp;"*",INDIRECT("B"&amp;R108+1&amp;":B210"),0)+R108&amp;""),
IF(AND(LEFT(INDIRECT("B"&amp;R108&amp;""),3)="奈良屋",COUNTIF(B:B,"*奈良屋*")&gt;=2),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  <c r="AC108" s="49" t="str">
        <f ca="1">IF(S108&lt;&gt;"",INDEX(A:A, MATCH("*"&amp;LEFT(S108,4)&amp;"*", C:C, 0)),"")</f>
        <v/>
      </c>
      <c r="AD108" s="49" t="str">
        <f ca="1">IFERROR(INDEX(AC:AC,MATCH(SMALL($AU:$AU,ROW()+3),$AU:$AU,0)),"")</f>
        <v/>
      </c>
      <c r="AE108" s="49" t="str">
        <f ca="1">IFERROR(INDEX(R:R,MATCH(SMALL($AU:$AU,ROW()+3),$AU:$AU,0)),"")</f>
        <v/>
      </c>
      <c r="AF108" s="49" t="str">
        <f ca="1">IFERROR(INDEX(S:S,MATCH(SMALL($AU:$AU,ROW()+3),$AU:$AU,0)),"")</f>
        <v/>
      </c>
      <c r="AG108" s="49" t="str">
        <f ca="1">IFERROR(INDEX(T:T,MATCH(SMALL($AU:$AU,ROW()+3),$AU:$AU,0)),"")</f>
        <v/>
      </c>
      <c r="AH108" s="122" t="str">
        <f ca="1">IFERROR(INDEX(U:U,MATCH(SMALL($AU:$AU,ROW()+3),$AU:$AU,0)),"")</f>
        <v/>
      </c>
      <c r="AI108" s="49" t="str">
        <f ca="1">IFERROR(INDEX(V:V,MATCH(SMALL($AU:$AU,ROW()+3),$AU:$AU,0)),"")</f>
        <v/>
      </c>
      <c r="AJ108" s="49" t="str">
        <f ca="1">IFERROR(INDEX(W:W,MATCH(SMALL($AU:$AU,ROW()+3),$AU:$AU,0)),"")</f>
        <v/>
      </c>
      <c r="AK108" s="49" t="str">
        <f ca="1">IFERROR(INDEX(X:X,MATCH(SMALL($AU:$AU,ROW()+3),$AU:$AU,0)),"")</f>
        <v/>
      </c>
      <c r="AL108" s="49" t="str">
        <f ca="1">IFERROR(INDEX(Y:Y,MATCH(SMALL($AU:$AU,ROW()+3),$AU:$AU,0)),"")</f>
        <v/>
      </c>
      <c r="AM108" s="49" t="str">
        <f ca="1">IFERROR(INDEX(Z:Z,MATCH(SMALL($AU:$AU,ROW()+3),$AU:$AU,0)),"")</f>
        <v/>
      </c>
      <c r="AN108" s="49" t="str">
        <f ca="1">IFERROR(INDEX(AA:AA,MATCH(SMALL($AU:$AU,ROW()+3),$AU:$AU,0)),"")</f>
        <v/>
      </c>
      <c r="AO108" s="49" t="str">
        <f ca="1">IFERROR(INDEX(AB:AB,MATCH(SMALL($AU:$AU,ROW()+3),$AU:$AU,0)),"")</f>
        <v/>
      </c>
      <c r="AP108" s="49" t="str">
        <f ca="1">IFERROR(INDEX(AC:AC,MATCH(SMALL($AU:$AU,ROW()+3),$AU:$AU,0)),"")</f>
        <v/>
      </c>
      <c r="AU108" s="49" t="str">
        <f t="shared" ca="1" si="14"/>
        <v/>
      </c>
    </row>
    <row r="109" spans="1:47" ht="22.2" customHeight="1">
      <c r="A109" s="110">
        <f t="shared" si="20"/>
        <v>83</v>
      </c>
      <c r="B109" s="111" t="str">
        <f t="shared" ca="1" si="18"/>
        <v/>
      </c>
      <c r="C109" s="111" t="str">
        <f ca="1">IF(OR(クライアント抽出!C39&lt;&gt;"",クライアント抽出!F39&lt;&gt;""),
"",IF(O109=1,クライアント抽出!A39,""))</f>
        <v/>
      </c>
      <c r="D109" s="111" t="str">
        <f t="array" aca="1" ref="D109" ca="1">IF(C109&lt;&gt;"",INDIRECT("クライアント抽出!"&amp;E109&amp;MATCH(C109,クライアント抽出!A:A,0)&amp;""),"")</f>
        <v/>
      </c>
      <c r="E109" s="111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12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11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113" t="str">
        <f ca="1">IF(C109&lt;&gt;"",
クライアント抽出!C39,"")</f>
        <v/>
      </c>
      <c r="I109" s="111" t="str">
        <f t="array" aca="1" ref="I109" ca="1">IF(C109&lt;&gt;"",
IF(O109=1,
IF(SUMPRODUCT(COUNTIF(クライアント抽出!P39:U39,クライアント抽出!P39:U39))&gt;COUNTA(クライアント抽出!P39:U39),
INDIRECT("数出表_Excel!"&amp;INDEX(_xlfn.UNIQUE(_xlfn._xlws.FILTER(クライアント抽出!P39:U39,COUNTIF(クライアント抽出!P39:U39,クライアント抽出!P39:U39)=1)),1)&amp;L109&amp;""),
0),クライアント抽出!F39),"")</f>
        <v/>
      </c>
      <c r="J109" s="111" t="str">
        <f ca="1">IF(C109&lt;&gt;"",
VLOOKUP(
"*"&amp;LEFT(IF(COUNTIF(D109,"*学食*"),"キャラ弁（学食）",
IF(COUNTIF(D109,"*赤*"),"赤",
IF(COUNTIF(D109,"*キャラ弁当*"),"キャラ弁当",D109))),4)&amp;"*",注文弁当の抽出!$E$1:$F$15,2,FALSE),"")</f>
        <v/>
      </c>
      <c r="K109" s="111" t="str">
        <f ca="1">IF(クライアント抽出!Q39&lt;&gt;"",SUBSTITUTE(ADDRESS(1,(CODE(クライアント抽出!Q39)-64)*2-1,4),"1",""),"")</f>
        <v/>
      </c>
      <c r="L109" s="111" t="str">
        <f>IF(C39&lt;&gt;"",クライアント抽出!I39,"")</f>
        <v/>
      </c>
      <c r="M109" s="111">
        <f t="array" aca="1" ref="M109" ca="1">IF(C109&lt;&gt;"",
IF(K109&lt;&gt;"",INDIRECT("'数出表_Excel（アレルギー入力）'!"&amp;K109&amp;L109-1&amp;""),),)</f>
        <v>0</v>
      </c>
      <c r="N109" s="111" t="str">
        <f ca="1">IF(C109&lt;&gt;"",IF(OR(COUNTIF('盛付札（関数）'!D109,"*赤*"),COUNTIF('盛付札（関数）'!D109,"*キャラ*")),1,
VLOOKUP("*"&amp;D109&amp;"*",商品マスタ一覧!D:H,5,FALSE)),"")</f>
        <v/>
      </c>
      <c r="O109" s="111">
        <f t="shared" ca="1" si="19"/>
        <v>0</v>
      </c>
      <c r="P109" s="111">
        <f t="shared" ca="1" si="9"/>
        <v>0</v>
      </c>
      <c r="Q109" s="111" t="b">
        <f t="shared" ca="1" si="10"/>
        <v>0</v>
      </c>
      <c r="R109" s="49" t="str">
        <f t="array" aca="1" ref="R109" ca="1">IFERROR(SMALL(IF(P$1:P$311&lt;&gt;0,P$1:P$311),ROW(A109)),"")</f>
        <v/>
      </c>
      <c r="S109" s="49" t="str">
        <f t="array" aca="1" ref="S109" ca="1">IF($R109&lt;&gt;"",
SUBSTITUTE(SUBSTITUTE(INDIRECT("C"&amp;$R109&amp;"")," 週3ｺｰｽ","")," 週5ｺｰｽ",""),"")</f>
        <v/>
      </c>
      <c r="T109" s="49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22" t="str">
        <f t="array" aca="1" ref="U109" ca="1">IF($R109&lt;&gt;"",
INDIRECT("F"&amp;$R109&amp;""),"")</f>
        <v/>
      </c>
      <c r="V109" s="49" t="str">
        <f t="array" aca="1" ref="V109" ca="1">IF($R109&lt;&gt;"",
INDIRECT("G"&amp;$R109&amp;""),"")</f>
        <v/>
      </c>
      <c r="W109" s="49" t="str">
        <f t="array" aca="1" ref="W109" ca="1">IF($R109&lt;&gt;"",
IF(AND(COUNTIF(INDIRECT("B"&amp;R109&amp;""),"*雙葉*"),COUNTIF(B:B,"*雙葉*")&gt;=2),
IF(OR(COUNTIF(INDIRECT("B"&amp;R109&amp;""),"*雙葉先生*"),COUNTIF($B$1:$B$70,"*雙葉*")&gt;=2),INDIRECT("H"&amp;R109&amp;""),INDIRECT("H"&amp;R109&amp;"")+INDIRECT("H"&amp;MATCH("雙葉'",INDIRECT("B"&amp;R109+3&amp;":B210"),0)+2+R109&amp;"")),
IF(AND(LEFT(INDIRECT("B"&amp;R109&amp;""),2)="博多",COUNTIF(B:B,"*博多*")&gt;=2),
INDIRECT("H"&amp;R109&amp;"")+INDIRECT("H"&amp;MATCH("*"&amp;INDIRECT("B"&amp;R109&amp;"")&amp;"*",INDIRECT("B"&amp;R109+1&amp;":B210"),0)+R109&amp;""),
IF(AND(LEFT(INDIRECT("B"&amp;R109&amp;""),3)="奈良屋",COUNTIF(B:B,"*奈良屋*")&gt;=2),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49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49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49" t="str">
        <f t="shared" ca="1" si="11"/>
        <v/>
      </c>
      <c r="AA109" s="49" t="str">
        <f t="shared" ca="1" si="12"/>
        <v/>
      </c>
      <c r="AB109" s="49" t="str">
        <f t="array" aca="1" ref="AB109" ca="1">IF($R109&lt;&gt;"",
IF(AND(COUNTIF(INDIRECT("B"&amp;R109&amp;""),"*雙葉*"),COUNTIF(B:B,"*雙葉*")&gt;=2),
INDIRECT("M"&amp;R109&amp;"")+INDIRECT("M"&amp;MATCH("雙葉'",INDIRECT("B"&amp;R109+1&amp;":B210"),0)+R109&amp;""),
IF(AND(LEFT(INDIRECT("B"&amp;R109&amp;""),2)="博多",COUNTIF(B:B,"*博多*")&gt;=2),
INDIRECT("M"&amp;R109&amp;"")+INDIRECT("M"&amp;MATCH("*"&amp;INDIRECT("B"&amp;R109&amp;"")&amp;"*",INDIRECT("B"&amp;R109+1&amp;":B210"),0)+R109&amp;""),
IF(AND(LEFT(INDIRECT("B"&amp;R109&amp;""),3)="奈良屋",COUNTIF(B:B,"*奈良屋*")&gt;=2),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  <c r="AC109" s="49" t="str">
        <f ca="1">IF(S109&lt;&gt;"",INDEX(A:A, MATCH("*"&amp;LEFT(S109,4)&amp;"*", C:C, 0)),"")</f>
        <v/>
      </c>
      <c r="AD109" s="49" t="str">
        <f ca="1">IFERROR(INDEX(AC:AC,MATCH(SMALL($AU:$AU,ROW()+3),$AU:$AU,0)),"")</f>
        <v/>
      </c>
      <c r="AE109" s="49" t="str">
        <f ca="1">IFERROR(INDEX(R:R,MATCH(SMALL($AU:$AU,ROW()+3),$AU:$AU,0)),"")</f>
        <v/>
      </c>
      <c r="AF109" s="49" t="str">
        <f ca="1">IFERROR(INDEX(S:S,MATCH(SMALL($AU:$AU,ROW()+3),$AU:$AU,0)),"")</f>
        <v/>
      </c>
      <c r="AG109" s="49" t="str">
        <f ca="1">IFERROR(INDEX(T:T,MATCH(SMALL($AU:$AU,ROW()+3),$AU:$AU,0)),"")</f>
        <v/>
      </c>
      <c r="AH109" s="122" t="str">
        <f ca="1">IFERROR(INDEX(U:U,MATCH(SMALL($AU:$AU,ROW()+3),$AU:$AU,0)),"")</f>
        <v/>
      </c>
      <c r="AI109" s="49" t="str">
        <f ca="1">IFERROR(INDEX(V:V,MATCH(SMALL($AU:$AU,ROW()+3),$AU:$AU,0)),"")</f>
        <v/>
      </c>
      <c r="AJ109" s="49" t="str">
        <f ca="1">IFERROR(INDEX(W:W,MATCH(SMALL($AU:$AU,ROW()+3),$AU:$AU,0)),"")</f>
        <v/>
      </c>
      <c r="AK109" s="49" t="str">
        <f ca="1">IFERROR(INDEX(X:X,MATCH(SMALL($AU:$AU,ROW()+3),$AU:$AU,0)),"")</f>
        <v/>
      </c>
      <c r="AL109" s="49" t="str">
        <f ca="1">IFERROR(INDEX(Y:Y,MATCH(SMALL($AU:$AU,ROW()+3),$AU:$AU,0)),"")</f>
        <v/>
      </c>
      <c r="AM109" s="49" t="str">
        <f ca="1">IFERROR(INDEX(Z:Z,MATCH(SMALL($AU:$AU,ROW()+3),$AU:$AU,0)),"")</f>
        <v/>
      </c>
      <c r="AN109" s="49" t="str">
        <f ca="1">IFERROR(INDEX(AA:AA,MATCH(SMALL($AU:$AU,ROW()+3),$AU:$AU,0)),"")</f>
        <v/>
      </c>
      <c r="AO109" s="49" t="str">
        <f ca="1">IFERROR(INDEX(AB:AB,MATCH(SMALL($AU:$AU,ROW()+3),$AU:$AU,0)),"")</f>
        <v/>
      </c>
      <c r="AP109" s="49" t="str">
        <f ca="1">IFERROR(INDEX(AC:AC,MATCH(SMALL($AU:$AU,ROW()+3),$AU:$AU,0)),"")</f>
        <v/>
      </c>
      <c r="AU109" s="49" t="str">
        <f t="shared" ca="1" si="14"/>
        <v/>
      </c>
    </row>
    <row r="110" spans="1:47" ht="22.2" customHeight="1">
      <c r="A110" s="110">
        <f t="shared" si="20"/>
        <v>85</v>
      </c>
      <c r="B110" s="111" t="str">
        <f t="shared" ca="1" si="18"/>
        <v/>
      </c>
      <c r="C110" s="111" t="str">
        <f>IF(OR(クライアント抽出!C40&lt;&gt;"",クライアント抽出!F40&lt;&gt;""),クライアント抽出!A40,"")</f>
        <v/>
      </c>
      <c r="D110" s="111" t="str">
        <f t="array" aca="1" ref="D110" ca="1">IF(C110&lt;&gt;"",INDIRECT("クライアント抽出!"&amp;E110&amp;MATCH(C110,クライアント抽出!A:A,0)&amp;""),"")</f>
        <v/>
      </c>
      <c r="E110" s="111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112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11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113" t="str">
        <f>IF(C110&lt;&gt;"",
クライアント抽出!C40,"")</f>
        <v/>
      </c>
      <c r="I110" s="111" t="str">
        <f t="array" aca="1" ref="I110" ca="1">IF(C110&lt;&gt;"",
IF(O110=1,
IF(SUMPRODUCT(COUNTIF(クライアント抽出!P40:U40,クライアント抽出!P40:U40))&gt;COUNTA(クライアント抽出!P40:U40),
INDIRECT("数出表_Excel!"&amp;INDEX(_xlfn.UNIQUE(_xlfn._xlws.FILTER(クライアント抽出!P40:U40,COUNTIF(クライアント抽出!P40:U40,クライアント抽出!P40:U40)=1)),1)&amp;L110&amp;""),
0),クライアント抽出!F40),"")</f>
        <v/>
      </c>
      <c r="J110" s="111" t="str">
        <f>IF(C110&lt;&gt;"",
VLOOKUP(
"*"&amp;LEFT(IF(COUNTIF(D110,"*学食*"),"キャラ弁（学食）",
IF(COUNTIF(D110,"*赤*"),"赤",
IF(COUNTIF(D110,"*キャラ弁当*"),"キャラ弁当",D110))),4)&amp;"*",注文弁当の抽出!$E$1:$F$15,2,FALSE),"")</f>
        <v/>
      </c>
      <c r="K110" s="111" t="str">
        <f ca="1">IF(クライアント抽出!Q40&lt;&gt;"",SUBSTITUTE(ADDRESS(1,(CODE(クライアント抽出!Q40)-64)*2-1,4),"1",""),"")</f>
        <v/>
      </c>
      <c r="L110" s="111" t="str">
        <f>IF(C40&lt;&gt;"",クライアント抽出!I40,"")</f>
        <v/>
      </c>
      <c r="M110" s="111">
        <f t="array" aca="1" ref="M110" ca="1">IF(C110&lt;&gt;"",
IF(K110&lt;&gt;"",INDIRECT("'数出表_Excel（アレルギー入力）'!"&amp;K110&amp;L110-1&amp;""),),)</f>
        <v>0</v>
      </c>
      <c r="N110" s="111" t="str">
        <f>IF(C110&lt;&gt;"",IF(OR(COUNTIF('盛付札（関数）'!D110,"*赤*"),COUNTIF('盛付札（関数）'!D110,"*キャラ*")),1,
VLOOKUP("*"&amp;D110&amp;"*",商品マスタ一覧!D:H,5,FALSE)),"")</f>
        <v/>
      </c>
      <c r="O110" s="111">
        <f t="shared" ca="1" si="19"/>
        <v>0</v>
      </c>
      <c r="P110" s="111">
        <f t="shared" si="9"/>
        <v>0</v>
      </c>
      <c r="Q110" s="111" t="b">
        <f t="shared" si="10"/>
        <v>0</v>
      </c>
      <c r="R110" s="49" t="str">
        <f t="array" aca="1" ref="R110" ca="1">IFERROR(SMALL(IF(P$1:P$311&lt;&gt;0,P$1:P$311),ROW(A110)),"")</f>
        <v/>
      </c>
      <c r="S110" s="49" t="str">
        <f t="array" aca="1" ref="S110" ca="1">IF($R110&lt;&gt;"",
SUBSTITUTE(SUBSTITUTE(INDIRECT("C"&amp;$R110&amp;"")," 週3ｺｰｽ","")," 週5ｺｰｽ",""),"")</f>
        <v/>
      </c>
      <c r="T110" s="49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22" t="str">
        <f t="array" aca="1" ref="U110" ca="1">IF($R110&lt;&gt;"",
INDIRECT("F"&amp;$R110&amp;""),"")</f>
        <v/>
      </c>
      <c r="V110" s="49" t="str">
        <f t="array" aca="1" ref="V110" ca="1">IF($R110&lt;&gt;"",
INDIRECT("G"&amp;$R110&amp;""),"")</f>
        <v/>
      </c>
      <c r="W110" s="49" t="str">
        <f t="array" aca="1" ref="W110" ca="1">IF($R110&lt;&gt;"",
IF(AND(COUNTIF(INDIRECT("B"&amp;R110&amp;""),"*雙葉*"),COUNTIF(B:B,"*雙葉*")&gt;=2),
IF(OR(COUNTIF(INDIRECT("B"&amp;R110&amp;""),"*雙葉先生*"),COUNTIF($B$1:$B$70,"*雙葉*")&gt;=2),INDIRECT("H"&amp;R110&amp;""),INDIRECT("H"&amp;R110&amp;"")+INDIRECT("H"&amp;MATCH("雙葉'",INDIRECT("B"&amp;R110+3&amp;":B210"),0)+2+R110&amp;"")),
IF(AND(LEFT(INDIRECT("B"&amp;R110&amp;""),2)="博多",COUNTIF(B:B,"*博多*")&gt;=2),
INDIRECT("H"&amp;R110&amp;"")+INDIRECT("H"&amp;MATCH("*"&amp;INDIRECT("B"&amp;R110&amp;"")&amp;"*",INDIRECT("B"&amp;R110+1&amp;":B210"),0)+R110&amp;""),
IF(AND(LEFT(INDIRECT("B"&amp;R110&amp;""),3)="奈良屋",COUNTIF(B:B,"*奈良屋*")&gt;=2),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49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49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49" t="str">
        <f t="shared" ca="1" si="11"/>
        <v/>
      </c>
      <c r="AA110" s="49" t="str">
        <f t="shared" ca="1" si="12"/>
        <v/>
      </c>
      <c r="AB110" s="49" t="str">
        <f t="array" aca="1" ref="AB110" ca="1">IF($R110&lt;&gt;"",
IF(AND(COUNTIF(INDIRECT("B"&amp;R110&amp;""),"*雙葉*"),COUNTIF(B:B,"*雙葉*")&gt;=2),
INDIRECT("M"&amp;R110&amp;"")+INDIRECT("M"&amp;MATCH("雙葉'",INDIRECT("B"&amp;R110+1&amp;":B210"),0)+R110&amp;""),
IF(AND(LEFT(INDIRECT("B"&amp;R110&amp;""),2)="博多",COUNTIF(B:B,"*博多*")&gt;=2),
INDIRECT("M"&amp;R110&amp;"")+INDIRECT("M"&amp;MATCH("*"&amp;INDIRECT("B"&amp;R110&amp;"")&amp;"*",INDIRECT("B"&amp;R110+1&amp;":B210"),0)+R110&amp;""),
IF(AND(LEFT(INDIRECT("B"&amp;R110&amp;""),3)="奈良屋",COUNTIF(B:B,"*奈良屋*")&gt;=2),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  <c r="AC110" s="49" t="str">
        <f ca="1">IF(S110&lt;&gt;"",INDEX(A:A, MATCH("*"&amp;LEFT(S110,4)&amp;"*", C:C, 0)),"")</f>
        <v/>
      </c>
      <c r="AD110" s="49" t="str">
        <f ca="1">IFERROR(INDEX(AC:AC,MATCH(SMALL($AU:$AU,ROW()+3),$AU:$AU,0)),"")</f>
        <v/>
      </c>
      <c r="AE110" s="49" t="str">
        <f ca="1">IFERROR(INDEX(R:R,MATCH(SMALL($AU:$AU,ROW()+3),$AU:$AU,0)),"")</f>
        <v/>
      </c>
      <c r="AF110" s="49" t="str">
        <f ca="1">IFERROR(INDEX(S:S,MATCH(SMALL($AU:$AU,ROW()+3),$AU:$AU,0)),"")</f>
        <v/>
      </c>
      <c r="AG110" s="49" t="str">
        <f ca="1">IFERROR(INDEX(T:T,MATCH(SMALL($AU:$AU,ROW()+3),$AU:$AU,0)),"")</f>
        <v/>
      </c>
      <c r="AH110" s="122" t="str">
        <f ca="1">IFERROR(INDEX(U:U,MATCH(SMALL($AU:$AU,ROW()+3),$AU:$AU,0)),"")</f>
        <v/>
      </c>
      <c r="AI110" s="49" t="str">
        <f ca="1">IFERROR(INDEX(V:V,MATCH(SMALL($AU:$AU,ROW()+3),$AU:$AU,0)),"")</f>
        <v/>
      </c>
      <c r="AJ110" s="49" t="str">
        <f ca="1">IFERROR(INDEX(W:W,MATCH(SMALL($AU:$AU,ROW()+3),$AU:$AU,0)),"")</f>
        <v/>
      </c>
      <c r="AK110" s="49" t="str">
        <f ca="1">IFERROR(INDEX(X:X,MATCH(SMALL($AU:$AU,ROW()+3),$AU:$AU,0)),"")</f>
        <v/>
      </c>
      <c r="AL110" s="49" t="str">
        <f ca="1">IFERROR(INDEX(Y:Y,MATCH(SMALL($AU:$AU,ROW()+3),$AU:$AU,0)),"")</f>
        <v/>
      </c>
      <c r="AM110" s="49" t="str">
        <f ca="1">IFERROR(INDEX(Z:Z,MATCH(SMALL($AU:$AU,ROW()+3),$AU:$AU,0)),"")</f>
        <v/>
      </c>
      <c r="AN110" s="49" t="str">
        <f ca="1">IFERROR(INDEX(AA:AA,MATCH(SMALL($AU:$AU,ROW()+3),$AU:$AU,0)),"")</f>
        <v/>
      </c>
      <c r="AO110" s="49" t="str">
        <f ca="1">IFERROR(INDEX(AB:AB,MATCH(SMALL($AU:$AU,ROW()+3),$AU:$AU,0)),"")</f>
        <v/>
      </c>
      <c r="AP110" s="49" t="str">
        <f ca="1">IFERROR(INDEX(AC:AC,MATCH(SMALL($AU:$AU,ROW()+3),$AU:$AU,0)),"")</f>
        <v/>
      </c>
      <c r="AU110" s="49" t="str">
        <f t="shared" ca="1" si="14"/>
        <v/>
      </c>
    </row>
    <row r="111" spans="1:47" ht="22.2" customHeight="1">
      <c r="A111" s="110">
        <f t="shared" si="20"/>
        <v>87</v>
      </c>
      <c r="B111" s="111" t="str">
        <f t="shared" ca="1" si="18"/>
        <v/>
      </c>
      <c r="C111" s="111" t="str">
        <f>IF(OR(クライアント抽出!C41&lt;&gt;"",クライアント抽出!F41&lt;&gt;""),クライアント抽出!A41,"")</f>
        <v/>
      </c>
      <c r="D111" s="111" t="str">
        <f t="array" aca="1" ref="D111" ca="1">IF(C111&lt;&gt;"",INDIRECT("クライアント抽出!"&amp;E111&amp;MATCH(C111,クライアント抽出!A:A,0)&amp;""),"")</f>
        <v/>
      </c>
      <c r="E111" s="111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112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11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113" t="str">
        <f>IF(C111&lt;&gt;"",
クライアント抽出!C41,"")</f>
        <v/>
      </c>
      <c r="I111" s="111" t="str">
        <f t="array" aca="1" ref="I111" ca="1">IF(C111&lt;&gt;"",
IF(O111=1,
IF(SUMPRODUCT(COUNTIF(クライアント抽出!P41:U41,クライアント抽出!P41:U41))&gt;COUNTA(クライアント抽出!P41:U41),
INDIRECT("数出表_Excel!"&amp;INDEX(_xlfn.UNIQUE(_xlfn._xlws.FILTER(クライアント抽出!P41:U41,COUNTIF(クライアント抽出!P41:U41,クライアント抽出!P41:U41)=1)),1)&amp;L111&amp;""),
0),クライアント抽出!F41),"")</f>
        <v/>
      </c>
      <c r="J111" s="111" t="str">
        <f>IF(C111&lt;&gt;"",
VLOOKUP(
"*"&amp;LEFT(IF(COUNTIF(D111,"*学食*"),"キャラ弁（学食）",
IF(COUNTIF(D111,"*赤*"),"赤",
IF(COUNTIF(D111,"*キャラ弁当*"),"キャラ弁当",D111))),4)&amp;"*",注文弁当の抽出!$E$1:$F$15,2,FALSE),"")</f>
        <v/>
      </c>
      <c r="K111" s="111" t="str">
        <f ca="1">IF(クライアント抽出!Q41&lt;&gt;"",SUBSTITUTE(ADDRESS(1,(CODE(クライアント抽出!Q41)-64)*2-1,4),"1",""),"")</f>
        <v/>
      </c>
      <c r="L111" s="111" t="str">
        <f>IF(C41&lt;&gt;"",クライアント抽出!I41,"")</f>
        <v/>
      </c>
      <c r="M111" s="111">
        <f t="array" aca="1" ref="M111" ca="1">IF(C111&lt;&gt;"",
IF(K111&lt;&gt;"",INDIRECT("'数出表_Excel（アレルギー入力）'!"&amp;K111&amp;L111-1&amp;""),),)</f>
        <v>0</v>
      </c>
      <c r="N111" s="111" t="str">
        <f>IF(C111&lt;&gt;"",IF(OR(COUNTIF('盛付札（関数）'!D111,"*赤*"),COUNTIF('盛付札（関数）'!D111,"*キャラ*")),1,
VLOOKUP("*"&amp;D111&amp;"*",商品マスタ一覧!D:H,5,FALSE)),"")</f>
        <v/>
      </c>
      <c r="O111" s="111">
        <f t="shared" ca="1" si="19"/>
        <v>0</v>
      </c>
      <c r="P111" s="111">
        <f t="shared" si="9"/>
        <v>0</v>
      </c>
      <c r="Q111" s="111" t="b">
        <f t="shared" si="10"/>
        <v>0</v>
      </c>
      <c r="R111" s="49" t="str">
        <f t="array" aca="1" ref="R111" ca="1">IFERROR(SMALL(IF(P$1:P$311&lt;&gt;0,P$1:P$311),ROW(A111)),"")</f>
        <v/>
      </c>
      <c r="S111" s="49" t="str">
        <f t="array" aca="1" ref="S111" ca="1">IF($R111&lt;&gt;"",
SUBSTITUTE(SUBSTITUTE(INDIRECT("C"&amp;$R111&amp;"")," 週3ｺｰｽ","")," 週5ｺｰｽ",""),"")</f>
        <v/>
      </c>
      <c r="T111" s="49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22" t="str">
        <f t="array" aca="1" ref="U111" ca="1">IF($R111&lt;&gt;"",
INDIRECT("F"&amp;$R111&amp;""),"")</f>
        <v/>
      </c>
      <c r="V111" s="49" t="str">
        <f t="array" aca="1" ref="V111" ca="1">IF($R111&lt;&gt;"",
INDIRECT("G"&amp;$R111&amp;""),"")</f>
        <v/>
      </c>
      <c r="W111" s="49" t="str">
        <f t="array" aca="1" ref="W111" ca="1">IF($R111&lt;&gt;"",
IF(AND(COUNTIF(INDIRECT("B"&amp;R111&amp;""),"*雙葉*"),COUNTIF(B:B,"*雙葉*")&gt;=2),
IF(OR(COUNTIF(INDIRECT("B"&amp;R111&amp;""),"*雙葉先生*"),COUNTIF($B$1:$B$70,"*雙葉*")&gt;=2),INDIRECT("H"&amp;R111&amp;""),INDIRECT("H"&amp;R111&amp;"")+INDIRECT("H"&amp;MATCH("雙葉'",INDIRECT("B"&amp;R111+3&amp;":B210"),0)+2+R111&amp;"")),
IF(AND(LEFT(INDIRECT("B"&amp;R111&amp;""),2)="博多",COUNTIF(B:B,"*博多*")&gt;=2),
INDIRECT("H"&amp;R111&amp;"")+INDIRECT("H"&amp;MATCH("*"&amp;INDIRECT("B"&amp;R111&amp;"")&amp;"*",INDIRECT("B"&amp;R111+1&amp;":B210"),0)+R111&amp;""),
IF(AND(LEFT(INDIRECT("B"&amp;R111&amp;""),3)="奈良屋",COUNTIF(B:B,"*奈良屋*")&gt;=2),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49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49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49" t="str">
        <f t="shared" ca="1" si="11"/>
        <v/>
      </c>
      <c r="AA111" s="49" t="str">
        <f t="shared" ca="1" si="12"/>
        <v/>
      </c>
      <c r="AB111" s="49" t="str">
        <f t="array" aca="1" ref="AB111" ca="1">IF($R111&lt;&gt;"",
IF(AND(COUNTIF(INDIRECT("B"&amp;R111&amp;""),"*雙葉*"),COUNTIF(B:B,"*雙葉*")&gt;=2),
INDIRECT("M"&amp;R111&amp;"")+INDIRECT("M"&amp;MATCH("雙葉'",INDIRECT("B"&amp;R111+1&amp;":B210"),0)+R111&amp;""),
IF(AND(LEFT(INDIRECT("B"&amp;R111&amp;""),2)="博多",COUNTIF(B:B,"*博多*")&gt;=2),
INDIRECT("M"&amp;R111&amp;"")+INDIRECT("M"&amp;MATCH("*"&amp;INDIRECT("B"&amp;R111&amp;"")&amp;"*",INDIRECT("B"&amp;R111+1&amp;":B210"),0)+R111&amp;""),
IF(AND(LEFT(INDIRECT("B"&amp;R111&amp;""),3)="奈良屋",COUNTIF(B:B,"*奈良屋*")&gt;=2),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  <c r="AC111" s="49" t="str">
        <f ca="1">IF(S111&lt;&gt;"",INDEX(A:A, MATCH("*"&amp;LEFT(S111,4)&amp;"*", C:C, 0)),"")</f>
        <v/>
      </c>
      <c r="AD111" s="49" t="str">
        <f ca="1">IFERROR(INDEX(AC:AC,MATCH(SMALL($AU:$AU,ROW()+3),$AU:$AU,0)),"")</f>
        <v/>
      </c>
      <c r="AE111" s="49" t="str">
        <f ca="1">IFERROR(INDEX(R:R,MATCH(SMALL($AU:$AU,ROW()+3),$AU:$AU,0)),"")</f>
        <v/>
      </c>
      <c r="AF111" s="49" t="str">
        <f ca="1">IFERROR(INDEX(S:S,MATCH(SMALL($AU:$AU,ROW()+3),$AU:$AU,0)),"")</f>
        <v/>
      </c>
      <c r="AG111" s="49" t="str">
        <f ca="1">IFERROR(INDEX(T:T,MATCH(SMALL($AU:$AU,ROW()+3),$AU:$AU,0)),"")</f>
        <v/>
      </c>
      <c r="AH111" s="122" t="str">
        <f ca="1">IFERROR(INDEX(U:U,MATCH(SMALL($AU:$AU,ROW()+3),$AU:$AU,0)),"")</f>
        <v/>
      </c>
      <c r="AI111" s="49" t="str">
        <f ca="1">IFERROR(INDEX(V:V,MATCH(SMALL($AU:$AU,ROW()+3),$AU:$AU,0)),"")</f>
        <v/>
      </c>
      <c r="AJ111" s="49" t="str">
        <f ca="1">IFERROR(INDEX(W:W,MATCH(SMALL($AU:$AU,ROW()+3),$AU:$AU,0)),"")</f>
        <v/>
      </c>
      <c r="AK111" s="49" t="str">
        <f ca="1">IFERROR(INDEX(X:X,MATCH(SMALL($AU:$AU,ROW()+3),$AU:$AU,0)),"")</f>
        <v/>
      </c>
      <c r="AL111" s="49" t="str">
        <f ca="1">IFERROR(INDEX(Y:Y,MATCH(SMALL($AU:$AU,ROW()+3),$AU:$AU,0)),"")</f>
        <v/>
      </c>
      <c r="AM111" s="49" t="str">
        <f ca="1">IFERROR(INDEX(Z:Z,MATCH(SMALL($AU:$AU,ROW()+3),$AU:$AU,0)),"")</f>
        <v/>
      </c>
      <c r="AN111" s="49" t="str">
        <f ca="1">IFERROR(INDEX(AA:AA,MATCH(SMALL($AU:$AU,ROW()+3),$AU:$AU,0)),"")</f>
        <v/>
      </c>
      <c r="AO111" s="49" t="str">
        <f ca="1">IFERROR(INDEX(AB:AB,MATCH(SMALL($AU:$AU,ROW()+3),$AU:$AU,0)),"")</f>
        <v/>
      </c>
      <c r="AP111" s="49" t="str">
        <f ca="1">IFERROR(INDEX(AC:AC,MATCH(SMALL($AU:$AU,ROW()+3),$AU:$AU,0)),"")</f>
        <v/>
      </c>
      <c r="AU111" s="49" t="str">
        <f t="shared" ca="1" si="14"/>
        <v/>
      </c>
    </row>
    <row r="112" spans="1:47" ht="22.2" customHeight="1">
      <c r="A112" s="110">
        <f t="shared" si="20"/>
        <v>89</v>
      </c>
      <c r="B112" s="111" t="str">
        <f t="shared" ca="1" si="18"/>
        <v/>
      </c>
      <c r="C112" s="111" t="str">
        <f>IF(OR(クライアント抽出!C42&lt;&gt;"",クライアント抽出!F42&lt;&gt;""),クライアント抽出!A42,"")</f>
        <v/>
      </c>
      <c r="D112" s="111" t="str">
        <f t="array" aca="1" ref="D112" ca="1">IF(C112&lt;&gt;"",INDIRECT("クライアント抽出!"&amp;E112&amp;MATCH(C112,クライアント抽出!A:A,0)&amp;""),"")</f>
        <v/>
      </c>
      <c r="E112" s="111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112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11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113" t="str">
        <f>IF(C112&lt;&gt;"",
クライアント抽出!C42,"")</f>
        <v/>
      </c>
      <c r="I112" s="111" t="str">
        <f t="array" aca="1" ref="I112" ca="1">IF(C112&lt;&gt;"",
IF(O112=1,
IF(SUMPRODUCT(COUNTIF(クライアント抽出!P42:U42,クライアント抽出!P42:U42))&gt;COUNTA(クライアント抽出!P42:U42),
INDIRECT("数出表_Excel!"&amp;INDEX(_xlfn.UNIQUE(_xlfn._xlws.FILTER(クライアント抽出!P42:U42,COUNTIF(クライアント抽出!P42:U42,クライアント抽出!P42:U42)=1)),1)&amp;L112&amp;""),
0),クライアント抽出!F42),"")</f>
        <v/>
      </c>
      <c r="J112" s="111" t="str">
        <f>IF(C112&lt;&gt;"",
VLOOKUP(
"*"&amp;LEFT(IF(COUNTIF(D112,"*学食*"),"キャラ弁（学食）",
IF(COUNTIF(D112,"*赤*"),"赤",
IF(COUNTIF(D112,"*キャラ弁当*"),"キャラ弁当",D112))),4)&amp;"*",注文弁当の抽出!$E$1:$F$15,2,FALSE),"")</f>
        <v/>
      </c>
      <c r="K112" s="111" t="str">
        <f ca="1">IF(クライアント抽出!Q42&lt;&gt;"",SUBSTITUTE(ADDRESS(1,(CODE(クライアント抽出!Q42)-64)*2-1,4),"1",""),"")</f>
        <v/>
      </c>
      <c r="L112" s="111" t="str">
        <f>IF(C42&lt;&gt;"",クライアント抽出!I42,"")</f>
        <v/>
      </c>
      <c r="M112" s="111">
        <f t="array" aca="1" ref="M112" ca="1">IF(C112&lt;&gt;"",
IF(K112&lt;&gt;"",INDIRECT("'数出表_Excel（アレルギー入力）'!"&amp;K112&amp;L112-1&amp;""),),)</f>
        <v>0</v>
      </c>
      <c r="N112" s="111" t="str">
        <f>IF(C112&lt;&gt;"",IF(OR(COUNTIF('盛付札（関数）'!D112,"*赤*"),COUNTIF('盛付札（関数）'!D112,"*キャラ*")),1,
VLOOKUP("*"&amp;D112&amp;"*",商品マスタ一覧!D:H,5,FALSE)),"")</f>
        <v/>
      </c>
      <c r="O112" s="111">
        <f t="shared" ca="1" si="19"/>
        <v>0</v>
      </c>
      <c r="P112" s="111">
        <f t="shared" si="9"/>
        <v>0</v>
      </c>
      <c r="Q112" s="111" t="b">
        <f t="shared" si="10"/>
        <v>0</v>
      </c>
      <c r="R112" s="49" t="str">
        <f t="array" aca="1" ref="R112" ca="1">IFERROR(SMALL(IF(P$1:P$311&lt;&gt;0,P$1:P$311),ROW(A112)),"")</f>
        <v/>
      </c>
      <c r="S112" s="49" t="str">
        <f t="array" aca="1" ref="S112" ca="1">IF($R112&lt;&gt;"",
SUBSTITUTE(SUBSTITUTE(INDIRECT("C"&amp;$R112&amp;"")," 週3ｺｰｽ","")," 週5ｺｰｽ",""),"")</f>
        <v/>
      </c>
      <c r="T112" s="49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22" t="str">
        <f t="array" aca="1" ref="U112" ca="1">IF($R112&lt;&gt;"",
INDIRECT("F"&amp;$R112&amp;""),"")</f>
        <v/>
      </c>
      <c r="V112" s="49" t="str">
        <f t="array" aca="1" ref="V112" ca="1">IF($R112&lt;&gt;"",
INDIRECT("G"&amp;$R112&amp;""),"")</f>
        <v/>
      </c>
      <c r="W112" s="49" t="str">
        <f t="array" aca="1" ref="W112" ca="1">IF($R112&lt;&gt;"",
IF(AND(COUNTIF(INDIRECT("B"&amp;R112&amp;""),"*雙葉*"),COUNTIF(B:B,"*雙葉*")&gt;=2),
IF(OR(COUNTIF(INDIRECT("B"&amp;R112&amp;""),"*雙葉先生*"),COUNTIF($B$1:$B$70,"*雙葉*")&gt;=2),INDIRECT("H"&amp;R112&amp;""),INDIRECT("H"&amp;R112&amp;"")+INDIRECT("H"&amp;MATCH("雙葉'",INDIRECT("B"&amp;R112+3&amp;":B210"),0)+2+R112&amp;"")),
IF(AND(LEFT(INDIRECT("B"&amp;R112&amp;""),2)="博多",COUNTIF(B:B,"*博多*")&gt;=2),
INDIRECT("H"&amp;R112&amp;"")+INDIRECT("H"&amp;MATCH("*"&amp;INDIRECT("B"&amp;R112&amp;"")&amp;"*",INDIRECT("B"&amp;R112+1&amp;":B210"),0)+R112&amp;""),
IF(AND(LEFT(INDIRECT("B"&amp;R112&amp;""),3)="奈良屋",COUNTIF(B:B,"*奈良屋*")&gt;=2),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49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49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49" t="str">
        <f t="shared" ca="1" si="11"/>
        <v/>
      </c>
      <c r="AA112" s="49" t="str">
        <f t="shared" ca="1" si="12"/>
        <v/>
      </c>
      <c r="AB112" s="49" t="str">
        <f t="array" aca="1" ref="AB112" ca="1">IF($R112&lt;&gt;"",
IF(AND(COUNTIF(INDIRECT("B"&amp;R112&amp;""),"*雙葉*"),COUNTIF(B:B,"*雙葉*")&gt;=2),
INDIRECT("M"&amp;R112&amp;"")+INDIRECT("M"&amp;MATCH("雙葉'",INDIRECT("B"&amp;R112+1&amp;":B210"),0)+R112&amp;""),
IF(AND(LEFT(INDIRECT("B"&amp;R112&amp;""),2)="博多",COUNTIF(B:B,"*博多*")&gt;=2),
INDIRECT("M"&amp;R112&amp;"")+INDIRECT("M"&amp;MATCH("*"&amp;INDIRECT("B"&amp;R112&amp;"")&amp;"*",INDIRECT("B"&amp;R112+1&amp;":B210"),0)+R112&amp;""),
IF(AND(LEFT(INDIRECT("B"&amp;R112&amp;""),3)="奈良屋",COUNTIF(B:B,"*奈良屋*")&gt;=2),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  <c r="AC112" s="49" t="str">
        <f ca="1">IF(S112&lt;&gt;"",INDEX(A:A, MATCH("*"&amp;LEFT(S112,4)&amp;"*", C:C, 0)),"")</f>
        <v/>
      </c>
      <c r="AD112" s="49" t="str">
        <f ca="1">IFERROR(INDEX(AC:AC,MATCH(SMALL($AU:$AU,ROW()+3),$AU:$AU,0)),"")</f>
        <v/>
      </c>
      <c r="AE112" s="49" t="str">
        <f ca="1">IFERROR(INDEX(R:R,MATCH(SMALL($AU:$AU,ROW()+3),$AU:$AU,0)),"")</f>
        <v/>
      </c>
      <c r="AF112" s="49" t="str">
        <f ca="1">IFERROR(INDEX(S:S,MATCH(SMALL($AU:$AU,ROW()+3),$AU:$AU,0)),"")</f>
        <v/>
      </c>
      <c r="AG112" s="49" t="str">
        <f ca="1">IFERROR(INDEX(T:T,MATCH(SMALL($AU:$AU,ROW()+3),$AU:$AU,0)),"")</f>
        <v/>
      </c>
      <c r="AH112" s="122" t="str">
        <f ca="1">IFERROR(INDEX(U:U,MATCH(SMALL($AU:$AU,ROW()+3),$AU:$AU,0)),"")</f>
        <v/>
      </c>
      <c r="AI112" s="49" t="str">
        <f ca="1">IFERROR(INDEX(V:V,MATCH(SMALL($AU:$AU,ROW()+3),$AU:$AU,0)),"")</f>
        <v/>
      </c>
      <c r="AJ112" s="49" t="str">
        <f ca="1">IFERROR(INDEX(W:W,MATCH(SMALL($AU:$AU,ROW()+3),$AU:$AU,0)),"")</f>
        <v/>
      </c>
      <c r="AK112" s="49" t="str">
        <f ca="1">IFERROR(INDEX(X:X,MATCH(SMALL($AU:$AU,ROW()+3),$AU:$AU,0)),"")</f>
        <v/>
      </c>
      <c r="AL112" s="49" t="str">
        <f ca="1">IFERROR(INDEX(Y:Y,MATCH(SMALL($AU:$AU,ROW()+3),$AU:$AU,0)),"")</f>
        <v/>
      </c>
      <c r="AM112" s="49" t="str">
        <f ca="1">IFERROR(INDEX(Z:Z,MATCH(SMALL($AU:$AU,ROW()+3),$AU:$AU,0)),"")</f>
        <v/>
      </c>
      <c r="AN112" s="49" t="str">
        <f ca="1">IFERROR(INDEX(AA:AA,MATCH(SMALL($AU:$AU,ROW()+3),$AU:$AU,0)),"")</f>
        <v/>
      </c>
      <c r="AO112" s="49" t="str">
        <f ca="1">IFERROR(INDEX(AB:AB,MATCH(SMALL($AU:$AU,ROW()+3),$AU:$AU,0)),"")</f>
        <v/>
      </c>
      <c r="AP112" s="49" t="str">
        <f ca="1">IFERROR(INDEX(AC:AC,MATCH(SMALL($AU:$AU,ROW()+3),$AU:$AU,0)),"")</f>
        <v/>
      </c>
      <c r="AU112" s="49" t="str">
        <f t="shared" ca="1" si="14"/>
        <v/>
      </c>
    </row>
    <row r="113" spans="1:47" ht="22.2" customHeight="1">
      <c r="A113" s="110">
        <f t="shared" si="20"/>
        <v>91</v>
      </c>
      <c r="B113" s="111" t="str">
        <f t="shared" ca="1" si="18"/>
        <v/>
      </c>
      <c r="C113" s="111" t="str">
        <f>IF(OR(クライアント抽出!C43&lt;&gt;"",クライアント抽出!F43&lt;&gt;""),クライアント抽出!A43,"")</f>
        <v/>
      </c>
      <c r="D113" s="111" t="str">
        <f t="array" aca="1" ref="D113" ca="1">IF(C113&lt;&gt;"",INDIRECT("クライアント抽出!"&amp;E113&amp;MATCH(C113,クライアント抽出!A:A,0)&amp;""),"")</f>
        <v/>
      </c>
      <c r="E113" s="111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112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11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113" t="str">
        <f>IF(C113&lt;&gt;"",
クライアント抽出!C43,"")</f>
        <v/>
      </c>
      <c r="I113" s="111" t="str">
        <f t="array" aca="1" ref="I113" ca="1">IF(C113&lt;&gt;"",
IF(O113=1,
IF(SUMPRODUCT(COUNTIF(クライアント抽出!P43:U43,クライアント抽出!P43:U43))&gt;COUNTA(クライアント抽出!P43:U43),
INDIRECT("数出表_Excel!"&amp;INDEX(_xlfn.UNIQUE(_xlfn._xlws.FILTER(クライアント抽出!P43:U43,COUNTIF(クライアント抽出!P43:U43,クライアント抽出!P43:U43)=1)),1)&amp;L113&amp;""),
0),クライアント抽出!F43),"")</f>
        <v/>
      </c>
      <c r="J113" s="111" t="str">
        <f>IF(C113&lt;&gt;"",
VLOOKUP(
"*"&amp;LEFT(IF(COUNTIF(D113,"*学食*"),"キャラ弁（学食）",
IF(COUNTIF(D113,"*赤*"),"赤",
IF(COUNTIF(D113,"*キャラ弁当*"),"キャラ弁当",D113))),4)&amp;"*",注文弁当の抽出!$E$1:$F$15,2,FALSE),"")</f>
        <v/>
      </c>
      <c r="K113" s="111" t="str">
        <f ca="1">IF(クライアント抽出!Q43&lt;&gt;"",SUBSTITUTE(ADDRESS(1,(CODE(クライアント抽出!Q43)-64)*2-1,4),"1",""),"")</f>
        <v/>
      </c>
      <c r="L113" s="111" t="str">
        <f>IF(C43&lt;&gt;"",クライアント抽出!I43,"")</f>
        <v/>
      </c>
      <c r="M113" s="111">
        <f t="array" aca="1" ref="M113" ca="1">IF(C113&lt;&gt;"",
IF(K113&lt;&gt;"",INDIRECT("'数出表_Excel（アレルギー入力）'!"&amp;K113&amp;L113-1&amp;""),),)</f>
        <v>0</v>
      </c>
      <c r="N113" s="111" t="str">
        <f>IF(C113&lt;&gt;"",IF(OR(COUNTIF('盛付札（関数）'!D113,"*赤*"),COUNTIF('盛付札（関数）'!D113,"*キャラ*")),1,
VLOOKUP("*"&amp;D113&amp;"*",商品マスタ一覧!D:H,5,FALSE)),"")</f>
        <v/>
      </c>
      <c r="O113" s="111">
        <f t="shared" ca="1" si="19"/>
        <v>0</v>
      </c>
      <c r="P113" s="111">
        <f t="shared" si="9"/>
        <v>0</v>
      </c>
      <c r="Q113" s="111" t="b">
        <f t="shared" si="10"/>
        <v>0</v>
      </c>
      <c r="R113" s="49" t="str">
        <f t="array" aca="1" ref="R113" ca="1">IFERROR(SMALL(IF(P$1:P$311&lt;&gt;0,P$1:P$311),ROW(A113)),"")</f>
        <v/>
      </c>
      <c r="S113" s="49" t="str">
        <f t="array" aca="1" ref="S113" ca="1">IF($R113&lt;&gt;"",
SUBSTITUTE(SUBSTITUTE(INDIRECT("C"&amp;$R113&amp;"")," 週3ｺｰｽ","")," 週5ｺｰｽ",""),"")</f>
        <v/>
      </c>
      <c r="T113" s="49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22" t="str">
        <f t="array" aca="1" ref="U113" ca="1">IF($R113&lt;&gt;"",
INDIRECT("F"&amp;$R113&amp;""),"")</f>
        <v/>
      </c>
      <c r="V113" s="49" t="str">
        <f t="array" aca="1" ref="V113" ca="1">IF($R113&lt;&gt;"",
INDIRECT("G"&amp;$R113&amp;""),"")</f>
        <v/>
      </c>
      <c r="W113" s="49" t="str">
        <f t="array" aca="1" ref="W113" ca="1">IF($R113&lt;&gt;"",
IF(AND(COUNTIF(INDIRECT("B"&amp;R113&amp;""),"*雙葉*"),COUNTIF(B:B,"*雙葉*")&gt;=2),
IF(OR(COUNTIF(INDIRECT("B"&amp;R113&amp;""),"*雙葉先生*"),COUNTIF($B$1:$B$70,"*雙葉*")&gt;=2),INDIRECT("H"&amp;R113&amp;""),INDIRECT("H"&amp;R113&amp;"")+INDIRECT("H"&amp;MATCH("雙葉'",INDIRECT("B"&amp;R113+3&amp;":B210"),0)+2+R113&amp;"")),
IF(AND(LEFT(INDIRECT("B"&amp;R113&amp;""),2)="博多",COUNTIF(B:B,"*博多*")&gt;=2),
INDIRECT("H"&amp;R113&amp;"")+INDIRECT("H"&amp;MATCH("*"&amp;INDIRECT("B"&amp;R113&amp;"")&amp;"*",INDIRECT("B"&amp;R113+1&amp;":B210"),0)+R113&amp;""),
IF(AND(LEFT(INDIRECT("B"&amp;R113&amp;""),3)="奈良屋",COUNTIF(B:B,"*奈良屋*")&gt;=2),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49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49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49" t="str">
        <f t="shared" ca="1" si="11"/>
        <v/>
      </c>
      <c r="AA113" s="49" t="str">
        <f t="shared" ca="1" si="12"/>
        <v/>
      </c>
      <c r="AB113" s="49" t="str">
        <f t="array" aca="1" ref="AB113" ca="1">IF($R113&lt;&gt;"",
IF(AND(COUNTIF(INDIRECT("B"&amp;R113&amp;""),"*雙葉*"),COUNTIF(B:B,"*雙葉*")&gt;=2),
INDIRECT("M"&amp;R113&amp;"")+INDIRECT("M"&amp;MATCH("雙葉'",INDIRECT("B"&amp;R113+1&amp;":B210"),0)+R113&amp;""),
IF(AND(LEFT(INDIRECT("B"&amp;R113&amp;""),2)="博多",COUNTIF(B:B,"*博多*")&gt;=2),
INDIRECT("M"&amp;R113&amp;"")+INDIRECT("M"&amp;MATCH("*"&amp;INDIRECT("B"&amp;R113&amp;"")&amp;"*",INDIRECT("B"&amp;R113+1&amp;":B210"),0)+R113&amp;""),
IF(AND(LEFT(INDIRECT("B"&amp;R113&amp;""),3)="奈良屋",COUNTIF(B:B,"*奈良屋*")&gt;=2),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  <c r="AC113" s="49" t="str">
        <f ca="1">IF(S113&lt;&gt;"",INDEX(A:A, MATCH("*"&amp;LEFT(S113,4)&amp;"*", C:C, 0)),"")</f>
        <v/>
      </c>
      <c r="AD113" s="49" t="str">
        <f ca="1">IFERROR(INDEX(AC:AC,MATCH(SMALL($AU:$AU,ROW()+3),$AU:$AU,0)),"")</f>
        <v/>
      </c>
      <c r="AE113" s="49" t="str">
        <f ca="1">IFERROR(INDEX(R:R,MATCH(SMALL($AU:$AU,ROW()+3),$AU:$AU,0)),"")</f>
        <v/>
      </c>
      <c r="AF113" s="49" t="str">
        <f ca="1">IFERROR(INDEX(S:S,MATCH(SMALL($AU:$AU,ROW()+3),$AU:$AU,0)),"")</f>
        <v/>
      </c>
      <c r="AG113" s="49" t="str">
        <f ca="1">IFERROR(INDEX(T:T,MATCH(SMALL($AU:$AU,ROW()+3),$AU:$AU,0)),"")</f>
        <v/>
      </c>
      <c r="AH113" s="122" t="str">
        <f ca="1">IFERROR(INDEX(U:U,MATCH(SMALL($AU:$AU,ROW()+3),$AU:$AU,0)),"")</f>
        <v/>
      </c>
      <c r="AI113" s="49" t="str">
        <f ca="1">IFERROR(INDEX(V:V,MATCH(SMALL($AU:$AU,ROW()+3),$AU:$AU,0)),"")</f>
        <v/>
      </c>
      <c r="AJ113" s="49" t="str">
        <f ca="1">IFERROR(INDEX(W:W,MATCH(SMALL($AU:$AU,ROW()+3),$AU:$AU,0)),"")</f>
        <v/>
      </c>
      <c r="AK113" s="49" t="str">
        <f ca="1">IFERROR(INDEX(X:X,MATCH(SMALL($AU:$AU,ROW()+3),$AU:$AU,0)),"")</f>
        <v/>
      </c>
      <c r="AL113" s="49" t="str">
        <f ca="1">IFERROR(INDEX(Y:Y,MATCH(SMALL($AU:$AU,ROW()+3),$AU:$AU,0)),"")</f>
        <v/>
      </c>
      <c r="AM113" s="49" t="str">
        <f ca="1">IFERROR(INDEX(Z:Z,MATCH(SMALL($AU:$AU,ROW()+3),$AU:$AU,0)),"")</f>
        <v/>
      </c>
      <c r="AN113" s="49" t="str">
        <f ca="1">IFERROR(INDEX(AA:AA,MATCH(SMALL($AU:$AU,ROW()+3),$AU:$AU,0)),"")</f>
        <v/>
      </c>
      <c r="AO113" s="49" t="str">
        <f ca="1">IFERROR(INDEX(AB:AB,MATCH(SMALL($AU:$AU,ROW()+3),$AU:$AU,0)),"")</f>
        <v/>
      </c>
      <c r="AP113" s="49" t="str">
        <f ca="1">IFERROR(INDEX(AC:AC,MATCH(SMALL($AU:$AU,ROW()+3),$AU:$AU,0)),"")</f>
        <v/>
      </c>
      <c r="AU113" s="49" t="str">
        <f t="shared" ca="1" si="14"/>
        <v/>
      </c>
    </row>
    <row r="114" spans="1:47" ht="22.2" customHeight="1">
      <c r="A114" s="110">
        <f t="shared" si="20"/>
        <v>93</v>
      </c>
      <c r="B114" s="111" t="str">
        <f t="shared" ca="1" si="18"/>
        <v/>
      </c>
      <c r="C114" s="111" t="str">
        <f>IF(OR(クライアント抽出!C44&lt;&gt;"",クライアント抽出!F44&lt;&gt;""),クライアント抽出!A44,"")</f>
        <v/>
      </c>
      <c r="D114" s="111" t="str">
        <f t="array" aca="1" ref="D114" ca="1">IF(C114&lt;&gt;"",INDIRECT("クライアント抽出!"&amp;E114&amp;MATCH(C114,クライアント抽出!A:A,0)&amp;""),"")</f>
        <v/>
      </c>
      <c r="E114" s="111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112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11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113" t="str">
        <f>IF(C114&lt;&gt;"",
クライアント抽出!C44,"")</f>
        <v/>
      </c>
      <c r="I114" s="111" t="str">
        <f t="array" aca="1" ref="I114" ca="1">IF(C114&lt;&gt;"",
IF(O114=1,
IF(SUMPRODUCT(COUNTIF(クライアント抽出!P44:U44,クライアント抽出!P44:U44))&gt;COUNTA(クライアント抽出!P44:U44),
INDIRECT("数出表_Excel!"&amp;INDEX(_xlfn.UNIQUE(_xlfn._xlws.FILTER(クライアント抽出!P44:U44,COUNTIF(クライアント抽出!P44:U44,クライアント抽出!P44:U44)=1)),1)&amp;L114&amp;""),
0),クライアント抽出!F44),"")</f>
        <v/>
      </c>
      <c r="J114" s="111" t="str">
        <f>IF(C114&lt;&gt;"",
VLOOKUP(
"*"&amp;LEFT(IF(COUNTIF(D114,"*学食*"),"キャラ弁（学食）",
IF(COUNTIF(D114,"*赤*"),"赤",
IF(COUNTIF(D114,"*キャラ弁当*"),"キャラ弁当",D114))),4)&amp;"*",注文弁当の抽出!$E$1:$F$15,2,FALSE),"")</f>
        <v/>
      </c>
      <c r="K114" s="111" t="str">
        <f ca="1">IF(クライアント抽出!Q44&lt;&gt;"",SUBSTITUTE(ADDRESS(1,(CODE(クライアント抽出!Q44)-64)*2-1,4),"1",""),"")</f>
        <v/>
      </c>
      <c r="L114" s="111" t="str">
        <f>IF(C44&lt;&gt;"",クライアント抽出!I44,"")</f>
        <v/>
      </c>
      <c r="M114" s="111">
        <f t="array" aca="1" ref="M114" ca="1">IF(C114&lt;&gt;"",
IF(K114&lt;&gt;"",INDIRECT("'数出表_Excel（アレルギー入力）'!"&amp;K114&amp;L114-1&amp;""),),)</f>
        <v>0</v>
      </c>
      <c r="N114" s="111" t="str">
        <f>IF(C114&lt;&gt;"",IF(OR(COUNTIF('盛付札（関数）'!D114,"*赤*"),COUNTIF('盛付札（関数）'!D114,"*キャラ*")),1,
VLOOKUP("*"&amp;D114&amp;"*",商品マスタ一覧!D:H,5,FALSE)),"")</f>
        <v/>
      </c>
      <c r="O114" s="111">
        <f t="shared" ca="1" si="19"/>
        <v>0</v>
      </c>
      <c r="P114" s="111">
        <f t="shared" si="9"/>
        <v>0</v>
      </c>
      <c r="Q114" s="111" t="b">
        <f t="shared" si="10"/>
        <v>0</v>
      </c>
      <c r="R114" s="49" t="str">
        <f t="array" aca="1" ref="R114" ca="1">IFERROR(SMALL(IF(P$1:P$311&lt;&gt;0,P$1:P$311),ROW(A114)),"")</f>
        <v/>
      </c>
      <c r="S114" s="49" t="str">
        <f t="array" aca="1" ref="S114" ca="1">IF($R114&lt;&gt;"",
SUBSTITUTE(SUBSTITUTE(INDIRECT("C"&amp;$R114&amp;"")," 週3ｺｰｽ","")," 週5ｺｰｽ",""),"")</f>
        <v/>
      </c>
      <c r="T114" s="49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22" t="str">
        <f t="array" aca="1" ref="U114" ca="1">IF($R114&lt;&gt;"",
INDIRECT("F"&amp;$R114&amp;""),"")</f>
        <v/>
      </c>
      <c r="V114" s="49" t="str">
        <f t="array" aca="1" ref="V114" ca="1">IF($R114&lt;&gt;"",
INDIRECT("G"&amp;$R114&amp;""),"")</f>
        <v/>
      </c>
      <c r="W114" s="49" t="str">
        <f t="array" aca="1" ref="W114" ca="1">IF($R114&lt;&gt;"",
IF(AND(COUNTIF(INDIRECT("B"&amp;R114&amp;""),"*雙葉*"),COUNTIF(B:B,"*雙葉*")&gt;=2),
IF(OR(COUNTIF(INDIRECT("B"&amp;R114&amp;""),"*雙葉先生*"),COUNTIF($B$1:$B$70,"*雙葉*")&gt;=2),INDIRECT("H"&amp;R114&amp;""),INDIRECT("H"&amp;R114&amp;"")+INDIRECT("H"&amp;MATCH("雙葉'",INDIRECT("B"&amp;R114+3&amp;":B210"),0)+2+R114&amp;"")),
IF(AND(LEFT(INDIRECT("B"&amp;R114&amp;""),2)="博多",COUNTIF(B:B,"*博多*")&gt;=2),
INDIRECT("H"&amp;R114&amp;"")+INDIRECT("H"&amp;MATCH("*"&amp;INDIRECT("B"&amp;R114&amp;"")&amp;"*",INDIRECT("B"&amp;R114+1&amp;":B210"),0)+R114&amp;""),
IF(AND(LEFT(INDIRECT("B"&amp;R114&amp;""),3)="奈良屋",COUNTIF(B:B,"*奈良屋*")&gt;=2),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49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49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49" t="str">
        <f t="shared" ca="1" si="11"/>
        <v/>
      </c>
      <c r="AA114" s="49" t="str">
        <f t="shared" ca="1" si="12"/>
        <v/>
      </c>
      <c r="AB114" s="49" t="str">
        <f t="array" aca="1" ref="AB114" ca="1">IF($R114&lt;&gt;"",
IF(AND(COUNTIF(INDIRECT("B"&amp;R114&amp;""),"*雙葉*"),COUNTIF(B:B,"*雙葉*")&gt;=2),
INDIRECT("M"&amp;R114&amp;"")+INDIRECT("M"&amp;MATCH("雙葉'",INDIRECT("B"&amp;R114+1&amp;":B210"),0)+R114&amp;""),
IF(AND(LEFT(INDIRECT("B"&amp;R114&amp;""),2)="博多",COUNTIF(B:B,"*博多*")&gt;=2),
INDIRECT("M"&amp;R114&amp;"")+INDIRECT("M"&amp;MATCH("*"&amp;INDIRECT("B"&amp;R114&amp;"")&amp;"*",INDIRECT("B"&amp;R114+1&amp;":B210"),0)+R114&amp;""),
IF(AND(LEFT(INDIRECT("B"&amp;R114&amp;""),3)="奈良屋",COUNTIF(B:B,"*奈良屋*")&gt;=2),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  <c r="AC114" s="49" t="str">
        <f ca="1">IF(S114&lt;&gt;"",INDEX(A:A, MATCH("*"&amp;LEFT(S114,4)&amp;"*", C:C, 0)),"")</f>
        <v/>
      </c>
      <c r="AD114" s="49" t="str">
        <f ca="1">IFERROR(INDEX(AC:AC,MATCH(SMALL($AU:$AU,ROW()+3),$AU:$AU,0)),"")</f>
        <v/>
      </c>
      <c r="AE114" s="49" t="str">
        <f ca="1">IFERROR(INDEX(R:R,MATCH(SMALL($AU:$AU,ROW()+3),$AU:$AU,0)),"")</f>
        <v/>
      </c>
      <c r="AF114" s="49" t="str">
        <f ca="1">IFERROR(INDEX(S:S,MATCH(SMALL($AU:$AU,ROW()+3),$AU:$AU,0)),"")</f>
        <v/>
      </c>
      <c r="AG114" s="49" t="str">
        <f ca="1">IFERROR(INDEX(T:T,MATCH(SMALL($AU:$AU,ROW()+3),$AU:$AU,0)),"")</f>
        <v/>
      </c>
      <c r="AH114" s="122" t="str">
        <f ca="1">IFERROR(INDEX(U:U,MATCH(SMALL($AU:$AU,ROW()+3),$AU:$AU,0)),"")</f>
        <v/>
      </c>
      <c r="AI114" s="49" t="str">
        <f ca="1">IFERROR(INDEX(V:V,MATCH(SMALL($AU:$AU,ROW()+3),$AU:$AU,0)),"")</f>
        <v/>
      </c>
      <c r="AJ114" s="49" t="str">
        <f ca="1">IFERROR(INDEX(W:W,MATCH(SMALL($AU:$AU,ROW()+3),$AU:$AU,0)),"")</f>
        <v/>
      </c>
      <c r="AK114" s="49" t="str">
        <f ca="1">IFERROR(INDEX(X:X,MATCH(SMALL($AU:$AU,ROW()+3),$AU:$AU,0)),"")</f>
        <v/>
      </c>
      <c r="AL114" s="49" t="str">
        <f ca="1">IFERROR(INDEX(Y:Y,MATCH(SMALL($AU:$AU,ROW()+3),$AU:$AU,0)),"")</f>
        <v/>
      </c>
      <c r="AM114" s="49" t="str">
        <f ca="1">IFERROR(INDEX(Z:Z,MATCH(SMALL($AU:$AU,ROW()+3),$AU:$AU,0)),"")</f>
        <v/>
      </c>
      <c r="AN114" s="49" t="str">
        <f ca="1">IFERROR(INDEX(AA:AA,MATCH(SMALL($AU:$AU,ROW()+3),$AU:$AU,0)),"")</f>
        <v/>
      </c>
      <c r="AO114" s="49" t="str">
        <f ca="1">IFERROR(INDEX(AB:AB,MATCH(SMALL($AU:$AU,ROW()+3),$AU:$AU,0)),"")</f>
        <v/>
      </c>
      <c r="AP114" s="49" t="str">
        <f ca="1">IFERROR(INDEX(AC:AC,MATCH(SMALL($AU:$AU,ROW()+3),$AU:$AU,0)),"")</f>
        <v/>
      </c>
      <c r="AU114" s="49" t="str">
        <f t="shared" ca="1" si="14"/>
        <v/>
      </c>
    </row>
    <row r="115" spans="1:47" ht="22.2" customHeight="1">
      <c r="A115" s="110">
        <f t="shared" si="20"/>
        <v>95</v>
      </c>
      <c r="B115" s="111" t="str">
        <f t="shared" ca="1" si="18"/>
        <v/>
      </c>
      <c r="C115" s="111" t="str">
        <f>IF(OR(クライアント抽出!C45&lt;&gt;"",クライアント抽出!F45&lt;&gt;""),クライアント抽出!A45,"")</f>
        <v/>
      </c>
      <c r="D115" s="111" t="str">
        <f t="array" aca="1" ref="D115" ca="1">IF(C115&lt;&gt;"",INDIRECT("クライアント抽出!"&amp;E115&amp;MATCH(C115,クライアント抽出!A:A,0)&amp;""),"")</f>
        <v/>
      </c>
      <c r="E115" s="111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112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11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113" t="str">
        <f>IF(C115&lt;&gt;"",
クライアント抽出!C45,"")</f>
        <v/>
      </c>
      <c r="I115" s="111" t="str">
        <f t="array" aca="1" ref="I115" ca="1">IF(C115&lt;&gt;"",
IF(O115=1,
IF(SUMPRODUCT(COUNTIF(クライアント抽出!P45:U45,クライアント抽出!P45:U45))&gt;COUNTA(クライアント抽出!P45:U45),
INDIRECT("数出表_Excel!"&amp;INDEX(_xlfn.UNIQUE(_xlfn._xlws.FILTER(クライアント抽出!P45:U45,COUNTIF(クライアント抽出!P45:U45,クライアント抽出!P45:U45)=1)),1)&amp;L115&amp;""),
0),クライアント抽出!F45),"")</f>
        <v/>
      </c>
      <c r="J115" s="111" t="str">
        <f>IF(C115&lt;&gt;"",
VLOOKUP(
"*"&amp;LEFT(IF(COUNTIF(D115,"*学食*"),"キャラ弁（学食）",
IF(COUNTIF(D115,"*赤*"),"赤",
IF(COUNTIF(D115,"*キャラ弁当*"),"キャラ弁当",D115))),4)&amp;"*",注文弁当の抽出!$E$1:$F$15,2,FALSE),"")</f>
        <v/>
      </c>
      <c r="K115" s="111" t="str">
        <f ca="1">IF(クライアント抽出!Q45&lt;&gt;"",SUBSTITUTE(ADDRESS(1,(CODE(クライアント抽出!Q45)-64)*2-1,4),"1",""),"")</f>
        <v/>
      </c>
      <c r="L115" s="111" t="str">
        <f>IF(C45&lt;&gt;"",クライアント抽出!I45,"")</f>
        <v/>
      </c>
      <c r="M115" s="111">
        <f t="array" aca="1" ref="M115" ca="1">IF(C115&lt;&gt;"",
IF(K115&lt;&gt;"",INDIRECT("'数出表_Excel（アレルギー入力）'!"&amp;K115&amp;L115-1&amp;""),),)</f>
        <v>0</v>
      </c>
      <c r="N115" s="111" t="str">
        <f>IF(C115&lt;&gt;"",IF(OR(COUNTIF('盛付札（関数）'!D115,"*赤*"),COUNTIF('盛付札（関数）'!D115,"*キャラ*")),1,
VLOOKUP("*"&amp;D115&amp;"*",商品マスタ一覧!D:H,5,FALSE)),"")</f>
        <v/>
      </c>
      <c r="O115" s="111">
        <f t="shared" ca="1" si="19"/>
        <v>0</v>
      </c>
      <c r="P115" s="111">
        <f t="shared" si="9"/>
        <v>0</v>
      </c>
      <c r="Q115" s="111" t="b">
        <f t="shared" si="10"/>
        <v>0</v>
      </c>
      <c r="R115" s="49" t="str">
        <f t="array" aca="1" ref="R115" ca="1">IFERROR(SMALL(IF(P$1:P$311&lt;&gt;0,P$1:P$311),ROW(A115)),"")</f>
        <v/>
      </c>
      <c r="S115" s="49" t="str">
        <f t="array" aca="1" ref="S115" ca="1">IF($R115&lt;&gt;"",
SUBSTITUTE(SUBSTITUTE(INDIRECT("C"&amp;$R115&amp;"")," 週3ｺｰｽ","")," 週5ｺｰｽ",""),"")</f>
        <v/>
      </c>
      <c r="T115" s="49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22" t="str">
        <f t="array" aca="1" ref="U115" ca="1">IF($R115&lt;&gt;"",
INDIRECT("F"&amp;$R115&amp;""),"")</f>
        <v/>
      </c>
      <c r="V115" s="49" t="str">
        <f t="array" aca="1" ref="V115" ca="1">IF($R115&lt;&gt;"",
INDIRECT("G"&amp;$R115&amp;""),"")</f>
        <v/>
      </c>
      <c r="W115" s="49" t="str">
        <f t="array" aca="1" ref="W115" ca="1">IF($R115&lt;&gt;"",
IF(AND(COUNTIF(INDIRECT("B"&amp;R115&amp;""),"*雙葉*"),COUNTIF(B:B,"*雙葉*")&gt;=2),
IF(OR(COUNTIF(INDIRECT("B"&amp;R115&amp;""),"*雙葉先生*"),COUNTIF($B$1:$B$70,"*雙葉*")&gt;=2),INDIRECT("H"&amp;R115&amp;""),INDIRECT("H"&amp;R115&amp;"")+INDIRECT("H"&amp;MATCH("雙葉'",INDIRECT("B"&amp;R115+3&amp;":B210"),0)+2+R115&amp;"")),
IF(AND(LEFT(INDIRECT("B"&amp;R115&amp;""),2)="博多",COUNTIF(B:B,"*博多*")&gt;=2),
INDIRECT("H"&amp;R115&amp;"")+INDIRECT("H"&amp;MATCH("*"&amp;INDIRECT("B"&amp;R115&amp;"")&amp;"*",INDIRECT("B"&amp;R115+1&amp;":B210"),0)+R115&amp;""),
IF(AND(LEFT(INDIRECT("B"&amp;R115&amp;""),3)="奈良屋",COUNTIF(B:B,"*奈良屋*")&gt;=2),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49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49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49" t="str">
        <f t="shared" ca="1" si="11"/>
        <v/>
      </c>
      <c r="AA115" s="49" t="str">
        <f t="shared" ca="1" si="12"/>
        <v/>
      </c>
      <c r="AB115" s="49" t="str">
        <f t="array" aca="1" ref="AB115" ca="1">IF($R115&lt;&gt;"",
IF(AND(COUNTIF(INDIRECT("B"&amp;R115&amp;""),"*雙葉*"),COUNTIF(B:B,"*雙葉*")&gt;=2),
INDIRECT("M"&amp;R115&amp;"")+INDIRECT("M"&amp;MATCH("雙葉'",INDIRECT("B"&amp;R115+1&amp;":B210"),0)+R115&amp;""),
IF(AND(LEFT(INDIRECT("B"&amp;R115&amp;""),2)="博多",COUNTIF(B:B,"*博多*")&gt;=2),
INDIRECT("M"&amp;R115&amp;"")+INDIRECT("M"&amp;MATCH("*"&amp;INDIRECT("B"&amp;R115&amp;"")&amp;"*",INDIRECT("B"&amp;R115+1&amp;":B210"),0)+R115&amp;""),
IF(AND(LEFT(INDIRECT("B"&amp;R115&amp;""),3)="奈良屋",COUNTIF(B:B,"*奈良屋*")&gt;=2),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  <c r="AC115" s="49" t="str">
        <f ca="1">IF(S115&lt;&gt;"",INDEX(A:A, MATCH("*"&amp;LEFT(S115,4)&amp;"*", C:C, 0)),"")</f>
        <v/>
      </c>
      <c r="AD115" s="49" t="str">
        <f ca="1">IFERROR(INDEX(AC:AC,MATCH(SMALL($AU:$AU,ROW()+3),$AU:$AU,0)),"")</f>
        <v/>
      </c>
      <c r="AE115" s="49" t="str">
        <f ca="1">IFERROR(INDEX(R:R,MATCH(SMALL($AU:$AU,ROW()+3),$AU:$AU,0)),"")</f>
        <v/>
      </c>
      <c r="AF115" s="49" t="str">
        <f ca="1">IFERROR(INDEX(S:S,MATCH(SMALL($AU:$AU,ROW()+3),$AU:$AU,0)),"")</f>
        <v/>
      </c>
      <c r="AG115" s="49" t="str">
        <f ca="1">IFERROR(INDEX(T:T,MATCH(SMALL($AU:$AU,ROW()+3),$AU:$AU,0)),"")</f>
        <v/>
      </c>
      <c r="AH115" s="122" t="str">
        <f ca="1">IFERROR(INDEX(U:U,MATCH(SMALL($AU:$AU,ROW()+3),$AU:$AU,0)),"")</f>
        <v/>
      </c>
      <c r="AI115" s="49" t="str">
        <f ca="1">IFERROR(INDEX(V:V,MATCH(SMALL($AU:$AU,ROW()+3),$AU:$AU,0)),"")</f>
        <v/>
      </c>
      <c r="AJ115" s="49" t="str">
        <f ca="1">IFERROR(INDEX(W:W,MATCH(SMALL($AU:$AU,ROW()+3),$AU:$AU,0)),"")</f>
        <v/>
      </c>
      <c r="AK115" s="49" t="str">
        <f ca="1">IFERROR(INDEX(X:X,MATCH(SMALL($AU:$AU,ROW()+3),$AU:$AU,0)),"")</f>
        <v/>
      </c>
      <c r="AL115" s="49" t="str">
        <f ca="1">IFERROR(INDEX(Y:Y,MATCH(SMALL($AU:$AU,ROW()+3),$AU:$AU,0)),"")</f>
        <v/>
      </c>
      <c r="AM115" s="49" t="str">
        <f ca="1">IFERROR(INDEX(Z:Z,MATCH(SMALL($AU:$AU,ROW()+3),$AU:$AU,0)),"")</f>
        <v/>
      </c>
      <c r="AN115" s="49" t="str">
        <f ca="1">IFERROR(INDEX(AA:AA,MATCH(SMALL($AU:$AU,ROW()+3),$AU:$AU,0)),"")</f>
        <v/>
      </c>
      <c r="AO115" s="49" t="str">
        <f ca="1">IFERROR(INDEX(AB:AB,MATCH(SMALL($AU:$AU,ROW()+3),$AU:$AU,0)),"")</f>
        <v/>
      </c>
      <c r="AP115" s="49" t="str">
        <f ca="1">IFERROR(INDEX(AC:AC,MATCH(SMALL($AU:$AU,ROW()+3),$AU:$AU,0)),"")</f>
        <v/>
      </c>
      <c r="AU115" s="49" t="str">
        <f t="shared" ca="1" si="14"/>
        <v/>
      </c>
    </row>
    <row r="116" spans="1:47" ht="22.2" customHeight="1">
      <c r="A116" s="110">
        <f t="shared" si="20"/>
        <v>97</v>
      </c>
      <c r="B116" s="111" t="str">
        <f t="shared" ca="1" si="18"/>
        <v/>
      </c>
      <c r="C116" s="111" t="str">
        <f>IF(OR(クライアント抽出!C46&lt;&gt;"",クライアント抽出!F46&lt;&gt;""),クライアント抽出!A46,"")</f>
        <v/>
      </c>
      <c r="D116" s="111" t="str">
        <f t="array" aca="1" ref="D116" ca="1">IF(C116&lt;&gt;"",INDIRECT("クライアント抽出!"&amp;E116&amp;MATCH(C116,クライアント抽出!A:A,0)&amp;""),"")</f>
        <v/>
      </c>
      <c r="E116" s="111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112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11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113" t="str">
        <f>IF(C116&lt;&gt;"",
クライアント抽出!C46,"")</f>
        <v/>
      </c>
      <c r="I116" s="111" t="str">
        <f t="array" aca="1" ref="I116" ca="1">IF(C116&lt;&gt;"",
IF(O116=1,
IF(SUMPRODUCT(COUNTIF(クライアント抽出!P46:U46,クライアント抽出!P46:U46))&gt;COUNTA(クライアント抽出!P46:U46),
INDIRECT("数出表_Excel!"&amp;INDEX(_xlfn.UNIQUE(_xlfn._xlws.FILTER(クライアント抽出!P46:U46,COUNTIF(クライアント抽出!P46:U46,クライアント抽出!P46:U46)=1)),1)&amp;L116&amp;""),
0),クライアント抽出!F46),"")</f>
        <v/>
      </c>
      <c r="J116" s="111" t="str">
        <f>IF(C116&lt;&gt;"",
VLOOKUP(
"*"&amp;LEFT(IF(COUNTIF(D116,"*学食*"),"キャラ弁（学食）",
IF(COUNTIF(D116,"*赤*"),"赤",
IF(COUNTIF(D116,"*キャラ弁当*"),"キャラ弁当",D116))),4)&amp;"*",注文弁当の抽出!$E$1:$F$15,2,FALSE),"")</f>
        <v/>
      </c>
      <c r="K116" s="111" t="str">
        <f ca="1">IF(クライアント抽出!Q46&lt;&gt;"",SUBSTITUTE(ADDRESS(1,(CODE(クライアント抽出!Q46)-64)*2-1,4),"1",""),"")</f>
        <v/>
      </c>
      <c r="L116" s="111" t="str">
        <f>IF(C46&lt;&gt;"",クライアント抽出!I46,"")</f>
        <v/>
      </c>
      <c r="M116" s="111">
        <f t="array" aca="1" ref="M116" ca="1">IF(C116&lt;&gt;"",
IF(K116&lt;&gt;"",INDIRECT("'数出表_Excel（アレルギー入力）'!"&amp;K116&amp;L116-1&amp;""),),)</f>
        <v>0</v>
      </c>
      <c r="N116" s="111" t="str">
        <f>IF(C116&lt;&gt;"",IF(OR(COUNTIF('盛付札（関数）'!D116,"*赤*"),COUNTIF('盛付札（関数）'!D116,"*キャラ*")),1,
VLOOKUP("*"&amp;D116&amp;"*",商品マスタ一覧!D:H,5,FALSE)),"")</f>
        <v/>
      </c>
      <c r="O116" s="111">
        <f t="shared" ca="1" si="19"/>
        <v>0</v>
      </c>
      <c r="P116" s="111">
        <f t="shared" si="9"/>
        <v>0</v>
      </c>
      <c r="Q116" s="111" t="b">
        <f t="shared" si="10"/>
        <v>0</v>
      </c>
      <c r="R116" s="49" t="str">
        <f t="array" aca="1" ref="R116" ca="1">IFERROR(SMALL(IF(P$1:P$311&lt;&gt;0,P$1:P$311),ROW(A116)),"")</f>
        <v/>
      </c>
      <c r="S116" s="49" t="str">
        <f t="array" aca="1" ref="S116" ca="1">IF($R116&lt;&gt;"",
SUBSTITUTE(SUBSTITUTE(INDIRECT("C"&amp;$R116&amp;"")," 週3ｺｰｽ","")," 週5ｺｰｽ",""),"")</f>
        <v/>
      </c>
      <c r="T116" s="49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22" t="str">
        <f t="array" aca="1" ref="U116" ca="1">IF($R116&lt;&gt;"",
INDIRECT("F"&amp;$R116&amp;""),"")</f>
        <v/>
      </c>
      <c r="V116" s="49" t="str">
        <f t="array" aca="1" ref="V116" ca="1">IF($R116&lt;&gt;"",
INDIRECT("G"&amp;$R116&amp;""),"")</f>
        <v/>
      </c>
      <c r="W116" s="49" t="str">
        <f t="array" aca="1" ref="W116" ca="1">IF($R116&lt;&gt;"",
IF(AND(COUNTIF(INDIRECT("B"&amp;R116&amp;""),"*雙葉*"),COUNTIF(B:B,"*雙葉*")&gt;=2),
IF(OR(COUNTIF(INDIRECT("B"&amp;R116&amp;""),"*雙葉先生*"),COUNTIF($B$1:$B$70,"*雙葉*")&gt;=2),INDIRECT("H"&amp;R116&amp;""),INDIRECT("H"&amp;R116&amp;"")+INDIRECT("H"&amp;MATCH("雙葉'",INDIRECT("B"&amp;R116+3&amp;":B210"),0)+2+R116&amp;"")),
IF(AND(LEFT(INDIRECT("B"&amp;R116&amp;""),2)="博多",COUNTIF(B:B,"*博多*")&gt;=2),
INDIRECT("H"&amp;R116&amp;"")+INDIRECT("H"&amp;MATCH("*"&amp;INDIRECT("B"&amp;R116&amp;"")&amp;"*",INDIRECT("B"&amp;R116+1&amp;":B210"),0)+R116&amp;""),
IF(AND(LEFT(INDIRECT("B"&amp;R116&amp;""),3)="奈良屋",COUNTIF(B:B,"*奈良屋*")&gt;=2),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49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49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49" t="str">
        <f t="shared" ca="1" si="11"/>
        <v/>
      </c>
      <c r="AA116" s="49" t="str">
        <f t="shared" ca="1" si="12"/>
        <v/>
      </c>
      <c r="AB116" s="49" t="str">
        <f t="array" aca="1" ref="AB116" ca="1">IF($R116&lt;&gt;"",
IF(AND(COUNTIF(INDIRECT("B"&amp;R116&amp;""),"*雙葉*"),COUNTIF(B:B,"*雙葉*")&gt;=2),
INDIRECT("M"&amp;R116&amp;"")+INDIRECT("M"&amp;MATCH("雙葉'",INDIRECT("B"&amp;R116+1&amp;":B210"),0)+R116&amp;""),
IF(AND(LEFT(INDIRECT("B"&amp;R116&amp;""),2)="博多",COUNTIF(B:B,"*博多*")&gt;=2),
INDIRECT("M"&amp;R116&amp;"")+INDIRECT("M"&amp;MATCH("*"&amp;INDIRECT("B"&amp;R116&amp;"")&amp;"*",INDIRECT("B"&amp;R116+1&amp;":B210"),0)+R116&amp;""),
IF(AND(LEFT(INDIRECT("B"&amp;R116&amp;""),3)="奈良屋",COUNTIF(B:B,"*奈良屋*")&gt;=2),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  <c r="AC116" s="49" t="str">
        <f ca="1">IF(S116&lt;&gt;"",INDEX(A:A, MATCH("*"&amp;LEFT(S116,4)&amp;"*", C:C, 0)),"")</f>
        <v/>
      </c>
      <c r="AD116" s="49" t="str">
        <f ca="1">IFERROR(INDEX(AC:AC,MATCH(SMALL($AU:$AU,ROW()+3),$AU:$AU,0)),"")</f>
        <v/>
      </c>
      <c r="AE116" s="49" t="str">
        <f ca="1">IFERROR(INDEX(R:R,MATCH(SMALL($AU:$AU,ROW()+3),$AU:$AU,0)),"")</f>
        <v/>
      </c>
      <c r="AF116" s="49" t="str">
        <f ca="1">IFERROR(INDEX(S:S,MATCH(SMALL($AU:$AU,ROW()+3),$AU:$AU,0)),"")</f>
        <v/>
      </c>
      <c r="AG116" s="49" t="str">
        <f ca="1">IFERROR(INDEX(T:T,MATCH(SMALL($AU:$AU,ROW()+3),$AU:$AU,0)),"")</f>
        <v/>
      </c>
      <c r="AH116" s="122" t="str">
        <f ca="1">IFERROR(INDEX(U:U,MATCH(SMALL($AU:$AU,ROW()+3),$AU:$AU,0)),"")</f>
        <v/>
      </c>
      <c r="AI116" s="49" t="str">
        <f ca="1">IFERROR(INDEX(V:V,MATCH(SMALL($AU:$AU,ROW()+3),$AU:$AU,0)),"")</f>
        <v/>
      </c>
      <c r="AJ116" s="49" t="str">
        <f ca="1">IFERROR(INDEX(W:W,MATCH(SMALL($AU:$AU,ROW()+3),$AU:$AU,0)),"")</f>
        <v/>
      </c>
      <c r="AK116" s="49" t="str">
        <f ca="1">IFERROR(INDEX(X:X,MATCH(SMALL($AU:$AU,ROW()+3),$AU:$AU,0)),"")</f>
        <v/>
      </c>
      <c r="AL116" s="49" t="str">
        <f ca="1">IFERROR(INDEX(Y:Y,MATCH(SMALL($AU:$AU,ROW()+3),$AU:$AU,0)),"")</f>
        <v/>
      </c>
      <c r="AM116" s="49" t="str">
        <f ca="1">IFERROR(INDEX(Z:Z,MATCH(SMALL($AU:$AU,ROW()+3),$AU:$AU,0)),"")</f>
        <v/>
      </c>
      <c r="AN116" s="49" t="str">
        <f ca="1">IFERROR(INDEX(AA:AA,MATCH(SMALL($AU:$AU,ROW()+3),$AU:$AU,0)),"")</f>
        <v/>
      </c>
      <c r="AO116" s="49" t="str">
        <f ca="1">IFERROR(INDEX(AB:AB,MATCH(SMALL($AU:$AU,ROW()+3),$AU:$AU,0)),"")</f>
        <v/>
      </c>
      <c r="AP116" s="49" t="str">
        <f ca="1">IFERROR(INDEX(AC:AC,MATCH(SMALL($AU:$AU,ROW()+3),$AU:$AU,0)),"")</f>
        <v/>
      </c>
      <c r="AU116" s="49" t="str">
        <f t="shared" ca="1" si="14"/>
        <v/>
      </c>
    </row>
    <row r="117" spans="1:47" ht="22.2" customHeight="1">
      <c r="A117" s="110">
        <f t="shared" si="20"/>
        <v>99</v>
      </c>
      <c r="B117" s="111" t="str">
        <f t="shared" ca="1" si="18"/>
        <v/>
      </c>
      <c r="C117" s="111" t="str">
        <f>IF(OR(クライアント抽出!C47&lt;&gt;"",クライアント抽出!F47&lt;&gt;""),クライアント抽出!A47,"")</f>
        <v/>
      </c>
      <c r="D117" s="111" t="str">
        <f t="array" aca="1" ref="D117" ca="1">IF(C117&lt;&gt;"",INDIRECT("クライアント抽出!"&amp;E117&amp;MATCH(C117,クライアント抽出!A:A,0)&amp;""),"")</f>
        <v/>
      </c>
      <c r="E117" s="111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112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11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113" t="str">
        <f>IF(C117&lt;&gt;"",
クライアント抽出!C47,"")</f>
        <v/>
      </c>
      <c r="I117" s="111" t="str">
        <f t="array" aca="1" ref="I117" ca="1">IF(C117&lt;&gt;"",
IF(O117=1,
IF(SUMPRODUCT(COUNTIF(クライアント抽出!P47:U47,クライアント抽出!P47:U47))&gt;COUNTA(クライアント抽出!P47:U47),
INDIRECT("数出表_Excel!"&amp;INDEX(_xlfn.UNIQUE(_xlfn._xlws.FILTER(クライアント抽出!P47:U47,COUNTIF(クライアント抽出!P47:U47,クライアント抽出!P47:U47)=1)),1)&amp;L117&amp;""),
0),クライアント抽出!F47),"")</f>
        <v/>
      </c>
      <c r="J117" s="111" t="str">
        <f>IF(C117&lt;&gt;"",
VLOOKUP(
"*"&amp;LEFT(IF(COUNTIF(D117,"*学食*"),"キャラ弁（学食）",
IF(COUNTIF(D117,"*赤*"),"赤",
IF(COUNTIF(D117,"*キャラ弁当*"),"キャラ弁当",D117))),4)&amp;"*",注文弁当の抽出!$E$1:$F$15,2,FALSE),"")</f>
        <v/>
      </c>
      <c r="K117" s="111" t="str">
        <f ca="1">IF(クライアント抽出!Q47&lt;&gt;"",SUBSTITUTE(ADDRESS(1,(CODE(クライアント抽出!Q47)-64)*2-1,4),"1",""),"")</f>
        <v/>
      </c>
      <c r="L117" s="111" t="str">
        <f>IF(C47&lt;&gt;"",クライアント抽出!I47,"")</f>
        <v/>
      </c>
      <c r="M117" s="111">
        <f t="array" aca="1" ref="M117" ca="1">IF(C117&lt;&gt;"",
IF(K117&lt;&gt;"",INDIRECT("'数出表_Excel（アレルギー入力）'!"&amp;K117&amp;L117-1&amp;""),),)</f>
        <v>0</v>
      </c>
      <c r="N117" s="111" t="str">
        <f>IF(C117&lt;&gt;"",IF(OR(COUNTIF('盛付札（関数）'!D117,"*赤*"),COUNTIF('盛付札（関数）'!D117,"*キャラ*")),1,
VLOOKUP("*"&amp;D117&amp;"*",商品マスタ一覧!D:H,5,FALSE)),"")</f>
        <v/>
      </c>
      <c r="O117" s="111">
        <f t="shared" ca="1" si="19"/>
        <v>0</v>
      </c>
      <c r="P117" s="111">
        <f t="shared" si="9"/>
        <v>0</v>
      </c>
      <c r="Q117" s="111" t="b">
        <f t="shared" si="10"/>
        <v>0</v>
      </c>
      <c r="R117" s="49" t="str">
        <f t="array" aca="1" ref="R117" ca="1">IFERROR(SMALL(IF(P$1:P$311&lt;&gt;0,P$1:P$311),ROW(A117)),"")</f>
        <v/>
      </c>
      <c r="S117" s="49" t="str">
        <f t="array" aca="1" ref="S117" ca="1">IF($R117&lt;&gt;"",
SUBSTITUTE(SUBSTITUTE(INDIRECT("C"&amp;$R117&amp;"")," 週3ｺｰｽ","")," 週5ｺｰｽ",""),"")</f>
        <v/>
      </c>
      <c r="T117" s="49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22" t="str">
        <f t="array" aca="1" ref="U117" ca="1">IF($R117&lt;&gt;"",
INDIRECT("F"&amp;$R117&amp;""),"")</f>
        <v/>
      </c>
      <c r="V117" s="49" t="str">
        <f t="array" aca="1" ref="V117" ca="1">IF($R117&lt;&gt;"",
INDIRECT("G"&amp;$R117&amp;""),"")</f>
        <v/>
      </c>
      <c r="W117" s="49" t="str">
        <f t="array" aca="1" ref="W117" ca="1">IF($R117&lt;&gt;"",
IF(AND(COUNTIF(INDIRECT("B"&amp;R117&amp;""),"*雙葉*"),COUNTIF(B:B,"*雙葉*")&gt;=2),
IF(OR(COUNTIF(INDIRECT("B"&amp;R117&amp;""),"*雙葉先生*"),COUNTIF($B$1:$B$70,"*雙葉*")&gt;=2),INDIRECT("H"&amp;R117&amp;""),INDIRECT("H"&amp;R117&amp;"")+INDIRECT("H"&amp;MATCH("雙葉'",INDIRECT("B"&amp;R117+3&amp;":B210"),0)+2+R117&amp;"")),
IF(AND(LEFT(INDIRECT("B"&amp;R117&amp;""),2)="博多",COUNTIF(B:B,"*博多*")&gt;=2),
INDIRECT("H"&amp;R117&amp;"")+INDIRECT("H"&amp;MATCH("*"&amp;INDIRECT("B"&amp;R117&amp;"")&amp;"*",INDIRECT("B"&amp;R117+1&amp;":B210"),0)+R117&amp;""),
IF(AND(LEFT(INDIRECT("B"&amp;R117&amp;""),3)="奈良屋",COUNTIF(B:B,"*奈良屋*")&gt;=2),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49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49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49" t="str">
        <f t="shared" ca="1" si="11"/>
        <v/>
      </c>
      <c r="AA117" s="49" t="str">
        <f t="shared" ca="1" si="12"/>
        <v/>
      </c>
      <c r="AB117" s="49" t="str">
        <f t="array" aca="1" ref="AB117" ca="1">IF($R117&lt;&gt;"",
IF(AND(COUNTIF(INDIRECT("B"&amp;R117&amp;""),"*雙葉*"),COUNTIF(B:B,"*雙葉*")&gt;=2),
INDIRECT("M"&amp;R117&amp;"")+INDIRECT("M"&amp;MATCH("雙葉'",INDIRECT("B"&amp;R117+1&amp;":B210"),0)+R117&amp;""),
IF(AND(LEFT(INDIRECT("B"&amp;R117&amp;""),2)="博多",COUNTIF(B:B,"*博多*")&gt;=2),
INDIRECT("M"&amp;R117&amp;"")+INDIRECT("M"&amp;MATCH("*"&amp;INDIRECT("B"&amp;R117&amp;"")&amp;"*",INDIRECT("B"&amp;R117+1&amp;":B210"),0)+R117&amp;""),
IF(AND(LEFT(INDIRECT("B"&amp;R117&amp;""),3)="奈良屋",COUNTIF(B:B,"*奈良屋*")&gt;=2),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  <c r="AC117" s="49" t="str">
        <f ca="1">IF(S117&lt;&gt;"",INDEX(A:A, MATCH("*"&amp;LEFT(S117,4)&amp;"*", C:C, 0)),"")</f>
        <v/>
      </c>
      <c r="AD117" s="49" t="str">
        <f ca="1">IFERROR(INDEX(AC:AC,MATCH(SMALL($AU:$AU,ROW()+3),$AU:$AU,0)),"")</f>
        <v/>
      </c>
      <c r="AE117" s="49" t="str">
        <f ca="1">IFERROR(INDEX(R:R,MATCH(SMALL($AU:$AU,ROW()+3),$AU:$AU,0)),"")</f>
        <v/>
      </c>
      <c r="AF117" s="49" t="str">
        <f ca="1">IFERROR(INDEX(S:S,MATCH(SMALL($AU:$AU,ROW()+3),$AU:$AU,0)),"")</f>
        <v/>
      </c>
      <c r="AG117" s="49" t="str">
        <f ca="1">IFERROR(INDEX(T:T,MATCH(SMALL($AU:$AU,ROW()+3),$AU:$AU,0)),"")</f>
        <v/>
      </c>
      <c r="AH117" s="122" t="str">
        <f ca="1">IFERROR(INDEX(U:U,MATCH(SMALL($AU:$AU,ROW()+3),$AU:$AU,0)),"")</f>
        <v/>
      </c>
      <c r="AI117" s="49" t="str">
        <f ca="1">IFERROR(INDEX(V:V,MATCH(SMALL($AU:$AU,ROW()+3),$AU:$AU,0)),"")</f>
        <v/>
      </c>
      <c r="AJ117" s="49" t="str">
        <f ca="1">IFERROR(INDEX(W:W,MATCH(SMALL($AU:$AU,ROW()+3),$AU:$AU,0)),"")</f>
        <v/>
      </c>
      <c r="AK117" s="49" t="str">
        <f ca="1">IFERROR(INDEX(X:X,MATCH(SMALL($AU:$AU,ROW()+3),$AU:$AU,0)),"")</f>
        <v/>
      </c>
      <c r="AL117" s="49" t="str">
        <f ca="1">IFERROR(INDEX(Y:Y,MATCH(SMALL($AU:$AU,ROW()+3),$AU:$AU,0)),"")</f>
        <v/>
      </c>
      <c r="AM117" s="49" t="str">
        <f ca="1">IFERROR(INDEX(Z:Z,MATCH(SMALL($AU:$AU,ROW()+3),$AU:$AU,0)),"")</f>
        <v/>
      </c>
      <c r="AN117" s="49" t="str">
        <f ca="1">IFERROR(INDEX(AA:AA,MATCH(SMALL($AU:$AU,ROW()+3),$AU:$AU,0)),"")</f>
        <v/>
      </c>
      <c r="AO117" s="49" t="str">
        <f ca="1">IFERROR(INDEX(AB:AB,MATCH(SMALL($AU:$AU,ROW()+3),$AU:$AU,0)),"")</f>
        <v/>
      </c>
      <c r="AP117" s="49" t="str">
        <f ca="1">IFERROR(INDEX(AC:AC,MATCH(SMALL($AU:$AU,ROW()+3),$AU:$AU,0)),"")</f>
        <v/>
      </c>
      <c r="AU117" s="49" t="str">
        <f t="shared" ca="1" si="14"/>
        <v/>
      </c>
    </row>
    <row r="118" spans="1:47" ht="22.2" customHeight="1">
      <c r="A118" s="110">
        <f t="shared" si="20"/>
        <v>101</v>
      </c>
      <c r="B118" s="111" t="str">
        <f t="shared" ca="1" si="18"/>
        <v/>
      </c>
      <c r="C118" s="111" t="str">
        <f>IF(OR(クライアント抽出!C48&lt;&gt;"",クライアント抽出!F48&lt;&gt;""),クライアント抽出!A48,"")</f>
        <v/>
      </c>
      <c r="D118" s="111" t="str">
        <f t="array" aca="1" ref="D118" ca="1">IF(C118&lt;&gt;"",INDIRECT("クライアント抽出!"&amp;E118&amp;MATCH(C118,クライアント抽出!A:A,0)&amp;""),"")</f>
        <v/>
      </c>
      <c r="E118" s="111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112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11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113" t="str">
        <f>IF(C118&lt;&gt;"",
クライアント抽出!C48,"")</f>
        <v/>
      </c>
      <c r="I118" s="111" t="str">
        <f t="array" aca="1" ref="I118" ca="1">IF(C118&lt;&gt;"",
IF(O118=1,
IF(SUMPRODUCT(COUNTIF(クライアント抽出!P48:U48,クライアント抽出!P48:U48))&gt;COUNTA(クライアント抽出!P48:U48),
INDIRECT("数出表_Excel!"&amp;INDEX(_xlfn.UNIQUE(_xlfn._xlws.FILTER(クライアント抽出!P48:U48,COUNTIF(クライアント抽出!P48:U48,クライアント抽出!P48:U48)=1)),1)&amp;L118&amp;""),
0),クライアント抽出!F48),"")</f>
        <v/>
      </c>
      <c r="J118" s="111" t="str">
        <f>IF(C118&lt;&gt;"",
VLOOKUP(
"*"&amp;LEFT(IF(COUNTIF(D118,"*学食*"),"キャラ弁（学食）",
IF(COUNTIF(D118,"*赤*"),"赤",
IF(COUNTIF(D118,"*キャラ弁当*"),"キャラ弁当",D118))),4)&amp;"*",注文弁当の抽出!$E$1:$F$15,2,FALSE),"")</f>
        <v/>
      </c>
      <c r="K118" s="111" t="str">
        <f ca="1">IF(クライアント抽出!Q48&lt;&gt;"",SUBSTITUTE(ADDRESS(1,(CODE(クライアント抽出!Q48)-64)*2-1,4),"1",""),"")</f>
        <v/>
      </c>
      <c r="L118" s="111" t="str">
        <f>IF(C48&lt;&gt;"",クライアント抽出!I48,"")</f>
        <v/>
      </c>
      <c r="M118" s="111">
        <f t="array" aca="1" ref="M118" ca="1">IF(C118&lt;&gt;"",
IF(K118&lt;&gt;"",INDIRECT("'数出表_Excel（アレルギー入力）'!"&amp;K118&amp;L118-1&amp;""),),)</f>
        <v>0</v>
      </c>
      <c r="N118" s="111" t="str">
        <f>IF(C118&lt;&gt;"",IF(OR(COUNTIF('盛付札（関数）'!D118,"*赤*"),COUNTIF('盛付札（関数）'!D118,"*キャラ*")),1,
VLOOKUP("*"&amp;D118&amp;"*",商品マスタ一覧!D:H,5,FALSE)),"")</f>
        <v/>
      </c>
      <c r="O118" s="111">
        <f t="shared" ca="1" si="19"/>
        <v>0</v>
      </c>
      <c r="P118" s="111">
        <f t="shared" si="9"/>
        <v>0</v>
      </c>
      <c r="Q118" s="111" t="b">
        <f t="shared" si="10"/>
        <v>0</v>
      </c>
      <c r="R118" s="49" t="str">
        <f t="array" aca="1" ref="R118" ca="1">IFERROR(SMALL(IF(P$1:P$311&lt;&gt;0,P$1:P$311),ROW(A118)),"")</f>
        <v/>
      </c>
      <c r="S118" s="49" t="str">
        <f t="array" aca="1" ref="S118" ca="1">IF($R118&lt;&gt;"",
SUBSTITUTE(SUBSTITUTE(INDIRECT("C"&amp;$R118&amp;"")," 週3ｺｰｽ","")," 週5ｺｰｽ",""),"")</f>
        <v/>
      </c>
      <c r="T118" s="49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22" t="str">
        <f t="array" aca="1" ref="U118" ca="1">IF($R118&lt;&gt;"",
INDIRECT("F"&amp;$R118&amp;""),"")</f>
        <v/>
      </c>
      <c r="V118" s="49" t="str">
        <f t="array" aca="1" ref="V118" ca="1">IF($R118&lt;&gt;"",
INDIRECT("G"&amp;$R118&amp;""),"")</f>
        <v/>
      </c>
      <c r="W118" s="49" t="str">
        <f t="array" aca="1" ref="W118" ca="1">IF($R118&lt;&gt;"",
IF(AND(COUNTIF(INDIRECT("B"&amp;R118&amp;""),"*雙葉*"),COUNTIF(B:B,"*雙葉*")&gt;=2),
IF(OR(COUNTIF(INDIRECT("B"&amp;R118&amp;""),"*雙葉先生*"),COUNTIF($B$1:$B$70,"*雙葉*")&gt;=2),INDIRECT("H"&amp;R118&amp;""),INDIRECT("H"&amp;R118&amp;"")+INDIRECT("H"&amp;MATCH("雙葉'",INDIRECT("B"&amp;R118+3&amp;":B210"),0)+2+R118&amp;"")),
IF(AND(LEFT(INDIRECT("B"&amp;R118&amp;""),2)="博多",COUNTIF(B:B,"*博多*")&gt;=2),
INDIRECT("H"&amp;R118&amp;"")+INDIRECT("H"&amp;MATCH("*"&amp;INDIRECT("B"&amp;R118&amp;"")&amp;"*",INDIRECT("B"&amp;R118+1&amp;":B210"),0)+R118&amp;""),
IF(AND(LEFT(INDIRECT("B"&amp;R118&amp;""),3)="奈良屋",COUNTIF(B:B,"*奈良屋*")&gt;=2),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49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49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49" t="str">
        <f t="shared" ca="1" si="11"/>
        <v/>
      </c>
      <c r="AA118" s="49" t="str">
        <f t="shared" ca="1" si="12"/>
        <v/>
      </c>
      <c r="AB118" s="49" t="str">
        <f t="array" aca="1" ref="AB118" ca="1">IF($R118&lt;&gt;"",
IF(AND(COUNTIF(INDIRECT("B"&amp;R118&amp;""),"*雙葉*"),COUNTIF(B:B,"*雙葉*")&gt;=2),
INDIRECT("M"&amp;R118&amp;"")+INDIRECT("M"&amp;MATCH("雙葉'",INDIRECT("B"&amp;R118+1&amp;":B210"),0)+R118&amp;""),
IF(AND(LEFT(INDIRECT("B"&amp;R118&amp;""),2)="博多",COUNTIF(B:B,"*博多*")&gt;=2),
INDIRECT("M"&amp;R118&amp;"")+INDIRECT("M"&amp;MATCH("*"&amp;INDIRECT("B"&amp;R118&amp;"")&amp;"*",INDIRECT("B"&amp;R118+1&amp;":B210"),0)+R118&amp;""),
IF(AND(LEFT(INDIRECT("B"&amp;R118&amp;""),3)="奈良屋",COUNTIF(B:B,"*奈良屋*")&gt;=2),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  <c r="AC118" s="49" t="str">
        <f ca="1">IF(S118&lt;&gt;"",INDEX(A:A, MATCH("*"&amp;LEFT(S118,4)&amp;"*", C:C, 0)),"")</f>
        <v/>
      </c>
      <c r="AD118" s="49" t="str">
        <f ca="1">IFERROR(INDEX(AC:AC,MATCH(SMALL($AU:$AU,ROW()+3),$AU:$AU,0)),"")</f>
        <v/>
      </c>
      <c r="AE118" s="49" t="str">
        <f ca="1">IFERROR(INDEX(R:R,MATCH(SMALL($AU:$AU,ROW()+3),$AU:$AU,0)),"")</f>
        <v/>
      </c>
      <c r="AF118" s="49" t="str">
        <f ca="1">IFERROR(INDEX(S:S,MATCH(SMALL($AU:$AU,ROW()+3),$AU:$AU,0)),"")</f>
        <v/>
      </c>
      <c r="AG118" s="49" t="str">
        <f ca="1">IFERROR(INDEX(T:T,MATCH(SMALL($AU:$AU,ROW()+3),$AU:$AU,0)),"")</f>
        <v/>
      </c>
      <c r="AH118" s="122" t="str">
        <f ca="1">IFERROR(INDEX(U:U,MATCH(SMALL($AU:$AU,ROW()+3),$AU:$AU,0)),"")</f>
        <v/>
      </c>
      <c r="AI118" s="49" t="str">
        <f ca="1">IFERROR(INDEX(V:V,MATCH(SMALL($AU:$AU,ROW()+3),$AU:$AU,0)),"")</f>
        <v/>
      </c>
      <c r="AJ118" s="49" t="str">
        <f ca="1">IFERROR(INDEX(W:W,MATCH(SMALL($AU:$AU,ROW()+3),$AU:$AU,0)),"")</f>
        <v/>
      </c>
      <c r="AK118" s="49" t="str">
        <f ca="1">IFERROR(INDEX(X:X,MATCH(SMALL($AU:$AU,ROW()+3),$AU:$AU,0)),"")</f>
        <v/>
      </c>
      <c r="AL118" s="49" t="str">
        <f ca="1">IFERROR(INDEX(Y:Y,MATCH(SMALL($AU:$AU,ROW()+3),$AU:$AU,0)),"")</f>
        <v/>
      </c>
      <c r="AM118" s="49" t="str">
        <f ca="1">IFERROR(INDEX(Z:Z,MATCH(SMALL($AU:$AU,ROW()+3),$AU:$AU,0)),"")</f>
        <v/>
      </c>
      <c r="AN118" s="49" t="str">
        <f ca="1">IFERROR(INDEX(AA:AA,MATCH(SMALL($AU:$AU,ROW()+3),$AU:$AU,0)),"")</f>
        <v/>
      </c>
      <c r="AO118" s="49" t="str">
        <f ca="1">IFERROR(INDEX(AB:AB,MATCH(SMALL($AU:$AU,ROW()+3),$AU:$AU,0)),"")</f>
        <v/>
      </c>
      <c r="AP118" s="49" t="str">
        <f ca="1">IFERROR(INDEX(AC:AC,MATCH(SMALL($AU:$AU,ROW()+3),$AU:$AU,0)),"")</f>
        <v/>
      </c>
      <c r="AU118" s="49" t="str">
        <f t="shared" ca="1" si="14"/>
        <v/>
      </c>
    </row>
    <row r="119" spans="1:47" ht="22.2" customHeight="1">
      <c r="A119" s="110">
        <f t="shared" si="20"/>
        <v>103</v>
      </c>
      <c r="B119" s="111" t="str">
        <f t="shared" ca="1" si="18"/>
        <v/>
      </c>
      <c r="C119" s="111" t="str">
        <f>IF(OR(クライアント抽出!C49&lt;&gt;"",クライアント抽出!F49&lt;&gt;""),クライアント抽出!A49,"")</f>
        <v/>
      </c>
      <c r="D119" s="111" t="str">
        <f t="array" aca="1" ref="D119" ca="1">IF(C119&lt;&gt;"",INDIRECT("クライアント抽出!"&amp;E119&amp;MATCH(C119,クライアント抽出!A:A,0)&amp;""),"")</f>
        <v/>
      </c>
      <c r="E119" s="111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112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11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113" t="str">
        <f>IF(C119&lt;&gt;"",
クライアント抽出!C49,"")</f>
        <v/>
      </c>
      <c r="I119" s="111" t="str">
        <f t="array" aca="1" ref="I119" ca="1">IF(C119&lt;&gt;"",
IF(O119=1,
IF(SUMPRODUCT(COUNTIF(クライアント抽出!P49:U49,クライアント抽出!P49:U49))&gt;COUNTA(クライアント抽出!P49:U49),
INDIRECT("数出表_Excel!"&amp;INDEX(_xlfn.UNIQUE(_xlfn._xlws.FILTER(クライアント抽出!P49:U49,COUNTIF(クライアント抽出!P49:U49,クライアント抽出!P49:U49)=1)),1)&amp;L119&amp;""),
0),クライアント抽出!F49),"")</f>
        <v/>
      </c>
      <c r="J119" s="111" t="str">
        <f>IF(C119&lt;&gt;"",
VLOOKUP(
"*"&amp;LEFT(IF(COUNTIF(D119,"*学食*"),"キャラ弁（学食）",
IF(COUNTIF(D119,"*赤*"),"赤",
IF(COUNTIF(D119,"*キャラ弁当*"),"キャラ弁当",D119))),4)&amp;"*",注文弁当の抽出!$E$1:$F$15,2,FALSE),"")</f>
        <v/>
      </c>
      <c r="K119" s="111" t="str">
        <f ca="1">IF(クライアント抽出!Q49&lt;&gt;"",SUBSTITUTE(ADDRESS(1,(CODE(クライアント抽出!Q49)-64)*2-1,4),"1",""),"")</f>
        <v/>
      </c>
      <c r="L119" s="111" t="str">
        <f>IF(C49&lt;&gt;"",クライアント抽出!I49,"")</f>
        <v/>
      </c>
      <c r="M119" s="111">
        <f t="array" aca="1" ref="M119" ca="1">IF(C119&lt;&gt;"",
IF(K119&lt;&gt;"",INDIRECT("'数出表_Excel（アレルギー入力）'!"&amp;K119&amp;L119-1&amp;""),),)</f>
        <v>0</v>
      </c>
      <c r="N119" s="111" t="str">
        <f>IF(C119&lt;&gt;"",IF(OR(COUNTIF('盛付札（関数）'!D119,"*赤*"),COUNTIF('盛付札（関数）'!D119,"*キャラ*")),1,
VLOOKUP("*"&amp;D119&amp;"*",商品マスタ一覧!D:H,5,FALSE)),"")</f>
        <v/>
      </c>
      <c r="O119" s="111">
        <f t="shared" ca="1" si="19"/>
        <v>0</v>
      </c>
      <c r="P119" s="111">
        <f t="shared" si="9"/>
        <v>0</v>
      </c>
      <c r="Q119" s="111" t="b">
        <f t="shared" si="10"/>
        <v>0</v>
      </c>
      <c r="R119" s="49" t="str">
        <f t="array" aca="1" ref="R119" ca="1">IFERROR(SMALL(IF(P$1:P$311&lt;&gt;0,P$1:P$311),ROW(A119)),"")</f>
        <v/>
      </c>
      <c r="S119" s="49" t="str">
        <f t="array" aca="1" ref="S119" ca="1">IF($R119&lt;&gt;"",
SUBSTITUTE(SUBSTITUTE(INDIRECT("C"&amp;$R119&amp;"")," 週3ｺｰｽ","")," 週5ｺｰｽ",""),"")</f>
        <v/>
      </c>
      <c r="T119" s="49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22" t="str">
        <f t="array" aca="1" ref="U119" ca="1">IF($R119&lt;&gt;"",
INDIRECT("F"&amp;$R119&amp;""),"")</f>
        <v/>
      </c>
      <c r="V119" s="49" t="str">
        <f t="array" aca="1" ref="V119" ca="1">IF($R119&lt;&gt;"",
INDIRECT("G"&amp;$R119&amp;""),"")</f>
        <v/>
      </c>
      <c r="W119" s="49" t="str">
        <f t="array" aca="1" ref="W119" ca="1">IF($R119&lt;&gt;"",
IF(AND(COUNTIF(INDIRECT("B"&amp;R119&amp;""),"*雙葉*"),COUNTIF(B:B,"*雙葉*")&gt;=2),
IF(OR(COUNTIF(INDIRECT("B"&amp;R119&amp;""),"*雙葉先生*"),COUNTIF($B$1:$B$70,"*雙葉*")&gt;=2),INDIRECT("H"&amp;R119&amp;""),INDIRECT("H"&amp;R119&amp;"")+INDIRECT("H"&amp;MATCH("雙葉'",INDIRECT("B"&amp;R119+3&amp;":B210"),0)+2+R119&amp;"")),
IF(AND(LEFT(INDIRECT("B"&amp;R119&amp;""),2)="博多",COUNTIF(B:B,"*博多*")&gt;=2),
INDIRECT("H"&amp;R119&amp;"")+INDIRECT("H"&amp;MATCH("*"&amp;INDIRECT("B"&amp;R119&amp;"")&amp;"*",INDIRECT("B"&amp;R119+1&amp;":B210"),0)+R119&amp;""),
IF(AND(LEFT(INDIRECT("B"&amp;R119&amp;""),3)="奈良屋",COUNTIF(B:B,"*奈良屋*")&gt;=2),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49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49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49" t="str">
        <f t="shared" ca="1" si="11"/>
        <v/>
      </c>
      <c r="AA119" s="49" t="str">
        <f t="shared" ca="1" si="12"/>
        <v/>
      </c>
      <c r="AB119" s="49" t="str">
        <f t="array" aca="1" ref="AB119" ca="1">IF($R119&lt;&gt;"",
IF(AND(COUNTIF(INDIRECT("B"&amp;R119&amp;""),"*雙葉*"),COUNTIF(B:B,"*雙葉*")&gt;=2),
INDIRECT("M"&amp;R119&amp;"")+INDIRECT("M"&amp;MATCH("雙葉'",INDIRECT("B"&amp;R119+1&amp;":B210"),0)+R119&amp;""),
IF(AND(LEFT(INDIRECT("B"&amp;R119&amp;""),2)="博多",COUNTIF(B:B,"*博多*")&gt;=2),
INDIRECT("M"&amp;R119&amp;"")+INDIRECT("M"&amp;MATCH("*"&amp;INDIRECT("B"&amp;R119&amp;"")&amp;"*",INDIRECT("B"&amp;R119+1&amp;":B210"),0)+R119&amp;""),
IF(AND(LEFT(INDIRECT("B"&amp;R119&amp;""),3)="奈良屋",COUNTIF(B:B,"*奈良屋*")&gt;=2),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  <c r="AC119" s="49" t="str">
        <f ca="1">IF(S119&lt;&gt;"",INDEX(A:A, MATCH("*"&amp;LEFT(S119,4)&amp;"*", C:C, 0)),"")</f>
        <v/>
      </c>
      <c r="AD119" s="49" t="str">
        <f ca="1">IFERROR(INDEX(AC:AC,MATCH(SMALL($AU:$AU,ROW()+3),$AU:$AU,0)),"")</f>
        <v/>
      </c>
      <c r="AE119" s="49" t="str">
        <f ca="1">IFERROR(INDEX(R:R,MATCH(SMALL($AU:$AU,ROW()+3),$AU:$AU,0)),"")</f>
        <v/>
      </c>
      <c r="AF119" s="49" t="str">
        <f ca="1">IFERROR(INDEX(S:S,MATCH(SMALL($AU:$AU,ROW()+3),$AU:$AU,0)),"")</f>
        <v/>
      </c>
      <c r="AG119" s="49" t="str">
        <f ca="1">IFERROR(INDEX(T:T,MATCH(SMALL($AU:$AU,ROW()+3),$AU:$AU,0)),"")</f>
        <v/>
      </c>
      <c r="AH119" s="122" t="str">
        <f ca="1">IFERROR(INDEX(U:U,MATCH(SMALL($AU:$AU,ROW()+3),$AU:$AU,0)),"")</f>
        <v/>
      </c>
      <c r="AI119" s="49" t="str">
        <f ca="1">IFERROR(INDEX(V:V,MATCH(SMALL($AU:$AU,ROW()+3),$AU:$AU,0)),"")</f>
        <v/>
      </c>
      <c r="AJ119" s="49" t="str">
        <f ca="1">IFERROR(INDEX(W:W,MATCH(SMALL($AU:$AU,ROW()+3),$AU:$AU,0)),"")</f>
        <v/>
      </c>
      <c r="AK119" s="49" t="str">
        <f ca="1">IFERROR(INDEX(X:X,MATCH(SMALL($AU:$AU,ROW()+3),$AU:$AU,0)),"")</f>
        <v/>
      </c>
      <c r="AL119" s="49" t="str">
        <f ca="1">IFERROR(INDEX(Y:Y,MATCH(SMALL($AU:$AU,ROW()+3),$AU:$AU,0)),"")</f>
        <v/>
      </c>
      <c r="AM119" s="49" t="str">
        <f ca="1">IFERROR(INDEX(Z:Z,MATCH(SMALL($AU:$AU,ROW()+3),$AU:$AU,0)),"")</f>
        <v/>
      </c>
      <c r="AN119" s="49" t="str">
        <f ca="1">IFERROR(INDEX(AA:AA,MATCH(SMALL($AU:$AU,ROW()+3),$AU:$AU,0)),"")</f>
        <v/>
      </c>
      <c r="AO119" s="49" t="str">
        <f ca="1">IFERROR(INDEX(AB:AB,MATCH(SMALL($AU:$AU,ROW()+3),$AU:$AU,0)),"")</f>
        <v/>
      </c>
      <c r="AP119" s="49" t="str">
        <f ca="1">IFERROR(INDEX(AC:AC,MATCH(SMALL($AU:$AU,ROW()+3),$AU:$AU,0)),"")</f>
        <v/>
      </c>
      <c r="AU119" s="49" t="str">
        <f t="shared" ca="1" si="14"/>
        <v/>
      </c>
    </row>
    <row r="120" spans="1:47" ht="22.2" customHeight="1">
      <c r="A120" s="110">
        <f t="shared" si="20"/>
        <v>105</v>
      </c>
      <c r="B120" s="111" t="str">
        <f t="shared" ca="1" si="18"/>
        <v/>
      </c>
      <c r="C120" s="111" t="str">
        <f>IF(OR(クライアント抽出!C50&lt;&gt;"",クライアント抽出!F50&lt;&gt;""),クライアント抽出!A50,"")</f>
        <v/>
      </c>
      <c r="D120" s="111" t="str">
        <f t="array" aca="1" ref="D120" ca="1">IF(C120&lt;&gt;"",INDIRECT("クライアント抽出!"&amp;E120&amp;MATCH(C120,クライアント抽出!A:A,0)&amp;""),"")</f>
        <v/>
      </c>
      <c r="E120" s="111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112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11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113" t="str">
        <f>IF(C120&lt;&gt;"",
クライアント抽出!C50,"")</f>
        <v/>
      </c>
      <c r="I120" s="111" t="str">
        <f t="array" aca="1" ref="I120" ca="1">IF(C120&lt;&gt;"",
IF(O120=1,
IF(SUMPRODUCT(COUNTIF(クライアント抽出!P50:U50,クライアント抽出!P50:U50))&gt;COUNTA(クライアント抽出!P50:U50),
INDIRECT("数出表_Excel!"&amp;INDEX(_xlfn.UNIQUE(_xlfn._xlws.FILTER(クライアント抽出!P50:U50,COUNTIF(クライアント抽出!P50:U50,クライアント抽出!P50:U50)=1)),1)&amp;L120&amp;""),
0),クライアント抽出!F50),"")</f>
        <v/>
      </c>
      <c r="J120" s="111" t="str">
        <f>IF(C120&lt;&gt;"",
VLOOKUP(
"*"&amp;LEFT(IF(COUNTIF(D120,"*学食*"),"キャラ弁（学食）",
IF(COUNTIF(D120,"*赤*"),"赤",
IF(COUNTIF(D120,"*キャラ弁当*"),"キャラ弁当",D120))),4)&amp;"*",注文弁当の抽出!$E$1:$F$15,2,FALSE),"")</f>
        <v/>
      </c>
      <c r="K120" s="111" t="str">
        <f ca="1">IF(クライアント抽出!Q50&lt;&gt;"",SUBSTITUTE(ADDRESS(1,(CODE(クライアント抽出!Q50)-64)*2-1,4),"1",""),"")</f>
        <v/>
      </c>
      <c r="L120" s="111" t="str">
        <f>IF(C50&lt;&gt;"",クライアント抽出!I50,"")</f>
        <v/>
      </c>
      <c r="M120" s="111">
        <f t="array" aca="1" ref="M120" ca="1">IF(C120&lt;&gt;"",
IF(K120&lt;&gt;"",INDIRECT("'数出表_Excel（アレルギー入力）'!"&amp;K120&amp;L120-1&amp;""),),)</f>
        <v>0</v>
      </c>
      <c r="N120" s="111" t="str">
        <f>IF(C120&lt;&gt;"",IF(OR(COUNTIF('盛付札（関数）'!D120,"*赤*"),COUNTIF('盛付札（関数）'!D120,"*キャラ*")),1,
VLOOKUP("*"&amp;D120&amp;"*",商品マスタ一覧!D:H,5,FALSE)),"")</f>
        <v/>
      </c>
      <c r="O120" s="111">
        <f t="shared" ca="1" si="19"/>
        <v>0</v>
      </c>
      <c r="P120" s="111">
        <f t="shared" si="9"/>
        <v>0</v>
      </c>
      <c r="Q120" s="111" t="b">
        <f t="shared" si="10"/>
        <v>0</v>
      </c>
      <c r="R120" s="49" t="str">
        <f t="array" aca="1" ref="R120" ca="1">IFERROR(SMALL(IF(P$1:P$311&lt;&gt;0,P$1:P$311),ROW(A120)),"")</f>
        <v/>
      </c>
      <c r="S120" s="49" t="str">
        <f t="array" aca="1" ref="S120" ca="1">IF($R120&lt;&gt;"",
SUBSTITUTE(SUBSTITUTE(INDIRECT("C"&amp;$R120&amp;"")," 週3ｺｰｽ","")," 週5ｺｰｽ",""),"")</f>
        <v/>
      </c>
      <c r="T120" s="49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22" t="str">
        <f t="array" aca="1" ref="U120" ca="1">IF($R120&lt;&gt;"",
INDIRECT("F"&amp;$R120&amp;""),"")</f>
        <v/>
      </c>
      <c r="V120" s="49" t="str">
        <f t="array" aca="1" ref="V120" ca="1">IF($R120&lt;&gt;"",
INDIRECT("G"&amp;$R120&amp;""),"")</f>
        <v/>
      </c>
      <c r="W120" s="49" t="str">
        <f t="array" aca="1" ref="W120" ca="1">IF($R120&lt;&gt;"",
IF(AND(COUNTIF(INDIRECT("B"&amp;R120&amp;""),"*雙葉*"),COUNTIF(B:B,"*雙葉*")&gt;=2),
IF(OR(COUNTIF(INDIRECT("B"&amp;R120&amp;""),"*雙葉先生*"),COUNTIF($B$1:$B$70,"*雙葉*")&gt;=2),INDIRECT("H"&amp;R120&amp;""),INDIRECT("H"&amp;R120&amp;"")+INDIRECT("H"&amp;MATCH("雙葉'",INDIRECT("B"&amp;R120+3&amp;":B210"),0)+2+R120&amp;"")),
IF(AND(LEFT(INDIRECT("B"&amp;R120&amp;""),2)="博多",COUNTIF(B:B,"*博多*")&gt;=2),
INDIRECT("H"&amp;R120&amp;"")+INDIRECT("H"&amp;MATCH("*"&amp;INDIRECT("B"&amp;R120&amp;"")&amp;"*",INDIRECT("B"&amp;R120+1&amp;":B210"),0)+R120&amp;""),
IF(AND(LEFT(INDIRECT("B"&amp;R120&amp;""),3)="奈良屋",COUNTIF(B:B,"*奈良屋*")&gt;=2),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49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49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49" t="str">
        <f t="shared" ca="1" si="11"/>
        <v/>
      </c>
      <c r="AA120" s="49" t="str">
        <f t="shared" ca="1" si="12"/>
        <v/>
      </c>
      <c r="AB120" s="49" t="str">
        <f t="array" aca="1" ref="AB120" ca="1">IF($R120&lt;&gt;"",
IF(AND(COUNTIF(INDIRECT("B"&amp;R120&amp;""),"*雙葉*"),COUNTIF(B:B,"*雙葉*")&gt;=2),
INDIRECT("M"&amp;R120&amp;"")+INDIRECT("M"&amp;MATCH("雙葉'",INDIRECT("B"&amp;R120+1&amp;":B210"),0)+R120&amp;""),
IF(AND(LEFT(INDIRECT("B"&amp;R120&amp;""),2)="博多",COUNTIF(B:B,"*博多*")&gt;=2),
INDIRECT("M"&amp;R120&amp;"")+INDIRECT("M"&amp;MATCH("*"&amp;INDIRECT("B"&amp;R120&amp;"")&amp;"*",INDIRECT("B"&amp;R120+1&amp;":B210"),0)+R120&amp;""),
IF(AND(LEFT(INDIRECT("B"&amp;R120&amp;""),3)="奈良屋",COUNTIF(B:B,"*奈良屋*")&gt;=2),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  <c r="AC120" s="49" t="str">
        <f ca="1">IF(S120&lt;&gt;"",INDEX(A:A, MATCH("*"&amp;LEFT(S120,4)&amp;"*", C:C, 0)),"")</f>
        <v/>
      </c>
      <c r="AD120" s="49" t="str">
        <f ca="1">IFERROR(INDEX(AC:AC,MATCH(SMALL($AU:$AU,ROW()+3),$AU:$AU,0)),"")</f>
        <v/>
      </c>
      <c r="AE120" s="49" t="str">
        <f ca="1">IFERROR(INDEX(R:R,MATCH(SMALL($AU:$AU,ROW()+3),$AU:$AU,0)),"")</f>
        <v/>
      </c>
      <c r="AF120" s="49" t="str">
        <f ca="1">IFERROR(INDEX(S:S,MATCH(SMALL($AU:$AU,ROW()+3),$AU:$AU,0)),"")</f>
        <v/>
      </c>
      <c r="AG120" s="49" t="str">
        <f ca="1">IFERROR(INDEX(T:T,MATCH(SMALL($AU:$AU,ROW()+3),$AU:$AU,0)),"")</f>
        <v/>
      </c>
      <c r="AH120" s="122" t="str">
        <f ca="1">IFERROR(INDEX(U:U,MATCH(SMALL($AU:$AU,ROW()+3),$AU:$AU,0)),"")</f>
        <v/>
      </c>
      <c r="AI120" s="49" t="str">
        <f ca="1">IFERROR(INDEX(V:V,MATCH(SMALL($AU:$AU,ROW()+3),$AU:$AU,0)),"")</f>
        <v/>
      </c>
      <c r="AJ120" s="49" t="str">
        <f ca="1">IFERROR(INDEX(W:W,MATCH(SMALL($AU:$AU,ROW()+3),$AU:$AU,0)),"")</f>
        <v/>
      </c>
      <c r="AK120" s="49" t="str">
        <f ca="1">IFERROR(INDEX(X:X,MATCH(SMALL($AU:$AU,ROW()+3),$AU:$AU,0)),"")</f>
        <v/>
      </c>
      <c r="AL120" s="49" t="str">
        <f ca="1">IFERROR(INDEX(Y:Y,MATCH(SMALL($AU:$AU,ROW()+3),$AU:$AU,0)),"")</f>
        <v/>
      </c>
      <c r="AM120" s="49" t="str">
        <f ca="1">IFERROR(INDEX(Z:Z,MATCH(SMALL($AU:$AU,ROW()+3),$AU:$AU,0)),"")</f>
        <v/>
      </c>
      <c r="AN120" s="49" t="str">
        <f ca="1">IFERROR(INDEX(AA:AA,MATCH(SMALL($AU:$AU,ROW()+3),$AU:$AU,0)),"")</f>
        <v/>
      </c>
      <c r="AO120" s="49" t="str">
        <f ca="1">IFERROR(INDEX(AB:AB,MATCH(SMALL($AU:$AU,ROW()+3),$AU:$AU,0)),"")</f>
        <v/>
      </c>
      <c r="AP120" s="49" t="str">
        <f ca="1">IFERROR(INDEX(AC:AC,MATCH(SMALL($AU:$AU,ROW()+3),$AU:$AU,0)),"")</f>
        <v/>
      </c>
      <c r="AU120" s="49" t="str">
        <f t="shared" ca="1" si="14"/>
        <v/>
      </c>
    </row>
    <row r="121" spans="1:47" ht="27.6" customHeight="1">
      <c r="A121" s="110">
        <f t="shared" si="20"/>
        <v>107</v>
      </c>
      <c r="B121" s="111" t="str">
        <f t="shared" ca="1" si="18"/>
        <v/>
      </c>
      <c r="C121" s="111" t="str">
        <f>IF(OR(クライアント抽出!C51&lt;&gt;"",クライアント抽出!F51&lt;&gt;""),クライアント抽出!A51,"")</f>
        <v/>
      </c>
      <c r="D121" s="111" t="str">
        <f t="array" aca="1" ref="D121" ca="1">IF(C121&lt;&gt;"",INDIRECT("クライアント抽出!"&amp;E121&amp;MATCH(C121,クライアント抽出!A:A,0)&amp;""),"")</f>
        <v/>
      </c>
      <c r="E121" s="111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112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11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113" t="str">
        <f>IF(C121&lt;&gt;"",
クライアント抽出!C51,"")</f>
        <v/>
      </c>
      <c r="I121" s="111" t="str">
        <f t="array" aca="1" ref="I121" ca="1">IF(C121&lt;&gt;"",
IF(O121=1,
IF(SUMPRODUCT(COUNTIF(クライアント抽出!P51:U51,クライアント抽出!P51:U51))&gt;COUNTA(クライアント抽出!P51:U51),
INDIRECT("数出表_Excel!"&amp;INDEX(_xlfn.UNIQUE(_xlfn._xlws.FILTER(クライアント抽出!P51:U51,COUNTIF(クライアント抽出!P51:U51,クライアント抽出!P51:U51)=1)),1)&amp;L121&amp;""),
0),クライアント抽出!F51),"")</f>
        <v/>
      </c>
      <c r="J121" s="111" t="str">
        <f>IF(C121&lt;&gt;"",
VLOOKUP(
"*"&amp;LEFT(IF(COUNTIF(D121,"*学食*"),"キャラ弁（学食）",
IF(COUNTIF(D121,"*赤*"),"赤",
IF(COUNTIF(D121,"*キャラ弁当*"),"キャラ弁当",D121))),4)&amp;"*",注文弁当の抽出!$E$1:$F$15,2,FALSE),"")</f>
        <v/>
      </c>
      <c r="K121" s="111" t="str">
        <f ca="1">IF(クライアント抽出!Q51&lt;&gt;"",SUBSTITUTE(ADDRESS(1,(CODE(クライアント抽出!Q51)-64)*2-1,4),"1",""),"")</f>
        <v/>
      </c>
      <c r="L121" s="111" t="str">
        <f>IF(C51&lt;&gt;"",クライアント抽出!I51,"")</f>
        <v/>
      </c>
      <c r="M121" s="111">
        <f t="array" aca="1" ref="M121" ca="1">IF(C121&lt;&gt;"",
IF(K121&lt;&gt;"",INDIRECT("'数出表_Excel（アレルギー入力）'!"&amp;K121&amp;L121-1&amp;""),),)</f>
        <v>0</v>
      </c>
      <c r="N121" s="111" t="str">
        <f>IF(C121&lt;&gt;"",IF(OR(COUNTIF('盛付札（関数）'!D121,"*赤*"),COUNTIF('盛付札（関数）'!D121,"*キャラ*")),1,
VLOOKUP("*"&amp;D121&amp;"*",商品マスタ一覧!D:H,5,FALSE)),"")</f>
        <v/>
      </c>
      <c r="O121" s="111">
        <f t="shared" ca="1" si="19"/>
        <v>0</v>
      </c>
      <c r="P121" s="111">
        <f t="shared" si="9"/>
        <v>0</v>
      </c>
      <c r="Q121" s="111" t="b">
        <f t="shared" si="10"/>
        <v>0</v>
      </c>
      <c r="R121" s="49" t="str">
        <f t="array" aca="1" ref="R121" ca="1">IFERROR(SMALL(IF(P$1:P$311&lt;&gt;0,P$1:P$311),ROW(A121)),"")</f>
        <v/>
      </c>
      <c r="S121" s="49" t="str">
        <f t="array" aca="1" ref="S121" ca="1">IF($R121&lt;&gt;"",
SUBSTITUTE(SUBSTITUTE(INDIRECT("C"&amp;$R121&amp;"")," 週3ｺｰｽ","")," 週5ｺｰｽ",""),"")</f>
        <v/>
      </c>
      <c r="T121" s="49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22" t="str">
        <f t="array" aca="1" ref="U121" ca="1">IF($R121&lt;&gt;"",
INDIRECT("F"&amp;$R121&amp;""),"")</f>
        <v/>
      </c>
      <c r="V121" s="49" t="str">
        <f t="array" aca="1" ref="V121" ca="1">IF($R121&lt;&gt;"",
INDIRECT("G"&amp;$R121&amp;""),"")</f>
        <v/>
      </c>
      <c r="W121" s="49" t="str">
        <f t="array" aca="1" ref="W121" ca="1">IF($R121&lt;&gt;"",
IF(AND(COUNTIF(INDIRECT("B"&amp;R121&amp;""),"*雙葉*"),COUNTIF(B:B,"*雙葉*")&gt;=2),
IF(OR(COUNTIF(INDIRECT("B"&amp;R121&amp;""),"*雙葉先生*"),COUNTIF($B$1:$B$70,"*雙葉*")&gt;=2),INDIRECT("H"&amp;R121&amp;""),INDIRECT("H"&amp;R121&amp;"")+INDIRECT("H"&amp;MATCH("雙葉'",INDIRECT("B"&amp;R121+3&amp;":B210"),0)+2+R121&amp;"")),
IF(AND(LEFT(INDIRECT("B"&amp;R121&amp;""),2)="博多",COUNTIF(B:B,"*博多*")&gt;=2),
INDIRECT("H"&amp;R121&amp;"")+INDIRECT("H"&amp;MATCH("*"&amp;INDIRECT("B"&amp;R121&amp;"")&amp;"*",INDIRECT("B"&amp;R121+1&amp;":B210"),0)+R121&amp;""),
IF(AND(LEFT(INDIRECT("B"&amp;R121&amp;""),3)="奈良屋",COUNTIF(B:B,"*奈良屋*")&gt;=2),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49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49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49" t="str">
        <f t="shared" ca="1" si="11"/>
        <v/>
      </c>
      <c r="AA121" s="49" t="str">
        <f t="shared" ca="1" si="12"/>
        <v/>
      </c>
      <c r="AB121" s="49" t="str">
        <f t="array" aca="1" ref="AB121" ca="1">IF($R121&lt;&gt;"",
IF(AND(COUNTIF(INDIRECT("B"&amp;R121&amp;""),"*雙葉*"),COUNTIF(B:B,"*雙葉*")&gt;=2),
INDIRECT("M"&amp;R121&amp;"")+INDIRECT("M"&amp;MATCH("雙葉'",INDIRECT("B"&amp;R121+1&amp;":B210"),0)+R121&amp;""),
IF(AND(LEFT(INDIRECT("B"&amp;R121&amp;""),2)="博多",COUNTIF(B:B,"*博多*")&gt;=2),
INDIRECT("M"&amp;R121&amp;"")+INDIRECT("M"&amp;MATCH("*"&amp;INDIRECT("B"&amp;R121&amp;"")&amp;"*",INDIRECT("B"&amp;R121+1&amp;":B210"),0)+R121&amp;""),
IF(AND(LEFT(INDIRECT("B"&amp;R121&amp;""),3)="奈良屋",COUNTIF(B:B,"*奈良屋*")&gt;=2),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  <c r="AC121" s="49" t="str">
        <f ca="1">IF(S121&lt;&gt;"",INDEX(A:A, MATCH("*"&amp;LEFT(S121,4)&amp;"*", C:C, 0)),"")</f>
        <v/>
      </c>
      <c r="AD121" s="49" t="str">
        <f ca="1">IFERROR(INDEX(AC:AC,MATCH(SMALL($AU:$AU,ROW()+3),$AU:$AU,0)),"")</f>
        <v/>
      </c>
      <c r="AE121" s="49" t="str">
        <f ca="1">IFERROR(INDEX(R:R,MATCH(SMALL($AU:$AU,ROW()+3),$AU:$AU,0)),"")</f>
        <v/>
      </c>
      <c r="AF121" s="49" t="str">
        <f ca="1">IFERROR(INDEX(S:S,MATCH(SMALL($AU:$AU,ROW()+3),$AU:$AU,0)),"")</f>
        <v/>
      </c>
      <c r="AG121" s="49" t="str">
        <f ca="1">IFERROR(INDEX(T:T,MATCH(SMALL($AU:$AU,ROW()+3),$AU:$AU,0)),"")</f>
        <v/>
      </c>
      <c r="AH121" s="122" t="str">
        <f ca="1">IFERROR(INDEX(U:U,MATCH(SMALL($AU:$AU,ROW()+3),$AU:$AU,0)),"")</f>
        <v/>
      </c>
      <c r="AI121" s="49" t="str">
        <f ca="1">IFERROR(INDEX(V:V,MATCH(SMALL($AU:$AU,ROW()+3),$AU:$AU,0)),"")</f>
        <v/>
      </c>
      <c r="AJ121" s="49" t="str">
        <f ca="1">IFERROR(INDEX(W:W,MATCH(SMALL($AU:$AU,ROW()+3),$AU:$AU,0)),"")</f>
        <v/>
      </c>
      <c r="AK121" s="49" t="str">
        <f ca="1">IFERROR(INDEX(X:X,MATCH(SMALL($AU:$AU,ROW()+3),$AU:$AU,0)),"")</f>
        <v/>
      </c>
      <c r="AL121" s="49" t="str">
        <f ca="1">IFERROR(INDEX(Y:Y,MATCH(SMALL($AU:$AU,ROW()+3),$AU:$AU,0)),"")</f>
        <v/>
      </c>
      <c r="AM121" s="49" t="str">
        <f ca="1">IFERROR(INDEX(Z:Z,MATCH(SMALL($AU:$AU,ROW()+3),$AU:$AU,0)),"")</f>
        <v/>
      </c>
      <c r="AN121" s="49" t="str">
        <f ca="1">IFERROR(INDEX(AA:AA,MATCH(SMALL($AU:$AU,ROW()+3),$AU:$AU,0)),"")</f>
        <v/>
      </c>
      <c r="AO121" s="49" t="str">
        <f ca="1">IFERROR(INDEX(AB:AB,MATCH(SMALL($AU:$AU,ROW()+3),$AU:$AU,0)),"")</f>
        <v/>
      </c>
      <c r="AP121" s="49" t="str">
        <f ca="1">IFERROR(INDEX(AC:AC,MATCH(SMALL($AU:$AU,ROW()+3),$AU:$AU,0)),"")</f>
        <v/>
      </c>
      <c r="AU121" s="49" t="str">
        <f t="shared" ca="1" si="14"/>
        <v/>
      </c>
    </row>
    <row r="122" spans="1:47" ht="22.2" customHeight="1">
      <c r="A122" s="110">
        <f t="shared" si="20"/>
        <v>109</v>
      </c>
      <c r="B122" s="111" t="str">
        <f t="shared" ca="1" si="18"/>
        <v/>
      </c>
      <c r="C122" s="111" t="str">
        <f>IF(OR(クライアント抽出!C52&lt;&gt;"",クライアント抽出!F52&lt;&gt;""),クライアント抽出!A52,"")</f>
        <v/>
      </c>
      <c r="D122" s="111" t="str">
        <f t="array" aca="1" ref="D122" ca="1">IF(C122&lt;&gt;"",INDIRECT("クライアント抽出!"&amp;E122&amp;MATCH(C122,クライアント抽出!A:A,0)&amp;""),"")</f>
        <v/>
      </c>
      <c r="E122" s="111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112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11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113" t="str">
        <f>IF(C122&lt;&gt;"",
クライアント抽出!C52,"")</f>
        <v/>
      </c>
      <c r="I122" s="111" t="str">
        <f t="array" aca="1" ref="I122" ca="1">IF(C122&lt;&gt;"",
IF(O122=1,
IF(SUMPRODUCT(COUNTIF(クライアント抽出!P52:U52,クライアント抽出!P52:U52))&gt;COUNTA(クライアント抽出!P52:U52),
INDIRECT("数出表_Excel!"&amp;INDEX(_xlfn.UNIQUE(_xlfn._xlws.FILTER(クライアント抽出!P52:U52,COUNTIF(クライアント抽出!P52:U52,クライアント抽出!P52:U52)=1)),1)&amp;L122&amp;""),
0),クライアント抽出!F52),"")</f>
        <v/>
      </c>
      <c r="J122" s="111" t="str">
        <f>IF(C122&lt;&gt;"",
VLOOKUP(
"*"&amp;LEFT(IF(COUNTIF(D122,"*学食*"),"キャラ弁（学食）",
IF(COUNTIF(D122,"*赤*"),"赤",
IF(COUNTIF(D122,"*キャラ弁当*"),"キャラ弁当",D122))),4)&amp;"*",注文弁当の抽出!$E$1:$F$15,2,FALSE),"")</f>
        <v/>
      </c>
      <c r="K122" s="111" t="str">
        <f ca="1">IF(クライアント抽出!Q52&lt;&gt;"",SUBSTITUTE(ADDRESS(1,(CODE(クライアント抽出!Q52)-64)*2-1,4),"1",""),"")</f>
        <v/>
      </c>
      <c r="L122" s="111" t="str">
        <f>IF(C52&lt;&gt;"",クライアント抽出!I52,"")</f>
        <v/>
      </c>
      <c r="M122" s="111">
        <f t="array" aca="1" ref="M122" ca="1">IF(C122&lt;&gt;"",
IF(K122&lt;&gt;"",INDIRECT("'数出表_Excel（アレルギー入力）'!"&amp;K122&amp;L122-1&amp;""),),)</f>
        <v>0</v>
      </c>
      <c r="N122" s="111" t="str">
        <f>IF(C122&lt;&gt;"",IF(OR(COUNTIF('盛付札（関数）'!D122,"*赤*"),COUNTIF('盛付札（関数）'!D122,"*キャラ*")),1,
VLOOKUP("*"&amp;D122&amp;"*",商品マスタ一覧!D:H,5,FALSE)),"")</f>
        <v/>
      </c>
      <c r="O122" s="111">
        <f t="shared" ca="1" si="19"/>
        <v>0</v>
      </c>
      <c r="P122" s="111">
        <f t="shared" si="9"/>
        <v>0</v>
      </c>
      <c r="Q122" s="111" t="b">
        <f t="shared" si="10"/>
        <v>0</v>
      </c>
      <c r="R122" s="49" t="str">
        <f t="array" aca="1" ref="R122" ca="1">IFERROR(SMALL(IF(P$1:P$311&lt;&gt;0,P$1:P$311),ROW(A122)),"")</f>
        <v/>
      </c>
      <c r="S122" s="49" t="str">
        <f t="array" aca="1" ref="S122" ca="1">IF($R122&lt;&gt;"",
SUBSTITUTE(SUBSTITUTE(INDIRECT("C"&amp;$R122&amp;"")," 週3ｺｰｽ","")," 週5ｺｰｽ",""),"")</f>
        <v/>
      </c>
      <c r="T122" s="49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22" t="str">
        <f t="array" aca="1" ref="U122" ca="1">IF($R122&lt;&gt;"",
INDIRECT("F"&amp;$R122&amp;""),"")</f>
        <v/>
      </c>
      <c r="V122" s="49" t="str">
        <f t="array" aca="1" ref="V122" ca="1">IF($R122&lt;&gt;"",
INDIRECT("G"&amp;$R122&amp;""),"")</f>
        <v/>
      </c>
      <c r="W122" s="49" t="str">
        <f t="array" aca="1" ref="W122" ca="1">IF($R122&lt;&gt;"",
IF(AND(COUNTIF(INDIRECT("B"&amp;R122&amp;""),"*雙葉*"),COUNTIF(B:B,"*雙葉*")&gt;=2),
IF(OR(COUNTIF(INDIRECT("B"&amp;R122&amp;""),"*雙葉先生*"),COUNTIF($B$1:$B$70,"*雙葉*")&gt;=2),INDIRECT("H"&amp;R122&amp;""),INDIRECT("H"&amp;R122&amp;"")+INDIRECT("H"&amp;MATCH("雙葉'",INDIRECT("B"&amp;R122+3&amp;":B210"),0)+2+R122&amp;"")),
IF(AND(LEFT(INDIRECT("B"&amp;R122&amp;""),2)="博多",COUNTIF(B:B,"*博多*")&gt;=2),
INDIRECT("H"&amp;R122&amp;"")+INDIRECT("H"&amp;MATCH("*"&amp;INDIRECT("B"&amp;R122&amp;"")&amp;"*",INDIRECT("B"&amp;R122+1&amp;":B210"),0)+R122&amp;""),
IF(AND(LEFT(INDIRECT("B"&amp;R122&amp;""),3)="奈良屋",COUNTIF(B:B,"*奈良屋*")&gt;=2),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49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49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49" t="str">
        <f t="shared" ca="1" si="11"/>
        <v/>
      </c>
      <c r="AA122" s="49" t="str">
        <f t="shared" ca="1" si="12"/>
        <v/>
      </c>
      <c r="AB122" s="49" t="str">
        <f t="array" aca="1" ref="AB122" ca="1">IF($R122&lt;&gt;"",
IF(AND(COUNTIF(INDIRECT("B"&amp;R122&amp;""),"*雙葉*"),COUNTIF(B:B,"*雙葉*")&gt;=2),
INDIRECT("M"&amp;R122&amp;"")+INDIRECT("M"&amp;MATCH("雙葉'",INDIRECT("B"&amp;R122+1&amp;":B210"),0)+R122&amp;""),
IF(AND(LEFT(INDIRECT("B"&amp;R122&amp;""),2)="博多",COUNTIF(B:B,"*博多*")&gt;=2),
INDIRECT("M"&amp;R122&amp;"")+INDIRECT("M"&amp;MATCH("*"&amp;INDIRECT("B"&amp;R122&amp;"")&amp;"*",INDIRECT("B"&amp;R122+1&amp;":B210"),0)+R122&amp;""),
IF(AND(LEFT(INDIRECT("B"&amp;R122&amp;""),3)="奈良屋",COUNTIF(B:B,"*奈良屋*")&gt;=2),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  <c r="AC122" s="49" t="str">
        <f ca="1">IF(S122&lt;&gt;"",INDEX(A:A, MATCH("*"&amp;LEFT(S122,4)&amp;"*", C:C, 0)),"")</f>
        <v/>
      </c>
      <c r="AD122" s="49" t="str">
        <f ca="1">IFERROR(INDEX(AC:AC,MATCH(SMALL($AU:$AU,ROW()+3),$AU:$AU,0)),"")</f>
        <v/>
      </c>
      <c r="AE122" s="49" t="str">
        <f ca="1">IFERROR(INDEX(R:R,MATCH(SMALL($AU:$AU,ROW()+3),$AU:$AU,0)),"")</f>
        <v/>
      </c>
      <c r="AF122" s="49" t="str">
        <f ca="1">IFERROR(INDEX(S:S,MATCH(SMALL($AU:$AU,ROW()+3),$AU:$AU,0)),"")</f>
        <v/>
      </c>
      <c r="AG122" s="49" t="str">
        <f ca="1">IFERROR(INDEX(T:T,MATCH(SMALL($AU:$AU,ROW()+3),$AU:$AU,0)),"")</f>
        <v/>
      </c>
      <c r="AH122" s="122" t="str">
        <f ca="1">IFERROR(INDEX(U:U,MATCH(SMALL($AU:$AU,ROW()+3),$AU:$AU,0)),"")</f>
        <v/>
      </c>
      <c r="AI122" s="49" t="str">
        <f ca="1">IFERROR(INDEX(V:V,MATCH(SMALL($AU:$AU,ROW()+3),$AU:$AU,0)),"")</f>
        <v/>
      </c>
      <c r="AJ122" s="49" t="str">
        <f ca="1">IFERROR(INDEX(W:W,MATCH(SMALL($AU:$AU,ROW()+3),$AU:$AU,0)),"")</f>
        <v/>
      </c>
      <c r="AK122" s="49" t="str">
        <f ca="1">IFERROR(INDEX(X:X,MATCH(SMALL($AU:$AU,ROW()+3),$AU:$AU,0)),"")</f>
        <v/>
      </c>
      <c r="AL122" s="49" t="str">
        <f ca="1">IFERROR(INDEX(Y:Y,MATCH(SMALL($AU:$AU,ROW()+3),$AU:$AU,0)),"")</f>
        <v/>
      </c>
      <c r="AM122" s="49" t="str">
        <f ca="1">IFERROR(INDEX(Z:Z,MATCH(SMALL($AU:$AU,ROW()+3),$AU:$AU,0)),"")</f>
        <v/>
      </c>
      <c r="AN122" s="49" t="str">
        <f ca="1">IFERROR(INDEX(AA:AA,MATCH(SMALL($AU:$AU,ROW()+3),$AU:$AU,0)),"")</f>
        <v/>
      </c>
      <c r="AO122" s="49" t="str">
        <f ca="1">IFERROR(INDEX(AB:AB,MATCH(SMALL($AU:$AU,ROW()+3),$AU:$AU,0)),"")</f>
        <v/>
      </c>
      <c r="AP122" s="49" t="str">
        <f ca="1">IFERROR(INDEX(AC:AC,MATCH(SMALL($AU:$AU,ROW()+3),$AU:$AU,0)),"")</f>
        <v/>
      </c>
      <c r="AU122" s="49" t="str">
        <f t="shared" ca="1" si="14"/>
        <v/>
      </c>
    </row>
    <row r="123" spans="1:47" ht="22.2" customHeight="1">
      <c r="A123" s="110">
        <f t="shared" si="20"/>
        <v>111</v>
      </c>
      <c r="B123" s="111" t="str">
        <f t="shared" ca="1" si="18"/>
        <v/>
      </c>
      <c r="C123" s="111" t="str">
        <f>IF(OR(クライアント抽出!C53&lt;&gt;"",クライアント抽出!F53&lt;&gt;""),クライアント抽出!A53,"")</f>
        <v/>
      </c>
      <c r="D123" s="111" t="str">
        <f t="array" aca="1" ref="D123" ca="1">IF(C123&lt;&gt;"",INDIRECT("クライアント抽出!"&amp;E123&amp;MATCH(C123,クライアント抽出!A:A,0)&amp;""),"")</f>
        <v/>
      </c>
      <c r="E123" s="111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112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11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113" t="str">
        <f>IF(C123&lt;&gt;"",
クライアント抽出!C53,"")</f>
        <v/>
      </c>
      <c r="I123" s="111" t="str">
        <f t="array" aca="1" ref="I123" ca="1">IF(C123&lt;&gt;"",
IF(O123=1,
IF(SUMPRODUCT(COUNTIF(クライアント抽出!P53:U53,クライアント抽出!P53:U53))&gt;COUNTA(クライアント抽出!P53:U53),
INDIRECT("数出表_Excel!"&amp;INDEX(_xlfn.UNIQUE(_xlfn._xlws.FILTER(クライアント抽出!P53:U53,COUNTIF(クライアント抽出!P53:U53,クライアント抽出!P53:U53)=1)),1)&amp;L123&amp;""),
0),クライアント抽出!F53),"")</f>
        <v/>
      </c>
      <c r="J123" s="111" t="str">
        <f>IF(C123&lt;&gt;"",
VLOOKUP(
"*"&amp;LEFT(IF(COUNTIF(D123,"*学食*"),"キャラ弁（学食）",
IF(COUNTIF(D123,"*赤*"),"赤",
IF(COUNTIF(D123,"*キャラ弁当*"),"キャラ弁当",D123))),4)&amp;"*",注文弁当の抽出!$E$1:$F$15,2,FALSE),"")</f>
        <v/>
      </c>
      <c r="K123" s="111" t="str">
        <f ca="1">IF(クライアント抽出!Q53&lt;&gt;"",SUBSTITUTE(ADDRESS(1,(CODE(クライアント抽出!Q53)-64)*2-1,4),"1",""),"")</f>
        <v/>
      </c>
      <c r="L123" s="111" t="str">
        <f>IF(C53&lt;&gt;"",クライアント抽出!I53,"")</f>
        <v/>
      </c>
      <c r="M123" s="111">
        <f t="array" aca="1" ref="M123" ca="1">IF(C123&lt;&gt;"",
IF(K123&lt;&gt;"",INDIRECT("'数出表_Excel（アレルギー入力）'!"&amp;K123&amp;L123-1&amp;""),),)</f>
        <v>0</v>
      </c>
      <c r="N123" s="111" t="str">
        <f>IF(C123&lt;&gt;"",IF(OR(COUNTIF('盛付札（関数）'!D123,"*赤*"),COUNTIF('盛付札（関数）'!D123,"*キャラ*")),1,
VLOOKUP("*"&amp;D123&amp;"*",商品マスタ一覧!D:H,5,FALSE)),"")</f>
        <v/>
      </c>
      <c r="O123" s="111">
        <f t="shared" ca="1" si="19"/>
        <v>0</v>
      </c>
      <c r="P123" s="111">
        <f t="shared" si="9"/>
        <v>0</v>
      </c>
      <c r="Q123" s="111" t="b">
        <f t="shared" si="10"/>
        <v>0</v>
      </c>
      <c r="R123" s="49" t="str">
        <f t="array" aca="1" ref="R123" ca="1">IFERROR(SMALL(IF(P$1:P$311&lt;&gt;0,P$1:P$311),ROW(A123)),"")</f>
        <v/>
      </c>
      <c r="S123" s="49" t="str">
        <f t="array" aca="1" ref="S123" ca="1">IF($R123&lt;&gt;"",
SUBSTITUTE(SUBSTITUTE(INDIRECT("C"&amp;$R123&amp;"")," 週3ｺｰｽ","")," 週5ｺｰｽ",""),"")</f>
        <v/>
      </c>
      <c r="T123" s="49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22" t="str">
        <f t="array" aca="1" ref="U123" ca="1">IF($R123&lt;&gt;"",
INDIRECT("F"&amp;$R123&amp;""),"")</f>
        <v/>
      </c>
      <c r="V123" s="49" t="str">
        <f t="array" aca="1" ref="V123" ca="1">IF($R123&lt;&gt;"",
INDIRECT("G"&amp;$R123&amp;""),"")</f>
        <v/>
      </c>
      <c r="W123" s="49" t="str">
        <f t="array" aca="1" ref="W123" ca="1">IF($R123&lt;&gt;"",
IF(AND(COUNTIF(INDIRECT("B"&amp;R123&amp;""),"*雙葉*"),COUNTIF(B:B,"*雙葉*")&gt;=2),
IF(OR(COUNTIF(INDIRECT("B"&amp;R123&amp;""),"*雙葉先生*"),COUNTIF($B$1:$B$70,"*雙葉*")&gt;=2),INDIRECT("H"&amp;R123&amp;""),INDIRECT("H"&amp;R123&amp;"")+INDIRECT("H"&amp;MATCH("雙葉'",INDIRECT("B"&amp;R123+3&amp;":B210"),0)+2+R123&amp;"")),
IF(AND(LEFT(INDIRECT("B"&amp;R123&amp;""),2)="博多",COUNTIF(B:B,"*博多*")&gt;=2),
INDIRECT("H"&amp;R123&amp;"")+INDIRECT("H"&amp;MATCH("*"&amp;INDIRECT("B"&amp;R123&amp;"")&amp;"*",INDIRECT("B"&amp;R123+1&amp;":B210"),0)+R123&amp;""),
IF(AND(LEFT(INDIRECT("B"&amp;R123&amp;""),3)="奈良屋",COUNTIF(B:B,"*奈良屋*")&gt;=2),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49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49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49" t="str">
        <f t="shared" ca="1" si="11"/>
        <v/>
      </c>
      <c r="AA123" s="49" t="str">
        <f t="shared" ca="1" si="12"/>
        <v/>
      </c>
      <c r="AB123" s="49" t="str">
        <f t="array" aca="1" ref="AB123" ca="1">IF($R123&lt;&gt;"",
IF(AND(COUNTIF(INDIRECT("B"&amp;R123&amp;""),"*雙葉*"),COUNTIF(B:B,"*雙葉*")&gt;=2),
INDIRECT("M"&amp;R123&amp;"")+INDIRECT("M"&amp;MATCH("雙葉'",INDIRECT("B"&amp;R123+1&amp;":B210"),0)+R123&amp;""),
IF(AND(LEFT(INDIRECT("B"&amp;R123&amp;""),2)="博多",COUNTIF(B:B,"*博多*")&gt;=2),
INDIRECT("M"&amp;R123&amp;"")+INDIRECT("M"&amp;MATCH("*"&amp;INDIRECT("B"&amp;R123&amp;"")&amp;"*",INDIRECT("B"&amp;R123+1&amp;":B210"),0)+R123&amp;""),
IF(AND(LEFT(INDIRECT("B"&amp;R123&amp;""),3)="奈良屋",COUNTIF(B:B,"*奈良屋*")&gt;=2),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  <c r="AC123" s="49" t="str">
        <f ca="1">IF(S123&lt;&gt;"",INDEX(A:A, MATCH("*"&amp;LEFT(S123,4)&amp;"*", C:C, 0)),"")</f>
        <v/>
      </c>
      <c r="AD123" s="49" t="str">
        <f ca="1">IFERROR(INDEX(AC:AC,MATCH(SMALL($AU:$AU,ROW()+3),$AU:$AU,0)),"")</f>
        <v/>
      </c>
      <c r="AE123" s="49" t="str">
        <f ca="1">IFERROR(INDEX(R:R,MATCH(SMALL($AU:$AU,ROW()+3),$AU:$AU,0)),"")</f>
        <v/>
      </c>
      <c r="AF123" s="49" t="str">
        <f ca="1">IFERROR(INDEX(S:S,MATCH(SMALL($AU:$AU,ROW()+3),$AU:$AU,0)),"")</f>
        <v/>
      </c>
      <c r="AG123" s="49" t="str">
        <f ca="1">IFERROR(INDEX(T:T,MATCH(SMALL($AU:$AU,ROW()+3),$AU:$AU,0)),"")</f>
        <v/>
      </c>
      <c r="AH123" s="122" t="str">
        <f ca="1">IFERROR(INDEX(U:U,MATCH(SMALL($AU:$AU,ROW()+3),$AU:$AU,0)),"")</f>
        <v/>
      </c>
      <c r="AI123" s="49" t="str">
        <f ca="1">IFERROR(INDEX(V:V,MATCH(SMALL($AU:$AU,ROW()+3),$AU:$AU,0)),"")</f>
        <v/>
      </c>
      <c r="AJ123" s="49" t="str">
        <f ca="1">IFERROR(INDEX(W:W,MATCH(SMALL($AU:$AU,ROW()+3),$AU:$AU,0)),"")</f>
        <v/>
      </c>
      <c r="AK123" s="49" t="str">
        <f ca="1">IFERROR(INDEX(X:X,MATCH(SMALL($AU:$AU,ROW()+3),$AU:$AU,0)),"")</f>
        <v/>
      </c>
      <c r="AL123" s="49" t="str">
        <f ca="1">IFERROR(INDEX(Y:Y,MATCH(SMALL($AU:$AU,ROW()+3),$AU:$AU,0)),"")</f>
        <v/>
      </c>
      <c r="AM123" s="49" t="str">
        <f ca="1">IFERROR(INDEX(Z:Z,MATCH(SMALL($AU:$AU,ROW()+3),$AU:$AU,0)),"")</f>
        <v/>
      </c>
      <c r="AN123" s="49" t="str">
        <f ca="1">IFERROR(INDEX(AA:AA,MATCH(SMALL($AU:$AU,ROW()+3),$AU:$AU,0)),"")</f>
        <v/>
      </c>
      <c r="AO123" s="49" t="str">
        <f ca="1">IFERROR(INDEX(AB:AB,MATCH(SMALL($AU:$AU,ROW()+3),$AU:$AU,0)),"")</f>
        <v/>
      </c>
      <c r="AP123" s="49" t="str">
        <f ca="1">IFERROR(INDEX(AC:AC,MATCH(SMALL($AU:$AU,ROW()+3),$AU:$AU,0)),"")</f>
        <v/>
      </c>
      <c r="AU123" s="49" t="str">
        <f t="shared" ca="1" si="14"/>
        <v/>
      </c>
    </row>
    <row r="124" spans="1:47" ht="22.2" customHeight="1">
      <c r="A124" s="110">
        <f t="shared" si="20"/>
        <v>113</v>
      </c>
      <c r="B124" s="111" t="str">
        <f t="shared" ca="1" si="18"/>
        <v/>
      </c>
      <c r="C124" s="111" t="str">
        <f>IF(OR(クライアント抽出!C54&lt;&gt;"",クライアント抽出!F54&lt;&gt;""),クライアント抽出!A54,"")</f>
        <v/>
      </c>
      <c r="D124" s="111" t="str">
        <f t="array" aca="1" ref="D124" ca="1">IF(C124&lt;&gt;"",INDIRECT("クライアント抽出!"&amp;E124&amp;MATCH(C124,クライアント抽出!A:A,0)&amp;""),"")</f>
        <v/>
      </c>
      <c r="E124" s="111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112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11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113" t="str">
        <f>IF(C124&lt;&gt;"",
クライアント抽出!C54,"")</f>
        <v/>
      </c>
      <c r="I124" s="111" t="str">
        <f t="array" aca="1" ref="I124" ca="1">IF(C124&lt;&gt;"",
IF(O124=1,
IF(SUMPRODUCT(COUNTIF(クライアント抽出!P54:U54,クライアント抽出!P54:U54))&gt;COUNTA(クライアント抽出!P54:U54),
INDIRECT("数出表_Excel!"&amp;INDEX(_xlfn.UNIQUE(_xlfn._xlws.FILTER(クライアント抽出!P54:U54,COUNTIF(クライアント抽出!P54:U54,クライアント抽出!P54:U54)=1)),1)&amp;L124&amp;""),
0),クライアント抽出!F54),"")</f>
        <v/>
      </c>
      <c r="J124" s="111" t="str">
        <f>IF(C124&lt;&gt;"",
VLOOKUP(
"*"&amp;LEFT(IF(COUNTIF(D124,"*学食*"),"キャラ弁（学食）",
IF(COUNTIF(D124,"*赤*"),"赤",
IF(COUNTIF(D124,"*キャラ弁当*"),"キャラ弁当",D124))),4)&amp;"*",注文弁当の抽出!$E$1:$F$15,2,FALSE),"")</f>
        <v/>
      </c>
      <c r="K124" s="111" t="str">
        <f ca="1">IF(クライアント抽出!Q54&lt;&gt;"",SUBSTITUTE(ADDRESS(1,(CODE(クライアント抽出!Q54)-64)*2-1,4),"1",""),"")</f>
        <v/>
      </c>
      <c r="L124" s="111" t="str">
        <f>IF(C54&lt;&gt;"",クライアント抽出!I54,"")</f>
        <v/>
      </c>
      <c r="M124" s="111">
        <f t="array" aca="1" ref="M124" ca="1">IF(C124&lt;&gt;"",
IF(K124&lt;&gt;"",INDIRECT("'数出表_Excel（アレルギー入力）'!"&amp;K124&amp;L124-1&amp;""),),)</f>
        <v>0</v>
      </c>
      <c r="N124" s="111" t="str">
        <f>IF(C124&lt;&gt;"",IF(OR(COUNTIF('盛付札（関数）'!D124,"*赤*"),COUNTIF('盛付札（関数）'!D124,"*キャラ*")),1,
VLOOKUP("*"&amp;D124&amp;"*",商品マスタ一覧!D:H,5,FALSE)),"")</f>
        <v/>
      </c>
      <c r="O124" s="111">
        <f t="shared" ca="1" si="19"/>
        <v>0</v>
      </c>
      <c r="P124" s="111">
        <f t="shared" si="9"/>
        <v>0</v>
      </c>
      <c r="Q124" s="111" t="b">
        <f t="shared" si="10"/>
        <v>0</v>
      </c>
      <c r="R124" s="49" t="str">
        <f t="array" aca="1" ref="R124" ca="1">IFERROR(SMALL(IF(P$1:P$311&lt;&gt;0,P$1:P$311),ROW(A124)),"")</f>
        <v/>
      </c>
      <c r="S124" s="49" t="str">
        <f t="array" aca="1" ref="S124" ca="1">IF($R124&lt;&gt;"",
SUBSTITUTE(SUBSTITUTE(INDIRECT("C"&amp;$R124&amp;"")," 週3ｺｰｽ","")," 週5ｺｰｽ",""),"")</f>
        <v/>
      </c>
      <c r="T124" s="49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22" t="str">
        <f t="array" aca="1" ref="U124" ca="1">IF($R124&lt;&gt;"",
INDIRECT("F"&amp;$R124&amp;""),"")</f>
        <v/>
      </c>
      <c r="V124" s="49" t="str">
        <f t="array" aca="1" ref="V124" ca="1">IF($R124&lt;&gt;"",
INDIRECT("G"&amp;$R124&amp;""),"")</f>
        <v/>
      </c>
      <c r="W124" s="49" t="str">
        <f t="array" aca="1" ref="W124" ca="1">IF($R124&lt;&gt;"",
IF(AND(COUNTIF(INDIRECT("B"&amp;R124&amp;""),"*雙葉*"),COUNTIF(B:B,"*雙葉*")&gt;=2),
IF(OR(COUNTIF(INDIRECT("B"&amp;R124&amp;""),"*雙葉先生*"),COUNTIF($B$1:$B$70,"*雙葉*")&gt;=2),INDIRECT("H"&amp;R124&amp;""),INDIRECT("H"&amp;R124&amp;"")+INDIRECT("H"&amp;MATCH("雙葉'",INDIRECT("B"&amp;R124+3&amp;":B210"),0)+2+R124&amp;"")),
IF(AND(LEFT(INDIRECT("B"&amp;R124&amp;""),2)="博多",COUNTIF(B:B,"*博多*")&gt;=2),
INDIRECT("H"&amp;R124&amp;"")+INDIRECT("H"&amp;MATCH("*"&amp;INDIRECT("B"&amp;R124&amp;"")&amp;"*",INDIRECT("B"&amp;R124+1&amp;":B210"),0)+R124&amp;""),
IF(AND(LEFT(INDIRECT("B"&amp;R124&amp;""),3)="奈良屋",COUNTIF(B:B,"*奈良屋*")&gt;=2),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49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49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49" t="str">
        <f t="shared" ca="1" si="11"/>
        <v/>
      </c>
      <c r="AA124" s="49" t="str">
        <f t="shared" ca="1" si="12"/>
        <v/>
      </c>
      <c r="AB124" s="49" t="str">
        <f t="array" aca="1" ref="AB124" ca="1">IF($R124&lt;&gt;"",
IF(AND(COUNTIF(INDIRECT("B"&amp;R124&amp;""),"*雙葉*"),COUNTIF(B:B,"*雙葉*")&gt;=2),
INDIRECT("M"&amp;R124&amp;"")+INDIRECT("M"&amp;MATCH("雙葉'",INDIRECT("B"&amp;R124+1&amp;":B210"),0)+R124&amp;""),
IF(AND(LEFT(INDIRECT("B"&amp;R124&amp;""),2)="博多",COUNTIF(B:B,"*博多*")&gt;=2),
INDIRECT("M"&amp;R124&amp;"")+INDIRECT("M"&amp;MATCH("*"&amp;INDIRECT("B"&amp;R124&amp;"")&amp;"*",INDIRECT("B"&amp;R124+1&amp;":B210"),0)+R124&amp;""),
IF(AND(LEFT(INDIRECT("B"&amp;R124&amp;""),3)="奈良屋",COUNTIF(B:B,"*奈良屋*")&gt;=2),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  <c r="AC124" s="49" t="str">
        <f ca="1">IF(S124&lt;&gt;"",INDEX(A:A, MATCH("*"&amp;LEFT(S124,4)&amp;"*", C:C, 0)),"")</f>
        <v/>
      </c>
      <c r="AD124" s="49" t="str">
        <f ca="1">IFERROR(INDEX(AC:AC,MATCH(SMALL($AU:$AU,ROW()+3),$AU:$AU,0)),"")</f>
        <v/>
      </c>
      <c r="AE124" s="49" t="str">
        <f ca="1">IFERROR(INDEX(R:R,MATCH(SMALL($AU:$AU,ROW()+3),$AU:$AU,0)),"")</f>
        <v/>
      </c>
      <c r="AF124" s="49" t="str">
        <f ca="1">IFERROR(INDEX(S:S,MATCH(SMALL($AU:$AU,ROW()+3),$AU:$AU,0)),"")</f>
        <v/>
      </c>
      <c r="AG124" s="49" t="str">
        <f ca="1">IFERROR(INDEX(T:T,MATCH(SMALL($AU:$AU,ROW()+3),$AU:$AU,0)),"")</f>
        <v/>
      </c>
      <c r="AH124" s="122" t="str">
        <f ca="1">IFERROR(INDEX(U:U,MATCH(SMALL($AU:$AU,ROW()+3),$AU:$AU,0)),"")</f>
        <v/>
      </c>
      <c r="AI124" s="49" t="str">
        <f ca="1">IFERROR(INDEX(V:V,MATCH(SMALL($AU:$AU,ROW()+3),$AU:$AU,0)),"")</f>
        <v/>
      </c>
      <c r="AJ124" s="49" t="str">
        <f ca="1">IFERROR(INDEX(W:W,MATCH(SMALL($AU:$AU,ROW()+3),$AU:$AU,0)),"")</f>
        <v/>
      </c>
      <c r="AK124" s="49" t="str">
        <f ca="1">IFERROR(INDEX(X:X,MATCH(SMALL($AU:$AU,ROW()+3),$AU:$AU,0)),"")</f>
        <v/>
      </c>
      <c r="AL124" s="49" t="str">
        <f ca="1">IFERROR(INDEX(Y:Y,MATCH(SMALL($AU:$AU,ROW()+3),$AU:$AU,0)),"")</f>
        <v/>
      </c>
      <c r="AM124" s="49" t="str">
        <f ca="1">IFERROR(INDEX(Z:Z,MATCH(SMALL($AU:$AU,ROW()+3),$AU:$AU,0)),"")</f>
        <v/>
      </c>
      <c r="AN124" s="49" t="str">
        <f ca="1">IFERROR(INDEX(AA:AA,MATCH(SMALL($AU:$AU,ROW()+3),$AU:$AU,0)),"")</f>
        <v/>
      </c>
      <c r="AO124" s="49" t="str">
        <f ca="1">IFERROR(INDEX(AB:AB,MATCH(SMALL($AU:$AU,ROW()+3),$AU:$AU,0)),"")</f>
        <v/>
      </c>
      <c r="AP124" s="49" t="str">
        <f ca="1">IFERROR(INDEX(AC:AC,MATCH(SMALL($AU:$AU,ROW()+3),$AU:$AU,0)),"")</f>
        <v/>
      </c>
      <c r="AU124" s="49" t="str">
        <f t="shared" ca="1" si="14"/>
        <v/>
      </c>
    </row>
    <row r="125" spans="1:47" ht="22.2" customHeight="1">
      <c r="A125" s="110">
        <f t="shared" si="20"/>
        <v>115</v>
      </c>
      <c r="B125" s="111" t="str">
        <f t="shared" ca="1" si="18"/>
        <v/>
      </c>
      <c r="C125" s="111" t="str">
        <f>IF(OR(クライアント抽出!C55&lt;&gt;"",クライアント抽出!F55&lt;&gt;""),クライアント抽出!A55,"")</f>
        <v/>
      </c>
      <c r="D125" s="111" t="str">
        <f t="array" aca="1" ref="D125" ca="1">IF(C125&lt;&gt;"",INDIRECT("クライアント抽出!"&amp;E125&amp;MATCH(C125,クライアント抽出!A:A,0)&amp;""),"")</f>
        <v/>
      </c>
      <c r="E125" s="111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112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11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113" t="str">
        <f>IF(C125&lt;&gt;"",
クライアント抽出!C55,"")</f>
        <v/>
      </c>
      <c r="I125" s="111" t="str">
        <f t="array" aca="1" ref="I125" ca="1">IF(C125&lt;&gt;"",
IF(O125=1,
IF(SUMPRODUCT(COUNTIF(クライアント抽出!P55:U55,クライアント抽出!P55:U55))&gt;COUNTA(クライアント抽出!P55:U55),
INDIRECT("数出表_Excel!"&amp;INDEX(_xlfn.UNIQUE(_xlfn._xlws.FILTER(クライアント抽出!P55:U55,COUNTIF(クライアント抽出!P55:U55,クライアント抽出!P55:U55)=1)),1)&amp;L125&amp;""),
0),クライアント抽出!F55),"")</f>
        <v/>
      </c>
      <c r="J125" s="111" t="str">
        <f>IF(C125&lt;&gt;"",
VLOOKUP(
"*"&amp;LEFT(IF(COUNTIF(D125,"*学食*"),"キャラ弁（学食）",
IF(COUNTIF(D125,"*赤*"),"赤",
IF(COUNTIF(D125,"*キャラ弁当*"),"キャラ弁当",D125))),4)&amp;"*",注文弁当の抽出!$E$1:$F$15,2,FALSE),"")</f>
        <v/>
      </c>
      <c r="K125" s="111" t="str">
        <f ca="1">IF(クライアント抽出!Q55&lt;&gt;"",SUBSTITUTE(ADDRESS(1,(CODE(クライアント抽出!Q55)-64)*2-1,4),"1",""),"")</f>
        <v/>
      </c>
      <c r="L125" s="111" t="str">
        <f>IF(C55&lt;&gt;"",クライアント抽出!I55,"")</f>
        <v/>
      </c>
      <c r="M125" s="111">
        <f t="array" aca="1" ref="M125" ca="1">IF(C125&lt;&gt;"",
IF(K125&lt;&gt;"",INDIRECT("'数出表_Excel（アレルギー入力）'!"&amp;K125&amp;L125-1&amp;""),),)</f>
        <v>0</v>
      </c>
      <c r="N125" s="111" t="str">
        <f>IF(C125&lt;&gt;"",IF(OR(COUNTIF('盛付札（関数）'!D125,"*赤*"),COUNTIF('盛付札（関数）'!D125,"*キャラ*")),1,
VLOOKUP("*"&amp;D125&amp;"*",商品マスタ一覧!D:H,5,FALSE)),"")</f>
        <v/>
      </c>
      <c r="O125" s="111">
        <f t="shared" ca="1" si="19"/>
        <v>0</v>
      </c>
      <c r="P125" s="111">
        <f t="shared" si="9"/>
        <v>0</v>
      </c>
      <c r="Q125" s="111" t="b">
        <f t="shared" si="10"/>
        <v>0</v>
      </c>
      <c r="R125" s="49" t="str">
        <f t="array" aca="1" ref="R125" ca="1">IFERROR(SMALL(IF(P$1:P$311&lt;&gt;0,P$1:P$311),ROW(A125)),"")</f>
        <v/>
      </c>
      <c r="S125" s="49" t="str">
        <f t="array" aca="1" ref="S125" ca="1">IF($R125&lt;&gt;"",
SUBSTITUTE(SUBSTITUTE(INDIRECT("C"&amp;$R125&amp;"")," 週3ｺｰｽ","")," 週5ｺｰｽ",""),"")</f>
        <v/>
      </c>
      <c r="T125" s="49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22" t="str">
        <f t="array" aca="1" ref="U125" ca="1">IF($R125&lt;&gt;"",
INDIRECT("F"&amp;$R125&amp;""),"")</f>
        <v/>
      </c>
      <c r="V125" s="49" t="str">
        <f t="array" aca="1" ref="V125" ca="1">IF($R125&lt;&gt;"",
INDIRECT("G"&amp;$R125&amp;""),"")</f>
        <v/>
      </c>
      <c r="W125" s="49" t="str">
        <f t="array" aca="1" ref="W125" ca="1">IF($R125&lt;&gt;"",
IF(AND(COUNTIF(INDIRECT("B"&amp;R125&amp;""),"*雙葉*"),COUNTIF(B:B,"*雙葉*")&gt;=2),
IF(OR(COUNTIF(INDIRECT("B"&amp;R125&amp;""),"*雙葉先生*"),COUNTIF($B$1:$B$70,"*雙葉*")&gt;=2),INDIRECT("H"&amp;R125&amp;""),INDIRECT("H"&amp;R125&amp;"")+INDIRECT("H"&amp;MATCH("雙葉'",INDIRECT("B"&amp;R125+3&amp;":B210"),0)+2+R125&amp;"")),
IF(AND(LEFT(INDIRECT("B"&amp;R125&amp;""),2)="博多",COUNTIF(B:B,"*博多*")&gt;=2),
INDIRECT("H"&amp;R125&amp;"")+INDIRECT("H"&amp;MATCH("*"&amp;INDIRECT("B"&amp;R125&amp;"")&amp;"*",INDIRECT("B"&amp;R125+1&amp;":B210"),0)+R125&amp;""),
IF(AND(LEFT(INDIRECT("B"&amp;R125&amp;""),3)="奈良屋",COUNTIF(B:B,"*奈良屋*")&gt;=2),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49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49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49" t="str">
        <f t="shared" ca="1" si="11"/>
        <v/>
      </c>
      <c r="AA125" s="49" t="str">
        <f t="shared" ca="1" si="12"/>
        <v/>
      </c>
      <c r="AB125" s="49" t="str">
        <f t="array" aca="1" ref="AB125" ca="1">IF($R125&lt;&gt;"",
IF(AND(COUNTIF(INDIRECT("B"&amp;R125&amp;""),"*雙葉*"),COUNTIF(B:B,"*雙葉*")&gt;=2),
INDIRECT("M"&amp;R125&amp;"")+INDIRECT("M"&amp;MATCH("雙葉'",INDIRECT("B"&amp;R125+1&amp;":B210"),0)+R125&amp;""),
IF(AND(LEFT(INDIRECT("B"&amp;R125&amp;""),2)="博多",COUNTIF(B:B,"*博多*")&gt;=2),
INDIRECT("M"&amp;R125&amp;"")+INDIRECT("M"&amp;MATCH("*"&amp;INDIRECT("B"&amp;R125&amp;"")&amp;"*",INDIRECT("B"&amp;R125+1&amp;":B210"),0)+R125&amp;""),
IF(AND(LEFT(INDIRECT("B"&amp;R125&amp;""),3)="奈良屋",COUNTIF(B:B,"*奈良屋*")&gt;=2),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  <c r="AC125" s="49" t="str">
        <f ca="1">IF(S125&lt;&gt;"",INDEX(A:A, MATCH("*"&amp;LEFT(S125,4)&amp;"*", C:C, 0)),"")</f>
        <v/>
      </c>
      <c r="AD125" s="49" t="str">
        <f ca="1">IFERROR(INDEX(AC:AC,MATCH(SMALL($AU:$AU,ROW()+3),$AU:$AU,0)),"")</f>
        <v/>
      </c>
      <c r="AE125" s="49" t="str">
        <f ca="1">IFERROR(INDEX(R:R,MATCH(SMALL($AU:$AU,ROW()+3),$AU:$AU,0)),"")</f>
        <v/>
      </c>
      <c r="AF125" s="49" t="str">
        <f ca="1">IFERROR(INDEX(S:S,MATCH(SMALL($AU:$AU,ROW()+3),$AU:$AU,0)),"")</f>
        <v/>
      </c>
      <c r="AG125" s="49" t="str">
        <f ca="1">IFERROR(INDEX(T:T,MATCH(SMALL($AU:$AU,ROW()+3),$AU:$AU,0)),"")</f>
        <v/>
      </c>
      <c r="AH125" s="122" t="str">
        <f ca="1">IFERROR(INDEX(U:U,MATCH(SMALL($AU:$AU,ROW()+3),$AU:$AU,0)),"")</f>
        <v/>
      </c>
      <c r="AI125" s="49" t="str">
        <f ca="1">IFERROR(INDEX(V:V,MATCH(SMALL($AU:$AU,ROW()+3),$AU:$AU,0)),"")</f>
        <v/>
      </c>
      <c r="AJ125" s="49" t="str">
        <f ca="1">IFERROR(INDEX(W:W,MATCH(SMALL($AU:$AU,ROW()+3),$AU:$AU,0)),"")</f>
        <v/>
      </c>
      <c r="AK125" s="49" t="str">
        <f ca="1">IFERROR(INDEX(X:X,MATCH(SMALL($AU:$AU,ROW()+3),$AU:$AU,0)),"")</f>
        <v/>
      </c>
      <c r="AL125" s="49" t="str">
        <f ca="1">IFERROR(INDEX(Y:Y,MATCH(SMALL($AU:$AU,ROW()+3),$AU:$AU,0)),"")</f>
        <v/>
      </c>
      <c r="AM125" s="49" t="str">
        <f ca="1">IFERROR(INDEX(Z:Z,MATCH(SMALL($AU:$AU,ROW()+3),$AU:$AU,0)),"")</f>
        <v/>
      </c>
      <c r="AN125" s="49" t="str">
        <f ca="1">IFERROR(INDEX(AA:AA,MATCH(SMALL($AU:$AU,ROW()+3),$AU:$AU,0)),"")</f>
        <v/>
      </c>
      <c r="AO125" s="49" t="str">
        <f ca="1">IFERROR(INDEX(AB:AB,MATCH(SMALL($AU:$AU,ROW()+3),$AU:$AU,0)),"")</f>
        <v/>
      </c>
      <c r="AP125" s="49" t="str">
        <f ca="1">IFERROR(INDEX(AC:AC,MATCH(SMALL($AU:$AU,ROW()+3),$AU:$AU,0)),"")</f>
        <v/>
      </c>
      <c r="AU125" s="49" t="str">
        <f t="shared" ca="1" si="14"/>
        <v/>
      </c>
    </row>
    <row r="126" spans="1:47" ht="22.2" customHeight="1">
      <c r="A126" s="110">
        <f t="shared" si="20"/>
        <v>117</v>
      </c>
      <c r="B126" s="111" t="str">
        <f t="shared" ca="1" si="18"/>
        <v/>
      </c>
      <c r="C126" s="111" t="str">
        <f>IF(OR(クライアント抽出!C56&lt;&gt;"",クライアント抽出!F56&lt;&gt;""),クライアント抽出!A56,"")</f>
        <v/>
      </c>
      <c r="D126" s="111" t="str">
        <f t="array" aca="1" ref="D126" ca="1">IF(C126&lt;&gt;"",INDIRECT("クライアント抽出!"&amp;E126&amp;MATCH(C126,クライアント抽出!A:A,0)&amp;""),"")</f>
        <v/>
      </c>
      <c r="E126" s="111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112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11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113" t="str">
        <f>IF(C126&lt;&gt;"",
クライアント抽出!C56,"")</f>
        <v/>
      </c>
      <c r="I126" s="111" t="str">
        <f t="array" aca="1" ref="I126" ca="1">IF(C126&lt;&gt;"",
IF(O126=1,
IF(SUMPRODUCT(COUNTIF(クライアント抽出!P56:U56,クライアント抽出!P56:U56))&gt;COUNTA(クライアント抽出!P56:U56),
INDIRECT("数出表_Excel!"&amp;INDEX(_xlfn.UNIQUE(_xlfn._xlws.FILTER(クライアント抽出!P56:U56,COUNTIF(クライアント抽出!P56:U56,クライアント抽出!P56:U56)=1)),1)&amp;L126&amp;""),
0),クライアント抽出!F56),"")</f>
        <v/>
      </c>
      <c r="J126" s="111" t="str">
        <f>IF(C126&lt;&gt;"",
VLOOKUP(
"*"&amp;LEFT(IF(COUNTIF(D126,"*学食*"),"キャラ弁（学食）",
IF(COUNTIF(D126,"*赤*"),"赤",
IF(COUNTIF(D126,"*キャラ弁当*"),"キャラ弁当",D126))),4)&amp;"*",注文弁当の抽出!$E$1:$F$15,2,FALSE),"")</f>
        <v/>
      </c>
      <c r="K126" s="111" t="str">
        <f ca="1">IF(クライアント抽出!Q56&lt;&gt;"",SUBSTITUTE(ADDRESS(1,(CODE(クライアント抽出!Q56)-64)*2-1,4),"1",""),"")</f>
        <v/>
      </c>
      <c r="L126" s="111" t="str">
        <f>IF(C56&lt;&gt;"",クライアント抽出!I56,"")</f>
        <v/>
      </c>
      <c r="M126" s="111">
        <f t="array" aca="1" ref="M126" ca="1">IF(C126&lt;&gt;"",
IF(K126&lt;&gt;"",INDIRECT("'数出表_Excel（アレルギー入力）'!"&amp;K126&amp;L126-1&amp;""),),)</f>
        <v>0</v>
      </c>
      <c r="N126" s="111" t="str">
        <f>IF(C126&lt;&gt;"",IF(OR(COUNTIF('盛付札（関数）'!D126,"*赤*"),COUNTIF('盛付札（関数）'!D126,"*キャラ*")),1,
VLOOKUP("*"&amp;D126&amp;"*",商品マスタ一覧!D:H,5,FALSE)),"")</f>
        <v/>
      </c>
      <c r="O126" s="111">
        <f t="shared" ca="1" si="19"/>
        <v>0</v>
      </c>
      <c r="P126" s="111">
        <f t="shared" si="9"/>
        <v>0</v>
      </c>
      <c r="Q126" s="111" t="b">
        <f t="shared" si="10"/>
        <v>0</v>
      </c>
      <c r="R126" s="49" t="str">
        <f t="array" aca="1" ref="R126" ca="1">IFERROR(SMALL(IF(P$1:P$311&lt;&gt;0,P$1:P$311),ROW(A126)),"")</f>
        <v/>
      </c>
      <c r="S126" s="49" t="str">
        <f t="array" aca="1" ref="S126" ca="1">IF($R126&lt;&gt;"",
SUBSTITUTE(SUBSTITUTE(INDIRECT("C"&amp;$R126&amp;"")," 週3ｺｰｽ","")," 週5ｺｰｽ",""),"")</f>
        <v/>
      </c>
      <c r="T126" s="49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22" t="str">
        <f t="array" aca="1" ref="U126" ca="1">IF($R126&lt;&gt;"",
INDIRECT("F"&amp;$R126&amp;""),"")</f>
        <v/>
      </c>
      <c r="V126" s="49" t="str">
        <f t="array" aca="1" ref="V126" ca="1">IF($R126&lt;&gt;"",
INDIRECT("G"&amp;$R126&amp;""),"")</f>
        <v/>
      </c>
      <c r="W126" s="49" t="str">
        <f t="array" aca="1" ref="W126" ca="1">IF($R126&lt;&gt;"",
IF(AND(COUNTIF(INDIRECT("B"&amp;R126&amp;""),"*雙葉*"),COUNTIF(B:B,"*雙葉*")&gt;=2),
IF(OR(COUNTIF(INDIRECT("B"&amp;R126&amp;""),"*雙葉先生*"),COUNTIF($B$1:$B$70,"*雙葉*")&gt;=2),INDIRECT("H"&amp;R126&amp;""),INDIRECT("H"&amp;R126&amp;"")+INDIRECT("H"&amp;MATCH("雙葉'",INDIRECT("B"&amp;R126+3&amp;":B210"),0)+2+R126&amp;"")),
IF(AND(LEFT(INDIRECT("B"&amp;R126&amp;""),2)="博多",COUNTIF(B:B,"*博多*")&gt;=2),
INDIRECT("H"&amp;R126&amp;"")+INDIRECT("H"&amp;MATCH("*"&amp;INDIRECT("B"&amp;R126&amp;"")&amp;"*",INDIRECT("B"&amp;R126+1&amp;":B210"),0)+R126&amp;""),
IF(AND(LEFT(INDIRECT("B"&amp;R126&amp;""),3)="奈良屋",COUNTIF(B:B,"*奈良屋*")&gt;=2),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49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49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49" t="str">
        <f t="shared" ca="1" si="11"/>
        <v/>
      </c>
      <c r="AA126" s="49" t="str">
        <f t="shared" ca="1" si="12"/>
        <v/>
      </c>
      <c r="AB126" s="49" t="str">
        <f t="array" aca="1" ref="AB126" ca="1">IF($R126&lt;&gt;"",
IF(AND(COUNTIF(INDIRECT("B"&amp;R126&amp;""),"*雙葉*"),COUNTIF(B:B,"*雙葉*")&gt;=2),
INDIRECT("M"&amp;R126&amp;"")+INDIRECT("M"&amp;MATCH("雙葉'",INDIRECT("B"&amp;R126+1&amp;":B210"),0)+R126&amp;""),
IF(AND(LEFT(INDIRECT("B"&amp;R126&amp;""),2)="博多",COUNTIF(B:B,"*博多*")&gt;=2),
INDIRECT("M"&amp;R126&amp;"")+INDIRECT("M"&amp;MATCH("*"&amp;INDIRECT("B"&amp;R126&amp;"")&amp;"*",INDIRECT("B"&amp;R126+1&amp;":B210"),0)+R126&amp;""),
IF(AND(LEFT(INDIRECT("B"&amp;R126&amp;""),3)="奈良屋",COUNTIF(B:B,"*奈良屋*")&gt;=2),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  <c r="AC126" s="49" t="str">
        <f ca="1">IF(S126&lt;&gt;"",INDEX(A:A, MATCH("*"&amp;LEFT(S126,4)&amp;"*", C:C, 0)),"")</f>
        <v/>
      </c>
      <c r="AD126" s="49" t="str">
        <f ca="1">IFERROR(INDEX(AC:AC,MATCH(SMALL($AU:$AU,ROW()+3),$AU:$AU,0)),"")</f>
        <v/>
      </c>
      <c r="AE126" s="49" t="str">
        <f ca="1">IFERROR(INDEX(R:R,MATCH(SMALL($AU:$AU,ROW()+3),$AU:$AU,0)),"")</f>
        <v/>
      </c>
      <c r="AF126" s="49" t="str">
        <f ca="1">IFERROR(INDEX(S:S,MATCH(SMALL($AU:$AU,ROW()+3),$AU:$AU,0)),"")</f>
        <v/>
      </c>
      <c r="AG126" s="49" t="str">
        <f ca="1">IFERROR(INDEX(T:T,MATCH(SMALL($AU:$AU,ROW()+3),$AU:$AU,0)),"")</f>
        <v/>
      </c>
      <c r="AH126" s="122" t="str">
        <f ca="1">IFERROR(INDEX(U:U,MATCH(SMALL($AU:$AU,ROW()+3),$AU:$AU,0)),"")</f>
        <v/>
      </c>
      <c r="AI126" s="49" t="str">
        <f ca="1">IFERROR(INDEX(V:V,MATCH(SMALL($AU:$AU,ROW()+3),$AU:$AU,0)),"")</f>
        <v/>
      </c>
      <c r="AJ126" s="49" t="str">
        <f ca="1">IFERROR(INDEX(W:W,MATCH(SMALL($AU:$AU,ROW()+3),$AU:$AU,0)),"")</f>
        <v/>
      </c>
      <c r="AK126" s="49" t="str">
        <f ca="1">IFERROR(INDEX(X:X,MATCH(SMALL($AU:$AU,ROW()+3),$AU:$AU,0)),"")</f>
        <v/>
      </c>
      <c r="AL126" s="49" t="str">
        <f ca="1">IFERROR(INDEX(Y:Y,MATCH(SMALL($AU:$AU,ROW()+3),$AU:$AU,0)),"")</f>
        <v/>
      </c>
      <c r="AM126" s="49" t="str">
        <f ca="1">IFERROR(INDEX(Z:Z,MATCH(SMALL($AU:$AU,ROW()+3),$AU:$AU,0)),"")</f>
        <v/>
      </c>
      <c r="AN126" s="49" t="str">
        <f ca="1">IFERROR(INDEX(AA:AA,MATCH(SMALL($AU:$AU,ROW()+3),$AU:$AU,0)),"")</f>
        <v/>
      </c>
      <c r="AO126" s="49" t="str">
        <f ca="1">IFERROR(INDEX(AB:AB,MATCH(SMALL($AU:$AU,ROW()+3),$AU:$AU,0)),"")</f>
        <v/>
      </c>
      <c r="AP126" s="49" t="str">
        <f ca="1">IFERROR(INDEX(AC:AC,MATCH(SMALL($AU:$AU,ROW()+3),$AU:$AU,0)),"")</f>
        <v/>
      </c>
      <c r="AU126" s="49" t="str">
        <f t="shared" ca="1" si="14"/>
        <v/>
      </c>
    </row>
    <row r="127" spans="1:47" ht="22.2" customHeight="1">
      <c r="A127" s="110">
        <f t="shared" si="20"/>
        <v>119</v>
      </c>
      <c r="B127" s="111" t="str">
        <f t="shared" ca="1" si="18"/>
        <v/>
      </c>
      <c r="C127" s="111" t="str">
        <f>IF(OR(クライアント抽出!C57&lt;&gt;"",クライアント抽出!F57&lt;&gt;""),クライアント抽出!A57,"")</f>
        <v/>
      </c>
      <c r="D127" s="111" t="str">
        <f t="array" aca="1" ref="D127" ca="1">IF(C127&lt;&gt;"",INDIRECT("クライアント抽出!"&amp;E127&amp;MATCH(C127,クライアント抽出!A:A,0)&amp;""),"")</f>
        <v/>
      </c>
      <c r="E127" s="111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112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11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113" t="str">
        <f>IF(C127&lt;&gt;"",
クライアント抽出!C57,"")</f>
        <v/>
      </c>
      <c r="I127" s="111" t="str">
        <f t="array" aca="1" ref="I127" ca="1">IF(C127&lt;&gt;"",
IF(O127=1,
IF(SUMPRODUCT(COUNTIF(クライアント抽出!P57:U57,クライアント抽出!P57:U57))&gt;COUNTA(クライアント抽出!P57:U57),
INDIRECT("数出表_Excel!"&amp;INDEX(_xlfn.UNIQUE(_xlfn._xlws.FILTER(クライアント抽出!P57:U57,COUNTIF(クライアント抽出!P57:U57,クライアント抽出!P57:U57)=1)),1)&amp;L127&amp;""),
0),クライアント抽出!F57),"")</f>
        <v/>
      </c>
      <c r="J127" s="111" t="str">
        <f>IF(C127&lt;&gt;"",
VLOOKUP(
"*"&amp;LEFT(IF(COUNTIF(D127,"*学食*"),"キャラ弁（学食）",
IF(COUNTIF(D127,"*赤*"),"赤",
IF(COUNTIF(D127,"*キャラ弁当*"),"キャラ弁当",D127))),4)&amp;"*",注文弁当の抽出!$E$1:$F$15,2,FALSE),"")</f>
        <v/>
      </c>
      <c r="K127" s="111" t="str">
        <f ca="1">IF(クライアント抽出!Q57&lt;&gt;"",SUBSTITUTE(ADDRESS(1,(CODE(クライアント抽出!Q57)-64)*2-1,4),"1",""),"")</f>
        <v/>
      </c>
      <c r="L127" s="111" t="str">
        <f>IF(C57&lt;&gt;"",クライアント抽出!I57,"")</f>
        <v/>
      </c>
      <c r="M127" s="111">
        <f t="array" aca="1" ref="M127" ca="1">IF(C127&lt;&gt;"",
IF(K127&lt;&gt;"",INDIRECT("'数出表_Excel（アレルギー入力）'!"&amp;K127&amp;L127-1&amp;""),),)</f>
        <v>0</v>
      </c>
      <c r="N127" s="111" t="str">
        <f>IF(C127&lt;&gt;"",IF(OR(COUNTIF('盛付札（関数）'!D127,"*赤*"),COUNTIF('盛付札（関数）'!D127,"*キャラ*")),1,
VLOOKUP("*"&amp;D127&amp;"*",商品マスタ一覧!D:H,5,FALSE)),"")</f>
        <v/>
      </c>
      <c r="O127" s="111">
        <f t="shared" ca="1" si="19"/>
        <v>0</v>
      </c>
      <c r="P127" s="111">
        <f t="shared" si="9"/>
        <v>0</v>
      </c>
      <c r="Q127" s="111" t="b">
        <f t="shared" si="10"/>
        <v>0</v>
      </c>
      <c r="R127" s="49" t="str">
        <f t="array" aca="1" ref="R127" ca="1">IFERROR(SMALL(IF(P$1:P$311&lt;&gt;0,P$1:P$311),ROW(A127)),"")</f>
        <v/>
      </c>
      <c r="S127" s="49" t="str">
        <f t="array" aca="1" ref="S127" ca="1">IF($R127&lt;&gt;"",
SUBSTITUTE(SUBSTITUTE(INDIRECT("C"&amp;$R127&amp;"")," 週3ｺｰｽ","")," 週5ｺｰｽ",""),"")</f>
        <v/>
      </c>
      <c r="T127" s="49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22" t="str">
        <f t="array" aca="1" ref="U127" ca="1">IF($R127&lt;&gt;"",
INDIRECT("F"&amp;$R127&amp;""),"")</f>
        <v/>
      </c>
      <c r="V127" s="49" t="str">
        <f t="array" aca="1" ref="V127" ca="1">IF($R127&lt;&gt;"",
INDIRECT("G"&amp;$R127&amp;""),"")</f>
        <v/>
      </c>
      <c r="W127" s="49" t="str">
        <f t="array" aca="1" ref="W127" ca="1">IF($R127&lt;&gt;"",
IF(AND(COUNTIF(INDIRECT("B"&amp;R127&amp;""),"*雙葉*"),COUNTIF(B:B,"*雙葉*")&gt;=2),
IF(OR(COUNTIF(INDIRECT("B"&amp;R127&amp;""),"*雙葉先生*"),COUNTIF($B$1:$B$70,"*雙葉*")&gt;=2),INDIRECT("H"&amp;R127&amp;""),INDIRECT("H"&amp;R127&amp;"")+INDIRECT("H"&amp;MATCH("雙葉'",INDIRECT("B"&amp;R127+3&amp;":B210"),0)+2+R127&amp;"")),
IF(AND(LEFT(INDIRECT("B"&amp;R127&amp;""),2)="博多",COUNTIF(B:B,"*博多*")&gt;=2),
INDIRECT("H"&amp;R127&amp;"")+INDIRECT("H"&amp;MATCH("*"&amp;INDIRECT("B"&amp;R127&amp;"")&amp;"*",INDIRECT("B"&amp;R127+1&amp;":B210"),0)+R127&amp;""),
IF(AND(LEFT(INDIRECT("B"&amp;R127&amp;""),3)="奈良屋",COUNTIF(B:B,"*奈良屋*")&gt;=2),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49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49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49" t="str">
        <f t="shared" ca="1" si="11"/>
        <v/>
      </c>
      <c r="AA127" s="49" t="str">
        <f t="shared" ca="1" si="12"/>
        <v/>
      </c>
      <c r="AB127" s="49" t="str">
        <f t="array" aca="1" ref="AB127" ca="1">IF($R127&lt;&gt;"",
IF(AND(COUNTIF(INDIRECT("B"&amp;R127&amp;""),"*雙葉*"),COUNTIF(B:B,"*雙葉*")&gt;=2),
INDIRECT("M"&amp;R127&amp;"")+INDIRECT("M"&amp;MATCH("雙葉'",INDIRECT("B"&amp;R127+1&amp;":B210"),0)+R127&amp;""),
IF(AND(LEFT(INDIRECT("B"&amp;R127&amp;""),2)="博多",COUNTIF(B:B,"*博多*")&gt;=2),
INDIRECT("M"&amp;R127&amp;"")+INDIRECT("M"&amp;MATCH("*"&amp;INDIRECT("B"&amp;R127&amp;"")&amp;"*",INDIRECT("B"&amp;R127+1&amp;":B210"),0)+R127&amp;""),
IF(AND(LEFT(INDIRECT("B"&amp;R127&amp;""),3)="奈良屋",COUNTIF(B:B,"*奈良屋*")&gt;=2),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  <c r="AC127" s="49" t="str">
        <f ca="1">IF(S127&lt;&gt;"",INDEX(A:A, MATCH("*"&amp;LEFT(S127,4)&amp;"*", C:C, 0)),"")</f>
        <v/>
      </c>
      <c r="AD127" s="49" t="str">
        <f ca="1">IFERROR(INDEX(AC:AC,MATCH(SMALL($AU:$AU,ROW()+3),$AU:$AU,0)),"")</f>
        <v/>
      </c>
      <c r="AE127" s="49" t="str">
        <f ca="1">IFERROR(INDEX(R:R,MATCH(SMALL($AU:$AU,ROW()+3),$AU:$AU,0)),"")</f>
        <v/>
      </c>
      <c r="AF127" s="49" t="str">
        <f ca="1">IFERROR(INDEX(S:S,MATCH(SMALL($AU:$AU,ROW()+3),$AU:$AU,0)),"")</f>
        <v/>
      </c>
      <c r="AG127" s="49" t="str">
        <f ca="1">IFERROR(INDEX(T:T,MATCH(SMALL($AU:$AU,ROW()+3),$AU:$AU,0)),"")</f>
        <v/>
      </c>
      <c r="AH127" s="122" t="str">
        <f ca="1">IFERROR(INDEX(U:U,MATCH(SMALL($AU:$AU,ROW()+3),$AU:$AU,0)),"")</f>
        <v/>
      </c>
      <c r="AI127" s="49" t="str">
        <f ca="1">IFERROR(INDEX(V:V,MATCH(SMALL($AU:$AU,ROW()+3),$AU:$AU,0)),"")</f>
        <v/>
      </c>
      <c r="AJ127" s="49" t="str">
        <f ca="1">IFERROR(INDEX(W:W,MATCH(SMALL($AU:$AU,ROW()+3),$AU:$AU,0)),"")</f>
        <v/>
      </c>
      <c r="AK127" s="49" t="str">
        <f ca="1">IFERROR(INDEX(X:X,MATCH(SMALL($AU:$AU,ROW()+3),$AU:$AU,0)),"")</f>
        <v/>
      </c>
      <c r="AL127" s="49" t="str">
        <f ca="1">IFERROR(INDEX(Y:Y,MATCH(SMALL($AU:$AU,ROW()+3),$AU:$AU,0)),"")</f>
        <v/>
      </c>
      <c r="AM127" s="49" t="str">
        <f ca="1">IFERROR(INDEX(Z:Z,MATCH(SMALL($AU:$AU,ROW()+3),$AU:$AU,0)),"")</f>
        <v/>
      </c>
      <c r="AN127" s="49" t="str">
        <f ca="1">IFERROR(INDEX(AA:AA,MATCH(SMALL($AU:$AU,ROW()+3),$AU:$AU,0)),"")</f>
        <v/>
      </c>
      <c r="AO127" s="49" t="str">
        <f ca="1">IFERROR(INDEX(AB:AB,MATCH(SMALL($AU:$AU,ROW()+3),$AU:$AU,0)),"")</f>
        <v/>
      </c>
      <c r="AP127" s="49" t="str">
        <f ca="1">IFERROR(INDEX(AC:AC,MATCH(SMALL($AU:$AU,ROW()+3),$AU:$AU,0)),"")</f>
        <v/>
      </c>
      <c r="AU127" s="49" t="str">
        <f t="shared" ca="1" si="14"/>
        <v/>
      </c>
    </row>
    <row r="128" spans="1:47" ht="22.2" customHeight="1">
      <c r="A128" s="110">
        <f t="shared" si="20"/>
        <v>121</v>
      </c>
      <c r="B128" s="111" t="str">
        <f t="shared" ca="1" si="18"/>
        <v/>
      </c>
      <c r="C128" s="111" t="str">
        <f>IF(OR(クライアント抽出!C58&lt;&gt;"",クライアント抽出!F58&lt;&gt;""),クライアント抽出!A58,"")</f>
        <v/>
      </c>
      <c r="D128" s="111" t="str">
        <f t="array" aca="1" ref="D128" ca="1">IF(C128&lt;&gt;"",INDIRECT("クライアント抽出!"&amp;E128&amp;MATCH(C128,クライアント抽出!A:A,0)&amp;""),"")</f>
        <v/>
      </c>
      <c r="E128" s="111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112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11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113" t="str">
        <f>IF(C128&lt;&gt;"",
クライアント抽出!C58,"")</f>
        <v/>
      </c>
      <c r="I128" s="111" t="str">
        <f t="array" aca="1" ref="I128" ca="1">IF(C128&lt;&gt;"",
IF(O128=1,
IF(SUMPRODUCT(COUNTIF(クライアント抽出!P58:U58,クライアント抽出!P58:U58))&gt;COUNTA(クライアント抽出!P58:U58),
INDIRECT("数出表_Excel!"&amp;INDEX(_xlfn.UNIQUE(_xlfn._xlws.FILTER(クライアント抽出!P58:U58,COUNTIF(クライアント抽出!P58:U58,クライアント抽出!P58:U58)=1)),1)&amp;L128&amp;""),
0),クライアント抽出!F58),"")</f>
        <v/>
      </c>
      <c r="J128" s="111" t="str">
        <f>IF(C128&lt;&gt;"",
VLOOKUP(
"*"&amp;LEFT(IF(COUNTIF(D128,"*学食*"),"キャラ弁（学食）",
IF(COUNTIF(D128,"*赤*"),"赤",
IF(COUNTIF(D128,"*キャラ弁当*"),"キャラ弁当",D128))),4)&amp;"*",注文弁当の抽出!$E$1:$F$15,2,FALSE),"")</f>
        <v/>
      </c>
      <c r="K128" s="111" t="str">
        <f ca="1">IF(クライアント抽出!Q58&lt;&gt;"",SUBSTITUTE(ADDRESS(1,(CODE(クライアント抽出!Q58)-64)*2-1,4),"1",""),"")</f>
        <v/>
      </c>
      <c r="L128" s="111" t="str">
        <f>IF(C58&lt;&gt;"",クライアント抽出!I58,"")</f>
        <v/>
      </c>
      <c r="M128" s="111">
        <f t="array" aca="1" ref="M128" ca="1">IF(C128&lt;&gt;"",
IF(K128&lt;&gt;"",INDIRECT("'数出表_Excel（アレルギー入力）'!"&amp;K128&amp;L128-1&amp;""),),)</f>
        <v>0</v>
      </c>
      <c r="N128" s="111" t="str">
        <f>IF(C128&lt;&gt;"",IF(OR(COUNTIF('盛付札（関数）'!D128,"*赤*"),COUNTIF('盛付札（関数）'!D128,"*キャラ*")),1,
VLOOKUP("*"&amp;D128&amp;"*",商品マスタ一覧!D:H,5,FALSE)),"")</f>
        <v/>
      </c>
      <c r="O128" s="111">
        <f t="shared" ca="1" si="19"/>
        <v>0</v>
      </c>
      <c r="P128" s="111">
        <f t="shared" si="9"/>
        <v>0</v>
      </c>
      <c r="Q128" s="111" t="b">
        <f t="shared" si="10"/>
        <v>0</v>
      </c>
      <c r="R128" s="49" t="str">
        <f t="array" aca="1" ref="R128" ca="1">IFERROR(SMALL(IF(P$1:P$311&lt;&gt;0,P$1:P$311),ROW(A128)),"")</f>
        <v/>
      </c>
      <c r="S128" s="49" t="str">
        <f t="array" aca="1" ref="S128" ca="1">IF($R128&lt;&gt;"",
SUBSTITUTE(SUBSTITUTE(INDIRECT("C"&amp;$R128&amp;"")," 週3ｺｰｽ","")," 週5ｺｰｽ",""),"")</f>
        <v/>
      </c>
      <c r="T128" s="49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22" t="str">
        <f t="array" aca="1" ref="U128" ca="1">IF($R128&lt;&gt;"",
INDIRECT("F"&amp;$R128&amp;""),"")</f>
        <v/>
      </c>
      <c r="V128" s="49" t="str">
        <f t="array" aca="1" ref="V128" ca="1">IF($R128&lt;&gt;"",
INDIRECT("G"&amp;$R128&amp;""),"")</f>
        <v/>
      </c>
      <c r="W128" s="49" t="str">
        <f t="array" aca="1" ref="W128" ca="1">IF($R128&lt;&gt;"",
IF(AND(COUNTIF(INDIRECT("B"&amp;R128&amp;""),"*雙葉*"),COUNTIF(B:B,"*雙葉*")&gt;=2),
IF(OR(COUNTIF(INDIRECT("B"&amp;R128&amp;""),"*雙葉先生*"),COUNTIF($B$1:$B$70,"*雙葉*")&gt;=2),INDIRECT("H"&amp;R128&amp;""),INDIRECT("H"&amp;R128&amp;"")+INDIRECT("H"&amp;MATCH("雙葉'",INDIRECT("B"&amp;R128+3&amp;":B210"),0)+2+R128&amp;"")),
IF(AND(LEFT(INDIRECT("B"&amp;R128&amp;""),2)="博多",COUNTIF(B:B,"*博多*")&gt;=2),
INDIRECT("H"&amp;R128&amp;"")+INDIRECT("H"&amp;MATCH("*"&amp;INDIRECT("B"&amp;R128&amp;"")&amp;"*",INDIRECT("B"&amp;R128+1&amp;":B210"),0)+R128&amp;""),
IF(AND(LEFT(INDIRECT("B"&amp;R128&amp;""),3)="奈良屋",COUNTIF(B:B,"*奈良屋*")&gt;=2),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49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49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49" t="str">
        <f t="shared" ca="1" si="11"/>
        <v/>
      </c>
      <c r="AA128" s="49" t="str">
        <f t="shared" ca="1" si="12"/>
        <v/>
      </c>
      <c r="AB128" s="49" t="str">
        <f t="array" aca="1" ref="AB128" ca="1">IF($R128&lt;&gt;"",
IF(AND(COUNTIF(INDIRECT("B"&amp;R128&amp;""),"*雙葉*"),COUNTIF(B:B,"*雙葉*")&gt;=2),
INDIRECT("M"&amp;R128&amp;"")+INDIRECT("M"&amp;MATCH("雙葉'",INDIRECT("B"&amp;R128+1&amp;":B210"),0)+R128&amp;""),
IF(AND(LEFT(INDIRECT("B"&amp;R128&amp;""),2)="博多",COUNTIF(B:B,"*博多*")&gt;=2),
INDIRECT("M"&amp;R128&amp;"")+INDIRECT("M"&amp;MATCH("*"&amp;INDIRECT("B"&amp;R128&amp;"")&amp;"*",INDIRECT("B"&amp;R128+1&amp;":B210"),0)+R128&amp;""),
IF(AND(LEFT(INDIRECT("B"&amp;R128&amp;""),3)="奈良屋",COUNTIF(B:B,"*奈良屋*")&gt;=2),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  <c r="AC128" s="49" t="str">
        <f ca="1">IF(S128&lt;&gt;"",INDEX(A:A, MATCH("*"&amp;LEFT(S128,4)&amp;"*", C:C, 0)),"")</f>
        <v/>
      </c>
      <c r="AD128" s="49" t="str">
        <f ca="1">IFERROR(INDEX(AC:AC,MATCH(SMALL($AU:$AU,ROW()+3),$AU:$AU,0)),"")</f>
        <v/>
      </c>
      <c r="AE128" s="49" t="str">
        <f ca="1">IFERROR(INDEX(R:R,MATCH(SMALL($AU:$AU,ROW()+3),$AU:$AU,0)),"")</f>
        <v/>
      </c>
      <c r="AF128" s="49" t="str">
        <f ca="1">IFERROR(INDEX(S:S,MATCH(SMALL($AU:$AU,ROW()+3),$AU:$AU,0)),"")</f>
        <v/>
      </c>
      <c r="AG128" s="49" t="str">
        <f ca="1">IFERROR(INDEX(T:T,MATCH(SMALL($AU:$AU,ROW()+3),$AU:$AU,0)),"")</f>
        <v/>
      </c>
      <c r="AH128" s="122" t="str">
        <f ca="1">IFERROR(INDEX(U:U,MATCH(SMALL($AU:$AU,ROW()+3),$AU:$AU,0)),"")</f>
        <v/>
      </c>
      <c r="AI128" s="49" t="str">
        <f ca="1">IFERROR(INDEX(V:V,MATCH(SMALL($AU:$AU,ROW()+3),$AU:$AU,0)),"")</f>
        <v/>
      </c>
      <c r="AJ128" s="49" t="str">
        <f ca="1">IFERROR(INDEX(W:W,MATCH(SMALL($AU:$AU,ROW()+3),$AU:$AU,0)),"")</f>
        <v/>
      </c>
      <c r="AK128" s="49" t="str">
        <f ca="1">IFERROR(INDEX(X:X,MATCH(SMALL($AU:$AU,ROW()+3),$AU:$AU,0)),"")</f>
        <v/>
      </c>
      <c r="AL128" s="49" t="str">
        <f ca="1">IFERROR(INDEX(Y:Y,MATCH(SMALL($AU:$AU,ROW()+3),$AU:$AU,0)),"")</f>
        <v/>
      </c>
      <c r="AM128" s="49" t="str">
        <f ca="1">IFERROR(INDEX(Z:Z,MATCH(SMALL($AU:$AU,ROW()+3),$AU:$AU,0)),"")</f>
        <v/>
      </c>
      <c r="AN128" s="49" t="str">
        <f ca="1">IFERROR(INDEX(AA:AA,MATCH(SMALL($AU:$AU,ROW()+3),$AU:$AU,0)),"")</f>
        <v/>
      </c>
      <c r="AO128" s="49" t="str">
        <f ca="1">IFERROR(INDEX(AB:AB,MATCH(SMALL($AU:$AU,ROW()+3),$AU:$AU,0)),"")</f>
        <v/>
      </c>
      <c r="AP128" s="49" t="str">
        <f ca="1">IFERROR(INDEX(AC:AC,MATCH(SMALL($AU:$AU,ROW()+3),$AU:$AU,0)),"")</f>
        <v/>
      </c>
      <c r="AU128" s="49" t="str">
        <f t="shared" ca="1" si="14"/>
        <v/>
      </c>
    </row>
    <row r="129" spans="1:47" ht="22.2" customHeight="1">
      <c r="A129" s="110">
        <f t="shared" si="20"/>
        <v>123</v>
      </c>
      <c r="B129" s="111" t="str">
        <f t="shared" ca="1" si="18"/>
        <v/>
      </c>
      <c r="C129" s="111" t="str">
        <f>IF(OR(クライアント抽出!C59&lt;&gt;"",クライアント抽出!F59&lt;&gt;""),クライアント抽出!A59,"")</f>
        <v/>
      </c>
      <c r="D129" s="111" t="str">
        <f t="array" aca="1" ref="D129" ca="1">IF(C129&lt;&gt;"",INDIRECT("クライアント抽出!"&amp;E129&amp;MATCH(C129,クライアント抽出!A:A,0)&amp;""),"")</f>
        <v/>
      </c>
      <c r="E129" s="111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112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11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113" t="str">
        <f>IF(C129&lt;&gt;"",
クライアント抽出!C59,"")</f>
        <v/>
      </c>
      <c r="I129" s="111" t="str">
        <f t="array" aca="1" ref="I129" ca="1">IF(C129&lt;&gt;"",
IF(O129=1,
IF(SUMPRODUCT(COUNTIF(クライアント抽出!P59:U59,クライアント抽出!P59:U59))&gt;COUNTA(クライアント抽出!P59:U59),
INDIRECT("数出表_Excel!"&amp;INDEX(_xlfn.UNIQUE(_xlfn._xlws.FILTER(クライアント抽出!P59:U59,COUNTIF(クライアント抽出!P59:U59,クライアント抽出!P59:U59)=1)),1)&amp;L129&amp;""),
0),クライアント抽出!F59),"")</f>
        <v/>
      </c>
      <c r="J129" s="111" t="str">
        <f>IF(C129&lt;&gt;"",
VLOOKUP(
"*"&amp;LEFT(IF(COUNTIF(D129,"*学食*"),"キャラ弁（学食）",
IF(COUNTIF(D129,"*赤*"),"赤",
IF(COUNTIF(D129,"*キャラ弁当*"),"キャラ弁当",D129))),4)&amp;"*",注文弁当の抽出!$E$1:$F$15,2,FALSE),"")</f>
        <v/>
      </c>
      <c r="K129" s="111" t="str">
        <f ca="1">IF(クライアント抽出!Q59&lt;&gt;"",SUBSTITUTE(ADDRESS(1,(CODE(クライアント抽出!Q59)-64)*2-1,4),"1",""),"")</f>
        <v/>
      </c>
      <c r="L129" s="111" t="str">
        <f>IF(C59&lt;&gt;"",クライアント抽出!I59,"")</f>
        <v/>
      </c>
      <c r="M129" s="111">
        <f t="array" aca="1" ref="M129" ca="1">IF(C129&lt;&gt;"",
IF(K129&lt;&gt;"",INDIRECT("'数出表_Excel（アレルギー入力）'!"&amp;K129&amp;L129-1&amp;""),),)</f>
        <v>0</v>
      </c>
      <c r="N129" s="111" t="str">
        <f>IF(C129&lt;&gt;"",IF(OR(COUNTIF('盛付札（関数）'!D129,"*赤*"),COUNTIF('盛付札（関数）'!D129,"*キャラ*")),1,
VLOOKUP("*"&amp;D129&amp;"*",商品マスタ一覧!D:H,5,FALSE)),"")</f>
        <v/>
      </c>
      <c r="O129" s="111">
        <f t="shared" ca="1" si="19"/>
        <v>0</v>
      </c>
      <c r="P129" s="111">
        <f t="shared" ref="P129:P192" si="21">IF(COUNTIF(Q129,"TRUE"),
IF(OR(COUNTIF(B129,"*'*"),H129=0),0,ROW()),0)</f>
        <v>0</v>
      </c>
      <c r="Q129" s="111" t="b">
        <f t="shared" ref="Q129:Q192" si="22">IF(C129&lt;&gt;"",
IF(OR(N129=1,COUNTIF(D129,"*朝食*"),COUNTIF(D129,"*夕食*")),TRUE,FALSE),FALSE)</f>
        <v>0</v>
      </c>
      <c r="R129" s="49" t="str">
        <f t="array" aca="1" ref="R129" ca="1">IFERROR(SMALL(IF(P$1:P$311&lt;&gt;0,P$1:P$311),ROW(A129)),"")</f>
        <v/>
      </c>
      <c r="S129" s="49" t="str">
        <f t="array" aca="1" ref="S129" ca="1">IF($R129&lt;&gt;"",
SUBSTITUTE(SUBSTITUTE(INDIRECT("C"&amp;$R129&amp;"")," 週3ｺｰｽ","")," 週5ｺｰｽ",""),"")</f>
        <v/>
      </c>
      <c r="T129" s="49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22" t="str">
        <f t="array" aca="1" ref="U129" ca="1">IF($R129&lt;&gt;"",
INDIRECT("F"&amp;$R129&amp;""),"")</f>
        <v/>
      </c>
      <c r="V129" s="49" t="str">
        <f t="array" aca="1" ref="V129" ca="1">IF($R129&lt;&gt;"",
INDIRECT("G"&amp;$R129&amp;""),"")</f>
        <v/>
      </c>
      <c r="W129" s="49" t="str">
        <f t="array" aca="1" ref="W129" ca="1">IF($R129&lt;&gt;"",
IF(AND(COUNTIF(INDIRECT("B"&amp;R129&amp;""),"*雙葉*"),COUNTIF(B:B,"*雙葉*")&gt;=2),
IF(OR(COUNTIF(INDIRECT("B"&amp;R129&amp;""),"*雙葉先生*"),COUNTIF($B$1:$B$70,"*雙葉*")&gt;=2),INDIRECT("H"&amp;R129&amp;""),INDIRECT("H"&amp;R129&amp;"")+INDIRECT("H"&amp;MATCH("雙葉'",INDIRECT("B"&amp;R129+3&amp;":B210"),0)+2+R129&amp;"")),
IF(AND(LEFT(INDIRECT("B"&amp;R129&amp;""),2)="博多",COUNTIF(B:B,"*博多*")&gt;=2),
INDIRECT("H"&amp;R129&amp;"")+INDIRECT("H"&amp;MATCH("*"&amp;INDIRECT("B"&amp;R129&amp;"")&amp;"*",INDIRECT("B"&amp;R129+1&amp;":B210"),0)+R129&amp;""),
IF(AND(LEFT(INDIRECT("B"&amp;R129&amp;""),3)="奈良屋",COUNTIF(B:B,"*奈良屋*")&gt;=2),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49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49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49" t="str">
        <f t="shared" ref="Z129:Z192" ca="1" si="23">IF(R129&lt;&gt;"",
IFERROR(INT(W129/Y129),""),"")</f>
        <v/>
      </c>
      <c r="AA129" s="49" t="str">
        <f t="shared" ref="AA129:AA192" ca="1" si="24">IFERROR(MOD(W129,Y129),"")</f>
        <v/>
      </c>
      <c r="AB129" s="49" t="str">
        <f t="array" aca="1" ref="AB129" ca="1">IF($R129&lt;&gt;"",
IF(AND(COUNTIF(INDIRECT("B"&amp;R129&amp;""),"*雙葉*"),COUNTIF(B:B,"*雙葉*")&gt;=2),
INDIRECT("M"&amp;R129&amp;"")+INDIRECT("M"&amp;MATCH("雙葉'",INDIRECT("B"&amp;R129+1&amp;":B210"),0)+R129&amp;""),
IF(AND(LEFT(INDIRECT("B"&amp;R129&amp;""),2)="博多",COUNTIF(B:B,"*博多*")&gt;=2),
INDIRECT("M"&amp;R129&amp;"")+INDIRECT("M"&amp;MATCH("*"&amp;INDIRECT("B"&amp;R129&amp;"")&amp;"*",INDIRECT("B"&amp;R129+1&amp;":B210"),0)+R129&amp;""),
IF(AND(LEFT(INDIRECT("B"&amp;R129&amp;""),3)="奈良屋",COUNTIF(B:B,"*奈良屋*")&gt;=2),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  <c r="AC129" s="49" t="str">
        <f ca="1">IF(S129&lt;&gt;"",INDEX(A:A, MATCH("*"&amp;LEFT(S129,4)&amp;"*", C:C, 0)),"")</f>
        <v/>
      </c>
      <c r="AD129" s="49" t="str">
        <f ca="1">IFERROR(INDEX(AC:AC,MATCH(SMALL($AU:$AU,ROW()+3),$AU:$AU,0)),"")</f>
        <v/>
      </c>
      <c r="AE129" s="49" t="str">
        <f ca="1">IFERROR(INDEX(R:R,MATCH(SMALL($AU:$AU,ROW()+3),$AU:$AU,0)),"")</f>
        <v/>
      </c>
      <c r="AF129" s="49" t="str">
        <f ca="1">IFERROR(INDEX(S:S,MATCH(SMALL($AU:$AU,ROW()+3),$AU:$AU,0)),"")</f>
        <v/>
      </c>
      <c r="AG129" s="49" t="str">
        <f ca="1">IFERROR(INDEX(T:T,MATCH(SMALL($AU:$AU,ROW()+3),$AU:$AU,0)),"")</f>
        <v/>
      </c>
      <c r="AH129" s="122" t="str">
        <f ca="1">IFERROR(INDEX(U:U,MATCH(SMALL($AU:$AU,ROW()+3),$AU:$AU,0)),"")</f>
        <v/>
      </c>
      <c r="AI129" s="49" t="str">
        <f ca="1">IFERROR(INDEX(V:V,MATCH(SMALL($AU:$AU,ROW()+3),$AU:$AU,0)),"")</f>
        <v/>
      </c>
      <c r="AJ129" s="49" t="str">
        <f ca="1">IFERROR(INDEX(W:W,MATCH(SMALL($AU:$AU,ROW()+3),$AU:$AU,0)),"")</f>
        <v/>
      </c>
      <c r="AK129" s="49" t="str">
        <f ca="1">IFERROR(INDEX(X:X,MATCH(SMALL($AU:$AU,ROW()+3),$AU:$AU,0)),"")</f>
        <v/>
      </c>
      <c r="AL129" s="49" t="str">
        <f ca="1">IFERROR(INDEX(Y:Y,MATCH(SMALL($AU:$AU,ROW()+3),$AU:$AU,0)),"")</f>
        <v/>
      </c>
      <c r="AM129" s="49" t="str">
        <f ca="1">IFERROR(INDEX(Z:Z,MATCH(SMALL($AU:$AU,ROW()+3),$AU:$AU,0)),"")</f>
        <v/>
      </c>
      <c r="AN129" s="49" t="str">
        <f ca="1">IFERROR(INDEX(AA:AA,MATCH(SMALL($AU:$AU,ROW()+3),$AU:$AU,0)),"")</f>
        <v/>
      </c>
      <c r="AO129" s="49" t="str">
        <f ca="1">IFERROR(INDEX(AB:AB,MATCH(SMALL($AU:$AU,ROW()+3),$AU:$AU,0)),"")</f>
        <v/>
      </c>
      <c r="AP129" s="49" t="str">
        <f ca="1">IFERROR(INDEX(AC:AC,MATCH(SMALL($AU:$AU,ROW()+3),$AU:$AU,0)),"")</f>
        <v/>
      </c>
      <c r="AU129" s="49" t="str">
        <f t="shared" ca="1" si="14"/>
        <v/>
      </c>
    </row>
    <row r="130" spans="1:47" ht="22.2" customHeight="1">
      <c r="A130" s="110">
        <f t="shared" si="20"/>
        <v>125</v>
      </c>
      <c r="B130" s="111" t="str">
        <f t="shared" ca="1" si="18"/>
        <v/>
      </c>
      <c r="C130" s="111" t="str">
        <f>IF(OR(クライアント抽出!C60&lt;&gt;"",クライアント抽出!F60&lt;&gt;""),クライアント抽出!A60,"")</f>
        <v/>
      </c>
      <c r="D130" s="111" t="str">
        <f t="array" aca="1" ref="D130" ca="1">IF(C130&lt;&gt;"",INDIRECT("クライアント抽出!"&amp;E130&amp;MATCH(C130,クライアント抽出!A:A,0)&amp;""),"")</f>
        <v/>
      </c>
      <c r="E130" s="111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112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11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113" t="str">
        <f>IF(C130&lt;&gt;"",
クライアント抽出!C60,"")</f>
        <v/>
      </c>
      <c r="I130" s="111" t="str">
        <f t="array" aca="1" ref="I130" ca="1">IF(C130&lt;&gt;"",
IF(O130=1,
IF(SUMPRODUCT(COUNTIF(クライアント抽出!P60:U60,クライアント抽出!P60:U60))&gt;COUNTA(クライアント抽出!P60:U60),
INDIRECT("数出表_Excel!"&amp;INDEX(_xlfn.UNIQUE(_xlfn._xlws.FILTER(クライアント抽出!P60:U60,COUNTIF(クライアント抽出!P60:U60,クライアント抽出!P60:U60)=1)),1)&amp;L130&amp;""),
0),クライアント抽出!F60),"")</f>
        <v/>
      </c>
      <c r="J130" s="111" t="str">
        <f>IF(C130&lt;&gt;"",
VLOOKUP(
"*"&amp;LEFT(IF(COUNTIF(D130,"*学食*"),"キャラ弁（学食）",
IF(COUNTIF(D130,"*赤*"),"赤",
IF(COUNTIF(D130,"*キャラ弁当*"),"キャラ弁当",D130))),4)&amp;"*",注文弁当の抽出!$E$1:$F$15,2,FALSE),"")</f>
        <v/>
      </c>
      <c r="K130" s="111" t="str">
        <f ca="1">IF(クライアント抽出!Q60&lt;&gt;"",SUBSTITUTE(ADDRESS(1,(CODE(クライアント抽出!Q60)-64)*2-1,4),"1",""),"")</f>
        <v/>
      </c>
      <c r="L130" s="111" t="str">
        <f>IF(C60&lt;&gt;"",クライアント抽出!I60,"")</f>
        <v/>
      </c>
      <c r="M130" s="111">
        <f t="array" aca="1" ref="M130" ca="1">IF(C130&lt;&gt;"",
IF(K130&lt;&gt;"",INDIRECT("'数出表_Excel（アレルギー入力）'!"&amp;K130&amp;L130-1&amp;""),),)</f>
        <v>0</v>
      </c>
      <c r="N130" s="111" t="str">
        <f>IF(C130&lt;&gt;"",IF(OR(COUNTIF('盛付札（関数）'!D130,"*赤*"),COUNTIF('盛付札（関数）'!D130,"*キャラ*")),1,
VLOOKUP("*"&amp;D130&amp;"*",商品マスタ一覧!D:H,5,FALSE)),"")</f>
        <v/>
      </c>
      <c r="O130" s="111">
        <f t="shared" ca="1" si="19"/>
        <v>0</v>
      </c>
      <c r="P130" s="111">
        <f t="shared" si="21"/>
        <v>0</v>
      </c>
      <c r="Q130" s="111" t="b">
        <f t="shared" si="22"/>
        <v>0</v>
      </c>
      <c r="R130" s="49" t="str">
        <f t="array" aca="1" ref="R130" ca="1">IFERROR(SMALL(IF(P$1:P$311&lt;&gt;0,P$1:P$311),ROW(A130)),"")</f>
        <v/>
      </c>
      <c r="S130" s="49" t="str">
        <f t="array" aca="1" ref="S130" ca="1">IF($R130&lt;&gt;"",
SUBSTITUTE(SUBSTITUTE(INDIRECT("C"&amp;$R130&amp;"")," 週3ｺｰｽ","")," 週5ｺｰｽ",""),"")</f>
        <v/>
      </c>
      <c r="T130" s="49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22" t="str">
        <f t="array" aca="1" ref="U130" ca="1">IF($R130&lt;&gt;"",
INDIRECT("F"&amp;$R130&amp;""),"")</f>
        <v/>
      </c>
      <c r="V130" s="49" t="str">
        <f t="array" aca="1" ref="V130" ca="1">IF($R130&lt;&gt;"",
INDIRECT("G"&amp;$R130&amp;""),"")</f>
        <v/>
      </c>
      <c r="W130" s="49" t="str">
        <f t="array" aca="1" ref="W130" ca="1">IF($R130&lt;&gt;"",
IF(AND(COUNTIF(INDIRECT("B"&amp;R130&amp;""),"*雙葉*"),COUNTIF(B:B,"*雙葉*")&gt;=2),
IF(OR(COUNTIF(INDIRECT("B"&amp;R130&amp;""),"*雙葉先生*"),COUNTIF($B$1:$B$70,"*雙葉*")&gt;=2),INDIRECT("H"&amp;R130&amp;""),INDIRECT("H"&amp;R130&amp;"")+INDIRECT("H"&amp;MATCH("雙葉'",INDIRECT("B"&amp;R130+3&amp;":B210"),0)+2+R130&amp;"")),
IF(AND(LEFT(INDIRECT("B"&amp;R130&amp;""),2)="博多",COUNTIF(B:B,"*博多*")&gt;=2),
INDIRECT("H"&amp;R130&amp;"")+INDIRECT("H"&amp;MATCH("*"&amp;INDIRECT("B"&amp;R130&amp;"")&amp;"*",INDIRECT("B"&amp;R130+1&amp;":B210"),0)+R130&amp;""),
IF(AND(LEFT(INDIRECT("B"&amp;R130&amp;""),3)="奈良屋",COUNTIF(B:B,"*奈良屋*")&gt;=2),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49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49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49" t="str">
        <f t="shared" ca="1" si="23"/>
        <v/>
      </c>
      <c r="AA130" s="49" t="str">
        <f t="shared" ca="1" si="24"/>
        <v/>
      </c>
      <c r="AB130" s="49" t="str">
        <f t="array" aca="1" ref="AB130" ca="1">IF($R130&lt;&gt;"",
IF(AND(COUNTIF(INDIRECT("B"&amp;R130&amp;""),"*雙葉*"),COUNTIF(B:B,"*雙葉*")&gt;=2),
INDIRECT("M"&amp;R130&amp;"")+INDIRECT("M"&amp;MATCH("雙葉'",INDIRECT("B"&amp;R130+1&amp;":B210"),0)+R130&amp;""),
IF(AND(LEFT(INDIRECT("B"&amp;R130&amp;""),2)="博多",COUNTIF(B:B,"*博多*")&gt;=2),
INDIRECT("M"&amp;R130&amp;"")+INDIRECT("M"&amp;MATCH("*"&amp;INDIRECT("B"&amp;R130&amp;"")&amp;"*",INDIRECT("B"&amp;R130+1&amp;":B210"),0)+R130&amp;""),
IF(AND(LEFT(INDIRECT("B"&amp;R130&amp;""),3)="奈良屋",COUNTIF(B:B,"*奈良屋*")&gt;=2),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  <c r="AC130" s="49" t="str">
        <f ca="1">IF(S130&lt;&gt;"",INDEX(A:A, MATCH("*"&amp;LEFT(S130,4)&amp;"*", C:C, 0)),"")</f>
        <v/>
      </c>
      <c r="AD130" s="49" t="str">
        <f ca="1">IFERROR(INDEX(AC:AC,MATCH(SMALL($AU:$AU,ROW()+3),$AU:$AU,0)),"")</f>
        <v/>
      </c>
      <c r="AE130" s="49" t="str">
        <f ca="1">IFERROR(INDEX(R:R,MATCH(SMALL($AU:$AU,ROW()+3),$AU:$AU,0)),"")</f>
        <v/>
      </c>
      <c r="AF130" s="49" t="str">
        <f ca="1">IFERROR(INDEX(S:S,MATCH(SMALL($AU:$AU,ROW()+3),$AU:$AU,0)),"")</f>
        <v/>
      </c>
      <c r="AG130" s="49" t="str">
        <f ca="1">IFERROR(INDEX(T:T,MATCH(SMALL($AU:$AU,ROW()+3),$AU:$AU,0)),"")</f>
        <v/>
      </c>
      <c r="AH130" s="122" t="str">
        <f ca="1">IFERROR(INDEX(U:U,MATCH(SMALL($AU:$AU,ROW()+3),$AU:$AU,0)),"")</f>
        <v/>
      </c>
      <c r="AI130" s="49" t="str">
        <f ca="1">IFERROR(INDEX(V:V,MATCH(SMALL($AU:$AU,ROW()+3),$AU:$AU,0)),"")</f>
        <v/>
      </c>
      <c r="AJ130" s="49" t="str">
        <f ca="1">IFERROR(INDEX(W:W,MATCH(SMALL($AU:$AU,ROW()+3),$AU:$AU,0)),"")</f>
        <v/>
      </c>
      <c r="AK130" s="49" t="str">
        <f ca="1">IFERROR(INDEX(X:X,MATCH(SMALL($AU:$AU,ROW()+3),$AU:$AU,0)),"")</f>
        <v/>
      </c>
      <c r="AL130" s="49" t="str">
        <f ca="1">IFERROR(INDEX(Y:Y,MATCH(SMALL($AU:$AU,ROW()+3),$AU:$AU,0)),"")</f>
        <v/>
      </c>
      <c r="AM130" s="49" t="str">
        <f ca="1">IFERROR(INDEX(Z:Z,MATCH(SMALL($AU:$AU,ROW()+3),$AU:$AU,0)),"")</f>
        <v/>
      </c>
      <c r="AN130" s="49" t="str">
        <f ca="1">IFERROR(INDEX(AA:AA,MATCH(SMALL($AU:$AU,ROW()+3),$AU:$AU,0)),"")</f>
        <v/>
      </c>
      <c r="AO130" s="49" t="str">
        <f ca="1">IFERROR(INDEX(AB:AB,MATCH(SMALL($AU:$AU,ROW()+3),$AU:$AU,0)),"")</f>
        <v/>
      </c>
      <c r="AP130" s="49" t="str">
        <f ca="1">IFERROR(INDEX(AC:AC,MATCH(SMALL($AU:$AU,ROW()+3),$AU:$AU,0)),"")</f>
        <v/>
      </c>
      <c r="AU130" s="49" t="str">
        <f t="shared" ref="AU130:AU193" ca="1" si="25">IFERROR(IF(R130&gt;=219, 1000000+R130, AC130*1000+R130),"")</f>
        <v/>
      </c>
    </row>
    <row r="131" spans="1:47" ht="22.2" customHeight="1">
      <c r="A131" s="110">
        <f t="shared" si="20"/>
        <v>127</v>
      </c>
      <c r="B131" s="111" t="str">
        <f t="shared" ca="1" si="18"/>
        <v/>
      </c>
      <c r="C131" s="111" t="str">
        <f>IF(OR(クライアント抽出!C61&lt;&gt;"",クライアント抽出!F61&lt;&gt;""),クライアント抽出!A61,"")</f>
        <v/>
      </c>
      <c r="D131" s="111" t="str">
        <f t="array" aca="1" ref="D131" ca="1">IF(C131&lt;&gt;"",INDIRECT("クライアント抽出!"&amp;E131&amp;MATCH(C131,クライアント抽出!A:A,0)&amp;""),"")</f>
        <v/>
      </c>
      <c r="E131" s="111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112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11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113" t="str">
        <f>IF(C131&lt;&gt;"",
クライアント抽出!C61,"")</f>
        <v/>
      </c>
      <c r="I131" s="111" t="str">
        <f t="array" aca="1" ref="I131" ca="1">IF(C131&lt;&gt;"",
IF(O131=1,
IF(SUMPRODUCT(COUNTIF(クライアント抽出!P61:U61,クライアント抽出!P61:U61))&gt;COUNTA(クライアント抽出!P61:U61),
INDIRECT("数出表_Excel!"&amp;INDEX(_xlfn.UNIQUE(_xlfn._xlws.FILTER(クライアント抽出!P61:U61,COUNTIF(クライアント抽出!P61:U61,クライアント抽出!P61:U61)=1)),1)&amp;L131&amp;""),
0),クライアント抽出!F61),"")</f>
        <v/>
      </c>
      <c r="J131" s="111" t="str">
        <f>IF(C131&lt;&gt;"",
VLOOKUP(
"*"&amp;LEFT(IF(COUNTIF(D131,"*学食*"),"キャラ弁（学食）",
IF(COUNTIF(D131,"*赤*"),"赤",
IF(COUNTIF(D131,"*キャラ弁当*"),"キャラ弁当",D131))),4)&amp;"*",注文弁当の抽出!$E$1:$F$15,2,FALSE),"")</f>
        <v/>
      </c>
      <c r="K131" s="111" t="str">
        <f ca="1">IF(クライアント抽出!Q61&lt;&gt;"",SUBSTITUTE(ADDRESS(1,(CODE(クライアント抽出!Q61)-64)*2-1,4),"1",""),"")</f>
        <v/>
      </c>
      <c r="L131" s="111" t="str">
        <f>IF(C61&lt;&gt;"",クライアント抽出!I61,"")</f>
        <v/>
      </c>
      <c r="M131" s="111">
        <f t="array" aca="1" ref="M131" ca="1">IF(C131&lt;&gt;"",
IF(K131&lt;&gt;"",INDIRECT("'数出表_Excel（アレルギー入力）'!"&amp;K131&amp;L131-1&amp;""),),)</f>
        <v>0</v>
      </c>
      <c r="N131" s="111" t="str">
        <f>IF(C131&lt;&gt;"",IF(OR(COUNTIF('盛付札（関数）'!D131,"*赤*"),COUNTIF('盛付札（関数）'!D131,"*キャラ*")),1,
VLOOKUP("*"&amp;D131&amp;"*",商品マスタ一覧!D:H,5,FALSE)),"")</f>
        <v/>
      </c>
      <c r="O131" s="111">
        <f t="shared" ca="1" si="19"/>
        <v>0</v>
      </c>
      <c r="P131" s="111">
        <f t="shared" si="21"/>
        <v>0</v>
      </c>
      <c r="Q131" s="111" t="b">
        <f t="shared" si="22"/>
        <v>0</v>
      </c>
      <c r="R131" s="49" t="str">
        <f t="array" aca="1" ref="R131" ca="1">IFERROR(SMALL(IF(P$1:P$311&lt;&gt;0,P$1:P$311),ROW(A131)),"")</f>
        <v/>
      </c>
      <c r="S131" s="49" t="str">
        <f t="array" aca="1" ref="S131" ca="1">IF($R131&lt;&gt;"",
SUBSTITUTE(SUBSTITUTE(INDIRECT("C"&amp;$R131&amp;"")," 週3ｺｰｽ","")," 週5ｺｰｽ",""),"")</f>
        <v/>
      </c>
      <c r="T131" s="49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22" t="str">
        <f t="array" aca="1" ref="U131" ca="1">IF($R131&lt;&gt;"",
INDIRECT("F"&amp;$R131&amp;""),"")</f>
        <v/>
      </c>
      <c r="V131" s="49" t="str">
        <f t="array" aca="1" ref="V131" ca="1">IF($R131&lt;&gt;"",
INDIRECT("G"&amp;$R131&amp;""),"")</f>
        <v/>
      </c>
      <c r="W131" s="49" t="str">
        <f t="array" aca="1" ref="W131" ca="1">IF($R131&lt;&gt;"",
IF(AND(COUNTIF(INDIRECT("B"&amp;R131&amp;""),"*雙葉*"),COUNTIF(B:B,"*雙葉*")&gt;=2),
IF(OR(COUNTIF(INDIRECT("B"&amp;R131&amp;""),"*雙葉先生*"),COUNTIF($B$1:$B$70,"*雙葉*")&gt;=2),INDIRECT("H"&amp;R131&amp;""),INDIRECT("H"&amp;R131&amp;"")+INDIRECT("H"&amp;MATCH("雙葉'",INDIRECT("B"&amp;R131+3&amp;":B210"),0)+2+R131&amp;"")),
IF(AND(LEFT(INDIRECT("B"&amp;R131&amp;""),2)="博多",COUNTIF(B:B,"*博多*")&gt;=2),
INDIRECT("H"&amp;R131&amp;"")+INDIRECT("H"&amp;MATCH("*"&amp;INDIRECT("B"&amp;R131&amp;"")&amp;"*",INDIRECT("B"&amp;R131+1&amp;":B210"),0)+R131&amp;""),
IF(AND(LEFT(INDIRECT("B"&amp;R131&amp;""),3)="奈良屋",COUNTIF(B:B,"*奈良屋*")&gt;=2),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49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49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49" t="str">
        <f t="shared" ca="1" si="23"/>
        <v/>
      </c>
      <c r="AA131" s="49" t="str">
        <f t="shared" ca="1" si="24"/>
        <v/>
      </c>
      <c r="AB131" s="49" t="str">
        <f t="array" aca="1" ref="AB131" ca="1">IF($R131&lt;&gt;"",
IF(AND(COUNTIF(INDIRECT("B"&amp;R131&amp;""),"*雙葉*"),COUNTIF(B:B,"*雙葉*")&gt;=2),
INDIRECT("M"&amp;R131&amp;"")+INDIRECT("M"&amp;MATCH("雙葉'",INDIRECT("B"&amp;R131+1&amp;":B210"),0)+R131&amp;""),
IF(AND(LEFT(INDIRECT("B"&amp;R131&amp;""),2)="博多",COUNTIF(B:B,"*博多*")&gt;=2),
INDIRECT("M"&amp;R131&amp;"")+INDIRECT("M"&amp;MATCH("*"&amp;INDIRECT("B"&amp;R131&amp;"")&amp;"*",INDIRECT("B"&amp;R131+1&amp;":B210"),0)+R131&amp;""),
IF(AND(LEFT(INDIRECT("B"&amp;R131&amp;""),3)="奈良屋",COUNTIF(B:B,"*奈良屋*")&gt;=2),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  <c r="AC131" s="49" t="str">
        <f ca="1">IF(S131&lt;&gt;"",INDEX(A:A, MATCH("*"&amp;LEFT(S131,4)&amp;"*", C:C, 0)),"")</f>
        <v/>
      </c>
      <c r="AD131" s="49" t="str">
        <f ca="1">IFERROR(INDEX(AC:AC,MATCH(SMALL($AU:$AU,ROW()+3),$AU:$AU,0)),"")</f>
        <v/>
      </c>
      <c r="AE131" s="49" t="str">
        <f ca="1">IFERROR(INDEX(R:R,MATCH(SMALL($AU:$AU,ROW()+3),$AU:$AU,0)),"")</f>
        <v/>
      </c>
      <c r="AF131" s="49" t="str">
        <f ca="1">IFERROR(INDEX(S:S,MATCH(SMALL($AU:$AU,ROW()+3),$AU:$AU,0)),"")</f>
        <v/>
      </c>
      <c r="AG131" s="49" t="str">
        <f ca="1">IFERROR(INDEX(T:T,MATCH(SMALL($AU:$AU,ROW()+3),$AU:$AU,0)),"")</f>
        <v/>
      </c>
      <c r="AH131" s="122" t="str">
        <f ca="1">IFERROR(INDEX(U:U,MATCH(SMALL($AU:$AU,ROW()+3),$AU:$AU,0)),"")</f>
        <v/>
      </c>
      <c r="AI131" s="49" t="str">
        <f ca="1">IFERROR(INDEX(V:V,MATCH(SMALL($AU:$AU,ROW()+3),$AU:$AU,0)),"")</f>
        <v/>
      </c>
      <c r="AJ131" s="49" t="str">
        <f ca="1">IFERROR(INDEX(W:W,MATCH(SMALL($AU:$AU,ROW()+3),$AU:$AU,0)),"")</f>
        <v/>
      </c>
      <c r="AK131" s="49" t="str">
        <f ca="1">IFERROR(INDEX(X:X,MATCH(SMALL($AU:$AU,ROW()+3),$AU:$AU,0)),"")</f>
        <v/>
      </c>
      <c r="AL131" s="49" t="str">
        <f ca="1">IFERROR(INDEX(Y:Y,MATCH(SMALL($AU:$AU,ROW()+3),$AU:$AU,0)),"")</f>
        <v/>
      </c>
      <c r="AM131" s="49" t="str">
        <f ca="1">IFERROR(INDEX(Z:Z,MATCH(SMALL($AU:$AU,ROW()+3),$AU:$AU,0)),"")</f>
        <v/>
      </c>
      <c r="AN131" s="49" t="str">
        <f ca="1">IFERROR(INDEX(AA:AA,MATCH(SMALL($AU:$AU,ROW()+3),$AU:$AU,0)),"")</f>
        <v/>
      </c>
      <c r="AO131" s="49" t="str">
        <f ca="1">IFERROR(INDEX(AB:AB,MATCH(SMALL($AU:$AU,ROW()+3),$AU:$AU,0)),"")</f>
        <v/>
      </c>
      <c r="AP131" s="49" t="str">
        <f ca="1">IFERROR(INDEX(AC:AC,MATCH(SMALL($AU:$AU,ROW()+3),$AU:$AU,0)),"")</f>
        <v/>
      </c>
      <c r="AU131" s="49" t="str">
        <f t="shared" ca="1" si="25"/>
        <v/>
      </c>
    </row>
    <row r="132" spans="1:47" ht="22.2" customHeight="1">
      <c r="A132" s="110">
        <f t="shared" si="20"/>
        <v>129</v>
      </c>
      <c r="B132" s="111" t="str">
        <f t="shared" ca="1" si="18"/>
        <v/>
      </c>
      <c r="C132" s="111" t="str">
        <f>IF(OR(クライアント抽出!C62&lt;&gt;"",クライアント抽出!F62&lt;&gt;""),クライアント抽出!A62,"")</f>
        <v/>
      </c>
      <c r="D132" s="111" t="str">
        <f t="array" aca="1" ref="D132" ca="1">IF(C132&lt;&gt;"",INDIRECT("クライアント抽出!"&amp;E132&amp;MATCH(C132,クライアント抽出!A:A,0)&amp;""),"")</f>
        <v/>
      </c>
      <c r="E132" s="111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112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11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113" t="str">
        <f>IF(C132&lt;&gt;"",
クライアント抽出!C62,"")</f>
        <v/>
      </c>
      <c r="I132" s="111" t="str">
        <f t="array" aca="1" ref="I132" ca="1">IF(C132&lt;&gt;"",
IF(O132=1,
IF(SUMPRODUCT(COUNTIF(クライアント抽出!P62:U62,クライアント抽出!P62:U62))&gt;COUNTA(クライアント抽出!P62:U62),
INDIRECT("数出表_Excel!"&amp;INDEX(_xlfn.UNIQUE(_xlfn._xlws.FILTER(クライアント抽出!P62:U62,COUNTIF(クライアント抽出!P62:U62,クライアント抽出!P62:U62)=1)),1)&amp;L132&amp;""),
0),クライアント抽出!F62),"")</f>
        <v/>
      </c>
      <c r="J132" s="111" t="str">
        <f>IF(C132&lt;&gt;"",
VLOOKUP(
"*"&amp;LEFT(IF(COUNTIF(D132,"*学食*"),"キャラ弁（学食）",
IF(COUNTIF(D132,"*赤*"),"赤",
IF(COUNTIF(D132,"*キャラ弁当*"),"キャラ弁当",D132))),4)&amp;"*",注文弁当の抽出!$E$1:$F$15,2,FALSE),"")</f>
        <v/>
      </c>
      <c r="K132" s="111" t="str">
        <f ca="1">IF(クライアント抽出!Q62&lt;&gt;"",SUBSTITUTE(ADDRESS(1,(CODE(クライアント抽出!Q62)-64)*2-1,4),"1",""),"")</f>
        <v/>
      </c>
      <c r="L132" s="111" t="str">
        <f>IF(C62&lt;&gt;"",クライアント抽出!I62,"")</f>
        <v/>
      </c>
      <c r="M132" s="111">
        <f t="array" aca="1" ref="M132" ca="1">IF(C132&lt;&gt;"",
IF(K132&lt;&gt;"",INDIRECT("'数出表_Excel（アレルギー入力）'!"&amp;K132&amp;L132-1&amp;""),),)</f>
        <v>0</v>
      </c>
      <c r="N132" s="111" t="str">
        <f>IF(C132&lt;&gt;"",IF(OR(COUNTIF('盛付札（関数）'!D132,"*赤*"),COUNTIF('盛付札（関数）'!D132,"*キャラ*")),1,
VLOOKUP("*"&amp;D132&amp;"*",商品マスタ一覧!D:H,5,FALSE)),"")</f>
        <v/>
      </c>
      <c r="O132" s="111">
        <f t="shared" ca="1" si="19"/>
        <v>0</v>
      </c>
      <c r="P132" s="111">
        <f t="shared" si="21"/>
        <v>0</v>
      </c>
      <c r="Q132" s="111" t="b">
        <f t="shared" si="22"/>
        <v>0</v>
      </c>
      <c r="R132" s="49" t="str">
        <f t="array" aca="1" ref="R132" ca="1">IFERROR(SMALL(IF(P$1:P$311&lt;&gt;0,P$1:P$311),ROW(A132)),"")</f>
        <v/>
      </c>
      <c r="S132" s="49" t="str">
        <f t="array" aca="1" ref="S132" ca="1">IF($R132&lt;&gt;"",
SUBSTITUTE(SUBSTITUTE(INDIRECT("C"&amp;$R132&amp;"")," 週3ｺｰｽ","")," 週5ｺｰｽ",""),"")</f>
        <v/>
      </c>
      <c r="T132" s="49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22" t="str">
        <f t="array" aca="1" ref="U132" ca="1">IF($R132&lt;&gt;"",
INDIRECT("F"&amp;$R132&amp;""),"")</f>
        <v/>
      </c>
      <c r="V132" s="49" t="str">
        <f t="array" aca="1" ref="V132" ca="1">IF($R132&lt;&gt;"",
INDIRECT("G"&amp;$R132&amp;""),"")</f>
        <v/>
      </c>
      <c r="W132" s="49" t="str">
        <f t="array" aca="1" ref="W132" ca="1">IF($R132&lt;&gt;"",
IF(AND(COUNTIF(INDIRECT("B"&amp;R132&amp;""),"*雙葉*"),COUNTIF(B:B,"*雙葉*")&gt;=2),
IF(OR(COUNTIF(INDIRECT("B"&amp;R132&amp;""),"*雙葉先生*"),COUNTIF($B$1:$B$70,"*雙葉*")&gt;=2),INDIRECT("H"&amp;R132&amp;""),INDIRECT("H"&amp;R132&amp;"")+INDIRECT("H"&amp;MATCH("雙葉'",INDIRECT("B"&amp;R132+3&amp;":B210"),0)+2+R132&amp;"")),
IF(AND(LEFT(INDIRECT("B"&amp;R132&amp;""),2)="博多",COUNTIF(B:B,"*博多*")&gt;=2),
INDIRECT("H"&amp;R132&amp;"")+INDIRECT("H"&amp;MATCH("*"&amp;INDIRECT("B"&amp;R132&amp;"")&amp;"*",INDIRECT("B"&amp;R132+1&amp;":B210"),0)+R132&amp;""),
IF(AND(LEFT(INDIRECT("B"&amp;R132&amp;""),3)="奈良屋",COUNTIF(B:B,"*奈良屋*")&gt;=2),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49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49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49" t="str">
        <f t="shared" ca="1" si="23"/>
        <v/>
      </c>
      <c r="AA132" s="49" t="str">
        <f t="shared" ca="1" si="24"/>
        <v/>
      </c>
      <c r="AB132" s="49" t="str">
        <f t="array" aca="1" ref="AB132" ca="1">IF($R132&lt;&gt;"",
IF(AND(COUNTIF(INDIRECT("B"&amp;R132&amp;""),"*雙葉*"),COUNTIF(B:B,"*雙葉*")&gt;=2),
INDIRECT("M"&amp;R132&amp;"")+INDIRECT("M"&amp;MATCH("雙葉'",INDIRECT("B"&amp;R132+1&amp;":B210"),0)+R132&amp;""),
IF(AND(LEFT(INDIRECT("B"&amp;R132&amp;""),2)="博多",COUNTIF(B:B,"*博多*")&gt;=2),
INDIRECT("M"&amp;R132&amp;"")+INDIRECT("M"&amp;MATCH("*"&amp;INDIRECT("B"&amp;R132&amp;"")&amp;"*",INDIRECT("B"&amp;R132+1&amp;":B210"),0)+R132&amp;""),
IF(AND(LEFT(INDIRECT("B"&amp;R132&amp;""),3)="奈良屋",COUNTIF(B:B,"*奈良屋*")&gt;=2),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  <c r="AC132" s="49" t="str">
        <f ca="1">IF(S132&lt;&gt;"",INDEX(A:A, MATCH("*"&amp;LEFT(S132,4)&amp;"*", C:C, 0)),"")</f>
        <v/>
      </c>
      <c r="AD132" s="49" t="str">
        <f ca="1">IFERROR(INDEX(AC:AC,MATCH(SMALL($AU:$AU,ROW()+3),$AU:$AU,0)),"")</f>
        <v/>
      </c>
      <c r="AE132" s="49" t="str">
        <f ca="1">IFERROR(INDEX(R:R,MATCH(SMALL($AU:$AU,ROW()+3),$AU:$AU,0)),"")</f>
        <v/>
      </c>
      <c r="AF132" s="49" t="str">
        <f ca="1">IFERROR(INDEX(S:S,MATCH(SMALL($AU:$AU,ROW()+3),$AU:$AU,0)),"")</f>
        <v/>
      </c>
      <c r="AG132" s="49" t="str">
        <f ca="1">IFERROR(INDEX(T:T,MATCH(SMALL($AU:$AU,ROW()+3),$AU:$AU,0)),"")</f>
        <v/>
      </c>
      <c r="AH132" s="122" t="str">
        <f ca="1">IFERROR(INDEX(U:U,MATCH(SMALL($AU:$AU,ROW()+3),$AU:$AU,0)),"")</f>
        <v/>
      </c>
      <c r="AI132" s="49" t="str">
        <f ca="1">IFERROR(INDEX(V:V,MATCH(SMALL($AU:$AU,ROW()+3),$AU:$AU,0)),"")</f>
        <v/>
      </c>
      <c r="AJ132" s="49" t="str">
        <f ca="1">IFERROR(INDEX(W:W,MATCH(SMALL($AU:$AU,ROW()+3),$AU:$AU,0)),"")</f>
        <v/>
      </c>
      <c r="AK132" s="49" t="str">
        <f ca="1">IFERROR(INDEX(X:X,MATCH(SMALL($AU:$AU,ROW()+3),$AU:$AU,0)),"")</f>
        <v/>
      </c>
      <c r="AL132" s="49" t="str">
        <f ca="1">IFERROR(INDEX(Y:Y,MATCH(SMALL($AU:$AU,ROW()+3),$AU:$AU,0)),"")</f>
        <v/>
      </c>
      <c r="AM132" s="49" t="str">
        <f ca="1">IFERROR(INDEX(Z:Z,MATCH(SMALL($AU:$AU,ROW()+3),$AU:$AU,0)),"")</f>
        <v/>
      </c>
      <c r="AN132" s="49" t="str">
        <f ca="1">IFERROR(INDEX(AA:AA,MATCH(SMALL($AU:$AU,ROW()+3),$AU:$AU,0)),"")</f>
        <v/>
      </c>
      <c r="AO132" s="49" t="str">
        <f ca="1">IFERROR(INDEX(AB:AB,MATCH(SMALL($AU:$AU,ROW()+3),$AU:$AU,0)),"")</f>
        <v/>
      </c>
      <c r="AP132" s="49" t="str">
        <f ca="1">IFERROR(INDEX(AC:AC,MATCH(SMALL($AU:$AU,ROW()+3),$AU:$AU,0)),"")</f>
        <v/>
      </c>
      <c r="AU132" s="49" t="str">
        <f t="shared" ca="1" si="25"/>
        <v/>
      </c>
    </row>
    <row r="133" spans="1:47" ht="22.2" customHeight="1">
      <c r="A133" s="110">
        <f t="shared" si="20"/>
        <v>131</v>
      </c>
      <c r="B133" s="111" t="str">
        <f t="shared" ca="1" si="18"/>
        <v/>
      </c>
      <c r="C133" s="111" t="str">
        <f>IF(OR(クライアント抽出!C63&lt;&gt;"",クライアント抽出!F63&lt;&gt;""),クライアント抽出!A63,"")</f>
        <v/>
      </c>
      <c r="D133" s="111" t="str">
        <f t="array" aca="1" ref="D133" ca="1">IF(C133&lt;&gt;"",INDIRECT("クライアント抽出!"&amp;E133&amp;MATCH(C133,クライアント抽出!A:A,0)&amp;""),"")</f>
        <v/>
      </c>
      <c r="E133" s="111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112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11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113" t="str">
        <f>IF(C133&lt;&gt;"",
クライアント抽出!C63,"")</f>
        <v/>
      </c>
      <c r="I133" s="111" t="str">
        <f t="array" aca="1" ref="I133" ca="1">IF(C133&lt;&gt;"",
IF(O133=1,
IF(SUMPRODUCT(COUNTIF(クライアント抽出!P63:U63,クライアント抽出!P63:U63))&gt;COUNTA(クライアント抽出!P63:U63),
INDIRECT("数出表_Excel!"&amp;INDEX(_xlfn.UNIQUE(_xlfn._xlws.FILTER(クライアント抽出!P63:U63,COUNTIF(クライアント抽出!P63:U63,クライアント抽出!P63:U63)=1)),1)&amp;L133&amp;""),
0),クライアント抽出!F63),"")</f>
        <v/>
      </c>
      <c r="J133" s="111" t="str">
        <f>IF(C133&lt;&gt;"",
VLOOKUP(
"*"&amp;LEFT(IF(COUNTIF(D133,"*学食*"),"キャラ弁（学食）",
IF(COUNTIF(D133,"*赤*"),"赤",
IF(COUNTIF(D133,"*キャラ弁当*"),"キャラ弁当",D133))),4)&amp;"*",注文弁当の抽出!$E$1:$F$15,2,FALSE),"")</f>
        <v/>
      </c>
      <c r="K133" s="111" t="str">
        <f ca="1">IF(クライアント抽出!Q63&lt;&gt;"",SUBSTITUTE(ADDRESS(1,(CODE(クライアント抽出!Q63)-64)*2-1,4),"1",""),"")</f>
        <v/>
      </c>
      <c r="L133" s="111" t="str">
        <f>IF(C63&lt;&gt;"",クライアント抽出!I63,"")</f>
        <v/>
      </c>
      <c r="M133" s="111">
        <f t="array" aca="1" ref="M133" ca="1">IF(C133&lt;&gt;"",
IF(K133&lt;&gt;"",INDIRECT("'数出表_Excel（アレルギー入力）'!"&amp;K133&amp;L133-1&amp;""),),)</f>
        <v>0</v>
      </c>
      <c r="N133" s="111" t="str">
        <f>IF(C133&lt;&gt;"",IF(OR(COUNTIF('盛付札（関数）'!D133,"*赤*"),COUNTIF('盛付札（関数）'!D133,"*キャラ*")),1,
VLOOKUP("*"&amp;D133&amp;"*",商品マスタ一覧!D:H,5,FALSE)),"")</f>
        <v/>
      </c>
      <c r="O133" s="111">
        <f t="shared" ca="1" si="19"/>
        <v>0</v>
      </c>
      <c r="P133" s="111">
        <f t="shared" si="21"/>
        <v>0</v>
      </c>
      <c r="Q133" s="111" t="b">
        <f t="shared" si="22"/>
        <v>0</v>
      </c>
      <c r="R133" s="49" t="str">
        <f t="array" aca="1" ref="R133" ca="1">IFERROR(SMALL(IF(P$1:P$311&lt;&gt;0,P$1:P$311),ROW(A133)),"")</f>
        <v/>
      </c>
      <c r="S133" s="49" t="str">
        <f t="array" aca="1" ref="S133" ca="1">IF($R133&lt;&gt;"",
SUBSTITUTE(SUBSTITUTE(INDIRECT("C"&amp;$R133&amp;"")," 週3ｺｰｽ","")," 週5ｺｰｽ",""),"")</f>
        <v/>
      </c>
      <c r="T133" s="49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22" t="str">
        <f t="array" aca="1" ref="U133" ca="1">IF($R133&lt;&gt;"",
INDIRECT("F"&amp;$R133&amp;""),"")</f>
        <v/>
      </c>
      <c r="V133" s="49" t="str">
        <f t="array" aca="1" ref="V133" ca="1">IF($R133&lt;&gt;"",
INDIRECT("G"&amp;$R133&amp;""),"")</f>
        <v/>
      </c>
      <c r="W133" s="49" t="str">
        <f t="array" aca="1" ref="W133" ca="1">IF($R133&lt;&gt;"",
IF(AND(COUNTIF(INDIRECT("B"&amp;R133&amp;""),"*雙葉*"),COUNTIF(B:B,"*雙葉*")&gt;=2),
IF(OR(COUNTIF(INDIRECT("B"&amp;R133&amp;""),"*雙葉先生*"),COUNTIF($B$1:$B$70,"*雙葉*")&gt;=2),INDIRECT("H"&amp;R133&amp;""),INDIRECT("H"&amp;R133&amp;"")+INDIRECT("H"&amp;MATCH("雙葉'",INDIRECT("B"&amp;R133+3&amp;":B210"),0)+2+R133&amp;"")),
IF(AND(LEFT(INDIRECT("B"&amp;R133&amp;""),2)="博多",COUNTIF(B:B,"*博多*")&gt;=2),
INDIRECT("H"&amp;R133&amp;"")+INDIRECT("H"&amp;MATCH("*"&amp;INDIRECT("B"&amp;R133&amp;"")&amp;"*",INDIRECT("B"&amp;R133+1&amp;":B210"),0)+R133&amp;""),
IF(AND(LEFT(INDIRECT("B"&amp;R133&amp;""),3)="奈良屋",COUNTIF(B:B,"*奈良屋*")&gt;=2),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49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49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49" t="str">
        <f t="shared" ca="1" si="23"/>
        <v/>
      </c>
      <c r="AA133" s="49" t="str">
        <f t="shared" ca="1" si="24"/>
        <v/>
      </c>
      <c r="AB133" s="49" t="str">
        <f t="array" aca="1" ref="AB133" ca="1">IF($R133&lt;&gt;"",
IF(AND(COUNTIF(INDIRECT("B"&amp;R133&amp;""),"*雙葉*"),COUNTIF(B:B,"*雙葉*")&gt;=2),
INDIRECT("M"&amp;R133&amp;"")+INDIRECT("M"&amp;MATCH("雙葉'",INDIRECT("B"&amp;R133+1&amp;":B210"),0)+R133&amp;""),
IF(AND(LEFT(INDIRECT("B"&amp;R133&amp;""),2)="博多",COUNTIF(B:B,"*博多*")&gt;=2),
INDIRECT("M"&amp;R133&amp;"")+INDIRECT("M"&amp;MATCH("*"&amp;INDIRECT("B"&amp;R133&amp;"")&amp;"*",INDIRECT("B"&amp;R133+1&amp;":B210"),0)+R133&amp;""),
IF(AND(LEFT(INDIRECT("B"&amp;R133&amp;""),3)="奈良屋",COUNTIF(B:B,"*奈良屋*")&gt;=2),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  <c r="AC133" s="49" t="str">
        <f ca="1">IF(S133&lt;&gt;"",INDEX(A:A, MATCH("*"&amp;LEFT(S133,4)&amp;"*", C:C, 0)),"")</f>
        <v/>
      </c>
      <c r="AD133" s="49" t="str">
        <f ca="1">IFERROR(INDEX(AC:AC,MATCH(SMALL($AU:$AU,ROW()+3),$AU:$AU,0)),"")</f>
        <v/>
      </c>
      <c r="AE133" s="49" t="str">
        <f ca="1">IFERROR(INDEX(R:R,MATCH(SMALL($AU:$AU,ROW()+3),$AU:$AU,0)),"")</f>
        <v/>
      </c>
      <c r="AF133" s="49" t="str">
        <f ca="1">IFERROR(INDEX(S:S,MATCH(SMALL($AU:$AU,ROW()+3),$AU:$AU,0)),"")</f>
        <v/>
      </c>
      <c r="AG133" s="49" t="str">
        <f ca="1">IFERROR(INDEX(T:T,MATCH(SMALL($AU:$AU,ROW()+3),$AU:$AU,0)),"")</f>
        <v/>
      </c>
      <c r="AH133" s="122" t="str">
        <f ca="1">IFERROR(INDEX(U:U,MATCH(SMALL($AU:$AU,ROW()+3),$AU:$AU,0)),"")</f>
        <v/>
      </c>
      <c r="AI133" s="49" t="str">
        <f ca="1">IFERROR(INDEX(V:V,MATCH(SMALL($AU:$AU,ROW()+3),$AU:$AU,0)),"")</f>
        <v/>
      </c>
      <c r="AJ133" s="49" t="str">
        <f ca="1">IFERROR(INDEX(W:W,MATCH(SMALL($AU:$AU,ROW()+3),$AU:$AU,0)),"")</f>
        <v/>
      </c>
      <c r="AK133" s="49" t="str">
        <f ca="1">IFERROR(INDEX(X:X,MATCH(SMALL($AU:$AU,ROW()+3),$AU:$AU,0)),"")</f>
        <v/>
      </c>
      <c r="AL133" s="49" t="str">
        <f ca="1">IFERROR(INDEX(Y:Y,MATCH(SMALL($AU:$AU,ROW()+3),$AU:$AU,0)),"")</f>
        <v/>
      </c>
      <c r="AM133" s="49" t="str">
        <f ca="1">IFERROR(INDEX(Z:Z,MATCH(SMALL($AU:$AU,ROW()+3),$AU:$AU,0)),"")</f>
        <v/>
      </c>
      <c r="AN133" s="49" t="str">
        <f ca="1">IFERROR(INDEX(AA:AA,MATCH(SMALL($AU:$AU,ROW()+3),$AU:$AU,0)),"")</f>
        <v/>
      </c>
      <c r="AO133" s="49" t="str">
        <f ca="1">IFERROR(INDEX(AB:AB,MATCH(SMALL($AU:$AU,ROW()+3),$AU:$AU,0)),"")</f>
        <v/>
      </c>
      <c r="AP133" s="49" t="str">
        <f ca="1">IFERROR(INDEX(AC:AC,MATCH(SMALL($AU:$AU,ROW()+3),$AU:$AU,0)),"")</f>
        <v/>
      </c>
      <c r="AU133" s="49" t="str">
        <f t="shared" ca="1" si="25"/>
        <v/>
      </c>
    </row>
    <row r="134" spans="1:47" ht="22.2" customHeight="1">
      <c r="A134" s="110">
        <f t="shared" si="20"/>
        <v>133</v>
      </c>
      <c r="B134" s="111" t="str">
        <f t="shared" ca="1" si="18"/>
        <v/>
      </c>
      <c r="C134" s="111" t="str">
        <f>IF(OR(クライアント抽出!C64&lt;&gt;"",クライアント抽出!F64&lt;&gt;""),クライアント抽出!A64,"")</f>
        <v/>
      </c>
      <c r="D134" s="111" t="str">
        <f t="array" aca="1" ref="D134" ca="1">IF(C134&lt;&gt;"",INDIRECT("クライアント抽出!"&amp;E134&amp;MATCH(C134,クライアント抽出!A:A,0)&amp;""),"")</f>
        <v/>
      </c>
      <c r="E134" s="111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112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11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113" t="str">
        <f>IF(C134&lt;&gt;"",
クライアント抽出!C64,"")</f>
        <v/>
      </c>
      <c r="I134" s="111" t="str">
        <f t="array" aca="1" ref="I134" ca="1">IF(C134&lt;&gt;"",
IF(O134=1,
IF(SUMPRODUCT(COUNTIF(クライアント抽出!P64:U64,クライアント抽出!P64:U64))&gt;COUNTA(クライアント抽出!P64:U64),
INDIRECT("数出表_Excel!"&amp;INDEX(_xlfn.UNIQUE(_xlfn._xlws.FILTER(クライアント抽出!P64:U64,COUNTIF(クライアント抽出!P64:U64,クライアント抽出!P64:U64)=1)),1)&amp;L134&amp;""),
0),クライアント抽出!F64),"")</f>
        <v/>
      </c>
      <c r="J134" s="111" t="str">
        <f>IF(C134&lt;&gt;"",
VLOOKUP(
"*"&amp;LEFT(IF(COUNTIF(D134,"*学食*"),"キャラ弁（学食）",
IF(COUNTIF(D134,"*赤*"),"赤",
IF(COUNTIF(D134,"*キャラ弁当*"),"キャラ弁当",D134))),4)&amp;"*",注文弁当の抽出!$E$1:$F$15,2,FALSE),"")</f>
        <v/>
      </c>
      <c r="K134" s="111" t="str">
        <f ca="1">IF(クライアント抽出!Q64&lt;&gt;"",SUBSTITUTE(ADDRESS(1,(CODE(クライアント抽出!Q64)-64)*2-1,4),"1",""),"")</f>
        <v/>
      </c>
      <c r="L134" s="111" t="str">
        <f>IF(C64&lt;&gt;"",クライアント抽出!I64,"")</f>
        <v/>
      </c>
      <c r="M134" s="111">
        <f t="array" aca="1" ref="M134" ca="1">IF(C134&lt;&gt;"",
IF(K134&lt;&gt;"",INDIRECT("'数出表_Excel（アレルギー入力）'!"&amp;K134&amp;L134-1&amp;""),),)</f>
        <v>0</v>
      </c>
      <c r="N134" s="111" t="str">
        <f>IF(C134&lt;&gt;"",IF(OR(COUNTIF('盛付札（関数）'!D134,"*赤*"),COUNTIF('盛付札（関数）'!D134,"*キャラ*")),1,
VLOOKUP("*"&amp;D134&amp;"*",商品マスタ一覧!D:H,5,FALSE)),"")</f>
        <v/>
      </c>
      <c r="O134" s="111">
        <f t="shared" ca="1" si="19"/>
        <v>0</v>
      </c>
      <c r="P134" s="111">
        <f t="shared" si="21"/>
        <v>0</v>
      </c>
      <c r="Q134" s="111" t="b">
        <f t="shared" si="22"/>
        <v>0</v>
      </c>
      <c r="R134" s="49" t="str">
        <f t="array" aca="1" ref="R134" ca="1">IFERROR(SMALL(IF(P$1:P$311&lt;&gt;0,P$1:P$311),ROW(A134)),"")</f>
        <v/>
      </c>
      <c r="S134" s="49" t="str">
        <f t="array" aca="1" ref="S134" ca="1">IF($R134&lt;&gt;"",
SUBSTITUTE(SUBSTITUTE(INDIRECT("C"&amp;$R134&amp;"")," 週3ｺｰｽ","")," 週5ｺｰｽ",""),"")</f>
        <v/>
      </c>
      <c r="T134" s="49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22" t="str">
        <f t="array" aca="1" ref="U134" ca="1">IF($R134&lt;&gt;"",
INDIRECT("F"&amp;$R134&amp;""),"")</f>
        <v/>
      </c>
      <c r="V134" s="49" t="str">
        <f t="array" aca="1" ref="V134" ca="1">IF($R134&lt;&gt;"",
INDIRECT("G"&amp;$R134&amp;""),"")</f>
        <v/>
      </c>
      <c r="W134" s="49" t="str">
        <f t="array" aca="1" ref="W134" ca="1">IF($R134&lt;&gt;"",
IF(AND(COUNTIF(INDIRECT("B"&amp;R134&amp;""),"*雙葉*"),COUNTIF(B:B,"*雙葉*")&gt;=2),
IF(OR(COUNTIF(INDIRECT("B"&amp;R134&amp;""),"*雙葉先生*"),COUNTIF($B$1:$B$70,"*雙葉*")&gt;=2),INDIRECT("H"&amp;R134&amp;""),INDIRECT("H"&amp;R134&amp;"")+INDIRECT("H"&amp;MATCH("雙葉'",INDIRECT("B"&amp;R134+3&amp;":B210"),0)+2+R134&amp;"")),
IF(AND(LEFT(INDIRECT("B"&amp;R134&amp;""),2)="博多",COUNTIF(B:B,"*博多*")&gt;=2),
INDIRECT("H"&amp;R134&amp;"")+INDIRECT("H"&amp;MATCH("*"&amp;INDIRECT("B"&amp;R134&amp;"")&amp;"*",INDIRECT("B"&amp;R134+1&amp;":B210"),0)+R134&amp;""),
IF(AND(LEFT(INDIRECT("B"&amp;R134&amp;""),3)="奈良屋",COUNTIF(B:B,"*奈良屋*")&gt;=2),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49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49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49" t="str">
        <f t="shared" ca="1" si="23"/>
        <v/>
      </c>
      <c r="AA134" s="49" t="str">
        <f t="shared" ca="1" si="24"/>
        <v/>
      </c>
      <c r="AB134" s="49" t="str">
        <f t="array" aca="1" ref="AB134" ca="1">IF($R134&lt;&gt;"",
IF(AND(COUNTIF(INDIRECT("B"&amp;R134&amp;""),"*雙葉*"),COUNTIF(B:B,"*雙葉*")&gt;=2),
INDIRECT("M"&amp;R134&amp;"")+INDIRECT("M"&amp;MATCH("雙葉'",INDIRECT("B"&amp;R134+1&amp;":B210"),0)+R134&amp;""),
IF(AND(LEFT(INDIRECT("B"&amp;R134&amp;""),2)="博多",COUNTIF(B:B,"*博多*")&gt;=2),
INDIRECT("M"&amp;R134&amp;"")+INDIRECT("M"&amp;MATCH("*"&amp;INDIRECT("B"&amp;R134&amp;"")&amp;"*",INDIRECT("B"&amp;R134+1&amp;":B210"),0)+R134&amp;""),
IF(AND(LEFT(INDIRECT("B"&amp;R134&amp;""),3)="奈良屋",COUNTIF(B:B,"*奈良屋*")&gt;=2),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  <c r="AC134" s="49" t="str">
        <f ca="1">IF(S134&lt;&gt;"",INDEX(A:A, MATCH("*"&amp;LEFT(S134,4)&amp;"*", C:C, 0)),"")</f>
        <v/>
      </c>
      <c r="AD134" s="49" t="str">
        <f ca="1">IFERROR(INDEX(AC:AC,MATCH(SMALL($AU:$AU,ROW()+3),$AU:$AU,0)),"")</f>
        <v/>
      </c>
      <c r="AE134" s="49" t="str">
        <f ca="1">IFERROR(INDEX(R:R,MATCH(SMALL($AU:$AU,ROW()+3),$AU:$AU,0)),"")</f>
        <v/>
      </c>
      <c r="AF134" s="49" t="str">
        <f ca="1">IFERROR(INDEX(S:S,MATCH(SMALL($AU:$AU,ROW()+3),$AU:$AU,0)),"")</f>
        <v/>
      </c>
      <c r="AG134" s="49" t="str">
        <f ca="1">IFERROR(INDEX(T:T,MATCH(SMALL($AU:$AU,ROW()+3),$AU:$AU,0)),"")</f>
        <v/>
      </c>
      <c r="AH134" s="122" t="str">
        <f ca="1">IFERROR(INDEX(U:U,MATCH(SMALL($AU:$AU,ROW()+3),$AU:$AU,0)),"")</f>
        <v/>
      </c>
      <c r="AI134" s="49" t="str">
        <f ca="1">IFERROR(INDEX(V:V,MATCH(SMALL($AU:$AU,ROW()+3),$AU:$AU,0)),"")</f>
        <v/>
      </c>
      <c r="AJ134" s="49" t="str">
        <f ca="1">IFERROR(INDEX(W:W,MATCH(SMALL($AU:$AU,ROW()+3),$AU:$AU,0)),"")</f>
        <v/>
      </c>
      <c r="AK134" s="49" t="str">
        <f ca="1">IFERROR(INDEX(X:X,MATCH(SMALL($AU:$AU,ROW()+3),$AU:$AU,0)),"")</f>
        <v/>
      </c>
      <c r="AL134" s="49" t="str">
        <f ca="1">IFERROR(INDEX(Y:Y,MATCH(SMALL($AU:$AU,ROW()+3),$AU:$AU,0)),"")</f>
        <v/>
      </c>
      <c r="AM134" s="49" t="str">
        <f ca="1">IFERROR(INDEX(Z:Z,MATCH(SMALL($AU:$AU,ROW()+3),$AU:$AU,0)),"")</f>
        <v/>
      </c>
      <c r="AN134" s="49" t="str">
        <f ca="1">IFERROR(INDEX(AA:AA,MATCH(SMALL($AU:$AU,ROW()+3),$AU:$AU,0)),"")</f>
        <v/>
      </c>
      <c r="AO134" s="49" t="str">
        <f ca="1">IFERROR(INDEX(AB:AB,MATCH(SMALL($AU:$AU,ROW()+3),$AU:$AU,0)),"")</f>
        <v/>
      </c>
      <c r="AP134" s="49" t="str">
        <f ca="1">IFERROR(INDEX(AC:AC,MATCH(SMALL($AU:$AU,ROW()+3),$AU:$AU,0)),"")</f>
        <v/>
      </c>
      <c r="AU134" s="49" t="str">
        <f t="shared" ca="1" si="25"/>
        <v/>
      </c>
    </row>
    <row r="135" spans="1:47" ht="22.2" customHeight="1">
      <c r="A135" s="110">
        <f t="shared" si="20"/>
        <v>135</v>
      </c>
      <c r="B135" s="111" t="str">
        <f t="shared" ref="B135:B166" ca="1" si="26">IF(COUNTIF(C135,"*雙葉*"),
IF(COUNTIF(INDIRECT("B1:B"&amp;ROW()-1&amp;""),"雙葉"),
IF(COUNTIF(C135,"*先生*"),"雙葉先生","雙葉'"),"雙葉"),
IF(COUNTIF(C135,"*社食*"),"社食'",
IF(LEFT(C135,2)="博多",
IF(IFERROR(TRIM(LEFT(C134,FIND("幼",C134)-1)),TRIM(C134))=IFERROR(TRIM(LEFT(C135,FIND("幼",C135)-1)),TRIM(C135)),
IFERROR(TRIM(LEFT(C135,FIND("幼",C135)-1)),TRIM(C135))&amp;"'",IFERROR(TRIM(LEFT(C135,FIND("幼",C135)-1)),TRIM(C135))),
IF(LEFT(C135,3)="奈良屋",
IF(TRIM(LEFT(C134,FIND("幼",C134)-1))=TRIM(LEFT(C135,FIND("幼",C135)-1)),
"奈良屋'","奈良屋"),""))))</f>
        <v/>
      </c>
      <c r="C135" s="111" t="str">
        <f>IF(OR(クライアント抽出!C65&lt;&gt;"",クライアント抽出!F65&lt;&gt;""),クライアント抽出!A65,"")</f>
        <v/>
      </c>
      <c r="D135" s="111" t="str">
        <f t="array" aca="1" ref="D135" ca="1">IF(C135&lt;&gt;"",INDIRECT("クライアント抽出!"&amp;E135&amp;MATCH(C135,クライアント抽出!A:A,0)&amp;""),"")</f>
        <v/>
      </c>
      <c r="E135" s="111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112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11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113" t="str">
        <f>IF(C135&lt;&gt;"",
クライアント抽出!C65,"")</f>
        <v/>
      </c>
      <c r="I135" s="111" t="str">
        <f t="array" aca="1" ref="I135" ca="1">IF(C135&lt;&gt;"",
IF(O135=1,
IF(SUMPRODUCT(COUNTIF(クライアント抽出!P65:U65,クライアント抽出!P65:U65))&gt;COUNTA(クライアント抽出!P65:U65),
INDIRECT("数出表_Excel!"&amp;INDEX(_xlfn.UNIQUE(_xlfn._xlws.FILTER(クライアント抽出!P65:U65,COUNTIF(クライアント抽出!P65:U65,クライアント抽出!P65:U65)=1)),1)&amp;L135&amp;""),
0),クライアント抽出!F65),"")</f>
        <v/>
      </c>
      <c r="J135" s="111" t="str">
        <f>IF(C135&lt;&gt;"",
VLOOKUP(
"*"&amp;LEFT(IF(COUNTIF(D135,"*学食*"),"キャラ弁（学食）",
IF(COUNTIF(D135,"*赤*"),"赤",
IF(COUNTIF(D135,"*キャラ弁当*"),"キャラ弁当",D135))),4)&amp;"*",注文弁当の抽出!$E$1:$F$15,2,FALSE),"")</f>
        <v/>
      </c>
      <c r="K135" s="111" t="str">
        <f ca="1">IF(クライアント抽出!Q65&lt;&gt;"",SUBSTITUTE(ADDRESS(1,(CODE(クライアント抽出!Q65)-64)*2-1,4),"1",""),"")</f>
        <v/>
      </c>
      <c r="L135" s="111" t="str">
        <f>IF(C65&lt;&gt;"",クライアント抽出!I65,"")</f>
        <v/>
      </c>
      <c r="M135" s="111">
        <f t="array" aca="1" ref="M135" ca="1">IF(C135&lt;&gt;"",
IF(K135&lt;&gt;"",INDIRECT("'数出表_Excel（アレルギー入力）'!"&amp;K135&amp;L135-1&amp;""),),)</f>
        <v>0</v>
      </c>
      <c r="N135" s="111" t="str">
        <f>IF(C135&lt;&gt;"",IF(OR(COUNTIF('盛付札（関数）'!D135,"*赤*"),COUNTIF('盛付札（関数）'!D135,"*キャラ*")),1,
VLOOKUP("*"&amp;D135&amp;"*",商品マスタ一覧!D:H,5,FALSE)),"")</f>
        <v/>
      </c>
      <c r="O135" s="111">
        <f t="shared" ref="O135:O166" ca="1" si="27">O65</f>
        <v>0</v>
      </c>
      <c r="P135" s="111">
        <f t="shared" si="21"/>
        <v>0</v>
      </c>
      <c r="Q135" s="111" t="b">
        <f t="shared" si="22"/>
        <v>0</v>
      </c>
      <c r="R135" s="49" t="str">
        <f t="array" aca="1" ref="R135" ca="1">IFERROR(SMALL(IF(P$1:P$311&lt;&gt;0,P$1:P$311),ROW(A135)),"")</f>
        <v/>
      </c>
      <c r="S135" s="49" t="str">
        <f t="array" aca="1" ref="S135" ca="1">IF($R135&lt;&gt;"",
SUBSTITUTE(SUBSTITUTE(INDIRECT("C"&amp;$R135&amp;"")," 週3ｺｰｽ","")," 週5ｺｰｽ",""),"")</f>
        <v/>
      </c>
      <c r="T135" s="49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22" t="str">
        <f t="array" aca="1" ref="U135" ca="1">IF($R135&lt;&gt;"",
INDIRECT("F"&amp;$R135&amp;""),"")</f>
        <v/>
      </c>
      <c r="V135" s="49" t="str">
        <f t="array" aca="1" ref="V135" ca="1">IF($R135&lt;&gt;"",
INDIRECT("G"&amp;$R135&amp;""),"")</f>
        <v/>
      </c>
      <c r="W135" s="49" t="str">
        <f t="array" aca="1" ref="W135" ca="1">IF($R135&lt;&gt;"",
IF(AND(COUNTIF(INDIRECT("B"&amp;R135&amp;""),"*雙葉*"),COUNTIF(B:B,"*雙葉*")&gt;=2),
IF(OR(COUNTIF(INDIRECT("B"&amp;R135&amp;""),"*雙葉先生*"),COUNTIF($B$1:$B$70,"*雙葉*")&gt;=2),INDIRECT("H"&amp;R135&amp;""),INDIRECT("H"&amp;R135&amp;"")+INDIRECT("H"&amp;MATCH("雙葉'",INDIRECT("B"&amp;R135+3&amp;":B210"),0)+2+R135&amp;"")),
IF(AND(LEFT(INDIRECT("B"&amp;R135&amp;""),2)="博多",COUNTIF(B:B,"*博多*")&gt;=2),
INDIRECT("H"&amp;R135&amp;"")+INDIRECT("H"&amp;MATCH("*"&amp;INDIRECT("B"&amp;R135&amp;"")&amp;"*",INDIRECT("B"&amp;R135+1&amp;":B210"),0)+R135&amp;""),
IF(AND(LEFT(INDIRECT("B"&amp;R135&amp;""),3)="奈良屋",COUNTIF(B:B,"*奈良屋*")&gt;=2),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49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49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49" t="str">
        <f t="shared" ca="1" si="23"/>
        <v/>
      </c>
      <c r="AA135" s="49" t="str">
        <f t="shared" ca="1" si="24"/>
        <v/>
      </c>
      <c r="AB135" s="49" t="str">
        <f t="array" aca="1" ref="AB135" ca="1">IF($R135&lt;&gt;"",
IF(AND(COUNTIF(INDIRECT("B"&amp;R135&amp;""),"*雙葉*"),COUNTIF(B:B,"*雙葉*")&gt;=2),
INDIRECT("M"&amp;R135&amp;"")+INDIRECT("M"&amp;MATCH("雙葉'",INDIRECT("B"&amp;R135+1&amp;":B210"),0)+R135&amp;""),
IF(AND(LEFT(INDIRECT("B"&amp;R135&amp;""),2)="博多",COUNTIF(B:B,"*博多*")&gt;=2),
INDIRECT("M"&amp;R135&amp;"")+INDIRECT("M"&amp;MATCH("*"&amp;INDIRECT("B"&amp;R135&amp;"")&amp;"*",INDIRECT("B"&amp;R135+1&amp;":B210"),0)+R135&amp;""),
IF(AND(LEFT(INDIRECT("B"&amp;R135&amp;""),3)="奈良屋",COUNTIF(B:B,"*奈良屋*")&gt;=2),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  <c r="AC135" s="49" t="str">
        <f ca="1">IF(S135&lt;&gt;"",INDEX(A:A, MATCH("*"&amp;LEFT(S135,4)&amp;"*", C:C, 0)),"")</f>
        <v/>
      </c>
      <c r="AD135" s="49" t="str">
        <f ca="1">IFERROR(INDEX(AC:AC,MATCH(SMALL($AU:$AU,ROW()+3),$AU:$AU,0)),"")</f>
        <v/>
      </c>
      <c r="AE135" s="49" t="str">
        <f ca="1">IFERROR(INDEX(R:R,MATCH(SMALL($AU:$AU,ROW()+3),$AU:$AU,0)),"")</f>
        <v/>
      </c>
      <c r="AF135" s="49" t="str">
        <f ca="1">IFERROR(INDEX(S:S,MATCH(SMALL($AU:$AU,ROW()+3),$AU:$AU,0)),"")</f>
        <v/>
      </c>
      <c r="AG135" s="49" t="str">
        <f ca="1">IFERROR(INDEX(T:T,MATCH(SMALL($AU:$AU,ROW()+3),$AU:$AU,0)),"")</f>
        <v/>
      </c>
      <c r="AH135" s="122" t="str">
        <f ca="1">IFERROR(INDEX(U:U,MATCH(SMALL($AU:$AU,ROW()+3),$AU:$AU,0)),"")</f>
        <v/>
      </c>
      <c r="AI135" s="49" t="str">
        <f ca="1">IFERROR(INDEX(V:V,MATCH(SMALL($AU:$AU,ROW()+3),$AU:$AU,0)),"")</f>
        <v/>
      </c>
      <c r="AJ135" s="49" t="str">
        <f ca="1">IFERROR(INDEX(W:W,MATCH(SMALL($AU:$AU,ROW()+3),$AU:$AU,0)),"")</f>
        <v/>
      </c>
      <c r="AK135" s="49" t="str">
        <f ca="1">IFERROR(INDEX(X:X,MATCH(SMALL($AU:$AU,ROW()+3),$AU:$AU,0)),"")</f>
        <v/>
      </c>
      <c r="AL135" s="49" t="str">
        <f ca="1">IFERROR(INDEX(Y:Y,MATCH(SMALL($AU:$AU,ROW()+3),$AU:$AU,0)),"")</f>
        <v/>
      </c>
      <c r="AM135" s="49" t="str">
        <f ca="1">IFERROR(INDEX(Z:Z,MATCH(SMALL($AU:$AU,ROW()+3),$AU:$AU,0)),"")</f>
        <v/>
      </c>
      <c r="AN135" s="49" t="str">
        <f ca="1">IFERROR(INDEX(AA:AA,MATCH(SMALL($AU:$AU,ROW()+3),$AU:$AU,0)),"")</f>
        <v/>
      </c>
      <c r="AO135" s="49" t="str">
        <f ca="1">IFERROR(INDEX(AB:AB,MATCH(SMALL($AU:$AU,ROW()+3),$AU:$AU,0)),"")</f>
        <v/>
      </c>
      <c r="AP135" s="49" t="str">
        <f ca="1">IFERROR(INDEX(AC:AC,MATCH(SMALL($AU:$AU,ROW()+3),$AU:$AU,0)),"")</f>
        <v/>
      </c>
      <c r="AU135" s="49" t="str">
        <f t="shared" ca="1" si="25"/>
        <v/>
      </c>
    </row>
    <row r="136" spans="1:47" ht="22.2" customHeight="1">
      <c r="A136" s="110">
        <f t="shared" si="20"/>
        <v>137</v>
      </c>
      <c r="B136" s="111" t="str">
        <f t="shared" ca="1" si="26"/>
        <v/>
      </c>
      <c r="C136" s="111" t="str">
        <f>IF(OR(クライアント抽出!C66&lt;&gt;"",クライアント抽出!F66&lt;&gt;""),クライアント抽出!A66,"")</f>
        <v/>
      </c>
      <c r="D136" s="111" t="str">
        <f t="array" aca="1" ref="D136" ca="1">IF(C136&lt;&gt;"",INDIRECT("クライアント抽出!"&amp;E136&amp;MATCH(C136,クライアント抽出!A:A,0)&amp;""),"")</f>
        <v/>
      </c>
      <c r="E136" s="111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112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11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113" t="str">
        <f>IF(C136&lt;&gt;"",
クライアント抽出!C66,"")</f>
        <v/>
      </c>
      <c r="I136" s="111" t="str">
        <f t="array" aca="1" ref="I136" ca="1">IF(C136&lt;&gt;"",
IF(O136=1,
IF(SUMPRODUCT(COUNTIF(クライアント抽出!P66:U66,クライアント抽出!P66:U66))&gt;COUNTA(クライアント抽出!P66:U66),
INDIRECT("数出表_Excel!"&amp;INDEX(_xlfn.UNIQUE(_xlfn._xlws.FILTER(クライアント抽出!P66:U66,COUNTIF(クライアント抽出!P66:U66,クライアント抽出!P66:U66)=1)),1)&amp;L136&amp;""),
0),クライアント抽出!F66),"")</f>
        <v/>
      </c>
      <c r="J136" s="111" t="str">
        <f>IF(C136&lt;&gt;"",
VLOOKUP(
"*"&amp;LEFT(IF(COUNTIF(D136,"*学食*"),"キャラ弁（学食）",
IF(COUNTIF(D136,"*赤*"),"赤",
IF(COUNTIF(D136,"*キャラ弁当*"),"キャラ弁当",D136))),4)&amp;"*",注文弁当の抽出!$E$1:$F$15,2,FALSE),"")</f>
        <v/>
      </c>
      <c r="K136" s="111" t="str">
        <f ca="1">IF(クライアント抽出!Q66&lt;&gt;"",SUBSTITUTE(ADDRESS(1,(CODE(クライアント抽出!Q66)-64)*2-1,4),"1",""),"")</f>
        <v/>
      </c>
      <c r="L136" s="111" t="str">
        <f>IF(C66&lt;&gt;"",クライアント抽出!I66,"")</f>
        <v/>
      </c>
      <c r="M136" s="111">
        <f t="array" aca="1" ref="M136" ca="1">IF(C136&lt;&gt;"",
IF(K136&lt;&gt;"",INDIRECT("'数出表_Excel（アレルギー入力）'!"&amp;K136&amp;L136-1&amp;""),),)</f>
        <v>0</v>
      </c>
      <c r="N136" s="111" t="str">
        <f>IF(C136&lt;&gt;"",IF(OR(COUNTIF('盛付札（関数）'!D136,"*赤*"),COUNTIF('盛付札（関数）'!D136,"*キャラ*")),1,
VLOOKUP("*"&amp;D136&amp;"*",商品マスタ一覧!D:H,5,FALSE)),"")</f>
        <v/>
      </c>
      <c r="O136" s="111">
        <f t="shared" ca="1" si="27"/>
        <v>0</v>
      </c>
      <c r="P136" s="111">
        <f t="shared" si="21"/>
        <v>0</v>
      </c>
      <c r="Q136" s="111" t="b">
        <f t="shared" si="22"/>
        <v>0</v>
      </c>
      <c r="R136" s="49" t="str">
        <f t="array" aca="1" ref="R136" ca="1">IFERROR(SMALL(IF(P$1:P$311&lt;&gt;0,P$1:P$311),ROW(A136)),"")</f>
        <v/>
      </c>
      <c r="S136" s="49" t="str">
        <f t="array" aca="1" ref="S136" ca="1">IF($R136&lt;&gt;"",
SUBSTITUTE(SUBSTITUTE(INDIRECT("C"&amp;$R136&amp;"")," 週3ｺｰｽ","")," 週5ｺｰｽ",""),"")</f>
        <v/>
      </c>
      <c r="T136" s="49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22" t="str">
        <f t="array" aca="1" ref="U136" ca="1">IF($R136&lt;&gt;"",
INDIRECT("F"&amp;$R136&amp;""),"")</f>
        <v/>
      </c>
      <c r="V136" s="49" t="str">
        <f t="array" aca="1" ref="V136" ca="1">IF($R136&lt;&gt;"",
INDIRECT("G"&amp;$R136&amp;""),"")</f>
        <v/>
      </c>
      <c r="W136" s="49" t="str">
        <f t="array" aca="1" ref="W136" ca="1">IF($R136&lt;&gt;"",
IF(AND(COUNTIF(INDIRECT("B"&amp;R136&amp;""),"*雙葉*"),COUNTIF(B:B,"*雙葉*")&gt;=2),
IF(OR(COUNTIF(INDIRECT("B"&amp;R136&amp;""),"*雙葉先生*"),COUNTIF($B$1:$B$70,"*雙葉*")&gt;=2),INDIRECT("H"&amp;R136&amp;""),INDIRECT("H"&amp;R136&amp;"")+INDIRECT("H"&amp;MATCH("雙葉'",INDIRECT("B"&amp;R136+3&amp;":B210"),0)+2+R136&amp;"")),
IF(AND(LEFT(INDIRECT("B"&amp;R136&amp;""),2)="博多",COUNTIF(B:B,"*博多*")&gt;=2),
INDIRECT("H"&amp;R136&amp;"")+INDIRECT("H"&amp;MATCH("*"&amp;INDIRECT("B"&amp;R136&amp;"")&amp;"*",INDIRECT("B"&amp;R136+1&amp;":B210"),0)+R136&amp;""),
IF(AND(LEFT(INDIRECT("B"&amp;R136&amp;""),3)="奈良屋",COUNTIF(B:B,"*奈良屋*")&gt;=2),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49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49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49" t="str">
        <f t="shared" ca="1" si="23"/>
        <v/>
      </c>
      <c r="AA136" s="49" t="str">
        <f t="shared" ca="1" si="24"/>
        <v/>
      </c>
      <c r="AB136" s="49" t="str">
        <f t="array" aca="1" ref="AB136" ca="1">IF($R136&lt;&gt;"",
IF(AND(COUNTIF(INDIRECT("B"&amp;R136&amp;""),"*雙葉*"),COUNTIF(B:B,"*雙葉*")&gt;=2),
INDIRECT("M"&amp;R136&amp;"")+INDIRECT("M"&amp;MATCH("雙葉'",INDIRECT("B"&amp;R136+1&amp;":B210"),0)+R136&amp;""),
IF(AND(LEFT(INDIRECT("B"&amp;R136&amp;""),2)="博多",COUNTIF(B:B,"*博多*")&gt;=2),
INDIRECT("M"&amp;R136&amp;"")+INDIRECT("M"&amp;MATCH("*"&amp;INDIRECT("B"&amp;R136&amp;"")&amp;"*",INDIRECT("B"&amp;R136+1&amp;":B210"),0)+R136&amp;""),
IF(AND(LEFT(INDIRECT("B"&amp;R136&amp;""),3)="奈良屋",COUNTIF(B:B,"*奈良屋*")&gt;=2),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  <c r="AC136" s="49" t="str">
        <f ca="1">IF(S136&lt;&gt;"",INDEX(A:A, MATCH("*"&amp;LEFT(S136,4)&amp;"*", C:C, 0)),"")</f>
        <v/>
      </c>
      <c r="AD136" s="49" t="str">
        <f ca="1">IFERROR(INDEX(AC:AC,MATCH(SMALL($AU:$AU,ROW()+3),$AU:$AU,0)),"")</f>
        <v/>
      </c>
      <c r="AE136" s="49" t="str">
        <f ca="1">IFERROR(INDEX(R:R,MATCH(SMALL($AU:$AU,ROW()+3),$AU:$AU,0)),"")</f>
        <v/>
      </c>
      <c r="AF136" s="49" t="str">
        <f ca="1">IFERROR(INDEX(S:S,MATCH(SMALL($AU:$AU,ROW()+3),$AU:$AU,0)),"")</f>
        <v/>
      </c>
      <c r="AG136" s="49" t="str">
        <f ca="1">IFERROR(INDEX(T:T,MATCH(SMALL($AU:$AU,ROW()+3),$AU:$AU,0)),"")</f>
        <v/>
      </c>
      <c r="AH136" s="122" t="str">
        <f ca="1">IFERROR(INDEX(U:U,MATCH(SMALL($AU:$AU,ROW()+3),$AU:$AU,0)),"")</f>
        <v/>
      </c>
      <c r="AI136" s="49" t="str">
        <f ca="1">IFERROR(INDEX(V:V,MATCH(SMALL($AU:$AU,ROW()+3),$AU:$AU,0)),"")</f>
        <v/>
      </c>
      <c r="AJ136" s="49" t="str">
        <f ca="1">IFERROR(INDEX(W:W,MATCH(SMALL($AU:$AU,ROW()+3),$AU:$AU,0)),"")</f>
        <v/>
      </c>
      <c r="AK136" s="49" t="str">
        <f ca="1">IFERROR(INDEX(X:X,MATCH(SMALL($AU:$AU,ROW()+3),$AU:$AU,0)),"")</f>
        <v/>
      </c>
      <c r="AL136" s="49" t="str">
        <f ca="1">IFERROR(INDEX(Y:Y,MATCH(SMALL($AU:$AU,ROW()+3),$AU:$AU,0)),"")</f>
        <v/>
      </c>
      <c r="AM136" s="49" t="str">
        <f ca="1">IFERROR(INDEX(Z:Z,MATCH(SMALL($AU:$AU,ROW()+3),$AU:$AU,0)),"")</f>
        <v/>
      </c>
      <c r="AN136" s="49" t="str">
        <f ca="1">IFERROR(INDEX(AA:AA,MATCH(SMALL($AU:$AU,ROW()+3),$AU:$AU,0)),"")</f>
        <v/>
      </c>
      <c r="AO136" s="49" t="str">
        <f ca="1">IFERROR(INDEX(AB:AB,MATCH(SMALL($AU:$AU,ROW()+3),$AU:$AU,0)),"")</f>
        <v/>
      </c>
      <c r="AP136" s="49" t="str">
        <f ca="1">IFERROR(INDEX(AC:AC,MATCH(SMALL($AU:$AU,ROW()+3),$AU:$AU,0)),"")</f>
        <v/>
      </c>
      <c r="AU136" s="49" t="str">
        <f t="shared" ca="1" si="25"/>
        <v/>
      </c>
    </row>
    <row r="137" spans="1:47" ht="22.2" customHeight="1">
      <c r="A137" s="110">
        <f t="shared" si="20"/>
        <v>139</v>
      </c>
      <c r="B137" s="111" t="str">
        <f t="shared" ca="1" si="26"/>
        <v/>
      </c>
      <c r="C137" s="111" t="str">
        <f>IF(OR(クライアント抽出!C67&lt;&gt;"",クライアント抽出!F67&lt;&gt;""),クライアント抽出!A67,"")</f>
        <v/>
      </c>
      <c r="D137" s="111" t="str">
        <f t="array" aca="1" ref="D137" ca="1">IF(C137&lt;&gt;"",INDIRECT("クライアント抽出!"&amp;E137&amp;MATCH(C137,クライアント抽出!A:A,0)&amp;""),"")</f>
        <v/>
      </c>
      <c r="E137" s="111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112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11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113" t="str">
        <f>IF(C137&lt;&gt;"",
クライアント抽出!C67,"")</f>
        <v/>
      </c>
      <c r="I137" s="111" t="str">
        <f t="array" aca="1" ref="I137" ca="1">IF(C137&lt;&gt;"",
IF(O137=1,
IF(SUMPRODUCT(COUNTIF(クライアント抽出!P67:U67,クライアント抽出!P67:U67))&gt;COUNTA(クライアント抽出!P67:U67),
INDIRECT("数出表_Excel!"&amp;INDEX(_xlfn.UNIQUE(_xlfn._xlws.FILTER(クライアント抽出!P67:U67,COUNTIF(クライアント抽出!P67:U67,クライアント抽出!P67:U67)=1)),1)&amp;L137&amp;""),
0),クライアント抽出!F67),"")</f>
        <v/>
      </c>
      <c r="J137" s="111" t="str">
        <f>IF(C137&lt;&gt;"",
VLOOKUP(
"*"&amp;LEFT(IF(COUNTIF(D137,"*学食*"),"キャラ弁（学食）",
IF(COUNTIF(D137,"*赤*"),"赤",
IF(COUNTIF(D137,"*キャラ弁当*"),"キャラ弁当",D137))),4)&amp;"*",注文弁当の抽出!$E$1:$F$15,2,FALSE),"")</f>
        <v/>
      </c>
      <c r="K137" s="111" t="str">
        <f ca="1">IF(クライアント抽出!Q67&lt;&gt;"",SUBSTITUTE(ADDRESS(1,(CODE(クライアント抽出!Q67)-64)*2-1,4),"1",""),"")</f>
        <v/>
      </c>
      <c r="L137" s="111" t="str">
        <f>IF(C67&lt;&gt;"",クライアント抽出!I67,"")</f>
        <v/>
      </c>
      <c r="M137" s="111">
        <f t="array" aca="1" ref="M137" ca="1">IF(C137&lt;&gt;"",
IF(K137&lt;&gt;"",INDIRECT("'数出表_Excel（アレルギー入力）'!"&amp;K137&amp;L137-1&amp;""),),)</f>
        <v>0</v>
      </c>
      <c r="N137" s="111" t="str">
        <f>IF(C137&lt;&gt;"",IF(OR(COUNTIF('盛付札（関数）'!D137,"*赤*"),COUNTIF('盛付札（関数）'!D137,"*キャラ*")),1,
VLOOKUP("*"&amp;D137&amp;"*",商品マスタ一覧!D:H,5,FALSE)),"")</f>
        <v/>
      </c>
      <c r="O137" s="111">
        <f t="shared" ca="1" si="27"/>
        <v>0</v>
      </c>
      <c r="P137" s="111">
        <f t="shared" si="21"/>
        <v>0</v>
      </c>
      <c r="Q137" s="111" t="b">
        <f t="shared" si="22"/>
        <v>0</v>
      </c>
      <c r="R137" s="49" t="str">
        <f t="array" aca="1" ref="R137" ca="1">IFERROR(SMALL(IF(P$1:P$311&lt;&gt;0,P$1:P$311),ROW(A137)),"")</f>
        <v/>
      </c>
      <c r="S137" s="49" t="str">
        <f t="array" aca="1" ref="S137" ca="1">IF($R137&lt;&gt;"",
SUBSTITUTE(SUBSTITUTE(INDIRECT("C"&amp;$R137&amp;"")," 週3ｺｰｽ","")," 週5ｺｰｽ",""),"")</f>
        <v/>
      </c>
      <c r="T137" s="49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22" t="str">
        <f t="array" aca="1" ref="U137" ca="1">IF($R137&lt;&gt;"",
INDIRECT("F"&amp;$R137&amp;""),"")</f>
        <v/>
      </c>
      <c r="V137" s="49" t="str">
        <f t="array" aca="1" ref="V137" ca="1">IF($R137&lt;&gt;"",
INDIRECT("G"&amp;$R137&amp;""),"")</f>
        <v/>
      </c>
      <c r="W137" s="49" t="str">
        <f t="array" aca="1" ref="W137" ca="1">IF($R137&lt;&gt;"",
IF(AND(COUNTIF(INDIRECT("B"&amp;R137&amp;""),"*雙葉*"),COUNTIF(B:B,"*雙葉*")&gt;=2),
IF(OR(COUNTIF(INDIRECT("B"&amp;R137&amp;""),"*雙葉先生*"),COUNTIF($B$1:$B$70,"*雙葉*")&gt;=2),INDIRECT("H"&amp;R137&amp;""),INDIRECT("H"&amp;R137&amp;"")+INDIRECT("H"&amp;MATCH("雙葉'",INDIRECT("B"&amp;R137+3&amp;":B210"),0)+2+R137&amp;"")),
IF(AND(LEFT(INDIRECT("B"&amp;R137&amp;""),2)="博多",COUNTIF(B:B,"*博多*")&gt;=2),
INDIRECT("H"&amp;R137&amp;"")+INDIRECT("H"&amp;MATCH("*"&amp;INDIRECT("B"&amp;R137&amp;"")&amp;"*",INDIRECT("B"&amp;R137+1&amp;":B210"),0)+R137&amp;""),
IF(AND(LEFT(INDIRECT("B"&amp;R137&amp;""),3)="奈良屋",COUNTIF(B:B,"*奈良屋*")&gt;=2),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49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49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49" t="str">
        <f t="shared" ca="1" si="23"/>
        <v/>
      </c>
      <c r="AA137" s="49" t="str">
        <f t="shared" ca="1" si="24"/>
        <v/>
      </c>
      <c r="AB137" s="49" t="str">
        <f t="array" aca="1" ref="AB137" ca="1">IF($R137&lt;&gt;"",
IF(AND(COUNTIF(INDIRECT("B"&amp;R137&amp;""),"*雙葉*"),COUNTIF(B:B,"*雙葉*")&gt;=2),
INDIRECT("M"&amp;R137&amp;"")+INDIRECT("M"&amp;MATCH("雙葉'",INDIRECT("B"&amp;R137+1&amp;":B210"),0)+R137&amp;""),
IF(AND(LEFT(INDIRECT("B"&amp;R137&amp;""),2)="博多",COUNTIF(B:B,"*博多*")&gt;=2),
INDIRECT("M"&amp;R137&amp;"")+INDIRECT("M"&amp;MATCH("*"&amp;INDIRECT("B"&amp;R137&amp;"")&amp;"*",INDIRECT("B"&amp;R137+1&amp;":B210"),0)+R137&amp;""),
IF(AND(LEFT(INDIRECT("B"&amp;R137&amp;""),3)="奈良屋",COUNTIF(B:B,"*奈良屋*")&gt;=2),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  <c r="AC137" s="49" t="str">
        <f ca="1">IF(S137&lt;&gt;"",INDEX(A:A, MATCH("*"&amp;LEFT(S137,4)&amp;"*", C:C, 0)),"")</f>
        <v/>
      </c>
      <c r="AD137" s="49" t="str">
        <f ca="1">IFERROR(INDEX(AC:AC,MATCH(SMALL($AU:$AU,ROW()+3),$AU:$AU,0)),"")</f>
        <v/>
      </c>
      <c r="AE137" s="49" t="str">
        <f ca="1">IFERROR(INDEX(R:R,MATCH(SMALL($AU:$AU,ROW()+3),$AU:$AU,0)),"")</f>
        <v/>
      </c>
      <c r="AF137" s="49" t="str">
        <f ca="1">IFERROR(INDEX(S:S,MATCH(SMALL($AU:$AU,ROW()+3),$AU:$AU,0)),"")</f>
        <v/>
      </c>
      <c r="AG137" s="49" t="str">
        <f ca="1">IFERROR(INDEX(T:T,MATCH(SMALL($AU:$AU,ROW()+3),$AU:$AU,0)),"")</f>
        <v/>
      </c>
      <c r="AH137" s="122" t="str">
        <f ca="1">IFERROR(INDEX(U:U,MATCH(SMALL($AU:$AU,ROW()+3),$AU:$AU,0)),"")</f>
        <v/>
      </c>
      <c r="AI137" s="49" t="str">
        <f ca="1">IFERROR(INDEX(V:V,MATCH(SMALL($AU:$AU,ROW()+3),$AU:$AU,0)),"")</f>
        <v/>
      </c>
      <c r="AJ137" s="49" t="str">
        <f ca="1">IFERROR(INDEX(W:W,MATCH(SMALL($AU:$AU,ROW()+3),$AU:$AU,0)),"")</f>
        <v/>
      </c>
      <c r="AK137" s="49" t="str">
        <f ca="1">IFERROR(INDEX(X:X,MATCH(SMALL($AU:$AU,ROW()+3),$AU:$AU,0)),"")</f>
        <v/>
      </c>
      <c r="AL137" s="49" t="str">
        <f ca="1">IFERROR(INDEX(Y:Y,MATCH(SMALL($AU:$AU,ROW()+3),$AU:$AU,0)),"")</f>
        <v/>
      </c>
      <c r="AM137" s="49" t="str">
        <f ca="1">IFERROR(INDEX(Z:Z,MATCH(SMALL($AU:$AU,ROW()+3),$AU:$AU,0)),"")</f>
        <v/>
      </c>
      <c r="AN137" s="49" t="str">
        <f ca="1">IFERROR(INDEX(AA:AA,MATCH(SMALL($AU:$AU,ROW()+3),$AU:$AU,0)),"")</f>
        <v/>
      </c>
      <c r="AO137" s="49" t="str">
        <f ca="1">IFERROR(INDEX(AB:AB,MATCH(SMALL($AU:$AU,ROW()+3),$AU:$AU,0)),"")</f>
        <v/>
      </c>
      <c r="AP137" s="49" t="str">
        <f ca="1">IFERROR(INDEX(AC:AC,MATCH(SMALL($AU:$AU,ROW()+3),$AU:$AU,0)),"")</f>
        <v/>
      </c>
      <c r="AU137" s="49" t="str">
        <f t="shared" ca="1" si="25"/>
        <v/>
      </c>
    </row>
    <row r="138" spans="1:47" ht="22.2" customHeight="1">
      <c r="A138" s="110">
        <f t="shared" si="20"/>
        <v>141</v>
      </c>
      <c r="B138" s="111" t="str">
        <f t="shared" ca="1" si="26"/>
        <v/>
      </c>
      <c r="C138" s="111" t="str">
        <f>IF(OR(クライアント抽出!C68&lt;&gt;"",クライアント抽出!F68&lt;&gt;""),クライアント抽出!A68,"")</f>
        <v/>
      </c>
      <c r="D138" s="111" t="str">
        <f t="array" aca="1" ref="D138" ca="1">IF(C138&lt;&gt;"",INDIRECT("クライアント抽出!"&amp;E138&amp;MATCH(C138,クライアント抽出!A:A,0)&amp;""),"")</f>
        <v/>
      </c>
      <c r="E138" s="111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112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11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113" t="str">
        <f>IF(C138&lt;&gt;"",
クライアント抽出!C68,"")</f>
        <v/>
      </c>
      <c r="I138" s="111" t="str">
        <f t="array" aca="1" ref="I138" ca="1">IF(C138&lt;&gt;"",
IF(O138=1,
IF(SUMPRODUCT(COUNTIF(クライアント抽出!P68:U68,クライアント抽出!P68:U68))&gt;COUNTA(クライアント抽出!P68:U68),
INDIRECT("数出表_Excel!"&amp;INDEX(_xlfn.UNIQUE(_xlfn._xlws.FILTER(クライアント抽出!P68:U68,COUNTIF(クライアント抽出!P68:U68,クライアント抽出!P68:U68)=1)),1)&amp;L138&amp;""),
0),クライアント抽出!F68),"")</f>
        <v/>
      </c>
      <c r="J138" s="111" t="str">
        <f>IF(C138&lt;&gt;"",
VLOOKUP(
"*"&amp;LEFT(IF(COUNTIF(D138,"*学食*"),"キャラ弁（学食）",
IF(COUNTIF(D138,"*赤*"),"赤",
IF(COUNTIF(D138,"*キャラ弁当*"),"キャラ弁当",D138))),4)&amp;"*",注文弁当の抽出!$E$1:$F$15,2,FALSE),"")</f>
        <v/>
      </c>
      <c r="K138" s="111" t="str">
        <f ca="1">IF(クライアント抽出!Q68&lt;&gt;"",SUBSTITUTE(ADDRESS(1,(CODE(クライアント抽出!Q68)-64)*2-1,4),"1",""),"")</f>
        <v/>
      </c>
      <c r="L138" s="111" t="str">
        <f>IF(C68&lt;&gt;"",クライアント抽出!I68,"")</f>
        <v/>
      </c>
      <c r="M138" s="111">
        <f t="array" aca="1" ref="M138" ca="1">IF(C138&lt;&gt;"",
IF(K138&lt;&gt;"",INDIRECT("'数出表_Excel（アレルギー入力）'!"&amp;K138&amp;L138-1&amp;""),),)</f>
        <v>0</v>
      </c>
      <c r="N138" s="111" t="str">
        <f>IF(C138&lt;&gt;"",IF(OR(COUNTIF('盛付札（関数）'!D138,"*赤*"),COUNTIF('盛付札（関数）'!D138,"*キャラ*")),1,
VLOOKUP("*"&amp;D138&amp;"*",商品マスタ一覧!D:H,5,FALSE)),"")</f>
        <v/>
      </c>
      <c r="O138" s="111">
        <f t="shared" ca="1" si="27"/>
        <v>0</v>
      </c>
      <c r="P138" s="111">
        <f t="shared" si="21"/>
        <v>0</v>
      </c>
      <c r="Q138" s="111" t="b">
        <f t="shared" si="22"/>
        <v>0</v>
      </c>
      <c r="R138" s="49" t="str">
        <f t="array" aca="1" ref="R138" ca="1">IFERROR(SMALL(IF(P$1:P$311&lt;&gt;0,P$1:P$311),ROW(A138)),"")</f>
        <v/>
      </c>
      <c r="S138" s="49" t="str">
        <f t="array" aca="1" ref="S138" ca="1">IF($R138&lt;&gt;"",
SUBSTITUTE(SUBSTITUTE(INDIRECT("C"&amp;$R138&amp;"")," 週3ｺｰｽ","")," 週5ｺｰｽ",""),"")</f>
        <v/>
      </c>
      <c r="T138" s="49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22" t="str">
        <f t="array" aca="1" ref="U138" ca="1">IF($R138&lt;&gt;"",
INDIRECT("F"&amp;$R138&amp;""),"")</f>
        <v/>
      </c>
      <c r="V138" s="49" t="str">
        <f t="array" aca="1" ref="V138" ca="1">IF($R138&lt;&gt;"",
INDIRECT("G"&amp;$R138&amp;""),"")</f>
        <v/>
      </c>
      <c r="W138" s="49" t="str">
        <f t="array" aca="1" ref="W138" ca="1">IF($R138&lt;&gt;"",
IF(AND(COUNTIF(INDIRECT("B"&amp;R138&amp;""),"*雙葉*"),COUNTIF(B:B,"*雙葉*")&gt;=2),
IF(OR(COUNTIF(INDIRECT("B"&amp;R138&amp;""),"*雙葉先生*"),COUNTIF($B$1:$B$70,"*雙葉*")&gt;=2),INDIRECT("H"&amp;R138&amp;""),INDIRECT("H"&amp;R138&amp;"")+INDIRECT("H"&amp;MATCH("雙葉'",INDIRECT("B"&amp;R138+3&amp;":B210"),0)+2+R138&amp;"")),
IF(AND(LEFT(INDIRECT("B"&amp;R138&amp;""),2)="博多",COUNTIF(B:B,"*博多*")&gt;=2),
INDIRECT("H"&amp;R138&amp;"")+INDIRECT("H"&amp;MATCH("*"&amp;INDIRECT("B"&amp;R138&amp;"")&amp;"*",INDIRECT("B"&amp;R138+1&amp;":B210"),0)+R138&amp;""),
IF(AND(LEFT(INDIRECT("B"&amp;R138&amp;""),3)="奈良屋",COUNTIF(B:B,"*奈良屋*")&gt;=2),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49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49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49" t="str">
        <f t="shared" ca="1" si="23"/>
        <v/>
      </c>
      <c r="AA138" s="49" t="str">
        <f t="shared" ca="1" si="24"/>
        <v/>
      </c>
      <c r="AB138" s="49" t="str">
        <f t="array" aca="1" ref="AB138" ca="1">IF($R138&lt;&gt;"",
IF(AND(COUNTIF(INDIRECT("B"&amp;R138&amp;""),"*雙葉*"),COUNTIF(B:B,"*雙葉*")&gt;=2),
INDIRECT("M"&amp;R138&amp;"")+INDIRECT("M"&amp;MATCH("雙葉'",INDIRECT("B"&amp;R138+1&amp;":B210"),0)+R138&amp;""),
IF(AND(LEFT(INDIRECT("B"&amp;R138&amp;""),2)="博多",COUNTIF(B:B,"*博多*")&gt;=2),
INDIRECT("M"&amp;R138&amp;"")+INDIRECT("M"&amp;MATCH("*"&amp;INDIRECT("B"&amp;R138&amp;"")&amp;"*",INDIRECT("B"&amp;R138+1&amp;":B210"),0)+R138&amp;""),
IF(AND(LEFT(INDIRECT("B"&amp;R138&amp;""),3)="奈良屋",COUNTIF(B:B,"*奈良屋*")&gt;=2),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  <c r="AC138" s="49" t="str">
        <f ca="1">IF(S138&lt;&gt;"",INDEX(A:A, MATCH("*"&amp;LEFT(S138,4)&amp;"*", C:C, 0)),"")</f>
        <v/>
      </c>
      <c r="AD138" s="49" t="str">
        <f ca="1">IFERROR(INDEX(AC:AC,MATCH(SMALL($AU:$AU,ROW()+3),$AU:$AU,0)),"")</f>
        <v/>
      </c>
      <c r="AE138" s="49" t="str">
        <f ca="1">IFERROR(INDEX(R:R,MATCH(SMALL($AU:$AU,ROW()+3),$AU:$AU,0)),"")</f>
        <v/>
      </c>
      <c r="AF138" s="49" t="str">
        <f ca="1">IFERROR(INDEX(S:S,MATCH(SMALL($AU:$AU,ROW()+3),$AU:$AU,0)),"")</f>
        <v/>
      </c>
      <c r="AG138" s="49" t="str">
        <f ca="1">IFERROR(INDEX(T:T,MATCH(SMALL($AU:$AU,ROW()+3),$AU:$AU,0)),"")</f>
        <v/>
      </c>
      <c r="AH138" s="122" t="str">
        <f ca="1">IFERROR(INDEX(U:U,MATCH(SMALL($AU:$AU,ROW()+3),$AU:$AU,0)),"")</f>
        <v/>
      </c>
      <c r="AI138" s="49" t="str">
        <f ca="1">IFERROR(INDEX(V:V,MATCH(SMALL($AU:$AU,ROW()+3),$AU:$AU,0)),"")</f>
        <v/>
      </c>
      <c r="AJ138" s="49" t="str">
        <f ca="1">IFERROR(INDEX(W:W,MATCH(SMALL($AU:$AU,ROW()+3),$AU:$AU,0)),"")</f>
        <v/>
      </c>
      <c r="AK138" s="49" t="str">
        <f ca="1">IFERROR(INDEX(X:X,MATCH(SMALL($AU:$AU,ROW()+3),$AU:$AU,0)),"")</f>
        <v/>
      </c>
      <c r="AL138" s="49" t="str">
        <f ca="1">IFERROR(INDEX(Y:Y,MATCH(SMALL($AU:$AU,ROW()+3),$AU:$AU,0)),"")</f>
        <v/>
      </c>
      <c r="AM138" s="49" t="str">
        <f ca="1">IFERROR(INDEX(Z:Z,MATCH(SMALL($AU:$AU,ROW()+3),$AU:$AU,0)),"")</f>
        <v/>
      </c>
      <c r="AN138" s="49" t="str">
        <f ca="1">IFERROR(INDEX(AA:AA,MATCH(SMALL($AU:$AU,ROW()+3),$AU:$AU,0)),"")</f>
        <v/>
      </c>
      <c r="AO138" s="49" t="str">
        <f ca="1">IFERROR(INDEX(AB:AB,MATCH(SMALL($AU:$AU,ROW()+3),$AU:$AU,0)),"")</f>
        <v/>
      </c>
      <c r="AP138" s="49" t="str">
        <f ca="1">IFERROR(INDEX(AC:AC,MATCH(SMALL($AU:$AU,ROW()+3),$AU:$AU,0)),"")</f>
        <v/>
      </c>
      <c r="AU138" s="49" t="str">
        <f t="shared" ca="1" si="25"/>
        <v/>
      </c>
    </row>
    <row r="139" spans="1:47" ht="22.2" customHeight="1">
      <c r="A139" s="110">
        <f t="shared" si="20"/>
        <v>143</v>
      </c>
      <c r="B139" s="111" t="str">
        <f t="shared" ca="1" si="26"/>
        <v/>
      </c>
      <c r="C139" s="111" t="str">
        <f>IF(OR(クライアント抽出!C69&lt;&gt;"",クライアント抽出!F69&lt;&gt;""),クライアント抽出!A69,"")</f>
        <v/>
      </c>
      <c r="D139" s="111" t="str">
        <f t="array" aca="1" ref="D139" ca="1">IF(C139&lt;&gt;"",INDIRECT("クライアント抽出!"&amp;E139&amp;MATCH(C139,クライアント抽出!A:A,0)&amp;""),"")</f>
        <v/>
      </c>
      <c r="E139" s="111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112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11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113" t="str">
        <f>IF(C139&lt;&gt;"",
クライアント抽出!C69,"")</f>
        <v/>
      </c>
      <c r="I139" s="111" t="str">
        <f t="array" aca="1" ref="I139" ca="1">IF(C139&lt;&gt;"",
IF(O139=1,
IF(SUMPRODUCT(COUNTIF(クライアント抽出!P69:U69,クライアント抽出!P69:U69))&gt;COUNTA(クライアント抽出!P69:U69),
INDIRECT("数出表_Excel!"&amp;INDEX(_xlfn.UNIQUE(_xlfn._xlws.FILTER(クライアント抽出!P69:U69,COUNTIF(クライアント抽出!P69:U69,クライアント抽出!P69:U69)=1)),1)&amp;L139&amp;""),
0),クライアント抽出!F69),"")</f>
        <v/>
      </c>
      <c r="J139" s="111" t="str">
        <f>IF(C139&lt;&gt;"",
VLOOKUP(
"*"&amp;LEFT(IF(COUNTIF(D139,"*学食*"),"キャラ弁（学食）",
IF(COUNTIF(D139,"*赤*"),"赤",
IF(COUNTIF(D139,"*キャラ弁当*"),"キャラ弁当",D139))),4)&amp;"*",注文弁当の抽出!$E$1:$F$15,2,FALSE),"")</f>
        <v/>
      </c>
      <c r="K139" s="111" t="str">
        <f ca="1">IF(クライアント抽出!Q69&lt;&gt;"",SUBSTITUTE(ADDRESS(1,(CODE(クライアント抽出!Q69)-64)*2-1,4),"1",""),"")</f>
        <v/>
      </c>
      <c r="L139" s="111" t="str">
        <f>IF(C69&lt;&gt;"",クライアント抽出!I69,"")</f>
        <v/>
      </c>
      <c r="M139" s="111">
        <f t="array" aca="1" ref="M139" ca="1">IF(C139&lt;&gt;"",
IF(K139&lt;&gt;"",INDIRECT("'数出表_Excel（アレルギー入力）'!"&amp;K139&amp;L139-1&amp;""),),)</f>
        <v>0</v>
      </c>
      <c r="N139" s="111" t="str">
        <f>IF(C139&lt;&gt;"",IF(OR(COUNTIF('盛付札（関数）'!D139,"*赤*"),COUNTIF('盛付札（関数）'!D139,"*キャラ*")),1,
VLOOKUP("*"&amp;D139&amp;"*",商品マスタ一覧!D:H,5,FALSE)),"")</f>
        <v/>
      </c>
      <c r="O139" s="111">
        <f t="shared" ca="1" si="27"/>
        <v>0</v>
      </c>
      <c r="P139" s="111">
        <f t="shared" si="21"/>
        <v>0</v>
      </c>
      <c r="Q139" s="111" t="b">
        <f t="shared" si="22"/>
        <v>0</v>
      </c>
      <c r="R139" s="49" t="str">
        <f t="array" aca="1" ref="R139" ca="1">IFERROR(SMALL(IF(P$1:P$311&lt;&gt;0,P$1:P$311),ROW(A139)),"")</f>
        <v/>
      </c>
      <c r="S139" s="49" t="str">
        <f t="array" aca="1" ref="S139" ca="1">IF($R139&lt;&gt;"",
SUBSTITUTE(SUBSTITUTE(INDIRECT("C"&amp;$R139&amp;"")," 週3ｺｰｽ","")," 週5ｺｰｽ",""),"")</f>
        <v/>
      </c>
      <c r="T139" s="49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22" t="str">
        <f t="array" aca="1" ref="U139" ca="1">IF($R139&lt;&gt;"",
INDIRECT("F"&amp;$R139&amp;""),"")</f>
        <v/>
      </c>
      <c r="V139" s="49" t="str">
        <f t="array" aca="1" ref="V139" ca="1">IF($R139&lt;&gt;"",
INDIRECT("G"&amp;$R139&amp;""),"")</f>
        <v/>
      </c>
      <c r="W139" s="49" t="str">
        <f t="array" aca="1" ref="W139" ca="1">IF($R139&lt;&gt;"",
IF(AND(COUNTIF(INDIRECT("B"&amp;R139&amp;""),"*雙葉*"),COUNTIF(B:B,"*雙葉*")&gt;=2),
IF(OR(COUNTIF(INDIRECT("B"&amp;R139&amp;""),"*雙葉先生*"),COUNTIF($B$1:$B$70,"*雙葉*")&gt;=2),INDIRECT("H"&amp;R139&amp;""),INDIRECT("H"&amp;R139&amp;"")+INDIRECT("H"&amp;MATCH("雙葉'",INDIRECT("B"&amp;R139+3&amp;":B210"),0)+2+R139&amp;"")),
IF(AND(LEFT(INDIRECT("B"&amp;R139&amp;""),2)="博多",COUNTIF(B:B,"*博多*")&gt;=2),
INDIRECT("H"&amp;R139&amp;"")+INDIRECT("H"&amp;MATCH("*"&amp;INDIRECT("B"&amp;R139&amp;"")&amp;"*",INDIRECT("B"&amp;R139+1&amp;":B210"),0)+R139&amp;""),
IF(AND(LEFT(INDIRECT("B"&amp;R139&amp;""),3)="奈良屋",COUNTIF(B:B,"*奈良屋*")&gt;=2),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49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49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49" t="str">
        <f t="shared" ca="1" si="23"/>
        <v/>
      </c>
      <c r="AA139" s="49" t="str">
        <f t="shared" ca="1" si="24"/>
        <v/>
      </c>
      <c r="AB139" s="49" t="str">
        <f t="array" aca="1" ref="AB139" ca="1">IF($R139&lt;&gt;"",
IF(AND(COUNTIF(INDIRECT("B"&amp;R139&amp;""),"*雙葉*"),COUNTIF(B:B,"*雙葉*")&gt;=2),
INDIRECT("M"&amp;R139&amp;"")+INDIRECT("M"&amp;MATCH("雙葉'",INDIRECT("B"&amp;R139+1&amp;":B210"),0)+R139&amp;""),
IF(AND(LEFT(INDIRECT("B"&amp;R139&amp;""),2)="博多",COUNTIF(B:B,"*博多*")&gt;=2),
INDIRECT("M"&amp;R139&amp;"")+INDIRECT("M"&amp;MATCH("*"&amp;INDIRECT("B"&amp;R139&amp;"")&amp;"*",INDIRECT("B"&amp;R139+1&amp;":B210"),0)+R139&amp;""),
IF(AND(LEFT(INDIRECT("B"&amp;R139&amp;""),3)="奈良屋",COUNTIF(B:B,"*奈良屋*")&gt;=2),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  <c r="AC139" s="49" t="str">
        <f ca="1">IF(S139&lt;&gt;"",INDEX(A:A, MATCH("*"&amp;LEFT(S139,4)&amp;"*", C:C, 0)),"")</f>
        <v/>
      </c>
      <c r="AD139" s="49" t="str">
        <f ca="1">IFERROR(INDEX(AC:AC,MATCH(SMALL($AU:$AU,ROW()+3),$AU:$AU,0)),"")</f>
        <v/>
      </c>
      <c r="AE139" s="49" t="str">
        <f ca="1">IFERROR(INDEX(R:R,MATCH(SMALL($AU:$AU,ROW()+3),$AU:$AU,0)),"")</f>
        <v/>
      </c>
      <c r="AF139" s="49" t="str">
        <f ca="1">IFERROR(INDEX(S:S,MATCH(SMALL($AU:$AU,ROW()+3),$AU:$AU,0)),"")</f>
        <v/>
      </c>
      <c r="AG139" s="49" t="str">
        <f ca="1">IFERROR(INDEX(T:T,MATCH(SMALL($AU:$AU,ROW()+3),$AU:$AU,0)),"")</f>
        <v/>
      </c>
      <c r="AH139" s="122" t="str">
        <f ca="1">IFERROR(INDEX(U:U,MATCH(SMALL($AU:$AU,ROW()+3),$AU:$AU,0)),"")</f>
        <v/>
      </c>
      <c r="AI139" s="49" t="str">
        <f ca="1">IFERROR(INDEX(V:V,MATCH(SMALL($AU:$AU,ROW()+3),$AU:$AU,0)),"")</f>
        <v/>
      </c>
      <c r="AJ139" s="49" t="str">
        <f ca="1">IFERROR(INDEX(W:W,MATCH(SMALL($AU:$AU,ROW()+3),$AU:$AU,0)),"")</f>
        <v/>
      </c>
      <c r="AK139" s="49" t="str">
        <f ca="1">IFERROR(INDEX(X:X,MATCH(SMALL($AU:$AU,ROW()+3),$AU:$AU,0)),"")</f>
        <v/>
      </c>
      <c r="AL139" s="49" t="str">
        <f ca="1">IFERROR(INDEX(Y:Y,MATCH(SMALL($AU:$AU,ROW()+3),$AU:$AU,0)),"")</f>
        <v/>
      </c>
      <c r="AM139" s="49" t="str">
        <f ca="1">IFERROR(INDEX(Z:Z,MATCH(SMALL($AU:$AU,ROW()+3),$AU:$AU,0)),"")</f>
        <v/>
      </c>
      <c r="AN139" s="49" t="str">
        <f ca="1">IFERROR(INDEX(AA:AA,MATCH(SMALL($AU:$AU,ROW()+3),$AU:$AU,0)),"")</f>
        <v/>
      </c>
      <c r="AO139" s="49" t="str">
        <f ca="1">IFERROR(INDEX(AB:AB,MATCH(SMALL($AU:$AU,ROW()+3),$AU:$AU,0)),"")</f>
        <v/>
      </c>
      <c r="AP139" s="49" t="str">
        <f ca="1">IFERROR(INDEX(AC:AC,MATCH(SMALL($AU:$AU,ROW()+3),$AU:$AU,0)),"")</f>
        <v/>
      </c>
      <c r="AU139" s="49" t="str">
        <f t="shared" ca="1" si="25"/>
        <v/>
      </c>
    </row>
    <row r="140" spans="1:47" ht="22.2" customHeight="1">
      <c r="A140" s="110">
        <f t="shared" si="20"/>
        <v>145</v>
      </c>
      <c r="B140" s="111" t="str">
        <f t="shared" ca="1" si="26"/>
        <v/>
      </c>
      <c r="C140" s="111" t="str">
        <f>IF(OR(クライアント抽出!C70&lt;&gt;"",クライアント抽出!F70&lt;&gt;""),クライアント抽出!A70,"")</f>
        <v/>
      </c>
      <c r="D140" s="111" t="str">
        <f t="array" aca="1" ref="D140" ca="1">IF(C140&lt;&gt;"",INDIRECT("クライアント抽出!"&amp;E140&amp;MATCH(C140,クライアント抽出!A:A,0)&amp;""),"")</f>
        <v/>
      </c>
      <c r="E140" s="111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12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11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113" t="str">
        <f>IF(C140&lt;&gt;"",
クライアント抽出!C70,"")</f>
        <v/>
      </c>
      <c r="I140" s="111" t="str">
        <f t="array" aca="1" ref="I140" ca="1">IF(C140&lt;&gt;"",
IF(O140=1,
IF(SUMPRODUCT(COUNTIF(クライアント抽出!P70:U70,クライアント抽出!P70:U70))&gt;COUNTA(クライアント抽出!P70:U70),
INDIRECT("数出表_Excel!"&amp;INDEX(_xlfn.UNIQUE(_xlfn._xlws.FILTER(クライアント抽出!P70:U70,COUNTIF(クライアント抽出!P70:U70,クライアント抽出!P70:U70)=1)),1)&amp;L140&amp;""),
0),クライアント抽出!F70),"")</f>
        <v/>
      </c>
      <c r="J140" s="111" t="str">
        <f>IF(C140&lt;&gt;"",
VLOOKUP(
"*"&amp;LEFT(IF(COUNTIF(D140,"*学食*"),"キャラ弁（学食）",
IF(COUNTIF(D140,"*赤*"),"赤",
IF(COUNTIF(D140,"*キャラ弁当*"),"キャラ弁当",D140))),4)&amp;"*",注文弁当の抽出!$E$1:$F$15,2,FALSE),"")</f>
        <v/>
      </c>
      <c r="K140" s="111" t="str">
        <f ca="1">IF(クライアント抽出!Q70&lt;&gt;"",SUBSTITUTE(ADDRESS(1,(CODE(クライアント抽出!Q70)-64)*2-1,4),"1",""),"")</f>
        <v/>
      </c>
      <c r="L140" s="111" t="str">
        <f>IF(C70&lt;&gt;"",クライアント抽出!I70,"")</f>
        <v/>
      </c>
      <c r="M140" s="111">
        <f t="array" aca="1" ref="M140" ca="1">IF(C140&lt;&gt;"",
IF(K140&lt;&gt;"",INDIRECT("'数出表_Excel（アレルギー入力）'!"&amp;K140&amp;L140-1&amp;""),),)</f>
        <v>0</v>
      </c>
      <c r="N140" s="111" t="str">
        <f>IF(C140&lt;&gt;"",IF(OR(COUNTIF('盛付札（関数）'!D140,"*赤*"),COUNTIF('盛付札（関数）'!D140,"*キャラ*")),1,
VLOOKUP("*"&amp;D140&amp;"*",商品マスタ一覧!D:H,5,FALSE)),"")</f>
        <v/>
      </c>
      <c r="O140" s="111">
        <f t="shared" ca="1" si="27"/>
        <v>0</v>
      </c>
      <c r="P140" s="111">
        <f t="shared" si="21"/>
        <v>0</v>
      </c>
      <c r="Q140" s="111" t="b">
        <f t="shared" si="22"/>
        <v>0</v>
      </c>
      <c r="R140" s="49" t="str">
        <f t="array" aca="1" ref="R140" ca="1">IFERROR(SMALL(IF(P$1:P$311&lt;&gt;0,P$1:P$311),ROW(A140)),"")</f>
        <v/>
      </c>
      <c r="S140" s="49" t="str">
        <f t="array" aca="1" ref="S140" ca="1">IF($R140&lt;&gt;"",
SUBSTITUTE(SUBSTITUTE(INDIRECT("C"&amp;$R140&amp;"")," 週3ｺｰｽ","")," 週5ｺｰｽ",""),"")</f>
        <v/>
      </c>
      <c r="T140" s="49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22" t="str">
        <f t="array" aca="1" ref="U140" ca="1">IF($R140&lt;&gt;"",
INDIRECT("F"&amp;$R140&amp;""),"")</f>
        <v/>
      </c>
      <c r="V140" s="49" t="str">
        <f t="array" aca="1" ref="V140" ca="1">IF($R140&lt;&gt;"",
INDIRECT("G"&amp;$R140&amp;""),"")</f>
        <v/>
      </c>
      <c r="W140" s="49" t="str">
        <f t="array" aca="1" ref="W140" ca="1">IF($R140&lt;&gt;"",
IF(AND(COUNTIF(INDIRECT("B"&amp;R140&amp;""),"*雙葉*"),COUNTIF(B:B,"*雙葉*")&gt;=2),
IF(OR(COUNTIF(INDIRECT("B"&amp;R140&amp;""),"*雙葉先生*"),COUNTIF($B$1:$B$70,"*雙葉*")&gt;=2),INDIRECT("H"&amp;R140&amp;""),INDIRECT("H"&amp;R140&amp;"")+INDIRECT("H"&amp;MATCH("雙葉'",INDIRECT("B"&amp;R140+3&amp;":B210"),0)+2+R140&amp;"")),
IF(AND(LEFT(INDIRECT("B"&amp;R140&amp;""),2)="博多",COUNTIF(B:B,"*博多*")&gt;=2),
INDIRECT("H"&amp;R140&amp;"")+INDIRECT("H"&amp;MATCH("*"&amp;INDIRECT("B"&amp;R140&amp;"")&amp;"*",INDIRECT("B"&amp;R140+1&amp;":B210"),0)+R140&amp;""),
IF(AND(LEFT(INDIRECT("B"&amp;R140&amp;""),3)="奈良屋",COUNTIF(B:B,"*奈良屋*")&gt;=2),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49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49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49" t="str">
        <f t="shared" ca="1" si="23"/>
        <v/>
      </c>
      <c r="AA140" s="49" t="str">
        <f t="shared" ca="1" si="24"/>
        <v/>
      </c>
      <c r="AB140" s="49" t="str">
        <f t="array" aca="1" ref="AB140" ca="1">IF($R140&lt;&gt;"",
IF(AND(COUNTIF(INDIRECT("B"&amp;R140&amp;""),"*雙葉*"),COUNTIF(B:B,"*雙葉*")&gt;=2),
INDIRECT("M"&amp;R140&amp;"")+INDIRECT("M"&amp;MATCH("雙葉'",INDIRECT("B"&amp;R140+1&amp;":B210"),0)+R140&amp;""),
IF(AND(LEFT(INDIRECT("B"&amp;R140&amp;""),2)="博多",COUNTIF(B:B,"*博多*")&gt;=2),
INDIRECT("M"&amp;R140&amp;"")+INDIRECT("M"&amp;MATCH("*"&amp;INDIRECT("B"&amp;R140&amp;"")&amp;"*",INDIRECT("B"&amp;R140+1&amp;":B210"),0)+R140&amp;""),
IF(AND(LEFT(INDIRECT("B"&amp;R140&amp;""),3)="奈良屋",COUNTIF(B:B,"*奈良屋*")&gt;=2),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  <c r="AC140" s="49" t="str">
        <f ca="1">IF(S140&lt;&gt;"",INDEX(A:A, MATCH("*"&amp;LEFT(S140,4)&amp;"*", C:C, 0)),"")</f>
        <v/>
      </c>
      <c r="AD140" s="49" t="str">
        <f ca="1">IFERROR(INDEX(AC:AC,MATCH(SMALL($AU:$AU,ROW()+3),$AU:$AU,0)),"")</f>
        <v/>
      </c>
      <c r="AE140" s="49" t="str">
        <f ca="1">IFERROR(INDEX(R:R,MATCH(SMALL($AU:$AU,ROW()+3),$AU:$AU,0)),"")</f>
        <v/>
      </c>
      <c r="AF140" s="49" t="str">
        <f ca="1">IFERROR(INDEX(S:S,MATCH(SMALL($AU:$AU,ROW()+3),$AU:$AU,0)),"")</f>
        <v/>
      </c>
      <c r="AG140" s="49" t="str">
        <f ca="1">IFERROR(INDEX(T:T,MATCH(SMALL($AU:$AU,ROW()+3),$AU:$AU,0)),"")</f>
        <v/>
      </c>
      <c r="AH140" s="122" t="str">
        <f ca="1">IFERROR(INDEX(U:U,MATCH(SMALL($AU:$AU,ROW()+3),$AU:$AU,0)),"")</f>
        <v/>
      </c>
      <c r="AI140" s="49" t="str">
        <f ca="1">IFERROR(INDEX(V:V,MATCH(SMALL($AU:$AU,ROW()+3),$AU:$AU,0)),"")</f>
        <v/>
      </c>
      <c r="AJ140" s="49" t="str">
        <f ca="1">IFERROR(INDEX(W:W,MATCH(SMALL($AU:$AU,ROW()+3),$AU:$AU,0)),"")</f>
        <v/>
      </c>
      <c r="AK140" s="49" t="str">
        <f ca="1">IFERROR(INDEX(X:X,MATCH(SMALL($AU:$AU,ROW()+3),$AU:$AU,0)),"")</f>
        <v/>
      </c>
      <c r="AL140" s="49" t="str">
        <f ca="1">IFERROR(INDEX(Y:Y,MATCH(SMALL($AU:$AU,ROW()+3),$AU:$AU,0)),"")</f>
        <v/>
      </c>
      <c r="AM140" s="49" t="str">
        <f ca="1">IFERROR(INDEX(Z:Z,MATCH(SMALL($AU:$AU,ROW()+3),$AU:$AU,0)),"")</f>
        <v/>
      </c>
      <c r="AN140" s="49" t="str">
        <f ca="1">IFERROR(INDEX(AA:AA,MATCH(SMALL($AU:$AU,ROW()+3),$AU:$AU,0)),"")</f>
        <v/>
      </c>
      <c r="AO140" s="49" t="str">
        <f ca="1">IFERROR(INDEX(AB:AB,MATCH(SMALL($AU:$AU,ROW()+3),$AU:$AU,0)),"")</f>
        <v/>
      </c>
      <c r="AP140" s="49" t="str">
        <f ca="1">IFERROR(INDEX(AC:AC,MATCH(SMALL($AU:$AU,ROW()+3),$AU:$AU,0)),"")</f>
        <v/>
      </c>
      <c r="AU140" s="49" t="str">
        <f t="shared" ca="1" si="25"/>
        <v/>
      </c>
    </row>
    <row r="141" spans="1:47" ht="22.2" customHeight="1">
      <c r="A141" s="114">
        <v>7</v>
      </c>
      <c r="B141" s="114" t="str">
        <f t="shared" ca="1" si="26"/>
        <v/>
      </c>
      <c r="C141" s="114" t="str">
        <f>IF(OR(クライアント抽出!D1&lt;&gt;"",クライアント抽出!G1&lt;&gt;""),クライアント抽出!A1,"")</f>
        <v/>
      </c>
      <c r="D141" s="114" t="str">
        <f t="array" aca="1" ref="D141" ca="1">IF(C141&lt;&gt;"",INDIRECT("クライアント抽出!"&amp;E141&amp;MATCH(C141,クライアント抽出!A:A,0)&amp;""),"")</f>
        <v/>
      </c>
      <c r="E141" s="114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17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114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116" t="str">
        <f>IF(C141&lt;&gt;"",
クライアント抽出!D1,"")</f>
        <v/>
      </c>
      <c r="I141" s="114" t="str">
        <f>IF(C141&lt;&gt;"",
IF(O141=1,クライアント抽出!F1,クライアント抽出!G1),"")</f>
        <v/>
      </c>
      <c r="J141" s="114" t="str">
        <f>IF(C141&lt;&gt;"",
VLOOKUP(
"*"&amp;LEFT(IF(COUNTIF(D141,"*学食*"),"キャラ弁（学食）",
IF(COUNTIF(D141,"*赤*"),"赤",
IF(COUNTIF(D141,"*キャラ弁当*"),"キャラ弁当",D141))),4)&amp;"*",注文弁当の抽出!$E$1:$F$15,2,FALSE),"")</f>
        <v/>
      </c>
      <c r="K141" s="114" t="str">
        <f ca="1">IF(クライアント抽出!R1&lt;&gt;"",SUBSTITUTE(ADDRESS(1,(CODE(クライアント抽出!R1)-64)*2-1,4),"1",""),"")</f>
        <v/>
      </c>
      <c r="L141" s="114" t="str">
        <f>IF(C1&lt;&gt;"",クライアント抽出!I1,"")</f>
        <v/>
      </c>
      <c r="M141" s="114">
        <f t="array" aca="1" ref="M141" ca="1">IF(C141&lt;&gt;"",
IF(K141&lt;&gt;"",INDIRECT("'数出表_Excel（アレルギー入力）'!"&amp;K141&amp;L141-1&amp;""),),)</f>
        <v>0</v>
      </c>
      <c r="N141" s="114" t="str">
        <f>IF(C141&lt;&gt;"",IF(OR(COUNTIF('盛付札（関数）'!D141,"*赤*"),COUNTIF('盛付札（関数）'!D141,"*キャラ*")),1,
VLOOKUP("*"&amp;D141&amp;"*",商品マスタ一覧!D:H,5,FALSE)),"")</f>
        <v/>
      </c>
      <c r="O141" s="114">
        <f t="shared" ref="O141:O172" ca="1" si="28">O1</f>
        <v>0</v>
      </c>
      <c r="P141" s="114">
        <f t="shared" si="21"/>
        <v>0</v>
      </c>
      <c r="Q141" s="114" t="b">
        <f t="shared" si="22"/>
        <v>0</v>
      </c>
      <c r="R141" s="49" t="str">
        <f t="array" aca="1" ref="R141" ca="1">IFERROR(SMALL(IF(P$1:P$311&lt;&gt;0,P$1:P$311),ROW(A141)),"")</f>
        <v/>
      </c>
      <c r="S141" s="49" t="str">
        <f t="array" aca="1" ref="S141" ca="1">IF($R141&lt;&gt;"",
SUBSTITUTE(SUBSTITUTE(INDIRECT("C"&amp;$R141&amp;"")," 週3ｺｰｽ","")," 週5ｺｰｽ",""),"")</f>
        <v/>
      </c>
      <c r="T141" s="49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22" t="str">
        <f t="array" aca="1" ref="U141" ca="1">IF($R141&lt;&gt;"",
INDIRECT("F"&amp;$R141&amp;""),"")</f>
        <v/>
      </c>
      <c r="V141" s="49" t="str">
        <f t="array" aca="1" ref="V141" ca="1">IF($R141&lt;&gt;"",
INDIRECT("G"&amp;$R141&amp;""),"")</f>
        <v/>
      </c>
      <c r="W141" s="49" t="str">
        <f t="array" aca="1" ref="W141" ca="1">IF($R141&lt;&gt;"",
IF(AND(COUNTIF(INDIRECT("B"&amp;R141&amp;""),"*雙葉*"),COUNTIF(B:B,"*雙葉*")&gt;=2),
IF(OR(COUNTIF(INDIRECT("B"&amp;R141&amp;""),"*雙葉先生*"),COUNTIF($B$1:$B$70,"*雙葉*")&gt;=2),INDIRECT("H"&amp;R141&amp;""),INDIRECT("H"&amp;R141&amp;"")+INDIRECT("H"&amp;MATCH("雙葉'",INDIRECT("B"&amp;R141+3&amp;":B210"),0)+2+R141&amp;"")),
IF(AND(LEFT(INDIRECT("B"&amp;R141&amp;""),2)="博多",COUNTIF(B:B,"*博多*")&gt;=2),
INDIRECT("H"&amp;R141&amp;"")+INDIRECT("H"&amp;MATCH("*"&amp;INDIRECT("B"&amp;R141&amp;"")&amp;"*",INDIRECT("B"&amp;R141+1&amp;":B210"),0)+R141&amp;""),
IF(AND(LEFT(INDIRECT("B"&amp;R141&amp;""),3)="奈良屋",COUNTIF(B:B,"*奈良屋*")&gt;=2),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49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49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49" t="str">
        <f t="shared" ca="1" si="23"/>
        <v/>
      </c>
      <c r="AA141" s="49" t="str">
        <f t="shared" ca="1" si="24"/>
        <v/>
      </c>
      <c r="AB141" s="49" t="str">
        <f t="array" aca="1" ref="AB141" ca="1">IF($R141&lt;&gt;"",
IF(AND(COUNTIF(INDIRECT("B"&amp;R141&amp;""),"*雙葉*"),COUNTIF(B:B,"*雙葉*")&gt;=2),
INDIRECT("M"&amp;R141&amp;"")+INDIRECT("M"&amp;MATCH("雙葉'",INDIRECT("B"&amp;R141+1&amp;":B210"),0)+R141&amp;""),
IF(AND(LEFT(INDIRECT("B"&amp;R141&amp;""),2)="博多",COUNTIF(B:B,"*博多*")&gt;=2),
INDIRECT("M"&amp;R141&amp;"")+INDIRECT("M"&amp;MATCH("*"&amp;INDIRECT("B"&amp;R141&amp;"")&amp;"*",INDIRECT("B"&amp;R141+1&amp;":B210"),0)+R141&amp;""),
IF(AND(LEFT(INDIRECT("B"&amp;R141&amp;""),3)="奈良屋",COUNTIF(B:B,"*奈良屋*")&gt;=2),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  <c r="AC141" s="49" t="str">
        <f ca="1">IF(S141&lt;&gt;"",INDEX(A:A, MATCH("*"&amp;LEFT(S141,4)&amp;"*", C:C, 0)),"")</f>
        <v/>
      </c>
      <c r="AD141" s="49" t="str">
        <f ca="1">IFERROR(INDEX(AC:AC,MATCH(SMALL($AU:$AU,ROW()+3),$AU:$AU,0)),"")</f>
        <v/>
      </c>
      <c r="AE141" s="49" t="str">
        <f ca="1">IFERROR(INDEX(R:R,MATCH(SMALL($AU:$AU,ROW()+3),$AU:$AU,0)),"")</f>
        <v/>
      </c>
      <c r="AF141" s="49" t="str">
        <f ca="1">IFERROR(INDEX(S:S,MATCH(SMALL($AU:$AU,ROW()+3),$AU:$AU,0)),"")</f>
        <v/>
      </c>
      <c r="AG141" s="49" t="str">
        <f ca="1">IFERROR(INDEX(T:T,MATCH(SMALL($AU:$AU,ROW()+3),$AU:$AU,0)),"")</f>
        <v/>
      </c>
      <c r="AH141" s="122" t="str">
        <f ca="1">IFERROR(INDEX(U:U,MATCH(SMALL($AU:$AU,ROW()+3),$AU:$AU,0)),"")</f>
        <v/>
      </c>
      <c r="AI141" s="49" t="str">
        <f ca="1">IFERROR(INDEX(V:V,MATCH(SMALL($AU:$AU,ROW()+3),$AU:$AU,0)),"")</f>
        <v/>
      </c>
      <c r="AJ141" s="49" t="str">
        <f ca="1">IFERROR(INDEX(W:W,MATCH(SMALL($AU:$AU,ROW()+3),$AU:$AU,0)),"")</f>
        <v/>
      </c>
      <c r="AK141" s="49" t="str">
        <f ca="1">IFERROR(INDEX(X:X,MATCH(SMALL($AU:$AU,ROW()+3),$AU:$AU,0)),"")</f>
        <v/>
      </c>
      <c r="AL141" s="49" t="str">
        <f ca="1">IFERROR(INDEX(Y:Y,MATCH(SMALL($AU:$AU,ROW()+3),$AU:$AU,0)),"")</f>
        <v/>
      </c>
      <c r="AM141" s="49" t="str">
        <f ca="1">IFERROR(INDEX(Z:Z,MATCH(SMALL($AU:$AU,ROW()+3),$AU:$AU,0)),"")</f>
        <v/>
      </c>
      <c r="AN141" s="49" t="str">
        <f ca="1">IFERROR(INDEX(AA:AA,MATCH(SMALL($AU:$AU,ROW()+3),$AU:$AU,0)),"")</f>
        <v/>
      </c>
      <c r="AO141" s="49" t="str">
        <f ca="1">IFERROR(INDEX(AB:AB,MATCH(SMALL($AU:$AU,ROW()+3),$AU:$AU,0)),"")</f>
        <v/>
      </c>
      <c r="AP141" s="49" t="str">
        <f ca="1">IFERROR(INDEX(AC:AC,MATCH(SMALL($AU:$AU,ROW()+3),$AU:$AU,0)),"")</f>
        <v/>
      </c>
      <c r="AU141" s="49" t="str">
        <f t="shared" ca="1" si="25"/>
        <v/>
      </c>
    </row>
    <row r="142" spans="1:47" ht="22.2" customHeight="1">
      <c r="A142" s="115">
        <f t="shared" ref="A142:A173" si="29">A141+2</f>
        <v>9</v>
      </c>
      <c r="B142" s="114" t="str">
        <f t="shared" ca="1" si="26"/>
        <v/>
      </c>
      <c r="C142" s="114" t="str">
        <f>IF(OR(クライアント抽出!D2&lt;&gt;"",クライアント抽出!G2&lt;&gt;""),クライアント抽出!A2,"")</f>
        <v/>
      </c>
      <c r="D142" s="114" t="str">
        <f t="array" aca="1" ref="D142" ca="1">IF(C142&lt;&gt;"",INDIRECT("クライアント抽出!"&amp;E142&amp;MATCH(C142,クライアント抽出!A:A,0)&amp;""),"")</f>
        <v/>
      </c>
      <c r="E142" s="114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17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114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116" t="str">
        <f>IF(C142&lt;&gt;"",
クライアント抽出!D2,"")</f>
        <v/>
      </c>
      <c r="I142" s="114" t="str">
        <f>IF(C142&lt;&gt;"",
IF(O142=1,0,クライアント抽出!F2),"")</f>
        <v/>
      </c>
      <c r="J142" s="114" t="str">
        <f>IF(C142&lt;&gt;"",
VLOOKUP(
"*"&amp;LEFT(IF(COUNTIF(D142,"*学食*"),"キャラ弁（学食）",
IF(COUNTIF(D142,"*赤*"),"赤",
IF(COUNTIF(D142,"*キャラ弁当*"),"キャラ弁当",D142))),4)&amp;"*",注文弁当の抽出!$E$1:$F$15,2,FALSE),"")</f>
        <v/>
      </c>
      <c r="K142" s="114" t="str">
        <f ca="1">IF(クライアント抽出!R2&lt;&gt;"",SUBSTITUTE(ADDRESS(1,(CODE(クライアント抽出!R2)-64)*2-1,4),"1",""),"")</f>
        <v/>
      </c>
      <c r="L142" s="114" t="str">
        <f>IF(C2&lt;&gt;"",クライアント抽出!I2,"")</f>
        <v/>
      </c>
      <c r="M142" s="114">
        <f t="array" aca="1" ref="M142" ca="1">IF(C142&lt;&gt;"",
IF(K142&lt;&gt;"",INDIRECT("'数出表_Excel（アレルギー入力）'!"&amp;K142&amp;L142-1&amp;""),),)</f>
        <v>0</v>
      </c>
      <c r="N142" s="114" t="str">
        <f>IF(C142&lt;&gt;"",IF(OR(COUNTIF('盛付札（関数）'!D142,"*赤*"),COUNTIF('盛付札（関数）'!D142,"*キャラ*")),1,
VLOOKUP("*"&amp;D142&amp;"*",商品マスタ一覧!D:H,5,FALSE)),"")</f>
        <v/>
      </c>
      <c r="O142" s="114">
        <f t="shared" ca="1" si="28"/>
        <v>0</v>
      </c>
      <c r="P142" s="114">
        <f t="shared" si="21"/>
        <v>0</v>
      </c>
      <c r="Q142" s="114" t="b">
        <f t="shared" si="22"/>
        <v>0</v>
      </c>
      <c r="R142" s="49" t="str">
        <f t="array" aca="1" ref="R142" ca="1">IFERROR(SMALL(IF(P$1:P$311&lt;&gt;0,P$1:P$311),ROW(A142)),"")</f>
        <v/>
      </c>
      <c r="S142" s="49" t="str">
        <f t="array" aca="1" ref="S142" ca="1">IF($R142&lt;&gt;"",
SUBSTITUTE(SUBSTITUTE(INDIRECT("C"&amp;$R142&amp;"")," 週3ｺｰｽ","")," 週5ｺｰｽ",""),"")</f>
        <v/>
      </c>
      <c r="T142" s="49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22" t="str">
        <f t="array" aca="1" ref="U142" ca="1">IF($R142&lt;&gt;"",
INDIRECT("F"&amp;$R142&amp;""),"")</f>
        <v/>
      </c>
      <c r="V142" s="49" t="str">
        <f t="array" aca="1" ref="V142" ca="1">IF($R142&lt;&gt;"",
INDIRECT("G"&amp;$R142&amp;""),"")</f>
        <v/>
      </c>
      <c r="W142" s="49" t="str">
        <f t="array" aca="1" ref="W142" ca="1">IF($R142&lt;&gt;"",
IF(AND(COUNTIF(INDIRECT("B"&amp;R142&amp;""),"*雙葉*"),COUNTIF(B:B,"*雙葉*")&gt;=2),
IF(OR(COUNTIF(INDIRECT("B"&amp;R142&amp;""),"*雙葉先生*"),COUNTIF($B$1:$B$70,"*雙葉*")&gt;=2),INDIRECT("H"&amp;R142&amp;""),INDIRECT("H"&amp;R142&amp;"")+INDIRECT("H"&amp;MATCH("雙葉'",INDIRECT("B"&amp;R142+3&amp;":B210"),0)+2+R142&amp;"")),
IF(AND(LEFT(INDIRECT("B"&amp;R142&amp;""),2)="博多",COUNTIF(B:B,"*博多*")&gt;=2),
INDIRECT("H"&amp;R142&amp;"")+INDIRECT("H"&amp;MATCH("*"&amp;INDIRECT("B"&amp;R142&amp;"")&amp;"*",INDIRECT("B"&amp;R142+1&amp;":B210"),0)+R142&amp;""),
IF(AND(LEFT(INDIRECT("B"&amp;R142&amp;""),3)="奈良屋",COUNTIF(B:B,"*奈良屋*")&gt;=2),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49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49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49" t="str">
        <f t="shared" ca="1" si="23"/>
        <v/>
      </c>
      <c r="AA142" s="49" t="str">
        <f t="shared" ca="1" si="24"/>
        <v/>
      </c>
      <c r="AB142" s="49" t="str">
        <f t="array" aca="1" ref="AB142" ca="1">IF($R142&lt;&gt;"",
IF(AND(COUNTIF(INDIRECT("B"&amp;R142&amp;""),"*雙葉*"),COUNTIF(B:B,"*雙葉*")&gt;=2),
INDIRECT("M"&amp;R142&amp;"")+INDIRECT("M"&amp;MATCH("雙葉'",INDIRECT("B"&amp;R142+1&amp;":B210"),0)+R142&amp;""),
IF(AND(LEFT(INDIRECT("B"&amp;R142&amp;""),2)="博多",COUNTIF(B:B,"*博多*")&gt;=2),
INDIRECT("M"&amp;R142&amp;"")+INDIRECT("M"&amp;MATCH("*"&amp;INDIRECT("B"&amp;R142&amp;"")&amp;"*",INDIRECT("B"&amp;R142+1&amp;":B210"),0)+R142&amp;""),
IF(AND(LEFT(INDIRECT("B"&amp;R142&amp;""),3)="奈良屋",COUNTIF(B:B,"*奈良屋*")&gt;=2),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  <c r="AC142" s="49" t="str">
        <f ca="1">IF(S142&lt;&gt;"",INDEX(A:A, MATCH("*"&amp;LEFT(S142,4)&amp;"*", C:C, 0)),"")</f>
        <v/>
      </c>
      <c r="AD142" s="49" t="str">
        <f ca="1">IFERROR(INDEX(AC:AC,MATCH(SMALL($AU:$AU,ROW()+3),$AU:$AU,0)),"")</f>
        <v/>
      </c>
      <c r="AE142" s="49" t="str">
        <f ca="1">IFERROR(INDEX(R:R,MATCH(SMALL($AU:$AU,ROW()+3),$AU:$AU,0)),"")</f>
        <v/>
      </c>
      <c r="AF142" s="49" t="str">
        <f ca="1">IFERROR(INDEX(S:S,MATCH(SMALL($AU:$AU,ROW()+3),$AU:$AU,0)),"")</f>
        <v/>
      </c>
      <c r="AG142" s="49" t="str">
        <f ca="1">IFERROR(INDEX(T:T,MATCH(SMALL($AU:$AU,ROW()+3),$AU:$AU,0)),"")</f>
        <v/>
      </c>
      <c r="AH142" s="122" t="str">
        <f ca="1">IFERROR(INDEX(U:U,MATCH(SMALL($AU:$AU,ROW()+3),$AU:$AU,0)),"")</f>
        <v/>
      </c>
      <c r="AI142" s="49" t="str">
        <f ca="1">IFERROR(INDEX(V:V,MATCH(SMALL($AU:$AU,ROW()+3),$AU:$AU,0)),"")</f>
        <v/>
      </c>
      <c r="AJ142" s="49" t="str">
        <f ca="1">IFERROR(INDEX(W:W,MATCH(SMALL($AU:$AU,ROW()+3),$AU:$AU,0)),"")</f>
        <v/>
      </c>
      <c r="AK142" s="49" t="str">
        <f ca="1">IFERROR(INDEX(X:X,MATCH(SMALL($AU:$AU,ROW()+3),$AU:$AU,0)),"")</f>
        <v/>
      </c>
      <c r="AL142" s="49" t="str">
        <f ca="1">IFERROR(INDEX(Y:Y,MATCH(SMALL($AU:$AU,ROW()+3),$AU:$AU,0)),"")</f>
        <v/>
      </c>
      <c r="AM142" s="49" t="str">
        <f ca="1">IFERROR(INDEX(Z:Z,MATCH(SMALL($AU:$AU,ROW()+3),$AU:$AU,0)),"")</f>
        <v/>
      </c>
      <c r="AN142" s="49" t="str">
        <f ca="1">IFERROR(INDEX(AA:AA,MATCH(SMALL($AU:$AU,ROW()+3),$AU:$AU,0)),"")</f>
        <v/>
      </c>
      <c r="AO142" s="49" t="str">
        <f ca="1">IFERROR(INDEX(AB:AB,MATCH(SMALL($AU:$AU,ROW()+3),$AU:$AU,0)),"")</f>
        <v/>
      </c>
      <c r="AP142" s="49" t="str">
        <f ca="1">IFERROR(INDEX(AC:AC,MATCH(SMALL($AU:$AU,ROW()+3),$AU:$AU,0)),"")</f>
        <v/>
      </c>
      <c r="AU142" s="49" t="str">
        <f t="shared" ca="1" si="25"/>
        <v/>
      </c>
    </row>
    <row r="143" spans="1:47" ht="22.2" customHeight="1">
      <c r="A143" s="115">
        <f t="shared" si="29"/>
        <v>11</v>
      </c>
      <c r="B143" s="114" t="str">
        <f t="shared" ca="1" si="26"/>
        <v/>
      </c>
      <c r="C143" s="114" t="str">
        <f>IF(OR(クライアント抽出!D3&lt;&gt;"",クライアント抽出!G3&lt;&gt;""),クライアント抽出!A3,"")</f>
        <v/>
      </c>
      <c r="D143" s="114" t="str">
        <f t="array" aca="1" ref="D143" ca="1">IF(C143&lt;&gt;"",INDIRECT("クライアント抽出!"&amp;E143&amp;MATCH(C143,クライアント抽出!A:A,0)&amp;""),"")</f>
        <v/>
      </c>
      <c r="E143" s="114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17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114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116" t="str">
        <f>IF(C143&lt;&gt;"",
クライアント抽出!D3,"")</f>
        <v/>
      </c>
      <c r="I143" s="114" t="str">
        <f>IF(C143&lt;&gt;"",
IF(O143=1,0,クライアント抽出!F3),"")</f>
        <v/>
      </c>
      <c r="J143" s="114" t="str">
        <f>IF(C143&lt;&gt;"",
VLOOKUP(
"*"&amp;LEFT(IF(COUNTIF(D143,"*学食*"),"キャラ弁（学食）",
IF(COUNTIF(D143,"*赤*"),"赤",
IF(COUNTIF(D143,"*キャラ弁当*"),"キャラ弁当",D143))),4)&amp;"*",注文弁当の抽出!$E$1:$F$15,2,FALSE),"")</f>
        <v/>
      </c>
      <c r="K143" s="114" t="str">
        <f ca="1">IF(クライアント抽出!R3&lt;&gt;"",SUBSTITUTE(ADDRESS(1,(CODE(クライアント抽出!R3)-64)*2-1,4),"1",""),"")</f>
        <v/>
      </c>
      <c r="L143" s="114" t="str">
        <f>IF(C3&lt;&gt;"",クライアント抽出!I3,"")</f>
        <v/>
      </c>
      <c r="M143" s="114">
        <f t="array" aca="1" ref="M143" ca="1">IF(C143&lt;&gt;"",
IF(K143&lt;&gt;"",INDIRECT("'数出表_Excel（アレルギー入力）'!"&amp;K143&amp;L143-1&amp;""),),)</f>
        <v>0</v>
      </c>
      <c r="N143" s="114" t="str">
        <f>IF(C143&lt;&gt;"",IF(OR(COUNTIF('盛付札（関数）'!D143,"*赤*"),COUNTIF('盛付札（関数）'!D143,"*キャラ*")),1,
VLOOKUP("*"&amp;D143&amp;"*",商品マスタ一覧!D:H,5,FALSE)),"")</f>
        <v/>
      </c>
      <c r="O143" s="114">
        <f t="shared" ca="1" si="28"/>
        <v>0</v>
      </c>
      <c r="P143" s="114">
        <f t="shared" si="21"/>
        <v>0</v>
      </c>
      <c r="Q143" s="114" t="b">
        <f t="shared" si="22"/>
        <v>0</v>
      </c>
      <c r="R143" s="49" t="str">
        <f t="array" aca="1" ref="R143" ca="1">IFERROR(SMALL(IF(P$1:P$311&lt;&gt;0,P$1:P$311),ROW(A143)),"")</f>
        <v/>
      </c>
      <c r="S143" s="49" t="str">
        <f t="array" aca="1" ref="S143" ca="1">IF($R143&lt;&gt;"",
SUBSTITUTE(SUBSTITUTE(INDIRECT("C"&amp;$R143&amp;"")," 週3ｺｰｽ","")," 週5ｺｰｽ",""),"")</f>
        <v/>
      </c>
      <c r="T143" s="49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22" t="str">
        <f t="array" aca="1" ref="U143" ca="1">IF($R143&lt;&gt;"",
INDIRECT("F"&amp;$R143&amp;""),"")</f>
        <v/>
      </c>
      <c r="V143" s="49" t="str">
        <f t="array" aca="1" ref="V143" ca="1">IF($R143&lt;&gt;"",
INDIRECT("G"&amp;$R143&amp;""),"")</f>
        <v/>
      </c>
      <c r="W143" s="49" t="str">
        <f t="array" aca="1" ref="W143" ca="1">IF($R143&lt;&gt;"",
IF(AND(COUNTIF(INDIRECT("B"&amp;R143&amp;""),"*雙葉*"),COUNTIF(B:B,"*雙葉*")&gt;=2),
IF(OR(COUNTIF(INDIRECT("B"&amp;R143&amp;""),"*雙葉先生*"),COUNTIF($B$1:$B$70,"*雙葉*")&gt;=2),INDIRECT("H"&amp;R143&amp;""),INDIRECT("H"&amp;R143&amp;"")+INDIRECT("H"&amp;MATCH("雙葉'",INDIRECT("B"&amp;R143+3&amp;":B210"),0)+2+R143&amp;"")),
IF(AND(LEFT(INDIRECT("B"&amp;R143&amp;""),2)="博多",COUNTIF(B:B,"*博多*")&gt;=2),
INDIRECT("H"&amp;R143&amp;"")+INDIRECT("H"&amp;MATCH("*"&amp;INDIRECT("B"&amp;R143&amp;"")&amp;"*",INDIRECT("B"&amp;R143+1&amp;":B210"),0)+R143&amp;""),
IF(AND(LEFT(INDIRECT("B"&amp;R143&amp;""),3)="奈良屋",COUNTIF(B:B,"*奈良屋*")&gt;=2),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49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49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49" t="str">
        <f t="shared" ca="1" si="23"/>
        <v/>
      </c>
      <c r="AA143" s="49" t="str">
        <f t="shared" ca="1" si="24"/>
        <v/>
      </c>
      <c r="AB143" s="49" t="str">
        <f t="array" aca="1" ref="AB143" ca="1">IF($R143&lt;&gt;"",
IF(AND(COUNTIF(INDIRECT("B"&amp;R143&amp;""),"*雙葉*"),COUNTIF(B:B,"*雙葉*")&gt;=2),
INDIRECT("M"&amp;R143&amp;"")+INDIRECT("M"&amp;MATCH("雙葉'",INDIRECT("B"&amp;R143+1&amp;":B210"),0)+R143&amp;""),
IF(AND(LEFT(INDIRECT("B"&amp;R143&amp;""),2)="博多",COUNTIF(B:B,"*博多*")&gt;=2),
INDIRECT("M"&amp;R143&amp;"")+INDIRECT("M"&amp;MATCH("*"&amp;INDIRECT("B"&amp;R143&amp;"")&amp;"*",INDIRECT("B"&amp;R143+1&amp;":B210"),0)+R143&amp;""),
IF(AND(LEFT(INDIRECT("B"&amp;R143&amp;""),3)="奈良屋",COUNTIF(B:B,"*奈良屋*")&gt;=2),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  <c r="AC143" s="49" t="str">
        <f ca="1">IF(S143&lt;&gt;"",INDEX(A:A, MATCH("*"&amp;LEFT(S143,4)&amp;"*", C:C, 0)),"")</f>
        <v/>
      </c>
      <c r="AD143" s="49" t="str">
        <f ca="1">IFERROR(INDEX(AC:AC,MATCH(SMALL($AU:$AU,ROW()+3),$AU:$AU,0)),"")</f>
        <v/>
      </c>
      <c r="AE143" s="49" t="str">
        <f ca="1">IFERROR(INDEX(R:R,MATCH(SMALL($AU:$AU,ROW()+3),$AU:$AU,0)),"")</f>
        <v/>
      </c>
      <c r="AF143" s="49" t="str">
        <f ca="1">IFERROR(INDEX(S:S,MATCH(SMALL($AU:$AU,ROW()+3),$AU:$AU,0)),"")</f>
        <v/>
      </c>
      <c r="AG143" s="49" t="str">
        <f ca="1">IFERROR(INDEX(T:T,MATCH(SMALL($AU:$AU,ROW()+3),$AU:$AU,0)),"")</f>
        <v/>
      </c>
      <c r="AH143" s="122" t="str">
        <f ca="1">IFERROR(INDEX(U:U,MATCH(SMALL($AU:$AU,ROW()+3),$AU:$AU,0)),"")</f>
        <v/>
      </c>
      <c r="AI143" s="49" t="str">
        <f ca="1">IFERROR(INDEX(V:V,MATCH(SMALL($AU:$AU,ROW()+3),$AU:$AU,0)),"")</f>
        <v/>
      </c>
      <c r="AJ143" s="49" t="str">
        <f ca="1">IFERROR(INDEX(W:W,MATCH(SMALL($AU:$AU,ROW()+3),$AU:$AU,0)),"")</f>
        <v/>
      </c>
      <c r="AK143" s="49" t="str">
        <f ca="1">IFERROR(INDEX(X:X,MATCH(SMALL($AU:$AU,ROW()+3),$AU:$AU,0)),"")</f>
        <v/>
      </c>
      <c r="AL143" s="49" t="str">
        <f ca="1">IFERROR(INDEX(Y:Y,MATCH(SMALL($AU:$AU,ROW()+3),$AU:$AU,0)),"")</f>
        <v/>
      </c>
      <c r="AM143" s="49" t="str">
        <f ca="1">IFERROR(INDEX(Z:Z,MATCH(SMALL($AU:$AU,ROW()+3),$AU:$AU,0)),"")</f>
        <v/>
      </c>
      <c r="AN143" s="49" t="str">
        <f ca="1">IFERROR(INDEX(AA:AA,MATCH(SMALL($AU:$AU,ROW()+3),$AU:$AU,0)),"")</f>
        <v/>
      </c>
      <c r="AO143" s="49" t="str">
        <f ca="1">IFERROR(INDEX(AB:AB,MATCH(SMALL($AU:$AU,ROW()+3),$AU:$AU,0)),"")</f>
        <v/>
      </c>
      <c r="AP143" s="49" t="str">
        <f ca="1">IFERROR(INDEX(AC:AC,MATCH(SMALL($AU:$AU,ROW()+3),$AU:$AU,0)),"")</f>
        <v/>
      </c>
      <c r="AU143" s="49" t="str">
        <f t="shared" ca="1" si="25"/>
        <v/>
      </c>
    </row>
    <row r="144" spans="1:47" ht="22.2" customHeight="1">
      <c r="A144" s="115">
        <f t="shared" si="29"/>
        <v>13</v>
      </c>
      <c r="B144" s="114" t="str">
        <f t="shared" ca="1" si="26"/>
        <v/>
      </c>
      <c r="C144" s="114" t="str">
        <f>IF(OR(クライアント抽出!D4&lt;&gt;"",クライアント抽出!G4&lt;&gt;""),クライアント抽出!A4,"")</f>
        <v/>
      </c>
      <c r="D144" s="114" t="str">
        <f t="array" aca="1" ref="D144" ca="1">IF(C144&lt;&gt;"",INDIRECT("クライアント抽出!"&amp;E144&amp;MATCH(C144,クライアント抽出!A:A,0)&amp;""),"")</f>
        <v/>
      </c>
      <c r="E144" s="114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17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114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116" t="str">
        <f>IF(C144&lt;&gt;"",
クライアント抽出!D4,"")</f>
        <v/>
      </c>
      <c r="I144" s="114" t="str">
        <f>IF(C144&lt;&gt;"",
IF(O144=1,0,クライアント抽出!F4),"")</f>
        <v/>
      </c>
      <c r="J144" s="114" t="str">
        <f>IF(C144&lt;&gt;"",
VLOOKUP(
"*"&amp;LEFT(IF(COUNTIF(D144,"*学食*"),"キャラ弁（学食）",
IF(COUNTIF(D144,"*赤*"),"赤",
IF(COUNTIF(D144,"*キャラ弁当*"),"キャラ弁当",D144))),4)&amp;"*",注文弁当の抽出!$E$1:$F$15,2,FALSE),"")</f>
        <v/>
      </c>
      <c r="K144" s="114" t="str">
        <f ca="1">IF(クライアント抽出!R4&lt;&gt;"",SUBSTITUTE(ADDRESS(1,(CODE(クライアント抽出!R4)-64)*2-1,4),"1",""),"")</f>
        <v/>
      </c>
      <c r="L144" s="114" t="str">
        <f>IF(C4&lt;&gt;"",クライアント抽出!I4,"")</f>
        <v/>
      </c>
      <c r="M144" s="114">
        <f t="array" aca="1" ref="M144" ca="1">IF(C144&lt;&gt;"",
IF(K144&lt;&gt;"",INDIRECT("'数出表_Excel（アレルギー入力）'!"&amp;K144&amp;L144-1&amp;""),),)</f>
        <v>0</v>
      </c>
      <c r="N144" s="114" t="str">
        <f>IF(C144&lt;&gt;"",IF(OR(COUNTIF('盛付札（関数）'!D144,"*赤*"),COUNTIF('盛付札（関数）'!D144,"*キャラ*")),1,
VLOOKUP("*"&amp;D144&amp;"*",商品マスタ一覧!D:H,5,FALSE)),"")</f>
        <v/>
      </c>
      <c r="O144" s="114">
        <f t="shared" ca="1" si="28"/>
        <v>0</v>
      </c>
      <c r="P144" s="114">
        <f t="shared" si="21"/>
        <v>0</v>
      </c>
      <c r="Q144" s="114" t="b">
        <f t="shared" si="22"/>
        <v>0</v>
      </c>
      <c r="R144" s="49" t="str">
        <f t="array" aca="1" ref="R144" ca="1">IFERROR(SMALL(IF(P$1:P$311&lt;&gt;0,P$1:P$311),ROW(A144)),"")</f>
        <v/>
      </c>
      <c r="S144" s="49" t="str">
        <f t="array" aca="1" ref="S144" ca="1">IF($R144&lt;&gt;"",
SUBSTITUTE(SUBSTITUTE(INDIRECT("C"&amp;$R144&amp;"")," 週3ｺｰｽ","")," 週5ｺｰｽ",""),"")</f>
        <v/>
      </c>
      <c r="T144" s="49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22" t="str">
        <f t="array" aca="1" ref="U144" ca="1">IF($R144&lt;&gt;"",
INDIRECT("F"&amp;$R144&amp;""),"")</f>
        <v/>
      </c>
      <c r="V144" s="49" t="str">
        <f t="array" aca="1" ref="V144" ca="1">IF($R144&lt;&gt;"",
INDIRECT("G"&amp;$R144&amp;""),"")</f>
        <v/>
      </c>
      <c r="W144" s="49" t="str">
        <f t="array" aca="1" ref="W144" ca="1">IF($R144&lt;&gt;"",
IF(AND(COUNTIF(INDIRECT("B"&amp;R144&amp;""),"*雙葉*"),COUNTIF(B:B,"*雙葉*")&gt;=2),
IF(OR(COUNTIF(INDIRECT("B"&amp;R144&amp;""),"*雙葉先生*"),COUNTIF($B$1:$B$70,"*雙葉*")&gt;=2),INDIRECT("H"&amp;R144&amp;""),INDIRECT("H"&amp;R144&amp;"")+INDIRECT("H"&amp;MATCH("雙葉'",INDIRECT("B"&amp;R144+3&amp;":B210"),0)+2+R144&amp;"")),
IF(AND(LEFT(INDIRECT("B"&amp;R144&amp;""),2)="博多",COUNTIF(B:B,"*博多*")&gt;=2),
INDIRECT("H"&amp;R144&amp;"")+INDIRECT("H"&amp;MATCH("*"&amp;INDIRECT("B"&amp;R144&amp;"")&amp;"*",INDIRECT("B"&amp;R144+1&amp;":B210"),0)+R144&amp;""),
IF(AND(LEFT(INDIRECT("B"&amp;R144&amp;""),3)="奈良屋",COUNTIF(B:B,"*奈良屋*")&gt;=2),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49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49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49" t="str">
        <f t="shared" ca="1" si="23"/>
        <v/>
      </c>
      <c r="AA144" s="49" t="str">
        <f t="shared" ca="1" si="24"/>
        <v/>
      </c>
      <c r="AB144" s="49" t="str">
        <f t="array" aca="1" ref="AB144" ca="1">IF($R144&lt;&gt;"",
IF(AND(COUNTIF(INDIRECT("B"&amp;R144&amp;""),"*雙葉*"),COUNTIF(B:B,"*雙葉*")&gt;=2),
INDIRECT("M"&amp;R144&amp;"")+INDIRECT("M"&amp;MATCH("雙葉'",INDIRECT("B"&amp;R144+1&amp;":B210"),0)+R144&amp;""),
IF(AND(LEFT(INDIRECT("B"&amp;R144&amp;""),2)="博多",COUNTIF(B:B,"*博多*")&gt;=2),
INDIRECT("M"&amp;R144&amp;"")+INDIRECT("M"&amp;MATCH("*"&amp;INDIRECT("B"&amp;R144&amp;"")&amp;"*",INDIRECT("B"&amp;R144+1&amp;":B210"),0)+R144&amp;""),
IF(AND(LEFT(INDIRECT("B"&amp;R144&amp;""),3)="奈良屋",COUNTIF(B:B,"*奈良屋*")&gt;=2),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  <c r="AC144" s="49" t="str">
        <f ca="1">IF(S144&lt;&gt;"",INDEX(A:A, MATCH("*"&amp;LEFT(S144,4)&amp;"*", C:C, 0)),"")</f>
        <v/>
      </c>
      <c r="AD144" s="49" t="str">
        <f ca="1">IFERROR(INDEX(AC:AC,MATCH(SMALL($AU:$AU,ROW()+3),$AU:$AU,0)),"")</f>
        <v/>
      </c>
      <c r="AE144" s="49" t="str">
        <f ca="1">IFERROR(INDEX(R:R,MATCH(SMALL($AU:$AU,ROW()+3),$AU:$AU,0)),"")</f>
        <v/>
      </c>
      <c r="AF144" s="49" t="str">
        <f ca="1">IFERROR(INDEX(S:S,MATCH(SMALL($AU:$AU,ROW()+3),$AU:$AU,0)),"")</f>
        <v/>
      </c>
      <c r="AG144" s="49" t="str">
        <f ca="1">IFERROR(INDEX(T:T,MATCH(SMALL($AU:$AU,ROW()+3),$AU:$AU,0)),"")</f>
        <v/>
      </c>
      <c r="AH144" s="122" t="str">
        <f ca="1">IFERROR(INDEX(U:U,MATCH(SMALL($AU:$AU,ROW()+3),$AU:$AU,0)),"")</f>
        <v/>
      </c>
      <c r="AI144" s="49" t="str">
        <f ca="1">IFERROR(INDEX(V:V,MATCH(SMALL($AU:$AU,ROW()+3),$AU:$AU,0)),"")</f>
        <v/>
      </c>
      <c r="AJ144" s="49" t="str">
        <f ca="1">IFERROR(INDEX(W:W,MATCH(SMALL($AU:$AU,ROW()+3),$AU:$AU,0)),"")</f>
        <v/>
      </c>
      <c r="AK144" s="49" t="str">
        <f ca="1">IFERROR(INDEX(X:X,MATCH(SMALL($AU:$AU,ROW()+3),$AU:$AU,0)),"")</f>
        <v/>
      </c>
      <c r="AL144" s="49" t="str">
        <f ca="1">IFERROR(INDEX(Y:Y,MATCH(SMALL($AU:$AU,ROW()+3),$AU:$AU,0)),"")</f>
        <v/>
      </c>
      <c r="AM144" s="49" t="str">
        <f ca="1">IFERROR(INDEX(Z:Z,MATCH(SMALL($AU:$AU,ROW()+3),$AU:$AU,0)),"")</f>
        <v/>
      </c>
      <c r="AN144" s="49" t="str">
        <f ca="1">IFERROR(INDEX(AA:AA,MATCH(SMALL($AU:$AU,ROW()+3),$AU:$AU,0)),"")</f>
        <v/>
      </c>
      <c r="AO144" s="49" t="str">
        <f ca="1">IFERROR(INDEX(AB:AB,MATCH(SMALL($AU:$AU,ROW()+3),$AU:$AU,0)),"")</f>
        <v/>
      </c>
      <c r="AP144" s="49" t="str">
        <f ca="1">IFERROR(INDEX(AC:AC,MATCH(SMALL($AU:$AU,ROW()+3),$AU:$AU,0)),"")</f>
        <v/>
      </c>
      <c r="AU144" s="49" t="str">
        <f t="shared" ca="1" si="25"/>
        <v/>
      </c>
    </row>
    <row r="145" spans="1:47" ht="22.2" customHeight="1">
      <c r="A145" s="115">
        <f t="shared" si="29"/>
        <v>15</v>
      </c>
      <c r="B145" s="114" t="str">
        <f t="shared" ca="1" si="26"/>
        <v/>
      </c>
      <c r="C145" s="114" t="str">
        <f>IF(OR(クライアント抽出!D5&lt;&gt;"",クライアント抽出!G5&lt;&gt;""),クライアント抽出!A5,"")</f>
        <v/>
      </c>
      <c r="D145" s="114" t="str">
        <f t="array" aca="1" ref="D145" ca="1">IF(C145&lt;&gt;"",INDIRECT("クライアント抽出!"&amp;E145&amp;MATCH(C145,クライアント抽出!A:A,0)&amp;""),"")</f>
        <v/>
      </c>
      <c r="E145" s="114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17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114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116" t="str">
        <f>IF(C145&lt;&gt;"",
クライアント抽出!D5,"")</f>
        <v/>
      </c>
      <c r="I145" s="114" t="str">
        <f>IF(C145&lt;&gt;"",
IF(O145=1,0,クライアント抽出!F5),"")</f>
        <v/>
      </c>
      <c r="J145" s="114" t="str">
        <f>IF(C145&lt;&gt;"",
VLOOKUP(
"*"&amp;LEFT(IF(COUNTIF(D145,"*学食*"),"キャラ弁（学食）",
IF(COUNTIF(D145,"*赤*"),"赤",
IF(COUNTIF(D145,"*キャラ弁当*"),"キャラ弁当",D145))),4)&amp;"*",注文弁当の抽出!$E$1:$F$15,2,FALSE),"")</f>
        <v/>
      </c>
      <c r="K145" s="114" t="str">
        <f ca="1">IF(クライアント抽出!R5&lt;&gt;"",SUBSTITUTE(ADDRESS(1,(CODE(クライアント抽出!R5)-64)*2-1,4),"1",""),"")</f>
        <v/>
      </c>
      <c r="L145" s="114" t="str">
        <f>IF(C5&lt;&gt;"",クライアント抽出!I5,"")</f>
        <v/>
      </c>
      <c r="M145" s="114">
        <f t="array" aca="1" ref="M145" ca="1">IF(C145&lt;&gt;"",
IF(K145&lt;&gt;"",INDIRECT("'数出表_Excel（アレルギー入力）'!"&amp;K145&amp;L145-1&amp;""),),)</f>
        <v>0</v>
      </c>
      <c r="N145" s="114" t="str">
        <f>IF(C145&lt;&gt;"",IF(OR(COUNTIF('盛付札（関数）'!D145,"*赤*"),COUNTIF('盛付札（関数）'!D145,"*キャラ*")),1,
VLOOKUP("*"&amp;D145&amp;"*",商品マスタ一覧!D:H,5,FALSE)),"")</f>
        <v/>
      </c>
      <c r="O145" s="114">
        <f t="shared" ca="1" si="28"/>
        <v>0</v>
      </c>
      <c r="P145" s="114">
        <f t="shared" si="21"/>
        <v>0</v>
      </c>
      <c r="Q145" s="114" t="b">
        <f t="shared" si="22"/>
        <v>0</v>
      </c>
      <c r="R145" s="49" t="str">
        <f t="array" aca="1" ref="R145" ca="1">IFERROR(SMALL(IF(P$1:P$311&lt;&gt;0,P$1:P$311),ROW(A145)),"")</f>
        <v/>
      </c>
      <c r="S145" s="49" t="str">
        <f t="array" aca="1" ref="S145" ca="1">IF($R145&lt;&gt;"",
SUBSTITUTE(SUBSTITUTE(INDIRECT("C"&amp;$R145&amp;"")," 週3ｺｰｽ","")," 週5ｺｰｽ",""),"")</f>
        <v/>
      </c>
      <c r="T145" s="49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22" t="str">
        <f t="array" aca="1" ref="U145" ca="1">IF($R145&lt;&gt;"",
INDIRECT("F"&amp;$R145&amp;""),"")</f>
        <v/>
      </c>
      <c r="V145" s="49" t="str">
        <f t="array" aca="1" ref="V145" ca="1">IF($R145&lt;&gt;"",
INDIRECT("G"&amp;$R145&amp;""),"")</f>
        <v/>
      </c>
      <c r="W145" s="49" t="str">
        <f t="array" aca="1" ref="W145" ca="1">IF($R145&lt;&gt;"",
IF(AND(COUNTIF(INDIRECT("B"&amp;R145&amp;""),"*雙葉*"),COUNTIF(B:B,"*雙葉*")&gt;=2),
IF(OR(COUNTIF(INDIRECT("B"&amp;R145&amp;""),"*雙葉先生*"),COUNTIF($B$1:$B$70,"*雙葉*")&gt;=2),INDIRECT("H"&amp;R145&amp;""),INDIRECT("H"&amp;R145&amp;"")+INDIRECT("H"&amp;MATCH("雙葉'",INDIRECT("B"&amp;R145+3&amp;":B210"),0)+2+R145&amp;"")),
IF(AND(LEFT(INDIRECT("B"&amp;R145&amp;""),2)="博多",COUNTIF(B:B,"*博多*")&gt;=2),
INDIRECT("H"&amp;R145&amp;"")+INDIRECT("H"&amp;MATCH("*"&amp;INDIRECT("B"&amp;R145&amp;"")&amp;"*",INDIRECT("B"&amp;R145+1&amp;":B210"),0)+R145&amp;""),
IF(AND(LEFT(INDIRECT("B"&amp;R145&amp;""),3)="奈良屋",COUNTIF(B:B,"*奈良屋*")&gt;=2),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49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49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49" t="str">
        <f t="shared" ca="1" si="23"/>
        <v/>
      </c>
      <c r="AA145" s="49" t="str">
        <f t="shared" ca="1" si="24"/>
        <v/>
      </c>
      <c r="AB145" s="49" t="str">
        <f t="array" aca="1" ref="AB145" ca="1">IF($R145&lt;&gt;"",
IF(AND(COUNTIF(INDIRECT("B"&amp;R145&amp;""),"*雙葉*"),COUNTIF(B:B,"*雙葉*")&gt;=2),
INDIRECT("M"&amp;R145&amp;"")+INDIRECT("M"&amp;MATCH("雙葉'",INDIRECT("B"&amp;R145+1&amp;":B210"),0)+R145&amp;""),
IF(AND(LEFT(INDIRECT("B"&amp;R145&amp;""),2)="博多",COUNTIF(B:B,"*博多*")&gt;=2),
INDIRECT("M"&amp;R145&amp;"")+INDIRECT("M"&amp;MATCH("*"&amp;INDIRECT("B"&amp;R145&amp;"")&amp;"*",INDIRECT("B"&amp;R145+1&amp;":B210"),0)+R145&amp;""),
IF(AND(LEFT(INDIRECT("B"&amp;R145&amp;""),3)="奈良屋",COUNTIF(B:B,"*奈良屋*")&gt;=2),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  <c r="AC145" s="49" t="str">
        <f ca="1">IF(S145&lt;&gt;"",INDEX(A:A, MATCH("*"&amp;LEFT(S145,4)&amp;"*", C:C, 0)),"")</f>
        <v/>
      </c>
      <c r="AD145" s="49" t="str">
        <f ca="1">IFERROR(INDEX(AC:AC,MATCH(SMALL($AU:$AU,ROW()+3),$AU:$AU,0)),"")</f>
        <v/>
      </c>
      <c r="AE145" s="49" t="str">
        <f ca="1">IFERROR(INDEX(R:R,MATCH(SMALL($AU:$AU,ROW()+3),$AU:$AU,0)),"")</f>
        <v/>
      </c>
      <c r="AF145" s="49" t="str">
        <f ca="1">IFERROR(INDEX(S:S,MATCH(SMALL($AU:$AU,ROW()+3),$AU:$AU,0)),"")</f>
        <v/>
      </c>
      <c r="AG145" s="49" t="str">
        <f ca="1">IFERROR(INDEX(T:T,MATCH(SMALL($AU:$AU,ROW()+3),$AU:$AU,0)),"")</f>
        <v/>
      </c>
      <c r="AH145" s="122" t="str">
        <f ca="1">IFERROR(INDEX(U:U,MATCH(SMALL($AU:$AU,ROW()+3),$AU:$AU,0)),"")</f>
        <v/>
      </c>
      <c r="AI145" s="49" t="str">
        <f ca="1">IFERROR(INDEX(V:V,MATCH(SMALL($AU:$AU,ROW()+3),$AU:$AU,0)),"")</f>
        <v/>
      </c>
      <c r="AJ145" s="49" t="str">
        <f ca="1">IFERROR(INDEX(W:W,MATCH(SMALL($AU:$AU,ROW()+3),$AU:$AU,0)),"")</f>
        <v/>
      </c>
      <c r="AK145" s="49" t="str">
        <f ca="1">IFERROR(INDEX(X:X,MATCH(SMALL($AU:$AU,ROW()+3),$AU:$AU,0)),"")</f>
        <v/>
      </c>
      <c r="AL145" s="49" t="str">
        <f ca="1">IFERROR(INDEX(Y:Y,MATCH(SMALL($AU:$AU,ROW()+3),$AU:$AU,0)),"")</f>
        <v/>
      </c>
      <c r="AM145" s="49" t="str">
        <f ca="1">IFERROR(INDEX(Z:Z,MATCH(SMALL($AU:$AU,ROW()+3),$AU:$AU,0)),"")</f>
        <v/>
      </c>
      <c r="AN145" s="49" t="str">
        <f ca="1">IFERROR(INDEX(AA:AA,MATCH(SMALL($AU:$AU,ROW()+3),$AU:$AU,0)),"")</f>
        <v/>
      </c>
      <c r="AO145" s="49" t="str">
        <f ca="1">IFERROR(INDEX(AB:AB,MATCH(SMALL($AU:$AU,ROW()+3),$AU:$AU,0)),"")</f>
        <v/>
      </c>
      <c r="AP145" s="49" t="str">
        <f ca="1">IFERROR(INDEX(AC:AC,MATCH(SMALL($AU:$AU,ROW()+3),$AU:$AU,0)),"")</f>
        <v/>
      </c>
      <c r="AU145" s="49" t="str">
        <f t="shared" ca="1" si="25"/>
        <v/>
      </c>
    </row>
    <row r="146" spans="1:47" ht="22.2" customHeight="1">
      <c r="A146" s="115">
        <f t="shared" si="29"/>
        <v>17</v>
      </c>
      <c r="B146" s="114" t="str">
        <f t="shared" ca="1" si="26"/>
        <v/>
      </c>
      <c r="C146" s="114" t="str">
        <f>IF(OR(クライアント抽出!D6&lt;&gt;"",クライアント抽出!G6&lt;&gt;""),クライアント抽出!A6,"")</f>
        <v/>
      </c>
      <c r="D146" s="114" t="str">
        <f t="array" aca="1" ref="D146" ca="1">IF(C146&lt;&gt;"",INDIRECT("クライアント抽出!"&amp;E146&amp;MATCH(C146,クライアント抽出!A:A,0)&amp;""),"")</f>
        <v/>
      </c>
      <c r="E146" s="114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17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114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116" t="str">
        <f>IF(C146&lt;&gt;"",
クライアント抽出!D6,"")</f>
        <v/>
      </c>
      <c r="I146" s="114" t="str">
        <f>IF(C146&lt;&gt;"",
IF(O146=1,0,クライアント抽出!F6),"")</f>
        <v/>
      </c>
      <c r="J146" s="114" t="str">
        <f>IF(C146&lt;&gt;"",
VLOOKUP(
"*"&amp;LEFT(IF(COUNTIF(D146,"*学食*"),"キャラ弁（学食）",
IF(COUNTIF(D146,"*赤*"),"赤",
IF(COUNTIF(D146,"*キャラ弁当*"),"キャラ弁当",D146))),4)&amp;"*",注文弁当の抽出!$E$1:$F$15,2,FALSE),"")</f>
        <v/>
      </c>
      <c r="K146" s="114" t="str">
        <f ca="1">IF(クライアント抽出!R6&lt;&gt;"",SUBSTITUTE(ADDRESS(1,(CODE(クライアント抽出!R6)-64)*2-1,4),"1",""),"")</f>
        <v/>
      </c>
      <c r="L146" s="114" t="str">
        <f>IF(C6&lt;&gt;"",クライアント抽出!I6,"")</f>
        <v/>
      </c>
      <c r="M146" s="114">
        <f t="array" aca="1" ref="M146" ca="1">IF(C146&lt;&gt;"",
IF(K146&lt;&gt;"",INDIRECT("'数出表_Excel（アレルギー入力）'!"&amp;K146&amp;L146-1&amp;""),),)</f>
        <v>0</v>
      </c>
      <c r="N146" s="114" t="str">
        <f>IF(C146&lt;&gt;"",IF(OR(COUNTIF('盛付札（関数）'!D146,"*赤*"),COUNTIF('盛付札（関数）'!D146,"*キャラ*")),1,
VLOOKUP("*"&amp;D146&amp;"*",商品マスタ一覧!D:H,5,FALSE)),"")</f>
        <v/>
      </c>
      <c r="O146" s="114">
        <f t="shared" ca="1" si="28"/>
        <v>0</v>
      </c>
      <c r="P146" s="114">
        <f t="shared" si="21"/>
        <v>0</v>
      </c>
      <c r="Q146" s="114" t="b">
        <f t="shared" si="22"/>
        <v>0</v>
      </c>
      <c r="R146" s="49" t="str">
        <f t="array" aca="1" ref="R146" ca="1">IFERROR(SMALL(IF(P$1:P$311&lt;&gt;0,P$1:P$311),ROW(A146)),"")</f>
        <v/>
      </c>
      <c r="S146" s="49" t="str">
        <f t="array" aca="1" ref="S146" ca="1">IF($R146&lt;&gt;"",
SUBSTITUTE(SUBSTITUTE(INDIRECT("C"&amp;$R146&amp;"")," 週3ｺｰｽ","")," 週5ｺｰｽ",""),"")</f>
        <v/>
      </c>
      <c r="T146" s="49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22" t="str">
        <f t="array" aca="1" ref="U146" ca="1">IF($R146&lt;&gt;"",
INDIRECT("F"&amp;$R146&amp;""),"")</f>
        <v/>
      </c>
      <c r="V146" s="49" t="str">
        <f t="array" aca="1" ref="V146" ca="1">IF($R146&lt;&gt;"",
INDIRECT("G"&amp;$R146&amp;""),"")</f>
        <v/>
      </c>
      <c r="W146" s="49" t="str">
        <f t="array" aca="1" ref="W146" ca="1">IF($R146&lt;&gt;"",
IF(AND(COUNTIF(INDIRECT("B"&amp;R146&amp;""),"*雙葉*"),COUNTIF(B:B,"*雙葉*")&gt;=2),
IF(OR(COUNTIF(INDIRECT("B"&amp;R146&amp;""),"*雙葉先生*"),COUNTIF($B$1:$B$70,"*雙葉*")&gt;=2),INDIRECT("H"&amp;R146&amp;""),INDIRECT("H"&amp;R146&amp;"")+INDIRECT("H"&amp;MATCH("雙葉'",INDIRECT("B"&amp;R146+3&amp;":B210"),0)+2+R146&amp;"")),
IF(AND(LEFT(INDIRECT("B"&amp;R146&amp;""),2)="博多",COUNTIF(B:B,"*博多*")&gt;=2),
INDIRECT("H"&amp;R146&amp;"")+INDIRECT("H"&amp;MATCH("*"&amp;INDIRECT("B"&amp;R146&amp;"")&amp;"*",INDIRECT("B"&amp;R146+1&amp;":B210"),0)+R146&amp;""),
IF(AND(LEFT(INDIRECT("B"&amp;R146&amp;""),3)="奈良屋",COUNTIF(B:B,"*奈良屋*")&gt;=2),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49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49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49" t="str">
        <f t="shared" ca="1" si="23"/>
        <v/>
      </c>
      <c r="AA146" s="49" t="str">
        <f t="shared" ca="1" si="24"/>
        <v/>
      </c>
      <c r="AB146" s="49" t="str">
        <f t="array" aca="1" ref="AB146" ca="1">IF($R146&lt;&gt;"",
IF(AND(COUNTIF(INDIRECT("B"&amp;R146&amp;""),"*雙葉*"),COUNTIF(B:B,"*雙葉*")&gt;=2),
INDIRECT("M"&amp;R146&amp;"")+INDIRECT("M"&amp;MATCH("雙葉'",INDIRECT("B"&amp;R146+1&amp;":B210"),0)+R146&amp;""),
IF(AND(LEFT(INDIRECT("B"&amp;R146&amp;""),2)="博多",COUNTIF(B:B,"*博多*")&gt;=2),
INDIRECT("M"&amp;R146&amp;"")+INDIRECT("M"&amp;MATCH("*"&amp;INDIRECT("B"&amp;R146&amp;"")&amp;"*",INDIRECT("B"&amp;R146+1&amp;":B210"),0)+R146&amp;""),
IF(AND(LEFT(INDIRECT("B"&amp;R146&amp;""),3)="奈良屋",COUNTIF(B:B,"*奈良屋*")&gt;=2),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  <c r="AC146" s="49" t="str">
        <f ca="1">IF(S146&lt;&gt;"",INDEX(A:A, MATCH("*"&amp;LEFT(S146,4)&amp;"*", C:C, 0)),"")</f>
        <v/>
      </c>
      <c r="AD146" s="49" t="str">
        <f ca="1">IFERROR(INDEX(AC:AC,MATCH(SMALL($AU:$AU,ROW()+3),$AU:$AU,0)),"")</f>
        <v/>
      </c>
      <c r="AE146" s="49" t="str">
        <f ca="1">IFERROR(INDEX(R:R,MATCH(SMALL($AU:$AU,ROW()+3),$AU:$AU,0)),"")</f>
        <v/>
      </c>
      <c r="AF146" s="49" t="str">
        <f ca="1">IFERROR(INDEX(S:S,MATCH(SMALL($AU:$AU,ROW()+3),$AU:$AU,0)),"")</f>
        <v/>
      </c>
      <c r="AG146" s="49" t="str">
        <f ca="1">IFERROR(INDEX(T:T,MATCH(SMALL($AU:$AU,ROW()+3),$AU:$AU,0)),"")</f>
        <v/>
      </c>
      <c r="AH146" s="122" t="str">
        <f ca="1">IFERROR(INDEX(U:U,MATCH(SMALL($AU:$AU,ROW()+3),$AU:$AU,0)),"")</f>
        <v/>
      </c>
      <c r="AI146" s="49" t="str">
        <f ca="1">IFERROR(INDEX(V:V,MATCH(SMALL($AU:$AU,ROW()+3),$AU:$AU,0)),"")</f>
        <v/>
      </c>
      <c r="AJ146" s="49" t="str">
        <f ca="1">IFERROR(INDEX(W:W,MATCH(SMALL($AU:$AU,ROW()+3),$AU:$AU,0)),"")</f>
        <v/>
      </c>
      <c r="AK146" s="49" t="str">
        <f ca="1">IFERROR(INDEX(X:X,MATCH(SMALL($AU:$AU,ROW()+3),$AU:$AU,0)),"")</f>
        <v/>
      </c>
      <c r="AL146" s="49" t="str">
        <f ca="1">IFERROR(INDEX(Y:Y,MATCH(SMALL($AU:$AU,ROW()+3),$AU:$AU,0)),"")</f>
        <v/>
      </c>
      <c r="AM146" s="49" t="str">
        <f ca="1">IFERROR(INDEX(Z:Z,MATCH(SMALL($AU:$AU,ROW()+3),$AU:$AU,0)),"")</f>
        <v/>
      </c>
      <c r="AN146" s="49" t="str">
        <f ca="1">IFERROR(INDEX(AA:AA,MATCH(SMALL($AU:$AU,ROW()+3),$AU:$AU,0)),"")</f>
        <v/>
      </c>
      <c r="AO146" s="49" t="str">
        <f ca="1">IFERROR(INDEX(AB:AB,MATCH(SMALL($AU:$AU,ROW()+3),$AU:$AU,0)),"")</f>
        <v/>
      </c>
      <c r="AP146" s="49" t="str">
        <f ca="1">IFERROR(INDEX(AC:AC,MATCH(SMALL($AU:$AU,ROW()+3),$AU:$AU,0)),"")</f>
        <v/>
      </c>
      <c r="AU146" s="49" t="str">
        <f t="shared" ca="1" si="25"/>
        <v/>
      </c>
    </row>
    <row r="147" spans="1:47" ht="22.2" customHeight="1">
      <c r="A147" s="115">
        <f t="shared" si="29"/>
        <v>19</v>
      </c>
      <c r="B147" s="114" t="str">
        <f t="shared" ca="1" si="26"/>
        <v/>
      </c>
      <c r="C147" s="114" t="str">
        <f>IF(OR(クライアント抽出!D7&lt;&gt;"",クライアント抽出!G7&lt;&gt;""),クライアント抽出!A7,"")</f>
        <v/>
      </c>
      <c r="D147" s="114" t="str">
        <f t="array" aca="1" ref="D147" ca="1">IF(C147&lt;&gt;"",INDIRECT("クライアント抽出!"&amp;E147&amp;MATCH(C147,クライアント抽出!A:A,0)&amp;""),"")</f>
        <v/>
      </c>
      <c r="E147" s="114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17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114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116" t="str">
        <f>IF(C147&lt;&gt;"",
クライアント抽出!D7,"")</f>
        <v/>
      </c>
      <c r="I147" s="114" t="str">
        <f>IF(C147&lt;&gt;"",
IF(O147=1,0,クライアント抽出!F7),"")</f>
        <v/>
      </c>
      <c r="J147" s="114" t="str">
        <f>IF(C147&lt;&gt;"",
VLOOKUP(
"*"&amp;LEFT(IF(COUNTIF(D147,"*学食*"),"キャラ弁（学食）",
IF(COUNTIF(D147,"*赤*"),"赤",
IF(COUNTIF(D147,"*キャラ弁当*"),"キャラ弁当",D147))),4)&amp;"*",注文弁当の抽出!$E$1:$F$15,2,FALSE),"")</f>
        <v/>
      </c>
      <c r="K147" s="114" t="str">
        <f ca="1">IF(クライアント抽出!R7&lt;&gt;"",SUBSTITUTE(ADDRESS(1,(CODE(クライアント抽出!R7)-64)*2-1,4),"1",""),"")</f>
        <v/>
      </c>
      <c r="L147" s="114" t="str">
        <f>IF(C7&lt;&gt;"",クライアント抽出!I7,"")</f>
        <v/>
      </c>
      <c r="M147" s="114">
        <f t="array" aca="1" ref="M147" ca="1">IF(C147&lt;&gt;"",
IF(K147&lt;&gt;"",INDIRECT("'数出表_Excel（アレルギー入力）'!"&amp;K147&amp;L147-1&amp;""),),)</f>
        <v>0</v>
      </c>
      <c r="N147" s="114" t="str">
        <f>IF(C147&lt;&gt;"",IF(OR(COUNTIF('盛付札（関数）'!D147,"*赤*"),COUNTIF('盛付札（関数）'!D147,"*キャラ*")),1,
VLOOKUP("*"&amp;D147&amp;"*",商品マスタ一覧!D:H,5,FALSE)),"")</f>
        <v/>
      </c>
      <c r="O147" s="114">
        <f t="shared" ca="1" si="28"/>
        <v>0</v>
      </c>
      <c r="P147" s="114">
        <f t="shared" si="21"/>
        <v>0</v>
      </c>
      <c r="Q147" s="114" t="b">
        <f t="shared" si="22"/>
        <v>0</v>
      </c>
      <c r="R147" s="49" t="str">
        <f t="array" aca="1" ref="R147" ca="1">IFERROR(SMALL(IF(P$1:P$311&lt;&gt;0,P$1:P$311),ROW(A147)),"")</f>
        <v/>
      </c>
      <c r="S147" s="49" t="str">
        <f t="array" aca="1" ref="S147" ca="1">IF($R147&lt;&gt;"",
SUBSTITUTE(SUBSTITUTE(INDIRECT("C"&amp;$R147&amp;"")," 週3ｺｰｽ","")," 週5ｺｰｽ",""),"")</f>
        <v/>
      </c>
      <c r="T147" s="49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22" t="str">
        <f t="array" aca="1" ref="U147" ca="1">IF($R147&lt;&gt;"",
INDIRECT("F"&amp;$R147&amp;""),"")</f>
        <v/>
      </c>
      <c r="V147" s="49" t="str">
        <f t="array" aca="1" ref="V147" ca="1">IF($R147&lt;&gt;"",
INDIRECT("G"&amp;$R147&amp;""),"")</f>
        <v/>
      </c>
      <c r="W147" s="49" t="str">
        <f t="array" aca="1" ref="W147" ca="1">IF($R147&lt;&gt;"",
IF(AND(COUNTIF(INDIRECT("B"&amp;R147&amp;""),"*雙葉*"),COUNTIF(B:B,"*雙葉*")&gt;=2),
IF(OR(COUNTIF(INDIRECT("B"&amp;R147&amp;""),"*雙葉先生*"),COUNTIF($B$1:$B$70,"*雙葉*")&gt;=2),INDIRECT("H"&amp;R147&amp;""),INDIRECT("H"&amp;R147&amp;"")+INDIRECT("H"&amp;MATCH("雙葉'",INDIRECT("B"&amp;R147+3&amp;":B210"),0)+2+R147&amp;"")),
IF(AND(LEFT(INDIRECT("B"&amp;R147&amp;""),2)="博多",COUNTIF(B:B,"*博多*")&gt;=2),
INDIRECT("H"&amp;R147&amp;"")+INDIRECT("H"&amp;MATCH("*"&amp;INDIRECT("B"&amp;R147&amp;"")&amp;"*",INDIRECT("B"&amp;R147+1&amp;":B210"),0)+R147&amp;""),
IF(AND(LEFT(INDIRECT("B"&amp;R147&amp;""),3)="奈良屋",COUNTIF(B:B,"*奈良屋*")&gt;=2),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49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49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49" t="str">
        <f t="shared" ca="1" si="23"/>
        <v/>
      </c>
      <c r="AA147" s="49" t="str">
        <f t="shared" ca="1" si="24"/>
        <v/>
      </c>
      <c r="AB147" s="49" t="str">
        <f t="array" aca="1" ref="AB147" ca="1">IF($R147&lt;&gt;"",
IF(AND(COUNTIF(INDIRECT("B"&amp;R147&amp;""),"*雙葉*"),COUNTIF(B:B,"*雙葉*")&gt;=2),
INDIRECT("M"&amp;R147&amp;"")+INDIRECT("M"&amp;MATCH("雙葉'",INDIRECT("B"&amp;R147+1&amp;":B210"),0)+R147&amp;""),
IF(AND(LEFT(INDIRECT("B"&amp;R147&amp;""),2)="博多",COUNTIF(B:B,"*博多*")&gt;=2),
INDIRECT("M"&amp;R147&amp;"")+INDIRECT("M"&amp;MATCH("*"&amp;INDIRECT("B"&amp;R147&amp;"")&amp;"*",INDIRECT("B"&amp;R147+1&amp;":B210"),0)+R147&amp;""),
IF(AND(LEFT(INDIRECT("B"&amp;R147&amp;""),3)="奈良屋",COUNTIF(B:B,"*奈良屋*")&gt;=2),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  <c r="AC147" s="49" t="str">
        <f ca="1">IF(S147&lt;&gt;"",INDEX(A:A, MATCH("*"&amp;LEFT(S147,4)&amp;"*", C:C, 0)),"")</f>
        <v/>
      </c>
      <c r="AD147" s="49" t="str">
        <f ca="1">IFERROR(INDEX(AC:AC,MATCH(SMALL($AU:$AU,ROW()+3),$AU:$AU,0)),"")</f>
        <v/>
      </c>
      <c r="AE147" s="49" t="str">
        <f ca="1">IFERROR(INDEX(R:R,MATCH(SMALL($AU:$AU,ROW()+3),$AU:$AU,0)),"")</f>
        <v/>
      </c>
      <c r="AF147" s="49" t="str">
        <f ca="1">IFERROR(INDEX(S:S,MATCH(SMALL($AU:$AU,ROW()+3),$AU:$AU,0)),"")</f>
        <v/>
      </c>
      <c r="AG147" s="49" t="str">
        <f ca="1">IFERROR(INDEX(T:T,MATCH(SMALL($AU:$AU,ROW()+3),$AU:$AU,0)),"")</f>
        <v/>
      </c>
      <c r="AH147" s="122" t="str">
        <f ca="1">IFERROR(INDEX(U:U,MATCH(SMALL($AU:$AU,ROW()+3),$AU:$AU,0)),"")</f>
        <v/>
      </c>
      <c r="AI147" s="49" t="str">
        <f ca="1">IFERROR(INDEX(V:V,MATCH(SMALL($AU:$AU,ROW()+3),$AU:$AU,0)),"")</f>
        <v/>
      </c>
      <c r="AJ147" s="49" t="str">
        <f ca="1">IFERROR(INDEX(W:W,MATCH(SMALL($AU:$AU,ROW()+3),$AU:$AU,0)),"")</f>
        <v/>
      </c>
      <c r="AK147" s="49" t="str">
        <f ca="1">IFERROR(INDEX(X:X,MATCH(SMALL($AU:$AU,ROW()+3),$AU:$AU,0)),"")</f>
        <v/>
      </c>
      <c r="AL147" s="49" t="str">
        <f ca="1">IFERROR(INDEX(Y:Y,MATCH(SMALL($AU:$AU,ROW()+3),$AU:$AU,0)),"")</f>
        <v/>
      </c>
      <c r="AM147" s="49" t="str">
        <f ca="1">IFERROR(INDEX(Z:Z,MATCH(SMALL($AU:$AU,ROW()+3),$AU:$AU,0)),"")</f>
        <v/>
      </c>
      <c r="AN147" s="49" t="str">
        <f ca="1">IFERROR(INDEX(AA:AA,MATCH(SMALL($AU:$AU,ROW()+3),$AU:$AU,0)),"")</f>
        <v/>
      </c>
      <c r="AO147" s="49" t="str">
        <f ca="1">IFERROR(INDEX(AB:AB,MATCH(SMALL($AU:$AU,ROW()+3),$AU:$AU,0)),"")</f>
        <v/>
      </c>
      <c r="AP147" s="49" t="str">
        <f ca="1">IFERROR(INDEX(AC:AC,MATCH(SMALL($AU:$AU,ROW()+3),$AU:$AU,0)),"")</f>
        <v/>
      </c>
      <c r="AU147" s="49" t="str">
        <f t="shared" ca="1" si="25"/>
        <v/>
      </c>
    </row>
    <row r="148" spans="1:47" ht="22.2" customHeight="1">
      <c r="A148" s="115">
        <f t="shared" si="29"/>
        <v>21</v>
      </c>
      <c r="B148" s="114" t="str">
        <f t="shared" ca="1" si="26"/>
        <v/>
      </c>
      <c r="C148" s="114" t="str">
        <f>IF(OR(クライアント抽出!D8&lt;&gt;"",クライアント抽出!G8&lt;&gt;""),クライアント抽出!A8,"")</f>
        <v/>
      </c>
      <c r="D148" s="114" t="str">
        <f t="array" aca="1" ref="D148" ca="1">IF(C148&lt;&gt;"",INDIRECT("クライアント抽出!"&amp;E148&amp;MATCH(C148,クライアント抽出!A:A,0)&amp;""),"")</f>
        <v/>
      </c>
      <c r="E148" s="114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17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114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116" t="str">
        <f>IF(C148&lt;&gt;"",
クライアント抽出!D8,"")</f>
        <v/>
      </c>
      <c r="I148" s="114" t="str">
        <f>IF(C148&lt;&gt;"",
IF(O148=1,0,クライアント抽出!F8),"")</f>
        <v/>
      </c>
      <c r="J148" s="114" t="str">
        <f>IF(C148&lt;&gt;"",
VLOOKUP(
"*"&amp;LEFT(IF(COUNTIF(D148,"*学食*"),"キャラ弁（学食）",
IF(COUNTIF(D148,"*赤*"),"赤",
IF(COUNTIF(D148,"*キャラ弁当*"),"キャラ弁当",D148))),4)&amp;"*",注文弁当の抽出!$E$1:$F$15,2,FALSE),"")</f>
        <v/>
      </c>
      <c r="K148" s="114" t="str">
        <f ca="1">IF(クライアント抽出!R8&lt;&gt;"",SUBSTITUTE(ADDRESS(1,(CODE(クライアント抽出!R8)-64)*2-1,4),"1",""),"")</f>
        <v/>
      </c>
      <c r="L148" s="114" t="str">
        <f>IF(C8&lt;&gt;"",クライアント抽出!I8,"")</f>
        <v/>
      </c>
      <c r="M148" s="114">
        <f t="array" aca="1" ref="M148" ca="1">IF(C148&lt;&gt;"",
IF(K148&lt;&gt;"",INDIRECT("'数出表_Excel（アレルギー入力）'!"&amp;K148&amp;L148-1&amp;""),),)</f>
        <v>0</v>
      </c>
      <c r="N148" s="114" t="str">
        <f>IF(C148&lt;&gt;"",IF(OR(COUNTIF('盛付札（関数）'!D148,"*赤*"),COUNTIF('盛付札（関数）'!D148,"*キャラ*")),1,
VLOOKUP("*"&amp;D148&amp;"*",商品マスタ一覧!D:H,5,FALSE)),"")</f>
        <v/>
      </c>
      <c r="O148" s="114">
        <f t="shared" ca="1" si="28"/>
        <v>0</v>
      </c>
      <c r="P148" s="114">
        <f t="shared" si="21"/>
        <v>0</v>
      </c>
      <c r="Q148" s="114" t="b">
        <f t="shared" si="22"/>
        <v>0</v>
      </c>
      <c r="R148" s="49" t="str">
        <f t="array" aca="1" ref="R148" ca="1">IFERROR(SMALL(IF(P$1:P$311&lt;&gt;0,P$1:P$311),ROW(A148)),"")</f>
        <v/>
      </c>
      <c r="S148" s="49" t="str">
        <f t="array" aca="1" ref="S148" ca="1">IF($R148&lt;&gt;"",
SUBSTITUTE(SUBSTITUTE(INDIRECT("C"&amp;$R148&amp;"")," 週3ｺｰｽ","")," 週5ｺｰｽ",""),"")</f>
        <v/>
      </c>
      <c r="T148" s="49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22" t="str">
        <f t="array" aca="1" ref="U148" ca="1">IF($R148&lt;&gt;"",
INDIRECT("F"&amp;$R148&amp;""),"")</f>
        <v/>
      </c>
      <c r="V148" s="49" t="str">
        <f t="array" aca="1" ref="V148" ca="1">IF($R148&lt;&gt;"",
INDIRECT("G"&amp;$R148&amp;""),"")</f>
        <v/>
      </c>
      <c r="W148" s="49" t="str">
        <f t="array" aca="1" ref="W148" ca="1">IF($R148&lt;&gt;"",
IF(AND(COUNTIF(INDIRECT("B"&amp;R148&amp;""),"*雙葉*"),COUNTIF(B:B,"*雙葉*")&gt;=2),
IF(OR(COUNTIF(INDIRECT("B"&amp;R148&amp;""),"*雙葉先生*"),COUNTIF($B$1:$B$70,"*雙葉*")&gt;=2),INDIRECT("H"&amp;R148&amp;""),INDIRECT("H"&amp;R148&amp;"")+INDIRECT("H"&amp;MATCH("雙葉'",INDIRECT("B"&amp;R148+3&amp;":B210"),0)+2+R148&amp;"")),
IF(AND(LEFT(INDIRECT("B"&amp;R148&amp;""),2)="博多",COUNTIF(B:B,"*博多*")&gt;=2),
INDIRECT("H"&amp;R148&amp;"")+INDIRECT("H"&amp;MATCH("*"&amp;INDIRECT("B"&amp;R148&amp;"")&amp;"*",INDIRECT("B"&amp;R148+1&amp;":B210"),0)+R148&amp;""),
IF(AND(LEFT(INDIRECT("B"&amp;R148&amp;""),3)="奈良屋",COUNTIF(B:B,"*奈良屋*")&gt;=2),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49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49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49" t="str">
        <f t="shared" ca="1" si="23"/>
        <v/>
      </c>
      <c r="AA148" s="49" t="str">
        <f t="shared" ca="1" si="24"/>
        <v/>
      </c>
      <c r="AB148" s="49" t="str">
        <f t="array" aca="1" ref="AB148" ca="1">IF($R148&lt;&gt;"",
IF(AND(COUNTIF(INDIRECT("B"&amp;R148&amp;""),"*雙葉*"),COUNTIF(B:B,"*雙葉*")&gt;=2),
INDIRECT("M"&amp;R148&amp;"")+INDIRECT("M"&amp;MATCH("雙葉'",INDIRECT("B"&amp;R148+1&amp;":B210"),0)+R148&amp;""),
IF(AND(LEFT(INDIRECT("B"&amp;R148&amp;""),2)="博多",COUNTIF(B:B,"*博多*")&gt;=2),
INDIRECT("M"&amp;R148&amp;"")+INDIRECT("M"&amp;MATCH("*"&amp;INDIRECT("B"&amp;R148&amp;"")&amp;"*",INDIRECT("B"&amp;R148+1&amp;":B210"),0)+R148&amp;""),
IF(AND(LEFT(INDIRECT("B"&amp;R148&amp;""),3)="奈良屋",COUNTIF(B:B,"*奈良屋*")&gt;=2),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  <c r="AC148" s="49" t="str">
        <f ca="1">IF(S148&lt;&gt;"",INDEX(A:A, MATCH("*"&amp;LEFT(S148,4)&amp;"*", C:C, 0)),"")</f>
        <v/>
      </c>
      <c r="AD148" s="49" t="str">
        <f ca="1">IFERROR(INDEX(AC:AC,MATCH(SMALL($AU:$AU,ROW()+3),$AU:$AU,0)),"")</f>
        <v/>
      </c>
      <c r="AE148" s="49" t="str">
        <f ca="1">IFERROR(INDEX(R:R,MATCH(SMALL($AU:$AU,ROW()+3),$AU:$AU,0)),"")</f>
        <v/>
      </c>
      <c r="AF148" s="49" t="str">
        <f ca="1">IFERROR(INDEX(S:S,MATCH(SMALL($AU:$AU,ROW()+3),$AU:$AU,0)),"")</f>
        <v/>
      </c>
      <c r="AG148" s="49" t="str">
        <f ca="1">IFERROR(INDEX(T:T,MATCH(SMALL($AU:$AU,ROW()+3),$AU:$AU,0)),"")</f>
        <v/>
      </c>
      <c r="AH148" s="122" t="str">
        <f ca="1">IFERROR(INDEX(U:U,MATCH(SMALL($AU:$AU,ROW()+3),$AU:$AU,0)),"")</f>
        <v/>
      </c>
      <c r="AI148" s="49" t="str">
        <f ca="1">IFERROR(INDEX(V:V,MATCH(SMALL($AU:$AU,ROW()+3),$AU:$AU,0)),"")</f>
        <v/>
      </c>
      <c r="AJ148" s="49" t="str">
        <f ca="1">IFERROR(INDEX(W:W,MATCH(SMALL($AU:$AU,ROW()+3),$AU:$AU,0)),"")</f>
        <v/>
      </c>
      <c r="AK148" s="49" t="str">
        <f ca="1">IFERROR(INDEX(X:X,MATCH(SMALL($AU:$AU,ROW()+3),$AU:$AU,0)),"")</f>
        <v/>
      </c>
      <c r="AL148" s="49" t="str">
        <f ca="1">IFERROR(INDEX(Y:Y,MATCH(SMALL($AU:$AU,ROW()+3),$AU:$AU,0)),"")</f>
        <v/>
      </c>
      <c r="AM148" s="49" t="str">
        <f ca="1">IFERROR(INDEX(Z:Z,MATCH(SMALL($AU:$AU,ROW()+3),$AU:$AU,0)),"")</f>
        <v/>
      </c>
      <c r="AN148" s="49" t="str">
        <f ca="1">IFERROR(INDEX(AA:AA,MATCH(SMALL($AU:$AU,ROW()+3),$AU:$AU,0)),"")</f>
        <v/>
      </c>
      <c r="AO148" s="49" t="str">
        <f ca="1">IFERROR(INDEX(AB:AB,MATCH(SMALL($AU:$AU,ROW()+3),$AU:$AU,0)),"")</f>
        <v/>
      </c>
      <c r="AP148" s="49" t="str">
        <f ca="1">IFERROR(INDEX(AC:AC,MATCH(SMALL($AU:$AU,ROW()+3),$AU:$AU,0)),"")</f>
        <v/>
      </c>
      <c r="AU148" s="49" t="str">
        <f t="shared" ca="1" si="25"/>
        <v/>
      </c>
    </row>
    <row r="149" spans="1:47" ht="22.2" customHeight="1">
      <c r="A149" s="115">
        <f t="shared" si="29"/>
        <v>23</v>
      </c>
      <c r="B149" s="114" t="str">
        <f t="shared" ca="1" si="26"/>
        <v/>
      </c>
      <c r="C149" s="114" t="str">
        <f>IF(OR(クライアント抽出!D9&lt;&gt;"",クライアント抽出!G9&lt;&gt;""),クライアント抽出!A9,"")</f>
        <v/>
      </c>
      <c r="D149" s="114" t="str">
        <f t="array" aca="1" ref="D149" ca="1">IF(C149&lt;&gt;"",INDIRECT("クライアント抽出!"&amp;E149&amp;MATCH(C149,クライアント抽出!A:A,0)&amp;""),"")</f>
        <v/>
      </c>
      <c r="E149" s="114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17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114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116" t="str">
        <f>IF(C149&lt;&gt;"",
クライアント抽出!D9,"")</f>
        <v/>
      </c>
      <c r="I149" s="114" t="str">
        <f>IF(C149&lt;&gt;"",
IF(O149=1,0,クライアント抽出!F9),"")</f>
        <v/>
      </c>
      <c r="J149" s="114" t="str">
        <f>IF(C149&lt;&gt;"",
VLOOKUP(
"*"&amp;LEFT(IF(COUNTIF(D149,"*学食*"),"キャラ弁（学食）",
IF(COUNTIF(D149,"*赤*"),"赤",
IF(COUNTIF(D149,"*キャラ弁当*"),"キャラ弁当",D149))),4)&amp;"*",注文弁当の抽出!$E$1:$F$15,2,FALSE),"")</f>
        <v/>
      </c>
      <c r="K149" s="114" t="str">
        <f ca="1">IF(クライアント抽出!R9&lt;&gt;"",SUBSTITUTE(ADDRESS(1,(CODE(クライアント抽出!R9)-64)*2-1,4),"1",""),"")</f>
        <v/>
      </c>
      <c r="L149" s="114" t="str">
        <f>IF(C9&lt;&gt;"",クライアント抽出!I9,"")</f>
        <v/>
      </c>
      <c r="M149" s="114">
        <f t="array" aca="1" ref="M149" ca="1">IF(C149&lt;&gt;"",
IF(K149&lt;&gt;"",INDIRECT("'数出表_Excel（アレルギー入力）'!"&amp;K149&amp;L149-1&amp;""),),)</f>
        <v>0</v>
      </c>
      <c r="N149" s="114" t="str">
        <f>IF(C149&lt;&gt;"",IF(OR(COUNTIF('盛付札（関数）'!D149,"*赤*"),COUNTIF('盛付札（関数）'!D149,"*キャラ*")),1,
VLOOKUP("*"&amp;D149&amp;"*",商品マスタ一覧!D:H,5,FALSE)),"")</f>
        <v/>
      </c>
      <c r="O149" s="114">
        <f t="shared" ca="1" si="28"/>
        <v>0</v>
      </c>
      <c r="P149" s="114">
        <f t="shared" si="21"/>
        <v>0</v>
      </c>
      <c r="Q149" s="114" t="b">
        <f t="shared" si="22"/>
        <v>0</v>
      </c>
      <c r="R149" s="49" t="str">
        <f t="array" aca="1" ref="R149" ca="1">IFERROR(SMALL(IF(P$1:P$311&lt;&gt;0,P$1:P$311),ROW(A149)),"")</f>
        <v/>
      </c>
      <c r="S149" s="49" t="str">
        <f t="array" aca="1" ref="S149" ca="1">IF($R149&lt;&gt;"",
SUBSTITUTE(SUBSTITUTE(INDIRECT("C"&amp;$R149&amp;"")," 週3ｺｰｽ","")," 週5ｺｰｽ",""),"")</f>
        <v/>
      </c>
      <c r="T149" s="49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22" t="str">
        <f t="array" aca="1" ref="U149" ca="1">IF($R149&lt;&gt;"",
INDIRECT("F"&amp;$R149&amp;""),"")</f>
        <v/>
      </c>
      <c r="V149" s="49" t="str">
        <f t="array" aca="1" ref="V149" ca="1">IF($R149&lt;&gt;"",
INDIRECT("G"&amp;$R149&amp;""),"")</f>
        <v/>
      </c>
      <c r="W149" s="49" t="str">
        <f t="array" aca="1" ref="W149" ca="1">IF($R149&lt;&gt;"",
IF(AND(COUNTIF(INDIRECT("B"&amp;R149&amp;""),"*雙葉*"),COUNTIF(B:B,"*雙葉*")&gt;=2),
IF(OR(COUNTIF(INDIRECT("B"&amp;R149&amp;""),"*雙葉先生*"),COUNTIF($B$1:$B$70,"*雙葉*")&gt;=2),INDIRECT("H"&amp;R149&amp;""),INDIRECT("H"&amp;R149&amp;"")+INDIRECT("H"&amp;MATCH("雙葉'",INDIRECT("B"&amp;R149+3&amp;":B210"),0)+2+R149&amp;"")),
IF(AND(LEFT(INDIRECT("B"&amp;R149&amp;""),2)="博多",COUNTIF(B:B,"*博多*")&gt;=2),
INDIRECT("H"&amp;R149&amp;"")+INDIRECT("H"&amp;MATCH("*"&amp;INDIRECT("B"&amp;R149&amp;"")&amp;"*",INDIRECT("B"&amp;R149+1&amp;":B210"),0)+R149&amp;""),
IF(AND(LEFT(INDIRECT("B"&amp;R149&amp;""),3)="奈良屋",COUNTIF(B:B,"*奈良屋*")&gt;=2),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49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49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49" t="str">
        <f t="shared" ca="1" si="23"/>
        <v/>
      </c>
      <c r="AA149" s="49" t="str">
        <f t="shared" ca="1" si="24"/>
        <v/>
      </c>
      <c r="AB149" s="49" t="str">
        <f t="array" aca="1" ref="AB149" ca="1">IF($R149&lt;&gt;"",
IF(AND(COUNTIF(INDIRECT("B"&amp;R149&amp;""),"*雙葉*"),COUNTIF(B:B,"*雙葉*")&gt;=2),
INDIRECT("M"&amp;R149&amp;"")+INDIRECT("M"&amp;MATCH("雙葉'",INDIRECT("B"&amp;R149+1&amp;":B210"),0)+R149&amp;""),
IF(AND(LEFT(INDIRECT("B"&amp;R149&amp;""),2)="博多",COUNTIF(B:B,"*博多*")&gt;=2),
INDIRECT("M"&amp;R149&amp;"")+INDIRECT("M"&amp;MATCH("*"&amp;INDIRECT("B"&amp;R149&amp;"")&amp;"*",INDIRECT("B"&amp;R149+1&amp;":B210"),0)+R149&amp;""),
IF(AND(LEFT(INDIRECT("B"&amp;R149&amp;""),3)="奈良屋",COUNTIF(B:B,"*奈良屋*")&gt;=2),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  <c r="AC149" s="49" t="str">
        <f ca="1">IF(S149&lt;&gt;"",INDEX(A:A, MATCH("*"&amp;LEFT(S149,4)&amp;"*", C:C, 0)),"")</f>
        <v/>
      </c>
      <c r="AD149" s="49" t="str">
        <f ca="1">IFERROR(INDEX(AC:AC,MATCH(SMALL($AU:$AU,ROW()+3),$AU:$AU,0)),"")</f>
        <v/>
      </c>
      <c r="AE149" s="49" t="str">
        <f ca="1">IFERROR(INDEX(R:R,MATCH(SMALL($AU:$AU,ROW()+3),$AU:$AU,0)),"")</f>
        <v/>
      </c>
      <c r="AF149" s="49" t="str">
        <f ca="1">IFERROR(INDEX(S:S,MATCH(SMALL($AU:$AU,ROW()+3),$AU:$AU,0)),"")</f>
        <v/>
      </c>
      <c r="AG149" s="49" t="str">
        <f ca="1">IFERROR(INDEX(T:T,MATCH(SMALL($AU:$AU,ROW()+3),$AU:$AU,0)),"")</f>
        <v/>
      </c>
      <c r="AH149" s="122" t="str">
        <f ca="1">IFERROR(INDEX(U:U,MATCH(SMALL($AU:$AU,ROW()+3),$AU:$AU,0)),"")</f>
        <v/>
      </c>
      <c r="AI149" s="49" t="str">
        <f ca="1">IFERROR(INDEX(V:V,MATCH(SMALL($AU:$AU,ROW()+3),$AU:$AU,0)),"")</f>
        <v/>
      </c>
      <c r="AJ149" s="49" t="str">
        <f ca="1">IFERROR(INDEX(W:W,MATCH(SMALL($AU:$AU,ROW()+3),$AU:$AU,0)),"")</f>
        <v/>
      </c>
      <c r="AK149" s="49" t="str">
        <f ca="1">IFERROR(INDEX(X:X,MATCH(SMALL($AU:$AU,ROW()+3),$AU:$AU,0)),"")</f>
        <v/>
      </c>
      <c r="AL149" s="49" t="str">
        <f ca="1">IFERROR(INDEX(Y:Y,MATCH(SMALL($AU:$AU,ROW()+3),$AU:$AU,0)),"")</f>
        <v/>
      </c>
      <c r="AM149" s="49" t="str">
        <f ca="1">IFERROR(INDEX(Z:Z,MATCH(SMALL($AU:$AU,ROW()+3),$AU:$AU,0)),"")</f>
        <v/>
      </c>
      <c r="AN149" s="49" t="str">
        <f ca="1">IFERROR(INDEX(AA:AA,MATCH(SMALL($AU:$AU,ROW()+3),$AU:$AU,0)),"")</f>
        <v/>
      </c>
      <c r="AO149" s="49" t="str">
        <f ca="1">IFERROR(INDEX(AB:AB,MATCH(SMALL($AU:$AU,ROW()+3),$AU:$AU,0)),"")</f>
        <v/>
      </c>
      <c r="AP149" s="49" t="str">
        <f ca="1">IFERROR(INDEX(AC:AC,MATCH(SMALL($AU:$AU,ROW()+3),$AU:$AU,0)),"")</f>
        <v/>
      </c>
      <c r="AU149" s="49" t="str">
        <f t="shared" ca="1" si="25"/>
        <v/>
      </c>
    </row>
    <row r="150" spans="1:47" ht="22.2" customHeight="1">
      <c r="A150" s="115">
        <f t="shared" si="29"/>
        <v>25</v>
      </c>
      <c r="B150" s="114" t="str">
        <f t="shared" ca="1" si="26"/>
        <v/>
      </c>
      <c r="C150" s="114" t="str">
        <f>IF(OR(クライアント抽出!D10&lt;&gt;"",クライアント抽出!G10&lt;&gt;""),クライアント抽出!A10,"")</f>
        <v/>
      </c>
      <c r="D150" s="114" t="str">
        <f t="array" aca="1" ref="D150" ca="1">IF(C150&lt;&gt;"",INDIRECT("クライアント抽出!"&amp;E150&amp;MATCH(C150,クライアント抽出!A:A,0)&amp;""),"")</f>
        <v/>
      </c>
      <c r="E150" s="114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17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114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116" t="str">
        <f>IF(C150&lt;&gt;"",
クライアント抽出!D10,"")</f>
        <v/>
      </c>
      <c r="I150" s="114" t="str">
        <f>IF(C150&lt;&gt;"",
IF(O150=1,0,クライアント抽出!F10),"")</f>
        <v/>
      </c>
      <c r="J150" s="114" t="str">
        <f>IF(C150&lt;&gt;"",
VLOOKUP(
"*"&amp;LEFT(IF(COUNTIF(D150,"*学食*"),"キャラ弁（学食）",
IF(COUNTIF(D150,"*赤*"),"赤",
IF(COUNTIF(D150,"*キャラ弁当*"),"キャラ弁当",D150))),4)&amp;"*",注文弁当の抽出!$E$1:$F$15,2,FALSE),"")</f>
        <v/>
      </c>
      <c r="K150" s="114" t="str">
        <f ca="1">IF(クライアント抽出!R10&lt;&gt;"",SUBSTITUTE(ADDRESS(1,(CODE(クライアント抽出!R10)-64)*2-1,4),"1",""),"")</f>
        <v/>
      </c>
      <c r="L150" s="114" t="str">
        <f>IF(C10&lt;&gt;"",クライアント抽出!I10,"")</f>
        <v/>
      </c>
      <c r="M150" s="114">
        <f t="array" aca="1" ref="M150" ca="1">IF(C150&lt;&gt;"",
IF(K150&lt;&gt;"",INDIRECT("'数出表_Excel（アレルギー入力）'!"&amp;K150&amp;L150-1&amp;""),),)</f>
        <v>0</v>
      </c>
      <c r="N150" s="114" t="str">
        <f>IF(C150&lt;&gt;"",IF(OR(COUNTIF('盛付札（関数）'!D150,"*赤*"),COUNTIF('盛付札（関数）'!D150,"*キャラ*")),1,
VLOOKUP("*"&amp;D150&amp;"*",商品マスタ一覧!D:H,5,FALSE)),"")</f>
        <v/>
      </c>
      <c r="O150" s="114">
        <f t="shared" ca="1" si="28"/>
        <v>0</v>
      </c>
      <c r="P150" s="114">
        <f t="shared" si="21"/>
        <v>0</v>
      </c>
      <c r="Q150" s="114" t="b">
        <f t="shared" si="22"/>
        <v>0</v>
      </c>
      <c r="R150" s="49" t="str">
        <f t="array" aca="1" ref="R150" ca="1">IFERROR(SMALL(IF(P$1:P$311&lt;&gt;0,P$1:P$311),ROW(A150)),"")</f>
        <v/>
      </c>
      <c r="S150" s="49" t="str">
        <f t="array" aca="1" ref="S150" ca="1">IF($R150&lt;&gt;"",
SUBSTITUTE(SUBSTITUTE(INDIRECT("C"&amp;$R150&amp;"")," 週3ｺｰｽ","")," 週5ｺｰｽ",""),"")</f>
        <v/>
      </c>
      <c r="T150" s="49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22" t="str">
        <f t="array" aca="1" ref="U150" ca="1">IF($R150&lt;&gt;"",
INDIRECT("F"&amp;$R150&amp;""),"")</f>
        <v/>
      </c>
      <c r="V150" s="49" t="str">
        <f t="array" aca="1" ref="V150" ca="1">IF($R150&lt;&gt;"",
INDIRECT("G"&amp;$R150&amp;""),"")</f>
        <v/>
      </c>
      <c r="W150" s="49" t="str">
        <f t="array" aca="1" ref="W150" ca="1">IF($R150&lt;&gt;"",
IF(AND(COUNTIF(INDIRECT("B"&amp;R150&amp;""),"*雙葉*"),COUNTIF(B:B,"*雙葉*")&gt;=2),
IF(OR(COUNTIF(INDIRECT("B"&amp;R150&amp;""),"*雙葉先生*"),COUNTIF($B$1:$B$70,"*雙葉*")&gt;=2),INDIRECT("H"&amp;R150&amp;""),INDIRECT("H"&amp;R150&amp;"")+INDIRECT("H"&amp;MATCH("雙葉'",INDIRECT("B"&amp;R150+3&amp;":B210"),0)+2+R150&amp;"")),
IF(AND(LEFT(INDIRECT("B"&amp;R150&amp;""),2)="博多",COUNTIF(B:B,"*博多*")&gt;=2),
INDIRECT("H"&amp;R150&amp;"")+INDIRECT("H"&amp;MATCH("*"&amp;INDIRECT("B"&amp;R150&amp;"")&amp;"*",INDIRECT("B"&amp;R150+1&amp;":B210"),0)+R150&amp;""),
IF(AND(LEFT(INDIRECT("B"&amp;R150&amp;""),3)="奈良屋",COUNTIF(B:B,"*奈良屋*")&gt;=2),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49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49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49" t="str">
        <f t="shared" ca="1" si="23"/>
        <v/>
      </c>
      <c r="AA150" s="49" t="str">
        <f t="shared" ca="1" si="24"/>
        <v/>
      </c>
      <c r="AB150" s="49" t="str">
        <f t="array" aca="1" ref="AB150" ca="1">IF($R150&lt;&gt;"",
IF(AND(COUNTIF(INDIRECT("B"&amp;R150&amp;""),"*雙葉*"),COUNTIF(B:B,"*雙葉*")&gt;=2),
INDIRECT("M"&amp;R150&amp;"")+INDIRECT("M"&amp;MATCH("雙葉'",INDIRECT("B"&amp;R150+1&amp;":B210"),0)+R150&amp;""),
IF(AND(LEFT(INDIRECT("B"&amp;R150&amp;""),2)="博多",COUNTIF(B:B,"*博多*")&gt;=2),
INDIRECT("M"&amp;R150&amp;"")+INDIRECT("M"&amp;MATCH("*"&amp;INDIRECT("B"&amp;R150&amp;"")&amp;"*",INDIRECT("B"&amp;R150+1&amp;":B210"),0)+R150&amp;""),
IF(AND(LEFT(INDIRECT("B"&amp;R150&amp;""),3)="奈良屋",COUNTIF(B:B,"*奈良屋*")&gt;=2),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  <c r="AC150" s="49" t="str">
        <f ca="1">IF(S150&lt;&gt;"",INDEX(A:A, MATCH("*"&amp;LEFT(S150,4)&amp;"*", C:C, 0)),"")</f>
        <v/>
      </c>
      <c r="AD150" s="49" t="str">
        <f ca="1">IFERROR(INDEX(AC:AC,MATCH(SMALL($AU:$AU,ROW()+3),$AU:$AU,0)),"")</f>
        <v/>
      </c>
      <c r="AE150" s="49" t="str">
        <f ca="1">IFERROR(INDEX(R:R,MATCH(SMALL($AU:$AU,ROW()+3),$AU:$AU,0)),"")</f>
        <v/>
      </c>
      <c r="AF150" s="49" t="str">
        <f ca="1">IFERROR(INDEX(S:S,MATCH(SMALL($AU:$AU,ROW()+3),$AU:$AU,0)),"")</f>
        <v/>
      </c>
      <c r="AG150" s="49" t="str">
        <f ca="1">IFERROR(INDEX(T:T,MATCH(SMALL($AU:$AU,ROW()+3),$AU:$AU,0)),"")</f>
        <v/>
      </c>
      <c r="AH150" s="122" t="str">
        <f ca="1">IFERROR(INDEX(U:U,MATCH(SMALL($AU:$AU,ROW()+3),$AU:$AU,0)),"")</f>
        <v/>
      </c>
      <c r="AI150" s="49" t="str">
        <f ca="1">IFERROR(INDEX(V:V,MATCH(SMALL($AU:$AU,ROW()+3),$AU:$AU,0)),"")</f>
        <v/>
      </c>
      <c r="AJ150" s="49" t="str">
        <f ca="1">IFERROR(INDEX(W:W,MATCH(SMALL($AU:$AU,ROW()+3),$AU:$AU,0)),"")</f>
        <v/>
      </c>
      <c r="AK150" s="49" t="str">
        <f ca="1">IFERROR(INDEX(X:X,MATCH(SMALL($AU:$AU,ROW()+3),$AU:$AU,0)),"")</f>
        <v/>
      </c>
      <c r="AL150" s="49" t="str">
        <f ca="1">IFERROR(INDEX(Y:Y,MATCH(SMALL($AU:$AU,ROW()+3),$AU:$AU,0)),"")</f>
        <v/>
      </c>
      <c r="AM150" s="49" t="str">
        <f ca="1">IFERROR(INDEX(Z:Z,MATCH(SMALL($AU:$AU,ROW()+3),$AU:$AU,0)),"")</f>
        <v/>
      </c>
      <c r="AN150" s="49" t="str">
        <f ca="1">IFERROR(INDEX(AA:AA,MATCH(SMALL($AU:$AU,ROW()+3),$AU:$AU,0)),"")</f>
        <v/>
      </c>
      <c r="AO150" s="49" t="str">
        <f ca="1">IFERROR(INDEX(AB:AB,MATCH(SMALL($AU:$AU,ROW()+3),$AU:$AU,0)),"")</f>
        <v/>
      </c>
      <c r="AP150" s="49" t="str">
        <f ca="1">IFERROR(INDEX(AC:AC,MATCH(SMALL($AU:$AU,ROW()+3),$AU:$AU,0)),"")</f>
        <v/>
      </c>
      <c r="AU150" s="49" t="str">
        <f t="shared" ca="1" si="25"/>
        <v/>
      </c>
    </row>
    <row r="151" spans="1:47" ht="22.2" customHeight="1">
      <c r="A151" s="115">
        <f t="shared" si="29"/>
        <v>27</v>
      </c>
      <c r="B151" s="114" t="str">
        <f t="shared" ca="1" si="26"/>
        <v/>
      </c>
      <c r="C151" s="114" t="str">
        <f>IF(OR(クライアント抽出!D11&lt;&gt;"",クライアント抽出!G11&lt;&gt;""),クライアント抽出!A11,"")</f>
        <v/>
      </c>
      <c r="D151" s="114" t="str">
        <f t="array" aca="1" ref="D151" ca="1">IF(C151&lt;&gt;"",INDIRECT("クライアント抽出!"&amp;E151&amp;MATCH(C151,クライアント抽出!A:A,0)&amp;""),"")</f>
        <v/>
      </c>
      <c r="E151" s="114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17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114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116" t="str">
        <f>IF(C151&lt;&gt;"",
クライアント抽出!D11,"")</f>
        <v/>
      </c>
      <c r="I151" s="114" t="str">
        <f>IF(C151&lt;&gt;"",
IF(O151=1,0,クライアント抽出!F11),"")</f>
        <v/>
      </c>
      <c r="J151" s="114" t="str">
        <f>IF(C151&lt;&gt;"",
VLOOKUP(
"*"&amp;LEFT(IF(COUNTIF(D151,"*学食*"),"キャラ弁（学食）",
IF(COUNTIF(D151,"*赤*"),"赤",
IF(COUNTIF(D151,"*キャラ弁当*"),"キャラ弁当",D151))),4)&amp;"*",注文弁当の抽出!$E$1:$F$15,2,FALSE),"")</f>
        <v/>
      </c>
      <c r="K151" s="114" t="str">
        <f ca="1">IF(クライアント抽出!R11&lt;&gt;"",SUBSTITUTE(ADDRESS(1,(CODE(クライアント抽出!R11)-64)*2-1,4),"1",""),"")</f>
        <v/>
      </c>
      <c r="L151" s="114" t="str">
        <f>IF(C11&lt;&gt;"",クライアント抽出!I11,"")</f>
        <v/>
      </c>
      <c r="M151" s="114">
        <f t="array" aca="1" ref="M151" ca="1">IF(C151&lt;&gt;"",
IF(K151&lt;&gt;"",INDIRECT("'数出表_Excel（アレルギー入力）'!"&amp;K151&amp;L151-1&amp;""),),)</f>
        <v>0</v>
      </c>
      <c r="N151" s="114" t="str">
        <f>IF(C151&lt;&gt;"",IF(OR(COUNTIF('盛付札（関数）'!D151,"*赤*"),COUNTIF('盛付札（関数）'!D151,"*キャラ*")),1,
VLOOKUP("*"&amp;D151&amp;"*",商品マスタ一覧!D:H,5,FALSE)),"")</f>
        <v/>
      </c>
      <c r="O151" s="114">
        <f t="shared" ca="1" si="28"/>
        <v>0</v>
      </c>
      <c r="P151" s="114">
        <f t="shared" si="21"/>
        <v>0</v>
      </c>
      <c r="Q151" s="114" t="b">
        <f t="shared" si="22"/>
        <v>0</v>
      </c>
      <c r="R151" s="49" t="str">
        <f t="array" aca="1" ref="R151" ca="1">IFERROR(SMALL(IF(P$1:P$311&lt;&gt;0,P$1:P$311),ROW(A151)),"")</f>
        <v/>
      </c>
      <c r="S151" s="49" t="str">
        <f t="array" aca="1" ref="S151" ca="1">IF($R151&lt;&gt;"",
SUBSTITUTE(SUBSTITUTE(INDIRECT("C"&amp;$R151&amp;"")," 週3ｺｰｽ","")," 週5ｺｰｽ",""),"")</f>
        <v/>
      </c>
      <c r="T151" s="49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22" t="str">
        <f t="array" aca="1" ref="U151" ca="1">IF($R151&lt;&gt;"",
INDIRECT("F"&amp;$R151&amp;""),"")</f>
        <v/>
      </c>
      <c r="V151" s="49" t="str">
        <f t="array" aca="1" ref="V151" ca="1">IF($R151&lt;&gt;"",
INDIRECT("G"&amp;$R151&amp;""),"")</f>
        <v/>
      </c>
      <c r="W151" s="49" t="str">
        <f t="array" aca="1" ref="W151" ca="1">IF($R151&lt;&gt;"",
IF(AND(COUNTIF(INDIRECT("B"&amp;R151&amp;""),"*雙葉*"),COUNTIF(B:B,"*雙葉*")&gt;=2),
IF(OR(COUNTIF(INDIRECT("B"&amp;R151&amp;""),"*雙葉先生*"),COUNTIF($B$1:$B$70,"*雙葉*")&gt;=2),INDIRECT("H"&amp;R151&amp;""),INDIRECT("H"&amp;R151&amp;"")+INDIRECT("H"&amp;MATCH("雙葉'",INDIRECT("B"&amp;R151+3&amp;":B210"),0)+2+R151&amp;"")),
IF(AND(LEFT(INDIRECT("B"&amp;R151&amp;""),2)="博多",COUNTIF(B:B,"*博多*")&gt;=2),
INDIRECT("H"&amp;R151&amp;"")+INDIRECT("H"&amp;MATCH("*"&amp;INDIRECT("B"&amp;R151&amp;"")&amp;"*",INDIRECT("B"&amp;R151+1&amp;":B210"),0)+R151&amp;""),
IF(AND(LEFT(INDIRECT("B"&amp;R151&amp;""),3)="奈良屋",COUNTIF(B:B,"*奈良屋*")&gt;=2),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49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49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49" t="str">
        <f t="shared" ca="1" si="23"/>
        <v/>
      </c>
      <c r="AA151" s="49" t="str">
        <f t="shared" ca="1" si="24"/>
        <v/>
      </c>
      <c r="AB151" s="49" t="str">
        <f t="array" aca="1" ref="AB151" ca="1">IF($R151&lt;&gt;"",
IF(AND(COUNTIF(INDIRECT("B"&amp;R151&amp;""),"*雙葉*"),COUNTIF(B:B,"*雙葉*")&gt;=2),
INDIRECT("M"&amp;R151&amp;"")+INDIRECT("M"&amp;MATCH("雙葉'",INDIRECT("B"&amp;R151+1&amp;":B210"),0)+R151&amp;""),
IF(AND(LEFT(INDIRECT("B"&amp;R151&amp;""),2)="博多",COUNTIF(B:B,"*博多*")&gt;=2),
INDIRECT("M"&amp;R151&amp;"")+INDIRECT("M"&amp;MATCH("*"&amp;INDIRECT("B"&amp;R151&amp;"")&amp;"*",INDIRECT("B"&amp;R151+1&amp;":B210"),0)+R151&amp;""),
IF(AND(LEFT(INDIRECT("B"&amp;R151&amp;""),3)="奈良屋",COUNTIF(B:B,"*奈良屋*")&gt;=2),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  <c r="AC151" s="49" t="str">
        <f ca="1">IF(S151&lt;&gt;"",INDEX(A:A, MATCH("*"&amp;LEFT(S151,4)&amp;"*", C:C, 0)),"")</f>
        <v/>
      </c>
      <c r="AD151" s="49" t="str">
        <f ca="1">IFERROR(INDEX(AC:AC,MATCH(SMALL($AU:$AU,ROW()+3),$AU:$AU,0)),"")</f>
        <v/>
      </c>
      <c r="AE151" s="49" t="str">
        <f ca="1">IFERROR(INDEX(R:R,MATCH(SMALL($AU:$AU,ROW()+3),$AU:$AU,0)),"")</f>
        <v/>
      </c>
      <c r="AF151" s="49" t="str">
        <f ca="1">IFERROR(INDEX(S:S,MATCH(SMALL($AU:$AU,ROW()+3),$AU:$AU,0)),"")</f>
        <v/>
      </c>
      <c r="AG151" s="49" t="str">
        <f ca="1">IFERROR(INDEX(T:T,MATCH(SMALL($AU:$AU,ROW()+3),$AU:$AU,0)),"")</f>
        <v/>
      </c>
      <c r="AH151" s="122" t="str">
        <f ca="1">IFERROR(INDEX(U:U,MATCH(SMALL($AU:$AU,ROW()+3),$AU:$AU,0)),"")</f>
        <v/>
      </c>
      <c r="AI151" s="49" t="str">
        <f ca="1">IFERROR(INDEX(V:V,MATCH(SMALL($AU:$AU,ROW()+3),$AU:$AU,0)),"")</f>
        <v/>
      </c>
      <c r="AJ151" s="49" t="str">
        <f ca="1">IFERROR(INDEX(W:W,MATCH(SMALL($AU:$AU,ROW()+3),$AU:$AU,0)),"")</f>
        <v/>
      </c>
      <c r="AK151" s="49" t="str">
        <f ca="1">IFERROR(INDEX(X:X,MATCH(SMALL($AU:$AU,ROW()+3),$AU:$AU,0)),"")</f>
        <v/>
      </c>
      <c r="AL151" s="49" t="str">
        <f ca="1">IFERROR(INDEX(Y:Y,MATCH(SMALL($AU:$AU,ROW()+3),$AU:$AU,0)),"")</f>
        <v/>
      </c>
      <c r="AM151" s="49" t="str">
        <f ca="1">IFERROR(INDEX(Z:Z,MATCH(SMALL($AU:$AU,ROW()+3),$AU:$AU,0)),"")</f>
        <v/>
      </c>
      <c r="AN151" s="49" t="str">
        <f ca="1">IFERROR(INDEX(AA:AA,MATCH(SMALL($AU:$AU,ROW()+3),$AU:$AU,0)),"")</f>
        <v/>
      </c>
      <c r="AO151" s="49" t="str">
        <f ca="1">IFERROR(INDEX(AB:AB,MATCH(SMALL($AU:$AU,ROW()+3),$AU:$AU,0)),"")</f>
        <v/>
      </c>
      <c r="AP151" s="49" t="str">
        <f ca="1">IFERROR(INDEX(AC:AC,MATCH(SMALL($AU:$AU,ROW()+3),$AU:$AU,0)),"")</f>
        <v/>
      </c>
      <c r="AU151" s="49" t="str">
        <f t="shared" ca="1" si="25"/>
        <v/>
      </c>
    </row>
    <row r="152" spans="1:47" ht="22.2" customHeight="1">
      <c r="A152" s="115">
        <f t="shared" si="29"/>
        <v>29</v>
      </c>
      <c r="B152" s="114" t="str">
        <f t="shared" ca="1" si="26"/>
        <v/>
      </c>
      <c r="C152" s="114" t="str">
        <f>IF(OR(クライアント抽出!D12&lt;&gt;"",クライアント抽出!G12&lt;&gt;""),クライアント抽出!A12,"")</f>
        <v/>
      </c>
      <c r="D152" s="114" t="str">
        <f t="array" aca="1" ref="D152" ca="1">IF(C152&lt;&gt;"",INDIRECT("クライアント抽出!"&amp;E152&amp;MATCH(C152,クライアント抽出!A:A,0)&amp;""),"")</f>
        <v/>
      </c>
      <c r="E152" s="114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17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114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116" t="str">
        <f>IF(C152&lt;&gt;"",
クライアント抽出!D12,"")</f>
        <v/>
      </c>
      <c r="I152" s="114" t="str">
        <f>IF(C152&lt;&gt;"",
IF(O152=1,0,クライアント抽出!F12),"")</f>
        <v/>
      </c>
      <c r="J152" s="114" t="str">
        <f>IF(C152&lt;&gt;"",
VLOOKUP(
"*"&amp;LEFT(IF(COUNTIF(D152,"*学食*"),"キャラ弁（学食）",
IF(COUNTIF(D152,"*赤*"),"赤",
IF(COUNTIF(D152,"*キャラ弁当*"),"キャラ弁当",D152))),4)&amp;"*",注文弁当の抽出!$E$1:$F$15,2,FALSE),"")</f>
        <v/>
      </c>
      <c r="K152" s="114" t="str">
        <f ca="1">IF(クライアント抽出!R12&lt;&gt;"",SUBSTITUTE(ADDRESS(1,(CODE(クライアント抽出!R12)-64)*2-1,4),"1",""),"")</f>
        <v/>
      </c>
      <c r="L152" s="114" t="str">
        <f>IF(C12&lt;&gt;"",クライアント抽出!I12,"")</f>
        <v/>
      </c>
      <c r="M152" s="114">
        <f t="array" aca="1" ref="M152" ca="1">IF(C152&lt;&gt;"",
IF(K152&lt;&gt;"",INDIRECT("'数出表_Excel（アレルギー入力）'!"&amp;K152&amp;L152-1&amp;""),),)</f>
        <v>0</v>
      </c>
      <c r="N152" s="114" t="str">
        <f>IF(C152&lt;&gt;"",IF(OR(COUNTIF('盛付札（関数）'!D152,"*赤*"),COUNTIF('盛付札（関数）'!D152,"*キャラ*")),1,
VLOOKUP("*"&amp;D152&amp;"*",商品マスタ一覧!D:H,5,FALSE)),"")</f>
        <v/>
      </c>
      <c r="O152" s="114">
        <f t="shared" ca="1" si="28"/>
        <v>0</v>
      </c>
      <c r="P152" s="114">
        <f t="shared" si="21"/>
        <v>0</v>
      </c>
      <c r="Q152" s="114" t="b">
        <f t="shared" si="22"/>
        <v>0</v>
      </c>
      <c r="R152" s="49" t="str">
        <f t="array" aca="1" ref="R152" ca="1">IFERROR(SMALL(IF(P$1:P$311&lt;&gt;0,P$1:P$311),ROW(A152)),"")</f>
        <v/>
      </c>
      <c r="S152" s="49" t="str">
        <f t="array" aca="1" ref="S152" ca="1">IF($R152&lt;&gt;"",
SUBSTITUTE(SUBSTITUTE(INDIRECT("C"&amp;$R152&amp;"")," 週3ｺｰｽ","")," 週5ｺｰｽ",""),"")</f>
        <v/>
      </c>
      <c r="T152" s="49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22" t="str">
        <f t="array" aca="1" ref="U152" ca="1">IF($R152&lt;&gt;"",
INDIRECT("F"&amp;$R152&amp;""),"")</f>
        <v/>
      </c>
      <c r="V152" s="49" t="str">
        <f t="array" aca="1" ref="V152" ca="1">IF($R152&lt;&gt;"",
INDIRECT("G"&amp;$R152&amp;""),"")</f>
        <v/>
      </c>
      <c r="W152" s="49" t="str">
        <f t="array" aca="1" ref="W152" ca="1">IF($R152&lt;&gt;"",
IF(AND(COUNTIF(INDIRECT("B"&amp;R152&amp;""),"*雙葉*"),COUNTIF(B:B,"*雙葉*")&gt;=2),
IF(OR(COUNTIF(INDIRECT("B"&amp;R152&amp;""),"*雙葉先生*"),COUNTIF($B$1:$B$70,"*雙葉*")&gt;=2),INDIRECT("H"&amp;R152&amp;""),INDIRECT("H"&amp;R152&amp;"")+INDIRECT("H"&amp;MATCH("雙葉'",INDIRECT("B"&amp;R152+3&amp;":B210"),0)+2+R152&amp;"")),
IF(AND(LEFT(INDIRECT("B"&amp;R152&amp;""),2)="博多",COUNTIF(B:B,"*博多*")&gt;=2),
INDIRECT("H"&amp;R152&amp;"")+INDIRECT("H"&amp;MATCH("*"&amp;INDIRECT("B"&amp;R152&amp;"")&amp;"*",INDIRECT("B"&amp;R152+1&amp;":B210"),0)+R152&amp;""),
IF(AND(LEFT(INDIRECT("B"&amp;R152&amp;""),3)="奈良屋",COUNTIF(B:B,"*奈良屋*")&gt;=2),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49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49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49" t="str">
        <f t="shared" ca="1" si="23"/>
        <v/>
      </c>
      <c r="AA152" s="49" t="str">
        <f t="shared" ca="1" si="24"/>
        <v/>
      </c>
      <c r="AB152" s="49" t="str">
        <f t="array" aca="1" ref="AB152" ca="1">IF($R152&lt;&gt;"",
IF(AND(COUNTIF(INDIRECT("B"&amp;R152&amp;""),"*雙葉*"),COUNTIF(B:B,"*雙葉*")&gt;=2),
INDIRECT("M"&amp;R152&amp;"")+INDIRECT("M"&amp;MATCH("雙葉'",INDIRECT("B"&amp;R152+1&amp;":B210"),0)+R152&amp;""),
IF(AND(LEFT(INDIRECT("B"&amp;R152&amp;""),2)="博多",COUNTIF(B:B,"*博多*")&gt;=2),
INDIRECT("M"&amp;R152&amp;"")+INDIRECT("M"&amp;MATCH("*"&amp;INDIRECT("B"&amp;R152&amp;"")&amp;"*",INDIRECT("B"&amp;R152+1&amp;":B210"),0)+R152&amp;""),
IF(AND(LEFT(INDIRECT("B"&amp;R152&amp;""),3)="奈良屋",COUNTIF(B:B,"*奈良屋*")&gt;=2),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  <c r="AC152" s="49" t="str">
        <f ca="1">IF(S152&lt;&gt;"",INDEX(A:A, MATCH("*"&amp;LEFT(S152,4)&amp;"*", C:C, 0)),"")</f>
        <v/>
      </c>
      <c r="AD152" s="49" t="str">
        <f ca="1">IFERROR(INDEX(AC:AC,MATCH(SMALL($AU:$AU,ROW()+3),$AU:$AU,0)),"")</f>
        <v/>
      </c>
      <c r="AE152" s="49" t="str">
        <f ca="1">IFERROR(INDEX(R:R,MATCH(SMALL($AU:$AU,ROW()+3),$AU:$AU,0)),"")</f>
        <v/>
      </c>
      <c r="AF152" s="49" t="str">
        <f ca="1">IFERROR(INDEX(S:S,MATCH(SMALL($AU:$AU,ROW()+3),$AU:$AU,0)),"")</f>
        <v/>
      </c>
      <c r="AG152" s="49" t="str">
        <f ca="1">IFERROR(INDEX(T:T,MATCH(SMALL($AU:$AU,ROW()+3),$AU:$AU,0)),"")</f>
        <v/>
      </c>
      <c r="AH152" s="122" t="str">
        <f ca="1">IFERROR(INDEX(U:U,MATCH(SMALL($AU:$AU,ROW()+3),$AU:$AU,0)),"")</f>
        <v/>
      </c>
      <c r="AI152" s="49" t="str">
        <f ca="1">IFERROR(INDEX(V:V,MATCH(SMALL($AU:$AU,ROW()+3),$AU:$AU,0)),"")</f>
        <v/>
      </c>
      <c r="AJ152" s="49" t="str">
        <f ca="1">IFERROR(INDEX(W:W,MATCH(SMALL($AU:$AU,ROW()+3),$AU:$AU,0)),"")</f>
        <v/>
      </c>
      <c r="AK152" s="49" t="str">
        <f ca="1">IFERROR(INDEX(X:X,MATCH(SMALL($AU:$AU,ROW()+3),$AU:$AU,0)),"")</f>
        <v/>
      </c>
      <c r="AL152" s="49" t="str">
        <f ca="1">IFERROR(INDEX(Y:Y,MATCH(SMALL($AU:$AU,ROW()+3),$AU:$AU,0)),"")</f>
        <v/>
      </c>
      <c r="AM152" s="49" t="str">
        <f ca="1">IFERROR(INDEX(Z:Z,MATCH(SMALL($AU:$AU,ROW()+3),$AU:$AU,0)),"")</f>
        <v/>
      </c>
      <c r="AN152" s="49" t="str">
        <f ca="1">IFERROR(INDEX(AA:AA,MATCH(SMALL($AU:$AU,ROW()+3),$AU:$AU,0)),"")</f>
        <v/>
      </c>
      <c r="AO152" s="49" t="str">
        <f ca="1">IFERROR(INDEX(AB:AB,MATCH(SMALL($AU:$AU,ROW()+3),$AU:$AU,0)),"")</f>
        <v/>
      </c>
      <c r="AP152" s="49" t="str">
        <f ca="1">IFERROR(INDEX(AC:AC,MATCH(SMALL($AU:$AU,ROW()+3),$AU:$AU,0)),"")</f>
        <v/>
      </c>
      <c r="AU152" s="49" t="str">
        <f t="shared" ca="1" si="25"/>
        <v/>
      </c>
    </row>
    <row r="153" spans="1:47" ht="22.2" customHeight="1">
      <c r="A153" s="115">
        <f t="shared" si="29"/>
        <v>31</v>
      </c>
      <c r="B153" s="114" t="str">
        <f t="shared" ca="1" si="26"/>
        <v/>
      </c>
      <c r="C153" s="114" t="str">
        <f>IF(OR(クライアント抽出!D13&lt;&gt;"",クライアント抽出!G13&lt;&gt;""),クライアント抽出!A13,"")</f>
        <v/>
      </c>
      <c r="D153" s="114" t="str">
        <f t="array" aca="1" ref="D153" ca="1">IF(C153&lt;&gt;"",INDIRECT("クライアント抽出!"&amp;E153&amp;MATCH(C153,クライアント抽出!A:A,0)&amp;""),"")</f>
        <v/>
      </c>
      <c r="E153" s="114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17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114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116" t="str">
        <f>IF(C153&lt;&gt;"",
クライアント抽出!D13,"")</f>
        <v/>
      </c>
      <c r="I153" s="114" t="str">
        <f>IF(C153&lt;&gt;"",
IF(O153=1,0,クライアント抽出!F13),"")</f>
        <v/>
      </c>
      <c r="J153" s="114" t="str">
        <f>IF(C153&lt;&gt;"",
VLOOKUP(
"*"&amp;LEFT(IF(COUNTIF(D153,"*学食*"),"キャラ弁（学食）",
IF(COUNTIF(D153,"*赤*"),"赤",
IF(COUNTIF(D153,"*キャラ弁当*"),"キャラ弁当",D153))),4)&amp;"*",注文弁当の抽出!$E$1:$F$15,2,FALSE),"")</f>
        <v/>
      </c>
      <c r="K153" s="114" t="str">
        <f ca="1">IF(クライアント抽出!R13&lt;&gt;"",SUBSTITUTE(ADDRESS(1,(CODE(クライアント抽出!R13)-64)*2-1,4),"1",""),"")</f>
        <v/>
      </c>
      <c r="L153" s="114" t="str">
        <f>IF(C13&lt;&gt;"",クライアント抽出!I13,"")</f>
        <v/>
      </c>
      <c r="M153" s="114">
        <f t="array" aca="1" ref="M153" ca="1">IF(C153&lt;&gt;"",
IF(K153&lt;&gt;"",INDIRECT("'数出表_Excel（アレルギー入力）'!"&amp;K153&amp;L153-1&amp;""),),)</f>
        <v>0</v>
      </c>
      <c r="N153" s="114" t="str">
        <f>IF(C153&lt;&gt;"",IF(OR(COUNTIF('盛付札（関数）'!D153,"*赤*"),COUNTIF('盛付札（関数）'!D153,"*キャラ*")),1,
VLOOKUP("*"&amp;D153&amp;"*",商品マスタ一覧!D:H,5,FALSE)),"")</f>
        <v/>
      </c>
      <c r="O153" s="114">
        <f t="shared" ca="1" si="28"/>
        <v>0</v>
      </c>
      <c r="P153" s="114">
        <f t="shared" si="21"/>
        <v>0</v>
      </c>
      <c r="Q153" s="114" t="b">
        <f t="shared" si="22"/>
        <v>0</v>
      </c>
      <c r="R153" s="49" t="str">
        <f t="array" aca="1" ref="R153" ca="1">IFERROR(SMALL(IF(P$1:P$311&lt;&gt;0,P$1:P$311),ROW(A153)),"")</f>
        <v/>
      </c>
      <c r="S153" s="49" t="str">
        <f t="array" aca="1" ref="S153" ca="1">IF($R153&lt;&gt;"",
SUBSTITUTE(SUBSTITUTE(INDIRECT("C"&amp;$R153&amp;"")," 週3ｺｰｽ","")," 週5ｺｰｽ",""),"")</f>
        <v/>
      </c>
      <c r="T153" s="49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22" t="str">
        <f t="array" aca="1" ref="U153" ca="1">IF($R153&lt;&gt;"",
INDIRECT("F"&amp;$R153&amp;""),"")</f>
        <v/>
      </c>
      <c r="V153" s="49" t="str">
        <f t="array" aca="1" ref="V153" ca="1">IF($R153&lt;&gt;"",
INDIRECT("G"&amp;$R153&amp;""),"")</f>
        <v/>
      </c>
      <c r="W153" s="49" t="str">
        <f t="array" aca="1" ref="W153" ca="1">IF($R153&lt;&gt;"",
IF(AND(COUNTIF(INDIRECT("B"&amp;R153&amp;""),"*雙葉*"),COUNTIF(B:B,"*雙葉*")&gt;=2),
IF(OR(COUNTIF(INDIRECT("B"&amp;R153&amp;""),"*雙葉先生*"),COUNTIF($B$1:$B$70,"*雙葉*")&gt;=2),INDIRECT("H"&amp;R153&amp;""),INDIRECT("H"&amp;R153&amp;"")+INDIRECT("H"&amp;MATCH("雙葉'",INDIRECT("B"&amp;R153+3&amp;":B210"),0)+2+R153&amp;"")),
IF(AND(LEFT(INDIRECT("B"&amp;R153&amp;""),2)="博多",COUNTIF(B:B,"*博多*")&gt;=2),
INDIRECT("H"&amp;R153&amp;"")+INDIRECT("H"&amp;MATCH("*"&amp;INDIRECT("B"&amp;R153&amp;"")&amp;"*",INDIRECT("B"&amp;R153+1&amp;":B210"),0)+R153&amp;""),
IF(AND(LEFT(INDIRECT("B"&amp;R153&amp;""),3)="奈良屋",COUNTIF(B:B,"*奈良屋*")&gt;=2),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49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49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49" t="str">
        <f t="shared" ca="1" si="23"/>
        <v/>
      </c>
      <c r="AA153" s="49" t="str">
        <f t="shared" ca="1" si="24"/>
        <v/>
      </c>
      <c r="AB153" s="49" t="str">
        <f t="array" aca="1" ref="AB153" ca="1">IF($R153&lt;&gt;"",
IF(AND(COUNTIF(INDIRECT("B"&amp;R153&amp;""),"*雙葉*"),COUNTIF(B:B,"*雙葉*")&gt;=2),
INDIRECT("M"&amp;R153&amp;"")+INDIRECT("M"&amp;MATCH("雙葉'",INDIRECT("B"&amp;R153+1&amp;":B210"),0)+R153&amp;""),
IF(AND(LEFT(INDIRECT("B"&amp;R153&amp;""),2)="博多",COUNTIF(B:B,"*博多*")&gt;=2),
INDIRECT("M"&amp;R153&amp;"")+INDIRECT("M"&amp;MATCH("*"&amp;INDIRECT("B"&amp;R153&amp;"")&amp;"*",INDIRECT("B"&amp;R153+1&amp;":B210"),0)+R153&amp;""),
IF(AND(LEFT(INDIRECT("B"&amp;R153&amp;""),3)="奈良屋",COUNTIF(B:B,"*奈良屋*")&gt;=2),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  <c r="AC153" s="49" t="str">
        <f ca="1">IF(S153&lt;&gt;"",INDEX(A:A, MATCH("*"&amp;LEFT(S153,4)&amp;"*", C:C, 0)),"")</f>
        <v/>
      </c>
      <c r="AD153" s="49" t="str">
        <f ca="1">IFERROR(INDEX(AC:AC,MATCH(SMALL($AU:$AU,ROW()+3),$AU:$AU,0)),"")</f>
        <v/>
      </c>
      <c r="AE153" s="49" t="str">
        <f ca="1">IFERROR(INDEX(R:R,MATCH(SMALL($AU:$AU,ROW()+3),$AU:$AU,0)),"")</f>
        <v/>
      </c>
      <c r="AF153" s="49" t="str">
        <f ca="1">IFERROR(INDEX(S:S,MATCH(SMALL($AU:$AU,ROW()+3),$AU:$AU,0)),"")</f>
        <v/>
      </c>
      <c r="AG153" s="49" t="str">
        <f ca="1">IFERROR(INDEX(T:T,MATCH(SMALL($AU:$AU,ROW()+3),$AU:$AU,0)),"")</f>
        <v/>
      </c>
      <c r="AH153" s="122" t="str">
        <f ca="1">IFERROR(INDEX(U:U,MATCH(SMALL($AU:$AU,ROW()+3),$AU:$AU,0)),"")</f>
        <v/>
      </c>
      <c r="AI153" s="49" t="str">
        <f ca="1">IFERROR(INDEX(V:V,MATCH(SMALL($AU:$AU,ROW()+3),$AU:$AU,0)),"")</f>
        <v/>
      </c>
      <c r="AJ153" s="49" t="str">
        <f ca="1">IFERROR(INDEX(W:W,MATCH(SMALL($AU:$AU,ROW()+3),$AU:$AU,0)),"")</f>
        <v/>
      </c>
      <c r="AK153" s="49" t="str">
        <f ca="1">IFERROR(INDEX(X:X,MATCH(SMALL($AU:$AU,ROW()+3),$AU:$AU,0)),"")</f>
        <v/>
      </c>
      <c r="AL153" s="49" t="str">
        <f ca="1">IFERROR(INDEX(Y:Y,MATCH(SMALL($AU:$AU,ROW()+3),$AU:$AU,0)),"")</f>
        <v/>
      </c>
      <c r="AM153" s="49" t="str">
        <f ca="1">IFERROR(INDEX(Z:Z,MATCH(SMALL($AU:$AU,ROW()+3),$AU:$AU,0)),"")</f>
        <v/>
      </c>
      <c r="AN153" s="49" t="str">
        <f ca="1">IFERROR(INDEX(AA:AA,MATCH(SMALL($AU:$AU,ROW()+3),$AU:$AU,0)),"")</f>
        <v/>
      </c>
      <c r="AO153" s="49" t="str">
        <f ca="1">IFERROR(INDEX(AB:AB,MATCH(SMALL($AU:$AU,ROW()+3),$AU:$AU,0)),"")</f>
        <v/>
      </c>
      <c r="AP153" s="49" t="str">
        <f ca="1">IFERROR(INDEX(AC:AC,MATCH(SMALL($AU:$AU,ROW()+3),$AU:$AU,0)),"")</f>
        <v/>
      </c>
      <c r="AU153" s="49" t="str">
        <f t="shared" ca="1" si="25"/>
        <v/>
      </c>
    </row>
    <row r="154" spans="1:47" ht="22.2" customHeight="1">
      <c r="A154" s="115">
        <f t="shared" si="29"/>
        <v>33</v>
      </c>
      <c r="B154" s="114" t="str">
        <f t="shared" ca="1" si="26"/>
        <v/>
      </c>
      <c r="C154" s="114" t="str">
        <f>IF(OR(クライアント抽出!D14&lt;&gt;"",クライアント抽出!G14&lt;&gt;""),クライアント抽出!A14,"")</f>
        <v/>
      </c>
      <c r="D154" s="114" t="str">
        <f t="array" aca="1" ref="D154" ca="1">IF(C154&lt;&gt;"",INDIRECT("クライアント抽出!"&amp;E154&amp;MATCH(C154,クライアント抽出!A:A,0)&amp;""),"")</f>
        <v/>
      </c>
      <c r="E154" s="114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17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114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116" t="str">
        <f>IF(C154&lt;&gt;"",
クライアント抽出!D14,"")</f>
        <v/>
      </c>
      <c r="I154" s="114" t="str">
        <f>IF(C154&lt;&gt;"",
IF(O154=1,0,クライアント抽出!F14),"")</f>
        <v/>
      </c>
      <c r="J154" s="114" t="str">
        <f>IF(C154&lt;&gt;"",
VLOOKUP(
"*"&amp;LEFT(IF(COUNTIF(D154,"*学食*"),"キャラ弁（学食）",
IF(COUNTIF(D154,"*赤*"),"赤",
IF(COUNTIF(D154,"*キャラ弁当*"),"キャラ弁当",D154))),4)&amp;"*",注文弁当の抽出!$E$1:$F$15,2,FALSE),"")</f>
        <v/>
      </c>
      <c r="K154" s="114" t="str">
        <f ca="1">IF(クライアント抽出!R14&lt;&gt;"",SUBSTITUTE(ADDRESS(1,(CODE(クライアント抽出!R14)-64)*2-1,4),"1",""),"")</f>
        <v/>
      </c>
      <c r="L154" s="114" t="str">
        <f>IF(C14&lt;&gt;"",クライアント抽出!I14,"")</f>
        <v/>
      </c>
      <c r="M154" s="114">
        <f t="array" aca="1" ref="M154" ca="1">IF(C154&lt;&gt;"",
IF(K154&lt;&gt;"",INDIRECT("'数出表_Excel（アレルギー入力）'!"&amp;K154&amp;L154-1&amp;""),),)</f>
        <v>0</v>
      </c>
      <c r="N154" s="114" t="str">
        <f>IF(C154&lt;&gt;"",IF(OR(COUNTIF('盛付札（関数）'!D154,"*赤*"),COUNTIF('盛付札（関数）'!D154,"*キャラ*")),1,
VLOOKUP("*"&amp;D154&amp;"*",商品マスタ一覧!D:H,5,FALSE)),"")</f>
        <v/>
      </c>
      <c r="O154" s="114">
        <f t="shared" ca="1" si="28"/>
        <v>0</v>
      </c>
      <c r="P154" s="114">
        <f t="shared" si="21"/>
        <v>0</v>
      </c>
      <c r="Q154" s="114" t="b">
        <f t="shared" si="22"/>
        <v>0</v>
      </c>
      <c r="R154" s="49" t="str">
        <f t="array" aca="1" ref="R154" ca="1">IFERROR(SMALL(IF(P$1:P$311&lt;&gt;0,P$1:P$311),ROW(A154)),"")</f>
        <v/>
      </c>
      <c r="S154" s="49" t="str">
        <f t="array" aca="1" ref="S154" ca="1">IF($R154&lt;&gt;"",
SUBSTITUTE(SUBSTITUTE(INDIRECT("C"&amp;$R154&amp;"")," 週3ｺｰｽ","")," 週5ｺｰｽ",""),"")</f>
        <v/>
      </c>
      <c r="T154" s="49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22" t="str">
        <f t="array" aca="1" ref="U154" ca="1">IF($R154&lt;&gt;"",
INDIRECT("F"&amp;$R154&amp;""),"")</f>
        <v/>
      </c>
      <c r="V154" s="49" t="str">
        <f t="array" aca="1" ref="V154" ca="1">IF($R154&lt;&gt;"",
INDIRECT("G"&amp;$R154&amp;""),"")</f>
        <v/>
      </c>
      <c r="W154" s="49" t="str">
        <f t="array" aca="1" ref="W154" ca="1">IF($R154&lt;&gt;"",
IF(AND(COUNTIF(INDIRECT("B"&amp;R154&amp;""),"*雙葉*"),COUNTIF(B:B,"*雙葉*")&gt;=2),
IF(OR(COUNTIF(INDIRECT("B"&amp;R154&amp;""),"*雙葉先生*"),COUNTIF($B$1:$B$70,"*雙葉*")&gt;=2),INDIRECT("H"&amp;R154&amp;""),INDIRECT("H"&amp;R154&amp;"")+INDIRECT("H"&amp;MATCH("雙葉'",INDIRECT("B"&amp;R154+3&amp;":B210"),0)+2+R154&amp;"")),
IF(AND(LEFT(INDIRECT("B"&amp;R154&amp;""),2)="博多",COUNTIF(B:B,"*博多*")&gt;=2),
INDIRECT("H"&amp;R154&amp;"")+INDIRECT("H"&amp;MATCH("*"&amp;INDIRECT("B"&amp;R154&amp;"")&amp;"*",INDIRECT("B"&amp;R154+1&amp;":B210"),0)+R154&amp;""),
IF(AND(LEFT(INDIRECT("B"&amp;R154&amp;""),3)="奈良屋",COUNTIF(B:B,"*奈良屋*")&gt;=2),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49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49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49" t="str">
        <f t="shared" ca="1" si="23"/>
        <v/>
      </c>
      <c r="AA154" s="49" t="str">
        <f t="shared" ca="1" si="24"/>
        <v/>
      </c>
      <c r="AB154" s="49" t="str">
        <f t="array" aca="1" ref="AB154" ca="1">IF($R154&lt;&gt;"",
IF(AND(COUNTIF(INDIRECT("B"&amp;R154&amp;""),"*雙葉*"),COUNTIF(B:B,"*雙葉*")&gt;=2),
INDIRECT("M"&amp;R154&amp;"")+INDIRECT("M"&amp;MATCH("雙葉'",INDIRECT("B"&amp;R154+1&amp;":B210"),0)+R154&amp;""),
IF(AND(LEFT(INDIRECT("B"&amp;R154&amp;""),2)="博多",COUNTIF(B:B,"*博多*")&gt;=2),
INDIRECT("M"&amp;R154&amp;"")+INDIRECT("M"&amp;MATCH("*"&amp;INDIRECT("B"&amp;R154&amp;"")&amp;"*",INDIRECT("B"&amp;R154+1&amp;":B210"),0)+R154&amp;""),
IF(AND(LEFT(INDIRECT("B"&amp;R154&amp;""),3)="奈良屋",COUNTIF(B:B,"*奈良屋*")&gt;=2),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  <c r="AC154" s="49" t="str">
        <f ca="1">IF(S154&lt;&gt;"",INDEX(A:A, MATCH("*"&amp;LEFT(S154,4)&amp;"*", C:C, 0)),"")</f>
        <v/>
      </c>
      <c r="AD154" s="49" t="str">
        <f ca="1">IFERROR(INDEX(AC:AC,MATCH(SMALL($AU:$AU,ROW()+3),$AU:$AU,0)),"")</f>
        <v/>
      </c>
      <c r="AE154" s="49" t="str">
        <f ca="1">IFERROR(INDEX(R:R,MATCH(SMALL($AU:$AU,ROW()+3),$AU:$AU,0)),"")</f>
        <v/>
      </c>
      <c r="AF154" s="49" t="str">
        <f ca="1">IFERROR(INDEX(S:S,MATCH(SMALL($AU:$AU,ROW()+3),$AU:$AU,0)),"")</f>
        <v/>
      </c>
      <c r="AG154" s="49" t="str">
        <f ca="1">IFERROR(INDEX(T:T,MATCH(SMALL($AU:$AU,ROW()+3),$AU:$AU,0)),"")</f>
        <v/>
      </c>
      <c r="AH154" s="122" t="str">
        <f ca="1">IFERROR(INDEX(U:U,MATCH(SMALL($AU:$AU,ROW()+3),$AU:$AU,0)),"")</f>
        <v/>
      </c>
      <c r="AI154" s="49" t="str">
        <f ca="1">IFERROR(INDEX(V:V,MATCH(SMALL($AU:$AU,ROW()+3),$AU:$AU,0)),"")</f>
        <v/>
      </c>
      <c r="AJ154" s="49" t="str">
        <f ca="1">IFERROR(INDEX(W:W,MATCH(SMALL($AU:$AU,ROW()+3),$AU:$AU,0)),"")</f>
        <v/>
      </c>
      <c r="AK154" s="49" t="str">
        <f ca="1">IFERROR(INDEX(X:X,MATCH(SMALL($AU:$AU,ROW()+3),$AU:$AU,0)),"")</f>
        <v/>
      </c>
      <c r="AL154" s="49" t="str">
        <f ca="1">IFERROR(INDEX(Y:Y,MATCH(SMALL($AU:$AU,ROW()+3),$AU:$AU,0)),"")</f>
        <v/>
      </c>
      <c r="AM154" s="49" t="str">
        <f ca="1">IFERROR(INDEX(Z:Z,MATCH(SMALL($AU:$AU,ROW()+3),$AU:$AU,0)),"")</f>
        <v/>
      </c>
      <c r="AN154" s="49" t="str">
        <f ca="1">IFERROR(INDEX(AA:AA,MATCH(SMALL($AU:$AU,ROW()+3),$AU:$AU,0)),"")</f>
        <v/>
      </c>
      <c r="AO154" s="49" t="str">
        <f ca="1">IFERROR(INDEX(AB:AB,MATCH(SMALL($AU:$AU,ROW()+3),$AU:$AU,0)),"")</f>
        <v/>
      </c>
      <c r="AP154" s="49" t="str">
        <f ca="1">IFERROR(INDEX(AC:AC,MATCH(SMALL($AU:$AU,ROW()+3),$AU:$AU,0)),"")</f>
        <v/>
      </c>
      <c r="AU154" s="49" t="str">
        <f t="shared" ca="1" si="25"/>
        <v/>
      </c>
    </row>
    <row r="155" spans="1:47" ht="22.2" customHeight="1">
      <c r="A155" s="115">
        <f t="shared" si="29"/>
        <v>35</v>
      </c>
      <c r="B155" s="114" t="str">
        <f t="shared" ca="1" si="26"/>
        <v/>
      </c>
      <c r="C155" s="114" t="str">
        <f>IF(OR(クライアント抽出!D15&lt;&gt;"",クライアント抽出!G15&lt;&gt;""),クライアント抽出!A15,"")</f>
        <v/>
      </c>
      <c r="D155" s="114" t="str">
        <f t="array" aca="1" ref="D155" ca="1">IF(C155&lt;&gt;"",INDIRECT("クライアント抽出!"&amp;E155&amp;MATCH(C155,クライアント抽出!A:A,0)&amp;""),"")</f>
        <v/>
      </c>
      <c r="E155" s="114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17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114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116" t="str">
        <f>IF(C155&lt;&gt;"",
クライアント抽出!D15,"")</f>
        <v/>
      </c>
      <c r="I155" s="114" t="str">
        <f>IF(C155&lt;&gt;"",
IF(O155=1,0,クライアント抽出!F15),"")</f>
        <v/>
      </c>
      <c r="J155" s="114" t="str">
        <f>IF(C155&lt;&gt;"",
VLOOKUP(
"*"&amp;LEFT(IF(COUNTIF(D155,"*学食*"),"キャラ弁（学食）",
IF(COUNTIF(D155,"*赤*"),"赤",
IF(COUNTIF(D155,"*キャラ弁当*"),"キャラ弁当",D155))),4)&amp;"*",注文弁当の抽出!$E$1:$F$15,2,FALSE),"")</f>
        <v/>
      </c>
      <c r="K155" s="114" t="str">
        <f ca="1">IF(クライアント抽出!R15&lt;&gt;"",SUBSTITUTE(ADDRESS(1,(CODE(クライアント抽出!R15)-64)*2-1,4),"1",""),"")</f>
        <v/>
      </c>
      <c r="L155" s="114" t="str">
        <f>IF(C15&lt;&gt;"",クライアント抽出!I15,"")</f>
        <v/>
      </c>
      <c r="M155" s="114">
        <f t="array" aca="1" ref="M155" ca="1">IF(C155&lt;&gt;"",
IF(K155&lt;&gt;"",INDIRECT("'数出表_Excel（アレルギー入力）'!"&amp;K155&amp;L155-1&amp;""),),)</f>
        <v>0</v>
      </c>
      <c r="N155" s="114" t="str">
        <f>IF(C155&lt;&gt;"",IF(OR(COUNTIF('盛付札（関数）'!D155,"*赤*"),COUNTIF('盛付札（関数）'!D155,"*キャラ*")),1,
VLOOKUP("*"&amp;D155&amp;"*",商品マスタ一覧!D:H,5,FALSE)),"")</f>
        <v/>
      </c>
      <c r="O155" s="114">
        <f t="shared" ca="1" si="28"/>
        <v>0</v>
      </c>
      <c r="P155" s="114">
        <f t="shared" si="21"/>
        <v>0</v>
      </c>
      <c r="Q155" s="114" t="b">
        <f t="shared" si="22"/>
        <v>0</v>
      </c>
      <c r="R155" s="49" t="str">
        <f t="array" aca="1" ref="R155" ca="1">IFERROR(SMALL(IF(P$1:P$311&lt;&gt;0,P$1:P$311),ROW(A155)),"")</f>
        <v/>
      </c>
      <c r="S155" s="49" t="str">
        <f t="array" aca="1" ref="S155" ca="1">IF($R155&lt;&gt;"",
SUBSTITUTE(SUBSTITUTE(INDIRECT("C"&amp;$R155&amp;"")," 週3ｺｰｽ","")," 週5ｺｰｽ",""),"")</f>
        <v/>
      </c>
      <c r="T155" s="49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22" t="str">
        <f t="array" aca="1" ref="U155" ca="1">IF($R155&lt;&gt;"",
INDIRECT("F"&amp;$R155&amp;""),"")</f>
        <v/>
      </c>
      <c r="V155" s="49" t="str">
        <f t="array" aca="1" ref="V155" ca="1">IF($R155&lt;&gt;"",
INDIRECT("G"&amp;$R155&amp;""),"")</f>
        <v/>
      </c>
      <c r="W155" s="49" t="str">
        <f t="array" aca="1" ref="W155" ca="1">IF($R155&lt;&gt;"",
IF(AND(COUNTIF(INDIRECT("B"&amp;R155&amp;""),"*雙葉*"),COUNTIF(B:B,"*雙葉*")&gt;=2),
IF(OR(COUNTIF(INDIRECT("B"&amp;R155&amp;""),"*雙葉先生*"),COUNTIF($B$1:$B$70,"*雙葉*")&gt;=2),INDIRECT("H"&amp;R155&amp;""),INDIRECT("H"&amp;R155&amp;"")+INDIRECT("H"&amp;MATCH("雙葉'",INDIRECT("B"&amp;R155+3&amp;":B210"),0)+2+R155&amp;"")),
IF(AND(LEFT(INDIRECT("B"&amp;R155&amp;""),2)="博多",COUNTIF(B:B,"*博多*")&gt;=2),
INDIRECT("H"&amp;R155&amp;"")+INDIRECT("H"&amp;MATCH("*"&amp;INDIRECT("B"&amp;R155&amp;"")&amp;"*",INDIRECT("B"&amp;R155+1&amp;":B210"),0)+R155&amp;""),
IF(AND(LEFT(INDIRECT("B"&amp;R155&amp;""),3)="奈良屋",COUNTIF(B:B,"*奈良屋*")&gt;=2),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49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49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49" t="str">
        <f t="shared" ca="1" si="23"/>
        <v/>
      </c>
      <c r="AA155" s="49" t="str">
        <f t="shared" ca="1" si="24"/>
        <v/>
      </c>
      <c r="AB155" s="49" t="str">
        <f t="array" aca="1" ref="AB155" ca="1">IF($R155&lt;&gt;"",
IF(AND(COUNTIF(INDIRECT("B"&amp;R155&amp;""),"*雙葉*"),COUNTIF(B:B,"*雙葉*")&gt;=2),
INDIRECT("M"&amp;R155&amp;"")+INDIRECT("M"&amp;MATCH("雙葉'",INDIRECT("B"&amp;R155+1&amp;":B210"),0)+R155&amp;""),
IF(AND(LEFT(INDIRECT("B"&amp;R155&amp;""),2)="博多",COUNTIF(B:B,"*博多*")&gt;=2),
INDIRECT("M"&amp;R155&amp;"")+INDIRECT("M"&amp;MATCH("*"&amp;INDIRECT("B"&amp;R155&amp;"")&amp;"*",INDIRECT("B"&amp;R155+1&amp;":B210"),0)+R155&amp;""),
IF(AND(LEFT(INDIRECT("B"&amp;R155&amp;""),3)="奈良屋",COUNTIF(B:B,"*奈良屋*")&gt;=2),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  <c r="AC155" s="49" t="str">
        <f ca="1">IF(S155&lt;&gt;"",INDEX(A:A, MATCH("*"&amp;LEFT(S155,4)&amp;"*", C:C, 0)),"")</f>
        <v/>
      </c>
      <c r="AD155" s="49" t="str">
        <f ca="1">IFERROR(INDEX(AC:AC,MATCH(SMALL($AU:$AU,ROW()+3),$AU:$AU,0)),"")</f>
        <v/>
      </c>
      <c r="AE155" s="49" t="str">
        <f ca="1">IFERROR(INDEX(R:R,MATCH(SMALL($AU:$AU,ROW()+3),$AU:$AU,0)),"")</f>
        <v/>
      </c>
      <c r="AF155" s="49" t="str">
        <f ca="1">IFERROR(INDEX(S:S,MATCH(SMALL($AU:$AU,ROW()+3),$AU:$AU,0)),"")</f>
        <v/>
      </c>
      <c r="AG155" s="49" t="str">
        <f ca="1">IFERROR(INDEX(T:T,MATCH(SMALL($AU:$AU,ROW()+3),$AU:$AU,0)),"")</f>
        <v/>
      </c>
      <c r="AH155" s="122" t="str">
        <f ca="1">IFERROR(INDEX(U:U,MATCH(SMALL($AU:$AU,ROW()+3),$AU:$AU,0)),"")</f>
        <v/>
      </c>
      <c r="AI155" s="49" t="str">
        <f ca="1">IFERROR(INDEX(V:V,MATCH(SMALL($AU:$AU,ROW()+3),$AU:$AU,0)),"")</f>
        <v/>
      </c>
      <c r="AJ155" s="49" t="str">
        <f ca="1">IFERROR(INDEX(W:W,MATCH(SMALL($AU:$AU,ROW()+3),$AU:$AU,0)),"")</f>
        <v/>
      </c>
      <c r="AK155" s="49" t="str">
        <f ca="1">IFERROR(INDEX(X:X,MATCH(SMALL($AU:$AU,ROW()+3),$AU:$AU,0)),"")</f>
        <v/>
      </c>
      <c r="AL155" s="49" t="str">
        <f ca="1">IFERROR(INDEX(Y:Y,MATCH(SMALL($AU:$AU,ROW()+3),$AU:$AU,0)),"")</f>
        <v/>
      </c>
      <c r="AM155" s="49" t="str">
        <f ca="1">IFERROR(INDEX(Z:Z,MATCH(SMALL($AU:$AU,ROW()+3),$AU:$AU,0)),"")</f>
        <v/>
      </c>
      <c r="AN155" s="49" t="str">
        <f ca="1">IFERROR(INDEX(AA:AA,MATCH(SMALL($AU:$AU,ROW()+3),$AU:$AU,0)),"")</f>
        <v/>
      </c>
      <c r="AO155" s="49" t="str">
        <f ca="1">IFERROR(INDEX(AB:AB,MATCH(SMALL($AU:$AU,ROW()+3),$AU:$AU,0)),"")</f>
        <v/>
      </c>
      <c r="AP155" s="49" t="str">
        <f ca="1">IFERROR(INDEX(AC:AC,MATCH(SMALL($AU:$AU,ROW()+3),$AU:$AU,0)),"")</f>
        <v/>
      </c>
      <c r="AU155" s="49" t="str">
        <f t="shared" ca="1" si="25"/>
        <v/>
      </c>
    </row>
    <row r="156" spans="1:47" ht="22.2" customHeight="1">
      <c r="A156" s="115">
        <f t="shared" si="29"/>
        <v>37</v>
      </c>
      <c r="B156" s="114" t="str">
        <f t="shared" ca="1" si="26"/>
        <v/>
      </c>
      <c r="C156" s="114" t="str">
        <f>IF(OR(クライアント抽出!D16&lt;&gt;"",クライアント抽出!G16&lt;&gt;""),クライアント抽出!A16,"")</f>
        <v/>
      </c>
      <c r="D156" s="114" t="str">
        <f t="array" aca="1" ref="D156" ca="1">IF(C156&lt;&gt;"",INDIRECT("クライアント抽出!"&amp;E156&amp;MATCH(C156,クライアント抽出!A:A,0)&amp;""),"")</f>
        <v/>
      </c>
      <c r="E156" s="114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17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114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116" t="str">
        <f>IF(C156&lt;&gt;"",
クライアント抽出!D16,"")</f>
        <v/>
      </c>
      <c r="I156" s="114" t="str">
        <f>IF(C156&lt;&gt;"",
IF(O156=1,0,クライアント抽出!F16),"")</f>
        <v/>
      </c>
      <c r="J156" s="114" t="str">
        <f>IF(C156&lt;&gt;"",
VLOOKUP(
"*"&amp;LEFT(IF(COUNTIF(D156,"*学食*"),"キャラ弁（学食）",
IF(COUNTIF(D156,"*赤*"),"赤",
IF(COUNTIF(D156,"*キャラ弁当*"),"キャラ弁当",D156))),4)&amp;"*",注文弁当の抽出!$E$1:$F$15,2,FALSE),"")</f>
        <v/>
      </c>
      <c r="K156" s="114" t="str">
        <f ca="1">IF(クライアント抽出!R16&lt;&gt;"",SUBSTITUTE(ADDRESS(1,(CODE(クライアント抽出!R16)-64)*2-1,4),"1",""),"")</f>
        <v/>
      </c>
      <c r="L156" s="114" t="str">
        <f>IF(C16&lt;&gt;"",クライアント抽出!I16,"")</f>
        <v/>
      </c>
      <c r="M156" s="114">
        <f t="array" aca="1" ref="M156" ca="1">IF(C156&lt;&gt;"",
IF(K156&lt;&gt;"",INDIRECT("'数出表_Excel（アレルギー入力）'!"&amp;K156&amp;L156-1&amp;""),),)</f>
        <v>0</v>
      </c>
      <c r="N156" s="114" t="str">
        <f>IF(C156&lt;&gt;"",IF(OR(COUNTIF('盛付札（関数）'!D156,"*赤*"),COUNTIF('盛付札（関数）'!D156,"*キャラ*")),1,
VLOOKUP("*"&amp;D156&amp;"*",商品マスタ一覧!D:H,5,FALSE)),"")</f>
        <v/>
      </c>
      <c r="O156" s="114">
        <f t="shared" ca="1" si="28"/>
        <v>0</v>
      </c>
      <c r="P156" s="114">
        <f t="shared" si="21"/>
        <v>0</v>
      </c>
      <c r="Q156" s="114" t="b">
        <f t="shared" si="22"/>
        <v>0</v>
      </c>
      <c r="R156" s="49" t="str">
        <f t="array" aca="1" ref="R156" ca="1">IFERROR(SMALL(IF(P$1:P$311&lt;&gt;0,P$1:P$311),ROW(A156)),"")</f>
        <v/>
      </c>
      <c r="S156" s="49" t="str">
        <f t="array" aca="1" ref="S156" ca="1">IF($R156&lt;&gt;"",
SUBSTITUTE(SUBSTITUTE(INDIRECT("C"&amp;$R156&amp;"")," 週3ｺｰｽ","")," 週5ｺｰｽ",""),"")</f>
        <v/>
      </c>
      <c r="T156" s="49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22" t="str">
        <f t="array" aca="1" ref="U156" ca="1">IF($R156&lt;&gt;"",
INDIRECT("F"&amp;$R156&amp;""),"")</f>
        <v/>
      </c>
      <c r="V156" s="49" t="str">
        <f t="array" aca="1" ref="V156" ca="1">IF($R156&lt;&gt;"",
INDIRECT("G"&amp;$R156&amp;""),"")</f>
        <v/>
      </c>
      <c r="W156" s="49" t="str">
        <f t="array" aca="1" ref="W156" ca="1">IF($R156&lt;&gt;"",
IF(AND(COUNTIF(INDIRECT("B"&amp;R156&amp;""),"*雙葉*"),COUNTIF(B:B,"*雙葉*")&gt;=2),
IF(OR(COUNTIF(INDIRECT("B"&amp;R156&amp;""),"*雙葉先生*"),COUNTIF($B$1:$B$70,"*雙葉*")&gt;=2),INDIRECT("H"&amp;R156&amp;""),INDIRECT("H"&amp;R156&amp;"")+INDIRECT("H"&amp;MATCH("雙葉'",INDIRECT("B"&amp;R156+3&amp;":B210"),0)+2+R156&amp;"")),
IF(AND(LEFT(INDIRECT("B"&amp;R156&amp;""),2)="博多",COUNTIF(B:B,"*博多*")&gt;=2),
INDIRECT("H"&amp;R156&amp;"")+INDIRECT("H"&amp;MATCH("*"&amp;INDIRECT("B"&amp;R156&amp;"")&amp;"*",INDIRECT("B"&amp;R156+1&amp;":B210"),0)+R156&amp;""),
IF(AND(LEFT(INDIRECT("B"&amp;R156&amp;""),3)="奈良屋",COUNTIF(B:B,"*奈良屋*")&gt;=2),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49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49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49" t="str">
        <f t="shared" ca="1" si="23"/>
        <v/>
      </c>
      <c r="AA156" s="49" t="str">
        <f t="shared" ca="1" si="24"/>
        <v/>
      </c>
      <c r="AB156" s="49" t="str">
        <f t="array" aca="1" ref="AB156" ca="1">IF($R156&lt;&gt;"",
IF(AND(COUNTIF(INDIRECT("B"&amp;R156&amp;""),"*雙葉*"),COUNTIF(B:B,"*雙葉*")&gt;=2),
INDIRECT("M"&amp;R156&amp;"")+INDIRECT("M"&amp;MATCH("雙葉'",INDIRECT("B"&amp;R156+1&amp;":B210"),0)+R156&amp;""),
IF(AND(LEFT(INDIRECT("B"&amp;R156&amp;""),2)="博多",COUNTIF(B:B,"*博多*")&gt;=2),
INDIRECT("M"&amp;R156&amp;"")+INDIRECT("M"&amp;MATCH("*"&amp;INDIRECT("B"&amp;R156&amp;"")&amp;"*",INDIRECT("B"&amp;R156+1&amp;":B210"),0)+R156&amp;""),
IF(AND(LEFT(INDIRECT("B"&amp;R156&amp;""),3)="奈良屋",COUNTIF(B:B,"*奈良屋*")&gt;=2),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  <c r="AC156" s="49" t="str">
        <f ca="1">IF(S156&lt;&gt;"",INDEX(A:A, MATCH("*"&amp;LEFT(S156,4)&amp;"*", C:C, 0)),"")</f>
        <v/>
      </c>
      <c r="AD156" s="49" t="str">
        <f ca="1">IFERROR(INDEX(AC:AC,MATCH(SMALL($AU:$AU,ROW()+3),$AU:$AU,0)),"")</f>
        <v/>
      </c>
      <c r="AE156" s="49" t="str">
        <f ca="1">IFERROR(INDEX(R:R,MATCH(SMALL($AU:$AU,ROW()+3),$AU:$AU,0)),"")</f>
        <v/>
      </c>
      <c r="AF156" s="49" t="str">
        <f ca="1">IFERROR(INDEX(S:S,MATCH(SMALL($AU:$AU,ROW()+3),$AU:$AU,0)),"")</f>
        <v/>
      </c>
      <c r="AG156" s="49" t="str">
        <f ca="1">IFERROR(INDEX(T:T,MATCH(SMALL($AU:$AU,ROW()+3),$AU:$AU,0)),"")</f>
        <v/>
      </c>
      <c r="AH156" s="122" t="str">
        <f ca="1">IFERROR(INDEX(U:U,MATCH(SMALL($AU:$AU,ROW()+3),$AU:$AU,0)),"")</f>
        <v/>
      </c>
      <c r="AI156" s="49" t="str">
        <f ca="1">IFERROR(INDEX(V:V,MATCH(SMALL($AU:$AU,ROW()+3),$AU:$AU,0)),"")</f>
        <v/>
      </c>
      <c r="AJ156" s="49" t="str">
        <f ca="1">IFERROR(INDEX(W:W,MATCH(SMALL($AU:$AU,ROW()+3),$AU:$AU,0)),"")</f>
        <v/>
      </c>
      <c r="AK156" s="49" t="str">
        <f ca="1">IFERROR(INDEX(X:X,MATCH(SMALL($AU:$AU,ROW()+3),$AU:$AU,0)),"")</f>
        <v/>
      </c>
      <c r="AL156" s="49" t="str">
        <f ca="1">IFERROR(INDEX(Y:Y,MATCH(SMALL($AU:$AU,ROW()+3),$AU:$AU,0)),"")</f>
        <v/>
      </c>
      <c r="AM156" s="49" t="str">
        <f ca="1">IFERROR(INDEX(Z:Z,MATCH(SMALL($AU:$AU,ROW()+3),$AU:$AU,0)),"")</f>
        <v/>
      </c>
      <c r="AN156" s="49" t="str">
        <f ca="1">IFERROR(INDEX(AA:AA,MATCH(SMALL($AU:$AU,ROW()+3),$AU:$AU,0)),"")</f>
        <v/>
      </c>
      <c r="AO156" s="49" t="str">
        <f ca="1">IFERROR(INDEX(AB:AB,MATCH(SMALL($AU:$AU,ROW()+3),$AU:$AU,0)),"")</f>
        <v/>
      </c>
      <c r="AP156" s="49" t="str">
        <f ca="1">IFERROR(INDEX(AC:AC,MATCH(SMALL($AU:$AU,ROW()+3),$AU:$AU,0)),"")</f>
        <v/>
      </c>
      <c r="AU156" s="49" t="str">
        <f t="shared" ca="1" si="25"/>
        <v/>
      </c>
    </row>
    <row r="157" spans="1:47" ht="22.2" customHeight="1">
      <c r="A157" s="115">
        <f t="shared" si="29"/>
        <v>39</v>
      </c>
      <c r="B157" s="114" t="str">
        <f t="shared" ca="1" si="26"/>
        <v/>
      </c>
      <c r="C157" s="114" t="str">
        <f>IF(OR(クライアント抽出!D17&lt;&gt;"",クライアント抽出!G17&lt;&gt;""),クライアント抽出!A17,"")</f>
        <v/>
      </c>
      <c r="D157" s="114" t="str">
        <f t="array" aca="1" ref="D157" ca="1">IF(C157&lt;&gt;"",INDIRECT("クライアント抽出!"&amp;E157&amp;MATCH(C157,クライアント抽出!A:A,0)&amp;""),"")</f>
        <v/>
      </c>
      <c r="E157" s="114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17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114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116" t="str">
        <f>IF(C157&lt;&gt;"",
クライアント抽出!D17,"")</f>
        <v/>
      </c>
      <c r="I157" s="114" t="str">
        <f>IF(C157&lt;&gt;"",
IF(O157=1,0,クライアント抽出!F17),"")</f>
        <v/>
      </c>
      <c r="J157" s="114" t="str">
        <f>IF(C157&lt;&gt;"",
VLOOKUP(
"*"&amp;LEFT(IF(COUNTIF(D157,"*学食*"),"キャラ弁（学食）",
IF(COUNTIF(D157,"*赤*"),"赤",
IF(COUNTIF(D157,"*キャラ弁当*"),"キャラ弁当",D157))),4)&amp;"*",注文弁当の抽出!$E$1:$F$15,2,FALSE),"")</f>
        <v/>
      </c>
      <c r="K157" s="114" t="str">
        <f ca="1">IF(クライアント抽出!R17&lt;&gt;"",SUBSTITUTE(ADDRESS(1,(CODE(クライアント抽出!R17)-64)*2-1,4),"1",""),"")</f>
        <v/>
      </c>
      <c r="L157" s="114" t="str">
        <f>IF(C17&lt;&gt;"",クライアント抽出!I17,"")</f>
        <v/>
      </c>
      <c r="M157" s="114">
        <f t="array" aca="1" ref="M157" ca="1">IF(C157&lt;&gt;"",
IF(K157&lt;&gt;"",INDIRECT("'数出表_Excel（アレルギー入力）'!"&amp;K157&amp;L157-1&amp;""),),)</f>
        <v>0</v>
      </c>
      <c r="N157" s="114" t="str">
        <f>IF(C157&lt;&gt;"",IF(OR(COUNTIF('盛付札（関数）'!D157,"*赤*"),COUNTIF('盛付札（関数）'!D157,"*キャラ*")),1,
VLOOKUP("*"&amp;D157&amp;"*",商品マスタ一覧!D:H,5,FALSE)),"")</f>
        <v/>
      </c>
      <c r="O157" s="114">
        <f t="shared" ca="1" si="28"/>
        <v>0</v>
      </c>
      <c r="P157" s="114">
        <f t="shared" si="21"/>
        <v>0</v>
      </c>
      <c r="Q157" s="114" t="b">
        <f t="shared" si="22"/>
        <v>0</v>
      </c>
      <c r="R157" s="49" t="str">
        <f t="array" aca="1" ref="R157" ca="1">IFERROR(SMALL(IF(P$1:P$311&lt;&gt;0,P$1:P$311),ROW(A157)),"")</f>
        <v/>
      </c>
      <c r="S157" s="49" t="str">
        <f t="array" aca="1" ref="S157" ca="1">IF($R157&lt;&gt;"",
SUBSTITUTE(SUBSTITUTE(INDIRECT("C"&amp;$R157&amp;"")," 週3ｺｰｽ","")," 週5ｺｰｽ",""),"")</f>
        <v/>
      </c>
      <c r="T157" s="49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22" t="str">
        <f t="array" aca="1" ref="U157" ca="1">IF($R157&lt;&gt;"",
INDIRECT("F"&amp;$R157&amp;""),"")</f>
        <v/>
      </c>
      <c r="V157" s="49" t="str">
        <f t="array" aca="1" ref="V157" ca="1">IF($R157&lt;&gt;"",
INDIRECT("G"&amp;$R157&amp;""),"")</f>
        <v/>
      </c>
      <c r="W157" s="49" t="str">
        <f t="array" aca="1" ref="W157" ca="1">IF($R157&lt;&gt;"",
IF(AND(COUNTIF(INDIRECT("B"&amp;R157&amp;""),"*雙葉*"),COUNTIF(B:B,"*雙葉*")&gt;=2),
IF(OR(COUNTIF(INDIRECT("B"&amp;R157&amp;""),"*雙葉先生*"),COUNTIF($B$1:$B$70,"*雙葉*")&gt;=2),INDIRECT("H"&amp;R157&amp;""),INDIRECT("H"&amp;R157&amp;"")+INDIRECT("H"&amp;MATCH("雙葉'",INDIRECT("B"&amp;R157+3&amp;":B210"),0)+2+R157&amp;"")),
IF(AND(LEFT(INDIRECT("B"&amp;R157&amp;""),2)="博多",COUNTIF(B:B,"*博多*")&gt;=2),
INDIRECT("H"&amp;R157&amp;"")+INDIRECT("H"&amp;MATCH("*"&amp;INDIRECT("B"&amp;R157&amp;"")&amp;"*",INDIRECT("B"&amp;R157+1&amp;":B210"),0)+R157&amp;""),
IF(AND(LEFT(INDIRECT("B"&amp;R157&amp;""),3)="奈良屋",COUNTIF(B:B,"*奈良屋*")&gt;=2),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49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49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49" t="str">
        <f t="shared" ca="1" si="23"/>
        <v/>
      </c>
      <c r="AA157" s="49" t="str">
        <f t="shared" ca="1" si="24"/>
        <v/>
      </c>
      <c r="AB157" s="49" t="str">
        <f t="array" aca="1" ref="AB157" ca="1">IF($R157&lt;&gt;"",
IF(AND(COUNTIF(INDIRECT("B"&amp;R157&amp;""),"*雙葉*"),COUNTIF(B:B,"*雙葉*")&gt;=2),
INDIRECT("M"&amp;R157&amp;"")+INDIRECT("M"&amp;MATCH("雙葉'",INDIRECT("B"&amp;R157+1&amp;":B210"),0)+R157&amp;""),
IF(AND(LEFT(INDIRECT("B"&amp;R157&amp;""),2)="博多",COUNTIF(B:B,"*博多*")&gt;=2),
INDIRECT("M"&amp;R157&amp;"")+INDIRECT("M"&amp;MATCH("*"&amp;INDIRECT("B"&amp;R157&amp;"")&amp;"*",INDIRECT("B"&amp;R157+1&amp;":B210"),0)+R157&amp;""),
IF(AND(LEFT(INDIRECT("B"&amp;R157&amp;""),3)="奈良屋",COUNTIF(B:B,"*奈良屋*")&gt;=2),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  <c r="AC157" s="49" t="str">
        <f ca="1">IF(S157&lt;&gt;"",INDEX(A:A, MATCH("*"&amp;LEFT(S157,4)&amp;"*", C:C, 0)),"")</f>
        <v/>
      </c>
      <c r="AD157" s="49" t="str">
        <f ca="1">IFERROR(INDEX(AC:AC,MATCH(SMALL($AU:$AU,ROW()+3),$AU:$AU,0)),"")</f>
        <v/>
      </c>
      <c r="AE157" s="49" t="str">
        <f ca="1">IFERROR(INDEX(R:R,MATCH(SMALL($AU:$AU,ROW()+3),$AU:$AU,0)),"")</f>
        <v/>
      </c>
      <c r="AF157" s="49" t="str">
        <f ca="1">IFERROR(INDEX(S:S,MATCH(SMALL($AU:$AU,ROW()+3),$AU:$AU,0)),"")</f>
        <v/>
      </c>
      <c r="AG157" s="49" t="str">
        <f ca="1">IFERROR(INDEX(T:T,MATCH(SMALL($AU:$AU,ROW()+3),$AU:$AU,0)),"")</f>
        <v/>
      </c>
      <c r="AH157" s="122" t="str">
        <f ca="1">IFERROR(INDEX(U:U,MATCH(SMALL($AU:$AU,ROW()+3),$AU:$AU,0)),"")</f>
        <v/>
      </c>
      <c r="AI157" s="49" t="str">
        <f ca="1">IFERROR(INDEX(V:V,MATCH(SMALL($AU:$AU,ROW()+3),$AU:$AU,0)),"")</f>
        <v/>
      </c>
      <c r="AJ157" s="49" t="str">
        <f ca="1">IFERROR(INDEX(W:W,MATCH(SMALL($AU:$AU,ROW()+3),$AU:$AU,0)),"")</f>
        <v/>
      </c>
      <c r="AK157" s="49" t="str">
        <f ca="1">IFERROR(INDEX(X:X,MATCH(SMALL($AU:$AU,ROW()+3),$AU:$AU,0)),"")</f>
        <v/>
      </c>
      <c r="AL157" s="49" t="str">
        <f ca="1">IFERROR(INDEX(Y:Y,MATCH(SMALL($AU:$AU,ROW()+3),$AU:$AU,0)),"")</f>
        <v/>
      </c>
      <c r="AM157" s="49" t="str">
        <f ca="1">IFERROR(INDEX(Z:Z,MATCH(SMALL($AU:$AU,ROW()+3),$AU:$AU,0)),"")</f>
        <v/>
      </c>
      <c r="AN157" s="49" t="str">
        <f ca="1">IFERROR(INDEX(AA:AA,MATCH(SMALL($AU:$AU,ROW()+3),$AU:$AU,0)),"")</f>
        <v/>
      </c>
      <c r="AO157" s="49" t="str">
        <f ca="1">IFERROR(INDEX(AB:AB,MATCH(SMALL($AU:$AU,ROW()+3),$AU:$AU,0)),"")</f>
        <v/>
      </c>
      <c r="AP157" s="49" t="str">
        <f ca="1">IFERROR(INDEX(AC:AC,MATCH(SMALL($AU:$AU,ROW()+3),$AU:$AU,0)),"")</f>
        <v/>
      </c>
      <c r="AU157" s="49" t="str">
        <f t="shared" ca="1" si="25"/>
        <v/>
      </c>
    </row>
    <row r="158" spans="1:47" ht="22.2" customHeight="1">
      <c r="A158" s="115">
        <f t="shared" si="29"/>
        <v>41</v>
      </c>
      <c r="B158" s="114" t="str">
        <f t="shared" ca="1" si="26"/>
        <v/>
      </c>
      <c r="C158" s="114" t="str">
        <f>IF(OR(クライアント抽出!D18&lt;&gt;"",クライアント抽出!G18&lt;&gt;""),クライアント抽出!A18,"")</f>
        <v/>
      </c>
      <c r="D158" s="114" t="str">
        <f t="array" aca="1" ref="D158" ca="1">IF(C158&lt;&gt;"",INDIRECT("クライアント抽出!"&amp;E158&amp;MATCH(C158,クライアント抽出!A:A,0)&amp;""),"")</f>
        <v/>
      </c>
      <c r="E158" s="114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17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114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116" t="str">
        <f>IF(C158&lt;&gt;"",
クライアント抽出!D18,"")</f>
        <v/>
      </c>
      <c r="I158" s="114" t="str">
        <f>IF(C158&lt;&gt;"",
IF(O158=1,0,クライアント抽出!F18),"")</f>
        <v/>
      </c>
      <c r="J158" s="114" t="str">
        <f>IF(C158&lt;&gt;"",
VLOOKUP(
"*"&amp;LEFT(IF(COUNTIF(D158,"*学食*"),"キャラ弁（学食）",
IF(COUNTIF(D158,"*赤*"),"赤",
IF(COUNTIF(D158,"*キャラ弁当*"),"キャラ弁当",D158))),4)&amp;"*",注文弁当の抽出!$E$1:$F$15,2,FALSE),"")</f>
        <v/>
      </c>
      <c r="K158" s="114" t="str">
        <f ca="1">IF(クライアント抽出!R18&lt;&gt;"",SUBSTITUTE(ADDRESS(1,(CODE(クライアント抽出!R18)-64)*2-1,4),"1",""),"")</f>
        <v/>
      </c>
      <c r="L158" s="114" t="str">
        <f>IF(C18&lt;&gt;"",クライアント抽出!I18,"")</f>
        <v/>
      </c>
      <c r="M158" s="114">
        <f t="array" aca="1" ref="M158" ca="1">IF(C158&lt;&gt;"",
IF(K158&lt;&gt;"",INDIRECT("'数出表_Excel（アレルギー入力）'!"&amp;K158&amp;L158-1&amp;""),),)</f>
        <v>0</v>
      </c>
      <c r="N158" s="114" t="str">
        <f>IF(C158&lt;&gt;"",IF(OR(COUNTIF('盛付札（関数）'!D158,"*赤*"),COUNTIF('盛付札（関数）'!D158,"*キャラ*")),1,
VLOOKUP("*"&amp;D158&amp;"*",商品マスタ一覧!D:H,5,FALSE)),"")</f>
        <v/>
      </c>
      <c r="O158" s="114">
        <f t="shared" ca="1" si="28"/>
        <v>0</v>
      </c>
      <c r="P158" s="114">
        <f t="shared" si="21"/>
        <v>0</v>
      </c>
      <c r="Q158" s="114" t="b">
        <f t="shared" si="22"/>
        <v>0</v>
      </c>
      <c r="R158" s="49" t="str">
        <f t="array" aca="1" ref="R158" ca="1">IFERROR(SMALL(IF(P$1:P$311&lt;&gt;0,P$1:P$311),ROW(A158)),"")</f>
        <v/>
      </c>
      <c r="S158" s="49" t="str">
        <f t="array" aca="1" ref="S158" ca="1">IF($R158&lt;&gt;"",
SUBSTITUTE(SUBSTITUTE(INDIRECT("C"&amp;$R158&amp;"")," 週3ｺｰｽ","")," 週5ｺｰｽ",""),"")</f>
        <v/>
      </c>
      <c r="T158" s="49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22" t="str">
        <f t="array" aca="1" ref="U158" ca="1">IF($R158&lt;&gt;"",
INDIRECT("F"&amp;$R158&amp;""),"")</f>
        <v/>
      </c>
      <c r="V158" s="49" t="str">
        <f t="array" aca="1" ref="V158" ca="1">IF($R158&lt;&gt;"",
INDIRECT("G"&amp;$R158&amp;""),"")</f>
        <v/>
      </c>
      <c r="W158" s="49" t="str">
        <f t="array" aca="1" ref="W158" ca="1">IF($R158&lt;&gt;"",
IF(AND(COUNTIF(INDIRECT("B"&amp;R158&amp;""),"*雙葉*"),COUNTIF(B:B,"*雙葉*")&gt;=2),
IF(OR(COUNTIF(INDIRECT("B"&amp;R158&amp;""),"*雙葉先生*"),COUNTIF($B$1:$B$70,"*雙葉*")&gt;=2),INDIRECT("H"&amp;R158&amp;""),INDIRECT("H"&amp;R158&amp;"")+INDIRECT("H"&amp;MATCH("雙葉'",INDIRECT("B"&amp;R158+3&amp;":B210"),0)+2+R158&amp;"")),
IF(AND(LEFT(INDIRECT("B"&amp;R158&amp;""),2)="博多",COUNTIF(B:B,"*博多*")&gt;=2),
INDIRECT("H"&amp;R158&amp;"")+INDIRECT("H"&amp;MATCH("*"&amp;INDIRECT("B"&amp;R158&amp;"")&amp;"*",INDIRECT("B"&amp;R158+1&amp;":B210"),0)+R158&amp;""),
IF(AND(LEFT(INDIRECT("B"&amp;R158&amp;""),3)="奈良屋",COUNTIF(B:B,"*奈良屋*")&gt;=2),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49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49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49" t="str">
        <f t="shared" ca="1" si="23"/>
        <v/>
      </c>
      <c r="AA158" s="49" t="str">
        <f t="shared" ca="1" si="24"/>
        <v/>
      </c>
      <c r="AB158" s="49" t="str">
        <f t="array" aca="1" ref="AB158" ca="1">IF($R158&lt;&gt;"",
IF(AND(COUNTIF(INDIRECT("B"&amp;R158&amp;""),"*雙葉*"),COUNTIF(B:B,"*雙葉*")&gt;=2),
INDIRECT("M"&amp;R158&amp;"")+INDIRECT("M"&amp;MATCH("雙葉'",INDIRECT("B"&amp;R158+1&amp;":B210"),0)+R158&amp;""),
IF(AND(LEFT(INDIRECT("B"&amp;R158&amp;""),2)="博多",COUNTIF(B:B,"*博多*")&gt;=2),
INDIRECT("M"&amp;R158&amp;"")+INDIRECT("M"&amp;MATCH("*"&amp;INDIRECT("B"&amp;R158&amp;"")&amp;"*",INDIRECT("B"&amp;R158+1&amp;":B210"),0)+R158&amp;""),
IF(AND(LEFT(INDIRECT("B"&amp;R158&amp;""),3)="奈良屋",COUNTIF(B:B,"*奈良屋*")&gt;=2),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  <c r="AC158" s="49" t="str">
        <f ca="1">IF(S158&lt;&gt;"",INDEX(A:A, MATCH("*"&amp;LEFT(S158,4)&amp;"*", C:C, 0)),"")</f>
        <v/>
      </c>
      <c r="AD158" s="49" t="str">
        <f ca="1">IFERROR(INDEX(AC:AC,MATCH(SMALL($AU:$AU,ROW()+3),$AU:$AU,0)),"")</f>
        <v/>
      </c>
      <c r="AE158" s="49" t="str">
        <f ca="1">IFERROR(INDEX(R:R,MATCH(SMALL($AU:$AU,ROW()+3),$AU:$AU,0)),"")</f>
        <v/>
      </c>
      <c r="AF158" s="49" t="str">
        <f ca="1">IFERROR(INDEX(S:S,MATCH(SMALL($AU:$AU,ROW()+3),$AU:$AU,0)),"")</f>
        <v/>
      </c>
      <c r="AG158" s="49" t="str">
        <f ca="1">IFERROR(INDEX(T:T,MATCH(SMALL($AU:$AU,ROW()+3),$AU:$AU,0)),"")</f>
        <v/>
      </c>
      <c r="AH158" s="122" t="str">
        <f ca="1">IFERROR(INDEX(U:U,MATCH(SMALL($AU:$AU,ROW()+3),$AU:$AU,0)),"")</f>
        <v/>
      </c>
      <c r="AI158" s="49" t="str">
        <f ca="1">IFERROR(INDEX(V:V,MATCH(SMALL($AU:$AU,ROW()+3),$AU:$AU,0)),"")</f>
        <v/>
      </c>
      <c r="AJ158" s="49" t="str">
        <f ca="1">IFERROR(INDEX(W:W,MATCH(SMALL($AU:$AU,ROW()+3),$AU:$AU,0)),"")</f>
        <v/>
      </c>
      <c r="AK158" s="49" t="str">
        <f ca="1">IFERROR(INDEX(X:X,MATCH(SMALL($AU:$AU,ROW()+3),$AU:$AU,0)),"")</f>
        <v/>
      </c>
      <c r="AL158" s="49" t="str">
        <f ca="1">IFERROR(INDEX(Y:Y,MATCH(SMALL($AU:$AU,ROW()+3),$AU:$AU,0)),"")</f>
        <v/>
      </c>
      <c r="AM158" s="49" t="str">
        <f ca="1">IFERROR(INDEX(Z:Z,MATCH(SMALL($AU:$AU,ROW()+3),$AU:$AU,0)),"")</f>
        <v/>
      </c>
      <c r="AN158" s="49" t="str">
        <f ca="1">IFERROR(INDEX(AA:AA,MATCH(SMALL($AU:$AU,ROW()+3),$AU:$AU,0)),"")</f>
        <v/>
      </c>
      <c r="AO158" s="49" t="str">
        <f ca="1">IFERROR(INDEX(AB:AB,MATCH(SMALL($AU:$AU,ROW()+3),$AU:$AU,0)),"")</f>
        <v/>
      </c>
      <c r="AP158" s="49" t="str">
        <f ca="1">IFERROR(INDEX(AC:AC,MATCH(SMALL($AU:$AU,ROW()+3),$AU:$AU,0)),"")</f>
        <v/>
      </c>
      <c r="AU158" s="49" t="str">
        <f t="shared" ca="1" si="25"/>
        <v/>
      </c>
    </row>
    <row r="159" spans="1:47" ht="22.2" customHeight="1">
      <c r="A159" s="115">
        <f t="shared" si="29"/>
        <v>43</v>
      </c>
      <c r="B159" s="114" t="str">
        <f t="shared" ca="1" si="26"/>
        <v/>
      </c>
      <c r="C159" s="114" t="str">
        <f>IF(OR(クライアント抽出!D19&lt;&gt;"",クライアント抽出!G19&lt;&gt;""),クライアント抽出!A19,"")</f>
        <v/>
      </c>
      <c r="D159" s="114" t="str">
        <f t="array" aca="1" ref="D159" ca="1">IF(C159&lt;&gt;"",INDIRECT("クライアント抽出!"&amp;E159&amp;MATCH(C159,クライアント抽出!A:A,0)&amp;""),"")</f>
        <v/>
      </c>
      <c r="E159" s="114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17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114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116" t="str">
        <f>IF(C159&lt;&gt;"",
クライアント抽出!D19,"")</f>
        <v/>
      </c>
      <c r="I159" s="114" t="str">
        <f>IF(C159&lt;&gt;"",
IF(O159=1,0,クライアント抽出!F19),"")</f>
        <v/>
      </c>
      <c r="J159" s="114" t="str">
        <f>IF(C159&lt;&gt;"",
VLOOKUP(
"*"&amp;LEFT(IF(COUNTIF(D159,"*学食*"),"キャラ弁（学食）",
IF(COUNTIF(D159,"*赤*"),"赤",
IF(COUNTIF(D159,"*キャラ弁当*"),"キャラ弁当",D159))),4)&amp;"*",注文弁当の抽出!$E$1:$F$15,2,FALSE),"")</f>
        <v/>
      </c>
      <c r="K159" s="114" t="str">
        <f ca="1">IF(クライアント抽出!R19&lt;&gt;"",SUBSTITUTE(ADDRESS(1,(CODE(クライアント抽出!R19)-64)*2-1,4),"1",""),"")</f>
        <v/>
      </c>
      <c r="L159" s="114" t="str">
        <f>IF(C19&lt;&gt;"",クライアント抽出!I19,"")</f>
        <v/>
      </c>
      <c r="M159" s="114">
        <f t="array" aca="1" ref="M159" ca="1">IF(C159&lt;&gt;"",
IF(K159&lt;&gt;"",INDIRECT("'数出表_Excel（アレルギー入力）'!"&amp;K159&amp;L159-1&amp;""),),)</f>
        <v>0</v>
      </c>
      <c r="N159" s="114" t="str">
        <f>IF(C159&lt;&gt;"",IF(OR(COUNTIF('盛付札（関数）'!D159,"*赤*"),COUNTIF('盛付札（関数）'!D159,"*キャラ*")),1,
VLOOKUP("*"&amp;D159&amp;"*",商品マスタ一覧!D:H,5,FALSE)),"")</f>
        <v/>
      </c>
      <c r="O159" s="114">
        <f t="shared" ca="1" si="28"/>
        <v>0</v>
      </c>
      <c r="P159" s="114">
        <f t="shared" si="21"/>
        <v>0</v>
      </c>
      <c r="Q159" s="114" t="b">
        <f t="shared" si="22"/>
        <v>0</v>
      </c>
      <c r="R159" s="49" t="str">
        <f t="array" aca="1" ref="R159" ca="1">IFERROR(SMALL(IF(P$1:P$311&lt;&gt;0,P$1:P$311),ROW(A159)),"")</f>
        <v/>
      </c>
      <c r="S159" s="49" t="str">
        <f t="array" aca="1" ref="S159" ca="1">IF($R159&lt;&gt;"",
SUBSTITUTE(SUBSTITUTE(INDIRECT("C"&amp;$R159&amp;"")," 週3ｺｰｽ","")," 週5ｺｰｽ",""),"")</f>
        <v/>
      </c>
      <c r="T159" s="49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22" t="str">
        <f t="array" aca="1" ref="U159" ca="1">IF($R159&lt;&gt;"",
INDIRECT("F"&amp;$R159&amp;""),"")</f>
        <v/>
      </c>
      <c r="V159" s="49" t="str">
        <f t="array" aca="1" ref="V159" ca="1">IF($R159&lt;&gt;"",
INDIRECT("G"&amp;$R159&amp;""),"")</f>
        <v/>
      </c>
      <c r="W159" s="49" t="str">
        <f t="array" aca="1" ref="W159" ca="1">IF($R159&lt;&gt;"",
IF(AND(COUNTIF(INDIRECT("B"&amp;R159&amp;""),"*雙葉*"),COUNTIF(B:B,"*雙葉*")&gt;=2),
IF(OR(COUNTIF(INDIRECT("B"&amp;R159&amp;""),"*雙葉先生*"),COUNTIF($B$1:$B$70,"*雙葉*")&gt;=2),INDIRECT("H"&amp;R159&amp;""),INDIRECT("H"&amp;R159&amp;"")+INDIRECT("H"&amp;MATCH("雙葉'",INDIRECT("B"&amp;R159+3&amp;":B210"),0)+2+R159&amp;"")),
IF(AND(LEFT(INDIRECT("B"&amp;R159&amp;""),2)="博多",COUNTIF(B:B,"*博多*")&gt;=2),
INDIRECT("H"&amp;R159&amp;"")+INDIRECT("H"&amp;MATCH("*"&amp;INDIRECT("B"&amp;R159&amp;"")&amp;"*",INDIRECT("B"&amp;R159+1&amp;":B210"),0)+R159&amp;""),
IF(AND(LEFT(INDIRECT("B"&amp;R159&amp;""),3)="奈良屋",COUNTIF(B:B,"*奈良屋*")&gt;=2),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49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49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49" t="str">
        <f t="shared" ca="1" si="23"/>
        <v/>
      </c>
      <c r="AA159" s="49" t="str">
        <f t="shared" ca="1" si="24"/>
        <v/>
      </c>
      <c r="AB159" s="49" t="str">
        <f t="array" aca="1" ref="AB159" ca="1">IF($R159&lt;&gt;"",
IF(AND(COUNTIF(INDIRECT("B"&amp;R159&amp;""),"*雙葉*"),COUNTIF(B:B,"*雙葉*")&gt;=2),
INDIRECT("M"&amp;R159&amp;"")+INDIRECT("M"&amp;MATCH("雙葉'",INDIRECT("B"&amp;R159+1&amp;":B210"),0)+R159&amp;""),
IF(AND(LEFT(INDIRECT("B"&amp;R159&amp;""),2)="博多",COUNTIF(B:B,"*博多*")&gt;=2),
INDIRECT("M"&amp;R159&amp;"")+INDIRECT("M"&amp;MATCH("*"&amp;INDIRECT("B"&amp;R159&amp;"")&amp;"*",INDIRECT("B"&amp;R159+1&amp;":B210"),0)+R159&amp;""),
IF(AND(LEFT(INDIRECT("B"&amp;R159&amp;""),3)="奈良屋",COUNTIF(B:B,"*奈良屋*")&gt;=2),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  <c r="AC159" s="49" t="str">
        <f ca="1">IF(S159&lt;&gt;"",INDEX(A:A, MATCH("*"&amp;LEFT(S159,4)&amp;"*", C:C, 0)),"")</f>
        <v/>
      </c>
      <c r="AD159" s="49" t="str">
        <f ca="1">IFERROR(INDEX(AC:AC,MATCH(SMALL($AU:$AU,ROW()+3),$AU:$AU,0)),"")</f>
        <v/>
      </c>
      <c r="AE159" s="49" t="str">
        <f ca="1">IFERROR(INDEX(R:R,MATCH(SMALL($AU:$AU,ROW()+3),$AU:$AU,0)),"")</f>
        <v/>
      </c>
      <c r="AF159" s="49" t="str">
        <f ca="1">IFERROR(INDEX(S:S,MATCH(SMALL($AU:$AU,ROW()+3),$AU:$AU,0)),"")</f>
        <v/>
      </c>
      <c r="AG159" s="49" t="str">
        <f ca="1">IFERROR(INDEX(T:T,MATCH(SMALL($AU:$AU,ROW()+3),$AU:$AU,0)),"")</f>
        <v/>
      </c>
      <c r="AH159" s="122" t="str">
        <f ca="1">IFERROR(INDEX(U:U,MATCH(SMALL($AU:$AU,ROW()+3),$AU:$AU,0)),"")</f>
        <v/>
      </c>
      <c r="AI159" s="49" t="str">
        <f ca="1">IFERROR(INDEX(V:V,MATCH(SMALL($AU:$AU,ROW()+3),$AU:$AU,0)),"")</f>
        <v/>
      </c>
      <c r="AJ159" s="49" t="str">
        <f ca="1">IFERROR(INDEX(W:W,MATCH(SMALL($AU:$AU,ROW()+3),$AU:$AU,0)),"")</f>
        <v/>
      </c>
      <c r="AK159" s="49" t="str">
        <f ca="1">IFERROR(INDEX(X:X,MATCH(SMALL($AU:$AU,ROW()+3),$AU:$AU,0)),"")</f>
        <v/>
      </c>
      <c r="AL159" s="49" t="str">
        <f ca="1">IFERROR(INDEX(Y:Y,MATCH(SMALL($AU:$AU,ROW()+3),$AU:$AU,0)),"")</f>
        <v/>
      </c>
      <c r="AM159" s="49" t="str">
        <f ca="1">IFERROR(INDEX(Z:Z,MATCH(SMALL($AU:$AU,ROW()+3),$AU:$AU,0)),"")</f>
        <v/>
      </c>
      <c r="AN159" s="49" t="str">
        <f ca="1">IFERROR(INDEX(AA:AA,MATCH(SMALL($AU:$AU,ROW()+3),$AU:$AU,0)),"")</f>
        <v/>
      </c>
      <c r="AO159" s="49" t="str">
        <f ca="1">IFERROR(INDEX(AB:AB,MATCH(SMALL($AU:$AU,ROW()+3),$AU:$AU,0)),"")</f>
        <v/>
      </c>
      <c r="AP159" s="49" t="str">
        <f ca="1">IFERROR(INDEX(AC:AC,MATCH(SMALL($AU:$AU,ROW()+3),$AU:$AU,0)),"")</f>
        <v/>
      </c>
      <c r="AU159" s="49" t="str">
        <f t="shared" ca="1" si="25"/>
        <v/>
      </c>
    </row>
    <row r="160" spans="1:47" ht="22.2" customHeight="1">
      <c r="A160" s="115">
        <f t="shared" si="29"/>
        <v>45</v>
      </c>
      <c r="B160" s="114" t="str">
        <f t="shared" ca="1" si="26"/>
        <v/>
      </c>
      <c r="C160" s="114" t="str">
        <f>IF(OR(クライアント抽出!D20&lt;&gt;"",クライアント抽出!G20&lt;&gt;""),クライアント抽出!A20,"")</f>
        <v/>
      </c>
      <c r="D160" s="114" t="str">
        <f t="array" aca="1" ref="D160" ca="1">IF(C160&lt;&gt;"",INDIRECT("クライアント抽出!"&amp;E160&amp;MATCH(C160,クライアント抽出!A:A,0)&amp;""),"")</f>
        <v/>
      </c>
      <c r="E160" s="114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17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114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116" t="str">
        <f>IF(C160&lt;&gt;"",
クライアント抽出!D20,"")</f>
        <v/>
      </c>
      <c r="I160" s="114" t="str">
        <f>IF(C160&lt;&gt;"",
IF(O160=1,0,クライアント抽出!F20),"")</f>
        <v/>
      </c>
      <c r="J160" s="114" t="str">
        <f>IF(C160&lt;&gt;"",
VLOOKUP(
"*"&amp;LEFT(IF(COUNTIF(D160,"*学食*"),"キャラ弁（学食）",
IF(COUNTIF(D160,"*赤*"),"赤",
IF(COUNTIF(D160,"*キャラ弁当*"),"キャラ弁当",D160))),4)&amp;"*",注文弁当の抽出!$E$1:$F$15,2,FALSE),"")</f>
        <v/>
      </c>
      <c r="K160" s="114" t="str">
        <f ca="1">IF(クライアント抽出!R20&lt;&gt;"",SUBSTITUTE(ADDRESS(1,(CODE(クライアント抽出!R20)-64)*2-1,4),"1",""),"")</f>
        <v/>
      </c>
      <c r="L160" s="114" t="str">
        <f>IF(C20&lt;&gt;"",クライアント抽出!I20,"")</f>
        <v/>
      </c>
      <c r="M160" s="114">
        <f t="array" aca="1" ref="M160" ca="1">IF(C160&lt;&gt;"",
IF(K160&lt;&gt;"",INDIRECT("'数出表_Excel（アレルギー入力）'!"&amp;K160&amp;L160-1&amp;""),),)</f>
        <v>0</v>
      </c>
      <c r="N160" s="114" t="str">
        <f>IF(C160&lt;&gt;"",IF(OR(COUNTIF('盛付札（関数）'!D160,"*赤*"),COUNTIF('盛付札（関数）'!D160,"*キャラ*")),1,
VLOOKUP("*"&amp;D160&amp;"*",商品マスタ一覧!D:H,5,FALSE)),"")</f>
        <v/>
      </c>
      <c r="O160" s="114">
        <f t="shared" ca="1" si="28"/>
        <v>0</v>
      </c>
      <c r="P160" s="114">
        <f t="shared" si="21"/>
        <v>0</v>
      </c>
      <c r="Q160" s="114" t="b">
        <f t="shared" si="22"/>
        <v>0</v>
      </c>
      <c r="R160" s="49" t="str">
        <f t="array" aca="1" ref="R160" ca="1">IFERROR(SMALL(IF(P$1:P$311&lt;&gt;0,P$1:P$311),ROW(A160)),"")</f>
        <v/>
      </c>
      <c r="S160" s="49" t="str">
        <f t="array" aca="1" ref="S160" ca="1">IF($R160&lt;&gt;"",
SUBSTITUTE(SUBSTITUTE(INDIRECT("C"&amp;$R160&amp;"")," 週3ｺｰｽ","")," 週5ｺｰｽ",""),"")</f>
        <v/>
      </c>
      <c r="T160" s="49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22" t="str">
        <f t="array" aca="1" ref="U160" ca="1">IF($R160&lt;&gt;"",
INDIRECT("F"&amp;$R160&amp;""),"")</f>
        <v/>
      </c>
      <c r="V160" s="49" t="str">
        <f t="array" aca="1" ref="V160" ca="1">IF($R160&lt;&gt;"",
INDIRECT("G"&amp;$R160&amp;""),"")</f>
        <v/>
      </c>
      <c r="W160" s="49" t="str">
        <f t="array" aca="1" ref="W160" ca="1">IF($R160&lt;&gt;"",
IF(AND(COUNTIF(INDIRECT("B"&amp;R160&amp;""),"*雙葉*"),COUNTIF(B:B,"*雙葉*")&gt;=2),
IF(OR(COUNTIF(INDIRECT("B"&amp;R160&amp;""),"*雙葉先生*"),COUNTIF($B$1:$B$70,"*雙葉*")&gt;=2),INDIRECT("H"&amp;R160&amp;""),INDIRECT("H"&amp;R160&amp;"")+INDIRECT("H"&amp;MATCH("雙葉'",INDIRECT("B"&amp;R160+3&amp;":B210"),0)+2+R160&amp;"")),
IF(AND(LEFT(INDIRECT("B"&amp;R160&amp;""),2)="博多",COUNTIF(B:B,"*博多*")&gt;=2),
INDIRECT("H"&amp;R160&amp;"")+INDIRECT("H"&amp;MATCH("*"&amp;INDIRECT("B"&amp;R160&amp;"")&amp;"*",INDIRECT("B"&amp;R160+1&amp;":B210"),0)+R160&amp;""),
IF(AND(LEFT(INDIRECT("B"&amp;R160&amp;""),3)="奈良屋",COUNTIF(B:B,"*奈良屋*")&gt;=2),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49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49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49" t="str">
        <f t="shared" ca="1" si="23"/>
        <v/>
      </c>
      <c r="AA160" s="49" t="str">
        <f t="shared" ca="1" si="24"/>
        <v/>
      </c>
      <c r="AB160" s="49" t="str">
        <f t="array" aca="1" ref="AB160" ca="1">IF($R160&lt;&gt;"",
IF(AND(COUNTIF(INDIRECT("B"&amp;R160&amp;""),"*雙葉*"),COUNTIF(B:B,"*雙葉*")&gt;=2),
INDIRECT("M"&amp;R160&amp;"")+INDIRECT("M"&amp;MATCH("雙葉'",INDIRECT("B"&amp;R160+1&amp;":B210"),0)+R160&amp;""),
IF(AND(LEFT(INDIRECT("B"&amp;R160&amp;""),2)="博多",COUNTIF(B:B,"*博多*")&gt;=2),
INDIRECT("M"&amp;R160&amp;"")+INDIRECT("M"&amp;MATCH("*"&amp;INDIRECT("B"&amp;R160&amp;"")&amp;"*",INDIRECT("B"&amp;R160+1&amp;":B210"),0)+R160&amp;""),
IF(AND(LEFT(INDIRECT("B"&amp;R160&amp;""),3)="奈良屋",COUNTIF(B:B,"*奈良屋*")&gt;=2),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  <c r="AC160" s="49" t="str">
        <f ca="1">IF(S160&lt;&gt;"",INDEX(A:A, MATCH("*"&amp;LEFT(S160,4)&amp;"*", C:C, 0)),"")</f>
        <v/>
      </c>
      <c r="AD160" s="49" t="str">
        <f ca="1">IFERROR(INDEX(AC:AC,MATCH(SMALL($AU:$AU,ROW()+3),$AU:$AU,0)),"")</f>
        <v/>
      </c>
      <c r="AE160" s="49" t="str">
        <f ca="1">IFERROR(INDEX(R:R,MATCH(SMALL($AU:$AU,ROW()+3),$AU:$AU,0)),"")</f>
        <v/>
      </c>
      <c r="AF160" s="49" t="str">
        <f ca="1">IFERROR(INDEX(S:S,MATCH(SMALL($AU:$AU,ROW()+3),$AU:$AU,0)),"")</f>
        <v/>
      </c>
      <c r="AG160" s="49" t="str">
        <f ca="1">IFERROR(INDEX(T:T,MATCH(SMALL($AU:$AU,ROW()+3),$AU:$AU,0)),"")</f>
        <v/>
      </c>
      <c r="AH160" s="122" t="str">
        <f ca="1">IFERROR(INDEX(U:U,MATCH(SMALL($AU:$AU,ROW()+3),$AU:$AU,0)),"")</f>
        <v/>
      </c>
      <c r="AI160" s="49" t="str">
        <f ca="1">IFERROR(INDEX(V:V,MATCH(SMALL($AU:$AU,ROW()+3),$AU:$AU,0)),"")</f>
        <v/>
      </c>
      <c r="AJ160" s="49" t="str">
        <f ca="1">IFERROR(INDEX(W:W,MATCH(SMALL($AU:$AU,ROW()+3),$AU:$AU,0)),"")</f>
        <v/>
      </c>
      <c r="AK160" s="49" t="str">
        <f ca="1">IFERROR(INDEX(X:X,MATCH(SMALL($AU:$AU,ROW()+3),$AU:$AU,0)),"")</f>
        <v/>
      </c>
      <c r="AL160" s="49" t="str">
        <f ca="1">IFERROR(INDEX(Y:Y,MATCH(SMALL($AU:$AU,ROW()+3),$AU:$AU,0)),"")</f>
        <v/>
      </c>
      <c r="AM160" s="49" t="str">
        <f ca="1">IFERROR(INDEX(Z:Z,MATCH(SMALL($AU:$AU,ROW()+3),$AU:$AU,0)),"")</f>
        <v/>
      </c>
      <c r="AN160" s="49" t="str">
        <f ca="1">IFERROR(INDEX(AA:AA,MATCH(SMALL($AU:$AU,ROW()+3),$AU:$AU,0)),"")</f>
        <v/>
      </c>
      <c r="AO160" s="49" t="str">
        <f ca="1">IFERROR(INDEX(AB:AB,MATCH(SMALL($AU:$AU,ROW()+3),$AU:$AU,0)),"")</f>
        <v/>
      </c>
      <c r="AP160" s="49" t="str">
        <f ca="1">IFERROR(INDEX(AC:AC,MATCH(SMALL($AU:$AU,ROW()+3),$AU:$AU,0)),"")</f>
        <v/>
      </c>
      <c r="AU160" s="49" t="str">
        <f t="shared" ca="1" si="25"/>
        <v/>
      </c>
    </row>
    <row r="161" spans="1:47" ht="22.2" customHeight="1">
      <c r="A161" s="115">
        <f t="shared" si="29"/>
        <v>47</v>
      </c>
      <c r="B161" s="114" t="str">
        <f t="shared" ca="1" si="26"/>
        <v/>
      </c>
      <c r="C161" s="114" t="str">
        <f>IF(OR(クライアント抽出!D21&lt;&gt;"",クライアント抽出!G21&lt;&gt;""),クライアント抽出!A21,"")</f>
        <v/>
      </c>
      <c r="D161" s="114" t="str">
        <f t="array" aca="1" ref="D161" ca="1">IF(C161&lt;&gt;"",INDIRECT("クライアント抽出!"&amp;E161&amp;MATCH(C161,クライアント抽出!A:A,0)&amp;""),"")</f>
        <v/>
      </c>
      <c r="E161" s="114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17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114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116" t="str">
        <f>IF(C161&lt;&gt;"",
クライアント抽出!D21,"")</f>
        <v/>
      </c>
      <c r="I161" s="114" t="str">
        <f>IF(C161&lt;&gt;"",
IF(O161=1,0,クライアント抽出!F21),"")</f>
        <v/>
      </c>
      <c r="J161" s="114" t="str">
        <f>IF(C161&lt;&gt;"",
VLOOKUP(
"*"&amp;LEFT(IF(COUNTIF(D161,"*学食*"),"キャラ弁（学食）",
IF(COUNTIF(D161,"*赤*"),"赤",
IF(COUNTIF(D161,"*キャラ弁当*"),"キャラ弁当",D161))),4)&amp;"*",注文弁当の抽出!$E$1:$F$15,2,FALSE),"")</f>
        <v/>
      </c>
      <c r="K161" s="114" t="str">
        <f ca="1">IF(クライアント抽出!R21&lt;&gt;"",SUBSTITUTE(ADDRESS(1,(CODE(クライアント抽出!R21)-64)*2-1,4),"1",""),"")</f>
        <v/>
      </c>
      <c r="L161" s="114" t="str">
        <f>IF(C21&lt;&gt;"",クライアント抽出!I21,"")</f>
        <v/>
      </c>
      <c r="M161" s="114">
        <f t="array" aca="1" ref="M161" ca="1">IF(C161&lt;&gt;"",
IF(K161&lt;&gt;"",INDIRECT("'数出表_Excel（アレルギー入力）'!"&amp;K161&amp;L161-1&amp;""),),)</f>
        <v>0</v>
      </c>
      <c r="N161" s="114" t="str">
        <f>IF(C161&lt;&gt;"",IF(OR(COUNTIF('盛付札（関数）'!D161,"*赤*"),COUNTIF('盛付札（関数）'!D161,"*キャラ*")),1,
VLOOKUP("*"&amp;D161&amp;"*",商品マスタ一覧!D:H,5,FALSE)),"")</f>
        <v/>
      </c>
      <c r="O161" s="114">
        <f t="shared" ca="1" si="28"/>
        <v>0</v>
      </c>
      <c r="P161" s="114">
        <f t="shared" si="21"/>
        <v>0</v>
      </c>
      <c r="Q161" s="114" t="b">
        <f t="shared" si="22"/>
        <v>0</v>
      </c>
      <c r="R161" s="49" t="str">
        <f t="array" aca="1" ref="R161" ca="1">IFERROR(SMALL(IF(P$1:P$311&lt;&gt;0,P$1:P$311),ROW(A161)),"")</f>
        <v/>
      </c>
      <c r="S161" s="49" t="str">
        <f t="array" aca="1" ref="S161" ca="1">IF($R161&lt;&gt;"",
SUBSTITUTE(SUBSTITUTE(INDIRECT("C"&amp;$R161&amp;"")," 週3ｺｰｽ","")," 週5ｺｰｽ",""),"")</f>
        <v/>
      </c>
      <c r="T161" s="49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22" t="str">
        <f t="array" aca="1" ref="U161" ca="1">IF($R161&lt;&gt;"",
INDIRECT("F"&amp;$R161&amp;""),"")</f>
        <v/>
      </c>
      <c r="V161" s="49" t="str">
        <f t="array" aca="1" ref="V161" ca="1">IF($R161&lt;&gt;"",
INDIRECT("G"&amp;$R161&amp;""),"")</f>
        <v/>
      </c>
      <c r="W161" s="49" t="str">
        <f t="array" aca="1" ref="W161" ca="1">IF($R161&lt;&gt;"",
IF(AND(COUNTIF(INDIRECT("B"&amp;R161&amp;""),"*雙葉*"),COUNTIF(B:B,"*雙葉*")&gt;=2),
IF(OR(COUNTIF(INDIRECT("B"&amp;R161&amp;""),"*雙葉先生*"),COUNTIF($B$1:$B$70,"*雙葉*")&gt;=2),INDIRECT("H"&amp;R161&amp;""),INDIRECT("H"&amp;R161&amp;"")+INDIRECT("H"&amp;MATCH("雙葉'",INDIRECT("B"&amp;R161+3&amp;":B210"),0)+2+R161&amp;"")),
IF(AND(LEFT(INDIRECT("B"&amp;R161&amp;""),2)="博多",COUNTIF(B:B,"*博多*")&gt;=2),
INDIRECT("H"&amp;R161&amp;"")+INDIRECT("H"&amp;MATCH("*"&amp;INDIRECT("B"&amp;R161&amp;"")&amp;"*",INDIRECT("B"&amp;R161+1&amp;":B210"),0)+R161&amp;""),
IF(AND(LEFT(INDIRECT("B"&amp;R161&amp;""),3)="奈良屋",COUNTIF(B:B,"*奈良屋*")&gt;=2),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49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49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49" t="str">
        <f t="shared" ca="1" si="23"/>
        <v/>
      </c>
      <c r="AA161" s="49" t="str">
        <f t="shared" ca="1" si="24"/>
        <v/>
      </c>
      <c r="AB161" s="49" t="str">
        <f t="array" aca="1" ref="AB161" ca="1">IF($R161&lt;&gt;"",
IF(AND(COUNTIF(INDIRECT("B"&amp;R161&amp;""),"*雙葉*"),COUNTIF(B:B,"*雙葉*")&gt;=2),
INDIRECT("M"&amp;R161&amp;"")+INDIRECT("M"&amp;MATCH("雙葉'",INDIRECT("B"&amp;R161+1&amp;":B210"),0)+R161&amp;""),
IF(AND(LEFT(INDIRECT("B"&amp;R161&amp;""),2)="博多",COUNTIF(B:B,"*博多*")&gt;=2),
INDIRECT("M"&amp;R161&amp;"")+INDIRECT("M"&amp;MATCH("*"&amp;INDIRECT("B"&amp;R161&amp;"")&amp;"*",INDIRECT("B"&amp;R161+1&amp;":B210"),0)+R161&amp;""),
IF(AND(LEFT(INDIRECT("B"&amp;R161&amp;""),3)="奈良屋",COUNTIF(B:B,"*奈良屋*")&gt;=2),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  <c r="AC161" s="49" t="str">
        <f ca="1">IF(S161&lt;&gt;"",INDEX(A:A, MATCH("*"&amp;LEFT(S161,4)&amp;"*", C:C, 0)),"")</f>
        <v/>
      </c>
      <c r="AD161" s="49" t="str">
        <f ca="1">IFERROR(INDEX(AC:AC,MATCH(SMALL($AU:$AU,ROW()+3),$AU:$AU,0)),"")</f>
        <v/>
      </c>
      <c r="AE161" s="49" t="str">
        <f ca="1">IFERROR(INDEX(R:R,MATCH(SMALL($AU:$AU,ROW()+3),$AU:$AU,0)),"")</f>
        <v/>
      </c>
      <c r="AF161" s="49" t="str">
        <f ca="1">IFERROR(INDEX(S:S,MATCH(SMALL($AU:$AU,ROW()+3),$AU:$AU,0)),"")</f>
        <v/>
      </c>
      <c r="AG161" s="49" t="str">
        <f ca="1">IFERROR(INDEX(T:T,MATCH(SMALL($AU:$AU,ROW()+3),$AU:$AU,0)),"")</f>
        <v/>
      </c>
      <c r="AH161" s="122" t="str">
        <f ca="1">IFERROR(INDEX(U:U,MATCH(SMALL($AU:$AU,ROW()+3),$AU:$AU,0)),"")</f>
        <v/>
      </c>
      <c r="AI161" s="49" t="str">
        <f ca="1">IFERROR(INDEX(V:V,MATCH(SMALL($AU:$AU,ROW()+3),$AU:$AU,0)),"")</f>
        <v/>
      </c>
      <c r="AJ161" s="49" t="str">
        <f ca="1">IFERROR(INDEX(W:W,MATCH(SMALL($AU:$AU,ROW()+3),$AU:$AU,0)),"")</f>
        <v/>
      </c>
      <c r="AK161" s="49" t="str">
        <f ca="1">IFERROR(INDEX(X:X,MATCH(SMALL($AU:$AU,ROW()+3),$AU:$AU,0)),"")</f>
        <v/>
      </c>
      <c r="AL161" s="49" t="str">
        <f ca="1">IFERROR(INDEX(Y:Y,MATCH(SMALL($AU:$AU,ROW()+3),$AU:$AU,0)),"")</f>
        <v/>
      </c>
      <c r="AM161" s="49" t="str">
        <f ca="1">IFERROR(INDEX(Z:Z,MATCH(SMALL($AU:$AU,ROW()+3),$AU:$AU,0)),"")</f>
        <v/>
      </c>
      <c r="AN161" s="49" t="str">
        <f ca="1">IFERROR(INDEX(AA:AA,MATCH(SMALL($AU:$AU,ROW()+3),$AU:$AU,0)),"")</f>
        <v/>
      </c>
      <c r="AO161" s="49" t="str">
        <f ca="1">IFERROR(INDEX(AB:AB,MATCH(SMALL($AU:$AU,ROW()+3),$AU:$AU,0)),"")</f>
        <v/>
      </c>
      <c r="AP161" s="49" t="str">
        <f ca="1">IFERROR(INDEX(AC:AC,MATCH(SMALL($AU:$AU,ROW()+3),$AU:$AU,0)),"")</f>
        <v/>
      </c>
      <c r="AU161" s="49" t="str">
        <f t="shared" ca="1" si="25"/>
        <v/>
      </c>
    </row>
    <row r="162" spans="1:47" ht="22.2" customHeight="1">
      <c r="A162" s="115">
        <f t="shared" si="29"/>
        <v>49</v>
      </c>
      <c r="B162" s="114" t="str">
        <f t="shared" ca="1" si="26"/>
        <v/>
      </c>
      <c r="C162" s="114" t="str">
        <f>IF(OR(クライアント抽出!D22&lt;&gt;"",クライアント抽出!G22&lt;&gt;""),クライアント抽出!A22,"")</f>
        <v/>
      </c>
      <c r="D162" s="114" t="str">
        <f t="array" aca="1" ref="D162" ca="1">IF(C162&lt;&gt;"",INDIRECT("クライアント抽出!"&amp;E162&amp;MATCH(C162,クライアント抽出!A:A,0)&amp;""),"")</f>
        <v/>
      </c>
      <c r="E162" s="114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17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114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116" t="str">
        <f>IF(C162&lt;&gt;"",
クライアント抽出!D22,"")</f>
        <v/>
      </c>
      <c r="I162" s="114" t="str">
        <f>IF(C162&lt;&gt;"",
IF(O162=1,0,クライアント抽出!F22),"")</f>
        <v/>
      </c>
      <c r="J162" s="114" t="str">
        <f>IF(C162&lt;&gt;"",
VLOOKUP(
"*"&amp;LEFT(IF(COUNTIF(D162,"*学食*"),"キャラ弁（学食）",
IF(COUNTIF(D162,"*赤*"),"赤",
IF(COUNTIF(D162,"*キャラ弁当*"),"キャラ弁当",D162))),4)&amp;"*",注文弁当の抽出!$E$1:$F$15,2,FALSE),"")</f>
        <v/>
      </c>
      <c r="K162" s="114" t="str">
        <f ca="1">IF(クライアント抽出!R22&lt;&gt;"",SUBSTITUTE(ADDRESS(1,(CODE(クライアント抽出!R22)-64)*2-1,4),"1",""),"")</f>
        <v/>
      </c>
      <c r="L162" s="114" t="str">
        <f>IF(C22&lt;&gt;"",クライアント抽出!I22,"")</f>
        <v/>
      </c>
      <c r="M162" s="114">
        <f t="array" aca="1" ref="M162" ca="1">IF(C162&lt;&gt;"",
IF(K162&lt;&gt;"",INDIRECT("'数出表_Excel（アレルギー入力）'!"&amp;K162&amp;L162-1&amp;""),),)</f>
        <v>0</v>
      </c>
      <c r="N162" s="114" t="str">
        <f>IF(C162&lt;&gt;"",IF(OR(COUNTIF('盛付札（関数）'!D162,"*赤*"),COUNTIF('盛付札（関数）'!D162,"*キャラ*")),1,
VLOOKUP("*"&amp;D162&amp;"*",商品マスタ一覧!D:H,5,FALSE)),"")</f>
        <v/>
      </c>
      <c r="O162" s="114">
        <f t="shared" ca="1" si="28"/>
        <v>0</v>
      </c>
      <c r="P162" s="114">
        <f t="shared" si="21"/>
        <v>0</v>
      </c>
      <c r="Q162" s="114" t="b">
        <f t="shared" si="22"/>
        <v>0</v>
      </c>
      <c r="R162" s="49" t="str">
        <f t="array" aca="1" ref="R162" ca="1">IFERROR(SMALL(IF(P$1:P$311&lt;&gt;0,P$1:P$311),ROW(A162)),"")</f>
        <v/>
      </c>
      <c r="S162" s="49" t="str">
        <f t="array" aca="1" ref="S162" ca="1">IF($R162&lt;&gt;"",
SUBSTITUTE(SUBSTITUTE(INDIRECT("C"&amp;$R162&amp;"")," 週3ｺｰｽ","")," 週5ｺｰｽ",""),"")</f>
        <v/>
      </c>
      <c r="T162" s="49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22" t="str">
        <f t="array" aca="1" ref="U162" ca="1">IF($R162&lt;&gt;"",
INDIRECT("F"&amp;$R162&amp;""),"")</f>
        <v/>
      </c>
      <c r="V162" s="49" t="str">
        <f t="array" aca="1" ref="V162" ca="1">IF($R162&lt;&gt;"",
INDIRECT("G"&amp;$R162&amp;""),"")</f>
        <v/>
      </c>
      <c r="W162" s="49" t="str">
        <f t="array" aca="1" ref="W162" ca="1">IF($R162&lt;&gt;"",
IF(AND(COUNTIF(INDIRECT("B"&amp;R162&amp;""),"*雙葉*"),COUNTIF(B:B,"*雙葉*")&gt;=2),
IF(OR(COUNTIF(INDIRECT("B"&amp;R162&amp;""),"*雙葉先生*"),COUNTIF($B$1:$B$70,"*雙葉*")&gt;=2),INDIRECT("H"&amp;R162&amp;""),INDIRECT("H"&amp;R162&amp;"")+INDIRECT("H"&amp;MATCH("雙葉'",INDIRECT("B"&amp;R162+3&amp;":B210"),0)+2+R162&amp;"")),
IF(AND(LEFT(INDIRECT("B"&amp;R162&amp;""),2)="博多",COUNTIF(B:B,"*博多*")&gt;=2),
INDIRECT("H"&amp;R162&amp;"")+INDIRECT("H"&amp;MATCH("*"&amp;INDIRECT("B"&amp;R162&amp;"")&amp;"*",INDIRECT("B"&amp;R162+1&amp;":B210"),0)+R162&amp;""),
IF(AND(LEFT(INDIRECT("B"&amp;R162&amp;""),3)="奈良屋",COUNTIF(B:B,"*奈良屋*")&gt;=2),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49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49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49" t="str">
        <f t="shared" ca="1" si="23"/>
        <v/>
      </c>
      <c r="AA162" s="49" t="str">
        <f t="shared" ca="1" si="24"/>
        <v/>
      </c>
      <c r="AB162" s="49" t="str">
        <f t="array" aca="1" ref="AB162" ca="1">IF($R162&lt;&gt;"",
IF(AND(COUNTIF(INDIRECT("B"&amp;R162&amp;""),"*雙葉*"),COUNTIF(B:B,"*雙葉*")&gt;=2),
INDIRECT("M"&amp;R162&amp;"")+INDIRECT("M"&amp;MATCH("雙葉'",INDIRECT("B"&amp;R162+1&amp;":B210"),0)+R162&amp;""),
IF(AND(LEFT(INDIRECT("B"&amp;R162&amp;""),2)="博多",COUNTIF(B:B,"*博多*")&gt;=2),
INDIRECT("M"&amp;R162&amp;"")+INDIRECT("M"&amp;MATCH("*"&amp;INDIRECT("B"&amp;R162&amp;"")&amp;"*",INDIRECT("B"&amp;R162+1&amp;":B210"),0)+R162&amp;""),
IF(AND(LEFT(INDIRECT("B"&amp;R162&amp;""),3)="奈良屋",COUNTIF(B:B,"*奈良屋*")&gt;=2),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  <c r="AC162" s="49" t="str">
        <f ca="1">IF(S162&lt;&gt;"",INDEX(A:A, MATCH("*"&amp;LEFT(S162,4)&amp;"*", C:C, 0)),"")</f>
        <v/>
      </c>
      <c r="AD162" s="49" t="str">
        <f ca="1">IFERROR(INDEX(AC:AC,MATCH(SMALL($AU:$AU,ROW()+3),$AU:$AU,0)),"")</f>
        <v/>
      </c>
      <c r="AE162" s="49" t="str">
        <f ca="1">IFERROR(INDEX(R:R,MATCH(SMALL($AU:$AU,ROW()+3),$AU:$AU,0)),"")</f>
        <v/>
      </c>
      <c r="AF162" s="49" t="str">
        <f ca="1">IFERROR(INDEX(S:S,MATCH(SMALL($AU:$AU,ROW()+3),$AU:$AU,0)),"")</f>
        <v/>
      </c>
      <c r="AG162" s="49" t="str">
        <f ca="1">IFERROR(INDEX(T:T,MATCH(SMALL($AU:$AU,ROW()+3),$AU:$AU,0)),"")</f>
        <v/>
      </c>
      <c r="AH162" s="122" t="str">
        <f ca="1">IFERROR(INDEX(U:U,MATCH(SMALL($AU:$AU,ROW()+3),$AU:$AU,0)),"")</f>
        <v/>
      </c>
      <c r="AI162" s="49" t="str">
        <f ca="1">IFERROR(INDEX(V:V,MATCH(SMALL($AU:$AU,ROW()+3),$AU:$AU,0)),"")</f>
        <v/>
      </c>
      <c r="AJ162" s="49" t="str">
        <f ca="1">IFERROR(INDEX(W:W,MATCH(SMALL($AU:$AU,ROW()+3),$AU:$AU,0)),"")</f>
        <v/>
      </c>
      <c r="AK162" s="49" t="str">
        <f ca="1">IFERROR(INDEX(X:X,MATCH(SMALL($AU:$AU,ROW()+3),$AU:$AU,0)),"")</f>
        <v/>
      </c>
      <c r="AL162" s="49" t="str">
        <f ca="1">IFERROR(INDEX(Y:Y,MATCH(SMALL($AU:$AU,ROW()+3),$AU:$AU,0)),"")</f>
        <v/>
      </c>
      <c r="AM162" s="49" t="str">
        <f ca="1">IFERROR(INDEX(Z:Z,MATCH(SMALL($AU:$AU,ROW()+3),$AU:$AU,0)),"")</f>
        <v/>
      </c>
      <c r="AN162" s="49" t="str">
        <f ca="1">IFERROR(INDEX(AA:AA,MATCH(SMALL($AU:$AU,ROW()+3),$AU:$AU,0)),"")</f>
        <v/>
      </c>
      <c r="AO162" s="49" t="str">
        <f ca="1">IFERROR(INDEX(AB:AB,MATCH(SMALL($AU:$AU,ROW()+3),$AU:$AU,0)),"")</f>
        <v/>
      </c>
      <c r="AP162" s="49" t="str">
        <f ca="1">IFERROR(INDEX(AC:AC,MATCH(SMALL($AU:$AU,ROW()+3),$AU:$AU,0)),"")</f>
        <v/>
      </c>
      <c r="AU162" s="49" t="str">
        <f t="shared" ca="1" si="25"/>
        <v/>
      </c>
    </row>
    <row r="163" spans="1:47" ht="22.2" customHeight="1">
      <c r="A163" s="115">
        <f t="shared" si="29"/>
        <v>51</v>
      </c>
      <c r="B163" s="114" t="str">
        <f t="shared" ca="1" si="26"/>
        <v/>
      </c>
      <c r="C163" s="114" t="str">
        <f>IF(OR(クライアント抽出!D23&lt;&gt;"",クライアント抽出!G23&lt;&gt;""),クライアント抽出!A23,"")</f>
        <v/>
      </c>
      <c r="D163" s="114" t="str">
        <f t="array" aca="1" ref="D163" ca="1">IF(C163&lt;&gt;"",INDIRECT("クライアント抽出!"&amp;E163&amp;MATCH(C163,クライアント抽出!A:A,0)&amp;""),"")</f>
        <v/>
      </c>
      <c r="E163" s="114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17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114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116" t="str">
        <f>IF(C163&lt;&gt;"",
クライアント抽出!D23,"")</f>
        <v/>
      </c>
      <c r="I163" s="114" t="str">
        <f>IF(C163&lt;&gt;"",
IF(O163=1,0,クライアント抽出!F23),"")</f>
        <v/>
      </c>
      <c r="J163" s="114" t="str">
        <f>IF(C163&lt;&gt;"",
VLOOKUP(
"*"&amp;LEFT(IF(COUNTIF(D163,"*学食*"),"キャラ弁（学食）",
IF(COUNTIF(D163,"*赤*"),"赤",
IF(COUNTIF(D163,"*キャラ弁当*"),"キャラ弁当",D163))),4)&amp;"*",注文弁当の抽出!$E$1:$F$15,2,FALSE),"")</f>
        <v/>
      </c>
      <c r="K163" s="114" t="str">
        <f ca="1">IF(クライアント抽出!R23&lt;&gt;"",SUBSTITUTE(ADDRESS(1,(CODE(クライアント抽出!R23)-64)*2-1,4),"1",""),"")</f>
        <v/>
      </c>
      <c r="L163" s="114" t="str">
        <f>IF(C23&lt;&gt;"",クライアント抽出!I23,"")</f>
        <v/>
      </c>
      <c r="M163" s="114">
        <f t="array" aca="1" ref="M163" ca="1">IF(C163&lt;&gt;"",
IF(K163&lt;&gt;"",INDIRECT("'数出表_Excel（アレルギー入力）'!"&amp;K163&amp;L163-1&amp;""),),)</f>
        <v>0</v>
      </c>
      <c r="N163" s="114" t="str">
        <f>IF(C163&lt;&gt;"",IF(OR(COUNTIF('盛付札（関数）'!D163,"*赤*"),COUNTIF('盛付札（関数）'!D163,"*キャラ*")),1,
VLOOKUP("*"&amp;D163&amp;"*",商品マスタ一覧!D:H,5,FALSE)),"")</f>
        <v/>
      </c>
      <c r="O163" s="114">
        <f t="shared" ca="1" si="28"/>
        <v>0</v>
      </c>
      <c r="P163" s="114">
        <f t="shared" si="21"/>
        <v>0</v>
      </c>
      <c r="Q163" s="114" t="b">
        <f t="shared" si="22"/>
        <v>0</v>
      </c>
      <c r="R163" s="49" t="str">
        <f t="array" aca="1" ref="R163" ca="1">IFERROR(SMALL(IF(P$1:P$311&lt;&gt;0,P$1:P$311),ROW(A163)),"")</f>
        <v/>
      </c>
      <c r="S163" s="49" t="str">
        <f t="array" aca="1" ref="S163" ca="1">IF($R163&lt;&gt;"",
SUBSTITUTE(SUBSTITUTE(INDIRECT("C"&amp;$R163&amp;"")," 週3ｺｰｽ","")," 週5ｺｰｽ",""),"")</f>
        <v/>
      </c>
      <c r="T163" s="49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22" t="str">
        <f t="array" aca="1" ref="U163" ca="1">IF($R163&lt;&gt;"",
INDIRECT("F"&amp;$R163&amp;""),"")</f>
        <v/>
      </c>
      <c r="V163" s="49" t="str">
        <f t="array" aca="1" ref="V163" ca="1">IF($R163&lt;&gt;"",
INDIRECT("G"&amp;$R163&amp;""),"")</f>
        <v/>
      </c>
      <c r="W163" s="49" t="str">
        <f t="array" aca="1" ref="W163" ca="1">IF($R163&lt;&gt;"",
IF(AND(COUNTIF(INDIRECT("B"&amp;R163&amp;""),"*雙葉*"),COUNTIF(B:B,"*雙葉*")&gt;=2),
IF(OR(COUNTIF(INDIRECT("B"&amp;R163&amp;""),"*雙葉先生*"),COUNTIF($B$1:$B$70,"*雙葉*")&gt;=2),INDIRECT("H"&amp;R163&amp;""),INDIRECT("H"&amp;R163&amp;"")+INDIRECT("H"&amp;MATCH("雙葉'",INDIRECT("B"&amp;R163+3&amp;":B210"),0)+2+R163&amp;"")),
IF(AND(LEFT(INDIRECT("B"&amp;R163&amp;""),2)="博多",COUNTIF(B:B,"*博多*")&gt;=2),
INDIRECT("H"&amp;R163&amp;"")+INDIRECT("H"&amp;MATCH("*"&amp;INDIRECT("B"&amp;R163&amp;"")&amp;"*",INDIRECT("B"&amp;R163+1&amp;":B210"),0)+R163&amp;""),
IF(AND(LEFT(INDIRECT("B"&amp;R163&amp;""),3)="奈良屋",COUNTIF(B:B,"*奈良屋*")&gt;=2),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49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49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49" t="str">
        <f t="shared" ca="1" si="23"/>
        <v/>
      </c>
      <c r="AA163" s="49" t="str">
        <f t="shared" ca="1" si="24"/>
        <v/>
      </c>
      <c r="AB163" s="49" t="str">
        <f t="array" aca="1" ref="AB163" ca="1">IF($R163&lt;&gt;"",
IF(AND(COUNTIF(INDIRECT("B"&amp;R163&amp;""),"*雙葉*"),COUNTIF(B:B,"*雙葉*")&gt;=2),
INDIRECT("M"&amp;R163&amp;"")+INDIRECT("M"&amp;MATCH("雙葉'",INDIRECT("B"&amp;R163+1&amp;":B210"),0)+R163&amp;""),
IF(AND(LEFT(INDIRECT("B"&amp;R163&amp;""),2)="博多",COUNTIF(B:B,"*博多*")&gt;=2),
INDIRECT("M"&amp;R163&amp;"")+INDIRECT("M"&amp;MATCH("*"&amp;INDIRECT("B"&amp;R163&amp;"")&amp;"*",INDIRECT("B"&amp;R163+1&amp;":B210"),0)+R163&amp;""),
IF(AND(LEFT(INDIRECT("B"&amp;R163&amp;""),3)="奈良屋",COUNTIF(B:B,"*奈良屋*")&gt;=2),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  <c r="AC163" s="49" t="str">
        <f ca="1">IF(S163&lt;&gt;"",INDEX(A:A, MATCH("*"&amp;LEFT(S163,4)&amp;"*", C:C, 0)),"")</f>
        <v/>
      </c>
      <c r="AD163" s="49" t="str">
        <f ca="1">IFERROR(INDEX(AC:AC,MATCH(SMALL($AU:$AU,ROW()+3),$AU:$AU,0)),"")</f>
        <v/>
      </c>
      <c r="AE163" s="49" t="str">
        <f ca="1">IFERROR(INDEX(R:R,MATCH(SMALL($AU:$AU,ROW()+3),$AU:$AU,0)),"")</f>
        <v/>
      </c>
      <c r="AF163" s="49" t="str">
        <f ca="1">IFERROR(INDEX(S:S,MATCH(SMALL($AU:$AU,ROW()+3),$AU:$AU,0)),"")</f>
        <v/>
      </c>
      <c r="AG163" s="49" t="str">
        <f ca="1">IFERROR(INDEX(T:T,MATCH(SMALL($AU:$AU,ROW()+3),$AU:$AU,0)),"")</f>
        <v/>
      </c>
      <c r="AH163" s="122" t="str">
        <f ca="1">IFERROR(INDEX(U:U,MATCH(SMALL($AU:$AU,ROW()+3),$AU:$AU,0)),"")</f>
        <v/>
      </c>
      <c r="AI163" s="49" t="str">
        <f ca="1">IFERROR(INDEX(V:V,MATCH(SMALL($AU:$AU,ROW()+3),$AU:$AU,0)),"")</f>
        <v/>
      </c>
      <c r="AJ163" s="49" t="str">
        <f ca="1">IFERROR(INDEX(W:W,MATCH(SMALL($AU:$AU,ROW()+3),$AU:$AU,0)),"")</f>
        <v/>
      </c>
      <c r="AK163" s="49" t="str">
        <f ca="1">IFERROR(INDEX(X:X,MATCH(SMALL($AU:$AU,ROW()+3),$AU:$AU,0)),"")</f>
        <v/>
      </c>
      <c r="AL163" s="49" t="str">
        <f ca="1">IFERROR(INDEX(Y:Y,MATCH(SMALL($AU:$AU,ROW()+3),$AU:$AU,0)),"")</f>
        <v/>
      </c>
      <c r="AM163" s="49" t="str">
        <f ca="1">IFERROR(INDEX(Z:Z,MATCH(SMALL($AU:$AU,ROW()+3),$AU:$AU,0)),"")</f>
        <v/>
      </c>
      <c r="AN163" s="49" t="str">
        <f ca="1">IFERROR(INDEX(AA:AA,MATCH(SMALL($AU:$AU,ROW()+3),$AU:$AU,0)),"")</f>
        <v/>
      </c>
      <c r="AO163" s="49" t="str">
        <f ca="1">IFERROR(INDEX(AB:AB,MATCH(SMALL($AU:$AU,ROW()+3),$AU:$AU,0)),"")</f>
        <v/>
      </c>
      <c r="AP163" s="49" t="str">
        <f ca="1">IFERROR(INDEX(AC:AC,MATCH(SMALL($AU:$AU,ROW()+3),$AU:$AU,0)),"")</f>
        <v/>
      </c>
      <c r="AU163" s="49" t="str">
        <f t="shared" ca="1" si="25"/>
        <v/>
      </c>
    </row>
    <row r="164" spans="1:47" ht="22.2" customHeight="1">
      <c r="A164" s="115">
        <f t="shared" si="29"/>
        <v>53</v>
      </c>
      <c r="B164" s="114" t="str">
        <f t="shared" ca="1" si="26"/>
        <v/>
      </c>
      <c r="C164" s="114" t="str">
        <f>IF(OR(クライアント抽出!D24&lt;&gt;"",クライアント抽出!G24&lt;&gt;""),クライアント抽出!A24,"")</f>
        <v/>
      </c>
      <c r="D164" s="114" t="str">
        <f t="array" aca="1" ref="D164" ca="1">IF(C164&lt;&gt;"",INDIRECT("クライアント抽出!"&amp;E164&amp;MATCH(C164,クライアント抽出!A:A,0)&amp;""),"")</f>
        <v/>
      </c>
      <c r="E164" s="114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17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114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116" t="str">
        <f>IF(C164&lt;&gt;"",
クライアント抽出!D24,"")</f>
        <v/>
      </c>
      <c r="I164" s="114" t="str">
        <f>IF(C164&lt;&gt;"",
IF(O164=1,0,クライアント抽出!F24),"")</f>
        <v/>
      </c>
      <c r="J164" s="114" t="str">
        <f>IF(C164&lt;&gt;"",
VLOOKUP(
"*"&amp;LEFT(IF(COUNTIF(D164,"*学食*"),"キャラ弁（学食）",
IF(COUNTIF(D164,"*赤*"),"赤",
IF(COUNTIF(D164,"*キャラ弁当*"),"キャラ弁当",D164))),4)&amp;"*",注文弁当の抽出!$E$1:$F$15,2,FALSE),"")</f>
        <v/>
      </c>
      <c r="K164" s="114" t="str">
        <f ca="1">IF(クライアント抽出!R24&lt;&gt;"",SUBSTITUTE(ADDRESS(1,(CODE(クライアント抽出!R24)-64)*2-1,4),"1",""),"")</f>
        <v/>
      </c>
      <c r="L164" s="114" t="str">
        <f>IF(C24&lt;&gt;"",クライアント抽出!I24,"")</f>
        <v/>
      </c>
      <c r="M164" s="114">
        <f t="array" aca="1" ref="M164" ca="1">IF(C164&lt;&gt;"",
IF(K164&lt;&gt;"",INDIRECT("'数出表_Excel（アレルギー入力）'!"&amp;K164&amp;L164-1&amp;""),),)</f>
        <v>0</v>
      </c>
      <c r="N164" s="114" t="str">
        <f>IF(C164&lt;&gt;"",IF(OR(COUNTIF('盛付札（関数）'!D164,"*赤*"),COUNTIF('盛付札（関数）'!D164,"*キャラ*")),1,
VLOOKUP("*"&amp;D164&amp;"*",商品マスタ一覧!D:H,5,FALSE)),"")</f>
        <v/>
      </c>
      <c r="O164" s="114">
        <f t="shared" ca="1" si="28"/>
        <v>0</v>
      </c>
      <c r="P164" s="114">
        <f t="shared" si="21"/>
        <v>0</v>
      </c>
      <c r="Q164" s="114" t="b">
        <f t="shared" si="22"/>
        <v>0</v>
      </c>
      <c r="R164" s="49" t="str">
        <f t="array" aca="1" ref="R164" ca="1">IFERROR(SMALL(IF(P$1:P$311&lt;&gt;0,P$1:P$311),ROW(A164)),"")</f>
        <v/>
      </c>
      <c r="S164" s="49" t="str">
        <f t="array" aca="1" ref="S164" ca="1">IF($R164&lt;&gt;"",
SUBSTITUTE(SUBSTITUTE(INDIRECT("C"&amp;$R164&amp;"")," 週3ｺｰｽ","")," 週5ｺｰｽ",""),"")</f>
        <v/>
      </c>
      <c r="T164" s="49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22" t="str">
        <f t="array" aca="1" ref="U164" ca="1">IF($R164&lt;&gt;"",
INDIRECT("F"&amp;$R164&amp;""),"")</f>
        <v/>
      </c>
      <c r="V164" s="49" t="str">
        <f t="array" aca="1" ref="V164" ca="1">IF($R164&lt;&gt;"",
INDIRECT("G"&amp;$R164&amp;""),"")</f>
        <v/>
      </c>
      <c r="W164" s="49" t="str">
        <f t="array" aca="1" ref="W164" ca="1">IF($R164&lt;&gt;"",
IF(AND(COUNTIF(INDIRECT("B"&amp;R164&amp;""),"*雙葉*"),COUNTIF(B:B,"*雙葉*")&gt;=2),
IF(OR(COUNTIF(INDIRECT("B"&amp;R164&amp;""),"*雙葉先生*"),COUNTIF($B$1:$B$70,"*雙葉*")&gt;=2),INDIRECT("H"&amp;R164&amp;""),INDIRECT("H"&amp;R164&amp;"")+INDIRECT("H"&amp;MATCH("雙葉'",INDIRECT("B"&amp;R164+3&amp;":B210"),0)+2+R164&amp;"")),
IF(AND(LEFT(INDIRECT("B"&amp;R164&amp;""),2)="博多",COUNTIF(B:B,"*博多*")&gt;=2),
INDIRECT("H"&amp;R164&amp;"")+INDIRECT("H"&amp;MATCH("*"&amp;INDIRECT("B"&amp;R164&amp;"")&amp;"*",INDIRECT("B"&amp;R164+1&amp;":B210"),0)+R164&amp;""),
IF(AND(LEFT(INDIRECT("B"&amp;R164&amp;""),3)="奈良屋",COUNTIF(B:B,"*奈良屋*")&gt;=2),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49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49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49" t="str">
        <f t="shared" ca="1" si="23"/>
        <v/>
      </c>
      <c r="AA164" s="49" t="str">
        <f t="shared" ca="1" si="24"/>
        <v/>
      </c>
      <c r="AB164" s="49" t="str">
        <f t="array" aca="1" ref="AB164" ca="1">IF($R164&lt;&gt;"",
IF(AND(COUNTIF(INDIRECT("B"&amp;R164&amp;""),"*雙葉*"),COUNTIF(B:B,"*雙葉*")&gt;=2),
INDIRECT("M"&amp;R164&amp;"")+INDIRECT("M"&amp;MATCH("雙葉'",INDIRECT("B"&amp;R164+1&amp;":B210"),0)+R164&amp;""),
IF(AND(LEFT(INDIRECT("B"&amp;R164&amp;""),2)="博多",COUNTIF(B:B,"*博多*")&gt;=2),
INDIRECT("M"&amp;R164&amp;"")+INDIRECT("M"&amp;MATCH("*"&amp;INDIRECT("B"&amp;R164&amp;"")&amp;"*",INDIRECT("B"&amp;R164+1&amp;":B210"),0)+R164&amp;""),
IF(AND(LEFT(INDIRECT("B"&amp;R164&amp;""),3)="奈良屋",COUNTIF(B:B,"*奈良屋*")&gt;=2),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  <c r="AC164" s="49" t="str">
        <f ca="1">IF(S164&lt;&gt;"",INDEX(A:A, MATCH("*"&amp;LEFT(S164,4)&amp;"*", C:C, 0)),"")</f>
        <v/>
      </c>
      <c r="AD164" s="49" t="str">
        <f ca="1">IFERROR(INDEX(AC:AC,MATCH(SMALL($AU:$AU,ROW()+3),$AU:$AU,0)),"")</f>
        <v/>
      </c>
      <c r="AE164" s="49" t="str">
        <f ca="1">IFERROR(INDEX(R:R,MATCH(SMALL($AU:$AU,ROW()+3),$AU:$AU,0)),"")</f>
        <v/>
      </c>
      <c r="AF164" s="49" t="str">
        <f ca="1">IFERROR(INDEX(S:S,MATCH(SMALL($AU:$AU,ROW()+3),$AU:$AU,0)),"")</f>
        <v/>
      </c>
      <c r="AG164" s="49" t="str">
        <f ca="1">IFERROR(INDEX(T:T,MATCH(SMALL($AU:$AU,ROW()+3),$AU:$AU,0)),"")</f>
        <v/>
      </c>
      <c r="AH164" s="122" t="str">
        <f ca="1">IFERROR(INDEX(U:U,MATCH(SMALL($AU:$AU,ROW()+3),$AU:$AU,0)),"")</f>
        <v/>
      </c>
      <c r="AI164" s="49" t="str">
        <f ca="1">IFERROR(INDEX(V:V,MATCH(SMALL($AU:$AU,ROW()+3),$AU:$AU,0)),"")</f>
        <v/>
      </c>
      <c r="AJ164" s="49" t="str">
        <f ca="1">IFERROR(INDEX(W:W,MATCH(SMALL($AU:$AU,ROW()+3),$AU:$AU,0)),"")</f>
        <v/>
      </c>
      <c r="AK164" s="49" t="str">
        <f ca="1">IFERROR(INDEX(X:X,MATCH(SMALL($AU:$AU,ROW()+3),$AU:$AU,0)),"")</f>
        <v/>
      </c>
      <c r="AL164" s="49" t="str">
        <f ca="1">IFERROR(INDEX(Y:Y,MATCH(SMALL($AU:$AU,ROW()+3),$AU:$AU,0)),"")</f>
        <v/>
      </c>
      <c r="AM164" s="49" t="str">
        <f ca="1">IFERROR(INDEX(Z:Z,MATCH(SMALL($AU:$AU,ROW()+3),$AU:$AU,0)),"")</f>
        <v/>
      </c>
      <c r="AN164" s="49" t="str">
        <f ca="1">IFERROR(INDEX(AA:AA,MATCH(SMALL($AU:$AU,ROW()+3),$AU:$AU,0)),"")</f>
        <v/>
      </c>
      <c r="AO164" s="49" t="str">
        <f ca="1">IFERROR(INDEX(AB:AB,MATCH(SMALL($AU:$AU,ROW()+3),$AU:$AU,0)),"")</f>
        <v/>
      </c>
      <c r="AP164" s="49" t="str">
        <f ca="1">IFERROR(INDEX(AC:AC,MATCH(SMALL($AU:$AU,ROW()+3),$AU:$AU,0)),"")</f>
        <v/>
      </c>
      <c r="AU164" s="49" t="str">
        <f t="shared" ca="1" si="25"/>
        <v/>
      </c>
    </row>
    <row r="165" spans="1:47" ht="22.2" customHeight="1">
      <c r="A165" s="115">
        <f t="shared" si="29"/>
        <v>55</v>
      </c>
      <c r="B165" s="114" t="str">
        <f t="shared" ca="1" si="26"/>
        <v/>
      </c>
      <c r="C165" s="114" t="str">
        <f>IF(OR(クライアント抽出!D25&lt;&gt;"",クライアント抽出!G25&lt;&gt;""),クライアント抽出!A25,"")</f>
        <v/>
      </c>
      <c r="D165" s="114" t="str">
        <f t="array" aca="1" ref="D165" ca="1">IF(C165&lt;&gt;"",INDIRECT("クライアント抽出!"&amp;E165&amp;MATCH(C165,クライアント抽出!A:A,0)&amp;""),"")</f>
        <v/>
      </c>
      <c r="E165" s="114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17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114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116" t="str">
        <f>IF(C165&lt;&gt;"",
クライアント抽出!D25,"")</f>
        <v/>
      </c>
      <c r="I165" s="114" t="str">
        <f>IF(C165&lt;&gt;"",
IF(O165=1,0,クライアント抽出!F25),"")</f>
        <v/>
      </c>
      <c r="J165" s="114" t="str">
        <f>IF(C165&lt;&gt;"",
VLOOKUP(
"*"&amp;LEFT(IF(COUNTIF(D165,"*学食*"),"キャラ弁（学食）",
IF(COUNTIF(D165,"*赤*"),"赤",
IF(COUNTIF(D165,"*キャラ弁当*"),"キャラ弁当",D165))),4)&amp;"*",注文弁当の抽出!$E$1:$F$15,2,FALSE),"")</f>
        <v/>
      </c>
      <c r="K165" s="114" t="str">
        <f ca="1">IF(クライアント抽出!R25&lt;&gt;"",SUBSTITUTE(ADDRESS(1,(CODE(クライアント抽出!R25)-64)*2-1,4),"1",""),"")</f>
        <v/>
      </c>
      <c r="L165" s="114" t="str">
        <f>IF(C25&lt;&gt;"",クライアント抽出!I25,"")</f>
        <v/>
      </c>
      <c r="M165" s="114">
        <f t="array" aca="1" ref="M165" ca="1">IF(C165&lt;&gt;"",
IF(K165&lt;&gt;"",INDIRECT("'数出表_Excel（アレルギー入力）'!"&amp;K165&amp;L165-1&amp;""),),)</f>
        <v>0</v>
      </c>
      <c r="N165" s="114" t="str">
        <f>IF(C165&lt;&gt;"",IF(OR(COUNTIF('盛付札（関数）'!D165,"*赤*"),COUNTIF('盛付札（関数）'!D165,"*キャラ*")),1,
VLOOKUP("*"&amp;D165&amp;"*",商品マスタ一覧!D:H,5,FALSE)),"")</f>
        <v/>
      </c>
      <c r="O165" s="114">
        <f t="shared" ca="1" si="28"/>
        <v>0</v>
      </c>
      <c r="P165" s="114">
        <f t="shared" si="21"/>
        <v>0</v>
      </c>
      <c r="Q165" s="114" t="b">
        <f t="shared" si="22"/>
        <v>0</v>
      </c>
      <c r="R165" s="49" t="str">
        <f t="array" aca="1" ref="R165" ca="1">IFERROR(SMALL(IF(P$1:P$311&lt;&gt;0,P$1:P$311),ROW(A165)),"")</f>
        <v/>
      </c>
      <c r="S165" s="49" t="str">
        <f t="array" aca="1" ref="S165" ca="1">IF($R165&lt;&gt;"",
SUBSTITUTE(SUBSTITUTE(INDIRECT("C"&amp;$R165&amp;"")," 週3ｺｰｽ","")," 週5ｺｰｽ",""),"")</f>
        <v/>
      </c>
      <c r="T165" s="49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22" t="str">
        <f t="array" aca="1" ref="U165" ca="1">IF($R165&lt;&gt;"",
INDIRECT("F"&amp;$R165&amp;""),"")</f>
        <v/>
      </c>
      <c r="V165" s="49" t="str">
        <f t="array" aca="1" ref="V165" ca="1">IF($R165&lt;&gt;"",
INDIRECT("G"&amp;$R165&amp;""),"")</f>
        <v/>
      </c>
      <c r="W165" s="49" t="str">
        <f t="array" aca="1" ref="W165" ca="1">IF($R165&lt;&gt;"",
IF(AND(COUNTIF(INDIRECT("B"&amp;R165&amp;""),"*雙葉*"),COUNTIF(B:B,"*雙葉*")&gt;=2),
IF(OR(COUNTIF(INDIRECT("B"&amp;R165&amp;""),"*雙葉先生*"),COUNTIF($B$1:$B$70,"*雙葉*")&gt;=2),INDIRECT("H"&amp;R165&amp;""),INDIRECT("H"&amp;R165&amp;"")+INDIRECT("H"&amp;MATCH("雙葉'",INDIRECT("B"&amp;R165+3&amp;":B210"),0)+2+R165&amp;"")),
IF(AND(LEFT(INDIRECT("B"&amp;R165&amp;""),2)="博多",COUNTIF(B:B,"*博多*")&gt;=2),
INDIRECT("H"&amp;R165&amp;"")+INDIRECT("H"&amp;MATCH("*"&amp;INDIRECT("B"&amp;R165&amp;"")&amp;"*",INDIRECT("B"&amp;R165+1&amp;":B210"),0)+R165&amp;""),
IF(AND(LEFT(INDIRECT("B"&amp;R165&amp;""),3)="奈良屋",COUNTIF(B:B,"*奈良屋*")&gt;=2),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49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49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49" t="str">
        <f t="shared" ca="1" si="23"/>
        <v/>
      </c>
      <c r="AA165" s="49" t="str">
        <f t="shared" ca="1" si="24"/>
        <v/>
      </c>
      <c r="AB165" s="49" t="str">
        <f t="array" aca="1" ref="AB165" ca="1">IF($R165&lt;&gt;"",
IF(AND(COUNTIF(INDIRECT("B"&amp;R165&amp;""),"*雙葉*"),COUNTIF(B:B,"*雙葉*")&gt;=2),
INDIRECT("M"&amp;R165&amp;"")+INDIRECT("M"&amp;MATCH("雙葉'",INDIRECT("B"&amp;R165+1&amp;":B210"),0)+R165&amp;""),
IF(AND(LEFT(INDIRECT("B"&amp;R165&amp;""),2)="博多",COUNTIF(B:B,"*博多*")&gt;=2),
INDIRECT("M"&amp;R165&amp;"")+INDIRECT("M"&amp;MATCH("*"&amp;INDIRECT("B"&amp;R165&amp;"")&amp;"*",INDIRECT("B"&amp;R165+1&amp;":B210"),0)+R165&amp;""),
IF(AND(LEFT(INDIRECT("B"&amp;R165&amp;""),3)="奈良屋",COUNTIF(B:B,"*奈良屋*")&gt;=2),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  <c r="AC165" s="49" t="str">
        <f ca="1">IF(S165&lt;&gt;"",INDEX(A:A, MATCH("*"&amp;LEFT(S165,4)&amp;"*", C:C, 0)),"")</f>
        <v/>
      </c>
      <c r="AD165" s="49" t="str">
        <f ca="1">IFERROR(INDEX(AC:AC,MATCH(SMALL($AU:$AU,ROW()+3),$AU:$AU,0)),"")</f>
        <v/>
      </c>
      <c r="AE165" s="49" t="str">
        <f ca="1">IFERROR(INDEX(R:R,MATCH(SMALL($AU:$AU,ROW()+3),$AU:$AU,0)),"")</f>
        <v/>
      </c>
      <c r="AF165" s="49" t="str">
        <f ca="1">IFERROR(INDEX(S:S,MATCH(SMALL($AU:$AU,ROW()+3),$AU:$AU,0)),"")</f>
        <v/>
      </c>
      <c r="AG165" s="49" t="str">
        <f ca="1">IFERROR(INDEX(T:T,MATCH(SMALL($AU:$AU,ROW()+3),$AU:$AU,0)),"")</f>
        <v/>
      </c>
      <c r="AH165" s="122" t="str">
        <f ca="1">IFERROR(INDEX(U:U,MATCH(SMALL($AU:$AU,ROW()+3),$AU:$AU,0)),"")</f>
        <v/>
      </c>
      <c r="AI165" s="49" t="str">
        <f ca="1">IFERROR(INDEX(V:V,MATCH(SMALL($AU:$AU,ROW()+3),$AU:$AU,0)),"")</f>
        <v/>
      </c>
      <c r="AJ165" s="49" t="str">
        <f ca="1">IFERROR(INDEX(W:W,MATCH(SMALL($AU:$AU,ROW()+3),$AU:$AU,0)),"")</f>
        <v/>
      </c>
      <c r="AK165" s="49" t="str">
        <f ca="1">IFERROR(INDEX(X:X,MATCH(SMALL($AU:$AU,ROW()+3),$AU:$AU,0)),"")</f>
        <v/>
      </c>
      <c r="AL165" s="49" t="str">
        <f ca="1">IFERROR(INDEX(Y:Y,MATCH(SMALL($AU:$AU,ROW()+3),$AU:$AU,0)),"")</f>
        <v/>
      </c>
      <c r="AM165" s="49" t="str">
        <f ca="1">IFERROR(INDEX(Z:Z,MATCH(SMALL($AU:$AU,ROW()+3),$AU:$AU,0)),"")</f>
        <v/>
      </c>
      <c r="AN165" s="49" t="str">
        <f ca="1">IFERROR(INDEX(AA:AA,MATCH(SMALL($AU:$AU,ROW()+3),$AU:$AU,0)),"")</f>
        <v/>
      </c>
      <c r="AO165" s="49" t="str">
        <f ca="1">IFERROR(INDEX(AB:AB,MATCH(SMALL($AU:$AU,ROW()+3),$AU:$AU,0)),"")</f>
        <v/>
      </c>
      <c r="AP165" s="49" t="str">
        <f ca="1">IFERROR(INDEX(AC:AC,MATCH(SMALL($AU:$AU,ROW()+3),$AU:$AU,0)),"")</f>
        <v/>
      </c>
      <c r="AU165" s="49" t="str">
        <f t="shared" ca="1" si="25"/>
        <v/>
      </c>
    </row>
    <row r="166" spans="1:47" ht="22.2" customHeight="1">
      <c r="A166" s="115">
        <f t="shared" si="29"/>
        <v>57</v>
      </c>
      <c r="B166" s="114" t="str">
        <f t="shared" ca="1" si="26"/>
        <v/>
      </c>
      <c r="C166" s="114" t="str">
        <f>IF(OR(クライアント抽出!D26&lt;&gt;"",クライアント抽出!G26&lt;&gt;""),クライアント抽出!A26,"")</f>
        <v/>
      </c>
      <c r="D166" s="114" t="str">
        <f t="array" aca="1" ref="D166" ca="1">IF(C166&lt;&gt;"",INDIRECT("クライアント抽出!"&amp;E166&amp;MATCH(C166,クライアント抽出!A:A,0)&amp;""),"")</f>
        <v/>
      </c>
      <c r="E166" s="114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17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114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116" t="str">
        <f>IF(C166&lt;&gt;"",
クライアント抽出!D26,"")</f>
        <v/>
      </c>
      <c r="I166" s="114" t="str">
        <f>IF(C166&lt;&gt;"",
IF(O166=1,0,クライアント抽出!F26),"")</f>
        <v/>
      </c>
      <c r="J166" s="114" t="str">
        <f>IF(C166&lt;&gt;"",
VLOOKUP(
"*"&amp;LEFT(IF(COUNTIF(D166,"*学食*"),"キャラ弁（学食）",
IF(COUNTIF(D166,"*赤*"),"赤",
IF(COUNTIF(D166,"*キャラ弁当*"),"キャラ弁当",D166))),4)&amp;"*",注文弁当の抽出!$E$1:$F$15,2,FALSE),"")</f>
        <v/>
      </c>
      <c r="K166" s="114" t="str">
        <f ca="1">IF(クライアント抽出!R26&lt;&gt;"",SUBSTITUTE(ADDRESS(1,(CODE(クライアント抽出!R26)-64)*2-1,4),"1",""),"")</f>
        <v/>
      </c>
      <c r="L166" s="114" t="str">
        <f>IF(C26&lt;&gt;"",クライアント抽出!I26,"")</f>
        <v/>
      </c>
      <c r="M166" s="114">
        <f t="array" aca="1" ref="M166" ca="1">IF(C166&lt;&gt;"",
IF(K166&lt;&gt;"",INDIRECT("'数出表_Excel（アレルギー入力）'!"&amp;K166&amp;L166-1&amp;""),),)</f>
        <v>0</v>
      </c>
      <c r="N166" s="114" t="str">
        <f>IF(C166&lt;&gt;"",IF(OR(COUNTIF('盛付札（関数）'!D166,"*赤*"),COUNTIF('盛付札（関数）'!D166,"*キャラ*")),1,
VLOOKUP("*"&amp;D166&amp;"*",商品マスタ一覧!D:H,5,FALSE)),"")</f>
        <v/>
      </c>
      <c r="O166" s="114">
        <f t="shared" ca="1" si="28"/>
        <v>0</v>
      </c>
      <c r="P166" s="114">
        <f t="shared" si="21"/>
        <v>0</v>
      </c>
      <c r="Q166" s="114" t="b">
        <f t="shared" si="22"/>
        <v>0</v>
      </c>
      <c r="R166" s="49" t="str">
        <f t="array" aca="1" ref="R166" ca="1">IFERROR(SMALL(IF(P$1:P$311&lt;&gt;0,P$1:P$311),ROW(A166)),"")</f>
        <v/>
      </c>
      <c r="S166" s="49" t="str">
        <f t="array" aca="1" ref="S166" ca="1">IF($R166&lt;&gt;"",
SUBSTITUTE(SUBSTITUTE(INDIRECT("C"&amp;$R166&amp;"")," 週3ｺｰｽ","")," 週5ｺｰｽ",""),"")</f>
        <v/>
      </c>
      <c r="T166" s="49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22" t="str">
        <f t="array" aca="1" ref="U166" ca="1">IF($R166&lt;&gt;"",
INDIRECT("F"&amp;$R166&amp;""),"")</f>
        <v/>
      </c>
      <c r="V166" s="49" t="str">
        <f t="array" aca="1" ref="V166" ca="1">IF($R166&lt;&gt;"",
INDIRECT("G"&amp;$R166&amp;""),"")</f>
        <v/>
      </c>
      <c r="W166" s="49" t="str">
        <f t="array" aca="1" ref="W166" ca="1">IF($R166&lt;&gt;"",
IF(AND(COUNTIF(INDIRECT("B"&amp;R166&amp;""),"*雙葉*"),COUNTIF(B:B,"*雙葉*")&gt;=2),
IF(OR(COUNTIF(INDIRECT("B"&amp;R166&amp;""),"*雙葉先生*"),COUNTIF($B$1:$B$70,"*雙葉*")&gt;=2),INDIRECT("H"&amp;R166&amp;""),INDIRECT("H"&amp;R166&amp;"")+INDIRECT("H"&amp;MATCH("雙葉'",INDIRECT("B"&amp;R166+3&amp;":B210"),0)+2+R166&amp;"")),
IF(AND(LEFT(INDIRECT("B"&amp;R166&amp;""),2)="博多",COUNTIF(B:B,"*博多*")&gt;=2),
INDIRECT("H"&amp;R166&amp;"")+INDIRECT("H"&amp;MATCH("*"&amp;INDIRECT("B"&amp;R166&amp;"")&amp;"*",INDIRECT("B"&amp;R166+1&amp;":B210"),0)+R166&amp;""),
IF(AND(LEFT(INDIRECT("B"&amp;R166&amp;""),3)="奈良屋",COUNTIF(B:B,"*奈良屋*")&gt;=2),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49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49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49" t="str">
        <f t="shared" ca="1" si="23"/>
        <v/>
      </c>
      <c r="AA166" s="49" t="str">
        <f t="shared" ca="1" si="24"/>
        <v/>
      </c>
      <c r="AB166" s="49" t="str">
        <f t="array" aca="1" ref="AB166" ca="1">IF($R166&lt;&gt;"",
IF(AND(COUNTIF(INDIRECT("B"&amp;R166&amp;""),"*雙葉*"),COUNTIF(B:B,"*雙葉*")&gt;=2),
INDIRECT("M"&amp;R166&amp;"")+INDIRECT("M"&amp;MATCH("雙葉'",INDIRECT("B"&amp;R166+1&amp;":B210"),0)+R166&amp;""),
IF(AND(LEFT(INDIRECT("B"&amp;R166&amp;""),2)="博多",COUNTIF(B:B,"*博多*")&gt;=2),
INDIRECT("M"&amp;R166&amp;"")+INDIRECT("M"&amp;MATCH("*"&amp;INDIRECT("B"&amp;R166&amp;"")&amp;"*",INDIRECT("B"&amp;R166+1&amp;":B210"),0)+R166&amp;""),
IF(AND(LEFT(INDIRECT("B"&amp;R166&amp;""),3)="奈良屋",COUNTIF(B:B,"*奈良屋*")&gt;=2),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  <c r="AC166" s="49" t="str">
        <f ca="1">IF(S166&lt;&gt;"",INDEX(A:A, MATCH("*"&amp;LEFT(S166,4)&amp;"*", C:C, 0)),"")</f>
        <v/>
      </c>
      <c r="AD166" s="49" t="str">
        <f ca="1">IFERROR(INDEX(AC:AC,MATCH(SMALL($AU:$AU,ROW()+3),$AU:$AU,0)),"")</f>
        <v/>
      </c>
      <c r="AE166" s="49" t="str">
        <f ca="1">IFERROR(INDEX(R:R,MATCH(SMALL($AU:$AU,ROW()+3),$AU:$AU,0)),"")</f>
        <v/>
      </c>
      <c r="AF166" s="49" t="str">
        <f ca="1">IFERROR(INDEX(S:S,MATCH(SMALL($AU:$AU,ROW()+3),$AU:$AU,0)),"")</f>
        <v/>
      </c>
      <c r="AG166" s="49" t="str">
        <f ca="1">IFERROR(INDEX(T:T,MATCH(SMALL($AU:$AU,ROW()+3),$AU:$AU,0)),"")</f>
        <v/>
      </c>
      <c r="AH166" s="122" t="str">
        <f ca="1">IFERROR(INDEX(U:U,MATCH(SMALL($AU:$AU,ROW()+3),$AU:$AU,0)),"")</f>
        <v/>
      </c>
      <c r="AI166" s="49" t="str">
        <f ca="1">IFERROR(INDEX(V:V,MATCH(SMALL($AU:$AU,ROW()+3),$AU:$AU,0)),"")</f>
        <v/>
      </c>
      <c r="AJ166" s="49" t="str">
        <f ca="1">IFERROR(INDEX(W:W,MATCH(SMALL($AU:$AU,ROW()+3),$AU:$AU,0)),"")</f>
        <v/>
      </c>
      <c r="AK166" s="49" t="str">
        <f ca="1">IFERROR(INDEX(X:X,MATCH(SMALL($AU:$AU,ROW()+3),$AU:$AU,0)),"")</f>
        <v/>
      </c>
      <c r="AL166" s="49" t="str">
        <f ca="1">IFERROR(INDEX(Y:Y,MATCH(SMALL($AU:$AU,ROW()+3),$AU:$AU,0)),"")</f>
        <v/>
      </c>
      <c r="AM166" s="49" t="str">
        <f ca="1">IFERROR(INDEX(Z:Z,MATCH(SMALL($AU:$AU,ROW()+3),$AU:$AU,0)),"")</f>
        <v/>
      </c>
      <c r="AN166" s="49" t="str">
        <f ca="1">IFERROR(INDEX(AA:AA,MATCH(SMALL($AU:$AU,ROW()+3),$AU:$AU,0)),"")</f>
        <v/>
      </c>
      <c r="AO166" s="49" t="str">
        <f ca="1">IFERROR(INDEX(AB:AB,MATCH(SMALL($AU:$AU,ROW()+3),$AU:$AU,0)),"")</f>
        <v/>
      </c>
      <c r="AP166" s="49" t="str">
        <f ca="1">IFERROR(INDEX(AC:AC,MATCH(SMALL($AU:$AU,ROW()+3),$AU:$AU,0)),"")</f>
        <v/>
      </c>
      <c r="AU166" s="49" t="str">
        <f t="shared" ca="1" si="25"/>
        <v/>
      </c>
    </row>
    <row r="167" spans="1:47" ht="22.2" customHeight="1">
      <c r="A167" s="115">
        <f t="shared" si="29"/>
        <v>59</v>
      </c>
      <c r="B167" s="114" t="str">
        <f t="shared" ref="B167:B198" ca="1" si="30">IF(COUNTIF(C167,"*雙葉*"),
IF(COUNTIF(INDIRECT("B1:B"&amp;ROW()-1&amp;""),"雙葉"),
IF(COUNTIF(C167,"*先生*"),"雙葉先生","雙葉'"),"雙葉"),
IF(COUNTIF(C167,"*社食*"),"社食'",
IF(LEFT(C167,2)="博多",
IF(IFERROR(TRIM(LEFT(C166,FIND("幼",C166)-1)),TRIM(C166))=IFERROR(TRIM(LEFT(C167,FIND("幼",C167)-1)),TRIM(C167)),
IFERROR(TRIM(LEFT(C167,FIND("幼",C167)-1)),TRIM(C167))&amp;"'",IFERROR(TRIM(LEFT(C167,FIND("幼",C167)-1)),TRIM(C167))),
IF(LEFT(C167,3)="奈良屋",
IF(TRIM(LEFT(C166,FIND("幼",C166)-1))=TRIM(LEFT(C167,FIND("幼",C167)-1)),
"奈良屋'","奈良屋"),""))))</f>
        <v/>
      </c>
      <c r="C167" s="114" t="str">
        <f>IF(OR(クライアント抽出!D27&lt;&gt;"",クライアント抽出!G27&lt;&gt;""),クライアント抽出!A27,"")</f>
        <v/>
      </c>
      <c r="D167" s="114" t="str">
        <f t="array" aca="1" ref="D167" ca="1">IF(C167&lt;&gt;"",INDIRECT("クライアント抽出!"&amp;E167&amp;MATCH(C167,クライアント抽出!A:A,0)&amp;""),"")</f>
        <v/>
      </c>
      <c r="E167" s="114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17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114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116" t="str">
        <f>IF(C167&lt;&gt;"",
クライアント抽出!D27,"")</f>
        <v/>
      </c>
      <c r="I167" s="114" t="str">
        <f>IF(C167&lt;&gt;"",
IF(O167=1,0,クライアント抽出!F27),"")</f>
        <v/>
      </c>
      <c r="J167" s="114" t="str">
        <f>IF(C167&lt;&gt;"",
VLOOKUP(
"*"&amp;LEFT(IF(COUNTIF(D167,"*学食*"),"キャラ弁（学食）",
IF(COUNTIF(D167,"*赤*"),"赤",
IF(COUNTIF(D167,"*キャラ弁当*"),"キャラ弁当",D167))),4)&amp;"*",注文弁当の抽出!$E$1:$F$15,2,FALSE),"")</f>
        <v/>
      </c>
      <c r="K167" s="114" t="str">
        <f ca="1">IF(クライアント抽出!R27&lt;&gt;"",SUBSTITUTE(ADDRESS(1,(CODE(クライアント抽出!R27)-64)*2-1,4),"1",""),"")</f>
        <v/>
      </c>
      <c r="L167" s="114" t="str">
        <f>IF(C27&lt;&gt;"",クライアント抽出!I27,"")</f>
        <v/>
      </c>
      <c r="M167" s="114">
        <f t="array" aca="1" ref="M167" ca="1">IF(C167&lt;&gt;"",
IF(K167&lt;&gt;"",INDIRECT("'数出表_Excel（アレルギー入力）'!"&amp;K167&amp;L167-1&amp;""),),)</f>
        <v>0</v>
      </c>
      <c r="N167" s="114" t="str">
        <f>IF(C167&lt;&gt;"",IF(OR(COUNTIF('盛付札（関数）'!D167,"*赤*"),COUNTIF('盛付札（関数）'!D167,"*キャラ*")),1,
VLOOKUP("*"&amp;D167&amp;"*",商品マスタ一覧!D:H,5,FALSE)),"")</f>
        <v/>
      </c>
      <c r="O167" s="114">
        <f t="shared" ca="1" si="28"/>
        <v>0</v>
      </c>
      <c r="P167" s="114">
        <f t="shared" si="21"/>
        <v>0</v>
      </c>
      <c r="Q167" s="114" t="b">
        <f t="shared" si="22"/>
        <v>0</v>
      </c>
      <c r="R167" s="49" t="str">
        <f t="array" aca="1" ref="R167" ca="1">IFERROR(SMALL(IF(P$1:P$311&lt;&gt;0,P$1:P$311),ROW(A167)),"")</f>
        <v/>
      </c>
      <c r="S167" s="49" t="str">
        <f t="array" aca="1" ref="S167" ca="1">IF($R167&lt;&gt;"",
SUBSTITUTE(SUBSTITUTE(INDIRECT("C"&amp;$R167&amp;"")," 週3ｺｰｽ","")," 週5ｺｰｽ",""),"")</f>
        <v/>
      </c>
      <c r="T167" s="49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22" t="str">
        <f t="array" aca="1" ref="U167" ca="1">IF($R167&lt;&gt;"",
INDIRECT("F"&amp;$R167&amp;""),"")</f>
        <v/>
      </c>
      <c r="V167" s="49" t="str">
        <f t="array" aca="1" ref="V167" ca="1">IF($R167&lt;&gt;"",
INDIRECT("G"&amp;$R167&amp;""),"")</f>
        <v/>
      </c>
      <c r="W167" s="49" t="str">
        <f t="array" aca="1" ref="W167" ca="1">IF($R167&lt;&gt;"",
IF(AND(COUNTIF(INDIRECT("B"&amp;R167&amp;""),"*雙葉*"),COUNTIF(B:B,"*雙葉*")&gt;=2),
IF(OR(COUNTIF(INDIRECT("B"&amp;R167&amp;""),"*雙葉先生*"),COUNTIF($B$1:$B$70,"*雙葉*")&gt;=2),INDIRECT("H"&amp;R167&amp;""),INDIRECT("H"&amp;R167&amp;"")+INDIRECT("H"&amp;MATCH("雙葉'",INDIRECT("B"&amp;R167+3&amp;":B210"),0)+2+R167&amp;"")),
IF(AND(LEFT(INDIRECT("B"&amp;R167&amp;""),2)="博多",COUNTIF(B:B,"*博多*")&gt;=2),
INDIRECT("H"&amp;R167&amp;"")+INDIRECT("H"&amp;MATCH("*"&amp;INDIRECT("B"&amp;R167&amp;"")&amp;"*",INDIRECT("B"&amp;R167+1&amp;":B210"),0)+R167&amp;""),
IF(AND(LEFT(INDIRECT("B"&amp;R167&amp;""),3)="奈良屋",COUNTIF(B:B,"*奈良屋*")&gt;=2),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49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49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49" t="str">
        <f t="shared" ca="1" si="23"/>
        <v/>
      </c>
      <c r="AA167" s="49" t="str">
        <f t="shared" ca="1" si="24"/>
        <v/>
      </c>
      <c r="AB167" s="49" t="str">
        <f t="array" aca="1" ref="AB167" ca="1">IF($R167&lt;&gt;"",
IF(AND(COUNTIF(INDIRECT("B"&amp;R167&amp;""),"*雙葉*"),COUNTIF(B:B,"*雙葉*")&gt;=2),
INDIRECT("M"&amp;R167&amp;"")+INDIRECT("M"&amp;MATCH("雙葉'",INDIRECT("B"&amp;R167+1&amp;":B210"),0)+R167&amp;""),
IF(AND(LEFT(INDIRECT("B"&amp;R167&amp;""),2)="博多",COUNTIF(B:B,"*博多*")&gt;=2),
INDIRECT("M"&amp;R167&amp;"")+INDIRECT("M"&amp;MATCH("*"&amp;INDIRECT("B"&amp;R167&amp;"")&amp;"*",INDIRECT("B"&amp;R167+1&amp;":B210"),0)+R167&amp;""),
IF(AND(LEFT(INDIRECT("B"&amp;R167&amp;""),3)="奈良屋",COUNTIF(B:B,"*奈良屋*")&gt;=2),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  <c r="AC167" s="49" t="str">
        <f ca="1">IF(S167&lt;&gt;"",INDEX(A:A, MATCH("*"&amp;LEFT(S167,4)&amp;"*", C:C, 0)),"")</f>
        <v/>
      </c>
      <c r="AD167" s="49" t="str">
        <f ca="1">IFERROR(INDEX(AC:AC,MATCH(SMALL($AU:$AU,ROW()+3),$AU:$AU,0)),"")</f>
        <v/>
      </c>
      <c r="AE167" s="49" t="str">
        <f ca="1">IFERROR(INDEX(R:R,MATCH(SMALL($AU:$AU,ROW()+3),$AU:$AU,0)),"")</f>
        <v/>
      </c>
      <c r="AF167" s="49" t="str">
        <f ca="1">IFERROR(INDEX(S:S,MATCH(SMALL($AU:$AU,ROW()+3),$AU:$AU,0)),"")</f>
        <v/>
      </c>
      <c r="AG167" s="49" t="str">
        <f ca="1">IFERROR(INDEX(T:T,MATCH(SMALL($AU:$AU,ROW()+3),$AU:$AU,0)),"")</f>
        <v/>
      </c>
      <c r="AH167" s="122" t="str">
        <f ca="1">IFERROR(INDEX(U:U,MATCH(SMALL($AU:$AU,ROW()+3),$AU:$AU,0)),"")</f>
        <v/>
      </c>
      <c r="AI167" s="49" t="str">
        <f ca="1">IFERROR(INDEX(V:V,MATCH(SMALL($AU:$AU,ROW()+3),$AU:$AU,0)),"")</f>
        <v/>
      </c>
      <c r="AJ167" s="49" t="str">
        <f ca="1">IFERROR(INDEX(W:W,MATCH(SMALL($AU:$AU,ROW()+3),$AU:$AU,0)),"")</f>
        <v/>
      </c>
      <c r="AK167" s="49" t="str">
        <f ca="1">IFERROR(INDEX(X:X,MATCH(SMALL($AU:$AU,ROW()+3),$AU:$AU,0)),"")</f>
        <v/>
      </c>
      <c r="AL167" s="49" t="str">
        <f ca="1">IFERROR(INDEX(Y:Y,MATCH(SMALL($AU:$AU,ROW()+3),$AU:$AU,0)),"")</f>
        <v/>
      </c>
      <c r="AM167" s="49" t="str">
        <f ca="1">IFERROR(INDEX(Z:Z,MATCH(SMALL($AU:$AU,ROW()+3),$AU:$AU,0)),"")</f>
        <v/>
      </c>
      <c r="AN167" s="49" t="str">
        <f ca="1">IFERROR(INDEX(AA:AA,MATCH(SMALL($AU:$AU,ROW()+3),$AU:$AU,0)),"")</f>
        <v/>
      </c>
      <c r="AO167" s="49" t="str">
        <f ca="1">IFERROR(INDEX(AB:AB,MATCH(SMALL($AU:$AU,ROW()+3),$AU:$AU,0)),"")</f>
        <v/>
      </c>
      <c r="AP167" s="49" t="str">
        <f ca="1">IFERROR(INDEX(AC:AC,MATCH(SMALL($AU:$AU,ROW()+3),$AU:$AU,0)),"")</f>
        <v/>
      </c>
      <c r="AU167" s="49" t="str">
        <f t="shared" ca="1" si="25"/>
        <v/>
      </c>
    </row>
    <row r="168" spans="1:47" ht="22.2" customHeight="1">
      <c r="A168" s="115">
        <f t="shared" si="29"/>
        <v>61</v>
      </c>
      <c r="B168" s="114" t="str">
        <f t="shared" ca="1" si="30"/>
        <v/>
      </c>
      <c r="C168" s="114" t="str">
        <f>IF(OR(クライアント抽出!D28&lt;&gt;"",クライアント抽出!G28&lt;&gt;""),クライアント抽出!A28,"")</f>
        <v/>
      </c>
      <c r="D168" s="114" t="str">
        <f t="array" aca="1" ref="D168" ca="1">IF(C168&lt;&gt;"",INDIRECT("クライアント抽出!"&amp;E168&amp;MATCH(C168,クライアント抽出!A:A,0)&amp;""),"")</f>
        <v/>
      </c>
      <c r="E168" s="114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17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114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116" t="str">
        <f>IF(C168&lt;&gt;"",
クライアント抽出!D28,"")</f>
        <v/>
      </c>
      <c r="I168" s="114" t="str">
        <f>IF(C168&lt;&gt;"",
IF(O168=1,0,クライアント抽出!F28),"")</f>
        <v/>
      </c>
      <c r="J168" s="114" t="str">
        <f>IF(C168&lt;&gt;"",
VLOOKUP(
"*"&amp;LEFT(IF(COUNTIF(D168,"*学食*"),"キャラ弁（学食）",
IF(COUNTIF(D168,"*赤*"),"赤",
IF(COUNTIF(D168,"*キャラ弁当*"),"キャラ弁当",D168))),4)&amp;"*",注文弁当の抽出!$E$1:$F$15,2,FALSE),"")</f>
        <v/>
      </c>
      <c r="K168" s="114" t="str">
        <f ca="1">IF(クライアント抽出!R28&lt;&gt;"",SUBSTITUTE(ADDRESS(1,(CODE(クライアント抽出!R28)-64)*2-1,4),"1",""),"")</f>
        <v/>
      </c>
      <c r="L168" s="114" t="str">
        <f>IF(C28&lt;&gt;"",クライアント抽出!I28,"")</f>
        <v/>
      </c>
      <c r="M168" s="114">
        <f t="array" aca="1" ref="M168" ca="1">IF(C168&lt;&gt;"",
IF(K168&lt;&gt;"",INDIRECT("'数出表_Excel（アレルギー入力）'!"&amp;K168&amp;L168-1&amp;""),),)</f>
        <v>0</v>
      </c>
      <c r="N168" s="114" t="str">
        <f>IF(C168&lt;&gt;"",IF(OR(COUNTIF('盛付札（関数）'!D168,"*赤*"),COUNTIF('盛付札（関数）'!D168,"*キャラ*")),1,
VLOOKUP("*"&amp;D168&amp;"*",商品マスタ一覧!D:H,5,FALSE)),"")</f>
        <v/>
      </c>
      <c r="O168" s="114">
        <f t="shared" ca="1" si="28"/>
        <v>0</v>
      </c>
      <c r="P168" s="114">
        <f t="shared" si="21"/>
        <v>0</v>
      </c>
      <c r="Q168" s="114" t="b">
        <f t="shared" si="22"/>
        <v>0</v>
      </c>
      <c r="R168" s="49" t="str">
        <f t="array" aca="1" ref="R168" ca="1">IFERROR(SMALL(IF(P$1:P$311&lt;&gt;0,P$1:P$311),ROW(A168)),"")</f>
        <v/>
      </c>
      <c r="S168" s="49" t="str">
        <f t="array" aca="1" ref="S168" ca="1">IF($R168&lt;&gt;"",
SUBSTITUTE(SUBSTITUTE(INDIRECT("C"&amp;$R168&amp;"")," 週3ｺｰｽ","")," 週5ｺｰｽ",""),"")</f>
        <v/>
      </c>
      <c r="T168" s="49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22" t="str">
        <f t="array" aca="1" ref="U168" ca="1">IF($R168&lt;&gt;"",
INDIRECT("F"&amp;$R168&amp;""),"")</f>
        <v/>
      </c>
      <c r="V168" s="49" t="str">
        <f t="array" aca="1" ref="V168" ca="1">IF($R168&lt;&gt;"",
INDIRECT("G"&amp;$R168&amp;""),"")</f>
        <v/>
      </c>
      <c r="W168" s="49" t="str">
        <f t="array" aca="1" ref="W168" ca="1">IF($R168&lt;&gt;"",
IF(AND(COUNTIF(INDIRECT("B"&amp;R168&amp;""),"*雙葉*"),COUNTIF(B:B,"*雙葉*")&gt;=2),
IF(OR(COUNTIF(INDIRECT("B"&amp;R168&amp;""),"*雙葉先生*"),COUNTIF($B$1:$B$70,"*雙葉*")&gt;=2),INDIRECT("H"&amp;R168&amp;""),INDIRECT("H"&amp;R168&amp;"")+INDIRECT("H"&amp;MATCH("雙葉'",INDIRECT("B"&amp;R168+3&amp;":B210"),0)+2+R168&amp;"")),
IF(AND(LEFT(INDIRECT("B"&amp;R168&amp;""),2)="博多",COUNTIF(B:B,"*博多*")&gt;=2),
INDIRECT("H"&amp;R168&amp;"")+INDIRECT("H"&amp;MATCH("*"&amp;INDIRECT("B"&amp;R168&amp;"")&amp;"*",INDIRECT("B"&amp;R168+1&amp;":B210"),0)+R168&amp;""),
IF(AND(LEFT(INDIRECT("B"&amp;R168&amp;""),3)="奈良屋",COUNTIF(B:B,"*奈良屋*")&gt;=2),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49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49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49" t="str">
        <f t="shared" ca="1" si="23"/>
        <v/>
      </c>
      <c r="AA168" s="49" t="str">
        <f t="shared" ca="1" si="24"/>
        <v/>
      </c>
      <c r="AB168" s="49" t="str">
        <f t="array" aca="1" ref="AB168" ca="1">IF($R168&lt;&gt;"",
IF(AND(COUNTIF(INDIRECT("B"&amp;R168&amp;""),"*雙葉*"),COUNTIF(B:B,"*雙葉*")&gt;=2),
INDIRECT("M"&amp;R168&amp;"")+INDIRECT("M"&amp;MATCH("雙葉'",INDIRECT("B"&amp;R168+1&amp;":B210"),0)+R168&amp;""),
IF(AND(LEFT(INDIRECT("B"&amp;R168&amp;""),2)="博多",COUNTIF(B:B,"*博多*")&gt;=2),
INDIRECT("M"&amp;R168&amp;"")+INDIRECT("M"&amp;MATCH("*"&amp;INDIRECT("B"&amp;R168&amp;"")&amp;"*",INDIRECT("B"&amp;R168+1&amp;":B210"),0)+R168&amp;""),
IF(AND(LEFT(INDIRECT("B"&amp;R168&amp;""),3)="奈良屋",COUNTIF(B:B,"*奈良屋*")&gt;=2),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  <c r="AC168" s="49" t="str">
        <f ca="1">IF(S168&lt;&gt;"",INDEX(A:A, MATCH("*"&amp;LEFT(S168,4)&amp;"*", C:C, 0)),"")</f>
        <v/>
      </c>
      <c r="AD168" s="49" t="str">
        <f ca="1">IFERROR(INDEX(AC:AC,MATCH(SMALL($AU:$AU,ROW()+3),$AU:$AU,0)),"")</f>
        <v/>
      </c>
      <c r="AE168" s="49" t="str">
        <f ca="1">IFERROR(INDEX(R:R,MATCH(SMALL($AU:$AU,ROW()+3),$AU:$AU,0)),"")</f>
        <v/>
      </c>
      <c r="AF168" s="49" t="str">
        <f ca="1">IFERROR(INDEX(S:S,MATCH(SMALL($AU:$AU,ROW()+3),$AU:$AU,0)),"")</f>
        <v/>
      </c>
      <c r="AG168" s="49" t="str">
        <f ca="1">IFERROR(INDEX(T:T,MATCH(SMALL($AU:$AU,ROW()+3),$AU:$AU,0)),"")</f>
        <v/>
      </c>
      <c r="AH168" s="122" t="str">
        <f ca="1">IFERROR(INDEX(U:U,MATCH(SMALL($AU:$AU,ROW()+3),$AU:$AU,0)),"")</f>
        <v/>
      </c>
      <c r="AI168" s="49" t="str">
        <f ca="1">IFERROR(INDEX(V:V,MATCH(SMALL($AU:$AU,ROW()+3),$AU:$AU,0)),"")</f>
        <v/>
      </c>
      <c r="AJ168" s="49" t="str">
        <f ca="1">IFERROR(INDEX(W:W,MATCH(SMALL($AU:$AU,ROW()+3),$AU:$AU,0)),"")</f>
        <v/>
      </c>
      <c r="AK168" s="49" t="str">
        <f ca="1">IFERROR(INDEX(X:X,MATCH(SMALL($AU:$AU,ROW()+3),$AU:$AU,0)),"")</f>
        <v/>
      </c>
      <c r="AL168" s="49" t="str">
        <f ca="1">IFERROR(INDEX(Y:Y,MATCH(SMALL($AU:$AU,ROW()+3),$AU:$AU,0)),"")</f>
        <v/>
      </c>
      <c r="AM168" s="49" t="str">
        <f ca="1">IFERROR(INDEX(Z:Z,MATCH(SMALL($AU:$AU,ROW()+3),$AU:$AU,0)),"")</f>
        <v/>
      </c>
      <c r="AN168" s="49" t="str">
        <f ca="1">IFERROR(INDEX(AA:AA,MATCH(SMALL($AU:$AU,ROW()+3),$AU:$AU,0)),"")</f>
        <v/>
      </c>
      <c r="AO168" s="49" t="str">
        <f ca="1">IFERROR(INDEX(AB:AB,MATCH(SMALL($AU:$AU,ROW()+3),$AU:$AU,0)),"")</f>
        <v/>
      </c>
      <c r="AP168" s="49" t="str">
        <f ca="1">IFERROR(INDEX(AC:AC,MATCH(SMALL($AU:$AU,ROW()+3),$AU:$AU,0)),"")</f>
        <v/>
      </c>
      <c r="AU168" s="49" t="str">
        <f t="shared" ca="1" si="25"/>
        <v/>
      </c>
    </row>
    <row r="169" spans="1:47" ht="22.2" customHeight="1">
      <c r="A169" s="115">
        <f t="shared" si="29"/>
        <v>63</v>
      </c>
      <c r="B169" s="114" t="str">
        <f t="shared" ca="1" si="30"/>
        <v/>
      </c>
      <c r="C169" s="114" t="str">
        <f>IF(OR(クライアント抽出!D29&lt;&gt;"",クライアント抽出!G29&lt;&gt;""),クライアント抽出!A29,"")</f>
        <v/>
      </c>
      <c r="D169" s="114" t="str">
        <f t="array" aca="1" ref="D169" ca="1">IF(C169&lt;&gt;"",INDIRECT("クライアント抽出!"&amp;E169&amp;MATCH(C169,クライアント抽出!A:A,0)&amp;""),"")</f>
        <v/>
      </c>
      <c r="E169" s="114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17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114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116" t="str">
        <f>IF(C169&lt;&gt;"",
クライアント抽出!D29,"")</f>
        <v/>
      </c>
      <c r="I169" s="114" t="str">
        <f>IF(C169&lt;&gt;"",
IF(O169=1,0,クライアント抽出!F29),"")</f>
        <v/>
      </c>
      <c r="J169" s="114" t="str">
        <f>IF(C169&lt;&gt;"",
VLOOKUP(
"*"&amp;LEFT(IF(COUNTIF(D169,"*学食*"),"キャラ弁（学食）",
IF(COUNTIF(D169,"*赤*"),"赤",
IF(COUNTIF(D169,"*キャラ弁当*"),"キャラ弁当",D169))),4)&amp;"*",注文弁当の抽出!$E$1:$F$15,2,FALSE),"")</f>
        <v/>
      </c>
      <c r="K169" s="114" t="str">
        <f ca="1">IF(クライアント抽出!R29&lt;&gt;"",SUBSTITUTE(ADDRESS(1,(CODE(クライアント抽出!R29)-64)*2-1,4),"1",""),"")</f>
        <v/>
      </c>
      <c r="L169" s="114" t="str">
        <f>IF(C29&lt;&gt;"",クライアント抽出!I29,"")</f>
        <v/>
      </c>
      <c r="M169" s="114">
        <f t="array" aca="1" ref="M169" ca="1">IF(C169&lt;&gt;"",
IF(K169&lt;&gt;"",INDIRECT("'数出表_Excel（アレルギー入力）'!"&amp;K169&amp;L169-1&amp;""),),)</f>
        <v>0</v>
      </c>
      <c r="N169" s="114" t="str">
        <f>IF(C169&lt;&gt;"",IF(OR(COUNTIF('盛付札（関数）'!D169,"*赤*"),COUNTIF('盛付札（関数）'!D169,"*キャラ*")),1,
VLOOKUP("*"&amp;D169&amp;"*",商品マスタ一覧!D:H,5,FALSE)),"")</f>
        <v/>
      </c>
      <c r="O169" s="114">
        <f t="shared" ca="1" si="28"/>
        <v>0</v>
      </c>
      <c r="P169" s="114">
        <f t="shared" si="21"/>
        <v>0</v>
      </c>
      <c r="Q169" s="114" t="b">
        <f t="shared" si="22"/>
        <v>0</v>
      </c>
      <c r="R169" s="49" t="str">
        <f t="array" aca="1" ref="R169" ca="1">IFERROR(SMALL(IF(P$1:P$311&lt;&gt;0,P$1:P$311),ROW(A169)),"")</f>
        <v/>
      </c>
      <c r="S169" s="49" t="str">
        <f t="array" aca="1" ref="S169" ca="1">IF($R169&lt;&gt;"",
SUBSTITUTE(SUBSTITUTE(INDIRECT("C"&amp;$R169&amp;"")," 週3ｺｰｽ","")," 週5ｺｰｽ",""),"")</f>
        <v/>
      </c>
      <c r="T169" s="49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22" t="str">
        <f t="array" aca="1" ref="U169" ca="1">IF($R169&lt;&gt;"",
INDIRECT("F"&amp;$R169&amp;""),"")</f>
        <v/>
      </c>
      <c r="V169" s="49" t="str">
        <f t="array" aca="1" ref="V169" ca="1">IF($R169&lt;&gt;"",
INDIRECT("G"&amp;$R169&amp;""),"")</f>
        <v/>
      </c>
      <c r="W169" s="49" t="str">
        <f t="array" aca="1" ref="W169" ca="1">IF($R169&lt;&gt;"",
IF(AND(COUNTIF(INDIRECT("B"&amp;R169&amp;""),"*雙葉*"),COUNTIF(B:B,"*雙葉*")&gt;=2),
IF(OR(COUNTIF(INDIRECT("B"&amp;R169&amp;""),"*雙葉先生*"),COUNTIF($B$1:$B$70,"*雙葉*")&gt;=2),INDIRECT("H"&amp;R169&amp;""),INDIRECT("H"&amp;R169&amp;"")+INDIRECT("H"&amp;MATCH("雙葉'",INDIRECT("B"&amp;R169+3&amp;":B210"),0)+2+R169&amp;"")),
IF(AND(LEFT(INDIRECT("B"&amp;R169&amp;""),2)="博多",COUNTIF(B:B,"*博多*")&gt;=2),
INDIRECT("H"&amp;R169&amp;"")+INDIRECT("H"&amp;MATCH("*"&amp;INDIRECT("B"&amp;R169&amp;"")&amp;"*",INDIRECT("B"&amp;R169+1&amp;":B210"),0)+R169&amp;""),
IF(AND(LEFT(INDIRECT("B"&amp;R169&amp;""),3)="奈良屋",COUNTIF(B:B,"*奈良屋*")&gt;=2),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49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49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49" t="str">
        <f t="shared" ca="1" si="23"/>
        <v/>
      </c>
      <c r="AA169" s="49" t="str">
        <f t="shared" ca="1" si="24"/>
        <v/>
      </c>
      <c r="AB169" s="49" t="str">
        <f t="array" aca="1" ref="AB169" ca="1">IF($R169&lt;&gt;"",
IF(AND(COUNTIF(INDIRECT("B"&amp;R169&amp;""),"*雙葉*"),COUNTIF(B:B,"*雙葉*")&gt;=2),
INDIRECT("M"&amp;R169&amp;"")+INDIRECT("M"&amp;MATCH("雙葉'",INDIRECT("B"&amp;R169+1&amp;":B210"),0)+R169&amp;""),
IF(AND(LEFT(INDIRECT("B"&amp;R169&amp;""),2)="博多",COUNTIF(B:B,"*博多*")&gt;=2),
INDIRECT("M"&amp;R169&amp;"")+INDIRECT("M"&amp;MATCH("*"&amp;INDIRECT("B"&amp;R169&amp;"")&amp;"*",INDIRECT("B"&amp;R169+1&amp;":B210"),0)+R169&amp;""),
IF(AND(LEFT(INDIRECT("B"&amp;R169&amp;""),3)="奈良屋",COUNTIF(B:B,"*奈良屋*")&gt;=2),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  <c r="AC169" s="49" t="str">
        <f ca="1">IF(S169&lt;&gt;"",INDEX(A:A, MATCH("*"&amp;LEFT(S169,4)&amp;"*", C:C, 0)),"")</f>
        <v/>
      </c>
      <c r="AD169" s="49" t="str">
        <f ca="1">IFERROR(INDEX(AC:AC,MATCH(SMALL($AU:$AU,ROW()+3),$AU:$AU,0)),"")</f>
        <v/>
      </c>
      <c r="AE169" s="49" t="str">
        <f ca="1">IFERROR(INDEX(R:R,MATCH(SMALL($AU:$AU,ROW()+3),$AU:$AU,0)),"")</f>
        <v/>
      </c>
      <c r="AF169" s="49" t="str">
        <f ca="1">IFERROR(INDEX(S:S,MATCH(SMALL($AU:$AU,ROW()+3),$AU:$AU,0)),"")</f>
        <v/>
      </c>
      <c r="AG169" s="49" t="str">
        <f ca="1">IFERROR(INDEX(T:T,MATCH(SMALL($AU:$AU,ROW()+3),$AU:$AU,0)),"")</f>
        <v/>
      </c>
      <c r="AH169" s="122" t="str">
        <f ca="1">IFERROR(INDEX(U:U,MATCH(SMALL($AU:$AU,ROW()+3),$AU:$AU,0)),"")</f>
        <v/>
      </c>
      <c r="AI169" s="49" t="str">
        <f ca="1">IFERROR(INDEX(V:V,MATCH(SMALL($AU:$AU,ROW()+3),$AU:$AU,0)),"")</f>
        <v/>
      </c>
      <c r="AJ169" s="49" t="str">
        <f ca="1">IFERROR(INDEX(W:W,MATCH(SMALL($AU:$AU,ROW()+3),$AU:$AU,0)),"")</f>
        <v/>
      </c>
      <c r="AK169" s="49" t="str">
        <f ca="1">IFERROR(INDEX(X:X,MATCH(SMALL($AU:$AU,ROW()+3),$AU:$AU,0)),"")</f>
        <v/>
      </c>
      <c r="AL169" s="49" t="str">
        <f ca="1">IFERROR(INDEX(Y:Y,MATCH(SMALL($AU:$AU,ROW()+3),$AU:$AU,0)),"")</f>
        <v/>
      </c>
      <c r="AM169" s="49" t="str">
        <f ca="1">IFERROR(INDEX(Z:Z,MATCH(SMALL($AU:$AU,ROW()+3),$AU:$AU,0)),"")</f>
        <v/>
      </c>
      <c r="AN169" s="49" t="str">
        <f ca="1">IFERROR(INDEX(AA:AA,MATCH(SMALL($AU:$AU,ROW()+3),$AU:$AU,0)),"")</f>
        <v/>
      </c>
      <c r="AO169" s="49" t="str">
        <f ca="1">IFERROR(INDEX(AB:AB,MATCH(SMALL($AU:$AU,ROW()+3),$AU:$AU,0)),"")</f>
        <v/>
      </c>
      <c r="AP169" s="49" t="str">
        <f ca="1">IFERROR(INDEX(AC:AC,MATCH(SMALL($AU:$AU,ROW()+3),$AU:$AU,0)),"")</f>
        <v/>
      </c>
      <c r="AU169" s="49" t="str">
        <f t="shared" ca="1" si="25"/>
        <v/>
      </c>
    </row>
    <row r="170" spans="1:47" ht="22.2" customHeight="1">
      <c r="A170" s="115">
        <f t="shared" si="29"/>
        <v>65</v>
      </c>
      <c r="B170" s="114" t="str">
        <f t="shared" ca="1" si="30"/>
        <v/>
      </c>
      <c r="C170" s="114" t="str">
        <f>IF(OR(クライアント抽出!D30&lt;&gt;"",クライアント抽出!G30&lt;&gt;""),クライアント抽出!A30,"")</f>
        <v/>
      </c>
      <c r="D170" s="114" t="str">
        <f t="array" aca="1" ref="D170" ca="1">IF(C170&lt;&gt;"",INDIRECT("クライアント抽出!"&amp;E170&amp;MATCH(C170,クライアント抽出!A:A,0)&amp;""),"")</f>
        <v/>
      </c>
      <c r="E170" s="114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17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114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116" t="str">
        <f>IF(C170&lt;&gt;"",
クライアント抽出!D30,"")</f>
        <v/>
      </c>
      <c r="I170" s="114" t="str">
        <f>IF(C170&lt;&gt;"",
IF(O170=1,0,クライアント抽出!F30),"")</f>
        <v/>
      </c>
      <c r="J170" s="114" t="str">
        <f>IF(C170&lt;&gt;"",
VLOOKUP(
"*"&amp;LEFT(IF(COUNTIF(D170,"*学食*"),"キャラ弁（学食）",
IF(COUNTIF(D170,"*赤*"),"赤",
IF(COUNTIF(D170,"*キャラ弁当*"),"キャラ弁当",D170))),4)&amp;"*",注文弁当の抽出!$E$1:$F$15,2,FALSE),"")</f>
        <v/>
      </c>
      <c r="K170" s="114" t="str">
        <f ca="1">IF(クライアント抽出!R30&lt;&gt;"",SUBSTITUTE(ADDRESS(1,(CODE(クライアント抽出!R30)-64)*2-1,4),"1",""),"")</f>
        <v/>
      </c>
      <c r="L170" s="114" t="str">
        <f>IF(C30&lt;&gt;"",クライアント抽出!I30,"")</f>
        <v/>
      </c>
      <c r="M170" s="114">
        <f t="array" aca="1" ref="M170" ca="1">IF(C170&lt;&gt;"",
IF(K170&lt;&gt;"",INDIRECT("'数出表_Excel（アレルギー入力）'!"&amp;K170&amp;L170-1&amp;""),),)</f>
        <v>0</v>
      </c>
      <c r="N170" s="114" t="str">
        <f>IF(C170&lt;&gt;"",IF(OR(COUNTIF('盛付札（関数）'!D170,"*赤*"),COUNTIF('盛付札（関数）'!D170,"*キャラ*")),1,
VLOOKUP("*"&amp;D170&amp;"*",商品マスタ一覧!D:H,5,FALSE)),"")</f>
        <v/>
      </c>
      <c r="O170" s="114">
        <f t="shared" ca="1" si="28"/>
        <v>0</v>
      </c>
      <c r="P170" s="114">
        <f t="shared" si="21"/>
        <v>0</v>
      </c>
      <c r="Q170" s="114" t="b">
        <f t="shared" si="22"/>
        <v>0</v>
      </c>
      <c r="R170" s="49" t="str">
        <f t="array" aca="1" ref="R170" ca="1">IFERROR(SMALL(IF(P$1:P$311&lt;&gt;0,P$1:P$311),ROW(A170)),"")</f>
        <v/>
      </c>
      <c r="S170" s="49" t="str">
        <f t="array" aca="1" ref="S170" ca="1">IF($R170&lt;&gt;"",
SUBSTITUTE(SUBSTITUTE(INDIRECT("C"&amp;$R170&amp;"")," 週3ｺｰｽ","")," 週5ｺｰｽ",""),"")</f>
        <v/>
      </c>
      <c r="T170" s="49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22" t="str">
        <f t="array" aca="1" ref="U170" ca="1">IF($R170&lt;&gt;"",
INDIRECT("F"&amp;$R170&amp;""),"")</f>
        <v/>
      </c>
      <c r="V170" s="49" t="str">
        <f t="array" aca="1" ref="V170" ca="1">IF($R170&lt;&gt;"",
INDIRECT("G"&amp;$R170&amp;""),"")</f>
        <v/>
      </c>
      <c r="W170" s="49" t="str">
        <f t="array" aca="1" ref="W170" ca="1">IF($R170&lt;&gt;"",
IF(AND(COUNTIF(INDIRECT("B"&amp;R170&amp;""),"*雙葉*"),COUNTIF(B:B,"*雙葉*")&gt;=2),
IF(OR(COUNTIF(INDIRECT("B"&amp;R170&amp;""),"*雙葉先生*"),COUNTIF($B$1:$B$70,"*雙葉*")&gt;=2),INDIRECT("H"&amp;R170&amp;""),INDIRECT("H"&amp;R170&amp;"")+INDIRECT("H"&amp;MATCH("雙葉'",INDIRECT("B"&amp;R170+3&amp;":B210"),0)+2+R170&amp;"")),
IF(AND(LEFT(INDIRECT("B"&amp;R170&amp;""),2)="博多",COUNTIF(B:B,"*博多*")&gt;=2),
INDIRECT("H"&amp;R170&amp;"")+INDIRECT("H"&amp;MATCH("*"&amp;INDIRECT("B"&amp;R170&amp;"")&amp;"*",INDIRECT("B"&amp;R170+1&amp;":B210"),0)+R170&amp;""),
IF(AND(LEFT(INDIRECT("B"&amp;R170&amp;""),3)="奈良屋",COUNTIF(B:B,"*奈良屋*")&gt;=2),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49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49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49" t="str">
        <f t="shared" ca="1" si="23"/>
        <v/>
      </c>
      <c r="AA170" s="49" t="str">
        <f t="shared" ca="1" si="24"/>
        <v/>
      </c>
      <c r="AB170" s="49" t="str">
        <f t="array" aca="1" ref="AB170" ca="1">IF($R170&lt;&gt;"",
IF(AND(COUNTIF(INDIRECT("B"&amp;R170&amp;""),"*雙葉*"),COUNTIF(B:B,"*雙葉*")&gt;=2),
INDIRECT("M"&amp;R170&amp;"")+INDIRECT("M"&amp;MATCH("雙葉'",INDIRECT("B"&amp;R170+1&amp;":B210"),0)+R170&amp;""),
IF(AND(LEFT(INDIRECT("B"&amp;R170&amp;""),2)="博多",COUNTIF(B:B,"*博多*")&gt;=2),
INDIRECT("M"&amp;R170&amp;"")+INDIRECT("M"&amp;MATCH("*"&amp;INDIRECT("B"&amp;R170&amp;"")&amp;"*",INDIRECT("B"&amp;R170+1&amp;":B210"),0)+R170&amp;""),
IF(AND(LEFT(INDIRECT("B"&amp;R170&amp;""),3)="奈良屋",COUNTIF(B:B,"*奈良屋*")&gt;=2),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  <c r="AC170" s="49" t="str">
        <f ca="1">IF(S170&lt;&gt;"",INDEX(A:A, MATCH("*"&amp;LEFT(S170,4)&amp;"*", C:C, 0)),"")</f>
        <v/>
      </c>
      <c r="AD170" s="49" t="str">
        <f ca="1">IFERROR(INDEX(AC:AC,MATCH(SMALL($AU:$AU,ROW()+3),$AU:$AU,0)),"")</f>
        <v/>
      </c>
      <c r="AE170" s="49" t="str">
        <f ca="1">IFERROR(INDEX(R:R,MATCH(SMALL($AU:$AU,ROW()+3),$AU:$AU,0)),"")</f>
        <v/>
      </c>
      <c r="AF170" s="49" t="str">
        <f ca="1">IFERROR(INDEX(S:S,MATCH(SMALL($AU:$AU,ROW()+3),$AU:$AU,0)),"")</f>
        <v/>
      </c>
      <c r="AG170" s="49" t="str">
        <f ca="1">IFERROR(INDEX(T:T,MATCH(SMALL($AU:$AU,ROW()+3),$AU:$AU,0)),"")</f>
        <v/>
      </c>
      <c r="AH170" s="122" t="str">
        <f ca="1">IFERROR(INDEX(U:U,MATCH(SMALL($AU:$AU,ROW()+3),$AU:$AU,0)),"")</f>
        <v/>
      </c>
      <c r="AI170" s="49" t="str">
        <f ca="1">IFERROR(INDEX(V:V,MATCH(SMALL($AU:$AU,ROW()+3),$AU:$AU,0)),"")</f>
        <v/>
      </c>
      <c r="AJ170" s="49" t="str">
        <f ca="1">IFERROR(INDEX(W:W,MATCH(SMALL($AU:$AU,ROW()+3),$AU:$AU,0)),"")</f>
        <v/>
      </c>
      <c r="AK170" s="49" t="str">
        <f ca="1">IFERROR(INDEX(X:X,MATCH(SMALL($AU:$AU,ROW()+3),$AU:$AU,0)),"")</f>
        <v/>
      </c>
      <c r="AL170" s="49" t="str">
        <f ca="1">IFERROR(INDEX(Y:Y,MATCH(SMALL($AU:$AU,ROW()+3),$AU:$AU,0)),"")</f>
        <v/>
      </c>
      <c r="AM170" s="49" t="str">
        <f ca="1">IFERROR(INDEX(Z:Z,MATCH(SMALL($AU:$AU,ROW()+3),$AU:$AU,0)),"")</f>
        <v/>
      </c>
      <c r="AN170" s="49" t="str">
        <f ca="1">IFERROR(INDEX(AA:AA,MATCH(SMALL($AU:$AU,ROW()+3),$AU:$AU,0)),"")</f>
        <v/>
      </c>
      <c r="AO170" s="49" t="str">
        <f ca="1">IFERROR(INDEX(AB:AB,MATCH(SMALL($AU:$AU,ROW()+3),$AU:$AU,0)),"")</f>
        <v/>
      </c>
      <c r="AP170" s="49" t="str">
        <f ca="1">IFERROR(INDEX(AC:AC,MATCH(SMALL($AU:$AU,ROW()+3),$AU:$AU,0)),"")</f>
        <v/>
      </c>
      <c r="AU170" s="49" t="str">
        <f t="shared" ca="1" si="25"/>
        <v/>
      </c>
    </row>
    <row r="171" spans="1:47" ht="22.2" customHeight="1">
      <c r="A171" s="115">
        <f t="shared" si="29"/>
        <v>67</v>
      </c>
      <c r="B171" s="114" t="str">
        <f t="shared" ca="1" si="30"/>
        <v/>
      </c>
      <c r="C171" s="114" t="str">
        <f>IF(OR(クライアント抽出!D31&lt;&gt;"",クライアント抽出!G31&lt;&gt;""),クライアント抽出!A31,"")</f>
        <v/>
      </c>
      <c r="D171" s="114" t="str">
        <f t="array" aca="1" ref="D171" ca="1">IF(C171&lt;&gt;"",INDIRECT("クライアント抽出!"&amp;E171&amp;MATCH(C171,クライアント抽出!A:A,0)&amp;""),"")</f>
        <v/>
      </c>
      <c r="E171" s="114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17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114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116" t="str">
        <f>IF(C171&lt;&gt;"",
クライアント抽出!D31,"")</f>
        <v/>
      </c>
      <c r="I171" s="114" t="str">
        <f>IF(C171&lt;&gt;"",
IF(O171=1,0,クライアント抽出!F31),"")</f>
        <v/>
      </c>
      <c r="J171" s="114" t="str">
        <f>IF(C171&lt;&gt;"",
VLOOKUP(
"*"&amp;LEFT(IF(COUNTIF(D171,"*学食*"),"キャラ弁（学食）",
IF(COUNTIF(D171,"*赤*"),"赤",
IF(COUNTIF(D171,"*キャラ弁当*"),"キャラ弁当",D171))),4)&amp;"*",注文弁当の抽出!$E$1:$F$15,2,FALSE),"")</f>
        <v/>
      </c>
      <c r="K171" s="114" t="str">
        <f ca="1">IF(クライアント抽出!R31&lt;&gt;"",SUBSTITUTE(ADDRESS(1,(CODE(クライアント抽出!R31)-64)*2-1,4),"1",""),"")</f>
        <v/>
      </c>
      <c r="L171" s="114" t="str">
        <f>IF(C31&lt;&gt;"",クライアント抽出!I31,"")</f>
        <v/>
      </c>
      <c r="M171" s="114">
        <f t="array" aca="1" ref="M171" ca="1">IF(C171&lt;&gt;"",
IF(K171&lt;&gt;"",INDIRECT("'数出表_Excel（アレルギー入力）'!"&amp;K171&amp;L171-1&amp;""),),)</f>
        <v>0</v>
      </c>
      <c r="N171" s="114" t="str">
        <f>IF(C171&lt;&gt;"",IF(OR(COUNTIF('盛付札（関数）'!D171,"*赤*"),COUNTIF('盛付札（関数）'!D171,"*キャラ*")),1,
VLOOKUP("*"&amp;D171&amp;"*",商品マスタ一覧!D:H,5,FALSE)),"")</f>
        <v/>
      </c>
      <c r="O171" s="114">
        <f t="shared" ca="1" si="28"/>
        <v>0</v>
      </c>
      <c r="P171" s="114">
        <f t="shared" si="21"/>
        <v>0</v>
      </c>
      <c r="Q171" s="114" t="b">
        <f t="shared" si="22"/>
        <v>0</v>
      </c>
      <c r="R171" s="49" t="str">
        <f t="array" aca="1" ref="R171" ca="1">IFERROR(SMALL(IF(P$1:P$311&lt;&gt;0,P$1:P$311),ROW(A171)),"")</f>
        <v/>
      </c>
      <c r="S171" s="49" t="str">
        <f t="array" aca="1" ref="S171" ca="1">IF($R171&lt;&gt;"",
SUBSTITUTE(SUBSTITUTE(INDIRECT("C"&amp;$R171&amp;"")," 週3ｺｰｽ","")," 週5ｺｰｽ",""),"")</f>
        <v/>
      </c>
      <c r="T171" s="49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22" t="str">
        <f t="array" aca="1" ref="U171" ca="1">IF($R171&lt;&gt;"",
INDIRECT("F"&amp;$R171&amp;""),"")</f>
        <v/>
      </c>
      <c r="V171" s="49" t="str">
        <f t="array" aca="1" ref="V171" ca="1">IF($R171&lt;&gt;"",
INDIRECT("G"&amp;$R171&amp;""),"")</f>
        <v/>
      </c>
      <c r="W171" s="49" t="str">
        <f t="array" aca="1" ref="W171" ca="1">IF($R171&lt;&gt;"",
IF(AND(COUNTIF(INDIRECT("B"&amp;R171&amp;""),"*雙葉*"),COUNTIF(B:B,"*雙葉*")&gt;=2),
IF(OR(COUNTIF(INDIRECT("B"&amp;R171&amp;""),"*雙葉先生*"),COUNTIF($B$1:$B$70,"*雙葉*")&gt;=2),INDIRECT("H"&amp;R171&amp;""),INDIRECT("H"&amp;R171&amp;"")+INDIRECT("H"&amp;MATCH("雙葉'",INDIRECT("B"&amp;R171+3&amp;":B210"),0)+2+R171&amp;"")),
IF(AND(LEFT(INDIRECT("B"&amp;R171&amp;""),2)="博多",COUNTIF(B:B,"*博多*")&gt;=2),
INDIRECT("H"&amp;R171&amp;"")+INDIRECT("H"&amp;MATCH("*"&amp;INDIRECT("B"&amp;R171&amp;"")&amp;"*",INDIRECT("B"&amp;R171+1&amp;":B210"),0)+R171&amp;""),
IF(AND(LEFT(INDIRECT("B"&amp;R171&amp;""),3)="奈良屋",COUNTIF(B:B,"*奈良屋*")&gt;=2),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49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49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49" t="str">
        <f t="shared" ca="1" si="23"/>
        <v/>
      </c>
      <c r="AA171" s="49" t="str">
        <f t="shared" ca="1" si="24"/>
        <v/>
      </c>
      <c r="AB171" s="49" t="str">
        <f t="array" aca="1" ref="AB171" ca="1">IF($R171&lt;&gt;"",
IF(AND(COUNTIF(INDIRECT("B"&amp;R171&amp;""),"*雙葉*"),COUNTIF(B:B,"*雙葉*")&gt;=2),
INDIRECT("M"&amp;R171&amp;"")+INDIRECT("M"&amp;MATCH("雙葉'",INDIRECT("B"&amp;R171+1&amp;":B210"),0)+R171&amp;""),
IF(AND(LEFT(INDIRECT("B"&amp;R171&amp;""),2)="博多",COUNTIF(B:B,"*博多*")&gt;=2),
INDIRECT("M"&amp;R171&amp;"")+INDIRECT("M"&amp;MATCH("*"&amp;INDIRECT("B"&amp;R171&amp;"")&amp;"*",INDIRECT("B"&amp;R171+1&amp;":B210"),0)+R171&amp;""),
IF(AND(LEFT(INDIRECT("B"&amp;R171&amp;""),3)="奈良屋",COUNTIF(B:B,"*奈良屋*")&gt;=2),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  <c r="AC171" s="49" t="str">
        <f ca="1">IF(S171&lt;&gt;"",INDEX(A:A, MATCH("*"&amp;LEFT(S171,4)&amp;"*", C:C, 0)),"")</f>
        <v/>
      </c>
      <c r="AD171" s="49" t="str">
        <f ca="1">IFERROR(INDEX(AC:AC,MATCH(SMALL($AU:$AU,ROW()+3),$AU:$AU,0)),"")</f>
        <v/>
      </c>
      <c r="AE171" s="49" t="str">
        <f ca="1">IFERROR(INDEX(R:R,MATCH(SMALL($AU:$AU,ROW()+3),$AU:$AU,0)),"")</f>
        <v/>
      </c>
      <c r="AF171" s="49" t="str">
        <f ca="1">IFERROR(INDEX(S:S,MATCH(SMALL($AU:$AU,ROW()+3),$AU:$AU,0)),"")</f>
        <v/>
      </c>
      <c r="AG171" s="49" t="str">
        <f ca="1">IFERROR(INDEX(T:T,MATCH(SMALL($AU:$AU,ROW()+3),$AU:$AU,0)),"")</f>
        <v/>
      </c>
      <c r="AH171" s="122" t="str">
        <f ca="1">IFERROR(INDEX(U:U,MATCH(SMALL($AU:$AU,ROW()+3),$AU:$AU,0)),"")</f>
        <v/>
      </c>
      <c r="AI171" s="49" t="str">
        <f ca="1">IFERROR(INDEX(V:V,MATCH(SMALL($AU:$AU,ROW()+3),$AU:$AU,0)),"")</f>
        <v/>
      </c>
      <c r="AJ171" s="49" t="str">
        <f ca="1">IFERROR(INDEX(W:W,MATCH(SMALL($AU:$AU,ROW()+3),$AU:$AU,0)),"")</f>
        <v/>
      </c>
      <c r="AK171" s="49" t="str">
        <f ca="1">IFERROR(INDEX(X:X,MATCH(SMALL($AU:$AU,ROW()+3),$AU:$AU,0)),"")</f>
        <v/>
      </c>
      <c r="AL171" s="49" t="str">
        <f ca="1">IFERROR(INDEX(Y:Y,MATCH(SMALL($AU:$AU,ROW()+3),$AU:$AU,0)),"")</f>
        <v/>
      </c>
      <c r="AM171" s="49" t="str">
        <f ca="1">IFERROR(INDEX(Z:Z,MATCH(SMALL($AU:$AU,ROW()+3),$AU:$AU,0)),"")</f>
        <v/>
      </c>
      <c r="AN171" s="49" t="str">
        <f ca="1">IFERROR(INDEX(AA:AA,MATCH(SMALL($AU:$AU,ROW()+3),$AU:$AU,0)),"")</f>
        <v/>
      </c>
      <c r="AO171" s="49" t="str">
        <f ca="1">IFERROR(INDEX(AB:AB,MATCH(SMALL($AU:$AU,ROW()+3),$AU:$AU,0)),"")</f>
        <v/>
      </c>
      <c r="AP171" s="49" t="str">
        <f ca="1">IFERROR(INDEX(AC:AC,MATCH(SMALL($AU:$AU,ROW()+3),$AU:$AU,0)),"")</f>
        <v/>
      </c>
      <c r="AU171" s="49" t="str">
        <f t="shared" ca="1" si="25"/>
        <v/>
      </c>
    </row>
    <row r="172" spans="1:47" ht="22.2" customHeight="1">
      <c r="A172" s="115">
        <f t="shared" si="29"/>
        <v>69</v>
      </c>
      <c r="B172" s="114" t="str">
        <f t="shared" ca="1" si="30"/>
        <v/>
      </c>
      <c r="C172" s="114" t="str">
        <f>IF(OR(クライアント抽出!D32&lt;&gt;"",クライアント抽出!G32&lt;&gt;""),クライアント抽出!A32,"")</f>
        <v/>
      </c>
      <c r="D172" s="114" t="str">
        <f t="array" aca="1" ref="D172" ca="1">IF(C172&lt;&gt;"",INDIRECT("クライアント抽出!"&amp;E172&amp;MATCH(C172,クライアント抽出!A:A,0)&amp;""),"")</f>
        <v/>
      </c>
      <c r="E172" s="114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17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114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116" t="str">
        <f>IF(C172&lt;&gt;"",
クライアント抽出!D32,"")</f>
        <v/>
      </c>
      <c r="I172" s="114" t="str">
        <f>IF(C172&lt;&gt;"",
IF(O172=1,0,クライアント抽出!F32),"")</f>
        <v/>
      </c>
      <c r="J172" s="114" t="str">
        <f>IF(C172&lt;&gt;"",
VLOOKUP(
"*"&amp;LEFT(IF(COUNTIF(D172,"*学食*"),"キャラ弁（学食）",
IF(COUNTIF(D172,"*赤*"),"赤",
IF(COUNTIF(D172,"*キャラ弁当*"),"キャラ弁当",D172))),4)&amp;"*",注文弁当の抽出!$E$1:$F$15,2,FALSE),"")</f>
        <v/>
      </c>
      <c r="K172" s="114" t="str">
        <f ca="1">IF(クライアント抽出!R32&lt;&gt;"",SUBSTITUTE(ADDRESS(1,(CODE(クライアント抽出!R32)-64)*2-1,4),"1",""),"")</f>
        <v/>
      </c>
      <c r="L172" s="114" t="str">
        <f>IF(C32&lt;&gt;"",クライアント抽出!I32,"")</f>
        <v/>
      </c>
      <c r="M172" s="114">
        <f t="array" aca="1" ref="M172" ca="1">IF(C172&lt;&gt;"",
IF(K172&lt;&gt;"",INDIRECT("'数出表_Excel（アレルギー入力）'!"&amp;K172&amp;L172-1&amp;""),),)</f>
        <v>0</v>
      </c>
      <c r="N172" s="114" t="str">
        <f>IF(C172&lt;&gt;"",IF(OR(COUNTIF('盛付札（関数）'!D172,"*赤*"),COUNTIF('盛付札（関数）'!D172,"*キャラ*")),1,
VLOOKUP("*"&amp;D172&amp;"*",商品マスタ一覧!D:H,5,FALSE)),"")</f>
        <v/>
      </c>
      <c r="O172" s="114">
        <f t="shared" ca="1" si="28"/>
        <v>0</v>
      </c>
      <c r="P172" s="114">
        <f t="shared" si="21"/>
        <v>0</v>
      </c>
      <c r="Q172" s="114" t="b">
        <f t="shared" si="22"/>
        <v>0</v>
      </c>
      <c r="R172" s="49" t="str">
        <f t="array" aca="1" ref="R172" ca="1">IFERROR(SMALL(IF(P$1:P$311&lt;&gt;0,P$1:P$311),ROW(A172)),"")</f>
        <v/>
      </c>
      <c r="S172" s="49" t="str">
        <f t="array" aca="1" ref="S172" ca="1">IF($R172&lt;&gt;"",
SUBSTITUTE(SUBSTITUTE(INDIRECT("C"&amp;$R172&amp;"")," 週3ｺｰｽ","")," 週5ｺｰｽ",""),"")</f>
        <v/>
      </c>
      <c r="T172" s="49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22" t="str">
        <f t="array" aca="1" ref="U172" ca="1">IF($R172&lt;&gt;"",
INDIRECT("F"&amp;$R172&amp;""),"")</f>
        <v/>
      </c>
      <c r="V172" s="49" t="str">
        <f t="array" aca="1" ref="V172" ca="1">IF($R172&lt;&gt;"",
INDIRECT("G"&amp;$R172&amp;""),"")</f>
        <v/>
      </c>
      <c r="W172" s="49" t="str">
        <f t="array" aca="1" ref="W172" ca="1">IF($R172&lt;&gt;"",
IF(AND(COUNTIF(INDIRECT("B"&amp;R172&amp;""),"*雙葉*"),COUNTIF(B:B,"*雙葉*")&gt;=2),
IF(OR(COUNTIF(INDIRECT("B"&amp;R172&amp;""),"*雙葉先生*"),COUNTIF($B$1:$B$70,"*雙葉*")&gt;=2),INDIRECT("H"&amp;R172&amp;""),INDIRECT("H"&amp;R172&amp;"")+INDIRECT("H"&amp;MATCH("雙葉'",INDIRECT("B"&amp;R172+3&amp;":B210"),0)+2+R172&amp;"")),
IF(AND(LEFT(INDIRECT("B"&amp;R172&amp;""),2)="博多",COUNTIF(B:B,"*博多*")&gt;=2),
INDIRECT("H"&amp;R172&amp;"")+INDIRECT("H"&amp;MATCH("*"&amp;INDIRECT("B"&amp;R172&amp;"")&amp;"*",INDIRECT("B"&amp;R172+1&amp;":B210"),0)+R172&amp;""),
IF(AND(LEFT(INDIRECT("B"&amp;R172&amp;""),3)="奈良屋",COUNTIF(B:B,"*奈良屋*")&gt;=2),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49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49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49" t="str">
        <f t="shared" ca="1" si="23"/>
        <v/>
      </c>
      <c r="AA172" s="49" t="str">
        <f t="shared" ca="1" si="24"/>
        <v/>
      </c>
      <c r="AB172" s="49" t="str">
        <f t="array" aca="1" ref="AB172" ca="1">IF($R172&lt;&gt;"",
IF(AND(COUNTIF(INDIRECT("B"&amp;R172&amp;""),"*雙葉*"),COUNTIF(B:B,"*雙葉*")&gt;=2),
INDIRECT("M"&amp;R172&amp;"")+INDIRECT("M"&amp;MATCH("雙葉'",INDIRECT("B"&amp;R172+1&amp;":B210"),0)+R172&amp;""),
IF(AND(LEFT(INDIRECT("B"&amp;R172&amp;""),2)="博多",COUNTIF(B:B,"*博多*")&gt;=2),
INDIRECT("M"&amp;R172&amp;"")+INDIRECT("M"&amp;MATCH("*"&amp;INDIRECT("B"&amp;R172&amp;"")&amp;"*",INDIRECT("B"&amp;R172+1&amp;":B210"),0)+R172&amp;""),
IF(AND(LEFT(INDIRECT("B"&amp;R172&amp;""),3)="奈良屋",COUNTIF(B:B,"*奈良屋*")&gt;=2),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  <c r="AC172" s="49" t="str">
        <f ca="1">IF(S172&lt;&gt;"",INDEX(A:A, MATCH("*"&amp;LEFT(S172,4)&amp;"*", C:C, 0)),"")</f>
        <v/>
      </c>
      <c r="AD172" s="49" t="str">
        <f ca="1">IFERROR(INDEX(AC:AC,MATCH(SMALL($AU:$AU,ROW()+3),$AU:$AU,0)),"")</f>
        <v/>
      </c>
      <c r="AE172" s="49" t="str">
        <f ca="1">IFERROR(INDEX(R:R,MATCH(SMALL($AU:$AU,ROW()+3),$AU:$AU,0)),"")</f>
        <v/>
      </c>
      <c r="AF172" s="49" t="str">
        <f ca="1">IFERROR(INDEX(S:S,MATCH(SMALL($AU:$AU,ROW()+3),$AU:$AU,0)),"")</f>
        <v/>
      </c>
      <c r="AG172" s="49" t="str">
        <f ca="1">IFERROR(INDEX(T:T,MATCH(SMALL($AU:$AU,ROW()+3),$AU:$AU,0)),"")</f>
        <v/>
      </c>
      <c r="AH172" s="122" t="str">
        <f ca="1">IFERROR(INDEX(U:U,MATCH(SMALL($AU:$AU,ROW()+3),$AU:$AU,0)),"")</f>
        <v/>
      </c>
      <c r="AI172" s="49" t="str">
        <f ca="1">IFERROR(INDEX(V:V,MATCH(SMALL($AU:$AU,ROW()+3),$AU:$AU,0)),"")</f>
        <v/>
      </c>
      <c r="AJ172" s="49" t="str">
        <f ca="1">IFERROR(INDEX(W:W,MATCH(SMALL($AU:$AU,ROW()+3),$AU:$AU,0)),"")</f>
        <v/>
      </c>
      <c r="AK172" s="49" t="str">
        <f ca="1">IFERROR(INDEX(X:X,MATCH(SMALL($AU:$AU,ROW()+3),$AU:$AU,0)),"")</f>
        <v/>
      </c>
      <c r="AL172" s="49" t="str">
        <f ca="1">IFERROR(INDEX(Y:Y,MATCH(SMALL($AU:$AU,ROW()+3),$AU:$AU,0)),"")</f>
        <v/>
      </c>
      <c r="AM172" s="49" t="str">
        <f ca="1">IFERROR(INDEX(Z:Z,MATCH(SMALL($AU:$AU,ROW()+3),$AU:$AU,0)),"")</f>
        <v/>
      </c>
      <c r="AN172" s="49" t="str">
        <f ca="1">IFERROR(INDEX(AA:AA,MATCH(SMALL($AU:$AU,ROW()+3),$AU:$AU,0)),"")</f>
        <v/>
      </c>
      <c r="AO172" s="49" t="str">
        <f ca="1">IFERROR(INDEX(AB:AB,MATCH(SMALL($AU:$AU,ROW()+3),$AU:$AU,0)),"")</f>
        <v/>
      </c>
      <c r="AP172" s="49" t="str">
        <f ca="1">IFERROR(INDEX(AC:AC,MATCH(SMALL($AU:$AU,ROW()+3),$AU:$AU,0)),"")</f>
        <v/>
      </c>
      <c r="AU172" s="49" t="str">
        <f t="shared" ca="1" si="25"/>
        <v/>
      </c>
    </row>
    <row r="173" spans="1:47" ht="22.2" customHeight="1">
      <c r="A173" s="115">
        <f t="shared" si="29"/>
        <v>71</v>
      </c>
      <c r="B173" s="114" t="str">
        <f t="shared" ca="1" si="30"/>
        <v/>
      </c>
      <c r="C173" s="114" t="str">
        <f>IF(OR(クライアント抽出!D33&lt;&gt;"",クライアント抽出!G33&lt;&gt;""),クライアント抽出!A33,"")</f>
        <v/>
      </c>
      <c r="D173" s="114" t="str">
        <f t="array" aca="1" ref="D173" ca="1">IF(C173&lt;&gt;"",INDIRECT("クライアント抽出!"&amp;E173&amp;MATCH(C173,クライアント抽出!A:A,0)&amp;""),"")</f>
        <v/>
      </c>
      <c r="E173" s="114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17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114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116" t="str">
        <f>IF(C173&lt;&gt;"",
クライアント抽出!D33,"")</f>
        <v/>
      </c>
      <c r="I173" s="114" t="str">
        <f>IF(C173&lt;&gt;"",
IF(O173=1,0,クライアント抽出!F33),"")</f>
        <v/>
      </c>
      <c r="J173" s="114" t="str">
        <f>IF(C173&lt;&gt;"",
VLOOKUP(
"*"&amp;LEFT(IF(COUNTIF(D173,"*学食*"),"キャラ弁（学食）",
IF(COUNTIF(D173,"*赤*"),"赤",
IF(COUNTIF(D173,"*キャラ弁当*"),"キャラ弁当",D173))),4)&amp;"*",注文弁当の抽出!$E$1:$F$15,2,FALSE),"")</f>
        <v/>
      </c>
      <c r="K173" s="114" t="str">
        <f ca="1">IF(クライアント抽出!R33&lt;&gt;"",SUBSTITUTE(ADDRESS(1,(CODE(クライアント抽出!R33)-64)*2-1,4),"1",""),"")</f>
        <v/>
      </c>
      <c r="L173" s="114" t="str">
        <f>IF(C33&lt;&gt;"",クライアント抽出!I33,"")</f>
        <v/>
      </c>
      <c r="M173" s="114">
        <f t="array" aca="1" ref="M173" ca="1">IF(C173&lt;&gt;"",
IF(K173&lt;&gt;"",INDIRECT("'数出表_Excel（アレルギー入力）'!"&amp;K173&amp;L173-1&amp;""),),)</f>
        <v>0</v>
      </c>
      <c r="N173" s="114" t="str">
        <f>IF(C173&lt;&gt;"",IF(OR(COUNTIF('盛付札（関数）'!D173,"*赤*"),COUNTIF('盛付札（関数）'!D173,"*キャラ*")),1,
VLOOKUP("*"&amp;D173&amp;"*",商品マスタ一覧!D:H,5,FALSE)),"")</f>
        <v/>
      </c>
      <c r="O173" s="114">
        <f t="shared" ref="O173:O204" ca="1" si="31">O33</f>
        <v>0</v>
      </c>
      <c r="P173" s="114">
        <f t="shared" si="21"/>
        <v>0</v>
      </c>
      <c r="Q173" s="114" t="b">
        <f t="shared" si="22"/>
        <v>0</v>
      </c>
      <c r="R173" s="49" t="str">
        <f t="array" aca="1" ref="R173" ca="1">IFERROR(SMALL(IF(P$1:P$311&lt;&gt;0,P$1:P$311),ROW(A173)),"")</f>
        <v/>
      </c>
      <c r="S173" s="49" t="str">
        <f t="array" aca="1" ref="S173" ca="1">IF($R173&lt;&gt;"",
SUBSTITUTE(SUBSTITUTE(INDIRECT("C"&amp;$R173&amp;"")," 週3ｺｰｽ","")," 週5ｺｰｽ",""),"")</f>
        <v/>
      </c>
      <c r="T173" s="49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22" t="str">
        <f t="array" aca="1" ref="U173" ca="1">IF($R173&lt;&gt;"",
INDIRECT("F"&amp;$R173&amp;""),"")</f>
        <v/>
      </c>
      <c r="V173" s="49" t="str">
        <f t="array" aca="1" ref="V173" ca="1">IF($R173&lt;&gt;"",
INDIRECT("G"&amp;$R173&amp;""),"")</f>
        <v/>
      </c>
      <c r="W173" s="49" t="str">
        <f t="array" aca="1" ref="W173" ca="1">IF($R173&lt;&gt;"",
IF(AND(COUNTIF(INDIRECT("B"&amp;R173&amp;""),"*雙葉*"),COUNTIF(B:B,"*雙葉*")&gt;=2),
IF(OR(COUNTIF(INDIRECT("B"&amp;R173&amp;""),"*雙葉先生*"),COUNTIF($B$1:$B$70,"*雙葉*")&gt;=2),INDIRECT("H"&amp;R173&amp;""),INDIRECT("H"&amp;R173&amp;"")+INDIRECT("H"&amp;MATCH("雙葉'",INDIRECT("B"&amp;R173+3&amp;":B210"),0)+2+R173&amp;"")),
IF(AND(LEFT(INDIRECT("B"&amp;R173&amp;""),2)="博多",COUNTIF(B:B,"*博多*")&gt;=2),
INDIRECT("H"&amp;R173&amp;"")+INDIRECT("H"&amp;MATCH("*"&amp;INDIRECT("B"&amp;R173&amp;"")&amp;"*",INDIRECT("B"&amp;R173+1&amp;":B210"),0)+R173&amp;""),
IF(AND(LEFT(INDIRECT("B"&amp;R173&amp;""),3)="奈良屋",COUNTIF(B:B,"*奈良屋*")&gt;=2),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49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49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49" t="str">
        <f t="shared" ca="1" si="23"/>
        <v/>
      </c>
      <c r="AA173" s="49" t="str">
        <f t="shared" ca="1" si="24"/>
        <v/>
      </c>
      <c r="AB173" s="49" t="str">
        <f t="array" aca="1" ref="AB173" ca="1">IF($R173&lt;&gt;"",
IF(AND(COUNTIF(INDIRECT("B"&amp;R173&amp;""),"*雙葉*"),COUNTIF(B:B,"*雙葉*")&gt;=2),
INDIRECT("M"&amp;R173&amp;"")+INDIRECT("M"&amp;MATCH("雙葉'",INDIRECT("B"&amp;R173+1&amp;":B210"),0)+R173&amp;""),
IF(AND(LEFT(INDIRECT("B"&amp;R173&amp;""),2)="博多",COUNTIF(B:B,"*博多*")&gt;=2),
INDIRECT("M"&amp;R173&amp;"")+INDIRECT("M"&amp;MATCH("*"&amp;INDIRECT("B"&amp;R173&amp;"")&amp;"*",INDIRECT("B"&amp;R173+1&amp;":B210"),0)+R173&amp;""),
IF(AND(LEFT(INDIRECT("B"&amp;R173&amp;""),3)="奈良屋",COUNTIF(B:B,"*奈良屋*")&gt;=2),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  <c r="AC173" s="49" t="str">
        <f ca="1">IF(S173&lt;&gt;"",INDEX(A:A, MATCH("*"&amp;LEFT(S173,4)&amp;"*", C:C, 0)),"")</f>
        <v/>
      </c>
      <c r="AD173" s="49" t="str">
        <f ca="1">IFERROR(INDEX(AC:AC,MATCH(SMALL($AU:$AU,ROW()+3),$AU:$AU,0)),"")</f>
        <v/>
      </c>
      <c r="AE173" s="49" t="str">
        <f ca="1">IFERROR(INDEX(R:R,MATCH(SMALL($AU:$AU,ROW()+3),$AU:$AU,0)),"")</f>
        <v/>
      </c>
      <c r="AF173" s="49" t="str">
        <f ca="1">IFERROR(INDEX(S:S,MATCH(SMALL($AU:$AU,ROW()+3),$AU:$AU,0)),"")</f>
        <v/>
      </c>
      <c r="AG173" s="49" t="str">
        <f ca="1">IFERROR(INDEX(T:T,MATCH(SMALL($AU:$AU,ROW()+3),$AU:$AU,0)),"")</f>
        <v/>
      </c>
      <c r="AH173" s="122" t="str">
        <f ca="1">IFERROR(INDEX(U:U,MATCH(SMALL($AU:$AU,ROW()+3),$AU:$AU,0)),"")</f>
        <v/>
      </c>
      <c r="AI173" s="49" t="str">
        <f ca="1">IFERROR(INDEX(V:V,MATCH(SMALL($AU:$AU,ROW()+3),$AU:$AU,0)),"")</f>
        <v/>
      </c>
      <c r="AJ173" s="49" t="str">
        <f ca="1">IFERROR(INDEX(W:W,MATCH(SMALL($AU:$AU,ROW()+3),$AU:$AU,0)),"")</f>
        <v/>
      </c>
      <c r="AK173" s="49" t="str">
        <f ca="1">IFERROR(INDEX(X:X,MATCH(SMALL($AU:$AU,ROW()+3),$AU:$AU,0)),"")</f>
        <v/>
      </c>
      <c r="AL173" s="49" t="str">
        <f ca="1">IFERROR(INDEX(Y:Y,MATCH(SMALL($AU:$AU,ROW()+3),$AU:$AU,0)),"")</f>
        <v/>
      </c>
      <c r="AM173" s="49" t="str">
        <f ca="1">IFERROR(INDEX(Z:Z,MATCH(SMALL($AU:$AU,ROW()+3),$AU:$AU,0)),"")</f>
        <v/>
      </c>
      <c r="AN173" s="49" t="str">
        <f ca="1">IFERROR(INDEX(AA:AA,MATCH(SMALL($AU:$AU,ROW()+3),$AU:$AU,0)),"")</f>
        <v/>
      </c>
      <c r="AO173" s="49" t="str">
        <f ca="1">IFERROR(INDEX(AB:AB,MATCH(SMALL($AU:$AU,ROW()+3),$AU:$AU,0)),"")</f>
        <v/>
      </c>
      <c r="AP173" s="49" t="str">
        <f ca="1">IFERROR(INDEX(AC:AC,MATCH(SMALL($AU:$AU,ROW()+3),$AU:$AU,0)),"")</f>
        <v/>
      </c>
      <c r="AU173" s="49" t="str">
        <f t="shared" ca="1" si="25"/>
        <v/>
      </c>
    </row>
    <row r="174" spans="1:47" ht="22.2" customHeight="1">
      <c r="A174" s="115">
        <f t="shared" ref="A174:A210" si="32">A173+2</f>
        <v>73</v>
      </c>
      <c r="B174" s="114" t="str">
        <f t="shared" ca="1" si="30"/>
        <v/>
      </c>
      <c r="C174" s="114" t="str">
        <f>IF(OR(クライアント抽出!D34&lt;&gt;"",クライアント抽出!G34&lt;&gt;""),クライアント抽出!A34,"")</f>
        <v/>
      </c>
      <c r="D174" s="114" t="str">
        <f t="array" aca="1" ref="D174" ca="1">IF(C174&lt;&gt;"",INDIRECT("クライアント抽出!"&amp;E174&amp;MATCH(C174,クライアント抽出!A:A,0)&amp;""),"")</f>
        <v/>
      </c>
      <c r="E174" s="114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17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114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116" t="str">
        <f>IF(C174&lt;&gt;"",
クライアント抽出!D34,"")</f>
        <v/>
      </c>
      <c r="I174" s="114" t="str">
        <f>IF(C174&lt;&gt;"",
IF(O174=1,0,クライアント抽出!F34),"")</f>
        <v/>
      </c>
      <c r="J174" s="114" t="str">
        <f>IF(C174&lt;&gt;"",
VLOOKUP(
"*"&amp;LEFT(IF(COUNTIF(D174,"*学食*"),"キャラ弁（学食）",
IF(COUNTIF(D174,"*赤*"),"赤",
IF(COUNTIF(D174,"*キャラ弁当*"),"キャラ弁当",D174))),4)&amp;"*",注文弁当の抽出!$E$1:$F$15,2,FALSE),"")</f>
        <v/>
      </c>
      <c r="K174" s="114" t="str">
        <f ca="1">IF(クライアント抽出!R34&lt;&gt;"",SUBSTITUTE(ADDRESS(1,(CODE(クライアント抽出!R34)-64)*2-1,4),"1",""),"")</f>
        <v/>
      </c>
      <c r="L174" s="114" t="str">
        <f>IF(C34&lt;&gt;"",クライアント抽出!I34,"")</f>
        <v/>
      </c>
      <c r="M174" s="114">
        <f t="array" aca="1" ref="M174" ca="1">IF(C174&lt;&gt;"",
IF(K174&lt;&gt;"",INDIRECT("'数出表_Excel（アレルギー入力）'!"&amp;K174&amp;L174-1&amp;""),),)</f>
        <v>0</v>
      </c>
      <c r="N174" s="114" t="str">
        <f>IF(C174&lt;&gt;"",IF(OR(COUNTIF('盛付札（関数）'!D174,"*赤*"),COUNTIF('盛付札（関数）'!D174,"*キャラ*")),1,
VLOOKUP("*"&amp;D174&amp;"*",商品マスタ一覧!D:H,5,FALSE)),"")</f>
        <v/>
      </c>
      <c r="O174" s="114">
        <f t="shared" ca="1" si="31"/>
        <v>0</v>
      </c>
      <c r="P174" s="114">
        <f t="shared" si="21"/>
        <v>0</v>
      </c>
      <c r="Q174" s="114" t="b">
        <f t="shared" si="22"/>
        <v>0</v>
      </c>
      <c r="R174" s="49" t="str">
        <f t="array" aca="1" ref="R174" ca="1">IFERROR(SMALL(IF(P$1:P$311&lt;&gt;0,P$1:P$311),ROW(A174)),"")</f>
        <v/>
      </c>
      <c r="S174" s="49" t="str">
        <f t="array" aca="1" ref="S174" ca="1">IF($R174&lt;&gt;"",
SUBSTITUTE(SUBSTITUTE(INDIRECT("C"&amp;$R174&amp;"")," 週3ｺｰｽ","")," 週5ｺｰｽ",""),"")</f>
        <v/>
      </c>
      <c r="T174" s="49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22" t="str">
        <f t="array" aca="1" ref="U174" ca="1">IF($R174&lt;&gt;"",
INDIRECT("F"&amp;$R174&amp;""),"")</f>
        <v/>
      </c>
      <c r="V174" s="49" t="str">
        <f t="array" aca="1" ref="V174" ca="1">IF($R174&lt;&gt;"",
INDIRECT("G"&amp;$R174&amp;""),"")</f>
        <v/>
      </c>
      <c r="W174" s="49" t="str">
        <f t="array" aca="1" ref="W174" ca="1">IF($R174&lt;&gt;"",
IF(AND(COUNTIF(INDIRECT("B"&amp;R174&amp;""),"*雙葉*"),COUNTIF(B:B,"*雙葉*")&gt;=2),
IF(OR(COUNTIF(INDIRECT("B"&amp;R174&amp;""),"*雙葉先生*"),COUNTIF($B$1:$B$70,"*雙葉*")&gt;=2),INDIRECT("H"&amp;R174&amp;""),INDIRECT("H"&amp;R174&amp;"")+INDIRECT("H"&amp;MATCH("雙葉'",INDIRECT("B"&amp;R174+3&amp;":B210"),0)+2+R174&amp;"")),
IF(AND(LEFT(INDIRECT("B"&amp;R174&amp;""),2)="博多",COUNTIF(B:B,"*博多*")&gt;=2),
INDIRECT("H"&amp;R174&amp;"")+INDIRECT("H"&amp;MATCH("*"&amp;INDIRECT("B"&amp;R174&amp;"")&amp;"*",INDIRECT("B"&amp;R174+1&amp;":B210"),0)+R174&amp;""),
IF(AND(LEFT(INDIRECT("B"&amp;R174&amp;""),3)="奈良屋",COUNTIF(B:B,"*奈良屋*")&gt;=2),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49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49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49" t="str">
        <f t="shared" ca="1" si="23"/>
        <v/>
      </c>
      <c r="AA174" s="49" t="str">
        <f t="shared" ca="1" si="24"/>
        <v/>
      </c>
      <c r="AB174" s="49" t="str">
        <f t="array" aca="1" ref="AB174" ca="1">IF($R174&lt;&gt;"",
IF(AND(COUNTIF(INDIRECT("B"&amp;R174&amp;""),"*雙葉*"),COUNTIF(B:B,"*雙葉*")&gt;=2),
INDIRECT("M"&amp;R174&amp;"")+INDIRECT("M"&amp;MATCH("雙葉'",INDIRECT("B"&amp;R174+1&amp;":B210"),0)+R174&amp;""),
IF(AND(LEFT(INDIRECT("B"&amp;R174&amp;""),2)="博多",COUNTIF(B:B,"*博多*")&gt;=2),
INDIRECT("M"&amp;R174&amp;"")+INDIRECT("M"&amp;MATCH("*"&amp;INDIRECT("B"&amp;R174&amp;"")&amp;"*",INDIRECT("B"&amp;R174+1&amp;":B210"),0)+R174&amp;""),
IF(AND(LEFT(INDIRECT("B"&amp;R174&amp;""),3)="奈良屋",COUNTIF(B:B,"*奈良屋*")&gt;=2),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  <c r="AC174" s="49" t="str">
        <f ca="1">IF(S174&lt;&gt;"",INDEX(A:A, MATCH("*"&amp;LEFT(S174,4)&amp;"*", C:C, 0)),"")</f>
        <v/>
      </c>
      <c r="AD174" s="49" t="str">
        <f ca="1">IFERROR(INDEX(AC:AC,MATCH(SMALL($AU:$AU,ROW()+3),$AU:$AU,0)),"")</f>
        <v/>
      </c>
      <c r="AE174" s="49" t="str">
        <f ca="1">IFERROR(INDEX(R:R,MATCH(SMALL($AU:$AU,ROW()+3),$AU:$AU,0)),"")</f>
        <v/>
      </c>
      <c r="AF174" s="49" t="str">
        <f ca="1">IFERROR(INDEX(S:S,MATCH(SMALL($AU:$AU,ROW()+3),$AU:$AU,0)),"")</f>
        <v/>
      </c>
      <c r="AG174" s="49" t="str">
        <f ca="1">IFERROR(INDEX(T:T,MATCH(SMALL($AU:$AU,ROW()+3),$AU:$AU,0)),"")</f>
        <v/>
      </c>
      <c r="AH174" s="122" t="str">
        <f ca="1">IFERROR(INDEX(U:U,MATCH(SMALL($AU:$AU,ROW()+3),$AU:$AU,0)),"")</f>
        <v/>
      </c>
      <c r="AI174" s="49" t="str">
        <f ca="1">IFERROR(INDEX(V:V,MATCH(SMALL($AU:$AU,ROW()+3),$AU:$AU,0)),"")</f>
        <v/>
      </c>
      <c r="AJ174" s="49" t="str">
        <f ca="1">IFERROR(INDEX(W:W,MATCH(SMALL($AU:$AU,ROW()+3),$AU:$AU,0)),"")</f>
        <v/>
      </c>
      <c r="AK174" s="49" t="str">
        <f ca="1">IFERROR(INDEX(X:X,MATCH(SMALL($AU:$AU,ROW()+3),$AU:$AU,0)),"")</f>
        <v/>
      </c>
      <c r="AL174" s="49" t="str">
        <f ca="1">IFERROR(INDEX(Y:Y,MATCH(SMALL($AU:$AU,ROW()+3),$AU:$AU,0)),"")</f>
        <v/>
      </c>
      <c r="AM174" s="49" t="str">
        <f ca="1">IFERROR(INDEX(Z:Z,MATCH(SMALL($AU:$AU,ROW()+3),$AU:$AU,0)),"")</f>
        <v/>
      </c>
      <c r="AN174" s="49" t="str">
        <f ca="1">IFERROR(INDEX(AA:AA,MATCH(SMALL($AU:$AU,ROW()+3),$AU:$AU,0)),"")</f>
        <v/>
      </c>
      <c r="AO174" s="49" t="str">
        <f ca="1">IFERROR(INDEX(AB:AB,MATCH(SMALL($AU:$AU,ROW()+3),$AU:$AU,0)),"")</f>
        <v/>
      </c>
      <c r="AP174" s="49" t="str">
        <f ca="1">IFERROR(INDEX(AC:AC,MATCH(SMALL($AU:$AU,ROW()+3),$AU:$AU,0)),"")</f>
        <v/>
      </c>
      <c r="AU174" s="49" t="str">
        <f t="shared" ca="1" si="25"/>
        <v/>
      </c>
    </row>
    <row r="175" spans="1:47" ht="22.2" customHeight="1">
      <c r="A175" s="115">
        <f t="shared" si="32"/>
        <v>75</v>
      </c>
      <c r="B175" s="114" t="str">
        <f t="shared" ca="1" si="30"/>
        <v/>
      </c>
      <c r="C175" s="114" t="str">
        <f>IF(OR(クライアント抽出!D35&lt;&gt;"",クライアント抽出!G35&lt;&gt;""),クライアント抽出!A35,"")</f>
        <v/>
      </c>
      <c r="D175" s="114" t="str">
        <f t="array" aca="1" ref="D175" ca="1">IF(C175&lt;&gt;"",INDIRECT("クライアント抽出!"&amp;E175&amp;MATCH(C175,クライアント抽出!A:A,0)&amp;""),"")</f>
        <v/>
      </c>
      <c r="E175" s="114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17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114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116" t="str">
        <f>IF(C175&lt;&gt;"",
クライアント抽出!D35,"")</f>
        <v/>
      </c>
      <c r="I175" s="114" t="str">
        <f>IF(C175&lt;&gt;"",
IF(O175=1,0,クライアント抽出!F35),"")</f>
        <v/>
      </c>
      <c r="J175" s="114" t="str">
        <f>IF(C175&lt;&gt;"",
VLOOKUP(
"*"&amp;LEFT(IF(COUNTIF(D175,"*学食*"),"キャラ弁（学食）",
IF(COUNTIF(D175,"*赤*"),"赤",
IF(COUNTIF(D175,"*キャラ弁当*"),"キャラ弁当",D175))),4)&amp;"*",注文弁当の抽出!$E$1:$F$15,2,FALSE),"")</f>
        <v/>
      </c>
      <c r="K175" s="114" t="str">
        <f ca="1">IF(クライアント抽出!R35&lt;&gt;"",SUBSTITUTE(ADDRESS(1,(CODE(クライアント抽出!R35)-64)*2-1,4),"1",""),"")</f>
        <v/>
      </c>
      <c r="L175" s="114" t="str">
        <f>IF(C35&lt;&gt;"",クライアント抽出!I35,"")</f>
        <v/>
      </c>
      <c r="M175" s="114">
        <f t="array" aca="1" ref="M175" ca="1">IF(C175&lt;&gt;"",
IF(K175&lt;&gt;"",INDIRECT("'数出表_Excel（アレルギー入力）'!"&amp;K175&amp;L175-1&amp;""),),)</f>
        <v>0</v>
      </c>
      <c r="N175" s="114" t="str">
        <f>IF(C175&lt;&gt;"",IF(OR(COUNTIF('盛付札（関数）'!D175,"*赤*"),COUNTIF('盛付札（関数）'!D175,"*キャラ*")),1,
VLOOKUP("*"&amp;D175&amp;"*",商品マスタ一覧!D:H,5,FALSE)),"")</f>
        <v/>
      </c>
      <c r="O175" s="114">
        <f t="shared" ca="1" si="31"/>
        <v>0</v>
      </c>
      <c r="P175" s="114">
        <f t="shared" si="21"/>
        <v>0</v>
      </c>
      <c r="Q175" s="114" t="b">
        <f t="shared" si="22"/>
        <v>0</v>
      </c>
      <c r="R175" s="49" t="str">
        <f t="array" aca="1" ref="R175" ca="1">IFERROR(SMALL(IF(P$1:P$311&lt;&gt;0,P$1:P$311),ROW(A175)),"")</f>
        <v/>
      </c>
      <c r="S175" s="49" t="str">
        <f t="array" aca="1" ref="S175" ca="1">IF($R175&lt;&gt;"",
SUBSTITUTE(SUBSTITUTE(INDIRECT("C"&amp;$R175&amp;"")," 週3ｺｰｽ","")," 週5ｺｰｽ",""),"")</f>
        <v/>
      </c>
      <c r="T175" s="49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22" t="str">
        <f t="array" aca="1" ref="U175" ca="1">IF($R175&lt;&gt;"",
INDIRECT("F"&amp;$R175&amp;""),"")</f>
        <v/>
      </c>
      <c r="V175" s="49" t="str">
        <f t="array" aca="1" ref="V175" ca="1">IF($R175&lt;&gt;"",
INDIRECT("G"&amp;$R175&amp;""),"")</f>
        <v/>
      </c>
      <c r="W175" s="49" t="str">
        <f t="array" aca="1" ref="W175" ca="1">IF($R175&lt;&gt;"",
IF(AND(COUNTIF(INDIRECT("B"&amp;R175&amp;""),"*雙葉*"),COUNTIF(B:B,"*雙葉*")&gt;=2),
IF(OR(COUNTIF(INDIRECT("B"&amp;R175&amp;""),"*雙葉先生*"),COUNTIF($B$1:$B$70,"*雙葉*")&gt;=2),INDIRECT("H"&amp;R175&amp;""),INDIRECT("H"&amp;R175&amp;"")+INDIRECT("H"&amp;MATCH("雙葉'",INDIRECT("B"&amp;R175+3&amp;":B210"),0)+2+R175&amp;"")),
IF(AND(LEFT(INDIRECT("B"&amp;R175&amp;""),2)="博多",COUNTIF(B:B,"*博多*")&gt;=2),
INDIRECT("H"&amp;R175&amp;"")+INDIRECT("H"&amp;MATCH("*"&amp;INDIRECT("B"&amp;R175&amp;"")&amp;"*",INDIRECT("B"&amp;R175+1&amp;":B210"),0)+R175&amp;""),
IF(AND(LEFT(INDIRECT("B"&amp;R175&amp;""),3)="奈良屋",COUNTIF(B:B,"*奈良屋*")&gt;=2),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49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49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49" t="str">
        <f t="shared" ca="1" si="23"/>
        <v/>
      </c>
      <c r="AA175" s="49" t="str">
        <f t="shared" ca="1" si="24"/>
        <v/>
      </c>
      <c r="AB175" s="49" t="str">
        <f t="array" aca="1" ref="AB175" ca="1">IF($R175&lt;&gt;"",
IF(AND(COUNTIF(INDIRECT("B"&amp;R175&amp;""),"*雙葉*"),COUNTIF(B:B,"*雙葉*")&gt;=2),
INDIRECT("M"&amp;R175&amp;"")+INDIRECT("M"&amp;MATCH("雙葉'",INDIRECT("B"&amp;R175+1&amp;":B210"),0)+R175&amp;""),
IF(AND(LEFT(INDIRECT("B"&amp;R175&amp;""),2)="博多",COUNTIF(B:B,"*博多*")&gt;=2),
INDIRECT("M"&amp;R175&amp;"")+INDIRECT("M"&amp;MATCH("*"&amp;INDIRECT("B"&amp;R175&amp;"")&amp;"*",INDIRECT("B"&amp;R175+1&amp;":B210"),0)+R175&amp;""),
IF(AND(LEFT(INDIRECT("B"&amp;R175&amp;""),3)="奈良屋",COUNTIF(B:B,"*奈良屋*")&gt;=2),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  <c r="AC175" s="49" t="str">
        <f ca="1">IF(S175&lt;&gt;"",INDEX(A:A, MATCH("*"&amp;LEFT(S175,4)&amp;"*", C:C, 0)),"")</f>
        <v/>
      </c>
      <c r="AD175" s="49" t="str">
        <f ca="1">IFERROR(INDEX(AC:AC,MATCH(SMALL($AU:$AU,ROW()+3),$AU:$AU,0)),"")</f>
        <v/>
      </c>
      <c r="AE175" s="49" t="str">
        <f ca="1">IFERROR(INDEX(R:R,MATCH(SMALL($AU:$AU,ROW()+3),$AU:$AU,0)),"")</f>
        <v/>
      </c>
      <c r="AF175" s="49" t="str">
        <f ca="1">IFERROR(INDEX(S:S,MATCH(SMALL($AU:$AU,ROW()+3),$AU:$AU,0)),"")</f>
        <v/>
      </c>
      <c r="AG175" s="49" t="str">
        <f ca="1">IFERROR(INDEX(T:T,MATCH(SMALL($AU:$AU,ROW()+3),$AU:$AU,0)),"")</f>
        <v/>
      </c>
      <c r="AH175" s="122" t="str">
        <f ca="1">IFERROR(INDEX(U:U,MATCH(SMALL($AU:$AU,ROW()+3),$AU:$AU,0)),"")</f>
        <v/>
      </c>
      <c r="AI175" s="49" t="str">
        <f ca="1">IFERROR(INDEX(V:V,MATCH(SMALL($AU:$AU,ROW()+3),$AU:$AU,0)),"")</f>
        <v/>
      </c>
      <c r="AJ175" s="49" t="str">
        <f ca="1">IFERROR(INDEX(W:W,MATCH(SMALL($AU:$AU,ROW()+3),$AU:$AU,0)),"")</f>
        <v/>
      </c>
      <c r="AK175" s="49" t="str">
        <f ca="1">IFERROR(INDEX(X:X,MATCH(SMALL($AU:$AU,ROW()+3),$AU:$AU,0)),"")</f>
        <v/>
      </c>
      <c r="AL175" s="49" t="str">
        <f ca="1">IFERROR(INDEX(Y:Y,MATCH(SMALL($AU:$AU,ROW()+3),$AU:$AU,0)),"")</f>
        <v/>
      </c>
      <c r="AM175" s="49" t="str">
        <f ca="1">IFERROR(INDEX(Z:Z,MATCH(SMALL($AU:$AU,ROW()+3),$AU:$AU,0)),"")</f>
        <v/>
      </c>
      <c r="AN175" s="49" t="str">
        <f ca="1">IFERROR(INDEX(AA:AA,MATCH(SMALL($AU:$AU,ROW()+3),$AU:$AU,0)),"")</f>
        <v/>
      </c>
      <c r="AO175" s="49" t="str">
        <f ca="1">IFERROR(INDEX(AB:AB,MATCH(SMALL($AU:$AU,ROW()+3),$AU:$AU,0)),"")</f>
        <v/>
      </c>
      <c r="AP175" s="49" t="str">
        <f ca="1">IFERROR(INDEX(AC:AC,MATCH(SMALL($AU:$AU,ROW()+3),$AU:$AU,0)),"")</f>
        <v/>
      </c>
      <c r="AU175" s="49" t="str">
        <f t="shared" ca="1" si="25"/>
        <v/>
      </c>
    </row>
    <row r="176" spans="1:47" ht="22.2" customHeight="1">
      <c r="A176" s="115">
        <f t="shared" si="32"/>
        <v>77</v>
      </c>
      <c r="B176" s="114" t="str">
        <f t="shared" ca="1" si="30"/>
        <v/>
      </c>
      <c r="C176" s="114" t="str">
        <f>IF(OR(クライアント抽出!D36&lt;&gt;"",クライアント抽出!G36&lt;&gt;""),クライアント抽出!A36,"")</f>
        <v/>
      </c>
      <c r="D176" s="114" t="str">
        <f t="array" aca="1" ref="D176" ca="1">IF(C176&lt;&gt;"",INDIRECT("クライアント抽出!"&amp;E176&amp;MATCH(C176,クライアント抽出!A:A,0)&amp;""),"")</f>
        <v/>
      </c>
      <c r="E176" s="114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17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114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116" t="str">
        <f>IF(C176&lt;&gt;"",
クライアント抽出!D36,"")</f>
        <v/>
      </c>
      <c r="I176" s="114" t="str">
        <f>IF(C176&lt;&gt;"",
IF(O176=1,0,クライアント抽出!F36),"")</f>
        <v/>
      </c>
      <c r="J176" s="114" t="str">
        <f>IF(C176&lt;&gt;"",
VLOOKUP(
"*"&amp;LEFT(IF(COUNTIF(D176,"*学食*"),"キャラ弁（学食）",
IF(COUNTIF(D176,"*赤*"),"赤",
IF(COUNTIF(D176,"*キャラ弁当*"),"キャラ弁当",D176))),4)&amp;"*",注文弁当の抽出!$E$1:$F$15,2,FALSE),"")</f>
        <v/>
      </c>
      <c r="K176" s="114" t="str">
        <f ca="1">IF(クライアント抽出!R36&lt;&gt;"",SUBSTITUTE(ADDRESS(1,(CODE(クライアント抽出!R36)-64)*2-1,4),"1",""),"")</f>
        <v/>
      </c>
      <c r="L176" s="114" t="str">
        <f>IF(C36&lt;&gt;"",クライアント抽出!I36,"")</f>
        <v/>
      </c>
      <c r="M176" s="114">
        <f t="array" aca="1" ref="M176" ca="1">IF(C176&lt;&gt;"",
IF(K176&lt;&gt;"",INDIRECT("'数出表_Excel（アレルギー入力）'!"&amp;K176&amp;L176-1&amp;""),),)</f>
        <v>0</v>
      </c>
      <c r="N176" s="114" t="str">
        <f>IF(C176&lt;&gt;"",IF(OR(COUNTIF('盛付札（関数）'!D176,"*赤*"),COUNTIF('盛付札（関数）'!D176,"*キャラ*")),1,
VLOOKUP("*"&amp;D176&amp;"*",商品マスタ一覧!D:H,5,FALSE)),"")</f>
        <v/>
      </c>
      <c r="O176" s="114">
        <f t="shared" ca="1" si="31"/>
        <v>0</v>
      </c>
      <c r="P176" s="114">
        <f t="shared" si="21"/>
        <v>0</v>
      </c>
      <c r="Q176" s="114" t="b">
        <f t="shared" si="22"/>
        <v>0</v>
      </c>
      <c r="R176" s="49" t="str">
        <f t="array" aca="1" ref="R176" ca="1">IFERROR(SMALL(IF(P$1:P$311&lt;&gt;0,P$1:P$311),ROW(A176)),"")</f>
        <v/>
      </c>
      <c r="S176" s="49" t="str">
        <f t="array" aca="1" ref="S176" ca="1">IF($R176&lt;&gt;"",
SUBSTITUTE(SUBSTITUTE(INDIRECT("C"&amp;$R176&amp;"")," 週3ｺｰｽ","")," 週5ｺｰｽ",""),"")</f>
        <v/>
      </c>
      <c r="T176" s="49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22" t="str">
        <f t="array" aca="1" ref="U176" ca="1">IF($R176&lt;&gt;"",
INDIRECT("F"&amp;$R176&amp;""),"")</f>
        <v/>
      </c>
      <c r="V176" s="49" t="str">
        <f t="array" aca="1" ref="V176" ca="1">IF($R176&lt;&gt;"",
INDIRECT("G"&amp;$R176&amp;""),"")</f>
        <v/>
      </c>
      <c r="W176" s="49" t="str">
        <f t="array" aca="1" ref="W176" ca="1">IF($R176&lt;&gt;"",
IF(AND(COUNTIF(INDIRECT("B"&amp;R176&amp;""),"*雙葉*"),COUNTIF(B:B,"*雙葉*")&gt;=2),
IF(OR(COUNTIF(INDIRECT("B"&amp;R176&amp;""),"*雙葉先生*"),COUNTIF($B$1:$B$70,"*雙葉*")&gt;=2),INDIRECT("H"&amp;R176&amp;""),INDIRECT("H"&amp;R176&amp;"")+INDIRECT("H"&amp;MATCH("雙葉'",INDIRECT("B"&amp;R176+3&amp;":B210"),0)+2+R176&amp;"")),
IF(AND(LEFT(INDIRECT("B"&amp;R176&amp;""),2)="博多",COUNTIF(B:B,"*博多*")&gt;=2),
INDIRECT("H"&amp;R176&amp;"")+INDIRECT("H"&amp;MATCH("*"&amp;INDIRECT("B"&amp;R176&amp;"")&amp;"*",INDIRECT("B"&amp;R176+1&amp;":B210"),0)+R176&amp;""),
IF(AND(LEFT(INDIRECT("B"&amp;R176&amp;""),3)="奈良屋",COUNTIF(B:B,"*奈良屋*")&gt;=2),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49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49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49" t="str">
        <f t="shared" ca="1" si="23"/>
        <v/>
      </c>
      <c r="AA176" s="49" t="str">
        <f t="shared" ca="1" si="24"/>
        <v/>
      </c>
      <c r="AB176" s="49" t="str">
        <f t="array" aca="1" ref="AB176" ca="1">IF($R176&lt;&gt;"",
IF(AND(COUNTIF(INDIRECT("B"&amp;R176&amp;""),"*雙葉*"),COUNTIF(B:B,"*雙葉*")&gt;=2),
INDIRECT("M"&amp;R176&amp;"")+INDIRECT("M"&amp;MATCH("雙葉'",INDIRECT("B"&amp;R176+1&amp;":B210"),0)+R176&amp;""),
IF(AND(LEFT(INDIRECT("B"&amp;R176&amp;""),2)="博多",COUNTIF(B:B,"*博多*")&gt;=2),
INDIRECT("M"&amp;R176&amp;"")+INDIRECT("M"&amp;MATCH("*"&amp;INDIRECT("B"&amp;R176&amp;"")&amp;"*",INDIRECT("B"&amp;R176+1&amp;":B210"),0)+R176&amp;""),
IF(AND(LEFT(INDIRECT("B"&amp;R176&amp;""),3)="奈良屋",COUNTIF(B:B,"*奈良屋*")&gt;=2),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  <c r="AC176" s="49" t="str">
        <f ca="1">IF(S176&lt;&gt;"",INDEX(A:A, MATCH("*"&amp;LEFT(S176,4)&amp;"*", C:C, 0)),"")</f>
        <v/>
      </c>
      <c r="AD176" s="49" t="str">
        <f ca="1">IFERROR(INDEX(AC:AC,MATCH(SMALL($AU:$AU,ROW()+3),$AU:$AU,0)),"")</f>
        <v/>
      </c>
      <c r="AE176" s="49" t="str">
        <f ca="1">IFERROR(INDEX(R:R,MATCH(SMALL($AU:$AU,ROW()+3),$AU:$AU,0)),"")</f>
        <v/>
      </c>
      <c r="AF176" s="49" t="str">
        <f ca="1">IFERROR(INDEX(S:S,MATCH(SMALL($AU:$AU,ROW()+3),$AU:$AU,0)),"")</f>
        <v/>
      </c>
      <c r="AG176" s="49" t="str">
        <f ca="1">IFERROR(INDEX(T:T,MATCH(SMALL($AU:$AU,ROW()+3),$AU:$AU,0)),"")</f>
        <v/>
      </c>
      <c r="AH176" s="122" t="str">
        <f ca="1">IFERROR(INDEX(U:U,MATCH(SMALL($AU:$AU,ROW()+3),$AU:$AU,0)),"")</f>
        <v/>
      </c>
      <c r="AI176" s="49" t="str">
        <f ca="1">IFERROR(INDEX(V:V,MATCH(SMALL($AU:$AU,ROW()+3),$AU:$AU,0)),"")</f>
        <v/>
      </c>
      <c r="AJ176" s="49" t="str">
        <f ca="1">IFERROR(INDEX(W:W,MATCH(SMALL($AU:$AU,ROW()+3),$AU:$AU,0)),"")</f>
        <v/>
      </c>
      <c r="AK176" s="49" t="str">
        <f ca="1">IFERROR(INDEX(X:X,MATCH(SMALL($AU:$AU,ROW()+3),$AU:$AU,0)),"")</f>
        <v/>
      </c>
      <c r="AL176" s="49" t="str">
        <f ca="1">IFERROR(INDEX(Y:Y,MATCH(SMALL($AU:$AU,ROW()+3),$AU:$AU,0)),"")</f>
        <v/>
      </c>
      <c r="AM176" s="49" t="str">
        <f ca="1">IFERROR(INDEX(Z:Z,MATCH(SMALL($AU:$AU,ROW()+3),$AU:$AU,0)),"")</f>
        <v/>
      </c>
      <c r="AN176" s="49" t="str">
        <f ca="1">IFERROR(INDEX(AA:AA,MATCH(SMALL($AU:$AU,ROW()+3),$AU:$AU,0)),"")</f>
        <v/>
      </c>
      <c r="AO176" s="49" t="str">
        <f ca="1">IFERROR(INDEX(AB:AB,MATCH(SMALL($AU:$AU,ROW()+3),$AU:$AU,0)),"")</f>
        <v/>
      </c>
      <c r="AP176" s="49" t="str">
        <f ca="1">IFERROR(INDEX(AC:AC,MATCH(SMALL($AU:$AU,ROW()+3),$AU:$AU,0)),"")</f>
        <v/>
      </c>
      <c r="AU176" s="49" t="str">
        <f t="shared" ca="1" si="25"/>
        <v/>
      </c>
    </row>
    <row r="177" spans="1:47" ht="22.2" customHeight="1">
      <c r="A177" s="115">
        <f t="shared" si="32"/>
        <v>79</v>
      </c>
      <c r="B177" s="114" t="str">
        <f t="shared" ca="1" si="30"/>
        <v/>
      </c>
      <c r="C177" s="114" t="str">
        <f>IF(OR(クライアント抽出!D37&lt;&gt;"",クライアント抽出!G37&lt;&gt;""),クライアント抽出!A37,"")</f>
        <v/>
      </c>
      <c r="D177" s="114" t="str">
        <f t="array" aca="1" ref="D177" ca="1">IF(C177&lt;&gt;"",INDIRECT("クライアント抽出!"&amp;E177&amp;MATCH(C177,クライアント抽出!A:A,0)&amp;""),"")</f>
        <v/>
      </c>
      <c r="E177" s="114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17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114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116" t="str">
        <f>IF(C177&lt;&gt;"",
クライアント抽出!D37,"")</f>
        <v/>
      </c>
      <c r="I177" s="114" t="str">
        <f>IF(C177&lt;&gt;"",
IF(O177=1,0,クライアント抽出!F37),"")</f>
        <v/>
      </c>
      <c r="J177" s="114" t="str">
        <f>IF(C177&lt;&gt;"",
VLOOKUP(
"*"&amp;LEFT(IF(COUNTIF(D177,"*学食*"),"キャラ弁（学食）",
IF(COUNTIF(D177,"*赤*"),"赤",
IF(COUNTIF(D177,"*キャラ弁当*"),"キャラ弁当",D177))),4)&amp;"*",注文弁当の抽出!$E$1:$F$15,2,FALSE),"")</f>
        <v/>
      </c>
      <c r="K177" s="114" t="str">
        <f ca="1">IF(クライアント抽出!R37&lt;&gt;"",SUBSTITUTE(ADDRESS(1,(CODE(クライアント抽出!R37)-64)*2-1,4),"1",""),"")</f>
        <v/>
      </c>
      <c r="L177" s="114" t="str">
        <f>IF(C37&lt;&gt;"",クライアント抽出!I37,"")</f>
        <v/>
      </c>
      <c r="M177" s="114">
        <f t="array" aca="1" ref="M177" ca="1">IF(C177&lt;&gt;"",
IF(K177&lt;&gt;"",INDIRECT("'数出表_Excel（アレルギー入力）'!"&amp;K177&amp;L177-1&amp;""),),)</f>
        <v>0</v>
      </c>
      <c r="N177" s="114" t="str">
        <f>IF(C177&lt;&gt;"",IF(OR(COUNTIF('盛付札（関数）'!D177,"*赤*"),COUNTIF('盛付札（関数）'!D177,"*キャラ*")),1,
VLOOKUP("*"&amp;D177&amp;"*",商品マスタ一覧!D:H,5,FALSE)),"")</f>
        <v/>
      </c>
      <c r="O177" s="114">
        <f t="shared" ca="1" si="31"/>
        <v>0</v>
      </c>
      <c r="P177" s="114">
        <f t="shared" si="21"/>
        <v>0</v>
      </c>
      <c r="Q177" s="114" t="b">
        <f t="shared" si="22"/>
        <v>0</v>
      </c>
      <c r="R177" s="49" t="str">
        <f t="array" aca="1" ref="R177" ca="1">IFERROR(SMALL(IF(P$1:P$311&lt;&gt;0,P$1:P$311),ROW(A177)),"")</f>
        <v/>
      </c>
      <c r="S177" s="49" t="str">
        <f t="array" aca="1" ref="S177" ca="1">IF($R177&lt;&gt;"",
SUBSTITUTE(SUBSTITUTE(INDIRECT("C"&amp;$R177&amp;"")," 週3ｺｰｽ","")," 週5ｺｰｽ",""),"")</f>
        <v/>
      </c>
      <c r="T177" s="49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22" t="str">
        <f t="array" aca="1" ref="U177" ca="1">IF($R177&lt;&gt;"",
INDIRECT("F"&amp;$R177&amp;""),"")</f>
        <v/>
      </c>
      <c r="V177" s="49" t="str">
        <f t="array" aca="1" ref="V177" ca="1">IF($R177&lt;&gt;"",
INDIRECT("G"&amp;$R177&amp;""),"")</f>
        <v/>
      </c>
      <c r="W177" s="49" t="str">
        <f t="array" aca="1" ref="W177" ca="1">IF($R177&lt;&gt;"",
IF(AND(COUNTIF(INDIRECT("B"&amp;R177&amp;""),"*雙葉*"),COUNTIF(B:B,"*雙葉*")&gt;=2),
IF(OR(COUNTIF(INDIRECT("B"&amp;R177&amp;""),"*雙葉先生*"),COUNTIF($B$1:$B$70,"*雙葉*")&gt;=2),INDIRECT("H"&amp;R177&amp;""),INDIRECT("H"&amp;R177&amp;"")+INDIRECT("H"&amp;MATCH("雙葉'",INDIRECT("B"&amp;R177+3&amp;":B210"),0)+2+R177&amp;"")),
IF(AND(LEFT(INDIRECT("B"&amp;R177&amp;""),2)="博多",COUNTIF(B:B,"*博多*")&gt;=2),
INDIRECT("H"&amp;R177&amp;"")+INDIRECT("H"&amp;MATCH("*"&amp;INDIRECT("B"&amp;R177&amp;"")&amp;"*",INDIRECT("B"&amp;R177+1&amp;":B210"),0)+R177&amp;""),
IF(AND(LEFT(INDIRECT("B"&amp;R177&amp;""),3)="奈良屋",COUNTIF(B:B,"*奈良屋*")&gt;=2),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49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49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49" t="str">
        <f t="shared" ca="1" si="23"/>
        <v/>
      </c>
      <c r="AA177" s="49" t="str">
        <f t="shared" ca="1" si="24"/>
        <v/>
      </c>
      <c r="AB177" s="49" t="str">
        <f t="array" aca="1" ref="AB177" ca="1">IF($R177&lt;&gt;"",
IF(AND(COUNTIF(INDIRECT("B"&amp;R177&amp;""),"*雙葉*"),COUNTIF(B:B,"*雙葉*")&gt;=2),
INDIRECT("M"&amp;R177&amp;"")+INDIRECT("M"&amp;MATCH("雙葉'",INDIRECT("B"&amp;R177+1&amp;":B210"),0)+R177&amp;""),
IF(AND(LEFT(INDIRECT("B"&amp;R177&amp;""),2)="博多",COUNTIF(B:B,"*博多*")&gt;=2),
INDIRECT("M"&amp;R177&amp;"")+INDIRECT("M"&amp;MATCH("*"&amp;INDIRECT("B"&amp;R177&amp;"")&amp;"*",INDIRECT("B"&amp;R177+1&amp;":B210"),0)+R177&amp;""),
IF(AND(LEFT(INDIRECT("B"&amp;R177&amp;""),3)="奈良屋",COUNTIF(B:B,"*奈良屋*")&gt;=2),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  <c r="AC177" s="49" t="str">
        <f ca="1">IF(S177&lt;&gt;"",INDEX(A:A, MATCH("*"&amp;LEFT(S177,4)&amp;"*", C:C, 0)),"")</f>
        <v/>
      </c>
      <c r="AD177" s="49" t="str">
        <f ca="1">IFERROR(INDEX(AC:AC,MATCH(SMALL($AU:$AU,ROW()+3),$AU:$AU,0)),"")</f>
        <v/>
      </c>
      <c r="AE177" s="49" t="str">
        <f ca="1">IFERROR(INDEX(R:R,MATCH(SMALL($AU:$AU,ROW()+3),$AU:$AU,0)),"")</f>
        <v/>
      </c>
      <c r="AF177" s="49" t="str">
        <f ca="1">IFERROR(INDEX(S:S,MATCH(SMALL($AU:$AU,ROW()+3),$AU:$AU,0)),"")</f>
        <v/>
      </c>
      <c r="AG177" s="49" t="str">
        <f ca="1">IFERROR(INDEX(T:T,MATCH(SMALL($AU:$AU,ROW()+3),$AU:$AU,0)),"")</f>
        <v/>
      </c>
      <c r="AH177" s="122" t="str">
        <f ca="1">IFERROR(INDEX(U:U,MATCH(SMALL($AU:$AU,ROW()+3),$AU:$AU,0)),"")</f>
        <v/>
      </c>
      <c r="AI177" s="49" t="str">
        <f ca="1">IFERROR(INDEX(V:V,MATCH(SMALL($AU:$AU,ROW()+3),$AU:$AU,0)),"")</f>
        <v/>
      </c>
      <c r="AJ177" s="49" t="str">
        <f ca="1">IFERROR(INDEX(W:W,MATCH(SMALL($AU:$AU,ROW()+3),$AU:$AU,0)),"")</f>
        <v/>
      </c>
      <c r="AK177" s="49" t="str">
        <f ca="1">IFERROR(INDEX(X:X,MATCH(SMALL($AU:$AU,ROW()+3),$AU:$AU,0)),"")</f>
        <v/>
      </c>
      <c r="AL177" s="49" t="str">
        <f ca="1">IFERROR(INDEX(Y:Y,MATCH(SMALL($AU:$AU,ROW()+3),$AU:$AU,0)),"")</f>
        <v/>
      </c>
      <c r="AM177" s="49" t="str">
        <f ca="1">IFERROR(INDEX(Z:Z,MATCH(SMALL($AU:$AU,ROW()+3),$AU:$AU,0)),"")</f>
        <v/>
      </c>
      <c r="AN177" s="49" t="str">
        <f ca="1">IFERROR(INDEX(AA:AA,MATCH(SMALL($AU:$AU,ROW()+3),$AU:$AU,0)),"")</f>
        <v/>
      </c>
      <c r="AO177" s="49" t="str">
        <f ca="1">IFERROR(INDEX(AB:AB,MATCH(SMALL($AU:$AU,ROW()+3),$AU:$AU,0)),"")</f>
        <v/>
      </c>
      <c r="AP177" s="49" t="str">
        <f ca="1">IFERROR(INDEX(AC:AC,MATCH(SMALL($AU:$AU,ROW()+3),$AU:$AU,0)),"")</f>
        <v/>
      </c>
      <c r="AU177" s="49" t="str">
        <f t="shared" ca="1" si="25"/>
        <v/>
      </c>
    </row>
    <row r="178" spans="1:47" ht="22.2" customHeight="1">
      <c r="A178" s="115">
        <f t="shared" si="32"/>
        <v>81</v>
      </c>
      <c r="B178" s="114" t="str">
        <f t="shared" ca="1" si="30"/>
        <v/>
      </c>
      <c r="C178" s="114" t="str">
        <f>IF(OR(クライアント抽出!D38&lt;&gt;"",クライアント抽出!G38&lt;&gt;""),クライアント抽出!A38,"")</f>
        <v/>
      </c>
      <c r="D178" s="114" t="str">
        <f t="array" aca="1" ref="D178" ca="1">IF(C178&lt;&gt;"",INDIRECT("クライアント抽出!"&amp;E178&amp;MATCH(C178,クライアント抽出!A:A,0)&amp;""),"")</f>
        <v/>
      </c>
      <c r="E178" s="114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17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114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116" t="str">
        <f>IF(C178&lt;&gt;"",
クライアント抽出!D38,"")</f>
        <v/>
      </c>
      <c r="I178" s="114" t="str">
        <f>IF(C178&lt;&gt;"",
IF(O178=1,0,クライアント抽出!F38),"")</f>
        <v/>
      </c>
      <c r="J178" s="114" t="str">
        <f>IF(C178&lt;&gt;"",
VLOOKUP(
"*"&amp;LEFT(IF(COUNTIF(D178,"*学食*"),"キャラ弁（学食）",
IF(COUNTIF(D178,"*赤*"),"赤",
IF(COUNTIF(D178,"*キャラ弁当*"),"キャラ弁当",D178))),4)&amp;"*",注文弁当の抽出!$E$1:$F$15,2,FALSE),"")</f>
        <v/>
      </c>
      <c r="K178" s="114" t="str">
        <f ca="1">IF(クライアント抽出!R38&lt;&gt;"",SUBSTITUTE(ADDRESS(1,(CODE(クライアント抽出!R38)-64)*2-1,4),"1",""),"")</f>
        <v/>
      </c>
      <c r="L178" s="114" t="str">
        <f>IF(C38&lt;&gt;"",クライアント抽出!I38,"")</f>
        <v/>
      </c>
      <c r="M178" s="114">
        <f t="array" aca="1" ref="M178" ca="1">IF(C178&lt;&gt;"",
IF(K178&lt;&gt;"",INDIRECT("'数出表_Excel（アレルギー入力）'!"&amp;K178&amp;L178-1&amp;""),),)</f>
        <v>0</v>
      </c>
      <c r="N178" s="114" t="str">
        <f>IF(C178&lt;&gt;"",IF(OR(COUNTIF('盛付札（関数）'!D178,"*赤*"),COUNTIF('盛付札（関数）'!D178,"*キャラ*")),1,
VLOOKUP("*"&amp;D178&amp;"*",商品マスタ一覧!D:H,5,FALSE)),"")</f>
        <v/>
      </c>
      <c r="O178" s="114">
        <f t="shared" ca="1" si="31"/>
        <v>0</v>
      </c>
      <c r="P178" s="114">
        <f t="shared" si="21"/>
        <v>0</v>
      </c>
      <c r="Q178" s="114" t="b">
        <f t="shared" si="22"/>
        <v>0</v>
      </c>
      <c r="R178" s="49" t="str">
        <f t="array" aca="1" ref="R178" ca="1">IFERROR(SMALL(IF(P$1:P$311&lt;&gt;0,P$1:P$311),ROW(A178)),"")</f>
        <v/>
      </c>
      <c r="S178" s="49" t="str">
        <f t="array" aca="1" ref="S178" ca="1">IF($R178&lt;&gt;"",
SUBSTITUTE(SUBSTITUTE(INDIRECT("C"&amp;$R178&amp;"")," 週3ｺｰｽ","")," 週5ｺｰｽ",""),"")</f>
        <v/>
      </c>
      <c r="T178" s="49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22" t="str">
        <f t="array" aca="1" ref="U178" ca="1">IF($R178&lt;&gt;"",
INDIRECT("F"&amp;$R178&amp;""),"")</f>
        <v/>
      </c>
      <c r="V178" s="49" t="str">
        <f t="array" aca="1" ref="V178" ca="1">IF($R178&lt;&gt;"",
INDIRECT("G"&amp;$R178&amp;""),"")</f>
        <v/>
      </c>
      <c r="W178" s="49" t="str">
        <f t="array" aca="1" ref="W178" ca="1">IF($R178&lt;&gt;"",
IF(AND(COUNTIF(INDIRECT("B"&amp;R178&amp;""),"*雙葉*"),COUNTIF(B:B,"*雙葉*")&gt;=2),
IF(OR(COUNTIF(INDIRECT("B"&amp;R178&amp;""),"*雙葉先生*"),COUNTIF($B$1:$B$70,"*雙葉*")&gt;=2),INDIRECT("H"&amp;R178&amp;""),INDIRECT("H"&amp;R178&amp;"")+INDIRECT("H"&amp;MATCH("雙葉'",INDIRECT("B"&amp;R178+3&amp;":B210"),0)+2+R178&amp;"")),
IF(AND(LEFT(INDIRECT("B"&amp;R178&amp;""),2)="博多",COUNTIF(B:B,"*博多*")&gt;=2),
INDIRECT("H"&amp;R178&amp;"")+INDIRECT("H"&amp;MATCH("*"&amp;INDIRECT("B"&amp;R178&amp;"")&amp;"*",INDIRECT("B"&amp;R178+1&amp;":B210"),0)+R178&amp;""),
IF(AND(LEFT(INDIRECT("B"&amp;R178&amp;""),3)="奈良屋",COUNTIF(B:B,"*奈良屋*")&gt;=2),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49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49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49" t="str">
        <f t="shared" ca="1" si="23"/>
        <v/>
      </c>
      <c r="AA178" s="49" t="str">
        <f t="shared" ca="1" si="24"/>
        <v/>
      </c>
      <c r="AB178" s="49" t="str">
        <f t="array" aca="1" ref="AB178" ca="1">IF($R178&lt;&gt;"",
IF(AND(COUNTIF(INDIRECT("B"&amp;R178&amp;""),"*雙葉*"),COUNTIF(B:B,"*雙葉*")&gt;=2),
INDIRECT("M"&amp;R178&amp;"")+INDIRECT("M"&amp;MATCH("雙葉'",INDIRECT("B"&amp;R178+1&amp;":B210"),0)+R178&amp;""),
IF(AND(LEFT(INDIRECT("B"&amp;R178&amp;""),2)="博多",COUNTIF(B:B,"*博多*")&gt;=2),
INDIRECT("M"&amp;R178&amp;"")+INDIRECT("M"&amp;MATCH("*"&amp;INDIRECT("B"&amp;R178&amp;"")&amp;"*",INDIRECT("B"&amp;R178+1&amp;":B210"),0)+R178&amp;""),
IF(AND(LEFT(INDIRECT("B"&amp;R178&amp;""),3)="奈良屋",COUNTIF(B:B,"*奈良屋*")&gt;=2),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  <c r="AC178" s="49" t="str">
        <f ca="1">IF(S178&lt;&gt;"",INDEX(A:A, MATCH("*"&amp;LEFT(S178,4)&amp;"*", C:C, 0)),"")</f>
        <v/>
      </c>
      <c r="AD178" s="49" t="str">
        <f ca="1">IFERROR(INDEX(AC:AC,MATCH(SMALL($AU:$AU,ROW()+3),$AU:$AU,0)),"")</f>
        <v/>
      </c>
      <c r="AE178" s="49" t="str">
        <f ca="1">IFERROR(INDEX(R:R,MATCH(SMALL($AU:$AU,ROW()+3),$AU:$AU,0)),"")</f>
        <v/>
      </c>
      <c r="AF178" s="49" t="str">
        <f ca="1">IFERROR(INDEX(S:S,MATCH(SMALL($AU:$AU,ROW()+3),$AU:$AU,0)),"")</f>
        <v/>
      </c>
      <c r="AG178" s="49" t="str">
        <f ca="1">IFERROR(INDEX(T:T,MATCH(SMALL($AU:$AU,ROW()+3),$AU:$AU,0)),"")</f>
        <v/>
      </c>
      <c r="AH178" s="122" t="str">
        <f ca="1">IFERROR(INDEX(U:U,MATCH(SMALL($AU:$AU,ROW()+3),$AU:$AU,0)),"")</f>
        <v/>
      </c>
      <c r="AI178" s="49" t="str">
        <f ca="1">IFERROR(INDEX(V:V,MATCH(SMALL($AU:$AU,ROW()+3),$AU:$AU,0)),"")</f>
        <v/>
      </c>
      <c r="AJ178" s="49" t="str">
        <f ca="1">IFERROR(INDEX(W:W,MATCH(SMALL($AU:$AU,ROW()+3),$AU:$AU,0)),"")</f>
        <v/>
      </c>
      <c r="AK178" s="49" t="str">
        <f ca="1">IFERROR(INDEX(X:X,MATCH(SMALL($AU:$AU,ROW()+3),$AU:$AU,0)),"")</f>
        <v/>
      </c>
      <c r="AL178" s="49" t="str">
        <f ca="1">IFERROR(INDEX(Y:Y,MATCH(SMALL($AU:$AU,ROW()+3),$AU:$AU,0)),"")</f>
        <v/>
      </c>
      <c r="AM178" s="49" t="str">
        <f ca="1">IFERROR(INDEX(Z:Z,MATCH(SMALL($AU:$AU,ROW()+3),$AU:$AU,0)),"")</f>
        <v/>
      </c>
      <c r="AN178" s="49" t="str">
        <f ca="1">IFERROR(INDEX(AA:AA,MATCH(SMALL($AU:$AU,ROW()+3),$AU:$AU,0)),"")</f>
        <v/>
      </c>
      <c r="AO178" s="49" t="str">
        <f ca="1">IFERROR(INDEX(AB:AB,MATCH(SMALL($AU:$AU,ROW()+3),$AU:$AU,0)),"")</f>
        <v/>
      </c>
      <c r="AP178" s="49" t="str">
        <f ca="1">IFERROR(INDEX(AC:AC,MATCH(SMALL($AU:$AU,ROW()+3),$AU:$AU,0)),"")</f>
        <v/>
      </c>
      <c r="AU178" s="49" t="str">
        <f t="shared" ca="1" si="25"/>
        <v/>
      </c>
    </row>
    <row r="179" spans="1:47" ht="22.2" customHeight="1">
      <c r="A179" s="115">
        <f t="shared" si="32"/>
        <v>83</v>
      </c>
      <c r="B179" s="114" t="str">
        <f t="shared" ca="1" si="30"/>
        <v/>
      </c>
      <c r="C179" s="114" t="str">
        <f>IF(OR(クライアント抽出!D39&lt;&gt;"",クライアント抽出!G39&lt;&gt;""),クライアント抽出!A39,"")</f>
        <v/>
      </c>
      <c r="D179" s="114" t="str">
        <f t="array" aca="1" ref="D179" ca="1">IF(C179&lt;&gt;"",INDIRECT("クライアント抽出!"&amp;E179&amp;MATCH(C179,クライアント抽出!A:A,0)&amp;""),"")</f>
        <v/>
      </c>
      <c r="E179" s="114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17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114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116" t="str">
        <f>IF(C179&lt;&gt;"",
クライアント抽出!D39,"")</f>
        <v/>
      </c>
      <c r="I179" s="114" t="str">
        <f>IF(C179&lt;&gt;"",
IF(O179=1,0,クライアント抽出!F39),"")</f>
        <v/>
      </c>
      <c r="J179" s="114" t="str">
        <f>IF(C179&lt;&gt;"",
VLOOKUP(
"*"&amp;LEFT(IF(COUNTIF(D179,"*学食*"),"キャラ弁（学食）",
IF(COUNTIF(D179,"*赤*"),"赤",
IF(COUNTIF(D179,"*キャラ弁当*"),"キャラ弁当",D179))),4)&amp;"*",注文弁当の抽出!$E$1:$F$15,2,FALSE),"")</f>
        <v/>
      </c>
      <c r="K179" s="114" t="str">
        <f ca="1">IF(クライアント抽出!R39&lt;&gt;"",SUBSTITUTE(ADDRESS(1,(CODE(クライアント抽出!R39)-64)*2-1,4),"1",""),"")</f>
        <v/>
      </c>
      <c r="L179" s="114" t="str">
        <f>IF(C39&lt;&gt;"",クライアント抽出!I39,"")</f>
        <v/>
      </c>
      <c r="M179" s="114">
        <f t="array" aca="1" ref="M179" ca="1">IF(C179&lt;&gt;"",
IF(K179&lt;&gt;"",INDIRECT("'数出表_Excel（アレルギー入力）'!"&amp;K179&amp;L179-1&amp;""),),)</f>
        <v>0</v>
      </c>
      <c r="N179" s="114" t="str">
        <f>IF(C179&lt;&gt;"",IF(OR(COUNTIF('盛付札（関数）'!D179,"*赤*"),COUNTIF('盛付札（関数）'!D179,"*キャラ*")),1,
VLOOKUP("*"&amp;D179&amp;"*",商品マスタ一覧!D:H,5,FALSE)),"")</f>
        <v/>
      </c>
      <c r="O179" s="114">
        <f t="shared" ca="1" si="31"/>
        <v>0</v>
      </c>
      <c r="P179" s="114">
        <f t="shared" si="21"/>
        <v>0</v>
      </c>
      <c r="Q179" s="114" t="b">
        <f t="shared" si="22"/>
        <v>0</v>
      </c>
      <c r="R179" s="49" t="str">
        <f t="array" aca="1" ref="R179" ca="1">IFERROR(SMALL(IF(P$1:P$311&lt;&gt;0,P$1:P$311),ROW(A179)),"")</f>
        <v/>
      </c>
      <c r="S179" s="49" t="str">
        <f t="array" aca="1" ref="S179" ca="1">IF($R179&lt;&gt;"",
SUBSTITUTE(SUBSTITUTE(INDIRECT("C"&amp;$R179&amp;"")," 週3ｺｰｽ","")," 週5ｺｰｽ",""),"")</f>
        <v/>
      </c>
      <c r="T179" s="49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22" t="str">
        <f t="array" aca="1" ref="U179" ca="1">IF($R179&lt;&gt;"",
INDIRECT("F"&amp;$R179&amp;""),"")</f>
        <v/>
      </c>
      <c r="V179" s="49" t="str">
        <f t="array" aca="1" ref="V179" ca="1">IF($R179&lt;&gt;"",
INDIRECT("G"&amp;$R179&amp;""),"")</f>
        <v/>
      </c>
      <c r="W179" s="49" t="str">
        <f t="array" aca="1" ref="W179" ca="1">IF($R179&lt;&gt;"",
IF(AND(COUNTIF(INDIRECT("B"&amp;R179&amp;""),"*雙葉*"),COUNTIF(B:B,"*雙葉*")&gt;=2),
IF(OR(COUNTIF(INDIRECT("B"&amp;R179&amp;""),"*雙葉先生*"),COUNTIF($B$1:$B$70,"*雙葉*")&gt;=2),INDIRECT("H"&amp;R179&amp;""),INDIRECT("H"&amp;R179&amp;"")+INDIRECT("H"&amp;MATCH("雙葉'",INDIRECT("B"&amp;R179+3&amp;":B210"),0)+2+R179&amp;"")),
IF(AND(LEFT(INDIRECT("B"&amp;R179&amp;""),2)="博多",COUNTIF(B:B,"*博多*")&gt;=2),
INDIRECT("H"&amp;R179&amp;"")+INDIRECT("H"&amp;MATCH("*"&amp;INDIRECT("B"&amp;R179&amp;"")&amp;"*",INDIRECT("B"&amp;R179+1&amp;":B210"),0)+R179&amp;""),
IF(AND(LEFT(INDIRECT("B"&amp;R179&amp;""),3)="奈良屋",COUNTIF(B:B,"*奈良屋*")&gt;=2),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49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49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49" t="str">
        <f t="shared" ca="1" si="23"/>
        <v/>
      </c>
      <c r="AA179" s="49" t="str">
        <f t="shared" ca="1" si="24"/>
        <v/>
      </c>
      <c r="AB179" s="49" t="str">
        <f t="array" aca="1" ref="AB179" ca="1">IF($R179&lt;&gt;"",
IF(AND(COUNTIF(INDIRECT("B"&amp;R179&amp;""),"*雙葉*"),COUNTIF(B:B,"*雙葉*")&gt;=2),
INDIRECT("M"&amp;R179&amp;"")+INDIRECT("M"&amp;MATCH("雙葉'",INDIRECT("B"&amp;R179+1&amp;":B210"),0)+R179&amp;""),
IF(AND(LEFT(INDIRECT("B"&amp;R179&amp;""),2)="博多",COUNTIF(B:B,"*博多*")&gt;=2),
INDIRECT("M"&amp;R179&amp;"")+INDIRECT("M"&amp;MATCH("*"&amp;INDIRECT("B"&amp;R179&amp;"")&amp;"*",INDIRECT("B"&amp;R179+1&amp;":B210"),0)+R179&amp;""),
IF(AND(LEFT(INDIRECT("B"&amp;R179&amp;""),3)="奈良屋",COUNTIF(B:B,"*奈良屋*")&gt;=2),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  <c r="AC179" s="49" t="str">
        <f ca="1">IF(S179&lt;&gt;"",INDEX(A:A, MATCH("*"&amp;LEFT(S179,4)&amp;"*", C:C, 0)),"")</f>
        <v/>
      </c>
      <c r="AD179" s="49" t="str">
        <f ca="1">IFERROR(INDEX(AC:AC,MATCH(SMALL($AU:$AU,ROW()+3),$AU:$AU,0)),"")</f>
        <v/>
      </c>
      <c r="AE179" s="49" t="str">
        <f ca="1">IFERROR(INDEX(R:R,MATCH(SMALL($AU:$AU,ROW()+3),$AU:$AU,0)),"")</f>
        <v/>
      </c>
      <c r="AF179" s="49" t="str">
        <f ca="1">IFERROR(INDEX(S:S,MATCH(SMALL($AU:$AU,ROW()+3),$AU:$AU,0)),"")</f>
        <v/>
      </c>
      <c r="AG179" s="49" t="str">
        <f ca="1">IFERROR(INDEX(T:T,MATCH(SMALL($AU:$AU,ROW()+3),$AU:$AU,0)),"")</f>
        <v/>
      </c>
      <c r="AH179" s="122" t="str">
        <f ca="1">IFERROR(INDEX(U:U,MATCH(SMALL($AU:$AU,ROW()+3),$AU:$AU,0)),"")</f>
        <v/>
      </c>
      <c r="AI179" s="49" t="str">
        <f ca="1">IFERROR(INDEX(V:V,MATCH(SMALL($AU:$AU,ROW()+3),$AU:$AU,0)),"")</f>
        <v/>
      </c>
      <c r="AJ179" s="49" t="str">
        <f ca="1">IFERROR(INDEX(W:W,MATCH(SMALL($AU:$AU,ROW()+3),$AU:$AU,0)),"")</f>
        <v/>
      </c>
      <c r="AK179" s="49" t="str">
        <f ca="1">IFERROR(INDEX(X:X,MATCH(SMALL($AU:$AU,ROW()+3),$AU:$AU,0)),"")</f>
        <v/>
      </c>
      <c r="AL179" s="49" t="str">
        <f ca="1">IFERROR(INDEX(Y:Y,MATCH(SMALL($AU:$AU,ROW()+3),$AU:$AU,0)),"")</f>
        <v/>
      </c>
      <c r="AM179" s="49" t="str">
        <f ca="1">IFERROR(INDEX(Z:Z,MATCH(SMALL($AU:$AU,ROW()+3),$AU:$AU,0)),"")</f>
        <v/>
      </c>
      <c r="AN179" s="49" t="str">
        <f ca="1">IFERROR(INDEX(AA:AA,MATCH(SMALL($AU:$AU,ROW()+3),$AU:$AU,0)),"")</f>
        <v/>
      </c>
      <c r="AO179" s="49" t="str">
        <f ca="1">IFERROR(INDEX(AB:AB,MATCH(SMALL($AU:$AU,ROW()+3),$AU:$AU,0)),"")</f>
        <v/>
      </c>
      <c r="AP179" s="49" t="str">
        <f ca="1">IFERROR(INDEX(AC:AC,MATCH(SMALL($AU:$AU,ROW()+3),$AU:$AU,0)),"")</f>
        <v/>
      </c>
      <c r="AU179" s="49" t="str">
        <f t="shared" ca="1" si="25"/>
        <v/>
      </c>
    </row>
    <row r="180" spans="1:47" ht="22.2" customHeight="1">
      <c r="A180" s="115">
        <f t="shared" si="32"/>
        <v>85</v>
      </c>
      <c r="B180" s="114" t="str">
        <f t="shared" ca="1" si="30"/>
        <v/>
      </c>
      <c r="C180" s="114" t="str">
        <f>IF(OR(クライアント抽出!D40&lt;&gt;"",クライアント抽出!G40&lt;&gt;""),クライアント抽出!A40,"")</f>
        <v/>
      </c>
      <c r="D180" s="114" t="str">
        <f t="array" aca="1" ref="D180" ca="1">IF(C180&lt;&gt;"",INDIRECT("クライアント抽出!"&amp;E180&amp;MATCH(C180,クライアント抽出!A:A,0)&amp;""),"")</f>
        <v/>
      </c>
      <c r="E180" s="114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17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114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116" t="str">
        <f>IF(C180&lt;&gt;"",
クライアント抽出!D40,"")</f>
        <v/>
      </c>
      <c r="I180" s="114" t="str">
        <f>IF(C180&lt;&gt;"",
IF(O180=1,0,クライアント抽出!F40),"")</f>
        <v/>
      </c>
      <c r="J180" s="114" t="str">
        <f>IF(C180&lt;&gt;"",
VLOOKUP(
"*"&amp;LEFT(IF(COUNTIF(D180,"*学食*"),"キャラ弁（学食）",
IF(COUNTIF(D180,"*赤*"),"赤",
IF(COUNTIF(D180,"*キャラ弁当*"),"キャラ弁当",D180))),4)&amp;"*",注文弁当の抽出!$E$1:$F$15,2,FALSE),"")</f>
        <v/>
      </c>
      <c r="K180" s="114" t="str">
        <f ca="1">IF(クライアント抽出!R40&lt;&gt;"",SUBSTITUTE(ADDRESS(1,(CODE(クライアント抽出!R40)-64)*2-1,4),"1",""),"")</f>
        <v/>
      </c>
      <c r="L180" s="114" t="str">
        <f>IF(C40&lt;&gt;"",クライアント抽出!I40,"")</f>
        <v/>
      </c>
      <c r="M180" s="114">
        <f t="array" aca="1" ref="M180" ca="1">IF(C180&lt;&gt;"",
IF(K180&lt;&gt;"",INDIRECT("'数出表_Excel（アレルギー入力）'!"&amp;K180&amp;L180-1&amp;""),),)</f>
        <v>0</v>
      </c>
      <c r="N180" s="114" t="str">
        <f>IF(C180&lt;&gt;"",IF(OR(COUNTIF('盛付札（関数）'!D180,"*赤*"),COUNTIF('盛付札（関数）'!D180,"*キャラ*")),1,
VLOOKUP("*"&amp;D180&amp;"*",商品マスタ一覧!D:H,5,FALSE)),"")</f>
        <v/>
      </c>
      <c r="O180" s="114">
        <f t="shared" ca="1" si="31"/>
        <v>0</v>
      </c>
      <c r="P180" s="114">
        <f t="shared" si="21"/>
        <v>0</v>
      </c>
      <c r="Q180" s="114" t="b">
        <f t="shared" si="22"/>
        <v>0</v>
      </c>
      <c r="R180" s="49" t="str">
        <f t="array" aca="1" ref="R180" ca="1">IFERROR(SMALL(IF(P$1:P$311&lt;&gt;0,P$1:P$311),ROW(A180)),"")</f>
        <v/>
      </c>
      <c r="S180" s="49" t="str">
        <f t="array" aca="1" ref="S180" ca="1">IF($R180&lt;&gt;"",
SUBSTITUTE(SUBSTITUTE(INDIRECT("C"&amp;$R180&amp;"")," 週3ｺｰｽ","")," 週5ｺｰｽ",""),"")</f>
        <v/>
      </c>
      <c r="T180" s="49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22" t="str">
        <f t="array" aca="1" ref="U180" ca="1">IF($R180&lt;&gt;"",
INDIRECT("F"&amp;$R180&amp;""),"")</f>
        <v/>
      </c>
      <c r="V180" s="49" t="str">
        <f t="array" aca="1" ref="V180" ca="1">IF($R180&lt;&gt;"",
INDIRECT("G"&amp;$R180&amp;""),"")</f>
        <v/>
      </c>
      <c r="W180" s="49" t="str">
        <f t="array" aca="1" ref="W180" ca="1">IF($R180&lt;&gt;"",
IF(AND(COUNTIF(INDIRECT("B"&amp;R180&amp;""),"*雙葉*"),COUNTIF(B:B,"*雙葉*")&gt;=2),
IF(OR(COUNTIF(INDIRECT("B"&amp;R180&amp;""),"*雙葉先生*"),COUNTIF($B$1:$B$70,"*雙葉*")&gt;=2),INDIRECT("H"&amp;R180&amp;""),INDIRECT("H"&amp;R180&amp;"")+INDIRECT("H"&amp;MATCH("雙葉'",INDIRECT("B"&amp;R180+3&amp;":B210"),0)+2+R180&amp;"")),
IF(AND(LEFT(INDIRECT("B"&amp;R180&amp;""),2)="博多",COUNTIF(B:B,"*博多*")&gt;=2),
INDIRECT("H"&amp;R180&amp;"")+INDIRECT("H"&amp;MATCH("*"&amp;INDIRECT("B"&amp;R180&amp;"")&amp;"*",INDIRECT("B"&amp;R180+1&amp;":B210"),0)+R180&amp;""),
IF(AND(LEFT(INDIRECT("B"&amp;R180&amp;""),3)="奈良屋",COUNTIF(B:B,"*奈良屋*")&gt;=2),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49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49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49" t="str">
        <f t="shared" ca="1" si="23"/>
        <v/>
      </c>
      <c r="AA180" s="49" t="str">
        <f t="shared" ca="1" si="24"/>
        <v/>
      </c>
      <c r="AB180" s="49" t="str">
        <f t="array" aca="1" ref="AB180" ca="1">IF($R180&lt;&gt;"",
IF(AND(COUNTIF(INDIRECT("B"&amp;R180&amp;""),"*雙葉*"),COUNTIF(B:B,"*雙葉*")&gt;=2),
INDIRECT("M"&amp;R180&amp;"")+INDIRECT("M"&amp;MATCH("雙葉'",INDIRECT("B"&amp;R180+1&amp;":B210"),0)+R180&amp;""),
IF(AND(LEFT(INDIRECT("B"&amp;R180&amp;""),2)="博多",COUNTIF(B:B,"*博多*")&gt;=2),
INDIRECT("M"&amp;R180&amp;"")+INDIRECT("M"&amp;MATCH("*"&amp;INDIRECT("B"&amp;R180&amp;"")&amp;"*",INDIRECT("B"&amp;R180+1&amp;":B210"),0)+R180&amp;""),
IF(AND(LEFT(INDIRECT("B"&amp;R180&amp;""),3)="奈良屋",COUNTIF(B:B,"*奈良屋*")&gt;=2),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  <c r="AC180" s="49" t="str">
        <f ca="1">IF(S180&lt;&gt;"",INDEX(A:A, MATCH("*"&amp;LEFT(S180,4)&amp;"*", C:C, 0)),"")</f>
        <v/>
      </c>
      <c r="AD180" s="49" t="str">
        <f ca="1">IFERROR(INDEX(AC:AC,MATCH(SMALL($AU:$AU,ROW()+3),$AU:$AU,0)),"")</f>
        <v/>
      </c>
      <c r="AE180" s="49" t="str">
        <f ca="1">IFERROR(INDEX(R:R,MATCH(SMALL($AU:$AU,ROW()+3),$AU:$AU,0)),"")</f>
        <v/>
      </c>
      <c r="AF180" s="49" t="str">
        <f ca="1">IFERROR(INDEX(S:S,MATCH(SMALL($AU:$AU,ROW()+3),$AU:$AU,0)),"")</f>
        <v/>
      </c>
      <c r="AG180" s="49" t="str">
        <f ca="1">IFERROR(INDEX(T:T,MATCH(SMALL($AU:$AU,ROW()+3),$AU:$AU,0)),"")</f>
        <v/>
      </c>
      <c r="AH180" s="122" t="str">
        <f ca="1">IFERROR(INDEX(U:U,MATCH(SMALL($AU:$AU,ROW()+3),$AU:$AU,0)),"")</f>
        <v/>
      </c>
      <c r="AI180" s="49" t="str">
        <f ca="1">IFERROR(INDEX(V:V,MATCH(SMALL($AU:$AU,ROW()+3),$AU:$AU,0)),"")</f>
        <v/>
      </c>
      <c r="AJ180" s="49" t="str">
        <f ca="1">IFERROR(INDEX(W:W,MATCH(SMALL($AU:$AU,ROW()+3),$AU:$AU,0)),"")</f>
        <v/>
      </c>
      <c r="AK180" s="49" t="str">
        <f ca="1">IFERROR(INDEX(X:X,MATCH(SMALL($AU:$AU,ROW()+3),$AU:$AU,0)),"")</f>
        <v/>
      </c>
      <c r="AL180" s="49" t="str">
        <f ca="1">IFERROR(INDEX(Y:Y,MATCH(SMALL($AU:$AU,ROW()+3),$AU:$AU,0)),"")</f>
        <v/>
      </c>
      <c r="AM180" s="49" t="str">
        <f ca="1">IFERROR(INDEX(Z:Z,MATCH(SMALL($AU:$AU,ROW()+3),$AU:$AU,0)),"")</f>
        <v/>
      </c>
      <c r="AN180" s="49" t="str">
        <f ca="1">IFERROR(INDEX(AA:AA,MATCH(SMALL($AU:$AU,ROW()+3),$AU:$AU,0)),"")</f>
        <v/>
      </c>
      <c r="AO180" s="49" t="str">
        <f ca="1">IFERROR(INDEX(AB:AB,MATCH(SMALL($AU:$AU,ROW()+3),$AU:$AU,0)),"")</f>
        <v/>
      </c>
      <c r="AP180" s="49" t="str">
        <f ca="1">IFERROR(INDEX(AC:AC,MATCH(SMALL($AU:$AU,ROW()+3),$AU:$AU,0)),"")</f>
        <v/>
      </c>
      <c r="AU180" s="49" t="str">
        <f t="shared" ca="1" si="25"/>
        <v/>
      </c>
    </row>
    <row r="181" spans="1:47" ht="22.2" customHeight="1">
      <c r="A181" s="115">
        <f t="shared" si="32"/>
        <v>87</v>
      </c>
      <c r="B181" s="114" t="str">
        <f t="shared" ca="1" si="30"/>
        <v/>
      </c>
      <c r="C181" s="114" t="str">
        <f>IF(OR(クライアント抽出!D41&lt;&gt;"",クライアント抽出!G41&lt;&gt;""),クライアント抽出!A41,"")</f>
        <v/>
      </c>
      <c r="D181" s="114" t="str">
        <f t="array" aca="1" ref="D181" ca="1">IF(C181&lt;&gt;"",INDIRECT("クライアント抽出!"&amp;E181&amp;MATCH(C181,クライアント抽出!A:A,0)&amp;""),"")</f>
        <v/>
      </c>
      <c r="E181" s="114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17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114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116" t="str">
        <f>IF(C181&lt;&gt;"",
クライアント抽出!D41,"")</f>
        <v/>
      </c>
      <c r="I181" s="114" t="str">
        <f>IF(C181&lt;&gt;"",
IF(O181=1,0,クライアント抽出!F41),"")</f>
        <v/>
      </c>
      <c r="J181" s="114" t="str">
        <f>IF(C181&lt;&gt;"",
VLOOKUP(
"*"&amp;LEFT(IF(COUNTIF(D181,"*学食*"),"キャラ弁（学食）",
IF(COUNTIF(D181,"*赤*"),"赤",
IF(COUNTIF(D181,"*キャラ弁当*"),"キャラ弁当",D181))),4)&amp;"*",注文弁当の抽出!$E$1:$F$15,2,FALSE),"")</f>
        <v/>
      </c>
      <c r="K181" s="114" t="str">
        <f ca="1">IF(クライアント抽出!R41&lt;&gt;"",SUBSTITUTE(ADDRESS(1,(CODE(クライアント抽出!R41)-64)*2-1,4),"1",""),"")</f>
        <v/>
      </c>
      <c r="L181" s="114" t="str">
        <f>IF(C41&lt;&gt;"",クライアント抽出!I41,"")</f>
        <v/>
      </c>
      <c r="M181" s="114">
        <f t="array" aca="1" ref="M181" ca="1">IF(C181&lt;&gt;"",
IF(K181&lt;&gt;"",INDIRECT("'数出表_Excel（アレルギー入力）'!"&amp;K181&amp;L181-1&amp;""),),)</f>
        <v>0</v>
      </c>
      <c r="N181" s="114" t="str">
        <f>IF(C181&lt;&gt;"",IF(OR(COUNTIF('盛付札（関数）'!D181,"*赤*"),COUNTIF('盛付札（関数）'!D181,"*キャラ*")),1,
VLOOKUP("*"&amp;D181&amp;"*",商品マスタ一覧!D:H,5,FALSE)),"")</f>
        <v/>
      </c>
      <c r="O181" s="114">
        <f t="shared" ca="1" si="31"/>
        <v>0</v>
      </c>
      <c r="P181" s="114">
        <f t="shared" si="21"/>
        <v>0</v>
      </c>
      <c r="Q181" s="114" t="b">
        <f t="shared" si="22"/>
        <v>0</v>
      </c>
      <c r="R181" s="49" t="str">
        <f t="array" aca="1" ref="R181" ca="1">IFERROR(SMALL(IF(P$1:P$311&lt;&gt;0,P$1:P$311),ROW(A181)),"")</f>
        <v/>
      </c>
      <c r="S181" s="49" t="str">
        <f t="array" aca="1" ref="S181" ca="1">IF($R181&lt;&gt;"",
SUBSTITUTE(SUBSTITUTE(INDIRECT("C"&amp;$R181&amp;"")," 週3ｺｰｽ","")," 週5ｺｰｽ",""),"")</f>
        <v/>
      </c>
      <c r="T181" s="49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22" t="str">
        <f t="array" aca="1" ref="U181" ca="1">IF($R181&lt;&gt;"",
INDIRECT("F"&amp;$R181&amp;""),"")</f>
        <v/>
      </c>
      <c r="V181" s="49" t="str">
        <f t="array" aca="1" ref="V181" ca="1">IF($R181&lt;&gt;"",
INDIRECT("G"&amp;$R181&amp;""),"")</f>
        <v/>
      </c>
      <c r="W181" s="49" t="str">
        <f t="array" aca="1" ref="W181" ca="1">IF($R181&lt;&gt;"",
IF(AND(COUNTIF(INDIRECT("B"&amp;R181&amp;""),"*雙葉*"),COUNTIF(B:B,"*雙葉*")&gt;=2),
IF(OR(COUNTIF(INDIRECT("B"&amp;R181&amp;""),"*雙葉先生*"),COUNTIF($B$1:$B$70,"*雙葉*")&gt;=2),INDIRECT("H"&amp;R181&amp;""),INDIRECT("H"&amp;R181&amp;"")+INDIRECT("H"&amp;MATCH("雙葉'",INDIRECT("B"&amp;R181+3&amp;":B210"),0)+2+R181&amp;"")),
IF(AND(LEFT(INDIRECT("B"&amp;R181&amp;""),2)="博多",COUNTIF(B:B,"*博多*")&gt;=2),
INDIRECT("H"&amp;R181&amp;"")+INDIRECT("H"&amp;MATCH("*"&amp;INDIRECT("B"&amp;R181&amp;"")&amp;"*",INDIRECT("B"&amp;R181+1&amp;":B210"),0)+R181&amp;""),
IF(AND(LEFT(INDIRECT("B"&amp;R181&amp;""),3)="奈良屋",COUNTIF(B:B,"*奈良屋*")&gt;=2),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49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49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49" t="str">
        <f t="shared" ca="1" si="23"/>
        <v/>
      </c>
      <c r="AA181" s="49" t="str">
        <f t="shared" ca="1" si="24"/>
        <v/>
      </c>
      <c r="AB181" s="49" t="str">
        <f t="array" aca="1" ref="AB181" ca="1">IF($R181&lt;&gt;"",
IF(AND(COUNTIF(INDIRECT("B"&amp;R181&amp;""),"*雙葉*"),COUNTIF(B:B,"*雙葉*")&gt;=2),
INDIRECT("M"&amp;R181&amp;"")+INDIRECT("M"&amp;MATCH("雙葉'",INDIRECT("B"&amp;R181+1&amp;":B210"),0)+R181&amp;""),
IF(AND(LEFT(INDIRECT("B"&amp;R181&amp;""),2)="博多",COUNTIF(B:B,"*博多*")&gt;=2),
INDIRECT("M"&amp;R181&amp;"")+INDIRECT("M"&amp;MATCH("*"&amp;INDIRECT("B"&amp;R181&amp;"")&amp;"*",INDIRECT("B"&amp;R181+1&amp;":B210"),0)+R181&amp;""),
IF(AND(LEFT(INDIRECT("B"&amp;R181&amp;""),3)="奈良屋",COUNTIF(B:B,"*奈良屋*")&gt;=2),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  <c r="AC181" s="49" t="str">
        <f ca="1">IF(S181&lt;&gt;"",INDEX(A:A, MATCH("*"&amp;LEFT(S181,4)&amp;"*", C:C, 0)),"")</f>
        <v/>
      </c>
      <c r="AD181" s="49" t="str">
        <f ca="1">IFERROR(INDEX(AC:AC,MATCH(SMALL($AU:$AU,ROW()+3),$AU:$AU,0)),"")</f>
        <v/>
      </c>
      <c r="AE181" s="49" t="str">
        <f ca="1">IFERROR(INDEX(R:R,MATCH(SMALL($AU:$AU,ROW()+3),$AU:$AU,0)),"")</f>
        <v/>
      </c>
      <c r="AF181" s="49" t="str">
        <f ca="1">IFERROR(INDEX(S:S,MATCH(SMALL($AU:$AU,ROW()+3),$AU:$AU,0)),"")</f>
        <v/>
      </c>
      <c r="AG181" s="49" t="str">
        <f ca="1">IFERROR(INDEX(T:T,MATCH(SMALL($AU:$AU,ROW()+3),$AU:$AU,0)),"")</f>
        <v/>
      </c>
      <c r="AH181" s="122" t="str">
        <f ca="1">IFERROR(INDEX(U:U,MATCH(SMALL($AU:$AU,ROW()+3),$AU:$AU,0)),"")</f>
        <v/>
      </c>
      <c r="AI181" s="49" t="str">
        <f ca="1">IFERROR(INDEX(V:V,MATCH(SMALL($AU:$AU,ROW()+3),$AU:$AU,0)),"")</f>
        <v/>
      </c>
      <c r="AJ181" s="49" t="str">
        <f ca="1">IFERROR(INDEX(W:W,MATCH(SMALL($AU:$AU,ROW()+3),$AU:$AU,0)),"")</f>
        <v/>
      </c>
      <c r="AK181" s="49" t="str">
        <f ca="1">IFERROR(INDEX(X:X,MATCH(SMALL($AU:$AU,ROW()+3),$AU:$AU,0)),"")</f>
        <v/>
      </c>
      <c r="AL181" s="49" t="str">
        <f ca="1">IFERROR(INDEX(Y:Y,MATCH(SMALL($AU:$AU,ROW()+3),$AU:$AU,0)),"")</f>
        <v/>
      </c>
      <c r="AM181" s="49" t="str">
        <f ca="1">IFERROR(INDEX(Z:Z,MATCH(SMALL($AU:$AU,ROW()+3),$AU:$AU,0)),"")</f>
        <v/>
      </c>
      <c r="AN181" s="49" t="str">
        <f ca="1">IFERROR(INDEX(AA:AA,MATCH(SMALL($AU:$AU,ROW()+3),$AU:$AU,0)),"")</f>
        <v/>
      </c>
      <c r="AO181" s="49" t="str">
        <f ca="1">IFERROR(INDEX(AB:AB,MATCH(SMALL($AU:$AU,ROW()+3),$AU:$AU,0)),"")</f>
        <v/>
      </c>
      <c r="AP181" s="49" t="str">
        <f ca="1">IFERROR(INDEX(AC:AC,MATCH(SMALL($AU:$AU,ROW()+3),$AU:$AU,0)),"")</f>
        <v/>
      </c>
      <c r="AU181" s="49" t="str">
        <f t="shared" ca="1" si="25"/>
        <v/>
      </c>
    </row>
    <row r="182" spans="1:47" ht="22.2" customHeight="1">
      <c r="A182" s="115">
        <f t="shared" si="32"/>
        <v>89</v>
      </c>
      <c r="B182" s="114" t="str">
        <f t="shared" ca="1" si="30"/>
        <v/>
      </c>
      <c r="C182" s="114" t="str">
        <f>IF(OR(クライアント抽出!D42&lt;&gt;"",クライアント抽出!G42&lt;&gt;""),クライアント抽出!A42,"")</f>
        <v/>
      </c>
      <c r="D182" s="114" t="str">
        <f t="array" aca="1" ref="D182" ca="1">IF(C182&lt;&gt;"",INDIRECT("クライアント抽出!"&amp;E182&amp;MATCH(C182,クライアント抽出!A:A,0)&amp;""),"")</f>
        <v/>
      </c>
      <c r="E182" s="114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17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114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116" t="str">
        <f>IF(C182&lt;&gt;"",
クライアント抽出!D42,"")</f>
        <v/>
      </c>
      <c r="I182" s="114" t="str">
        <f>IF(C182&lt;&gt;"",
IF(O182=1,0,クライアント抽出!F42),"")</f>
        <v/>
      </c>
      <c r="J182" s="114" t="str">
        <f>IF(C182&lt;&gt;"",
VLOOKUP(
"*"&amp;LEFT(IF(COUNTIF(D182,"*学食*"),"キャラ弁（学食）",
IF(COUNTIF(D182,"*赤*"),"赤",
IF(COUNTIF(D182,"*キャラ弁当*"),"キャラ弁当",D182))),4)&amp;"*",注文弁当の抽出!$E$1:$F$15,2,FALSE),"")</f>
        <v/>
      </c>
      <c r="K182" s="114" t="str">
        <f ca="1">IF(クライアント抽出!R42&lt;&gt;"",SUBSTITUTE(ADDRESS(1,(CODE(クライアント抽出!R42)-64)*2-1,4),"1",""),"")</f>
        <v/>
      </c>
      <c r="L182" s="114" t="str">
        <f>IF(C42&lt;&gt;"",クライアント抽出!I42,"")</f>
        <v/>
      </c>
      <c r="M182" s="114">
        <f t="array" aca="1" ref="M182" ca="1">IF(C182&lt;&gt;"",
IF(K182&lt;&gt;"",INDIRECT("'数出表_Excel（アレルギー入力）'!"&amp;K182&amp;L182-1&amp;""),),)</f>
        <v>0</v>
      </c>
      <c r="N182" s="114" t="str">
        <f>IF(C182&lt;&gt;"",IF(OR(COUNTIF('盛付札（関数）'!D182,"*赤*"),COUNTIF('盛付札（関数）'!D182,"*キャラ*")),1,
VLOOKUP("*"&amp;D182&amp;"*",商品マスタ一覧!D:H,5,FALSE)),"")</f>
        <v/>
      </c>
      <c r="O182" s="114">
        <f t="shared" ca="1" si="31"/>
        <v>0</v>
      </c>
      <c r="P182" s="114">
        <f t="shared" si="21"/>
        <v>0</v>
      </c>
      <c r="Q182" s="114" t="b">
        <f t="shared" si="22"/>
        <v>0</v>
      </c>
      <c r="R182" s="49" t="str">
        <f t="array" aca="1" ref="R182" ca="1">IFERROR(SMALL(IF(P$1:P$311&lt;&gt;0,P$1:P$311),ROW(A182)),"")</f>
        <v/>
      </c>
      <c r="S182" s="49" t="str">
        <f t="array" aca="1" ref="S182" ca="1">IF($R182&lt;&gt;"",
SUBSTITUTE(SUBSTITUTE(INDIRECT("C"&amp;$R182&amp;"")," 週3ｺｰｽ","")," 週5ｺｰｽ",""),"")</f>
        <v/>
      </c>
      <c r="T182" s="49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22" t="str">
        <f t="array" aca="1" ref="U182" ca="1">IF($R182&lt;&gt;"",
INDIRECT("F"&amp;$R182&amp;""),"")</f>
        <v/>
      </c>
      <c r="V182" s="49" t="str">
        <f t="array" aca="1" ref="V182" ca="1">IF($R182&lt;&gt;"",
INDIRECT("G"&amp;$R182&amp;""),"")</f>
        <v/>
      </c>
      <c r="W182" s="49" t="str">
        <f t="array" aca="1" ref="W182" ca="1">IF($R182&lt;&gt;"",
IF(AND(COUNTIF(INDIRECT("B"&amp;R182&amp;""),"*雙葉*"),COUNTIF(B:B,"*雙葉*")&gt;=2),
IF(OR(COUNTIF(INDIRECT("B"&amp;R182&amp;""),"*雙葉先生*"),COUNTIF($B$1:$B$70,"*雙葉*")&gt;=2),INDIRECT("H"&amp;R182&amp;""),INDIRECT("H"&amp;R182&amp;"")+INDIRECT("H"&amp;MATCH("雙葉'",INDIRECT("B"&amp;R182+3&amp;":B210"),0)+2+R182&amp;"")),
IF(AND(LEFT(INDIRECT("B"&amp;R182&amp;""),2)="博多",COUNTIF(B:B,"*博多*")&gt;=2),
INDIRECT("H"&amp;R182&amp;"")+INDIRECT("H"&amp;MATCH("*"&amp;INDIRECT("B"&amp;R182&amp;"")&amp;"*",INDIRECT("B"&amp;R182+1&amp;":B210"),0)+R182&amp;""),
IF(AND(LEFT(INDIRECT("B"&amp;R182&amp;""),3)="奈良屋",COUNTIF(B:B,"*奈良屋*")&gt;=2),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49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49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49" t="str">
        <f t="shared" ca="1" si="23"/>
        <v/>
      </c>
      <c r="AA182" s="49" t="str">
        <f t="shared" ca="1" si="24"/>
        <v/>
      </c>
      <c r="AB182" s="49" t="str">
        <f t="array" aca="1" ref="AB182" ca="1">IF($R182&lt;&gt;"",
IF(AND(COUNTIF(INDIRECT("B"&amp;R182&amp;""),"*雙葉*"),COUNTIF(B:B,"*雙葉*")&gt;=2),
INDIRECT("M"&amp;R182&amp;"")+INDIRECT("M"&amp;MATCH("雙葉'",INDIRECT("B"&amp;R182+1&amp;":B210"),0)+R182&amp;""),
IF(AND(LEFT(INDIRECT("B"&amp;R182&amp;""),2)="博多",COUNTIF(B:B,"*博多*")&gt;=2),
INDIRECT("M"&amp;R182&amp;"")+INDIRECT("M"&amp;MATCH("*"&amp;INDIRECT("B"&amp;R182&amp;"")&amp;"*",INDIRECT("B"&amp;R182+1&amp;":B210"),0)+R182&amp;""),
IF(AND(LEFT(INDIRECT("B"&amp;R182&amp;""),3)="奈良屋",COUNTIF(B:B,"*奈良屋*")&gt;=2),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  <c r="AC182" s="49" t="str">
        <f ca="1">IF(S182&lt;&gt;"",INDEX(A:A, MATCH("*"&amp;LEFT(S182,4)&amp;"*", C:C, 0)),"")</f>
        <v/>
      </c>
      <c r="AD182" s="49" t="str">
        <f ca="1">IFERROR(INDEX(AC:AC,MATCH(SMALL($AU:$AU,ROW()+3),$AU:$AU,0)),"")</f>
        <v/>
      </c>
      <c r="AE182" s="49" t="str">
        <f ca="1">IFERROR(INDEX(R:R,MATCH(SMALL($AU:$AU,ROW()+3),$AU:$AU,0)),"")</f>
        <v/>
      </c>
      <c r="AF182" s="49" t="str">
        <f ca="1">IFERROR(INDEX(S:S,MATCH(SMALL($AU:$AU,ROW()+3),$AU:$AU,0)),"")</f>
        <v/>
      </c>
      <c r="AG182" s="49" t="str">
        <f ca="1">IFERROR(INDEX(T:T,MATCH(SMALL($AU:$AU,ROW()+3),$AU:$AU,0)),"")</f>
        <v/>
      </c>
      <c r="AH182" s="122" t="str">
        <f ca="1">IFERROR(INDEX(U:U,MATCH(SMALL($AU:$AU,ROW()+3),$AU:$AU,0)),"")</f>
        <v/>
      </c>
      <c r="AI182" s="49" t="str">
        <f ca="1">IFERROR(INDEX(V:V,MATCH(SMALL($AU:$AU,ROW()+3),$AU:$AU,0)),"")</f>
        <v/>
      </c>
      <c r="AJ182" s="49" t="str">
        <f ca="1">IFERROR(INDEX(W:W,MATCH(SMALL($AU:$AU,ROW()+3),$AU:$AU,0)),"")</f>
        <v/>
      </c>
      <c r="AK182" s="49" t="str">
        <f ca="1">IFERROR(INDEX(X:X,MATCH(SMALL($AU:$AU,ROW()+3),$AU:$AU,0)),"")</f>
        <v/>
      </c>
      <c r="AL182" s="49" t="str">
        <f ca="1">IFERROR(INDEX(Y:Y,MATCH(SMALL($AU:$AU,ROW()+3),$AU:$AU,0)),"")</f>
        <v/>
      </c>
      <c r="AM182" s="49" t="str">
        <f ca="1">IFERROR(INDEX(Z:Z,MATCH(SMALL($AU:$AU,ROW()+3),$AU:$AU,0)),"")</f>
        <v/>
      </c>
      <c r="AN182" s="49" t="str">
        <f ca="1">IFERROR(INDEX(AA:AA,MATCH(SMALL($AU:$AU,ROW()+3),$AU:$AU,0)),"")</f>
        <v/>
      </c>
      <c r="AO182" s="49" t="str">
        <f ca="1">IFERROR(INDEX(AB:AB,MATCH(SMALL($AU:$AU,ROW()+3),$AU:$AU,0)),"")</f>
        <v/>
      </c>
      <c r="AP182" s="49" t="str">
        <f ca="1">IFERROR(INDEX(AC:AC,MATCH(SMALL($AU:$AU,ROW()+3),$AU:$AU,0)),"")</f>
        <v/>
      </c>
      <c r="AU182" s="49" t="str">
        <f t="shared" ca="1" si="25"/>
        <v/>
      </c>
    </row>
    <row r="183" spans="1:47" ht="22.2" customHeight="1">
      <c r="A183" s="115">
        <f t="shared" si="32"/>
        <v>91</v>
      </c>
      <c r="B183" s="114" t="str">
        <f t="shared" ca="1" si="30"/>
        <v/>
      </c>
      <c r="C183" s="114" t="str">
        <f>IF(OR(クライアント抽出!D43&lt;&gt;"",クライアント抽出!G43&lt;&gt;""),クライアント抽出!A43,"")</f>
        <v/>
      </c>
      <c r="D183" s="114" t="str">
        <f t="array" aca="1" ref="D183" ca="1">IF(C183&lt;&gt;"",INDIRECT("クライアント抽出!"&amp;E183&amp;MATCH(C183,クライアント抽出!A:A,0)&amp;""),"")</f>
        <v/>
      </c>
      <c r="E183" s="114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17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114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116" t="str">
        <f>IF(C183&lt;&gt;"",
クライアント抽出!D43,"")</f>
        <v/>
      </c>
      <c r="I183" s="114" t="str">
        <f>IF(C183&lt;&gt;"",
IF(O183=1,0,クライアント抽出!F43),"")</f>
        <v/>
      </c>
      <c r="J183" s="114" t="str">
        <f>IF(C183&lt;&gt;"",
VLOOKUP(
"*"&amp;LEFT(IF(COUNTIF(D183,"*学食*"),"キャラ弁（学食）",
IF(COUNTIF(D183,"*赤*"),"赤",
IF(COUNTIF(D183,"*キャラ弁当*"),"キャラ弁当",D183))),4)&amp;"*",注文弁当の抽出!$E$1:$F$15,2,FALSE),"")</f>
        <v/>
      </c>
      <c r="K183" s="114" t="str">
        <f ca="1">IF(クライアント抽出!R43&lt;&gt;"",SUBSTITUTE(ADDRESS(1,(CODE(クライアント抽出!R43)-64)*2-1,4),"1",""),"")</f>
        <v/>
      </c>
      <c r="L183" s="114" t="str">
        <f>IF(C43&lt;&gt;"",クライアント抽出!I43,"")</f>
        <v/>
      </c>
      <c r="M183" s="114">
        <f t="array" aca="1" ref="M183" ca="1">IF(C183&lt;&gt;"",
IF(K183&lt;&gt;"",INDIRECT("'数出表_Excel（アレルギー入力）'!"&amp;K183&amp;L183-1&amp;""),),)</f>
        <v>0</v>
      </c>
      <c r="N183" s="114" t="str">
        <f>IF(C183&lt;&gt;"",IF(OR(COUNTIF('盛付札（関数）'!D183,"*赤*"),COUNTIF('盛付札（関数）'!D183,"*キャラ*")),1,
VLOOKUP("*"&amp;D183&amp;"*",商品マスタ一覧!D:H,5,FALSE)),"")</f>
        <v/>
      </c>
      <c r="O183" s="114">
        <f t="shared" ca="1" si="31"/>
        <v>0</v>
      </c>
      <c r="P183" s="114">
        <f t="shared" si="21"/>
        <v>0</v>
      </c>
      <c r="Q183" s="114" t="b">
        <f t="shared" si="22"/>
        <v>0</v>
      </c>
      <c r="R183" s="49" t="str">
        <f t="array" aca="1" ref="R183" ca="1">IFERROR(SMALL(IF(P$1:P$311&lt;&gt;0,P$1:P$311),ROW(A183)),"")</f>
        <v/>
      </c>
      <c r="S183" s="49" t="str">
        <f t="array" aca="1" ref="S183" ca="1">IF($R183&lt;&gt;"",
SUBSTITUTE(SUBSTITUTE(INDIRECT("C"&amp;$R183&amp;"")," 週3ｺｰｽ","")," 週5ｺｰｽ",""),"")</f>
        <v/>
      </c>
      <c r="T183" s="49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22" t="str">
        <f t="array" aca="1" ref="U183" ca="1">IF($R183&lt;&gt;"",
INDIRECT("F"&amp;$R183&amp;""),"")</f>
        <v/>
      </c>
      <c r="V183" s="49" t="str">
        <f t="array" aca="1" ref="V183" ca="1">IF($R183&lt;&gt;"",
INDIRECT("G"&amp;$R183&amp;""),"")</f>
        <v/>
      </c>
      <c r="W183" s="49" t="str">
        <f t="array" aca="1" ref="W183" ca="1">IF($R183&lt;&gt;"",
IF(AND(COUNTIF(INDIRECT("B"&amp;R183&amp;""),"*雙葉*"),COUNTIF(B:B,"*雙葉*")&gt;=2),
IF(OR(COUNTIF(INDIRECT("B"&amp;R183&amp;""),"*雙葉先生*"),COUNTIF($B$1:$B$70,"*雙葉*")&gt;=2),INDIRECT("H"&amp;R183&amp;""),INDIRECT("H"&amp;R183&amp;"")+INDIRECT("H"&amp;MATCH("雙葉'",INDIRECT("B"&amp;R183+3&amp;":B210"),0)+2+R183&amp;"")),
IF(AND(LEFT(INDIRECT("B"&amp;R183&amp;""),2)="博多",COUNTIF(B:B,"*博多*")&gt;=2),
INDIRECT("H"&amp;R183&amp;"")+INDIRECT("H"&amp;MATCH("*"&amp;INDIRECT("B"&amp;R183&amp;"")&amp;"*",INDIRECT("B"&amp;R183+1&amp;":B210"),0)+R183&amp;""),
IF(AND(LEFT(INDIRECT("B"&amp;R183&amp;""),3)="奈良屋",COUNTIF(B:B,"*奈良屋*")&gt;=2),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49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49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49" t="str">
        <f t="shared" ca="1" si="23"/>
        <v/>
      </c>
      <c r="AA183" s="49" t="str">
        <f t="shared" ca="1" si="24"/>
        <v/>
      </c>
      <c r="AB183" s="49" t="str">
        <f t="array" aca="1" ref="AB183" ca="1">IF($R183&lt;&gt;"",
IF(AND(COUNTIF(INDIRECT("B"&amp;R183&amp;""),"*雙葉*"),COUNTIF(B:B,"*雙葉*")&gt;=2),
INDIRECT("M"&amp;R183&amp;"")+INDIRECT("M"&amp;MATCH("雙葉'",INDIRECT("B"&amp;R183+1&amp;":B210"),0)+R183&amp;""),
IF(AND(LEFT(INDIRECT("B"&amp;R183&amp;""),2)="博多",COUNTIF(B:B,"*博多*")&gt;=2),
INDIRECT("M"&amp;R183&amp;"")+INDIRECT("M"&amp;MATCH("*"&amp;INDIRECT("B"&amp;R183&amp;"")&amp;"*",INDIRECT("B"&amp;R183+1&amp;":B210"),0)+R183&amp;""),
IF(AND(LEFT(INDIRECT("B"&amp;R183&amp;""),3)="奈良屋",COUNTIF(B:B,"*奈良屋*")&gt;=2),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  <c r="AC183" s="49" t="str">
        <f ca="1">IF(S183&lt;&gt;"",INDEX(A:A, MATCH("*"&amp;LEFT(S183,4)&amp;"*", C:C, 0)),"")</f>
        <v/>
      </c>
      <c r="AD183" s="49" t="str">
        <f ca="1">IFERROR(INDEX(AC:AC,MATCH(SMALL($AU:$AU,ROW()+3),$AU:$AU,0)),"")</f>
        <v/>
      </c>
      <c r="AE183" s="49" t="str">
        <f ca="1">IFERROR(INDEX(R:R,MATCH(SMALL($AU:$AU,ROW()+3),$AU:$AU,0)),"")</f>
        <v/>
      </c>
      <c r="AF183" s="49" t="str">
        <f ca="1">IFERROR(INDEX(S:S,MATCH(SMALL($AU:$AU,ROW()+3),$AU:$AU,0)),"")</f>
        <v/>
      </c>
      <c r="AG183" s="49" t="str">
        <f ca="1">IFERROR(INDEX(T:T,MATCH(SMALL($AU:$AU,ROW()+3),$AU:$AU,0)),"")</f>
        <v/>
      </c>
      <c r="AH183" s="122" t="str">
        <f ca="1">IFERROR(INDEX(U:U,MATCH(SMALL($AU:$AU,ROW()+3),$AU:$AU,0)),"")</f>
        <v/>
      </c>
      <c r="AI183" s="49" t="str">
        <f ca="1">IFERROR(INDEX(V:V,MATCH(SMALL($AU:$AU,ROW()+3),$AU:$AU,0)),"")</f>
        <v/>
      </c>
      <c r="AJ183" s="49" t="str">
        <f ca="1">IFERROR(INDEX(W:W,MATCH(SMALL($AU:$AU,ROW()+3),$AU:$AU,0)),"")</f>
        <v/>
      </c>
      <c r="AK183" s="49" t="str">
        <f ca="1">IFERROR(INDEX(X:X,MATCH(SMALL($AU:$AU,ROW()+3),$AU:$AU,0)),"")</f>
        <v/>
      </c>
      <c r="AL183" s="49" t="str">
        <f ca="1">IFERROR(INDEX(Y:Y,MATCH(SMALL($AU:$AU,ROW()+3),$AU:$AU,0)),"")</f>
        <v/>
      </c>
      <c r="AM183" s="49" t="str">
        <f ca="1">IFERROR(INDEX(Z:Z,MATCH(SMALL($AU:$AU,ROW()+3),$AU:$AU,0)),"")</f>
        <v/>
      </c>
      <c r="AN183" s="49" t="str">
        <f ca="1">IFERROR(INDEX(AA:AA,MATCH(SMALL($AU:$AU,ROW()+3),$AU:$AU,0)),"")</f>
        <v/>
      </c>
      <c r="AO183" s="49" t="str">
        <f ca="1">IFERROR(INDEX(AB:AB,MATCH(SMALL($AU:$AU,ROW()+3),$AU:$AU,0)),"")</f>
        <v/>
      </c>
      <c r="AP183" s="49" t="str">
        <f ca="1">IFERROR(INDEX(AC:AC,MATCH(SMALL($AU:$AU,ROW()+3),$AU:$AU,0)),"")</f>
        <v/>
      </c>
      <c r="AU183" s="49" t="str">
        <f t="shared" ca="1" si="25"/>
        <v/>
      </c>
    </row>
    <row r="184" spans="1:47" ht="22.2" customHeight="1">
      <c r="A184" s="115">
        <f t="shared" si="32"/>
        <v>93</v>
      </c>
      <c r="B184" s="114" t="str">
        <f t="shared" ca="1" si="30"/>
        <v/>
      </c>
      <c r="C184" s="114" t="str">
        <f>IF(OR(クライアント抽出!D44&lt;&gt;"",クライアント抽出!G44&lt;&gt;""),クライアント抽出!A44,"")</f>
        <v/>
      </c>
      <c r="D184" s="114" t="str">
        <f t="array" aca="1" ref="D184" ca="1">IF(C184&lt;&gt;"",INDIRECT("クライアント抽出!"&amp;E184&amp;MATCH(C184,クライアント抽出!A:A,0)&amp;""),"")</f>
        <v/>
      </c>
      <c r="E184" s="114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17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114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116" t="str">
        <f>IF(C184&lt;&gt;"",
クライアント抽出!D44,"")</f>
        <v/>
      </c>
      <c r="I184" s="114" t="str">
        <f>IF(C184&lt;&gt;"",
IF(O184=1,0,クライアント抽出!F44),"")</f>
        <v/>
      </c>
      <c r="J184" s="114" t="str">
        <f>IF(C184&lt;&gt;"",
VLOOKUP(
"*"&amp;LEFT(IF(COUNTIF(D184,"*学食*"),"キャラ弁（学食）",
IF(COUNTIF(D184,"*赤*"),"赤",
IF(COUNTIF(D184,"*キャラ弁当*"),"キャラ弁当",D184))),4)&amp;"*",注文弁当の抽出!$E$1:$F$15,2,FALSE),"")</f>
        <v/>
      </c>
      <c r="K184" s="114" t="str">
        <f ca="1">IF(クライアント抽出!R44&lt;&gt;"",SUBSTITUTE(ADDRESS(1,(CODE(クライアント抽出!R44)-64)*2-1,4),"1",""),"")</f>
        <v/>
      </c>
      <c r="L184" s="114" t="str">
        <f>IF(C44&lt;&gt;"",クライアント抽出!I44,"")</f>
        <v/>
      </c>
      <c r="M184" s="114">
        <f t="array" aca="1" ref="M184" ca="1">IF(C184&lt;&gt;"",
IF(K184&lt;&gt;"",INDIRECT("'数出表_Excel（アレルギー入力）'!"&amp;K184&amp;L184-1&amp;""),),)</f>
        <v>0</v>
      </c>
      <c r="N184" s="114" t="str">
        <f>IF(C184&lt;&gt;"",IF(OR(COUNTIF('盛付札（関数）'!D184,"*赤*"),COUNTIF('盛付札（関数）'!D184,"*キャラ*")),1,
VLOOKUP("*"&amp;D184&amp;"*",商品マスタ一覧!D:H,5,FALSE)),"")</f>
        <v/>
      </c>
      <c r="O184" s="114">
        <f t="shared" ca="1" si="31"/>
        <v>0</v>
      </c>
      <c r="P184" s="114">
        <f t="shared" si="21"/>
        <v>0</v>
      </c>
      <c r="Q184" s="114" t="b">
        <f t="shared" si="22"/>
        <v>0</v>
      </c>
      <c r="R184" s="49" t="str">
        <f t="array" aca="1" ref="R184" ca="1">IFERROR(SMALL(IF(P$1:P$311&lt;&gt;0,P$1:P$311),ROW(A184)),"")</f>
        <v/>
      </c>
      <c r="S184" s="49" t="str">
        <f t="array" aca="1" ref="S184" ca="1">IF($R184&lt;&gt;"",
SUBSTITUTE(SUBSTITUTE(INDIRECT("C"&amp;$R184&amp;"")," 週3ｺｰｽ","")," 週5ｺｰｽ",""),"")</f>
        <v/>
      </c>
      <c r="T184" s="49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22" t="str">
        <f t="array" aca="1" ref="U184" ca="1">IF($R184&lt;&gt;"",
INDIRECT("F"&amp;$R184&amp;""),"")</f>
        <v/>
      </c>
      <c r="V184" s="49" t="str">
        <f t="array" aca="1" ref="V184" ca="1">IF($R184&lt;&gt;"",
INDIRECT("G"&amp;$R184&amp;""),"")</f>
        <v/>
      </c>
      <c r="W184" s="49" t="str">
        <f t="array" aca="1" ref="W184" ca="1">IF($R184&lt;&gt;"",
IF(AND(COUNTIF(INDIRECT("B"&amp;R184&amp;""),"*雙葉*"),COUNTIF(B:B,"*雙葉*")&gt;=2),
IF(OR(COUNTIF(INDIRECT("B"&amp;R184&amp;""),"*雙葉先生*"),COUNTIF($B$1:$B$70,"*雙葉*")&gt;=2),INDIRECT("H"&amp;R184&amp;""),INDIRECT("H"&amp;R184&amp;"")+INDIRECT("H"&amp;MATCH("雙葉'",INDIRECT("B"&amp;R184+3&amp;":B210"),0)+2+R184&amp;"")),
IF(AND(LEFT(INDIRECT("B"&amp;R184&amp;""),2)="博多",COUNTIF(B:B,"*博多*")&gt;=2),
INDIRECT("H"&amp;R184&amp;"")+INDIRECT("H"&amp;MATCH("*"&amp;INDIRECT("B"&amp;R184&amp;"")&amp;"*",INDIRECT("B"&amp;R184+1&amp;":B210"),0)+R184&amp;""),
IF(AND(LEFT(INDIRECT("B"&amp;R184&amp;""),3)="奈良屋",COUNTIF(B:B,"*奈良屋*")&gt;=2),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49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49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49" t="str">
        <f t="shared" ca="1" si="23"/>
        <v/>
      </c>
      <c r="AA184" s="49" t="str">
        <f t="shared" ca="1" si="24"/>
        <v/>
      </c>
      <c r="AB184" s="49" t="str">
        <f t="array" aca="1" ref="AB184" ca="1">IF($R184&lt;&gt;"",
IF(AND(COUNTIF(INDIRECT("B"&amp;R184&amp;""),"*雙葉*"),COUNTIF(B:B,"*雙葉*")&gt;=2),
INDIRECT("M"&amp;R184&amp;"")+INDIRECT("M"&amp;MATCH("雙葉'",INDIRECT("B"&amp;R184+1&amp;":B210"),0)+R184&amp;""),
IF(AND(LEFT(INDIRECT("B"&amp;R184&amp;""),2)="博多",COUNTIF(B:B,"*博多*")&gt;=2),
INDIRECT("M"&amp;R184&amp;"")+INDIRECT("M"&amp;MATCH("*"&amp;INDIRECT("B"&amp;R184&amp;"")&amp;"*",INDIRECT("B"&amp;R184+1&amp;":B210"),0)+R184&amp;""),
IF(AND(LEFT(INDIRECT("B"&amp;R184&amp;""),3)="奈良屋",COUNTIF(B:B,"*奈良屋*")&gt;=2),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  <c r="AC184" s="49" t="str">
        <f ca="1">IF(S184&lt;&gt;"",INDEX(A:A, MATCH("*"&amp;LEFT(S184,4)&amp;"*", C:C, 0)),"")</f>
        <v/>
      </c>
      <c r="AD184" s="49" t="str">
        <f ca="1">IFERROR(INDEX(AC:AC,MATCH(SMALL($AU:$AU,ROW()+3),$AU:$AU,0)),"")</f>
        <v/>
      </c>
      <c r="AE184" s="49" t="str">
        <f ca="1">IFERROR(INDEX(R:R,MATCH(SMALL($AU:$AU,ROW()+3),$AU:$AU,0)),"")</f>
        <v/>
      </c>
      <c r="AF184" s="49" t="str">
        <f ca="1">IFERROR(INDEX(S:S,MATCH(SMALL($AU:$AU,ROW()+3),$AU:$AU,0)),"")</f>
        <v/>
      </c>
      <c r="AG184" s="49" t="str">
        <f ca="1">IFERROR(INDEX(T:T,MATCH(SMALL($AU:$AU,ROW()+3),$AU:$AU,0)),"")</f>
        <v/>
      </c>
      <c r="AH184" s="122" t="str">
        <f ca="1">IFERROR(INDEX(U:U,MATCH(SMALL($AU:$AU,ROW()+3),$AU:$AU,0)),"")</f>
        <v/>
      </c>
      <c r="AI184" s="49" t="str">
        <f ca="1">IFERROR(INDEX(V:V,MATCH(SMALL($AU:$AU,ROW()+3),$AU:$AU,0)),"")</f>
        <v/>
      </c>
      <c r="AJ184" s="49" t="str">
        <f ca="1">IFERROR(INDEX(W:W,MATCH(SMALL($AU:$AU,ROW()+3),$AU:$AU,0)),"")</f>
        <v/>
      </c>
      <c r="AK184" s="49" t="str">
        <f ca="1">IFERROR(INDEX(X:X,MATCH(SMALL($AU:$AU,ROW()+3),$AU:$AU,0)),"")</f>
        <v/>
      </c>
      <c r="AL184" s="49" t="str">
        <f ca="1">IFERROR(INDEX(Y:Y,MATCH(SMALL($AU:$AU,ROW()+3),$AU:$AU,0)),"")</f>
        <v/>
      </c>
      <c r="AM184" s="49" t="str">
        <f ca="1">IFERROR(INDEX(Z:Z,MATCH(SMALL($AU:$AU,ROW()+3),$AU:$AU,0)),"")</f>
        <v/>
      </c>
      <c r="AN184" s="49" t="str">
        <f ca="1">IFERROR(INDEX(AA:AA,MATCH(SMALL($AU:$AU,ROW()+3),$AU:$AU,0)),"")</f>
        <v/>
      </c>
      <c r="AO184" s="49" t="str">
        <f ca="1">IFERROR(INDEX(AB:AB,MATCH(SMALL($AU:$AU,ROW()+3),$AU:$AU,0)),"")</f>
        <v/>
      </c>
      <c r="AP184" s="49" t="str">
        <f ca="1">IFERROR(INDEX(AC:AC,MATCH(SMALL($AU:$AU,ROW()+3),$AU:$AU,0)),"")</f>
        <v/>
      </c>
      <c r="AU184" s="49" t="str">
        <f t="shared" ca="1" si="25"/>
        <v/>
      </c>
    </row>
    <row r="185" spans="1:47" ht="22.2" customHeight="1">
      <c r="A185" s="115">
        <f t="shared" si="32"/>
        <v>95</v>
      </c>
      <c r="B185" s="114" t="str">
        <f t="shared" ca="1" si="30"/>
        <v/>
      </c>
      <c r="C185" s="114" t="str">
        <f>IF(OR(クライアント抽出!D45&lt;&gt;"",クライアント抽出!G45&lt;&gt;""),クライアント抽出!A45,"")</f>
        <v/>
      </c>
      <c r="D185" s="114" t="str">
        <f t="array" aca="1" ref="D185" ca="1">IF(C185&lt;&gt;"",INDIRECT("クライアント抽出!"&amp;E185&amp;MATCH(C185,クライアント抽出!A:A,0)&amp;""),"")</f>
        <v/>
      </c>
      <c r="E185" s="114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17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114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116" t="str">
        <f>IF(C185&lt;&gt;"",
クライアント抽出!D45,"")</f>
        <v/>
      </c>
      <c r="I185" s="114" t="str">
        <f>IF(C185&lt;&gt;"",
IF(O185=1,0,クライアント抽出!F45),"")</f>
        <v/>
      </c>
      <c r="J185" s="114" t="str">
        <f>IF(C185&lt;&gt;"",
VLOOKUP(
"*"&amp;LEFT(IF(COUNTIF(D185,"*学食*"),"キャラ弁（学食）",
IF(COUNTIF(D185,"*赤*"),"赤",
IF(COUNTIF(D185,"*キャラ弁当*"),"キャラ弁当",D185))),4)&amp;"*",注文弁当の抽出!$E$1:$F$15,2,FALSE),"")</f>
        <v/>
      </c>
      <c r="K185" s="114" t="str">
        <f ca="1">IF(クライアント抽出!R45&lt;&gt;"",SUBSTITUTE(ADDRESS(1,(CODE(クライアント抽出!R45)-64)*2-1,4),"1",""),"")</f>
        <v/>
      </c>
      <c r="L185" s="114" t="str">
        <f>IF(C45&lt;&gt;"",クライアント抽出!I45,"")</f>
        <v/>
      </c>
      <c r="M185" s="114">
        <f t="array" aca="1" ref="M185" ca="1">IF(C185&lt;&gt;"",
IF(K185&lt;&gt;"",INDIRECT("'数出表_Excel（アレルギー入力）'!"&amp;K185&amp;L185-1&amp;""),),)</f>
        <v>0</v>
      </c>
      <c r="N185" s="114" t="str">
        <f>IF(C185&lt;&gt;"",IF(OR(COUNTIF('盛付札（関数）'!D185,"*赤*"),COUNTIF('盛付札（関数）'!D185,"*キャラ*")),1,
VLOOKUP("*"&amp;D185&amp;"*",商品マスタ一覧!D:H,5,FALSE)),"")</f>
        <v/>
      </c>
      <c r="O185" s="114">
        <f t="shared" ca="1" si="31"/>
        <v>0</v>
      </c>
      <c r="P185" s="114">
        <f t="shared" si="21"/>
        <v>0</v>
      </c>
      <c r="Q185" s="114" t="b">
        <f t="shared" si="22"/>
        <v>0</v>
      </c>
      <c r="R185" s="49" t="str">
        <f t="array" aca="1" ref="R185" ca="1">IFERROR(SMALL(IF(P$1:P$311&lt;&gt;0,P$1:P$311),ROW(A185)),"")</f>
        <v/>
      </c>
      <c r="S185" s="49" t="str">
        <f t="array" aca="1" ref="S185" ca="1">IF($R185&lt;&gt;"",
SUBSTITUTE(SUBSTITUTE(INDIRECT("C"&amp;$R185&amp;"")," 週3ｺｰｽ","")," 週5ｺｰｽ",""),"")</f>
        <v/>
      </c>
      <c r="T185" s="49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22" t="str">
        <f t="array" aca="1" ref="U185" ca="1">IF($R185&lt;&gt;"",
INDIRECT("F"&amp;$R185&amp;""),"")</f>
        <v/>
      </c>
      <c r="V185" s="49" t="str">
        <f t="array" aca="1" ref="V185" ca="1">IF($R185&lt;&gt;"",
INDIRECT("G"&amp;$R185&amp;""),"")</f>
        <v/>
      </c>
      <c r="W185" s="49" t="str">
        <f t="array" aca="1" ref="W185" ca="1">IF($R185&lt;&gt;"",
IF(AND(COUNTIF(INDIRECT("B"&amp;R185&amp;""),"*雙葉*"),COUNTIF(B:B,"*雙葉*")&gt;=2),
IF(OR(COUNTIF(INDIRECT("B"&amp;R185&amp;""),"*雙葉先生*"),COUNTIF($B$1:$B$70,"*雙葉*")&gt;=2),INDIRECT("H"&amp;R185&amp;""),INDIRECT("H"&amp;R185&amp;"")+INDIRECT("H"&amp;MATCH("雙葉'",INDIRECT("B"&amp;R185+3&amp;":B210"),0)+2+R185&amp;"")),
IF(AND(LEFT(INDIRECT("B"&amp;R185&amp;""),2)="博多",COUNTIF(B:B,"*博多*")&gt;=2),
INDIRECT("H"&amp;R185&amp;"")+INDIRECT("H"&amp;MATCH("*"&amp;INDIRECT("B"&amp;R185&amp;"")&amp;"*",INDIRECT("B"&amp;R185+1&amp;":B210"),0)+R185&amp;""),
IF(AND(LEFT(INDIRECT("B"&amp;R185&amp;""),3)="奈良屋",COUNTIF(B:B,"*奈良屋*")&gt;=2),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49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49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49" t="str">
        <f t="shared" ca="1" si="23"/>
        <v/>
      </c>
      <c r="AA185" s="49" t="str">
        <f t="shared" ca="1" si="24"/>
        <v/>
      </c>
      <c r="AB185" s="49" t="str">
        <f t="array" aca="1" ref="AB185" ca="1">IF($R185&lt;&gt;"",
IF(AND(COUNTIF(INDIRECT("B"&amp;R185&amp;""),"*雙葉*"),COUNTIF(B:B,"*雙葉*")&gt;=2),
INDIRECT("M"&amp;R185&amp;"")+INDIRECT("M"&amp;MATCH("雙葉'",INDIRECT("B"&amp;R185+1&amp;":B210"),0)+R185&amp;""),
IF(AND(LEFT(INDIRECT("B"&amp;R185&amp;""),2)="博多",COUNTIF(B:B,"*博多*")&gt;=2),
INDIRECT("M"&amp;R185&amp;"")+INDIRECT("M"&amp;MATCH("*"&amp;INDIRECT("B"&amp;R185&amp;"")&amp;"*",INDIRECT("B"&amp;R185+1&amp;":B210"),0)+R185&amp;""),
IF(AND(LEFT(INDIRECT("B"&amp;R185&amp;""),3)="奈良屋",COUNTIF(B:B,"*奈良屋*")&gt;=2),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  <c r="AC185" s="49" t="str">
        <f ca="1">IF(S185&lt;&gt;"",INDEX(A:A, MATCH("*"&amp;LEFT(S185,4)&amp;"*", C:C, 0)),"")</f>
        <v/>
      </c>
      <c r="AD185" s="49" t="str">
        <f ca="1">IFERROR(INDEX(AC:AC,MATCH(SMALL($AU:$AU,ROW()+3),$AU:$AU,0)),"")</f>
        <v/>
      </c>
      <c r="AE185" s="49" t="str">
        <f ca="1">IFERROR(INDEX(R:R,MATCH(SMALL($AU:$AU,ROW()+3),$AU:$AU,0)),"")</f>
        <v/>
      </c>
      <c r="AF185" s="49" t="str">
        <f ca="1">IFERROR(INDEX(S:S,MATCH(SMALL($AU:$AU,ROW()+3),$AU:$AU,0)),"")</f>
        <v/>
      </c>
      <c r="AG185" s="49" t="str">
        <f ca="1">IFERROR(INDEX(T:T,MATCH(SMALL($AU:$AU,ROW()+3),$AU:$AU,0)),"")</f>
        <v/>
      </c>
      <c r="AH185" s="122" t="str">
        <f ca="1">IFERROR(INDEX(U:U,MATCH(SMALL($AU:$AU,ROW()+3),$AU:$AU,0)),"")</f>
        <v/>
      </c>
      <c r="AI185" s="49" t="str">
        <f ca="1">IFERROR(INDEX(V:V,MATCH(SMALL($AU:$AU,ROW()+3),$AU:$AU,0)),"")</f>
        <v/>
      </c>
      <c r="AJ185" s="49" t="str">
        <f ca="1">IFERROR(INDEX(W:W,MATCH(SMALL($AU:$AU,ROW()+3),$AU:$AU,0)),"")</f>
        <v/>
      </c>
      <c r="AK185" s="49" t="str">
        <f ca="1">IFERROR(INDEX(X:X,MATCH(SMALL($AU:$AU,ROW()+3),$AU:$AU,0)),"")</f>
        <v/>
      </c>
      <c r="AL185" s="49" t="str">
        <f ca="1">IFERROR(INDEX(Y:Y,MATCH(SMALL($AU:$AU,ROW()+3),$AU:$AU,0)),"")</f>
        <v/>
      </c>
      <c r="AM185" s="49" t="str">
        <f ca="1">IFERROR(INDEX(Z:Z,MATCH(SMALL($AU:$AU,ROW()+3),$AU:$AU,0)),"")</f>
        <v/>
      </c>
      <c r="AN185" s="49" t="str">
        <f ca="1">IFERROR(INDEX(AA:AA,MATCH(SMALL($AU:$AU,ROW()+3),$AU:$AU,0)),"")</f>
        <v/>
      </c>
      <c r="AO185" s="49" t="str">
        <f ca="1">IFERROR(INDEX(AB:AB,MATCH(SMALL($AU:$AU,ROW()+3),$AU:$AU,0)),"")</f>
        <v/>
      </c>
      <c r="AP185" s="49" t="str">
        <f ca="1">IFERROR(INDEX(AC:AC,MATCH(SMALL($AU:$AU,ROW()+3),$AU:$AU,0)),"")</f>
        <v/>
      </c>
      <c r="AU185" s="49" t="str">
        <f t="shared" ca="1" si="25"/>
        <v/>
      </c>
    </row>
    <row r="186" spans="1:47" ht="22.2" customHeight="1">
      <c r="A186" s="115">
        <f t="shared" si="32"/>
        <v>97</v>
      </c>
      <c r="B186" s="114" t="str">
        <f t="shared" ca="1" si="30"/>
        <v/>
      </c>
      <c r="C186" s="114" t="str">
        <f>IF(OR(クライアント抽出!D46&lt;&gt;"",クライアント抽出!G46&lt;&gt;""),クライアント抽出!A46,"")</f>
        <v/>
      </c>
      <c r="D186" s="114" t="str">
        <f t="array" aca="1" ref="D186" ca="1">IF(C186&lt;&gt;"",INDIRECT("クライアント抽出!"&amp;E186&amp;MATCH(C186,クライアント抽出!A:A,0)&amp;""),"")</f>
        <v/>
      </c>
      <c r="E186" s="114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17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114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116" t="str">
        <f>IF(C186&lt;&gt;"",
クライアント抽出!D46,"")</f>
        <v/>
      </c>
      <c r="I186" s="114" t="str">
        <f>IF(C186&lt;&gt;"",
IF(O186=1,0,クライアント抽出!F46),"")</f>
        <v/>
      </c>
      <c r="J186" s="114" t="str">
        <f>IF(C186&lt;&gt;"",
VLOOKUP(
"*"&amp;LEFT(IF(COUNTIF(D186,"*学食*"),"キャラ弁（学食）",
IF(COUNTIF(D186,"*赤*"),"赤",
IF(COUNTIF(D186,"*キャラ弁当*"),"キャラ弁当",D186))),4)&amp;"*",注文弁当の抽出!$E$1:$F$15,2,FALSE),"")</f>
        <v/>
      </c>
      <c r="K186" s="114" t="str">
        <f ca="1">IF(クライアント抽出!R46&lt;&gt;"",SUBSTITUTE(ADDRESS(1,(CODE(クライアント抽出!R46)-64)*2-1,4),"1",""),"")</f>
        <v/>
      </c>
      <c r="L186" s="114" t="str">
        <f>IF(C46&lt;&gt;"",クライアント抽出!I46,"")</f>
        <v/>
      </c>
      <c r="M186" s="114">
        <f t="array" aca="1" ref="M186" ca="1">IF(C186&lt;&gt;"",
IF(K186&lt;&gt;"",INDIRECT("'数出表_Excel（アレルギー入力）'!"&amp;K186&amp;L186-1&amp;""),),)</f>
        <v>0</v>
      </c>
      <c r="N186" s="114" t="str">
        <f>IF(C186&lt;&gt;"",IF(OR(COUNTIF('盛付札（関数）'!D186,"*赤*"),COUNTIF('盛付札（関数）'!D186,"*キャラ*")),1,
VLOOKUP("*"&amp;D186&amp;"*",商品マスタ一覧!D:H,5,FALSE)),"")</f>
        <v/>
      </c>
      <c r="O186" s="114">
        <f t="shared" ca="1" si="31"/>
        <v>0</v>
      </c>
      <c r="P186" s="114">
        <f t="shared" si="21"/>
        <v>0</v>
      </c>
      <c r="Q186" s="114" t="b">
        <f t="shared" si="22"/>
        <v>0</v>
      </c>
      <c r="R186" s="49" t="str">
        <f t="array" aca="1" ref="R186" ca="1">IFERROR(SMALL(IF(P$1:P$311&lt;&gt;0,P$1:P$311),ROW(A186)),"")</f>
        <v/>
      </c>
      <c r="S186" s="49" t="str">
        <f t="array" aca="1" ref="S186" ca="1">IF($R186&lt;&gt;"",
SUBSTITUTE(SUBSTITUTE(INDIRECT("C"&amp;$R186&amp;"")," 週3ｺｰｽ","")," 週5ｺｰｽ",""),"")</f>
        <v/>
      </c>
      <c r="T186" s="49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22" t="str">
        <f t="array" aca="1" ref="U186" ca="1">IF($R186&lt;&gt;"",
INDIRECT("F"&amp;$R186&amp;""),"")</f>
        <v/>
      </c>
      <c r="V186" s="49" t="str">
        <f t="array" aca="1" ref="V186" ca="1">IF($R186&lt;&gt;"",
INDIRECT("G"&amp;$R186&amp;""),"")</f>
        <v/>
      </c>
      <c r="W186" s="49" t="str">
        <f t="array" aca="1" ref="W186" ca="1">IF($R186&lt;&gt;"",
IF(AND(COUNTIF(INDIRECT("B"&amp;R186&amp;""),"*雙葉*"),COUNTIF(B:B,"*雙葉*")&gt;=2),
IF(OR(COUNTIF(INDIRECT("B"&amp;R186&amp;""),"*雙葉先生*"),COUNTIF($B$1:$B$70,"*雙葉*")&gt;=2),INDIRECT("H"&amp;R186&amp;""),INDIRECT("H"&amp;R186&amp;"")+INDIRECT("H"&amp;MATCH("雙葉'",INDIRECT("B"&amp;R186+3&amp;":B210"),0)+2+R186&amp;"")),
IF(AND(LEFT(INDIRECT("B"&amp;R186&amp;""),2)="博多",COUNTIF(B:B,"*博多*")&gt;=2),
INDIRECT("H"&amp;R186&amp;"")+INDIRECT("H"&amp;MATCH("*"&amp;INDIRECT("B"&amp;R186&amp;"")&amp;"*",INDIRECT("B"&amp;R186+1&amp;":B210"),0)+R186&amp;""),
IF(AND(LEFT(INDIRECT("B"&amp;R186&amp;""),3)="奈良屋",COUNTIF(B:B,"*奈良屋*")&gt;=2),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49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49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49" t="str">
        <f t="shared" ca="1" si="23"/>
        <v/>
      </c>
      <c r="AA186" s="49" t="str">
        <f t="shared" ca="1" si="24"/>
        <v/>
      </c>
      <c r="AB186" s="49" t="str">
        <f t="array" aca="1" ref="AB186" ca="1">IF($R186&lt;&gt;"",
IF(AND(COUNTIF(INDIRECT("B"&amp;R186&amp;""),"*雙葉*"),COUNTIF(B:B,"*雙葉*")&gt;=2),
INDIRECT("M"&amp;R186&amp;"")+INDIRECT("M"&amp;MATCH("雙葉'",INDIRECT("B"&amp;R186+1&amp;":B210"),0)+R186&amp;""),
IF(AND(LEFT(INDIRECT("B"&amp;R186&amp;""),2)="博多",COUNTIF(B:B,"*博多*")&gt;=2),
INDIRECT("M"&amp;R186&amp;"")+INDIRECT("M"&amp;MATCH("*"&amp;INDIRECT("B"&amp;R186&amp;"")&amp;"*",INDIRECT("B"&amp;R186+1&amp;":B210"),0)+R186&amp;""),
IF(AND(LEFT(INDIRECT("B"&amp;R186&amp;""),3)="奈良屋",COUNTIF(B:B,"*奈良屋*")&gt;=2),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  <c r="AC186" s="49" t="str">
        <f ca="1">IF(S186&lt;&gt;"",INDEX(A:A, MATCH("*"&amp;LEFT(S186,4)&amp;"*", C:C, 0)),"")</f>
        <v/>
      </c>
      <c r="AD186" s="49" t="str">
        <f ca="1">IFERROR(INDEX(AC:AC,MATCH(SMALL($AU:$AU,ROW()+3),$AU:$AU,0)),"")</f>
        <v/>
      </c>
      <c r="AE186" s="49" t="str">
        <f ca="1">IFERROR(INDEX(R:R,MATCH(SMALL($AU:$AU,ROW()+3),$AU:$AU,0)),"")</f>
        <v/>
      </c>
      <c r="AF186" s="49" t="str">
        <f ca="1">IFERROR(INDEX(S:S,MATCH(SMALL($AU:$AU,ROW()+3),$AU:$AU,0)),"")</f>
        <v/>
      </c>
      <c r="AG186" s="49" t="str">
        <f ca="1">IFERROR(INDEX(T:T,MATCH(SMALL($AU:$AU,ROW()+3),$AU:$AU,0)),"")</f>
        <v/>
      </c>
      <c r="AH186" s="122" t="str">
        <f ca="1">IFERROR(INDEX(U:U,MATCH(SMALL($AU:$AU,ROW()+3),$AU:$AU,0)),"")</f>
        <v/>
      </c>
      <c r="AI186" s="49" t="str">
        <f ca="1">IFERROR(INDEX(V:V,MATCH(SMALL($AU:$AU,ROW()+3),$AU:$AU,0)),"")</f>
        <v/>
      </c>
      <c r="AJ186" s="49" t="str">
        <f ca="1">IFERROR(INDEX(W:W,MATCH(SMALL($AU:$AU,ROW()+3),$AU:$AU,0)),"")</f>
        <v/>
      </c>
      <c r="AK186" s="49" t="str">
        <f ca="1">IFERROR(INDEX(X:X,MATCH(SMALL($AU:$AU,ROW()+3),$AU:$AU,0)),"")</f>
        <v/>
      </c>
      <c r="AL186" s="49" t="str">
        <f ca="1">IFERROR(INDEX(Y:Y,MATCH(SMALL($AU:$AU,ROW()+3),$AU:$AU,0)),"")</f>
        <v/>
      </c>
      <c r="AM186" s="49" t="str">
        <f ca="1">IFERROR(INDEX(Z:Z,MATCH(SMALL($AU:$AU,ROW()+3),$AU:$AU,0)),"")</f>
        <v/>
      </c>
      <c r="AN186" s="49" t="str">
        <f ca="1">IFERROR(INDEX(AA:AA,MATCH(SMALL($AU:$AU,ROW()+3),$AU:$AU,0)),"")</f>
        <v/>
      </c>
      <c r="AO186" s="49" t="str">
        <f ca="1">IFERROR(INDEX(AB:AB,MATCH(SMALL($AU:$AU,ROW()+3),$AU:$AU,0)),"")</f>
        <v/>
      </c>
      <c r="AP186" s="49" t="str">
        <f ca="1">IFERROR(INDEX(AC:AC,MATCH(SMALL($AU:$AU,ROW()+3),$AU:$AU,0)),"")</f>
        <v/>
      </c>
      <c r="AU186" s="49" t="str">
        <f t="shared" ca="1" si="25"/>
        <v/>
      </c>
    </row>
    <row r="187" spans="1:47" ht="22.2" customHeight="1">
      <c r="A187" s="115">
        <f t="shared" si="32"/>
        <v>99</v>
      </c>
      <c r="B187" s="114" t="str">
        <f t="shared" ca="1" si="30"/>
        <v/>
      </c>
      <c r="C187" s="114" t="str">
        <f>IF(OR(クライアント抽出!D47&lt;&gt;"",クライアント抽出!G47&lt;&gt;""),クライアント抽出!A47,"")</f>
        <v/>
      </c>
      <c r="D187" s="114" t="str">
        <f t="array" aca="1" ref="D187" ca="1">IF(C187&lt;&gt;"",INDIRECT("クライアント抽出!"&amp;E187&amp;MATCH(C187,クライアント抽出!A:A,0)&amp;""),"")</f>
        <v/>
      </c>
      <c r="E187" s="114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17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114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116" t="str">
        <f>IF(C187&lt;&gt;"",
クライアント抽出!D47,"")</f>
        <v/>
      </c>
      <c r="I187" s="114" t="str">
        <f>IF(C187&lt;&gt;"",
IF(O187=1,0,クライアント抽出!F47),"")</f>
        <v/>
      </c>
      <c r="J187" s="114" t="str">
        <f>IF(C187&lt;&gt;"",
VLOOKUP(
"*"&amp;LEFT(IF(COUNTIF(D187,"*学食*"),"キャラ弁（学食）",
IF(COUNTIF(D187,"*赤*"),"赤",
IF(COUNTIF(D187,"*キャラ弁当*"),"キャラ弁当",D187))),4)&amp;"*",注文弁当の抽出!$E$1:$F$15,2,FALSE),"")</f>
        <v/>
      </c>
      <c r="K187" s="114" t="str">
        <f ca="1">IF(クライアント抽出!R47&lt;&gt;"",SUBSTITUTE(ADDRESS(1,(CODE(クライアント抽出!R47)-64)*2-1,4),"1",""),"")</f>
        <v/>
      </c>
      <c r="L187" s="114" t="str">
        <f>IF(C47&lt;&gt;"",クライアント抽出!I47,"")</f>
        <v/>
      </c>
      <c r="M187" s="114">
        <f t="array" aca="1" ref="M187" ca="1">IF(C187&lt;&gt;"",
IF(K187&lt;&gt;"",INDIRECT("'数出表_Excel（アレルギー入力）'!"&amp;K187&amp;L187-1&amp;""),),)</f>
        <v>0</v>
      </c>
      <c r="N187" s="114" t="str">
        <f>IF(C187&lt;&gt;"",IF(OR(COUNTIF('盛付札（関数）'!D187,"*赤*"),COUNTIF('盛付札（関数）'!D187,"*キャラ*")),1,
VLOOKUP("*"&amp;D187&amp;"*",商品マスタ一覧!D:H,5,FALSE)),"")</f>
        <v/>
      </c>
      <c r="O187" s="114">
        <f t="shared" ca="1" si="31"/>
        <v>0</v>
      </c>
      <c r="P187" s="114">
        <f t="shared" si="21"/>
        <v>0</v>
      </c>
      <c r="Q187" s="114" t="b">
        <f t="shared" si="22"/>
        <v>0</v>
      </c>
      <c r="R187" s="49" t="str">
        <f t="array" aca="1" ref="R187" ca="1">IFERROR(SMALL(IF(P$1:P$311&lt;&gt;0,P$1:P$311),ROW(A187)),"")</f>
        <v/>
      </c>
      <c r="S187" s="49" t="str">
        <f t="array" aca="1" ref="S187" ca="1">IF($R187&lt;&gt;"",
SUBSTITUTE(SUBSTITUTE(INDIRECT("C"&amp;$R187&amp;"")," 週3ｺｰｽ","")," 週5ｺｰｽ",""),"")</f>
        <v/>
      </c>
      <c r="T187" s="49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22" t="str">
        <f t="array" aca="1" ref="U187" ca="1">IF($R187&lt;&gt;"",
INDIRECT("F"&amp;$R187&amp;""),"")</f>
        <v/>
      </c>
      <c r="V187" s="49" t="str">
        <f t="array" aca="1" ref="V187" ca="1">IF($R187&lt;&gt;"",
INDIRECT("G"&amp;$R187&amp;""),"")</f>
        <v/>
      </c>
      <c r="W187" s="49" t="str">
        <f t="array" aca="1" ref="W187" ca="1">IF($R187&lt;&gt;"",
IF(AND(COUNTIF(INDIRECT("B"&amp;R187&amp;""),"*雙葉*"),COUNTIF(B:B,"*雙葉*")&gt;=2),
IF(OR(COUNTIF(INDIRECT("B"&amp;R187&amp;""),"*雙葉先生*"),COUNTIF($B$1:$B$70,"*雙葉*")&gt;=2),INDIRECT("H"&amp;R187&amp;""),INDIRECT("H"&amp;R187&amp;"")+INDIRECT("H"&amp;MATCH("雙葉'",INDIRECT("B"&amp;R187+3&amp;":B210"),0)+2+R187&amp;"")),
IF(AND(LEFT(INDIRECT("B"&amp;R187&amp;""),2)="博多",COUNTIF(B:B,"*博多*")&gt;=2),
INDIRECT("H"&amp;R187&amp;"")+INDIRECT("H"&amp;MATCH("*"&amp;INDIRECT("B"&amp;R187&amp;"")&amp;"*",INDIRECT("B"&amp;R187+1&amp;":B210"),0)+R187&amp;""),
IF(AND(LEFT(INDIRECT("B"&amp;R187&amp;""),3)="奈良屋",COUNTIF(B:B,"*奈良屋*")&gt;=2),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49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49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49" t="str">
        <f t="shared" ca="1" si="23"/>
        <v/>
      </c>
      <c r="AA187" s="49" t="str">
        <f t="shared" ca="1" si="24"/>
        <v/>
      </c>
      <c r="AB187" s="49" t="str">
        <f t="array" aca="1" ref="AB187" ca="1">IF($R187&lt;&gt;"",
IF(AND(COUNTIF(INDIRECT("B"&amp;R187&amp;""),"*雙葉*"),COUNTIF(B:B,"*雙葉*")&gt;=2),
INDIRECT("M"&amp;R187&amp;"")+INDIRECT("M"&amp;MATCH("雙葉'",INDIRECT("B"&amp;R187+1&amp;":B210"),0)+R187&amp;""),
IF(AND(LEFT(INDIRECT("B"&amp;R187&amp;""),2)="博多",COUNTIF(B:B,"*博多*")&gt;=2),
INDIRECT("M"&amp;R187&amp;"")+INDIRECT("M"&amp;MATCH("*"&amp;INDIRECT("B"&amp;R187&amp;"")&amp;"*",INDIRECT("B"&amp;R187+1&amp;":B210"),0)+R187&amp;""),
IF(AND(LEFT(INDIRECT("B"&amp;R187&amp;""),3)="奈良屋",COUNTIF(B:B,"*奈良屋*")&gt;=2),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  <c r="AC187" s="49" t="str">
        <f ca="1">IF(S187&lt;&gt;"",INDEX(A:A, MATCH("*"&amp;LEFT(S187,4)&amp;"*", C:C, 0)),"")</f>
        <v/>
      </c>
      <c r="AD187" s="49" t="str">
        <f ca="1">IFERROR(INDEX(AC:AC,MATCH(SMALL($AU:$AU,ROW()+3),$AU:$AU,0)),"")</f>
        <v/>
      </c>
      <c r="AE187" s="49" t="str">
        <f ca="1">IFERROR(INDEX(R:R,MATCH(SMALL($AU:$AU,ROW()+3),$AU:$AU,0)),"")</f>
        <v/>
      </c>
      <c r="AF187" s="49" t="str">
        <f ca="1">IFERROR(INDEX(S:S,MATCH(SMALL($AU:$AU,ROW()+3),$AU:$AU,0)),"")</f>
        <v/>
      </c>
      <c r="AG187" s="49" t="str">
        <f ca="1">IFERROR(INDEX(T:T,MATCH(SMALL($AU:$AU,ROW()+3),$AU:$AU,0)),"")</f>
        <v/>
      </c>
      <c r="AH187" s="122" t="str">
        <f ca="1">IFERROR(INDEX(U:U,MATCH(SMALL($AU:$AU,ROW()+3),$AU:$AU,0)),"")</f>
        <v/>
      </c>
      <c r="AI187" s="49" t="str">
        <f ca="1">IFERROR(INDEX(V:V,MATCH(SMALL($AU:$AU,ROW()+3),$AU:$AU,0)),"")</f>
        <v/>
      </c>
      <c r="AJ187" s="49" t="str">
        <f ca="1">IFERROR(INDEX(W:W,MATCH(SMALL($AU:$AU,ROW()+3),$AU:$AU,0)),"")</f>
        <v/>
      </c>
      <c r="AK187" s="49" t="str">
        <f ca="1">IFERROR(INDEX(X:X,MATCH(SMALL($AU:$AU,ROW()+3),$AU:$AU,0)),"")</f>
        <v/>
      </c>
      <c r="AL187" s="49" t="str">
        <f ca="1">IFERROR(INDEX(Y:Y,MATCH(SMALL($AU:$AU,ROW()+3),$AU:$AU,0)),"")</f>
        <v/>
      </c>
      <c r="AM187" s="49" t="str">
        <f ca="1">IFERROR(INDEX(Z:Z,MATCH(SMALL($AU:$AU,ROW()+3),$AU:$AU,0)),"")</f>
        <v/>
      </c>
      <c r="AN187" s="49" t="str">
        <f ca="1">IFERROR(INDEX(AA:AA,MATCH(SMALL($AU:$AU,ROW()+3),$AU:$AU,0)),"")</f>
        <v/>
      </c>
      <c r="AO187" s="49" t="str">
        <f ca="1">IFERROR(INDEX(AB:AB,MATCH(SMALL($AU:$AU,ROW()+3),$AU:$AU,0)),"")</f>
        <v/>
      </c>
      <c r="AP187" s="49" t="str">
        <f ca="1">IFERROR(INDEX(AC:AC,MATCH(SMALL($AU:$AU,ROW()+3),$AU:$AU,0)),"")</f>
        <v/>
      </c>
      <c r="AU187" s="49" t="str">
        <f t="shared" ca="1" si="25"/>
        <v/>
      </c>
    </row>
    <row r="188" spans="1:47" ht="22.2" customHeight="1">
      <c r="A188" s="115">
        <f t="shared" si="32"/>
        <v>101</v>
      </c>
      <c r="B188" s="114" t="str">
        <f t="shared" ca="1" si="30"/>
        <v/>
      </c>
      <c r="C188" s="114" t="str">
        <f>IF(OR(クライアント抽出!D48&lt;&gt;"",クライアント抽出!G48&lt;&gt;""),クライアント抽出!A48,"")</f>
        <v/>
      </c>
      <c r="D188" s="114" t="str">
        <f t="array" aca="1" ref="D188" ca="1">IF(C188&lt;&gt;"",INDIRECT("クライアント抽出!"&amp;E188&amp;MATCH(C188,クライアント抽出!A:A,0)&amp;""),"")</f>
        <v/>
      </c>
      <c r="E188" s="114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17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114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116" t="str">
        <f>IF(C188&lt;&gt;"",
クライアント抽出!D48,"")</f>
        <v/>
      </c>
      <c r="I188" s="114" t="str">
        <f>IF(C188&lt;&gt;"",
IF(O188=1,0,クライアント抽出!F48),"")</f>
        <v/>
      </c>
      <c r="J188" s="114" t="str">
        <f>IF(C188&lt;&gt;"",
VLOOKUP(
"*"&amp;LEFT(IF(COUNTIF(D188,"*学食*"),"キャラ弁（学食）",
IF(COUNTIF(D188,"*赤*"),"赤",
IF(COUNTIF(D188,"*キャラ弁当*"),"キャラ弁当",D188))),4)&amp;"*",注文弁当の抽出!$E$1:$F$15,2,FALSE),"")</f>
        <v/>
      </c>
      <c r="K188" s="114" t="str">
        <f ca="1">IF(クライアント抽出!R48&lt;&gt;"",SUBSTITUTE(ADDRESS(1,(CODE(クライアント抽出!R48)-64)*2-1,4),"1",""),"")</f>
        <v/>
      </c>
      <c r="L188" s="114" t="str">
        <f>IF(C48&lt;&gt;"",クライアント抽出!I48,"")</f>
        <v/>
      </c>
      <c r="M188" s="114">
        <f t="array" aca="1" ref="M188" ca="1">IF(C188&lt;&gt;"",
IF(K188&lt;&gt;"",INDIRECT("'数出表_Excel（アレルギー入力）'!"&amp;K188&amp;L188-1&amp;""),),)</f>
        <v>0</v>
      </c>
      <c r="N188" s="114" t="str">
        <f>IF(C188&lt;&gt;"",IF(OR(COUNTIF('盛付札（関数）'!D188,"*赤*"),COUNTIF('盛付札（関数）'!D188,"*キャラ*")),1,
VLOOKUP("*"&amp;D188&amp;"*",商品マスタ一覧!D:H,5,FALSE)),"")</f>
        <v/>
      </c>
      <c r="O188" s="114">
        <f t="shared" ca="1" si="31"/>
        <v>0</v>
      </c>
      <c r="P188" s="114">
        <f t="shared" si="21"/>
        <v>0</v>
      </c>
      <c r="Q188" s="114" t="b">
        <f t="shared" si="22"/>
        <v>0</v>
      </c>
      <c r="R188" s="49" t="str">
        <f t="array" aca="1" ref="R188" ca="1">IFERROR(SMALL(IF(P$1:P$311&lt;&gt;0,P$1:P$311),ROW(A188)),"")</f>
        <v/>
      </c>
      <c r="S188" s="49" t="str">
        <f t="array" aca="1" ref="S188" ca="1">IF($R188&lt;&gt;"",
SUBSTITUTE(SUBSTITUTE(INDIRECT("C"&amp;$R188&amp;"")," 週3ｺｰｽ","")," 週5ｺｰｽ",""),"")</f>
        <v/>
      </c>
      <c r="T188" s="49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22" t="str">
        <f t="array" aca="1" ref="U188" ca="1">IF($R188&lt;&gt;"",
INDIRECT("F"&amp;$R188&amp;""),"")</f>
        <v/>
      </c>
      <c r="V188" s="49" t="str">
        <f t="array" aca="1" ref="V188" ca="1">IF($R188&lt;&gt;"",
INDIRECT("G"&amp;$R188&amp;""),"")</f>
        <v/>
      </c>
      <c r="W188" s="49" t="str">
        <f t="array" aca="1" ref="W188" ca="1">IF($R188&lt;&gt;"",
IF(AND(COUNTIF(INDIRECT("B"&amp;R188&amp;""),"*雙葉*"),COUNTIF(B:B,"*雙葉*")&gt;=2),
IF(OR(COUNTIF(INDIRECT("B"&amp;R188&amp;""),"*雙葉先生*"),COUNTIF($B$1:$B$70,"*雙葉*")&gt;=2),INDIRECT("H"&amp;R188&amp;""),INDIRECT("H"&amp;R188&amp;"")+INDIRECT("H"&amp;MATCH("雙葉'",INDIRECT("B"&amp;R188+3&amp;":B210"),0)+2+R188&amp;"")),
IF(AND(LEFT(INDIRECT("B"&amp;R188&amp;""),2)="博多",COUNTIF(B:B,"*博多*")&gt;=2),
INDIRECT("H"&amp;R188&amp;"")+INDIRECT("H"&amp;MATCH("*"&amp;INDIRECT("B"&amp;R188&amp;"")&amp;"*",INDIRECT("B"&amp;R188+1&amp;":B210"),0)+R188&amp;""),
IF(AND(LEFT(INDIRECT("B"&amp;R188&amp;""),3)="奈良屋",COUNTIF(B:B,"*奈良屋*")&gt;=2),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49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49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49" t="str">
        <f t="shared" ca="1" si="23"/>
        <v/>
      </c>
      <c r="AA188" s="49" t="str">
        <f t="shared" ca="1" si="24"/>
        <v/>
      </c>
      <c r="AB188" s="49" t="str">
        <f t="array" aca="1" ref="AB188" ca="1">IF($R188&lt;&gt;"",
IF(AND(COUNTIF(INDIRECT("B"&amp;R188&amp;""),"*雙葉*"),COUNTIF(B:B,"*雙葉*")&gt;=2),
INDIRECT("M"&amp;R188&amp;"")+INDIRECT("M"&amp;MATCH("雙葉'",INDIRECT("B"&amp;R188+1&amp;":B210"),0)+R188&amp;""),
IF(AND(LEFT(INDIRECT("B"&amp;R188&amp;""),2)="博多",COUNTIF(B:B,"*博多*")&gt;=2),
INDIRECT("M"&amp;R188&amp;"")+INDIRECT("M"&amp;MATCH("*"&amp;INDIRECT("B"&amp;R188&amp;"")&amp;"*",INDIRECT("B"&amp;R188+1&amp;":B210"),0)+R188&amp;""),
IF(AND(LEFT(INDIRECT("B"&amp;R188&amp;""),3)="奈良屋",COUNTIF(B:B,"*奈良屋*")&gt;=2),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  <c r="AC188" s="49" t="str">
        <f ca="1">IF(S188&lt;&gt;"",INDEX(A:A, MATCH("*"&amp;LEFT(S188,4)&amp;"*", C:C, 0)),"")</f>
        <v/>
      </c>
      <c r="AD188" s="49" t="str">
        <f ca="1">IFERROR(INDEX(AC:AC,MATCH(SMALL($AU:$AU,ROW()+3),$AU:$AU,0)),"")</f>
        <v/>
      </c>
      <c r="AE188" s="49" t="str">
        <f ca="1">IFERROR(INDEX(R:R,MATCH(SMALL($AU:$AU,ROW()+3),$AU:$AU,0)),"")</f>
        <v/>
      </c>
      <c r="AF188" s="49" t="str">
        <f ca="1">IFERROR(INDEX(S:S,MATCH(SMALL($AU:$AU,ROW()+3),$AU:$AU,0)),"")</f>
        <v/>
      </c>
      <c r="AG188" s="49" t="str">
        <f ca="1">IFERROR(INDEX(T:T,MATCH(SMALL($AU:$AU,ROW()+3),$AU:$AU,0)),"")</f>
        <v/>
      </c>
      <c r="AH188" s="122" t="str">
        <f ca="1">IFERROR(INDEX(U:U,MATCH(SMALL($AU:$AU,ROW()+3),$AU:$AU,0)),"")</f>
        <v/>
      </c>
      <c r="AI188" s="49" t="str">
        <f ca="1">IFERROR(INDEX(V:V,MATCH(SMALL($AU:$AU,ROW()+3),$AU:$AU,0)),"")</f>
        <v/>
      </c>
      <c r="AJ188" s="49" t="str">
        <f ca="1">IFERROR(INDEX(W:W,MATCH(SMALL($AU:$AU,ROW()+3),$AU:$AU,0)),"")</f>
        <v/>
      </c>
      <c r="AK188" s="49" t="str">
        <f ca="1">IFERROR(INDEX(X:X,MATCH(SMALL($AU:$AU,ROW()+3),$AU:$AU,0)),"")</f>
        <v/>
      </c>
      <c r="AL188" s="49" t="str">
        <f ca="1">IFERROR(INDEX(Y:Y,MATCH(SMALL($AU:$AU,ROW()+3),$AU:$AU,0)),"")</f>
        <v/>
      </c>
      <c r="AM188" s="49" t="str">
        <f ca="1">IFERROR(INDEX(Z:Z,MATCH(SMALL($AU:$AU,ROW()+3),$AU:$AU,0)),"")</f>
        <v/>
      </c>
      <c r="AN188" s="49" t="str">
        <f ca="1">IFERROR(INDEX(AA:AA,MATCH(SMALL($AU:$AU,ROW()+3),$AU:$AU,0)),"")</f>
        <v/>
      </c>
      <c r="AO188" s="49" t="str">
        <f ca="1">IFERROR(INDEX(AB:AB,MATCH(SMALL($AU:$AU,ROW()+3),$AU:$AU,0)),"")</f>
        <v/>
      </c>
      <c r="AP188" s="49" t="str">
        <f ca="1">IFERROR(INDEX(AC:AC,MATCH(SMALL($AU:$AU,ROW()+3),$AU:$AU,0)),"")</f>
        <v/>
      </c>
      <c r="AU188" s="49" t="str">
        <f t="shared" ca="1" si="25"/>
        <v/>
      </c>
    </row>
    <row r="189" spans="1:47" ht="22.2" customHeight="1">
      <c r="A189" s="115">
        <f t="shared" si="32"/>
        <v>103</v>
      </c>
      <c r="B189" s="114" t="str">
        <f t="shared" ca="1" si="30"/>
        <v/>
      </c>
      <c r="C189" s="114" t="str">
        <f>IF(OR(クライアント抽出!D49&lt;&gt;"",クライアント抽出!G49&lt;&gt;""),クライアント抽出!A49,"")</f>
        <v/>
      </c>
      <c r="D189" s="114" t="str">
        <f t="array" aca="1" ref="D189" ca="1">IF(C189&lt;&gt;"",INDIRECT("クライアント抽出!"&amp;E189&amp;MATCH(C189,クライアント抽出!A:A,0)&amp;""),"")</f>
        <v/>
      </c>
      <c r="E189" s="114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17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114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116" t="str">
        <f>IF(C189&lt;&gt;"",
クライアント抽出!D49,"")</f>
        <v/>
      </c>
      <c r="I189" s="114" t="str">
        <f>IF(C189&lt;&gt;"",
IF(O189=1,0,クライアント抽出!F49),"")</f>
        <v/>
      </c>
      <c r="J189" s="114" t="str">
        <f>IF(C189&lt;&gt;"",
VLOOKUP(
"*"&amp;LEFT(IF(COUNTIF(D189,"*学食*"),"キャラ弁（学食）",
IF(COUNTIF(D189,"*赤*"),"赤",
IF(COUNTIF(D189,"*キャラ弁当*"),"キャラ弁当",D189))),4)&amp;"*",注文弁当の抽出!$E$1:$F$15,2,FALSE),"")</f>
        <v/>
      </c>
      <c r="K189" s="114" t="str">
        <f ca="1">IF(クライアント抽出!R49&lt;&gt;"",SUBSTITUTE(ADDRESS(1,(CODE(クライアント抽出!R49)-64)*2-1,4),"1",""),"")</f>
        <v/>
      </c>
      <c r="L189" s="114" t="str">
        <f>IF(C49&lt;&gt;"",クライアント抽出!I49,"")</f>
        <v/>
      </c>
      <c r="M189" s="114">
        <f t="array" aca="1" ref="M189" ca="1">IF(C189&lt;&gt;"",
IF(K189&lt;&gt;"",INDIRECT("'数出表_Excel（アレルギー入力）'!"&amp;K189&amp;L189-1&amp;""),),)</f>
        <v>0</v>
      </c>
      <c r="N189" s="114" t="str">
        <f>IF(C189&lt;&gt;"",IF(OR(COUNTIF('盛付札（関数）'!D189,"*赤*"),COUNTIF('盛付札（関数）'!D189,"*キャラ*")),1,
VLOOKUP("*"&amp;D189&amp;"*",商品マスタ一覧!D:H,5,FALSE)),"")</f>
        <v/>
      </c>
      <c r="O189" s="114">
        <f t="shared" ca="1" si="31"/>
        <v>0</v>
      </c>
      <c r="P189" s="114">
        <f t="shared" si="21"/>
        <v>0</v>
      </c>
      <c r="Q189" s="114" t="b">
        <f t="shared" si="22"/>
        <v>0</v>
      </c>
      <c r="R189" s="49" t="str">
        <f t="array" aca="1" ref="R189" ca="1">IFERROR(SMALL(IF(P$1:P$311&lt;&gt;0,P$1:P$311),ROW(A189)),"")</f>
        <v/>
      </c>
      <c r="S189" s="49" t="str">
        <f t="array" aca="1" ref="S189" ca="1">IF($R189&lt;&gt;"",
SUBSTITUTE(SUBSTITUTE(INDIRECT("C"&amp;$R189&amp;"")," 週3ｺｰｽ","")," 週5ｺｰｽ",""),"")</f>
        <v/>
      </c>
      <c r="T189" s="49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22" t="str">
        <f t="array" aca="1" ref="U189" ca="1">IF($R189&lt;&gt;"",
INDIRECT("F"&amp;$R189&amp;""),"")</f>
        <v/>
      </c>
      <c r="V189" s="49" t="str">
        <f t="array" aca="1" ref="V189" ca="1">IF($R189&lt;&gt;"",
INDIRECT("G"&amp;$R189&amp;""),"")</f>
        <v/>
      </c>
      <c r="W189" s="49" t="str">
        <f t="array" aca="1" ref="W189" ca="1">IF($R189&lt;&gt;"",
IF(AND(COUNTIF(INDIRECT("B"&amp;R189&amp;""),"*雙葉*"),COUNTIF(B:B,"*雙葉*")&gt;=2),
IF(OR(COUNTIF(INDIRECT("B"&amp;R189&amp;""),"*雙葉先生*"),COUNTIF($B$1:$B$70,"*雙葉*")&gt;=2),INDIRECT("H"&amp;R189&amp;""),INDIRECT("H"&amp;R189&amp;"")+INDIRECT("H"&amp;MATCH("雙葉'",INDIRECT("B"&amp;R189+3&amp;":B210"),0)+2+R189&amp;"")),
IF(AND(LEFT(INDIRECT("B"&amp;R189&amp;""),2)="博多",COUNTIF(B:B,"*博多*")&gt;=2),
INDIRECT("H"&amp;R189&amp;"")+INDIRECT("H"&amp;MATCH("*"&amp;INDIRECT("B"&amp;R189&amp;"")&amp;"*",INDIRECT("B"&amp;R189+1&amp;":B210"),0)+R189&amp;""),
IF(AND(LEFT(INDIRECT("B"&amp;R189&amp;""),3)="奈良屋",COUNTIF(B:B,"*奈良屋*")&gt;=2),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49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49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49" t="str">
        <f t="shared" ca="1" si="23"/>
        <v/>
      </c>
      <c r="AA189" s="49" t="str">
        <f t="shared" ca="1" si="24"/>
        <v/>
      </c>
      <c r="AB189" s="49" t="str">
        <f t="array" aca="1" ref="AB189" ca="1">IF($R189&lt;&gt;"",
IF(AND(COUNTIF(INDIRECT("B"&amp;R189&amp;""),"*雙葉*"),COUNTIF(B:B,"*雙葉*")&gt;=2),
INDIRECT("M"&amp;R189&amp;"")+INDIRECT("M"&amp;MATCH("雙葉'",INDIRECT("B"&amp;R189+1&amp;":B210"),0)+R189&amp;""),
IF(AND(LEFT(INDIRECT("B"&amp;R189&amp;""),2)="博多",COUNTIF(B:B,"*博多*")&gt;=2),
INDIRECT("M"&amp;R189&amp;"")+INDIRECT("M"&amp;MATCH("*"&amp;INDIRECT("B"&amp;R189&amp;"")&amp;"*",INDIRECT("B"&amp;R189+1&amp;":B210"),0)+R189&amp;""),
IF(AND(LEFT(INDIRECT("B"&amp;R189&amp;""),3)="奈良屋",COUNTIF(B:B,"*奈良屋*")&gt;=2),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  <c r="AC189" s="49" t="str">
        <f ca="1">IF(S189&lt;&gt;"",INDEX(A:A, MATCH("*"&amp;LEFT(S189,4)&amp;"*", C:C, 0)),"")</f>
        <v/>
      </c>
      <c r="AD189" s="49" t="str">
        <f ca="1">IFERROR(INDEX(AC:AC,MATCH(SMALL($AU:$AU,ROW()+3),$AU:$AU,0)),"")</f>
        <v/>
      </c>
      <c r="AE189" s="49" t="str">
        <f ca="1">IFERROR(INDEX(R:R,MATCH(SMALL($AU:$AU,ROW()+3),$AU:$AU,0)),"")</f>
        <v/>
      </c>
      <c r="AF189" s="49" t="str">
        <f ca="1">IFERROR(INDEX(S:S,MATCH(SMALL($AU:$AU,ROW()+3),$AU:$AU,0)),"")</f>
        <v/>
      </c>
      <c r="AG189" s="49" t="str">
        <f ca="1">IFERROR(INDEX(T:T,MATCH(SMALL($AU:$AU,ROW()+3),$AU:$AU,0)),"")</f>
        <v/>
      </c>
      <c r="AH189" s="122" t="str">
        <f ca="1">IFERROR(INDEX(U:U,MATCH(SMALL($AU:$AU,ROW()+3),$AU:$AU,0)),"")</f>
        <v/>
      </c>
      <c r="AI189" s="49" t="str">
        <f ca="1">IFERROR(INDEX(V:V,MATCH(SMALL($AU:$AU,ROW()+3),$AU:$AU,0)),"")</f>
        <v/>
      </c>
      <c r="AJ189" s="49" t="str">
        <f ca="1">IFERROR(INDEX(W:W,MATCH(SMALL($AU:$AU,ROW()+3),$AU:$AU,0)),"")</f>
        <v/>
      </c>
      <c r="AK189" s="49" t="str">
        <f ca="1">IFERROR(INDEX(X:X,MATCH(SMALL($AU:$AU,ROW()+3),$AU:$AU,0)),"")</f>
        <v/>
      </c>
      <c r="AL189" s="49" t="str">
        <f ca="1">IFERROR(INDEX(Y:Y,MATCH(SMALL($AU:$AU,ROW()+3),$AU:$AU,0)),"")</f>
        <v/>
      </c>
      <c r="AM189" s="49" t="str">
        <f ca="1">IFERROR(INDEX(Z:Z,MATCH(SMALL($AU:$AU,ROW()+3),$AU:$AU,0)),"")</f>
        <v/>
      </c>
      <c r="AN189" s="49" t="str">
        <f ca="1">IFERROR(INDEX(AA:AA,MATCH(SMALL($AU:$AU,ROW()+3),$AU:$AU,0)),"")</f>
        <v/>
      </c>
      <c r="AO189" s="49" t="str">
        <f ca="1">IFERROR(INDEX(AB:AB,MATCH(SMALL($AU:$AU,ROW()+3),$AU:$AU,0)),"")</f>
        <v/>
      </c>
      <c r="AP189" s="49" t="str">
        <f ca="1">IFERROR(INDEX(AC:AC,MATCH(SMALL($AU:$AU,ROW()+3),$AU:$AU,0)),"")</f>
        <v/>
      </c>
      <c r="AU189" s="49" t="str">
        <f t="shared" ca="1" si="25"/>
        <v/>
      </c>
    </row>
    <row r="190" spans="1:47" ht="22.2" customHeight="1">
      <c r="A190" s="115">
        <f t="shared" si="32"/>
        <v>105</v>
      </c>
      <c r="B190" s="114" t="str">
        <f t="shared" ca="1" si="30"/>
        <v/>
      </c>
      <c r="C190" s="114" t="str">
        <f>IF(OR(クライアント抽出!D50&lt;&gt;"",クライアント抽出!G50&lt;&gt;""),クライアント抽出!A50,"")</f>
        <v/>
      </c>
      <c r="D190" s="114" t="str">
        <f t="array" aca="1" ref="D190" ca="1">IF(C190&lt;&gt;"",INDIRECT("クライアント抽出!"&amp;E190&amp;MATCH(C190,クライアント抽出!A:A,0)&amp;""),"")</f>
        <v/>
      </c>
      <c r="E190" s="114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17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114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116" t="str">
        <f>IF(C190&lt;&gt;"",
クライアント抽出!D50,"")</f>
        <v/>
      </c>
      <c r="I190" s="114" t="str">
        <f>IF(C190&lt;&gt;"",
IF(O190=1,0,クライアント抽出!F50),"")</f>
        <v/>
      </c>
      <c r="J190" s="114" t="str">
        <f>IF(C190&lt;&gt;"",
VLOOKUP(
"*"&amp;LEFT(IF(COUNTIF(D190,"*学食*"),"キャラ弁（学食）",
IF(COUNTIF(D190,"*赤*"),"赤",
IF(COUNTIF(D190,"*キャラ弁当*"),"キャラ弁当",D190))),4)&amp;"*",注文弁当の抽出!$E$1:$F$15,2,FALSE),"")</f>
        <v/>
      </c>
      <c r="K190" s="114" t="str">
        <f ca="1">IF(クライアント抽出!R50&lt;&gt;"",SUBSTITUTE(ADDRESS(1,(CODE(クライアント抽出!R50)-64)*2-1,4),"1",""),"")</f>
        <v/>
      </c>
      <c r="L190" s="114" t="str">
        <f>IF(C50&lt;&gt;"",クライアント抽出!I50,"")</f>
        <v/>
      </c>
      <c r="M190" s="114">
        <f t="array" aca="1" ref="M190" ca="1">IF(C190&lt;&gt;"",
IF(K190&lt;&gt;"",INDIRECT("'数出表_Excel（アレルギー入力）'!"&amp;K190&amp;L190-1&amp;""),),)</f>
        <v>0</v>
      </c>
      <c r="N190" s="114" t="str">
        <f>IF(C190&lt;&gt;"",IF(OR(COUNTIF('盛付札（関数）'!D190,"*赤*"),COUNTIF('盛付札（関数）'!D190,"*キャラ*")),1,
VLOOKUP("*"&amp;D190&amp;"*",商品マスタ一覧!D:H,5,FALSE)),"")</f>
        <v/>
      </c>
      <c r="O190" s="114">
        <f t="shared" ca="1" si="31"/>
        <v>0</v>
      </c>
      <c r="P190" s="114">
        <f t="shared" si="21"/>
        <v>0</v>
      </c>
      <c r="Q190" s="114" t="b">
        <f t="shared" si="22"/>
        <v>0</v>
      </c>
      <c r="R190" s="49" t="str">
        <f t="array" aca="1" ref="R190" ca="1">IFERROR(SMALL(IF(P$1:P$311&lt;&gt;0,P$1:P$311),ROW(A190)),"")</f>
        <v/>
      </c>
      <c r="S190" s="49" t="str">
        <f t="array" aca="1" ref="S190" ca="1">IF($R190&lt;&gt;"",
SUBSTITUTE(SUBSTITUTE(INDIRECT("C"&amp;$R190&amp;"")," 週3ｺｰｽ","")," 週5ｺｰｽ",""),"")</f>
        <v/>
      </c>
      <c r="T190" s="49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22" t="str">
        <f t="array" aca="1" ref="U190" ca="1">IF($R190&lt;&gt;"",
INDIRECT("F"&amp;$R190&amp;""),"")</f>
        <v/>
      </c>
      <c r="V190" s="49" t="str">
        <f t="array" aca="1" ref="V190" ca="1">IF($R190&lt;&gt;"",
INDIRECT("G"&amp;$R190&amp;""),"")</f>
        <v/>
      </c>
      <c r="W190" s="49" t="str">
        <f t="array" aca="1" ref="W190" ca="1">IF($R190&lt;&gt;"",
IF(AND(COUNTIF(INDIRECT("B"&amp;R190&amp;""),"*雙葉*"),COUNTIF(B:B,"*雙葉*")&gt;=2),
IF(OR(COUNTIF(INDIRECT("B"&amp;R190&amp;""),"*雙葉先生*"),COUNTIF($B$1:$B$70,"*雙葉*")&gt;=2),INDIRECT("H"&amp;R190&amp;""),INDIRECT("H"&amp;R190&amp;"")+INDIRECT("H"&amp;MATCH("雙葉'",INDIRECT("B"&amp;R190+3&amp;":B210"),0)+2+R190&amp;"")),
IF(AND(LEFT(INDIRECT("B"&amp;R190&amp;""),2)="博多",COUNTIF(B:B,"*博多*")&gt;=2),
INDIRECT("H"&amp;R190&amp;"")+INDIRECT("H"&amp;MATCH("*"&amp;INDIRECT("B"&amp;R190&amp;"")&amp;"*",INDIRECT("B"&amp;R190+1&amp;":B210"),0)+R190&amp;""),
IF(AND(LEFT(INDIRECT("B"&amp;R190&amp;""),3)="奈良屋",COUNTIF(B:B,"*奈良屋*")&gt;=2),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49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49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49" t="str">
        <f t="shared" ca="1" si="23"/>
        <v/>
      </c>
      <c r="AA190" s="49" t="str">
        <f t="shared" ca="1" si="24"/>
        <v/>
      </c>
      <c r="AB190" s="49" t="str">
        <f t="array" aca="1" ref="AB190" ca="1">IF($R190&lt;&gt;"",
IF(AND(COUNTIF(INDIRECT("B"&amp;R190&amp;""),"*雙葉*"),COUNTIF(B:B,"*雙葉*")&gt;=2),
INDIRECT("M"&amp;R190&amp;"")+INDIRECT("M"&amp;MATCH("雙葉'",INDIRECT("B"&amp;R190+1&amp;":B210"),0)+R190&amp;""),
IF(AND(LEFT(INDIRECT("B"&amp;R190&amp;""),2)="博多",COUNTIF(B:B,"*博多*")&gt;=2),
INDIRECT("M"&amp;R190&amp;"")+INDIRECT("M"&amp;MATCH("*"&amp;INDIRECT("B"&amp;R190&amp;"")&amp;"*",INDIRECT("B"&amp;R190+1&amp;":B210"),0)+R190&amp;""),
IF(AND(LEFT(INDIRECT("B"&amp;R190&amp;""),3)="奈良屋",COUNTIF(B:B,"*奈良屋*")&gt;=2),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  <c r="AC190" s="49" t="str">
        <f ca="1">IF(S190&lt;&gt;"",INDEX(A:A, MATCH("*"&amp;LEFT(S190,4)&amp;"*", C:C, 0)),"")</f>
        <v/>
      </c>
      <c r="AD190" s="49" t="str">
        <f ca="1">IFERROR(INDEX(AC:AC,MATCH(SMALL($AU:$AU,ROW()+3),$AU:$AU,0)),"")</f>
        <v/>
      </c>
      <c r="AE190" s="49" t="str">
        <f ca="1">IFERROR(INDEX(R:R,MATCH(SMALL($AU:$AU,ROW()+3),$AU:$AU,0)),"")</f>
        <v/>
      </c>
      <c r="AF190" s="49" t="str">
        <f ca="1">IFERROR(INDEX(S:S,MATCH(SMALL($AU:$AU,ROW()+3),$AU:$AU,0)),"")</f>
        <v/>
      </c>
      <c r="AG190" s="49" t="str">
        <f ca="1">IFERROR(INDEX(T:T,MATCH(SMALL($AU:$AU,ROW()+3),$AU:$AU,0)),"")</f>
        <v/>
      </c>
      <c r="AH190" s="122" t="str">
        <f ca="1">IFERROR(INDEX(U:U,MATCH(SMALL($AU:$AU,ROW()+3),$AU:$AU,0)),"")</f>
        <v/>
      </c>
      <c r="AI190" s="49" t="str">
        <f ca="1">IFERROR(INDEX(V:V,MATCH(SMALL($AU:$AU,ROW()+3),$AU:$AU,0)),"")</f>
        <v/>
      </c>
      <c r="AJ190" s="49" t="str">
        <f ca="1">IFERROR(INDEX(W:W,MATCH(SMALL($AU:$AU,ROW()+3),$AU:$AU,0)),"")</f>
        <v/>
      </c>
      <c r="AK190" s="49" t="str">
        <f ca="1">IFERROR(INDEX(X:X,MATCH(SMALL($AU:$AU,ROW()+3),$AU:$AU,0)),"")</f>
        <v/>
      </c>
      <c r="AL190" s="49" t="str">
        <f ca="1">IFERROR(INDEX(Y:Y,MATCH(SMALL($AU:$AU,ROW()+3),$AU:$AU,0)),"")</f>
        <v/>
      </c>
      <c r="AM190" s="49" t="str">
        <f ca="1">IFERROR(INDEX(Z:Z,MATCH(SMALL($AU:$AU,ROW()+3),$AU:$AU,0)),"")</f>
        <v/>
      </c>
      <c r="AN190" s="49" t="str">
        <f ca="1">IFERROR(INDEX(AA:AA,MATCH(SMALL($AU:$AU,ROW()+3),$AU:$AU,0)),"")</f>
        <v/>
      </c>
      <c r="AO190" s="49" t="str">
        <f ca="1">IFERROR(INDEX(AB:AB,MATCH(SMALL($AU:$AU,ROW()+3),$AU:$AU,0)),"")</f>
        <v/>
      </c>
      <c r="AP190" s="49" t="str">
        <f ca="1">IFERROR(INDEX(AC:AC,MATCH(SMALL($AU:$AU,ROW()+3),$AU:$AU,0)),"")</f>
        <v/>
      </c>
      <c r="AU190" s="49" t="str">
        <f t="shared" ca="1" si="25"/>
        <v/>
      </c>
    </row>
    <row r="191" spans="1:47" ht="22.2" customHeight="1">
      <c r="A191" s="115">
        <f t="shared" si="32"/>
        <v>107</v>
      </c>
      <c r="B191" s="114" t="str">
        <f t="shared" ca="1" si="30"/>
        <v/>
      </c>
      <c r="C191" s="114" t="str">
        <f>IF(OR(クライアント抽出!D51&lt;&gt;"",クライアント抽出!G51&lt;&gt;""),クライアント抽出!A51,"")</f>
        <v/>
      </c>
      <c r="D191" s="114" t="str">
        <f t="array" aca="1" ref="D191" ca="1">IF(C191&lt;&gt;"",INDIRECT("クライアント抽出!"&amp;E191&amp;MATCH(C191,クライアント抽出!A:A,0)&amp;""),"")</f>
        <v/>
      </c>
      <c r="E191" s="114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17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114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116" t="str">
        <f>IF(C191&lt;&gt;"",
クライアント抽出!D51,"")</f>
        <v/>
      </c>
      <c r="I191" s="114" t="str">
        <f>IF(C191&lt;&gt;"",
IF(O191=1,0,クライアント抽出!F51),"")</f>
        <v/>
      </c>
      <c r="J191" s="114" t="str">
        <f>IF(C191&lt;&gt;"",
VLOOKUP(
"*"&amp;LEFT(IF(COUNTIF(D191,"*学食*"),"キャラ弁（学食）",
IF(COUNTIF(D191,"*赤*"),"赤",
IF(COUNTIF(D191,"*キャラ弁当*"),"キャラ弁当",D191))),4)&amp;"*",注文弁当の抽出!$E$1:$F$15,2,FALSE),"")</f>
        <v/>
      </c>
      <c r="K191" s="114" t="str">
        <f ca="1">IF(クライアント抽出!R51&lt;&gt;"",SUBSTITUTE(ADDRESS(1,(CODE(クライアント抽出!R51)-64)*2-1,4),"1",""),"")</f>
        <v/>
      </c>
      <c r="L191" s="114" t="str">
        <f>IF(C51&lt;&gt;"",クライアント抽出!I51,"")</f>
        <v/>
      </c>
      <c r="M191" s="114">
        <f t="array" aca="1" ref="M191" ca="1">IF(C191&lt;&gt;"",
IF(K191&lt;&gt;"",INDIRECT("'数出表_Excel（アレルギー入力）'!"&amp;K191&amp;L191-1&amp;""),),)</f>
        <v>0</v>
      </c>
      <c r="N191" s="114" t="str">
        <f>IF(C191&lt;&gt;"",IF(OR(COUNTIF('盛付札（関数）'!D191,"*赤*"),COUNTIF('盛付札（関数）'!D191,"*キャラ*")),1,
VLOOKUP("*"&amp;D191&amp;"*",商品マスタ一覧!D:H,5,FALSE)),"")</f>
        <v/>
      </c>
      <c r="O191" s="114">
        <f t="shared" ca="1" si="31"/>
        <v>0</v>
      </c>
      <c r="P191" s="114">
        <f t="shared" si="21"/>
        <v>0</v>
      </c>
      <c r="Q191" s="114" t="b">
        <f t="shared" si="22"/>
        <v>0</v>
      </c>
      <c r="R191" s="49" t="str">
        <f t="array" aca="1" ref="R191" ca="1">IFERROR(SMALL(IF(P$1:P$311&lt;&gt;0,P$1:P$311),ROW(A191)),"")</f>
        <v/>
      </c>
      <c r="S191" s="49" t="str">
        <f t="array" aca="1" ref="S191" ca="1">IF($R191&lt;&gt;"",
SUBSTITUTE(SUBSTITUTE(INDIRECT("C"&amp;$R191&amp;"")," 週3ｺｰｽ","")," 週5ｺｰｽ",""),"")</f>
        <v/>
      </c>
      <c r="T191" s="49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22" t="str">
        <f t="array" aca="1" ref="U191" ca="1">IF($R191&lt;&gt;"",
INDIRECT("F"&amp;$R191&amp;""),"")</f>
        <v/>
      </c>
      <c r="V191" s="49" t="str">
        <f t="array" aca="1" ref="V191" ca="1">IF($R191&lt;&gt;"",
INDIRECT("G"&amp;$R191&amp;""),"")</f>
        <v/>
      </c>
      <c r="W191" s="49" t="str">
        <f t="array" aca="1" ref="W191" ca="1">IF($R191&lt;&gt;"",
IF(AND(COUNTIF(INDIRECT("B"&amp;R191&amp;""),"*雙葉*"),COUNTIF(B:B,"*雙葉*")&gt;=2),
IF(OR(COUNTIF(INDIRECT("B"&amp;R191&amp;""),"*雙葉先生*"),COUNTIF($B$1:$B$70,"*雙葉*")&gt;=2),INDIRECT("H"&amp;R191&amp;""),INDIRECT("H"&amp;R191&amp;"")+INDIRECT("H"&amp;MATCH("雙葉'",INDIRECT("B"&amp;R191+3&amp;":B210"),0)+2+R191&amp;"")),
IF(AND(LEFT(INDIRECT("B"&amp;R191&amp;""),2)="博多",COUNTIF(B:B,"*博多*")&gt;=2),
INDIRECT("H"&amp;R191&amp;"")+INDIRECT("H"&amp;MATCH("*"&amp;INDIRECT("B"&amp;R191&amp;"")&amp;"*",INDIRECT("B"&amp;R191+1&amp;":B210"),0)+R191&amp;""),
IF(AND(LEFT(INDIRECT("B"&amp;R191&amp;""),3)="奈良屋",COUNTIF(B:B,"*奈良屋*")&gt;=2),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49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49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49" t="str">
        <f t="shared" ca="1" si="23"/>
        <v/>
      </c>
      <c r="AA191" s="49" t="str">
        <f t="shared" ca="1" si="24"/>
        <v/>
      </c>
      <c r="AB191" s="49" t="str">
        <f t="array" aca="1" ref="AB191" ca="1">IF($R191&lt;&gt;"",
IF(AND(COUNTIF(INDIRECT("B"&amp;R191&amp;""),"*雙葉*"),COUNTIF(B:B,"*雙葉*")&gt;=2),
INDIRECT("M"&amp;R191&amp;"")+INDIRECT("M"&amp;MATCH("雙葉'",INDIRECT("B"&amp;R191+1&amp;":B210"),0)+R191&amp;""),
IF(AND(LEFT(INDIRECT("B"&amp;R191&amp;""),2)="博多",COUNTIF(B:B,"*博多*")&gt;=2),
INDIRECT("M"&amp;R191&amp;"")+INDIRECT("M"&amp;MATCH("*"&amp;INDIRECT("B"&amp;R191&amp;"")&amp;"*",INDIRECT("B"&amp;R191+1&amp;":B210"),0)+R191&amp;""),
IF(AND(LEFT(INDIRECT("B"&amp;R191&amp;""),3)="奈良屋",COUNTIF(B:B,"*奈良屋*")&gt;=2),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  <c r="AC191" s="49" t="str">
        <f ca="1">IF(S191&lt;&gt;"",INDEX(A:A, MATCH("*"&amp;LEFT(S191,4)&amp;"*", C:C, 0)),"")</f>
        <v/>
      </c>
      <c r="AD191" s="49" t="str">
        <f ca="1">IFERROR(INDEX(AC:AC,MATCH(SMALL($AU:$AU,ROW()+3),$AU:$AU,0)),"")</f>
        <v/>
      </c>
      <c r="AE191" s="49" t="str">
        <f ca="1">IFERROR(INDEX(R:R,MATCH(SMALL($AU:$AU,ROW()+3),$AU:$AU,0)),"")</f>
        <v/>
      </c>
      <c r="AF191" s="49" t="str">
        <f ca="1">IFERROR(INDEX(S:S,MATCH(SMALL($AU:$AU,ROW()+3),$AU:$AU,0)),"")</f>
        <v/>
      </c>
      <c r="AG191" s="49" t="str">
        <f ca="1">IFERROR(INDEX(T:T,MATCH(SMALL($AU:$AU,ROW()+3),$AU:$AU,0)),"")</f>
        <v/>
      </c>
      <c r="AH191" s="122" t="str">
        <f ca="1">IFERROR(INDEX(U:U,MATCH(SMALL($AU:$AU,ROW()+3),$AU:$AU,0)),"")</f>
        <v/>
      </c>
      <c r="AI191" s="49" t="str">
        <f ca="1">IFERROR(INDEX(V:V,MATCH(SMALL($AU:$AU,ROW()+3),$AU:$AU,0)),"")</f>
        <v/>
      </c>
      <c r="AJ191" s="49" t="str">
        <f ca="1">IFERROR(INDEX(W:W,MATCH(SMALL($AU:$AU,ROW()+3),$AU:$AU,0)),"")</f>
        <v/>
      </c>
      <c r="AK191" s="49" t="str">
        <f ca="1">IFERROR(INDEX(X:X,MATCH(SMALL($AU:$AU,ROW()+3),$AU:$AU,0)),"")</f>
        <v/>
      </c>
      <c r="AL191" s="49" t="str">
        <f ca="1">IFERROR(INDEX(Y:Y,MATCH(SMALL($AU:$AU,ROW()+3),$AU:$AU,0)),"")</f>
        <v/>
      </c>
      <c r="AM191" s="49" t="str">
        <f ca="1">IFERROR(INDEX(Z:Z,MATCH(SMALL($AU:$AU,ROW()+3),$AU:$AU,0)),"")</f>
        <v/>
      </c>
      <c r="AN191" s="49" t="str">
        <f ca="1">IFERROR(INDEX(AA:AA,MATCH(SMALL($AU:$AU,ROW()+3),$AU:$AU,0)),"")</f>
        <v/>
      </c>
      <c r="AO191" s="49" t="str">
        <f ca="1">IFERROR(INDEX(AB:AB,MATCH(SMALL($AU:$AU,ROW()+3),$AU:$AU,0)),"")</f>
        <v/>
      </c>
      <c r="AP191" s="49" t="str">
        <f ca="1">IFERROR(INDEX(AC:AC,MATCH(SMALL($AU:$AU,ROW()+3),$AU:$AU,0)),"")</f>
        <v/>
      </c>
      <c r="AU191" s="49" t="str">
        <f t="shared" ca="1" si="25"/>
        <v/>
      </c>
    </row>
    <row r="192" spans="1:47" ht="22.2" customHeight="1">
      <c r="A192" s="115">
        <f t="shared" si="32"/>
        <v>109</v>
      </c>
      <c r="B192" s="114" t="str">
        <f t="shared" ca="1" si="30"/>
        <v/>
      </c>
      <c r="C192" s="114" t="str">
        <f>IF(OR(クライアント抽出!D52&lt;&gt;"",クライアント抽出!G52&lt;&gt;""),クライアント抽出!A52,"")</f>
        <v/>
      </c>
      <c r="D192" s="114" t="str">
        <f t="array" aca="1" ref="D192" ca="1">IF(C192&lt;&gt;"",INDIRECT("クライアント抽出!"&amp;E192&amp;MATCH(C192,クライアント抽出!A:A,0)&amp;""),"")</f>
        <v/>
      </c>
      <c r="E192" s="114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17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114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116" t="str">
        <f>IF(C192&lt;&gt;"",
クライアント抽出!D52,"")</f>
        <v/>
      </c>
      <c r="I192" s="114" t="str">
        <f>IF(C192&lt;&gt;"",
IF(O192=1,0,クライアント抽出!F52),"")</f>
        <v/>
      </c>
      <c r="J192" s="114" t="str">
        <f>IF(C192&lt;&gt;"",
VLOOKUP(
"*"&amp;LEFT(IF(COUNTIF(D192,"*学食*"),"キャラ弁（学食）",
IF(COUNTIF(D192,"*赤*"),"赤",
IF(COUNTIF(D192,"*キャラ弁当*"),"キャラ弁当",D192))),4)&amp;"*",注文弁当の抽出!$E$1:$F$15,2,FALSE),"")</f>
        <v/>
      </c>
      <c r="K192" s="114" t="str">
        <f ca="1">IF(クライアント抽出!R52&lt;&gt;"",SUBSTITUTE(ADDRESS(1,(CODE(クライアント抽出!R52)-64)*2-1,4),"1",""),"")</f>
        <v/>
      </c>
      <c r="L192" s="114" t="str">
        <f>IF(C52&lt;&gt;"",クライアント抽出!I52,"")</f>
        <v/>
      </c>
      <c r="M192" s="114">
        <f t="array" aca="1" ref="M192" ca="1">IF(C192&lt;&gt;"",
IF(K192&lt;&gt;"",INDIRECT("'数出表_Excel（アレルギー入力）'!"&amp;K192&amp;L192-1&amp;""),),)</f>
        <v>0</v>
      </c>
      <c r="N192" s="114" t="str">
        <f>IF(C192&lt;&gt;"",IF(OR(COUNTIF('盛付札（関数）'!D192,"*赤*"),COUNTIF('盛付札（関数）'!D192,"*キャラ*")),1,
VLOOKUP("*"&amp;D192&amp;"*",商品マスタ一覧!D:H,5,FALSE)),"")</f>
        <v/>
      </c>
      <c r="O192" s="114">
        <f t="shared" ca="1" si="31"/>
        <v>0</v>
      </c>
      <c r="P192" s="114">
        <f t="shared" si="21"/>
        <v>0</v>
      </c>
      <c r="Q192" s="114" t="b">
        <f t="shared" si="22"/>
        <v>0</v>
      </c>
      <c r="R192" s="49" t="str">
        <f t="array" aca="1" ref="R192" ca="1">IFERROR(SMALL(IF(P$1:P$311&lt;&gt;0,P$1:P$311),ROW(A192)),"")</f>
        <v/>
      </c>
      <c r="S192" s="49" t="str">
        <f t="array" aca="1" ref="S192" ca="1">IF($R192&lt;&gt;"",
SUBSTITUTE(SUBSTITUTE(INDIRECT("C"&amp;$R192&amp;"")," 週3ｺｰｽ","")," 週5ｺｰｽ",""),"")</f>
        <v/>
      </c>
      <c r="T192" s="49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22" t="str">
        <f t="array" aca="1" ref="U192" ca="1">IF($R192&lt;&gt;"",
INDIRECT("F"&amp;$R192&amp;""),"")</f>
        <v/>
      </c>
      <c r="V192" s="49" t="str">
        <f t="array" aca="1" ref="V192" ca="1">IF($R192&lt;&gt;"",
INDIRECT("G"&amp;$R192&amp;""),"")</f>
        <v/>
      </c>
      <c r="W192" s="49" t="str">
        <f t="array" aca="1" ref="W192" ca="1">IF($R192&lt;&gt;"",
IF(AND(COUNTIF(INDIRECT("B"&amp;R192&amp;""),"*雙葉*"),COUNTIF(B:B,"*雙葉*")&gt;=2),
IF(OR(COUNTIF(INDIRECT("B"&amp;R192&amp;""),"*雙葉先生*"),COUNTIF($B$1:$B$70,"*雙葉*")&gt;=2),INDIRECT("H"&amp;R192&amp;""),INDIRECT("H"&amp;R192&amp;"")+INDIRECT("H"&amp;MATCH("雙葉'",INDIRECT("B"&amp;R192+3&amp;":B210"),0)+2+R192&amp;"")),
IF(AND(LEFT(INDIRECT("B"&amp;R192&amp;""),2)="博多",COUNTIF(B:B,"*博多*")&gt;=2),
INDIRECT("H"&amp;R192&amp;"")+INDIRECT("H"&amp;MATCH("*"&amp;INDIRECT("B"&amp;R192&amp;"")&amp;"*",INDIRECT("B"&amp;R192+1&amp;":B210"),0)+R192&amp;""),
IF(AND(LEFT(INDIRECT("B"&amp;R192&amp;""),3)="奈良屋",COUNTIF(B:B,"*奈良屋*")&gt;=2),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49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49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49" t="str">
        <f t="shared" ca="1" si="23"/>
        <v/>
      </c>
      <c r="AA192" s="49" t="str">
        <f t="shared" ca="1" si="24"/>
        <v/>
      </c>
      <c r="AB192" s="49" t="str">
        <f t="array" aca="1" ref="AB192" ca="1">IF($R192&lt;&gt;"",
IF(AND(COUNTIF(INDIRECT("B"&amp;R192&amp;""),"*雙葉*"),COUNTIF(B:B,"*雙葉*")&gt;=2),
INDIRECT("M"&amp;R192&amp;"")+INDIRECT("M"&amp;MATCH("雙葉'",INDIRECT("B"&amp;R192+1&amp;":B210"),0)+R192&amp;""),
IF(AND(LEFT(INDIRECT("B"&amp;R192&amp;""),2)="博多",COUNTIF(B:B,"*博多*")&gt;=2),
INDIRECT("M"&amp;R192&amp;"")+INDIRECT("M"&amp;MATCH("*"&amp;INDIRECT("B"&amp;R192&amp;"")&amp;"*",INDIRECT("B"&amp;R192+1&amp;":B210"),0)+R192&amp;""),
IF(AND(LEFT(INDIRECT("B"&amp;R192&amp;""),3)="奈良屋",COUNTIF(B:B,"*奈良屋*")&gt;=2),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  <c r="AC192" s="49" t="str">
        <f ca="1">IF(S192&lt;&gt;"",INDEX(A:A, MATCH("*"&amp;LEFT(S192,4)&amp;"*", C:C, 0)),"")</f>
        <v/>
      </c>
      <c r="AD192" s="49" t="str">
        <f ca="1">IFERROR(INDEX(AC:AC,MATCH(SMALL($AU:$AU,ROW()+3),$AU:$AU,0)),"")</f>
        <v/>
      </c>
      <c r="AE192" s="49" t="str">
        <f ca="1">IFERROR(INDEX(R:R,MATCH(SMALL($AU:$AU,ROW()+3),$AU:$AU,0)),"")</f>
        <v/>
      </c>
      <c r="AF192" s="49" t="str">
        <f ca="1">IFERROR(INDEX(S:S,MATCH(SMALL($AU:$AU,ROW()+3),$AU:$AU,0)),"")</f>
        <v/>
      </c>
      <c r="AG192" s="49" t="str">
        <f ca="1">IFERROR(INDEX(T:T,MATCH(SMALL($AU:$AU,ROW()+3),$AU:$AU,0)),"")</f>
        <v/>
      </c>
      <c r="AH192" s="122" t="str">
        <f ca="1">IFERROR(INDEX(U:U,MATCH(SMALL($AU:$AU,ROW()+3),$AU:$AU,0)),"")</f>
        <v/>
      </c>
      <c r="AI192" s="49" t="str">
        <f ca="1">IFERROR(INDEX(V:V,MATCH(SMALL($AU:$AU,ROW()+3),$AU:$AU,0)),"")</f>
        <v/>
      </c>
      <c r="AJ192" s="49" t="str">
        <f ca="1">IFERROR(INDEX(W:W,MATCH(SMALL($AU:$AU,ROW()+3),$AU:$AU,0)),"")</f>
        <v/>
      </c>
      <c r="AK192" s="49" t="str">
        <f ca="1">IFERROR(INDEX(X:X,MATCH(SMALL($AU:$AU,ROW()+3),$AU:$AU,0)),"")</f>
        <v/>
      </c>
      <c r="AL192" s="49" t="str">
        <f ca="1">IFERROR(INDEX(Y:Y,MATCH(SMALL($AU:$AU,ROW()+3),$AU:$AU,0)),"")</f>
        <v/>
      </c>
      <c r="AM192" s="49" t="str">
        <f ca="1">IFERROR(INDEX(Z:Z,MATCH(SMALL($AU:$AU,ROW()+3),$AU:$AU,0)),"")</f>
        <v/>
      </c>
      <c r="AN192" s="49" t="str">
        <f ca="1">IFERROR(INDEX(AA:AA,MATCH(SMALL($AU:$AU,ROW()+3),$AU:$AU,0)),"")</f>
        <v/>
      </c>
      <c r="AO192" s="49" t="str">
        <f ca="1">IFERROR(INDEX(AB:AB,MATCH(SMALL($AU:$AU,ROW()+3),$AU:$AU,0)),"")</f>
        <v/>
      </c>
      <c r="AP192" s="49" t="str">
        <f ca="1">IFERROR(INDEX(AC:AC,MATCH(SMALL($AU:$AU,ROW()+3),$AU:$AU,0)),"")</f>
        <v/>
      </c>
      <c r="AU192" s="49" t="str">
        <f t="shared" ca="1" si="25"/>
        <v/>
      </c>
    </row>
    <row r="193" spans="1:47" ht="22.2" customHeight="1">
      <c r="A193" s="115">
        <f t="shared" si="32"/>
        <v>111</v>
      </c>
      <c r="B193" s="114" t="str">
        <f t="shared" ca="1" si="30"/>
        <v/>
      </c>
      <c r="C193" s="114" t="str">
        <f>IF(OR(クライアント抽出!D53&lt;&gt;"",クライアント抽出!G53&lt;&gt;""),クライアント抽出!A53,"")</f>
        <v/>
      </c>
      <c r="D193" s="114" t="str">
        <f t="array" aca="1" ref="D193" ca="1">IF(C193&lt;&gt;"",INDIRECT("クライアント抽出!"&amp;E193&amp;MATCH(C193,クライアント抽出!A:A,0)&amp;""),"")</f>
        <v/>
      </c>
      <c r="E193" s="114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17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114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116" t="str">
        <f>IF(C193&lt;&gt;"",
クライアント抽出!D53,"")</f>
        <v/>
      </c>
      <c r="I193" s="114" t="str">
        <f>IF(C193&lt;&gt;"",
IF(O193=1,0,クライアント抽出!F53),"")</f>
        <v/>
      </c>
      <c r="J193" s="114" t="str">
        <f>IF(C193&lt;&gt;"",
VLOOKUP(
"*"&amp;LEFT(IF(COUNTIF(D193,"*学食*"),"キャラ弁（学食）",
IF(COUNTIF(D193,"*赤*"),"赤",
IF(COUNTIF(D193,"*キャラ弁当*"),"キャラ弁当",D193))),4)&amp;"*",注文弁当の抽出!$E$1:$F$15,2,FALSE),"")</f>
        <v/>
      </c>
      <c r="K193" s="114" t="str">
        <f ca="1">IF(クライアント抽出!R53&lt;&gt;"",SUBSTITUTE(ADDRESS(1,(CODE(クライアント抽出!R53)-64)*2-1,4),"1",""),"")</f>
        <v/>
      </c>
      <c r="L193" s="114" t="str">
        <f>IF(C53&lt;&gt;"",クライアント抽出!I53,"")</f>
        <v/>
      </c>
      <c r="M193" s="114">
        <f t="array" aca="1" ref="M193" ca="1">IF(C193&lt;&gt;"",
IF(K193&lt;&gt;"",INDIRECT("'数出表_Excel（アレルギー入力）'!"&amp;K193&amp;L193-1&amp;""),),)</f>
        <v>0</v>
      </c>
      <c r="N193" s="114" t="str">
        <f>IF(C193&lt;&gt;"",IF(OR(COUNTIF('盛付札（関数）'!D193,"*赤*"),COUNTIF('盛付札（関数）'!D193,"*キャラ*")),1,
VLOOKUP("*"&amp;D193&amp;"*",商品マスタ一覧!D:H,5,FALSE)),"")</f>
        <v/>
      </c>
      <c r="O193" s="114">
        <f t="shared" ca="1" si="31"/>
        <v>0</v>
      </c>
      <c r="P193" s="114">
        <f t="shared" ref="P193:P210" si="33">IF(COUNTIF(Q193,"TRUE"),
IF(OR(COUNTIF(B193,"*'*"),H193=0),0,ROW()),0)</f>
        <v>0</v>
      </c>
      <c r="Q193" s="114" t="b">
        <f t="shared" ref="Q193:Q210" si="34">IF(C193&lt;&gt;"",
IF(OR(N193=1,COUNTIF(D193,"*朝食*"),COUNTIF(D193,"*夕食*")),TRUE,FALSE),FALSE)</f>
        <v>0</v>
      </c>
      <c r="R193" s="49" t="str">
        <f t="array" aca="1" ref="R193" ca="1">IFERROR(SMALL(IF(P$1:P$311&lt;&gt;0,P$1:P$311),ROW(A193)),"")</f>
        <v/>
      </c>
      <c r="S193" s="49" t="str">
        <f t="array" aca="1" ref="S193" ca="1">IF($R193&lt;&gt;"",
SUBSTITUTE(SUBSTITUTE(INDIRECT("C"&amp;$R193&amp;"")," 週3ｺｰｽ","")," 週5ｺｰｽ",""),"")</f>
        <v/>
      </c>
      <c r="T193" s="49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22" t="str">
        <f t="array" aca="1" ref="U193" ca="1">IF($R193&lt;&gt;"",
INDIRECT("F"&amp;$R193&amp;""),"")</f>
        <v/>
      </c>
      <c r="V193" s="49" t="str">
        <f t="array" aca="1" ref="V193" ca="1">IF($R193&lt;&gt;"",
INDIRECT("G"&amp;$R193&amp;""),"")</f>
        <v/>
      </c>
      <c r="W193" s="49" t="str">
        <f t="array" aca="1" ref="W193" ca="1">IF($R193&lt;&gt;"",
IF(AND(COUNTIF(INDIRECT("B"&amp;R193&amp;""),"*雙葉*"),COUNTIF(B:B,"*雙葉*")&gt;=2),
IF(OR(COUNTIF(INDIRECT("B"&amp;R193&amp;""),"*雙葉先生*"),COUNTIF($B$1:$B$70,"*雙葉*")&gt;=2),INDIRECT("H"&amp;R193&amp;""),INDIRECT("H"&amp;R193&amp;"")+INDIRECT("H"&amp;MATCH("雙葉'",INDIRECT("B"&amp;R193+3&amp;":B210"),0)+2+R193&amp;"")),
IF(AND(LEFT(INDIRECT("B"&amp;R193&amp;""),2)="博多",COUNTIF(B:B,"*博多*")&gt;=2),
INDIRECT("H"&amp;R193&amp;"")+INDIRECT("H"&amp;MATCH("*"&amp;INDIRECT("B"&amp;R193&amp;"")&amp;"*",INDIRECT("B"&amp;R193+1&amp;":B210"),0)+R193&amp;""),
IF(AND(LEFT(INDIRECT("B"&amp;R193&amp;""),3)="奈良屋",COUNTIF(B:B,"*奈良屋*")&gt;=2),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49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49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49" t="str">
        <f t="shared" ref="Z193:Z254" ca="1" si="35">IF(R193&lt;&gt;"",
IFERROR(INT(W193/Y193),""),"")</f>
        <v/>
      </c>
      <c r="AA193" s="49" t="str">
        <f t="shared" ref="AA193:AA254" ca="1" si="36">IFERROR(MOD(W193,Y193),"")</f>
        <v/>
      </c>
      <c r="AB193" s="49" t="str">
        <f t="array" aca="1" ref="AB193" ca="1">IF($R193&lt;&gt;"",
IF(AND(COUNTIF(INDIRECT("B"&amp;R193&amp;""),"*雙葉*"),COUNTIF(B:B,"*雙葉*")&gt;=2),
INDIRECT("M"&amp;R193&amp;"")+INDIRECT("M"&amp;MATCH("雙葉'",INDIRECT("B"&amp;R193+1&amp;":B210"),0)+R193&amp;""),
IF(AND(LEFT(INDIRECT("B"&amp;R193&amp;""),2)="博多",COUNTIF(B:B,"*博多*")&gt;=2),
INDIRECT("M"&amp;R193&amp;"")+INDIRECT("M"&amp;MATCH("*"&amp;INDIRECT("B"&amp;R193&amp;"")&amp;"*",INDIRECT("B"&amp;R193+1&amp;":B210"),0)+R193&amp;""),
IF(AND(LEFT(INDIRECT("B"&amp;R193&amp;""),3)="奈良屋",COUNTIF(B:B,"*奈良屋*")&gt;=2),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  <c r="AC193" s="49" t="str">
        <f ca="1">IF(S193&lt;&gt;"",INDEX(A:A, MATCH("*"&amp;LEFT(S193,4)&amp;"*", C:C, 0)),"")</f>
        <v/>
      </c>
      <c r="AD193" s="49" t="str">
        <f ca="1">IFERROR(INDEX(AC:AC,MATCH(SMALL($AU:$AU,ROW()+3),$AU:$AU,0)),"")</f>
        <v/>
      </c>
      <c r="AE193" s="49" t="str">
        <f ca="1">IFERROR(INDEX(R:R,MATCH(SMALL($AU:$AU,ROW()+3),$AU:$AU,0)),"")</f>
        <v/>
      </c>
      <c r="AF193" s="49" t="str">
        <f ca="1">IFERROR(INDEX(S:S,MATCH(SMALL($AU:$AU,ROW()+3),$AU:$AU,0)),"")</f>
        <v/>
      </c>
      <c r="AG193" s="49" t="str">
        <f ca="1">IFERROR(INDEX(T:T,MATCH(SMALL($AU:$AU,ROW()+3),$AU:$AU,0)),"")</f>
        <v/>
      </c>
      <c r="AH193" s="122" t="str">
        <f ca="1">IFERROR(INDEX(U:U,MATCH(SMALL($AU:$AU,ROW()+3),$AU:$AU,0)),"")</f>
        <v/>
      </c>
      <c r="AI193" s="49" t="str">
        <f ca="1">IFERROR(INDEX(V:V,MATCH(SMALL($AU:$AU,ROW()+3),$AU:$AU,0)),"")</f>
        <v/>
      </c>
      <c r="AJ193" s="49" t="str">
        <f ca="1">IFERROR(INDEX(W:W,MATCH(SMALL($AU:$AU,ROW()+3),$AU:$AU,0)),"")</f>
        <v/>
      </c>
      <c r="AK193" s="49" t="str">
        <f ca="1">IFERROR(INDEX(X:X,MATCH(SMALL($AU:$AU,ROW()+3),$AU:$AU,0)),"")</f>
        <v/>
      </c>
      <c r="AL193" s="49" t="str">
        <f ca="1">IFERROR(INDEX(Y:Y,MATCH(SMALL($AU:$AU,ROW()+3),$AU:$AU,0)),"")</f>
        <v/>
      </c>
      <c r="AM193" s="49" t="str">
        <f ca="1">IFERROR(INDEX(Z:Z,MATCH(SMALL($AU:$AU,ROW()+3),$AU:$AU,0)),"")</f>
        <v/>
      </c>
      <c r="AN193" s="49" t="str">
        <f ca="1">IFERROR(INDEX(AA:AA,MATCH(SMALL($AU:$AU,ROW()+3),$AU:$AU,0)),"")</f>
        <v/>
      </c>
      <c r="AO193" s="49" t="str">
        <f ca="1">IFERROR(INDEX(AB:AB,MATCH(SMALL($AU:$AU,ROW()+3),$AU:$AU,0)),"")</f>
        <v/>
      </c>
      <c r="AP193" s="49" t="str">
        <f ca="1">IFERROR(INDEX(AC:AC,MATCH(SMALL($AU:$AU,ROW()+3),$AU:$AU,0)),"")</f>
        <v/>
      </c>
      <c r="AU193" s="49" t="str">
        <f t="shared" ca="1" si="25"/>
        <v/>
      </c>
    </row>
    <row r="194" spans="1:47" ht="22.2" customHeight="1">
      <c r="A194" s="115">
        <f t="shared" si="32"/>
        <v>113</v>
      </c>
      <c r="B194" s="114" t="str">
        <f t="shared" ca="1" si="30"/>
        <v/>
      </c>
      <c r="C194" s="114" t="str">
        <f>IF(OR(クライアント抽出!D54&lt;&gt;"",クライアント抽出!G54&lt;&gt;""),クライアント抽出!A54,"")</f>
        <v/>
      </c>
      <c r="D194" s="114" t="str">
        <f t="array" aca="1" ref="D194" ca="1">IF(C194&lt;&gt;"",INDIRECT("クライアント抽出!"&amp;E194&amp;MATCH(C194,クライアント抽出!A:A,0)&amp;""),"")</f>
        <v/>
      </c>
      <c r="E194" s="114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17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114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116" t="str">
        <f>IF(C194&lt;&gt;"",
クライアント抽出!D54,"")</f>
        <v/>
      </c>
      <c r="I194" s="114" t="str">
        <f>IF(C194&lt;&gt;"",
IF(O194=1,0,クライアント抽出!F54),"")</f>
        <v/>
      </c>
      <c r="J194" s="114" t="str">
        <f>IF(C194&lt;&gt;"",
VLOOKUP(
"*"&amp;LEFT(IF(COUNTIF(D194,"*学食*"),"キャラ弁（学食）",
IF(COUNTIF(D194,"*赤*"),"赤",
IF(COUNTIF(D194,"*キャラ弁当*"),"キャラ弁当",D194))),4)&amp;"*",注文弁当の抽出!$E$1:$F$15,2,FALSE),"")</f>
        <v/>
      </c>
      <c r="K194" s="114" t="str">
        <f ca="1">IF(クライアント抽出!R54&lt;&gt;"",SUBSTITUTE(ADDRESS(1,(CODE(クライアント抽出!R54)-64)*2-1,4),"1",""),"")</f>
        <v/>
      </c>
      <c r="L194" s="114" t="str">
        <f>IF(C54&lt;&gt;"",クライアント抽出!I54,"")</f>
        <v/>
      </c>
      <c r="M194" s="114">
        <f t="array" aca="1" ref="M194" ca="1">IF(C194&lt;&gt;"",
IF(K194&lt;&gt;"",INDIRECT("'数出表_Excel（アレルギー入力）'!"&amp;K194&amp;L194-1&amp;""),),)</f>
        <v>0</v>
      </c>
      <c r="N194" s="114" t="str">
        <f>IF(C194&lt;&gt;"",IF(OR(COUNTIF('盛付札（関数）'!D194,"*赤*"),COUNTIF('盛付札（関数）'!D194,"*キャラ*")),1,
VLOOKUP("*"&amp;D194&amp;"*",商品マスタ一覧!D:H,5,FALSE)),"")</f>
        <v/>
      </c>
      <c r="O194" s="114">
        <f t="shared" ca="1" si="31"/>
        <v>0</v>
      </c>
      <c r="P194" s="114">
        <f t="shared" si="33"/>
        <v>0</v>
      </c>
      <c r="Q194" s="114" t="b">
        <f t="shared" si="34"/>
        <v>0</v>
      </c>
      <c r="R194" s="49" t="str">
        <f t="array" aca="1" ref="R194" ca="1">IFERROR(SMALL(IF(P$1:P$311&lt;&gt;0,P$1:P$311),ROW(A194)),"")</f>
        <v/>
      </c>
      <c r="S194" s="49" t="str">
        <f t="array" aca="1" ref="S194" ca="1">IF($R194&lt;&gt;"",
SUBSTITUTE(SUBSTITUTE(INDIRECT("C"&amp;$R194&amp;"")," 週3ｺｰｽ","")," 週5ｺｰｽ",""),"")</f>
        <v/>
      </c>
      <c r="T194" s="49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22" t="str">
        <f t="array" aca="1" ref="U194" ca="1">IF($R194&lt;&gt;"",
INDIRECT("F"&amp;$R194&amp;""),"")</f>
        <v/>
      </c>
      <c r="V194" s="49" t="str">
        <f t="array" aca="1" ref="V194" ca="1">IF($R194&lt;&gt;"",
INDIRECT("G"&amp;$R194&amp;""),"")</f>
        <v/>
      </c>
      <c r="W194" s="49" t="str">
        <f t="array" aca="1" ref="W194" ca="1">IF($R194&lt;&gt;"",
IF(AND(COUNTIF(INDIRECT("B"&amp;R194&amp;""),"*雙葉*"),COUNTIF(B:B,"*雙葉*")&gt;=2),
IF(OR(COUNTIF(INDIRECT("B"&amp;R194&amp;""),"*雙葉先生*"),COUNTIF($B$1:$B$70,"*雙葉*")&gt;=2),INDIRECT("H"&amp;R194&amp;""),INDIRECT("H"&amp;R194&amp;"")+INDIRECT("H"&amp;MATCH("雙葉'",INDIRECT("B"&amp;R194+3&amp;":B210"),0)+2+R194&amp;"")),
IF(AND(LEFT(INDIRECT("B"&amp;R194&amp;""),2)="博多",COUNTIF(B:B,"*博多*")&gt;=2),
INDIRECT("H"&amp;R194&amp;"")+INDIRECT("H"&amp;MATCH("*"&amp;INDIRECT("B"&amp;R194&amp;"")&amp;"*",INDIRECT("B"&amp;R194+1&amp;":B210"),0)+R194&amp;""),
IF(AND(LEFT(INDIRECT("B"&amp;R194&amp;""),3)="奈良屋",COUNTIF(B:B,"*奈良屋*")&gt;=2),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49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49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49" t="str">
        <f t="shared" ca="1" si="35"/>
        <v/>
      </c>
      <c r="AA194" s="49" t="str">
        <f t="shared" ca="1" si="36"/>
        <v/>
      </c>
      <c r="AB194" s="49" t="str">
        <f t="array" aca="1" ref="AB194" ca="1">IF($R194&lt;&gt;"",
IF(AND(COUNTIF(INDIRECT("B"&amp;R194&amp;""),"*雙葉*"),COUNTIF(B:B,"*雙葉*")&gt;=2),
INDIRECT("M"&amp;R194&amp;"")+INDIRECT("M"&amp;MATCH("雙葉'",INDIRECT("B"&amp;R194+1&amp;":B210"),0)+R194&amp;""),
IF(AND(LEFT(INDIRECT("B"&amp;R194&amp;""),2)="博多",COUNTIF(B:B,"*博多*")&gt;=2),
INDIRECT("M"&amp;R194&amp;"")+INDIRECT("M"&amp;MATCH("*"&amp;INDIRECT("B"&amp;R194&amp;"")&amp;"*",INDIRECT("B"&amp;R194+1&amp;":B210"),0)+R194&amp;""),
IF(AND(LEFT(INDIRECT("B"&amp;R194&amp;""),3)="奈良屋",COUNTIF(B:B,"*奈良屋*")&gt;=2),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  <c r="AC194" s="49" t="str">
        <f ca="1">IF(S194&lt;&gt;"",INDEX(A:A, MATCH("*"&amp;LEFT(S194,4)&amp;"*", C:C, 0)),"")</f>
        <v/>
      </c>
      <c r="AD194" s="49" t="str">
        <f ca="1">IFERROR(INDEX(AC:AC,MATCH(SMALL($AU:$AU,ROW()+3),$AU:$AU,0)),"")</f>
        <v/>
      </c>
      <c r="AE194" s="49" t="str">
        <f ca="1">IFERROR(INDEX(R:R,MATCH(SMALL($AU:$AU,ROW()+3),$AU:$AU,0)),"")</f>
        <v/>
      </c>
      <c r="AF194" s="49" t="str">
        <f ca="1">IFERROR(INDEX(S:S,MATCH(SMALL($AU:$AU,ROW()+3),$AU:$AU,0)),"")</f>
        <v/>
      </c>
      <c r="AG194" s="49" t="str">
        <f ca="1">IFERROR(INDEX(T:T,MATCH(SMALL($AU:$AU,ROW()+3),$AU:$AU,0)),"")</f>
        <v/>
      </c>
      <c r="AH194" s="122" t="str">
        <f ca="1">IFERROR(INDEX(U:U,MATCH(SMALL($AU:$AU,ROW()+3),$AU:$AU,0)),"")</f>
        <v/>
      </c>
      <c r="AI194" s="49" t="str">
        <f ca="1">IFERROR(INDEX(V:V,MATCH(SMALL($AU:$AU,ROW()+3),$AU:$AU,0)),"")</f>
        <v/>
      </c>
      <c r="AJ194" s="49" t="str">
        <f ca="1">IFERROR(INDEX(W:W,MATCH(SMALL($AU:$AU,ROW()+3),$AU:$AU,0)),"")</f>
        <v/>
      </c>
      <c r="AK194" s="49" t="str">
        <f ca="1">IFERROR(INDEX(X:X,MATCH(SMALL($AU:$AU,ROW()+3),$AU:$AU,0)),"")</f>
        <v/>
      </c>
      <c r="AL194" s="49" t="str">
        <f ca="1">IFERROR(INDEX(Y:Y,MATCH(SMALL($AU:$AU,ROW()+3),$AU:$AU,0)),"")</f>
        <v/>
      </c>
      <c r="AM194" s="49" t="str">
        <f ca="1">IFERROR(INDEX(Z:Z,MATCH(SMALL($AU:$AU,ROW()+3),$AU:$AU,0)),"")</f>
        <v/>
      </c>
      <c r="AN194" s="49" t="str">
        <f ca="1">IFERROR(INDEX(AA:AA,MATCH(SMALL($AU:$AU,ROW()+3),$AU:$AU,0)),"")</f>
        <v/>
      </c>
      <c r="AO194" s="49" t="str">
        <f ca="1">IFERROR(INDEX(AB:AB,MATCH(SMALL($AU:$AU,ROW()+3),$AU:$AU,0)),"")</f>
        <v/>
      </c>
      <c r="AP194" s="49" t="str">
        <f ca="1">IFERROR(INDEX(AC:AC,MATCH(SMALL($AU:$AU,ROW()+3),$AU:$AU,0)),"")</f>
        <v/>
      </c>
      <c r="AU194" s="49" t="str">
        <f t="shared" ref="AU194:AU257" ca="1" si="37">IFERROR(IF(R194&gt;=219, 1000000+R194, AC194*1000+R194),"")</f>
        <v/>
      </c>
    </row>
    <row r="195" spans="1:47" ht="22.2" customHeight="1">
      <c r="A195" s="115">
        <f t="shared" si="32"/>
        <v>115</v>
      </c>
      <c r="B195" s="114" t="str">
        <f t="shared" ca="1" si="30"/>
        <v/>
      </c>
      <c r="C195" s="114" t="str">
        <f>IF(OR(クライアント抽出!D55&lt;&gt;"",クライアント抽出!G55&lt;&gt;""),クライアント抽出!A55,"")</f>
        <v/>
      </c>
      <c r="D195" s="114" t="str">
        <f t="array" aca="1" ref="D195" ca="1">IF(C195&lt;&gt;"",INDIRECT("クライアント抽出!"&amp;E195&amp;MATCH(C195,クライアント抽出!A:A,0)&amp;""),"")</f>
        <v/>
      </c>
      <c r="E195" s="114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17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114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116" t="str">
        <f>IF(C195&lt;&gt;"",
クライアント抽出!D55,"")</f>
        <v/>
      </c>
      <c r="I195" s="114" t="str">
        <f>IF(C195&lt;&gt;"",
IF(O195=1,0,クライアント抽出!F55),"")</f>
        <v/>
      </c>
      <c r="J195" s="114" t="str">
        <f>IF(C195&lt;&gt;"",
VLOOKUP(
"*"&amp;LEFT(IF(COUNTIF(D195,"*学食*"),"キャラ弁（学食）",
IF(COUNTIF(D195,"*赤*"),"赤",
IF(COUNTIF(D195,"*キャラ弁当*"),"キャラ弁当",D195))),4)&amp;"*",注文弁当の抽出!$E$1:$F$15,2,FALSE),"")</f>
        <v/>
      </c>
      <c r="K195" s="114" t="str">
        <f ca="1">IF(クライアント抽出!R55&lt;&gt;"",SUBSTITUTE(ADDRESS(1,(CODE(クライアント抽出!R55)-64)*2-1,4),"1",""),"")</f>
        <v/>
      </c>
      <c r="L195" s="114" t="str">
        <f>IF(C55&lt;&gt;"",クライアント抽出!I55,"")</f>
        <v/>
      </c>
      <c r="M195" s="114">
        <f t="array" aca="1" ref="M195" ca="1">IF(C195&lt;&gt;"",
IF(K195&lt;&gt;"",INDIRECT("'数出表_Excel（アレルギー入力）'!"&amp;K195&amp;L195-1&amp;""),),)</f>
        <v>0</v>
      </c>
      <c r="N195" s="114" t="str">
        <f>IF(C195&lt;&gt;"",IF(OR(COUNTIF('盛付札（関数）'!D195,"*赤*"),COUNTIF('盛付札（関数）'!D195,"*キャラ*")),1,
VLOOKUP("*"&amp;D195&amp;"*",商品マスタ一覧!D:H,5,FALSE)),"")</f>
        <v/>
      </c>
      <c r="O195" s="114">
        <f t="shared" ca="1" si="31"/>
        <v>0</v>
      </c>
      <c r="P195" s="114">
        <f t="shared" si="33"/>
        <v>0</v>
      </c>
      <c r="Q195" s="114" t="b">
        <f t="shared" si="34"/>
        <v>0</v>
      </c>
      <c r="R195" s="49" t="str">
        <f t="array" aca="1" ref="R195" ca="1">IFERROR(SMALL(IF(P$1:P$311&lt;&gt;0,P$1:P$311),ROW(A195)),"")</f>
        <v/>
      </c>
      <c r="S195" s="49" t="str">
        <f t="array" aca="1" ref="S195" ca="1">IF($R195&lt;&gt;"",
SUBSTITUTE(SUBSTITUTE(INDIRECT("C"&amp;$R195&amp;"")," 週3ｺｰｽ","")," 週5ｺｰｽ",""),"")</f>
        <v/>
      </c>
      <c r="T195" s="49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22" t="str">
        <f t="array" aca="1" ref="U195" ca="1">IF($R195&lt;&gt;"",
INDIRECT("F"&amp;$R195&amp;""),"")</f>
        <v/>
      </c>
      <c r="V195" s="49" t="str">
        <f t="array" aca="1" ref="V195" ca="1">IF($R195&lt;&gt;"",
INDIRECT("G"&amp;$R195&amp;""),"")</f>
        <v/>
      </c>
      <c r="W195" s="49" t="str">
        <f t="array" aca="1" ref="W195" ca="1">IF($R195&lt;&gt;"",
IF(AND(COUNTIF(INDIRECT("B"&amp;R195&amp;""),"*雙葉*"),COUNTIF(B:B,"*雙葉*")&gt;=2),
IF(OR(COUNTIF(INDIRECT("B"&amp;R195&amp;""),"*雙葉先生*"),COUNTIF($B$1:$B$70,"*雙葉*")&gt;=2),INDIRECT("H"&amp;R195&amp;""),INDIRECT("H"&amp;R195&amp;"")+INDIRECT("H"&amp;MATCH("雙葉'",INDIRECT("B"&amp;R195+3&amp;":B210"),0)+2+R195&amp;"")),
IF(AND(LEFT(INDIRECT("B"&amp;R195&amp;""),2)="博多",COUNTIF(B:B,"*博多*")&gt;=2),
INDIRECT("H"&amp;R195&amp;"")+INDIRECT("H"&amp;MATCH("*"&amp;INDIRECT("B"&amp;R195&amp;"")&amp;"*",INDIRECT("B"&amp;R195+1&amp;":B210"),0)+R195&amp;""),
IF(AND(LEFT(INDIRECT("B"&amp;R195&amp;""),3)="奈良屋",COUNTIF(B:B,"*奈良屋*")&gt;=2),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49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49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49" t="str">
        <f t="shared" ca="1" si="35"/>
        <v/>
      </c>
      <c r="AA195" s="49" t="str">
        <f t="shared" ca="1" si="36"/>
        <v/>
      </c>
      <c r="AB195" s="49" t="str">
        <f t="array" aca="1" ref="AB195" ca="1">IF($R195&lt;&gt;"",
IF(AND(COUNTIF(INDIRECT("B"&amp;R195&amp;""),"*雙葉*"),COUNTIF(B:B,"*雙葉*")&gt;=2),
INDIRECT("M"&amp;R195&amp;"")+INDIRECT("M"&amp;MATCH("雙葉'",INDIRECT("B"&amp;R195+1&amp;":B210"),0)+R195&amp;""),
IF(AND(LEFT(INDIRECT("B"&amp;R195&amp;""),2)="博多",COUNTIF(B:B,"*博多*")&gt;=2),
INDIRECT("M"&amp;R195&amp;"")+INDIRECT("M"&amp;MATCH("*"&amp;INDIRECT("B"&amp;R195&amp;"")&amp;"*",INDIRECT("B"&amp;R195+1&amp;":B210"),0)+R195&amp;""),
IF(AND(LEFT(INDIRECT("B"&amp;R195&amp;""),3)="奈良屋",COUNTIF(B:B,"*奈良屋*")&gt;=2),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  <c r="AC195" s="49" t="str">
        <f ca="1">IF(S195&lt;&gt;"",INDEX(A:A, MATCH("*"&amp;LEFT(S195,4)&amp;"*", C:C, 0)),"")</f>
        <v/>
      </c>
      <c r="AD195" s="49" t="str">
        <f ca="1">IFERROR(INDEX(AC:AC,MATCH(SMALL($AU:$AU,ROW()+3),$AU:$AU,0)),"")</f>
        <v/>
      </c>
      <c r="AE195" s="49" t="str">
        <f ca="1">IFERROR(INDEX(R:R,MATCH(SMALL($AU:$AU,ROW()+3),$AU:$AU,0)),"")</f>
        <v/>
      </c>
      <c r="AF195" s="49" t="str">
        <f ca="1">IFERROR(INDEX(S:S,MATCH(SMALL($AU:$AU,ROW()+3),$AU:$AU,0)),"")</f>
        <v/>
      </c>
      <c r="AG195" s="49" t="str">
        <f ca="1">IFERROR(INDEX(T:T,MATCH(SMALL($AU:$AU,ROW()+3),$AU:$AU,0)),"")</f>
        <v/>
      </c>
      <c r="AH195" s="122" t="str">
        <f ca="1">IFERROR(INDEX(U:U,MATCH(SMALL($AU:$AU,ROW()+3),$AU:$AU,0)),"")</f>
        <v/>
      </c>
      <c r="AI195" s="49" t="str">
        <f ca="1">IFERROR(INDEX(V:V,MATCH(SMALL($AU:$AU,ROW()+3),$AU:$AU,0)),"")</f>
        <v/>
      </c>
      <c r="AJ195" s="49" t="str">
        <f ca="1">IFERROR(INDEX(W:W,MATCH(SMALL($AU:$AU,ROW()+3),$AU:$AU,0)),"")</f>
        <v/>
      </c>
      <c r="AK195" s="49" t="str">
        <f ca="1">IFERROR(INDEX(X:X,MATCH(SMALL($AU:$AU,ROW()+3),$AU:$AU,0)),"")</f>
        <v/>
      </c>
      <c r="AL195" s="49" t="str">
        <f ca="1">IFERROR(INDEX(Y:Y,MATCH(SMALL($AU:$AU,ROW()+3),$AU:$AU,0)),"")</f>
        <v/>
      </c>
      <c r="AM195" s="49" t="str">
        <f ca="1">IFERROR(INDEX(Z:Z,MATCH(SMALL($AU:$AU,ROW()+3),$AU:$AU,0)),"")</f>
        <v/>
      </c>
      <c r="AN195" s="49" t="str">
        <f ca="1">IFERROR(INDEX(AA:AA,MATCH(SMALL($AU:$AU,ROW()+3),$AU:$AU,0)),"")</f>
        <v/>
      </c>
      <c r="AO195" s="49" t="str">
        <f ca="1">IFERROR(INDEX(AB:AB,MATCH(SMALL($AU:$AU,ROW()+3),$AU:$AU,0)),"")</f>
        <v/>
      </c>
      <c r="AP195" s="49" t="str">
        <f ca="1">IFERROR(INDEX(AC:AC,MATCH(SMALL($AU:$AU,ROW()+3),$AU:$AU,0)),"")</f>
        <v/>
      </c>
      <c r="AU195" s="49" t="str">
        <f t="shared" ca="1" si="37"/>
        <v/>
      </c>
    </row>
    <row r="196" spans="1:47" ht="22.2" customHeight="1">
      <c r="A196" s="115">
        <f t="shared" si="32"/>
        <v>117</v>
      </c>
      <c r="B196" s="114" t="str">
        <f t="shared" ca="1" si="30"/>
        <v/>
      </c>
      <c r="C196" s="114" t="str">
        <f>IF(OR(クライアント抽出!D56&lt;&gt;"",クライアント抽出!G56&lt;&gt;""),クライアント抽出!A56,"")</f>
        <v/>
      </c>
      <c r="D196" s="114" t="str">
        <f t="array" aca="1" ref="D196" ca="1">IF(C196&lt;&gt;"",INDIRECT("クライアント抽出!"&amp;E196&amp;MATCH(C196,クライアント抽出!A:A,0)&amp;""),"")</f>
        <v/>
      </c>
      <c r="E196" s="114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17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114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116" t="str">
        <f>IF(C196&lt;&gt;"",
クライアント抽出!D56,"")</f>
        <v/>
      </c>
      <c r="I196" s="114" t="str">
        <f>IF(C196&lt;&gt;"",
IF(O196=1,0,クライアント抽出!F56),"")</f>
        <v/>
      </c>
      <c r="J196" s="114" t="str">
        <f>IF(C196&lt;&gt;"",
VLOOKUP(
"*"&amp;LEFT(IF(COUNTIF(D196,"*学食*"),"キャラ弁（学食）",
IF(COUNTIF(D196,"*赤*"),"赤",
IF(COUNTIF(D196,"*キャラ弁当*"),"キャラ弁当",D196))),4)&amp;"*",注文弁当の抽出!$E$1:$F$15,2,FALSE),"")</f>
        <v/>
      </c>
      <c r="K196" s="114" t="str">
        <f ca="1">IF(クライアント抽出!R56&lt;&gt;"",SUBSTITUTE(ADDRESS(1,(CODE(クライアント抽出!R56)-64)*2-1,4),"1",""),"")</f>
        <v/>
      </c>
      <c r="L196" s="114" t="str">
        <f>IF(C56&lt;&gt;"",クライアント抽出!I56,"")</f>
        <v/>
      </c>
      <c r="M196" s="114">
        <f t="array" aca="1" ref="M196" ca="1">IF(C196&lt;&gt;"",
IF(K196&lt;&gt;"",INDIRECT("'数出表_Excel（アレルギー入力）'!"&amp;K196&amp;L196-1&amp;""),),)</f>
        <v>0</v>
      </c>
      <c r="N196" s="114" t="str">
        <f>IF(C196&lt;&gt;"",IF(OR(COUNTIF('盛付札（関数）'!D196,"*赤*"),COUNTIF('盛付札（関数）'!D196,"*キャラ*")),1,
VLOOKUP("*"&amp;D196&amp;"*",商品マスタ一覧!D:H,5,FALSE)),"")</f>
        <v/>
      </c>
      <c r="O196" s="114">
        <f t="shared" ca="1" si="31"/>
        <v>0</v>
      </c>
      <c r="P196" s="114">
        <f t="shared" si="33"/>
        <v>0</v>
      </c>
      <c r="Q196" s="114" t="b">
        <f t="shared" si="34"/>
        <v>0</v>
      </c>
      <c r="R196" s="49" t="str">
        <f t="array" aca="1" ref="R196" ca="1">IFERROR(SMALL(IF(P$1:P$311&lt;&gt;0,P$1:P$311),ROW(A196)),"")</f>
        <v/>
      </c>
      <c r="S196" s="49" t="str">
        <f t="array" aca="1" ref="S196" ca="1">IF($R196&lt;&gt;"",
SUBSTITUTE(SUBSTITUTE(INDIRECT("C"&amp;$R196&amp;"")," 週3ｺｰｽ","")," 週5ｺｰｽ",""),"")</f>
        <v/>
      </c>
      <c r="T196" s="49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22" t="str">
        <f t="array" aca="1" ref="U196" ca="1">IF($R196&lt;&gt;"",
INDIRECT("F"&amp;$R196&amp;""),"")</f>
        <v/>
      </c>
      <c r="V196" s="49" t="str">
        <f t="array" aca="1" ref="V196" ca="1">IF($R196&lt;&gt;"",
INDIRECT("G"&amp;$R196&amp;""),"")</f>
        <v/>
      </c>
      <c r="W196" s="49" t="str">
        <f t="array" aca="1" ref="W196" ca="1">IF($R196&lt;&gt;"",
IF(AND(COUNTIF(INDIRECT("B"&amp;R196&amp;""),"*雙葉*"),COUNTIF(B:B,"*雙葉*")&gt;=2),
IF(OR(COUNTIF(INDIRECT("B"&amp;R196&amp;""),"*雙葉先生*"),COUNTIF($B$1:$B$70,"*雙葉*")&gt;=2),INDIRECT("H"&amp;R196&amp;""),INDIRECT("H"&amp;R196&amp;"")+INDIRECT("H"&amp;MATCH("雙葉'",INDIRECT("B"&amp;R196+3&amp;":B210"),0)+2+R196&amp;"")),
IF(AND(LEFT(INDIRECT("B"&amp;R196&amp;""),2)="博多",COUNTIF(B:B,"*博多*")&gt;=2),
INDIRECT("H"&amp;R196&amp;"")+INDIRECT("H"&amp;MATCH("*"&amp;INDIRECT("B"&amp;R196&amp;"")&amp;"*",INDIRECT("B"&amp;R196+1&amp;":B210"),0)+R196&amp;""),
IF(AND(LEFT(INDIRECT("B"&amp;R196&amp;""),3)="奈良屋",COUNTIF(B:B,"*奈良屋*")&gt;=2),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49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49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49" t="str">
        <f t="shared" ca="1" si="35"/>
        <v/>
      </c>
      <c r="AA196" s="49" t="str">
        <f t="shared" ca="1" si="36"/>
        <v/>
      </c>
      <c r="AB196" s="49" t="str">
        <f t="array" aca="1" ref="AB196" ca="1">IF($R196&lt;&gt;"",
IF(AND(COUNTIF(INDIRECT("B"&amp;R196&amp;""),"*雙葉*"),COUNTIF(B:B,"*雙葉*")&gt;=2),
INDIRECT("M"&amp;R196&amp;"")+INDIRECT("M"&amp;MATCH("雙葉'",INDIRECT("B"&amp;R196+1&amp;":B210"),0)+R196&amp;""),
IF(AND(LEFT(INDIRECT("B"&amp;R196&amp;""),2)="博多",COUNTIF(B:B,"*博多*")&gt;=2),
INDIRECT("M"&amp;R196&amp;"")+INDIRECT("M"&amp;MATCH("*"&amp;INDIRECT("B"&amp;R196&amp;"")&amp;"*",INDIRECT("B"&amp;R196+1&amp;":B210"),0)+R196&amp;""),
IF(AND(LEFT(INDIRECT("B"&amp;R196&amp;""),3)="奈良屋",COUNTIF(B:B,"*奈良屋*")&gt;=2),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  <c r="AC196" s="49" t="str">
        <f ca="1">IF(S196&lt;&gt;"",INDEX(A:A, MATCH("*"&amp;LEFT(S196,4)&amp;"*", C:C, 0)),"")</f>
        <v/>
      </c>
      <c r="AD196" s="49" t="str">
        <f ca="1">IFERROR(INDEX(AC:AC,MATCH(SMALL($AU:$AU,ROW()+3),$AU:$AU,0)),"")</f>
        <v/>
      </c>
      <c r="AE196" s="49" t="str">
        <f ca="1">IFERROR(INDEX(R:R,MATCH(SMALL($AU:$AU,ROW()+3),$AU:$AU,0)),"")</f>
        <v/>
      </c>
      <c r="AF196" s="49" t="str">
        <f ca="1">IFERROR(INDEX(S:S,MATCH(SMALL($AU:$AU,ROW()+3),$AU:$AU,0)),"")</f>
        <v/>
      </c>
      <c r="AG196" s="49" t="str">
        <f ca="1">IFERROR(INDEX(T:T,MATCH(SMALL($AU:$AU,ROW()+3),$AU:$AU,0)),"")</f>
        <v/>
      </c>
      <c r="AH196" s="122" t="str">
        <f ca="1">IFERROR(INDEX(U:U,MATCH(SMALL($AU:$AU,ROW()+3),$AU:$AU,0)),"")</f>
        <v/>
      </c>
      <c r="AI196" s="49" t="str">
        <f ca="1">IFERROR(INDEX(V:V,MATCH(SMALL($AU:$AU,ROW()+3),$AU:$AU,0)),"")</f>
        <v/>
      </c>
      <c r="AJ196" s="49" t="str">
        <f ca="1">IFERROR(INDEX(W:W,MATCH(SMALL($AU:$AU,ROW()+3),$AU:$AU,0)),"")</f>
        <v/>
      </c>
      <c r="AK196" s="49" t="str">
        <f ca="1">IFERROR(INDEX(X:X,MATCH(SMALL($AU:$AU,ROW()+3),$AU:$AU,0)),"")</f>
        <v/>
      </c>
      <c r="AL196" s="49" t="str">
        <f ca="1">IFERROR(INDEX(Y:Y,MATCH(SMALL($AU:$AU,ROW()+3),$AU:$AU,0)),"")</f>
        <v/>
      </c>
      <c r="AM196" s="49" t="str">
        <f ca="1">IFERROR(INDEX(Z:Z,MATCH(SMALL($AU:$AU,ROW()+3),$AU:$AU,0)),"")</f>
        <v/>
      </c>
      <c r="AN196" s="49" t="str">
        <f ca="1">IFERROR(INDEX(AA:AA,MATCH(SMALL($AU:$AU,ROW()+3),$AU:$AU,0)),"")</f>
        <v/>
      </c>
      <c r="AO196" s="49" t="str">
        <f ca="1">IFERROR(INDEX(AB:AB,MATCH(SMALL($AU:$AU,ROW()+3),$AU:$AU,0)),"")</f>
        <v/>
      </c>
      <c r="AP196" s="49" t="str">
        <f ca="1">IFERROR(INDEX(AC:AC,MATCH(SMALL($AU:$AU,ROW()+3),$AU:$AU,0)),"")</f>
        <v/>
      </c>
      <c r="AU196" s="49" t="str">
        <f t="shared" ca="1" si="37"/>
        <v/>
      </c>
    </row>
    <row r="197" spans="1:47" ht="22.2" customHeight="1">
      <c r="A197" s="115">
        <f t="shared" si="32"/>
        <v>119</v>
      </c>
      <c r="B197" s="114" t="str">
        <f t="shared" ca="1" si="30"/>
        <v/>
      </c>
      <c r="C197" s="114" t="str">
        <f>IF(OR(クライアント抽出!D57&lt;&gt;"",クライアント抽出!G57&lt;&gt;""),クライアント抽出!A57,"")</f>
        <v/>
      </c>
      <c r="D197" s="114" t="str">
        <f t="array" aca="1" ref="D197" ca="1">IF(C197&lt;&gt;"",INDIRECT("クライアント抽出!"&amp;E197&amp;MATCH(C197,クライアント抽出!A:A,0)&amp;""),"")</f>
        <v/>
      </c>
      <c r="E197" s="114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17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114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116" t="str">
        <f>IF(C197&lt;&gt;"",
クライアント抽出!D57,"")</f>
        <v/>
      </c>
      <c r="I197" s="114" t="str">
        <f>IF(C197&lt;&gt;"",
IF(O197=1,0,クライアント抽出!F57),"")</f>
        <v/>
      </c>
      <c r="J197" s="114" t="str">
        <f>IF(C197&lt;&gt;"",
VLOOKUP(
"*"&amp;LEFT(IF(COUNTIF(D197,"*学食*"),"キャラ弁（学食）",
IF(COUNTIF(D197,"*赤*"),"赤",
IF(COUNTIF(D197,"*キャラ弁当*"),"キャラ弁当",D197))),4)&amp;"*",注文弁当の抽出!$E$1:$F$15,2,FALSE),"")</f>
        <v/>
      </c>
      <c r="K197" s="114" t="str">
        <f ca="1">IF(クライアント抽出!R57&lt;&gt;"",SUBSTITUTE(ADDRESS(1,(CODE(クライアント抽出!R57)-64)*2-1,4),"1",""),"")</f>
        <v/>
      </c>
      <c r="L197" s="114" t="str">
        <f>IF(C57&lt;&gt;"",クライアント抽出!I57,"")</f>
        <v/>
      </c>
      <c r="M197" s="114">
        <f t="array" aca="1" ref="M197" ca="1">IF(C197&lt;&gt;"",
IF(K197&lt;&gt;"",INDIRECT("'数出表_Excel（アレルギー入力）'!"&amp;K197&amp;L197-1&amp;""),),)</f>
        <v>0</v>
      </c>
      <c r="N197" s="114" t="str">
        <f>IF(C197&lt;&gt;"",IF(OR(COUNTIF('盛付札（関数）'!D197,"*赤*"),COUNTIF('盛付札（関数）'!D197,"*キャラ*")),1,
VLOOKUP("*"&amp;D197&amp;"*",商品マスタ一覧!D:H,5,FALSE)),"")</f>
        <v/>
      </c>
      <c r="O197" s="114">
        <f t="shared" ca="1" si="31"/>
        <v>0</v>
      </c>
      <c r="P197" s="114">
        <f t="shared" si="33"/>
        <v>0</v>
      </c>
      <c r="Q197" s="114" t="b">
        <f t="shared" si="34"/>
        <v>0</v>
      </c>
      <c r="R197" s="49" t="str">
        <f t="array" aca="1" ref="R197" ca="1">IFERROR(SMALL(IF(P$1:P$311&lt;&gt;0,P$1:P$311),ROW(A197)),"")</f>
        <v/>
      </c>
      <c r="S197" s="49" t="str">
        <f t="array" aca="1" ref="S197" ca="1">IF($R197&lt;&gt;"",
SUBSTITUTE(SUBSTITUTE(INDIRECT("C"&amp;$R197&amp;"")," 週3ｺｰｽ","")," 週5ｺｰｽ",""),"")</f>
        <v/>
      </c>
      <c r="T197" s="49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22" t="str">
        <f t="array" aca="1" ref="U197" ca="1">IF($R197&lt;&gt;"",
INDIRECT("F"&amp;$R197&amp;""),"")</f>
        <v/>
      </c>
      <c r="V197" s="49" t="str">
        <f t="array" aca="1" ref="V197" ca="1">IF($R197&lt;&gt;"",
INDIRECT("G"&amp;$R197&amp;""),"")</f>
        <v/>
      </c>
      <c r="W197" s="49" t="str">
        <f t="array" aca="1" ref="W197" ca="1">IF($R197&lt;&gt;"",
IF(AND(COUNTIF(INDIRECT("B"&amp;R197&amp;""),"*雙葉*"),COUNTIF(B:B,"*雙葉*")&gt;=2),
IF(OR(COUNTIF(INDIRECT("B"&amp;R197&amp;""),"*雙葉先生*"),COUNTIF($B$1:$B$70,"*雙葉*")&gt;=2),INDIRECT("H"&amp;R197&amp;""),INDIRECT("H"&amp;R197&amp;"")+INDIRECT("H"&amp;MATCH("雙葉'",INDIRECT("B"&amp;R197+3&amp;":B210"),0)+2+R197&amp;"")),
IF(AND(LEFT(INDIRECT("B"&amp;R197&amp;""),2)="博多",COUNTIF(B:B,"*博多*")&gt;=2),
INDIRECT("H"&amp;R197&amp;"")+INDIRECT("H"&amp;MATCH("*"&amp;INDIRECT("B"&amp;R197&amp;"")&amp;"*",INDIRECT("B"&amp;R197+1&amp;":B210"),0)+R197&amp;""),
IF(AND(LEFT(INDIRECT("B"&amp;R197&amp;""),3)="奈良屋",COUNTIF(B:B,"*奈良屋*")&gt;=2),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49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49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49" t="str">
        <f t="shared" ca="1" si="35"/>
        <v/>
      </c>
      <c r="AA197" s="49" t="str">
        <f t="shared" ca="1" si="36"/>
        <v/>
      </c>
      <c r="AB197" s="49" t="str">
        <f t="array" aca="1" ref="AB197" ca="1">IF($R197&lt;&gt;"",
IF(AND(COUNTIF(INDIRECT("B"&amp;R197&amp;""),"*雙葉*"),COUNTIF(B:B,"*雙葉*")&gt;=2),
INDIRECT("M"&amp;R197&amp;"")+INDIRECT("M"&amp;MATCH("雙葉'",INDIRECT("B"&amp;R197+1&amp;":B210"),0)+R197&amp;""),
IF(AND(LEFT(INDIRECT("B"&amp;R197&amp;""),2)="博多",COUNTIF(B:B,"*博多*")&gt;=2),
INDIRECT("M"&amp;R197&amp;"")+INDIRECT("M"&amp;MATCH("*"&amp;INDIRECT("B"&amp;R197&amp;"")&amp;"*",INDIRECT("B"&amp;R197+1&amp;":B210"),0)+R197&amp;""),
IF(AND(LEFT(INDIRECT("B"&amp;R197&amp;""),3)="奈良屋",COUNTIF(B:B,"*奈良屋*")&gt;=2),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  <c r="AC197" s="49" t="str">
        <f ca="1">IF(S197&lt;&gt;"",INDEX(A:A, MATCH("*"&amp;LEFT(S197,4)&amp;"*", C:C, 0)),"")</f>
        <v/>
      </c>
      <c r="AD197" s="49" t="str">
        <f ca="1">IFERROR(INDEX(AC:AC,MATCH(SMALL($AU:$AU,ROW()+3),$AU:$AU,0)),"")</f>
        <v/>
      </c>
      <c r="AE197" s="49" t="str">
        <f ca="1">IFERROR(INDEX(R:R,MATCH(SMALL($AU:$AU,ROW()+3),$AU:$AU,0)),"")</f>
        <v/>
      </c>
      <c r="AF197" s="49" t="str">
        <f ca="1">IFERROR(INDEX(S:S,MATCH(SMALL($AU:$AU,ROW()+3),$AU:$AU,0)),"")</f>
        <v/>
      </c>
      <c r="AG197" s="49" t="str">
        <f ca="1">IFERROR(INDEX(T:T,MATCH(SMALL($AU:$AU,ROW()+3),$AU:$AU,0)),"")</f>
        <v/>
      </c>
      <c r="AH197" s="122" t="str">
        <f ca="1">IFERROR(INDEX(U:U,MATCH(SMALL($AU:$AU,ROW()+3),$AU:$AU,0)),"")</f>
        <v/>
      </c>
      <c r="AI197" s="49" t="str">
        <f ca="1">IFERROR(INDEX(V:V,MATCH(SMALL($AU:$AU,ROW()+3),$AU:$AU,0)),"")</f>
        <v/>
      </c>
      <c r="AJ197" s="49" t="str">
        <f ca="1">IFERROR(INDEX(W:W,MATCH(SMALL($AU:$AU,ROW()+3),$AU:$AU,0)),"")</f>
        <v/>
      </c>
      <c r="AK197" s="49" t="str">
        <f ca="1">IFERROR(INDEX(X:X,MATCH(SMALL($AU:$AU,ROW()+3),$AU:$AU,0)),"")</f>
        <v/>
      </c>
      <c r="AL197" s="49" t="str">
        <f ca="1">IFERROR(INDEX(Y:Y,MATCH(SMALL($AU:$AU,ROW()+3),$AU:$AU,0)),"")</f>
        <v/>
      </c>
      <c r="AM197" s="49" t="str">
        <f ca="1">IFERROR(INDEX(Z:Z,MATCH(SMALL($AU:$AU,ROW()+3),$AU:$AU,0)),"")</f>
        <v/>
      </c>
      <c r="AN197" s="49" t="str">
        <f ca="1">IFERROR(INDEX(AA:AA,MATCH(SMALL($AU:$AU,ROW()+3),$AU:$AU,0)),"")</f>
        <v/>
      </c>
      <c r="AO197" s="49" t="str">
        <f ca="1">IFERROR(INDEX(AB:AB,MATCH(SMALL($AU:$AU,ROW()+3),$AU:$AU,0)),"")</f>
        <v/>
      </c>
      <c r="AP197" s="49" t="str">
        <f ca="1">IFERROR(INDEX(AC:AC,MATCH(SMALL($AU:$AU,ROW()+3),$AU:$AU,0)),"")</f>
        <v/>
      </c>
      <c r="AU197" s="49" t="str">
        <f t="shared" ca="1" si="37"/>
        <v/>
      </c>
    </row>
    <row r="198" spans="1:47" ht="22.2" customHeight="1">
      <c r="A198" s="115">
        <f t="shared" si="32"/>
        <v>121</v>
      </c>
      <c r="B198" s="114" t="str">
        <f t="shared" ca="1" si="30"/>
        <v/>
      </c>
      <c r="C198" s="114" t="str">
        <f>IF(OR(クライアント抽出!D58&lt;&gt;"",クライアント抽出!G58&lt;&gt;""),クライアント抽出!A58,"")</f>
        <v/>
      </c>
      <c r="D198" s="114" t="str">
        <f t="array" aca="1" ref="D198" ca="1">IF(C198&lt;&gt;"",INDIRECT("クライアント抽出!"&amp;E198&amp;MATCH(C198,クライアント抽出!A:A,0)&amp;""),"")</f>
        <v/>
      </c>
      <c r="E198" s="114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17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114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116" t="str">
        <f>IF(C198&lt;&gt;"",
クライアント抽出!D58,"")</f>
        <v/>
      </c>
      <c r="I198" s="114" t="str">
        <f>IF(C198&lt;&gt;"",
IF(O198=1,0,クライアント抽出!F58),"")</f>
        <v/>
      </c>
      <c r="J198" s="114" t="str">
        <f>IF(C198&lt;&gt;"",
VLOOKUP(
"*"&amp;LEFT(IF(COUNTIF(D198,"*学食*"),"キャラ弁（学食）",
IF(COUNTIF(D198,"*赤*"),"赤",
IF(COUNTIF(D198,"*キャラ弁当*"),"キャラ弁当",D198))),4)&amp;"*",注文弁当の抽出!$E$1:$F$15,2,FALSE),"")</f>
        <v/>
      </c>
      <c r="K198" s="114" t="str">
        <f ca="1">IF(クライアント抽出!R58&lt;&gt;"",SUBSTITUTE(ADDRESS(1,(CODE(クライアント抽出!R58)-64)*2-1,4),"1",""),"")</f>
        <v/>
      </c>
      <c r="L198" s="114" t="str">
        <f>IF(C58&lt;&gt;"",クライアント抽出!I58,"")</f>
        <v/>
      </c>
      <c r="M198" s="114">
        <f t="array" aca="1" ref="M198" ca="1">IF(C198&lt;&gt;"",
IF(K198&lt;&gt;"",INDIRECT("'数出表_Excel（アレルギー入力）'!"&amp;K198&amp;L198-1&amp;""),),)</f>
        <v>0</v>
      </c>
      <c r="N198" s="114" t="str">
        <f>IF(C198&lt;&gt;"",IF(OR(COUNTIF('盛付札（関数）'!D198,"*赤*"),COUNTIF('盛付札（関数）'!D198,"*キャラ*")),1,
VLOOKUP("*"&amp;D198&amp;"*",商品マスタ一覧!D:H,5,FALSE)),"")</f>
        <v/>
      </c>
      <c r="O198" s="114">
        <f t="shared" ca="1" si="31"/>
        <v>0</v>
      </c>
      <c r="P198" s="114">
        <f t="shared" si="33"/>
        <v>0</v>
      </c>
      <c r="Q198" s="114" t="b">
        <f t="shared" si="34"/>
        <v>0</v>
      </c>
      <c r="R198" s="49" t="str">
        <f t="array" aca="1" ref="R198" ca="1">IFERROR(SMALL(IF(P$1:P$311&lt;&gt;0,P$1:P$311),ROW(A198)),"")</f>
        <v/>
      </c>
      <c r="S198" s="49" t="str">
        <f t="array" aca="1" ref="S198" ca="1">IF($R198&lt;&gt;"",
SUBSTITUTE(SUBSTITUTE(INDIRECT("C"&amp;$R198&amp;"")," 週3ｺｰｽ","")," 週5ｺｰｽ",""),"")</f>
        <v/>
      </c>
      <c r="T198" s="49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22" t="str">
        <f t="array" aca="1" ref="U198" ca="1">IF($R198&lt;&gt;"",
INDIRECT("F"&amp;$R198&amp;""),"")</f>
        <v/>
      </c>
      <c r="V198" s="49" t="str">
        <f t="array" aca="1" ref="V198" ca="1">IF($R198&lt;&gt;"",
INDIRECT("G"&amp;$R198&amp;""),"")</f>
        <v/>
      </c>
      <c r="W198" s="49" t="str">
        <f t="array" aca="1" ref="W198" ca="1">IF($R198&lt;&gt;"",
IF(AND(COUNTIF(INDIRECT("B"&amp;R198&amp;""),"*雙葉*"),COUNTIF(B:B,"*雙葉*")&gt;=2),
IF(OR(COUNTIF(INDIRECT("B"&amp;R198&amp;""),"*雙葉先生*"),COUNTIF($B$1:$B$70,"*雙葉*")&gt;=2),INDIRECT("H"&amp;R198&amp;""),INDIRECT("H"&amp;R198&amp;"")+INDIRECT("H"&amp;MATCH("雙葉'",INDIRECT("B"&amp;R198+3&amp;":B210"),0)+2+R198&amp;"")),
IF(AND(LEFT(INDIRECT("B"&amp;R198&amp;""),2)="博多",COUNTIF(B:B,"*博多*")&gt;=2),
INDIRECT("H"&amp;R198&amp;"")+INDIRECT("H"&amp;MATCH("*"&amp;INDIRECT("B"&amp;R198&amp;"")&amp;"*",INDIRECT("B"&amp;R198+1&amp;":B210"),0)+R198&amp;""),
IF(AND(LEFT(INDIRECT("B"&amp;R198&amp;""),3)="奈良屋",COUNTIF(B:B,"*奈良屋*")&gt;=2),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49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49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49" t="str">
        <f t="shared" ca="1" si="35"/>
        <v/>
      </c>
      <c r="AA198" s="49" t="str">
        <f t="shared" ca="1" si="36"/>
        <v/>
      </c>
      <c r="AB198" s="49" t="str">
        <f t="array" aca="1" ref="AB198" ca="1">IF($R198&lt;&gt;"",
IF(AND(COUNTIF(INDIRECT("B"&amp;R198&amp;""),"*雙葉*"),COUNTIF(B:B,"*雙葉*")&gt;=2),
INDIRECT("M"&amp;R198&amp;"")+INDIRECT("M"&amp;MATCH("雙葉'",INDIRECT("B"&amp;R198+1&amp;":B210"),0)+R198&amp;""),
IF(AND(LEFT(INDIRECT("B"&amp;R198&amp;""),2)="博多",COUNTIF(B:B,"*博多*")&gt;=2),
INDIRECT("M"&amp;R198&amp;"")+INDIRECT("M"&amp;MATCH("*"&amp;INDIRECT("B"&amp;R198&amp;"")&amp;"*",INDIRECT("B"&amp;R198+1&amp;":B210"),0)+R198&amp;""),
IF(AND(LEFT(INDIRECT("B"&amp;R198&amp;""),3)="奈良屋",COUNTIF(B:B,"*奈良屋*")&gt;=2),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  <c r="AC198" s="49" t="str">
        <f ca="1">IF(S198&lt;&gt;"",INDEX(A:A, MATCH("*"&amp;LEFT(S198,4)&amp;"*", C:C, 0)),"")</f>
        <v/>
      </c>
      <c r="AD198" s="49" t="str">
        <f ca="1">IFERROR(INDEX(AC:AC,MATCH(SMALL($AU:$AU,ROW()+3),$AU:$AU,0)),"")</f>
        <v/>
      </c>
      <c r="AE198" s="49" t="str">
        <f ca="1">IFERROR(INDEX(R:R,MATCH(SMALL($AU:$AU,ROW()+3),$AU:$AU,0)),"")</f>
        <v/>
      </c>
      <c r="AF198" s="49" t="str">
        <f ca="1">IFERROR(INDEX(S:S,MATCH(SMALL($AU:$AU,ROW()+3),$AU:$AU,0)),"")</f>
        <v/>
      </c>
      <c r="AG198" s="49" t="str">
        <f ca="1">IFERROR(INDEX(T:T,MATCH(SMALL($AU:$AU,ROW()+3),$AU:$AU,0)),"")</f>
        <v/>
      </c>
      <c r="AH198" s="122" t="str">
        <f ca="1">IFERROR(INDEX(U:U,MATCH(SMALL($AU:$AU,ROW()+3),$AU:$AU,0)),"")</f>
        <v/>
      </c>
      <c r="AI198" s="49" t="str">
        <f ca="1">IFERROR(INDEX(V:V,MATCH(SMALL($AU:$AU,ROW()+3),$AU:$AU,0)),"")</f>
        <v/>
      </c>
      <c r="AJ198" s="49" t="str">
        <f ca="1">IFERROR(INDEX(W:W,MATCH(SMALL($AU:$AU,ROW()+3),$AU:$AU,0)),"")</f>
        <v/>
      </c>
      <c r="AK198" s="49" t="str">
        <f ca="1">IFERROR(INDEX(X:X,MATCH(SMALL($AU:$AU,ROW()+3),$AU:$AU,0)),"")</f>
        <v/>
      </c>
      <c r="AL198" s="49" t="str">
        <f ca="1">IFERROR(INDEX(Y:Y,MATCH(SMALL($AU:$AU,ROW()+3),$AU:$AU,0)),"")</f>
        <v/>
      </c>
      <c r="AM198" s="49" t="str">
        <f ca="1">IFERROR(INDEX(Z:Z,MATCH(SMALL($AU:$AU,ROW()+3),$AU:$AU,0)),"")</f>
        <v/>
      </c>
      <c r="AN198" s="49" t="str">
        <f ca="1">IFERROR(INDEX(AA:AA,MATCH(SMALL($AU:$AU,ROW()+3),$AU:$AU,0)),"")</f>
        <v/>
      </c>
      <c r="AO198" s="49" t="str">
        <f ca="1">IFERROR(INDEX(AB:AB,MATCH(SMALL($AU:$AU,ROW()+3),$AU:$AU,0)),"")</f>
        <v/>
      </c>
      <c r="AP198" s="49" t="str">
        <f ca="1">IFERROR(INDEX(AC:AC,MATCH(SMALL($AU:$AU,ROW()+3),$AU:$AU,0)),"")</f>
        <v/>
      </c>
      <c r="AU198" s="49" t="str">
        <f t="shared" ca="1" si="37"/>
        <v/>
      </c>
    </row>
    <row r="199" spans="1:47" ht="22.2" customHeight="1">
      <c r="A199" s="115">
        <f t="shared" si="32"/>
        <v>123</v>
      </c>
      <c r="B199" s="114" t="str">
        <f t="shared" ref="B199:B210" ca="1" si="38">IF(COUNTIF(C199,"*雙葉*"),
IF(COUNTIF(INDIRECT("B1:B"&amp;ROW()-1&amp;""),"雙葉"),
IF(COUNTIF(C199,"*先生*"),"雙葉先生","雙葉'"),"雙葉"),
IF(COUNTIF(C199,"*社食*"),"社食'",
IF(LEFT(C199,2)="博多",
IF(IFERROR(TRIM(LEFT(C198,FIND("幼",C198)-1)),TRIM(C198))=IFERROR(TRIM(LEFT(C199,FIND("幼",C199)-1)),TRIM(C199)),
IFERROR(TRIM(LEFT(C199,FIND("幼",C199)-1)),TRIM(C199))&amp;"'",IFERROR(TRIM(LEFT(C199,FIND("幼",C199)-1)),TRIM(C199))),
IF(LEFT(C199,3)="奈良屋",
IF(TRIM(LEFT(C198,FIND("幼",C198)-1))=TRIM(LEFT(C199,FIND("幼",C199)-1)),
"奈良屋'","奈良屋"),""))))</f>
        <v/>
      </c>
      <c r="C199" s="114" t="str">
        <f>IF(OR(クライアント抽出!D59&lt;&gt;"",クライアント抽出!G59&lt;&gt;""),クライアント抽出!A59,"")</f>
        <v/>
      </c>
      <c r="D199" s="114" t="str">
        <f t="array" aca="1" ref="D199" ca="1">IF(C199&lt;&gt;"",INDIRECT("クライアント抽出!"&amp;E199&amp;MATCH(C199,クライアント抽出!A:A,0)&amp;""),"")</f>
        <v/>
      </c>
      <c r="E199" s="114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17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114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116" t="str">
        <f>IF(C199&lt;&gt;"",
クライアント抽出!D59,"")</f>
        <v/>
      </c>
      <c r="I199" s="114" t="str">
        <f>IF(C199&lt;&gt;"",
IF(O199=1,0,クライアント抽出!F59),"")</f>
        <v/>
      </c>
      <c r="J199" s="114" t="str">
        <f>IF(C199&lt;&gt;"",
VLOOKUP(
"*"&amp;LEFT(IF(COUNTIF(D199,"*学食*"),"キャラ弁（学食）",
IF(COUNTIF(D199,"*赤*"),"赤",
IF(COUNTIF(D199,"*キャラ弁当*"),"キャラ弁当",D199))),4)&amp;"*",注文弁当の抽出!$E$1:$F$15,2,FALSE),"")</f>
        <v/>
      </c>
      <c r="K199" s="114" t="str">
        <f ca="1">IF(クライアント抽出!R59&lt;&gt;"",SUBSTITUTE(ADDRESS(1,(CODE(クライアント抽出!R59)-64)*2-1,4),"1",""),"")</f>
        <v/>
      </c>
      <c r="L199" s="114" t="str">
        <f>IF(C59&lt;&gt;"",クライアント抽出!I59,"")</f>
        <v/>
      </c>
      <c r="M199" s="114">
        <f t="array" aca="1" ref="M199" ca="1">IF(C199&lt;&gt;"",
IF(K199&lt;&gt;"",INDIRECT("'数出表_Excel（アレルギー入力）'!"&amp;K199&amp;L199-1&amp;""),),)</f>
        <v>0</v>
      </c>
      <c r="N199" s="114" t="str">
        <f>IF(C199&lt;&gt;"",IF(OR(COUNTIF('盛付札（関数）'!D199,"*赤*"),COUNTIF('盛付札（関数）'!D199,"*キャラ*")),1,
VLOOKUP("*"&amp;D199&amp;"*",商品マスタ一覧!D:H,5,FALSE)),"")</f>
        <v/>
      </c>
      <c r="O199" s="114">
        <f t="shared" ca="1" si="31"/>
        <v>0</v>
      </c>
      <c r="P199" s="114">
        <f t="shared" si="33"/>
        <v>0</v>
      </c>
      <c r="Q199" s="114" t="b">
        <f t="shared" si="34"/>
        <v>0</v>
      </c>
      <c r="R199" s="49" t="str">
        <f t="array" aca="1" ref="R199" ca="1">IFERROR(SMALL(IF(P$1:P$311&lt;&gt;0,P$1:P$311),ROW(A199)),"")</f>
        <v/>
      </c>
      <c r="S199" s="49" t="str">
        <f t="array" aca="1" ref="S199" ca="1">IF($R199&lt;&gt;"",
SUBSTITUTE(SUBSTITUTE(INDIRECT("C"&amp;$R199&amp;"")," 週3ｺｰｽ","")," 週5ｺｰｽ",""),"")</f>
        <v/>
      </c>
      <c r="T199" s="49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22" t="str">
        <f t="array" aca="1" ref="U199" ca="1">IF($R199&lt;&gt;"",
INDIRECT("F"&amp;$R199&amp;""),"")</f>
        <v/>
      </c>
      <c r="V199" s="49" t="str">
        <f t="array" aca="1" ref="V199" ca="1">IF($R199&lt;&gt;"",
INDIRECT("G"&amp;$R199&amp;""),"")</f>
        <v/>
      </c>
      <c r="W199" s="49" t="str">
        <f t="array" aca="1" ref="W199" ca="1">IF($R199&lt;&gt;"",
IF(AND(COUNTIF(INDIRECT("B"&amp;R199&amp;""),"*雙葉*"),COUNTIF(B:B,"*雙葉*")&gt;=2),
IF(OR(COUNTIF(INDIRECT("B"&amp;R199&amp;""),"*雙葉先生*"),COUNTIF($B$1:$B$70,"*雙葉*")&gt;=2),INDIRECT("H"&amp;R199&amp;""),INDIRECT("H"&amp;R199&amp;"")+INDIRECT("H"&amp;MATCH("雙葉'",INDIRECT("B"&amp;R199+3&amp;":B210"),0)+2+R199&amp;"")),
IF(AND(LEFT(INDIRECT("B"&amp;R199&amp;""),2)="博多",COUNTIF(B:B,"*博多*")&gt;=2),
INDIRECT("H"&amp;R199&amp;"")+INDIRECT("H"&amp;MATCH("*"&amp;INDIRECT("B"&amp;R199&amp;"")&amp;"*",INDIRECT("B"&amp;R199+1&amp;":B210"),0)+R199&amp;""),
IF(AND(LEFT(INDIRECT("B"&amp;R199&amp;""),3)="奈良屋",COUNTIF(B:B,"*奈良屋*")&gt;=2),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49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49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49" t="str">
        <f t="shared" ca="1" si="35"/>
        <v/>
      </c>
      <c r="AA199" s="49" t="str">
        <f t="shared" ca="1" si="36"/>
        <v/>
      </c>
      <c r="AB199" s="49" t="str">
        <f t="array" aca="1" ref="AB199" ca="1">IF($R199&lt;&gt;"",
IF(AND(COUNTIF(INDIRECT("B"&amp;R199&amp;""),"*雙葉*"),COUNTIF(B:B,"*雙葉*")&gt;=2),
INDIRECT("M"&amp;R199&amp;"")+INDIRECT("M"&amp;MATCH("雙葉'",INDIRECT("B"&amp;R199+1&amp;":B210"),0)+R199&amp;""),
IF(AND(LEFT(INDIRECT("B"&amp;R199&amp;""),2)="博多",COUNTIF(B:B,"*博多*")&gt;=2),
INDIRECT("M"&amp;R199&amp;"")+INDIRECT("M"&amp;MATCH("*"&amp;INDIRECT("B"&amp;R199&amp;"")&amp;"*",INDIRECT("B"&amp;R199+1&amp;":B210"),0)+R199&amp;""),
IF(AND(LEFT(INDIRECT("B"&amp;R199&amp;""),3)="奈良屋",COUNTIF(B:B,"*奈良屋*")&gt;=2),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  <c r="AC199" s="49" t="str">
        <f ca="1">IF(S199&lt;&gt;"",INDEX(A:A, MATCH("*"&amp;LEFT(S199,4)&amp;"*", C:C, 0)),"")</f>
        <v/>
      </c>
      <c r="AD199" s="49" t="str">
        <f ca="1">IFERROR(INDEX(AC:AC,MATCH(SMALL($AU:$AU,ROW()+3),$AU:$AU,0)),"")</f>
        <v/>
      </c>
      <c r="AE199" s="49" t="str">
        <f ca="1">IFERROR(INDEX(R:R,MATCH(SMALL($AU:$AU,ROW()+3),$AU:$AU,0)),"")</f>
        <v/>
      </c>
      <c r="AF199" s="49" t="str">
        <f ca="1">IFERROR(INDEX(S:S,MATCH(SMALL($AU:$AU,ROW()+3),$AU:$AU,0)),"")</f>
        <v/>
      </c>
      <c r="AG199" s="49" t="str">
        <f ca="1">IFERROR(INDEX(T:T,MATCH(SMALL($AU:$AU,ROW()+3),$AU:$AU,0)),"")</f>
        <v/>
      </c>
      <c r="AH199" s="122" t="str">
        <f ca="1">IFERROR(INDEX(U:U,MATCH(SMALL($AU:$AU,ROW()+3),$AU:$AU,0)),"")</f>
        <v/>
      </c>
      <c r="AI199" s="49" t="str">
        <f ca="1">IFERROR(INDEX(V:V,MATCH(SMALL($AU:$AU,ROW()+3),$AU:$AU,0)),"")</f>
        <v/>
      </c>
      <c r="AJ199" s="49" t="str">
        <f ca="1">IFERROR(INDEX(W:W,MATCH(SMALL($AU:$AU,ROW()+3),$AU:$AU,0)),"")</f>
        <v/>
      </c>
      <c r="AK199" s="49" t="str">
        <f ca="1">IFERROR(INDEX(X:X,MATCH(SMALL($AU:$AU,ROW()+3),$AU:$AU,0)),"")</f>
        <v/>
      </c>
      <c r="AL199" s="49" t="str">
        <f ca="1">IFERROR(INDEX(Y:Y,MATCH(SMALL($AU:$AU,ROW()+3),$AU:$AU,0)),"")</f>
        <v/>
      </c>
      <c r="AM199" s="49" t="str">
        <f ca="1">IFERROR(INDEX(Z:Z,MATCH(SMALL($AU:$AU,ROW()+3),$AU:$AU,0)),"")</f>
        <v/>
      </c>
      <c r="AN199" s="49" t="str">
        <f ca="1">IFERROR(INDEX(AA:AA,MATCH(SMALL($AU:$AU,ROW()+3),$AU:$AU,0)),"")</f>
        <v/>
      </c>
      <c r="AO199" s="49" t="str">
        <f ca="1">IFERROR(INDEX(AB:AB,MATCH(SMALL($AU:$AU,ROW()+3),$AU:$AU,0)),"")</f>
        <v/>
      </c>
      <c r="AP199" s="49" t="str">
        <f ca="1">IFERROR(INDEX(AC:AC,MATCH(SMALL($AU:$AU,ROW()+3),$AU:$AU,0)),"")</f>
        <v/>
      </c>
      <c r="AU199" s="49" t="str">
        <f t="shared" ca="1" si="37"/>
        <v/>
      </c>
    </row>
    <row r="200" spans="1:47" ht="22.2" customHeight="1">
      <c r="A200" s="115">
        <f t="shared" si="32"/>
        <v>125</v>
      </c>
      <c r="B200" s="114" t="str">
        <f t="shared" ca="1" si="38"/>
        <v/>
      </c>
      <c r="C200" s="114" t="str">
        <f>IF(OR(クライアント抽出!D60&lt;&gt;"",クライアント抽出!G60&lt;&gt;""),クライアント抽出!A60,"")</f>
        <v/>
      </c>
      <c r="D200" s="114" t="str">
        <f t="array" aca="1" ref="D200" ca="1">IF(C200&lt;&gt;"",INDIRECT("クライアント抽出!"&amp;E200&amp;MATCH(C200,クライアント抽出!A:A,0)&amp;""),"")</f>
        <v/>
      </c>
      <c r="E200" s="114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17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114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116" t="str">
        <f>IF(C200&lt;&gt;"",
クライアント抽出!D60,"")</f>
        <v/>
      </c>
      <c r="I200" s="114" t="str">
        <f>IF(C200&lt;&gt;"",
IF(O200=1,0,クライアント抽出!F60),"")</f>
        <v/>
      </c>
      <c r="J200" s="114" t="str">
        <f>IF(C200&lt;&gt;"",
VLOOKUP(
"*"&amp;LEFT(IF(COUNTIF(D200,"*学食*"),"キャラ弁（学食）",
IF(COUNTIF(D200,"*赤*"),"赤",
IF(COUNTIF(D200,"*キャラ弁当*"),"キャラ弁当",D200))),4)&amp;"*",注文弁当の抽出!$E$1:$F$15,2,FALSE),"")</f>
        <v/>
      </c>
      <c r="K200" s="114" t="str">
        <f ca="1">IF(クライアント抽出!R60&lt;&gt;"",SUBSTITUTE(ADDRESS(1,(CODE(クライアント抽出!R60)-64)*2-1,4),"1",""),"")</f>
        <v/>
      </c>
      <c r="L200" s="114" t="str">
        <f>IF(C60&lt;&gt;"",クライアント抽出!I60,"")</f>
        <v/>
      </c>
      <c r="M200" s="114">
        <f t="array" aca="1" ref="M200" ca="1">IF(C200&lt;&gt;"",
IF(K200&lt;&gt;"",INDIRECT("'数出表_Excel（アレルギー入力）'!"&amp;K200&amp;L200-1&amp;""),),)</f>
        <v>0</v>
      </c>
      <c r="N200" s="114" t="str">
        <f>IF(C200&lt;&gt;"",IF(OR(COUNTIF('盛付札（関数）'!D200,"*赤*"),COUNTIF('盛付札（関数）'!D200,"*キャラ*")),1,
VLOOKUP("*"&amp;D200&amp;"*",商品マスタ一覧!D:H,5,FALSE)),"")</f>
        <v/>
      </c>
      <c r="O200" s="114">
        <f t="shared" ca="1" si="31"/>
        <v>0</v>
      </c>
      <c r="P200" s="114">
        <f t="shared" si="33"/>
        <v>0</v>
      </c>
      <c r="Q200" s="114" t="b">
        <f t="shared" si="34"/>
        <v>0</v>
      </c>
      <c r="R200" s="49" t="str">
        <f t="array" aca="1" ref="R200" ca="1">IFERROR(SMALL(IF(P$1:P$311&lt;&gt;0,P$1:P$311),ROW(A200)),"")</f>
        <v/>
      </c>
      <c r="S200" s="49" t="str">
        <f t="array" aca="1" ref="S200" ca="1">IF($R200&lt;&gt;"",
SUBSTITUTE(SUBSTITUTE(INDIRECT("C"&amp;$R200&amp;"")," 週3ｺｰｽ","")," 週5ｺｰｽ",""),"")</f>
        <v/>
      </c>
      <c r="T200" s="49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22" t="str">
        <f t="array" aca="1" ref="U200" ca="1">IF($R200&lt;&gt;"",
INDIRECT("F"&amp;$R200&amp;""),"")</f>
        <v/>
      </c>
      <c r="V200" s="49" t="str">
        <f t="array" aca="1" ref="V200" ca="1">IF($R200&lt;&gt;"",
INDIRECT("G"&amp;$R200&amp;""),"")</f>
        <v/>
      </c>
      <c r="W200" s="49" t="str">
        <f t="array" aca="1" ref="W200" ca="1">IF($R200&lt;&gt;"",
IF(AND(COUNTIF(INDIRECT("B"&amp;R200&amp;""),"*雙葉*"),COUNTIF(B:B,"*雙葉*")&gt;=2),
IF(OR(COUNTIF(INDIRECT("B"&amp;R200&amp;""),"*雙葉先生*"),COUNTIF($B$1:$B$70,"*雙葉*")&gt;=2),INDIRECT("H"&amp;R200&amp;""),INDIRECT("H"&amp;R200&amp;"")+INDIRECT("H"&amp;MATCH("雙葉'",INDIRECT("B"&amp;R200+3&amp;":B210"),0)+2+R200&amp;"")),
IF(AND(LEFT(INDIRECT("B"&amp;R200&amp;""),2)="博多",COUNTIF(B:B,"*博多*")&gt;=2),
INDIRECT("H"&amp;R200&amp;"")+INDIRECT("H"&amp;MATCH("*"&amp;INDIRECT("B"&amp;R200&amp;"")&amp;"*",INDIRECT("B"&amp;R200+1&amp;":B210"),0)+R200&amp;""),
IF(AND(LEFT(INDIRECT("B"&amp;R200&amp;""),3)="奈良屋",COUNTIF(B:B,"*奈良屋*")&gt;=2),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49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49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49" t="str">
        <f t="shared" ca="1" si="35"/>
        <v/>
      </c>
      <c r="AA200" s="49" t="str">
        <f t="shared" ca="1" si="36"/>
        <v/>
      </c>
      <c r="AB200" s="49" t="str">
        <f t="array" aca="1" ref="AB200" ca="1">IF($R200&lt;&gt;"",
IF(AND(COUNTIF(INDIRECT("B"&amp;R200&amp;""),"*雙葉*"),COUNTIF(B:B,"*雙葉*")&gt;=2),
INDIRECT("M"&amp;R200&amp;"")+INDIRECT("M"&amp;MATCH("雙葉'",INDIRECT("B"&amp;R200+1&amp;":B210"),0)+R200&amp;""),
IF(AND(LEFT(INDIRECT("B"&amp;R200&amp;""),2)="博多",COUNTIF(B:B,"*博多*")&gt;=2),
INDIRECT("M"&amp;R200&amp;"")+INDIRECT("M"&amp;MATCH("*"&amp;INDIRECT("B"&amp;R200&amp;"")&amp;"*",INDIRECT("B"&amp;R200+1&amp;":B210"),0)+R200&amp;""),
IF(AND(LEFT(INDIRECT("B"&amp;R200&amp;""),3)="奈良屋",COUNTIF(B:B,"*奈良屋*")&gt;=2),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  <c r="AC200" s="49" t="str">
        <f ca="1">IF(S200&lt;&gt;"",INDEX(A:A, MATCH("*"&amp;LEFT(S200,4)&amp;"*", C:C, 0)),"")</f>
        <v/>
      </c>
      <c r="AD200" s="49" t="str">
        <f ca="1">IFERROR(INDEX(AC:AC,MATCH(SMALL($AU:$AU,ROW()+3),$AU:$AU,0)),"")</f>
        <v/>
      </c>
      <c r="AE200" s="49" t="str">
        <f ca="1">IFERROR(INDEX(R:R,MATCH(SMALL($AU:$AU,ROW()+3),$AU:$AU,0)),"")</f>
        <v/>
      </c>
      <c r="AF200" s="49" t="str">
        <f ca="1">IFERROR(INDEX(S:S,MATCH(SMALL($AU:$AU,ROW()+3),$AU:$AU,0)),"")</f>
        <v/>
      </c>
      <c r="AG200" s="49" t="str">
        <f ca="1">IFERROR(INDEX(T:T,MATCH(SMALL($AU:$AU,ROW()+3),$AU:$AU,0)),"")</f>
        <v/>
      </c>
      <c r="AH200" s="122" t="str">
        <f ca="1">IFERROR(INDEX(U:U,MATCH(SMALL($AU:$AU,ROW()+3),$AU:$AU,0)),"")</f>
        <v/>
      </c>
      <c r="AI200" s="49" t="str">
        <f ca="1">IFERROR(INDEX(V:V,MATCH(SMALL($AU:$AU,ROW()+3),$AU:$AU,0)),"")</f>
        <v/>
      </c>
      <c r="AJ200" s="49" t="str">
        <f ca="1">IFERROR(INDEX(W:W,MATCH(SMALL($AU:$AU,ROW()+3),$AU:$AU,0)),"")</f>
        <v/>
      </c>
      <c r="AK200" s="49" t="str">
        <f ca="1">IFERROR(INDEX(X:X,MATCH(SMALL($AU:$AU,ROW()+3),$AU:$AU,0)),"")</f>
        <v/>
      </c>
      <c r="AL200" s="49" t="str">
        <f ca="1">IFERROR(INDEX(Y:Y,MATCH(SMALL($AU:$AU,ROW()+3),$AU:$AU,0)),"")</f>
        <v/>
      </c>
      <c r="AM200" s="49" t="str">
        <f ca="1">IFERROR(INDEX(Z:Z,MATCH(SMALL($AU:$AU,ROW()+3),$AU:$AU,0)),"")</f>
        <v/>
      </c>
      <c r="AN200" s="49" t="str">
        <f ca="1">IFERROR(INDEX(AA:AA,MATCH(SMALL($AU:$AU,ROW()+3),$AU:$AU,0)),"")</f>
        <v/>
      </c>
      <c r="AO200" s="49" t="str">
        <f ca="1">IFERROR(INDEX(AB:AB,MATCH(SMALL($AU:$AU,ROW()+3),$AU:$AU,0)),"")</f>
        <v/>
      </c>
      <c r="AP200" s="49" t="str">
        <f ca="1">IFERROR(INDEX(AC:AC,MATCH(SMALL($AU:$AU,ROW()+3),$AU:$AU,0)),"")</f>
        <v/>
      </c>
      <c r="AU200" s="49" t="str">
        <f t="shared" ca="1" si="37"/>
        <v/>
      </c>
    </row>
    <row r="201" spans="1:47" ht="22.2" customHeight="1">
      <c r="A201" s="115">
        <f t="shared" si="32"/>
        <v>127</v>
      </c>
      <c r="B201" s="114" t="str">
        <f t="shared" ca="1" si="38"/>
        <v/>
      </c>
      <c r="C201" s="114" t="str">
        <f>IF(OR(クライアント抽出!D61&lt;&gt;"",クライアント抽出!G61&lt;&gt;""),クライアント抽出!A61,"")</f>
        <v/>
      </c>
      <c r="D201" s="114" t="str">
        <f t="array" aca="1" ref="D201" ca="1">IF(C201&lt;&gt;"",INDIRECT("クライアント抽出!"&amp;E201&amp;MATCH(C201,クライアント抽出!A:A,0)&amp;""),"")</f>
        <v/>
      </c>
      <c r="E201" s="114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17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114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116" t="str">
        <f>IF(C201&lt;&gt;"",
クライアント抽出!D61,"")</f>
        <v/>
      </c>
      <c r="I201" s="114" t="str">
        <f>IF(C201&lt;&gt;"",
IF(O201=1,0,クライアント抽出!F61),"")</f>
        <v/>
      </c>
      <c r="J201" s="114" t="str">
        <f>IF(C201&lt;&gt;"",
VLOOKUP(
"*"&amp;LEFT(IF(COUNTIF(D201,"*学食*"),"キャラ弁（学食）",
IF(COUNTIF(D201,"*赤*"),"赤",
IF(COUNTIF(D201,"*キャラ弁当*"),"キャラ弁当",D201))),4)&amp;"*",注文弁当の抽出!$E$1:$F$15,2,FALSE),"")</f>
        <v/>
      </c>
      <c r="K201" s="114" t="str">
        <f ca="1">IF(クライアント抽出!R61&lt;&gt;"",SUBSTITUTE(ADDRESS(1,(CODE(クライアント抽出!R61)-64)*2-1,4),"1",""),"")</f>
        <v/>
      </c>
      <c r="L201" s="114" t="str">
        <f>IF(C61&lt;&gt;"",クライアント抽出!I61,"")</f>
        <v/>
      </c>
      <c r="M201" s="114">
        <f t="array" aca="1" ref="M201" ca="1">IF(C201&lt;&gt;"",
IF(K201&lt;&gt;"",INDIRECT("'数出表_Excel（アレルギー入力）'!"&amp;K201&amp;L201-1&amp;""),),)</f>
        <v>0</v>
      </c>
      <c r="N201" s="114" t="str">
        <f>IF(C201&lt;&gt;"",IF(OR(COUNTIF('盛付札（関数）'!D201,"*赤*"),COUNTIF('盛付札（関数）'!D201,"*キャラ*")),1,
VLOOKUP("*"&amp;D201&amp;"*",商品マスタ一覧!D:H,5,FALSE)),"")</f>
        <v/>
      </c>
      <c r="O201" s="114">
        <f t="shared" ca="1" si="31"/>
        <v>0</v>
      </c>
      <c r="P201" s="114">
        <f t="shared" si="33"/>
        <v>0</v>
      </c>
      <c r="Q201" s="114" t="b">
        <f t="shared" si="34"/>
        <v>0</v>
      </c>
      <c r="R201" s="49" t="str">
        <f t="array" aca="1" ref="R201" ca="1">IFERROR(SMALL(IF(P$1:P$311&lt;&gt;0,P$1:P$311),ROW(A201)),"")</f>
        <v/>
      </c>
      <c r="S201" s="49" t="str">
        <f t="array" aca="1" ref="S201" ca="1">IF($R201&lt;&gt;"",
SUBSTITUTE(SUBSTITUTE(INDIRECT("C"&amp;$R201&amp;"")," 週3ｺｰｽ","")," 週5ｺｰｽ",""),"")</f>
        <v/>
      </c>
      <c r="T201" s="49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22" t="str">
        <f t="array" aca="1" ref="U201" ca="1">IF($R201&lt;&gt;"",
INDIRECT("F"&amp;$R201&amp;""),"")</f>
        <v/>
      </c>
      <c r="V201" s="49" t="str">
        <f t="array" aca="1" ref="V201" ca="1">IF($R201&lt;&gt;"",
INDIRECT("G"&amp;$R201&amp;""),"")</f>
        <v/>
      </c>
      <c r="W201" s="49" t="str">
        <f t="array" aca="1" ref="W201" ca="1">IF($R201&lt;&gt;"",
IF(AND(COUNTIF(INDIRECT("B"&amp;R201&amp;""),"*雙葉*"),COUNTIF(B:B,"*雙葉*")&gt;=2),
IF(OR(COUNTIF(INDIRECT("B"&amp;R201&amp;""),"*雙葉先生*"),COUNTIF($B$1:$B$70,"*雙葉*")&gt;=2),INDIRECT("H"&amp;R201&amp;""),INDIRECT("H"&amp;R201&amp;"")+INDIRECT("H"&amp;MATCH("雙葉'",INDIRECT("B"&amp;R201+3&amp;":B210"),0)+2+R201&amp;"")),
IF(AND(LEFT(INDIRECT("B"&amp;R201&amp;""),2)="博多",COUNTIF(B:B,"*博多*")&gt;=2),
INDIRECT("H"&amp;R201&amp;"")+INDIRECT("H"&amp;MATCH("*"&amp;INDIRECT("B"&amp;R201&amp;"")&amp;"*",INDIRECT("B"&amp;R201+1&amp;":B210"),0)+R201&amp;""),
IF(AND(LEFT(INDIRECT("B"&amp;R201&amp;""),3)="奈良屋",COUNTIF(B:B,"*奈良屋*")&gt;=2),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49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49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49" t="str">
        <f t="shared" ca="1" si="35"/>
        <v/>
      </c>
      <c r="AA201" s="49" t="str">
        <f t="shared" ca="1" si="36"/>
        <v/>
      </c>
      <c r="AB201" s="49" t="str">
        <f t="array" aca="1" ref="AB201" ca="1">IF($R201&lt;&gt;"",
IF(AND(COUNTIF(INDIRECT("B"&amp;R201&amp;""),"*雙葉*"),COUNTIF(B:B,"*雙葉*")&gt;=2),
INDIRECT("M"&amp;R201&amp;"")+INDIRECT("M"&amp;MATCH("雙葉'",INDIRECT("B"&amp;R201+1&amp;":B210"),0)+R201&amp;""),
IF(AND(LEFT(INDIRECT("B"&amp;R201&amp;""),2)="博多",COUNTIF(B:B,"*博多*")&gt;=2),
INDIRECT("M"&amp;R201&amp;"")+INDIRECT("M"&amp;MATCH("*"&amp;INDIRECT("B"&amp;R201&amp;"")&amp;"*",INDIRECT("B"&amp;R201+1&amp;":B210"),0)+R201&amp;""),
IF(AND(LEFT(INDIRECT("B"&amp;R201&amp;""),3)="奈良屋",COUNTIF(B:B,"*奈良屋*")&gt;=2),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  <c r="AC201" s="49" t="str">
        <f ca="1">IF(S201&lt;&gt;"",INDEX(A:A, MATCH("*"&amp;LEFT(S201,4)&amp;"*", C:C, 0)),"")</f>
        <v/>
      </c>
      <c r="AD201" s="49" t="str">
        <f ca="1">IFERROR(INDEX(AC:AC,MATCH(SMALL($AU:$AU,ROW()+3),$AU:$AU,0)),"")</f>
        <v/>
      </c>
      <c r="AE201" s="49" t="str">
        <f ca="1">IFERROR(INDEX(R:R,MATCH(SMALL($AU:$AU,ROW()+3),$AU:$AU,0)),"")</f>
        <v/>
      </c>
      <c r="AF201" s="49" t="str">
        <f ca="1">IFERROR(INDEX(S:S,MATCH(SMALL($AU:$AU,ROW()+3),$AU:$AU,0)),"")</f>
        <v/>
      </c>
      <c r="AG201" s="49" t="str">
        <f ca="1">IFERROR(INDEX(T:T,MATCH(SMALL($AU:$AU,ROW()+3),$AU:$AU,0)),"")</f>
        <v/>
      </c>
      <c r="AH201" s="122" t="str">
        <f ca="1">IFERROR(INDEX(U:U,MATCH(SMALL($AU:$AU,ROW()+3),$AU:$AU,0)),"")</f>
        <v/>
      </c>
      <c r="AI201" s="49" t="str">
        <f ca="1">IFERROR(INDEX(V:V,MATCH(SMALL($AU:$AU,ROW()+3),$AU:$AU,0)),"")</f>
        <v/>
      </c>
      <c r="AJ201" s="49" t="str">
        <f ca="1">IFERROR(INDEX(W:W,MATCH(SMALL($AU:$AU,ROW()+3),$AU:$AU,0)),"")</f>
        <v/>
      </c>
      <c r="AK201" s="49" t="str">
        <f ca="1">IFERROR(INDEX(X:X,MATCH(SMALL($AU:$AU,ROW()+3),$AU:$AU,0)),"")</f>
        <v/>
      </c>
      <c r="AL201" s="49" t="str">
        <f ca="1">IFERROR(INDEX(Y:Y,MATCH(SMALL($AU:$AU,ROW()+3),$AU:$AU,0)),"")</f>
        <v/>
      </c>
      <c r="AM201" s="49" t="str">
        <f ca="1">IFERROR(INDEX(Z:Z,MATCH(SMALL($AU:$AU,ROW()+3),$AU:$AU,0)),"")</f>
        <v/>
      </c>
      <c r="AN201" s="49" t="str">
        <f ca="1">IFERROR(INDEX(AA:AA,MATCH(SMALL($AU:$AU,ROW()+3),$AU:$AU,0)),"")</f>
        <v/>
      </c>
      <c r="AO201" s="49" t="str">
        <f ca="1">IFERROR(INDEX(AB:AB,MATCH(SMALL($AU:$AU,ROW()+3),$AU:$AU,0)),"")</f>
        <v/>
      </c>
      <c r="AP201" s="49" t="str">
        <f ca="1">IFERROR(INDEX(AC:AC,MATCH(SMALL($AU:$AU,ROW()+3),$AU:$AU,0)),"")</f>
        <v/>
      </c>
      <c r="AU201" s="49" t="str">
        <f t="shared" ca="1" si="37"/>
        <v/>
      </c>
    </row>
    <row r="202" spans="1:47" ht="22.2" customHeight="1">
      <c r="A202" s="115">
        <f t="shared" si="32"/>
        <v>129</v>
      </c>
      <c r="B202" s="114" t="str">
        <f t="shared" ca="1" si="38"/>
        <v/>
      </c>
      <c r="C202" s="114" t="str">
        <f>IF(OR(クライアント抽出!D62&lt;&gt;"",クライアント抽出!G62&lt;&gt;""),クライアント抽出!A62,"")</f>
        <v/>
      </c>
      <c r="D202" s="114" t="str">
        <f t="array" aca="1" ref="D202" ca="1">IF(C202&lt;&gt;"",INDIRECT("クライアント抽出!"&amp;E202&amp;MATCH(C202,クライアント抽出!A:A,0)&amp;""),"")</f>
        <v/>
      </c>
      <c r="E202" s="114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17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114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116" t="str">
        <f>IF(C202&lt;&gt;"",
クライアント抽出!D62,"")</f>
        <v/>
      </c>
      <c r="I202" s="114" t="str">
        <f>IF(C202&lt;&gt;"",
IF(O202=1,0,クライアント抽出!F62),"")</f>
        <v/>
      </c>
      <c r="J202" s="114" t="str">
        <f>IF(C202&lt;&gt;"",
VLOOKUP(
"*"&amp;LEFT(IF(COUNTIF(D202,"*学食*"),"キャラ弁（学食）",
IF(COUNTIF(D202,"*赤*"),"赤",
IF(COUNTIF(D202,"*キャラ弁当*"),"キャラ弁当",D202))),4)&amp;"*",注文弁当の抽出!$E$1:$F$15,2,FALSE),"")</f>
        <v/>
      </c>
      <c r="K202" s="114" t="str">
        <f ca="1">IF(クライアント抽出!R62&lt;&gt;"",SUBSTITUTE(ADDRESS(1,(CODE(クライアント抽出!R62)-64)*2-1,4),"1",""),"")</f>
        <v/>
      </c>
      <c r="L202" s="114" t="str">
        <f>IF(C62&lt;&gt;"",クライアント抽出!I62,"")</f>
        <v/>
      </c>
      <c r="M202" s="114">
        <f t="array" aca="1" ref="M202" ca="1">IF(C202&lt;&gt;"",
IF(K202&lt;&gt;"",INDIRECT("'数出表_Excel（アレルギー入力）'!"&amp;K202&amp;L202-1&amp;""),),)</f>
        <v>0</v>
      </c>
      <c r="N202" s="114" t="str">
        <f>IF(C202&lt;&gt;"",IF(OR(COUNTIF('盛付札（関数）'!D202,"*赤*"),COUNTIF('盛付札（関数）'!D202,"*キャラ*")),1,
VLOOKUP("*"&amp;D202&amp;"*",商品マスタ一覧!D:H,5,FALSE)),"")</f>
        <v/>
      </c>
      <c r="O202" s="114">
        <f t="shared" ca="1" si="31"/>
        <v>0</v>
      </c>
      <c r="P202" s="114">
        <f t="shared" si="33"/>
        <v>0</v>
      </c>
      <c r="Q202" s="114" t="b">
        <f t="shared" si="34"/>
        <v>0</v>
      </c>
      <c r="R202" s="49" t="str">
        <f t="array" aca="1" ref="R202" ca="1">IFERROR(SMALL(IF(P$1:P$311&lt;&gt;0,P$1:P$311),ROW(A202)),"")</f>
        <v/>
      </c>
      <c r="S202" s="49" t="str">
        <f t="array" aca="1" ref="S202" ca="1">IF($R202&lt;&gt;"",
SUBSTITUTE(SUBSTITUTE(INDIRECT("C"&amp;$R202&amp;"")," 週3ｺｰｽ","")," 週5ｺｰｽ",""),"")</f>
        <v/>
      </c>
      <c r="T202" s="49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22" t="str">
        <f t="array" aca="1" ref="U202" ca="1">IF($R202&lt;&gt;"",
INDIRECT("F"&amp;$R202&amp;""),"")</f>
        <v/>
      </c>
      <c r="V202" s="49" t="str">
        <f t="array" aca="1" ref="V202" ca="1">IF($R202&lt;&gt;"",
INDIRECT("G"&amp;$R202&amp;""),"")</f>
        <v/>
      </c>
      <c r="W202" s="49" t="str">
        <f t="array" aca="1" ref="W202" ca="1">IF($R202&lt;&gt;"",
IF(AND(COUNTIF(INDIRECT("B"&amp;R202&amp;""),"*雙葉*"),COUNTIF(B:B,"*雙葉*")&gt;=2),
IF(OR(COUNTIF(INDIRECT("B"&amp;R202&amp;""),"*雙葉先生*"),COUNTIF($B$1:$B$70,"*雙葉*")&gt;=2),INDIRECT("H"&amp;R202&amp;""),INDIRECT("H"&amp;R202&amp;"")+INDIRECT("H"&amp;MATCH("雙葉'",INDIRECT("B"&amp;R202+3&amp;":B210"),0)+2+R202&amp;"")),
IF(AND(LEFT(INDIRECT("B"&amp;R202&amp;""),2)="博多",COUNTIF(B:B,"*博多*")&gt;=2),
INDIRECT("H"&amp;R202&amp;"")+INDIRECT("H"&amp;MATCH("*"&amp;INDIRECT("B"&amp;R202&amp;"")&amp;"*",INDIRECT("B"&amp;R202+1&amp;":B210"),0)+R202&amp;""),
IF(AND(LEFT(INDIRECT("B"&amp;R202&amp;""),3)="奈良屋",COUNTIF(B:B,"*奈良屋*")&gt;=2),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49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49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49" t="str">
        <f t="shared" ca="1" si="35"/>
        <v/>
      </c>
      <c r="AA202" s="49" t="str">
        <f t="shared" ca="1" si="36"/>
        <v/>
      </c>
      <c r="AB202" s="49" t="str">
        <f t="array" aca="1" ref="AB202" ca="1">IF($R202&lt;&gt;"",
IF(AND(COUNTIF(INDIRECT("B"&amp;R202&amp;""),"*雙葉*"),COUNTIF(B:B,"*雙葉*")&gt;=2),
INDIRECT("M"&amp;R202&amp;"")+INDIRECT("M"&amp;MATCH("雙葉'",INDIRECT("B"&amp;R202+1&amp;":B210"),0)+R202&amp;""),
IF(AND(LEFT(INDIRECT("B"&amp;R202&amp;""),2)="博多",COUNTIF(B:B,"*博多*")&gt;=2),
INDIRECT("M"&amp;R202&amp;"")+INDIRECT("M"&amp;MATCH("*"&amp;INDIRECT("B"&amp;R202&amp;"")&amp;"*",INDIRECT("B"&amp;R202+1&amp;":B210"),0)+R202&amp;""),
IF(AND(LEFT(INDIRECT("B"&amp;R202&amp;""),3)="奈良屋",COUNTIF(B:B,"*奈良屋*")&gt;=2),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  <c r="AC202" s="49" t="str">
        <f ca="1">IF(S202&lt;&gt;"",INDEX(A:A, MATCH("*"&amp;LEFT(S202,4)&amp;"*", C:C, 0)),"")</f>
        <v/>
      </c>
      <c r="AD202" s="49" t="str">
        <f ca="1">IFERROR(INDEX(AC:AC,MATCH(SMALL($AU:$AU,ROW()+3),$AU:$AU,0)),"")</f>
        <v/>
      </c>
      <c r="AE202" s="49" t="str">
        <f ca="1">IFERROR(INDEX(R:R,MATCH(SMALL($AU:$AU,ROW()+3),$AU:$AU,0)),"")</f>
        <v/>
      </c>
      <c r="AF202" s="49" t="str">
        <f ca="1">IFERROR(INDEX(S:S,MATCH(SMALL($AU:$AU,ROW()+3),$AU:$AU,0)),"")</f>
        <v/>
      </c>
      <c r="AG202" s="49" t="str">
        <f ca="1">IFERROR(INDEX(T:T,MATCH(SMALL($AU:$AU,ROW()+3),$AU:$AU,0)),"")</f>
        <v/>
      </c>
      <c r="AH202" s="122" t="str">
        <f ca="1">IFERROR(INDEX(U:U,MATCH(SMALL($AU:$AU,ROW()+3),$AU:$AU,0)),"")</f>
        <v/>
      </c>
      <c r="AI202" s="49" t="str">
        <f ca="1">IFERROR(INDEX(V:V,MATCH(SMALL($AU:$AU,ROW()+3),$AU:$AU,0)),"")</f>
        <v/>
      </c>
      <c r="AJ202" s="49" t="str">
        <f ca="1">IFERROR(INDEX(W:W,MATCH(SMALL($AU:$AU,ROW()+3),$AU:$AU,0)),"")</f>
        <v/>
      </c>
      <c r="AK202" s="49" t="str">
        <f ca="1">IFERROR(INDEX(X:X,MATCH(SMALL($AU:$AU,ROW()+3),$AU:$AU,0)),"")</f>
        <v/>
      </c>
      <c r="AL202" s="49" t="str">
        <f ca="1">IFERROR(INDEX(Y:Y,MATCH(SMALL($AU:$AU,ROW()+3),$AU:$AU,0)),"")</f>
        <v/>
      </c>
      <c r="AM202" s="49" t="str">
        <f ca="1">IFERROR(INDEX(Z:Z,MATCH(SMALL($AU:$AU,ROW()+3),$AU:$AU,0)),"")</f>
        <v/>
      </c>
      <c r="AN202" s="49" t="str">
        <f ca="1">IFERROR(INDEX(AA:AA,MATCH(SMALL($AU:$AU,ROW()+3),$AU:$AU,0)),"")</f>
        <v/>
      </c>
      <c r="AO202" s="49" t="str">
        <f ca="1">IFERROR(INDEX(AB:AB,MATCH(SMALL($AU:$AU,ROW()+3),$AU:$AU,0)),"")</f>
        <v/>
      </c>
      <c r="AP202" s="49" t="str">
        <f ca="1">IFERROR(INDEX(AC:AC,MATCH(SMALL($AU:$AU,ROW()+3),$AU:$AU,0)),"")</f>
        <v/>
      </c>
      <c r="AU202" s="49" t="str">
        <f t="shared" ca="1" si="37"/>
        <v/>
      </c>
    </row>
    <row r="203" spans="1:47" ht="22.2" customHeight="1">
      <c r="A203" s="115">
        <f t="shared" si="32"/>
        <v>131</v>
      </c>
      <c r="B203" s="114" t="str">
        <f t="shared" ca="1" si="38"/>
        <v/>
      </c>
      <c r="C203" s="114" t="str">
        <f>IF(OR(クライアント抽出!D63&lt;&gt;"",クライアント抽出!G63&lt;&gt;""),クライアント抽出!A63,"")</f>
        <v/>
      </c>
      <c r="D203" s="114" t="str">
        <f t="array" aca="1" ref="D203" ca="1">IF(C203&lt;&gt;"",INDIRECT("クライアント抽出!"&amp;E203&amp;MATCH(C203,クライアント抽出!A:A,0)&amp;""),"")</f>
        <v/>
      </c>
      <c r="E203" s="114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17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114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116" t="str">
        <f>IF(C203&lt;&gt;"",
クライアント抽出!D63,"")</f>
        <v/>
      </c>
      <c r="I203" s="114" t="str">
        <f>IF(C203&lt;&gt;"",
IF(O203=1,0,クライアント抽出!F63),"")</f>
        <v/>
      </c>
      <c r="J203" s="114" t="str">
        <f>IF(C203&lt;&gt;"",
VLOOKUP(
"*"&amp;LEFT(IF(COUNTIF(D203,"*学食*"),"キャラ弁（学食）",
IF(COUNTIF(D203,"*赤*"),"赤",
IF(COUNTIF(D203,"*キャラ弁当*"),"キャラ弁当",D203))),4)&amp;"*",注文弁当の抽出!$E$1:$F$15,2,FALSE),"")</f>
        <v/>
      </c>
      <c r="K203" s="114" t="str">
        <f ca="1">IF(クライアント抽出!R63&lt;&gt;"",SUBSTITUTE(ADDRESS(1,(CODE(クライアント抽出!R63)-64)*2-1,4),"1",""),"")</f>
        <v/>
      </c>
      <c r="L203" s="114" t="str">
        <f>IF(C63&lt;&gt;"",クライアント抽出!I63,"")</f>
        <v/>
      </c>
      <c r="M203" s="114">
        <f t="array" aca="1" ref="M203" ca="1">IF(C203&lt;&gt;"",
IF(K203&lt;&gt;"",INDIRECT("'数出表_Excel（アレルギー入力）'!"&amp;K203&amp;L203-1&amp;""),),)</f>
        <v>0</v>
      </c>
      <c r="N203" s="114" t="str">
        <f>IF(C203&lt;&gt;"",IF(OR(COUNTIF('盛付札（関数）'!D203,"*赤*"),COUNTIF('盛付札（関数）'!D203,"*キャラ*")),1,
VLOOKUP("*"&amp;D203&amp;"*",商品マスタ一覧!D:H,5,FALSE)),"")</f>
        <v/>
      </c>
      <c r="O203" s="114">
        <f t="shared" ca="1" si="31"/>
        <v>0</v>
      </c>
      <c r="P203" s="114">
        <f t="shared" si="33"/>
        <v>0</v>
      </c>
      <c r="Q203" s="114" t="b">
        <f t="shared" si="34"/>
        <v>0</v>
      </c>
      <c r="R203" s="49" t="str">
        <f t="array" aca="1" ref="R203" ca="1">IFERROR(SMALL(IF(P$1:P$311&lt;&gt;0,P$1:P$311),ROW(A203)),"")</f>
        <v/>
      </c>
      <c r="S203" s="49" t="str">
        <f t="array" aca="1" ref="S203" ca="1">IF($R203&lt;&gt;"",
SUBSTITUTE(SUBSTITUTE(INDIRECT("C"&amp;$R203&amp;"")," 週3ｺｰｽ","")," 週5ｺｰｽ",""),"")</f>
        <v/>
      </c>
      <c r="T203" s="49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22" t="str">
        <f t="array" aca="1" ref="U203" ca="1">IF($R203&lt;&gt;"",
INDIRECT("F"&amp;$R203&amp;""),"")</f>
        <v/>
      </c>
      <c r="V203" s="49" t="str">
        <f t="array" aca="1" ref="V203" ca="1">IF($R203&lt;&gt;"",
INDIRECT("G"&amp;$R203&amp;""),"")</f>
        <v/>
      </c>
      <c r="W203" s="49" t="str">
        <f t="array" aca="1" ref="W203" ca="1">IF($R203&lt;&gt;"",
IF(AND(COUNTIF(INDIRECT("B"&amp;R203&amp;""),"*雙葉*"),COUNTIF(B:B,"*雙葉*")&gt;=2),
IF(OR(COUNTIF(INDIRECT("B"&amp;R203&amp;""),"*雙葉先生*"),COUNTIF($B$1:$B$70,"*雙葉*")&gt;=2),INDIRECT("H"&amp;R203&amp;""),INDIRECT("H"&amp;R203&amp;"")+INDIRECT("H"&amp;MATCH("雙葉'",INDIRECT("B"&amp;R203+3&amp;":B210"),0)+2+R203&amp;"")),
IF(AND(LEFT(INDIRECT("B"&amp;R203&amp;""),2)="博多",COUNTIF(B:B,"*博多*")&gt;=2),
INDIRECT("H"&amp;R203&amp;"")+INDIRECT("H"&amp;MATCH("*"&amp;INDIRECT("B"&amp;R203&amp;"")&amp;"*",INDIRECT("B"&amp;R203+1&amp;":B210"),0)+R203&amp;""),
IF(AND(LEFT(INDIRECT("B"&amp;R203&amp;""),3)="奈良屋",COUNTIF(B:B,"*奈良屋*")&gt;=2),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49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49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49" t="str">
        <f t="shared" ca="1" si="35"/>
        <v/>
      </c>
      <c r="AA203" s="49" t="str">
        <f t="shared" ca="1" si="36"/>
        <v/>
      </c>
      <c r="AB203" s="49" t="str">
        <f t="array" aca="1" ref="AB203" ca="1">IF($R203&lt;&gt;"",
IF(AND(COUNTIF(INDIRECT("B"&amp;R203&amp;""),"*雙葉*"),COUNTIF(B:B,"*雙葉*")&gt;=2),
INDIRECT("M"&amp;R203&amp;"")+INDIRECT("M"&amp;MATCH("雙葉'",INDIRECT("B"&amp;R203+1&amp;":B210"),0)+R203&amp;""),
IF(AND(LEFT(INDIRECT("B"&amp;R203&amp;""),2)="博多",COUNTIF(B:B,"*博多*")&gt;=2),
INDIRECT("M"&amp;R203&amp;"")+INDIRECT("M"&amp;MATCH("*"&amp;INDIRECT("B"&amp;R203&amp;"")&amp;"*",INDIRECT("B"&amp;R203+1&amp;":B210"),0)+R203&amp;""),
IF(AND(LEFT(INDIRECT("B"&amp;R203&amp;""),3)="奈良屋",COUNTIF(B:B,"*奈良屋*")&gt;=2),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  <c r="AC203" s="49" t="str">
        <f ca="1">IF(S203&lt;&gt;"",INDEX(A:A, MATCH("*"&amp;LEFT(S203,4)&amp;"*", C:C, 0)),"")</f>
        <v/>
      </c>
      <c r="AD203" s="49" t="str">
        <f ca="1">IFERROR(INDEX(AC:AC,MATCH(SMALL($AU:$AU,ROW()+3),$AU:$AU,0)),"")</f>
        <v/>
      </c>
      <c r="AE203" s="49" t="str">
        <f ca="1">IFERROR(INDEX(R:R,MATCH(SMALL($AU:$AU,ROW()+3),$AU:$AU,0)),"")</f>
        <v/>
      </c>
      <c r="AF203" s="49" t="str">
        <f ca="1">IFERROR(INDEX(S:S,MATCH(SMALL($AU:$AU,ROW()+3),$AU:$AU,0)),"")</f>
        <v/>
      </c>
      <c r="AG203" s="49" t="str">
        <f ca="1">IFERROR(INDEX(T:T,MATCH(SMALL($AU:$AU,ROW()+3),$AU:$AU,0)),"")</f>
        <v/>
      </c>
      <c r="AH203" s="122" t="str">
        <f ca="1">IFERROR(INDEX(U:U,MATCH(SMALL($AU:$AU,ROW()+3),$AU:$AU,0)),"")</f>
        <v/>
      </c>
      <c r="AI203" s="49" t="str">
        <f ca="1">IFERROR(INDEX(V:V,MATCH(SMALL($AU:$AU,ROW()+3),$AU:$AU,0)),"")</f>
        <v/>
      </c>
      <c r="AJ203" s="49" t="str">
        <f ca="1">IFERROR(INDEX(W:W,MATCH(SMALL($AU:$AU,ROW()+3),$AU:$AU,0)),"")</f>
        <v/>
      </c>
      <c r="AK203" s="49" t="str">
        <f ca="1">IFERROR(INDEX(X:X,MATCH(SMALL($AU:$AU,ROW()+3),$AU:$AU,0)),"")</f>
        <v/>
      </c>
      <c r="AL203" s="49" t="str">
        <f ca="1">IFERROR(INDEX(Y:Y,MATCH(SMALL($AU:$AU,ROW()+3),$AU:$AU,0)),"")</f>
        <v/>
      </c>
      <c r="AM203" s="49" t="str">
        <f ca="1">IFERROR(INDEX(Z:Z,MATCH(SMALL($AU:$AU,ROW()+3),$AU:$AU,0)),"")</f>
        <v/>
      </c>
      <c r="AN203" s="49" t="str">
        <f ca="1">IFERROR(INDEX(AA:AA,MATCH(SMALL($AU:$AU,ROW()+3),$AU:$AU,0)),"")</f>
        <v/>
      </c>
      <c r="AO203" s="49" t="str">
        <f ca="1">IFERROR(INDEX(AB:AB,MATCH(SMALL($AU:$AU,ROW()+3),$AU:$AU,0)),"")</f>
        <v/>
      </c>
      <c r="AP203" s="49" t="str">
        <f ca="1">IFERROR(INDEX(AC:AC,MATCH(SMALL($AU:$AU,ROW()+3),$AU:$AU,0)),"")</f>
        <v/>
      </c>
      <c r="AU203" s="49" t="str">
        <f t="shared" ca="1" si="37"/>
        <v/>
      </c>
    </row>
    <row r="204" spans="1:47" ht="22.2" customHeight="1">
      <c r="A204" s="115">
        <f t="shared" si="32"/>
        <v>133</v>
      </c>
      <c r="B204" s="114" t="str">
        <f t="shared" ca="1" si="38"/>
        <v/>
      </c>
      <c r="C204" s="114" t="str">
        <f>IF(OR(クライアント抽出!D64&lt;&gt;"",クライアント抽出!G64&lt;&gt;""),クライアント抽出!A64,"")</f>
        <v/>
      </c>
      <c r="D204" s="114" t="str">
        <f t="array" aca="1" ref="D204" ca="1">IF(C204&lt;&gt;"",INDIRECT("クライアント抽出!"&amp;E204&amp;MATCH(C204,クライアント抽出!A:A,0)&amp;""),"")</f>
        <v/>
      </c>
      <c r="E204" s="114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17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114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116" t="str">
        <f>IF(C204&lt;&gt;"",
クライアント抽出!D64,"")</f>
        <v/>
      </c>
      <c r="I204" s="114" t="str">
        <f>IF(C204&lt;&gt;"",
IF(O204=1,0,クライアント抽出!F64),"")</f>
        <v/>
      </c>
      <c r="J204" s="114" t="str">
        <f>IF(C204&lt;&gt;"",
VLOOKUP(
"*"&amp;LEFT(IF(COUNTIF(D204,"*学食*"),"キャラ弁（学食）",
IF(COUNTIF(D204,"*赤*"),"赤",
IF(COUNTIF(D204,"*キャラ弁当*"),"キャラ弁当",D204))),4)&amp;"*",注文弁当の抽出!$E$1:$F$15,2,FALSE),"")</f>
        <v/>
      </c>
      <c r="K204" s="114" t="str">
        <f ca="1">IF(クライアント抽出!R64&lt;&gt;"",SUBSTITUTE(ADDRESS(1,(CODE(クライアント抽出!R64)-64)*2-1,4),"1",""),"")</f>
        <v/>
      </c>
      <c r="L204" s="114" t="str">
        <f>IF(C64&lt;&gt;"",クライアント抽出!I64,"")</f>
        <v/>
      </c>
      <c r="M204" s="114">
        <f t="array" aca="1" ref="M204" ca="1">IF(C204&lt;&gt;"",
IF(K204&lt;&gt;"",INDIRECT("'数出表_Excel（アレルギー入力）'!"&amp;K204&amp;L204-1&amp;""),),)</f>
        <v>0</v>
      </c>
      <c r="N204" s="114" t="str">
        <f>IF(C204&lt;&gt;"",IF(OR(COUNTIF('盛付札（関数）'!D204,"*赤*"),COUNTIF('盛付札（関数）'!D204,"*キャラ*")),1,
VLOOKUP("*"&amp;D204&amp;"*",商品マスタ一覧!D:H,5,FALSE)),"")</f>
        <v/>
      </c>
      <c r="O204" s="114">
        <f t="shared" ca="1" si="31"/>
        <v>0</v>
      </c>
      <c r="P204" s="114">
        <f t="shared" si="33"/>
        <v>0</v>
      </c>
      <c r="Q204" s="114" t="b">
        <f t="shared" si="34"/>
        <v>0</v>
      </c>
      <c r="R204" s="49" t="str">
        <f t="array" aca="1" ref="R204" ca="1">IFERROR(SMALL(IF(P$1:P$311&lt;&gt;0,P$1:P$311),ROW(A204)),"")</f>
        <v/>
      </c>
      <c r="S204" s="49" t="str">
        <f t="array" aca="1" ref="S204" ca="1">IF($R204&lt;&gt;"",
SUBSTITUTE(SUBSTITUTE(INDIRECT("C"&amp;$R204&amp;"")," 週3ｺｰｽ","")," 週5ｺｰｽ",""),"")</f>
        <v/>
      </c>
      <c r="T204" s="49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22" t="str">
        <f t="array" aca="1" ref="U204" ca="1">IF($R204&lt;&gt;"",
INDIRECT("F"&amp;$R204&amp;""),"")</f>
        <v/>
      </c>
      <c r="V204" s="49" t="str">
        <f t="array" aca="1" ref="V204" ca="1">IF($R204&lt;&gt;"",
INDIRECT("G"&amp;$R204&amp;""),"")</f>
        <v/>
      </c>
      <c r="W204" s="49" t="str">
        <f t="array" aca="1" ref="W204" ca="1">IF($R204&lt;&gt;"",
IF(AND(COUNTIF(INDIRECT("B"&amp;R204&amp;""),"*雙葉*"),COUNTIF(B:B,"*雙葉*")&gt;=2),
IF(OR(COUNTIF(INDIRECT("B"&amp;R204&amp;""),"*雙葉先生*"),COUNTIF($B$1:$B$70,"*雙葉*")&gt;=2),INDIRECT("H"&amp;R204&amp;""),INDIRECT("H"&amp;R204&amp;"")+INDIRECT("H"&amp;MATCH("雙葉'",INDIRECT("B"&amp;R204+3&amp;":B210"),0)+2+R204&amp;"")),
IF(AND(LEFT(INDIRECT("B"&amp;R204&amp;""),2)="博多",COUNTIF(B:B,"*博多*")&gt;=2),
INDIRECT("H"&amp;R204&amp;"")+INDIRECT("H"&amp;MATCH("*"&amp;INDIRECT("B"&amp;R204&amp;"")&amp;"*",INDIRECT("B"&amp;R204+1&amp;":B210"),0)+R204&amp;""),
IF(AND(LEFT(INDIRECT("B"&amp;R204&amp;""),3)="奈良屋",COUNTIF(B:B,"*奈良屋*")&gt;=2),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49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49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49" t="str">
        <f t="shared" ca="1" si="35"/>
        <v/>
      </c>
      <c r="AA204" s="49" t="str">
        <f t="shared" ca="1" si="36"/>
        <v/>
      </c>
      <c r="AB204" s="49" t="str">
        <f t="array" aca="1" ref="AB204" ca="1">IF($R204&lt;&gt;"",
IF(AND(COUNTIF(INDIRECT("B"&amp;R204&amp;""),"*雙葉*"),COUNTIF(B:B,"*雙葉*")&gt;=2),
INDIRECT("M"&amp;R204&amp;"")+INDIRECT("M"&amp;MATCH("雙葉'",INDIRECT("B"&amp;R204+1&amp;":B210"),0)+R204&amp;""),
IF(AND(LEFT(INDIRECT("B"&amp;R204&amp;""),2)="博多",COUNTIF(B:B,"*博多*")&gt;=2),
INDIRECT("M"&amp;R204&amp;"")+INDIRECT("M"&amp;MATCH("*"&amp;INDIRECT("B"&amp;R204&amp;"")&amp;"*",INDIRECT("B"&amp;R204+1&amp;":B210"),0)+R204&amp;""),
IF(AND(LEFT(INDIRECT("B"&amp;R204&amp;""),3)="奈良屋",COUNTIF(B:B,"*奈良屋*")&gt;=2),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  <c r="AC204" s="49" t="str">
        <f ca="1">IF(S204&lt;&gt;"",INDEX(A:A, MATCH("*"&amp;LEFT(S204,4)&amp;"*", C:C, 0)),"")</f>
        <v/>
      </c>
      <c r="AD204" s="49" t="str">
        <f ca="1">IFERROR(INDEX(AC:AC,MATCH(SMALL($AU:$AU,ROW()+3),$AU:$AU,0)),"")</f>
        <v/>
      </c>
      <c r="AE204" s="49" t="str">
        <f ca="1">IFERROR(INDEX(R:R,MATCH(SMALL($AU:$AU,ROW()+3),$AU:$AU,0)),"")</f>
        <v/>
      </c>
      <c r="AF204" s="49" t="str">
        <f ca="1">IFERROR(INDEX(S:S,MATCH(SMALL($AU:$AU,ROW()+3),$AU:$AU,0)),"")</f>
        <v/>
      </c>
      <c r="AG204" s="49" t="str">
        <f ca="1">IFERROR(INDEX(T:T,MATCH(SMALL($AU:$AU,ROW()+3),$AU:$AU,0)),"")</f>
        <v/>
      </c>
      <c r="AH204" s="122" t="str">
        <f ca="1">IFERROR(INDEX(U:U,MATCH(SMALL($AU:$AU,ROW()+3),$AU:$AU,0)),"")</f>
        <v/>
      </c>
      <c r="AI204" s="49" t="str">
        <f ca="1">IFERROR(INDEX(V:V,MATCH(SMALL($AU:$AU,ROW()+3),$AU:$AU,0)),"")</f>
        <v/>
      </c>
      <c r="AJ204" s="49" t="str">
        <f ca="1">IFERROR(INDEX(W:W,MATCH(SMALL($AU:$AU,ROW()+3),$AU:$AU,0)),"")</f>
        <v/>
      </c>
      <c r="AK204" s="49" t="str">
        <f ca="1">IFERROR(INDEX(X:X,MATCH(SMALL($AU:$AU,ROW()+3),$AU:$AU,0)),"")</f>
        <v/>
      </c>
      <c r="AL204" s="49" t="str">
        <f ca="1">IFERROR(INDEX(Y:Y,MATCH(SMALL($AU:$AU,ROW()+3),$AU:$AU,0)),"")</f>
        <v/>
      </c>
      <c r="AM204" s="49" t="str">
        <f ca="1">IFERROR(INDEX(Z:Z,MATCH(SMALL($AU:$AU,ROW()+3),$AU:$AU,0)),"")</f>
        <v/>
      </c>
      <c r="AN204" s="49" t="str">
        <f ca="1">IFERROR(INDEX(AA:AA,MATCH(SMALL($AU:$AU,ROW()+3),$AU:$AU,0)),"")</f>
        <v/>
      </c>
      <c r="AO204" s="49" t="str">
        <f ca="1">IFERROR(INDEX(AB:AB,MATCH(SMALL($AU:$AU,ROW()+3),$AU:$AU,0)),"")</f>
        <v/>
      </c>
      <c r="AP204" s="49" t="str">
        <f ca="1">IFERROR(INDEX(AC:AC,MATCH(SMALL($AU:$AU,ROW()+3),$AU:$AU,0)),"")</f>
        <v/>
      </c>
      <c r="AU204" s="49" t="str">
        <f t="shared" ca="1" si="37"/>
        <v/>
      </c>
    </row>
    <row r="205" spans="1:47" ht="22.2" customHeight="1">
      <c r="A205" s="115">
        <f t="shared" si="32"/>
        <v>135</v>
      </c>
      <c r="B205" s="114" t="str">
        <f t="shared" ca="1" si="38"/>
        <v/>
      </c>
      <c r="C205" s="114" t="str">
        <f>IF(OR(クライアント抽出!D65&lt;&gt;"",クライアント抽出!G65&lt;&gt;""),クライアント抽出!A65,"")</f>
        <v/>
      </c>
      <c r="D205" s="114" t="str">
        <f t="array" aca="1" ref="D205" ca="1">IF(C205&lt;&gt;"",INDIRECT("クライアント抽出!"&amp;E205&amp;MATCH(C205,クライアント抽出!A:A,0)&amp;""),"")</f>
        <v/>
      </c>
      <c r="E205" s="114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17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114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116" t="str">
        <f>IF(C205&lt;&gt;"",
クライアント抽出!D65,"")</f>
        <v/>
      </c>
      <c r="I205" s="114" t="str">
        <f>IF(C205&lt;&gt;"",
IF(O205=1,0,クライアント抽出!F65),"")</f>
        <v/>
      </c>
      <c r="J205" s="114" t="str">
        <f>IF(C205&lt;&gt;"",
VLOOKUP(
"*"&amp;LEFT(IF(COUNTIF(D205,"*学食*"),"キャラ弁（学食）",
IF(COUNTIF(D205,"*赤*"),"赤",
IF(COUNTIF(D205,"*キャラ弁当*"),"キャラ弁当",D205))),4)&amp;"*",注文弁当の抽出!$E$1:$F$15,2,FALSE),"")</f>
        <v/>
      </c>
      <c r="K205" s="114" t="str">
        <f ca="1">IF(クライアント抽出!R65&lt;&gt;"",SUBSTITUTE(ADDRESS(1,(CODE(クライアント抽出!R65)-64)*2-1,4),"1",""),"")</f>
        <v/>
      </c>
      <c r="L205" s="114" t="str">
        <f>IF(C65&lt;&gt;"",クライアント抽出!I65,"")</f>
        <v/>
      </c>
      <c r="M205" s="114">
        <f t="array" aca="1" ref="M205" ca="1">IF(C205&lt;&gt;"",
IF(K205&lt;&gt;"",INDIRECT("'数出表_Excel（アレルギー入力）'!"&amp;K205&amp;L205-1&amp;""),),)</f>
        <v>0</v>
      </c>
      <c r="N205" s="114" t="str">
        <f>IF(C205&lt;&gt;"",IF(OR(COUNTIF('盛付札（関数）'!D205,"*赤*"),COUNTIF('盛付札（関数）'!D205,"*キャラ*")),1,
VLOOKUP("*"&amp;D205&amp;"*",商品マスタ一覧!D:H,5,FALSE)),"")</f>
        <v/>
      </c>
      <c r="O205" s="114">
        <f t="shared" ref="O205:O210" ca="1" si="39">O65</f>
        <v>0</v>
      </c>
      <c r="P205" s="114">
        <f t="shared" si="33"/>
        <v>0</v>
      </c>
      <c r="Q205" s="114" t="b">
        <f t="shared" si="34"/>
        <v>0</v>
      </c>
      <c r="R205" s="49" t="str">
        <f t="array" aca="1" ref="R205" ca="1">IFERROR(SMALL(IF(P$1:P$311&lt;&gt;0,P$1:P$311),ROW(A205)),"")</f>
        <v/>
      </c>
      <c r="S205" s="49" t="str">
        <f t="array" aca="1" ref="S205" ca="1">IF($R205&lt;&gt;"",
SUBSTITUTE(SUBSTITUTE(INDIRECT("C"&amp;$R205&amp;"")," 週3ｺｰｽ","")," 週5ｺｰｽ",""),"")</f>
        <v/>
      </c>
      <c r="T205" s="49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22" t="str">
        <f t="array" aca="1" ref="U205" ca="1">IF($R205&lt;&gt;"",
INDIRECT("F"&amp;$R205&amp;""),"")</f>
        <v/>
      </c>
      <c r="V205" s="49" t="str">
        <f t="array" aca="1" ref="V205" ca="1">IF($R205&lt;&gt;"",
INDIRECT("G"&amp;$R205&amp;""),"")</f>
        <v/>
      </c>
      <c r="W205" s="49" t="str">
        <f t="array" aca="1" ref="W205" ca="1">IF($R205&lt;&gt;"",
IF(AND(COUNTIF(INDIRECT("B"&amp;R205&amp;""),"*雙葉*"),COUNTIF(B:B,"*雙葉*")&gt;=2),
IF(OR(COUNTIF(INDIRECT("B"&amp;R205&amp;""),"*雙葉先生*"),COUNTIF($B$1:$B$70,"*雙葉*")&gt;=2),INDIRECT("H"&amp;R205&amp;""),INDIRECT("H"&amp;R205&amp;"")+INDIRECT("H"&amp;MATCH("雙葉'",INDIRECT("B"&amp;R205+3&amp;":B210"),0)+2+R205&amp;"")),
IF(AND(LEFT(INDIRECT("B"&amp;R205&amp;""),2)="博多",COUNTIF(B:B,"*博多*")&gt;=2),
INDIRECT("H"&amp;R205&amp;"")+INDIRECT("H"&amp;MATCH("*"&amp;INDIRECT("B"&amp;R205&amp;"")&amp;"*",INDIRECT("B"&amp;R205+1&amp;":B210"),0)+R205&amp;""),
IF(AND(LEFT(INDIRECT("B"&amp;R205&amp;""),3)="奈良屋",COUNTIF(B:B,"*奈良屋*")&gt;=2),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49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49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49" t="str">
        <f t="shared" ca="1" si="35"/>
        <v/>
      </c>
      <c r="AA205" s="49" t="str">
        <f t="shared" ca="1" si="36"/>
        <v/>
      </c>
      <c r="AB205" s="49" t="str">
        <f t="array" aca="1" ref="AB205" ca="1">IF($R205&lt;&gt;"",
IF(AND(COUNTIF(INDIRECT("B"&amp;R205&amp;""),"*雙葉*"),COUNTIF(B:B,"*雙葉*")&gt;=2),
INDIRECT("M"&amp;R205&amp;"")+INDIRECT("M"&amp;MATCH("雙葉'",INDIRECT("B"&amp;R205+1&amp;":B210"),0)+R205&amp;""),
IF(AND(LEFT(INDIRECT("B"&amp;R205&amp;""),2)="博多",COUNTIF(B:B,"*博多*")&gt;=2),
INDIRECT("M"&amp;R205&amp;"")+INDIRECT("M"&amp;MATCH("*"&amp;INDIRECT("B"&amp;R205&amp;"")&amp;"*",INDIRECT("B"&amp;R205+1&amp;":B210"),0)+R205&amp;""),
IF(AND(LEFT(INDIRECT("B"&amp;R205&amp;""),3)="奈良屋",COUNTIF(B:B,"*奈良屋*")&gt;=2),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  <c r="AC205" s="49" t="str">
        <f ca="1">IF(S205&lt;&gt;"",INDEX(A:A, MATCH("*"&amp;LEFT(S205,4)&amp;"*", C:C, 0)),"")</f>
        <v/>
      </c>
      <c r="AD205" s="49" t="str">
        <f ca="1">IFERROR(INDEX(AC:AC,MATCH(SMALL($AU:$AU,ROW()+3),$AU:$AU,0)),"")</f>
        <v/>
      </c>
      <c r="AE205" s="49" t="str">
        <f ca="1">IFERROR(INDEX(R:R,MATCH(SMALL($AU:$AU,ROW()+3),$AU:$AU,0)),"")</f>
        <v/>
      </c>
      <c r="AF205" s="49" t="str">
        <f ca="1">IFERROR(INDEX(S:S,MATCH(SMALL($AU:$AU,ROW()+3),$AU:$AU,0)),"")</f>
        <v/>
      </c>
      <c r="AG205" s="49" t="str">
        <f ca="1">IFERROR(INDEX(T:T,MATCH(SMALL($AU:$AU,ROW()+3),$AU:$AU,0)),"")</f>
        <v/>
      </c>
      <c r="AH205" s="122" t="str">
        <f ca="1">IFERROR(INDEX(U:U,MATCH(SMALL($AU:$AU,ROW()+3),$AU:$AU,0)),"")</f>
        <v/>
      </c>
      <c r="AI205" s="49" t="str">
        <f ca="1">IFERROR(INDEX(V:V,MATCH(SMALL($AU:$AU,ROW()+3),$AU:$AU,0)),"")</f>
        <v/>
      </c>
      <c r="AJ205" s="49" t="str">
        <f ca="1">IFERROR(INDEX(W:W,MATCH(SMALL($AU:$AU,ROW()+3),$AU:$AU,0)),"")</f>
        <v/>
      </c>
      <c r="AK205" s="49" t="str">
        <f ca="1">IFERROR(INDEX(X:X,MATCH(SMALL($AU:$AU,ROW()+3),$AU:$AU,0)),"")</f>
        <v/>
      </c>
      <c r="AL205" s="49" t="str">
        <f ca="1">IFERROR(INDEX(Y:Y,MATCH(SMALL($AU:$AU,ROW()+3),$AU:$AU,0)),"")</f>
        <v/>
      </c>
      <c r="AM205" s="49" t="str">
        <f ca="1">IFERROR(INDEX(Z:Z,MATCH(SMALL($AU:$AU,ROW()+3),$AU:$AU,0)),"")</f>
        <v/>
      </c>
      <c r="AN205" s="49" t="str">
        <f ca="1">IFERROR(INDEX(AA:AA,MATCH(SMALL($AU:$AU,ROW()+3),$AU:$AU,0)),"")</f>
        <v/>
      </c>
      <c r="AO205" s="49" t="str">
        <f ca="1">IFERROR(INDEX(AB:AB,MATCH(SMALL($AU:$AU,ROW()+3),$AU:$AU,0)),"")</f>
        <v/>
      </c>
      <c r="AP205" s="49" t="str">
        <f ca="1">IFERROR(INDEX(AC:AC,MATCH(SMALL($AU:$AU,ROW()+3),$AU:$AU,0)),"")</f>
        <v/>
      </c>
      <c r="AU205" s="49" t="str">
        <f t="shared" ca="1" si="37"/>
        <v/>
      </c>
    </row>
    <row r="206" spans="1:47" ht="22.2" customHeight="1">
      <c r="A206" s="115">
        <f t="shared" si="32"/>
        <v>137</v>
      </c>
      <c r="B206" s="114" t="str">
        <f t="shared" ca="1" si="38"/>
        <v/>
      </c>
      <c r="C206" s="114" t="str">
        <f>IF(OR(クライアント抽出!D66&lt;&gt;"",クライアント抽出!G66&lt;&gt;""),クライアント抽出!A66,"")</f>
        <v/>
      </c>
      <c r="D206" s="114" t="str">
        <f t="array" aca="1" ref="D206" ca="1">IF(C206&lt;&gt;"",INDIRECT("クライアント抽出!"&amp;E206&amp;MATCH(C206,クライアント抽出!A:A,0)&amp;""),"")</f>
        <v/>
      </c>
      <c r="E206" s="114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17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114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116" t="str">
        <f>IF(C206&lt;&gt;"",
クライアント抽出!D66,"")</f>
        <v/>
      </c>
      <c r="I206" s="114" t="str">
        <f>IF(C206&lt;&gt;"",
IF(O206=1,0,クライアント抽出!F66),"")</f>
        <v/>
      </c>
      <c r="J206" s="114" t="str">
        <f>IF(C206&lt;&gt;"",
VLOOKUP(
"*"&amp;LEFT(IF(COUNTIF(D206,"*学食*"),"キャラ弁（学食）",
IF(COUNTIF(D206,"*赤*"),"赤",
IF(COUNTIF(D206,"*キャラ弁当*"),"キャラ弁当",D206))),4)&amp;"*",注文弁当の抽出!$E$1:$F$15,2,FALSE),"")</f>
        <v/>
      </c>
      <c r="K206" s="114" t="str">
        <f ca="1">IF(クライアント抽出!R66&lt;&gt;"",SUBSTITUTE(ADDRESS(1,(CODE(クライアント抽出!R66)-64)*2-1,4),"1",""),"")</f>
        <v/>
      </c>
      <c r="L206" s="114" t="str">
        <f>IF(C66&lt;&gt;"",クライアント抽出!I66,"")</f>
        <v/>
      </c>
      <c r="M206" s="114">
        <f t="array" aca="1" ref="M206" ca="1">IF(C206&lt;&gt;"",
IF(K206&lt;&gt;"",INDIRECT("'数出表_Excel（アレルギー入力）'!"&amp;K206&amp;L206-1&amp;""),),)</f>
        <v>0</v>
      </c>
      <c r="N206" s="114" t="str">
        <f>IF(C206&lt;&gt;"",IF(OR(COUNTIF('盛付札（関数）'!D206,"*赤*"),COUNTIF('盛付札（関数）'!D206,"*キャラ*")),1,
VLOOKUP("*"&amp;D206&amp;"*",商品マスタ一覧!D:H,5,FALSE)),"")</f>
        <v/>
      </c>
      <c r="O206" s="114">
        <f t="shared" ca="1" si="39"/>
        <v>0</v>
      </c>
      <c r="P206" s="114">
        <f t="shared" si="33"/>
        <v>0</v>
      </c>
      <c r="Q206" s="114" t="b">
        <f t="shared" si="34"/>
        <v>0</v>
      </c>
      <c r="R206" s="49" t="str">
        <f t="array" aca="1" ref="R206" ca="1">IFERROR(SMALL(IF(P$1:P$311&lt;&gt;0,P$1:P$311),ROW(A206)),"")</f>
        <v/>
      </c>
      <c r="S206" s="49" t="str">
        <f t="array" aca="1" ref="S206" ca="1">IF($R206&lt;&gt;"",
SUBSTITUTE(SUBSTITUTE(INDIRECT("C"&amp;$R206&amp;"")," 週3ｺｰｽ","")," 週5ｺｰｽ",""),"")</f>
        <v/>
      </c>
      <c r="T206" s="49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22" t="str">
        <f t="array" aca="1" ref="U206" ca="1">IF($R206&lt;&gt;"",
INDIRECT("F"&amp;$R206&amp;""),"")</f>
        <v/>
      </c>
      <c r="V206" s="49" t="str">
        <f t="array" aca="1" ref="V206" ca="1">IF($R206&lt;&gt;"",
INDIRECT("G"&amp;$R206&amp;""),"")</f>
        <v/>
      </c>
      <c r="W206" s="49" t="str">
        <f t="array" aca="1" ref="W206" ca="1">IF($R206&lt;&gt;"",
IF(AND(COUNTIF(INDIRECT("B"&amp;R206&amp;""),"*雙葉*"),COUNTIF(B:B,"*雙葉*")&gt;=2),
IF(OR(COUNTIF(INDIRECT("B"&amp;R206&amp;""),"*雙葉先生*"),COUNTIF($B$1:$B$70,"*雙葉*")&gt;=2),INDIRECT("H"&amp;R206&amp;""),INDIRECT("H"&amp;R206&amp;"")+INDIRECT("H"&amp;MATCH("雙葉'",INDIRECT("B"&amp;R206+3&amp;":B210"),0)+2+R206&amp;"")),
IF(AND(LEFT(INDIRECT("B"&amp;R206&amp;""),2)="博多",COUNTIF(B:B,"*博多*")&gt;=2),
INDIRECT("H"&amp;R206&amp;"")+INDIRECT("H"&amp;MATCH("*"&amp;INDIRECT("B"&amp;R206&amp;"")&amp;"*",INDIRECT("B"&amp;R206+1&amp;":B210"),0)+R206&amp;""),
IF(AND(LEFT(INDIRECT("B"&amp;R206&amp;""),3)="奈良屋",COUNTIF(B:B,"*奈良屋*")&gt;=2),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49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49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49" t="str">
        <f t="shared" ca="1" si="35"/>
        <v/>
      </c>
      <c r="AA206" s="49" t="str">
        <f t="shared" ca="1" si="36"/>
        <v/>
      </c>
      <c r="AB206" s="49" t="str">
        <f t="array" aca="1" ref="AB206" ca="1">IF($R206&lt;&gt;"",
IF(AND(COUNTIF(INDIRECT("B"&amp;R206&amp;""),"*雙葉*"),COUNTIF(B:B,"*雙葉*")&gt;=2),
INDIRECT("M"&amp;R206&amp;"")+INDIRECT("M"&amp;MATCH("雙葉'",INDIRECT("B"&amp;R206+1&amp;":B210"),0)+R206&amp;""),
IF(AND(LEFT(INDIRECT("B"&amp;R206&amp;""),2)="博多",COUNTIF(B:B,"*博多*")&gt;=2),
INDIRECT("M"&amp;R206&amp;"")+INDIRECT("M"&amp;MATCH("*"&amp;INDIRECT("B"&amp;R206&amp;"")&amp;"*",INDIRECT("B"&amp;R206+1&amp;":B210"),0)+R206&amp;""),
IF(AND(LEFT(INDIRECT("B"&amp;R206&amp;""),3)="奈良屋",COUNTIF(B:B,"*奈良屋*")&gt;=2),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  <c r="AC206" s="49" t="str">
        <f ca="1">IF(S206&lt;&gt;"",INDEX(A:A, MATCH("*"&amp;LEFT(S206,4)&amp;"*", C:C, 0)),"")</f>
        <v/>
      </c>
      <c r="AD206" s="49" t="str">
        <f ca="1">IFERROR(INDEX(AC:AC,MATCH(SMALL($AU:$AU,ROW()+3),$AU:$AU,0)),"")</f>
        <v/>
      </c>
      <c r="AE206" s="49" t="str">
        <f ca="1">IFERROR(INDEX(R:R,MATCH(SMALL($AU:$AU,ROW()+3),$AU:$AU,0)),"")</f>
        <v/>
      </c>
      <c r="AF206" s="49" t="str">
        <f ca="1">IFERROR(INDEX(S:S,MATCH(SMALL($AU:$AU,ROW()+3),$AU:$AU,0)),"")</f>
        <v/>
      </c>
      <c r="AG206" s="49" t="str">
        <f ca="1">IFERROR(INDEX(T:T,MATCH(SMALL($AU:$AU,ROW()+3),$AU:$AU,0)),"")</f>
        <v/>
      </c>
      <c r="AH206" s="122" t="str">
        <f ca="1">IFERROR(INDEX(U:U,MATCH(SMALL($AU:$AU,ROW()+3),$AU:$AU,0)),"")</f>
        <v/>
      </c>
      <c r="AI206" s="49" t="str">
        <f ca="1">IFERROR(INDEX(V:V,MATCH(SMALL($AU:$AU,ROW()+3),$AU:$AU,0)),"")</f>
        <v/>
      </c>
      <c r="AJ206" s="49" t="str">
        <f ca="1">IFERROR(INDEX(W:W,MATCH(SMALL($AU:$AU,ROW()+3),$AU:$AU,0)),"")</f>
        <v/>
      </c>
      <c r="AK206" s="49" t="str">
        <f ca="1">IFERROR(INDEX(X:X,MATCH(SMALL($AU:$AU,ROW()+3),$AU:$AU,0)),"")</f>
        <v/>
      </c>
      <c r="AL206" s="49" t="str">
        <f ca="1">IFERROR(INDEX(Y:Y,MATCH(SMALL($AU:$AU,ROW()+3),$AU:$AU,0)),"")</f>
        <v/>
      </c>
      <c r="AM206" s="49" t="str">
        <f ca="1">IFERROR(INDEX(Z:Z,MATCH(SMALL($AU:$AU,ROW()+3),$AU:$AU,0)),"")</f>
        <v/>
      </c>
      <c r="AN206" s="49" t="str">
        <f ca="1">IFERROR(INDEX(AA:AA,MATCH(SMALL($AU:$AU,ROW()+3),$AU:$AU,0)),"")</f>
        <v/>
      </c>
      <c r="AO206" s="49" t="str">
        <f ca="1">IFERROR(INDEX(AB:AB,MATCH(SMALL($AU:$AU,ROW()+3),$AU:$AU,0)),"")</f>
        <v/>
      </c>
      <c r="AP206" s="49" t="str">
        <f ca="1">IFERROR(INDEX(AC:AC,MATCH(SMALL($AU:$AU,ROW()+3),$AU:$AU,0)),"")</f>
        <v/>
      </c>
      <c r="AU206" s="49" t="str">
        <f t="shared" ca="1" si="37"/>
        <v/>
      </c>
    </row>
    <row r="207" spans="1:47" ht="22.2" customHeight="1">
      <c r="A207" s="115">
        <f t="shared" si="32"/>
        <v>139</v>
      </c>
      <c r="B207" s="114" t="str">
        <f t="shared" ca="1" si="38"/>
        <v/>
      </c>
      <c r="C207" s="114" t="str">
        <f>IF(OR(クライアント抽出!D67&lt;&gt;"",クライアント抽出!G67&lt;&gt;""),クライアント抽出!A67,"")</f>
        <v/>
      </c>
      <c r="D207" s="114" t="str">
        <f t="array" aca="1" ref="D207" ca="1">IF(C207&lt;&gt;"",INDIRECT("クライアント抽出!"&amp;E207&amp;MATCH(C207,クライアント抽出!A:A,0)&amp;""),"")</f>
        <v/>
      </c>
      <c r="E207" s="114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17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114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116" t="str">
        <f>IF(C207&lt;&gt;"",
クライアント抽出!D67,"")</f>
        <v/>
      </c>
      <c r="I207" s="114" t="str">
        <f>IF(C207&lt;&gt;"",
IF(O207=1,0,クライアント抽出!F67),"")</f>
        <v/>
      </c>
      <c r="J207" s="114" t="str">
        <f>IF(C207&lt;&gt;"",
VLOOKUP(
"*"&amp;LEFT(IF(COUNTIF(D207,"*学食*"),"キャラ弁（学食）",
IF(COUNTIF(D207,"*赤*"),"赤",
IF(COUNTIF(D207,"*キャラ弁当*"),"キャラ弁当",D207))),4)&amp;"*",注文弁当の抽出!$E$1:$F$15,2,FALSE),"")</f>
        <v/>
      </c>
      <c r="K207" s="114" t="str">
        <f ca="1">IF(クライアント抽出!R67&lt;&gt;"",SUBSTITUTE(ADDRESS(1,(CODE(クライアント抽出!R67)-64)*2-1,4),"1",""),"")</f>
        <v/>
      </c>
      <c r="L207" s="114" t="str">
        <f>IF(C67&lt;&gt;"",クライアント抽出!I67,"")</f>
        <v/>
      </c>
      <c r="M207" s="114">
        <f t="array" aca="1" ref="M207" ca="1">IF(C207&lt;&gt;"",
IF(K207&lt;&gt;"",INDIRECT("'数出表_Excel（アレルギー入力）'!"&amp;K207&amp;L207-1&amp;""),),)</f>
        <v>0</v>
      </c>
      <c r="N207" s="114" t="str">
        <f>IF(C207&lt;&gt;"",IF(OR(COUNTIF('盛付札（関数）'!D207,"*赤*"),COUNTIF('盛付札（関数）'!D207,"*キャラ*")),1,
VLOOKUP("*"&amp;D207&amp;"*",商品マスタ一覧!D:H,5,FALSE)),"")</f>
        <v/>
      </c>
      <c r="O207" s="114">
        <f t="shared" ca="1" si="39"/>
        <v>0</v>
      </c>
      <c r="P207" s="114">
        <f t="shared" si="33"/>
        <v>0</v>
      </c>
      <c r="Q207" s="114" t="b">
        <f t="shared" si="34"/>
        <v>0</v>
      </c>
      <c r="R207" s="49" t="str">
        <f t="array" aca="1" ref="R207" ca="1">IFERROR(SMALL(IF(P$1:P$311&lt;&gt;0,P$1:P$311),ROW(A207)),"")</f>
        <v/>
      </c>
      <c r="S207" s="49" t="str">
        <f t="array" aca="1" ref="S207" ca="1">IF($R207&lt;&gt;"",
SUBSTITUTE(SUBSTITUTE(INDIRECT("C"&amp;$R207&amp;"")," 週3ｺｰｽ","")," 週5ｺｰｽ",""),"")</f>
        <v/>
      </c>
      <c r="T207" s="49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22" t="str">
        <f t="array" aca="1" ref="U207" ca="1">IF($R207&lt;&gt;"",
INDIRECT("F"&amp;$R207&amp;""),"")</f>
        <v/>
      </c>
      <c r="V207" s="49" t="str">
        <f t="array" aca="1" ref="V207" ca="1">IF($R207&lt;&gt;"",
INDIRECT("G"&amp;$R207&amp;""),"")</f>
        <v/>
      </c>
      <c r="W207" s="49" t="str">
        <f t="array" aca="1" ref="W207" ca="1">IF($R207&lt;&gt;"",
IF(AND(COUNTIF(INDIRECT("B"&amp;R207&amp;""),"*雙葉*"),COUNTIF(B:B,"*雙葉*")&gt;=2),
IF(OR(COUNTIF(INDIRECT("B"&amp;R207&amp;""),"*雙葉先生*"),COUNTIF($B$1:$B$70,"*雙葉*")&gt;=2),INDIRECT("H"&amp;R207&amp;""),INDIRECT("H"&amp;R207&amp;"")+INDIRECT("H"&amp;MATCH("雙葉'",INDIRECT("B"&amp;R207+3&amp;":B210"),0)+2+R207&amp;"")),
IF(AND(LEFT(INDIRECT("B"&amp;R207&amp;""),2)="博多",COUNTIF(B:B,"*博多*")&gt;=2),
INDIRECT("H"&amp;R207&amp;"")+INDIRECT("H"&amp;MATCH("*"&amp;INDIRECT("B"&amp;R207&amp;"")&amp;"*",INDIRECT("B"&amp;R207+1&amp;":B210"),0)+R207&amp;""),
IF(AND(LEFT(INDIRECT("B"&amp;R207&amp;""),3)="奈良屋",COUNTIF(B:B,"*奈良屋*")&gt;=2),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49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49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49" t="str">
        <f t="shared" ca="1" si="35"/>
        <v/>
      </c>
      <c r="AA207" s="49" t="str">
        <f t="shared" ca="1" si="36"/>
        <v/>
      </c>
      <c r="AB207" s="49" t="str">
        <f t="array" aca="1" ref="AB207" ca="1">IF($R207&lt;&gt;"",
IF(AND(COUNTIF(INDIRECT("B"&amp;R207&amp;""),"*雙葉*"),COUNTIF(B:B,"*雙葉*")&gt;=2),
INDIRECT("M"&amp;R207&amp;"")+INDIRECT("M"&amp;MATCH("雙葉'",INDIRECT("B"&amp;R207+1&amp;":B210"),0)+R207&amp;""),
IF(AND(LEFT(INDIRECT("B"&amp;R207&amp;""),2)="博多",COUNTIF(B:B,"*博多*")&gt;=2),
INDIRECT("M"&amp;R207&amp;"")+INDIRECT("M"&amp;MATCH("*"&amp;INDIRECT("B"&amp;R207&amp;"")&amp;"*",INDIRECT("B"&amp;R207+1&amp;":B210"),0)+R207&amp;""),
IF(AND(LEFT(INDIRECT("B"&amp;R207&amp;""),3)="奈良屋",COUNTIF(B:B,"*奈良屋*")&gt;=2),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  <c r="AC207" s="49" t="str">
        <f ca="1">IF(S207&lt;&gt;"",INDEX(A:A, MATCH("*"&amp;LEFT(S207,4)&amp;"*", C:C, 0)),"")</f>
        <v/>
      </c>
      <c r="AD207" s="49" t="str">
        <f ca="1">IFERROR(INDEX(AC:AC,MATCH(SMALL($AU:$AU,ROW()+3),$AU:$AU,0)),"")</f>
        <v/>
      </c>
      <c r="AE207" s="49" t="str">
        <f ca="1">IFERROR(INDEX(R:R,MATCH(SMALL($AU:$AU,ROW()+3),$AU:$AU,0)),"")</f>
        <v/>
      </c>
      <c r="AF207" s="49" t="str">
        <f ca="1">IFERROR(INDEX(S:S,MATCH(SMALL($AU:$AU,ROW()+3),$AU:$AU,0)),"")</f>
        <v/>
      </c>
      <c r="AG207" s="49" t="str">
        <f ca="1">IFERROR(INDEX(T:T,MATCH(SMALL($AU:$AU,ROW()+3),$AU:$AU,0)),"")</f>
        <v/>
      </c>
      <c r="AH207" s="122" t="str">
        <f ca="1">IFERROR(INDEX(U:U,MATCH(SMALL($AU:$AU,ROW()+3),$AU:$AU,0)),"")</f>
        <v/>
      </c>
      <c r="AI207" s="49" t="str">
        <f ca="1">IFERROR(INDEX(V:V,MATCH(SMALL($AU:$AU,ROW()+3),$AU:$AU,0)),"")</f>
        <v/>
      </c>
      <c r="AJ207" s="49" t="str">
        <f ca="1">IFERROR(INDEX(W:W,MATCH(SMALL($AU:$AU,ROW()+3),$AU:$AU,0)),"")</f>
        <v/>
      </c>
      <c r="AK207" s="49" t="str">
        <f ca="1">IFERROR(INDEX(X:X,MATCH(SMALL($AU:$AU,ROW()+3),$AU:$AU,0)),"")</f>
        <v/>
      </c>
      <c r="AL207" s="49" t="str">
        <f ca="1">IFERROR(INDEX(Y:Y,MATCH(SMALL($AU:$AU,ROW()+3),$AU:$AU,0)),"")</f>
        <v/>
      </c>
      <c r="AM207" s="49" t="str">
        <f ca="1">IFERROR(INDEX(Z:Z,MATCH(SMALL($AU:$AU,ROW()+3),$AU:$AU,0)),"")</f>
        <v/>
      </c>
      <c r="AN207" s="49" t="str">
        <f ca="1">IFERROR(INDEX(AA:AA,MATCH(SMALL($AU:$AU,ROW()+3),$AU:$AU,0)),"")</f>
        <v/>
      </c>
      <c r="AO207" s="49" t="str">
        <f ca="1">IFERROR(INDEX(AB:AB,MATCH(SMALL($AU:$AU,ROW()+3),$AU:$AU,0)),"")</f>
        <v/>
      </c>
      <c r="AP207" s="49" t="str">
        <f ca="1">IFERROR(INDEX(AC:AC,MATCH(SMALL($AU:$AU,ROW()+3),$AU:$AU,0)),"")</f>
        <v/>
      </c>
      <c r="AU207" s="49" t="str">
        <f t="shared" ca="1" si="37"/>
        <v/>
      </c>
    </row>
    <row r="208" spans="1:47" ht="22.2" customHeight="1">
      <c r="A208" s="115">
        <f t="shared" si="32"/>
        <v>141</v>
      </c>
      <c r="B208" s="114" t="str">
        <f t="shared" ca="1" si="38"/>
        <v/>
      </c>
      <c r="C208" s="114" t="str">
        <f>IF(OR(クライアント抽出!D68&lt;&gt;"",クライアント抽出!G68&lt;&gt;""),クライアント抽出!A68,"")</f>
        <v/>
      </c>
      <c r="D208" s="114" t="str">
        <f t="array" aca="1" ref="D208" ca="1">IF(C208&lt;&gt;"",INDIRECT("クライアント抽出!"&amp;E208&amp;MATCH(C208,クライアント抽出!A:A,0)&amp;""),"")</f>
        <v/>
      </c>
      <c r="E208" s="114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17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114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116" t="str">
        <f>IF(C208&lt;&gt;"",
クライアント抽出!D68,"")</f>
        <v/>
      </c>
      <c r="I208" s="114" t="str">
        <f>IF(C208&lt;&gt;"",
IF(O208=1,0,クライアント抽出!F68),"")</f>
        <v/>
      </c>
      <c r="J208" s="114" t="str">
        <f>IF(C208&lt;&gt;"",
VLOOKUP(
"*"&amp;LEFT(IF(COUNTIF(D208,"*学食*"),"キャラ弁（学食）",
IF(COUNTIF(D208,"*赤*"),"赤",
IF(COUNTIF(D208,"*キャラ弁当*"),"キャラ弁当",D208))),4)&amp;"*",注文弁当の抽出!$E$1:$F$15,2,FALSE),"")</f>
        <v/>
      </c>
      <c r="K208" s="114" t="str">
        <f ca="1">IF(クライアント抽出!R68&lt;&gt;"",SUBSTITUTE(ADDRESS(1,(CODE(クライアント抽出!R68)-64)*2-1,4),"1",""),"")</f>
        <v/>
      </c>
      <c r="L208" s="114" t="str">
        <f>IF(C68&lt;&gt;"",クライアント抽出!I68,"")</f>
        <v/>
      </c>
      <c r="M208" s="114">
        <f t="array" aca="1" ref="M208" ca="1">IF(C208&lt;&gt;"",
IF(K208&lt;&gt;"",INDIRECT("'数出表_Excel（アレルギー入力）'!"&amp;K208&amp;L208-1&amp;""),),)</f>
        <v>0</v>
      </c>
      <c r="N208" s="114" t="str">
        <f>IF(C208&lt;&gt;"",IF(OR(COUNTIF('盛付札（関数）'!D208,"*赤*"),COUNTIF('盛付札（関数）'!D208,"*キャラ*")),1,
VLOOKUP("*"&amp;D208&amp;"*",商品マスタ一覧!D:H,5,FALSE)),"")</f>
        <v/>
      </c>
      <c r="O208" s="114">
        <f t="shared" ca="1" si="39"/>
        <v>0</v>
      </c>
      <c r="P208" s="114">
        <f t="shared" si="33"/>
        <v>0</v>
      </c>
      <c r="Q208" s="114" t="b">
        <f t="shared" si="34"/>
        <v>0</v>
      </c>
      <c r="R208" s="49" t="str">
        <f t="array" aca="1" ref="R208" ca="1">IFERROR(SMALL(IF(P$1:P$311&lt;&gt;0,P$1:P$311),ROW(A208)),"")</f>
        <v/>
      </c>
      <c r="S208" s="49" t="str">
        <f t="array" aca="1" ref="S208" ca="1">IF($R208&lt;&gt;"",
SUBSTITUTE(SUBSTITUTE(INDIRECT("C"&amp;$R208&amp;"")," 週3ｺｰｽ","")," 週5ｺｰｽ",""),"")</f>
        <v/>
      </c>
      <c r="T208" s="49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22" t="str">
        <f t="array" aca="1" ref="U208" ca="1">IF($R208&lt;&gt;"",
INDIRECT("F"&amp;$R208&amp;""),"")</f>
        <v/>
      </c>
      <c r="V208" s="49" t="str">
        <f t="array" aca="1" ref="V208" ca="1">IF($R208&lt;&gt;"",
INDIRECT("G"&amp;$R208&amp;""),"")</f>
        <v/>
      </c>
      <c r="W208" s="49" t="str">
        <f t="array" aca="1" ref="W208" ca="1">IF($R208&lt;&gt;"",
IF(AND(COUNTIF(INDIRECT("B"&amp;R208&amp;""),"*雙葉*"),COUNTIF(B:B,"*雙葉*")&gt;=2),
IF(OR(COUNTIF(INDIRECT("B"&amp;R208&amp;""),"*雙葉先生*"),COUNTIF($B$1:$B$70,"*雙葉*")&gt;=2),INDIRECT("H"&amp;R208&amp;""),INDIRECT("H"&amp;R208&amp;"")+INDIRECT("H"&amp;MATCH("雙葉'",INDIRECT("B"&amp;R208+3&amp;":B210"),0)+2+R208&amp;"")),
IF(AND(LEFT(INDIRECT("B"&amp;R208&amp;""),2)="博多",COUNTIF(B:B,"*博多*")&gt;=2),
INDIRECT("H"&amp;R208&amp;"")+INDIRECT("H"&amp;MATCH("*"&amp;INDIRECT("B"&amp;R208&amp;"")&amp;"*",INDIRECT("B"&amp;R208+1&amp;":B210"),0)+R208&amp;""),
IF(AND(LEFT(INDIRECT("B"&amp;R208&amp;""),3)="奈良屋",COUNTIF(B:B,"*奈良屋*")&gt;=2),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49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49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49" t="str">
        <f t="shared" ca="1" si="35"/>
        <v/>
      </c>
      <c r="AA208" s="49" t="str">
        <f t="shared" ca="1" si="36"/>
        <v/>
      </c>
      <c r="AB208" s="49" t="str">
        <f t="array" aca="1" ref="AB208" ca="1">IF($R208&lt;&gt;"",
IF(AND(COUNTIF(INDIRECT("B"&amp;R208&amp;""),"*雙葉*"),COUNTIF(B:B,"*雙葉*")&gt;=2),
INDIRECT("M"&amp;R208&amp;"")+INDIRECT("M"&amp;MATCH("雙葉'",INDIRECT("B"&amp;R208+1&amp;":B210"),0)+R208&amp;""),
IF(AND(LEFT(INDIRECT("B"&amp;R208&amp;""),2)="博多",COUNTIF(B:B,"*博多*")&gt;=2),
INDIRECT("M"&amp;R208&amp;"")+INDIRECT("M"&amp;MATCH("*"&amp;INDIRECT("B"&amp;R208&amp;"")&amp;"*",INDIRECT("B"&amp;R208+1&amp;":B210"),0)+R208&amp;""),
IF(AND(LEFT(INDIRECT("B"&amp;R208&amp;""),3)="奈良屋",COUNTIF(B:B,"*奈良屋*")&gt;=2),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  <c r="AC208" s="49" t="str">
        <f ca="1">IF(S208&lt;&gt;"",INDEX(A:A, MATCH("*"&amp;LEFT(S208,4)&amp;"*", C:C, 0)),"")</f>
        <v/>
      </c>
      <c r="AD208" s="49" t="str">
        <f ca="1">IFERROR(INDEX(AC:AC,MATCH(SMALL($AU:$AU,ROW()+3),$AU:$AU,0)),"")</f>
        <v/>
      </c>
      <c r="AE208" s="49" t="str">
        <f ca="1">IFERROR(INDEX(R:R,MATCH(SMALL($AU:$AU,ROW()+3),$AU:$AU,0)),"")</f>
        <v/>
      </c>
      <c r="AF208" s="49" t="str">
        <f ca="1">IFERROR(INDEX(S:S,MATCH(SMALL($AU:$AU,ROW()+3),$AU:$AU,0)),"")</f>
        <v/>
      </c>
      <c r="AG208" s="49" t="str">
        <f ca="1">IFERROR(INDEX(T:T,MATCH(SMALL($AU:$AU,ROW()+3),$AU:$AU,0)),"")</f>
        <v/>
      </c>
      <c r="AH208" s="122" t="str">
        <f ca="1">IFERROR(INDEX(U:U,MATCH(SMALL($AU:$AU,ROW()+3),$AU:$AU,0)),"")</f>
        <v/>
      </c>
      <c r="AI208" s="49" t="str">
        <f ca="1">IFERROR(INDEX(V:V,MATCH(SMALL($AU:$AU,ROW()+3),$AU:$AU,0)),"")</f>
        <v/>
      </c>
      <c r="AJ208" s="49" t="str">
        <f ca="1">IFERROR(INDEX(W:W,MATCH(SMALL($AU:$AU,ROW()+3),$AU:$AU,0)),"")</f>
        <v/>
      </c>
      <c r="AK208" s="49" t="str">
        <f ca="1">IFERROR(INDEX(X:X,MATCH(SMALL($AU:$AU,ROW()+3),$AU:$AU,0)),"")</f>
        <v/>
      </c>
      <c r="AL208" s="49" t="str">
        <f ca="1">IFERROR(INDEX(Y:Y,MATCH(SMALL($AU:$AU,ROW()+3),$AU:$AU,0)),"")</f>
        <v/>
      </c>
      <c r="AM208" s="49" t="str">
        <f ca="1">IFERROR(INDEX(Z:Z,MATCH(SMALL($AU:$AU,ROW()+3),$AU:$AU,0)),"")</f>
        <v/>
      </c>
      <c r="AN208" s="49" t="str">
        <f ca="1">IFERROR(INDEX(AA:AA,MATCH(SMALL($AU:$AU,ROW()+3),$AU:$AU,0)),"")</f>
        <v/>
      </c>
      <c r="AO208" s="49" t="str">
        <f ca="1">IFERROR(INDEX(AB:AB,MATCH(SMALL($AU:$AU,ROW()+3),$AU:$AU,0)),"")</f>
        <v/>
      </c>
      <c r="AP208" s="49" t="str">
        <f ca="1">IFERROR(INDEX(AC:AC,MATCH(SMALL($AU:$AU,ROW()+3),$AU:$AU,0)),"")</f>
        <v/>
      </c>
      <c r="AU208" s="49" t="str">
        <f t="shared" ca="1" si="37"/>
        <v/>
      </c>
    </row>
    <row r="209" spans="1:47" ht="22.2" customHeight="1">
      <c r="A209" s="115">
        <f t="shared" si="32"/>
        <v>143</v>
      </c>
      <c r="B209" s="114" t="str">
        <f t="shared" ca="1" si="38"/>
        <v/>
      </c>
      <c r="C209" s="114" t="str">
        <f>IF(OR(クライアント抽出!D69&lt;&gt;"",クライアント抽出!G69&lt;&gt;""),クライアント抽出!A69,"")</f>
        <v/>
      </c>
      <c r="D209" s="114" t="str">
        <f t="array" aca="1" ref="D209" ca="1">IF(C209&lt;&gt;"",INDIRECT("クライアント抽出!"&amp;E209&amp;MATCH(C209,クライアント抽出!A:A,0)&amp;""),"")</f>
        <v/>
      </c>
      <c r="E209" s="114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17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114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116" t="str">
        <f>IF(C209&lt;&gt;"",
クライアント抽出!D69,"")</f>
        <v/>
      </c>
      <c r="I209" s="114" t="str">
        <f>IF(C209&lt;&gt;"",
IF(O209=1,0,クライアント抽出!F69),"")</f>
        <v/>
      </c>
      <c r="J209" s="114" t="str">
        <f>IF(C209&lt;&gt;"",
VLOOKUP(
"*"&amp;LEFT(IF(COUNTIF(D209,"*学食*"),"キャラ弁（学食）",
IF(COUNTIF(D209,"*赤*"),"赤",
IF(COUNTIF(D209,"*キャラ弁当*"),"キャラ弁当",D209))),4)&amp;"*",注文弁当の抽出!$E$1:$F$15,2,FALSE),"")</f>
        <v/>
      </c>
      <c r="K209" s="114" t="str">
        <f ca="1">IF(クライアント抽出!R69&lt;&gt;"",SUBSTITUTE(ADDRESS(1,(CODE(クライアント抽出!R69)-64)*2-1,4),"1",""),"")</f>
        <v/>
      </c>
      <c r="L209" s="114" t="str">
        <f>IF(C69&lt;&gt;"",クライアント抽出!I69,"")</f>
        <v/>
      </c>
      <c r="M209" s="114">
        <f t="array" aca="1" ref="M209" ca="1">IF(C209&lt;&gt;"",
IF(K209&lt;&gt;"",INDIRECT("'数出表_Excel（アレルギー入力）'!"&amp;K209&amp;L209-1&amp;""),),)</f>
        <v>0</v>
      </c>
      <c r="N209" s="114" t="str">
        <f>IF(C209&lt;&gt;"",IF(OR(COUNTIF('盛付札（関数）'!D209,"*赤*"),COUNTIF('盛付札（関数）'!D209,"*キャラ*")),1,
VLOOKUP("*"&amp;D209&amp;"*",商品マスタ一覧!D:H,5,FALSE)),"")</f>
        <v/>
      </c>
      <c r="O209" s="114">
        <f t="shared" ca="1" si="39"/>
        <v>0</v>
      </c>
      <c r="P209" s="114">
        <f t="shared" si="33"/>
        <v>0</v>
      </c>
      <c r="Q209" s="114" t="b">
        <f t="shared" si="34"/>
        <v>0</v>
      </c>
      <c r="R209" s="49" t="str">
        <f t="array" aca="1" ref="R209" ca="1">IFERROR(SMALL(IF(P$1:P$311&lt;&gt;0,P$1:P$311),ROW(A209)),"")</f>
        <v/>
      </c>
      <c r="S209" s="49" t="str">
        <f t="array" aca="1" ref="S209" ca="1">IF($R209&lt;&gt;"",
SUBSTITUTE(SUBSTITUTE(INDIRECT("C"&amp;$R209&amp;"")," 週3ｺｰｽ","")," 週5ｺｰｽ",""),"")</f>
        <v/>
      </c>
      <c r="T209" s="49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22" t="str">
        <f t="array" aca="1" ref="U209" ca="1">IF($R209&lt;&gt;"",
INDIRECT("F"&amp;$R209&amp;""),"")</f>
        <v/>
      </c>
      <c r="V209" s="49" t="str">
        <f t="array" aca="1" ref="V209" ca="1">IF($R209&lt;&gt;"",
INDIRECT("G"&amp;$R209&amp;""),"")</f>
        <v/>
      </c>
      <c r="W209" s="49" t="str">
        <f t="array" aca="1" ref="W209" ca="1">IF($R209&lt;&gt;"",
IF(AND(COUNTIF(INDIRECT("B"&amp;R209&amp;""),"*雙葉*"),COUNTIF(B:B,"*雙葉*")&gt;=2),
IF(OR(COUNTIF(INDIRECT("B"&amp;R209&amp;""),"*雙葉先生*"),COUNTIF($B$1:$B$70,"*雙葉*")&gt;=2),INDIRECT("H"&amp;R209&amp;""),INDIRECT("H"&amp;R209&amp;"")+INDIRECT("H"&amp;MATCH("雙葉'",INDIRECT("B"&amp;R209+3&amp;":B210"),0)+2+R209&amp;"")),
IF(AND(LEFT(INDIRECT("B"&amp;R209&amp;""),2)="博多",COUNTIF(B:B,"*博多*")&gt;=2),
INDIRECT("H"&amp;R209&amp;"")+INDIRECT("H"&amp;MATCH("*"&amp;INDIRECT("B"&amp;R209&amp;"")&amp;"*",INDIRECT("B"&amp;R209+1&amp;":B210"),0)+R209&amp;""),
IF(AND(LEFT(INDIRECT("B"&amp;R209&amp;""),3)="奈良屋",COUNTIF(B:B,"*奈良屋*")&gt;=2),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49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49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49" t="str">
        <f t="shared" ca="1" si="35"/>
        <v/>
      </c>
      <c r="AA209" s="49" t="str">
        <f t="shared" ca="1" si="36"/>
        <v/>
      </c>
      <c r="AB209" s="49" t="str">
        <f t="array" aca="1" ref="AB209" ca="1">IF($R209&lt;&gt;"",
IF(AND(COUNTIF(INDIRECT("B"&amp;R209&amp;""),"*雙葉*"),COUNTIF(B:B,"*雙葉*")&gt;=2),
INDIRECT("M"&amp;R209&amp;"")+INDIRECT("M"&amp;MATCH("雙葉'",INDIRECT("B"&amp;R209+1&amp;":B210"),0)+R209&amp;""),
IF(AND(LEFT(INDIRECT("B"&amp;R209&amp;""),2)="博多",COUNTIF(B:B,"*博多*")&gt;=2),
INDIRECT("M"&amp;R209&amp;"")+INDIRECT("M"&amp;MATCH("*"&amp;INDIRECT("B"&amp;R209&amp;"")&amp;"*",INDIRECT("B"&amp;R209+1&amp;":B210"),0)+R209&amp;""),
IF(AND(LEFT(INDIRECT("B"&amp;R209&amp;""),3)="奈良屋",COUNTIF(B:B,"*奈良屋*")&gt;=2),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  <c r="AC209" s="49" t="str">
        <f ca="1">IF(S209&lt;&gt;"",INDEX(A:A, MATCH("*"&amp;LEFT(S209,4)&amp;"*", C:C, 0)),"")</f>
        <v/>
      </c>
      <c r="AD209" s="49" t="str">
        <f ca="1">IFERROR(INDEX(AC:AC,MATCH(SMALL($AU:$AU,ROW()+3),$AU:$AU,0)),"")</f>
        <v/>
      </c>
      <c r="AE209" s="49" t="str">
        <f ca="1">IFERROR(INDEX(R:R,MATCH(SMALL($AU:$AU,ROW()+3),$AU:$AU,0)),"")</f>
        <v/>
      </c>
      <c r="AF209" s="49" t="str">
        <f ca="1">IFERROR(INDEX(S:S,MATCH(SMALL($AU:$AU,ROW()+3),$AU:$AU,0)),"")</f>
        <v/>
      </c>
      <c r="AG209" s="49" t="str">
        <f ca="1">IFERROR(INDEX(T:T,MATCH(SMALL($AU:$AU,ROW()+3),$AU:$AU,0)),"")</f>
        <v/>
      </c>
      <c r="AH209" s="122" t="str">
        <f ca="1">IFERROR(INDEX(U:U,MATCH(SMALL($AU:$AU,ROW()+3),$AU:$AU,0)),"")</f>
        <v/>
      </c>
      <c r="AI209" s="49" t="str">
        <f ca="1">IFERROR(INDEX(V:V,MATCH(SMALL($AU:$AU,ROW()+3),$AU:$AU,0)),"")</f>
        <v/>
      </c>
      <c r="AJ209" s="49" t="str">
        <f ca="1">IFERROR(INDEX(W:W,MATCH(SMALL($AU:$AU,ROW()+3),$AU:$AU,0)),"")</f>
        <v/>
      </c>
      <c r="AK209" s="49" t="str">
        <f ca="1">IFERROR(INDEX(X:X,MATCH(SMALL($AU:$AU,ROW()+3),$AU:$AU,0)),"")</f>
        <v/>
      </c>
      <c r="AL209" s="49" t="str">
        <f ca="1">IFERROR(INDEX(Y:Y,MATCH(SMALL($AU:$AU,ROW()+3),$AU:$AU,0)),"")</f>
        <v/>
      </c>
      <c r="AM209" s="49" t="str">
        <f ca="1">IFERROR(INDEX(Z:Z,MATCH(SMALL($AU:$AU,ROW()+3),$AU:$AU,0)),"")</f>
        <v/>
      </c>
      <c r="AN209" s="49" t="str">
        <f ca="1">IFERROR(INDEX(AA:AA,MATCH(SMALL($AU:$AU,ROW()+3),$AU:$AU,0)),"")</f>
        <v/>
      </c>
      <c r="AO209" s="49" t="str">
        <f ca="1">IFERROR(INDEX(AB:AB,MATCH(SMALL($AU:$AU,ROW()+3),$AU:$AU,0)),"")</f>
        <v/>
      </c>
      <c r="AP209" s="49" t="str">
        <f ca="1">IFERROR(INDEX(AC:AC,MATCH(SMALL($AU:$AU,ROW()+3),$AU:$AU,0)),"")</f>
        <v/>
      </c>
      <c r="AU209" s="49" t="str">
        <f t="shared" ca="1" si="37"/>
        <v/>
      </c>
    </row>
    <row r="210" spans="1:47" ht="22.2" customHeight="1">
      <c r="A210" s="115">
        <f t="shared" si="32"/>
        <v>145</v>
      </c>
      <c r="B210" s="114" t="str">
        <f t="shared" ca="1" si="38"/>
        <v/>
      </c>
      <c r="C210" s="114" t="str">
        <f>IF(OR(クライアント抽出!D70&lt;&gt;"",クライアント抽出!G70&lt;&gt;""),クライアント抽出!A70,"")</f>
        <v/>
      </c>
      <c r="D210" s="114" t="str">
        <f t="array" aca="1" ref="D210" ca="1">IF(C210&lt;&gt;"",INDIRECT("クライアント抽出!"&amp;E210&amp;MATCH(C210,クライアント抽出!A:A,0)&amp;""),"")</f>
        <v/>
      </c>
      <c r="E210" s="114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17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114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116" t="str">
        <f>IF(C210&lt;&gt;"",
クライアント抽出!D70,"")</f>
        <v/>
      </c>
      <c r="I210" s="114" t="str">
        <f>IF(C210&lt;&gt;"",
IF(O210=1,0,クライアント抽出!F70),"")</f>
        <v/>
      </c>
      <c r="J210" s="114" t="str">
        <f>IF(C210&lt;&gt;"",
VLOOKUP(
"*"&amp;LEFT(IF(COUNTIF(D210,"*学食*"),"キャラ弁（学食）",
IF(COUNTIF(D210,"*赤*"),"赤",
IF(COUNTIF(D210,"*キャラ弁当*"),"キャラ弁当",D210))),4)&amp;"*",注文弁当の抽出!$E$1:$F$15,2,FALSE),"")</f>
        <v/>
      </c>
      <c r="K210" s="114" t="str">
        <f ca="1">IF(クライアント抽出!R70&lt;&gt;"",SUBSTITUTE(ADDRESS(1,(CODE(クライアント抽出!R70)-64)*2-1,4),"1",""),"")</f>
        <v/>
      </c>
      <c r="L210" s="114" t="str">
        <f>IF(C70&lt;&gt;"",クライアント抽出!I70,"")</f>
        <v/>
      </c>
      <c r="M210" s="114">
        <f t="array" aca="1" ref="M210" ca="1">IF(C210&lt;&gt;"",
IF(K210&lt;&gt;"",INDIRECT("'数出表_Excel（アレルギー入力）'!"&amp;K210&amp;L210-1&amp;""),),)</f>
        <v>0</v>
      </c>
      <c r="N210" s="114" t="str">
        <f>IF(C210&lt;&gt;"",IF(OR(COUNTIF('盛付札（関数）'!D210,"*赤*"),COUNTIF('盛付札（関数）'!D210,"*キャラ*")),1,
VLOOKUP("*"&amp;D210&amp;"*",商品マスタ一覧!D:H,5,FALSE)),"")</f>
        <v/>
      </c>
      <c r="O210" s="114">
        <f t="shared" ca="1" si="39"/>
        <v>0</v>
      </c>
      <c r="P210" s="114">
        <f t="shared" si="33"/>
        <v>0</v>
      </c>
      <c r="Q210" s="114" t="b">
        <f t="shared" si="34"/>
        <v>0</v>
      </c>
      <c r="R210" s="49" t="str">
        <f t="array" aca="1" ref="R210" ca="1">IFERROR(SMALL(IF(P$1:P$311&lt;&gt;0,P$1:P$311),ROW(A210)),"")</f>
        <v/>
      </c>
      <c r="S210" s="49" t="str">
        <f t="array" aca="1" ref="S210" ca="1">IF($R210&lt;&gt;"",
SUBSTITUTE(SUBSTITUTE(INDIRECT("C"&amp;$R210&amp;"")," 週3ｺｰｽ","")," 週5ｺｰｽ",""),"")</f>
        <v/>
      </c>
      <c r="T210" s="49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22" t="str">
        <f t="array" aca="1" ref="U210" ca="1">IF($R210&lt;&gt;"",
INDIRECT("F"&amp;$R210&amp;""),"")</f>
        <v/>
      </c>
      <c r="V210" s="49" t="str">
        <f t="array" aca="1" ref="V210" ca="1">IF($R210&lt;&gt;"",
INDIRECT("G"&amp;$R210&amp;""),"")</f>
        <v/>
      </c>
      <c r="W210" s="49" t="str">
        <f t="array" aca="1" ref="W210" ca="1">IF($R210&lt;&gt;"",
IF(AND(COUNTIF(INDIRECT("B"&amp;R210&amp;""),"*雙葉*"),COUNTIF(B:B,"*雙葉*")&gt;=2),
IF(OR(COUNTIF(INDIRECT("B"&amp;R210&amp;""),"*雙葉先生*"),COUNTIF($B$1:$B$70,"*雙葉*")&gt;=2),INDIRECT("H"&amp;R210&amp;""),INDIRECT("H"&amp;R210&amp;"")+INDIRECT("H"&amp;MATCH("雙葉'",INDIRECT("B"&amp;R210+3&amp;":B210"),0)+2+R210&amp;"")),
IF(AND(LEFT(INDIRECT("B"&amp;R210&amp;""),2)="博多",COUNTIF(B:B,"*博多*")&gt;=2),
INDIRECT("H"&amp;R210&amp;"")+INDIRECT("H"&amp;MATCH("*"&amp;INDIRECT("B"&amp;R210&amp;"")&amp;"*",INDIRECT("B"&amp;R210+1&amp;":B210"),0)+R210&amp;""),
IF(AND(LEFT(INDIRECT("B"&amp;R210&amp;""),3)="奈良屋",COUNTIF(B:B,"*奈良屋*")&gt;=2),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49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49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49" t="str">
        <f t="shared" ca="1" si="35"/>
        <v/>
      </c>
      <c r="AA210" s="49" t="str">
        <f t="shared" ca="1" si="36"/>
        <v/>
      </c>
      <c r="AB210" s="49" t="str">
        <f t="array" aca="1" ref="AB210" ca="1">IF($R210&lt;&gt;"",
IF(AND(COUNTIF(INDIRECT("B"&amp;R210&amp;""),"*雙葉*"),COUNTIF(B:B,"*雙葉*")&gt;=2),
INDIRECT("M"&amp;R210&amp;"")+INDIRECT("M"&amp;MATCH("雙葉'",INDIRECT("B"&amp;R210+1&amp;":B210"),0)+R210&amp;""),
IF(AND(LEFT(INDIRECT("B"&amp;R210&amp;""),2)="博多",COUNTIF(B:B,"*博多*")&gt;=2),
INDIRECT("M"&amp;R210&amp;"")+INDIRECT("M"&amp;MATCH("*"&amp;INDIRECT("B"&amp;R210&amp;"")&amp;"*",INDIRECT("B"&amp;R210+1&amp;":B210"),0)+R210&amp;""),
IF(AND(LEFT(INDIRECT("B"&amp;R210&amp;""),3)="奈良屋",COUNTIF(B:B,"*奈良屋*")&gt;=2),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  <c r="AC210" s="49" t="str">
        <f ca="1">IF(S210&lt;&gt;"",INDEX(A:A, MATCH("*"&amp;LEFT(S210,4)&amp;"*", C:C, 0)),"")</f>
        <v/>
      </c>
      <c r="AD210" s="49" t="str">
        <f ca="1">IFERROR(INDEX(AC:AC,MATCH(SMALL($AU:$AU,ROW()+3),$AU:$AU,0)),"")</f>
        <v/>
      </c>
      <c r="AE210" s="49" t="str">
        <f ca="1">IFERROR(INDEX(R:R,MATCH(SMALL($AU:$AU,ROW()+3),$AU:$AU,0)),"")</f>
        <v/>
      </c>
      <c r="AF210" s="49" t="str">
        <f ca="1">IFERROR(INDEX(S:S,MATCH(SMALL($AU:$AU,ROW()+3),$AU:$AU,0)),"")</f>
        <v/>
      </c>
      <c r="AG210" s="49" t="str">
        <f ca="1">IFERROR(INDEX(T:T,MATCH(SMALL($AU:$AU,ROW()+3),$AU:$AU,0)),"")</f>
        <v/>
      </c>
      <c r="AH210" s="122" t="str">
        <f ca="1">IFERROR(INDEX(U:U,MATCH(SMALL($AU:$AU,ROW()+3),$AU:$AU,0)),"")</f>
        <v/>
      </c>
      <c r="AI210" s="49" t="str">
        <f ca="1">IFERROR(INDEX(V:V,MATCH(SMALL($AU:$AU,ROW()+3),$AU:$AU,0)),"")</f>
        <v/>
      </c>
      <c r="AJ210" s="49" t="str">
        <f ca="1">IFERROR(INDEX(W:W,MATCH(SMALL($AU:$AU,ROW()+3),$AU:$AU,0)),"")</f>
        <v/>
      </c>
      <c r="AK210" s="49" t="str">
        <f ca="1">IFERROR(INDEX(X:X,MATCH(SMALL($AU:$AU,ROW()+3),$AU:$AU,0)),"")</f>
        <v/>
      </c>
      <c r="AL210" s="49" t="str">
        <f ca="1">IFERROR(INDEX(Y:Y,MATCH(SMALL($AU:$AU,ROW()+3),$AU:$AU,0)),"")</f>
        <v/>
      </c>
      <c r="AM210" s="49" t="str">
        <f ca="1">IFERROR(INDEX(Z:Z,MATCH(SMALL($AU:$AU,ROW()+3),$AU:$AU,0)),"")</f>
        <v/>
      </c>
      <c r="AN210" s="49" t="str">
        <f ca="1">IFERROR(INDEX(AA:AA,MATCH(SMALL($AU:$AU,ROW()+3),$AU:$AU,0)),"")</f>
        <v/>
      </c>
      <c r="AO210" s="49" t="str">
        <f ca="1">IFERROR(INDEX(AB:AB,MATCH(SMALL($AU:$AU,ROW()+3),$AU:$AU,0)),"")</f>
        <v/>
      </c>
      <c r="AP210" s="49" t="str">
        <f ca="1">IFERROR(INDEX(AC:AC,MATCH(SMALL($AU:$AU,ROW()+3),$AU:$AU,0)),"")</f>
        <v/>
      </c>
      <c r="AU210" s="49" t="str">
        <f t="shared" ca="1" si="37"/>
        <v/>
      </c>
    </row>
    <row r="211" spans="1:47">
      <c r="A211" s="107" t="e">
        <f ca="1">MATCH("*"&amp;LEFT(C211,3)&amp;"*",数出表_Excel!V:V,0)</f>
        <v>#N/A</v>
      </c>
      <c r="B211" s="124"/>
      <c r="C211" s="125" t="str">
        <f>社食等の札!A3</f>
        <v>ニシム</v>
      </c>
      <c r="D211" s="125"/>
      <c r="E211" s="125"/>
      <c r="F211" s="125"/>
      <c r="G211" s="125"/>
      <c r="H211" s="124" t="e">
        <f ca="1">社食等の札!E3</f>
        <v>#N/A</v>
      </c>
      <c r="I211" s="124"/>
      <c r="J211" s="124"/>
      <c r="M211" s="124"/>
      <c r="P211" s="124">
        <f>ROW()</f>
        <v>211</v>
      </c>
      <c r="Q211" s="124" t="b">
        <v>1</v>
      </c>
      <c r="R211" s="49" t="str">
        <f t="array" aca="1" ref="R211" ca="1">IFERROR(SMALL(IF(P$1:P$311&lt;&gt;0,P$1:P$311),ROW(A211)),"")</f>
        <v/>
      </c>
      <c r="S211" s="49" t="str">
        <f t="array" aca="1" ref="S211" ca="1">IF($R211&lt;&gt;"",
SUBSTITUTE(SUBSTITUTE(INDIRECT("C"&amp;$R211&amp;"")," 週3ｺｰｽ","")," 週5ｺｰｽ",""),"")</f>
        <v/>
      </c>
      <c r="T211" s="49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22" t="str">
        <f t="array" aca="1" ref="U211" ca="1">IF($R211&lt;&gt;"",
INDIRECT("F"&amp;$R211&amp;""),"")</f>
        <v/>
      </c>
      <c r="V211" s="49" t="str">
        <f t="array" aca="1" ref="V211" ca="1">IF($R211&lt;&gt;"",
INDIRECT("G"&amp;$R211&amp;""),"")</f>
        <v/>
      </c>
      <c r="W211" s="49" t="str">
        <f t="array" aca="1" ref="W211" ca="1">IF($R211&lt;&gt;"",
IF(AND(COUNTIF(INDIRECT("B"&amp;R211&amp;""),"*雙葉*"),COUNTIF(B:B,"*雙葉*")&gt;=2),
IF(OR(COUNTIF(INDIRECT("B"&amp;R211&amp;""),"*雙葉先生*"),COUNTIF($B$1:$B$70,"*雙葉*")&gt;=2),INDIRECT("H"&amp;R211&amp;""),INDIRECT("H"&amp;R211&amp;"")+INDIRECT("H"&amp;MATCH("雙葉'",INDIRECT("B"&amp;R211+3&amp;":B210"),0)+2+R211&amp;"")),
IF(AND(LEFT(INDIRECT("B"&amp;R211&amp;""),2)="博多",COUNTIF(B:B,"*博多*")&gt;=2),
INDIRECT("H"&amp;R211&amp;"")+INDIRECT("H"&amp;MATCH("*"&amp;INDIRECT("B"&amp;R211&amp;"")&amp;"*",INDIRECT("B"&amp;R211+1&amp;":B210"),0)+R211&amp;""),
IF(AND(LEFT(INDIRECT("B"&amp;R211&amp;""),3)="奈良屋",COUNTIF(B:B,"*奈良屋*")&gt;=2),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49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49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49" t="str">
        <f t="shared" ca="1" si="35"/>
        <v/>
      </c>
      <c r="AA211" s="49" t="str">
        <f t="shared" ca="1" si="36"/>
        <v/>
      </c>
      <c r="AB211" s="49" t="str">
        <f t="array" aca="1" ref="AB211" ca="1">IF($R211&lt;&gt;"",
IF(AND(COUNTIF(INDIRECT("B"&amp;R211&amp;""),"*雙葉*"),COUNTIF(B:B,"*雙葉*")&gt;=2),
INDIRECT("M"&amp;R211&amp;"")+INDIRECT("M"&amp;MATCH("雙葉'",INDIRECT("B"&amp;R211+1&amp;":B210"),0)+R211&amp;""),
IF(AND(LEFT(INDIRECT("B"&amp;R211&amp;""),2)="博多",COUNTIF(B:B,"*博多*")&gt;=2),
INDIRECT("M"&amp;R211&amp;"")+INDIRECT("M"&amp;MATCH("*"&amp;INDIRECT("B"&amp;R211&amp;"")&amp;"*",INDIRECT("B"&amp;R211+1&amp;":B210"),0)+R211&amp;""),
IF(AND(LEFT(INDIRECT("B"&amp;R211&amp;""),3)="奈良屋",COUNTIF(B:B,"*奈良屋*")&gt;=2),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  <c r="AC211" s="49" t="str">
        <f ca="1">IF(S211&lt;&gt;"",INDEX(A:A, MATCH("*"&amp;LEFT(S211,4)&amp;"*", C:C, 0)),"")</f>
        <v/>
      </c>
      <c r="AD211" s="49" t="str">
        <f ca="1">IFERROR(INDEX(AC:AC,MATCH(SMALL($AU:$AU,ROW()+3),$AU:$AU,0)),"")</f>
        <v/>
      </c>
      <c r="AE211" s="49" t="str">
        <f ca="1">IFERROR(INDEX(R:R,MATCH(SMALL($AU:$AU,ROW()+3),$AU:$AU,0)),"")</f>
        <v/>
      </c>
      <c r="AF211" s="49" t="str">
        <f ca="1">IFERROR(INDEX(S:S,MATCH(SMALL($AU:$AU,ROW()+3),$AU:$AU,0)),"")</f>
        <v/>
      </c>
      <c r="AG211" s="49" t="str">
        <f ca="1">IFERROR(INDEX(T:T,MATCH(SMALL($AU:$AU,ROW()+3),$AU:$AU,0)),"")</f>
        <v/>
      </c>
      <c r="AH211" s="122" t="str">
        <f ca="1">IFERROR(INDEX(U:U,MATCH(SMALL($AU:$AU,ROW()+3),$AU:$AU,0)),"")</f>
        <v/>
      </c>
      <c r="AI211" s="49" t="str">
        <f ca="1">IFERROR(INDEX(V:V,MATCH(SMALL($AU:$AU,ROW()+3),$AU:$AU,0)),"")</f>
        <v/>
      </c>
      <c r="AJ211" s="49" t="str">
        <f ca="1">IFERROR(INDEX(W:W,MATCH(SMALL($AU:$AU,ROW()+3),$AU:$AU,0)),"")</f>
        <v/>
      </c>
      <c r="AK211" s="49" t="str">
        <f ca="1">IFERROR(INDEX(X:X,MATCH(SMALL($AU:$AU,ROW()+3),$AU:$AU,0)),"")</f>
        <v/>
      </c>
      <c r="AL211" s="49" t="str">
        <f ca="1">IFERROR(INDEX(Y:Y,MATCH(SMALL($AU:$AU,ROW()+3),$AU:$AU,0)),"")</f>
        <v/>
      </c>
      <c r="AM211" s="49" t="str">
        <f ca="1">IFERROR(INDEX(Z:Z,MATCH(SMALL($AU:$AU,ROW()+3),$AU:$AU,0)),"")</f>
        <v/>
      </c>
      <c r="AN211" s="49" t="str">
        <f ca="1">IFERROR(INDEX(AA:AA,MATCH(SMALL($AU:$AU,ROW()+3),$AU:$AU,0)),"")</f>
        <v/>
      </c>
      <c r="AO211" s="49" t="str">
        <f ca="1">IFERROR(INDEX(AB:AB,MATCH(SMALL($AU:$AU,ROW()+3),$AU:$AU,0)),"")</f>
        <v/>
      </c>
      <c r="AP211" s="49" t="str">
        <f ca="1">IFERROR(INDEX(AC:AC,MATCH(SMALL($AU:$AU,ROW()+3),$AU:$AU,0)),"")</f>
        <v/>
      </c>
      <c r="AU211" s="49" t="str">
        <f t="shared" ca="1" si="37"/>
        <v/>
      </c>
    </row>
    <row r="212" spans="1:47">
      <c r="A212" s="107" t="e">
        <f ca="1">MATCH("*"&amp;LEFT(C212,3)&amp;"*",数出表_Excel!V:V,0)</f>
        <v>#N/A</v>
      </c>
      <c r="B212" s="124"/>
      <c r="C212" s="125" t="str">
        <f>社食等の札!A4</f>
        <v>新日本製薬</v>
      </c>
      <c r="D212" s="125"/>
      <c r="E212" s="125"/>
      <c r="F212" s="125"/>
      <c r="G212" s="125"/>
      <c r="H212" s="124" t="e">
        <f ca="1">社食等の札!E4</f>
        <v>#N/A</v>
      </c>
      <c r="I212" s="124"/>
      <c r="J212" s="124"/>
      <c r="M212" s="124"/>
      <c r="P212" s="124">
        <f>ROW()</f>
        <v>212</v>
      </c>
      <c r="Q212" s="124" t="b">
        <v>1</v>
      </c>
      <c r="R212" s="49" t="str">
        <f t="array" aca="1" ref="R212" ca="1">IFERROR(SMALL(IF(P$1:P$311&lt;&gt;0,P$1:P$311),ROW(A212)),"")</f>
        <v/>
      </c>
      <c r="S212" s="49" t="str">
        <f t="array" aca="1" ref="S212" ca="1">IF($R212&lt;&gt;"",
SUBSTITUTE(SUBSTITUTE(INDIRECT("C"&amp;$R212&amp;"")," 週3ｺｰｽ","")," 週5ｺｰｽ",""),"")</f>
        <v/>
      </c>
      <c r="T212" s="49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22" t="str">
        <f t="array" aca="1" ref="U212" ca="1">IF($R212&lt;&gt;"",
INDIRECT("F"&amp;$R212&amp;""),"")</f>
        <v/>
      </c>
      <c r="V212" s="49" t="str">
        <f t="array" aca="1" ref="V212" ca="1">IF($R212&lt;&gt;"",
INDIRECT("G"&amp;$R212&amp;""),"")</f>
        <v/>
      </c>
      <c r="W212" s="49" t="str">
        <f t="array" aca="1" ref="W212" ca="1">IF($R212&lt;&gt;"",
IF(AND(COUNTIF(INDIRECT("B"&amp;R212&amp;""),"*雙葉*"),COUNTIF(B:B,"*雙葉*")&gt;=2),
IF(OR(COUNTIF(INDIRECT("B"&amp;R212&amp;""),"*雙葉先生*"),COUNTIF($B$1:$B$70,"*雙葉*")&gt;=2),INDIRECT("H"&amp;R212&amp;""),INDIRECT("H"&amp;R212&amp;"")+INDIRECT("H"&amp;MATCH("雙葉'",INDIRECT("B"&amp;R212+3&amp;":B210"),0)+2+R212&amp;"")),
IF(AND(LEFT(INDIRECT("B"&amp;R212&amp;""),2)="博多",COUNTIF(B:B,"*博多*")&gt;=2),
INDIRECT("H"&amp;R212&amp;"")+INDIRECT("H"&amp;MATCH("*"&amp;INDIRECT("B"&amp;R212&amp;"")&amp;"*",INDIRECT("B"&amp;R212+1&amp;":B210"),0)+R212&amp;""),
IF(AND(LEFT(INDIRECT("B"&amp;R212&amp;""),3)="奈良屋",COUNTIF(B:B,"*奈良屋*")&gt;=2),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49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49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49" t="str">
        <f t="shared" ca="1" si="35"/>
        <v/>
      </c>
      <c r="AA212" s="49" t="str">
        <f t="shared" ca="1" si="36"/>
        <v/>
      </c>
      <c r="AB212" s="49" t="str">
        <f t="array" aca="1" ref="AB212" ca="1">IF($R212&lt;&gt;"",
IF(AND(COUNTIF(INDIRECT("B"&amp;R212&amp;""),"*雙葉*"),COUNTIF(B:B,"*雙葉*")&gt;=2),
INDIRECT("M"&amp;R212&amp;"")+INDIRECT("M"&amp;MATCH("雙葉'",INDIRECT("B"&amp;R212+1&amp;":B210"),0)+R212&amp;""),
IF(AND(LEFT(INDIRECT("B"&amp;R212&amp;""),2)="博多",COUNTIF(B:B,"*博多*")&gt;=2),
INDIRECT("M"&amp;R212&amp;"")+INDIRECT("M"&amp;MATCH("*"&amp;INDIRECT("B"&amp;R212&amp;"")&amp;"*",INDIRECT("B"&amp;R212+1&amp;":B210"),0)+R212&amp;""),
IF(AND(LEFT(INDIRECT("B"&amp;R212&amp;""),3)="奈良屋",COUNTIF(B:B,"*奈良屋*")&gt;=2),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  <c r="AC212" s="49" t="str">
        <f ca="1">IF(S212&lt;&gt;"",INDEX(A:A, MATCH("*"&amp;LEFT(S212,4)&amp;"*", C:C, 0)),"")</f>
        <v/>
      </c>
      <c r="AD212" s="49" t="str">
        <f ca="1">IFERROR(INDEX(AC:AC,MATCH(SMALL($AU:$AU,ROW()+3),$AU:$AU,0)),"")</f>
        <v/>
      </c>
      <c r="AE212" s="49" t="str">
        <f ca="1">IFERROR(INDEX(R:R,MATCH(SMALL($AU:$AU,ROW()+3),$AU:$AU,0)),"")</f>
        <v/>
      </c>
      <c r="AF212" s="49" t="str">
        <f ca="1">IFERROR(INDEX(S:S,MATCH(SMALL($AU:$AU,ROW()+3),$AU:$AU,0)),"")</f>
        <v/>
      </c>
      <c r="AG212" s="49" t="str">
        <f ca="1">IFERROR(INDEX(T:T,MATCH(SMALL($AU:$AU,ROW()+3),$AU:$AU,0)),"")</f>
        <v/>
      </c>
      <c r="AH212" s="122" t="str">
        <f ca="1">IFERROR(INDEX(U:U,MATCH(SMALL($AU:$AU,ROW()+3),$AU:$AU,0)),"")</f>
        <v/>
      </c>
      <c r="AI212" s="49" t="str">
        <f ca="1">IFERROR(INDEX(V:V,MATCH(SMALL($AU:$AU,ROW()+3),$AU:$AU,0)),"")</f>
        <v/>
      </c>
      <c r="AJ212" s="49" t="str">
        <f ca="1">IFERROR(INDEX(W:W,MATCH(SMALL($AU:$AU,ROW()+3),$AU:$AU,0)),"")</f>
        <v/>
      </c>
      <c r="AK212" s="49" t="str">
        <f ca="1">IFERROR(INDEX(X:X,MATCH(SMALL($AU:$AU,ROW()+3),$AU:$AU,0)),"")</f>
        <v/>
      </c>
      <c r="AL212" s="49" t="str">
        <f ca="1">IFERROR(INDEX(Y:Y,MATCH(SMALL($AU:$AU,ROW()+3),$AU:$AU,0)),"")</f>
        <v/>
      </c>
      <c r="AM212" s="49" t="str">
        <f ca="1">IFERROR(INDEX(Z:Z,MATCH(SMALL($AU:$AU,ROW()+3),$AU:$AU,0)),"")</f>
        <v/>
      </c>
      <c r="AN212" s="49" t="str">
        <f ca="1">IFERROR(INDEX(AA:AA,MATCH(SMALL($AU:$AU,ROW()+3),$AU:$AU,0)),"")</f>
        <v/>
      </c>
      <c r="AO212" s="49" t="str">
        <f ca="1">IFERROR(INDEX(AB:AB,MATCH(SMALL($AU:$AU,ROW()+3),$AU:$AU,0)),"")</f>
        <v/>
      </c>
      <c r="AP212" s="49" t="str">
        <f ca="1">IFERROR(INDEX(AC:AC,MATCH(SMALL($AU:$AU,ROW()+3),$AU:$AU,0)),"")</f>
        <v/>
      </c>
      <c r="AU212" s="49" t="str">
        <f t="shared" ca="1" si="37"/>
        <v/>
      </c>
    </row>
    <row r="213" spans="1:47">
      <c r="A213" s="107" t="e">
        <f ca="1">A212</f>
        <v>#N/A</v>
      </c>
      <c r="B213" s="124"/>
      <c r="C213" s="125" t="str">
        <f>社食等の札!A5</f>
        <v>配送</v>
      </c>
      <c r="D213" s="125"/>
      <c r="E213" s="125"/>
      <c r="F213" s="125"/>
      <c r="G213" s="125"/>
      <c r="H213" s="124">
        <f>社食等の札!E5</f>
        <v>2</v>
      </c>
      <c r="I213" s="124"/>
      <c r="J213" s="124"/>
      <c r="M213" s="124"/>
      <c r="P213" s="124">
        <f>ROW()</f>
        <v>213</v>
      </c>
      <c r="Q213" s="124" t="b">
        <v>1</v>
      </c>
      <c r="R213" s="49" t="str">
        <f t="array" aca="1" ref="R213" ca="1">IFERROR(SMALL(IF(P$1:P$311&lt;&gt;0,P$1:P$311),ROW(A213)),"")</f>
        <v/>
      </c>
      <c r="S213" s="49" t="str">
        <f t="array" aca="1" ref="S213" ca="1">IF($R213&lt;&gt;"",
SUBSTITUTE(SUBSTITUTE(INDIRECT("C"&amp;$R213&amp;"")," 週3ｺｰｽ","")," 週5ｺｰｽ",""),"")</f>
        <v/>
      </c>
      <c r="T213" s="49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22" t="str">
        <f t="array" aca="1" ref="U213" ca="1">IF($R213&lt;&gt;"",
INDIRECT("F"&amp;$R213&amp;""),"")</f>
        <v/>
      </c>
      <c r="V213" s="49" t="str">
        <f t="array" aca="1" ref="V213" ca="1">IF($R213&lt;&gt;"",
INDIRECT("G"&amp;$R213&amp;""),"")</f>
        <v/>
      </c>
      <c r="W213" s="49" t="str">
        <f t="array" aca="1" ref="W213" ca="1">IF($R213&lt;&gt;"",
IF(AND(COUNTIF(INDIRECT("B"&amp;R213&amp;""),"*雙葉*"),COUNTIF(B:B,"*雙葉*")&gt;=2),
IF(OR(COUNTIF(INDIRECT("B"&amp;R213&amp;""),"*雙葉先生*"),COUNTIF($B$1:$B$70,"*雙葉*")&gt;=2),INDIRECT("H"&amp;R213&amp;""),INDIRECT("H"&amp;R213&amp;"")+INDIRECT("H"&amp;MATCH("雙葉'",INDIRECT("B"&amp;R213+3&amp;":B210"),0)+2+R213&amp;"")),
IF(AND(LEFT(INDIRECT("B"&amp;R213&amp;""),2)="博多",COUNTIF(B:B,"*博多*")&gt;=2),
INDIRECT("H"&amp;R213&amp;"")+INDIRECT("H"&amp;MATCH("*"&amp;INDIRECT("B"&amp;R213&amp;"")&amp;"*",INDIRECT("B"&amp;R213+1&amp;":B210"),0)+R213&amp;""),
IF(AND(LEFT(INDIRECT("B"&amp;R213&amp;""),3)="奈良屋",COUNTIF(B:B,"*奈良屋*")&gt;=2),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49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49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49" t="str">
        <f t="shared" ca="1" si="35"/>
        <v/>
      </c>
      <c r="AA213" s="49" t="str">
        <f t="shared" ca="1" si="36"/>
        <v/>
      </c>
      <c r="AB213" s="49" t="str">
        <f t="array" aca="1" ref="AB213" ca="1">IF($R213&lt;&gt;"",
IF(AND(COUNTIF(INDIRECT("B"&amp;R213&amp;""),"*雙葉*"),COUNTIF(B:B,"*雙葉*")&gt;=2),
INDIRECT("M"&amp;R213&amp;"")+INDIRECT("M"&amp;MATCH("雙葉'",INDIRECT("B"&amp;R213+1&amp;":B210"),0)+R213&amp;""),
IF(AND(LEFT(INDIRECT("B"&amp;R213&amp;""),2)="博多",COUNTIF(B:B,"*博多*")&gt;=2),
INDIRECT("M"&amp;R213&amp;"")+INDIRECT("M"&amp;MATCH("*"&amp;INDIRECT("B"&amp;R213&amp;"")&amp;"*",INDIRECT("B"&amp;R213+1&amp;":B210"),0)+R213&amp;""),
IF(AND(LEFT(INDIRECT("B"&amp;R213&amp;""),3)="奈良屋",COUNTIF(B:B,"*奈良屋*")&gt;=2),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  <c r="AC213" s="49" t="str">
        <f ca="1">IF(S213&lt;&gt;"",INDEX(A:A, MATCH("*"&amp;LEFT(S213,4)&amp;"*", C:C, 0)),"")</f>
        <v/>
      </c>
      <c r="AD213" s="49" t="str">
        <f ca="1">IFERROR(INDEX(AC:AC,MATCH(SMALL($AU:$AU,ROW()+3),$AU:$AU,0)),"")</f>
        <v/>
      </c>
      <c r="AE213" s="49" t="str">
        <f ca="1">IFERROR(INDEX(R:R,MATCH(SMALL($AU:$AU,ROW()+3),$AU:$AU,0)),"")</f>
        <v/>
      </c>
      <c r="AF213" s="49" t="str">
        <f ca="1">IFERROR(INDEX(S:S,MATCH(SMALL($AU:$AU,ROW()+3),$AU:$AU,0)),"")</f>
        <v/>
      </c>
      <c r="AG213" s="49" t="str">
        <f ca="1">IFERROR(INDEX(T:T,MATCH(SMALL($AU:$AU,ROW()+3),$AU:$AU,0)),"")</f>
        <v/>
      </c>
      <c r="AH213" s="122" t="str">
        <f ca="1">IFERROR(INDEX(U:U,MATCH(SMALL($AU:$AU,ROW()+3),$AU:$AU,0)),"")</f>
        <v/>
      </c>
      <c r="AI213" s="49" t="str">
        <f ca="1">IFERROR(INDEX(V:V,MATCH(SMALL($AU:$AU,ROW()+3),$AU:$AU,0)),"")</f>
        <v/>
      </c>
      <c r="AJ213" s="49" t="str">
        <f ca="1">IFERROR(INDEX(W:W,MATCH(SMALL($AU:$AU,ROW()+3),$AU:$AU,0)),"")</f>
        <v/>
      </c>
      <c r="AK213" s="49" t="str">
        <f ca="1">IFERROR(INDEX(X:X,MATCH(SMALL($AU:$AU,ROW()+3),$AU:$AU,0)),"")</f>
        <v/>
      </c>
      <c r="AL213" s="49" t="str">
        <f ca="1">IFERROR(INDEX(Y:Y,MATCH(SMALL($AU:$AU,ROW()+3),$AU:$AU,0)),"")</f>
        <v/>
      </c>
      <c r="AM213" s="49" t="str">
        <f ca="1">IFERROR(INDEX(Z:Z,MATCH(SMALL($AU:$AU,ROW()+3),$AU:$AU,0)),"")</f>
        <v/>
      </c>
      <c r="AN213" s="49" t="str">
        <f ca="1">IFERROR(INDEX(AA:AA,MATCH(SMALL($AU:$AU,ROW()+3),$AU:$AU,0)),"")</f>
        <v/>
      </c>
      <c r="AO213" s="49" t="str">
        <f ca="1">IFERROR(INDEX(AB:AB,MATCH(SMALL($AU:$AU,ROW()+3),$AU:$AU,0)),"")</f>
        <v/>
      </c>
      <c r="AP213" s="49" t="str">
        <f ca="1">IFERROR(INDEX(AC:AC,MATCH(SMALL($AU:$AU,ROW()+3),$AU:$AU,0)),"")</f>
        <v/>
      </c>
      <c r="AU213" s="49" t="str">
        <f t="shared" ca="1" si="37"/>
        <v/>
      </c>
    </row>
    <row r="214" spans="1:47">
      <c r="A214" s="107">
        <v>146</v>
      </c>
      <c r="B214" s="124"/>
      <c r="C214" s="125" t="str">
        <f>社食等の札!A6</f>
        <v>先生用</v>
      </c>
      <c r="D214" s="125"/>
      <c r="E214" s="125"/>
      <c r="F214" s="126" t="e">
        <f ca="1">社食等の札!C6</f>
        <v>#N/A</v>
      </c>
      <c r="G214" s="124" t="e">
        <f ca="1">社食等の札!D6</f>
        <v>#N/A</v>
      </c>
      <c r="H214" s="124" t="e">
        <f ca="1">社食等の札!E6</f>
        <v>#N/A</v>
      </c>
      <c r="I214" s="124"/>
      <c r="J214" s="124">
        <f>社食等の札!G6</f>
        <v>12</v>
      </c>
      <c r="M214" s="124"/>
      <c r="P214" s="124">
        <f>ROW()</f>
        <v>214</v>
      </c>
      <c r="Q214" s="124" t="b">
        <v>1</v>
      </c>
      <c r="R214" s="49" t="str">
        <f t="array" aca="1" ref="R214" ca="1">IFERROR(SMALL(IF(P$1:P$311&lt;&gt;0,P$1:P$311),ROW(A214)),"")</f>
        <v/>
      </c>
      <c r="S214" s="49" t="str">
        <f t="array" aca="1" ref="S214" ca="1">IF($R214&lt;&gt;"",
SUBSTITUTE(SUBSTITUTE(INDIRECT("C"&amp;$R214&amp;"")," 週3ｺｰｽ","")," 週5ｺｰｽ",""),"")</f>
        <v/>
      </c>
      <c r="T214" s="49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22" t="str">
        <f t="array" aca="1" ref="U214" ca="1">IF($R214&lt;&gt;"",
INDIRECT("F"&amp;$R214&amp;""),"")</f>
        <v/>
      </c>
      <c r="V214" s="49" t="str">
        <f t="array" aca="1" ref="V214" ca="1">IF($R214&lt;&gt;"",
INDIRECT("G"&amp;$R214&amp;""),"")</f>
        <v/>
      </c>
      <c r="W214" s="49" t="str">
        <f t="array" aca="1" ref="W214" ca="1">IF($R214&lt;&gt;"",
IF(AND(COUNTIF(INDIRECT("B"&amp;R214&amp;""),"*雙葉*"),COUNTIF(B:B,"*雙葉*")&gt;=2),
IF(OR(COUNTIF(INDIRECT("B"&amp;R214&amp;""),"*雙葉先生*"),COUNTIF($B$1:$B$70,"*雙葉*")&gt;=2),INDIRECT("H"&amp;R214&amp;""),INDIRECT("H"&amp;R214&amp;"")+INDIRECT("H"&amp;MATCH("雙葉'",INDIRECT("B"&amp;R214+3&amp;":B210"),0)+2+R214&amp;"")),
IF(AND(LEFT(INDIRECT("B"&amp;R214&amp;""),2)="博多",COUNTIF(B:B,"*博多*")&gt;=2),
INDIRECT("H"&amp;R214&amp;"")+INDIRECT("H"&amp;MATCH("*"&amp;INDIRECT("B"&amp;R214&amp;"")&amp;"*",INDIRECT("B"&amp;R214+1&amp;":B210"),0)+R214&amp;""),
IF(AND(LEFT(INDIRECT("B"&amp;R214&amp;""),3)="奈良屋",COUNTIF(B:B,"*奈良屋*")&gt;=2),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49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49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49" t="str">
        <f t="shared" ca="1" si="35"/>
        <v/>
      </c>
      <c r="AA214" s="49" t="str">
        <f t="shared" ca="1" si="36"/>
        <v/>
      </c>
      <c r="AB214" s="49" t="str">
        <f t="array" aca="1" ref="AB214" ca="1">IF($R214&lt;&gt;"",
IF(AND(COUNTIF(INDIRECT("B"&amp;R214&amp;""),"*雙葉*"),COUNTIF(B:B,"*雙葉*")&gt;=2),
INDIRECT("M"&amp;R214&amp;"")+INDIRECT("M"&amp;MATCH("雙葉'",INDIRECT("B"&amp;R214+1&amp;":B210"),0)+R214&amp;""),
IF(AND(LEFT(INDIRECT("B"&amp;R214&amp;""),2)="博多",COUNTIF(B:B,"*博多*")&gt;=2),
INDIRECT("M"&amp;R214&amp;"")+INDIRECT("M"&amp;MATCH("*"&amp;INDIRECT("B"&amp;R214&amp;"")&amp;"*",INDIRECT("B"&amp;R214+1&amp;":B210"),0)+R214&amp;""),
IF(AND(LEFT(INDIRECT("B"&amp;R214&amp;""),3)="奈良屋",COUNTIF(B:B,"*奈良屋*")&gt;=2),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  <c r="AC214" s="49" t="str">
        <f ca="1">IF(S214&lt;&gt;"",INDEX(A:A, MATCH("*"&amp;LEFT(S214,4)&amp;"*", C:C, 0)),"")</f>
        <v/>
      </c>
      <c r="AD214" s="49" t="str">
        <f ca="1">IFERROR(INDEX(AC:AC,MATCH(SMALL($AU:$AU,ROW()+3),$AU:$AU,0)),"")</f>
        <v/>
      </c>
      <c r="AE214" s="49" t="str">
        <f ca="1">IFERROR(INDEX(R:R,MATCH(SMALL($AU:$AU,ROW()+3),$AU:$AU,0)),"")</f>
        <v/>
      </c>
      <c r="AF214" s="49" t="str">
        <f ca="1">IFERROR(INDEX(S:S,MATCH(SMALL($AU:$AU,ROW()+3),$AU:$AU,0)),"")</f>
        <v/>
      </c>
      <c r="AG214" s="49" t="str">
        <f ca="1">IFERROR(INDEX(T:T,MATCH(SMALL($AU:$AU,ROW()+3),$AU:$AU,0)),"")</f>
        <v/>
      </c>
      <c r="AH214" s="122" t="str">
        <f ca="1">IFERROR(INDEX(U:U,MATCH(SMALL($AU:$AU,ROW()+3),$AU:$AU,0)),"")</f>
        <v/>
      </c>
      <c r="AI214" s="49" t="str">
        <f ca="1">IFERROR(INDEX(V:V,MATCH(SMALL($AU:$AU,ROW()+3),$AU:$AU,0)),"")</f>
        <v/>
      </c>
      <c r="AJ214" s="49" t="str">
        <f ca="1">IFERROR(INDEX(W:W,MATCH(SMALL($AU:$AU,ROW()+3),$AU:$AU,0)),"")</f>
        <v/>
      </c>
      <c r="AK214" s="49" t="str">
        <f ca="1">IFERROR(INDEX(X:X,MATCH(SMALL($AU:$AU,ROW()+3),$AU:$AU,0)),"")</f>
        <v/>
      </c>
      <c r="AL214" s="49" t="str">
        <f ca="1">IFERROR(INDEX(Y:Y,MATCH(SMALL($AU:$AU,ROW()+3),$AU:$AU,0)),"")</f>
        <v/>
      </c>
      <c r="AM214" s="49" t="str">
        <f ca="1">IFERROR(INDEX(Z:Z,MATCH(SMALL($AU:$AU,ROW()+3),$AU:$AU,0)),"")</f>
        <v/>
      </c>
      <c r="AN214" s="49" t="str">
        <f ca="1">IFERROR(INDEX(AA:AA,MATCH(SMALL($AU:$AU,ROW()+3),$AU:$AU,0)),"")</f>
        <v/>
      </c>
      <c r="AO214" s="49" t="str">
        <f ca="1">IFERROR(INDEX(AB:AB,MATCH(SMALL($AU:$AU,ROW()+3),$AU:$AU,0)),"")</f>
        <v/>
      </c>
      <c r="AP214" s="49" t="str">
        <f ca="1">IFERROR(INDEX(AC:AC,MATCH(SMALL($AU:$AU,ROW()+3),$AU:$AU,0)),"")</f>
        <v/>
      </c>
      <c r="AU214" s="49" t="str">
        <f t="shared" ca="1" si="37"/>
        <v/>
      </c>
    </row>
    <row r="215" spans="1:47">
      <c r="A215" s="107" t="e">
        <f ca="1">A211</f>
        <v>#N/A</v>
      </c>
      <c r="B215" s="132"/>
      <c r="C215" s="133" t="str">
        <f>社食等の札!A1</f>
        <v>社食</v>
      </c>
      <c r="D215" s="133"/>
      <c r="E215" s="133"/>
      <c r="F215" s="133"/>
      <c r="G215" s="133"/>
      <c r="H215" s="132" t="e">
        <f ca="1">社食等の札!E1</f>
        <v>#N/A</v>
      </c>
      <c r="I215" s="132" t="str">
        <f>""</f>
        <v/>
      </c>
      <c r="J215" s="132">
        <f>社食等の札!G1</f>
        <v>0</v>
      </c>
      <c r="M215" s="132"/>
      <c r="P215" s="132">
        <f>IF(Q215&lt;&gt;"",ROW(),"")</f>
        <v>215</v>
      </c>
      <c r="Q215" s="132" t="str">
        <f>IF(C215&lt;&gt;"","TRUE","")</f>
        <v>TRUE</v>
      </c>
      <c r="R215" s="49" t="str">
        <f t="array" aca="1" ref="R215" ca="1">IFERROR(SMALL(IF(P$1:P$311&lt;&gt;0,P$1:P$311),ROW(A215)),"")</f>
        <v/>
      </c>
      <c r="S215" s="49" t="str">
        <f t="array" aca="1" ref="S215" ca="1">IF($R215&lt;&gt;"",
SUBSTITUTE(SUBSTITUTE(INDIRECT("C"&amp;$R215&amp;"")," 週3ｺｰｽ","")," 週5ｺｰｽ",""),"")</f>
        <v/>
      </c>
      <c r="T215" s="49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22" t="str">
        <f t="array" aca="1" ref="U215" ca="1">IF($R215&lt;&gt;"",
INDIRECT("F"&amp;$R215&amp;""),"")</f>
        <v/>
      </c>
      <c r="V215" s="49" t="str">
        <f t="array" aca="1" ref="V215" ca="1">IF($R215&lt;&gt;"",
INDIRECT("G"&amp;$R215&amp;""),"")</f>
        <v/>
      </c>
      <c r="W215" s="49" t="str">
        <f t="array" aca="1" ref="W215" ca="1">IF($R215&lt;&gt;"",
IF(AND(COUNTIF(INDIRECT("B"&amp;R215&amp;""),"*雙葉*"),COUNTIF(B:B,"*雙葉*")&gt;=2),
IF(OR(COUNTIF(INDIRECT("B"&amp;R215&amp;""),"*雙葉先生*"),COUNTIF($B$1:$B$70,"*雙葉*")&gt;=2),INDIRECT("H"&amp;R215&amp;""),INDIRECT("H"&amp;R215&amp;"")+INDIRECT("H"&amp;MATCH("雙葉'",INDIRECT("B"&amp;R215+3&amp;":B210"),0)+2+R215&amp;"")),
IF(AND(LEFT(INDIRECT("B"&amp;R215&amp;""),2)="博多",COUNTIF(B:B,"*博多*")&gt;=2),
INDIRECT("H"&amp;R215&amp;"")+INDIRECT("H"&amp;MATCH("*"&amp;INDIRECT("B"&amp;R215&amp;"")&amp;"*",INDIRECT("B"&amp;R215+1&amp;":B210"),0)+R215&amp;""),
IF(AND(LEFT(INDIRECT("B"&amp;R215&amp;""),3)="奈良屋",COUNTIF(B:B,"*奈良屋*")&gt;=2),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49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49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49" t="str">
        <f ca="1">IF(R215&lt;&gt;"",
IFERROR(INT(W215/Y215),""),"")</f>
        <v/>
      </c>
      <c r="AA215" s="49" t="str">
        <f ca="1">IFERROR(MOD(W215,Y215),"")</f>
        <v/>
      </c>
      <c r="AB215" s="49" t="str">
        <f t="array" aca="1" ref="AB215" ca="1">IF($R215&lt;&gt;"",
IF(AND(COUNTIF(INDIRECT("B"&amp;R215&amp;""),"*雙葉*"),COUNTIF(B:B,"*雙葉*")&gt;=2),
INDIRECT("M"&amp;R215&amp;"")+INDIRECT("M"&amp;MATCH("雙葉'",INDIRECT("B"&amp;R215+1&amp;":B210"),0)+R215&amp;""),
IF(AND(LEFT(INDIRECT("B"&amp;R215&amp;""),2)="博多",COUNTIF(B:B,"*博多*")&gt;=2),
INDIRECT("M"&amp;R215&amp;"")+INDIRECT("M"&amp;MATCH("*"&amp;INDIRECT("B"&amp;R215&amp;"")&amp;"*",INDIRECT("B"&amp;R215+1&amp;":B210"),0)+R215&amp;""),
IF(AND(LEFT(INDIRECT("B"&amp;R215&amp;""),3)="奈良屋",COUNTIF(B:B,"*奈良屋*")&gt;=2),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  <c r="AC215" s="49" t="str">
        <f ca="1">IF(S215&lt;&gt;"",INDEX(A:A, MATCH("*"&amp;LEFT(S215,4)&amp;"*", C:C, 0)),"")</f>
        <v/>
      </c>
      <c r="AD215" s="49" t="str">
        <f ca="1">IFERROR(INDEX(AC:AC,MATCH(SMALL($AU:$AU,ROW()+3),$AU:$AU,0)),"")</f>
        <v/>
      </c>
      <c r="AE215" s="49" t="str">
        <f ca="1">IFERROR(INDEX(R:R,MATCH(SMALL($AU:$AU,ROW()+3),$AU:$AU,0)),"")</f>
        <v/>
      </c>
      <c r="AF215" s="49" t="str">
        <f ca="1">IFERROR(INDEX(S:S,MATCH(SMALL($AU:$AU,ROW()+3),$AU:$AU,0)),"")</f>
        <v/>
      </c>
      <c r="AG215" s="49" t="str">
        <f ca="1">IFERROR(INDEX(T:T,MATCH(SMALL($AU:$AU,ROW()+3),$AU:$AU,0)),"")</f>
        <v/>
      </c>
      <c r="AH215" s="122" t="str">
        <f ca="1">IFERROR(INDEX(U:U,MATCH(SMALL($AU:$AU,ROW()+3),$AU:$AU,0)),"")</f>
        <v/>
      </c>
      <c r="AI215" s="49" t="str">
        <f ca="1">IFERROR(INDEX(V:V,MATCH(SMALL($AU:$AU,ROW()+3),$AU:$AU,0)),"")</f>
        <v/>
      </c>
      <c r="AJ215" s="49" t="str">
        <f ca="1">IFERROR(INDEX(W:W,MATCH(SMALL($AU:$AU,ROW()+3),$AU:$AU,0)),"")</f>
        <v/>
      </c>
      <c r="AK215" s="49" t="str">
        <f ca="1">IFERROR(INDEX(X:X,MATCH(SMALL($AU:$AU,ROW()+3),$AU:$AU,0)),"")</f>
        <v/>
      </c>
      <c r="AL215" s="49" t="str">
        <f ca="1">IFERROR(INDEX(Y:Y,MATCH(SMALL($AU:$AU,ROW()+3),$AU:$AU,0)),"")</f>
        <v/>
      </c>
      <c r="AM215" s="49" t="str">
        <f ca="1">IFERROR(INDEX(Z:Z,MATCH(SMALL($AU:$AU,ROW()+3),$AU:$AU,0)),"")</f>
        <v/>
      </c>
      <c r="AN215" s="49" t="str">
        <f ca="1">IFERROR(INDEX(AA:AA,MATCH(SMALL($AU:$AU,ROW()+3),$AU:$AU,0)),"")</f>
        <v/>
      </c>
      <c r="AO215" s="49" t="str">
        <f ca="1">IFERROR(INDEX(AB:AB,MATCH(SMALL($AU:$AU,ROW()+3),$AU:$AU,0)),"")</f>
        <v/>
      </c>
      <c r="AP215" s="49" t="str">
        <f ca="1">IFERROR(INDEX(AC:AC,MATCH(SMALL($AU:$AU,ROW()+3),$AU:$AU,0)),"")</f>
        <v/>
      </c>
      <c r="AU215" s="49" t="str">
        <f t="shared" ca="1" si="37"/>
        <v/>
      </c>
    </row>
    <row r="216" spans="1:47">
      <c r="A216" s="107" t="e">
        <f ca="1">A211</f>
        <v>#N/A</v>
      </c>
      <c r="B216" s="132"/>
      <c r="C216" s="133" t="str">
        <f>社食等の札!A2</f>
        <v>社食</v>
      </c>
      <c r="D216" s="133"/>
      <c r="E216" s="133"/>
      <c r="F216" s="133"/>
      <c r="G216" s="133"/>
      <c r="H216" s="132" t="e">
        <f ca="1">社食等の札!E2</f>
        <v>#N/A</v>
      </c>
      <c r="I216" s="132" t="str">
        <f>""</f>
        <v/>
      </c>
      <c r="J216" s="132">
        <f>社食等の札!G2</f>
        <v>0</v>
      </c>
      <c r="M216" s="132"/>
      <c r="P216" s="132">
        <f>IF(Q216&lt;&gt;"",ROW(),"")</f>
        <v>216</v>
      </c>
      <c r="Q216" s="132" t="str">
        <f>IF(C216&lt;&gt;"","TRUE","")</f>
        <v>TRUE</v>
      </c>
      <c r="R216" s="49" t="str">
        <f t="array" aca="1" ref="R216" ca="1">IFERROR(SMALL(IF(P$1:P$311&lt;&gt;0,P$1:P$311),ROW(A216)),"")</f>
        <v/>
      </c>
      <c r="S216" s="49" t="str">
        <f t="array" aca="1" ref="S216" ca="1">IF($R216&lt;&gt;"",
SUBSTITUTE(SUBSTITUTE(INDIRECT("C"&amp;$R216&amp;"")," 週3ｺｰｽ","")," 週5ｺｰｽ",""),"")</f>
        <v/>
      </c>
      <c r="T216" s="49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22" t="str">
        <f t="array" aca="1" ref="U216" ca="1">IF($R216&lt;&gt;"",
INDIRECT("F"&amp;$R216&amp;""),"")</f>
        <v/>
      </c>
      <c r="V216" s="49" t="str">
        <f t="array" aca="1" ref="V216" ca="1">IF($R216&lt;&gt;"",
INDIRECT("G"&amp;$R216&amp;""),"")</f>
        <v/>
      </c>
      <c r="W216" s="49" t="str">
        <f t="array" aca="1" ref="W216" ca="1">IF($R216&lt;&gt;"",
IF(AND(COUNTIF(INDIRECT("B"&amp;R216&amp;""),"*雙葉*"),COUNTIF(B:B,"*雙葉*")&gt;=2),
IF(OR(COUNTIF(INDIRECT("B"&amp;R216&amp;""),"*雙葉先生*"),COUNTIF($B$1:$B$70,"*雙葉*")&gt;=2),INDIRECT("H"&amp;R216&amp;""),INDIRECT("H"&amp;R216&amp;"")+INDIRECT("H"&amp;MATCH("雙葉'",INDIRECT("B"&amp;R216+3&amp;":B210"),0)+2+R216&amp;"")),
IF(AND(LEFT(INDIRECT("B"&amp;R216&amp;""),2)="博多",COUNTIF(B:B,"*博多*")&gt;=2),
INDIRECT("H"&amp;R216&amp;"")+INDIRECT("H"&amp;MATCH("*"&amp;INDIRECT("B"&amp;R216&amp;"")&amp;"*",INDIRECT("B"&amp;R216+1&amp;":B210"),0)+R216&amp;""),
IF(AND(LEFT(INDIRECT("B"&amp;R216&amp;""),3)="奈良屋",COUNTIF(B:B,"*奈良屋*")&gt;=2),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49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49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49" t="str">
        <f ca="1">IF(R216&lt;&gt;"",
IFERROR(INT(W216/Y216),""),"")</f>
        <v/>
      </c>
      <c r="AA216" s="49" t="str">
        <f ca="1">IFERROR(MOD(W216,Y216),"")</f>
        <v/>
      </c>
      <c r="AB216" s="49" t="str">
        <f t="array" aca="1" ref="AB216" ca="1">IF($R216&lt;&gt;"",
IF(AND(COUNTIF(INDIRECT("B"&amp;R216&amp;""),"*雙葉*"),COUNTIF(B:B,"*雙葉*")&gt;=2),
INDIRECT("M"&amp;R216&amp;"")+INDIRECT("M"&amp;MATCH("雙葉'",INDIRECT("B"&amp;R216+1&amp;":B210"),0)+R216&amp;""),
IF(AND(LEFT(INDIRECT("B"&amp;R216&amp;""),2)="博多",COUNTIF(B:B,"*博多*")&gt;=2),
INDIRECT("M"&amp;R216&amp;"")+INDIRECT("M"&amp;MATCH("*"&amp;INDIRECT("B"&amp;R216&amp;"")&amp;"*",INDIRECT("B"&amp;R216+1&amp;":B210"),0)+R216&amp;""),
IF(AND(LEFT(INDIRECT("B"&amp;R216&amp;""),3)="奈良屋",COUNTIF(B:B,"*奈良屋*")&gt;=2),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  <c r="AC216" s="49" t="str">
        <f ca="1">IF(S216&lt;&gt;"",INDEX(A:A, MATCH("*"&amp;LEFT(S216,4)&amp;"*", C:C, 0)),"")</f>
        <v/>
      </c>
      <c r="AD216" s="49" t="str">
        <f ca="1">IFERROR(INDEX(AC:AC,MATCH(SMALL($AU:$AU,ROW()+3),$AU:$AU,0)),"")</f>
        <v/>
      </c>
      <c r="AE216" s="49" t="str">
        <f ca="1">IFERROR(INDEX(R:R,MATCH(SMALL($AU:$AU,ROW()+3),$AU:$AU,0)),"")</f>
        <v/>
      </c>
      <c r="AF216" s="49" t="str">
        <f ca="1">IFERROR(INDEX(S:S,MATCH(SMALL($AU:$AU,ROW()+3),$AU:$AU,0)),"")</f>
        <v/>
      </c>
      <c r="AG216" s="49" t="str">
        <f ca="1">IFERROR(INDEX(T:T,MATCH(SMALL($AU:$AU,ROW()+3),$AU:$AU,0)),"")</f>
        <v/>
      </c>
      <c r="AH216" s="122" t="str">
        <f ca="1">IFERROR(INDEX(U:U,MATCH(SMALL($AU:$AU,ROW()+3),$AU:$AU,0)),"")</f>
        <v/>
      </c>
      <c r="AI216" s="49" t="str">
        <f ca="1">IFERROR(INDEX(V:V,MATCH(SMALL($AU:$AU,ROW()+3),$AU:$AU,0)),"")</f>
        <v/>
      </c>
      <c r="AJ216" s="49" t="str">
        <f ca="1">IFERROR(INDEX(W:W,MATCH(SMALL($AU:$AU,ROW()+3),$AU:$AU,0)),"")</f>
        <v/>
      </c>
      <c r="AK216" s="49" t="str">
        <f ca="1">IFERROR(INDEX(X:X,MATCH(SMALL($AU:$AU,ROW()+3),$AU:$AU,0)),"")</f>
        <v/>
      </c>
      <c r="AL216" s="49" t="str">
        <f ca="1">IFERROR(INDEX(Y:Y,MATCH(SMALL($AU:$AU,ROW()+3),$AU:$AU,0)),"")</f>
        <v/>
      </c>
      <c r="AM216" s="49" t="str">
        <f ca="1">IFERROR(INDEX(Z:Z,MATCH(SMALL($AU:$AU,ROW()+3),$AU:$AU,0)),"")</f>
        <v/>
      </c>
      <c r="AN216" s="49" t="str">
        <f ca="1">IFERROR(INDEX(AA:AA,MATCH(SMALL($AU:$AU,ROW()+3),$AU:$AU,0)),"")</f>
        <v/>
      </c>
      <c r="AO216" s="49" t="str">
        <f ca="1">IFERROR(INDEX(AB:AB,MATCH(SMALL($AU:$AU,ROW()+3),$AU:$AU,0)),"")</f>
        <v/>
      </c>
      <c r="AP216" s="49" t="str">
        <f ca="1">IFERROR(INDEX(AC:AC,MATCH(SMALL($AU:$AU,ROW()+3),$AU:$AU,0)),"")</f>
        <v/>
      </c>
      <c r="AU216" s="49" t="str">
        <f t="shared" ca="1" si="37"/>
        <v/>
      </c>
    </row>
    <row r="217" spans="1:47">
      <c r="A217" s="107" t="e">
        <f ca="1">A211</f>
        <v>#N/A</v>
      </c>
      <c r="B217" s="132"/>
      <c r="C217" s="133" t="str">
        <f ca="1">社食等の札!A7</f>
        <v/>
      </c>
      <c r="D217" s="133" t="str">
        <f ca="1">社食等の札!H7</f>
        <v/>
      </c>
      <c r="E217" s="133"/>
      <c r="F217" s="133"/>
      <c r="G217" s="133"/>
      <c r="H217" s="132" t="str">
        <f ca="1">社食等の札!E7</f>
        <v/>
      </c>
      <c r="I217" s="132" t="str">
        <f>""</f>
        <v/>
      </c>
      <c r="J217" s="132" t="str">
        <f ca="1">社食等の札!G7</f>
        <v/>
      </c>
      <c r="M217" s="132"/>
      <c r="P217" s="132" t="str">
        <f ca="1">IF(Q217&lt;&gt;"",ROW(),"")</f>
        <v/>
      </c>
      <c r="Q217" s="132" t="str">
        <f ca="1">IF(C217&lt;&gt;"","TRUE","")</f>
        <v/>
      </c>
      <c r="R217" s="49" t="str">
        <f t="array" aca="1" ref="R217" ca="1">IFERROR(SMALL(IF(P$1:P$311&lt;&gt;0,P$1:P$311),ROW(A217)),"")</f>
        <v/>
      </c>
      <c r="S217" s="49" t="str">
        <f t="array" aca="1" ref="S217" ca="1">IF($R217&lt;&gt;"",
SUBSTITUTE(SUBSTITUTE(INDIRECT("C"&amp;$R217&amp;"")," 週3ｺｰｽ","")," 週5ｺｰｽ",""),"")</f>
        <v/>
      </c>
      <c r="T217" s="49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22" t="str">
        <f t="array" aca="1" ref="U217" ca="1">IF($R217&lt;&gt;"",
INDIRECT("F"&amp;$R217&amp;""),"")</f>
        <v/>
      </c>
      <c r="V217" s="49" t="str">
        <f t="array" aca="1" ref="V217" ca="1">IF($R217&lt;&gt;"",
INDIRECT("G"&amp;$R217&amp;""),"")</f>
        <v/>
      </c>
      <c r="W217" s="49" t="str">
        <f t="array" aca="1" ref="W217" ca="1">IF($R217&lt;&gt;"",
IF(AND(COUNTIF(INDIRECT("B"&amp;R217&amp;""),"*雙葉*"),COUNTIF(B:B,"*雙葉*")&gt;=2),
IF(OR(COUNTIF(INDIRECT("B"&amp;R217&amp;""),"*雙葉先生*"),COUNTIF($B$1:$B$70,"*雙葉*")&gt;=2),INDIRECT("H"&amp;R217&amp;""),INDIRECT("H"&amp;R217&amp;"")+INDIRECT("H"&amp;MATCH("雙葉'",INDIRECT("B"&amp;R217+3&amp;":B210"),0)+2+R217&amp;"")),
IF(AND(LEFT(INDIRECT("B"&amp;R217&amp;""),2)="博多",COUNTIF(B:B,"*博多*")&gt;=2),
INDIRECT("H"&amp;R217&amp;"")+INDIRECT("H"&amp;MATCH("*"&amp;INDIRECT("B"&amp;R217&amp;"")&amp;"*",INDIRECT("B"&amp;R217+1&amp;":B210"),0)+R217&amp;""),
IF(AND(LEFT(INDIRECT("B"&amp;R217&amp;""),3)="奈良屋",COUNTIF(B:B,"*奈良屋*")&gt;=2),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49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49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49" t="str">
        <f ca="1">IF(R217&lt;&gt;"",
IFERROR(INT(W217/Y217),""),"")</f>
        <v/>
      </c>
      <c r="AA217" s="49" t="str">
        <f ca="1">IFERROR(MOD(W217,Y217),"")</f>
        <v/>
      </c>
      <c r="AB217" s="49" t="str">
        <f t="array" aca="1" ref="AB217" ca="1">IF($R217&lt;&gt;"",
IF(AND(COUNTIF(INDIRECT("B"&amp;R217&amp;""),"*雙葉*"),COUNTIF(B:B,"*雙葉*")&gt;=2),
INDIRECT("M"&amp;R217&amp;"")+INDIRECT("M"&amp;MATCH("雙葉'",INDIRECT("B"&amp;R217+1&amp;":B210"),0)+R217&amp;""),
IF(AND(LEFT(INDIRECT("B"&amp;R217&amp;""),2)="博多",COUNTIF(B:B,"*博多*")&gt;=2),
INDIRECT("M"&amp;R217&amp;"")+INDIRECT("M"&amp;MATCH("*"&amp;INDIRECT("B"&amp;R217&amp;"")&amp;"*",INDIRECT("B"&amp;R217+1&amp;":B210"),0)+R217&amp;""),
IF(AND(LEFT(INDIRECT("B"&amp;R217&amp;""),3)="奈良屋",COUNTIF(B:B,"*奈良屋*")&gt;=2),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  <c r="AC217" s="49" t="str">
        <f ca="1">IF(S217&lt;&gt;"",INDEX(A:A, MATCH("*"&amp;LEFT(S217,4)&amp;"*", C:C, 0)),"")</f>
        <v/>
      </c>
      <c r="AD217" s="49" t="str">
        <f ca="1">IFERROR(INDEX(AC:AC,MATCH(SMALL($AU:$AU,ROW()+3),$AU:$AU,0)),"")</f>
        <v/>
      </c>
      <c r="AE217" s="49" t="str">
        <f ca="1">IFERROR(INDEX(R:R,MATCH(SMALL($AU:$AU,ROW()+3),$AU:$AU,0)),"")</f>
        <v/>
      </c>
      <c r="AF217" s="49" t="str">
        <f ca="1">IFERROR(INDEX(S:S,MATCH(SMALL($AU:$AU,ROW()+3),$AU:$AU,0)),"")</f>
        <v/>
      </c>
      <c r="AG217" s="49" t="str">
        <f ca="1">IFERROR(INDEX(T:T,MATCH(SMALL($AU:$AU,ROW()+3),$AU:$AU,0)),"")</f>
        <v/>
      </c>
      <c r="AH217" s="122" t="str">
        <f ca="1">IFERROR(INDEX(U:U,MATCH(SMALL($AU:$AU,ROW()+3),$AU:$AU,0)),"")</f>
        <v/>
      </c>
      <c r="AI217" s="49" t="str">
        <f ca="1">IFERROR(INDEX(V:V,MATCH(SMALL($AU:$AU,ROW()+3),$AU:$AU,0)),"")</f>
        <v/>
      </c>
      <c r="AJ217" s="49" t="str">
        <f ca="1">IFERROR(INDEX(W:W,MATCH(SMALL($AU:$AU,ROW()+3),$AU:$AU,0)),"")</f>
        <v/>
      </c>
      <c r="AK217" s="49" t="str">
        <f ca="1">IFERROR(INDEX(X:X,MATCH(SMALL($AU:$AU,ROW()+3),$AU:$AU,0)),"")</f>
        <v/>
      </c>
      <c r="AL217" s="49" t="str">
        <f ca="1">IFERROR(INDEX(Y:Y,MATCH(SMALL($AU:$AU,ROW()+3),$AU:$AU,0)),"")</f>
        <v/>
      </c>
      <c r="AM217" s="49" t="str">
        <f ca="1">IFERROR(INDEX(Z:Z,MATCH(SMALL($AU:$AU,ROW()+3),$AU:$AU,0)),"")</f>
        <v/>
      </c>
      <c r="AN217" s="49" t="str">
        <f ca="1">IFERROR(INDEX(AA:AA,MATCH(SMALL($AU:$AU,ROW()+3),$AU:$AU,0)),"")</f>
        <v/>
      </c>
      <c r="AO217" s="49" t="str">
        <f ca="1">IFERROR(INDEX(AB:AB,MATCH(SMALL($AU:$AU,ROW()+3),$AU:$AU,0)),"")</f>
        <v/>
      </c>
      <c r="AP217" s="49" t="str">
        <f ca="1">IFERROR(INDEX(AC:AC,MATCH(SMALL($AU:$AU,ROW()+3),$AU:$AU,0)),"")</f>
        <v/>
      </c>
      <c r="AU217" s="49" t="str">
        <f t="shared" ca="1" si="37"/>
        <v/>
      </c>
    </row>
    <row r="218" spans="1:47">
      <c r="A218" s="107" t="e">
        <f ca="1">A211</f>
        <v>#N/A</v>
      </c>
      <c r="B218" s="132"/>
      <c r="C218" s="133" t="str">
        <f ca="1">社食等の札!A8</f>
        <v/>
      </c>
      <c r="D218" s="133" t="str">
        <f ca="1">社食等の札!H8</f>
        <v/>
      </c>
      <c r="E218" s="133"/>
      <c r="F218" s="133"/>
      <c r="G218" s="133"/>
      <c r="H218" s="132" t="str">
        <f>""</f>
        <v/>
      </c>
      <c r="I218" s="132" t="str">
        <f ca="1">社食等の札!F8</f>
        <v/>
      </c>
      <c r="J218" s="132" t="str">
        <f ca="1">社食等の札!G8</f>
        <v/>
      </c>
      <c r="M218" s="132"/>
      <c r="P218" s="132" t="str">
        <f ca="1">IF(Q218&lt;&gt;"",ROW(),"")</f>
        <v/>
      </c>
      <c r="Q218" s="132" t="str">
        <f ca="1">IF(C218&lt;&gt;"","TRUE","")</f>
        <v/>
      </c>
      <c r="R218" s="49" t="str">
        <f t="array" aca="1" ref="R218" ca="1">IFERROR(SMALL(IF(P$1:P$311&lt;&gt;0,P$1:P$311),ROW(A218)),"")</f>
        <v/>
      </c>
      <c r="S218" s="49" t="str">
        <f t="array" aca="1" ref="S218" ca="1">IF($R218&lt;&gt;"",
SUBSTITUTE(SUBSTITUTE(INDIRECT("C"&amp;$R218&amp;"")," 週3ｺｰｽ","")," 週5ｺｰｽ",""),"")</f>
        <v/>
      </c>
      <c r="T218" s="49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22" t="str">
        <f t="array" aca="1" ref="U218" ca="1">IF($R218&lt;&gt;"",
INDIRECT("F"&amp;$R218&amp;""),"")</f>
        <v/>
      </c>
      <c r="V218" s="49" t="str">
        <f t="array" aca="1" ref="V218" ca="1">IF($R218&lt;&gt;"",
INDIRECT("G"&amp;$R218&amp;""),"")</f>
        <v/>
      </c>
      <c r="W218" s="49" t="str">
        <f t="array" aca="1" ref="W218" ca="1">IF($R218&lt;&gt;"",
IF(AND(COUNTIF(INDIRECT("B"&amp;R218&amp;""),"*雙葉*"),COUNTIF(B:B,"*雙葉*")&gt;=2),
IF(OR(COUNTIF(INDIRECT("B"&amp;R218&amp;""),"*雙葉先生*"),COUNTIF($B$1:$B$70,"*雙葉*")&gt;=2),INDIRECT("H"&amp;R218&amp;""),INDIRECT("H"&amp;R218&amp;"")+INDIRECT("H"&amp;MATCH("雙葉'",INDIRECT("B"&amp;R218+3&amp;":B210"),0)+2+R218&amp;"")),
IF(AND(LEFT(INDIRECT("B"&amp;R218&amp;""),2)="博多",COUNTIF(B:B,"*博多*")&gt;=2),
INDIRECT("H"&amp;R218&amp;"")+INDIRECT("H"&amp;MATCH("*"&amp;INDIRECT("B"&amp;R218&amp;"")&amp;"*",INDIRECT("B"&amp;R218+1&amp;":B210"),0)+R218&amp;""),
IF(AND(LEFT(INDIRECT("B"&amp;R218&amp;""),3)="奈良屋",COUNTIF(B:B,"*奈良屋*")&gt;=2),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49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49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49" t="str">
        <f ca="1">IF(R218&lt;&gt;"",
IFERROR(INT(W218/Y218),""),"")</f>
        <v/>
      </c>
      <c r="AA218" s="49" t="str">
        <f ca="1">IFERROR(MOD(W218,Y218),"")</f>
        <v/>
      </c>
      <c r="AB218" s="49" t="str">
        <f t="array" aca="1" ref="AB218" ca="1">IF($R218&lt;&gt;"",
IF(AND(COUNTIF(INDIRECT("B"&amp;R218&amp;""),"*雙葉*"),COUNTIF(B:B,"*雙葉*")&gt;=2),
INDIRECT("M"&amp;R218&amp;"")+INDIRECT("M"&amp;MATCH("雙葉'",INDIRECT("B"&amp;R218+1&amp;":B210"),0)+R218&amp;""),
IF(AND(LEFT(INDIRECT("B"&amp;R218&amp;""),2)="博多",COUNTIF(B:B,"*博多*")&gt;=2),
INDIRECT("M"&amp;R218&amp;"")+INDIRECT("M"&amp;MATCH("*"&amp;INDIRECT("B"&amp;R218&amp;"")&amp;"*",INDIRECT("B"&amp;R218+1&amp;":B210"),0)+R218&amp;""),
IF(AND(LEFT(INDIRECT("B"&amp;R218&amp;""),3)="奈良屋",COUNTIF(B:B,"*奈良屋*")&gt;=2),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  <c r="AC218" s="49" t="str">
        <f ca="1">IF(S218&lt;&gt;"",INDEX(A:A, MATCH("*"&amp;LEFT(S218,4)&amp;"*", C:C, 0)),"")</f>
        <v/>
      </c>
      <c r="AD218" s="49" t="str">
        <f ca="1">IFERROR(INDEX(AC:AC,MATCH(SMALL($AU:$AU,ROW()+3),$AU:$AU,0)),"")</f>
        <v/>
      </c>
      <c r="AE218" s="49" t="str">
        <f ca="1">IFERROR(INDEX(R:R,MATCH(SMALL($AU:$AU,ROW()+3),$AU:$AU,0)),"")</f>
        <v/>
      </c>
      <c r="AF218" s="49" t="str">
        <f ca="1">IFERROR(INDEX(S:S,MATCH(SMALL($AU:$AU,ROW()+3),$AU:$AU,0)),"")</f>
        <v/>
      </c>
      <c r="AG218" s="49" t="str">
        <f ca="1">IFERROR(INDEX(T:T,MATCH(SMALL($AU:$AU,ROW()+3),$AU:$AU,0)),"")</f>
        <v/>
      </c>
      <c r="AH218" s="122" t="str">
        <f ca="1">IFERROR(INDEX(U:U,MATCH(SMALL($AU:$AU,ROW()+3),$AU:$AU,0)),"")</f>
        <v/>
      </c>
      <c r="AI218" s="49" t="str">
        <f ca="1">IFERROR(INDEX(V:V,MATCH(SMALL($AU:$AU,ROW()+3),$AU:$AU,0)),"")</f>
        <v/>
      </c>
      <c r="AJ218" s="49" t="str">
        <f ca="1">IFERROR(INDEX(W:W,MATCH(SMALL($AU:$AU,ROW()+3),$AU:$AU,0)),"")</f>
        <v/>
      </c>
      <c r="AK218" s="49" t="str">
        <f ca="1">IFERROR(INDEX(X:X,MATCH(SMALL($AU:$AU,ROW()+3),$AU:$AU,0)),"")</f>
        <v/>
      </c>
      <c r="AL218" s="49" t="str">
        <f ca="1">IFERROR(INDEX(Y:Y,MATCH(SMALL($AU:$AU,ROW()+3),$AU:$AU,0)),"")</f>
        <v/>
      </c>
      <c r="AM218" s="49" t="str">
        <f ca="1">IFERROR(INDEX(Z:Z,MATCH(SMALL($AU:$AU,ROW()+3),$AU:$AU,0)),"")</f>
        <v/>
      </c>
      <c r="AN218" s="49" t="str">
        <f ca="1">IFERROR(INDEX(AA:AA,MATCH(SMALL($AU:$AU,ROW()+3),$AU:$AU,0)),"")</f>
        <v/>
      </c>
      <c r="AO218" s="49" t="str">
        <f ca="1">IFERROR(INDEX(AB:AB,MATCH(SMALL($AU:$AU,ROW()+3),$AU:$AU,0)),"")</f>
        <v/>
      </c>
      <c r="AP218" s="49" t="str">
        <f ca="1">IFERROR(INDEX(AC:AC,MATCH(SMALL($AU:$AU,ROW()+3),$AU:$AU,0)),"")</f>
        <v/>
      </c>
      <c r="AU218" s="49" t="str">
        <f t="shared" ca="1" si="37"/>
        <v/>
      </c>
    </row>
    <row r="219" spans="1:47">
      <c r="A219" s="107">
        <f>A214+1</f>
        <v>147</v>
      </c>
      <c r="B219" s="127">
        <v>2</v>
      </c>
      <c r="C219" s="128" t="str">
        <f t="array" aca="1" ref="C219" ca="1">IF(INDIRECT("まとめ札!A"&amp;B219&amp;"")&lt;&gt;0,INDIRECT("まとめ札!A"&amp;B219&amp;"")&amp;"【1】","")</f>
        <v>キャラ弁当 飯あり【1】</v>
      </c>
      <c r="D219" s="128"/>
      <c r="E219" s="128"/>
      <c r="F219" s="129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130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127" t="str">
        <f t="array" aca="1" ref="H219" ca="1">IF(INDIRECT("まとめ札!F"&amp;B219&amp;"")&lt;&gt;0,INDIRECT("まとめ札!F"&amp;B219&amp;""),"")</f>
        <v/>
      </c>
      <c r="I219" s="127"/>
      <c r="J219" s="127">
        <f ca="1">IF(C219&lt;&gt;"",
IF(OR(COUNTIF(C219,"*キャラ*"),COUNTIF(C219,"*赤*")),24,
VLOOKUP(C219,#REF!,6,FALSE)),"")</f>
        <v>24</v>
      </c>
      <c r="M219" s="127"/>
      <c r="P219" s="127" t="str">
        <f t="shared" ref="P219:P250" ca="1" si="40">IF(Q219&lt;&gt;"",ROW(),"")</f>
        <v/>
      </c>
      <c r="Q219" s="127" t="str">
        <f t="shared" ref="Q219:Q265" ca="1" si="41">IF(H219&lt;&gt;"","TRUE","")</f>
        <v/>
      </c>
      <c r="R219" s="49" t="str">
        <f t="array" aca="1" ref="R219" ca="1">IFERROR(SMALL(IF(P$1:P$311&lt;&gt;0,P$1:P$311),ROW(A219)),"")</f>
        <v/>
      </c>
      <c r="S219" s="49" t="str">
        <f t="array" aca="1" ref="S219" ca="1">IF($R219&lt;&gt;"",
SUBSTITUTE(SUBSTITUTE(INDIRECT("C"&amp;$R219&amp;"")," 週3ｺｰｽ","")," 週5ｺｰｽ",""),"")</f>
        <v/>
      </c>
      <c r="T219" s="49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22" t="str">
        <f t="array" aca="1" ref="U219" ca="1">IF($R219&lt;&gt;"",
INDIRECT("F"&amp;$R219&amp;""),"")</f>
        <v/>
      </c>
      <c r="V219" s="49" t="str">
        <f t="array" aca="1" ref="V219" ca="1">IF($R219&lt;&gt;"",
INDIRECT("G"&amp;$R219&amp;""),"")</f>
        <v/>
      </c>
      <c r="W219" s="49" t="str">
        <f t="array" aca="1" ref="W219" ca="1">IF($R219&lt;&gt;"",
IF(AND(COUNTIF(INDIRECT("B"&amp;R219&amp;""),"*雙葉*"),COUNTIF(B:B,"*雙葉*")&gt;=2),
IF(OR(COUNTIF(INDIRECT("B"&amp;R219&amp;""),"*雙葉先生*"),COUNTIF($B$1:$B$70,"*雙葉*")&gt;=2),INDIRECT("H"&amp;R219&amp;""),INDIRECT("H"&amp;R219&amp;"")+INDIRECT("H"&amp;MATCH("雙葉'",INDIRECT("B"&amp;R219+3&amp;":B210"),0)+2+R219&amp;"")),
IF(AND(LEFT(INDIRECT("B"&amp;R219&amp;""),2)="博多",COUNTIF(B:B,"*博多*")&gt;=2),
INDIRECT("H"&amp;R219&amp;"")+INDIRECT("H"&amp;MATCH("*"&amp;INDIRECT("B"&amp;R219&amp;"")&amp;"*",INDIRECT("B"&amp;R219+1&amp;":B210"),0)+R219&amp;""),
IF(AND(LEFT(INDIRECT("B"&amp;R219&amp;""),3)="奈良屋",COUNTIF(B:B,"*奈良屋*")&gt;=2),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49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49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49" t="str">
        <f t="shared" ca="1" si="35"/>
        <v/>
      </c>
      <c r="AA219" s="49" t="str">
        <f t="shared" ca="1" si="36"/>
        <v/>
      </c>
      <c r="AB219" s="49" t="str">
        <f t="array" aca="1" ref="AB219" ca="1">IF($R219&lt;&gt;"",
IF(AND(COUNTIF(INDIRECT("B"&amp;R219&amp;""),"*雙葉*"),COUNTIF(B:B,"*雙葉*")&gt;=2),
INDIRECT("M"&amp;R219&amp;"")+INDIRECT("M"&amp;MATCH("雙葉'",INDIRECT("B"&amp;R219+1&amp;":B210"),0)+R219&amp;""),
IF(AND(LEFT(INDIRECT("B"&amp;R219&amp;""),2)="博多",COUNTIF(B:B,"*博多*")&gt;=2),
INDIRECT("M"&amp;R219&amp;"")+INDIRECT("M"&amp;MATCH("*"&amp;INDIRECT("B"&amp;R219&amp;"")&amp;"*",INDIRECT("B"&amp;R219+1&amp;":B210"),0)+R219&amp;""),
IF(AND(LEFT(INDIRECT("B"&amp;R219&amp;""),3)="奈良屋",COUNTIF(B:B,"*奈良屋*")&gt;=2),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  <c r="AC219" s="49" t="str">
        <f ca="1">IF(S219&lt;&gt;"",INDEX(A:A, MATCH("*"&amp;LEFT(S219,4)&amp;"*", C:C, 0)),"")</f>
        <v/>
      </c>
      <c r="AD219" s="49" t="str">
        <f ca="1">IFERROR(INDEX(AC:AC,MATCH(SMALL($AU:$AU,ROW()+3),$AU:$AU,0)),"")</f>
        <v/>
      </c>
      <c r="AE219" s="49" t="str">
        <f ca="1">IFERROR(INDEX(R:R,MATCH(SMALL($AU:$AU,ROW()+3),$AU:$AU,0)),"")</f>
        <v/>
      </c>
      <c r="AF219" s="49" t="str">
        <f ca="1">IFERROR(INDEX(S:S,MATCH(SMALL($AU:$AU,ROW()+3),$AU:$AU,0)),"")</f>
        <v/>
      </c>
      <c r="AG219" s="49" t="str">
        <f ca="1">IFERROR(INDEX(T:T,MATCH(SMALL($AU:$AU,ROW()+3),$AU:$AU,0)),"")</f>
        <v/>
      </c>
      <c r="AH219" s="122" t="str">
        <f ca="1">IFERROR(INDEX(U:U,MATCH(SMALL($AU:$AU,ROW()+3),$AU:$AU,0)),"")</f>
        <v/>
      </c>
      <c r="AI219" s="49" t="str">
        <f ca="1">IFERROR(INDEX(V:V,MATCH(SMALL($AU:$AU,ROW()+3),$AU:$AU,0)),"")</f>
        <v/>
      </c>
      <c r="AJ219" s="49" t="str">
        <f ca="1">IFERROR(INDEX(W:W,MATCH(SMALL($AU:$AU,ROW()+3),$AU:$AU,0)),"")</f>
        <v/>
      </c>
      <c r="AK219" s="49" t="str">
        <f ca="1">IFERROR(INDEX(X:X,MATCH(SMALL($AU:$AU,ROW()+3),$AU:$AU,0)),"")</f>
        <v/>
      </c>
      <c r="AL219" s="49" t="str">
        <f ca="1">IFERROR(INDEX(Y:Y,MATCH(SMALL($AU:$AU,ROW()+3),$AU:$AU,0)),"")</f>
        <v/>
      </c>
      <c r="AM219" s="49" t="str">
        <f ca="1">IFERROR(INDEX(Z:Z,MATCH(SMALL($AU:$AU,ROW()+3),$AU:$AU,0)),"")</f>
        <v/>
      </c>
      <c r="AN219" s="49" t="str">
        <f ca="1">IFERROR(INDEX(AA:AA,MATCH(SMALL($AU:$AU,ROW()+3),$AU:$AU,0)),"")</f>
        <v/>
      </c>
      <c r="AO219" s="49" t="str">
        <f ca="1">IFERROR(INDEX(AB:AB,MATCH(SMALL($AU:$AU,ROW()+3),$AU:$AU,0)),"")</f>
        <v/>
      </c>
      <c r="AP219" s="49" t="str">
        <f ca="1">IFERROR(INDEX(AC:AC,MATCH(SMALL($AU:$AU,ROW()+3),$AU:$AU,0)),"")</f>
        <v/>
      </c>
      <c r="AU219" s="49" t="str">
        <f t="shared" ca="1" si="37"/>
        <v/>
      </c>
    </row>
    <row r="220" spans="1:47">
      <c r="A220" s="107" t="str">
        <f ca="1">IF(C220&lt;&gt;"",A219+1,"")</f>
        <v/>
      </c>
      <c r="B220" s="127"/>
      <c r="C220" s="128" t="str">
        <f t="array" aca="1" ref="C220" ca="1">IF(OR(INDIRECT("まとめ札!G"&amp;B219&amp;"")="",INDIRECT("まとめ札!G"&amp;B219&amp;"")=0),"",INDIRECT("まとめ札!A"&amp;B219&amp;"")&amp;"【2】")</f>
        <v/>
      </c>
      <c r="D220" s="128"/>
      <c r="E220" s="128"/>
      <c r="F220" s="129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130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127" t="str">
        <f t="array" aca="1" ref="H220" ca="1">IF(OR(INDIRECT("まとめ札!G"&amp;B219&amp;"")="",INDIRECT("まとめ札!G"&amp;B219&amp;"")=0),"",INDIRECT("まとめ札!G"&amp;B219&amp;""))</f>
        <v/>
      </c>
      <c r="I220" s="127"/>
      <c r="J220" s="127" t="str">
        <f ca="1">IF(C220&lt;&gt;"",
IF(OR(COUNTIF(C220,"*キャラ*"),COUNTIF(C220,"*赤*")),24,
VLOOKUP(C220,#REF!,6,FALSE)),"")</f>
        <v/>
      </c>
      <c r="M220" s="127"/>
      <c r="P220" s="127" t="str">
        <f t="shared" ca="1" si="40"/>
        <v/>
      </c>
      <c r="Q220" s="127" t="str">
        <f t="shared" ca="1" si="41"/>
        <v/>
      </c>
      <c r="R220" s="49" t="str">
        <f t="array" aca="1" ref="R220" ca="1">IFERROR(SMALL(IF(P$1:P$311&lt;&gt;0,P$1:P$311),ROW(A220)),"")</f>
        <v/>
      </c>
      <c r="S220" s="49" t="str">
        <f t="array" aca="1" ref="S220" ca="1">IF($R220&lt;&gt;"",
SUBSTITUTE(SUBSTITUTE(INDIRECT("C"&amp;$R220&amp;"")," 週3ｺｰｽ","")," 週5ｺｰｽ",""),"")</f>
        <v/>
      </c>
      <c r="T220" s="49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22" t="str">
        <f t="array" aca="1" ref="U220" ca="1">IF($R220&lt;&gt;"",
INDIRECT("F"&amp;$R220&amp;""),"")</f>
        <v/>
      </c>
      <c r="V220" s="49" t="str">
        <f t="array" aca="1" ref="V220" ca="1">IF($R220&lt;&gt;"",
INDIRECT("G"&amp;$R220&amp;""),"")</f>
        <v/>
      </c>
      <c r="W220" s="49" t="str">
        <f t="array" aca="1" ref="W220" ca="1">IF($R220&lt;&gt;"",
IF(AND(COUNTIF(INDIRECT("B"&amp;R220&amp;""),"*雙葉*"),COUNTIF(B:B,"*雙葉*")&gt;=2),
IF(OR(COUNTIF(INDIRECT("B"&amp;R220&amp;""),"*雙葉先生*"),COUNTIF($B$1:$B$70,"*雙葉*")&gt;=2),INDIRECT("H"&amp;R220&amp;""),INDIRECT("H"&amp;R220&amp;"")+INDIRECT("H"&amp;MATCH("雙葉'",INDIRECT("B"&amp;R220+3&amp;":B210"),0)+2+R220&amp;"")),
IF(AND(LEFT(INDIRECT("B"&amp;R220&amp;""),2)="博多",COUNTIF(B:B,"*博多*")&gt;=2),
INDIRECT("H"&amp;R220&amp;"")+INDIRECT("H"&amp;MATCH("*"&amp;INDIRECT("B"&amp;R220&amp;"")&amp;"*",INDIRECT("B"&amp;R220+1&amp;":B210"),0)+R220&amp;""),
IF(AND(LEFT(INDIRECT("B"&amp;R220&amp;""),3)="奈良屋",COUNTIF(B:B,"*奈良屋*")&gt;=2),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49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49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49" t="str">
        <f t="shared" ca="1" si="35"/>
        <v/>
      </c>
      <c r="AA220" s="49" t="str">
        <f t="shared" ca="1" si="36"/>
        <v/>
      </c>
      <c r="AB220" s="49" t="str">
        <f t="array" aca="1" ref="AB220" ca="1">IF($R220&lt;&gt;"",
IF(AND(COUNTIF(INDIRECT("B"&amp;R220&amp;""),"*雙葉*"),COUNTIF(B:B,"*雙葉*")&gt;=2),
INDIRECT("M"&amp;R220&amp;"")+INDIRECT("M"&amp;MATCH("雙葉'",INDIRECT("B"&amp;R220+1&amp;":B210"),0)+R220&amp;""),
IF(AND(LEFT(INDIRECT("B"&amp;R220&amp;""),2)="博多",COUNTIF(B:B,"*博多*")&gt;=2),
INDIRECT("M"&amp;R220&amp;"")+INDIRECT("M"&amp;MATCH("*"&amp;INDIRECT("B"&amp;R220&amp;"")&amp;"*",INDIRECT("B"&amp;R220+1&amp;":B210"),0)+R220&amp;""),
IF(AND(LEFT(INDIRECT("B"&amp;R220&amp;""),3)="奈良屋",COUNTIF(B:B,"*奈良屋*")&gt;=2),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  <c r="AC220" s="49" t="str">
        <f ca="1">IF(S220&lt;&gt;"",INDEX(A:A, MATCH("*"&amp;LEFT(S220,4)&amp;"*", C:C, 0)),"")</f>
        <v/>
      </c>
      <c r="AD220" s="49" t="str">
        <f ca="1">IFERROR(INDEX(AC:AC,MATCH(SMALL($AU:$AU,ROW()+3),$AU:$AU,0)),"")</f>
        <v/>
      </c>
      <c r="AE220" s="49" t="str">
        <f ca="1">IFERROR(INDEX(R:R,MATCH(SMALL($AU:$AU,ROW()+3),$AU:$AU,0)),"")</f>
        <v/>
      </c>
      <c r="AF220" s="49" t="str">
        <f ca="1">IFERROR(INDEX(S:S,MATCH(SMALL($AU:$AU,ROW()+3),$AU:$AU,0)),"")</f>
        <v/>
      </c>
      <c r="AG220" s="49" t="str">
        <f ca="1">IFERROR(INDEX(T:T,MATCH(SMALL($AU:$AU,ROW()+3),$AU:$AU,0)),"")</f>
        <v/>
      </c>
      <c r="AH220" s="122" t="str">
        <f ca="1">IFERROR(INDEX(U:U,MATCH(SMALL($AU:$AU,ROW()+3),$AU:$AU,0)),"")</f>
        <v/>
      </c>
      <c r="AI220" s="49" t="str">
        <f ca="1">IFERROR(INDEX(V:V,MATCH(SMALL($AU:$AU,ROW()+3),$AU:$AU,0)),"")</f>
        <v/>
      </c>
      <c r="AJ220" s="49" t="str">
        <f ca="1">IFERROR(INDEX(W:W,MATCH(SMALL($AU:$AU,ROW()+3),$AU:$AU,0)),"")</f>
        <v/>
      </c>
      <c r="AK220" s="49" t="str">
        <f ca="1">IFERROR(INDEX(X:X,MATCH(SMALL($AU:$AU,ROW()+3),$AU:$AU,0)),"")</f>
        <v/>
      </c>
      <c r="AL220" s="49" t="str">
        <f ca="1">IFERROR(INDEX(Y:Y,MATCH(SMALL($AU:$AU,ROW()+3),$AU:$AU,0)),"")</f>
        <v/>
      </c>
      <c r="AM220" s="49" t="str">
        <f ca="1">IFERROR(INDEX(Z:Z,MATCH(SMALL($AU:$AU,ROW()+3),$AU:$AU,0)),"")</f>
        <v/>
      </c>
      <c r="AN220" s="49" t="str">
        <f ca="1">IFERROR(INDEX(AA:AA,MATCH(SMALL($AU:$AU,ROW()+3),$AU:$AU,0)),"")</f>
        <v/>
      </c>
      <c r="AO220" s="49" t="str">
        <f ca="1">IFERROR(INDEX(AB:AB,MATCH(SMALL($AU:$AU,ROW()+3),$AU:$AU,0)),"")</f>
        <v/>
      </c>
      <c r="AP220" s="49" t="str">
        <f ca="1">IFERROR(INDEX(AC:AC,MATCH(SMALL($AU:$AU,ROW()+3),$AU:$AU,0)),"")</f>
        <v/>
      </c>
      <c r="AU220" s="49" t="str">
        <f t="shared" ca="1" si="37"/>
        <v/>
      </c>
    </row>
    <row r="221" spans="1:47">
      <c r="A221" s="107" t="str">
        <f ca="1">IF(C221&lt;&gt;"",A220+1,"")</f>
        <v/>
      </c>
      <c r="B221" s="127"/>
      <c r="C221" s="128" t="str">
        <f t="array" aca="1" ref="C221" ca="1">IF(OR(INDIRECT("まとめ札!H"&amp;B219&amp;"")="",INDIRECT("まとめ札!H"&amp;B219&amp;"")=0),"",INDIRECT("まとめ札!A"&amp;B219&amp;"")&amp;"【3】")</f>
        <v/>
      </c>
      <c r="D221" s="128"/>
      <c r="E221" s="128"/>
      <c r="F221" s="129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130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127" t="str">
        <f t="array" aca="1" ref="H221" ca="1">IF(OR(INDIRECT("まとめ札!H"&amp;B219&amp;"")="",INDIRECT("まとめ札!H"&amp;B219&amp;"")=0),"",INDIRECT("まとめ札!H"&amp;B219&amp;""))</f>
        <v/>
      </c>
      <c r="I221" s="127"/>
      <c r="J221" s="127" t="str">
        <f ca="1">IF(C221&lt;&gt;"",
IF(OR(COUNTIF(C221,"*キャラ*"),COUNTIF(C221,"*赤*")),24,
VLOOKUP(C221,#REF!,6,FALSE)),"")</f>
        <v/>
      </c>
      <c r="M221" s="127"/>
      <c r="P221" s="127" t="str">
        <f t="shared" ca="1" si="40"/>
        <v/>
      </c>
      <c r="Q221" s="127" t="str">
        <f t="shared" ca="1" si="41"/>
        <v/>
      </c>
      <c r="R221" s="49" t="str">
        <f t="array" aca="1" ref="R221" ca="1">IFERROR(SMALL(IF(P$1:P$311&lt;&gt;0,P$1:P$311),ROW(A221)),"")</f>
        <v/>
      </c>
      <c r="S221" s="49" t="str">
        <f t="array" aca="1" ref="S221" ca="1">IF($R221&lt;&gt;"",
SUBSTITUTE(SUBSTITUTE(INDIRECT("C"&amp;$R221&amp;"")," 週3ｺｰｽ","")," 週5ｺｰｽ",""),"")</f>
        <v/>
      </c>
      <c r="T221" s="49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22" t="str">
        <f t="array" aca="1" ref="U221" ca="1">IF($R221&lt;&gt;"",
INDIRECT("F"&amp;$R221&amp;""),"")</f>
        <v/>
      </c>
      <c r="V221" s="49" t="str">
        <f t="array" aca="1" ref="V221" ca="1">IF($R221&lt;&gt;"",
INDIRECT("G"&amp;$R221&amp;""),"")</f>
        <v/>
      </c>
      <c r="W221" s="49" t="str">
        <f t="array" aca="1" ref="W221" ca="1">IF($R221&lt;&gt;"",
IF(AND(COUNTIF(INDIRECT("B"&amp;R221&amp;""),"*雙葉*"),COUNTIF(B:B,"*雙葉*")&gt;=2),
IF(OR(COUNTIF(INDIRECT("B"&amp;R221&amp;""),"*雙葉先生*"),COUNTIF($B$1:$B$70,"*雙葉*")&gt;=2),INDIRECT("H"&amp;R221&amp;""),INDIRECT("H"&amp;R221&amp;"")+INDIRECT("H"&amp;MATCH("雙葉'",INDIRECT("B"&amp;R221+3&amp;":B210"),0)+2+R221&amp;"")),
IF(AND(LEFT(INDIRECT("B"&amp;R221&amp;""),2)="博多",COUNTIF(B:B,"*博多*")&gt;=2),
INDIRECT("H"&amp;R221&amp;"")+INDIRECT("H"&amp;MATCH("*"&amp;INDIRECT("B"&amp;R221&amp;"")&amp;"*",INDIRECT("B"&amp;R221+1&amp;":B210"),0)+R221&amp;""),
IF(AND(LEFT(INDIRECT("B"&amp;R221&amp;""),3)="奈良屋",COUNTIF(B:B,"*奈良屋*")&gt;=2),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49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49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49" t="str">
        <f t="shared" ca="1" si="35"/>
        <v/>
      </c>
      <c r="AA221" s="49" t="str">
        <f t="shared" ca="1" si="36"/>
        <v/>
      </c>
      <c r="AB221" s="49" t="str">
        <f t="array" aca="1" ref="AB221" ca="1">IF($R221&lt;&gt;"",
IF(AND(COUNTIF(INDIRECT("B"&amp;R221&amp;""),"*雙葉*"),COUNTIF(B:B,"*雙葉*")&gt;=2),
INDIRECT("M"&amp;R221&amp;"")+INDIRECT("M"&amp;MATCH("雙葉'",INDIRECT("B"&amp;R221+1&amp;":B210"),0)+R221&amp;""),
IF(AND(LEFT(INDIRECT("B"&amp;R221&amp;""),2)="博多",COUNTIF(B:B,"*博多*")&gt;=2),
INDIRECT("M"&amp;R221&amp;"")+INDIRECT("M"&amp;MATCH("*"&amp;INDIRECT("B"&amp;R221&amp;"")&amp;"*",INDIRECT("B"&amp;R221+1&amp;":B210"),0)+R221&amp;""),
IF(AND(LEFT(INDIRECT("B"&amp;R221&amp;""),3)="奈良屋",COUNTIF(B:B,"*奈良屋*")&gt;=2),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  <c r="AC221" s="49" t="str">
        <f ca="1">IF(S221&lt;&gt;"",INDEX(A:A, MATCH("*"&amp;LEFT(S221,4)&amp;"*", C:C, 0)),"")</f>
        <v/>
      </c>
      <c r="AD221" s="49" t="str">
        <f ca="1">IFERROR(INDEX(AC:AC,MATCH(SMALL($AU:$AU,ROW()+3),$AU:$AU,0)),"")</f>
        <v/>
      </c>
      <c r="AE221" s="49" t="str">
        <f ca="1">IFERROR(INDEX(R:R,MATCH(SMALL($AU:$AU,ROW()+3),$AU:$AU,0)),"")</f>
        <v/>
      </c>
      <c r="AF221" s="49" t="str">
        <f ca="1">IFERROR(INDEX(S:S,MATCH(SMALL($AU:$AU,ROW()+3),$AU:$AU,0)),"")</f>
        <v/>
      </c>
      <c r="AG221" s="49" t="str">
        <f ca="1">IFERROR(INDEX(T:T,MATCH(SMALL($AU:$AU,ROW()+3),$AU:$AU,0)),"")</f>
        <v/>
      </c>
      <c r="AH221" s="122" t="str">
        <f ca="1">IFERROR(INDEX(U:U,MATCH(SMALL($AU:$AU,ROW()+3),$AU:$AU,0)),"")</f>
        <v/>
      </c>
      <c r="AI221" s="49" t="str">
        <f ca="1">IFERROR(INDEX(V:V,MATCH(SMALL($AU:$AU,ROW()+3),$AU:$AU,0)),"")</f>
        <v/>
      </c>
      <c r="AJ221" s="49" t="str">
        <f ca="1">IFERROR(INDEX(W:W,MATCH(SMALL($AU:$AU,ROW()+3),$AU:$AU,0)),"")</f>
        <v/>
      </c>
      <c r="AK221" s="49" t="str">
        <f ca="1">IFERROR(INDEX(X:X,MATCH(SMALL($AU:$AU,ROW()+3),$AU:$AU,0)),"")</f>
        <v/>
      </c>
      <c r="AL221" s="49" t="str">
        <f ca="1">IFERROR(INDEX(Y:Y,MATCH(SMALL($AU:$AU,ROW()+3),$AU:$AU,0)),"")</f>
        <v/>
      </c>
      <c r="AM221" s="49" t="str">
        <f ca="1">IFERROR(INDEX(Z:Z,MATCH(SMALL($AU:$AU,ROW()+3),$AU:$AU,0)),"")</f>
        <v/>
      </c>
      <c r="AN221" s="49" t="str">
        <f ca="1">IFERROR(INDEX(AA:AA,MATCH(SMALL($AU:$AU,ROW()+3),$AU:$AU,0)),"")</f>
        <v/>
      </c>
      <c r="AO221" s="49" t="str">
        <f ca="1">IFERROR(INDEX(AB:AB,MATCH(SMALL($AU:$AU,ROW()+3),$AU:$AU,0)),"")</f>
        <v/>
      </c>
      <c r="AP221" s="49" t="str">
        <f ca="1">IFERROR(INDEX(AC:AC,MATCH(SMALL($AU:$AU,ROW()+3),$AU:$AU,0)),"")</f>
        <v/>
      </c>
      <c r="AU221" s="49" t="str">
        <f t="shared" ca="1" si="37"/>
        <v/>
      </c>
    </row>
    <row r="222" spans="1:47">
      <c r="A222" s="107" t="str">
        <f ca="1">IF(C222&lt;&gt;"",A221+1,"")</f>
        <v/>
      </c>
      <c r="B222" s="127"/>
      <c r="C222" s="128" t="str">
        <f t="array" aca="1" ref="C222" ca="1">IF(OR(INDIRECT("まとめ札!I"&amp;B219&amp;"")="",INDIRECT("まとめ札!I"&amp;B219&amp;"")=0),"",INDIRECT("まとめ札!A"&amp;B219&amp;"")&amp;"【4】")</f>
        <v/>
      </c>
      <c r="D222" s="128"/>
      <c r="E222" s="128"/>
      <c r="F222" s="129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130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127" t="str">
        <f t="array" aca="1" ref="H222" ca="1">IF(OR(INDIRECT("まとめ札!I"&amp;B219&amp;"")="",INDIRECT("まとめ札!I"&amp;B219&amp;"")=0),"",INDIRECT("まとめ札!I"&amp;B219&amp;""))</f>
        <v/>
      </c>
      <c r="I222" s="127"/>
      <c r="J222" s="127" t="str">
        <f ca="1">IF(C222&lt;&gt;"",
IF(OR(COUNTIF(C222,"*キャラ*"),COUNTIF(C222,"*赤*")),24,
VLOOKUP(C222,#REF!,6,FALSE)),"")</f>
        <v/>
      </c>
      <c r="M222" s="127"/>
      <c r="P222" s="127" t="str">
        <f t="shared" ca="1" si="40"/>
        <v/>
      </c>
      <c r="Q222" s="127" t="str">
        <f t="shared" ca="1" si="41"/>
        <v/>
      </c>
      <c r="R222" s="49" t="str">
        <f t="array" aca="1" ref="R222" ca="1">IFERROR(SMALL(IF(P$1:P$311&lt;&gt;0,P$1:P$311),ROW(A222)),"")</f>
        <v/>
      </c>
      <c r="S222" s="49" t="str">
        <f t="array" aca="1" ref="S222" ca="1">IF($R222&lt;&gt;"",
SUBSTITUTE(SUBSTITUTE(INDIRECT("C"&amp;$R222&amp;"")," 週3ｺｰｽ","")," 週5ｺｰｽ",""),"")</f>
        <v/>
      </c>
      <c r="T222" s="49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22" t="str">
        <f t="array" aca="1" ref="U222" ca="1">IF($R222&lt;&gt;"",
INDIRECT("F"&amp;$R222&amp;""),"")</f>
        <v/>
      </c>
      <c r="V222" s="49" t="str">
        <f t="array" aca="1" ref="V222" ca="1">IF($R222&lt;&gt;"",
INDIRECT("G"&amp;$R222&amp;""),"")</f>
        <v/>
      </c>
      <c r="W222" s="49" t="str">
        <f t="array" aca="1" ref="W222" ca="1">IF($R222&lt;&gt;"",
IF(AND(COUNTIF(INDIRECT("B"&amp;R222&amp;""),"*雙葉*"),COUNTIF(B:B,"*雙葉*")&gt;=2),
IF(OR(COUNTIF(INDIRECT("B"&amp;R222&amp;""),"*雙葉先生*"),COUNTIF($B$1:$B$70,"*雙葉*")&gt;=2),INDIRECT("H"&amp;R222&amp;""),INDIRECT("H"&amp;R222&amp;"")+INDIRECT("H"&amp;MATCH("雙葉'",INDIRECT("B"&amp;R222+3&amp;":B210"),0)+2+R222&amp;"")),
IF(AND(LEFT(INDIRECT("B"&amp;R222&amp;""),2)="博多",COUNTIF(B:B,"*博多*")&gt;=2),
INDIRECT("H"&amp;R222&amp;"")+INDIRECT("H"&amp;MATCH("*"&amp;INDIRECT("B"&amp;R222&amp;"")&amp;"*",INDIRECT("B"&amp;R222+1&amp;":B210"),0)+R222&amp;""),
IF(AND(LEFT(INDIRECT("B"&amp;R222&amp;""),3)="奈良屋",COUNTIF(B:B,"*奈良屋*")&gt;=2),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49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49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49" t="str">
        <f t="shared" ca="1" si="35"/>
        <v/>
      </c>
      <c r="AA222" s="49" t="str">
        <f t="shared" ca="1" si="36"/>
        <v/>
      </c>
      <c r="AB222" s="49" t="str">
        <f t="array" aca="1" ref="AB222" ca="1">IF($R222&lt;&gt;"",
IF(AND(COUNTIF(INDIRECT("B"&amp;R222&amp;""),"*雙葉*"),COUNTIF(B:B,"*雙葉*")&gt;=2),
INDIRECT("M"&amp;R222&amp;"")+INDIRECT("M"&amp;MATCH("雙葉'",INDIRECT("B"&amp;R222+1&amp;":B210"),0)+R222&amp;""),
IF(AND(LEFT(INDIRECT("B"&amp;R222&amp;""),2)="博多",COUNTIF(B:B,"*博多*")&gt;=2),
INDIRECT("M"&amp;R222&amp;"")+INDIRECT("M"&amp;MATCH("*"&amp;INDIRECT("B"&amp;R222&amp;"")&amp;"*",INDIRECT("B"&amp;R222+1&amp;":B210"),0)+R222&amp;""),
IF(AND(LEFT(INDIRECT("B"&amp;R222&amp;""),3)="奈良屋",COUNTIF(B:B,"*奈良屋*")&gt;=2),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  <c r="AC222" s="49" t="str">
        <f ca="1">IF(S222&lt;&gt;"",INDEX(A:A, MATCH("*"&amp;LEFT(S222,4)&amp;"*", C:C, 0)),"")</f>
        <v/>
      </c>
      <c r="AD222" s="49" t="str">
        <f ca="1">IFERROR(INDEX(AC:AC,MATCH(SMALL($AU:$AU,ROW()+3),$AU:$AU,0)),"")</f>
        <v/>
      </c>
      <c r="AE222" s="49" t="str">
        <f ca="1">IFERROR(INDEX(R:R,MATCH(SMALL($AU:$AU,ROW()+3),$AU:$AU,0)),"")</f>
        <v/>
      </c>
      <c r="AF222" s="49" t="str">
        <f ca="1">IFERROR(INDEX(S:S,MATCH(SMALL($AU:$AU,ROW()+3),$AU:$AU,0)),"")</f>
        <v/>
      </c>
      <c r="AG222" s="49" t="str">
        <f ca="1">IFERROR(INDEX(T:T,MATCH(SMALL($AU:$AU,ROW()+3),$AU:$AU,0)),"")</f>
        <v/>
      </c>
      <c r="AH222" s="122" t="str">
        <f ca="1">IFERROR(INDEX(U:U,MATCH(SMALL($AU:$AU,ROW()+3),$AU:$AU,0)),"")</f>
        <v/>
      </c>
      <c r="AI222" s="49" t="str">
        <f ca="1">IFERROR(INDEX(V:V,MATCH(SMALL($AU:$AU,ROW()+3),$AU:$AU,0)),"")</f>
        <v/>
      </c>
      <c r="AJ222" s="49" t="str">
        <f ca="1">IFERROR(INDEX(W:W,MATCH(SMALL($AU:$AU,ROW()+3),$AU:$AU,0)),"")</f>
        <v/>
      </c>
      <c r="AK222" s="49" t="str">
        <f ca="1">IFERROR(INDEX(X:X,MATCH(SMALL($AU:$AU,ROW()+3),$AU:$AU,0)),"")</f>
        <v/>
      </c>
      <c r="AL222" s="49" t="str">
        <f ca="1">IFERROR(INDEX(Y:Y,MATCH(SMALL($AU:$AU,ROW()+3),$AU:$AU,0)),"")</f>
        <v/>
      </c>
      <c r="AM222" s="49" t="str">
        <f ca="1">IFERROR(INDEX(Z:Z,MATCH(SMALL($AU:$AU,ROW()+3),$AU:$AU,0)),"")</f>
        <v/>
      </c>
      <c r="AN222" s="49" t="str">
        <f ca="1">IFERROR(INDEX(AA:AA,MATCH(SMALL($AU:$AU,ROW()+3),$AU:$AU,0)),"")</f>
        <v/>
      </c>
      <c r="AO222" s="49" t="str">
        <f ca="1">IFERROR(INDEX(AB:AB,MATCH(SMALL($AU:$AU,ROW()+3),$AU:$AU,0)),"")</f>
        <v/>
      </c>
      <c r="AP222" s="49" t="str">
        <f ca="1">IFERROR(INDEX(AC:AC,MATCH(SMALL($AU:$AU,ROW()+3),$AU:$AU,0)),"")</f>
        <v/>
      </c>
      <c r="AU222" s="49" t="str">
        <f t="shared" ca="1" si="37"/>
        <v/>
      </c>
    </row>
    <row r="223" spans="1:47">
      <c r="A223" s="107">
        <f ca="1">IF(C223&lt;&gt;"",MAX($A$219:$A$222)+1,"")</f>
        <v>148</v>
      </c>
      <c r="B223" s="127">
        <v>3</v>
      </c>
      <c r="C223" s="128" t="str">
        <f t="array" aca="1" ref="C223" ca="1">IF(INDIRECT("まとめ札!A"&amp;B223&amp;"")&lt;&gt;0,INDIRECT("まとめ札!A"&amp;B223&amp;"")&amp;"【1】","")</f>
        <v>キャラ弁当 おにぎり【1】</v>
      </c>
      <c r="D223" s="128"/>
      <c r="E223" s="128"/>
      <c r="F223" s="129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130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127" t="str">
        <f t="array" aca="1" ref="H223" ca="1">IF(INDIRECT("まとめ札!F"&amp;B223&amp;"")&lt;&gt;0,INDIRECT("まとめ札!F"&amp;B223&amp;""),"")</f>
        <v/>
      </c>
      <c r="I223" s="127"/>
      <c r="J223" s="127">
        <f ca="1">IF(C223&lt;&gt;"",
IF(OR(COUNTIF(C223,"*キャラ*"),COUNTIF(C223,"*赤*")),24,
VLOOKUP(C223,#REF!,6,FALSE)),"")</f>
        <v>24</v>
      </c>
      <c r="M223" s="127"/>
      <c r="P223" s="127" t="str">
        <f t="shared" ca="1" si="40"/>
        <v/>
      </c>
      <c r="Q223" s="127" t="str">
        <f t="shared" ca="1" si="41"/>
        <v/>
      </c>
      <c r="R223" s="49" t="str">
        <f t="array" aca="1" ref="R223" ca="1">IFERROR(SMALL(IF(P$1:P$311&lt;&gt;0,P$1:P$311),ROW(A223)),"")</f>
        <v/>
      </c>
      <c r="S223" s="49" t="str">
        <f t="array" aca="1" ref="S223" ca="1">IF($R223&lt;&gt;"",
SUBSTITUTE(SUBSTITUTE(INDIRECT("C"&amp;$R223&amp;"")," 週3ｺｰｽ","")," 週5ｺｰｽ",""),"")</f>
        <v/>
      </c>
      <c r="T223" s="49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22" t="str">
        <f t="array" aca="1" ref="U223" ca="1">IF($R223&lt;&gt;"",
INDIRECT("F"&amp;$R223&amp;""),"")</f>
        <v/>
      </c>
      <c r="V223" s="49" t="str">
        <f t="array" aca="1" ref="V223" ca="1">IF($R223&lt;&gt;"",
INDIRECT("G"&amp;$R223&amp;""),"")</f>
        <v/>
      </c>
      <c r="W223" s="49" t="str">
        <f t="array" aca="1" ref="W223" ca="1">IF($R223&lt;&gt;"",
IF(AND(COUNTIF(INDIRECT("B"&amp;R223&amp;""),"*雙葉*"),COUNTIF(B:B,"*雙葉*")&gt;=2),
IF(OR(COUNTIF(INDIRECT("B"&amp;R223&amp;""),"*雙葉先生*"),COUNTIF($B$1:$B$70,"*雙葉*")&gt;=2),INDIRECT("H"&amp;R223&amp;""),INDIRECT("H"&amp;R223&amp;"")+INDIRECT("H"&amp;MATCH("雙葉'",INDIRECT("B"&amp;R223+3&amp;":B210"),0)+2+R223&amp;"")),
IF(AND(LEFT(INDIRECT("B"&amp;R223&amp;""),2)="博多",COUNTIF(B:B,"*博多*")&gt;=2),
INDIRECT("H"&amp;R223&amp;"")+INDIRECT("H"&amp;MATCH("*"&amp;INDIRECT("B"&amp;R223&amp;"")&amp;"*",INDIRECT("B"&amp;R223+1&amp;":B210"),0)+R223&amp;""),
IF(AND(LEFT(INDIRECT("B"&amp;R223&amp;""),3)="奈良屋",COUNTIF(B:B,"*奈良屋*")&gt;=2),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49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49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49" t="str">
        <f t="shared" ca="1" si="35"/>
        <v/>
      </c>
      <c r="AA223" s="49" t="str">
        <f t="shared" ca="1" si="36"/>
        <v/>
      </c>
      <c r="AB223" s="49" t="str">
        <f t="array" aca="1" ref="AB223" ca="1">IF($R223&lt;&gt;"",
IF(AND(COUNTIF(INDIRECT("B"&amp;R223&amp;""),"*雙葉*"),COUNTIF(B:B,"*雙葉*")&gt;=2),
INDIRECT("M"&amp;R223&amp;"")+INDIRECT("M"&amp;MATCH("雙葉'",INDIRECT("B"&amp;R223+1&amp;":B210"),0)+R223&amp;""),
IF(AND(LEFT(INDIRECT("B"&amp;R223&amp;""),2)="博多",COUNTIF(B:B,"*博多*")&gt;=2),
INDIRECT("M"&amp;R223&amp;"")+INDIRECT("M"&amp;MATCH("*"&amp;INDIRECT("B"&amp;R223&amp;"")&amp;"*",INDIRECT("B"&amp;R223+1&amp;":B210"),0)+R223&amp;""),
IF(AND(LEFT(INDIRECT("B"&amp;R223&amp;""),3)="奈良屋",COUNTIF(B:B,"*奈良屋*")&gt;=2),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  <c r="AC223" s="49" t="str">
        <f ca="1">IF(S223&lt;&gt;"",INDEX(A:A, MATCH("*"&amp;LEFT(S223,4)&amp;"*", C:C, 0)),"")</f>
        <v/>
      </c>
      <c r="AD223" s="49" t="str">
        <f ca="1">IFERROR(INDEX(AC:AC,MATCH(SMALL($AU:$AU,ROW()+3),$AU:$AU,0)),"")</f>
        <v/>
      </c>
      <c r="AE223" s="49" t="str">
        <f ca="1">IFERROR(INDEX(R:R,MATCH(SMALL($AU:$AU,ROW()+3),$AU:$AU,0)),"")</f>
        <v/>
      </c>
      <c r="AF223" s="49" t="str">
        <f ca="1">IFERROR(INDEX(S:S,MATCH(SMALL($AU:$AU,ROW()+3),$AU:$AU,0)),"")</f>
        <v/>
      </c>
      <c r="AG223" s="49" t="str">
        <f ca="1">IFERROR(INDEX(T:T,MATCH(SMALL($AU:$AU,ROW()+3),$AU:$AU,0)),"")</f>
        <v/>
      </c>
      <c r="AH223" s="122" t="str">
        <f ca="1">IFERROR(INDEX(U:U,MATCH(SMALL($AU:$AU,ROW()+3),$AU:$AU,0)),"")</f>
        <v/>
      </c>
      <c r="AI223" s="49" t="str">
        <f ca="1">IFERROR(INDEX(V:V,MATCH(SMALL($AU:$AU,ROW()+3),$AU:$AU,0)),"")</f>
        <v/>
      </c>
      <c r="AJ223" s="49" t="str">
        <f ca="1">IFERROR(INDEX(W:W,MATCH(SMALL($AU:$AU,ROW()+3),$AU:$AU,0)),"")</f>
        <v/>
      </c>
      <c r="AK223" s="49" t="str">
        <f ca="1">IFERROR(INDEX(X:X,MATCH(SMALL($AU:$AU,ROW()+3),$AU:$AU,0)),"")</f>
        <v/>
      </c>
      <c r="AL223" s="49" t="str">
        <f ca="1">IFERROR(INDEX(Y:Y,MATCH(SMALL($AU:$AU,ROW()+3),$AU:$AU,0)),"")</f>
        <v/>
      </c>
      <c r="AM223" s="49" t="str">
        <f ca="1">IFERROR(INDEX(Z:Z,MATCH(SMALL($AU:$AU,ROW()+3),$AU:$AU,0)),"")</f>
        <v/>
      </c>
      <c r="AN223" s="49" t="str">
        <f ca="1">IFERROR(INDEX(AA:AA,MATCH(SMALL($AU:$AU,ROW()+3),$AU:$AU,0)),"")</f>
        <v/>
      </c>
      <c r="AO223" s="49" t="str">
        <f ca="1">IFERROR(INDEX(AB:AB,MATCH(SMALL($AU:$AU,ROW()+3),$AU:$AU,0)),"")</f>
        <v/>
      </c>
      <c r="AP223" s="49" t="str">
        <f ca="1">IFERROR(INDEX(AC:AC,MATCH(SMALL($AU:$AU,ROW()+3),$AU:$AU,0)),"")</f>
        <v/>
      </c>
      <c r="AU223" s="49" t="str">
        <f t="shared" ca="1" si="37"/>
        <v/>
      </c>
    </row>
    <row r="224" spans="1:47">
      <c r="A224" s="107" t="str">
        <f ca="1">IF(C224&lt;&gt;"",A223+1,"")</f>
        <v/>
      </c>
      <c r="B224" s="127"/>
      <c r="C224" s="128" t="str">
        <f t="array" aca="1" ref="C224" ca="1">IF(OR(INDIRECT("まとめ札!G"&amp;B223&amp;"")="",INDIRECT("まとめ札!G"&amp;B223&amp;"")=0),"",INDIRECT("まとめ札!A"&amp;B223&amp;"")&amp;"【2】")</f>
        <v/>
      </c>
      <c r="D224" s="128"/>
      <c r="E224" s="128"/>
      <c r="F224" s="129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130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127" t="str">
        <f t="array" aca="1" ref="H224" ca="1">IF(OR(INDIRECT("まとめ札!G"&amp;B223&amp;"")="",INDIRECT("まとめ札!G"&amp;B223&amp;"")=0),"",INDIRECT("まとめ札!G"&amp;B223&amp;""))</f>
        <v/>
      </c>
      <c r="I224" s="127"/>
      <c r="J224" s="127" t="str">
        <f ca="1">IF(C224&lt;&gt;"",
IF(OR(COUNTIF(C224,"*キャラ*"),COUNTIF(C224,"*赤*")),24,
VLOOKUP(C224,#REF!,6,FALSE)),"")</f>
        <v/>
      </c>
      <c r="M224" s="127"/>
      <c r="P224" s="127" t="str">
        <f t="shared" ca="1" si="40"/>
        <v/>
      </c>
      <c r="Q224" s="127" t="str">
        <f t="shared" ca="1" si="41"/>
        <v/>
      </c>
      <c r="R224" s="49" t="str">
        <f t="array" aca="1" ref="R224" ca="1">IFERROR(SMALL(IF(P$1:P$311&lt;&gt;0,P$1:P$311),ROW(A224)),"")</f>
        <v/>
      </c>
      <c r="S224" s="49" t="str">
        <f t="array" aca="1" ref="S224" ca="1">IF($R224&lt;&gt;"",
SUBSTITUTE(SUBSTITUTE(INDIRECT("C"&amp;$R224&amp;"")," 週3ｺｰｽ","")," 週5ｺｰｽ",""),"")</f>
        <v/>
      </c>
      <c r="T224" s="49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22" t="str">
        <f t="array" aca="1" ref="U224" ca="1">IF($R224&lt;&gt;"",
INDIRECT("F"&amp;$R224&amp;""),"")</f>
        <v/>
      </c>
      <c r="V224" s="49" t="str">
        <f t="array" aca="1" ref="V224" ca="1">IF($R224&lt;&gt;"",
INDIRECT("G"&amp;$R224&amp;""),"")</f>
        <v/>
      </c>
      <c r="W224" s="49" t="str">
        <f t="array" aca="1" ref="W224" ca="1">IF($R224&lt;&gt;"",
IF(AND(COUNTIF(INDIRECT("B"&amp;R224&amp;""),"*雙葉*"),COUNTIF(B:B,"*雙葉*")&gt;=2),
IF(OR(COUNTIF(INDIRECT("B"&amp;R224&amp;""),"*雙葉先生*"),COUNTIF($B$1:$B$70,"*雙葉*")&gt;=2),INDIRECT("H"&amp;R224&amp;""),INDIRECT("H"&amp;R224&amp;"")+INDIRECT("H"&amp;MATCH("雙葉'",INDIRECT("B"&amp;R224+3&amp;":B210"),0)+2+R224&amp;"")),
IF(AND(LEFT(INDIRECT("B"&amp;R224&amp;""),2)="博多",COUNTIF(B:B,"*博多*")&gt;=2),
INDIRECT("H"&amp;R224&amp;"")+INDIRECT("H"&amp;MATCH("*"&amp;INDIRECT("B"&amp;R224&amp;"")&amp;"*",INDIRECT("B"&amp;R224+1&amp;":B210"),0)+R224&amp;""),
IF(AND(LEFT(INDIRECT("B"&amp;R224&amp;""),3)="奈良屋",COUNTIF(B:B,"*奈良屋*")&gt;=2),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49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49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49" t="str">
        <f t="shared" ca="1" si="35"/>
        <v/>
      </c>
      <c r="AA224" s="49" t="str">
        <f t="shared" ca="1" si="36"/>
        <v/>
      </c>
      <c r="AB224" s="49" t="str">
        <f t="array" aca="1" ref="AB224" ca="1">IF($R224&lt;&gt;"",
IF(AND(COUNTIF(INDIRECT("B"&amp;R224&amp;""),"*雙葉*"),COUNTIF(B:B,"*雙葉*")&gt;=2),
INDIRECT("M"&amp;R224&amp;"")+INDIRECT("M"&amp;MATCH("雙葉'",INDIRECT("B"&amp;R224+1&amp;":B210"),0)+R224&amp;""),
IF(AND(LEFT(INDIRECT("B"&amp;R224&amp;""),2)="博多",COUNTIF(B:B,"*博多*")&gt;=2),
INDIRECT("M"&amp;R224&amp;"")+INDIRECT("M"&amp;MATCH("*"&amp;INDIRECT("B"&amp;R224&amp;"")&amp;"*",INDIRECT("B"&amp;R224+1&amp;":B210"),0)+R224&amp;""),
IF(AND(LEFT(INDIRECT("B"&amp;R224&amp;""),3)="奈良屋",COUNTIF(B:B,"*奈良屋*")&gt;=2),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  <c r="AC224" s="49" t="str">
        <f ca="1">IF(S224&lt;&gt;"",INDEX(A:A, MATCH("*"&amp;LEFT(S224,4)&amp;"*", C:C, 0)),"")</f>
        <v/>
      </c>
      <c r="AD224" s="49" t="str">
        <f ca="1">IFERROR(INDEX(AC:AC,MATCH(SMALL($AU:$AU,ROW()+3),$AU:$AU,0)),"")</f>
        <v/>
      </c>
      <c r="AE224" s="49" t="str">
        <f ca="1">IFERROR(INDEX(R:R,MATCH(SMALL($AU:$AU,ROW()+3),$AU:$AU,0)),"")</f>
        <v/>
      </c>
      <c r="AF224" s="49" t="str">
        <f ca="1">IFERROR(INDEX(S:S,MATCH(SMALL($AU:$AU,ROW()+3),$AU:$AU,0)),"")</f>
        <v/>
      </c>
      <c r="AG224" s="49" t="str">
        <f ca="1">IFERROR(INDEX(T:T,MATCH(SMALL($AU:$AU,ROW()+3),$AU:$AU,0)),"")</f>
        <v/>
      </c>
      <c r="AH224" s="122" t="str">
        <f ca="1">IFERROR(INDEX(U:U,MATCH(SMALL($AU:$AU,ROW()+3),$AU:$AU,0)),"")</f>
        <v/>
      </c>
      <c r="AI224" s="49" t="str">
        <f ca="1">IFERROR(INDEX(V:V,MATCH(SMALL($AU:$AU,ROW()+3),$AU:$AU,0)),"")</f>
        <v/>
      </c>
      <c r="AJ224" s="49" t="str">
        <f ca="1">IFERROR(INDEX(W:W,MATCH(SMALL($AU:$AU,ROW()+3),$AU:$AU,0)),"")</f>
        <v/>
      </c>
      <c r="AK224" s="49" t="str">
        <f ca="1">IFERROR(INDEX(X:X,MATCH(SMALL($AU:$AU,ROW()+3),$AU:$AU,0)),"")</f>
        <v/>
      </c>
      <c r="AL224" s="49" t="str">
        <f ca="1">IFERROR(INDEX(Y:Y,MATCH(SMALL($AU:$AU,ROW()+3),$AU:$AU,0)),"")</f>
        <v/>
      </c>
      <c r="AM224" s="49" t="str">
        <f ca="1">IFERROR(INDEX(Z:Z,MATCH(SMALL($AU:$AU,ROW()+3),$AU:$AU,0)),"")</f>
        <v/>
      </c>
      <c r="AN224" s="49" t="str">
        <f ca="1">IFERROR(INDEX(AA:AA,MATCH(SMALL($AU:$AU,ROW()+3),$AU:$AU,0)),"")</f>
        <v/>
      </c>
      <c r="AO224" s="49" t="str">
        <f ca="1">IFERROR(INDEX(AB:AB,MATCH(SMALL($AU:$AU,ROW()+3),$AU:$AU,0)),"")</f>
        <v/>
      </c>
      <c r="AP224" s="49" t="str">
        <f ca="1">IFERROR(INDEX(AC:AC,MATCH(SMALL($AU:$AU,ROW()+3),$AU:$AU,0)),"")</f>
        <v/>
      </c>
      <c r="AU224" s="49" t="str">
        <f t="shared" ca="1" si="37"/>
        <v/>
      </c>
    </row>
    <row r="225" spans="1:47">
      <c r="A225" s="107" t="str">
        <f ca="1">IF(C225&lt;&gt;"",A224+1,"")</f>
        <v/>
      </c>
      <c r="B225" s="127"/>
      <c r="C225" s="128" t="str">
        <f t="array" aca="1" ref="C225" ca="1">IF(OR(INDIRECT("まとめ札!H"&amp;B223&amp;"")="",INDIRECT("まとめ札!H"&amp;B223&amp;"")=0),"",INDIRECT("まとめ札!A"&amp;B223&amp;"")&amp;"【3】")</f>
        <v/>
      </c>
      <c r="D225" s="128"/>
      <c r="E225" s="128"/>
      <c r="F225" s="129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130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127" t="str">
        <f t="array" aca="1" ref="H225" ca="1">IF(OR(INDIRECT("まとめ札!H"&amp;B223&amp;"")="",INDIRECT("まとめ札!H"&amp;B223&amp;"")=0),"",INDIRECT("まとめ札!H"&amp;B223&amp;""))</f>
        <v/>
      </c>
      <c r="I225" s="127"/>
      <c r="J225" s="127" t="str">
        <f ca="1">IF(C225&lt;&gt;"",
IF(OR(COUNTIF(C225,"*キャラ*"),COUNTIF(C225,"*赤*")),24,
VLOOKUP(C225,#REF!,6,FALSE)),"")</f>
        <v/>
      </c>
      <c r="M225" s="127"/>
      <c r="P225" s="127" t="str">
        <f t="shared" ca="1" si="40"/>
        <v/>
      </c>
      <c r="Q225" s="127" t="str">
        <f t="shared" ca="1" si="41"/>
        <v/>
      </c>
      <c r="R225" s="49" t="str">
        <f t="array" aca="1" ref="R225" ca="1">IFERROR(SMALL(IF(P$1:P$311&lt;&gt;0,P$1:P$311),ROW(A225)),"")</f>
        <v/>
      </c>
      <c r="S225" s="49" t="str">
        <f t="array" aca="1" ref="S225" ca="1">IF($R225&lt;&gt;"",
SUBSTITUTE(SUBSTITUTE(INDIRECT("C"&amp;$R225&amp;"")," 週3ｺｰｽ","")," 週5ｺｰｽ",""),"")</f>
        <v/>
      </c>
      <c r="T225" s="49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22" t="str">
        <f t="array" aca="1" ref="U225" ca="1">IF($R225&lt;&gt;"",
INDIRECT("F"&amp;$R225&amp;""),"")</f>
        <v/>
      </c>
      <c r="V225" s="49" t="str">
        <f t="array" aca="1" ref="V225" ca="1">IF($R225&lt;&gt;"",
INDIRECT("G"&amp;$R225&amp;""),"")</f>
        <v/>
      </c>
      <c r="W225" s="49" t="str">
        <f t="array" aca="1" ref="W225" ca="1">IF($R225&lt;&gt;"",
IF(AND(COUNTIF(INDIRECT("B"&amp;R225&amp;""),"*雙葉*"),COUNTIF(B:B,"*雙葉*")&gt;=2),
IF(OR(COUNTIF(INDIRECT("B"&amp;R225&amp;""),"*雙葉先生*"),COUNTIF($B$1:$B$70,"*雙葉*")&gt;=2),INDIRECT("H"&amp;R225&amp;""),INDIRECT("H"&amp;R225&amp;"")+INDIRECT("H"&amp;MATCH("雙葉'",INDIRECT("B"&amp;R225+3&amp;":B210"),0)+2+R225&amp;"")),
IF(AND(LEFT(INDIRECT("B"&amp;R225&amp;""),2)="博多",COUNTIF(B:B,"*博多*")&gt;=2),
INDIRECT("H"&amp;R225&amp;"")+INDIRECT("H"&amp;MATCH("*"&amp;INDIRECT("B"&amp;R225&amp;"")&amp;"*",INDIRECT("B"&amp;R225+1&amp;":B210"),0)+R225&amp;""),
IF(AND(LEFT(INDIRECT("B"&amp;R225&amp;""),3)="奈良屋",COUNTIF(B:B,"*奈良屋*")&gt;=2),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49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49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49" t="str">
        <f t="shared" ca="1" si="35"/>
        <v/>
      </c>
      <c r="AA225" s="49" t="str">
        <f t="shared" ca="1" si="36"/>
        <v/>
      </c>
      <c r="AB225" s="49" t="str">
        <f t="array" aca="1" ref="AB225" ca="1">IF($R225&lt;&gt;"",
IF(AND(COUNTIF(INDIRECT("B"&amp;R225&amp;""),"*雙葉*"),COUNTIF(B:B,"*雙葉*")&gt;=2),
INDIRECT("M"&amp;R225&amp;"")+INDIRECT("M"&amp;MATCH("雙葉'",INDIRECT("B"&amp;R225+1&amp;":B210"),0)+R225&amp;""),
IF(AND(LEFT(INDIRECT("B"&amp;R225&amp;""),2)="博多",COUNTIF(B:B,"*博多*")&gt;=2),
INDIRECT("M"&amp;R225&amp;"")+INDIRECT("M"&amp;MATCH("*"&amp;INDIRECT("B"&amp;R225&amp;"")&amp;"*",INDIRECT("B"&amp;R225+1&amp;":B210"),0)+R225&amp;""),
IF(AND(LEFT(INDIRECT("B"&amp;R225&amp;""),3)="奈良屋",COUNTIF(B:B,"*奈良屋*")&gt;=2),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  <c r="AC225" s="49" t="str">
        <f ca="1">IF(S225&lt;&gt;"",INDEX(A:A, MATCH("*"&amp;LEFT(S225,4)&amp;"*", C:C, 0)),"")</f>
        <v/>
      </c>
      <c r="AD225" s="49" t="str">
        <f ca="1">IFERROR(INDEX(AC:AC,MATCH(SMALL($AU:$AU,ROW()+3),$AU:$AU,0)),"")</f>
        <v/>
      </c>
      <c r="AE225" s="49" t="str">
        <f ca="1">IFERROR(INDEX(R:R,MATCH(SMALL($AU:$AU,ROW()+3),$AU:$AU,0)),"")</f>
        <v/>
      </c>
      <c r="AF225" s="49" t="str">
        <f ca="1">IFERROR(INDEX(S:S,MATCH(SMALL($AU:$AU,ROW()+3),$AU:$AU,0)),"")</f>
        <v/>
      </c>
      <c r="AG225" s="49" t="str">
        <f ca="1">IFERROR(INDEX(T:T,MATCH(SMALL($AU:$AU,ROW()+3),$AU:$AU,0)),"")</f>
        <v/>
      </c>
      <c r="AH225" s="122" t="str">
        <f ca="1">IFERROR(INDEX(U:U,MATCH(SMALL($AU:$AU,ROW()+3),$AU:$AU,0)),"")</f>
        <v/>
      </c>
      <c r="AI225" s="49" t="str">
        <f ca="1">IFERROR(INDEX(V:V,MATCH(SMALL($AU:$AU,ROW()+3),$AU:$AU,0)),"")</f>
        <v/>
      </c>
      <c r="AJ225" s="49" t="str">
        <f ca="1">IFERROR(INDEX(W:W,MATCH(SMALL($AU:$AU,ROW()+3),$AU:$AU,0)),"")</f>
        <v/>
      </c>
      <c r="AK225" s="49" t="str">
        <f ca="1">IFERROR(INDEX(X:X,MATCH(SMALL($AU:$AU,ROW()+3),$AU:$AU,0)),"")</f>
        <v/>
      </c>
      <c r="AL225" s="49" t="str">
        <f ca="1">IFERROR(INDEX(Y:Y,MATCH(SMALL($AU:$AU,ROW()+3),$AU:$AU,0)),"")</f>
        <v/>
      </c>
      <c r="AM225" s="49" t="str">
        <f ca="1">IFERROR(INDEX(Z:Z,MATCH(SMALL($AU:$AU,ROW()+3),$AU:$AU,0)),"")</f>
        <v/>
      </c>
      <c r="AN225" s="49" t="str">
        <f ca="1">IFERROR(INDEX(AA:AA,MATCH(SMALL($AU:$AU,ROW()+3),$AU:$AU,0)),"")</f>
        <v/>
      </c>
      <c r="AO225" s="49" t="str">
        <f ca="1">IFERROR(INDEX(AB:AB,MATCH(SMALL($AU:$AU,ROW()+3),$AU:$AU,0)),"")</f>
        <v/>
      </c>
      <c r="AP225" s="49" t="str">
        <f ca="1">IFERROR(INDEX(AC:AC,MATCH(SMALL($AU:$AU,ROW()+3),$AU:$AU,0)),"")</f>
        <v/>
      </c>
      <c r="AU225" s="49" t="str">
        <f t="shared" ca="1" si="37"/>
        <v/>
      </c>
    </row>
    <row r="226" spans="1:47">
      <c r="A226" s="107" t="str">
        <f ca="1">IF(C226&lt;&gt;"",A225+1,"")</f>
        <v/>
      </c>
      <c r="B226" s="127"/>
      <c r="C226" s="128" t="str">
        <f t="array" aca="1" ref="C226" ca="1">IF(OR(INDIRECT("まとめ札!I"&amp;B223&amp;"")="",INDIRECT("まとめ札!I"&amp;B223&amp;"")=0),"",INDIRECT("まとめ札!A"&amp;B223&amp;"")&amp;"【4】")</f>
        <v/>
      </c>
      <c r="D226" s="128"/>
      <c r="E226" s="128"/>
      <c r="F226" s="129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130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127" t="str">
        <f t="array" aca="1" ref="H226" ca="1">IF(OR(INDIRECT("まとめ札!I"&amp;B223&amp;"")="",INDIRECT("まとめ札!I"&amp;B223&amp;"")=0),"",INDIRECT("まとめ札!I"&amp;B223&amp;""))</f>
        <v/>
      </c>
      <c r="I226" s="127"/>
      <c r="J226" s="127" t="str">
        <f ca="1">IF(C226&lt;&gt;"",
IF(OR(COUNTIF(C226,"*キャラ*"),COUNTIF(C226,"*赤*")),24,
VLOOKUP(C226,#REF!,6,FALSE)),"")</f>
        <v/>
      </c>
      <c r="M226" s="127"/>
      <c r="P226" s="127" t="str">
        <f t="shared" ca="1" si="40"/>
        <v/>
      </c>
      <c r="Q226" s="127" t="str">
        <f t="shared" ca="1" si="41"/>
        <v/>
      </c>
      <c r="R226" s="49" t="str">
        <f t="array" aca="1" ref="R226" ca="1">IFERROR(SMALL(IF(P$1:P$311&lt;&gt;0,P$1:P$311),ROW(A226)),"")</f>
        <v/>
      </c>
      <c r="S226" s="49" t="str">
        <f t="array" aca="1" ref="S226" ca="1">IF($R226&lt;&gt;"",
SUBSTITUTE(SUBSTITUTE(INDIRECT("C"&amp;$R226&amp;"")," 週3ｺｰｽ","")," 週5ｺｰｽ",""),"")</f>
        <v/>
      </c>
      <c r="T226" s="49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22" t="str">
        <f t="array" aca="1" ref="U226" ca="1">IF($R226&lt;&gt;"",
INDIRECT("F"&amp;$R226&amp;""),"")</f>
        <v/>
      </c>
      <c r="V226" s="49" t="str">
        <f t="array" aca="1" ref="V226" ca="1">IF($R226&lt;&gt;"",
INDIRECT("G"&amp;$R226&amp;""),"")</f>
        <v/>
      </c>
      <c r="W226" s="49" t="str">
        <f t="array" aca="1" ref="W226" ca="1">IF($R226&lt;&gt;"",
IF(AND(COUNTIF(INDIRECT("B"&amp;R226&amp;""),"*雙葉*"),COUNTIF(B:B,"*雙葉*")&gt;=2),
IF(OR(COUNTIF(INDIRECT("B"&amp;R226&amp;""),"*雙葉先生*"),COUNTIF($B$1:$B$70,"*雙葉*")&gt;=2),INDIRECT("H"&amp;R226&amp;""),INDIRECT("H"&amp;R226&amp;"")+INDIRECT("H"&amp;MATCH("雙葉'",INDIRECT("B"&amp;R226+3&amp;":B210"),0)+2+R226&amp;"")),
IF(AND(LEFT(INDIRECT("B"&amp;R226&amp;""),2)="博多",COUNTIF(B:B,"*博多*")&gt;=2),
INDIRECT("H"&amp;R226&amp;"")+INDIRECT("H"&amp;MATCH("*"&amp;INDIRECT("B"&amp;R226&amp;"")&amp;"*",INDIRECT("B"&amp;R226+1&amp;":B210"),0)+R226&amp;""),
IF(AND(LEFT(INDIRECT("B"&amp;R226&amp;""),3)="奈良屋",COUNTIF(B:B,"*奈良屋*")&gt;=2),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49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49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49" t="str">
        <f t="shared" ca="1" si="35"/>
        <v/>
      </c>
      <c r="AA226" s="49" t="str">
        <f t="shared" ca="1" si="36"/>
        <v/>
      </c>
      <c r="AB226" s="49" t="str">
        <f t="array" aca="1" ref="AB226" ca="1">IF($R226&lt;&gt;"",
IF(AND(COUNTIF(INDIRECT("B"&amp;R226&amp;""),"*雙葉*"),COUNTIF(B:B,"*雙葉*")&gt;=2),
INDIRECT("M"&amp;R226&amp;"")+INDIRECT("M"&amp;MATCH("雙葉'",INDIRECT("B"&amp;R226+1&amp;":B210"),0)+R226&amp;""),
IF(AND(LEFT(INDIRECT("B"&amp;R226&amp;""),2)="博多",COUNTIF(B:B,"*博多*")&gt;=2),
INDIRECT("M"&amp;R226&amp;"")+INDIRECT("M"&amp;MATCH("*"&amp;INDIRECT("B"&amp;R226&amp;"")&amp;"*",INDIRECT("B"&amp;R226+1&amp;":B210"),0)+R226&amp;""),
IF(AND(LEFT(INDIRECT("B"&amp;R226&amp;""),3)="奈良屋",COUNTIF(B:B,"*奈良屋*")&gt;=2),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  <c r="AC226" s="49" t="str">
        <f ca="1">IF(S226&lt;&gt;"",INDEX(A:A, MATCH("*"&amp;LEFT(S226,4)&amp;"*", C:C, 0)),"")</f>
        <v/>
      </c>
      <c r="AD226" s="49" t="str">
        <f ca="1">IFERROR(INDEX(AC:AC,MATCH(SMALL($AU:$AU,ROW()+3),$AU:$AU,0)),"")</f>
        <v/>
      </c>
      <c r="AE226" s="49" t="str">
        <f ca="1">IFERROR(INDEX(R:R,MATCH(SMALL($AU:$AU,ROW()+3),$AU:$AU,0)),"")</f>
        <v/>
      </c>
      <c r="AF226" s="49" t="str">
        <f ca="1">IFERROR(INDEX(S:S,MATCH(SMALL($AU:$AU,ROW()+3),$AU:$AU,0)),"")</f>
        <v/>
      </c>
      <c r="AG226" s="49" t="str">
        <f ca="1">IFERROR(INDEX(T:T,MATCH(SMALL($AU:$AU,ROW()+3),$AU:$AU,0)),"")</f>
        <v/>
      </c>
      <c r="AH226" s="122" t="str">
        <f ca="1">IFERROR(INDEX(U:U,MATCH(SMALL($AU:$AU,ROW()+3),$AU:$AU,0)),"")</f>
        <v/>
      </c>
      <c r="AI226" s="49" t="str">
        <f ca="1">IFERROR(INDEX(V:V,MATCH(SMALL($AU:$AU,ROW()+3),$AU:$AU,0)),"")</f>
        <v/>
      </c>
      <c r="AJ226" s="49" t="str">
        <f ca="1">IFERROR(INDEX(W:W,MATCH(SMALL($AU:$AU,ROW()+3),$AU:$AU,0)),"")</f>
        <v/>
      </c>
      <c r="AK226" s="49" t="str">
        <f ca="1">IFERROR(INDEX(X:X,MATCH(SMALL($AU:$AU,ROW()+3),$AU:$AU,0)),"")</f>
        <v/>
      </c>
      <c r="AL226" s="49" t="str">
        <f ca="1">IFERROR(INDEX(Y:Y,MATCH(SMALL($AU:$AU,ROW()+3),$AU:$AU,0)),"")</f>
        <v/>
      </c>
      <c r="AM226" s="49" t="str">
        <f ca="1">IFERROR(INDEX(Z:Z,MATCH(SMALL($AU:$AU,ROW()+3),$AU:$AU,0)),"")</f>
        <v/>
      </c>
      <c r="AN226" s="49" t="str">
        <f ca="1">IFERROR(INDEX(AA:AA,MATCH(SMALL($AU:$AU,ROW()+3),$AU:$AU,0)),"")</f>
        <v/>
      </c>
      <c r="AO226" s="49" t="str">
        <f ca="1">IFERROR(INDEX(AB:AB,MATCH(SMALL($AU:$AU,ROW()+3),$AU:$AU,0)),"")</f>
        <v/>
      </c>
      <c r="AP226" s="49" t="str">
        <f ca="1">IFERROR(INDEX(AC:AC,MATCH(SMALL($AU:$AU,ROW()+3),$AU:$AU,0)),"")</f>
        <v/>
      </c>
      <c r="AU226" s="49" t="str">
        <f t="shared" ca="1" si="37"/>
        <v/>
      </c>
    </row>
    <row r="227" spans="1:47">
      <c r="A227" s="107">
        <f ca="1">IF(C227&lt;&gt;"",MAX($A$223:$A$226)+1,"")</f>
        <v>149</v>
      </c>
      <c r="B227" s="127">
        <v>4</v>
      </c>
      <c r="C227" s="128" t="str">
        <f t="array" aca="1" ref="C227" ca="1">IF(INDIRECT("まとめ札!A"&amp;B227&amp;"")&lt;&gt;0,INDIRECT("まとめ札!A"&amp;B227&amp;"")&amp;"【1】","")</f>
        <v>キャラ弁当 飯なし【1】</v>
      </c>
      <c r="D227" s="128"/>
      <c r="E227" s="128"/>
      <c r="F227" s="129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130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127" t="str">
        <f t="array" aca="1" ref="H227" ca="1">IF(INDIRECT("まとめ札!F"&amp;B227&amp;"")&lt;&gt;0,INDIRECT("まとめ札!F"&amp;B227&amp;""),"")</f>
        <v/>
      </c>
      <c r="I227" s="127"/>
      <c r="J227" s="127">
        <f ca="1">IF(C227&lt;&gt;"",
IF(OR(COUNTIF(C227,"*キャラ*"),COUNTIF(C227,"*赤*")),24,
VLOOKUP(C227,#REF!,6,FALSE)),"")</f>
        <v>24</v>
      </c>
      <c r="M227" s="127"/>
      <c r="P227" s="127" t="str">
        <f t="shared" ca="1" si="40"/>
        <v/>
      </c>
      <c r="Q227" s="127" t="str">
        <f t="shared" ca="1" si="41"/>
        <v/>
      </c>
      <c r="R227" s="49" t="str">
        <f t="array" aca="1" ref="R227" ca="1">IFERROR(SMALL(IF(P$1:P$311&lt;&gt;0,P$1:P$311),ROW(A227)),"")</f>
        <v/>
      </c>
      <c r="S227" s="49" t="str">
        <f t="array" aca="1" ref="S227" ca="1">IF($R227&lt;&gt;"",
SUBSTITUTE(SUBSTITUTE(INDIRECT("C"&amp;$R227&amp;"")," 週3ｺｰｽ","")," 週5ｺｰｽ",""),"")</f>
        <v/>
      </c>
      <c r="T227" s="49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22" t="str">
        <f t="array" aca="1" ref="U227" ca="1">IF($R227&lt;&gt;"",
INDIRECT("F"&amp;$R227&amp;""),"")</f>
        <v/>
      </c>
      <c r="V227" s="49" t="str">
        <f t="array" aca="1" ref="V227" ca="1">IF($R227&lt;&gt;"",
INDIRECT("G"&amp;$R227&amp;""),"")</f>
        <v/>
      </c>
      <c r="W227" s="49" t="str">
        <f t="array" aca="1" ref="W227" ca="1">IF($R227&lt;&gt;"",
IF(AND(COUNTIF(INDIRECT("B"&amp;R227&amp;""),"*雙葉*"),COUNTIF(B:B,"*雙葉*")&gt;=2),
IF(OR(COUNTIF(INDIRECT("B"&amp;R227&amp;""),"*雙葉先生*"),COUNTIF($B$1:$B$70,"*雙葉*")&gt;=2),INDIRECT("H"&amp;R227&amp;""),INDIRECT("H"&amp;R227&amp;"")+INDIRECT("H"&amp;MATCH("雙葉'",INDIRECT("B"&amp;R227+3&amp;":B210"),0)+2+R227&amp;"")),
IF(AND(LEFT(INDIRECT("B"&amp;R227&amp;""),2)="博多",COUNTIF(B:B,"*博多*")&gt;=2),
INDIRECT("H"&amp;R227&amp;"")+INDIRECT("H"&amp;MATCH("*"&amp;INDIRECT("B"&amp;R227&amp;"")&amp;"*",INDIRECT("B"&amp;R227+1&amp;":B210"),0)+R227&amp;""),
IF(AND(LEFT(INDIRECT("B"&amp;R227&amp;""),3)="奈良屋",COUNTIF(B:B,"*奈良屋*")&gt;=2),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49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49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49" t="str">
        <f t="shared" ca="1" si="35"/>
        <v/>
      </c>
      <c r="AA227" s="49" t="str">
        <f t="shared" ca="1" si="36"/>
        <v/>
      </c>
      <c r="AB227" s="49" t="str">
        <f t="array" aca="1" ref="AB227" ca="1">IF($R227&lt;&gt;"",
IF(AND(COUNTIF(INDIRECT("B"&amp;R227&amp;""),"*雙葉*"),COUNTIF(B:B,"*雙葉*")&gt;=2),
INDIRECT("M"&amp;R227&amp;"")+INDIRECT("M"&amp;MATCH("雙葉'",INDIRECT("B"&amp;R227+1&amp;":B210"),0)+R227&amp;""),
IF(AND(LEFT(INDIRECT("B"&amp;R227&amp;""),2)="博多",COUNTIF(B:B,"*博多*")&gt;=2),
INDIRECT("M"&amp;R227&amp;"")+INDIRECT("M"&amp;MATCH("*"&amp;INDIRECT("B"&amp;R227&amp;"")&amp;"*",INDIRECT("B"&amp;R227+1&amp;":B210"),0)+R227&amp;""),
IF(AND(LEFT(INDIRECT("B"&amp;R227&amp;""),3)="奈良屋",COUNTIF(B:B,"*奈良屋*")&gt;=2),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  <c r="AC227" s="49" t="str">
        <f ca="1">IF(S227&lt;&gt;"",INDEX(A:A, MATCH("*"&amp;LEFT(S227,4)&amp;"*", C:C, 0)),"")</f>
        <v/>
      </c>
      <c r="AD227" s="49" t="str">
        <f ca="1">IFERROR(INDEX(AC:AC,MATCH(SMALL($AU:$AU,ROW()+3),$AU:$AU,0)),"")</f>
        <v/>
      </c>
      <c r="AE227" s="49" t="str">
        <f ca="1">IFERROR(INDEX(R:R,MATCH(SMALL($AU:$AU,ROW()+3),$AU:$AU,0)),"")</f>
        <v/>
      </c>
      <c r="AF227" s="49" t="str">
        <f ca="1">IFERROR(INDEX(S:S,MATCH(SMALL($AU:$AU,ROW()+3),$AU:$AU,0)),"")</f>
        <v/>
      </c>
      <c r="AG227" s="49" t="str">
        <f ca="1">IFERROR(INDEX(T:T,MATCH(SMALL($AU:$AU,ROW()+3),$AU:$AU,0)),"")</f>
        <v/>
      </c>
      <c r="AH227" s="122" t="str">
        <f ca="1">IFERROR(INDEX(U:U,MATCH(SMALL($AU:$AU,ROW()+3),$AU:$AU,0)),"")</f>
        <v/>
      </c>
      <c r="AI227" s="49" t="str">
        <f ca="1">IFERROR(INDEX(V:V,MATCH(SMALL($AU:$AU,ROW()+3),$AU:$AU,0)),"")</f>
        <v/>
      </c>
      <c r="AJ227" s="49" t="str">
        <f ca="1">IFERROR(INDEX(W:W,MATCH(SMALL($AU:$AU,ROW()+3),$AU:$AU,0)),"")</f>
        <v/>
      </c>
      <c r="AK227" s="49" t="str">
        <f ca="1">IFERROR(INDEX(X:X,MATCH(SMALL($AU:$AU,ROW()+3),$AU:$AU,0)),"")</f>
        <v/>
      </c>
      <c r="AL227" s="49" t="str">
        <f ca="1">IFERROR(INDEX(Y:Y,MATCH(SMALL($AU:$AU,ROW()+3),$AU:$AU,0)),"")</f>
        <v/>
      </c>
      <c r="AM227" s="49" t="str">
        <f ca="1">IFERROR(INDEX(Z:Z,MATCH(SMALL($AU:$AU,ROW()+3),$AU:$AU,0)),"")</f>
        <v/>
      </c>
      <c r="AN227" s="49" t="str">
        <f ca="1">IFERROR(INDEX(AA:AA,MATCH(SMALL($AU:$AU,ROW()+3),$AU:$AU,0)),"")</f>
        <v/>
      </c>
      <c r="AO227" s="49" t="str">
        <f ca="1">IFERROR(INDEX(AB:AB,MATCH(SMALL($AU:$AU,ROW()+3),$AU:$AU,0)),"")</f>
        <v/>
      </c>
      <c r="AP227" s="49" t="str">
        <f ca="1">IFERROR(INDEX(AC:AC,MATCH(SMALL($AU:$AU,ROW()+3),$AU:$AU,0)),"")</f>
        <v/>
      </c>
      <c r="AU227" s="49" t="str">
        <f t="shared" ca="1" si="37"/>
        <v/>
      </c>
    </row>
    <row r="228" spans="1:47">
      <c r="A228" s="107" t="str">
        <f ca="1">IF(C228&lt;&gt;"",A227+1,"")</f>
        <v/>
      </c>
      <c r="B228" s="127"/>
      <c r="C228" s="128" t="str">
        <f t="array" aca="1" ref="C228" ca="1">IF(OR(INDIRECT("まとめ札!G"&amp;B227&amp;"")="",INDIRECT("まとめ札!G"&amp;B227&amp;"")=0),"",INDIRECT("まとめ札!A"&amp;B227&amp;"")&amp;"【2】")</f>
        <v/>
      </c>
      <c r="D228" s="128"/>
      <c r="E228" s="128"/>
      <c r="F228" s="129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130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127" t="str">
        <f t="array" aca="1" ref="H228" ca="1">IF(OR(INDIRECT("まとめ札!G"&amp;B227&amp;"")="",INDIRECT("まとめ札!G"&amp;B227&amp;"")=0),"",INDIRECT("まとめ札!G"&amp;B227&amp;""))</f>
        <v/>
      </c>
      <c r="I228" s="127"/>
      <c r="J228" s="127" t="str">
        <f ca="1">IF(C228&lt;&gt;"",
IF(OR(COUNTIF(C228,"*キャラ*"),COUNTIF(C228,"*赤*")),24,
VLOOKUP(C228,#REF!,6,FALSE)),"")</f>
        <v/>
      </c>
      <c r="M228" s="127"/>
      <c r="P228" s="127" t="str">
        <f t="shared" ca="1" si="40"/>
        <v/>
      </c>
      <c r="Q228" s="127" t="str">
        <f t="shared" ca="1" si="41"/>
        <v/>
      </c>
      <c r="R228" s="49" t="str">
        <f t="array" aca="1" ref="R228" ca="1">IFERROR(SMALL(IF(P$1:P$311&lt;&gt;0,P$1:P$311),ROW(A228)),"")</f>
        <v/>
      </c>
      <c r="S228" s="49" t="str">
        <f t="array" aca="1" ref="S228" ca="1">IF($R228&lt;&gt;"",
SUBSTITUTE(SUBSTITUTE(INDIRECT("C"&amp;$R228&amp;"")," 週3ｺｰｽ","")," 週5ｺｰｽ",""),"")</f>
        <v/>
      </c>
      <c r="T228" s="49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22" t="str">
        <f t="array" aca="1" ref="U228" ca="1">IF($R228&lt;&gt;"",
INDIRECT("F"&amp;$R228&amp;""),"")</f>
        <v/>
      </c>
      <c r="V228" s="49" t="str">
        <f t="array" aca="1" ref="V228" ca="1">IF($R228&lt;&gt;"",
INDIRECT("G"&amp;$R228&amp;""),"")</f>
        <v/>
      </c>
      <c r="W228" s="49" t="str">
        <f t="array" aca="1" ref="W228" ca="1">IF($R228&lt;&gt;"",
IF(AND(COUNTIF(INDIRECT("B"&amp;R228&amp;""),"*雙葉*"),COUNTIF(B:B,"*雙葉*")&gt;=2),
IF(OR(COUNTIF(INDIRECT("B"&amp;R228&amp;""),"*雙葉先生*"),COUNTIF($B$1:$B$70,"*雙葉*")&gt;=2),INDIRECT("H"&amp;R228&amp;""),INDIRECT("H"&amp;R228&amp;"")+INDIRECT("H"&amp;MATCH("雙葉'",INDIRECT("B"&amp;R228+3&amp;":B210"),0)+2+R228&amp;"")),
IF(AND(LEFT(INDIRECT("B"&amp;R228&amp;""),2)="博多",COUNTIF(B:B,"*博多*")&gt;=2),
INDIRECT("H"&amp;R228&amp;"")+INDIRECT("H"&amp;MATCH("*"&amp;INDIRECT("B"&amp;R228&amp;"")&amp;"*",INDIRECT("B"&amp;R228+1&amp;":B210"),0)+R228&amp;""),
IF(AND(LEFT(INDIRECT("B"&amp;R228&amp;""),3)="奈良屋",COUNTIF(B:B,"*奈良屋*")&gt;=2),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49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49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49" t="str">
        <f t="shared" ca="1" si="35"/>
        <v/>
      </c>
      <c r="AA228" s="49" t="str">
        <f t="shared" ca="1" si="36"/>
        <v/>
      </c>
      <c r="AB228" s="49" t="str">
        <f t="array" aca="1" ref="AB228" ca="1">IF($R228&lt;&gt;"",
IF(AND(COUNTIF(INDIRECT("B"&amp;R228&amp;""),"*雙葉*"),COUNTIF(B:B,"*雙葉*")&gt;=2),
INDIRECT("M"&amp;R228&amp;"")+INDIRECT("M"&amp;MATCH("雙葉'",INDIRECT("B"&amp;R228+1&amp;":B210"),0)+R228&amp;""),
IF(AND(LEFT(INDIRECT("B"&amp;R228&amp;""),2)="博多",COUNTIF(B:B,"*博多*")&gt;=2),
INDIRECT("M"&amp;R228&amp;"")+INDIRECT("M"&amp;MATCH("*"&amp;INDIRECT("B"&amp;R228&amp;"")&amp;"*",INDIRECT("B"&amp;R228+1&amp;":B210"),0)+R228&amp;""),
IF(AND(LEFT(INDIRECT("B"&amp;R228&amp;""),3)="奈良屋",COUNTIF(B:B,"*奈良屋*")&gt;=2),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  <c r="AC228" s="49" t="str">
        <f ca="1">IF(S228&lt;&gt;"",INDEX(A:A, MATCH("*"&amp;LEFT(S228,4)&amp;"*", C:C, 0)),"")</f>
        <v/>
      </c>
      <c r="AD228" s="49" t="str">
        <f ca="1">IFERROR(INDEX(AC:AC,MATCH(SMALL($AU:$AU,ROW()+3),$AU:$AU,0)),"")</f>
        <v/>
      </c>
      <c r="AE228" s="49" t="str">
        <f ca="1">IFERROR(INDEX(R:R,MATCH(SMALL($AU:$AU,ROW()+3),$AU:$AU,0)),"")</f>
        <v/>
      </c>
      <c r="AF228" s="49" t="str">
        <f ca="1">IFERROR(INDEX(S:S,MATCH(SMALL($AU:$AU,ROW()+3),$AU:$AU,0)),"")</f>
        <v/>
      </c>
      <c r="AG228" s="49" t="str">
        <f ca="1">IFERROR(INDEX(T:T,MATCH(SMALL($AU:$AU,ROW()+3),$AU:$AU,0)),"")</f>
        <v/>
      </c>
      <c r="AH228" s="122" t="str">
        <f ca="1">IFERROR(INDEX(U:U,MATCH(SMALL($AU:$AU,ROW()+3),$AU:$AU,0)),"")</f>
        <v/>
      </c>
      <c r="AI228" s="49" t="str">
        <f ca="1">IFERROR(INDEX(V:V,MATCH(SMALL($AU:$AU,ROW()+3),$AU:$AU,0)),"")</f>
        <v/>
      </c>
      <c r="AJ228" s="49" t="str">
        <f ca="1">IFERROR(INDEX(W:W,MATCH(SMALL($AU:$AU,ROW()+3),$AU:$AU,0)),"")</f>
        <v/>
      </c>
      <c r="AK228" s="49" t="str">
        <f ca="1">IFERROR(INDEX(X:X,MATCH(SMALL($AU:$AU,ROW()+3),$AU:$AU,0)),"")</f>
        <v/>
      </c>
      <c r="AL228" s="49" t="str">
        <f ca="1">IFERROR(INDEX(Y:Y,MATCH(SMALL($AU:$AU,ROW()+3),$AU:$AU,0)),"")</f>
        <v/>
      </c>
      <c r="AM228" s="49" t="str">
        <f ca="1">IFERROR(INDEX(Z:Z,MATCH(SMALL($AU:$AU,ROW()+3),$AU:$AU,0)),"")</f>
        <v/>
      </c>
      <c r="AN228" s="49" t="str">
        <f ca="1">IFERROR(INDEX(AA:AA,MATCH(SMALL($AU:$AU,ROW()+3),$AU:$AU,0)),"")</f>
        <v/>
      </c>
      <c r="AO228" s="49" t="str">
        <f ca="1">IFERROR(INDEX(AB:AB,MATCH(SMALL($AU:$AU,ROW()+3),$AU:$AU,0)),"")</f>
        <v/>
      </c>
      <c r="AP228" s="49" t="str">
        <f ca="1">IFERROR(INDEX(AC:AC,MATCH(SMALL($AU:$AU,ROW()+3),$AU:$AU,0)),"")</f>
        <v/>
      </c>
      <c r="AU228" s="49" t="str">
        <f t="shared" ca="1" si="37"/>
        <v/>
      </c>
    </row>
    <row r="229" spans="1:47">
      <c r="A229" s="107" t="str">
        <f ca="1">IF(C229&lt;&gt;"",A228+1,"")</f>
        <v/>
      </c>
      <c r="B229" s="127"/>
      <c r="C229" s="128" t="str">
        <f t="array" aca="1" ref="C229" ca="1">IF(OR(INDIRECT("まとめ札!H"&amp;B227&amp;"")="",INDIRECT("まとめ札!H"&amp;B227&amp;"")=0),"",INDIRECT("まとめ札!A"&amp;B227&amp;"")&amp;"【3】")</f>
        <v/>
      </c>
      <c r="D229" s="128"/>
      <c r="E229" s="128"/>
      <c r="F229" s="129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130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127" t="str">
        <f t="array" aca="1" ref="H229" ca="1">IF(OR(INDIRECT("まとめ札!H"&amp;B227&amp;"")="",INDIRECT("まとめ札!H"&amp;B227&amp;"")=0),"",INDIRECT("まとめ札!H"&amp;B227&amp;""))</f>
        <v/>
      </c>
      <c r="I229" s="127"/>
      <c r="J229" s="127" t="str">
        <f ca="1">IF(C229&lt;&gt;"",
IF(OR(COUNTIF(C229,"*キャラ*"),COUNTIF(C229,"*赤*")),24,
VLOOKUP(C229,#REF!,6,FALSE)),"")</f>
        <v/>
      </c>
      <c r="M229" s="127"/>
      <c r="P229" s="127" t="str">
        <f t="shared" ca="1" si="40"/>
        <v/>
      </c>
      <c r="Q229" s="127" t="str">
        <f t="shared" ca="1" si="41"/>
        <v/>
      </c>
      <c r="R229" s="49" t="str">
        <f t="array" aca="1" ref="R229" ca="1">IFERROR(SMALL(IF(P$1:P$311&lt;&gt;0,P$1:P$311),ROW(A229)),"")</f>
        <v/>
      </c>
      <c r="S229" s="49" t="str">
        <f t="array" aca="1" ref="S229" ca="1">IF($R229&lt;&gt;"",
SUBSTITUTE(SUBSTITUTE(INDIRECT("C"&amp;$R229&amp;"")," 週3ｺｰｽ","")," 週5ｺｰｽ",""),"")</f>
        <v/>
      </c>
      <c r="T229" s="49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22" t="str">
        <f t="array" aca="1" ref="U229" ca="1">IF($R229&lt;&gt;"",
INDIRECT("F"&amp;$R229&amp;""),"")</f>
        <v/>
      </c>
      <c r="V229" s="49" t="str">
        <f t="array" aca="1" ref="V229" ca="1">IF($R229&lt;&gt;"",
INDIRECT("G"&amp;$R229&amp;""),"")</f>
        <v/>
      </c>
      <c r="W229" s="49" t="str">
        <f t="array" aca="1" ref="W229" ca="1">IF($R229&lt;&gt;"",
IF(AND(COUNTIF(INDIRECT("B"&amp;R229&amp;""),"*雙葉*"),COUNTIF(B:B,"*雙葉*")&gt;=2),
IF(OR(COUNTIF(INDIRECT("B"&amp;R229&amp;""),"*雙葉先生*"),COUNTIF($B$1:$B$70,"*雙葉*")&gt;=2),INDIRECT("H"&amp;R229&amp;""),INDIRECT("H"&amp;R229&amp;"")+INDIRECT("H"&amp;MATCH("雙葉'",INDIRECT("B"&amp;R229+3&amp;":B210"),0)+2+R229&amp;"")),
IF(AND(LEFT(INDIRECT("B"&amp;R229&amp;""),2)="博多",COUNTIF(B:B,"*博多*")&gt;=2),
INDIRECT("H"&amp;R229&amp;"")+INDIRECT("H"&amp;MATCH("*"&amp;INDIRECT("B"&amp;R229&amp;"")&amp;"*",INDIRECT("B"&amp;R229+1&amp;":B210"),0)+R229&amp;""),
IF(AND(LEFT(INDIRECT("B"&amp;R229&amp;""),3)="奈良屋",COUNTIF(B:B,"*奈良屋*")&gt;=2),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49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49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49" t="str">
        <f t="shared" ca="1" si="35"/>
        <v/>
      </c>
      <c r="AA229" s="49" t="str">
        <f t="shared" ca="1" si="36"/>
        <v/>
      </c>
      <c r="AB229" s="49" t="str">
        <f t="array" aca="1" ref="AB229" ca="1">IF($R229&lt;&gt;"",
IF(AND(COUNTIF(INDIRECT("B"&amp;R229&amp;""),"*雙葉*"),COUNTIF(B:B,"*雙葉*")&gt;=2),
INDIRECT("M"&amp;R229&amp;"")+INDIRECT("M"&amp;MATCH("雙葉'",INDIRECT("B"&amp;R229+1&amp;":B210"),0)+R229&amp;""),
IF(AND(LEFT(INDIRECT("B"&amp;R229&amp;""),2)="博多",COUNTIF(B:B,"*博多*")&gt;=2),
INDIRECT("M"&amp;R229&amp;"")+INDIRECT("M"&amp;MATCH("*"&amp;INDIRECT("B"&amp;R229&amp;"")&amp;"*",INDIRECT("B"&amp;R229+1&amp;":B210"),0)+R229&amp;""),
IF(AND(LEFT(INDIRECT("B"&amp;R229&amp;""),3)="奈良屋",COUNTIF(B:B,"*奈良屋*")&gt;=2),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  <c r="AC229" s="49" t="str">
        <f ca="1">IF(S229&lt;&gt;"",INDEX(A:A, MATCH("*"&amp;LEFT(S229,4)&amp;"*", C:C, 0)),"")</f>
        <v/>
      </c>
      <c r="AD229" s="49" t="str">
        <f ca="1">IFERROR(INDEX(AC:AC,MATCH(SMALL($AU:$AU,ROW()+3),$AU:$AU,0)),"")</f>
        <v/>
      </c>
      <c r="AE229" s="49" t="str">
        <f ca="1">IFERROR(INDEX(R:R,MATCH(SMALL($AU:$AU,ROW()+3),$AU:$AU,0)),"")</f>
        <v/>
      </c>
      <c r="AF229" s="49" t="str">
        <f ca="1">IFERROR(INDEX(S:S,MATCH(SMALL($AU:$AU,ROW()+3),$AU:$AU,0)),"")</f>
        <v/>
      </c>
      <c r="AG229" s="49" t="str">
        <f ca="1">IFERROR(INDEX(T:T,MATCH(SMALL($AU:$AU,ROW()+3),$AU:$AU,0)),"")</f>
        <v/>
      </c>
      <c r="AH229" s="122" t="str">
        <f ca="1">IFERROR(INDEX(U:U,MATCH(SMALL($AU:$AU,ROW()+3),$AU:$AU,0)),"")</f>
        <v/>
      </c>
      <c r="AI229" s="49" t="str">
        <f ca="1">IFERROR(INDEX(V:V,MATCH(SMALL($AU:$AU,ROW()+3),$AU:$AU,0)),"")</f>
        <v/>
      </c>
      <c r="AJ229" s="49" t="str">
        <f ca="1">IFERROR(INDEX(W:W,MATCH(SMALL($AU:$AU,ROW()+3),$AU:$AU,0)),"")</f>
        <v/>
      </c>
      <c r="AK229" s="49" t="str">
        <f ca="1">IFERROR(INDEX(X:X,MATCH(SMALL($AU:$AU,ROW()+3),$AU:$AU,0)),"")</f>
        <v/>
      </c>
      <c r="AL229" s="49" t="str">
        <f ca="1">IFERROR(INDEX(Y:Y,MATCH(SMALL($AU:$AU,ROW()+3),$AU:$AU,0)),"")</f>
        <v/>
      </c>
      <c r="AM229" s="49" t="str">
        <f ca="1">IFERROR(INDEX(Z:Z,MATCH(SMALL($AU:$AU,ROW()+3),$AU:$AU,0)),"")</f>
        <v/>
      </c>
      <c r="AN229" s="49" t="str">
        <f ca="1">IFERROR(INDEX(AA:AA,MATCH(SMALL($AU:$AU,ROW()+3),$AU:$AU,0)),"")</f>
        <v/>
      </c>
      <c r="AO229" s="49" t="str">
        <f ca="1">IFERROR(INDEX(AB:AB,MATCH(SMALL($AU:$AU,ROW()+3),$AU:$AU,0)),"")</f>
        <v/>
      </c>
      <c r="AP229" s="49" t="str">
        <f ca="1">IFERROR(INDEX(AC:AC,MATCH(SMALL($AU:$AU,ROW()+3),$AU:$AU,0)),"")</f>
        <v/>
      </c>
      <c r="AU229" s="49" t="str">
        <f t="shared" ca="1" si="37"/>
        <v/>
      </c>
    </row>
    <row r="230" spans="1:47">
      <c r="A230" s="107" t="str">
        <f ca="1">IF(C230&lt;&gt;"",A229+1,"")</f>
        <v/>
      </c>
      <c r="B230" s="127"/>
      <c r="C230" s="128" t="str">
        <f t="array" aca="1" ref="C230" ca="1">IF(OR(INDIRECT("まとめ札!I"&amp;B227&amp;"")="",INDIRECT("まとめ札!I"&amp;B227&amp;"")=0),"",INDIRECT("まとめ札!A"&amp;B227&amp;"")&amp;"【4】")</f>
        <v/>
      </c>
      <c r="D230" s="128"/>
      <c r="E230" s="128"/>
      <c r="F230" s="129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130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127" t="str">
        <f t="array" aca="1" ref="H230" ca="1">IF(OR(INDIRECT("まとめ札!I"&amp;B227&amp;"")="",INDIRECT("まとめ札!I"&amp;B227&amp;"")=0),"",INDIRECT("まとめ札!I"&amp;B227&amp;""))</f>
        <v/>
      </c>
      <c r="I230" s="127"/>
      <c r="J230" s="127" t="str">
        <f ca="1">IF(C230&lt;&gt;"",
IF(OR(COUNTIF(C230,"*キャラ*"),COUNTIF(C230,"*赤*")),24,
VLOOKUP(C230,#REF!,6,FALSE)),"")</f>
        <v/>
      </c>
      <c r="M230" s="127"/>
      <c r="P230" s="127" t="str">
        <f t="shared" ca="1" si="40"/>
        <v/>
      </c>
      <c r="Q230" s="127" t="str">
        <f t="shared" ca="1" si="41"/>
        <v/>
      </c>
      <c r="R230" s="49" t="str">
        <f t="array" aca="1" ref="R230" ca="1">IFERROR(SMALL(IF(P$1:P$311&lt;&gt;0,P$1:P$311),ROW(A230)),"")</f>
        <v/>
      </c>
      <c r="S230" s="49" t="str">
        <f t="array" aca="1" ref="S230" ca="1">IF($R230&lt;&gt;"",
SUBSTITUTE(SUBSTITUTE(INDIRECT("C"&amp;$R230&amp;"")," 週3ｺｰｽ","")," 週5ｺｰｽ",""),"")</f>
        <v/>
      </c>
      <c r="T230" s="49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22" t="str">
        <f t="array" aca="1" ref="U230" ca="1">IF($R230&lt;&gt;"",
INDIRECT("F"&amp;$R230&amp;""),"")</f>
        <v/>
      </c>
      <c r="V230" s="49" t="str">
        <f t="array" aca="1" ref="V230" ca="1">IF($R230&lt;&gt;"",
INDIRECT("G"&amp;$R230&amp;""),"")</f>
        <v/>
      </c>
      <c r="W230" s="49" t="str">
        <f t="array" aca="1" ref="W230" ca="1">IF($R230&lt;&gt;"",
IF(AND(COUNTIF(INDIRECT("B"&amp;R230&amp;""),"*雙葉*"),COUNTIF(B:B,"*雙葉*")&gt;=2),
IF(OR(COUNTIF(INDIRECT("B"&amp;R230&amp;""),"*雙葉先生*"),COUNTIF($B$1:$B$70,"*雙葉*")&gt;=2),INDIRECT("H"&amp;R230&amp;""),INDIRECT("H"&amp;R230&amp;"")+INDIRECT("H"&amp;MATCH("雙葉'",INDIRECT("B"&amp;R230+3&amp;":B210"),0)+2+R230&amp;"")),
IF(AND(LEFT(INDIRECT("B"&amp;R230&amp;""),2)="博多",COUNTIF(B:B,"*博多*")&gt;=2),
INDIRECT("H"&amp;R230&amp;"")+INDIRECT("H"&amp;MATCH("*"&amp;INDIRECT("B"&amp;R230&amp;"")&amp;"*",INDIRECT("B"&amp;R230+1&amp;":B210"),0)+R230&amp;""),
IF(AND(LEFT(INDIRECT("B"&amp;R230&amp;""),3)="奈良屋",COUNTIF(B:B,"*奈良屋*")&gt;=2),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49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49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49" t="str">
        <f t="shared" ca="1" si="35"/>
        <v/>
      </c>
      <c r="AA230" s="49" t="str">
        <f t="shared" ca="1" si="36"/>
        <v/>
      </c>
      <c r="AB230" s="49" t="str">
        <f t="array" aca="1" ref="AB230" ca="1">IF($R230&lt;&gt;"",
IF(AND(COUNTIF(INDIRECT("B"&amp;R230&amp;""),"*雙葉*"),COUNTIF(B:B,"*雙葉*")&gt;=2),
INDIRECT("M"&amp;R230&amp;"")+INDIRECT("M"&amp;MATCH("雙葉'",INDIRECT("B"&amp;R230+1&amp;":B210"),0)+R230&amp;""),
IF(AND(LEFT(INDIRECT("B"&amp;R230&amp;""),2)="博多",COUNTIF(B:B,"*博多*")&gt;=2),
INDIRECT("M"&amp;R230&amp;"")+INDIRECT("M"&amp;MATCH("*"&amp;INDIRECT("B"&amp;R230&amp;"")&amp;"*",INDIRECT("B"&amp;R230+1&amp;":B210"),0)+R230&amp;""),
IF(AND(LEFT(INDIRECT("B"&amp;R230&amp;""),3)="奈良屋",COUNTIF(B:B,"*奈良屋*")&gt;=2),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  <c r="AC230" s="49" t="str">
        <f ca="1">IF(S230&lt;&gt;"",INDEX(A:A, MATCH("*"&amp;LEFT(S230,4)&amp;"*", C:C, 0)),"")</f>
        <v/>
      </c>
      <c r="AD230" s="49" t="str">
        <f ca="1">IFERROR(INDEX(AC:AC,MATCH(SMALL($AU:$AU,ROW()+3),$AU:$AU,0)),"")</f>
        <v/>
      </c>
      <c r="AE230" s="49" t="str">
        <f ca="1">IFERROR(INDEX(R:R,MATCH(SMALL($AU:$AU,ROW()+3),$AU:$AU,0)),"")</f>
        <v/>
      </c>
      <c r="AF230" s="49" t="str">
        <f ca="1">IFERROR(INDEX(S:S,MATCH(SMALL($AU:$AU,ROW()+3),$AU:$AU,0)),"")</f>
        <v/>
      </c>
      <c r="AG230" s="49" t="str">
        <f ca="1">IFERROR(INDEX(T:T,MATCH(SMALL($AU:$AU,ROW()+3),$AU:$AU,0)),"")</f>
        <v/>
      </c>
      <c r="AH230" s="122" t="str">
        <f ca="1">IFERROR(INDEX(U:U,MATCH(SMALL($AU:$AU,ROW()+3),$AU:$AU,0)),"")</f>
        <v/>
      </c>
      <c r="AI230" s="49" t="str">
        <f ca="1">IFERROR(INDEX(V:V,MATCH(SMALL($AU:$AU,ROW()+3),$AU:$AU,0)),"")</f>
        <v/>
      </c>
      <c r="AJ230" s="49" t="str">
        <f ca="1">IFERROR(INDEX(W:W,MATCH(SMALL($AU:$AU,ROW()+3),$AU:$AU,0)),"")</f>
        <v/>
      </c>
      <c r="AK230" s="49" t="str">
        <f ca="1">IFERROR(INDEX(X:X,MATCH(SMALL($AU:$AU,ROW()+3),$AU:$AU,0)),"")</f>
        <v/>
      </c>
      <c r="AL230" s="49" t="str">
        <f ca="1">IFERROR(INDEX(Y:Y,MATCH(SMALL($AU:$AU,ROW()+3),$AU:$AU,0)),"")</f>
        <v/>
      </c>
      <c r="AM230" s="49" t="str">
        <f ca="1">IFERROR(INDEX(Z:Z,MATCH(SMALL($AU:$AU,ROW()+3),$AU:$AU,0)),"")</f>
        <v/>
      </c>
      <c r="AN230" s="49" t="str">
        <f ca="1">IFERROR(INDEX(AA:AA,MATCH(SMALL($AU:$AU,ROW()+3),$AU:$AU,0)),"")</f>
        <v/>
      </c>
      <c r="AO230" s="49" t="str">
        <f ca="1">IFERROR(INDEX(AB:AB,MATCH(SMALL($AU:$AU,ROW()+3),$AU:$AU,0)),"")</f>
        <v/>
      </c>
      <c r="AP230" s="49" t="str">
        <f ca="1">IFERROR(INDEX(AC:AC,MATCH(SMALL($AU:$AU,ROW()+3),$AU:$AU,0)),"")</f>
        <v/>
      </c>
      <c r="AU230" s="49" t="str">
        <f t="shared" ca="1" si="37"/>
        <v/>
      </c>
    </row>
    <row r="231" spans="1:47">
      <c r="A231" s="107">
        <f ca="1">IF(C231&lt;&gt;"",MAX($A$227:$A$230)+1,"")</f>
        <v>150</v>
      </c>
      <c r="B231" s="127">
        <v>5</v>
      </c>
      <c r="C231" s="128" t="str">
        <f t="array" aca="1" ref="C231" ca="1">IF(INDIRECT("まとめ札!A"&amp;B231&amp;"")&lt;&gt;0,INDIRECT("まとめ札!A"&amp;B231&amp;"")&amp;"【1】","")</f>
        <v>赤 飯あり【1】</v>
      </c>
      <c r="D231" s="128"/>
      <c r="E231" s="128"/>
      <c r="F231" s="129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130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127" t="str">
        <f t="array" aca="1" ref="H231" ca="1">IF(INDIRECT("まとめ札!F"&amp;B231&amp;"")&lt;&gt;0,INDIRECT("まとめ札!F"&amp;B231&amp;""),"")</f>
        <v/>
      </c>
      <c r="I231" s="127"/>
      <c r="J231" s="127">
        <f ca="1">IF(C231&lt;&gt;"",
IF(OR(COUNTIF(C231,"*キャラ*"),COUNTIF(C231,"*赤*")),24,
VLOOKUP(C231,#REF!,6,FALSE)),"")</f>
        <v>24</v>
      </c>
      <c r="M231" s="127"/>
      <c r="P231" s="127" t="str">
        <f t="shared" ca="1" si="40"/>
        <v/>
      </c>
      <c r="Q231" s="127" t="str">
        <f t="shared" ca="1" si="41"/>
        <v/>
      </c>
      <c r="R231" s="49" t="str">
        <f t="array" aca="1" ref="R231" ca="1">IFERROR(SMALL(IF(P$1:P$311&lt;&gt;0,P$1:P$311),ROW(A231)),"")</f>
        <v/>
      </c>
      <c r="S231" s="49" t="str">
        <f t="array" aca="1" ref="S231" ca="1">IF($R231&lt;&gt;"",
SUBSTITUTE(SUBSTITUTE(INDIRECT("C"&amp;$R231&amp;"")," 週3ｺｰｽ","")," 週5ｺｰｽ",""),"")</f>
        <v/>
      </c>
      <c r="T231" s="49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22" t="str">
        <f t="array" aca="1" ref="U231" ca="1">IF($R231&lt;&gt;"",
INDIRECT("F"&amp;$R231&amp;""),"")</f>
        <v/>
      </c>
      <c r="V231" s="49" t="str">
        <f t="array" aca="1" ref="V231" ca="1">IF($R231&lt;&gt;"",
INDIRECT("G"&amp;$R231&amp;""),"")</f>
        <v/>
      </c>
      <c r="W231" s="49" t="str">
        <f t="array" aca="1" ref="W231" ca="1">IF($R231&lt;&gt;"",
IF(AND(COUNTIF(INDIRECT("B"&amp;R231&amp;""),"*雙葉*"),COUNTIF(B:B,"*雙葉*")&gt;=2),
IF(OR(COUNTIF(INDIRECT("B"&amp;R231&amp;""),"*雙葉先生*"),COUNTIF($B$1:$B$70,"*雙葉*")&gt;=2),INDIRECT("H"&amp;R231&amp;""),INDIRECT("H"&amp;R231&amp;"")+INDIRECT("H"&amp;MATCH("雙葉'",INDIRECT("B"&amp;R231+3&amp;":B210"),0)+2+R231&amp;"")),
IF(AND(LEFT(INDIRECT("B"&amp;R231&amp;""),2)="博多",COUNTIF(B:B,"*博多*")&gt;=2),
INDIRECT("H"&amp;R231&amp;"")+INDIRECT("H"&amp;MATCH("*"&amp;INDIRECT("B"&amp;R231&amp;"")&amp;"*",INDIRECT("B"&amp;R231+1&amp;":B210"),0)+R231&amp;""),
IF(AND(LEFT(INDIRECT("B"&amp;R231&amp;""),3)="奈良屋",COUNTIF(B:B,"*奈良屋*")&gt;=2),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49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49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49" t="str">
        <f t="shared" ca="1" si="35"/>
        <v/>
      </c>
      <c r="AA231" s="49" t="str">
        <f t="shared" ca="1" si="36"/>
        <v/>
      </c>
      <c r="AB231" s="49" t="str">
        <f t="array" aca="1" ref="AB231" ca="1">IF($R231&lt;&gt;"",
IF(AND(COUNTIF(INDIRECT("B"&amp;R231&amp;""),"*雙葉*"),COUNTIF(B:B,"*雙葉*")&gt;=2),
INDIRECT("M"&amp;R231&amp;"")+INDIRECT("M"&amp;MATCH("雙葉'",INDIRECT("B"&amp;R231+1&amp;":B210"),0)+R231&amp;""),
IF(AND(LEFT(INDIRECT("B"&amp;R231&amp;""),2)="博多",COUNTIF(B:B,"*博多*")&gt;=2),
INDIRECT("M"&amp;R231&amp;"")+INDIRECT("M"&amp;MATCH("*"&amp;INDIRECT("B"&amp;R231&amp;"")&amp;"*",INDIRECT("B"&amp;R231+1&amp;":B210"),0)+R231&amp;""),
IF(AND(LEFT(INDIRECT("B"&amp;R231&amp;""),3)="奈良屋",COUNTIF(B:B,"*奈良屋*")&gt;=2),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  <c r="AC231" s="49" t="str">
        <f ca="1">IF(S231&lt;&gt;"",INDEX(A:A, MATCH("*"&amp;LEFT(S231,4)&amp;"*", C:C, 0)),"")</f>
        <v/>
      </c>
      <c r="AD231" s="49" t="str">
        <f ca="1">IFERROR(INDEX(AC:AC,MATCH(SMALL($AU:$AU,ROW()+3),$AU:$AU,0)),"")</f>
        <v/>
      </c>
      <c r="AE231" s="49" t="str">
        <f ca="1">IFERROR(INDEX(R:R,MATCH(SMALL($AU:$AU,ROW()+3),$AU:$AU,0)),"")</f>
        <v/>
      </c>
      <c r="AF231" s="49" t="str">
        <f ca="1">IFERROR(INDEX(S:S,MATCH(SMALL($AU:$AU,ROW()+3),$AU:$AU,0)),"")</f>
        <v/>
      </c>
      <c r="AG231" s="49" t="str">
        <f ca="1">IFERROR(INDEX(T:T,MATCH(SMALL($AU:$AU,ROW()+3),$AU:$AU,0)),"")</f>
        <v/>
      </c>
      <c r="AH231" s="122" t="str">
        <f ca="1">IFERROR(INDEX(U:U,MATCH(SMALL($AU:$AU,ROW()+3),$AU:$AU,0)),"")</f>
        <v/>
      </c>
      <c r="AI231" s="49" t="str">
        <f ca="1">IFERROR(INDEX(V:V,MATCH(SMALL($AU:$AU,ROW()+3),$AU:$AU,0)),"")</f>
        <v/>
      </c>
      <c r="AJ231" s="49" t="str">
        <f ca="1">IFERROR(INDEX(W:W,MATCH(SMALL($AU:$AU,ROW()+3),$AU:$AU,0)),"")</f>
        <v/>
      </c>
      <c r="AK231" s="49" t="str">
        <f ca="1">IFERROR(INDEX(X:X,MATCH(SMALL($AU:$AU,ROW()+3),$AU:$AU,0)),"")</f>
        <v/>
      </c>
      <c r="AL231" s="49" t="str">
        <f ca="1">IFERROR(INDEX(Y:Y,MATCH(SMALL($AU:$AU,ROW()+3),$AU:$AU,0)),"")</f>
        <v/>
      </c>
      <c r="AM231" s="49" t="str">
        <f ca="1">IFERROR(INDEX(Z:Z,MATCH(SMALL($AU:$AU,ROW()+3),$AU:$AU,0)),"")</f>
        <v/>
      </c>
      <c r="AN231" s="49" t="str">
        <f ca="1">IFERROR(INDEX(AA:AA,MATCH(SMALL($AU:$AU,ROW()+3),$AU:$AU,0)),"")</f>
        <v/>
      </c>
      <c r="AO231" s="49" t="str">
        <f ca="1">IFERROR(INDEX(AB:AB,MATCH(SMALL($AU:$AU,ROW()+3),$AU:$AU,0)),"")</f>
        <v/>
      </c>
      <c r="AP231" s="49" t="str">
        <f ca="1">IFERROR(INDEX(AC:AC,MATCH(SMALL($AU:$AU,ROW()+3),$AU:$AU,0)),"")</f>
        <v/>
      </c>
      <c r="AU231" s="49" t="str">
        <f t="shared" ca="1" si="37"/>
        <v/>
      </c>
    </row>
    <row r="232" spans="1:47">
      <c r="A232" s="107" t="str">
        <f ca="1">IF(C232&lt;&gt;"",A231+1,"")</f>
        <v/>
      </c>
      <c r="B232" s="127"/>
      <c r="C232" s="128" t="str">
        <f t="array" aca="1" ref="C232" ca="1">IF(OR(INDIRECT("まとめ札!G"&amp;B231&amp;"")="",INDIRECT("まとめ札!G"&amp;B231&amp;"")=0),"",INDIRECT("まとめ札!A"&amp;B231&amp;"")&amp;"【2】")</f>
        <v/>
      </c>
      <c r="D232" s="128"/>
      <c r="E232" s="128"/>
      <c r="F232" s="129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130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127" t="str">
        <f t="array" aca="1" ref="H232" ca="1">IF(OR(INDIRECT("まとめ札!G"&amp;B231&amp;"")="",INDIRECT("まとめ札!G"&amp;B231&amp;"")=0),"",INDIRECT("まとめ札!G"&amp;B231&amp;""))</f>
        <v/>
      </c>
      <c r="I232" s="127"/>
      <c r="J232" s="127" t="str">
        <f ca="1">IF(C232&lt;&gt;"",
IF(OR(COUNTIF(C232,"*キャラ*"),COUNTIF(C232,"*赤*")),24,
VLOOKUP(C232,#REF!,6,FALSE)),"")</f>
        <v/>
      </c>
      <c r="M232" s="127"/>
      <c r="P232" s="127" t="str">
        <f t="shared" ca="1" si="40"/>
        <v/>
      </c>
      <c r="Q232" s="127" t="str">
        <f t="shared" ca="1" si="41"/>
        <v/>
      </c>
      <c r="R232" s="49" t="str">
        <f t="array" aca="1" ref="R232" ca="1">IFERROR(SMALL(IF(P$1:P$311&lt;&gt;0,P$1:P$311),ROW(A232)),"")</f>
        <v/>
      </c>
      <c r="S232" s="49" t="str">
        <f t="array" aca="1" ref="S232" ca="1">IF($R232&lt;&gt;"",
SUBSTITUTE(SUBSTITUTE(INDIRECT("C"&amp;$R232&amp;"")," 週3ｺｰｽ","")," 週5ｺｰｽ",""),"")</f>
        <v/>
      </c>
      <c r="T232" s="49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22" t="str">
        <f t="array" aca="1" ref="U232" ca="1">IF($R232&lt;&gt;"",
INDIRECT("F"&amp;$R232&amp;""),"")</f>
        <v/>
      </c>
      <c r="V232" s="49" t="str">
        <f t="array" aca="1" ref="V232" ca="1">IF($R232&lt;&gt;"",
INDIRECT("G"&amp;$R232&amp;""),"")</f>
        <v/>
      </c>
      <c r="W232" s="49" t="str">
        <f t="array" aca="1" ref="W232" ca="1">IF($R232&lt;&gt;"",
IF(AND(COUNTIF(INDIRECT("B"&amp;R232&amp;""),"*雙葉*"),COUNTIF(B:B,"*雙葉*")&gt;=2),
IF(OR(COUNTIF(INDIRECT("B"&amp;R232&amp;""),"*雙葉先生*"),COUNTIF($B$1:$B$70,"*雙葉*")&gt;=2),INDIRECT("H"&amp;R232&amp;""),INDIRECT("H"&amp;R232&amp;"")+INDIRECT("H"&amp;MATCH("雙葉'",INDIRECT("B"&amp;R232+3&amp;":B210"),0)+2+R232&amp;"")),
IF(AND(LEFT(INDIRECT("B"&amp;R232&amp;""),2)="博多",COUNTIF(B:B,"*博多*")&gt;=2),
INDIRECT("H"&amp;R232&amp;"")+INDIRECT("H"&amp;MATCH("*"&amp;INDIRECT("B"&amp;R232&amp;"")&amp;"*",INDIRECT("B"&amp;R232+1&amp;":B210"),0)+R232&amp;""),
IF(AND(LEFT(INDIRECT("B"&amp;R232&amp;""),3)="奈良屋",COUNTIF(B:B,"*奈良屋*")&gt;=2),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49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49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49" t="str">
        <f t="shared" ca="1" si="35"/>
        <v/>
      </c>
      <c r="AA232" s="49" t="str">
        <f t="shared" ca="1" si="36"/>
        <v/>
      </c>
      <c r="AB232" s="49" t="str">
        <f t="array" aca="1" ref="AB232" ca="1">IF($R232&lt;&gt;"",
IF(AND(COUNTIF(INDIRECT("B"&amp;R232&amp;""),"*雙葉*"),COUNTIF(B:B,"*雙葉*")&gt;=2),
INDIRECT("M"&amp;R232&amp;"")+INDIRECT("M"&amp;MATCH("雙葉'",INDIRECT("B"&amp;R232+1&amp;":B210"),0)+R232&amp;""),
IF(AND(LEFT(INDIRECT("B"&amp;R232&amp;""),2)="博多",COUNTIF(B:B,"*博多*")&gt;=2),
INDIRECT("M"&amp;R232&amp;"")+INDIRECT("M"&amp;MATCH("*"&amp;INDIRECT("B"&amp;R232&amp;"")&amp;"*",INDIRECT("B"&amp;R232+1&amp;":B210"),0)+R232&amp;""),
IF(AND(LEFT(INDIRECT("B"&amp;R232&amp;""),3)="奈良屋",COUNTIF(B:B,"*奈良屋*")&gt;=2),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  <c r="AC232" s="49" t="str">
        <f ca="1">IF(S232&lt;&gt;"",INDEX(A:A, MATCH("*"&amp;LEFT(S232,4)&amp;"*", C:C, 0)),"")</f>
        <v/>
      </c>
      <c r="AD232" s="49" t="str">
        <f ca="1">IFERROR(INDEX(AC:AC,MATCH(SMALL($AU:$AU,ROW()+3),$AU:$AU,0)),"")</f>
        <v/>
      </c>
      <c r="AE232" s="49" t="str">
        <f ca="1">IFERROR(INDEX(R:R,MATCH(SMALL($AU:$AU,ROW()+3),$AU:$AU,0)),"")</f>
        <v/>
      </c>
      <c r="AF232" s="49" t="str">
        <f ca="1">IFERROR(INDEX(S:S,MATCH(SMALL($AU:$AU,ROW()+3),$AU:$AU,0)),"")</f>
        <v/>
      </c>
      <c r="AG232" s="49" t="str">
        <f ca="1">IFERROR(INDEX(T:T,MATCH(SMALL($AU:$AU,ROW()+3),$AU:$AU,0)),"")</f>
        <v/>
      </c>
      <c r="AH232" s="122" t="str">
        <f ca="1">IFERROR(INDEX(U:U,MATCH(SMALL($AU:$AU,ROW()+3),$AU:$AU,0)),"")</f>
        <v/>
      </c>
      <c r="AI232" s="49" t="str">
        <f ca="1">IFERROR(INDEX(V:V,MATCH(SMALL($AU:$AU,ROW()+3),$AU:$AU,0)),"")</f>
        <v/>
      </c>
      <c r="AJ232" s="49" t="str">
        <f ca="1">IFERROR(INDEX(W:W,MATCH(SMALL($AU:$AU,ROW()+3),$AU:$AU,0)),"")</f>
        <v/>
      </c>
      <c r="AK232" s="49" t="str">
        <f ca="1">IFERROR(INDEX(X:X,MATCH(SMALL($AU:$AU,ROW()+3),$AU:$AU,0)),"")</f>
        <v/>
      </c>
      <c r="AL232" s="49" t="str">
        <f ca="1">IFERROR(INDEX(Y:Y,MATCH(SMALL($AU:$AU,ROW()+3),$AU:$AU,0)),"")</f>
        <v/>
      </c>
      <c r="AM232" s="49" t="str">
        <f ca="1">IFERROR(INDEX(Z:Z,MATCH(SMALL($AU:$AU,ROW()+3),$AU:$AU,0)),"")</f>
        <v/>
      </c>
      <c r="AN232" s="49" t="str">
        <f ca="1">IFERROR(INDEX(AA:AA,MATCH(SMALL($AU:$AU,ROW()+3),$AU:$AU,0)),"")</f>
        <v/>
      </c>
      <c r="AO232" s="49" t="str">
        <f ca="1">IFERROR(INDEX(AB:AB,MATCH(SMALL($AU:$AU,ROW()+3),$AU:$AU,0)),"")</f>
        <v/>
      </c>
      <c r="AP232" s="49" t="str">
        <f ca="1">IFERROR(INDEX(AC:AC,MATCH(SMALL($AU:$AU,ROW()+3),$AU:$AU,0)),"")</f>
        <v/>
      </c>
      <c r="AU232" s="49" t="str">
        <f t="shared" ca="1" si="37"/>
        <v/>
      </c>
    </row>
    <row r="233" spans="1:47">
      <c r="A233" s="107" t="str">
        <f ca="1">IF(C233&lt;&gt;"",A232+1,"")</f>
        <v/>
      </c>
      <c r="B233" s="127"/>
      <c r="C233" s="128" t="str">
        <f t="array" aca="1" ref="C233" ca="1">IF(OR(INDIRECT("まとめ札!H"&amp;B231&amp;"")="",INDIRECT("まとめ札!H"&amp;B231&amp;"")=0),"",INDIRECT("まとめ札!A"&amp;B231&amp;"")&amp;"【3】")</f>
        <v/>
      </c>
      <c r="D233" s="128"/>
      <c r="E233" s="128"/>
      <c r="F233" s="129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130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127" t="str">
        <f t="array" aca="1" ref="H233" ca="1">IF(OR(INDIRECT("まとめ札!H"&amp;B231&amp;"")="",INDIRECT("まとめ札!H"&amp;B231&amp;"")=0),"",INDIRECT("まとめ札!H"&amp;B231&amp;""))</f>
        <v/>
      </c>
      <c r="I233" s="127"/>
      <c r="J233" s="127" t="str">
        <f ca="1">IF(C233&lt;&gt;"",
IF(OR(COUNTIF(C233,"*キャラ*"),COUNTIF(C233,"*赤*")),24,
VLOOKUP(C233,#REF!,6,FALSE)),"")</f>
        <v/>
      </c>
      <c r="M233" s="127"/>
      <c r="P233" s="127" t="str">
        <f t="shared" ca="1" si="40"/>
        <v/>
      </c>
      <c r="Q233" s="127" t="str">
        <f t="shared" ca="1" si="41"/>
        <v/>
      </c>
      <c r="R233" s="49" t="str">
        <f t="array" aca="1" ref="R233" ca="1">IFERROR(SMALL(IF(P$1:P$311&lt;&gt;0,P$1:P$311),ROW(A233)),"")</f>
        <v/>
      </c>
      <c r="S233" s="49" t="str">
        <f t="array" aca="1" ref="S233" ca="1">IF($R233&lt;&gt;"",
SUBSTITUTE(SUBSTITUTE(INDIRECT("C"&amp;$R233&amp;"")," 週3ｺｰｽ","")," 週5ｺｰｽ",""),"")</f>
        <v/>
      </c>
      <c r="T233" s="49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22" t="str">
        <f t="array" aca="1" ref="U233" ca="1">IF($R233&lt;&gt;"",
INDIRECT("F"&amp;$R233&amp;""),"")</f>
        <v/>
      </c>
      <c r="V233" s="49" t="str">
        <f t="array" aca="1" ref="V233" ca="1">IF($R233&lt;&gt;"",
INDIRECT("G"&amp;$R233&amp;""),"")</f>
        <v/>
      </c>
      <c r="W233" s="49" t="str">
        <f t="array" aca="1" ref="W233" ca="1">IF($R233&lt;&gt;"",
IF(AND(COUNTIF(INDIRECT("B"&amp;R233&amp;""),"*雙葉*"),COUNTIF(B:B,"*雙葉*")&gt;=2),
IF(OR(COUNTIF(INDIRECT("B"&amp;R233&amp;""),"*雙葉先生*"),COUNTIF($B$1:$B$70,"*雙葉*")&gt;=2),INDIRECT("H"&amp;R233&amp;""),INDIRECT("H"&amp;R233&amp;"")+INDIRECT("H"&amp;MATCH("雙葉'",INDIRECT("B"&amp;R233+3&amp;":B210"),0)+2+R233&amp;"")),
IF(AND(LEFT(INDIRECT("B"&amp;R233&amp;""),2)="博多",COUNTIF(B:B,"*博多*")&gt;=2),
INDIRECT("H"&amp;R233&amp;"")+INDIRECT("H"&amp;MATCH("*"&amp;INDIRECT("B"&amp;R233&amp;"")&amp;"*",INDIRECT("B"&amp;R233+1&amp;":B210"),0)+R233&amp;""),
IF(AND(LEFT(INDIRECT("B"&amp;R233&amp;""),3)="奈良屋",COUNTIF(B:B,"*奈良屋*")&gt;=2),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49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49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49" t="str">
        <f t="shared" ca="1" si="35"/>
        <v/>
      </c>
      <c r="AA233" s="49" t="str">
        <f t="shared" ca="1" si="36"/>
        <v/>
      </c>
      <c r="AB233" s="49" t="str">
        <f t="array" aca="1" ref="AB233" ca="1">IF($R233&lt;&gt;"",
IF(AND(COUNTIF(INDIRECT("B"&amp;R233&amp;""),"*雙葉*"),COUNTIF(B:B,"*雙葉*")&gt;=2),
INDIRECT("M"&amp;R233&amp;"")+INDIRECT("M"&amp;MATCH("雙葉'",INDIRECT("B"&amp;R233+1&amp;":B210"),0)+R233&amp;""),
IF(AND(LEFT(INDIRECT("B"&amp;R233&amp;""),2)="博多",COUNTIF(B:B,"*博多*")&gt;=2),
INDIRECT("M"&amp;R233&amp;"")+INDIRECT("M"&amp;MATCH("*"&amp;INDIRECT("B"&amp;R233&amp;"")&amp;"*",INDIRECT("B"&amp;R233+1&amp;":B210"),0)+R233&amp;""),
IF(AND(LEFT(INDIRECT("B"&amp;R233&amp;""),3)="奈良屋",COUNTIF(B:B,"*奈良屋*")&gt;=2),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  <c r="AC233" s="49" t="str">
        <f ca="1">IF(S233&lt;&gt;"",INDEX(A:A, MATCH("*"&amp;LEFT(S233,4)&amp;"*", C:C, 0)),"")</f>
        <v/>
      </c>
      <c r="AD233" s="49" t="str">
        <f ca="1">IFERROR(INDEX(AC:AC,MATCH(SMALL($AU:$AU,ROW()+3),$AU:$AU,0)),"")</f>
        <v/>
      </c>
      <c r="AE233" s="49" t="str">
        <f ca="1">IFERROR(INDEX(R:R,MATCH(SMALL($AU:$AU,ROW()+3),$AU:$AU,0)),"")</f>
        <v/>
      </c>
      <c r="AF233" s="49" t="str">
        <f ca="1">IFERROR(INDEX(S:S,MATCH(SMALL($AU:$AU,ROW()+3),$AU:$AU,0)),"")</f>
        <v/>
      </c>
      <c r="AG233" s="49" t="str">
        <f ca="1">IFERROR(INDEX(T:T,MATCH(SMALL($AU:$AU,ROW()+3),$AU:$AU,0)),"")</f>
        <v/>
      </c>
      <c r="AH233" s="122" t="str">
        <f ca="1">IFERROR(INDEX(U:U,MATCH(SMALL($AU:$AU,ROW()+3),$AU:$AU,0)),"")</f>
        <v/>
      </c>
      <c r="AI233" s="49" t="str">
        <f ca="1">IFERROR(INDEX(V:V,MATCH(SMALL($AU:$AU,ROW()+3),$AU:$AU,0)),"")</f>
        <v/>
      </c>
      <c r="AJ233" s="49" t="str">
        <f ca="1">IFERROR(INDEX(W:W,MATCH(SMALL($AU:$AU,ROW()+3),$AU:$AU,0)),"")</f>
        <v/>
      </c>
      <c r="AK233" s="49" t="str">
        <f ca="1">IFERROR(INDEX(X:X,MATCH(SMALL($AU:$AU,ROW()+3),$AU:$AU,0)),"")</f>
        <v/>
      </c>
      <c r="AL233" s="49" t="str">
        <f ca="1">IFERROR(INDEX(Y:Y,MATCH(SMALL($AU:$AU,ROW()+3),$AU:$AU,0)),"")</f>
        <v/>
      </c>
      <c r="AM233" s="49" t="str">
        <f ca="1">IFERROR(INDEX(Z:Z,MATCH(SMALL($AU:$AU,ROW()+3),$AU:$AU,0)),"")</f>
        <v/>
      </c>
      <c r="AN233" s="49" t="str">
        <f ca="1">IFERROR(INDEX(AA:AA,MATCH(SMALL($AU:$AU,ROW()+3),$AU:$AU,0)),"")</f>
        <v/>
      </c>
      <c r="AO233" s="49" t="str">
        <f ca="1">IFERROR(INDEX(AB:AB,MATCH(SMALL($AU:$AU,ROW()+3),$AU:$AU,0)),"")</f>
        <v/>
      </c>
      <c r="AP233" s="49" t="str">
        <f ca="1">IFERROR(INDEX(AC:AC,MATCH(SMALL($AU:$AU,ROW()+3),$AU:$AU,0)),"")</f>
        <v/>
      </c>
      <c r="AU233" s="49" t="str">
        <f t="shared" ca="1" si="37"/>
        <v/>
      </c>
    </row>
    <row r="234" spans="1:47">
      <c r="A234" s="107" t="str">
        <f ca="1">IF(C234&lt;&gt;"",A233+1,"")</f>
        <v/>
      </c>
      <c r="B234" s="127"/>
      <c r="C234" s="128" t="str">
        <f t="array" aca="1" ref="C234" ca="1">IF(OR(INDIRECT("まとめ札!I"&amp;B231&amp;"")="",INDIRECT("まとめ札!I"&amp;B231&amp;"")=0),"",INDIRECT("まとめ札!A"&amp;B231&amp;"")&amp;"【4】")</f>
        <v/>
      </c>
      <c r="D234" s="128"/>
      <c r="E234" s="128"/>
      <c r="F234" s="129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130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127" t="str">
        <f t="array" aca="1" ref="H234" ca="1">IF(OR(INDIRECT("まとめ札!I"&amp;B231&amp;"")="",INDIRECT("まとめ札!I"&amp;B231&amp;"")=0),"",INDIRECT("まとめ札!I"&amp;B231&amp;""))</f>
        <v/>
      </c>
      <c r="I234" s="127"/>
      <c r="J234" s="127" t="str">
        <f ca="1">IF(C234&lt;&gt;"",
IF(OR(COUNTIF(C234,"*キャラ*"),COUNTIF(C234,"*赤*")),24,
VLOOKUP(C234,#REF!,6,FALSE)),"")</f>
        <v/>
      </c>
      <c r="M234" s="127"/>
      <c r="P234" s="127" t="str">
        <f t="shared" ca="1" si="40"/>
        <v/>
      </c>
      <c r="Q234" s="127" t="str">
        <f t="shared" ca="1" si="41"/>
        <v/>
      </c>
      <c r="R234" s="49" t="str">
        <f t="array" aca="1" ref="R234" ca="1">IFERROR(SMALL(IF(P$1:P$311&lt;&gt;0,P$1:P$311),ROW(A234)),"")</f>
        <v/>
      </c>
      <c r="S234" s="49" t="str">
        <f t="array" aca="1" ref="S234" ca="1">IF($R234&lt;&gt;"",
SUBSTITUTE(SUBSTITUTE(INDIRECT("C"&amp;$R234&amp;"")," 週3ｺｰｽ","")," 週5ｺｰｽ",""),"")</f>
        <v/>
      </c>
      <c r="T234" s="49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22" t="str">
        <f t="array" aca="1" ref="U234" ca="1">IF($R234&lt;&gt;"",
INDIRECT("F"&amp;$R234&amp;""),"")</f>
        <v/>
      </c>
      <c r="V234" s="49" t="str">
        <f t="array" aca="1" ref="V234" ca="1">IF($R234&lt;&gt;"",
INDIRECT("G"&amp;$R234&amp;""),"")</f>
        <v/>
      </c>
      <c r="W234" s="49" t="str">
        <f t="array" aca="1" ref="W234" ca="1">IF($R234&lt;&gt;"",
IF(AND(COUNTIF(INDIRECT("B"&amp;R234&amp;""),"*雙葉*"),COUNTIF(B:B,"*雙葉*")&gt;=2),
IF(OR(COUNTIF(INDIRECT("B"&amp;R234&amp;""),"*雙葉先生*"),COUNTIF($B$1:$B$70,"*雙葉*")&gt;=2),INDIRECT("H"&amp;R234&amp;""),INDIRECT("H"&amp;R234&amp;"")+INDIRECT("H"&amp;MATCH("雙葉'",INDIRECT("B"&amp;R234+3&amp;":B210"),0)+2+R234&amp;"")),
IF(AND(LEFT(INDIRECT("B"&amp;R234&amp;""),2)="博多",COUNTIF(B:B,"*博多*")&gt;=2),
INDIRECT("H"&amp;R234&amp;"")+INDIRECT("H"&amp;MATCH("*"&amp;INDIRECT("B"&amp;R234&amp;"")&amp;"*",INDIRECT("B"&amp;R234+1&amp;":B210"),0)+R234&amp;""),
IF(AND(LEFT(INDIRECT("B"&amp;R234&amp;""),3)="奈良屋",COUNTIF(B:B,"*奈良屋*")&gt;=2),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49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49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49" t="str">
        <f t="shared" ca="1" si="35"/>
        <v/>
      </c>
      <c r="AA234" s="49" t="str">
        <f t="shared" ca="1" si="36"/>
        <v/>
      </c>
      <c r="AB234" s="49" t="str">
        <f t="array" aca="1" ref="AB234" ca="1">IF($R234&lt;&gt;"",
IF(AND(COUNTIF(INDIRECT("B"&amp;R234&amp;""),"*雙葉*"),COUNTIF(B:B,"*雙葉*")&gt;=2),
INDIRECT("M"&amp;R234&amp;"")+INDIRECT("M"&amp;MATCH("雙葉'",INDIRECT("B"&amp;R234+1&amp;":B210"),0)+R234&amp;""),
IF(AND(LEFT(INDIRECT("B"&amp;R234&amp;""),2)="博多",COUNTIF(B:B,"*博多*")&gt;=2),
INDIRECT("M"&amp;R234&amp;"")+INDIRECT("M"&amp;MATCH("*"&amp;INDIRECT("B"&amp;R234&amp;"")&amp;"*",INDIRECT("B"&amp;R234+1&amp;":B210"),0)+R234&amp;""),
IF(AND(LEFT(INDIRECT("B"&amp;R234&amp;""),3)="奈良屋",COUNTIF(B:B,"*奈良屋*")&gt;=2),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  <c r="AC234" s="49" t="str">
        <f ca="1">IF(S234&lt;&gt;"",INDEX(A:A, MATCH("*"&amp;LEFT(S234,4)&amp;"*", C:C, 0)),"")</f>
        <v/>
      </c>
      <c r="AD234" s="49" t="str">
        <f ca="1">IFERROR(INDEX(AC:AC,MATCH(SMALL($AU:$AU,ROW()+3),$AU:$AU,0)),"")</f>
        <v/>
      </c>
      <c r="AE234" s="49" t="str">
        <f ca="1">IFERROR(INDEX(R:R,MATCH(SMALL($AU:$AU,ROW()+3),$AU:$AU,0)),"")</f>
        <v/>
      </c>
      <c r="AF234" s="49" t="str">
        <f ca="1">IFERROR(INDEX(S:S,MATCH(SMALL($AU:$AU,ROW()+3),$AU:$AU,0)),"")</f>
        <v/>
      </c>
      <c r="AG234" s="49" t="str">
        <f ca="1">IFERROR(INDEX(T:T,MATCH(SMALL($AU:$AU,ROW()+3),$AU:$AU,0)),"")</f>
        <v/>
      </c>
      <c r="AH234" s="122" t="str">
        <f ca="1">IFERROR(INDEX(U:U,MATCH(SMALL($AU:$AU,ROW()+3),$AU:$AU,0)),"")</f>
        <v/>
      </c>
      <c r="AI234" s="49" t="str">
        <f ca="1">IFERROR(INDEX(V:V,MATCH(SMALL($AU:$AU,ROW()+3),$AU:$AU,0)),"")</f>
        <v/>
      </c>
      <c r="AJ234" s="49" t="str">
        <f ca="1">IFERROR(INDEX(W:W,MATCH(SMALL($AU:$AU,ROW()+3),$AU:$AU,0)),"")</f>
        <v/>
      </c>
      <c r="AK234" s="49" t="str">
        <f ca="1">IFERROR(INDEX(X:X,MATCH(SMALL($AU:$AU,ROW()+3),$AU:$AU,0)),"")</f>
        <v/>
      </c>
      <c r="AL234" s="49" t="str">
        <f ca="1">IFERROR(INDEX(Y:Y,MATCH(SMALL($AU:$AU,ROW()+3),$AU:$AU,0)),"")</f>
        <v/>
      </c>
      <c r="AM234" s="49" t="str">
        <f ca="1">IFERROR(INDEX(Z:Z,MATCH(SMALL($AU:$AU,ROW()+3),$AU:$AU,0)),"")</f>
        <v/>
      </c>
      <c r="AN234" s="49" t="str">
        <f ca="1">IFERROR(INDEX(AA:AA,MATCH(SMALL($AU:$AU,ROW()+3),$AU:$AU,0)),"")</f>
        <v/>
      </c>
      <c r="AO234" s="49" t="str">
        <f ca="1">IFERROR(INDEX(AB:AB,MATCH(SMALL($AU:$AU,ROW()+3),$AU:$AU,0)),"")</f>
        <v/>
      </c>
      <c r="AP234" s="49" t="str">
        <f ca="1">IFERROR(INDEX(AC:AC,MATCH(SMALL($AU:$AU,ROW()+3),$AU:$AU,0)),"")</f>
        <v/>
      </c>
      <c r="AU234" s="49" t="str">
        <f t="shared" ca="1" si="37"/>
        <v/>
      </c>
    </row>
    <row r="235" spans="1:47">
      <c r="A235" s="107">
        <f ca="1">IF(C235&lt;&gt;"",MAX($A$231:$A$234)+1,"")</f>
        <v>151</v>
      </c>
      <c r="B235" s="127">
        <v>6</v>
      </c>
      <c r="C235" s="128" t="str">
        <f t="array" aca="1" ref="C235" ca="1">IF(INDIRECT("まとめ札!A"&amp;B235&amp;"")&lt;&gt;0,INDIRECT("まとめ札!A"&amp;B235&amp;"")&amp;"【1】","")</f>
        <v>赤 おにぎり 三角【1】</v>
      </c>
      <c r="D235" s="128"/>
      <c r="E235" s="128"/>
      <c r="F235" s="129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130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127" t="str">
        <f t="array" aca="1" ref="H235" ca="1">IF(INDIRECT("まとめ札!F"&amp;B235&amp;"")&lt;&gt;0,INDIRECT("まとめ札!F"&amp;B235&amp;""),"")</f>
        <v/>
      </c>
      <c r="I235" s="127"/>
      <c r="J235" s="127">
        <f ca="1">IF(C235&lt;&gt;"",
IF(OR(COUNTIF(C235,"*キャラ*"),COUNTIF(C235,"*赤*")),24,
VLOOKUP(C235,#REF!,6,FALSE)),"")</f>
        <v>24</v>
      </c>
      <c r="M235" s="127"/>
      <c r="P235" s="127" t="str">
        <f t="shared" ca="1" si="40"/>
        <v/>
      </c>
      <c r="Q235" s="127" t="str">
        <f t="shared" ca="1" si="41"/>
        <v/>
      </c>
      <c r="R235" s="49" t="str">
        <f t="array" aca="1" ref="R235" ca="1">IFERROR(SMALL(IF(P$1:P$311&lt;&gt;0,P$1:P$311),ROW(A235)),"")</f>
        <v/>
      </c>
      <c r="S235" s="49" t="str">
        <f t="array" aca="1" ref="S235" ca="1">IF($R235&lt;&gt;"",
SUBSTITUTE(SUBSTITUTE(INDIRECT("C"&amp;$R235&amp;"")," 週3ｺｰｽ","")," 週5ｺｰｽ",""),"")</f>
        <v/>
      </c>
      <c r="T235" s="49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22" t="str">
        <f t="array" aca="1" ref="U235" ca="1">IF($R235&lt;&gt;"",
INDIRECT("F"&amp;$R235&amp;""),"")</f>
        <v/>
      </c>
      <c r="V235" s="49" t="str">
        <f t="array" aca="1" ref="V235" ca="1">IF($R235&lt;&gt;"",
INDIRECT("G"&amp;$R235&amp;""),"")</f>
        <v/>
      </c>
      <c r="W235" s="49" t="str">
        <f t="array" aca="1" ref="W235" ca="1">IF($R235&lt;&gt;"",
IF(AND(COUNTIF(INDIRECT("B"&amp;R235&amp;""),"*雙葉*"),COUNTIF(B:B,"*雙葉*")&gt;=2),
IF(OR(COUNTIF(INDIRECT("B"&amp;R235&amp;""),"*雙葉先生*"),COUNTIF($B$1:$B$70,"*雙葉*")&gt;=2),INDIRECT("H"&amp;R235&amp;""),INDIRECT("H"&amp;R235&amp;"")+INDIRECT("H"&amp;MATCH("雙葉'",INDIRECT("B"&amp;R235+3&amp;":B210"),0)+2+R235&amp;"")),
IF(AND(LEFT(INDIRECT("B"&amp;R235&amp;""),2)="博多",COUNTIF(B:B,"*博多*")&gt;=2),
INDIRECT("H"&amp;R235&amp;"")+INDIRECT("H"&amp;MATCH("*"&amp;INDIRECT("B"&amp;R235&amp;"")&amp;"*",INDIRECT("B"&amp;R235+1&amp;":B210"),0)+R235&amp;""),
IF(AND(LEFT(INDIRECT("B"&amp;R235&amp;""),3)="奈良屋",COUNTIF(B:B,"*奈良屋*")&gt;=2),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49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49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49" t="str">
        <f t="shared" ca="1" si="35"/>
        <v/>
      </c>
      <c r="AA235" s="49" t="str">
        <f t="shared" ca="1" si="36"/>
        <v/>
      </c>
      <c r="AB235" s="49" t="str">
        <f t="array" aca="1" ref="AB235" ca="1">IF($R235&lt;&gt;"",
IF(AND(COUNTIF(INDIRECT("B"&amp;R235&amp;""),"*雙葉*"),COUNTIF(B:B,"*雙葉*")&gt;=2),
INDIRECT("M"&amp;R235&amp;"")+INDIRECT("M"&amp;MATCH("雙葉'",INDIRECT("B"&amp;R235+1&amp;":B210"),0)+R235&amp;""),
IF(AND(LEFT(INDIRECT("B"&amp;R235&amp;""),2)="博多",COUNTIF(B:B,"*博多*")&gt;=2),
INDIRECT("M"&amp;R235&amp;"")+INDIRECT("M"&amp;MATCH("*"&amp;INDIRECT("B"&amp;R235&amp;"")&amp;"*",INDIRECT("B"&amp;R235+1&amp;":B210"),0)+R235&amp;""),
IF(AND(LEFT(INDIRECT("B"&amp;R235&amp;""),3)="奈良屋",COUNTIF(B:B,"*奈良屋*")&gt;=2),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  <c r="AC235" s="49" t="str">
        <f ca="1">IF(S235&lt;&gt;"",INDEX(A:A, MATCH("*"&amp;LEFT(S235,4)&amp;"*", C:C, 0)),"")</f>
        <v/>
      </c>
      <c r="AD235" s="49" t="str">
        <f ca="1">IFERROR(INDEX(AC:AC,MATCH(SMALL($AU:$AU,ROW()+3),$AU:$AU,0)),"")</f>
        <v/>
      </c>
      <c r="AE235" s="49" t="str">
        <f ca="1">IFERROR(INDEX(R:R,MATCH(SMALL($AU:$AU,ROW()+3),$AU:$AU,0)),"")</f>
        <v/>
      </c>
      <c r="AF235" s="49" t="str">
        <f ca="1">IFERROR(INDEX(S:S,MATCH(SMALL($AU:$AU,ROW()+3),$AU:$AU,0)),"")</f>
        <v/>
      </c>
      <c r="AG235" s="49" t="str">
        <f ca="1">IFERROR(INDEX(T:T,MATCH(SMALL($AU:$AU,ROW()+3),$AU:$AU,0)),"")</f>
        <v/>
      </c>
      <c r="AH235" s="122" t="str">
        <f ca="1">IFERROR(INDEX(U:U,MATCH(SMALL($AU:$AU,ROW()+3),$AU:$AU,0)),"")</f>
        <v/>
      </c>
      <c r="AI235" s="49" t="str">
        <f ca="1">IFERROR(INDEX(V:V,MATCH(SMALL($AU:$AU,ROW()+3),$AU:$AU,0)),"")</f>
        <v/>
      </c>
      <c r="AJ235" s="49" t="str">
        <f ca="1">IFERROR(INDEX(W:W,MATCH(SMALL($AU:$AU,ROW()+3),$AU:$AU,0)),"")</f>
        <v/>
      </c>
      <c r="AK235" s="49" t="str">
        <f ca="1">IFERROR(INDEX(X:X,MATCH(SMALL($AU:$AU,ROW()+3),$AU:$AU,0)),"")</f>
        <v/>
      </c>
      <c r="AL235" s="49" t="str">
        <f ca="1">IFERROR(INDEX(Y:Y,MATCH(SMALL($AU:$AU,ROW()+3),$AU:$AU,0)),"")</f>
        <v/>
      </c>
      <c r="AM235" s="49" t="str">
        <f ca="1">IFERROR(INDEX(Z:Z,MATCH(SMALL($AU:$AU,ROW()+3),$AU:$AU,0)),"")</f>
        <v/>
      </c>
      <c r="AN235" s="49" t="str">
        <f ca="1">IFERROR(INDEX(AA:AA,MATCH(SMALL($AU:$AU,ROW()+3),$AU:$AU,0)),"")</f>
        <v/>
      </c>
      <c r="AO235" s="49" t="str">
        <f ca="1">IFERROR(INDEX(AB:AB,MATCH(SMALL($AU:$AU,ROW()+3),$AU:$AU,0)),"")</f>
        <v/>
      </c>
      <c r="AP235" s="49" t="str">
        <f ca="1">IFERROR(INDEX(AC:AC,MATCH(SMALL($AU:$AU,ROW()+3),$AU:$AU,0)),"")</f>
        <v/>
      </c>
      <c r="AU235" s="49" t="str">
        <f t="shared" ca="1" si="37"/>
        <v/>
      </c>
    </row>
    <row r="236" spans="1:47">
      <c r="A236" s="107" t="str">
        <f ca="1">IF(C236&lt;&gt;"",A235+1,"")</f>
        <v/>
      </c>
      <c r="B236" s="127"/>
      <c r="C236" s="128" t="str">
        <f t="array" aca="1" ref="C236" ca="1">IF(OR(INDIRECT("まとめ札!G"&amp;B235&amp;"")="",INDIRECT("まとめ札!G"&amp;B235&amp;"")=0),"",INDIRECT("まとめ札!A"&amp;B235&amp;"")&amp;"【2】")</f>
        <v/>
      </c>
      <c r="D236" s="128"/>
      <c r="E236" s="128"/>
      <c r="F236" s="129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130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127" t="str">
        <f t="array" aca="1" ref="H236" ca="1">IF(OR(INDIRECT("まとめ札!G"&amp;B235&amp;"")="",INDIRECT("まとめ札!G"&amp;B235&amp;"")=0),"",INDIRECT("まとめ札!G"&amp;B235&amp;""))</f>
        <v/>
      </c>
      <c r="I236" s="127"/>
      <c r="J236" s="127" t="str">
        <f ca="1">IF(C236&lt;&gt;"",
IF(OR(COUNTIF(C236,"*キャラ*"),COUNTIF(C236,"*赤*")),24,
VLOOKUP(C236,#REF!,6,FALSE)),"")</f>
        <v/>
      </c>
      <c r="M236" s="127"/>
      <c r="P236" s="127" t="str">
        <f t="shared" ca="1" si="40"/>
        <v/>
      </c>
      <c r="Q236" s="127" t="str">
        <f t="shared" ca="1" si="41"/>
        <v/>
      </c>
      <c r="R236" s="49" t="str">
        <f t="array" aca="1" ref="R236" ca="1">IFERROR(SMALL(IF(P$1:P$311&lt;&gt;0,P$1:P$311),ROW(A236)),"")</f>
        <v/>
      </c>
      <c r="S236" s="49" t="str">
        <f t="array" aca="1" ref="S236" ca="1">IF($R236&lt;&gt;"",
SUBSTITUTE(SUBSTITUTE(INDIRECT("C"&amp;$R236&amp;"")," 週3ｺｰｽ","")," 週5ｺｰｽ",""),"")</f>
        <v/>
      </c>
      <c r="T236" s="49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22" t="str">
        <f t="array" aca="1" ref="U236" ca="1">IF($R236&lt;&gt;"",
INDIRECT("F"&amp;$R236&amp;""),"")</f>
        <v/>
      </c>
      <c r="V236" s="49" t="str">
        <f t="array" aca="1" ref="V236" ca="1">IF($R236&lt;&gt;"",
INDIRECT("G"&amp;$R236&amp;""),"")</f>
        <v/>
      </c>
      <c r="W236" s="49" t="str">
        <f t="array" aca="1" ref="W236" ca="1">IF($R236&lt;&gt;"",
IF(AND(COUNTIF(INDIRECT("B"&amp;R236&amp;""),"*雙葉*"),COUNTIF(B:B,"*雙葉*")&gt;=2),
IF(OR(COUNTIF(INDIRECT("B"&amp;R236&amp;""),"*雙葉先生*"),COUNTIF($B$1:$B$70,"*雙葉*")&gt;=2),INDIRECT("H"&amp;R236&amp;""),INDIRECT("H"&amp;R236&amp;"")+INDIRECT("H"&amp;MATCH("雙葉'",INDIRECT("B"&amp;R236+3&amp;":B210"),0)+2+R236&amp;"")),
IF(AND(LEFT(INDIRECT("B"&amp;R236&amp;""),2)="博多",COUNTIF(B:B,"*博多*")&gt;=2),
INDIRECT("H"&amp;R236&amp;"")+INDIRECT("H"&amp;MATCH("*"&amp;INDIRECT("B"&amp;R236&amp;"")&amp;"*",INDIRECT("B"&amp;R236+1&amp;":B210"),0)+R236&amp;""),
IF(AND(LEFT(INDIRECT("B"&amp;R236&amp;""),3)="奈良屋",COUNTIF(B:B,"*奈良屋*")&gt;=2),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49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49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49" t="str">
        <f t="shared" ca="1" si="35"/>
        <v/>
      </c>
      <c r="AA236" s="49" t="str">
        <f t="shared" ca="1" si="36"/>
        <v/>
      </c>
      <c r="AB236" s="49" t="str">
        <f t="array" aca="1" ref="AB236" ca="1">IF($R236&lt;&gt;"",
IF(AND(COUNTIF(INDIRECT("B"&amp;R236&amp;""),"*雙葉*"),COUNTIF(B:B,"*雙葉*")&gt;=2),
INDIRECT("M"&amp;R236&amp;"")+INDIRECT("M"&amp;MATCH("雙葉'",INDIRECT("B"&amp;R236+1&amp;":B210"),0)+R236&amp;""),
IF(AND(LEFT(INDIRECT("B"&amp;R236&amp;""),2)="博多",COUNTIF(B:B,"*博多*")&gt;=2),
INDIRECT("M"&amp;R236&amp;"")+INDIRECT("M"&amp;MATCH("*"&amp;INDIRECT("B"&amp;R236&amp;"")&amp;"*",INDIRECT("B"&amp;R236+1&amp;":B210"),0)+R236&amp;""),
IF(AND(LEFT(INDIRECT("B"&amp;R236&amp;""),3)="奈良屋",COUNTIF(B:B,"*奈良屋*")&gt;=2),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  <c r="AC236" s="49" t="str">
        <f ca="1">IF(S236&lt;&gt;"",INDEX(A:A, MATCH("*"&amp;LEFT(S236,4)&amp;"*", C:C, 0)),"")</f>
        <v/>
      </c>
      <c r="AD236" s="49" t="str">
        <f ca="1">IFERROR(INDEX(AC:AC,MATCH(SMALL($AU:$AU,ROW()+3),$AU:$AU,0)),"")</f>
        <v/>
      </c>
      <c r="AE236" s="49" t="str">
        <f ca="1">IFERROR(INDEX(R:R,MATCH(SMALL($AU:$AU,ROW()+3),$AU:$AU,0)),"")</f>
        <v/>
      </c>
      <c r="AF236" s="49" t="str">
        <f ca="1">IFERROR(INDEX(S:S,MATCH(SMALL($AU:$AU,ROW()+3),$AU:$AU,0)),"")</f>
        <v/>
      </c>
      <c r="AG236" s="49" t="str">
        <f ca="1">IFERROR(INDEX(T:T,MATCH(SMALL($AU:$AU,ROW()+3),$AU:$AU,0)),"")</f>
        <v/>
      </c>
      <c r="AH236" s="122" t="str">
        <f ca="1">IFERROR(INDEX(U:U,MATCH(SMALL($AU:$AU,ROW()+3),$AU:$AU,0)),"")</f>
        <v/>
      </c>
      <c r="AI236" s="49" t="str">
        <f ca="1">IFERROR(INDEX(V:V,MATCH(SMALL($AU:$AU,ROW()+3),$AU:$AU,0)),"")</f>
        <v/>
      </c>
      <c r="AJ236" s="49" t="str">
        <f ca="1">IFERROR(INDEX(W:W,MATCH(SMALL($AU:$AU,ROW()+3),$AU:$AU,0)),"")</f>
        <v/>
      </c>
      <c r="AK236" s="49" t="str">
        <f ca="1">IFERROR(INDEX(X:X,MATCH(SMALL($AU:$AU,ROW()+3),$AU:$AU,0)),"")</f>
        <v/>
      </c>
      <c r="AL236" s="49" t="str">
        <f ca="1">IFERROR(INDEX(Y:Y,MATCH(SMALL($AU:$AU,ROW()+3),$AU:$AU,0)),"")</f>
        <v/>
      </c>
      <c r="AM236" s="49" t="str">
        <f ca="1">IFERROR(INDEX(Z:Z,MATCH(SMALL($AU:$AU,ROW()+3),$AU:$AU,0)),"")</f>
        <v/>
      </c>
      <c r="AN236" s="49" t="str">
        <f ca="1">IFERROR(INDEX(AA:AA,MATCH(SMALL($AU:$AU,ROW()+3),$AU:$AU,0)),"")</f>
        <v/>
      </c>
      <c r="AO236" s="49" t="str">
        <f ca="1">IFERROR(INDEX(AB:AB,MATCH(SMALL($AU:$AU,ROW()+3),$AU:$AU,0)),"")</f>
        <v/>
      </c>
      <c r="AP236" s="49" t="str">
        <f ca="1">IFERROR(INDEX(AC:AC,MATCH(SMALL($AU:$AU,ROW()+3),$AU:$AU,0)),"")</f>
        <v/>
      </c>
      <c r="AU236" s="49" t="str">
        <f t="shared" ca="1" si="37"/>
        <v/>
      </c>
    </row>
    <row r="237" spans="1:47">
      <c r="A237" s="107" t="str">
        <f ca="1">IF(C237&lt;&gt;"",A236+1,"")</f>
        <v/>
      </c>
      <c r="B237" s="127"/>
      <c r="C237" s="128" t="str">
        <f t="array" aca="1" ref="C237" ca="1">IF(OR(INDIRECT("まとめ札!H"&amp;B235&amp;"")="",INDIRECT("まとめ札!H"&amp;B235&amp;"")=0),"",INDIRECT("まとめ札!A"&amp;B235&amp;"")&amp;"【3】")</f>
        <v/>
      </c>
      <c r="D237" s="128"/>
      <c r="E237" s="128"/>
      <c r="F237" s="129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130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127" t="str">
        <f t="array" aca="1" ref="H237" ca="1">IF(OR(INDIRECT("まとめ札!H"&amp;B235&amp;"")="",INDIRECT("まとめ札!H"&amp;B235&amp;"")=0),"",INDIRECT("まとめ札!H"&amp;B235&amp;""))</f>
        <v/>
      </c>
      <c r="I237" s="127"/>
      <c r="J237" s="127" t="str">
        <f ca="1">IF(C237&lt;&gt;"",
IF(OR(COUNTIF(C237,"*キャラ*"),COUNTIF(C237,"*赤*")),24,
VLOOKUP(C237,#REF!,6,FALSE)),"")</f>
        <v/>
      </c>
      <c r="M237" s="127"/>
      <c r="P237" s="127" t="str">
        <f t="shared" ca="1" si="40"/>
        <v/>
      </c>
      <c r="Q237" s="127" t="str">
        <f t="shared" ca="1" si="41"/>
        <v/>
      </c>
      <c r="R237" s="49" t="str">
        <f t="array" aca="1" ref="R237" ca="1">IFERROR(SMALL(IF(P$1:P$311&lt;&gt;0,P$1:P$311),ROW(A237)),"")</f>
        <v/>
      </c>
      <c r="S237" s="49" t="str">
        <f t="array" aca="1" ref="S237" ca="1">IF($R237&lt;&gt;"",
SUBSTITUTE(SUBSTITUTE(INDIRECT("C"&amp;$R237&amp;"")," 週3ｺｰｽ","")," 週5ｺｰｽ",""),"")</f>
        <v/>
      </c>
      <c r="T237" s="49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22" t="str">
        <f t="array" aca="1" ref="U237" ca="1">IF($R237&lt;&gt;"",
INDIRECT("F"&amp;$R237&amp;""),"")</f>
        <v/>
      </c>
      <c r="V237" s="49" t="str">
        <f t="array" aca="1" ref="V237" ca="1">IF($R237&lt;&gt;"",
INDIRECT("G"&amp;$R237&amp;""),"")</f>
        <v/>
      </c>
      <c r="W237" s="49" t="str">
        <f t="array" aca="1" ref="W237" ca="1">IF($R237&lt;&gt;"",
IF(AND(COUNTIF(INDIRECT("B"&amp;R237&amp;""),"*雙葉*"),COUNTIF(B:B,"*雙葉*")&gt;=2),
IF(OR(COUNTIF(INDIRECT("B"&amp;R237&amp;""),"*雙葉先生*"),COUNTIF($B$1:$B$70,"*雙葉*")&gt;=2),INDIRECT("H"&amp;R237&amp;""),INDIRECT("H"&amp;R237&amp;"")+INDIRECT("H"&amp;MATCH("雙葉'",INDIRECT("B"&amp;R237+3&amp;":B210"),0)+2+R237&amp;"")),
IF(AND(LEFT(INDIRECT("B"&amp;R237&amp;""),2)="博多",COUNTIF(B:B,"*博多*")&gt;=2),
INDIRECT("H"&amp;R237&amp;"")+INDIRECT("H"&amp;MATCH("*"&amp;INDIRECT("B"&amp;R237&amp;"")&amp;"*",INDIRECT("B"&amp;R237+1&amp;":B210"),0)+R237&amp;""),
IF(AND(LEFT(INDIRECT("B"&amp;R237&amp;""),3)="奈良屋",COUNTIF(B:B,"*奈良屋*")&gt;=2),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49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49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49" t="str">
        <f t="shared" ca="1" si="35"/>
        <v/>
      </c>
      <c r="AA237" s="49" t="str">
        <f t="shared" ca="1" si="36"/>
        <v/>
      </c>
      <c r="AB237" s="49" t="str">
        <f t="array" aca="1" ref="AB237" ca="1">IF($R237&lt;&gt;"",
IF(AND(COUNTIF(INDIRECT("B"&amp;R237&amp;""),"*雙葉*"),COUNTIF(B:B,"*雙葉*")&gt;=2),
INDIRECT("M"&amp;R237&amp;"")+INDIRECT("M"&amp;MATCH("雙葉'",INDIRECT("B"&amp;R237+1&amp;":B210"),0)+R237&amp;""),
IF(AND(LEFT(INDIRECT("B"&amp;R237&amp;""),2)="博多",COUNTIF(B:B,"*博多*")&gt;=2),
INDIRECT("M"&amp;R237&amp;"")+INDIRECT("M"&amp;MATCH("*"&amp;INDIRECT("B"&amp;R237&amp;"")&amp;"*",INDIRECT("B"&amp;R237+1&amp;":B210"),0)+R237&amp;""),
IF(AND(LEFT(INDIRECT("B"&amp;R237&amp;""),3)="奈良屋",COUNTIF(B:B,"*奈良屋*")&gt;=2),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  <c r="AC237" s="49" t="str">
        <f ca="1">IF(S237&lt;&gt;"",INDEX(A:A, MATCH("*"&amp;LEFT(S237,4)&amp;"*", C:C, 0)),"")</f>
        <v/>
      </c>
      <c r="AD237" s="49" t="str">
        <f ca="1">IFERROR(INDEX(AC:AC,MATCH(SMALL($AU:$AU,ROW()+3),$AU:$AU,0)),"")</f>
        <v/>
      </c>
      <c r="AE237" s="49" t="str">
        <f ca="1">IFERROR(INDEX(R:R,MATCH(SMALL($AU:$AU,ROW()+3),$AU:$AU,0)),"")</f>
        <v/>
      </c>
      <c r="AF237" s="49" t="str">
        <f ca="1">IFERROR(INDEX(S:S,MATCH(SMALL($AU:$AU,ROW()+3),$AU:$AU,0)),"")</f>
        <v/>
      </c>
      <c r="AG237" s="49" t="str">
        <f ca="1">IFERROR(INDEX(T:T,MATCH(SMALL($AU:$AU,ROW()+3),$AU:$AU,0)),"")</f>
        <v/>
      </c>
      <c r="AH237" s="122" t="str">
        <f ca="1">IFERROR(INDEX(U:U,MATCH(SMALL($AU:$AU,ROW()+3),$AU:$AU,0)),"")</f>
        <v/>
      </c>
      <c r="AI237" s="49" t="str">
        <f ca="1">IFERROR(INDEX(V:V,MATCH(SMALL($AU:$AU,ROW()+3),$AU:$AU,0)),"")</f>
        <v/>
      </c>
      <c r="AJ237" s="49" t="str">
        <f ca="1">IFERROR(INDEX(W:W,MATCH(SMALL($AU:$AU,ROW()+3),$AU:$AU,0)),"")</f>
        <v/>
      </c>
      <c r="AK237" s="49" t="str">
        <f ca="1">IFERROR(INDEX(X:X,MATCH(SMALL($AU:$AU,ROW()+3),$AU:$AU,0)),"")</f>
        <v/>
      </c>
      <c r="AL237" s="49" t="str">
        <f ca="1">IFERROR(INDEX(Y:Y,MATCH(SMALL($AU:$AU,ROW()+3),$AU:$AU,0)),"")</f>
        <v/>
      </c>
      <c r="AM237" s="49" t="str">
        <f ca="1">IFERROR(INDEX(Z:Z,MATCH(SMALL($AU:$AU,ROW()+3),$AU:$AU,0)),"")</f>
        <v/>
      </c>
      <c r="AN237" s="49" t="str">
        <f ca="1">IFERROR(INDEX(AA:AA,MATCH(SMALL($AU:$AU,ROW()+3),$AU:$AU,0)),"")</f>
        <v/>
      </c>
      <c r="AO237" s="49" t="str">
        <f ca="1">IFERROR(INDEX(AB:AB,MATCH(SMALL($AU:$AU,ROW()+3),$AU:$AU,0)),"")</f>
        <v/>
      </c>
      <c r="AP237" s="49" t="str">
        <f ca="1">IFERROR(INDEX(AC:AC,MATCH(SMALL($AU:$AU,ROW()+3),$AU:$AU,0)),"")</f>
        <v/>
      </c>
      <c r="AU237" s="49" t="str">
        <f t="shared" ca="1" si="37"/>
        <v/>
      </c>
    </row>
    <row r="238" spans="1:47">
      <c r="A238" s="107" t="str">
        <f ca="1">IF(C238&lt;&gt;"",A237+1,"")</f>
        <v/>
      </c>
      <c r="B238" s="127"/>
      <c r="C238" s="128" t="str">
        <f t="array" aca="1" ref="C238" ca="1">IF(OR(INDIRECT("まとめ札!I"&amp;B235&amp;"")="",INDIRECT("まとめ札!I"&amp;B235&amp;"")=0),"",INDIRECT("まとめ札!A"&amp;B235&amp;"")&amp;"【4】")</f>
        <v/>
      </c>
      <c r="D238" s="128"/>
      <c r="E238" s="128"/>
      <c r="F238" s="129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130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127" t="str">
        <f t="array" aca="1" ref="H238" ca="1">IF(OR(INDIRECT("まとめ札!I"&amp;B235&amp;"")="",INDIRECT("まとめ札!I"&amp;B235&amp;"")=0),"",INDIRECT("まとめ札!I"&amp;B235&amp;""))</f>
        <v/>
      </c>
      <c r="I238" s="127"/>
      <c r="J238" s="127" t="str">
        <f ca="1">IF(C238&lt;&gt;"",
IF(OR(COUNTIF(C238,"*キャラ*"),COUNTIF(C238,"*赤*")),24,
VLOOKUP(C238,#REF!,6,FALSE)),"")</f>
        <v/>
      </c>
      <c r="M238" s="127"/>
      <c r="P238" s="127" t="str">
        <f t="shared" ca="1" si="40"/>
        <v/>
      </c>
      <c r="Q238" s="127" t="str">
        <f t="shared" ca="1" si="41"/>
        <v/>
      </c>
      <c r="R238" s="49" t="str">
        <f t="array" aca="1" ref="R238" ca="1">IFERROR(SMALL(IF(P$1:P$311&lt;&gt;0,P$1:P$311),ROW(A238)),"")</f>
        <v/>
      </c>
      <c r="S238" s="49" t="str">
        <f t="array" aca="1" ref="S238" ca="1">IF($R238&lt;&gt;"",
SUBSTITUTE(SUBSTITUTE(INDIRECT("C"&amp;$R238&amp;"")," 週3ｺｰｽ","")," 週5ｺｰｽ",""),"")</f>
        <v/>
      </c>
      <c r="T238" s="49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22" t="str">
        <f t="array" aca="1" ref="U238" ca="1">IF($R238&lt;&gt;"",
INDIRECT("F"&amp;$R238&amp;""),"")</f>
        <v/>
      </c>
      <c r="V238" s="49" t="str">
        <f t="array" aca="1" ref="V238" ca="1">IF($R238&lt;&gt;"",
INDIRECT("G"&amp;$R238&amp;""),"")</f>
        <v/>
      </c>
      <c r="W238" s="49" t="str">
        <f t="array" aca="1" ref="W238" ca="1">IF($R238&lt;&gt;"",
IF(AND(COUNTIF(INDIRECT("B"&amp;R238&amp;""),"*雙葉*"),COUNTIF(B:B,"*雙葉*")&gt;=2),
IF(OR(COUNTIF(INDIRECT("B"&amp;R238&amp;""),"*雙葉先生*"),COUNTIF($B$1:$B$70,"*雙葉*")&gt;=2),INDIRECT("H"&amp;R238&amp;""),INDIRECT("H"&amp;R238&amp;"")+INDIRECT("H"&amp;MATCH("雙葉'",INDIRECT("B"&amp;R238+3&amp;":B210"),0)+2+R238&amp;"")),
IF(AND(LEFT(INDIRECT("B"&amp;R238&amp;""),2)="博多",COUNTIF(B:B,"*博多*")&gt;=2),
INDIRECT("H"&amp;R238&amp;"")+INDIRECT("H"&amp;MATCH("*"&amp;INDIRECT("B"&amp;R238&amp;"")&amp;"*",INDIRECT("B"&amp;R238+1&amp;":B210"),0)+R238&amp;""),
IF(AND(LEFT(INDIRECT("B"&amp;R238&amp;""),3)="奈良屋",COUNTIF(B:B,"*奈良屋*")&gt;=2),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49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49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49" t="str">
        <f t="shared" ca="1" si="35"/>
        <v/>
      </c>
      <c r="AA238" s="49" t="str">
        <f t="shared" ca="1" si="36"/>
        <v/>
      </c>
      <c r="AB238" s="49" t="str">
        <f t="array" aca="1" ref="AB238" ca="1">IF($R238&lt;&gt;"",
IF(AND(COUNTIF(INDIRECT("B"&amp;R238&amp;""),"*雙葉*"),COUNTIF(B:B,"*雙葉*")&gt;=2),
INDIRECT("M"&amp;R238&amp;"")+INDIRECT("M"&amp;MATCH("雙葉'",INDIRECT("B"&amp;R238+1&amp;":B210"),0)+R238&amp;""),
IF(AND(LEFT(INDIRECT("B"&amp;R238&amp;""),2)="博多",COUNTIF(B:B,"*博多*")&gt;=2),
INDIRECT("M"&amp;R238&amp;"")+INDIRECT("M"&amp;MATCH("*"&amp;INDIRECT("B"&amp;R238&amp;"")&amp;"*",INDIRECT("B"&amp;R238+1&amp;":B210"),0)+R238&amp;""),
IF(AND(LEFT(INDIRECT("B"&amp;R238&amp;""),3)="奈良屋",COUNTIF(B:B,"*奈良屋*")&gt;=2),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  <c r="AC238" s="49" t="str">
        <f ca="1">IF(S238&lt;&gt;"",INDEX(A:A, MATCH("*"&amp;LEFT(S238,4)&amp;"*", C:C, 0)),"")</f>
        <v/>
      </c>
      <c r="AD238" s="49" t="str">
        <f ca="1">IFERROR(INDEX(AC:AC,MATCH(SMALL($AU:$AU,ROW()+3),$AU:$AU,0)),"")</f>
        <v/>
      </c>
      <c r="AE238" s="49" t="str">
        <f ca="1">IFERROR(INDEX(R:R,MATCH(SMALL($AU:$AU,ROW()+3),$AU:$AU,0)),"")</f>
        <v/>
      </c>
      <c r="AF238" s="49" t="str">
        <f ca="1">IFERROR(INDEX(S:S,MATCH(SMALL($AU:$AU,ROW()+3),$AU:$AU,0)),"")</f>
        <v/>
      </c>
      <c r="AG238" s="49" t="str">
        <f ca="1">IFERROR(INDEX(T:T,MATCH(SMALL($AU:$AU,ROW()+3),$AU:$AU,0)),"")</f>
        <v/>
      </c>
      <c r="AH238" s="122" t="str">
        <f ca="1">IFERROR(INDEX(U:U,MATCH(SMALL($AU:$AU,ROW()+3),$AU:$AU,0)),"")</f>
        <v/>
      </c>
      <c r="AI238" s="49" t="str">
        <f ca="1">IFERROR(INDEX(V:V,MATCH(SMALL($AU:$AU,ROW()+3),$AU:$AU,0)),"")</f>
        <v/>
      </c>
      <c r="AJ238" s="49" t="str">
        <f ca="1">IFERROR(INDEX(W:W,MATCH(SMALL($AU:$AU,ROW()+3),$AU:$AU,0)),"")</f>
        <v/>
      </c>
      <c r="AK238" s="49" t="str">
        <f ca="1">IFERROR(INDEX(X:X,MATCH(SMALL($AU:$AU,ROW()+3),$AU:$AU,0)),"")</f>
        <v/>
      </c>
      <c r="AL238" s="49" t="str">
        <f ca="1">IFERROR(INDEX(Y:Y,MATCH(SMALL($AU:$AU,ROW()+3),$AU:$AU,0)),"")</f>
        <v/>
      </c>
      <c r="AM238" s="49" t="str">
        <f ca="1">IFERROR(INDEX(Z:Z,MATCH(SMALL($AU:$AU,ROW()+3),$AU:$AU,0)),"")</f>
        <v/>
      </c>
      <c r="AN238" s="49" t="str">
        <f ca="1">IFERROR(INDEX(AA:AA,MATCH(SMALL($AU:$AU,ROW()+3),$AU:$AU,0)),"")</f>
        <v/>
      </c>
      <c r="AO238" s="49" t="str">
        <f ca="1">IFERROR(INDEX(AB:AB,MATCH(SMALL($AU:$AU,ROW()+3),$AU:$AU,0)),"")</f>
        <v/>
      </c>
      <c r="AP238" s="49" t="str">
        <f ca="1">IFERROR(INDEX(AC:AC,MATCH(SMALL($AU:$AU,ROW()+3),$AU:$AU,0)),"")</f>
        <v/>
      </c>
      <c r="AU238" s="49" t="str">
        <f t="shared" ca="1" si="37"/>
        <v/>
      </c>
    </row>
    <row r="239" spans="1:47">
      <c r="A239" s="107">
        <f ca="1">IF(C239&lt;&gt;"",MAX($A$235:$A$238)+1,"")</f>
        <v>152</v>
      </c>
      <c r="B239" s="127">
        <v>7</v>
      </c>
      <c r="C239" s="128" t="str">
        <f t="array" aca="1" ref="C239" ca="1">IF(INDIRECT("まとめ札!A"&amp;B239&amp;"")&lt;&gt;0,INDIRECT("まとめ札!A"&amp;B239&amp;"")&amp;"【1】","")</f>
        <v>赤 おにぎり 半俵【1】</v>
      </c>
      <c r="D239" s="128"/>
      <c r="E239" s="128"/>
      <c r="F239" s="129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130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127" t="str">
        <f t="array" aca="1" ref="H239" ca="1">IF(INDIRECT("まとめ札!F"&amp;B239&amp;"")&lt;&gt;0,INDIRECT("まとめ札!F"&amp;B239&amp;""),"")</f>
        <v/>
      </c>
      <c r="I239" s="127"/>
      <c r="J239" s="127">
        <f ca="1">IF(C239&lt;&gt;"",
IF(OR(COUNTIF(C239,"*キャラ*"),COUNTIF(C239,"*赤*")),24,
VLOOKUP(C239,#REF!,6,FALSE)),"")</f>
        <v>24</v>
      </c>
      <c r="M239" s="127"/>
      <c r="P239" s="127" t="str">
        <f t="shared" ca="1" si="40"/>
        <v/>
      </c>
      <c r="Q239" s="127" t="str">
        <f t="shared" ca="1" si="41"/>
        <v/>
      </c>
      <c r="R239" s="49" t="str">
        <f t="array" aca="1" ref="R239" ca="1">IFERROR(SMALL(IF(P$1:P$311&lt;&gt;0,P$1:P$311),ROW(A239)),"")</f>
        <v/>
      </c>
      <c r="S239" s="49" t="str">
        <f t="array" aca="1" ref="S239" ca="1">IF($R239&lt;&gt;"",
SUBSTITUTE(SUBSTITUTE(INDIRECT("C"&amp;$R239&amp;"")," 週3ｺｰｽ","")," 週5ｺｰｽ",""),"")</f>
        <v/>
      </c>
      <c r="T239" s="49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22" t="str">
        <f t="array" aca="1" ref="U239" ca="1">IF($R239&lt;&gt;"",
INDIRECT("F"&amp;$R239&amp;""),"")</f>
        <v/>
      </c>
      <c r="V239" s="49" t="str">
        <f t="array" aca="1" ref="V239" ca="1">IF($R239&lt;&gt;"",
INDIRECT("G"&amp;$R239&amp;""),"")</f>
        <v/>
      </c>
      <c r="W239" s="49" t="str">
        <f t="array" aca="1" ref="W239" ca="1">IF($R239&lt;&gt;"",
IF(AND(COUNTIF(INDIRECT("B"&amp;R239&amp;""),"*雙葉*"),COUNTIF(B:B,"*雙葉*")&gt;=2),
IF(OR(COUNTIF(INDIRECT("B"&amp;R239&amp;""),"*雙葉先生*"),COUNTIF($B$1:$B$70,"*雙葉*")&gt;=2),INDIRECT("H"&amp;R239&amp;""),INDIRECT("H"&amp;R239&amp;"")+INDIRECT("H"&amp;MATCH("雙葉'",INDIRECT("B"&amp;R239+3&amp;":B210"),0)+2+R239&amp;"")),
IF(AND(LEFT(INDIRECT("B"&amp;R239&amp;""),2)="博多",COUNTIF(B:B,"*博多*")&gt;=2),
INDIRECT("H"&amp;R239&amp;"")+INDIRECT("H"&amp;MATCH("*"&amp;INDIRECT("B"&amp;R239&amp;"")&amp;"*",INDIRECT("B"&amp;R239+1&amp;":B210"),0)+R239&amp;""),
IF(AND(LEFT(INDIRECT("B"&amp;R239&amp;""),3)="奈良屋",COUNTIF(B:B,"*奈良屋*")&gt;=2),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49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49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49" t="str">
        <f t="shared" ca="1" si="35"/>
        <v/>
      </c>
      <c r="AA239" s="49" t="str">
        <f t="shared" ca="1" si="36"/>
        <v/>
      </c>
      <c r="AB239" s="49" t="str">
        <f t="array" aca="1" ref="AB239" ca="1">IF($R239&lt;&gt;"",
IF(AND(COUNTIF(INDIRECT("B"&amp;R239&amp;""),"*雙葉*"),COUNTIF(B:B,"*雙葉*")&gt;=2),
INDIRECT("M"&amp;R239&amp;"")+INDIRECT("M"&amp;MATCH("雙葉'",INDIRECT("B"&amp;R239+1&amp;":B210"),0)+R239&amp;""),
IF(AND(LEFT(INDIRECT("B"&amp;R239&amp;""),2)="博多",COUNTIF(B:B,"*博多*")&gt;=2),
INDIRECT("M"&amp;R239&amp;"")+INDIRECT("M"&amp;MATCH("*"&amp;INDIRECT("B"&amp;R239&amp;"")&amp;"*",INDIRECT("B"&amp;R239+1&amp;":B210"),0)+R239&amp;""),
IF(AND(LEFT(INDIRECT("B"&amp;R239&amp;""),3)="奈良屋",COUNTIF(B:B,"*奈良屋*")&gt;=2),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  <c r="AC239" s="49" t="str">
        <f ca="1">IF(S239&lt;&gt;"",INDEX(A:A, MATCH("*"&amp;LEFT(S239,4)&amp;"*", C:C, 0)),"")</f>
        <v/>
      </c>
      <c r="AD239" s="49" t="str">
        <f ca="1">IFERROR(INDEX(AC:AC,MATCH(SMALL($AU:$AU,ROW()+3),$AU:$AU,0)),"")</f>
        <v/>
      </c>
      <c r="AE239" s="49" t="str">
        <f ca="1">IFERROR(INDEX(R:R,MATCH(SMALL($AU:$AU,ROW()+3),$AU:$AU,0)),"")</f>
        <v/>
      </c>
      <c r="AF239" s="49" t="str">
        <f ca="1">IFERROR(INDEX(S:S,MATCH(SMALL($AU:$AU,ROW()+3),$AU:$AU,0)),"")</f>
        <v/>
      </c>
      <c r="AG239" s="49" t="str">
        <f ca="1">IFERROR(INDEX(T:T,MATCH(SMALL($AU:$AU,ROW()+3),$AU:$AU,0)),"")</f>
        <v/>
      </c>
      <c r="AH239" s="122" t="str">
        <f ca="1">IFERROR(INDEX(U:U,MATCH(SMALL($AU:$AU,ROW()+3),$AU:$AU,0)),"")</f>
        <v/>
      </c>
      <c r="AI239" s="49" t="str">
        <f ca="1">IFERROR(INDEX(V:V,MATCH(SMALL($AU:$AU,ROW()+3),$AU:$AU,0)),"")</f>
        <v/>
      </c>
      <c r="AJ239" s="49" t="str">
        <f ca="1">IFERROR(INDEX(W:W,MATCH(SMALL($AU:$AU,ROW()+3),$AU:$AU,0)),"")</f>
        <v/>
      </c>
      <c r="AK239" s="49" t="str">
        <f ca="1">IFERROR(INDEX(X:X,MATCH(SMALL($AU:$AU,ROW()+3),$AU:$AU,0)),"")</f>
        <v/>
      </c>
      <c r="AL239" s="49" t="str">
        <f ca="1">IFERROR(INDEX(Y:Y,MATCH(SMALL($AU:$AU,ROW()+3),$AU:$AU,0)),"")</f>
        <v/>
      </c>
      <c r="AM239" s="49" t="str">
        <f ca="1">IFERROR(INDEX(Z:Z,MATCH(SMALL($AU:$AU,ROW()+3),$AU:$AU,0)),"")</f>
        <v/>
      </c>
      <c r="AN239" s="49" t="str">
        <f ca="1">IFERROR(INDEX(AA:AA,MATCH(SMALL($AU:$AU,ROW()+3),$AU:$AU,0)),"")</f>
        <v/>
      </c>
      <c r="AO239" s="49" t="str">
        <f ca="1">IFERROR(INDEX(AB:AB,MATCH(SMALL($AU:$AU,ROW()+3),$AU:$AU,0)),"")</f>
        <v/>
      </c>
      <c r="AP239" s="49" t="str">
        <f ca="1">IFERROR(INDEX(AC:AC,MATCH(SMALL($AU:$AU,ROW()+3),$AU:$AU,0)),"")</f>
        <v/>
      </c>
      <c r="AU239" s="49" t="str">
        <f t="shared" ca="1" si="37"/>
        <v/>
      </c>
    </row>
    <row r="240" spans="1:47">
      <c r="A240" s="107" t="str">
        <f ca="1">IF(C240&lt;&gt;"",A239+1,"")</f>
        <v/>
      </c>
      <c r="B240" s="127"/>
      <c r="C240" s="128" t="str">
        <f t="array" aca="1" ref="C240" ca="1">IF(OR(INDIRECT("まとめ札!G"&amp;B239&amp;"")="",INDIRECT("まとめ札!G"&amp;B239&amp;"")=0),"",INDIRECT("まとめ札!A"&amp;B239&amp;"")&amp;"【2】")</f>
        <v/>
      </c>
      <c r="D240" s="128"/>
      <c r="E240" s="128"/>
      <c r="F240" s="129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130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127" t="str">
        <f t="array" aca="1" ref="H240" ca="1">IF(OR(INDIRECT("まとめ札!G"&amp;B239&amp;"")="",INDIRECT("まとめ札!G"&amp;B239&amp;"")=0),"",INDIRECT("まとめ札!G"&amp;B239&amp;""))</f>
        <v/>
      </c>
      <c r="I240" s="127"/>
      <c r="J240" s="127" t="str">
        <f ca="1">IF(C240&lt;&gt;"",
IF(OR(COUNTIF(C240,"*キャラ*"),COUNTIF(C240,"*赤*")),24,
VLOOKUP(C240,#REF!,6,FALSE)),"")</f>
        <v/>
      </c>
      <c r="M240" s="127"/>
      <c r="P240" s="127" t="str">
        <f t="shared" ca="1" si="40"/>
        <v/>
      </c>
      <c r="Q240" s="127" t="str">
        <f t="shared" ca="1" si="41"/>
        <v/>
      </c>
      <c r="R240" s="49" t="str">
        <f t="array" aca="1" ref="R240" ca="1">IFERROR(SMALL(IF(P$1:P$311&lt;&gt;0,P$1:P$311),ROW(A240)),"")</f>
        <v/>
      </c>
      <c r="S240" s="49" t="str">
        <f t="array" aca="1" ref="S240" ca="1">IF($R240&lt;&gt;"",
SUBSTITUTE(SUBSTITUTE(INDIRECT("C"&amp;$R240&amp;"")," 週3ｺｰｽ","")," 週5ｺｰｽ",""),"")</f>
        <v/>
      </c>
      <c r="T240" s="49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22" t="str">
        <f t="array" aca="1" ref="U240" ca="1">IF($R240&lt;&gt;"",
INDIRECT("F"&amp;$R240&amp;""),"")</f>
        <v/>
      </c>
      <c r="V240" s="49" t="str">
        <f t="array" aca="1" ref="V240" ca="1">IF($R240&lt;&gt;"",
INDIRECT("G"&amp;$R240&amp;""),"")</f>
        <v/>
      </c>
      <c r="W240" s="49" t="str">
        <f t="array" aca="1" ref="W240" ca="1">IF($R240&lt;&gt;"",
IF(AND(COUNTIF(INDIRECT("B"&amp;R240&amp;""),"*雙葉*"),COUNTIF(B:B,"*雙葉*")&gt;=2),
IF(OR(COUNTIF(INDIRECT("B"&amp;R240&amp;""),"*雙葉先生*"),COUNTIF($B$1:$B$70,"*雙葉*")&gt;=2),INDIRECT("H"&amp;R240&amp;""),INDIRECT("H"&amp;R240&amp;"")+INDIRECT("H"&amp;MATCH("雙葉'",INDIRECT("B"&amp;R240+3&amp;":B210"),0)+2+R240&amp;"")),
IF(AND(LEFT(INDIRECT("B"&amp;R240&amp;""),2)="博多",COUNTIF(B:B,"*博多*")&gt;=2),
INDIRECT("H"&amp;R240&amp;"")+INDIRECT("H"&amp;MATCH("*"&amp;INDIRECT("B"&amp;R240&amp;"")&amp;"*",INDIRECT("B"&amp;R240+1&amp;":B210"),0)+R240&amp;""),
IF(AND(LEFT(INDIRECT("B"&amp;R240&amp;""),3)="奈良屋",COUNTIF(B:B,"*奈良屋*")&gt;=2),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49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49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49" t="str">
        <f t="shared" ca="1" si="35"/>
        <v/>
      </c>
      <c r="AA240" s="49" t="str">
        <f t="shared" ca="1" si="36"/>
        <v/>
      </c>
      <c r="AB240" s="49" t="str">
        <f t="array" aca="1" ref="AB240" ca="1">IF($R240&lt;&gt;"",
IF(AND(COUNTIF(INDIRECT("B"&amp;R240&amp;""),"*雙葉*"),COUNTIF(B:B,"*雙葉*")&gt;=2),
INDIRECT("M"&amp;R240&amp;"")+INDIRECT("M"&amp;MATCH("雙葉'",INDIRECT("B"&amp;R240+1&amp;":B210"),0)+R240&amp;""),
IF(AND(LEFT(INDIRECT("B"&amp;R240&amp;""),2)="博多",COUNTIF(B:B,"*博多*")&gt;=2),
INDIRECT("M"&amp;R240&amp;"")+INDIRECT("M"&amp;MATCH("*"&amp;INDIRECT("B"&amp;R240&amp;"")&amp;"*",INDIRECT("B"&amp;R240+1&amp;":B210"),0)+R240&amp;""),
IF(AND(LEFT(INDIRECT("B"&amp;R240&amp;""),3)="奈良屋",COUNTIF(B:B,"*奈良屋*")&gt;=2),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  <c r="AC240" s="49" t="str">
        <f ca="1">IF(S240&lt;&gt;"",INDEX(A:A, MATCH("*"&amp;LEFT(S240,4)&amp;"*", C:C, 0)),"")</f>
        <v/>
      </c>
      <c r="AD240" s="49" t="str">
        <f ca="1">IFERROR(INDEX(AC:AC,MATCH(SMALL($AU:$AU,ROW()+3),$AU:$AU,0)),"")</f>
        <v/>
      </c>
      <c r="AE240" s="49" t="str">
        <f ca="1">IFERROR(INDEX(R:R,MATCH(SMALL($AU:$AU,ROW()+3),$AU:$AU,0)),"")</f>
        <v/>
      </c>
      <c r="AF240" s="49" t="str">
        <f ca="1">IFERROR(INDEX(S:S,MATCH(SMALL($AU:$AU,ROW()+3),$AU:$AU,0)),"")</f>
        <v/>
      </c>
      <c r="AG240" s="49" t="str">
        <f ca="1">IFERROR(INDEX(T:T,MATCH(SMALL($AU:$AU,ROW()+3),$AU:$AU,0)),"")</f>
        <v/>
      </c>
      <c r="AH240" s="122" t="str">
        <f ca="1">IFERROR(INDEX(U:U,MATCH(SMALL($AU:$AU,ROW()+3),$AU:$AU,0)),"")</f>
        <v/>
      </c>
      <c r="AI240" s="49" t="str">
        <f ca="1">IFERROR(INDEX(V:V,MATCH(SMALL($AU:$AU,ROW()+3),$AU:$AU,0)),"")</f>
        <v/>
      </c>
      <c r="AJ240" s="49" t="str">
        <f ca="1">IFERROR(INDEX(W:W,MATCH(SMALL($AU:$AU,ROW()+3),$AU:$AU,0)),"")</f>
        <v/>
      </c>
      <c r="AK240" s="49" t="str">
        <f ca="1">IFERROR(INDEX(X:X,MATCH(SMALL($AU:$AU,ROW()+3),$AU:$AU,0)),"")</f>
        <v/>
      </c>
      <c r="AL240" s="49" t="str">
        <f ca="1">IFERROR(INDEX(Y:Y,MATCH(SMALL($AU:$AU,ROW()+3),$AU:$AU,0)),"")</f>
        <v/>
      </c>
      <c r="AM240" s="49" t="str">
        <f ca="1">IFERROR(INDEX(Z:Z,MATCH(SMALL($AU:$AU,ROW()+3),$AU:$AU,0)),"")</f>
        <v/>
      </c>
      <c r="AN240" s="49" t="str">
        <f ca="1">IFERROR(INDEX(AA:AA,MATCH(SMALL($AU:$AU,ROW()+3),$AU:$AU,0)),"")</f>
        <v/>
      </c>
      <c r="AO240" s="49" t="str">
        <f ca="1">IFERROR(INDEX(AB:AB,MATCH(SMALL($AU:$AU,ROW()+3),$AU:$AU,0)),"")</f>
        <v/>
      </c>
      <c r="AP240" s="49" t="str">
        <f ca="1">IFERROR(INDEX(AC:AC,MATCH(SMALL($AU:$AU,ROW()+3),$AU:$AU,0)),"")</f>
        <v/>
      </c>
      <c r="AU240" s="49" t="str">
        <f t="shared" ca="1" si="37"/>
        <v/>
      </c>
    </row>
    <row r="241" spans="1:47">
      <c r="A241" s="107" t="str">
        <f ca="1">IF(C241&lt;&gt;"",A240+1,"")</f>
        <v/>
      </c>
      <c r="B241" s="127"/>
      <c r="C241" s="128" t="str">
        <f t="array" aca="1" ref="C241" ca="1">IF(OR(INDIRECT("まとめ札!H"&amp;B239&amp;"")="",INDIRECT("まとめ札!H"&amp;B239&amp;"")=0),"",INDIRECT("まとめ札!A"&amp;B239&amp;"")&amp;"【3】")</f>
        <v/>
      </c>
      <c r="D241" s="128"/>
      <c r="E241" s="128"/>
      <c r="F241" s="129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130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127" t="str">
        <f t="array" aca="1" ref="H241" ca="1">IF(OR(INDIRECT("まとめ札!H"&amp;B239&amp;"")="",INDIRECT("まとめ札!H"&amp;B239&amp;"")=0),"",INDIRECT("まとめ札!H"&amp;B239&amp;""))</f>
        <v/>
      </c>
      <c r="I241" s="127"/>
      <c r="J241" s="127" t="str">
        <f ca="1">IF(C241&lt;&gt;"",
IF(OR(COUNTIF(C241,"*キャラ*"),COUNTIF(C241,"*赤*")),24,
VLOOKUP(C241,#REF!,6,FALSE)),"")</f>
        <v/>
      </c>
      <c r="M241" s="127"/>
      <c r="P241" s="127" t="str">
        <f t="shared" ca="1" si="40"/>
        <v/>
      </c>
      <c r="Q241" s="127" t="str">
        <f t="shared" ca="1" si="41"/>
        <v/>
      </c>
      <c r="R241" s="49" t="str">
        <f t="array" aca="1" ref="R241" ca="1">IFERROR(SMALL(IF(P$1:P$311&lt;&gt;0,P$1:P$311),ROW(A241)),"")</f>
        <v/>
      </c>
      <c r="S241" s="49" t="str">
        <f t="array" aca="1" ref="S241" ca="1">IF($R241&lt;&gt;"",
SUBSTITUTE(SUBSTITUTE(INDIRECT("C"&amp;$R241&amp;"")," 週3ｺｰｽ","")," 週5ｺｰｽ",""),"")</f>
        <v/>
      </c>
      <c r="T241" s="49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22" t="str">
        <f t="array" aca="1" ref="U241" ca="1">IF($R241&lt;&gt;"",
INDIRECT("F"&amp;$R241&amp;""),"")</f>
        <v/>
      </c>
      <c r="V241" s="49" t="str">
        <f t="array" aca="1" ref="V241" ca="1">IF($R241&lt;&gt;"",
INDIRECT("G"&amp;$R241&amp;""),"")</f>
        <v/>
      </c>
      <c r="W241" s="49" t="str">
        <f t="array" aca="1" ref="W241" ca="1">IF($R241&lt;&gt;"",
IF(AND(COUNTIF(INDIRECT("B"&amp;R241&amp;""),"*雙葉*"),COUNTIF(B:B,"*雙葉*")&gt;=2),
IF(OR(COUNTIF(INDIRECT("B"&amp;R241&amp;""),"*雙葉先生*"),COUNTIF($B$1:$B$70,"*雙葉*")&gt;=2),INDIRECT("H"&amp;R241&amp;""),INDIRECT("H"&amp;R241&amp;"")+INDIRECT("H"&amp;MATCH("雙葉'",INDIRECT("B"&amp;R241+3&amp;":B210"),0)+2+R241&amp;"")),
IF(AND(LEFT(INDIRECT("B"&amp;R241&amp;""),2)="博多",COUNTIF(B:B,"*博多*")&gt;=2),
INDIRECT("H"&amp;R241&amp;"")+INDIRECT("H"&amp;MATCH("*"&amp;INDIRECT("B"&amp;R241&amp;"")&amp;"*",INDIRECT("B"&amp;R241+1&amp;":B210"),0)+R241&amp;""),
IF(AND(LEFT(INDIRECT("B"&amp;R241&amp;""),3)="奈良屋",COUNTIF(B:B,"*奈良屋*")&gt;=2),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49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49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49" t="str">
        <f t="shared" ca="1" si="35"/>
        <v/>
      </c>
      <c r="AA241" s="49" t="str">
        <f t="shared" ca="1" si="36"/>
        <v/>
      </c>
      <c r="AB241" s="49" t="str">
        <f t="array" aca="1" ref="AB241" ca="1">IF($R241&lt;&gt;"",
IF(AND(COUNTIF(INDIRECT("B"&amp;R241&amp;""),"*雙葉*"),COUNTIF(B:B,"*雙葉*")&gt;=2),
INDIRECT("M"&amp;R241&amp;"")+INDIRECT("M"&amp;MATCH("雙葉'",INDIRECT("B"&amp;R241+1&amp;":B210"),0)+R241&amp;""),
IF(AND(LEFT(INDIRECT("B"&amp;R241&amp;""),2)="博多",COUNTIF(B:B,"*博多*")&gt;=2),
INDIRECT("M"&amp;R241&amp;"")+INDIRECT("M"&amp;MATCH("*"&amp;INDIRECT("B"&amp;R241&amp;"")&amp;"*",INDIRECT("B"&amp;R241+1&amp;":B210"),0)+R241&amp;""),
IF(AND(LEFT(INDIRECT("B"&amp;R241&amp;""),3)="奈良屋",COUNTIF(B:B,"*奈良屋*")&gt;=2),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  <c r="AC241" s="49" t="str">
        <f ca="1">IF(S241&lt;&gt;"",INDEX(A:A, MATCH("*"&amp;LEFT(S241,4)&amp;"*", C:C, 0)),"")</f>
        <v/>
      </c>
      <c r="AD241" s="49" t="str">
        <f ca="1">IFERROR(INDEX(AC:AC,MATCH(SMALL($AU:$AU,ROW()+3),$AU:$AU,0)),"")</f>
        <v/>
      </c>
      <c r="AE241" s="49" t="str">
        <f ca="1">IFERROR(INDEX(R:R,MATCH(SMALL($AU:$AU,ROW()+3),$AU:$AU,0)),"")</f>
        <v/>
      </c>
      <c r="AF241" s="49" t="str">
        <f ca="1">IFERROR(INDEX(S:S,MATCH(SMALL($AU:$AU,ROW()+3),$AU:$AU,0)),"")</f>
        <v/>
      </c>
      <c r="AG241" s="49" t="str">
        <f ca="1">IFERROR(INDEX(T:T,MATCH(SMALL($AU:$AU,ROW()+3),$AU:$AU,0)),"")</f>
        <v/>
      </c>
      <c r="AH241" s="122" t="str">
        <f ca="1">IFERROR(INDEX(U:U,MATCH(SMALL($AU:$AU,ROW()+3),$AU:$AU,0)),"")</f>
        <v/>
      </c>
      <c r="AI241" s="49" t="str">
        <f ca="1">IFERROR(INDEX(V:V,MATCH(SMALL($AU:$AU,ROW()+3),$AU:$AU,0)),"")</f>
        <v/>
      </c>
      <c r="AJ241" s="49" t="str">
        <f ca="1">IFERROR(INDEX(W:W,MATCH(SMALL($AU:$AU,ROW()+3),$AU:$AU,0)),"")</f>
        <v/>
      </c>
      <c r="AK241" s="49" t="str">
        <f ca="1">IFERROR(INDEX(X:X,MATCH(SMALL($AU:$AU,ROW()+3),$AU:$AU,0)),"")</f>
        <v/>
      </c>
      <c r="AL241" s="49" t="str">
        <f ca="1">IFERROR(INDEX(Y:Y,MATCH(SMALL($AU:$AU,ROW()+3),$AU:$AU,0)),"")</f>
        <v/>
      </c>
      <c r="AM241" s="49" t="str">
        <f ca="1">IFERROR(INDEX(Z:Z,MATCH(SMALL($AU:$AU,ROW()+3),$AU:$AU,0)),"")</f>
        <v/>
      </c>
      <c r="AN241" s="49" t="str">
        <f ca="1">IFERROR(INDEX(AA:AA,MATCH(SMALL($AU:$AU,ROW()+3),$AU:$AU,0)),"")</f>
        <v/>
      </c>
      <c r="AO241" s="49" t="str">
        <f ca="1">IFERROR(INDEX(AB:AB,MATCH(SMALL($AU:$AU,ROW()+3),$AU:$AU,0)),"")</f>
        <v/>
      </c>
      <c r="AP241" s="49" t="str">
        <f ca="1">IFERROR(INDEX(AC:AC,MATCH(SMALL($AU:$AU,ROW()+3),$AU:$AU,0)),"")</f>
        <v/>
      </c>
      <c r="AU241" s="49" t="str">
        <f t="shared" ca="1" si="37"/>
        <v/>
      </c>
    </row>
    <row r="242" spans="1:47">
      <c r="A242" s="107" t="str">
        <f ca="1">IF(C242&lt;&gt;"",A241+1,"")</f>
        <v/>
      </c>
      <c r="B242" s="127"/>
      <c r="C242" s="128" t="str">
        <f t="array" aca="1" ref="C242" ca="1">IF(OR(INDIRECT("まとめ札!I"&amp;B239&amp;"")="",INDIRECT("まとめ札!I"&amp;B239&amp;"")=0),"",INDIRECT("まとめ札!A"&amp;B239&amp;"")&amp;"【4】")</f>
        <v/>
      </c>
      <c r="D242" s="128"/>
      <c r="E242" s="128"/>
      <c r="F242" s="129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130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127" t="str">
        <f t="array" aca="1" ref="H242" ca="1">IF(OR(INDIRECT("まとめ札!I"&amp;B239&amp;"")="",INDIRECT("まとめ札!I"&amp;B239&amp;"")=0),"",INDIRECT("まとめ札!I"&amp;B239&amp;""))</f>
        <v/>
      </c>
      <c r="I242" s="127"/>
      <c r="J242" s="127" t="str">
        <f ca="1">IF(C242&lt;&gt;"",
IF(OR(COUNTIF(C242,"*キャラ*"),COUNTIF(C242,"*赤*")),24,
VLOOKUP(C242,#REF!,6,FALSE)),"")</f>
        <v/>
      </c>
      <c r="M242" s="127"/>
      <c r="P242" s="127" t="str">
        <f t="shared" ca="1" si="40"/>
        <v/>
      </c>
      <c r="Q242" s="127" t="str">
        <f t="shared" ca="1" si="41"/>
        <v/>
      </c>
      <c r="R242" s="49" t="str">
        <f t="array" aca="1" ref="R242" ca="1">IFERROR(SMALL(IF(P$1:P$311&lt;&gt;0,P$1:P$311),ROW(A242)),"")</f>
        <v/>
      </c>
      <c r="S242" s="49" t="str">
        <f t="array" aca="1" ref="S242" ca="1">IF($R242&lt;&gt;"",
SUBSTITUTE(SUBSTITUTE(INDIRECT("C"&amp;$R242&amp;"")," 週3ｺｰｽ","")," 週5ｺｰｽ",""),"")</f>
        <v/>
      </c>
      <c r="T242" s="49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22" t="str">
        <f t="array" aca="1" ref="U242" ca="1">IF($R242&lt;&gt;"",
INDIRECT("F"&amp;$R242&amp;""),"")</f>
        <v/>
      </c>
      <c r="V242" s="49" t="str">
        <f t="array" aca="1" ref="V242" ca="1">IF($R242&lt;&gt;"",
INDIRECT("G"&amp;$R242&amp;""),"")</f>
        <v/>
      </c>
      <c r="W242" s="49" t="str">
        <f t="array" aca="1" ref="W242" ca="1">IF($R242&lt;&gt;"",
IF(AND(COUNTIF(INDIRECT("B"&amp;R242&amp;""),"*雙葉*"),COUNTIF(B:B,"*雙葉*")&gt;=2),
IF(OR(COUNTIF(INDIRECT("B"&amp;R242&amp;""),"*雙葉先生*"),COUNTIF($B$1:$B$70,"*雙葉*")&gt;=2),INDIRECT("H"&amp;R242&amp;""),INDIRECT("H"&amp;R242&amp;"")+INDIRECT("H"&amp;MATCH("雙葉'",INDIRECT("B"&amp;R242+3&amp;":B210"),0)+2+R242&amp;"")),
IF(AND(LEFT(INDIRECT("B"&amp;R242&amp;""),2)="博多",COUNTIF(B:B,"*博多*")&gt;=2),
INDIRECT("H"&amp;R242&amp;"")+INDIRECT("H"&amp;MATCH("*"&amp;INDIRECT("B"&amp;R242&amp;"")&amp;"*",INDIRECT("B"&amp;R242+1&amp;":B210"),0)+R242&amp;""),
IF(AND(LEFT(INDIRECT("B"&amp;R242&amp;""),3)="奈良屋",COUNTIF(B:B,"*奈良屋*")&gt;=2),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49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49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49" t="str">
        <f t="shared" ca="1" si="35"/>
        <v/>
      </c>
      <c r="AA242" s="49" t="str">
        <f t="shared" ca="1" si="36"/>
        <v/>
      </c>
      <c r="AB242" s="49" t="str">
        <f t="array" aca="1" ref="AB242" ca="1">IF($R242&lt;&gt;"",
IF(AND(COUNTIF(INDIRECT("B"&amp;R242&amp;""),"*雙葉*"),COUNTIF(B:B,"*雙葉*")&gt;=2),
INDIRECT("M"&amp;R242&amp;"")+INDIRECT("M"&amp;MATCH("雙葉'",INDIRECT("B"&amp;R242+1&amp;":B210"),0)+R242&amp;""),
IF(AND(LEFT(INDIRECT("B"&amp;R242&amp;""),2)="博多",COUNTIF(B:B,"*博多*")&gt;=2),
INDIRECT("M"&amp;R242&amp;"")+INDIRECT("M"&amp;MATCH("*"&amp;INDIRECT("B"&amp;R242&amp;"")&amp;"*",INDIRECT("B"&amp;R242+1&amp;":B210"),0)+R242&amp;""),
IF(AND(LEFT(INDIRECT("B"&amp;R242&amp;""),3)="奈良屋",COUNTIF(B:B,"*奈良屋*")&gt;=2),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  <c r="AC242" s="49" t="str">
        <f ca="1">IF(S242&lt;&gt;"",INDEX(A:A, MATCH("*"&amp;LEFT(S242,4)&amp;"*", C:C, 0)),"")</f>
        <v/>
      </c>
      <c r="AD242" s="49" t="str">
        <f ca="1">IFERROR(INDEX(AC:AC,MATCH(SMALL($AU:$AU,ROW()+3),$AU:$AU,0)),"")</f>
        <v/>
      </c>
      <c r="AE242" s="49" t="str">
        <f ca="1">IFERROR(INDEX(R:R,MATCH(SMALL($AU:$AU,ROW()+3),$AU:$AU,0)),"")</f>
        <v/>
      </c>
      <c r="AF242" s="49" t="str">
        <f ca="1">IFERROR(INDEX(S:S,MATCH(SMALL($AU:$AU,ROW()+3),$AU:$AU,0)),"")</f>
        <v/>
      </c>
      <c r="AG242" s="49" t="str">
        <f ca="1">IFERROR(INDEX(T:T,MATCH(SMALL($AU:$AU,ROW()+3),$AU:$AU,0)),"")</f>
        <v/>
      </c>
      <c r="AH242" s="122" t="str">
        <f ca="1">IFERROR(INDEX(U:U,MATCH(SMALL($AU:$AU,ROW()+3),$AU:$AU,0)),"")</f>
        <v/>
      </c>
      <c r="AI242" s="49" t="str">
        <f ca="1">IFERROR(INDEX(V:V,MATCH(SMALL($AU:$AU,ROW()+3),$AU:$AU,0)),"")</f>
        <v/>
      </c>
      <c r="AJ242" s="49" t="str">
        <f ca="1">IFERROR(INDEX(W:W,MATCH(SMALL($AU:$AU,ROW()+3),$AU:$AU,0)),"")</f>
        <v/>
      </c>
      <c r="AK242" s="49" t="str">
        <f ca="1">IFERROR(INDEX(X:X,MATCH(SMALL($AU:$AU,ROW()+3),$AU:$AU,0)),"")</f>
        <v/>
      </c>
      <c r="AL242" s="49" t="str">
        <f ca="1">IFERROR(INDEX(Y:Y,MATCH(SMALL($AU:$AU,ROW()+3),$AU:$AU,0)),"")</f>
        <v/>
      </c>
      <c r="AM242" s="49" t="str">
        <f ca="1">IFERROR(INDEX(Z:Z,MATCH(SMALL($AU:$AU,ROW()+3),$AU:$AU,0)),"")</f>
        <v/>
      </c>
      <c r="AN242" s="49" t="str">
        <f ca="1">IFERROR(INDEX(AA:AA,MATCH(SMALL($AU:$AU,ROW()+3),$AU:$AU,0)),"")</f>
        <v/>
      </c>
      <c r="AO242" s="49" t="str">
        <f ca="1">IFERROR(INDEX(AB:AB,MATCH(SMALL($AU:$AU,ROW()+3),$AU:$AU,0)),"")</f>
        <v/>
      </c>
      <c r="AP242" s="49" t="str">
        <f ca="1">IFERROR(INDEX(AC:AC,MATCH(SMALL($AU:$AU,ROW()+3),$AU:$AU,0)),"")</f>
        <v/>
      </c>
      <c r="AU242" s="49" t="str">
        <f t="shared" ca="1" si="37"/>
        <v/>
      </c>
    </row>
    <row r="243" spans="1:47">
      <c r="A243" s="107">
        <f ca="1">IF(C243&lt;&gt;"",MAX($A$239:$A$242)+1,"")</f>
        <v>153</v>
      </c>
      <c r="B243" s="127">
        <v>8</v>
      </c>
      <c r="C243" s="128" t="str">
        <f t="array" aca="1" ref="C243" ca="1">IF(INDIRECT("まとめ札!A"&amp;B243&amp;"")&lt;&gt;0,INDIRECT("まとめ札!A"&amp;B243&amp;"")&amp;"【1】","")</f>
        <v>赤 飯なし【1】</v>
      </c>
      <c r="D243" s="128"/>
      <c r="E243" s="128"/>
      <c r="F243" s="129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130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127" t="str">
        <f t="array" aca="1" ref="H243" ca="1">IF(INDIRECT("まとめ札!F"&amp;B243&amp;"")&lt;&gt;0,INDIRECT("まとめ札!F"&amp;B243&amp;""),"")</f>
        <v/>
      </c>
      <c r="I243" s="127"/>
      <c r="J243" s="127">
        <f ca="1">IF(C243&lt;&gt;"",
IF(OR(COUNTIF(C243,"*キャラ*"),COUNTIF(C243,"*赤*")),24,
VLOOKUP(C243,#REF!,6,FALSE)),"")</f>
        <v>24</v>
      </c>
      <c r="M243" s="127"/>
      <c r="P243" s="127" t="str">
        <f t="shared" ca="1" si="40"/>
        <v/>
      </c>
      <c r="Q243" s="127" t="str">
        <f t="shared" ca="1" si="41"/>
        <v/>
      </c>
      <c r="R243" s="49" t="str">
        <f t="array" aca="1" ref="R243" ca="1">IFERROR(SMALL(IF(P$1:P$311&lt;&gt;0,P$1:P$311),ROW(A243)),"")</f>
        <v/>
      </c>
      <c r="S243" s="49" t="str">
        <f t="array" aca="1" ref="S243" ca="1">IF($R243&lt;&gt;"",
SUBSTITUTE(SUBSTITUTE(INDIRECT("C"&amp;$R243&amp;"")," 週3ｺｰｽ","")," 週5ｺｰｽ",""),"")</f>
        <v/>
      </c>
      <c r="T243" s="49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22" t="str">
        <f t="array" aca="1" ref="U243" ca="1">IF($R243&lt;&gt;"",
INDIRECT("F"&amp;$R243&amp;""),"")</f>
        <v/>
      </c>
      <c r="V243" s="49" t="str">
        <f t="array" aca="1" ref="V243" ca="1">IF($R243&lt;&gt;"",
INDIRECT("G"&amp;$R243&amp;""),"")</f>
        <v/>
      </c>
      <c r="W243" s="49" t="str">
        <f t="array" aca="1" ref="W243" ca="1">IF($R243&lt;&gt;"",
IF(AND(COUNTIF(INDIRECT("B"&amp;R243&amp;""),"*雙葉*"),COUNTIF(B:B,"*雙葉*")&gt;=2),
IF(OR(COUNTIF(INDIRECT("B"&amp;R243&amp;""),"*雙葉先生*"),COUNTIF($B$1:$B$70,"*雙葉*")&gt;=2),INDIRECT("H"&amp;R243&amp;""),INDIRECT("H"&amp;R243&amp;"")+INDIRECT("H"&amp;MATCH("雙葉'",INDIRECT("B"&amp;R243+3&amp;":B210"),0)+2+R243&amp;"")),
IF(AND(LEFT(INDIRECT("B"&amp;R243&amp;""),2)="博多",COUNTIF(B:B,"*博多*")&gt;=2),
INDIRECT("H"&amp;R243&amp;"")+INDIRECT("H"&amp;MATCH("*"&amp;INDIRECT("B"&amp;R243&amp;"")&amp;"*",INDIRECT("B"&amp;R243+1&amp;":B210"),0)+R243&amp;""),
IF(AND(LEFT(INDIRECT("B"&amp;R243&amp;""),3)="奈良屋",COUNTIF(B:B,"*奈良屋*")&gt;=2),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49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49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49" t="str">
        <f t="shared" ca="1" si="35"/>
        <v/>
      </c>
      <c r="AA243" s="49" t="str">
        <f t="shared" ca="1" si="36"/>
        <v/>
      </c>
      <c r="AB243" s="49" t="str">
        <f t="array" aca="1" ref="AB243" ca="1">IF($R243&lt;&gt;"",
IF(AND(COUNTIF(INDIRECT("B"&amp;R243&amp;""),"*雙葉*"),COUNTIF(B:B,"*雙葉*")&gt;=2),
INDIRECT("M"&amp;R243&amp;"")+INDIRECT("M"&amp;MATCH("雙葉'",INDIRECT("B"&amp;R243+1&amp;":B210"),0)+R243&amp;""),
IF(AND(LEFT(INDIRECT("B"&amp;R243&amp;""),2)="博多",COUNTIF(B:B,"*博多*")&gt;=2),
INDIRECT("M"&amp;R243&amp;"")+INDIRECT("M"&amp;MATCH("*"&amp;INDIRECT("B"&amp;R243&amp;"")&amp;"*",INDIRECT("B"&amp;R243+1&amp;":B210"),0)+R243&amp;""),
IF(AND(LEFT(INDIRECT("B"&amp;R243&amp;""),3)="奈良屋",COUNTIF(B:B,"*奈良屋*")&gt;=2),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  <c r="AC243" s="49" t="str">
        <f ca="1">IF(S243&lt;&gt;"",INDEX(A:A, MATCH("*"&amp;LEFT(S243,4)&amp;"*", C:C, 0)),"")</f>
        <v/>
      </c>
      <c r="AD243" s="49" t="str">
        <f ca="1">IFERROR(INDEX(AC:AC,MATCH(SMALL($AU:$AU,ROW()+3),$AU:$AU,0)),"")</f>
        <v/>
      </c>
      <c r="AE243" s="49" t="str">
        <f ca="1">IFERROR(INDEX(R:R,MATCH(SMALL($AU:$AU,ROW()+3),$AU:$AU,0)),"")</f>
        <v/>
      </c>
      <c r="AF243" s="49" t="str">
        <f ca="1">IFERROR(INDEX(S:S,MATCH(SMALL($AU:$AU,ROW()+3),$AU:$AU,0)),"")</f>
        <v/>
      </c>
      <c r="AG243" s="49" t="str">
        <f ca="1">IFERROR(INDEX(T:T,MATCH(SMALL($AU:$AU,ROW()+3),$AU:$AU,0)),"")</f>
        <v/>
      </c>
      <c r="AH243" s="122" t="str">
        <f ca="1">IFERROR(INDEX(U:U,MATCH(SMALL($AU:$AU,ROW()+3),$AU:$AU,0)),"")</f>
        <v/>
      </c>
      <c r="AI243" s="49" t="str">
        <f ca="1">IFERROR(INDEX(V:V,MATCH(SMALL($AU:$AU,ROW()+3),$AU:$AU,0)),"")</f>
        <v/>
      </c>
      <c r="AJ243" s="49" t="str">
        <f ca="1">IFERROR(INDEX(W:W,MATCH(SMALL($AU:$AU,ROW()+3),$AU:$AU,0)),"")</f>
        <v/>
      </c>
      <c r="AK243" s="49" t="str">
        <f ca="1">IFERROR(INDEX(X:X,MATCH(SMALL($AU:$AU,ROW()+3),$AU:$AU,0)),"")</f>
        <v/>
      </c>
      <c r="AL243" s="49" t="str">
        <f ca="1">IFERROR(INDEX(Y:Y,MATCH(SMALL($AU:$AU,ROW()+3),$AU:$AU,0)),"")</f>
        <v/>
      </c>
      <c r="AM243" s="49" t="str">
        <f ca="1">IFERROR(INDEX(Z:Z,MATCH(SMALL($AU:$AU,ROW()+3),$AU:$AU,0)),"")</f>
        <v/>
      </c>
      <c r="AN243" s="49" t="str">
        <f ca="1">IFERROR(INDEX(AA:AA,MATCH(SMALL($AU:$AU,ROW()+3),$AU:$AU,0)),"")</f>
        <v/>
      </c>
      <c r="AO243" s="49" t="str">
        <f ca="1">IFERROR(INDEX(AB:AB,MATCH(SMALL($AU:$AU,ROW()+3),$AU:$AU,0)),"")</f>
        <v/>
      </c>
      <c r="AP243" s="49" t="str">
        <f ca="1">IFERROR(INDEX(AC:AC,MATCH(SMALL($AU:$AU,ROW()+3),$AU:$AU,0)),"")</f>
        <v/>
      </c>
      <c r="AU243" s="49" t="str">
        <f t="shared" ca="1" si="37"/>
        <v/>
      </c>
    </row>
    <row r="244" spans="1:47">
      <c r="A244" s="107" t="str">
        <f ca="1">IF(C244&lt;&gt;"",A243+1,"")</f>
        <v/>
      </c>
      <c r="B244" s="127"/>
      <c r="C244" s="128" t="str">
        <f t="array" aca="1" ref="C244" ca="1">IF(OR(INDIRECT("まとめ札!G"&amp;B243&amp;"")="",INDIRECT("まとめ札!G"&amp;B243&amp;"")=0),"",INDIRECT("まとめ札!A"&amp;B243&amp;"")&amp;"【2】")</f>
        <v/>
      </c>
      <c r="D244" s="128"/>
      <c r="E244" s="128"/>
      <c r="F244" s="129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130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127" t="str">
        <f t="array" aca="1" ref="H244" ca="1">IF(OR(INDIRECT("まとめ札!G"&amp;B243&amp;"")="",INDIRECT("まとめ札!G"&amp;B243&amp;"")=0),"",INDIRECT("まとめ札!G"&amp;B243&amp;""))</f>
        <v/>
      </c>
      <c r="I244" s="127"/>
      <c r="J244" s="127" t="str">
        <f ca="1">IF(C244&lt;&gt;"",
IF(OR(COUNTIF(C244,"*キャラ*"),COUNTIF(C244,"*赤*")),24,
VLOOKUP(C244,#REF!,6,FALSE)),"")</f>
        <v/>
      </c>
      <c r="M244" s="127"/>
      <c r="P244" s="127" t="str">
        <f t="shared" ca="1" si="40"/>
        <v/>
      </c>
      <c r="Q244" s="127" t="str">
        <f t="shared" ca="1" si="41"/>
        <v/>
      </c>
      <c r="R244" s="49" t="str">
        <f t="array" aca="1" ref="R244" ca="1">IFERROR(SMALL(IF(P$1:P$311&lt;&gt;0,P$1:P$311),ROW(A244)),"")</f>
        <v/>
      </c>
      <c r="S244" s="49" t="str">
        <f t="array" aca="1" ref="S244" ca="1">IF($R244&lt;&gt;"",
SUBSTITUTE(SUBSTITUTE(INDIRECT("C"&amp;$R244&amp;"")," 週3ｺｰｽ","")," 週5ｺｰｽ",""),"")</f>
        <v/>
      </c>
      <c r="T244" s="49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22" t="str">
        <f t="array" aca="1" ref="U244" ca="1">IF($R244&lt;&gt;"",
INDIRECT("F"&amp;$R244&amp;""),"")</f>
        <v/>
      </c>
      <c r="V244" s="49" t="str">
        <f t="array" aca="1" ref="V244" ca="1">IF($R244&lt;&gt;"",
INDIRECT("G"&amp;$R244&amp;""),"")</f>
        <v/>
      </c>
      <c r="W244" s="49" t="str">
        <f t="array" aca="1" ref="W244" ca="1">IF($R244&lt;&gt;"",
IF(AND(COUNTIF(INDIRECT("B"&amp;R244&amp;""),"*雙葉*"),COUNTIF(B:B,"*雙葉*")&gt;=2),
IF(OR(COUNTIF(INDIRECT("B"&amp;R244&amp;""),"*雙葉先生*"),COUNTIF($B$1:$B$70,"*雙葉*")&gt;=2),INDIRECT("H"&amp;R244&amp;""),INDIRECT("H"&amp;R244&amp;"")+INDIRECT("H"&amp;MATCH("雙葉'",INDIRECT("B"&amp;R244+3&amp;":B210"),0)+2+R244&amp;"")),
IF(AND(LEFT(INDIRECT("B"&amp;R244&amp;""),2)="博多",COUNTIF(B:B,"*博多*")&gt;=2),
INDIRECT("H"&amp;R244&amp;"")+INDIRECT("H"&amp;MATCH("*"&amp;INDIRECT("B"&amp;R244&amp;"")&amp;"*",INDIRECT("B"&amp;R244+1&amp;":B210"),0)+R244&amp;""),
IF(AND(LEFT(INDIRECT("B"&amp;R244&amp;""),3)="奈良屋",COUNTIF(B:B,"*奈良屋*")&gt;=2),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49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49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49" t="str">
        <f t="shared" ca="1" si="35"/>
        <v/>
      </c>
      <c r="AA244" s="49" t="str">
        <f t="shared" ca="1" si="36"/>
        <v/>
      </c>
      <c r="AB244" s="49" t="str">
        <f t="array" aca="1" ref="AB244" ca="1">IF($R244&lt;&gt;"",
IF(AND(COUNTIF(INDIRECT("B"&amp;R244&amp;""),"*雙葉*"),COUNTIF(B:B,"*雙葉*")&gt;=2),
INDIRECT("M"&amp;R244&amp;"")+INDIRECT("M"&amp;MATCH("雙葉'",INDIRECT("B"&amp;R244+1&amp;":B210"),0)+R244&amp;""),
IF(AND(LEFT(INDIRECT("B"&amp;R244&amp;""),2)="博多",COUNTIF(B:B,"*博多*")&gt;=2),
INDIRECT("M"&amp;R244&amp;"")+INDIRECT("M"&amp;MATCH("*"&amp;INDIRECT("B"&amp;R244&amp;"")&amp;"*",INDIRECT("B"&amp;R244+1&amp;":B210"),0)+R244&amp;""),
IF(AND(LEFT(INDIRECT("B"&amp;R244&amp;""),3)="奈良屋",COUNTIF(B:B,"*奈良屋*")&gt;=2),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  <c r="AC244" s="49" t="str">
        <f ca="1">IF(S244&lt;&gt;"",INDEX(A:A, MATCH("*"&amp;LEFT(S244,4)&amp;"*", C:C, 0)),"")</f>
        <v/>
      </c>
      <c r="AD244" s="49" t="str">
        <f ca="1">IFERROR(INDEX(AC:AC,MATCH(SMALL($AU:$AU,ROW()+3),$AU:$AU,0)),"")</f>
        <v/>
      </c>
      <c r="AE244" s="49" t="str">
        <f ca="1">IFERROR(INDEX(R:R,MATCH(SMALL($AU:$AU,ROW()+3),$AU:$AU,0)),"")</f>
        <v/>
      </c>
      <c r="AF244" s="49" t="str">
        <f ca="1">IFERROR(INDEX(S:S,MATCH(SMALL($AU:$AU,ROW()+3),$AU:$AU,0)),"")</f>
        <v/>
      </c>
      <c r="AG244" s="49" t="str">
        <f ca="1">IFERROR(INDEX(T:T,MATCH(SMALL($AU:$AU,ROW()+3),$AU:$AU,0)),"")</f>
        <v/>
      </c>
      <c r="AH244" s="122" t="str">
        <f ca="1">IFERROR(INDEX(U:U,MATCH(SMALL($AU:$AU,ROW()+3),$AU:$AU,0)),"")</f>
        <v/>
      </c>
      <c r="AI244" s="49" t="str">
        <f ca="1">IFERROR(INDEX(V:V,MATCH(SMALL($AU:$AU,ROW()+3),$AU:$AU,0)),"")</f>
        <v/>
      </c>
      <c r="AJ244" s="49" t="str">
        <f ca="1">IFERROR(INDEX(W:W,MATCH(SMALL($AU:$AU,ROW()+3),$AU:$AU,0)),"")</f>
        <v/>
      </c>
      <c r="AK244" s="49" t="str">
        <f ca="1">IFERROR(INDEX(X:X,MATCH(SMALL($AU:$AU,ROW()+3),$AU:$AU,0)),"")</f>
        <v/>
      </c>
      <c r="AL244" s="49" t="str">
        <f ca="1">IFERROR(INDEX(Y:Y,MATCH(SMALL($AU:$AU,ROW()+3),$AU:$AU,0)),"")</f>
        <v/>
      </c>
      <c r="AM244" s="49" t="str">
        <f ca="1">IFERROR(INDEX(Z:Z,MATCH(SMALL($AU:$AU,ROW()+3),$AU:$AU,0)),"")</f>
        <v/>
      </c>
      <c r="AN244" s="49" t="str">
        <f ca="1">IFERROR(INDEX(AA:AA,MATCH(SMALL($AU:$AU,ROW()+3),$AU:$AU,0)),"")</f>
        <v/>
      </c>
      <c r="AO244" s="49" t="str">
        <f ca="1">IFERROR(INDEX(AB:AB,MATCH(SMALL($AU:$AU,ROW()+3),$AU:$AU,0)),"")</f>
        <v/>
      </c>
      <c r="AP244" s="49" t="str">
        <f ca="1">IFERROR(INDEX(AC:AC,MATCH(SMALL($AU:$AU,ROW()+3),$AU:$AU,0)),"")</f>
        <v/>
      </c>
      <c r="AU244" s="49" t="str">
        <f t="shared" ca="1" si="37"/>
        <v/>
      </c>
    </row>
    <row r="245" spans="1:47">
      <c r="A245" s="107" t="str">
        <f ca="1">IF(C245&lt;&gt;"",A244+1,"")</f>
        <v/>
      </c>
      <c r="B245" s="127"/>
      <c r="C245" s="128" t="str">
        <f t="array" aca="1" ref="C245" ca="1">IF(OR(INDIRECT("まとめ札!H"&amp;B243&amp;"")="",INDIRECT("まとめ札!H"&amp;B243&amp;"")=0),"",INDIRECT("まとめ札!A"&amp;B243&amp;"")&amp;"【3】")</f>
        <v/>
      </c>
      <c r="D245" s="128"/>
      <c r="E245" s="128"/>
      <c r="F245" s="129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130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127" t="str">
        <f t="array" aca="1" ref="H245" ca="1">IF(OR(INDIRECT("まとめ札!H"&amp;B243&amp;"")="",INDIRECT("まとめ札!H"&amp;B243&amp;"")=0),"",INDIRECT("まとめ札!H"&amp;B243&amp;""))</f>
        <v/>
      </c>
      <c r="I245" s="127"/>
      <c r="J245" s="127" t="str">
        <f ca="1">IF(C245&lt;&gt;"",
IF(OR(COUNTIF(C245,"*キャラ*"),COUNTIF(C245,"*赤*")),24,
VLOOKUP(C245,#REF!,6,FALSE)),"")</f>
        <v/>
      </c>
      <c r="M245" s="127"/>
      <c r="P245" s="127" t="str">
        <f t="shared" ca="1" si="40"/>
        <v/>
      </c>
      <c r="Q245" s="127" t="str">
        <f t="shared" ca="1" si="41"/>
        <v/>
      </c>
      <c r="R245" s="49" t="str">
        <f t="array" aca="1" ref="R245" ca="1">IFERROR(SMALL(IF(P$1:P$311&lt;&gt;0,P$1:P$311),ROW(A245)),"")</f>
        <v/>
      </c>
      <c r="S245" s="49" t="str">
        <f t="array" aca="1" ref="S245" ca="1">IF($R245&lt;&gt;"",
SUBSTITUTE(SUBSTITUTE(INDIRECT("C"&amp;$R245&amp;"")," 週3ｺｰｽ","")," 週5ｺｰｽ",""),"")</f>
        <v/>
      </c>
      <c r="T245" s="49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22" t="str">
        <f t="array" aca="1" ref="U245" ca="1">IF($R245&lt;&gt;"",
INDIRECT("F"&amp;$R245&amp;""),"")</f>
        <v/>
      </c>
      <c r="V245" s="49" t="str">
        <f t="array" aca="1" ref="V245" ca="1">IF($R245&lt;&gt;"",
INDIRECT("G"&amp;$R245&amp;""),"")</f>
        <v/>
      </c>
      <c r="W245" s="49" t="str">
        <f t="array" aca="1" ref="W245" ca="1">IF($R245&lt;&gt;"",
IF(AND(COUNTIF(INDIRECT("B"&amp;R245&amp;""),"*雙葉*"),COUNTIF(B:B,"*雙葉*")&gt;=2),
IF(OR(COUNTIF(INDIRECT("B"&amp;R245&amp;""),"*雙葉先生*"),COUNTIF($B$1:$B$70,"*雙葉*")&gt;=2),INDIRECT("H"&amp;R245&amp;""),INDIRECT("H"&amp;R245&amp;"")+INDIRECT("H"&amp;MATCH("雙葉'",INDIRECT("B"&amp;R245+3&amp;":B210"),0)+2+R245&amp;"")),
IF(AND(LEFT(INDIRECT("B"&amp;R245&amp;""),2)="博多",COUNTIF(B:B,"*博多*")&gt;=2),
INDIRECT("H"&amp;R245&amp;"")+INDIRECT("H"&amp;MATCH("*"&amp;INDIRECT("B"&amp;R245&amp;"")&amp;"*",INDIRECT("B"&amp;R245+1&amp;":B210"),0)+R245&amp;""),
IF(AND(LEFT(INDIRECT("B"&amp;R245&amp;""),3)="奈良屋",COUNTIF(B:B,"*奈良屋*")&gt;=2),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49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49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49" t="str">
        <f t="shared" ca="1" si="35"/>
        <v/>
      </c>
      <c r="AA245" s="49" t="str">
        <f t="shared" ca="1" si="36"/>
        <v/>
      </c>
      <c r="AB245" s="49" t="str">
        <f t="array" aca="1" ref="AB245" ca="1">IF($R245&lt;&gt;"",
IF(AND(COUNTIF(INDIRECT("B"&amp;R245&amp;""),"*雙葉*"),COUNTIF(B:B,"*雙葉*")&gt;=2),
INDIRECT("M"&amp;R245&amp;"")+INDIRECT("M"&amp;MATCH("雙葉'",INDIRECT("B"&amp;R245+1&amp;":B210"),0)+R245&amp;""),
IF(AND(LEFT(INDIRECT("B"&amp;R245&amp;""),2)="博多",COUNTIF(B:B,"*博多*")&gt;=2),
INDIRECT("M"&amp;R245&amp;"")+INDIRECT("M"&amp;MATCH("*"&amp;INDIRECT("B"&amp;R245&amp;"")&amp;"*",INDIRECT("B"&amp;R245+1&amp;":B210"),0)+R245&amp;""),
IF(AND(LEFT(INDIRECT("B"&amp;R245&amp;""),3)="奈良屋",COUNTIF(B:B,"*奈良屋*")&gt;=2),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  <c r="AC245" s="49" t="str">
        <f ca="1">IF(S245&lt;&gt;"",INDEX(A:A, MATCH("*"&amp;LEFT(S245,4)&amp;"*", C:C, 0)),"")</f>
        <v/>
      </c>
      <c r="AD245" s="49" t="str">
        <f ca="1">IFERROR(INDEX(AC:AC,MATCH(SMALL($AU:$AU,ROW()+3),$AU:$AU,0)),"")</f>
        <v/>
      </c>
      <c r="AE245" s="49" t="str">
        <f ca="1">IFERROR(INDEX(R:R,MATCH(SMALL($AU:$AU,ROW()+3),$AU:$AU,0)),"")</f>
        <v/>
      </c>
      <c r="AF245" s="49" t="str">
        <f ca="1">IFERROR(INDEX(S:S,MATCH(SMALL($AU:$AU,ROW()+3),$AU:$AU,0)),"")</f>
        <v/>
      </c>
      <c r="AG245" s="49" t="str">
        <f ca="1">IFERROR(INDEX(T:T,MATCH(SMALL($AU:$AU,ROW()+3),$AU:$AU,0)),"")</f>
        <v/>
      </c>
      <c r="AH245" s="122" t="str">
        <f ca="1">IFERROR(INDEX(U:U,MATCH(SMALL($AU:$AU,ROW()+3),$AU:$AU,0)),"")</f>
        <v/>
      </c>
      <c r="AI245" s="49" t="str">
        <f ca="1">IFERROR(INDEX(V:V,MATCH(SMALL($AU:$AU,ROW()+3),$AU:$AU,0)),"")</f>
        <v/>
      </c>
      <c r="AJ245" s="49" t="str">
        <f ca="1">IFERROR(INDEX(W:W,MATCH(SMALL($AU:$AU,ROW()+3),$AU:$AU,0)),"")</f>
        <v/>
      </c>
      <c r="AK245" s="49" t="str">
        <f ca="1">IFERROR(INDEX(X:X,MATCH(SMALL($AU:$AU,ROW()+3),$AU:$AU,0)),"")</f>
        <v/>
      </c>
      <c r="AL245" s="49" t="str">
        <f ca="1">IFERROR(INDEX(Y:Y,MATCH(SMALL($AU:$AU,ROW()+3),$AU:$AU,0)),"")</f>
        <v/>
      </c>
      <c r="AM245" s="49" t="str">
        <f ca="1">IFERROR(INDEX(Z:Z,MATCH(SMALL($AU:$AU,ROW()+3),$AU:$AU,0)),"")</f>
        <v/>
      </c>
      <c r="AN245" s="49" t="str">
        <f ca="1">IFERROR(INDEX(AA:AA,MATCH(SMALL($AU:$AU,ROW()+3),$AU:$AU,0)),"")</f>
        <v/>
      </c>
      <c r="AO245" s="49" t="str">
        <f ca="1">IFERROR(INDEX(AB:AB,MATCH(SMALL($AU:$AU,ROW()+3),$AU:$AU,0)),"")</f>
        <v/>
      </c>
      <c r="AP245" s="49" t="str">
        <f ca="1">IFERROR(INDEX(AC:AC,MATCH(SMALL($AU:$AU,ROW()+3),$AU:$AU,0)),"")</f>
        <v/>
      </c>
      <c r="AU245" s="49" t="str">
        <f t="shared" ca="1" si="37"/>
        <v/>
      </c>
    </row>
    <row r="246" spans="1:47">
      <c r="A246" s="107" t="str">
        <f ca="1">IF(C246&lt;&gt;"",A245+1,"")</f>
        <v/>
      </c>
      <c r="B246" s="127"/>
      <c r="C246" s="128" t="str">
        <f t="array" aca="1" ref="C246" ca="1">IF(OR(INDIRECT("まとめ札!I"&amp;B243&amp;"")="",INDIRECT("まとめ札!I"&amp;B243&amp;"")=0),"",INDIRECT("まとめ札!A"&amp;B243&amp;"")&amp;"【4】")</f>
        <v/>
      </c>
      <c r="D246" s="128"/>
      <c r="E246" s="128"/>
      <c r="F246" s="129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130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127" t="str">
        <f t="array" aca="1" ref="H246" ca="1">IF(OR(INDIRECT("まとめ札!I"&amp;B243&amp;"")="",INDIRECT("まとめ札!I"&amp;B243&amp;"")=0),"",INDIRECT("まとめ札!I"&amp;B243&amp;""))</f>
        <v/>
      </c>
      <c r="I246" s="127"/>
      <c r="J246" s="127" t="str">
        <f ca="1">IF(C246&lt;&gt;"",
IF(OR(COUNTIF(C246,"*キャラ*"),COUNTIF(C246,"*赤*")),24,
VLOOKUP(C246,#REF!,6,FALSE)),"")</f>
        <v/>
      </c>
      <c r="M246" s="127"/>
      <c r="P246" s="127" t="str">
        <f t="shared" ca="1" si="40"/>
        <v/>
      </c>
      <c r="Q246" s="127" t="str">
        <f t="shared" ca="1" si="41"/>
        <v/>
      </c>
      <c r="R246" s="49" t="str">
        <f t="array" aca="1" ref="R246" ca="1">IFERROR(SMALL(IF(P$1:P$311&lt;&gt;0,P$1:P$311),ROW(A246)),"")</f>
        <v/>
      </c>
      <c r="S246" s="49" t="str">
        <f t="array" aca="1" ref="S246" ca="1">IF($R246&lt;&gt;"",
SUBSTITUTE(SUBSTITUTE(INDIRECT("C"&amp;$R246&amp;"")," 週3ｺｰｽ","")," 週5ｺｰｽ",""),"")</f>
        <v/>
      </c>
      <c r="T246" s="49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22" t="str">
        <f t="array" aca="1" ref="U246" ca="1">IF($R246&lt;&gt;"",
INDIRECT("F"&amp;$R246&amp;""),"")</f>
        <v/>
      </c>
      <c r="V246" s="49" t="str">
        <f t="array" aca="1" ref="V246" ca="1">IF($R246&lt;&gt;"",
INDIRECT("G"&amp;$R246&amp;""),"")</f>
        <v/>
      </c>
      <c r="W246" s="49" t="str">
        <f t="array" aca="1" ref="W246" ca="1">IF($R246&lt;&gt;"",
IF(AND(COUNTIF(INDIRECT("B"&amp;R246&amp;""),"*雙葉*"),COUNTIF(B:B,"*雙葉*")&gt;=2),
IF(OR(COUNTIF(INDIRECT("B"&amp;R246&amp;""),"*雙葉先生*"),COUNTIF($B$1:$B$70,"*雙葉*")&gt;=2),INDIRECT("H"&amp;R246&amp;""),INDIRECT("H"&amp;R246&amp;"")+INDIRECT("H"&amp;MATCH("雙葉'",INDIRECT("B"&amp;R246+3&amp;":B210"),0)+2+R246&amp;"")),
IF(AND(LEFT(INDIRECT("B"&amp;R246&amp;""),2)="博多",COUNTIF(B:B,"*博多*")&gt;=2),
INDIRECT("H"&amp;R246&amp;"")+INDIRECT("H"&amp;MATCH("*"&amp;INDIRECT("B"&amp;R246&amp;"")&amp;"*",INDIRECT("B"&amp;R246+1&amp;":B210"),0)+R246&amp;""),
IF(AND(LEFT(INDIRECT("B"&amp;R246&amp;""),3)="奈良屋",COUNTIF(B:B,"*奈良屋*")&gt;=2),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49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49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49" t="str">
        <f t="shared" ca="1" si="35"/>
        <v/>
      </c>
      <c r="AA246" s="49" t="str">
        <f t="shared" ca="1" si="36"/>
        <v/>
      </c>
      <c r="AB246" s="49" t="str">
        <f t="array" aca="1" ref="AB246" ca="1">IF($R246&lt;&gt;"",
IF(AND(COUNTIF(INDIRECT("B"&amp;R246&amp;""),"*雙葉*"),COUNTIF(B:B,"*雙葉*")&gt;=2),
INDIRECT("M"&amp;R246&amp;"")+INDIRECT("M"&amp;MATCH("雙葉'",INDIRECT("B"&amp;R246+1&amp;":B210"),0)+R246&amp;""),
IF(AND(LEFT(INDIRECT("B"&amp;R246&amp;""),2)="博多",COUNTIF(B:B,"*博多*")&gt;=2),
INDIRECT("M"&amp;R246&amp;"")+INDIRECT("M"&amp;MATCH("*"&amp;INDIRECT("B"&amp;R246&amp;"")&amp;"*",INDIRECT("B"&amp;R246+1&amp;":B210"),0)+R246&amp;""),
IF(AND(LEFT(INDIRECT("B"&amp;R246&amp;""),3)="奈良屋",COUNTIF(B:B,"*奈良屋*")&gt;=2),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  <c r="AC246" s="49" t="str">
        <f ca="1">IF(S246&lt;&gt;"",INDEX(A:A, MATCH("*"&amp;LEFT(S246,4)&amp;"*", C:C, 0)),"")</f>
        <v/>
      </c>
      <c r="AD246" s="49" t="str">
        <f ca="1">IFERROR(INDEX(AC:AC,MATCH(SMALL($AU:$AU,ROW()+3),$AU:$AU,0)),"")</f>
        <v/>
      </c>
      <c r="AE246" s="49" t="str">
        <f ca="1">IFERROR(INDEX(R:R,MATCH(SMALL($AU:$AU,ROW()+3),$AU:$AU,0)),"")</f>
        <v/>
      </c>
      <c r="AF246" s="49" t="str">
        <f ca="1">IFERROR(INDEX(S:S,MATCH(SMALL($AU:$AU,ROW()+3),$AU:$AU,0)),"")</f>
        <v/>
      </c>
      <c r="AG246" s="49" t="str">
        <f ca="1">IFERROR(INDEX(T:T,MATCH(SMALL($AU:$AU,ROW()+3),$AU:$AU,0)),"")</f>
        <v/>
      </c>
      <c r="AH246" s="122" t="str">
        <f ca="1">IFERROR(INDEX(U:U,MATCH(SMALL($AU:$AU,ROW()+3),$AU:$AU,0)),"")</f>
        <v/>
      </c>
      <c r="AI246" s="49" t="str">
        <f ca="1">IFERROR(INDEX(V:V,MATCH(SMALL($AU:$AU,ROW()+3),$AU:$AU,0)),"")</f>
        <v/>
      </c>
      <c r="AJ246" s="49" t="str">
        <f ca="1">IFERROR(INDEX(W:W,MATCH(SMALL($AU:$AU,ROW()+3),$AU:$AU,0)),"")</f>
        <v/>
      </c>
      <c r="AK246" s="49" t="str">
        <f ca="1">IFERROR(INDEX(X:X,MATCH(SMALL($AU:$AU,ROW()+3),$AU:$AU,0)),"")</f>
        <v/>
      </c>
      <c r="AL246" s="49" t="str">
        <f ca="1">IFERROR(INDEX(Y:Y,MATCH(SMALL($AU:$AU,ROW()+3),$AU:$AU,0)),"")</f>
        <v/>
      </c>
      <c r="AM246" s="49" t="str">
        <f ca="1">IFERROR(INDEX(Z:Z,MATCH(SMALL($AU:$AU,ROW()+3),$AU:$AU,0)),"")</f>
        <v/>
      </c>
      <c r="AN246" s="49" t="str">
        <f ca="1">IFERROR(INDEX(AA:AA,MATCH(SMALL($AU:$AU,ROW()+3),$AU:$AU,0)),"")</f>
        <v/>
      </c>
      <c r="AO246" s="49" t="str">
        <f ca="1">IFERROR(INDEX(AB:AB,MATCH(SMALL($AU:$AU,ROW()+3),$AU:$AU,0)),"")</f>
        <v/>
      </c>
      <c r="AP246" s="49" t="str">
        <f ca="1">IFERROR(INDEX(AC:AC,MATCH(SMALL($AU:$AU,ROW()+3),$AU:$AU,0)),"")</f>
        <v/>
      </c>
      <c r="AU246" s="49" t="str">
        <f t="shared" ca="1" si="37"/>
        <v/>
      </c>
    </row>
    <row r="247" spans="1:47">
      <c r="A247" s="107">
        <f ca="1">IF(C247&lt;&gt;"",MAX($A$243:$A$246)+1,"")</f>
        <v>154</v>
      </c>
      <c r="B247" s="127">
        <v>9</v>
      </c>
      <c r="C247" s="128" t="str">
        <f t="array" aca="1" ref="C247" ca="1">IF(INDIRECT("まとめ札!A"&amp;B247&amp;"")&lt;&gt;0,INDIRECT("まとめ札!A"&amp;B247&amp;"")&amp;"【1】","")</f>
        <v>社食  【1】</v>
      </c>
      <c r="D247" s="128"/>
      <c r="E247" s="128"/>
      <c r="F247" s="129" t="str">
        <f ca="1">IF(C247&lt;&gt;"",
IF(IF(COUNTIF(C247,"*キャラ*"),
VLOOKUP("*キャラ*",商品マスタ一覧!$D:$E,2,FALSE),
VLOOKUP("*赤*",商品マスタ一覧!$D:$E,2,FALSE))=0,"",
IF(H247&lt;&gt;"",
IF(ROUND(
H247/IF(COUNTIF(C247,"*キャラ*"),
VLOOKUP("*キャラ*",商品マスタ一覧!$D:$E,2,FALSE),
VLOOKUP("*赤*",商品マスタ一覧!$D:$E,2,FALSE)),0)&lt;=0,1,
ROUND(
H247/IF(COUNTIF(C247,"*キャラ*"),
VLOOKUP("*キャラ*",商品マスタ一覧!$D:$E,2,FALSE),
VLOOKUP("*赤*",商品マスタ一覧!$D:$E,2,FALSE)),0)),"")),"")</f>
        <v/>
      </c>
      <c r="G247" s="130" t="str">
        <f ca="1">IF(F247&lt;&gt;"",IF(VALUE(H247)&gt;VALUE(IF(COUNTIF(C247,"*キャラ*"),
VLOOKUP("*キャラ*",商品マスタ一覧!$D:$E,2,FALSE),
VLOOKUP("*赤*",商品マスタ一覧!$D:$E,2,FALSE))*F247),
"+"&amp;H247-IF(COUNTIF(C247,"*キャラ*"),
VLOOKUP("*キャラ*",商品マスタ一覧!$D:$E,2,FALSE),
VLOOKUP("*赤*",商品マスタ一覧!$D:$E,2,FALSE))*F247,
H247-IF(COUNTIF(C247,"*キャラ*"),
VLOOKUP("*キャラ*",商品マスタ一覧!$D:$E,2,FALSE),
VLOOKUP("*赤*",商品マスタ一覧!$D:$E,2,FALSE))*F247),"")</f>
        <v/>
      </c>
      <c r="H247" s="127" t="str">
        <f t="array" aca="1" ref="H247" ca="1">IF(INDIRECT("まとめ札!F"&amp;B247&amp;"")&lt;&gt;0,INDIRECT("まとめ札!F"&amp;B247&amp;""),"")</f>
        <v/>
      </c>
      <c r="I247" s="127"/>
      <c r="J247" s="127"/>
      <c r="M247" s="127"/>
      <c r="P247" s="127" t="str">
        <f t="shared" ca="1" si="40"/>
        <v/>
      </c>
      <c r="Q247" s="127" t="str">
        <f t="shared" ca="1" si="41"/>
        <v/>
      </c>
      <c r="R247" s="49" t="str">
        <f t="array" aca="1" ref="R247" ca="1">IFERROR(SMALL(IF(P$1:P$311&lt;&gt;0,P$1:P$311),ROW(A247)),"")</f>
        <v/>
      </c>
      <c r="S247" s="49" t="str">
        <f t="array" aca="1" ref="S247" ca="1">IF($R247&lt;&gt;"",
SUBSTITUTE(SUBSTITUTE(INDIRECT("C"&amp;$R247&amp;"")," 週3ｺｰｽ","")," 週5ｺｰｽ",""),"")</f>
        <v/>
      </c>
      <c r="T247" s="49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22" t="str">
        <f t="array" aca="1" ref="U247" ca="1">IF($R247&lt;&gt;"",
INDIRECT("F"&amp;$R247&amp;""),"")</f>
        <v/>
      </c>
      <c r="V247" s="49" t="str">
        <f t="array" aca="1" ref="V247" ca="1">IF($R247&lt;&gt;"",
INDIRECT("G"&amp;$R247&amp;""),"")</f>
        <v/>
      </c>
      <c r="W247" s="49" t="str">
        <f t="array" aca="1" ref="W247" ca="1">IF($R247&lt;&gt;"",
IF(AND(COUNTIF(INDIRECT("B"&amp;R247&amp;""),"*雙葉*"),COUNTIF(B:B,"*雙葉*")&gt;=2),
IF(OR(COUNTIF(INDIRECT("B"&amp;R247&amp;""),"*雙葉先生*"),COUNTIF($B$1:$B$70,"*雙葉*")&gt;=2),INDIRECT("H"&amp;R247&amp;""),INDIRECT("H"&amp;R247&amp;"")+INDIRECT("H"&amp;MATCH("雙葉'",INDIRECT("B"&amp;R247+3&amp;":B210"),0)+2+R247&amp;"")),
IF(AND(LEFT(INDIRECT("B"&amp;R247&amp;""),2)="博多",COUNTIF(B:B,"*博多*")&gt;=2),
INDIRECT("H"&amp;R247&amp;"")+INDIRECT("H"&amp;MATCH("*"&amp;INDIRECT("B"&amp;R247&amp;"")&amp;"*",INDIRECT("B"&amp;R247+1&amp;":B210"),0)+R247&amp;""),
IF(AND(LEFT(INDIRECT("B"&amp;R247&amp;""),3)="奈良屋",COUNTIF(B:B,"*奈良屋*")&gt;=2),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49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49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49" t="str">
        <f t="shared" ca="1" si="35"/>
        <v/>
      </c>
      <c r="AA247" s="49" t="str">
        <f t="shared" ca="1" si="36"/>
        <v/>
      </c>
      <c r="AB247" s="49" t="str">
        <f t="array" aca="1" ref="AB247" ca="1">IF($R247&lt;&gt;"",
IF(AND(COUNTIF(INDIRECT("B"&amp;R247&amp;""),"*雙葉*"),COUNTIF(B:B,"*雙葉*")&gt;=2),
INDIRECT("M"&amp;R247&amp;"")+INDIRECT("M"&amp;MATCH("雙葉'",INDIRECT("B"&amp;R247+1&amp;":B210"),0)+R247&amp;""),
IF(AND(LEFT(INDIRECT("B"&amp;R247&amp;""),2)="博多",COUNTIF(B:B,"*博多*")&gt;=2),
INDIRECT("M"&amp;R247&amp;"")+INDIRECT("M"&amp;MATCH("*"&amp;INDIRECT("B"&amp;R247&amp;"")&amp;"*",INDIRECT("B"&amp;R247+1&amp;":B210"),0)+R247&amp;""),
IF(AND(LEFT(INDIRECT("B"&amp;R247&amp;""),3)="奈良屋",COUNTIF(B:B,"*奈良屋*")&gt;=2),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  <c r="AC247" s="49" t="str">
        <f ca="1">IF(S247&lt;&gt;"",INDEX(A:A, MATCH("*"&amp;LEFT(S247,4)&amp;"*", C:C, 0)),"")</f>
        <v/>
      </c>
      <c r="AD247" s="49" t="str">
        <f ca="1">IFERROR(INDEX(AC:AC,MATCH(SMALL($AU:$AU,ROW()+3),$AU:$AU,0)),"")</f>
        <v/>
      </c>
      <c r="AE247" s="49" t="str">
        <f ca="1">IFERROR(INDEX(R:R,MATCH(SMALL($AU:$AU,ROW()+3),$AU:$AU,0)),"")</f>
        <v/>
      </c>
      <c r="AF247" s="49" t="str">
        <f ca="1">IFERROR(INDEX(S:S,MATCH(SMALL($AU:$AU,ROW()+3),$AU:$AU,0)),"")</f>
        <v/>
      </c>
      <c r="AG247" s="49" t="str">
        <f ca="1">IFERROR(INDEX(T:T,MATCH(SMALL($AU:$AU,ROW()+3),$AU:$AU,0)),"")</f>
        <v/>
      </c>
      <c r="AH247" s="122" t="str">
        <f ca="1">IFERROR(INDEX(U:U,MATCH(SMALL($AU:$AU,ROW()+3),$AU:$AU,0)),"")</f>
        <v/>
      </c>
      <c r="AI247" s="49" t="str">
        <f ca="1">IFERROR(INDEX(V:V,MATCH(SMALL($AU:$AU,ROW()+3),$AU:$AU,0)),"")</f>
        <v/>
      </c>
      <c r="AJ247" s="49" t="str">
        <f ca="1">IFERROR(INDEX(W:W,MATCH(SMALL($AU:$AU,ROW()+3),$AU:$AU,0)),"")</f>
        <v/>
      </c>
      <c r="AK247" s="49" t="str">
        <f ca="1">IFERROR(INDEX(X:X,MATCH(SMALL($AU:$AU,ROW()+3),$AU:$AU,0)),"")</f>
        <v/>
      </c>
      <c r="AL247" s="49" t="str">
        <f ca="1">IFERROR(INDEX(Y:Y,MATCH(SMALL($AU:$AU,ROW()+3),$AU:$AU,0)),"")</f>
        <v/>
      </c>
      <c r="AM247" s="49" t="str">
        <f ca="1">IFERROR(INDEX(Z:Z,MATCH(SMALL($AU:$AU,ROW()+3),$AU:$AU,0)),"")</f>
        <v/>
      </c>
      <c r="AN247" s="49" t="str">
        <f ca="1">IFERROR(INDEX(AA:AA,MATCH(SMALL($AU:$AU,ROW()+3),$AU:$AU,0)),"")</f>
        <v/>
      </c>
      <c r="AO247" s="49" t="str">
        <f ca="1">IFERROR(INDEX(AB:AB,MATCH(SMALL($AU:$AU,ROW()+3),$AU:$AU,0)),"")</f>
        <v/>
      </c>
      <c r="AP247" s="49" t="str">
        <f ca="1">IFERROR(INDEX(AC:AC,MATCH(SMALL($AU:$AU,ROW()+3),$AU:$AU,0)),"")</f>
        <v/>
      </c>
      <c r="AU247" s="49" t="str">
        <f t="shared" ca="1" si="37"/>
        <v/>
      </c>
    </row>
    <row r="248" spans="1:47">
      <c r="A248" s="107" t="str">
        <f ca="1">IF(C248&lt;&gt;"",A247+1,"")</f>
        <v/>
      </c>
      <c r="B248" s="127"/>
      <c r="C248" s="128" t="str">
        <f t="array" aca="1" ref="C248" ca="1">IF(OR(INDIRECT("まとめ札!G"&amp;B247&amp;"")="",INDIRECT("まとめ札!G"&amp;B247&amp;"")=0),"",INDIRECT("まとめ札!A"&amp;B247&amp;"")&amp;"【2】")</f>
        <v/>
      </c>
      <c r="D248" s="128"/>
      <c r="E248" s="128"/>
      <c r="F248" s="129" t="str">
        <f ca="1">IF(C248&lt;&gt;"",
IF(IF(COUNTIF(C248,"*キャラ*"),
VLOOKUP("*キャラ*",商品マスタ一覧!$D:$E,2,FALSE),
VLOOKUP("*赤*",商品マスタ一覧!$D:$E,2,FALSE))=0,"",
IF(H248&lt;&gt;"",
IF(ROUND(
H248/IF(COUNTIF(C248,"*キャラ*"),
VLOOKUP("*キャラ*",商品マスタ一覧!$D:$E,2,FALSE),
VLOOKUP("*赤*",商品マスタ一覧!$D:$E,2,FALSE)),0)&lt;=0,1,
ROUND(
H248/IF(COUNTIF(C248,"*キャラ*"),
VLOOKUP("*キャラ*",商品マスタ一覧!$D:$E,2,FALSE),
VLOOKUP("*赤*",商品マスタ一覧!$D:$E,2,FALSE)),0)),"")),"")</f>
        <v/>
      </c>
      <c r="G248" s="130" t="str">
        <f ca="1">IF(F248&lt;&gt;"",IF(VALUE(H248)&gt;VALUE(IF(COUNTIF(C248,"*キャラ*"),
VLOOKUP("*キャラ*",商品マスタ一覧!$D:$E,2,FALSE),
VLOOKUP("*赤*",商品マスタ一覧!$D:$E,2,FALSE))*F248),
"+"&amp;H248-IF(COUNTIF(C248,"*キャラ*"),
VLOOKUP("*キャラ*",商品マスタ一覧!$D:$E,2,FALSE),
VLOOKUP("*赤*",商品マスタ一覧!$D:$E,2,FALSE))*F248,
H248-IF(COUNTIF(C248,"*キャラ*"),
VLOOKUP("*キャラ*",商品マスタ一覧!$D:$E,2,FALSE),
VLOOKUP("*赤*",商品マスタ一覧!$D:$E,2,FALSE))*F248),"")</f>
        <v/>
      </c>
      <c r="H248" s="127" t="str">
        <f t="array" aca="1" ref="H248" ca="1">IF(OR(INDIRECT("まとめ札!G"&amp;B247&amp;"")="",INDIRECT("まとめ札!G"&amp;B247&amp;"")=0),"",INDIRECT("まとめ札!G"&amp;B247&amp;""))</f>
        <v/>
      </c>
      <c r="I248" s="127"/>
      <c r="J248" s="127" t="str">
        <f ca="1">IF(C248&lt;&gt;"",
IF(OR(COUNTIF(C248,"*キャラ*"),COUNTIF(C248,"*赤*")),24,
VLOOKUP(C248,#REF!,6,FALSE)),"")</f>
        <v/>
      </c>
      <c r="M248" s="127"/>
      <c r="P248" s="127" t="str">
        <f t="shared" ca="1" si="40"/>
        <v/>
      </c>
      <c r="Q248" s="127" t="str">
        <f t="shared" ca="1" si="41"/>
        <v/>
      </c>
      <c r="R248" s="49" t="str">
        <f t="array" aca="1" ref="R248" ca="1">IFERROR(SMALL(IF(P$1:P$311&lt;&gt;0,P$1:P$311),ROW(A248)),"")</f>
        <v/>
      </c>
      <c r="S248" s="49" t="str">
        <f t="array" aca="1" ref="S248" ca="1">IF($R248&lt;&gt;"",
SUBSTITUTE(SUBSTITUTE(INDIRECT("C"&amp;$R248&amp;"")," 週3ｺｰｽ","")," 週5ｺｰｽ",""),"")</f>
        <v/>
      </c>
      <c r="T248" s="49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22" t="str">
        <f t="array" aca="1" ref="U248" ca="1">IF($R248&lt;&gt;"",
INDIRECT("F"&amp;$R248&amp;""),"")</f>
        <v/>
      </c>
      <c r="V248" s="49" t="str">
        <f t="array" aca="1" ref="V248" ca="1">IF($R248&lt;&gt;"",
INDIRECT("G"&amp;$R248&amp;""),"")</f>
        <v/>
      </c>
      <c r="W248" s="49" t="str">
        <f t="array" aca="1" ref="W248" ca="1">IF($R248&lt;&gt;"",
IF(AND(COUNTIF(INDIRECT("B"&amp;R248&amp;""),"*雙葉*"),COUNTIF(B:B,"*雙葉*")&gt;=2),
IF(OR(COUNTIF(INDIRECT("B"&amp;R248&amp;""),"*雙葉先生*"),COUNTIF($B$1:$B$70,"*雙葉*")&gt;=2),INDIRECT("H"&amp;R248&amp;""),INDIRECT("H"&amp;R248&amp;"")+INDIRECT("H"&amp;MATCH("雙葉'",INDIRECT("B"&amp;R248+3&amp;":B210"),0)+2+R248&amp;"")),
IF(AND(LEFT(INDIRECT("B"&amp;R248&amp;""),2)="博多",COUNTIF(B:B,"*博多*")&gt;=2),
INDIRECT("H"&amp;R248&amp;"")+INDIRECT("H"&amp;MATCH("*"&amp;INDIRECT("B"&amp;R248&amp;"")&amp;"*",INDIRECT("B"&amp;R248+1&amp;":B210"),0)+R248&amp;""),
IF(AND(LEFT(INDIRECT("B"&amp;R248&amp;""),3)="奈良屋",COUNTIF(B:B,"*奈良屋*")&gt;=2),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49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49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49" t="str">
        <f t="shared" ca="1" si="35"/>
        <v/>
      </c>
      <c r="AA248" s="49" t="str">
        <f t="shared" ca="1" si="36"/>
        <v/>
      </c>
      <c r="AB248" s="49" t="str">
        <f t="array" aca="1" ref="AB248" ca="1">IF($R248&lt;&gt;"",
IF(AND(COUNTIF(INDIRECT("B"&amp;R248&amp;""),"*雙葉*"),COUNTIF(B:B,"*雙葉*")&gt;=2),
INDIRECT("M"&amp;R248&amp;"")+INDIRECT("M"&amp;MATCH("雙葉'",INDIRECT("B"&amp;R248+1&amp;":B210"),0)+R248&amp;""),
IF(AND(LEFT(INDIRECT("B"&amp;R248&amp;""),2)="博多",COUNTIF(B:B,"*博多*")&gt;=2),
INDIRECT("M"&amp;R248&amp;"")+INDIRECT("M"&amp;MATCH("*"&amp;INDIRECT("B"&amp;R248&amp;"")&amp;"*",INDIRECT("B"&amp;R248+1&amp;":B210"),0)+R248&amp;""),
IF(AND(LEFT(INDIRECT("B"&amp;R248&amp;""),3)="奈良屋",COUNTIF(B:B,"*奈良屋*")&gt;=2),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  <c r="AC248" s="49" t="str">
        <f ca="1">IF(S248&lt;&gt;"",INDEX(A:A, MATCH("*"&amp;LEFT(S248,4)&amp;"*", C:C, 0)),"")</f>
        <v/>
      </c>
      <c r="AD248" s="49" t="str">
        <f ca="1">IFERROR(INDEX(AC:AC,MATCH(SMALL($AU:$AU,ROW()+3),$AU:$AU,0)),"")</f>
        <v/>
      </c>
      <c r="AE248" s="49" t="str">
        <f ca="1">IFERROR(INDEX(R:R,MATCH(SMALL($AU:$AU,ROW()+3),$AU:$AU,0)),"")</f>
        <v/>
      </c>
      <c r="AF248" s="49" t="str">
        <f ca="1">IFERROR(INDEX(S:S,MATCH(SMALL($AU:$AU,ROW()+3),$AU:$AU,0)),"")</f>
        <v/>
      </c>
      <c r="AG248" s="49" t="str">
        <f ca="1">IFERROR(INDEX(T:T,MATCH(SMALL($AU:$AU,ROW()+3),$AU:$AU,0)),"")</f>
        <v/>
      </c>
      <c r="AH248" s="122" t="str">
        <f ca="1">IFERROR(INDEX(U:U,MATCH(SMALL($AU:$AU,ROW()+3),$AU:$AU,0)),"")</f>
        <v/>
      </c>
      <c r="AI248" s="49" t="str">
        <f ca="1">IFERROR(INDEX(V:V,MATCH(SMALL($AU:$AU,ROW()+3),$AU:$AU,0)),"")</f>
        <v/>
      </c>
      <c r="AJ248" s="49" t="str">
        <f ca="1">IFERROR(INDEX(W:W,MATCH(SMALL($AU:$AU,ROW()+3),$AU:$AU,0)),"")</f>
        <v/>
      </c>
      <c r="AK248" s="49" t="str">
        <f ca="1">IFERROR(INDEX(X:X,MATCH(SMALL($AU:$AU,ROW()+3),$AU:$AU,0)),"")</f>
        <v/>
      </c>
      <c r="AL248" s="49" t="str">
        <f ca="1">IFERROR(INDEX(Y:Y,MATCH(SMALL($AU:$AU,ROW()+3),$AU:$AU,0)),"")</f>
        <v/>
      </c>
      <c r="AM248" s="49" t="str">
        <f ca="1">IFERROR(INDEX(Z:Z,MATCH(SMALL($AU:$AU,ROW()+3),$AU:$AU,0)),"")</f>
        <v/>
      </c>
      <c r="AN248" s="49" t="str">
        <f ca="1">IFERROR(INDEX(AA:AA,MATCH(SMALL($AU:$AU,ROW()+3),$AU:$AU,0)),"")</f>
        <v/>
      </c>
      <c r="AO248" s="49" t="str">
        <f ca="1">IFERROR(INDEX(AB:AB,MATCH(SMALL($AU:$AU,ROW()+3),$AU:$AU,0)),"")</f>
        <v/>
      </c>
      <c r="AP248" s="49" t="str">
        <f ca="1">IFERROR(INDEX(AC:AC,MATCH(SMALL($AU:$AU,ROW()+3),$AU:$AU,0)),"")</f>
        <v/>
      </c>
      <c r="AU248" s="49" t="str">
        <f t="shared" ca="1" si="37"/>
        <v/>
      </c>
    </row>
    <row r="249" spans="1:47">
      <c r="A249" s="107" t="str">
        <f ca="1">IF(C249&lt;&gt;"",A248+1,"")</f>
        <v/>
      </c>
      <c r="B249" s="127"/>
      <c r="C249" s="128" t="str">
        <f t="array" aca="1" ref="C249" ca="1">IF(OR(INDIRECT("まとめ札!H"&amp;B247&amp;"")="",INDIRECT("まとめ札!H"&amp;B247&amp;"")=0),"",INDIRECT("まとめ札!A"&amp;B247&amp;"")&amp;"【3】")</f>
        <v/>
      </c>
      <c r="D249" s="128"/>
      <c r="E249" s="128"/>
      <c r="F249" s="129" t="str">
        <f ca="1">IF(C249&lt;&gt;"",
IF(IF(COUNTIF(C249,"*キャラ*"),
VLOOKUP("*キャラ*",商品マスタ一覧!$D:$E,2,FALSE),
VLOOKUP("*赤*",商品マスタ一覧!$D:$E,2,FALSE))=0,"",
IF(H249&lt;&gt;"",
IF(ROUND(
H249/IF(COUNTIF(C249,"*キャラ*"),
VLOOKUP("*キャラ*",商品マスタ一覧!$D:$E,2,FALSE),
VLOOKUP("*赤*",商品マスタ一覧!$D:$E,2,FALSE)),0)&lt;=0,1,
ROUND(
H249/IF(COUNTIF(C249,"*キャラ*"),
VLOOKUP("*キャラ*",商品マスタ一覧!$D:$E,2,FALSE),
VLOOKUP("*赤*",商品マスタ一覧!$D:$E,2,FALSE)),0)),"")),"")</f>
        <v/>
      </c>
      <c r="G249" s="130" t="str">
        <f ca="1">IF(F249&lt;&gt;"",IF(VALUE(H249)&gt;VALUE(IF(COUNTIF(C249,"*キャラ*"),
VLOOKUP("*キャラ*",商品マスタ一覧!$D:$E,2,FALSE),
VLOOKUP("*赤*",商品マスタ一覧!$D:$E,2,FALSE))*F249),
"+"&amp;H249-IF(COUNTIF(C249,"*キャラ*"),
VLOOKUP("*キャラ*",商品マスタ一覧!$D:$E,2,FALSE),
VLOOKUP("*赤*",商品マスタ一覧!$D:$E,2,FALSE))*F249,
H249-IF(COUNTIF(C249,"*キャラ*"),
VLOOKUP("*キャラ*",商品マスタ一覧!$D:$E,2,FALSE),
VLOOKUP("*赤*",商品マスタ一覧!$D:$E,2,FALSE))*F249),"")</f>
        <v/>
      </c>
      <c r="H249" s="127" t="str">
        <f t="array" aca="1" ref="H249" ca="1">IF(OR(INDIRECT("まとめ札!H"&amp;B247&amp;"")="",INDIRECT("まとめ札!H"&amp;B247&amp;"")=0),"",INDIRECT("まとめ札!H"&amp;B247&amp;""))</f>
        <v/>
      </c>
      <c r="I249" s="127"/>
      <c r="J249" s="127" t="str">
        <f ca="1">IF(C249&lt;&gt;"",
IF(OR(COUNTIF(C249,"*キャラ*"),COUNTIF(C249,"*赤*")),24,
VLOOKUP(C249,#REF!,6,FALSE)),"")</f>
        <v/>
      </c>
      <c r="M249" s="127"/>
      <c r="P249" s="127" t="str">
        <f t="shared" ca="1" si="40"/>
        <v/>
      </c>
      <c r="Q249" s="127" t="str">
        <f t="shared" ca="1" si="41"/>
        <v/>
      </c>
      <c r="R249" s="49" t="str">
        <f t="array" aca="1" ref="R249" ca="1">IFERROR(SMALL(IF(P$1:P$311&lt;&gt;0,P$1:P$311),ROW(A249)),"")</f>
        <v/>
      </c>
      <c r="S249" s="49" t="str">
        <f t="array" aca="1" ref="S249" ca="1">IF($R249&lt;&gt;"",
SUBSTITUTE(SUBSTITUTE(INDIRECT("C"&amp;$R249&amp;"")," 週3ｺｰｽ","")," 週5ｺｰｽ",""),"")</f>
        <v/>
      </c>
      <c r="T249" s="49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22" t="str">
        <f t="array" aca="1" ref="U249" ca="1">IF($R249&lt;&gt;"",
INDIRECT("F"&amp;$R249&amp;""),"")</f>
        <v/>
      </c>
      <c r="V249" s="49" t="str">
        <f t="array" aca="1" ref="V249" ca="1">IF($R249&lt;&gt;"",
INDIRECT("G"&amp;$R249&amp;""),"")</f>
        <v/>
      </c>
      <c r="W249" s="49" t="str">
        <f t="array" aca="1" ref="W249" ca="1">IF($R249&lt;&gt;"",
IF(AND(COUNTIF(INDIRECT("B"&amp;R249&amp;""),"*雙葉*"),COUNTIF(B:B,"*雙葉*")&gt;=2),
IF(OR(COUNTIF(INDIRECT("B"&amp;R249&amp;""),"*雙葉先生*"),COUNTIF($B$1:$B$70,"*雙葉*")&gt;=2),INDIRECT("H"&amp;R249&amp;""),INDIRECT("H"&amp;R249&amp;"")+INDIRECT("H"&amp;MATCH("雙葉'",INDIRECT("B"&amp;R249+3&amp;":B210"),0)+2+R249&amp;"")),
IF(AND(LEFT(INDIRECT("B"&amp;R249&amp;""),2)="博多",COUNTIF(B:B,"*博多*")&gt;=2),
INDIRECT("H"&amp;R249&amp;"")+INDIRECT("H"&amp;MATCH("*"&amp;INDIRECT("B"&amp;R249&amp;"")&amp;"*",INDIRECT("B"&amp;R249+1&amp;":B210"),0)+R249&amp;""),
IF(AND(LEFT(INDIRECT("B"&amp;R249&amp;""),3)="奈良屋",COUNTIF(B:B,"*奈良屋*")&gt;=2),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49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49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49" t="str">
        <f t="shared" ca="1" si="35"/>
        <v/>
      </c>
      <c r="AA249" s="49" t="str">
        <f t="shared" ca="1" si="36"/>
        <v/>
      </c>
      <c r="AB249" s="49" t="str">
        <f t="array" aca="1" ref="AB249" ca="1">IF($R249&lt;&gt;"",
IF(AND(COUNTIF(INDIRECT("B"&amp;R249&amp;""),"*雙葉*"),COUNTIF(B:B,"*雙葉*")&gt;=2),
INDIRECT("M"&amp;R249&amp;"")+INDIRECT("M"&amp;MATCH("雙葉'",INDIRECT("B"&amp;R249+1&amp;":B210"),0)+R249&amp;""),
IF(AND(LEFT(INDIRECT("B"&amp;R249&amp;""),2)="博多",COUNTIF(B:B,"*博多*")&gt;=2),
INDIRECT("M"&amp;R249&amp;"")+INDIRECT("M"&amp;MATCH("*"&amp;INDIRECT("B"&amp;R249&amp;"")&amp;"*",INDIRECT("B"&amp;R249+1&amp;":B210"),0)+R249&amp;""),
IF(AND(LEFT(INDIRECT("B"&amp;R249&amp;""),3)="奈良屋",COUNTIF(B:B,"*奈良屋*")&gt;=2),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  <c r="AC249" s="49" t="str">
        <f ca="1">IF(S249&lt;&gt;"",INDEX(A:A, MATCH("*"&amp;LEFT(S249,4)&amp;"*", C:C, 0)),"")</f>
        <v/>
      </c>
      <c r="AD249" s="49" t="str">
        <f ca="1">IFERROR(INDEX(AC:AC,MATCH(SMALL($AU:$AU,ROW()+3),$AU:$AU,0)),"")</f>
        <v/>
      </c>
      <c r="AE249" s="49" t="str">
        <f ca="1">IFERROR(INDEX(R:R,MATCH(SMALL($AU:$AU,ROW()+3),$AU:$AU,0)),"")</f>
        <v/>
      </c>
      <c r="AF249" s="49" t="str">
        <f ca="1">IFERROR(INDEX(S:S,MATCH(SMALL($AU:$AU,ROW()+3),$AU:$AU,0)),"")</f>
        <v/>
      </c>
      <c r="AG249" s="49" t="str">
        <f ca="1">IFERROR(INDEX(T:T,MATCH(SMALL($AU:$AU,ROW()+3),$AU:$AU,0)),"")</f>
        <v/>
      </c>
      <c r="AH249" s="122" t="str">
        <f ca="1">IFERROR(INDEX(U:U,MATCH(SMALL($AU:$AU,ROW()+3),$AU:$AU,0)),"")</f>
        <v/>
      </c>
      <c r="AI249" s="49" t="str">
        <f ca="1">IFERROR(INDEX(V:V,MATCH(SMALL($AU:$AU,ROW()+3),$AU:$AU,0)),"")</f>
        <v/>
      </c>
      <c r="AJ249" s="49" t="str">
        <f ca="1">IFERROR(INDEX(W:W,MATCH(SMALL($AU:$AU,ROW()+3),$AU:$AU,0)),"")</f>
        <v/>
      </c>
      <c r="AK249" s="49" t="str">
        <f ca="1">IFERROR(INDEX(X:X,MATCH(SMALL($AU:$AU,ROW()+3),$AU:$AU,0)),"")</f>
        <v/>
      </c>
      <c r="AL249" s="49" t="str">
        <f ca="1">IFERROR(INDEX(Y:Y,MATCH(SMALL($AU:$AU,ROW()+3),$AU:$AU,0)),"")</f>
        <v/>
      </c>
      <c r="AM249" s="49" t="str">
        <f ca="1">IFERROR(INDEX(Z:Z,MATCH(SMALL($AU:$AU,ROW()+3),$AU:$AU,0)),"")</f>
        <v/>
      </c>
      <c r="AN249" s="49" t="str">
        <f ca="1">IFERROR(INDEX(AA:AA,MATCH(SMALL($AU:$AU,ROW()+3),$AU:$AU,0)),"")</f>
        <v/>
      </c>
      <c r="AO249" s="49" t="str">
        <f ca="1">IFERROR(INDEX(AB:AB,MATCH(SMALL($AU:$AU,ROW()+3),$AU:$AU,0)),"")</f>
        <v/>
      </c>
      <c r="AP249" s="49" t="str">
        <f ca="1">IFERROR(INDEX(AC:AC,MATCH(SMALL($AU:$AU,ROW()+3),$AU:$AU,0)),"")</f>
        <v/>
      </c>
      <c r="AU249" s="49" t="str">
        <f t="shared" ca="1" si="37"/>
        <v/>
      </c>
    </row>
    <row r="250" spans="1:47">
      <c r="A250" s="107" t="str">
        <f ca="1">IF(C250&lt;&gt;"",A249+1,"")</f>
        <v/>
      </c>
      <c r="B250" s="127"/>
      <c r="C250" s="128" t="str">
        <f t="array" aca="1" ref="C250" ca="1">IF(OR(INDIRECT("まとめ札!I"&amp;B247&amp;"")="",INDIRECT("まとめ札!I"&amp;B247&amp;"")=0),"",INDIRECT("まとめ札!A"&amp;B247&amp;"")&amp;"【4】")</f>
        <v/>
      </c>
      <c r="D250" s="128"/>
      <c r="E250" s="128"/>
      <c r="F250" s="129" t="str">
        <f ca="1">IF(C250&lt;&gt;"",
IF(IF(COUNTIF(C250,"*キャラ*"),
VLOOKUP("*キャラ*",商品マスタ一覧!$D:$E,2,FALSE),
VLOOKUP("*赤*",商品マスタ一覧!$D:$E,2,FALSE))=0,"",
IF(H250&lt;&gt;"",
IF(ROUND(
H250/IF(COUNTIF(C250,"*キャラ*"),
VLOOKUP("*キャラ*",商品マスタ一覧!$D:$E,2,FALSE),
VLOOKUP("*赤*",商品マスタ一覧!$D:$E,2,FALSE)),0)&lt;=0,1,
ROUND(
H250/IF(COUNTIF(C250,"*キャラ*"),
VLOOKUP("*キャラ*",商品マスタ一覧!$D:$E,2,FALSE),
VLOOKUP("*赤*",商品マスタ一覧!$D:$E,2,FALSE)),0)),"")),"")</f>
        <v/>
      </c>
      <c r="G250" s="130" t="str">
        <f ca="1">IF(F250&lt;&gt;"",IF(VALUE(H250)&gt;VALUE(IF(COUNTIF(C250,"*キャラ*"),
VLOOKUP("*キャラ*",商品マスタ一覧!$D:$E,2,FALSE),
VLOOKUP("*赤*",商品マスタ一覧!$D:$E,2,FALSE))*F250),
"+"&amp;H250-IF(COUNTIF(C250,"*キャラ*"),
VLOOKUP("*キャラ*",商品マスタ一覧!$D:$E,2,FALSE),
VLOOKUP("*赤*",商品マスタ一覧!$D:$E,2,FALSE))*F250,
H250-IF(COUNTIF(C250,"*キャラ*"),
VLOOKUP("*キャラ*",商品マスタ一覧!$D:$E,2,FALSE),
VLOOKUP("*赤*",商品マスタ一覧!$D:$E,2,FALSE))*F250),"")</f>
        <v/>
      </c>
      <c r="H250" s="127" t="str">
        <f t="array" aca="1" ref="H250" ca="1">IF(OR(INDIRECT("まとめ札!I"&amp;B247&amp;"")="",INDIRECT("まとめ札!I"&amp;B247&amp;"")=0),"",INDIRECT("まとめ札!I"&amp;B247&amp;""))</f>
        <v/>
      </c>
      <c r="I250" s="127"/>
      <c r="J250" s="127" t="str">
        <f ca="1">IF(C250&lt;&gt;"",
IF(OR(COUNTIF(C250,"*キャラ*"),COUNTIF(C250,"*赤*")),24,
VLOOKUP(C250,#REF!,6,FALSE)),"")</f>
        <v/>
      </c>
      <c r="M250" s="127"/>
      <c r="P250" s="127" t="str">
        <f t="shared" ca="1" si="40"/>
        <v/>
      </c>
      <c r="Q250" s="127" t="str">
        <f t="shared" ca="1" si="41"/>
        <v/>
      </c>
      <c r="R250" s="49" t="str">
        <f t="array" aca="1" ref="R250" ca="1">IFERROR(SMALL(IF(P$1:P$311&lt;&gt;0,P$1:P$311),ROW(A250)),"")</f>
        <v/>
      </c>
      <c r="S250" s="49" t="str">
        <f t="array" aca="1" ref="S250" ca="1">IF($R250&lt;&gt;"",
SUBSTITUTE(SUBSTITUTE(INDIRECT("C"&amp;$R250&amp;"")," 週3ｺｰｽ","")," 週5ｺｰｽ",""),"")</f>
        <v/>
      </c>
      <c r="T250" s="49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22" t="str">
        <f t="array" aca="1" ref="U250" ca="1">IF($R250&lt;&gt;"",
INDIRECT("F"&amp;$R250&amp;""),"")</f>
        <v/>
      </c>
      <c r="V250" s="49" t="str">
        <f t="array" aca="1" ref="V250" ca="1">IF($R250&lt;&gt;"",
INDIRECT("G"&amp;$R250&amp;""),"")</f>
        <v/>
      </c>
      <c r="W250" s="49" t="str">
        <f t="array" aca="1" ref="W250" ca="1">IF($R250&lt;&gt;"",
IF(AND(COUNTIF(INDIRECT("B"&amp;R250&amp;""),"*雙葉*"),COUNTIF(B:B,"*雙葉*")&gt;=2),
IF(OR(COUNTIF(INDIRECT("B"&amp;R250&amp;""),"*雙葉先生*"),COUNTIF($B$1:$B$70,"*雙葉*")&gt;=2),INDIRECT("H"&amp;R250&amp;""),INDIRECT("H"&amp;R250&amp;"")+INDIRECT("H"&amp;MATCH("雙葉'",INDIRECT("B"&amp;R250+3&amp;":B210"),0)+2+R250&amp;"")),
IF(AND(LEFT(INDIRECT("B"&amp;R250&amp;""),2)="博多",COUNTIF(B:B,"*博多*")&gt;=2),
INDIRECT("H"&amp;R250&amp;"")+INDIRECT("H"&amp;MATCH("*"&amp;INDIRECT("B"&amp;R250&amp;"")&amp;"*",INDIRECT("B"&amp;R250+1&amp;":B210"),0)+R250&amp;""),
IF(AND(LEFT(INDIRECT("B"&amp;R250&amp;""),3)="奈良屋",COUNTIF(B:B,"*奈良屋*")&gt;=2),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49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49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49" t="str">
        <f t="shared" ca="1" si="35"/>
        <v/>
      </c>
      <c r="AA250" s="49" t="str">
        <f t="shared" ca="1" si="36"/>
        <v/>
      </c>
      <c r="AB250" s="49" t="str">
        <f t="array" aca="1" ref="AB250" ca="1">IF($R250&lt;&gt;"",
IF(AND(COUNTIF(INDIRECT("B"&amp;R250&amp;""),"*雙葉*"),COUNTIF(B:B,"*雙葉*")&gt;=2),
INDIRECT("M"&amp;R250&amp;"")+INDIRECT("M"&amp;MATCH("雙葉'",INDIRECT("B"&amp;R250+1&amp;":B210"),0)+R250&amp;""),
IF(AND(LEFT(INDIRECT("B"&amp;R250&amp;""),2)="博多",COUNTIF(B:B,"*博多*")&gt;=2),
INDIRECT("M"&amp;R250&amp;"")+INDIRECT("M"&amp;MATCH("*"&amp;INDIRECT("B"&amp;R250&amp;"")&amp;"*",INDIRECT("B"&amp;R250+1&amp;":B210"),0)+R250&amp;""),
IF(AND(LEFT(INDIRECT("B"&amp;R250&amp;""),3)="奈良屋",COUNTIF(B:B,"*奈良屋*")&gt;=2),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  <c r="AC250" s="49" t="str">
        <f ca="1">IF(S250&lt;&gt;"",INDEX(A:A, MATCH("*"&amp;LEFT(S250,4)&amp;"*", C:C, 0)),"")</f>
        <v/>
      </c>
      <c r="AD250" s="49" t="str">
        <f ca="1">IFERROR(INDEX(AC:AC,MATCH(SMALL($AU:$AU,ROW()+3),$AU:$AU,0)),"")</f>
        <v/>
      </c>
      <c r="AE250" s="49" t="str">
        <f ca="1">IFERROR(INDEX(R:R,MATCH(SMALL($AU:$AU,ROW()+3),$AU:$AU,0)),"")</f>
        <v/>
      </c>
      <c r="AF250" s="49" t="str">
        <f ca="1">IFERROR(INDEX(S:S,MATCH(SMALL($AU:$AU,ROW()+3),$AU:$AU,0)),"")</f>
        <v/>
      </c>
      <c r="AG250" s="49" t="str">
        <f ca="1">IFERROR(INDEX(T:T,MATCH(SMALL($AU:$AU,ROW()+3),$AU:$AU,0)),"")</f>
        <v/>
      </c>
      <c r="AH250" s="122" t="str">
        <f ca="1">IFERROR(INDEX(U:U,MATCH(SMALL($AU:$AU,ROW()+3),$AU:$AU,0)),"")</f>
        <v/>
      </c>
      <c r="AI250" s="49" t="str">
        <f ca="1">IFERROR(INDEX(V:V,MATCH(SMALL($AU:$AU,ROW()+3),$AU:$AU,0)),"")</f>
        <v/>
      </c>
      <c r="AJ250" s="49" t="str">
        <f ca="1">IFERROR(INDEX(W:W,MATCH(SMALL($AU:$AU,ROW()+3),$AU:$AU,0)),"")</f>
        <v/>
      </c>
      <c r="AK250" s="49" t="str">
        <f ca="1">IFERROR(INDEX(X:X,MATCH(SMALL($AU:$AU,ROW()+3),$AU:$AU,0)),"")</f>
        <v/>
      </c>
      <c r="AL250" s="49" t="str">
        <f ca="1">IFERROR(INDEX(Y:Y,MATCH(SMALL($AU:$AU,ROW()+3),$AU:$AU,0)),"")</f>
        <v/>
      </c>
      <c r="AM250" s="49" t="str">
        <f ca="1">IFERROR(INDEX(Z:Z,MATCH(SMALL($AU:$AU,ROW()+3),$AU:$AU,0)),"")</f>
        <v/>
      </c>
      <c r="AN250" s="49" t="str">
        <f ca="1">IFERROR(INDEX(AA:AA,MATCH(SMALL($AU:$AU,ROW()+3),$AU:$AU,0)),"")</f>
        <v/>
      </c>
      <c r="AO250" s="49" t="str">
        <f ca="1">IFERROR(INDEX(AB:AB,MATCH(SMALL($AU:$AU,ROW()+3),$AU:$AU,0)),"")</f>
        <v/>
      </c>
      <c r="AP250" s="49" t="str">
        <f ca="1">IFERROR(INDEX(AC:AC,MATCH(SMALL($AU:$AU,ROW()+3),$AU:$AU,0)),"")</f>
        <v/>
      </c>
      <c r="AU250" s="49" t="str">
        <f t="shared" ca="1" si="37"/>
        <v/>
      </c>
    </row>
    <row r="251" spans="1:47">
      <c r="A251" s="107" t="str">
        <f ca="1">IF(C251&lt;&gt;"",MATCH("*"&amp;LEFT(C251,4)&amp;"*",数出表_Excel!A:A,0),"")</f>
        <v/>
      </c>
      <c r="B251" s="114"/>
      <c r="C251" s="131" t="str">
        <f ca="1">先生札!R1</f>
        <v/>
      </c>
      <c r="D251" s="131">
        <f ca="1">先生札!S1</f>
        <v>0</v>
      </c>
      <c r="E251" s="114"/>
      <c r="F251" s="114" t="str">
        <f>""</f>
        <v/>
      </c>
      <c r="G251" s="114" t="str">
        <f>""</f>
        <v/>
      </c>
      <c r="H251" s="114" t="str">
        <f ca="1">先生札!T1</f>
        <v/>
      </c>
      <c r="I251" s="114" t="str">
        <f>""</f>
        <v/>
      </c>
      <c r="J251" s="114" t="str">
        <f>""</f>
        <v/>
      </c>
      <c r="M251" s="114"/>
      <c r="P251" s="114" t="str">
        <f t="shared" ref="P251:P265" ca="1" si="42">IF(Q251&lt;&gt;"",ROW(),"")</f>
        <v/>
      </c>
      <c r="Q251" s="114" t="str">
        <f t="shared" ca="1" si="41"/>
        <v/>
      </c>
      <c r="R251" s="49" t="str">
        <f t="array" aca="1" ref="R251" ca="1">IFERROR(SMALL(IF(P$1:P$311&lt;&gt;0,P$1:P$311),ROW(A251)),"")</f>
        <v/>
      </c>
      <c r="S251" s="49" t="str">
        <f t="array" aca="1" ref="S251" ca="1">IF($R251&lt;&gt;"",
SUBSTITUTE(SUBSTITUTE(INDIRECT("C"&amp;$R251&amp;"")," 週3ｺｰｽ","")," 週5ｺｰｽ",""),"")</f>
        <v/>
      </c>
      <c r="T251" s="49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22" t="str">
        <f t="array" aca="1" ref="U251" ca="1">IF($R251&lt;&gt;"",
INDIRECT("F"&amp;$R251&amp;""),"")</f>
        <v/>
      </c>
      <c r="V251" s="49" t="str">
        <f t="array" aca="1" ref="V251" ca="1">IF($R251&lt;&gt;"",
INDIRECT("G"&amp;$R251&amp;""),"")</f>
        <v/>
      </c>
      <c r="W251" s="49" t="str">
        <f t="array" aca="1" ref="W251" ca="1">IF($R251&lt;&gt;"",
IF(AND(COUNTIF(INDIRECT("B"&amp;R251&amp;""),"*雙葉*"),COUNTIF(B:B,"*雙葉*")&gt;=2),
IF(OR(COUNTIF(INDIRECT("B"&amp;R251&amp;""),"*雙葉先生*"),COUNTIF($B$1:$B$70,"*雙葉*")&gt;=2),INDIRECT("H"&amp;R251&amp;""),INDIRECT("H"&amp;R251&amp;"")+INDIRECT("H"&amp;MATCH("雙葉'",INDIRECT("B"&amp;R251+3&amp;":B210"),0)+2+R251&amp;"")),
IF(AND(LEFT(INDIRECT("B"&amp;R251&amp;""),2)="博多",COUNTIF(B:B,"*博多*")&gt;=2),
INDIRECT("H"&amp;R251&amp;"")+INDIRECT("H"&amp;MATCH("*"&amp;INDIRECT("B"&amp;R251&amp;"")&amp;"*",INDIRECT("B"&amp;R251+1&amp;":B210"),0)+R251&amp;""),
IF(AND(LEFT(INDIRECT("B"&amp;R251&amp;""),3)="奈良屋",COUNTIF(B:B,"*奈良屋*")&gt;=2),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49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49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49" t="str">
        <f t="shared" ca="1" si="35"/>
        <v/>
      </c>
      <c r="AA251" s="49" t="str">
        <f t="shared" ca="1" si="36"/>
        <v/>
      </c>
      <c r="AB251" s="49" t="str">
        <f t="array" aca="1" ref="AB251" ca="1">IF($R251&lt;&gt;"",
IF(AND(COUNTIF(INDIRECT("B"&amp;R251&amp;""),"*雙葉*"),COUNTIF(B:B,"*雙葉*")&gt;=2),
INDIRECT("M"&amp;R251&amp;"")+INDIRECT("M"&amp;MATCH("雙葉'",INDIRECT("B"&amp;R251+1&amp;":B210"),0)+R251&amp;""),
IF(AND(LEFT(INDIRECT("B"&amp;R251&amp;""),2)="博多",COUNTIF(B:B,"*博多*")&gt;=2),
INDIRECT("M"&amp;R251&amp;"")+INDIRECT("M"&amp;MATCH("*"&amp;INDIRECT("B"&amp;R251&amp;"")&amp;"*",INDIRECT("B"&amp;R251+1&amp;":B210"),0)+R251&amp;""),
IF(AND(LEFT(INDIRECT("B"&amp;R251&amp;""),3)="奈良屋",COUNTIF(B:B,"*奈良屋*")&gt;=2),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  <c r="AC251" s="49" t="str">
        <f ca="1">IF(S251&lt;&gt;"",INDEX(A:A, MATCH("*"&amp;LEFT(S251,4)&amp;"*", C:C, 0)),"")</f>
        <v/>
      </c>
      <c r="AD251" s="49" t="str">
        <f ca="1">IFERROR(INDEX(AC:AC,MATCH(SMALL($AU:$AU,ROW()+3),$AU:$AU,0)),"")</f>
        <v/>
      </c>
      <c r="AE251" s="49" t="str">
        <f ca="1">IFERROR(INDEX(R:R,MATCH(SMALL($AU:$AU,ROW()+3),$AU:$AU,0)),"")</f>
        <v/>
      </c>
      <c r="AF251" s="49" t="str">
        <f ca="1">IFERROR(INDEX(S:S,MATCH(SMALL($AU:$AU,ROW()+3),$AU:$AU,0)),"")</f>
        <v/>
      </c>
      <c r="AG251" s="49" t="str">
        <f ca="1">IFERROR(INDEX(T:T,MATCH(SMALL($AU:$AU,ROW()+3),$AU:$AU,0)),"")</f>
        <v/>
      </c>
      <c r="AH251" s="122" t="str">
        <f ca="1">IFERROR(INDEX(U:U,MATCH(SMALL($AU:$AU,ROW()+3),$AU:$AU,0)),"")</f>
        <v/>
      </c>
      <c r="AI251" s="49" t="str">
        <f ca="1">IFERROR(INDEX(V:V,MATCH(SMALL($AU:$AU,ROW()+3),$AU:$AU,0)),"")</f>
        <v/>
      </c>
      <c r="AJ251" s="49" t="str">
        <f ca="1">IFERROR(INDEX(W:W,MATCH(SMALL($AU:$AU,ROW()+3),$AU:$AU,0)),"")</f>
        <v/>
      </c>
      <c r="AK251" s="49" t="str">
        <f ca="1">IFERROR(INDEX(X:X,MATCH(SMALL($AU:$AU,ROW()+3),$AU:$AU,0)),"")</f>
        <v/>
      </c>
      <c r="AL251" s="49" t="str">
        <f ca="1">IFERROR(INDEX(Y:Y,MATCH(SMALL($AU:$AU,ROW()+3),$AU:$AU,0)),"")</f>
        <v/>
      </c>
      <c r="AM251" s="49" t="str">
        <f ca="1">IFERROR(INDEX(Z:Z,MATCH(SMALL($AU:$AU,ROW()+3),$AU:$AU,0)),"")</f>
        <v/>
      </c>
      <c r="AN251" s="49" t="str">
        <f ca="1">IFERROR(INDEX(AA:AA,MATCH(SMALL($AU:$AU,ROW()+3),$AU:$AU,0)),"")</f>
        <v/>
      </c>
      <c r="AO251" s="49" t="str">
        <f ca="1">IFERROR(INDEX(AB:AB,MATCH(SMALL($AU:$AU,ROW()+3),$AU:$AU,0)),"")</f>
        <v/>
      </c>
      <c r="AP251" s="49" t="str">
        <f ca="1">IFERROR(INDEX(AC:AC,MATCH(SMALL($AU:$AU,ROW()+3),$AU:$AU,0)),"")</f>
        <v/>
      </c>
      <c r="AU251" s="49" t="str">
        <f t="shared" ca="1" si="37"/>
        <v/>
      </c>
    </row>
    <row r="252" spans="1:47">
      <c r="A252" s="107" t="str">
        <f ca="1">IF(C252&lt;&gt;"",MATCH("*"&amp;LEFT(C252,4)&amp;"*",数出表_Excel!A:A,0),"")</f>
        <v/>
      </c>
      <c r="B252" s="114"/>
      <c r="C252" s="131" t="str">
        <f ca="1">先生札!R2</f>
        <v/>
      </c>
      <c r="D252" s="131">
        <f ca="1">先生札!S2</f>
        <v>0</v>
      </c>
      <c r="E252" s="114"/>
      <c r="F252" s="114" t="str">
        <f>""</f>
        <v/>
      </c>
      <c r="G252" s="114" t="str">
        <f>""</f>
        <v/>
      </c>
      <c r="H252" s="114" t="str">
        <f ca="1">先生札!T2</f>
        <v/>
      </c>
      <c r="I252" s="114" t="str">
        <f>""</f>
        <v/>
      </c>
      <c r="J252" s="114" t="str">
        <f>""</f>
        <v/>
      </c>
      <c r="M252" s="114"/>
      <c r="P252" s="114" t="str">
        <f t="shared" ca="1" si="42"/>
        <v/>
      </c>
      <c r="Q252" s="114" t="str">
        <f t="shared" ca="1" si="41"/>
        <v/>
      </c>
      <c r="R252" s="49" t="str">
        <f t="array" aca="1" ref="R252" ca="1">IFERROR(SMALL(IF(P$1:P$311&lt;&gt;0,P$1:P$311),ROW(A252)),"")</f>
        <v/>
      </c>
      <c r="S252" s="49" t="str">
        <f t="array" aca="1" ref="S252" ca="1">IF($R252&lt;&gt;"",
SUBSTITUTE(SUBSTITUTE(INDIRECT("C"&amp;$R252&amp;"")," 週3ｺｰｽ","")," 週5ｺｰｽ",""),"")</f>
        <v/>
      </c>
      <c r="T252" s="49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22" t="str">
        <f t="array" aca="1" ref="U252" ca="1">IF($R252&lt;&gt;"",
INDIRECT("F"&amp;$R252&amp;""),"")</f>
        <v/>
      </c>
      <c r="V252" s="49" t="str">
        <f t="array" aca="1" ref="V252" ca="1">IF($R252&lt;&gt;"",
INDIRECT("G"&amp;$R252&amp;""),"")</f>
        <v/>
      </c>
      <c r="W252" s="49" t="str">
        <f t="array" aca="1" ref="W252" ca="1">IF($R252&lt;&gt;"",
IF(AND(COUNTIF(INDIRECT("B"&amp;R252&amp;""),"*雙葉*"),COUNTIF(B:B,"*雙葉*")&gt;=2),
IF(OR(COUNTIF(INDIRECT("B"&amp;R252&amp;""),"*雙葉先生*"),COUNTIF($B$1:$B$70,"*雙葉*")&gt;=2),INDIRECT("H"&amp;R252&amp;""),INDIRECT("H"&amp;R252&amp;"")+INDIRECT("H"&amp;MATCH("雙葉'",INDIRECT("B"&amp;R252+3&amp;":B210"),0)+2+R252&amp;"")),
IF(AND(LEFT(INDIRECT("B"&amp;R252&amp;""),2)="博多",COUNTIF(B:B,"*博多*")&gt;=2),
INDIRECT("H"&amp;R252&amp;"")+INDIRECT("H"&amp;MATCH("*"&amp;INDIRECT("B"&amp;R252&amp;"")&amp;"*",INDIRECT("B"&amp;R252+1&amp;":B210"),0)+R252&amp;""),
IF(AND(LEFT(INDIRECT("B"&amp;R252&amp;""),3)="奈良屋",COUNTIF(B:B,"*奈良屋*")&gt;=2),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49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49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49" t="str">
        <f t="shared" ca="1" si="35"/>
        <v/>
      </c>
      <c r="AA252" s="49" t="str">
        <f t="shared" ca="1" si="36"/>
        <v/>
      </c>
      <c r="AB252" s="49" t="str">
        <f t="array" aca="1" ref="AB252" ca="1">IF($R252&lt;&gt;"",
IF(AND(COUNTIF(INDIRECT("B"&amp;R252&amp;""),"*雙葉*"),COUNTIF(B:B,"*雙葉*")&gt;=2),
INDIRECT("M"&amp;R252&amp;"")+INDIRECT("M"&amp;MATCH("雙葉'",INDIRECT("B"&amp;R252+1&amp;":B210"),0)+R252&amp;""),
IF(AND(LEFT(INDIRECT("B"&amp;R252&amp;""),2)="博多",COUNTIF(B:B,"*博多*")&gt;=2),
INDIRECT("M"&amp;R252&amp;"")+INDIRECT("M"&amp;MATCH("*"&amp;INDIRECT("B"&amp;R252&amp;"")&amp;"*",INDIRECT("B"&amp;R252+1&amp;":B210"),0)+R252&amp;""),
IF(AND(LEFT(INDIRECT("B"&amp;R252&amp;""),3)="奈良屋",COUNTIF(B:B,"*奈良屋*")&gt;=2),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  <c r="AC252" s="49" t="str">
        <f ca="1">IF(S252&lt;&gt;"",INDEX(A:A, MATCH("*"&amp;LEFT(S252,4)&amp;"*", C:C, 0)),"")</f>
        <v/>
      </c>
      <c r="AD252" s="49" t="str">
        <f ca="1">IFERROR(INDEX(AC:AC,MATCH(SMALL($AU:$AU,ROW()+3),$AU:$AU,0)),"")</f>
        <v/>
      </c>
      <c r="AE252" s="49" t="str">
        <f ca="1">IFERROR(INDEX(R:R,MATCH(SMALL($AU:$AU,ROW()+3),$AU:$AU,0)),"")</f>
        <v/>
      </c>
      <c r="AF252" s="49" t="str">
        <f ca="1">IFERROR(INDEX(S:S,MATCH(SMALL($AU:$AU,ROW()+3),$AU:$AU,0)),"")</f>
        <v/>
      </c>
      <c r="AG252" s="49" t="str">
        <f ca="1">IFERROR(INDEX(T:T,MATCH(SMALL($AU:$AU,ROW()+3),$AU:$AU,0)),"")</f>
        <v/>
      </c>
      <c r="AH252" s="122" t="str">
        <f ca="1">IFERROR(INDEX(U:U,MATCH(SMALL($AU:$AU,ROW()+3),$AU:$AU,0)),"")</f>
        <v/>
      </c>
      <c r="AI252" s="49" t="str">
        <f ca="1">IFERROR(INDEX(V:V,MATCH(SMALL($AU:$AU,ROW()+3),$AU:$AU,0)),"")</f>
        <v/>
      </c>
      <c r="AJ252" s="49" t="str">
        <f ca="1">IFERROR(INDEX(W:W,MATCH(SMALL($AU:$AU,ROW()+3),$AU:$AU,0)),"")</f>
        <v/>
      </c>
      <c r="AK252" s="49" t="str">
        <f ca="1">IFERROR(INDEX(X:X,MATCH(SMALL($AU:$AU,ROW()+3),$AU:$AU,0)),"")</f>
        <v/>
      </c>
      <c r="AL252" s="49" t="str">
        <f ca="1">IFERROR(INDEX(Y:Y,MATCH(SMALL($AU:$AU,ROW()+3),$AU:$AU,0)),"")</f>
        <v/>
      </c>
      <c r="AM252" s="49" t="str">
        <f ca="1">IFERROR(INDEX(Z:Z,MATCH(SMALL($AU:$AU,ROW()+3),$AU:$AU,0)),"")</f>
        <v/>
      </c>
      <c r="AN252" s="49" t="str">
        <f ca="1">IFERROR(INDEX(AA:AA,MATCH(SMALL($AU:$AU,ROW()+3),$AU:$AU,0)),"")</f>
        <v/>
      </c>
      <c r="AO252" s="49" t="str">
        <f ca="1">IFERROR(INDEX(AB:AB,MATCH(SMALL($AU:$AU,ROW()+3),$AU:$AU,0)),"")</f>
        <v/>
      </c>
      <c r="AP252" s="49" t="str">
        <f ca="1">IFERROR(INDEX(AC:AC,MATCH(SMALL($AU:$AU,ROW()+3),$AU:$AU,0)),"")</f>
        <v/>
      </c>
      <c r="AU252" s="49" t="str">
        <f t="shared" ca="1" si="37"/>
        <v/>
      </c>
    </row>
    <row r="253" spans="1:47">
      <c r="A253" s="107" t="str">
        <f ca="1">IF(C253&lt;&gt;"",MATCH("*"&amp;LEFT(C253,4)&amp;"*",数出表_Excel!A:A,0),"")</f>
        <v/>
      </c>
      <c r="B253" s="114"/>
      <c r="C253" s="131" t="str">
        <f ca="1">先生札!R3</f>
        <v/>
      </c>
      <c r="D253" s="131">
        <f ca="1">先生札!S3</f>
        <v>0</v>
      </c>
      <c r="E253" s="114"/>
      <c r="F253" s="114" t="str">
        <f>""</f>
        <v/>
      </c>
      <c r="G253" s="114" t="str">
        <f>""</f>
        <v/>
      </c>
      <c r="H253" s="114" t="str">
        <f ca="1">先生札!T3</f>
        <v/>
      </c>
      <c r="I253" s="114" t="str">
        <f>""</f>
        <v/>
      </c>
      <c r="J253" s="114" t="str">
        <f>""</f>
        <v/>
      </c>
      <c r="M253" s="114"/>
      <c r="P253" s="114" t="str">
        <f t="shared" ca="1" si="42"/>
        <v/>
      </c>
      <c r="Q253" s="114" t="str">
        <f t="shared" ca="1" si="41"/>
        <v/>
      </c>
      <c r="R253" s="49" t="str">
        <f t="array" aca="1" ref="R253" ca="1">IFERROR(SMALL(IF(P$1:P$311&lt;&gt;0,P$1:P$311),ROW(A253)),"")</f>
        <v/>
      </c>
      <c r="S253" s="49" t="str">
        <f t="array" aca="1" ref="S253" ca="1">IF($R253&lt;&gt;"",
SUBSTITUTE(SUBSTITUTE(INDIRECT("C"&amp;$R253&amp;"")," 週3ｺｰｽ","")," 週5ｺｰｽ",""),"")</f>
        <v/>
      </c>
      <c r="T253" s="49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22" t="str">
        <f t="array" aca="1" ref="U253" ca="1">IF($R253&lt;&gt;"",
INDIRECT("F"&amp;$R253&amp;""),"")</f>
        <v/>
      </c>
      <c r="V253" s="49" t="str">
        <f t="array" aca="1" ref="V253" ca="1">IF($R253&lt;&gt;"",
INDIRECT("G"&amp;$R253&amp;""),"")</f>
        <v/>
      </c>
      <c r="W253" s="49" t="str">
        <f t="array" aca="1" ref="W253" ca="1">IF($R253&lt;&gt;"",
IF(AND(COUNTIF(INDIRECT("B"&amp;R253&amp;""),"*雙葉*"),COUNTIF(B:B,"*雙葉*")&gt;=2),
IF(OR(COUNTIF(INDIRECT("B"&amp;R253&amp;""),"*雙葉先生*"),COUNTIF($B$1:$B$70,"*雙葉*")&gt;=2),INDIRECT("H"&amp;R253&amp;""),INDIRECT("H"&amp;R253&amp;"")+INDIRECT("H"&amp;MATCH("雙葉'",INDIRECT("B"&amp;R253+3&amp;":B210"),0)+2+R253&amp;"")),
IF(AND(LEFT(INDIRECT("B"&amp;R253&amp;""),2)="博多",COUNTIF(B:B,"*博多*")&gt;=2),
INDIRECT("H"&amp;R253&amp;"")+INDIRECT("H"&amp;MATCH("*"&amp;INDIRECT("B"&amp;R253&amp;"")&amp;"*",INDIRECT("B"&amp;R253+1&amp;":B210"),0)+R253&amp;""),
IF(AND(LEFT(INDIRECT("B"&amp;R253&amp;""),3)="奈良屋",COUNTIF(B:B,"*奈良屋*")&gt;=2),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49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49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49" t="str">
        <f t="shared" ca="1" si="35"/>
        <v/>
      </c>
      <c r="AA253" s="49" t="str">
        <f t="shared" ca="1" si="36"/>
        <v/>
      </c>
      <c r="AB253" s="49" t="str">
        <f t="array" aca="1" ref="AB253" ca="1">IF($R253&lt;&gt;"",
IF(AND(COUNTIF(INDIRECT("B"&amp;R253&amp;""),"*雙葉*"),COUNTIF(B:B,"*雙葉*")&gt;=2),
INDIRECT("M"&amp;R253&amp;"")+INDIRECT("M"&amp;MATCH("雙葉'",INDIRECT("B"&amp;R253+1&amp;":B210"),0)+R253&amp;""),
IF(AND(LEFT(INDIRECT("B"&amp;R253&amp;""),2)="博多",COUNTIF(B:B,"*博多*")&gt;=2),
INDIRECT("M"&amp;R253&amp;"")+INDIRECT("M"&amp;MATCH("*"&amp;INDIRECT("B"&amp;R253&amp;"")&amp;"*",INDIRECT("B"&amp;R253+1&amp;":B210"),0)+R253&amp;""),
IF(AND(LEFT(INDIRECT("B"&amp;R253&amp;""),3)="奈良屋",COUNTIF(B:B,"*奈良屋*")&gt;=2),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  <c r="AC253" s="49" t="str">
        <f ca="1">IF(S253&lt;&gt;"",INDEX(A:A, MATCH("*"&amp;LEFT(S253,4)&amp;"*", C:C, 0)),"")</f>
        <v/>
      </c>
      <c r="AD253" s="49" t="str">
        <f ca="1">IFERROR(INDEX(AC:AC,MATCH(SMALL($AU:$AU,ROW()+3),$AU:$AU,0)),"")</f>
        <v/>
      </c>
      <c r="AE253" s="49" t="str">
        <f ca="1">IFERROR(INDEX(R:R,MATCH(SMALL($AU:$AU,ROW()+3),$AU:$AU,0)),"")</f>
        <v/>
      </c>
      <c r="AF253" s="49" t="str">
        <f ca="1">IFERROR(INDEX(S:S,MATCH(SMALL($AU:$AU,ROW()+3),$AU:$AU,0)),"")</f>
        <v/>
      </c>
      <c r="AG253" s="49" t="str">
        <f ca="1">IFERROR(INDEX(T:T,MATCH(SMALL($AU:$AU,ROW()+3),$AU:$AU,0)),"")</f>
        <v/>
      </c>
      <c r="AH253" s="122" t="str">
        <f ca="1">IFERROR(INDEX(U:U,MATCH(SMALL($AU:$AU,ROW()+3),$AU:$AU,0)),"")</f>
        <v/>
      </c>
      <c r="AI253" s="49" t="str">
        <f ca="1">IFERROR(INDEX(V:V,MATCH(SMALL($AU:$AU,ROW()+3),$AU:$AU,0)),"")</f>
        <v/>
      </c>
      <c r="AJ253" s="49" t="str">
        <f ca="1">IFERROR(INDEX(W:W,MATCH(SMALL($AU:$AU,ROW()+3),$AU:$AU,0)),"")</f>
        <v/>
      </c>
      <c r="AK253" s="49" t="str">
        <f ca="1">IFERROR(INDEX(X:X,MATCH(SMALL($AU:$AU,ROW()+3),$AU:$AU,0)),"")</f>
        <v/>
      </c>
      <c r="AL253" s="49" t="str">
        <f ca="1">IFERROR(INDEX(Y:Y,MATCH(SMALL($AU:$AU,ROW()+3),$AU:$AU,0)),"")</f>
        <v/>
      </c>
      <c r="AM253" s="49" t="str">
        <f ca="1">IFERROR(INDEX(Z:Z,MATCH(SMALL($AU:$AU,ROW()+3),$AU:$AU,0)),"")</f>
        <v/>
      </c>
      <c r="AN253" s="49" t="str">
        <f ca="1">IFERROR(INDEX(AA:AA,MATCH(SMALL($AU:$AU,ROW()+3),$AU:$AU,0)),"")</f>
        <v/>
      </c>
      <c r="AO253" s="49" t="str">
        <f ca="1">IFERROR(INDEX(AB:AB,MATCH(SMALL($AU:$AU,ROW()+3),$AU:$AU,0)),"")</f>
        <v/>
      </c>
      <c r="AP253" s="49" t="str">
        <f ca="1">IFERROR(INDEX(AC:AC,MATCH(SMALL($AU:$AU,ROW()+3),$AU:$AU,0)),"")</f>
        <v/>
      </c>
      <c r="AU253" s="49" t="str">
        <f t="shared" ca="1" si="37"/>
        <v/>
      </c>
    </row>
    <row r="254" spans="1:47">
      <c r="A254" s="107" t="str">
        <f ca="1">IF(C254&lt;&gt;"",MATCH("*"&amp;LEFT(C254,4)&amp;"*",数出表_Excel!A:A,0),"")</f>
        <v/>
      </c>
      <c r="B254" s="114"/>
      <c r="C254" s="131" t="str">
        <f ca="1">先生札!R4</f>
        <v/>
      </c>
      <c r="D254" s="131">
        <f ca="1">先生札!S4</f>
        <v>0</v>
      </c>
      <c r="E254" s="114"/>
      <c r="F254" s="114" t="str">
        <f>""</f>
        <v/>
      </c>
      <c r="G254" s="114" t="str">
        <f>""</f>
        <v/>
      </c>
      <c r="H254" s="114" t="str">
        <f ca="1">先生札!T4</f>
        <v/>
      </c>
      <c r="I254" s="114" t="str">
        <f>""</f>
        <v/>
      </c>
      <c r="J254" s="114" t="str">
        <f>""</f>
        <v/>
      </c>
      <c r="M254" s="114"/>
      <c r="P254" s="114" t="str">
        <f t="shared" ca="1" si="42"/>
        <v/>
      </c>
      <c r="Q254" s="114" t="str">
        <f t="shared" ca="1" si="41"/>
        <v/>
      </c>
      <c r="R254" s="49" t="str">
        <f t="array" aca="1" ref="R254" ca="1">IFERROR(SMALL(IF(P$1:P$311&lt;&gt;0,P$1:P$311),ROW(A254)),"")</f>
        <v/>
      </c>
      <c r="S254" s="49" t="str">
        <f t="array" aca="1" ref="S254" ca="1">IF($R254&lt;&gt;"",
SUBSTITUTE(SUBSTITUTE(INDIRECT("C"&amp;$R254&amp;"")," 週3ｺｰｽ","")," 週5ｺｰｽ",""),"")</f>
        <v/>
      </c>
      <c r="T254" s="49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22" t="str">
        <f t="array" aca="1" ref="U254" ca="1">IF($R254&lt;&gt;"",
INDIRECT("F"&amp;$R254&amp;""),"")</f>
        <v/>
      </c>
      <c r="V254" s="49" t="str">
        <f t="array" aca="1" ref="V254" ca="1">IF($R254&lt;&gt;"",
INDIRECT("G"&amp;$R254&amp;""),"")</f>
        <v/>
      </c>
      <c r="W254" s="49" t="str">
        <f t="array" aca="1" ref="W254" ca="1">IF($R254&lt;&gt;"",
IF(AND(COUNTIF(INDIRECT("B"&amp;R254&amp;""),"*雙葉*"),COUNTIF(B:B,"*雙葉*")&gt;=2),
IF(OR(COUNTIF(INDIRECT("B"&amp;R254&amp;""),"*雙葉先生*"),COUNTIF($B$1:$B$70,"*雙葉*")&gt;=2),INDIRECT("H"&amp;R254&amp;""),INDIRECT("H"&amp;R254&amp;"")+INDIRECT("H"&amp;MATCH("雙葉'",INDIRECT("B"&amp;R254+3&amp;":B210"),0)+2+R254&amp;"")),
IF(AND(LEFT(INDIRECT("B"&amp;R254&amp;""),2)="博多",COUNTIF(B:B,"*博多*")&gt;=2),
INDIRECT("H"&amp;R254&amp;"")+INDIRECT("H"&amp;MATCH("*"&amp;INDIRECT("B"&amp;R254&amp;"")&amp;"*",INDIRECT("B"&amp;R254+1&amp;":B210"),0)+R254&amp;""),
IF(AND(LEFT(INDIRECT("B"&amp;R254&amp;""),3)="奈良屋",COUNTIF(B:B,"*奈良屋*")&gt;=2),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49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49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49" t="str">
        <f t="shared" ca="1" si="35"/>
        <v/>
      </c>
      <c r="AA254" s="49" t="str">
        <f t="shared" ca="1" si="36"/>
        <v/>
      </c>
      <c r="AB254" s="49" t="str">
        <f t="array" aca="1" ref="AB254" ca="1">IF($R254&lt;&gt;"",
IF(AND(COUNTIF(INDIRECT("B"&amp;R254&amp;""),"*雙葉*"),COUNTIF(B:B,"*雙葉*")&gt;=2),
INDIRECT("M"&amp;R254&amp;"")+INDIRECT("M"&amp;MATCH("雙葉'",INDIRECT("B"&amp;R254+1&amp;":B210"),0)+R254&amp;""),
IF(AND(LEFT(INDIRECT("B"&amp;R254&amp;""),2)="博多",COUNTIF(B:B,"*博多*")&gt;=2),
INDIRECT("M"&amp;R254&amp;"")+INDIRECT("M"&amp;MATCH("*"&amp;INDIRECT("B"&amp;R254&amp;"")&amp;"*",INDIRECT("B"&amp;R254+1&amp;":B210"),0)+R254&amp;""),
IF(AND(LEFT(INDIRECT("B"&amp;R254&amp;""),3)="奈良屋",COUNTIF(B:B,"*奈良屋*")&gt;=2),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  <c r="AC254" s="49" t="str">
        <f ca="1">IF(S254&lt;&gt;"",INDEX(A:A, MATCH("*"&amp;LEFT(S254,4)&amp;"*", C:C, 0)),"")</f>
        <v/>
      </c>
      <c r="AD254" s="49" t="str">
        <f ca="1">IFERROR(INDEX(AC:AC,MATCH(SMALL($AU:$AU,ROW()+3),$AU:$AU,0)),"")</f>
        <v/>
      </c>
      <c r="AE254" s="49" t="str">
        <f ca="1">IFERROR(INDEX(R:R,MATCH(SMALL($AU:$AU,ROW()+3),$AU:$AU,0)),"")</f>
        <v/>
      </c>
      <c r="AF254" s="49" t="str">
        <f ca="1">IFERROR(INDEX(S:S,MATCH(SMALL($AU:$AU,ROW()+3),$AU:$AU,0)),"")</f>
        <v/>
      </c>
      <c r="AG254" s="49" t="str">
        <f ca="1">IFERROR(INDEX(T:T,MATCH(SMALL($AU:$AU,ROW()+3),$AU:$AU,0)),"")</f>
        <v/>
      </c>
      <c r="AH254" s="122" t="str">
        <f ca="1">IFERROR(INDEX(U:U,MATCH(SMALL($AU:$AU,ROW()+3),$AU:$AU,0)),"")</f>
        <v/>
      </c>
      <c r="AI254" s="49" t="str">
        <f ca="1">IFERROR(INDEX(V:V,MATCH(SMALL($AU:$AU,ROW()+3),$AU:$AU,0)),"")</f>
        <v/>
      </c>
      <c r="AJ254" s="49" t="str">
        <f ca="1">IFERROR(INDEX(W:W,MATCH(SMALL($AU:$AU,ROW()+3),$AU:$AU,0)),"")</f>
        <v/>
      </c>
      <c r="AK254" s="49" t="str">
        <f ca="1">IFERROR(INDEX(X:X,MATCH(SMALL($AU:$AU,ROW()+3),$AU:$AU,0)),"")</f>
        <v/>
      </c>
      <c r="AL254" s="49" t="str">
        <f ca="1">IFERROR(INDEX(Y:Y,MATCH(SMALL($AU:$AU,ROW()+3),$AU:$AU,0)),"")</f>
        <v/>
      </c>
      <c r="AM254" s="49" t="str">
        <f ca="1">IFERROR(INDEX(Z:Z,MATCH(SMALL($AU:$AU,ROW()+3),$AU:$AU,0)),"")</f>
        <v/>
      </c>
      <c r="AN254" s="49" t="str">
        <f ca="1">IFERROR(INDEX(AA:AA,MATCH(SMALL($AU:$AU,ROW()+3),$AU:$AU,0)),"")</f>
        <v/>
      </c>
      <c r="AO254" s="49" t="str">
        <f ca="1">IFERROR(INDEX(AB:AB,MATCH(SMALL($AU:$AU,ROW()+3),$AU:$AU,0)),"")</f>
        <v/>
      </c>
      <c r="AP254" s="49" t="str">
        <f ca="1">IFERROR(INDEX(AC:AC,MATCH(SMALL($AU:$AU,ROW()+3),$AU:$AU,0)),"")</f>
        <v/>
      </c>
      <c r="AU254" s="49" t="str">
        <f t="shared" ca="1" si="37"/>
        <v/>
      </c>
    </row>
    <row r="255" spans="1:47">
      <c r="A255" s="107" t="str">
        <f ca="1">IF(C255&lt;&gt;"",MATCH("*"&amp;LEFT(C255,4)&amp;"*",数出表_Excel!A:A,0),"")</f>
        <v/>
      </c>
      <c r="B255" s="114"/>
      <c r="C255" s="131" t="str">
        <f ca="1">先生札!R5</f>
        <v/>
      </c>
      <c r="D255" s="131">
        <f ca="1">先生札!S5</f>
        <v>0</v>
      </c>
      <c r="E255" s="114"/>
      <c r="F255" s="114" t="str">
        <f>""</f>
        <v/>
      </c>
      <c r="G255" s="114" t="str">
        <f>""</f>
        <v/>
      </c>
      <c r="H255" s="114" t="str">
        <f ca="1">先生札!T5</f>
        <v/>
      </c>
      <c r="I255" s="114" t="str">
        <f>""</f>
        <v/>
      </c>
      <c r="J255" s="114" t="str">
        <f>""</f>
        <v/>
      </c>
      <c r="M255" s="114"/>
      <c r="P255" s="114" t="str">
        <f t="shared" ca="1" si="42"/>
        <v/>
      </c>
      <c r="Q255" s="114" t="str">
        <f t="shared" ca="1" si="41"/>
        <v/>
      </c>
      <c r="S255" s="49"/>
    </row>
    <row r="256" spans="1:47">
      <c r="A256" s="107" t="str">
        <f ca="1">IF(C256&lt;&gt;"",MATCH("*"&amp;LEFT(C256,4)&amp;"*",数出表_Excel!A:A,0),"")</f>
        <v/>
      </c>
      <c r="B256" s="114"/>
      <c r="C256" s="131" t="str">
        <f ca="1">先生札!R6</f>
        <v/>
      </c>
      <c r="D256" s="131">
        <f ca="1">先生札!S6</f>
        <v>0</v>
      </c>
      <c r="E256" s="114"/>
      <c r="F256" s="114" t="str">
        <f>""</f>
        <v/>
      </c>
      <c r="G256" s="114" t="str">
        <f>""</f>
        <v/>
      </c>
      <c r="H256" s="114" t="str">
        <f ca="1">先生札!T6</f>
        <v/>
      </c>
      <c r="I256" s="114" t="str">
        <f>""</f>
        <v/>
      </c>
      <c r="J256" s="114" t="str">
        <f>""</f>
        <v/>
      </c>
      <c r="M256" s="114"/>
      <c r="P256" s="114" t="str">
        <f t="shared" ca="1" si="42"/>
        <v/>
      </c>
      <c r="Q256" s="114" t="str">
        <f t="shared" ca="1" si="41"/>
        <v/>
      </c>
      <c r="S256" s="49"/>
    </row>
    <row r="257" spans="1:42">
      <c r="A257" s="107" t="str">
        <f ca="1">IF(C257&lt;&gt;"",MATCH("*"&amp;LEFT(C257,4)&amp;"*",数出表_Excel!A:A,0),"")</f>
        <v/>
      </c>
      <c r="B257" s="114"/>
      <c r="C257" s="131" t="str">
        <f ca="1">先生札!R7</f>
        <v/>
      </c>
      <c r="D257" s="131">
        <f ca="1">先生札!S7</f>
        <v>0</v>
      </c>
      <c r="E257" s="114"/>
      <c r="F257" s="114" t="str">
        <f>""</f>
        <v/>
      </c>
      <c r="G257" s="114" t="str">
        <f>""</f>
        <v/>
      </c>
      <c r="H257" s="114" t="str">
        <f ca="1">先生札!T7</f>
        <v/>
      </c>
      <c r="I257" s="114" t="str">
        <f>""</f>
        <v/>
      </c>
      <c r="J257" s="114" t="str">
        <f>""</f>
        <v/>
      </c>
      <c r="M257" s="114"/>
      <c r="P257" s="114" t="str">
        <f t="shared" ca="1" si="42"/>
        <v/>
      </c>
      <c r="Q257" s="114" t="str">
        <f t="shared" ca="1" si="41"/>
        <v/>
      </c>
      <c r="S257" s="49"/>
    </row>
    <row r="258" spans="1:42">
      <c r="A258" s="107" t="str">
        <f ca="1">IF(C258&lt;&gt;"",MATCH("*"&amp;LEFT(C258,4)&amp;"*",数出表_Excel!A:A,0),"")</f>
        <v/>
      </c>
      <c r="B258" s="114"/>
      <c r="C258" s="131" t="str">
        <f ca="1">先生札!R8</f>
        <v/>
      </c>
      <c r="D258" s="131">
        <f ca="1">先生札!S8</f>
        <v>0</v>
      </c>
      <c r="E258" s="114"/>
      <c r="F258" s="114" t="str">
        <f>""</f>
        <v/>
      </c>
      <c r="G258" s="114" t="str">
        <f>""</f>
        <v/>
      </c>
      <c r="H258" s="114" t="str">
        <f ca="1">先生札!T8</f>
        <v/>
      </c>
      <c r="I258" s="114" t="str">
        <f>""</f>
        <v/>
      </c>
      <c r="J258" s="114" t="str">
        <f>""</f>
        <v/>
      </c>
      <c r="M258" s="114"/>
      <c r="P258" s="114" t="str">
        <f t="shared" ca="1" si="42"/>
        <v/>
      </c>
      <c r="Q258" s="114" t="str">
        <f t="shared" ca="1" si="41"/>
        <v/>
      </c>
      <c r="S258" s="49"/>
    </row>
    <row r="259" spans="1:42">
      <c r="A259" s="107" t="str">
        <f ca="1">IF(C259&lt;&gt;"",MATCH("*"&amp;LEFT(C259,4)&amp;"*",数出表_Excel!A:A,0),"")</f>
        <v/>
      </c>
      <c r="B259" s="114"/>
      <c r="C259" s="131" t="str">
        <f ca="1">先生札!R9</f>
        <v/>
      </c>
      <c r="D259" s="131" t="str">
        <f ca="1">先生札!S9</f>
        <v/>
      </c>
      <c r="E259" s="114"/>
      <c r="F259" s="114" t="str">
        <f>""</f>
        <v/>
      </c>
      <c r="G259" s="114" t="str">
        <f>""</f>
        <v/>
      </c>
      <c r="H259" s="114" t="str">
        <f ca="1">先生札!T9</f>
        <v/>
      </c>
      <c r="I259" s="114" t="str">
        <f>""</f>
        <v/>
      </c>
      <c r="J259" s="114" t="str">
        <f>""</f>
        <v/>
      </c>
      <c r="M259" s="114"/>
      <c r="P259" s="114" t="str">
        <f t="shared" ca="1" si="42"/>
        <v/>
      </c>
      <c r="Q259" s="114" t="str">
        <f t="shared" ca="1" si="41"/>
        <v/>
      </c>
      <c r="S259" s="49"/>
    </row>
    <row r="260" spans="1:42">
      <c r="A260" s="107" t="str">
        <f ca="1">IF(C260&lt;&gt;"",MATCH("*"&amp;LEFT(C260,4)&amp;"*",数出表_Excel!A:A,0),"")</f>
        <v/>
      </c>
      <c r="B260" s="114"/>
      <c r="C260" s="131" t="str">
        <f ca="1">先生札!R10</f>
        <v/>
      </c>
      <c r="D260" s="131" t="str">
        <f ca="1">先生札!S10</f>
        <v/>
      </c>
      <c r="E260" s="114"/>
      <c r="F260" s="114" t="str">
        <f>""</f>
        <v/>
      </c>
      <c r="G260" s="114" t="str">
        <f>""</f>
        <v/>
      </c>
      <c r="H260" s="114" t="str">
        <f ca="1">先生札!T10</f>
        <v/>
      </c>
      <c r="I260" s="114" t="str">
        <f>""</f>
        <v/>
      </c>
      <c r="J260" s="114" t="str">
        <f>""</f>
        <v/>
      </c>
      <c r="M260" s="114"/>
      <c r="P260" s="114" t="str">
        <f t="shared" ca="1" si="42"/>
        <v/>
      </c>
      <c r="Q260" s="114" t="str">
        <f t="shared" ca="1" si="41"/>
        <v/>
      </c>
      <c r="S260" s="49"/>
    </row>
    <row r="261" spans="1:42">
      <c r="A261" s="107" t="str">
        <f ca="1">IF(C261&lt;&gt;"",MATCH("*"&amp;LEFT(C261,4)&amp;"*",数出表_Excel!A:A,0),"")</f>
        <v/>
      </c>
      <c r="B261" s="114"/>
      <c r="C261" s="131" t="str">
        <f ca="1">先生札!R11</f>
        <v/>
      </c>
      <c r="D261" s="131" t="str">
        <f ca="1">先生札!S11</f>
        <v/>
      </c>
      <c r="E261" s="114"/>
      <c r="F261" s="114" t="str">
        <f>""</f>
        <v/>
      </c>
      <c r="G261" s="114" t="str">
        <f>""</f>
        <v/>
      </c>
      <c r="H261" s="114" t="str">
        <f ca="1">先生札!T11</f>
        <v/>
      </c>
      <c r="I261" s="114" t="str">
        <f>""</f>
        <v/>
      </c>
      <c r="J261" s="114" t="str">
        <f>""</f>
        <v/>
      </c>
      <c r="M261" s="114"/>
      <c r="P261" s="114" t="str">
        <f t="shared" ca="1" si="42"/>
        <v/>
      </c>
      <c r="Q261" s="114" t="str">
        <f t="shared" ca="1" si="41"/>
        <v/>
      </c>
      <c r="S261" s="49"/>
    </row>
    <row r="262" spans="1:42">
      <c r="A262" s="107" t="str">
        <f ca="1">IF(C262&lt;&gt;"",MATCH("*"&amp;LEFT(C262,4)&amp;"*",数出表_Excel!A:A,0),"")</f>
        <v/>
      </c>
      <c r="B262" s="114"/>
      <c r="C262" s="131" t="str">
        <f ca="1">先生札!R12</f>
        <v/>
      </c>
      <c r="D262" s="131" t="str">
        <f ca="1">先生札!S12</f>
        <v/>
      </c>
      <c r="E262" s="114"/>
      <c r="F262" s="114" t="str">
        <f>""</f>
        <v/>
      </c>
      <c r="G262" s="114" t="str">
        <f>""</f>
        <v/>
      </c>
      <c r="H262" s="114" t="str">
        <f ca="1">先生札!T12</f>
        <v/>
      </c>
      <c r="I262" s="114" t="str">
        <f>""</f>
        <v/>
      </c>
      <c r="J262" s="114" t="str">
        <f>""</f>
        <v/>
      </c>
      <c r="M262" s="114"/>
      <c r="P262" s="114" t="str">
        <f t="shared" ca="1" si="42"/>
        <v/>
      </c>
      <c r="Q262" s="114" t="str">
        <f t="shared" ca="1" si="41"/>
        <v/>
      </c>
      <c r="S262" s="49"/>
    </row>
    <row r="263" spans="1:42">
      <c r="A263" s="107" t="str">
        <f ca="1">IF(C263&lt;&gt;"",MATCH("*"&amp;LEFT(C263,4)&amp;"*",数出表_Excel!A:A,0),"")</f>
        <v/>
      </c>
      <c r="B263" s="114"/>
      <c r="C263" s="131" t="str">
        <f ca="1">先生札!R13</f>
        <v/>
      </c>
      <c r="D263" s="131" t="str">
        <f ca="1">先生札!S13</f>
        <v/>
      </c>
      <c r="E263" s="114"/>
      <c r="F263" s="114" t="str">
        <f>""</f>
        <v/>
      </c>
      <c r="G263" s="114" t="str">
        <f>""</f>
        <v/>
      </c>
      <c r="H263" s="114" t="str">
        <f ca="1">先生札!T13</f>
        <v/>
      </c>
      <c r="I263" s="114" t="str">
        <f>""</f>
        <v/>
      </c>
      <c r="J263" s="114" t="str">
        <f>""</f>
        <v/>
      </c>
      <c r="M263" s="114"/>
      <c r="P263" s="114" t="str">
        <f t="shared" ca="1" si="42"/>
        <v/>
      </c>
      <c r="Q263" s="114" t="str">
        <f t="shared" ca="1" si="41"/>
        <v/>
      </c>
      <c r="R263" s="49" t="str">
        <f t="array" aca="1" ref="R263" ca="1">IFERROR(SMALL(IF(P$1:P$311&lt;&gt;0,P$1:P$311),ROW(A263)),"")</f>
        <v/>
      </c>
      <c r="S263" s="49" t="str">
        <f t="array" aca="1" ref="S263" ca="1">IF($R263&lt;&gt;"",
SUBSTITUTE(SUBSTITUTE(INDIRECT("C"&amp;$R263&amp;"")," 週3ｺｰｽ","")," 週5ｺｰｽ",""),"")</f>
        <v/>
      </c>
      <c r="T263" s="49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22" t="str">
        <f t="array" aca="1" ref="U263" ca="1">IF($R263&lt;&gt;"",
INDIRECT("F"&amp;$R263&amp;""),"")</f>
        <v/>
      </c>
      <c r="V263" s="49" t="str">
        <f t="array" aca="1" ref="V263" ca="1">IF($R263&lt;&gt;"",
INDIRECT("G"&amp;$R263&amp;""),"")</f>
        <v/>
      </c>
      <c r="W263" s="49" t="str">
        <f t="array" aca="1" ref="W263" ca="1">IF($R263&lt;&gt;"",
IF(AND(COUNTIF(INDIRECT("B"&amp;R263&amp;""),"*雙葉*"),COUNTIF(B:B,"*雙葉*")&gt;=2),
IF(OR(COUNTIF(INDIRECT("B"&amp;R263&amp;""),"*雙葉先生*"),COUNTIF($B$1:$B$70,"*雙葉*")&gt;=2),INDIRECT("H"&amp;R263&amp;""),INDIRECT("H"&amp;R263&amp;"")+INDIRECT("H"&amp;MATCH("雙葉'",INDIRECT("B"&amp;R263+3&amp;":B210"),0)+2+R263&amp;"")),
IF(AND(LEFT(INDIRECT("B"&amp;R263&amp;""),2)="博多",COUNTIF(B:B,"*博多*")&gt;=2),
INDIRECT("H"&amp;R263&amp;"")+INDIRECT("H"&amp;MATCH("*"&amp;INDIRECT("B"&amp;R263&amp;"")&amp;"*",INDIRECT("B"&amp;R263+1&amp;":B210"),0)+R263&amp;""),
IF(AND(LEFT(INDIRECT("B"&amp;R263&amp;""),3)="奈良屋",COUNTIF(B:B,"*奈良屋*")&gt;=2),
INDIRECT("H"&amp;R263&amp;"")+INDIRECT("H"&amp;MATCH("*"&amp;INDIRECT("B"&amp;R263&amp;"")&amp;"*",INDIRECT("B"&amp;R263+1&amp;":B210"),0)+R263&amp;"")
+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INDIRECT("H"&amp;R263&amp;"")))),"")</f>
        <v/>
      </c>
      <c r="X263" s="49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49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49" t="str">
        <f t="shared" ref="Z263:Z265" ca="1" si="43">IF(R263&lt;&gt;"",
IFERROR(INT(W263/Y263),""),"")</f>
        <v/>
      </c>
      <c r="AA263" s="49" t="str">
        <f t="shared" ref="AA263:AA265" ca="1" si="44">IFERROR(MOD(W263,Y263),"")</f>
        <v/>
      </c>
      <c r="AB263" s="49" t="str">
        <f t="array" aca="1" ref="AB263" ca="1">IF($R263&lt;&gt;"",
IF(AND(COUNTIF(INDIRECT("B"&amp;R263&amp;""),"*雙葉*"),COUNTIF(B:B,"*雙葉*")&gt;=2),
INDIRECT("M"&amp;R263&amp;"")+INDIRECT("M"&amp;MATCH("雙葉'",INDIRECT("B"&amp;R263+1&amp;":B210"),0)+R263&amp;""),
IF(AND(LEFT(INDIRECT("B"&amp;R263&amp;""),2)="博多",COUNTIF(B:B,"*博多*")&gt;=2),
INDIRECT("M"&amp;R263&amp;"")+INDIRECT("M"&amp;MATCH("*"&amp;INDIRECT("B"&amp;R263&amp;"")&amp;"*",INDIRECT("B"&amp;R263+1&amp;":B210"),0)+R263&amp;""),
IF(AND(LEFT(INDIRECT("B"&amp;R263&amp;""),3)="奈良屋",COUNTIF(B:B,"*奈良屋*")&gt;=2),
INDIRECT("M"&amp;R263&amp;"")+INDIRECT("M"&amp;MATCH("*"&amp;INDIRECT("B"&amp;R263&amp;"")&amp;"*",INDIRECT("B"&amp;R263+1&amp;":B210"),0)+R263&amp;"")
+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
INDIRECT("M"&amp;R263&amp;"")))),"")</f>
        <v/>
      </c>
      <c r="AC263" s="49" t="str">
        <f ca="1">IF(S263&lt;&gt;"",INDEX(A:A, MATCH("*"&amp;LEFT(S263,4)&amp;"*", C:C, 0)),"")</f>
        <v/>
      </c>
      <c r="AD263" s="49" t="str">
        <f ca="1">IFERROR(INDEX(AC:AC,MATCH(SMALL($AU:$AU,ROW()+3),$AU:$AU,0)),"")</f>
        <v/>
      </c>
      <c r="AE263" s="49" t="str">
        <f ca="1">IFERROR(INDEX(R:R,MATCH(SMALL($AU:$AU,ROW()+3),$AU:$AU,0)),"")</f>
        <v/>
      </c>
      <c r="AF263" s="49" t="str">
        <f ca="1">IFERROR(INDEX(S:S,MATCH(SMALL($AU:$AU,ROW()+3),$AU:$AU,0)),"")</f>
        <v/>
      </c>
      <c r="AG263" s="49" t="str">
        <f ca="1">IFERROR(INDEX(T:T,MATCH(SMALL($AU:$AU,ROW()+3),$AU:$AU,0)),"")</f>
        <v/>
      </c>
      <c r="AH263" s="122" t="str">
        <f ca="1">IFERROR(INDEX(U:U,MATCH(SMALL($AU:$AU,ROW()+3),$AU:$AU,0)),"")</f>
        <v/>
      </c>
      <c r="AI263" s="49" t="str">
        <f ca="1">IFERROR(INDEX(V:V,MATCH(SMALL($AU:$AU,ROW()+3),$AU:$AU,0)),"")</f>
        <v/>
      </c>
      <c r="AJ263" s="49" t="str">
        <f ca="1">IFERROR(INDEX(W:W,MATCH(SMALL($AU:$AU,ROW()+3),$AU:$AU,0)),"")</f>
        <v/>
      </c>
      <c r="AK263" s="49" t="str">
        <f ca="1">IFERROR(INDEX(X:X,MATCH(SMALL($AU:$AU,ROW()+3),$AU:$AU,0)),"")</f>
        <v/>
      </c>
      <c r="AL263" s="49" t="str">
        <f ca="1">IFERROR(INDEX(Y:Y,MATCH(SMALL($AU:$AU,ROW()+3),$AU:$AU,0)),"")</f>
        <v/>
      </c>
      <c r="AM263" s="49" t="str">
        <f ca="1">IFERROR(INDEX(Z:Z,MATCH(SMALL($AU:$AU,ROW()+3),$AU:$AU,0)),"")</f>
        <v/>
      </c>
      <c r="AN263" s="49" t="str">
        <f ca="1">IFERROR(INDEX(AA:AA,MATCH(SMALL($AU:$AU,ROW()+3),$AU:$AU,0)),"")</f>
        <v/>
      </c>
      <c r="AO263" s="49" t="str">
        <f ca="1">IFERROR(INDEX(AB:AB,MATCH(SMALL($AU:$AU,ROW()+3),$AU:$AU,0)),"")</f>
        <v/>
      </c>
      <c r="AP263" s="49" t="str">
        <f ca="1">IFERROR(INDEX(AC:AC,MATCH(SMALL($AU:$AU,ROW()+3),$AU:$AU,0)),"")</f>
        <v/>
      </c>
    </row>
    <row r="264" spans="1:42">
      <c r="A264" s="107" t="str">
        <f ca="1">IF(C264&lt;&gt;"",MATCH("*"&amp;LEFT(C264,4)&amp;"*",数出表_Excel!A:A,0),"")</f>
        <v/>
      </c>
      <c r="B264" s="114"/>
      <c r="C264" s="131" t="str">
        <f ca="1">先生札!R14</f>
        <v/>
      </c>
      <c r="D264" s="131" t="str">
        <f ca="1">先生札!S14</f>
        <v/>
      </c>
      <c r="E264" s="114"/>
      <c r="F264" s="114" t="str">
        <f>""</f>
        <v/>
      </c>
      <c r="G264" s="114" t="str">
        <f>""</f>
        <v/>
      </c>
      <c r="H264" s="114" t="str">
        <f ca="1">先生札!T14</f>
        <v/>
      </c>
      <c r="I264" s="114" t="str">
        <f>""</f>
        <v/>
      </c>
      <c r="J264" s="114" t="str">
        <f>""</f>
        <v/>
      </c>
      <c r="M264" s="114"/>
      <c r="P264" s="114" t="str">
        <f t="shared" ca="1" si="42"/>
        <v/>
      </c>
      <c r="Q264" s="114" t="str">
        <f t="shared" ca="1" si="41"/>
        <v/>
      </c>
      <c r="R264" s="49" t="str">
        <f t="array" aca="1" ref="R264" ca="1">IFERROR(SMALL(IF(P$1:P$311&lt;&gt;0,P$1:P$311),ROW(A264)),"")</f>
        <v/>
      </c>
      <c r="S264" s="49" t="str">
        <f t="array" aca="1" ref="S264" ca="1">IF($R264&lt;&gt;"",
SUBSTITUTE(SUBSTITUTE(INDIRECT("C"&amp;$R264&amp;"")," 週3ｺｰｽ","")," 週5ｺｰｽ",""),"")</f>
        <v/>
      </c>
      <c r="T264" s="49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22" t="str">
        <f t="array" aca="1" ref="U264" ca="1">IF($R264&lt;&gt;"",
INDIRECT("F"&amp;$R264&amp;""),"")</f>
        <v/>
      </c>
      <c r="V264" s="49" t="str">
        <f t="array" aca="1" ref="V264" ca="1">IF($R264&lt;&gt;"",
INDIRECT("G"&amp;$R264&amp;""),"")</f>
        <v/>
      </c>
      <c r="W264" s="49" t="str">
        <f t="array" aca="1" ref="W264" ca="1">IF($R264&lt;&gt;"",
IF(AND(COUNTIF(INDIRECT("B"&amp;R264&amp;""),"*雙葉*"),COUNTIF(B:B,"*雙葉*")&gt;=2),
IF(OR(COUNTIF(INDIRECT("B"&amp;R264&amp;""),"*雙葉先生*"),COUNTIF($B$1:$B$70,"*雙葉*")&gt;=2),INDIRECT("H"&amp;R264&amp;""),INDIRECT("H"&amp;R264&amp;"")+INDIRECT("H"&amp;MATCH("雙葉'",INDIRECT("B"&amp;R264+3&amp;":B210"),0)+2+R264&amp;"")),
IF(AND(LEFT(INDIRECT("B"&amp;R264&amp;""),2)="博多",COUNTIF(B:B,"*博多*")&gt;=2),
INDIRECT("H"&amp;R264&amp;"")+INDIRECT("H"&amp;MATCH("*"&amp;INDIRECT("B"&amp;R264&amp;"")&amp;"*",INDIRECT("B"&amp;R264+1&amp;":B210"),0)+R264&amp;""),
IF(AND(LEFT(INDIRECT("B"&amp;R264&amp;""),3)="奈良屋",COUNTIF(B:B,"*奈良屋*")&gt;=2),
INDIRECT("H"&amp;R264&amp;"")+INDIRECT("H"&amp;MATCH("*"&amp;INDIRECT("B"&amp;R264&amp;"")&amp;"*",INDIRECT("B"&amp;R264+1&amp;":B210"),0)+R264&amp;"")
+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INDIRECT("H"&amp;R264&amp;"")))),"")</f>
        <v/>
      </c>
      <c r="X264" s="49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49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49" t="str">
        <f t="shared" ca="1" si="43"/>
        <v/>
      </c>
      <c r="AA264" s="49" t="str">
        <f t="shared" ca="1" si="44"/>
        <v/>
      </c>
      <c r="AB264" s="49" t="str">
        <f t="array" aca="1" ref="AB264" ca="1">IF($R264&lt;&gt;"",
IF(AND(COUNTIF(INDIRECT("B"&amp;R264&amp;""),"*雙葉*"),COUNTIF(B:B,"*雙葉*")&gt;=2),
INDIRECT("M"&amp;R264&amp;"")+INDIRECT("M"&amp;MATCH("雙葉'",INDIRECT("B"&amp;R264+1&amp;":B210"),0)+R264&amp;""),
IF(AND(LEFT(INDIRECT("B"&amp;R264&amp;""),2)="博多",COUNTIF(B:B,"*博多*")&gt;=2),
INDIRECT("M"&amp;R264&amp;"")+INDIRECT("M"&amp;MATCH("*"&amp;INDIRECT("B"&amp;R264&amp;"")&amp;"*",INDIRECT("B"&amp;R264+1&amp;":B210"),0)+R264&amp;""),
IF(AND(LEFT(INDIRECT("B"&amp;R264&amp;""),3)="奈良屋",COUNTIF(B:B,"*奈良屋*")&gt;=2),
INDIRECT("M"&amp;R264&amp;"")+INDIRECT("M"&amp;MATCH("*"&amp;INDIRECT("B"&amp;R264&amp;"")&amp;"*",INDIRECT("B"&amp;R264+1&amp;":B210"),0)+R264&amp;"")
+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
INDIRECT("M"&amp;R264&amp;"")))),"")</f>
        <v/>
      </c>
      <c r="AC264" s="49" t="str">
        <f ca="1">IF(S264&lt;&gt;"",INDEX(A:A, MATCH("*"&amp;LEFT(S264,4)&amp;"*", C:C, 0)),"")</f>
        <v/>
      </c>
      <c r="AD264" s="49" t="str">
        <f ca="1">IFERROR(INDEX(AC:AC,MATCH(SMALL($AU:$AU,ROW()+3),$AU:$AU,0)),"")</f>
        <v/>
      </c>
      <c r="AE264" s="49" t="str">
        <f ca="1">IFERROR(INDEX(R:R,MATCH(SMALL($AU:$AU,ROW()+3),$AU:$AU,0)),"")</f>
        <v/>
      </c>
      <c r="AF264" s="49" t="str">
        <f ca="1">IFERROR(INDEX(S:S,MATCH(SMALL($AU:$AU,ROW()+3),$AU:$AU,0)),"")</f>
        <v/>
      </c>
      <c r="AG264" s="49" t="str">
        <f ca="1">IFERROR(INDEX(T:T,MATCH(SMALL($AU:$AU,ROW()+3),$AU:$AU,0)),"")</f>
        <v/>
      </c>
      <c r="AH264" s="122" t="str">
        <f ca="1">IFERROR(INDEX(U:U,MATCH(SMALL($AU:$AU,ROW()+3),$AU:$AU,0)),"")</f>
        <v/>
      </c>
      <c r="AI264" s="49" t="str">
        <f ca="1">IFERROR(INDEX(V:V,MATCH(SMALL($AU:$AU,ROW()+3),$AU:$AU,0)),"")</f>
        <v/>
      </c>
      <c r="AJ264" s="49" t="str">
        <f ca="1">IFERROR(INDEX(W:W,MATCH(SMALL($AU:$AU,ROW()+3),$AU:$AU,0)),"")</f>
        <v/>
      </c>
      <c r="AK264" s="49" t="str">
        <f ca="1">IFERROR(INDEX(X:X,MATCH(SMALL($AU:$AU,ROW()+3),$AU:$AU,0)),"")</f>
        <v/>
      </c>
      <c r="AL264" s="49" t="str">
        <f ca="1">IFERROR(INDEX(Y:Y,MATCH(SMALL($AU:$AU,ROW()+3),$AU:$AU,0)),"")</f>
        <v/>
      </c>
      <c r="AM264" s="49" t="str">
        <f ca="1">IFERROR(INDEX(Z:Z,MATCH(SMALL($AU:$AU,ROW()+3),$AU:$AU,0)),"")</f>
        <v/>
      </c>
      <c r="AN264" s="49" t="str">
        <f ca="1">IFERROR(INDEX(AA:AA,MATCH(SMALL($AU:$AU,ROW()+3),$AU:$AU,0)),"")</f>
        <v/>
      </c>
      <c r="AO264" s="49" t="str">
        <f ca="1">IFERROR(INDEX(AB:AB,MATCH(SMALL($AU:$AU,ROW()+3),$AU:$AU,0)),"")</f>
        <v/>
      </c>
      <c r="AP264" s="49" t="str">
        <f ca="1">IFERROR(INDEX(AC:AC,MATCH(SMALL($AU:$AU,ROW()+3),$AU:$AU,0)),"")</f>
        <v/>
      </c>
    </row>
    <row r="265" spans="1:42">
      <c r="A265" s="107" t="str">
        <f ca="1">IF(C265&lt;&gt;"",MATCH("*"&amp;LEFT(C265,4)&amp;"*",数出表_Excel!A:A,0),"")</f>
        <v/>
      </c>
      <c r="B265" s="114"/>
      <c r="C265" s="131" t="str">
        <f ca="1">先生札!R15</f>
        <v/>
      </c>
      <c r="D265" s="131" t="str">
        <f ca="1">先生札!S15</f>
        <v/>
      </c>
      <c r="E265" s="114"/>
      <c r="F265" s="114" t="str">
        <f>""</f>
        <v/>
      </c>
      <c r="G265" s="114" t="str">
        <f>""</f>
        <v/>
      </c>
      <c r="H265" s="114" t="str">
        <f ca="1">先生札!T15</f>
        <v/>
      </c>
      <c r="I265" s="114" t="str">
        <f>""</f>
        <v/>
      </c>
      <c r="J265" s="114" t="str">
        <f>""</f>
        <v/>
      </c>
      <c r="M265" s="114"/>
      <c r="P265" s="114" t="str">
        <f t="shared" ca="1" si="42"/>
        <v/>
      </c>
      <c r="Q265" s="114" t="str">
        <f t="shared" ca="1" si="41"/>
        <v/>
      </c>
      <c r="R265" s="49" t="str">
        <f t="array" aca="1" ref="R265" ca="1">IFERROR(SMALL(IF(P$1:P$311&lt;&gt;0,P$1:P$311),ROW(A265)),"")</f>
        <v/>
      </c>
      <c r="S265" s="49" t="str">
        <f t="array" aca="1" ref="S265" ca="1">IF($R265&lt;&gt;"",
SUBSTITUTE(SUBSTITUTE(INDIRECT("C"&amp;$R265&amp;"")," 週3ｺｰｽ","")," 週5ｺｰｽ",""),"")</f>
        <v/>
      </c>
      <c r="T265" s="49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22" t="str">
        <f t="array" aca="1" ref="U265" ca="1">IF($R265&lt;&gt;"",
INDIRECT("F"&amp;$R265&amp;""),"")</f>
        <v/>
      </c>
      <c r="V265" s="49" t="str">
        <f t="array" aca="1" ref="V265" ca="1">IF($R265&lt;&gt;"",
INDIRECT("G"&amp;$R265&amp;""),"")</f>
        <v/>
      </c>
      <c r="W265" s="49" t="str">
        <f t="array" aca="1" ref="W265" ca="1">IF($R265&lt;&gt;"",
IF(AND(COUNTIF(INDIRECT("B"&amp;R265&amp;""),"*雙葉*"),COUNTIF(B:B,"*雙葉*")&gt;=2),
IF(OR(COUNTIF(INDIRECT("B"&amp;R265&amp;""),"*雙葉先生*"),COUNTIF($B$1:$B$70,"*雙葉*")&gt;=2),INDIRECT("H"&amp;R265&amp;""),INDIRECT("H"&amp;R265&amp;"")+INDIRECT("H"&amp;MATCH("雙葉'",INDIRECT("B"&amp;R265+3&amp;":B210"),0)+2+R265&amp;"")),
IF(AND(LEFT(INDIRECT("B"&amp;R265&amp;""),2)="博多",COUNTIF(B:B,"*博多*")&gt;=2),
INDIRECT("H"&amp;R265&amp;"")+INDIRECT("H"&amp;MATCH("*"&amp;INDIRECT("B"&amp;R265&amp;"")&amp;"*",INDIRECT("B"&amp;R265+1&amp;":B210"),0)+R265&amp;""),
IF(AND(LEFT(INDIRECT("B"&amp;R265&amp;""),3)="奈良屋",COUNTIF(B:B,"*奈良屋*")&gt;=2),
INDIRECT("H"&amp;R265&amp;"")+INDIRECT("H"&amp;MATCH("*"&amp;INDIRECT("B"&amp;R265&amp;"")&amp;"*",INDIRECT("B"&amp;R265+1&amp;":B210"),0)+R265&amp;"")
+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INDIRECT("H"&amp;R265&amp;"")))),"")</f>
        <v/>
      </c>
      <c r="X265" s="49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49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49" t="str">
        <f t="shared" ca="1" si="43"/>
        <v/>
      </c>
      <c r="AA265" s="49" t="str">
        <f t="shared" ca="1" si="44"/>
        <v/>
      </c>
      <c r="AB265" s="49" t="str">
        <f t="array" aca="1" ref="AB265" ca="1">IF($R265&lt;&gt;"",
IF(AND(COUNTIF(INDIRECT("B"&amp;R265&amp;""),"*雙葉*"),COUNTIF(B:B,"*雙葉*")&gt;=2),
INDIRECT("M"&amp;R265&amp;"")+INDIRECT("M"&amp;MATCH("雙葉'",INDIRECT("B"&amp;R265+1&amp;":B210"),0)+R265&amp;""),
IF(AND(LEFT(INDIRECT("B"&amp;R265&amp;""),2)="博多",COUNTIF(B:B,"*博多*")&gt;=2),
INDIRECT("M"&amp;R265&amp;"")+INDIRECT("M"&amp;MATCH("*"&amp;INDIRECT("B"&amp;R265&amp;"")&amp;"*",INDIRECT("B"&amp;R265+1&amp;":B210"),0)+R265&amp;""),
IF(AND(LEFT(INDIRECT("B"&amp;R265&amp;""),3)="奈良屋",COUNTIF(B:B,"*奈良屋*")&gt;=2),
INDIRECT("M"&amp;R265&amp;"")+INDIRECT("M"&amp;MATCH("*"&amp;INDIRECT("B"&amp;R265&amp;"")&amp;"*",INDIRECT("B"&amp;R265+1&amp;":B210"),0)+R265&amp;"")
+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
INDIRECT("M"&amp;R265&amp;"")))),"")</f>
        <v/>
      </c>
      <c r="AC265" s="49" t="str">
        <f ca="1">IF(S265&lt;&gt;"",INDEX(A:A, MATCH("*"&amp;LEFT(S265,4)&amp;"*", C:C, 0)),"")</f>
        <v/>
      </c>
      <c r="AD265" s="49" t="str">
        <f ca="1">IFERROR(INDEX(AC:AC,MATCH(SMALL($AU:$AU,ROW()+3),$AU:$AU,0)),"")</f>
        <v/>
      </c>
      <c r="AE265" s="49" t="str">
        <f ca="1">IFERROR(INDEX(R:R,MATCH(SMALL($AU:$AU,ROW()+3),$AU:$AU,0)),"")</f>
        <v/>
      </c>
      <c r="AF265" s="49" t="str">
        <f ca="1">IFERROR(INDEX(S:S,MATCH(SMALL($AU:$AU,ROW()+3),$AU:$AU,0)),"")</f>
        <v/>
      </c>
      <c r="AG265" s="49" t="str">
        <f ca="1">IFERROR(INDEX(T:T,MATCH(SMALL($AU:$AU,ROW()+3),$AU:$AU,0)),"")</f>
        <v/>
      </c>
      <c r="AH265" s="122" t="str">
        <f ca="1">IFERROR(INDEX(U:U,MATCH(SMALL($AU:$AU,ROW()+3),$AU:$AU,0)),"")</f>
        <v/>
      </c>
      <c r="AI265" s="49" t="str">
        <f ca="1">IFERROR(INDEX(V:V,MATCH(SMALL($AU:$AU,ROW()+3),$AU:$AU,0)),"")</f>
        <v/>
      </c>
      <c r="AJ265" s="49" t="str">
        <f ca="1">IFERROR(INDEX(W:W,MATCH(SMALL($AU:$AU,ROW()+3),$AU:$AU,0)),"")</f>
        <v/>
      </c>
      <c r="AK265" s="49" t="str">
        <f ca="1">IFERROR(INDEX(X:X,MATCH(SMALL($AU:$AU,ROW()+3),$AU:$AU,0)),"")</f>
        <v/>
      </c>
      <c r="AL265" s="49" t="str">
        <f ca="1">IFERROR(INDEX(Y:Y,MATCH(SMALL($AU:$AU,ROW()+3),$AU:$AU,0)),"")</f>
        <v/>
      </c>
      <c r="AM265" s="49" t="str">
        <f ca="1">IFERROR(INDEX(Z:Z,MATCH(SMALL($AU:$AU,ROW()+3),$AU:$AU,0)),"")</f>
        <v/>
      </c>
      <c r="AN265" s="49" t="str">
        <f ca="1">IFERROR(INDEX(AA:AA,MATCH(SMALL($AU:$AU,ROW()+3),$AU:$AU,0)),"")</f>
        <v/>
      </c>
      <c r="AO265" s="49" t="str">
        <f ca="1">IFERROR(INDEX(AB:AB,MATCH(SMALL($AU:$AU,ROW()+3),$AU:$AU,0)),"")</f>
        <v/>
      </c>
      <c r="AP265" s="49" t="str">
        <f ca="1">IFERROR(INDEX(AC:AC,MATCH(SMALL($AU:$AU,ROW()+3),$AU:$AU,0)),"")</f>
        <v/>
      </c>
    </row>
    <row r="270" spans="1:42">
      <c r="Y270" s="49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49" t="str">
        <f>IF(S270&lt;&gt;"",INDEX(A:A, MATCH("*"&amp;LEFT(S270,4)&amp;"*", C:C, 0)),"")</f>
        <v/>
      </c>
      <c r="AD270" s="49" t="str">
        <f ca="1">IFERROR(INDEX(AC:AC,MATCH(SMALL($AU:$AU,ROW()+3),$AU:$AU,0)),"")</f>
        <v/>
      </c>
      <c r="AE270" s="49" t="str">
        <f ca="1">IFERROR(INDEX(R:R,MATCH(SMALL($AU:$AU,ROW()+3),$AU:$AU,0)),"")</f>
        <v/>
      </c>
      <c r="AF270" s="49" t="str">
        <f ca="1">IFERROR(INDEX(S:S,MATCH(SMALL($AU:$AU,ROW()+3),$AU:$AU,0)),"")</f>
        <v/>
      </c>
      <c r="AG270" s="49" t="str">
        <f ca="1">IFERROR(INDEX(T:T,MATCH(SMALL($AU:$AU,ROW()+3),$AU:$AU,0)),"")</f>
        <v/>
      </c>
      <c r="AH270" s="122" t="str">
        <f ca="1">IFERROR(INDEX(U:U,MATCH(SMALL($AU:$AU,ROW()+3),$AU:$AU,0)),"")</f>
        <v/>
      </c>
      <c r="AI270" s="49" t="str">
        <f ca="1">IFERROR(INDEX(V:V,MATCH(SMALL($AU:$AU,ROW()+3),$AU:$AU,0)),"")</f>
        <v/>
      </c>
      <c r="AJ270" s="49" t="str">
        <f ca="1">IFERROR(INDEX(W:W,MATCH(SMALL($AU:$AU,ROW()+3),$AU:$AU,0)),"")</f>
        <v/>
      </c>
      <c r="AK270" s="49" t="str">
        <f ca="1">IFERROR(INDEX(X:X,MATCH(SMALL($AU:$AU,ROW()+3),$AU:$AU,0)),"")</f>
        <v/>
      </c>
      <c r="AL270" s="49" t="str">
        <f ca="1">IFERROR(INDEX(Y:Y,MATCH(SMALL($AU:$AU,ROW()+3),$AU:$AU,0)),"")</f>
        <v/>
      </c>
      <c r="AM270" s="49" t="str">
        <f ca="1">IFERROR(INDEX(Z:Z,MATCH(SMALL($AU:$AU,ROW()+3),$AU:$AU,0)),"")</f>
        <v/>
      </c>
      <c r="AN270" s="49" t="str">
        <f ca="1">IFERROR(INDEX(AA:AA,MATCH(SMALL($AU:$AU,ROW()+3),$AU:$AU,0)),"")</f>
        <v/>
      </c>
      <c r="AO270" s="49" t="str">
        <f ca="1">IFERROR(INDEX(AB:AB,MATCH(SMALL($AU:$AU,ROW()+3),$AU:$AU,0)),"")</f>
        <v/>
      </c>
      <c r="AP270" s="49" t="str">
        <f ca="1">IFERROR(INDEX(AC:AC,MATCH(SMALL($AU:$AU,ROW()+3),$AU:$AU,0)),"")</f>
        <v/>
      </c>
    </row>
    <row r="271" spans="1:42">
      <c r="AD271" s="49" t="str">
        <f ca="1">IFERROR(INDEX(AC:AC,MATCH(SMALL($AU:$AU,ROW()+3),$AU:$AU,0)),"")</f>
        <v/>
      </c>
      <c r="AE271" s="49" t="str">
        <f ca="1">IFERROR(INDEX(R:R,MATCH(SMALL($AU:$AU,ROW()+3),$AU:$AU,0)),"")</f>
        <v/>
      </c>
      <c r="AF271" s="49" t="str">
        <f ca="1">IFERROR(INDEX(S:S,MATCH(SMALL($AU:$AU,ROW()+3),$AU:$AU,0)),"")</f>
        <v/>
      </c>
      <c r="AG271" s="49" t="str">
        <f ca="1">IFERROR(INDEX(T:T,MATCH(SMALL($AU:$AU,ROW()+3),$AU:$AU,0)),"")</f>
        <v/>
      </c>
      <c r="AH271" s="122" t="str">
        <f ca="1">IFERROR(INDEX(U:U,MATCH(SMALL($AU:$AU,ROW()+3),$AU:$AU,0)),"")</f>
        <v/>
      </c>
      <c r="AI271" s="49" t="str">
        <f ca="1">IFERROR(INDEX(V:V,MATCH(SMALL($AU:$AU,ROW()+3),$AU:$AU,0)),"")</f>
        <v/>
      </c>
      <c r="AJ271" s="49" t="str">
        <f ca="1">IFERROR(INDEX(W:W,MATCH(SMALL($AU:$AU,ROW()+3),$AU:$AU,0)),"")</f>
        <v/>
      </c>
      <c r="AK271" s="49" t="str">
        <f ca="1">IFERROR(INDEX(X:X,MATCH(SMALL($AU:$AU,ROW()+3),$AU:$AU,0)),"")</f>
        <v/>
      </c>
      <c r="AL271" s="49" t="str">
        <f ca="1">IFERROR(INDEX(Y:Y,MATCH(SMALL($AU:$AU,ROW()+3),$AU:$AU,0)),"")</f>
        <v/>
      </c>
      <c r="AM271" s="49" t="str">
        <f ca="1">IFERROR(INDEX(Z:Z,MATCH(SMALL($AU:$AU,ROW()+3),$AU:$AU,0)),"")</f>
        <v/>
      </c>
      <c r="AN271" s="49" t="str">
        <f ca="1">IFERROR(INDEX(AA:AA,MATCH(SMALL($AU:$AU,ROW()+3),$AU:$AU,0)),"")</f>
        <v/>
      </c>
      <c r="AO271" s="49" t="str">
        <f ca="1">IFERROR(INDEX(AB:AB,MATCH(SMALL($AU:$AU,ROW()+3),$AU:$AU,0)),"")</f>
        <v/>
      </c>
      <c r="AP271" s="49" t="str">
        <f ca="1">IFERROR(INDEX(AC:AC,MATCH(SMALL($AU:$AU,ROW()+3),$AU:$AU,0)),"")</f>
        <v/>
      </c>
    </row>
    <row r="272" spans="1:42">
      <c r="AD272" s="49" t="str">
        <f ca="1">IFERROR(INDEX(AC:AC,MATCH(SMALL($AU:$AU,ROW()+3),$AU:$AU,0)),"")</f>
        <v/>
      </c>
      <c r="AE272" s="49" t="str">
        <f ca="1">IFERROR(INDEX(R:R,MATCH(SMALL($AU:$AU,ROW()+3),$AU:$AU,0)),"")</f>
        <v/>
      </c>
      <c r="AF272" s="49" t="str">
        <f ca="1">IFERROR(INDEX(S:S,MATCH(SMALL($AU:$AU,ROW()+3),$AU:$AU,0)),"")</f>
        <v/>
      </c>
      <c r="AG272" s="49" t="str">
        <f ca="1">IFERROR(INDEX(T:T,MATCH(SMALL($AU:$AU,ROW()+3),$AU:$AU,0)),"")</f>
        <v/>
      </c>
      <c r="AH272" s="122" t="str">
        <f ca="1">IFERROR(INDEX(U:U,MATCH(SMALL($AU:$AU,ROW()+3),$AU:$AU,0)),"")</f>
        <v/>
      </c>
      <c r="AI272" s="49" t="str">
        <f ca="1">IFERROR(INDEX(V:V,MATCH(SMALL($AU:$AU,ROW()+3),$AU:$AU,0)),"")</f>
        <v/>
      </c>
      <c r="AJ272" s="49" t="str">
        <f ca="1">IFERROR(INDEX(W:W,MATCH(SMALL($AU:$AU,ROW()+3),$AU:$AU,0)),"")</f>
        <v/>
      </c>
      <c r="AK272" s="49" t="str">
        <f ca="1">IFERROR(INDEX(X:X,MATCH(SMALL($AU:$AU,ROW()+3),$AU:$AU,0)),"")</f>
        <v/>
      </c>
      <c r="AL272" s="49" t="str">
        <f ca="1">IFERROR(INDEX(Y:Y,MATCH(SMALL($AU:$AU,ROW()+3),$AU:$AU,0)),"")</f>
        <v/>
      </c>
      <c r="AM272" s="49" t="str">
        <f ca="1">IFERROR(INDEX(Z:Z,MATCH(SMALL($AU:$AU,ROW()+3),$AU:$AU,0)),"")</f>
        <v/>
      </c>
      <c r="AN272" s="49" t="str">
        <f ca="1">IFERROR(INDEX(AA:AA,MATCH(SMALL($AU:$AU,ROW()+3),$AU:$AU,0)),"")</f>
        <v/>
      </c>
      <c r="AO272" s="49" t="str">
        <f ca="1">IFERROR(INDEX(AB:AB,MATCH(SMALL($AU:$AU,ROW()+3),$AU:$AU,0)),"")</f>
        <v/>
      </c>
      <c r="AP272" s="49" t="str">
        <f ca="1">IFERROR(INDEX(AC:AC,MATCH(SMALL($AU:$AU,ROW()+3),$AU:$AU,0)),"")</f>
        <v/>
      </c>
    </row>
    <row r="273" spans="30:42">
      <c r="AD273" s="49" t="str">
        <f ca="1">IFERROR(INDEX(AC:AC,MATCH(SMALL($AU:$AU,ROW()+3),$AU:$AU,0)),"")</f>
        <v/>
      </c>
      <c r="AE273" s="49" t="str">
        <f ca="1">IFERROR(INDEX(R:R,MATCH(SMALL($AU:$AU,ROW()+3),$AU:$AU,0)),"")</f>
        <v/>
      </c>
      <c r="AF273" s="49" t="str">
        <f ca="1">IFERROR(INDEX(S:S,MATCH(SMALL($AU:$AU,ROW()+3),$AU:$AU,0)),"")</f>
        <v/>
      </c>
      <c r="AG273" s="49" t="str">
        <f ca="1">IFERROR(INDEX(T:T,MATCH(SMALL($AU:$AU,ROW()+3),$AU:$AU,0)),"")</f>
        <v/>
      </c>
      <c r="AH273" s="122" t="str">
        <f ca="1">IFERROR(INDEX(U:U,MATCH(SMALL($AU:$AU,ROW()+3),$AU:$AU,0)),"")</f>
        <v/>
      </c>
      <c r="AI273" s="49" t="str">
        <f ca="1">IFERROR(INDEX(V:V,MATCH(SMALL($AU:$AU,ROW()+3),$AU:$AU,0)),"")</f>
        <v/>
      </c>
      <c r="AJ273" s="49" t="str">
        <f ca="1">IFERROR(INDEX(W:W,MATCH(SMALL($AU:$AU,ROW()+3),$AU:$AU,0)),"")</f>
        <v/>
      </c>
      <c r="AK273" s="49" t="str">
        <f ca="1">IFERROR(INDEX(X:X,MATCH(SMALL($AU:$AU,ROW()+3),$AU:$AU,0)),"")</f>
        <v/>
      </c>
      <c r="AL273" s="49" t="str">
        <f ca="1">IFERROR(INDEX(Y:Y,MATCH(SMALL($AU:$AU,ROW()+3),$AU:$AU,0)),"")</f>
        <v/>
      </c>
      <c r="AM273" s="49" t="str">
        <f ca="1">IFERROR(INDEX(Z:Z,MATCH(SMALL($AU:$AU,ROW()+3),$AU:$AU,0)),"")</f>
        <v/>
      </c>
      <c r="AN273" s="49" t="str">
        <f ca="1">IFERROR(INDEX(AA:AA,MATCH(SMALL($AU:$AU,ROW()+3),$AU:$AU,0)),"")</f>
        <v/>
      </c>
      <c r="AO273" s="49" t="str">
        <f ca="1">IFERROR(INDEX(AB:AB,MATCH(SMALL($AU:$AU,ROW()+3),$AU:$AU,0)),"")</f>
        <v/>
      </c>
      <c r="AP273" s="49" t="str">
        <f ca="1">IFERROR(INDEX(AC:AC,MATCH(SMALL($AU:$AU,ROW()+3),$AU:$AU,0)),"")</f>
        <v/>
      </c>
    </row>
    <row r="274" spans="30:42">
      <c r="AD274" s="49" t="str">
        <f ca="1">IFERROR(INDEX(AC:AC,MATCH(SMALL($AU:$AU,ROW()+3),$AU:$AU,0)),"")</f>
        <v/>
      </c>
      <c r="AE274" s="49" t="str">
        <f ca="1">IFERROR(INDEX(R:R,MATCH(SMALL($AU:$AU,ROW()+3),$AU:$AU,0)),"")</f>
        <v/>
      </c>
      <c r="AF274" s="49" t="str">
        <f ca="1">IFERROR(INDEX(S:S,MATCH(SMALL($AU:$AU,ROW()+3),$AU:$AU,0)),"")</f>
        <v/>
      </c>
      <c r="AG274" s="49" t="str">
        <f ca="1">IFERROR(INDEX(T:T,MATCH(SMALL($AU:$AU,ROW()+3),$AU:$AU,0)),"")</f>
        <v/>
      </c>
      <c r="AH274" s="122" t="str">
        <f ca="1">IFERROR(INDEX(U:U,MATCH(SMALL($AU:$AU,ROW()+3),$AU:$AU,0)),"")</f>
        <v/>
      </c>
      <c r="AI274" s="49" t="str">
        <f ca="1">IFERROR(INDEX(V:V,MATCH(SMALL($AU:$AU,ROW()+3),$AU:$AU,0)),"")</f>
        <v/>
      </c>
      <c r="AJ274" s="49" t="str">
        <f ca="1">IFERROR(INDEX(W:W,MATCH(SMALL($AU:$AU,ROW()+3),$AU:$AU,0)),"")</f>
        <v/>
      </c>
      <c r="AK274" s="49" t="str">
        <f ca="1">IFERROR(INDEX(X:X,MATCH(SMALL($AU:$AU,ROW()+3),$AU:$AU,0)),"")</f>
        <v/>
      </c>
      <c r="AL274" s="49" t="str">
        <f ca="1">IFERROR(INDEX(Y:Y,MATCH(SMALL($AU:$AU,ROW()+3),$AU:$AU,0)),"")</f>
        <v/>
      </c>
      <c r="AM274" s="49" t="str">
        <f ca="1">IFERROR(INDEX(Z:Z,MATCH(SMALL($AU:$AU,ROW()+3),$AU:$AU,0)),"")</f>
        <v/>
      </c>
      <c r="AN274" s="49" t="str">
        <f ca="1">IFERROR(INDEX(AA:AA,MATCH(SMALL($AU:$AU,ROW()+3),$AU:$AU,0)),"")</f>
        <v/>
      </c>
      <c r="AO274" s="49" t="str">
        <f ca="1">IFERROR(INDEX(AB:AB,MATCH(SMALL($AU:$AU,ROW()+3),$AU:$AU,0)),"")</f>
        <v/>
      </c>
      <c r="AP274" s="49" t="str">
        <f ca="1">IFERROR(INDEX(AC:AC,MATCH(SMALL($AU:$AU,ROW()+3),$AU:$AU,0)),"")</f>
        <v/>
      </c>
    </row>
    <row r="275" spans="30:42">
      <c r="AD275" s="49" t="str">
        <f ca="1">IFERROR(INDEX(AC:AC,MATCH(SMALL($AU:$AU,ROW()+3),$AU:$AU,0)),"")</f>
        <v/>
      </c>
      <c r="AE275" s="49" t="str">
        <f ca="1">IFERROR(INDEX(R:R,MATCH(SMALL($AU:$AU,ROW()+3),$AU:$AU,0)),"")</f>
        <v/>
      </c>
      <c r="AF275" s="49" t="str">
        <f ca="1">IFERROR(INDEX(S:S,MATCH(SMALL($AU:$AU,ROW()+3),$AU:$AU,0)),"")</f>
        <v/>
      </c>
      <c r="AG275" s="49" t="str">
        <f ca="1">IFERROR(INDEX(T:T,MATCH(SMALL($AU:$AU,ROW()+3),$AU:$AU,0)),"")</f>
        <v/>
      </c>
      <c r="AH275" s="122" t="str">
        <f ca="1">IFERROR(INDEX(U:U,MATCH(SMALL($AU:$AU,ROW()+3),$AU:$AU,0)),"")</f>
        <v/>
      </c>
      <c r="AI275" s="49" t="str">
        <f ca="1">IFERROR(INDEX(V:V,MATCH(SMALL($AU:$AU,ROW()+3),$AU:$AU,0)),"")</f>
        <v/>
      </c>
      <c r="AJ275" s="49" t="str">
        <f ca="1">IFERROR(INDEX(W:W,MATCH(SMALL($AU:$AU,ROW()+3),$AU:$AU,0)),"")</f>
        <v/>
      </c>
      <c r="AK275" s="49" t="str">
        <f ca="1">IFERROR(INDEX(X:X,MATCH(SMALL($AU:$AU,ROW()+3),$AU:$AU,0)),"")</f>
        <v/>
      </c>
      <c r="AL275" s="49" t="str">
        <f ca="1">IFERROR(INDEX(Y:Y,MATCH(SMALL($AU:$AU,ROW()+3),$AU:$AU,0)),"")</f>
        <v/>
      </c>
      <c r="AM275" s="49" t="str">
        <f ca="1">IFERROR(INDEX(Z:Z,MATCH(SMALL($AU:$AU,ROW()+3),$AU:$AU,0)),"")</f>
        <v/>
      </c>
      <c r="AN275" s="49" t="str">
        <f ca="1">IFERROR(INDEX(AA:AA,MATCH(SMALL($AU:$AU,ROW()+3),$AU:$AU,0)),"")</f>
        <v/>
      </c>
      <c r="AO275" s="49" t="str">
        <f ca="1">IFERROR(INDEX(AB:AB,MATCH(SMALL($AU:$AU,ROW()+3),$AU:$AU,0)),"")</f>
        <v/>
      </c>
      <c r="AP275" s="49" t="str">
        <f ca="1">IFERROR(INDEX(AC:AC,MATCH(SMALL($AU:$AU,ROW()+3),$AU:$AU,0)),"")</f>
        <v/>
      </c>
    </row>
    <row r="276" spans="30:42">
      <c r="AD276" s="49" t="str">
        <f ca="1">IFERROR(INDEX(AC:AC,MATCH(SMALL($AU:$AU,ROW()+3),$AU:$AU,0)),"")</f>
        <v/>
      </c>
      <c r="AE276" s="49" t="str">
        <f ca="1">IFERROR(INDEX(R:R,MATCH(SMALL($AU:$AU,ROW()+3),$AU:$AU,0)),"")</f>
        <v/>
      </c>
      <c r="AF276" s="49" t="str">
        <f ca="1">IFERROR(INDEX(S:S,MATCH(SMALL($AU:$AU,ROW()+3),$AU:$AU,0)),"")</f>
        <v/>
      </c>
      <c r="AG276" s="49" t="str">
        <f ca="1">IFERROR(INDEX(T:T,MATCH(SMALL($AU:$AU,ROW()+3),$AU:$AU,0)),"")</f>
        <v/>
      </c>
      <c r="AH276" s="122" t="str">
        <f ca="1">IFERROR(INDEX(U:U,MATCH(SMALL($AU:$AU,ROW()+3),$AU:$AU,0)),"")</f>
        <v/>
      </c>
      <c r="AI276" s="49" t="str">
        <f ca="1">IFERROR(INDEX(V:V,MATCH(SMALL($AU:$AU,ROW()+3),$AU:$AU,0)),"")</f>
        <v/>
      </c>
      <c r="AJ276" s="49" t="str">
        <f ca="1">IFERROR(INDEX(W:W,MATCH(SMALL($AU:$AU,ROW()+3),$AU:$AU,0)),"")</f>
        <v/>
      </c>
      <c r="AK276" s="49" t="str">
        <f ca="1">IFERROR(INDEX(X:X,MATCH(SMALL($AU:$AU,ROW()+3),$AU:$AU,0)),"")</f>
        <v/>
      </c>
      <c r="AL276" s="49" t="str">
        <f ca="1">IFERROR(INDEX(Y:Y,MATCH(SMALL($AU:$AU,ROW()+3),$AU:$AU,0)),"")</f>
        <v/>
      </c>
      <c r="AM276" s="49" t="str">
        <f ca="1">IFERROR(INDEX(Z:Z,MATCH(SMALL($AU:$AU,ROW()+3),$AU:$AU,0)),"")</f>
        <v/>
      </c>
      <c r="AN276" s="49" t="str">
        <f ca="1">IFERROR(INDEX(AA:AA,MATCH(SMALL($AU:$AU,ROW()+3),$AU:$AU,0)),"")</f>
        <v/>
      </c>
      <c r="AO276" s="49" t="str">
        <f ca="1">IFERROR(INDEX(AB:AB,MATCH(SMALL($AU:$AU,ROW()+3),$AU:$AU,0)),"")</f>
        <v/>
      </c>
      <c r="AP276" s="49" t="str">
        <f ca="1">IFERROR(INDEX(AC:AC,MATCH(SMALL($AU:$AU,ROW()+3),$AU:$AU,0)),"")</f>
        <v/>
      </c>
    </row>
    <row r="277" spans="30:42">
      <c r="AD277" s="49" t="str">
        <f ca="1">IFERROR(INDEX(AC:AC,MATCH(SMALL($AU:$AU,ROW()+3),$AU:$AU,0)),"")</f>
        <v/>
      </c>
      <c r="AE277" s="49" t="str">
        <f ca="1">IFERROR(INDEX(R:R,MATCH(SMALL($AU:$AU,ROW()+3),$AU:$AU,0)),"")</f>
        <v/>
      </c>
      <c r="AF277" s="49" t="str">
        <f ca="1">IFERROR(INDEX(S:S,MATCH(SMALL($AU:$AU,ROW()+3),$AU:$AU,0)),"")</f>
        <v/>
      </c>
      <c r="AG277" s="49" t="str">
        <f ca="1">IFERROR(INDEX(T:T,MATCH(SMALL($AU:$AU,ROW()+3),$AU:$AU,0)),"")</f>
        <v/>
      </c>
      <c r="AH277" s="122" t="str">
        <f ca="1">IFERROR(INDEX(U:U,MATCH(SMALL($AU:$AU,ROW()+3),$AU:$AU,0)),"")</f>
        <v/>
      </c>
      <c r="AI277" s="49" t="str">
        <f ca="1">IFERROR(INDEX(V:V,MATCH(SMALL($AU:$AU,ROW()+3),$AU:$AU,0)),"")</f>
        <v/>
      </c>
      <c r="AJ277" s="49" t="str">
        <f ca="1">IFERROR(INDEX(W:W,MATCH(SMALL($AU:$AU,ROW()+3),$AU:$AU,0)),"")</f>
        <v/>
      </c>
      <c r="AK277" s="49" t="str">
        <f ca="1">IFERROR(INDEX(X:X,MATCH(SMALL($AU:$AU,ROW()+3),$AU:$AU,0)),"")</f>
        <v/>
      </c>
      <c r="AL277" s="49" t="str">
        <f ca="1">IFERROR(INDEX(Y:Y,MATCH(SMALL($AU:$AU,ROW()+3),$AU:$AU,0)),"")</f>
        <v/>
      </c>
      <c r="AM277" s="49" t="str">
        <f ca="1">IFERROR(INDEX(Z:Z,MATCH(SMALL($AU:$AU,ROW()+3),$AU:$AU,0)),"")</f>
        <v/>
      </c>
      <c r="AN277" s="49" t="str">
        <f ca="1">IFERROR(INDEX(AA:AA,MATCH(SMALL($AU:$AU,ROW()+3),$AU:$AU,0)),"")</f>
        <v/>
      </c>
      <c r="AO277" s="49" t="str">
        <f ca="1">IFERROR(INDEX(AB:AB,MATCH(SMALL($AU:$AU,ROW()+3),$AU:$AU,0)),"")</f>
        <v/>
      </c>
      <c r="AP277" s="49" t="str">
        <f ca="1">IFERROR(INDEX(AC:AC,MATCH(SMALL($AU:$AU,ROW()+3),$AU:$AU,0)),"")</f>
        <v/>
      </c>
    </row>
    <row r="278" spans="30:42">
      <c r="AD278" s="49" t="str">
        <f ca="1">IFERROR(INDEX(AC:AC,MATCH(SMALL($AU:$AU,ROW()+3),$AU:$AU,0)),"")</f>
        <v/>
      </c>
      <c r="AE278" s="49" t="str">
        <f ca="1">IFERROR(INDEX(R:R,MATCH(SMALL($AU:$AU,ROW()+3),$AU:$AU,0)),"")</f>
        <v/>
      </c>
      <c r="AF278" s="49" t="str">
        <f ca="1">IFERROR(INDEX(S:S,MATCH(SMALL($AU:$AU,ROW()+3),$AU:$AU,0)),"")</f>
        <v/>
      </c>
      <c r="AG278" s="49" t="str">
        <f ca="1">IFERROR(INDEX(T:T,MATCH(SMALL($AU:$AU,ROW()+3),$AU:$AU,0)),"")</f>
        <v/>
      </c>
      <c r="AH278" s="122" t="str">
        <f ca="1">IFERROR(INDEX(U:U,MATCH(SMALL($AU:$AU,ROW()+3),$AU:$AU,0)),"")</f>
        <v/>
      </c>
      <c r="AI278" s="49" t="str">
        <f ca="1">IFERROR(INDEX(V:V,MATCH(SMALL($AU:$AU,ROW()+3),$AU:$AU,0)),"")</f>
        <v/>
      </c>
      <c r="AJ278" s="49" t="str">
        <f ca="1">IFERROR(INDEX(W:W,MATCH(SMALL($AU:$AU,ROW()+3),$AU:$AU,0)),"")</f>
        <v/>
      </c>
      <c r="AK278" s="49" t="str">
        <f ca="1">IFERROR(INDEX(X:X,MATCH(SMALL($AU:$AU,ROW()+3),$AU:$AU,0)),"")</f>
        <v/>
      </c>
      <c r="AL278" s="49" t="str">
        <f ca="1">IFERROR(INDEX(Y:Y,MATCH(SMALL($AU:$AU,ROW()+3),$AU:$AU,0)),"")</f>
        <v/>
      </c>
      <c r="AM278" s="49" t="str">
        <f ca="1">IFERROR(INDEX(Z:Z,MATCH(SMALL($AU:$AU,ROW()+3),$AU:$AU,0)),"")</f>
        <v/>
      </c>
      <c r="AN278" s="49" t="str">
        <f ca="1">IFERROR(INDEX(AA:AA,MATCH(SMALL($AU:$AU,ROW()+3),$AU:$AU,0)),"")</f>
        <v/>
      </c>
      <c r="AO278" s="49" t="str">
        <f ca="1">IFERROR(INDEX(AB:AB,MATCH(SMALL($AU:$AU,ROW()+3),$AU:$AU,0)),"")</f>
        <v/>
      </c>
      <c r="AP278" s="49" t="str">
        <f ca="1">IFERROR(INDEX(AC:AC,MATCH(SMALL($AU:$AU,ROW()+3),$AU:$AU,0)),"")</f>
        <v/>
      </c>
    </row>
    <row r="279" spans="30:42">
      <c r="AD279" s="49" t="str">
        <f ca="1">IFERROR(INDEX(AC:AC,MATCH(SMALL($AU:$AU,ROW()+3),$AU:$AU,0)),"")</f>
        <v/>
      </c>
      <c r="AE279" s="49" t="str">
        <f ca="1">IFERROR(INDEX(R:R,MATCH(SMALL($AU:$AU,ROW()+3),$AU:$AU,0)),"")</f>
        <v/>
      </c>
      <c r="AF279" s="49" t="str">
        <f ca="1">IFERROR(INDEX(S:S,MATCH(SMALL($AU:$AU,ROW()+3),$AU:$AU,0)),"")</f>
        <v/>
      </c>
      <c r="AG279" s="49" t="str">
        <f ca="1">IFERROR(INDEX(T:T,MATCH(SMALL($AU:$AU,ROW()+3),$AU:$AU,0)),"")</f>
        <v/>
      </c>
      <c r="AH279" s="122" t="str">
        <f ca="1">IFERROR(INDEX(U:U,MATCH(SMALL($AU:$AU,ROW()+3),$AU:$AU,0)),"")</f>
        <v/>
      </c>
      <c r="AI279" s="49" t="str">
        <f ca="1">IFERROR(INDEX(V:V,MATCH(SMALL($AU:$AU,ROW()+3),$AU:$AU,0)),"")</f>
        <v/>
      </c>
      <c r="AJ279" s="49" t="str">
        <f ca="1">IFERROR(INDEX(W:W,MATCH(SMALL($AU:$AU,ROW()+3),$AU:$AU,0)),"")</f>
        <v/>
      </c>
      <c r="AK279" s="49" t="str">
        <f ca="1">IFERROR(INDEX(X:X,MATCH(SMALL($AU:$AU,ROW()+3),$AU:$AU,0)),"")</f>
        <v/>
      </c>
      <c r="AL279" s="49" t="str">
        <f ca="1">IFERROR(INDEX(Y:Y,MATCH(SMALL($AU:$AU,ROW()+3),$AU:$AU,0)),"")</f>
        <v/>
      </c>
      <c r="AM279" s="49" t="str">
        <f ca="1">IFERROR(INDEX(Z:Z,MATCH(SMALL($AU:$AU,ROW()+3),$AU:$AU,0)),"")</f>
        <v/>
      </c>
      <c r="AN279" s="49" t="str">
        <f ca="1">IFERROR(INDEX(AA:AA,MATCH(SMALL($AU:$AU,ROW()+3),$AU:$AU,0)),"")</f>
        <v/>
      </c>
      <c r="AO279" s="49" t="str">
        <f ca="1">IFERROR(INDEX(AB:AB,MATCH(SMALL($AU:$AU,ROW()+3),$AU:$AU,0)),"")</f>
        <v/>
      </c>
      <c r="AP279" s="49" t="str">
        <f ca="1">IFERROR(INDEX(AC:AC,MATCH(SMALL($AU:$AU,ROW()+3),$AU:$AU,0)),"")</f>
        <v/>
      </c>
    </row>
    <row r="280" spans="30:42">
      <c r="AD280" s="49" t="str">
        <f ca="1">IFERROR(INDEX(AC:AC,MATCH(SMALL($AU:$AU,ROW()+3),$AU:$AU,0)),"")</f>
        <v/>
      </c>
      <c r="AE280" s="49" t="str">
        <f ca="1">IFERROR(INDEX(R:R,MATCH(SMALL($AU:$AU,ROW()+3),$AU:$AU,0)),"")</f>
        <v/>
      </c>
      <c r="AF280" s="49" t="str">
        <f ca="1">IFERROR(INDEX(S:S,MATCH(SMALL($AU:$AU,ROW()+3),$AU:$AU,0)),"")</f>
        <v/>
      </c>
      <c r="AG280" s="49" t="str">
        <f ca="1">IFERROR(INDEX(T:T,MATCH(SMALL($AU:$AU,ROW()+3),$AU:$AU,0)),"")</f>
        <v/>
      </c>
      <c r="AH280" s="122" t="str">
        <f ca="1">IFERROR(INDEX(U:U,MATCH(SMALL($AU:$AU,ROW()+3),$AU:$AU,0)),"")</f>
        <v/>
      </c>
      <c r="AI280" s="49" t="str">
        <f ca="1">IFERROR(INDEX(V:V,MATCH(SMALL($AU:$AU,ROW()+3),$AU:$AU,0)),"")</f>
        <v/>
      </c>
      <c r="AJ280" s="49" t="str">
        <f ca="1">IFERROR(INDEX(W:W,MATCH(SMALL($AU:$AU,ROW()+3),$AU:$AU,0)),"")</f>
        <v/>
      </c>
      <c r="AK280" s="49" t="str">
        <f ca="1">IFERROR(INDEX(X:X,MATCH(SMALL($AU:$AU,ROW()+3),$AU:$AU,0)),"")</f>
        <v/>
      </c>
      <c r="AL280" s="49" t="str">
        <f ca="1">IFERROR(INDEX(Y:Y,MATCH(SMALL($AU:$AU,ROW()+3),$AU:$AU,0)),"")</f>
        <v/>
      </c>
      <c r="AM280" s="49" t="str">
        <f ca="1">IFERROR(INDEX(Z:Z,MATCH(SMALL($AU:$AU,ROW()+3),$AU:$AU,0)),"")</f>
        <v/>
      </c>
      <c r="AN280" s="49" t="str">
        <f ca="1">IFERROR(INDEX(AA:AA,MATCH(SMALL($AU:$AU,ROW()+3),$AU:$AU,0)),"")</f>
        <v/>
      </c>
      <c r="AO280" s="49" t="str">
        <f ca="1">IFERROR(INDEX(AB:AB,MATCH(SMALL($AU:$AU,ROW()+3),$AU:$AU,0)),"")</f>
        <v/>
      </c>
      <c r="AP280" s="49" t="str">
        <f ca="1">IFERROR(INDEX(AC:AC,MATCH(SMALL($AU:$AU,ROW()+3),$AU:$AU,0)),"")</f>
        <v/>
      </c>
    </row>
    <row r="281" spans="30:42">
      <c r="AD281" s="49" t="str">
        <f ca="1">IFERROR(INDEX(AC:AC,MATCH(SMALL($AU:$AU,ROW()+3),$AU:$AU,0)),"")</f>
        <v/>
      </c>
      <c r="AE281" s="49" t="str">
        <f ca="1">IFERROR(INDEX(R:R,MATCH(SMALL($AU:$AU,ROW()+3),$AU:$AU,0)),"")</f>
        <v/>
      </c>
      <c r="AF281" s="49" t="str">
        <f ca="1">IFERROR(INDEX(S:S,MATCH(SMALL($AU:$AU,ROW()+3),$AU:$AU,0)),"")</f>
        <v/>
      </c>
      <c r="AG281" s="49" t="str">
        <f ca="1">IFERROR(INDEX(T:T,MATCH(SMALL($AU:$AU,ROW()+3),$AU:$AU,0)),"")</f>
        <v/>
      </c>
      <c r="AH281" s="122" t="str">
        <f ca="1">IFERROR(INDEX(U:U,MATCH(SMALL($AU:$AU,ROW()+3),$AU:$AU,0)),"")</f>
        <v/>
      </c>
      <c r="AI281" s="49" t="str">
        <f ca="1">IFERROR(INDEX(V:V,MATCH(SMALL($AU:$AU,ROW()+3),$AU:$AU,0)),"")</f>
        <v/>
      </c>
      <c r="AJ281" s="49" t="str">
        <f ca="1">IFERROR(INDEX(W:W,MATCH(SMALL($AU:$AU,ROW()+3),$AU:$AU,0)),"")</f>
        <v/>
      </c>
      <c r="AK281" s="49" t="str">
        <f ca="1">IFERROR(INDEX(X:X,MATCH(SMALL($AU:$AU,ROW()+3),$AU:$AU,0)),"")</f>
        <v/>
      </c>
      <c r="AL281" s="49" t="str">
        <f ca="1">IFERROR(INDEX(Y:Y,MATCH(SMALL($AU:$AU,ROW()+3),$AU:$AU,0)),"")</f>
        <v/>
      </c>
      <c r="AM281" s="49" t="str">
        <f ca="1">IFERROR(INDEX(Z:Z,MATCH(SMALL($AU:$AU,ROW()+3),$AU:$AU,0)),"")</f>
        <v/>
      </c>
      <c r="AN281" s="49" t="str">
        <f ca="1">IFERROR(INDEX(AA:AA,MATCH(SMALL($AU:$AU,ROW()+3),$AU:$AU,0)),"")</f>
        <v/>
      </c>
      <c r="AO281" s="49" t="str">
        <f ca="1">IFERROR(INDEX(AB:AB,MATCH(SMALL($AU:$AU,ROW()+3),$AU:$AU,0)),"")</f>
        <v/>
      </c>
      <c r="AP281" s="49" t="str">
        <f ca="1">IFERROR(INDEX(AC:AC,MATCH(SMALL($AU:$AU,ROW()+3),$AU:$AU,0)),"")</f>
        <v/>
      </c>
    </row>
    <row r="282" spans="30:42">
      <c r="AD282" s="49" t="str">
        <f ca="1">IFERROR(INDEX(AC:AC,MATCH(SMALL($AU:$AU,ROW()+3),$AU:$AU,0)),"")</f>
        <v/>
      </c>
      <c r="AE282" s="49" t="str">
        <f ca="1">IFERROR(INDEX(R:R,MATCH(SMALL($AU:$AU,ROW()+3),$AU:$AU,0)),"")</f>
        <v/>
      </c>
      <c r="AF282" s="49" t="str">
        <f ca="1">IFERROR(INDEX(S:S,MATCH(SMALL($AU:$AU,ROW()+3),$AU:$AU,0)),"")</f>
        <v/>
      </c>
      <c r="AG282" s="49" t="str">
        <f ca="1">IFERROR(INDEX(T:T,MATCH(SMALL($AU:$AU,ROW()+3),$AU:$AU,0)),"")</f>
        <v/>
      </c>
      <c r="AH282" s="122" t="str">
        <f ca="1">IFERROR(INDEX(U:U,MATCH(SMALL($AU:$AU,ROW()+3),$AU:$AU,0)),"")</f>
        <v/>
      </c>
      <c r="AI282" s="49" t="str">
        <f ca="1">IFERROR(INDEX(V:V,MATCH(SMALL($AU:$AU,ROW()+3),$AU:$AU,0)),"")</f>
        <v/>
      </c>
      <c r="AJ282" s="49" t="str">
        <f ca="1">IFERROR(INDEX(W:W,MATCH(SMALL($AU:$AU,ROW()+3),$AU:$AU,0)),"")</f>
        <v/>
      </c>
      <c r="AK282" s="49" t="str">
        <f ca="1">IFERROR(INDEX(X:X,MATCH(SMALL($AU:$AU,ROW()+3),$AU:$AU,0)),"")</f>
        <v/>
      </c>
      <c r="AL282" s="49" t="str">
        <f ca="1">IFERROR(INDEX(Y:Y,MATCH(SMALL($AU:$AU,ROW()+3),$AU:$AU,0)),"")</f>
        <v/>
      </c>
      <c r="AM282" s="49" t="str">
        <f ca="1">IFERROR(INDEX(Z:Z,MATCH(SMALL($AU:$AU,ROW()+3),$AU:$AU,0)),"")</f>
        <v/>
      </c>
      <c r="AN282" s="49" t="str">
        <f ca="1">IFERROR(INDEX(AA:AA,MATCH(SMALL($AU:$AU,ROW()+3),$AU:$AU,0)),"")</f>
        <v/>
      </c>
      <c r="AO282" s="49" t="str">
        <f ca="1">IFERROR(INDEX(AB:AB,MATCH(SMALL($AU:$AU,ROW()+3),$AU:$AU,0)),"")</f>
        <v/>
      </c>
      <c r="AP282" s="49" t="str">
        <f ca="1">IFERROR(INDEX(AC:AC,MATCH(SMALL($AU:$AU,ROW()+3),$AU:$AU,0)),"")</f>
        <v/>
      </c>
    </row>
    <row r="283" spans="30:42">
      <c r="AD283" s="49" t="str">
        <f ca="1">IFERROR(INDEX(AC:AC,MATCH(SMALL($AU:$AU,ROW()+3),$AU:$AU,0)),"")</f>
        <v/>
      </c>
      <c r="AE283" s="49" t="str">
        <f ca="1">IFERROR(INDEX(R:R,MATCH(SMALL($AU:$AU,ROW()+3),$AU:$AU,0)),"")</f>
        <v/>
      </c>
      <c r="AF283" s="49" t="str">
        <f ca="1">IFERROR(INDEX(S:S,MATCH(SMALL($AU:$AU,ROW()+3),$AU:$AU,0)),"")</f>
        <v/>
      </c>
      <c r="AG283" s="49" t="str">
        <f ca="1">IFERROR(INDEX(T:T,MATCH(SMALL($AU:$AU,ROW()+3),$AU:$AU,0)),"")</f>
        <v/>
      </c>
      <c r="AH283" s="122" t="str">
        <f ca="1">IFERROR(INDEX(U:U,MATCH(SMALL($AU:$AU,ROW()+3),$AU:$AU,0)),"")</f>
        <v/>
      </c>
      <c r="AI283" s="49" t="str">
        <f ca="1">IFERROR(INDEX(V:V,MATCH(SMALL($AU:$AU,ROW()+3),$AU:$AU,0)),"")</f>
        <v/>
      </c>
      <c r="AJ283" s="49" t="str">
        <f ca="1">IFERROR(INDEX(W:W,MATCH(SMALL($AU:$AU,ROW()+3),$AU:$AU,0)),"")</f>
        <v/>
      </c>
      <c r="AK283" s="49" t="str">
        <f ca="1">IFERROR(INDEX(X:X,MATCH(SMALL($AU:$AU,ROW()+3),$AU:$AU,0)),"")</f>
        <v/>
      </c>
      <c r="AL283" s="49" t="str">
        <f ca="1">IFERROR(INDEX(Y:Y,MATCH(SMALL($AU:$AU,ROW()+3),$AU:$AU,0)),"")</f>
        <v/>
      </c>
      <c r="AM283" s="49" t="str">
        <f ca="1">IFERROR(INDEX(Z:Z,MATCH(SMALL($AU:$AU,ROW()+3),$AU:$AU,0)),"")</f>
        <v/>
      </c>
      <c r="AN283" s="49" t="str">
        <f ca="1">IFERROR(INDEX(AA:AA,MATCH(SMALL($AU:$AU,ROW()+3),$AU:$AU,0)),"")</f>
        <v/>
      </c>
      <c r="AO283" s="49" t="str">
        <f ca="1">IFERROR(INDEX(AB:AB,MATCH(SMALL($AU:$AU,ROW()+3),$AU:$AU,0)),"")</f>
        <v/>
      </c>
      <c r="AP283" s="49" t="str">
        <f ca="1">IFERROR(INDEX(AC:AC,MATCH(SMALL($AU:$AU,ROW()+3),$AU:$AU,0)),"")</f>
        <v/>
      </c>
    </row>
    <row r="284" spans="30:42">
      <c r="AD284" s="49" t="str">
        <f ca="1">IFERROR(INDEX(AC:AC,MATCH(SMALL($AU:$AU,ROW()+3),$AU:$AU,0)),"")</f>
        <v/>
      </c>
      <c r="AE284" s="49" t="str">
        <f ca="1">IFERROR(INDEX(R:R,MATCH(SMALL($AU:$AU,ROW()+3),$AU:$AU,0)),"")</f>
        <v/>
      </c>
      <c r="AF284" s="49" t="str">
        <f ca="1">IFERROR(INDEX(S:S,MATCH(SMALL($AU:$AU,ROW()+3),$AU:$AU,0)),"")</f>
        <v/>
      </c>
      <c r="AG284" s="49" t="str">
        <f ca="1">IFERROR(INDEX(T:T,MATCH(SMALL($AU:$AU,ROW()+3),$AU:$AU,0)),"")</f>
        <v/>
      </c>
      <c r="AH284" s="122" t="str">
        <f ca="1">IFERROR(INDEX(U:U,MATCH(SMALL($AU:$AU,ROW()+3),$AU:$AU,0)),"")</f>
        <v/>
      </c>
      <c r="AI284" s="49" t="str">
        <f ca="1">IFERROR(INDEX(V:V,MATCH(SMALL($AU:$AU,ROW()+3),$AU:$AU,0)),"")</f>
        <v/>
      </c>
      <c r="AJ284" s="49" t="str">
        <f ca="1">IFERROR(INDEX(W:W,MATCH(SMALL($AU:$AU,ROW()+3),$AU:$AU,0)),"")</f>
        <v/>
      </c>
      <c r="AK284" s="49" t="str">
        <f ca="1">IFERROR(INDEX(X:X,MATCH(SMALL($AU:$AU,ROW()+3),$AU:$AU,0)),"")</f>
        <v/>
      </c>
      <c r="AL284" s="49" t="str">
        <f ca="1">IFERROR(INDEX(Y:Y,MATCH(SMALL($AU:$AU,ROW()+3),$AU:$AU,0)),"")</f>
        <v/>
      </c>
      <c r="AM284" s="49" t="str">
        <f ca="1">IFERROR(INDEX(Z:Z,MATCH(SMALL($AU:$AU,ROW()+3),$AU:$AU,0)),"")</f>
        <v/>
      </c>
      <c r="AN284" s="49" t="str">
        <f ca="1">IFERROR(INDEX(AA:AA,MATCH(SMALL($AU:$AU,ROW()+3),$AU:$AU,0)),"")</f>
        <v/>
      </c>
      <c r="AO284" s="49" t="str">
        <f ca="1">IFERROR(INDEX(AB:AB,MATCH(SMALL($AU:$AU,ROW()+3),$AU:$AU,0)),"")</f>
        <v/>
      </c>
      <c r="AP284" s="49" t="str">
        <f ca="1">IFERROR(INDEX(AC:AC,MATCH(SMALL($AU:$AU,ROW()+3),$AU:$AU,0)),"")</f>
        <v/>
      </c>
    </row>
    <row r="285" spans="30:42">
      <c r="AD285" s="49" t="str">
        <f ca="1">IFERROR(INDEX(AC:AC,MATCH(SMALL($AU:$AU,ROW()+3),$AU:$AU,0)),"")</f>
        <v/>
      </c>
      <c r="AE285" s="49" t="str">
        <f ca="1">IFERROR(INDEX(R:R,MATCH(SMALL($AU:$AU,ROW()+3),$AU:$AU,0)),"")</f>
        <v/>
      </c>
      <c r="AF285" s="49" t="str">
        <f ca="1">IFERROR(INDEX(S:S,MATCH(SMALL($AU:$AU,ROW()+3),$AU:$AU,0)),"")</f>
        <v/>
      </c>
      <c r="AG285" s="49" t="str">
        <f ca="1">IFERROR(INDEX(T:T,MATCH(SMALL($AU:$AU,ROW()+3),$AU:$AU,0)),"")</f>
        <v/>
      </c>
      <c r="AH285" s="122" t="str">
        <f ca="1">IFERROR(INDEX(U:U,MATCH(SMALL($AU:$AU,ROW()+3),$AU:$AU,0)),"")</f>
        <v/>
      </c>
      <c r="AI285" s="49" t="str">
        <f ca="1">IFERROR(INDEX(V:V,MATCH(SMALL($AU:$AU,ROW()+3),$AU:$AU,0)),"")</f>
        <v/>
      </c>
      <c r="AJ285" s="49" t="str">
        <f ca="1">IFERROR(INDEX(W:W,MATCH(SMALL($AU:$AU,ROW()+3),$AU:$AU,0)),"")</f>
        <v/>
      </c>
      <c r="AK285" s="49" t="str">
        <f ca="1">IFERROR(INDEX(X:X,MATCH(SMALL($AU:$AU,ROW()+3),$AU:$AU,0)),"")</f>
        <v/>
      </c>
      <c r="AL285" s="49" t="str">
        <f ca="1">IFERROR(INDEX(Y:Y,MATCH(SMALL($AU:$AU,ROW()+3),$AU:$AU,0)),"")</f>
        <v/>
      </c>
      <c r="AM285" s="49" t="str">
        <f ca="1">IFERROR(INDEX(Z:Z,MATCH(SMALL($AU:$AU,ROW()+3),$AU:$AU,0)),"")</f>
        <v/>
      </c>
      <c r="AN285" s="49" t="str">
        <f ca="1">IFERROR(INDEX(AA:AA,MATCH(SMALL($AU:$AU,ROW()+3),$AU:$AU,0)),"")</f>
        <v/>
      </c>
      <c r="AO285" s="49" t="str">
        <f ca="1">IFERROR(INDEX(AB:AB,MATCH(SMALL($AU:$AU,ROW()+3),$AU:$AU,0)),"")</f>
        <v/>
      </c>
      <c r="AP285" s="49" t="str">
        <f ca="1">IFERROR(INDEX(AC:AC,MATCH(SMALL($AU:$AU,ROW()+3),$AU:$AU,0)),"")</f>
        <v/>
      </c>
    </row>
    <row r="286" spans="30:42">
      <c r="AD286" s="49" t="str">
        <f ca="1">IFERROR(INDEX(AC:AC,MATCH(SMALL($AU:$AU,ROW()+3),$AU:$AU,0)),"")</f>
        <v/>
      </c>
      <c r="AE286" s="49" t="str">
        <f ca="1">IFERROR(INDEX(R:R,MATCH(SMALL($AU:$AU,ROW()+3),$AU:$AU,0)),"")</f>
        <v/>
      </c>
      <c r="AF286" s="49" t="str">
        <f ca="1">IFERROR(INDEX(S:S,MATCH(SMALL($AU:$AU,ROW()+3),$AU:$AU,0)),"")</f>
        <v/>
      </c>
      <c r="AG286" s="49" t="str">
        <f ca="1">IFERROR(INDEX(T:T,MATCH(SMALL($AU:$AU,ROW()+3),$AU:$AU,0)),"")</f>
        <v/>
      </c>
      <c r="AH286" s="122" t="str">
        <f ca="1">IFERROR(INDEX(U:U,MATCH(SMALL($AU:$AU,ROW()+3),$AU:$AU,0)),"")</f>
        <v/>
      </c>
      <c r="AI286" s="49" t="str">
        <f ca="1">IFERROR(INDEX(V:V,MATCH(SMALL($AU:$AU,ROW()+3),$AU:$AU,0)),"")</f>
        <v/>
      </c>
      <c r="AJ286" s="49" t="str">
        <f ca="1">IFERROR(INDEX(W:W,MATCH(SMALL($AU:$AU,ROW()+3),$AU:$AU,0)),"")</f>
        <v/>
      </c>
      <c r="AK286" s="49" t="str">
        <f ca="1">IFERROR(INDEX(X:X,MATCH(SMALL($AU:$AU,ROW()+3),$AU:$AU,0)),"")</f>
        <v/>
      </c>
      <c r="AL286" s="49" t="str">
        <f ca="1">IFERROR(INDEX(Y:Y,MATCH(SMALL($AU:$AU,ROW()+3),$AU:$AU,0)),"")</f>
        <v/>
      </c>
      <c r="AM286" s="49" t="str">
        <f ca="1">IFERROR(INDEX(Z:Z,MATCH(SMALL($AU:$AU,ROW()+3),$AU:$AU,0)),"")</f>
        <v/>
      </c>
      <c r="AN286" s="49" t="str">
        <f ca="1">IFERROR(INDEX(AA:AA,MATCH(SMALL($AU:$AU,ROW()+3),$AU:$AU,0)),"")</f>
        <v/>
      </c>
      <c r="AO286" s="49" t="str">
        <f ca="1">IFERROR(INDEX(AB:AB,MATCH(SMALL($AU:$AU,ROW()+3),$AU:$AU,0)),"")</f>
        <v/>
      </c>
      <c r="AP286" s="49" t="str">
        <f ca="1">IFERROR(INDEX(AC:AC,MATCH(SMALL($AU:$AU,ROW()+3),$AU:$AU,0)),"")</f>
        <v/>
      </c>
    </row>
    <row r="287" spans="30:42">
      <c r="AD287" s="49" t="str">
        <f ca="1">IFERROR(INDEX(AC:AC,MATCH(SMALL($AU:$AU,ROW()+3),$AU:$AU,0)),"")</f>
        <v/>
      </c>
      <c r="AE287" s="49" t="str">
        <f ca="1">IFERROR(INDEX(R:R,MATCH(SMALL($AU:$AU,ROW()+3),$AU:$AU,0)),"")</f>
        <v/>
      </c>
      <c r="AF287" s="49" t="str">
        <f ca="1">IFERROR(INDEX(S:S,MATCH(SMALL($AU:$AU,ROW()+3),$AU:$AU,0)),"")</f>
        <v/>
      </c>
      <c r="AG287" s="49" t="str">
        <f ca="1">IFERROR(INDEX(T:T,MATCH(SMALL($AU:$AU,ROW()+3),$AU:$AU,0)),"")</f>
        <v/>
      </c>
      <c r="AH287" s="122" t="str">
        <f ca="1">IFERROR(INDEX(U:U,MATCH(SMALL($AU:$AU,ROW()+3),$AU:$AU,0)),"")</f>
        <v/>
      </c>
      <c r="AI287" s="49" t="str">
        <f ca="1">IFERROR(INDEX(V:V,MATCH(SMALL($AU:$AU,ROW()+3),$AU:$AU,0)),"")</f>
        <v/>
      </c>
      <c r="AJ287" s="49" t="str">
        <f ca="1">IFERROR(INDEX(W:W,MATCH(SMALL($AU:$AU,ROW()+3),$AU:$AU,0)),"")</f>
        <v/>
      </c>
      <c r="AK287" s="49" t="str">
        <f ca="1">IFERROR(INDEX(X:X,MATCH(SMALL($AU:$AU,ROW()+3),$AU:$AU,0)),"")</f>
        <v/>
      </c>
      <c r="AL287" s="49" t="str">
        <f ca="1">IFERROR(INDEX(Y:Y,MATCH(SMALL($AU:$AU,ROW()+3),$AU:$AU,0)),"")</f>
        <v/>
      </c>
      <c r="AM287" s="49" t="str">
        <f ca="1">IFERROR(INDEX(Z:Z,MATCH(SMALL($AU:$AU,ROW()+3),$AU:$AU,0)),"")</f>
        <v/>
      </c>
      <c r="AN287" s="49" t="str">
        <f ca="1">IFERROR(INDEX(AA:AA,MATCH(SMALL($AU:$AU,ROW()+3),$AU:$AU,0)),"")</f>
        <v/>
      </c>
      <c r="AO287" s="49" t="str">
        <f ca="1">IFERROR(INDEX(AB:AB,MATCH(SMALL($AU:$AU,ROW()+3),$AU:$AU,0)),"")</f>
        <v/>
      </c>
      <c r="AP287" s="49" t="str">
        <f ca="1">IFERROR(INDEX(AC:AC,MATCH(SMALL($AU:$AU,ROW()+3),$AU:$AU,0)),"")</f>
        <v/>
      </c>
    </row>
    <row r="288" spans="30:42">
      <c r="AD288" s="49" t="str">
        <f ca="1">IFERROR(INDEX(AC:AC,MATCH(SMALL($AU:$AU,ROW()+3),$AU:$AU,0)),"")</f>
        <v/>
      </c>
      <c r="AE288" s="49" t="str">
        <f ca="1">IFERROR(INDEX(R:R,MATCH(SMALL($AU:$AU,ROW()+3),$AU:$AU,0)),"")</f>
        <v/>
      </c>
      <c r="AF288" s="49" t="str">
        <f ca="1">IFERROR(INDEX(S:S,MATCH(SMALL($AU:$AU,ROW()+3),$AU:$AU,0)),"")</f>
        <v/>
      </c>
      <c r="AG288" s="49" t="str">
        <f ca="1">IFERROR(INDEX(T:T,MATCH(SMALL($AU:$AU,ROW()+3),$AU:$AU,0)),"")</f>
        <v/>
      </c>
      <c r="AH288" s="122" t="str">
        <f ca="1">IFERROR(INDEX(U:U,MATCH(SMALL($AU:$AU,ROW()+3),$AU:$AU,0)),"")</f>
        <v/>
      </c>
      <c r="AI288" s="49" t="str">
        <f ca="1">IFERROR(INDEX(V:V,MATCH(SMALL($AU:$AU,ROW()+3),$AU:$AU,0)),"")</f>
        <v/>
      </c>
      <c r="AJ288" s="49" t="str">
        <f ca="1">IFERROR(INDEX(W:W,MATCH(SMALL($AU:$AU,ROW()+3),$AU:$AU,0)),"")</f>
        <v/>
      </c>
      <c r="AK288" s="49" t="str">
        <f ca="1">IFERROR(INDEX(X:X,MATCH(SMALL($AU:$AU,ROW()+3),$AU:$AU,0)),"")</f>
        <v/>
      </c>
      <c r="AL288" s="49" t="str">
        <f ca="1">IFERROR(INDEX(Y:Y,MATCH(SMALL($AU:$AU,ROW()+3),$AU:$AU,0)),"")</f>
        <v/>
      </c>
      <c r="AM288" s="49" t="str">
        <f ca="1">IFERROR(INDEX(Z:Z,MATCH(SMALL($AU:$AU,ROW()+3),$AU:$AU,0)),"")</f>
        <v/>
      </c>
      <c r="AN288" s="49" t="str">
        <f ca="1">IFERROR(INDEX(AA:AA,MATCH(SMALL($AU:$AU,ROW()+3),$AU:$AU,0)),"")</f>
        <v/>
      </c>
      <c r="AO288" s="49" t="str">
        <f ca="1">IFERROR(INDEX(AB:AB,MATCH(SMALL($AU:$AU,ROW()+3),$AU:$AU,0)),"")</f>
        <v/>
      </c>
      <c r="AP288" s="49" t="str">
        <f ca="1">IFERROR(INDEX(AC:AC,MATCH(SMALL($AU:$AU,ROW()+3),$AU:$AU,0)),"")</f>
        <v/>
      </c>
    </row>
    <row r="289" spans="30:42">
      <c r="AD289" s="49" t="str">
        <f ca="1">IFERROR(INDEX(AC:AC,MATCH(SMALL($AU:$AU,ROW()+3),$AU:$AU,0)),"")</f>
        <v/>
      </c>
      <c r="AE289" s="49" t="str">
        <f ca="1">IFERROR(INDEX(R:R,MATCH(SMALL($AU:$AU,ROW()+3),$AU:$AU,0)),"")</f>
        <v/>
      </c>
      <c r="AF289" s="49" t="str">
        <f ca="1">IFERROR(INDEX(S:S,MATCH(SMALL($AU:$AU,ROW()+3),$AU:$AU,0)),"")</f>
        <v/>
      </c>
      <c r="AG289" s="49" t="str">
        <f ca="1">IFERROR(INDEX(T:T,MATCH(SMALL($AU:$AU,ROW()+3),$AU:$AU,0)),"")</f>
        <v/>
      </c>
      <c r="AH289" s="122" t="str">
        <f ca="1">IFERROR(INDEX(U:U,MATCH(SMALL($AU:$AU,ROW()+3),$AU:$AU,0)),"")</f>
        <v/>
      </c>
      <c r="AI289" s="49" t="str">
        <f ca="1">IFERROR(INDEX(V:V,MATCH(SMALL($AU:$AU,ROW()+3),$AU:$AU,0)),"")</f>
        <v/>
      </c>
      <c r="AJ289" s="49" t="str">
        <f ca="1">IFERROR(INDEX(W:W,MATCH(SMALL($AU:$AU,ROW()+3),$AU:$AU,0)),"")</f>
        <v/>
      </c>
      <c r="AK289" s="49" t="str">
        <f ca="1">IFERROR(INDEX(X:X,MATCH(SMALL($AU:$AU,ROW()+3),$AU:$AU,0)),"")</f>
        <v/>
      </c>
      <c r="AL289" s="49" t="str">
        <f ca="1">IFERROR(INDEX(Y:Y,MATCH(SMALL($AU:$AU,ROW()+3),$AU:$AU,0)),"")</f>
        <v/>
      </c>
      <c r="AM289" s="49" t="str">
        <f ca="1">IFERROR(INDEX(Z:Z,MATCH(SMALL($AU:$AU,ROW()+3),$AU:$AU,0)),"")</f>
        <v/>
      </c>
      <c r="AN289" s="49" t="str">
        <f ca="1">IFERROR(INDEX(AA:AA,MATCH(SMALL($AU:$AU,ROW()+3),$AU:$AU,0)),"")</f>
        <v/>
      </c>
      <c r="AO289" s="49" t="str">
        <f ca="1">IFERROR(INDEX(AB:AB,MATCH(SMALL($AU:$AU,ROW()+3),$AU:$AU,0)),"")</f>
        <v/>
      </c>
      <c r="AP289" s="49" t="str">
        <f ca="1">IFERROR(INDEX(AC:AC,MATCH(SMALL($AU:$AU,ROW()+3),$AU:$AU,0)),"")</f>
        <v/>
      </c>
    </row>
    <row r="290" spans="30:42">
      <c r="AD290" s="49" t="str">
        <f ca="1">IFERROR(INDEX(AC:AC,MATCH(SMALL($AU:$AU,ROW()+3),$AU:$AU,0)),"")</f>
        <v/>
      </c>
      <c r="AE290" s="49" t="str">
        <f ca="1">IFERROR(INDEX(R:R,MATCH(SMALL($AU:$AU,ROW()+3),$AU:$AU,0)),"")</f>
        <v/>
      </c>
      <c r="AF290" s="49" t="str">
        <f ca="1">IFERROR(INDEX(S:S,MATCH(SMALL($AU:$AU,ROW()+3),$AU:$AU,0)),"")</f>
        <v/>
      </c>
      <c r="AG290" s="49" t="str">
        <f ca="1">IFERROR(INDEX(T:T,MATCH(SMALL($AU:$AU,ROW()+3),$AU:$AU,0)),"")</f>
        <v/>
      </c>
      <c r="AH290" s="122" t="str">
        <f ca="1">IFERROR(INDEX(U:U,MATCH(SMALL($AU:$AU,ROW()+3),$AU:$AU,0)),"")</f>
        <v/>
      </c>
      <c r="AI290" s="49" t="str">
        <f ca="1">IFERROR(INDEX(V:V,MATCH(SMALL($AU:$AU,ROW()+3),$AU:$AU,0)),"")</f>
        <v/>
      </c>
      <c r="AJ290" s="49" t="str">
        <f ca="1">IFERROR(INDEX(W:W,MATCH(SMALL($AU:$AU,ROW()+3),$AU:$AU,0)),"")</f>
        <v/>
      </c>
      <c r="AK290" s="49" t="str">
        <f ca="1">IFERROR(INDEX(X:X,MATCH(SMALL($AU:$AU,ROW()+3),$AU:$AU,0)),"")</f>
        <v/>
      </c>
      <c r="AL290" s="49" t="str">
        <f ca="1">IFERROR(INDEX(Y:Y,MATCH(SMALL($AU:$AU,ROW()+3),$AU:$AU,0)),"")</f>
        <v/>
      </c>
      <c r="AM290" s="49" t="str">
        <f ca="1">IFERROR(INDEX(Z:Z,MATCH(SMALL($AU:$AU,ROW()+3),$AU:$AU,0)),"")</f>
        <v/>
      </c>
      <c r="AN290" s="49" t="str">
        <f ca="1">IFERROR(INDEX(AA:AA,MATCH(SMALL($AU:$AU,ROW()+3),$AU:$AU,0)),"")</f>
        <v/>
      </c>
      <c r="AO290" s="49" t="str">
        <f ca="1">IFERROR(INDEX(AB:AB,MATCH(SMALL($AU:$AU,ROW()+3),$AU:$AU,0)),"")</f>
        <v/>
      </c>
      <c r="AP290" s="49" t="str">
        <f ca="1">IFERROR(INDEX(AC:AC,MATCH(SMALL($AU:$AU,ROW()+3),$AU:$AU,0)),"")</f>
        <v/>
      </c>
    </row>
    <row r="291" spans="30:42">
      <c r="AD291" s="49" t="str">
        <f ca="1">IFERROR(INDEX(AC:AC,MATCH(SMALL($AU:$AU,ROW()+3),$AU:$AU,0)),"")</f>
        <v/>
      </c>
      <c r="AE291" s="49" t="str">
        <f ca="1">IFERROR(INDEX(R:R,MATCH(SMALL($AU:$AU,ROW()+3),$AU:$AU,0)),"")</f>
        <v/>
      </c>
      <c r="AF291" s="49" t="str">
        <f ca="1">IFERROR(INDEX(S:S,MATCH(SMALL($AU:$AU,ROW()+3),$AU:$AU,0)),"")</f>
        <v/>
      </c>
      <c r="AG291" s="49" t="str">
        <f ca="1">IFERROR(INDEX(T:T,MATCH(SMALL($AU:$AU,ROW()+3),$AU:$AU,0)),"")</f>
        <v/>
      </c>
      <c r="AH291" s="122" t="str">
        <f ca="1">IFERROR(INDEX(U:U,MATCH(SMALL($AU:$AU,ROW()+3),$AU:$AU,0)),"")</f>
        <v/>
      </c>
      <c r="AI291" s="49" t="str">
        <f ca="1">IFERROR(INDEX(V:V,MATCH(SMALL($AU:$AU,ROW()+3),$AU:$AU,0)),"")</f>
        <v/>
      </c>
      <c r="AJ291" s="49" t="str">
        <f ca="1">IFERROR(INDEX(W:W,MATCH(SMALL($AU:$AU,ROW()+3),$AU:$AU,0)),"")</f>
        <v/>
      </c>
      <c r="AK291" s="49" t="str">
        <f ca="1">IFERROR(INDEX(X:X,MATCH(SMALL($AU:$AU,ROW()+3),$AU:$AU,0)),"")</f>
        <v/>
      </c>
      <c r="AL291" s="49" t="str">
        <f ca="1">IFERROR(INDEX(Y:Y,MATCH(SMALL($AU:$AU,ROW()+3),$AU:$AU,0)),"")</f>
        <v/>
      </c>
      <c r="AM291" s="49" t="str">
        <f ca="1">IFERROR(INDEX(Z:Z,MATCH(SMALL($AU:$AU,ROW()+3),$AU:$AU,0)),"")</f>
        <v/>
      </c>
      <c r="AN291" s="49" t="str">
        <f ca="1">IFERROR(INDEX(AA:AA,MATCH(SMALL($AU:$AU,ROW()+3),$AU:$AU,0)),"")</f>
        <v/>
      </c>
      <c r="AO291" s="49" t="str">
        <f ca="1">IFERROR(INDEX(AB:AB,MATCH(SMALL($AU:$AU,ROW()+3),$AU:$AU,0)),"")</f>
        <v/>
      </c>
      <c r="AP291" s="49" t="str">
        <f ca="1">IFERROR(INDEX(AC:AC,MATCH(SMALL($AU:$AU,ROW()+3),$AU:$AU,0)),"")</f>
        <v/>
      </c>
    </row>
    <row r="292" spans="30:42">
      <c r="AD292" s="49" t="str">
        <f ca="1">IFERROR(INDEX(AC:AC,MATCH(SMALL($AU:$AU,ROW()+3),$AU:$AU,0)),"")</f>
        <v/>
      </c>
      <c r="AE292" s="49" t="str">
        <f ca="1">IFERROR(INDEX(R:R,MATCH(SMALL($AU:$AU,ROW()+3),$AU:$AU,0)),"")</f>
        <v/>
      </c>
      <c r="AF292" s="49" t="str">
        <f ca="1">IFERROR(INDEX(S:S,MATCH(SMALL($AU:$AU,ROW()+3),$AU:$AU,0)),"")</f>
        <v/>
      </c>
      <c r="AG292" s="49" t="str">
        <f ca="1">IFERROR(INDEX(T:T,MATCH(SMALL($AU:$AU,ROW()+3),$AU:$AU,0)),"")</f>
        <v/>
      </c>
      <c r="AH292" s="122" t="str">
        <f ca="1">IFERROR(INDEX(U:U,MATCH(SMALL($AU:$AU,ROW()+3),$AU:$AU,0)),"")</f>
        <v/>
      </c>
      <c r="AI292" s="49" t="str">
        <f ca="1">IFERROR(INDEX(V:V,MATCH(SMALL($AU:$AU,ROW()+3),$AU:$AU,0)),"")</f>
        <v/>
      </c>
      <c r="AJ292" s="49" t="str">
        <f ca="1">IFERROR(INDEX(W:W,MATCH(SMALL($AU:$AU,ROW()+3),$AU:$AU,0)),"")</f>
        <v/>
      </c>
      <c r="AK292" s="49" t="str">
        <f ca="1">IFERROR(INDEX(X:X,MATCH(SMALL($AU:$AU,ROW()+3),$AU:$AU,0)),"")</f>
        <v/>
      </c>
      <c r="AL292" s="49" t="str">
        <f ca="1">IFERROR(INDEX(Y:Y,MATCH(SMALL($AU:$AU,ROW()+3),$AU:$AU,0)),"")</f>
        <v/>
      </c>
      <c r="AM292" s="49" t="str">
        <f ca="1">IFERROR(INDEX(Z:Z,MATCH(SMALL($AU:$AU,ROW()+3),$AU:$AU,0)),"")</f>
        <v/>
      </c>
      <c r="AN292" s="49" t="str">
        <f ca="1">IFERROR(INDEX(AA:AA,MATCH(SMALL($AU:$AU,ROW()+3),$AU:$AU,0)),"")</f>
        <v/>
      </c>
      <c r="AO292" s="49" t="str">
        <f ca="1">IFERROR(INDEX(AB:AB,MATCH(SMALL($AU:$AU,ROW()+3),$AU:$AU,0)),"")</f>
        <v/>
      </c>
      <c r="AP292" s="49" t="str">
        <f ca="1">IFERROR(INDEX(AC:AC,MATCH(SMALL($AU:$AU,ROW()+3),$AU:$AU,0)),"")</f>
        <v/>
      </c>
    </row>
    <row r="293" spans="30:42">
      <c r="AD293" s="49" t="str">
        <f ca="1">IFERROR(INDEX(AC:AC,MATCH(SMALL($AU:$AU,ROW()+3),$AU:$AU,0)),"")</f>
        <v/>
      </c>
      <c r="AE293" s="49" t="str">
        <f ca="1">IFERROR(INDEX(R:R,MATCH(SMALL($AU:$AU,ROW()+3),$AU:$AU,0)),"")</f>
        <v/>
      </c>
      <c r="AF293" s="49" t="str">
        <f ca="1">IFERROR(INDEX(S:S,MATCH(SMALL($AU:$AU,ROW()+3),$AU:$AU,0)),"")</f>
        <v/>
      </c>
      <c r="AG293" s="49" t="str">
        <f ca="1">IFERROR(INDEX(T:T,MATCH(SMALL($AU:$AU,ROW()+3),$AU:$AU,0)),"")</f>
        <v/>
      </c>
      <c r="AH293" s="122" t="str">
        <f ca="1">IFERROR(INDEX(U:U,MATCH(SMALL($AU:$AU,ROW()+3),$AU:$AU,0)),"")</f>
        <v/>
      </c>
      <c r="AI293" s="49" t="str">
        <f ca="1">IFERROR(INDEX(V:V,MATCH(SMALL($AU:$AU,ROW()+3),$AU:$AU,0)),"")</f>
        <v/>
      </c>
      <c r="AJ293" s="49" t="str">
        <f ca="1">IFERROR(INDEX(W:W,MATCH(SMALL($AU:$AU,ROW()+3),$AU:$AU,0)),"")</f>
        <v/>
      </c>
      <c r="AK293" s="49" t="str">
        <f ca="1">IFERROR(INDEX(X:X,MATCH(SMALL($AU:$AU,ROW()+3),$AU:$AU,0)),"")</f>
        <v/>
      </c>
      <c r="AL293" s="49" t="str">
        <f ca="1">IFERROR(INDEX(Y:Y,MATCH(SMALL($AU:$AU,ROW()+3),$AU:$AU,0)),"")</f>
        <v/>
      </c>
      <c r="AM293" s="49" t="str">
        <f ca="1">IFERROR(INDEX(Z:Z,MATCH(SMALL($AU:$AU,ROW()+3),$AU:$AU,0)),"")</f>
        <v/>
      </c>
      <c r="AN293" s="49" t="str">
        <f ca="1">IFERROR(INDEX(AA:AA,MATCH(SMALL($AU:$AU,ROW()+3),$AU:$AU,0)),"")</f>
        <v/>
      </c>
      <c r="AO293" s="49" t="str">
        <f ca="1">IFERROR(INDEX(AB:AB,MATCH(SMALL($AU:$AU,ROW()+3),$AU:$AU,0)),"")</f>
        <v/>
      </c>
      <c r="AP293" s="49" t="str">
        <f ca="1">IFERROR(INDEX(AC:AC,MATCH(SMALL($AU:$AU,ROW()+3),$AU:$AU,0)),"")</f>
        <v/>
      </c>
    </row>
    <row r="294" spans="30:42">
      <c r="AD294" s="49" t="str">
        <f ca="1">IFERROR(INDEX(AC:AC,MATCH(SMALL($AU:$AU,ROW()+3),$AU:$AU,0)),"")</f>
        <v/>
      </c>
      <c r="AE294" s="49" t="str">
        <f ca="1">IFERROR(INDEX(R:R,MATCH(SMALL($AU:$AU,ROW()+3),$AU:$AU,0)),"")</f>
        <v/>
      </c>
      <c r="AF294" s="49" t="str">
        <f ca="1">IFERROR(INDEX(S:S,MATCH(SMALL($AU:$AU,ROW()+3),$AU:$AU,0)),"")</f>
        <v/>
      </c>
      <c r="AG294" s="49" t="str">
        <f ca="1">IFERROR(INDEX(T:T,MATCH(SMALL($AU:$AU,ROW()+3),$AU:$AU,0)),"")</f>
        <v/>
      </c>
      <c r="AH294" s="122" t="str">
        <f ca="1">IFERROR(INDEX(U:U,MATCH(SMALL($AU:$AU,ROW()+3),$AU:$AU,0)),"")</f>
        <v/>
      </c>
      <c r="AI294" s="49" t="str">
        <f ca="1">IFERROR(INDEX(V:V,MATCH(SMALL($AU:$AU,ROW()+3),$AU:$AU,0)),"")</f>
        <v/>
      </c>
      <c r="AJ294" s="49" t="str">
        <f ca="1">IFERROR(INDEX(W:W,MATCH(SMALL($AU:$AU,ROW()+3),$AU:$AU,0)),"")</f>
        <v/>
      </c>
      <c r="AK294" s="49" t="str">
        <f ca="1">IFERROR(INDEX(X:X,MATCH(SMALL($AU:$AU,ROW()+3),$AU:$AU,0)),"")</f>
        <v/>
      </c>
      <c r="AL294" s="49" t="str">
        <f ca="1">IFERROR(INDEX(Y:Y,MATCH(SMALL($AU:$AU,ROW()+3),$AU:$AU,0)),"")</f>
        <v/>
      </c>
      <c r="AM294" s="49" t="str">
        <f ca="1">IFERROR(INDEX(Z:Z,MATCH(SMALL($AU:$AU,ROW()+3),$AU:$AU,0)),"")</f>
        <v/>
      </c>
      <c r="AN294" s="49" t="str">
        <f ca="1">IFERROR(INDEX(AA:AA,MATCH(SMALL($AU:$AU,ROW()+3),$AU:$AU,0)),"")</f>
        <v/>
      </c>
      <c r="AO294" s="49" t="str">
        <f ca="1">IFERROR(INDEX(AB:AB,MATCH(SMALL($AU:$AU,ROW()+3),$AU:$AU,0)),"")</f>
        <v/>
      </c>
      <c r="AP294" s="49" t="str">
        <f ca="1">IFERROR(INDEX(AC:AC,MATCH(SMALL($AU:$AU,ROW()+3),$AU:$AU,0)),"")</f>
        <v/>
      </c>
    </row>
    <row r="295" spans="30:42">
      <c r="AD295" s="49" t="str">
        <f ca="1">IFERROR(INDEX(AC:AC,MATCH(SMALL($AU:$AU,ROW()+3),$AU:$AU,0)),"")</f>
        <v/>
      </c>
      <c r="AE295" s="49" t="str">
        <f ca="1">IFERROR(INDEX(R:R,MATCH(SMALL($AU:$AU,ROW()+3),$AU:$AU,0)),"")</f>
        <v/>
      </c>
      <c r="AF295" s="49" t="str">
        <f ca="1">IFERROR(INDEX(S:S,MATCH(SMALL($AU:$AU,ROW()+3),$AU:$AU,0)),"")</f>
        <v/>
      </c>
      <c r="AG295" s="49" t="str">
        <f ca="1">IFERROR(INDEX(T:T,MATCH(SMALL($AU:$AU,ROW()+3),$AU:$AU,0)),"")</f>
        <v/>
      </c>
      <c r="AH295" s="122" t="str">
        <f ca="1">IFERROR(INDEX(U:U,MATCH(SMALL($AU:$AU,ROW()+3),$AU:$AU,0)),"")</f>
        <v/>
      </c>
      <c r="AI295" s="49" t="str">
        <f ca="1">IFERROR(INDEX(V:V,MATCH(SMALL($AU:$AU,ROW()+3),$AU:$AU,0)),"")</f>
        <v/>
      </c>
      <c r="AJ295" s="49" t="str">
        <f ca="1">IFERROR(INDEX(W:W,MATCH(SMALL($AU:$AU,ROW()+3),$AU:$AU,0)),"")</f>
        <v/>
      </c>
      <c r="AK295" s="49" t="str">
        <f ca="1">IFERROR(INDEX(X:X,MATCH(SMALL($AU:$AU,ROW()+3),$AU:$AU,0)),"")</f>
        <v/>
      </c>
      <c r="AL295" s="49" t="str">
        <f ca="1">IFERROR(INDEX(Y:Y,MATCH(SMALL($AU:$AU,ROW()+3),$AU:$AU,0)),"")</f>
        <v/>
      </c>
      <c r="AM295" s="49" t="str">
        <f ca="1">IFERROR(INDEX(Z:Z,MATCH(SMALL($AU:$AU,ROW()+3),$AU:$AU,0)),"")</f>
        <v/>
      </c>
      <c r="AN295" s="49" t="str">
        <f ca="1">IFERROR(INDEX(AA:AA,MATCH(SMALL($AU:$AU,ROW()+3),$AU:$AU,0)),"")</f>
        <v/>
      </c>
      <c r="AO295" s="49" t="str">
        <f ca="1">IFERROR(INDEX(AB:AB,MATCH(SMALL($AU:$AU,ROW()+3),$AU:$AU,0)),"")</f>
        <v/>
      </c>
      <c r="AP295" s="49" t="str">
        <f ca="1">IFERROR(INDEX(AC:AC,MATCH(SMALL($AU:$AU,ROW()+3),$AU:$AU,0)),"")</f>
        <v/>
      </c>
    </row>
    <row r="296" spans="30:42">
      <c r="AD296" s="49" t="str">
        <f ca="1">IFERROR(INDEX(AC:AC,MATCH(SMALL($AU:$AU,ROW()+3),$AU:$AU,0)),"")</f>
        <v/>
      </c>
      <c r="AE296" s="49" t="str">
        <f ca="1">IFERROR(INDEX(R:R,MATCH(SMALL($AU:$AU,ROW()+3),$AU:$AU,0)),"")</f>
        <v/>
      </c>
      <c r="AF296" s="49" t="str">
        <f ca="1">IFERROR(INDEX(S:S,MATCH(SMALL($AU:$AU,ROW()+3),$AU:$AU,0)),"")</f>
        <v/>
      </c>
      <c r="AG296" s="49" t="str">
        <f ca="1">IFERROR(INDEX(T:T,MATCH(SMALL($AU:$AU,ROW()+3),$AU:$AU,0)),"")</f>
        <v/>
      </c>
      <c r="AH296" s="122" t="str">
        <f ca="1">IFERROR(INDEX(U:U,MATCH(SMALL($AU:$AU,ROW()+3),$AU:$AU,0)),"")</f>
        <v/>
      </c>
      <c r="AI296" s="49" t="str">
        <f ca="1">IFERROR(INDEX(V:V,MATCH(SMALL($AU:$AU,ROW()+3),$AU:$AU,0)),"")</f>
        <v/>
      </c>
      <c r="AJ296" s="49" t="str">
        <f ca="1">IFERROR(INDEX(W:W,MATCH(SMALL($AU:$AU,ROW()+3),$AU:$AU,0)),"")</f>
        <v/>
      </c>
      <c r="AK296" s="49" t="str">
        <f ca="1">IFERROR(INDEX(X:X,MATCH(SMALL($AU:$AU,ROW()+3),$AU:$AU,0)),"")</f>
        <v/>
      </c>
      <c r="AL296" s="49" t="str">
        <f ca="1">IFERROR(INDEX(Y:Y,MATCH(SMALL($AU:$AU,ROW()+3),$AU:$AU,0)),"")</f>
        <v/>
      </c>
      <c r="AM296" s="49" t="str">
        <f ca="1">IFERROR(INDEX(Z:Z,MATCH(SMALL($AU:$AU,ROW()+3),$AU:$AU,0)),"")</f>
        <v/>
      </c>
      <c r="AN296" s="49" t="str">
        <f ca="1">IFERROR(INDEX(AA:AA,MATCH(SMALL($AU:$AU,ROW()+3),$AU:$AU,0)),"")</f>
        <v/>
      </c>
      <c r="AO296" s="49" t="str">
        <f ca="1">IFERROR(INDEX(AB:AB,MATCH(SMALL($AU:$AU,ROW()+3),$AU:$AU,0)),"")</f>
        <v/>
      </c>
      <c r="AP296" s="49" t="str">
        <f ca="1">IFERROR(INDEX(AC:AC,MATCH(SMALL($AU:$AU,ROW()+3),$AU:$AU,0)),"")</f>
        <v/>
      </c>
    </row>
    <row r="297" spans="30:42">
      <c r="AD297" s="49" t="str">
        <f ca="1">IFERROR(INDEX(AC:AC,MATCH(SMALL($AU:$AU,ROW()+3),$AU:$AU,0)),"")</f>
        <v/>
      </c>
      <c r="AE297" s="49" t="str">
        <f ca="1">IFERROR(INDEX(R:R,MATCH(SMALL($AU:$AU,ROW()+3),$AU:$AU,0)),"")</f>
        <v/>
      </c>
      <c r="AF297" s="49" t="str">
        <f ca="1">IFERROR(INDEX(S:S,MATCH(SMALL($AU:$AU,ROW()+3),$AU:$AU,0)),"")</f>
        <v/>
      </c>
      <c r="AG297" s="49" t="str">
        <f ca="1">IFERROR(INDEX(T:T,MATCH(SMALL($AU:$AU,ROW()+3),$AU:$AU,0)),"")</f>
        <v/>
      </c>
      <c r="AH297" s="122" t="str">
        <f ca="1">IFERROR(INDEX(U:U,MATCH(SMALL($AU:$AU,ROW()+3),$AU:$AU,0)),"")</f>
        <v/>
      </c>
      <c r="AI297" s="49" t="str">
        <f ca="1">IFERROR(INDEX(V:V,MATCH(SMALL($AU:$AU,ROW()+3),$AU:$AU,0)),"")</f>
        <v/>
      </c>
      <c r="AJ297" s="49" t="str">
        <f ca="1">IFERROR(INDEX(W:W,MATCH(SMALL($AU:$AU,ROW()+3),$AU:$AU,0)),"")</f>
        <v/>
      </c>
      <c r="AK297" s="49" t="str">
        <f ca="1">IFERROR(INDEX(X:X,MATCH(SMALL($AU:$AU,ROW()+3),$AU:$AU,0)),"")</f>
        <v/>
      </c>
      <c r="AL297" s="49" t="str">
        <f ca="1">IFERROR(INDEX(Y:Y,MATCH(SMALL($AU:$AU,ROW()+3),$AU:$AU,0)),"")</f>
        <v/>
      </c>
      <c r="AM297" s="49" t="str">
        <f ca="1">IFERROR(INDEX(Z:Z,MATCH(SMALL($AU:$AU,ROW()+3),$AU:$AU,0)),"")</f>
        <v/>
      </c>
      <c r="AN297" s="49" t="str">
        <f ca="1">IFERROR(INDEX(AA:AA,MATCH(SMALL($AU:$AU,ROW()+3),$AU:$AU,0)),"")</f>
        <v/>
      </c>
      <c r="AO297" s="49" t="str">
        <f ca="1">IFERROR(INDEX(AB:AB,MATCH(SMALL($AU:$AU,ROW()+3),$AU:$AU,0)),"")</f>
        <v/>
      </c>
      <c r="AP297" s="49" t="str">
        <f ca="1">IFERROR(INDEX(AC:AC,MATCH(SMALL($AU:$AU,ROW()+3),$AU:$AU,0)),"")</f>
        <v/>
      </c>
    </row>
    <row r="298" spans="30:42">
      <c r="AD298" s="49" t="str">
        <f ca="1">IFERROR(INDEX(AC:AC,MATCH(SMALL($AU:$AU,ROW()+3),$AU:$AU,0)),"")</f>
        <v/>
      </c>
      <c r="AE298" s="49" t="str">
        <f ca="1">IFERROR(INDEX(R:R,MATCH(SMALL($AU:$AU,ROW()+3),$AU:$AU,0)),"")</f>
        <v/>
      </c>
      <c r="AF298" s="49" t="str">
        <f ca="1">IFERROR(INDEX(S:S,MATCH(SMALL($AU:$AU,ROW()+3),$AU:$AU,0)),"")</f>
        <v/>
      </c>
      <c r="AG298" s="49" t="str">
        <f ca="1">IFERROR(INDEX(T:T,MATCH(SMALL($AU:$AU,ROW()+3),$AU:$AU,0)),"")</f>
        <v/>
      </c>
      <c r="AH298" s="122" t="str">
        <f ca="1">IFERROR(INDEX(U:U,MATCH(SMALL($AU:$AU,ROW()+3),$AU:$AU,0)),"")</f>
        <v/>
      </c>
      <c r="AI298" s="49" t="str">
        <f ca="1">IFERROR(INDEX(V:V,MATCH(SMALL($AU:$AU,ROW()+3),$AU:$AU,0)),"")</f>
        <v/>
      </c>
      <c r="AJ298" s="49" t="str">
        <f ca="1">IFERROR(INDEX(W:W,MATCH(SMALL($AU:$AU,ROW()+3),$AU:$AU,0)),"")</f>
        <v/>
      </c>
      <c r="AK298" s="49" t="str">
        <f ca="1">IFERROR(INDEX(X:X,MATCH(SMALL($AU:$AU,ROW()+3),$AU:$AU,0)),"")</f>
        <v/>
      </c>
      <c r="AL298" s="49" t="str">
        <f ca="1">IFERROR(INDEX(Y:Y,MATCH(SMALL($AU:$AU,ROW()+3),$AU:$AU,0)),"")</f>
        <v/>
      </c>
      <c r="AM298" s="49" t="str">
        <f ca="1">IFERROR(INDEX(Z:Z,MATCH(SMALL($AU:$AU,ROW()+3),$AU:$AU,0)),"")</f>
        <v/>
      </c>
      <c r="AN298" s="49" t="str">
        <f ca="1">IFERROR(INDEX(AA:AA,MATCH(SMALL($AU:$AU,ROW()+3),$AU:$AU,0)),"")</f>
        <v/>
      </c>
      <c r="AO298" s="49" t="str">
        <f ca="1">IFERROR(INDEX(AB:AB,MATCH(SMALL($AU:$AU,ROW()+3),$AU:$AU,0)),"")</f>
        <v/>
      </c>
      <c r="AP298" s="49" t="str">
        <f ca="1">IFERROR(INDEX(AC:AC,MATCH(SMALL($AU:$AU,ROW()+3),$AU:$AU,0)),"")</f>
        <v/>
      </c>
    </row>
    <row r="299" spans="30:42">
      <c r="AD299" s="49" t="str">
        <f ca="1">IFERROR(INDEX(AC:AC,MATCH(SMALL($AU:$AU,ROW()+3),$AU:$AU,0)),"")</f>
        <v/>
      </c>
      <c r="AE299" s="49" t="str">
        <f ca="1">IFERROR(INDEX(R:R,MATCH(SMALL($AU:$AU,ROW()+3),$AU:$AU,0)),"")</f>
        <v/>
      </c>
      <c r="AF299" s="49" t="str">
        <f ca="1">IFERROR(INDEX(S:S,MATCH(SMALL($AU:$AU,ROW()+3),$AU:$AU,0)),"")</f>
        <v/>
      </c>
      <c r="AG299" s="49" t="str">
        <f ca="1">IFERROR(INDEX(T:T,MATCH(SMALL($AU:$AU,ROW()+3),$AU:$AU,0)),"")</f>
        <v/>
      </c>
      <c r="AH299" s="122" t="str">
        <f ca="1">IFERROR(INDEX(U:U,MATCH(SMALL($AU:$AU,ROW()+3),$AU:$AU,0)),"")</f>
        <v/>
      </c>
      <c r="AI299" s="49" t="str">
        <f ca="1">IFERROR(INDEX(V:V,MATCH(SMALL($AU:$AU,ROW()+3),$AU:$AU,0)),"")</f>
        <v/>
      </c>
      <c r="AJ299" s="49" t="str">
        <f ca="1">IFERROR(INDEX(W:W,MATCH(SMALL($AU:$AU,ROW()+3),$AU:$AU,0)),"")</f>
        <v/>
      </c>
      <c r="AK299" s="49" t="str">
        <f ca="1">IFERROR(INDEX(X:X,MATCH(SMALL($AU:$AU,ROW()+3),$AU:$AU,0)),"")</f>
        <v/>
      </c>
      <c r="AL299" s="49" t="str">
        <f ca="1">IFERROR(INDEX(Y:Y,MATCH(SMALL($AU:$AU,ROW()+3),$AU:$AU,0)),"")</f>
        <v/>
      </c>
      <c r="AM299" s="49" t="str">
        <f ca="1">IFERROR(INDEX(Z:Z,MATCH(SMALL($AU:$AU,ROW()+3),$AU:$AU,0)),"")</f>
        <v/>
      </c>
      <c r="AN299" s="49" t="str">
        <f ca="1">IFERROR(INDEX(AA:AA,MATCH(SMALL($AU:$AU,ROW()+3),$AU:$AU,0)),"")</f>
        <v/>
      </c>
      <c r="AO299" s="49" t="str">
        <f ca="1">IFERROR(INDEX(AB:AB,MATCH(SMALL($AU:$AU,ROW()+3),$AU:$AU,0)),"")</f>
        <v/>
      </c>
      <c r="AP299" s="49" t="str">
        <f ca="1">IFERROR(INDEX(AC:AC,MATCH(SMALL($AU:$AU,ROW()+3),$AU:$AU,0)),"")</f>
        <v/>
      </c>
    </row>
    <row r="300" spans="30:42">
      <c r="AD300" s="49" t="str">
        <f ca="1">IFERROR(INDEX(AC:AC,MATCH(SMALL($AU:$AU,ROW()+3),$AU:$AU,0)),"")</f>
        <v/>
      </c>
      <c r="AE300" s="49" t="str">
        <f ca="1">IFERROR(INDEX(R:R,MATCH(SMALL($AU:$AU,ROW()+3),$AU:$AU,0)),"")</f>
        <v/>
      </c>
      <c r="AF300" s="49" t="str">
        <f ca="1">IFERROR(INDEX(S:S,MATCH(SMALL($AU:$AU,ROW()+3),$AU:$AU,0)),"")</f>
        <v/>
      </c>
      <c r="AG300" s="49" t="str">
        <f ca="1">IFERROR(INDEX(T:T,MATCH(SMALL($AU:$AU,ROW()+3),$AU:$AU,0)),"")</f>
        <v/>
      </c>
      <c r="AH300" s="122" t="str">
        <f ca="1">IFERROR(INDEX(U:U,MATCH(SMALL($AU:$AU,ROW()+3),$AU:$AU,0)),"")</f>
        <v/>
      </c>
      <c r="AI300" s="49" t="str">
        <f ca="1">IFERROR(INDEX(V:V,MATCH(SMALL($AU:$AU,ROW()+3),$AU:$AU,0)),"")</f>
        <v/>
      </c>
      <c r="AJ300" s="49" t="str">
        <f ca="1">IFERROR(INDEX(W:W,MATCH(SMALL($AU:$AU,ROW()+3),$AU:$AU,0)),"")</f>
        <v/>
      </c>
      <c r="AK300" s="49" t="str">
        <f ca="1">IFERROR(INDEX(X:X,MATCH(SMALL($AU:$AU,ROW()+3),$AU:$AU,0)),"")</f>
        <v/>
      </c>
      <c r="AL300" s="49" t="str">
        <f ca="1">IFERROR(INDEX(Y:Y,MATCH(SMALL($AU:$AU,ROW()+3),$AU:$AU,0)),"")</f>
        <v/>
      </c>
      <c r="AM300" s="49" t="str">
        <f ca="1">IFERROR(INDEX(Z:Z,MATCH(SMALL($AU:$AU,ROW()+3),$AU:$AU,0)),"")</f>
        <v/>
      </c>
      <c r="AN300" s="49" t="str">
        <f ca="1">IFERROR(INDEX(AA:AA,MATCH(SMALL($AU:$AU,ROW()+3),$AU:$AU,0)),"")</f>
        <v/>
      </c>
      <c r="AO300" s="49" t="str">
        <f ca="1">IFERROR(INDEX(AB:AB,MATCH(SMALL($AU:$AU,ROW()+3),$AU:$AU,0)),"")</f>
        <v/>
      </c>
      <c r="AP300" s="49" t="str">
        <f ca="1">IFERROR(INDEX(AC:AC,MATCH(SMALL($AU:$AU,ROW()+3),$AU:$AU,0)),"")</f>
        <v/>
      </c>
    </row>
    <row r="301" spans="30:42">
      <c r="AD301" s="49" t="str">
        <f ca="1">IFERROR(INDEX(AC:AC,MATCH(SMALL($AU:$AU,ROW()+3),$AU:$AU,0)),"")</f>
        <v/>
      </c>
      <c r="AE301" s="49" t="str">
        <f ca="1">IFERROR(INDEX(R:R,MATCH(SMALL($AU:$AU,ROW()+3),$AU:$AU,0)),"")</f>
        <v/>
      </c>
      <c r="AF301" s="49" t="str">
        <f ca="1">IFERROR(INDEX(S:S,MATCH(SMALL($AU:$AU,ROW()+3),$AU:$AU,0)),"")</f>
        <v/>
      </c>
      <c r="AG301" s="49" t="str">
        <f ca="1">IFERROR(INDEX(T:T,MATCH(SMALL($AU:$AU,ROW()+3),$AU:$AU,0)),"")</f>
        <v/>
      </c>
      <c r="AH301" s="122" t="str">
        <f ca="1">IFERROR(INDEX(U:U,MATCH(SMALL($AU:$AU,ROW()+3),$AU:$AU,0)),"")</f>
        <v/>
      </c>
      <c r="AI301" s="49" t="str">
        <f ca="1">IFERROR(INDEX(V:V,MATCH(SMALL($AU:$AU,ROW()+3),$AU:$AU,0)),"")</f>
        <v/>
      </c>
      <c r="AJ301" s="49" t="str">
        <f ca="1">IFERROR(INDEX(W:W,MATCH(SMALL($AU:$AU,ROW()+3),$AU:$AU,0)),"")</f>
        <v/>
      </c>
      <c r="AK301" s="49" t="str">
        <f ca="1">IFERROR(INDEX(X:X,MATCH(SMALL($AU:$AU,ROW()+3),$AU:$AU,0)),"")</f>
        <v/>
      </c>
      <c r="AL301" s="49" t="str">
        <f ca="1">IFERROR(INDEX(Y:Y,MATCH(SMALL($AU:$AU,ROW()+3),$AU:$AU,0)),"")</f>
        <v/>
      </c>
      <c r="AM301" s="49" t="str">
        <f ca="1">IFERROR(INDEX(Z:Z,MATCH(SMALL($AU:$AU,ROW()+3),$AU:$AU,0)),"")</f>
        <v/>
      </c>
      <c r="AN301" s="49" t="str">
        <f ca="1">IFERROR(INDEX(AA:AA,MATCH(SMALL($AU:$AU,ROW()+3),$AU:$AU,0)),"")</f>
        <v/>
      </c>
      <c r="AO301" s="49" t="str">
        <f ca="1">IFERROR(INDEX(AB:AB,MATCH(SMALL($AU:$AU,ROW()+3),$AU:$AU,0)),"")</f>
        <v/>
      </c>
      <c r="AP301" s="49" t="str">
        <f ca="1">IFERROR(INDEX(AC:AC,MATCH(SMALL($AU:$AU,ROW()+3),$AU:$AU,0)),"")</f>
        <v/>
      </c>
    </row>
    <row r="302" spans="30:42">
      <c r="AD302" s="49" t="str">
        <f ca="1">IFERROR(INDEX(AC:AC,MATCH(SMALL($AU:$AU,ROW()+3),$AU:$AU,0)),"")</f>
        <v/>
      </c>
      <c r="AE302" s="49" t="str">
        <f ca="1">IFERROR(INDEX(R:R,MATCH(SMALL($AU:$AU,ROW()+3),$AU:$AU,0)),"")</f>
        <v/>
      </c>
      <c r="AF302" s="49" t="str">
        <f ca="1">IFERROR(INDEX(S:S,MATCH(SMALL($AU:$AU,ROW()+3),$AU:$AU,0)),"")</f>
        <v/>
      </c>
      <c r="AG302" s="49" t="str">
        <f ca="1">IFERROR(INDEX(T:T,MATCH(SMALL($AU:$AU,ROW()+3),$AU:$AU,0)),"")</f>
        <v/>
      </c>
      <c r="AH302" s="122" t="str">
        <f ca="1">IFERROR(INDEX(U:U,MATCH(SMALL($AU:$AU,ROW()+3),$AU:$AU,0)),"")</f>
        <v/>
      </c>
      <c r="AI302" s="49" t="str">
        <f ca="1">IFERROR(INDEX(V:V,MATCH(SMALL($AU:$AU,ROW()+3),$AU:$AU,0)),"")</f>
        <v/>
      </c>
      <c r="AJ302" s="49" t="str">
        <f ca="1">IFERROR(INDEX(W:W,MATCH(SMALL($AU:$AU,ROW()+3),$AU:$AU,0)),"")</f>
        <v/>
      </c>
      <c r="AK302" s="49" t="str">
        <f ca="1">IFERROR(INDEX(X:X,MATCH(SMALL($AU:$AU,ROW()+3),$AU:$AU,0)),"")</f>
        <v/>
      </c>
      <c r="AL302" s="49" t="str">
        <f ca="1">IFERROR(INDEX(Y:Y,MATCH(SMALL($AU:$AU,ROW()+3),$AU:$AU,0)),"")</f>
        <v/>
      </c>
      <c r="AM302" s="49" t="str">
        <f ca="1">IFERROR(INDEX(Z:Z,MATCH(SMALL($AU:$AU,ROW()+3),$AU:$AU,0)),"")</f>
        <v/>
      </c>
      <c r="AN302" s="49" t="str">
        <f ca="1">IFERROR(INDEX(AA:AA,MATCH(SMALL($AU:$AU,ROW()+3),$AU:$AU,0)),"")</f>
        <v/>
      </c>
      <c r="AO302" s="49" t="str">
        <f ca="1">IFERROR(INDEX(AB:AB,MATCH(SMALL($AU:$AU,ROW()+3),$AU:$AU,0)),"")</f>
        <v/>
      </c>
      <c r="AP302" s="49" t="str">
        <f ca="1">IFERROR(INDEX(AC:AC,MATCH(SMALL($AU:$AU,ROW()+3),$AU:$AU,0)),"")</f>
        <v/>
      </c>
    </row>
    <row r="303" spans="30:42">
      <c r="AD303" s="49" t="str">
        <f ca="1">IFERROR(INDEX(AC:AC,MATCH(SMALL($AU:$AU,ROW()+3),$AU:$AU,0)),"")</f>
        <v/>
      </c>
      <c r="AE303" s="49" t="str">
        <f ca="1">IFERROR(INDEX(R:R,MATCH(SMALL($AU:$AU,ROW()+3),$AU:$AU,0)),"")</f>
        <v/>
      </c>
      <c r="AF303" s="49" t="str">
        <f ca="1">IFERROR(INDEX(S:S,MATCH(SMALL($AU:$AU,ROW()+3),$AU:$AU,0)),"")</f>
        <v/>
      </c>
      <c r="AG303" s="49" t="str">
        <f ca="1">IFERROR(INDEX(T:T,MATCH(SMALL($AU:$AU,ROW()+3),$AU:$AU,0)),"")</f>
        <v/>
      </c>
      <c r="AH303" s="122" t="str">
        <f ca="1">IFERROR(INDEX(U:U,MATCH(SMALL($AU:$AU,ROW()+3),$AU:$AU,0)),"")</f>
        <v/>
      </c>
      <c r="AI303" s="49" t="str">
        <f ca="1">IFERROR(INDEX(V:V,MATCH(SMALL($AU:$AU,ROW()+3),$AU:$AU,0)),"")</f>
        <v/>
      </c>
      <c r="AJ303" s="49" t="str">
        <f ca="1">IFERROR(INDEX(W:W,MATCH(SMALL($AU:$AU,ROW()+3),$AU:$AU,0)),"")</f>
        <v/>
      </c>
      <c r="AK303" s="49" t="str">
        <f ca="1">IFERROR(INDEX(X:X,MATCH(SMALL($AU:$AU,ROW()+3),$AU:$AU,0)),"")</f>
        <v/>
      </c>
      <c r="AL303" s="49" t="str">
        <f ca="1">IFERROR(INDEX(Y:Y,MATCH(SMALL($AU:$AU,ROW()+3),$AU:$AU,0)),"")</f>
        <v/>
      </c>
      <c r="AM303" s="49" t="str">
        <f ca="1">IFERROR(INDEX(Z:Z,MATCH(SMALL($AU:$AU,ROW()+3),$AU:$AU,0)),"")</f>
        <v/>
      </c>
      <c r="AN303" s="49" t="str">
        <f ca="1">IFERROR(INDEX(AA:AA,MATCH(SMALL($AU:$AU,ROW()+3),$AU:$AU,0)),"")</f>
        <v/>
      </c>
      <c r="AO303" s="49" t="str">
        <f ca="1">IFERROR(INDEX(AB:AB,MATCH(SMALL($AU:$AU,ROW()+3),$AU:$AU,0)),"")</f>
        <v/>
      </c>
      <c r="AP303" s="49" t="str">
        <f ca="1">IFERROR(INDEX(AC:AC,MATCH(SMALL($AU:$AU,ROW()+3),$AU:$AU,0)),"")</f>
        <v/>
      </c>
    </row>
    <row r="304" spans="30:42">
      <c r="AD304" s="49" t="str">
        <f ca="1">IFERROR(INDEX(AC:AC,MATCH(SMALL($AU:$AU,ROW()+3),$AU:$AU,0)),"")</f>
        <v/>
      </c>
      <c r="AE304" s="49" t="str">
        <f ca="1">IFERROR(INDEX(R:R,MATCH(SMALL($AU:$AU,ROW()+3),$AU:$AU,0)),"")</f>
        <v/>
      </c>
      <c r="AF304" s="49" t="str">
        <f ca="1">IFERROR(INDEX(S:S,MATCH(SMALL($AU:$AU,ROW()+3),$AU:$AU,0)),"")</f>
        <v/>
      </c>
      <c r="AG304" s="49" t="str">
        <f ca="1">IFERROR(INDEX(T:T,MATCH(SMALL($AU:$AU,ROW()+3),$AU:$AU,0)),"")</f>
        <v/>
      </c>
      <c r="AH304" s="122" t="str">
        <f ca="1">IFERROR(INDEX(U:U,MATCH(SMALL($AU:$AU,ROW()+3),$AU:$AU,0)),"")</f>
        <v/>
      </c>
      <c r="AI304" s="49" t="str">
        <f ca="1">IFERROR(INDEX(V:V,MATCH(SMALL($AU:$AU,ROW()+3),$AU:$AU,0)),"")</f>
        <v/>
      </c>
      <c r="AJ304" s="49" t="str">
        <f ca="1">IFERROR(INDEX(W:W,MATCH(SMALL($AU:$AU,ROW()+3),$AU:$AU,0)),"")</f>
        <v/>
      </c>
      <c r="AK304" s="49" t="str">
        <f ca="1">IFERROR(INDEX(X:X,MATCH(SMALL($AU:$AU,ROW()+3),$AU:$AU,0)),"")</f>
        <v/>
      </c>
      <c r="AL304" s="49" t="str">
        <f ca="1">IFERROR(INDEX(Y:Y,MATCH(SMALL($AU:$AU,ROW()+3),$AU:$AU,0)),"")</f>
        <v/>
      </c>
      <c r="AM304" s="49" t="str">
        <f ca="1">IFERROR(INDEX(Z:Z,MATCH(SMALL($AU:$AU,ROW()+3),$AU:$AU,0)),"")</f>
        <v/>
      </c>
      <c r="AN304" s="49" t="str">
        <f ca="1">IFERROR(INDEX(AA:AA,MATCH(SMALL($AU:$AU,ROW()+3),$AU:$AU,0)),"")</f>
        <v/>
      </c>
      <c r="AO304" s="49" t="str">
        <f ca="1">IFERROR(INDEX(AB:AB,MATCH(SMALL($AU:$AU,ROW()+3),$AU:$AU,0)),"")</f>
        <v/>
      </c>
      <c r="AP304" s="49" t="str">
        <f ca="1">IFERROR(INDEX(AC:AC,MATCH(SMALL($AU:$AU,ROW()+3),$AU:$AU,0)),"")</f>
        <v/>
      </c>
    </row>
    <row r="305" spans="30:42">
      <c r="AD305" s="49" t="str">
        <f ca="1">IFERROR(INDEX(AC:AC,MATCH(SMALL($AU:$AU,ROW()+3),$AU:$AU,0)),"")</f>
        <v/>
      </c>
      <c r="AE305" s="49" t="str">
        <f ca="1">IFERROR(INDEX(R:R,MATCH(SMALL($AU:$AU,ROW()+3),$AU:$AU,0)),"")</f>
        <v/>
      </c>
      <c r="AF305" s="49" t="str">
        <f ca="1">IFERROR(INDEX(S:S,MATCH(SMALL($AU:$AU,ROW()+3),$AU:$AU,0)),"")</f>
        <v/>
      </c>
      <c r="AG305" s="49" t="str">
        <f ca="1">IFERROR(INDEX(T:T,MATCH(SMALL($AU:$AU,ROW()+3),$AU:$AU,0)),"")</f>
        <v/>
      </c>
      <c r="AH305" s="122" t="str">
        <f ca="1">IFERROR(INDEX(U:U,MATCH(SMALL($AU:$AU,ROW()+3),$AU:$AU,0)),"")</f>
        <v/>
      </c>
      <c r="AI305" s="49" t="str">
        <f ca="1">IFERROR(INDEX(V:V,MATCH(SMALL($AU:$AU,ROW()+3),$AU:$AU,0)),"")</f>
        <v/>
      </c>
      <c r="AJ305" s="49" t="str">
        <f ca="1">IFERROR(INDEX(W:W,MATCH(SMALL($AU:$AU,ROW()+3),$AU:$AU,0)),"")</f>
        <v/>
      </c>
      <c r="AK305" s="49" t="str">
        <f ca="1">IFERROR(INDEX(X:X,MATCH(SMALL($AU:$AU,ROW()+3),$AU:$AU,0)),"")</f>
        <v/>
      </c>
      <c r="AL305" s="49" t="str">
        <f ca="1">IFERROR(INDEX(Y:Y,MATCH(SMALL($AU:$AU,ROW()+3),$AU:$AU,0)),"")</f>
        <v/>
      </c>
      <c r="AM305" s="49" t="str">
        <f ca="1">IFERROR(INDEX(Z:Z,MATCH(SMALL($AU:$AU,ROW()+3),$AU:$AU,0)),"")</f>
        <v/>
      </c>
      <c r="AN305" s="49" t="str">
        <f ca="1">IFERROR(INDEX(AA:AA,MATCH(SMALL($AU:$AU,ROW()+3),$AU:$AU,0)),"")</f>
        <v/>
      </c>
      <c r="AO305" s="49" t="str">
        <f ca="1">IFERROR(INDEX(AB:AB,MATCH(SMALL($AU:$AU,ROW()+3),$AU:$AU,0)),"")</f>
        <v/>
      </c>
      <c r="AP305" s="49" t="str">
        <f ca="1">IFERROR(INDEX(AC:AC,MATCH(SMALL($AU:$AU,ROW()+3),$AU:$AU,0)),"")</f>
        <v/>
      </c>
    </row>
    <row r="306" spans="30:42">
      <c r="AD306" s="49" t="str">
        <f ca="1">IFERROR(INDEX(AC:AC,MATCH(SMALL($AU:$AU,ROW()+3),$AU:$AU,0)),"")</f>
        <v/>
      </c>
      <c r="AE306" s="49" t="str">
        <f ca="1">IFERROR(INDEX(R:R,MATCH(SMALL($AU:$AU,ROW()+3),$AU:$AU,0)),"")</f>
        <v/>
      </c>
      <c r="AF306" s="49" t="str">
        <f ca="1">IFERROR(INDEX(S:S,MATCH(SMALL($AU:$AU,ROW()+3),$AU:$AU,0)),"")</f>
        <v/>
      </c>
      <c r="AG306" s="49" t="str">
        <f ca="1">IFERROR(INDEX(T:T,MATCH(SMALL($AU:$AU,ROW()+3),$AU:$AU,0)),"")</f>
        <v/>
      </c>
      <c r="AH306" s="122" t="str">
        <f ca="1">IFERROR(INDEX(U:U,MATCH(SMALL($AU:$AU,ROW()+3),$AU:$AU,0)),"")</f>
        <v/>
      </c>
      <c r="AI306" s="49" t="str">
        <f ca="1">IFERROR(INDEX(V:V,MATCH(SMALL($AU:$AU,ROW()+3),$AU:$AU,0)),"")</f>
        <v/>
      </c>
      <c r="AJ306" s="49" t="str">
        <f ca="1">IFERROR(INDEX(W:W,MATCH(SMALL($AU:$AU,ROW()+3),$AU:$AU,0)),"")</f>
        <v/>
      </c>
      <c r="AK306" s="49" t="str">
        <f ca="1">IFERROR(INDEX(X:X,MATCH(SMALL($AU:$AU,ROW()+3),$AU:$AU,0)),"")</f>
        <v/>
      </c>
      <c r="AL306" s="49" t="str">
        <f ca="1">IFERROR(INDEX(Y:Y,MATCH(SMALL($AU:$AU,ROW()+3),$AU:$AU,0)),"")</f>
        <v/>
      </c>
      <c r="AM306" s="49" t="str">
        <f ca="1">IFERROR(INDEX(Z:Z,MATCH(SMALL($AU:$AU,ROW()+3),$AU:$AU,0)),"")</f>
        <v/>
      </c>
      <c r="AN306" s="49" t="str">
        <f ca="1">IFERROR(INDEX(AA:AA,MATCH(SMALL($AU:$AU,ROW()+3),$AU:$AU,0)),"")</f>
        <v/>
      </c>
      <c r="AO306" s="49" t="str">
        <f ca="1">IFERROR(INDEX(AB:AB,MATCH(SMALL($AU:$AU,ROW()+3),$AU:$AU,0)),"")</f>
        <v/>
      </c>
      <c r="AP306" s="49" t="str">
        <f ca="1">IFERROR(INDEX(AC:AC,MATCH(SMALL($AU:$AU,ROW()+3),$AU:$AU,0)),"")</f>
        <v/>
      </c>
    </row>
    <row r="307" spans="30:42">
      <c r="AD307" s="49" t="str">
        <f ca="1">IFERROR(INDEX(AC:AC,MATCH(SMALL($AU:$AU,ROW()+3),$AU:$AU,0)),"")</f>
        <v/>
      </c>
      <c r="AE307" s="49" t="str">
        <f ca="1">IFERROR(INDEX(R:R,MATCH(SMALL($AU:$AU,ROW()+3),$AU:$AU,0)),"")</f>
        <v/>
      </c>
      <c r="AF307" s="49" t="str">
        <f ca="1">IFERROR(INDEX(S:S,MATCH(SMALL($AU:$AU,ROW()+3),$AU:$AU,0)),"")</f>
        <v/>
      </c>
      <c r="AG307" s="49" t="str">
        <f ca="1">IFERROR(INDEX(T:T,MATCH(SMALL($AU:$AU,ROW()+3),$AU:$AU,0)),"")</f>
        <v/>
      </c>
      <c r="AH307" s="122" t="str">
        <f ca="1">IFERROR(INDEX(U:U,MATCH(SMALL($AU:$AU,ROW()+3),$AU:$AU,0)),"")</f>
        <v/>
      </c>
      <c r="AI307" s="49" t="str">
        <f ca="1">IFERROR(INDEX(V:V,MATCH(SMALL($AU:$AU,ROW()+3),$AU:$AU,0)),"")</f>
        <v/>
      </c>
      <c r="AJ307" s="49" t="str">
        <f ca="1">IFERROR(INDEX(W:W,MATCH(SMALL($AU:$AU,ROW()+3),$AU:$AU,0)),"")</f>
        <v/>
      </c>
      <c r="AK307" s="49" t="str">
        <f ca="1">IFERROR(INDEX(X:X,MATCH(SMALL($AU:$AU,ROW()+3),$AU:$AU,0)),"")</f>
        <v/>
      </c>
      <c r="AL307" s="49" t="str">
        <f ca="1">IFERROR(INDEX(Y:Y,MATCH(SMALL($AU:$AU,ROW()+3),$AU:$AU,0)),"")</f>
        <v/>
      </c>
      <c r="AM307" s="49" t="str">
        <f ca="1">IFERROR(INDEX(Z:Z,MATCH(SMALL($AU:$AU,ROW()+3),$AU:$AU,0)),"")</f>
        <v/>
      </c>
      <c r="AN307" s="49" t="str">
        <f ca="1">IFERROR(INDEX(AA:AA,MATCH(SMALL($AU:$AU,ROW()+3),$AU:$AU,0)),"")</f>
        <v/>
      </c>
      <c r="AO307" s="49" t="str">
        <f ca="1">IFERROR(INDEX(AB:AB,MATCH(SMALL($AU:$AU,ROW()+3),$AU:$AU,0)),"")</f>
        <v/>
      </c>
      <c r="AP307" s="49" t="str">
        <f ca="1">IFERROR(INDEX(AC:AC,MATCH(SMALL($AU:$AU,ROW()+3),$AU:$AU,0)),"")</f>
        <v/>
      </c>
    </row>
    <row r="308" spans="30:42">
      <c r="AD308" s="49" t="str">
        <f ca="1">IFERROR(INDEX(AC:AC,MATCH(SMALL($AU:$AU,ROW()+3),$AU:$AU,0)),"")</f>
        <v/>
      </c>
      <c r="AE308" s="49" t="str">
        <f ca="1">IFERROR(INDEX(R:R,MATCH(SMALL($AU:$AU,ROW()+3),$AU:$AU,0)),"")</f>
        <v/>
      </c>
      <c r="AF308" s="49" t="str">
        <f ca="1">IFERROR(INDEX(S:S,MATCH(SMALL($AU:$AU,ROW()+3),$AU:$AU,0)),"")</f>
        <v/>
      </c>
      <c r="AG308" s="49" t="str">
        <f ca="1">IFERROR(INDEX(T:T,MATCH(SMALL($AU:$AU,ROW()+3),$AU:$AU,0)),"")</f>
        <v/>
      </c>
      <c r="AH308" s="122" t="str">
        <f ca="1">IFERROR(INDEX(U:U,MATCH(SMALL($AU:$AU,ROW()+3),$AU:$AU,0)),"")</f>
        <v/>
      </c>
      <c r="AI308" s="49" t="str">
        <f ca="1">IFERROR(INDEX(V:V,MATCH(SMALL($AU:$AU,ROW()+3),$AU:$AU,0)),"")</f>
        <v/>
      </c>
      <c r="AJ308" s="49" t="str">
        <f ca="1">IFERROR(INDEX(W:W,MATCH(SMALL($AU:$AU,ROW()+3),$AU:$AU,0)),"")</f>
        <v/>
      </c>
      <c r="AK308" s="49" t="str">
        <f ca="1">IFERROR(INDEX(X:X,MATCH(SMALL($AU:$AU,ROW()+3),$AU:$AU,0)),"")</f>
        <v/>
      </c>
      <c r="AL308" s="49" t="str">
        <f ca="1">IFERROR(INDEX(Y:Y,MATCH(SMALL($AU:$AU,ROW()+3),$AU:$AU,0)),"")</f>
        <v/>
      </c>
      <c r="AM308" s="49" t="str">
        <f ca="1">IFERROR(INDEX(Z:Z,MATCH(SMALL($AU:$AU,ROW()+3),$AU:$AU,0)),"")</f>
        <v/>
      </c>
      <c r="AN308" s="49" t="str">
        <f ca="1">IFERROR(INDEX(AA:AA,MATCH(SMALL($AU:$AU,ROW()+3),$AU:$AU,0)),"")</f>
        <v/>
      </c>
      <c r="AO308" s="49" t="str">
        <f ca="1">IFERROR(INDEX(AB:AB,MATCH(SMALL($AU:$AU,ROW()+3),$AU:$AU,0)),"")</f>
        <v/>
      </c>
      <c r="AP308" s="49" t="str">
        <f ca="1">IFERROR(INDEX(AC:AC,MATCH(SMALL($AU:$AU,ROW()+3),$AU:$AU,0)),"")</f>
        <v/>
      </c>
    </row>
    <row r="309" spans="30:42">
      <c r="AD309" s="49" t="str">
        <f ca="1">IFERROR(INDEX(AC:AC,MATCH(SMALL($AU:$AU,ROW()+3),$AU:$AU,0)),"")</f>
        <v/>
      </c>
      <c r="AE309" s="49" t="str">
        <f ca="1">IFERROR(INDEX(R:R,MATCH(SMALL($AU:$AU,ROW()+3),$AU:$AU,0)),"")</f>
        <v/>
      </c>
      <c r="AF309" s="49" t="str">
        <f ca="1">IFERROR(INDEX(S:S,MATCH(SMALL($AU:$AU,ROW()+3),$AU:$AU,0)),"")</f>
        <v/>
      </c>
      <c r="AG309" s="49" t="str">
        <f ca="1">IFERROR(INDEX(T:T,MATCH(SMALL($AU:$AU,ROW()+3),$AU:$AU,0)),"")</f>
        <v/>
      </c>
      <c r="AH309" s="122" t="str">
        <f ca="1">IFERROR(INDEX(U:U,MATCH(SMALL($AU:$AU,ROW()+3),$AU:$AU,0)),"")</f>
        <v/>
      </c>
      <c r="AI309" s="49" t="str">
        <f ca="1">IFERROR(INDEX(V:V,MATCH(SMALL($AU:$AU,ROW()+3),$AU:$AU,0)),"")</f>
        <v/>
      </c>
      <c r="AJ309" s="49" t="str">
        <f ca="1">IFERROR(INDEX(W:W,MATCH(SMALL($AU:$AU,ROW()+3),$AU:$AU,0)),"")</f>
        <v/>
      </c>
      <c r="AK309" s="49" t="str">
        <f ca="1">IFERROR(INDEX(X:X,MATCH(SMALL($AU:$AU,ROW()+3),$AU:$AU,0)),"")</f>
        <v/>
      </c>
      <c r="AL309" s="49" t="str">
        <f ca="1">IFERROR(INDEX(Y:Y,MATCH(SMALL($AU:$AU,ROW()+3),$AU:$AU,0)),"")</f>
        <v/>
      </c>
      <c r="AM309" s="49" t="str">
        <f ca="1">IFERROR(INDEX(Z:Z,MATCH(SMALL($AU:$AU,ROW()+3),$AU:$AU,0)),"")</f>
        <v/>
      </c>
      <c r="AN309" s="49" t="str">
        <f ca="1">IFERROR(INDEX(AA:AA,MATCH(SMALL($AU:$AU,ROW()+3),$AU:$AU,0)),"")</f>
        <v/>
      </c>
      <c r="AO309" s="49" t="str">
        <f ca="1">IFERROR(INDEX(AB:AB,MATCH(SMALL($AU:$AU,ROW()+3),$AU:$AU,0)),"")</f>
        <v/>
      </c>
      <c r="AP309" s="49" t="str">
        <f ca="1">IFERROR(INDEX(AC:AC,MATCH(SMALL($AU:$AU,ROW()+3),$AU:$AU,0)),"")</f>
        <v/>
      </c>
    </row>
    <row r="310" spans="30:42">
      <c r="AD310" s="49" t="str">
        <f ca="1">IFERROR(INDEX(AC:AC,MATCH(SMALL($AU:$AU,ROW()+3),$AU:$AU,0)),"")</f>
        <v/>
      </c>
      <c r="AE310" s="49" t="str">
        <f ca="1">IFERROR(INDEX(R:R,MATCH(SMALL($AU:$AU,ROW()+3),$AU:$AU,0)),"")</f>
        <v/>
      </c>
      <c r="AF310" s="49" t="str">
        <f ca="1">IFERROR(INDEX(S:S,MATCH(SMALL($AU:$AU,ROW()+3),$AU:$AU,0)),"")</f>
        <v/>
      </c>
      <c r="AG310" s="49" t="str">
        <f ca="1">IFERROR(INDEX(T:T,MATCH(SMALL($AU:$AU,ROW()+3),$AU:$AU,0)),"")</f>
        <v/>
      </c>
      <c r="AH310" s="122" t="str">
        <f ca="1">IFERROR(INDEX(U:U,MATCH(SMALL($AU:$AU,ROW()+3),$AU:$AU,0)),"")</f>
        <v/>
      </c>
      <c r="AI310" s="49" t="str">
        <f ca="1">IFERROR(INDEX(V:V,MATCH(SMALL($AU:$AU,ROW()+3),$AU:$AU,0)),"")</f>
        <v/>
      </c>
      <c r="AJ310" s="49" t="str">
        <f ca="1">IFERROR(INDEX(W:W,MATCH(SMALL($AU:$AU,ROW()+3),$AU:$AU,0)),"")</f>
        <v/>
      </c>
      <c r="AK310" s="49" t="str">
        <f ca="1">IFERROR(INDEX(X:X,MATCH(SMALL($AU:$AU,ROW()+3),$AU:$AU,0)),"")</f>
        <v/>
      </c>
      <c r="AL310" s="49" t="str">
        <f ca="1">IFERROR(INDEX(Y:Y,MATCH(SMALL($AU:$AU,ROW()+3),$AU:$AU,0)),"")</f>
        <v/>
      </c>
      <c r="AM310" s="49" t="str">
        <f ca="1">IFERROR(INDEX(Z:Z,MATCH(SMALL($AU:$AU,ROW()+3),$AU:$AU,0)),"")</f>
        <v/>
      </c>
      <c r="AN310" s="49" t="str">
        <f ca="1">IFERROR(INDEX(AA:AA,MATCH(SMALL($AU:$AU,ROW()+3),$AU:$AU,0)),"")</f>
        <v/>
      </c>
      <c r="AO310" s="49" t="str">
        <f ca="1">IFERROR(INDEX(AB:AB,MATCH(SMALL($AU:$AU,ROW()+3),$AU:$AU,0)),"")</f>
        <v/>
      </c>
      <c r="AP310" s="49" t="str">
        <f ca="1">IFERROR(INDEX(AC:AC,MATCH(SMALL($AU:$AU,ROW()+3),$AU:$AU,0)),"")</f>
        <v/>
      </c>
    </row>
    <row r="311" spans="30:42">
      <c r="AD311" s="49" t="str">
        <f ca="1">IFERROR(INDEX(AC:AC,MATCH(SMALL($AU:$AU,ROW()+3),$AU:$AU,0)),"")</f>
        <v/>
      </c>
      <c r="AE311" s="49" t="str">
        <f ca="1">IFERROR(INDEX(R:R,MATCH(SMALL($AU:$AU,ROW()+3),$AU:$AU,0)),"")</f>
        <v/>
      </c>
      <c r="AF311" s="49" t="str">
        <f ca="1">IFERROR(INDEX(S:S,MATCH(SMALL($AU:$AU,ROW()+3),$AU:$AU,0)),"")</f>
        <v/>
      </c>
      <c r="AG311" s="49" t="str">
        <f ca="1">IFERROR(INDEX(T:T,MATCH(SMALL($AU:$AU,ROW()+3),$AU:$AU,0)),"")</f>
        <v/>
      </c>
      <c r="AH311" s="122" t="str">
        <f ca="1">IFERROR(INDEX(U:U,MATCH(SMALL($AU:$AU,ROW()+3),$AU:$AU,0)),"")</f>
        <v/>
      </c>
      <c r="AI311" s="49" t="str">
        <f ca="1">IFERROR(INDEX(V:V,MATCH(SMALL($AU:$AU,ROW()+3),$AU:$AU,0)),"")</f>
        <v/>
      </c>
      <c r="AJ311" s="49" t="str">
        <f ca="1">IFERROR(INDEX(W:W,MATCH(SMALL($AU:$AU,ROW()+3),$AU:$AU,0)),"")</f>
        <v/>
      </c>
      <c r="AK311" s="49" t="str">
        <f ca="1">IFERROR(INDEX(X:X,MATCH(SMALL($AU:$AU,ROW()+3),$AU:$AU,0)),"")</f>
        <v/>
      </c>
      <c r="AL311" s="49" t="str">
        <f ca="1">IFERROR(INDEX(Y:Y,MATCH(SMALL($AU:$AU,ROW()+3),$AU:$AU,0)),"")</f>
        <v/>
      </c>
      <c r="AM311" s="49" t="str">
        <f ca="1">IFERROR(INDEX(Z:Z,MATCH(SMALL($AU:$AU,ROW()+3),$AU:$AU,0)),"")</f>
        <v/>
      </c>
      <c r="AN311" s="49" t="str">
        <f ca="1">IFERROR(INDEX(AA:AA,MATCH(SMALL($AU:$AU,ROW()+3),$AU:$AU,0)),"")</f>
        <v/>
      </c>
      <c r="AO311" s="49" t="str">
        <f ca="1">IFERROR(INDEX(AB:AB,MATCH(SMALL($AU:$AU,ROW()+3),$AU:$AU,0)),"")</f>
        <v/>
      </c>
      <c r="AP311" s="49" t="str">
        <f ca="1">IFERROR(INDEX(AC:AC,MATCH(SMALL($AU:$AU,ROW()+3),$AU:$AU,0)),"")</f>
        <v/>
      </c>
    </row>
    <row r="312" spans="30:42">
      <c r="AD312" s="49" t="str">
        <f ca="1">IFERROR(INDEX(AC:AC,MATCH(SMALL($AU:$AU,ROW()+3),$AU:$AU,0)),"")</f>
        <v/>
      </c>
      <c r="AE312" s="49" t="str">
        <f ca="1">IFERROR(INDEX(R:R,MATCH(SMALL($AU:$AU,ROW()+3),$AU:$AU,0)),"")</f>
        <v/>
      </c>
      <c r="AF312" s="49" t="str">
        <f ca="1">IFERROR(INDEX(S:S,MATCH(SMALL($AU:$AU,ROW()+3),$AU:$AU,0)),"")</f>
        <v/>
      </c>
      <c r="AG312" s="49" t="str">
        <f ca="1">IFERROR(INDEX(T:T,MATCH(SMALL($AU:$AU,ROW()+3),$AU:$AU,0)),"")</f>
        <v/>
      </c>
      <c r="AH312" s="122" t="str">
        <f ca="1">IFERROR(INDEX(U:U,MATCH(SMALL($AU:$AU,ROW()+3),$AU:$AU,0)),"")</f>
        <v/>
      </c>
      <c r="AI312" s="49" t="str">
        <f ca="1">IFERROR(INDEX(V:V,MATCH(SMALL($AU:$AU,ROW()+3),$AU:$AU,0)),"")</f>
        <v/>
      </c>
      <c r="AJ312" s="49" t="str">
        <f ca="1">IFERROR(INDEX(W:W,MATCH(SMALL($AU:$AU,ROW()+3),$AU:$AU,0)),"")</f>
        <v/>
      </c>
      <c r="AK312" s="49" t="str">
        <f ca="1">IFERROR(INDEX(X:X,MATCH(SMALL($AU:$AU,ROW()+3),$AU:$AU,0)),"")</f>
        <v/>
      </c>
      <c r="AL312" s="49" t="str">
        <f ca="1">IFERROR(INDEX(Y:Y,MATCH(SMALL($AU:$AU,ROW()+3),$AU:$AU,0)),"")</f>
        <v/>
      </c>
      <c r="AM312" s="49" t="str">
        <f ca="1">IFERROR(INDEX(Z:Z,MATCH(SMALL($AU:$AU,ROW()+3),$AU:$AU,0)),"")</f>
        <v/>
      </c>
      <c r="AN312" s="49" t="str">
        <f ca="1">IFERROR(INDEX(AA:AA,MATCH(SMALL($AU:$AU,ROW()+3),$AU:$AU,0)),"")</f>
        <v/>
      </c>
      <c r="AO312" s="49" t="str">
        <f ca="1">IFERROR(INDEX(AB:AB,MATCH(SMALL($AU:$AU,ROW()+3),$AU:$AU,0)),"")</f>
        <v/>
      </c>
      <c r="AP312" s="49" t="str">
        <f ca="1">IFERROR(INDEX(AC:AC,MATCH(SMALL($AU:$AU,ROW()+3),$AU:$AU,0)),"")</f>
        <v/>
      </c>
    </row>
    <row r="313" spans="30:42">
      <c r="AD313" s="49" t="str">
        <f ca="1">IFERROR(INDEX(AC:AC,MATCH(SMALL($AU:$AU,ROW()+3),$AU:$AU,0)),"")</f>
        <v/>
      </c>
      <c r="AE313" s="49" t="str">
        <f ca="1">IFERROR(INDEX(R:R,MATCH(SMALL($AU:$AU,ROW()+3),$AU:$AU,0)),"")</f>
        <v/>
      </c>
      <c r="AF313" s="49" t="str">
        <f ca="1">IFERROR(INDEX(S:S,MATCH(SMALL($AU:$AU,ROW()+3),$AU:$AU,0)),"")</f>
        <v/>
      </c>
      <c r="AG313" s="49" t="str">
        <f ca="1">IFERROR(INDEX(T:T,MATCH(SMALL($AU:$AU,ROW()+3),$AU:$AU,0)),"")</f>
        <v/>
      </c>
      <c r="AH313" s="122" t="str">
        <f ca="1">IFERROR(INDEX(U:U,MATCH(SMALL($AU:$AU,ROW()+3),$AU:$AU,0)),"")</f>
        <v/>
      </c>
      <c r="AI313" s="49" t="str">
        <f ca="1">IFERROR(INDEX(V:V,MATCH(SMALL($AU:$AU,ROW()+3),$AU:$AU,0)),"")</f>
        <v/>
      </c>
      <c r="AJ313" s="49" t="str">
        <f ca="1">IFERROR(INDEX(W:W,MATCH(SMALL($AU:$AU,ROW()+3),$AU:$AU,0)),"")</f>
        <v/>
      </c>
      <c r="AK313" s="49" t="str">
        <f ca="1">IFERROR(INDEX(X:X,MATCH(SMALL($AU:$AU,ROW()+3),$AU:$AU,0)),"")</f>
        <v/>
      </c>
      <c r="AL313" s="49" t="str">
        <f ca="1">IFERROR(INDEX(Y:Y,MATCH(SMALL($AU:$AU,ROW()+3),$AU:$AU,0)),"")</f>
        <v/>
      </c>
      <c r="AM313" s="49" t="str">
        <f ca="1">IFERROR(INDEX(Z:Z,MATCH(SMALL($AU:$AU,ROW()+3),$AU:$AU,0)),"")</f>
        <v/>
      </c>
      <c r="AN313" s="49" t="str">
        <f ca="1">IFERROR(INDEX(AA:AA,MATCH(SMALL($AU:$AU,ROW()+3),$AU:$AU,0)),"")</f>
        <v/>
      </c>
      <c r="AO313" s="49" t="str">
        <f ca="1">IFERROR(INDEX(AB:AB,MATCH(SMALL($AU:$AU,ROW()+3),$AU:$AU,0)),"")</f>
        <v/>
      </c>
      <c r="AP313" s="49" t="str">
        <f ca="1">IFERROR(INDEX(AC:AC,MATCH(SMALL($AU:$AU,ROW()+3),$AU:$AU,0)),"")</f>
        <v/>
      </c>
    </row>
    <row r="314" spans="30:42">
      <c r="AD314" s="49" t="str">
        <f ca="1">IFERROR(INDEX(AC:AC,MATCH(SMALL($AU:$AU,ROW()+3),$AU:$AU,0)),"")</f>
        <v/>
      </c>
      <c r="AE314" s="49" t="str">
        <f ca="1">IFERROR(INDEX(R:R,MATCH(SMALL($AU:$AU,ROW()+3),$AU:$AU,0)),"")</f>
        <v/>
      </c>
      <c r="AF314" s="49" t="str">
        <f ca="1">IFERROR(INDEX(S:S,MATCH(SMALL($AU:$AU,ROW()+3),$AU:$AU,0)),"")</f>
        <v/>
      </c>
      <c r="AG314" s="49" t="str">
        <f ca="1">IFERROR(INDEX(T:T,MATCH(SMALL($AU:$AU,ROW()+3),$AU:$AU,0)),"")</f>
        <v/>
      </c>
      <c r="AH314" s="122" t="str">
        <f ca="1">IFERROR(INDEX(U:U,MATCH(SMALL($AU:$AU,ROW()+3),$AU:$AU,0)),"")</f>
        <v/>
      </c>
      <c r="AI314" s="49" t="str">
        <f ca="1">IFERROR(INDEX(V:V,MATCH(SMALL($AU:$AU,ROW()+3),$AU:$AU,0)),"")</f>
        <v/>
      </c>
      <c r="AJ314" s="49" t="str">
        <f ca="1">IFERROR(INDEX(W:W,MATCH(SMALL($AU:$AU,ROW()+3),$AU:$AU,0)),"")</f>
        <v/>
      </c>
      <c r="AK314" s="49" t="str">
        <f ca="1">IFERROR(INDEX(X:X,MATCH(SMALL($AU:$AU,ROW()+3),$AU:$AU,0)),"")</f>
        <v/>
      </c>
      <c r="AL314" s="49" t="str">
        <f ca="1">IFERROR(INDEX(Y:Y,MATCH(SMALL($AU:$AU,ROW()+3),$AU:$AU,0)),"")</f>
        <v/>
      </c>
      <c r="AM314" s="49" t="str">
        <f ca="1">IFERROR(INDEX(Z:Z,MATCH(SMALL($AU:$AU,ROW()+3),$AU:$AU,0)),"")</f>
        <v/>
      </c>
      <c r="AN314" s="49" t="str">
        <f ca="1">IFERROR(INDEX(AA:AA,MATCH(SMALL($AU:$AU,ROW()+3),$AU:$AU,0)),"")</f>
        <v/>
      </c>
      <c r="AO314" s="49" t="str">
        <f ca="1">IFERROR(INDEX(AB:AB,MATCH(SMALL($AU:$AU,ROW()+3),$AU:$AU,0)),"")</f>
        <v/>
      </c>
      <c r="AP314" s="49" t="str">
        <f ca="1">IFERROR(INDEX(AC:AC,MATCH(SMALL($AU:$AU,ROW()+3),$AU:$AU,0)),"")</f>
        <v/>
      </c>
    </row>
    <row r="315" spans="30:42">
      <c r="AD315" s="49" t="str">
        <f ca="1">IFERROR(INDEX(AC:AC,MATCH(SMALL($AU:$AU,ROW()+3),$AU:$AU,0)),"")</f>
        <v/>
      </c>
      <c r="AE315" s="49" t="str">
        <f ca="1">IFERROR(INDEX(R:R,MATCH(SMALL($AU:$AU,ROW()+3),$AU:$AU,0)),"")</f>
        <v/>
      </c>
      <c r="AF315" s="49" t="str">
        <f ca="1">IFERROR(INDEX(S:S,MATCH(SMALL($AU:$AU,ROW()+3),$AU:$AU,0)),"")</f>
        <v/>
      </c>
      <c r="AG315" s="49" t="str">
        <f ca="1">IFERROR(INDEX(T:T,MATCH(SMALL($AU:$AU,ROW()+3),$AU:$AU,0)),"")</f>
        <v/>
      </c>
      <c r="AH315" s="122" t="str">
        <f ca="1">IFERROR(INDEX(U:U,MATCH(SMALL($AU:$AU,ROW()+3),$AU:$AU,0)),"")</f>
        <v/>
      </c>
      <c r="AI315" s="49" t="str">
        <f ca="1">IFERROR(INDEX(V:V,MATCH(SMALL($AU:$AU,ROW()+3),$AU:$AU,0)),"")</f>
        <v/>
      </c>
      <c r="AJ315" s="49" t="str">
        <f ca="1">IFERROR(INDEX(W:W,MATCH(SMALL($AU:$AU,ROW()+3),$AU:$AU,0)),"")</f>
        <v/>
      </c>
      <c r="AK315" s="49" t="str">
        <f ca="1">IFERROR(INDEX(X:X,MATCH(SMALL($AU:$AU,ROW()+3),$AU:$AU,0)),"")</f>
        <v/>
      </c>
      <c r="AL315" s="49" t="str">
        <f ca="1">IFERROR(INDEX(Y:Y,MATCH(SMALL($AU:$AU,ROW()+3),$AU:$AU,0)),"")</f>
        <v/>
      </c>
      <c r="AM315" s="49" t="str">
        <f ca="1">IFERROR(INDEX(Z:Z,MATCH(SMALL($AU:$AU,ROW()+3),$AU:$AU,0)),"")</f>
        <v/>
      </c>
      <c r="AN315" s="49" t="str">
        <f ca="1">IFERROR(INDEX(AA:AA,MATCH(SMALL($AU:$AU,ROW()+3),$AU:$AU,0)),"")</f>
        <v/>
      </c>
      <c r="AO315" s="49" t="str">
        <f ca="1">IFERROR(INDEX(AB:AB,MATCH(SMALL($AU:$AU,ROW()+3),$AU:$AU,0)),"")</f>
        <v/>
      </c>
      <c r="AP315" s="49" t="str">
        <f ca="1">IFERROR(INDEX(AC:AC,MATCH(SMALL($AU:$AU,ROW()+3),$AU:$AU,0)),"")</f>
        <v/>
      </c>
    </row>
    <row r="316" spans="30:42">
      <c r="AD316" s="49" t="str">
        <f ca="1">IFERROR(INDEX(AC:AC,MATCH(SMALL($AU:$AU,ROW()+3),$AU:$AU,0)),"")</f>
        <v/>
      </c>
      <c r="AE316" s="49" t="str">
        <f ca="1">IFERROR(INDEX(R:R,MATCH(SMALL($AU:$AU,ROW()+3),$AU:$AU,0)),"")</f>
        <v/>
      </c>
      <c r="AF316" s="49" t="str">
        <f ca="1">IFERROR(INDEX(S:S,MATCH(SMALL($AU:$AU,ROW()+3),$AU:$AU,0)),"")</f>
        <v/>
      </c>
      <c r="AG316" s="49" t="str">
        <f ca="1">IFERROR(INDEX(T:T,MATCH(SMALL($AU:$AU,ROW()+3),$AU:$AU,0)),"")</f>
        <v/>
      </c>
      <c r="AH316" s="122" t="str">
        <f ca="1">IFERROR(INDEX(U:U,MATCH(SMALL($AU:$AU,ROW()+3),$AU:$AU,0)),"")</f>
        <v/>
      </c>
      <c r="AI316" s="49" t="str">
        <f ca="1">IFERROR(INDEX(V:V,MATCH(SMALL($AU:$AU,ROW()+3),$AU:$AU,0)),"")</f>
        <v/>
      </c>
      <c r="AJ316" s="49" t="str">
        <f ca="1">IFERROR(INDEX(W:W,MATCH(SMALL($AU:$AU,ROW()+3),$AU:$AU,0)),"")</f>
        <v/>
      </c>
      <c r="AK316" s="49" t="str">
        <f ca="1">IFERROR(INDEX(X:X,MATCH(SMALL($AU:$AU,ROW()+3),$AU:$AU,0)),"")</f>
        <v/>
      </c>
      <c r="AL316" s="49" t="str">
        <f ca="1">IFERROR(INDEX(Y:Y,MATCH(SMALL($AU:$AU,ROW()+3),$AU:$AU,0)),"")</f>
        <v/>
      </c>
      <c r="AM316" s="49" t="str">
        <f ca="1">IFERROR(INDEX(Z:Z,MATCH(SMALL($AU:$AU,ROW()+3),$AU:$AU,0)),"")</f>
        <v/>
      </c>
      <c r="AN316" s="49" t="str">
        <f ca="1">IFERROR(INDEX(AA:AA,MATCH(SMALL($AU:$AU,ROW()+3),$AU:$AU,0)),"")</f>
        <v/>
      </c>
      <c r="AO316" s="49" t="str">
        <f ca="1">IFERROR(INDEX(AB:AB,MATCH(SMALL($AU:$AU,ROW()+3),$AU:$AU,0)),"")</f>
        <v/>
      </c>
      <c r="AP316" s="49" t="str">
        <f ca="1">IFERROR(INDEX(AC:AC,MATCH(SMALL($AU:$AU,ROW()+3),$AU:$AU,0)),"")</f>
        <v/>
      </c>
    </row>
    <row r="317" spans="30:42">
      <c r="AD317" s="49" t="str">
        <f ca="1">IFERROR(INDEX(AC:AC,MATCH(SMALL($AU:$AU,ROW()+3),$AU:$AU,0)),"")</f>
        <v/>
      </c>
      <c r="AE317" s="49" t="str">
        <f ca="1">IFERROR(INDEX(R:R,MATCH(SMALL($AU:$AU,ROW()+3),$AU:$AU,0)),"")</f>
        <v/>
      </c>
      <c r="AF317" s="49" t="str">
        <f ca="1">IFERROR(INDEX(S:S,MATCH(SMALL($AU:$AU,ROW()+3),$AU:$AU,0)),"")</f>
        <v/>
      </c>
      <c r="AG317" s="49" t="str">
        <f ca="1">IFERROR(INDEX(T:T,MATCH(SMALL($AU:$AU,ROW()+3),$AU:$AU,0)),"")</f>
        <v/>
      </c>
      <c r="AH317" s="122" t="str">
        <f ca="1">IFERROR(INDEX(U:U,MATCH(SMALL($AU:$AU,ROW()+3),$AU:$AU,0)),"")</f>
        <v/>
      </c>
      <c r="AI317" s="49" t="str">
        <f ca="1">IFERROR(INDEX(V:V,MATCH(SMALL($AU:$AU,ROW()+3),$AU:$AU,0)),"")</f>
        <v/>
      </c>
      <c r="AJ317" s="49" t="str">
        <f ca="1">IFERROR(INDEX(W:W,MATCH(SMALL($AU:$AU,ROW()+3),$AU:$AU,0)),"")</f>
        <v/>
      </c>
      <c r="AK317" s="49" t="str">
        <f ca="1">IFERROR(INDEX(X:X,MATCH(SMALL($AU:$AU,ROW()+3),$AU:$AU,0)),"")</f>
        <v/>
      </c>
      <c r="AL317" s="49" t="str">
        <f ca="1">IFERROR(INDEX(Y:Y,MATCH(SMALL($AU:$AU,ROW()+3),$AU:$AU,0)),"")</f>
        <v/>
      </c>
      <c r="AM317" s="49" t="str">
        <f ca="1">IFERROR(INDEX(Z:Z,MATCH(SMALL($AU:$AU,ROW()+3),$AU:$AU,0)),"")</f>
        <v/>
      </c>
      <c r="AN317" s="49" t="str">
        <f ca="1">IFERROR(INDEX(AA:AA,MATCH(SMALL($AU:$AU,ROW()+3),$AU:$AU,0)),"")</f>
        <v/>
      </c>
      <c r="AO317" s="49" t="str">
        <f ca="1">IFERROR(INDEX(AB:AB,MATCH(SMALL($AU:$AU,ROW()+3),$AU:$AU,0)),"")</f>
        <v/>
      </c>
      <c r="AP317" s="49" t="str">
        <f ca="1">IFERROR(INDEX(AC:AC,MATCH(SMALL($AU:$AU,ROW()+3),$AU:$AU,0)),"")</f>
        <v/>
      </c>
    </row>
    <row r="318" spans="30:42">
      <c r="AD318" s="49" t="str">
        <f ca="1">IFERROR(INDEX(AC:AC,MATCH(SMALL($AU:$AU,ROW()+3),$AU:$AU,0)),"")</f>
        <v/>
      </c>
      <c r="AE318" s="49" t="str">
        <f ca="1">IFERROR(INDEX(R:R,MATCH(SMALL($AU:$AU,ROW()+3),$AU:$AU,0)),"")</f>
        <v/>
      </c>
      <c r="AF318" s="49" t="str">
        <f ca="1">IFERROR(INDEX(S:S,MATCH(SMALL($AU:$AU,ROW()+3),$AU:$AU,0)),"")</f>
        <v/>
      </c>
      <c r="AG318" s="49" t="str">
        <f ca="1">IFERROR(INDEX(T:T,MATCH(SMALL($AU:$AU,ROW()+3),$AU:$AU,0)),"")</f>
        <v/>
      </c>
      <c r="AH318" s="122" t="str">
        <f ca="1">IFERROR(INDEX(U:U,MATCH(SMALL($AU:$AU,ROW()+3),$AU:$AU,0)),"")</f>
        <v/>
      </c>
      <c r="AI318" s="49" t="str">
        <f ca="1">IFERROR(INDEX(V:V,MATCH(SMALL($AU:$AU,ROW()+3),$AU:$AU,0)),"")</f>
        <v/>
      </c>
      <c r="AJ318" s="49" t="str">
        <f ca="1">IFERROR(INDEX(W:W,MATCH(SMALL($AU:$AU,ROW()+3),$AU:$AU,0)),"")</f>
        <v/>
      </c>
      <c r="AK318" s="49" t="str">
        <f ca="1">IFERROR(INDEX(X:X,MATCH(SMALL($AU:$AU,ROW()+3),$AU:$AU,0)),"")</f>
        <v/>
      </c>
      <c r="AL318" s="49" t="str">
        <f ca="1">IFERROR(INDEX(Y:Y,MATCH(SMALL($AU:$AU,ROW()+3),$AU:$AU,0)),"")</f>
        <v/>
      </c>
      <c r="AM318" s="49" t="str">
        <f ca="1">IFERROR(INDEX(Z:Z,MATCH(SMALL($AU:$AU,ROW()+3),$AU:$AU,0)),"")</f>
        <v/>
      </c>
      <c r="AN318" s="49" t="str">
        <f ca="1">IFERROR(INDEX(AA:AA,MATCH(SMALL($AU:$AU,ROW()+3),$AU:$AU,0)),"")</f>
        <v/>
      </c>
      <c r="AO318" s="49" t="str">
        <f ca="1">IFERROR(INDEX(AB:AB,MATCH(SMALL($AU:$AU,ROW()+3),$AU:$AU,0)),"")</f>
        <v/>
      </c>
      <c r="AP318" s="49" t="str">
        <f ca="1">IFERROR(INDEX(AC:AC,MATCH(SMALL($AU:$AU,ROW()+3),$AU:$AU,0)),"")</f>
        <v/>
      </c>
    </row>
    <row r="319" spans="30:42">
      <c r="AD319" s="49" t="str">
        <f ca="1">IFERROR(INDEX(AC:AC,MATCH(SMALL($AU:$AU,ROW()+3),$AU:$AU,0)),"")</f>
        <v/>
      </c>
      <c r="AE319" s="49" t="str">
        <f ca="1">IFERROR(INDEX(R:R,MATCH(SMALL($AU:$AU,ROW()+3),$AU:$AU,0)),"")</f>
        <v/>
      </c>
      <c r="AF319" s="49" t="str">
        <f ca="1">IFERROR(INDEX(S:S,MATCH(SMALL($AU:$AU,ROW()+3),$AU:$AU,0)),"")</f>
        <v/>
      </c>
      <c r="AG319" s="49" t="str">
        <f ca="1">IFERROR(INDEX(T:T,MATCH(SMALL($AU:$AU,ROW()+3),$AU:$AU,0)),"")</f>
        <v/>
      </c>
      <c r="AH319" s="122" t="str">
        <f ca="1">IFERROR(INDEX(U:U,MATCH(SMALL($AU:$AU,ROW()+3),$AU:$AU,0)),"")</f>
        <v/>
      </c>
      <c r="AI319" s="49" t="str">
        <f ca="1">IFERROR(INDEX(V:V,MATCH(SMALL($AU:$AU,ROW()+3),$AU:$AU,0)),"")</f>
        <v/>
      </c>
      <c r="AJ319" s="49" t="str">
        <f ca="1">IFERROR(INDEX(W:W,MATCH(SMALL($AU:$AU,ROW()+3),$AU:$AU,0)),"")</f>
        <v/>
      </c>
      <c r="AK319" s="49" t="str">
        <f ca="1">IFERROR(INDEX(X:X,MATCH(SMALL($AU:$AU,ROW()+3),$AU:$AU,0)),"")</f>
        <v/>
      </c>
      <c r="AL319" s="49" t="str">
        <f ca="1">IFERROR(INDEX(Y:Y,MATCH(SMALL($AU:$AU,ROW()+3),$AU:$AU,0)),"")</f>
        <v/>
      </c>
      <c r="AM319" s="49" t="str">
        <f ca="1">IFERROR(INDEX(Z:Z,MATCH(SMALL($AU:$AU,ROW()+3),$AU:$AU,0)),"")</f>
        <v/>
      </c>
      <c r="AN319" s="49" t="str">
        <f ca="1">IFERROR(INDEX(AA:AA,MATCH(SMALL($AU:$AU,ROW()+3),$AU:$AU,0)),"")</f>
        <v/>
      </c>
      <c r="AO319" s="49" t="str">
        <f ca="1">IFERROR(INDEX(AB:AB,MATCH(SMALL($AU:$AU,ROW()+3),$AU:$AU,0)),"")</f>
        <v/>
      </c>
      <c r="AP319" s="49" t="str">
        <f ca="1">IFERROR(INDEX(AC:AC,MATCH(SMALL($AU:$AU,ROW()+3),$AU:$AU,0)),"")</f>
        <v/>
      </c>
    </row>
    <row r="320" spans="30:42">
      <c r="AD320" s="49" t="str">
        <f ca="1">IFERROR(INDEX(AC:AC,MATCH(SMALL($AU:$AU,ROW()+3),$AU:$AU,0)),"")</f>
        <v/>
      </c>
      <c r="AE320" s="49" t="str">
        <f ca="1">IFERROR(INDEX(R:R,MATCH(SMALL($AU:$AU,ROW()+3),$AU:$AU,0)),"")</f>
        <v/>
      </c>
      <c r="AF320" s="49" t="str">
        <f ca="1">IFERROR(INDEX(S:S,MATCH(SMALL($AU:$AU,ROW()+3),$AU:$AU,0)),"")</f>
        <v/>
      </c>
      <c r="AG320" s="49" t="str">
        <f ca="1">IFERROR(INDEX(T:T,MATCH(SMALL($AU:$AU,ROW()+3),$AU:$AU,0)),"")</f>
        <v/>
      </c>
      <c r="AH320" s="122" t="str">
        <f ca="1">IFERROR(INDEX(U:U,MATCH(SMALL($AU:$AU,ROW()+3),$AU:$AU,0)),"")</f>
        <v/>
      </c>
      <c r="AI320" s="49" t="str">
        <f ca="1">IFERROR(INDEX(V:V,MATCH(SMALL($AU:$AU,ROW()+3),$AU:$AU,0)),"")</f>
        <v/>
      </c>
      <c r="AJ320" s="49" t="str">
        <f ca="1">IFERROR(INDEX(W:W,MATCH(SMALL($AU:$AU,ROW()+3),$AU:$AU,0)),"")</f>
        <v/>
      </c>
      <c r="AK320" s="49" t="str">
        <f ca="1">IFERROR(INDEX(X:X,MATCH(SMALL($AU:$AU,ROW()+3),$AU:$AU,0)),"")</f>
        <v/>
      </c>
      <c r="AL320" s="49" t="str">
        <f ca="1">IFERROR(INDEX(Y:Y,MATCH(SMALL($AU:$AU,ROW()+3),$AU:$AU,0)),"")</f>
        <v/>
      </c>
      <c r="AM320" s="49" t="str">
        <f ca="1">IFERROR(INDEX(Z:Z,MATCH(SMALL($AU:$AU,ROW()+3),$AU:$AU,0)),"")</f>
        <v/>
      </c>
      <c r="AN320" s="49" t="str">
        <f ca="1">IFERROR(INDEX(AA:AA,MATCH(SMALL($AU:$AU,ROW()+3),$AU:$AU,0)),"")</f>
        <v/>
      </c>
      <c r="AO320" s="49" t="str">
        <f ca="1">IFERROR(INDEX(AB:AB,MATCH(SMALL($AU:$AU,ROW()+3),$AU:$AU,0)),"")</f>
        <v/>
      </c>
      <c r="AP320" s="49" t="str">
        <f ca="1">IFERROR(INDEX(AC:AC,MATCH(SMALL($AU:$AU,ROW()+3),$AU:$AU,0)),"")</f>
        <v/>
      </c>
    </row>
    <row r="321" spans="30:42">
      <c r="AD321" s="49" t="str">
        <f ca="1">IFERROR(INDEX(AC:AC,MATCH(SMALL($AU:$AU,ROW()+3),$AU:$AU,0)),"")</f>
        <v/>
      </c>
      <c r="AE321" s="49" t="str">
        <f ca="1">IFERROR(INDEX(R:R,MATCH(SMALL($AU:$AU,ROW()+3),$AU:$AU,0)),"")</f>
        <v/>
      </c>
      <c r="AF321" s="49" t="str">
        <f ca="1">IFERROR(INDEX(S:S,MATCH(SMALL($AU:$AU,ROW()+3),$AU:$AU,0)),"")</f>
        <v/>
      </c>
      <c r="AG321" s="49" t="str">
        <f ca="1">IFERROR(INDEX(T:T,MATCH(SMALL($AU:$AU,ROW()+3),$AU:$AU,0)),"")</f>
        <v/>
      </c>
      <c r="AH321" s="122" t="str">
        <f ca="1">IFERROR(INDEX(U:U,MATCH(SMALL($AU:$AU,ROW()+3),$AU:$AU,0)),"")</f>
        <v/>
      </c>
      <c r="AI321" s="49" t="str">
        <f ca="1">IFERROR(INDEX(V:V,MATCH(SMALL($AU:$AU,ROW()+3),$AU:$AU,0)),"")</f>
        <v/>
      </c>
      <c r="AJ321" s="49" t="str">
        <f ca="1">IFERROR(INDEX(W:W,MATCH(SMALL($AU:$AU,ROW()+3),$AU:$AU,0)),"")</f>
        <v/>
      </c>
      <c r="AK321" s="49" t="str">
        <f ca="1">IFERROR(INDEX(X:X,MATCH(SMALL($AU:$AU,ROW()+3),$AU:$AU,0)),"")</f>
        <v/>
      </c>
      <c r="AL321" s="49" t="str">
        <f ca="1">IFERROR(INDEX(Y:Y,MATCH(SMALL($AU:$AU,ROW()+3),$AU:$AU,0)),"")</f>
        <v/>
      </c>
      <c r="AM321" s="49" t="str">
        <f ca="1">IFERROR(INDEX(Z:Z,MATCH(SMALL($AU:$AU,ROW()+3),$AU:$AU,0)),"")</f>
        <v/>
      </c>
      <c r="AN321" s="49" t="str">
        <f ca="1">IFERROR(INDEX(AA:AA,MATCH(SMALL($AU:$AU,ROW()+3),$AU:$AU,0)),"")</f>
        <v/>
      </c>
      <c r="AO321" s="49" t="str">
        <f ca="1">IFERROR(INDEX(AB:AB,MATCH(SMALL($AU:$AU,ROW()+3),$AU:$AU,0)),"")</f>
        <v/>
      </c>
      <c r="AP321" s="49" t="str">
        <f ca="1">IFERROR(INDEX(AC:AC,MATCH(SMALL($AU:$AU,ROW()+3),$AU:$AU,0)),"")</f>
        <v/>
      </c>
    </row>
    <row r="322" spans="30:42">
      <c r="AD322" s="49" t="str">
        <f ca="1">IFERROR(INDEX(AC:AC,MATCH(SMALL($AU:$AU,ROW()+3),$AU:$AU,0)),"")</f>
        <v/>
      </c>
      <c r="AE322" s="49" t="str">
        <f ca="1">IFERROR(INDEX(R:R,MATCH(SMALL($AU:$AU,ROW()+3),$AU:$AU,0)),"")</f>
        <v/>
      </c>
      <c r="AF322" s="49" t="str">
        <f ca="1">IFERROR(INDEX(S:S,MATCH(SMALL($AU:$AU,ROW()+3),$AU:$AU,0)),"")</f>
        <v/>
      </c>
      <c r="AG322" s="49" t="str">
        <f ca="1">IFERROR(INDEX(T:T,MATCH(SMALL($AU:$AU,ROW()+3),$AU:$AU,0)),"")</f>
        <v/>
      </c>
      <c r="AH322" s="122" t="str">
        <f ca="1">IFERROR(INDEX(U:U,MATCH(SMALL($AU:$AU,ROW()+3),$AU:$AU,0)),"")</f>
        <v/>
      </c>
      <c r="AI322" s="49" t="str">
        <f ca="1">IFERROR(INDEX(V:V,MATCH(SMALL($AU:$AU,ROW()+3),$AU:$AU,0)),"")</f>
        <v/>
      </c>
      <c r="AJ322" s="49" t="str">
        <f ca="1">IFERROR(INDEX(W:W,MATCH(SMALL($AU:$AU,ROW()+3),$AU:$AU,0)),"")</f>
        <v/>
      </c>
      <c r="AK322" s="49" t="str">
        <f ca="1">IFERROR(INDEX(X:X,MATCH(SMALL($AU:$AU,ROW()+3),$AU:$AU,0)),"")</f>
        <v/>
      </c>
      <c r="AL322" s="49" t="str">
        <f ca="1">IFERROR(INDEX(Y:Y,MATCH(SMALL($AU:$AU,ROW()+3),$AU:$AU,0)),"")</f>
        <v/>
      </c>
      <c r="AM322" s="49" t="str">
        <f ca="1">IFERROR(INDEX(Z:Z,MATCH(SMALL($AU:$AU,ROW()+3),$AU:$AU,0)),"")</f>
        <v/>
      </c>
      <c r="AN322" s="49" t="str">
        <f ca="1">IFERROR(INDEX(AA:AA,MATCH(SMALL($AU:$AU,ROW()+3),$AU:$AU,0)),"")</f>
        <v/>
      </c>
      <c r="AO322" s="49" t="str">
        <f ca="1">IFERROR(INDEX(AB:AB,MATCH(SMALL($AU:$AU,ROW()+3),$AU:$AU,0)),"")</f>
        <v/>
      </c>
      <c r="AP322" s="49" t="str">
        <f ca="1">IFERROR(INDEX(AC:AC,MATCH(SMALL($AU:$AU,ROW()+3),$AU:$AU,0)),"")</f>
        <v/>
      </c>
    </row>
    <row r="323" spans="30:42">
      <c r="AD323" s="49" t="str">
        <f ca="1">IFERROR(INDEX(AC:AC,MATCH(SMALL($AU:$AU,ROW()+3),$AU:$AU,0)),"")</f>
        <v/>
      </c>
      <c r="AE323" s="49" t="str">
        <f ca="1">IFERROR(INDEX(R:R,MATCH(SMALL($AU:$AU,ROW()+3),$AU:$AU,0)),"")</f>
        <v/>
      </c>
      <c r="AF323" s="49" t="str">
        <f ca="1">IFERROR(INDEX(S:S,MATCH(SMALL($AU:$AU,ROW()+3),$AU:$AU,0)),"")</f>
        <v/>
      </c>
      <c r="AG323" s="49" t="str">
        <f ca="1">IFERROR(INDEX(T:T,MATCH(SMALL($AU:$AU,ROW()+3),$AU:$AU,0)),"")</f>
        <v/>
      </c>
      <c r="AH323" s="122" t="str">
        <f ca="1">IFERROR(INDEX(U:U,MATCH(SMALL($AU:$AU,ROW()+3),$AU:$AU,0)),"")</f>
        <v/>
      </c>
      <c r="AI323" s="49" t="str">
        <f ca="1">IFERROR(INDEX(V:V,MATCH(SMALL($AU:$AU,ROW()+3),$AU:$AU,0)),"")</f>
        <v/>
      </c>
      <c r="AJ323" s="49" t="str">
        <f ca="1">IFERROR(INDEX(W:W,MATCH(SMALL($AU:$AU,ROW()+3),$AU:$AU,0)),"")</f>
        <v/>
      </c>
      <c r="AK323" s="49" t="str">
        <f ca="1">IFERROR(INDEX(X:X,MATCH(SMALL($AU:$AU,ROW()+3),$AU:$AU,0)),"")</f>
        <v/>
      </c>
      <c r="AL323" s="49" t="str">
        <f ca="1">IFERROR(INDEX(Y:Y,MATCH(SMALL($AU:$AU,ROW()+3),$AU:$AU,0)),"")</f>
        <v/>
      </c>
      <c r="AM323" s="49" t="str">
        <f ca="1">IFERROR(INDEX(Z:Z,MATCH(SMALL($AU:$AU,ROW()+3),$AU:$AU,0)),"")</f>
        <v/>
      </c>
      <c r="AN323" s="49" t="str">
        <f ca="1">IFERROR(INDEX(AA:AA,MATCH(SMALL($AU:$AU,ROW()+3),$AU:$AU,0)),"")</f>
        <v/>
      </c>
      <c r="AO323" s="49" t="str">
        <f ca="1">IFERROR(INDEX(AB:AB,MATCH(SMALL($AU:$AU,ROW()+3),$AU:$AU,0)),"")</f>
        <v/>
      </c>
      <c r="AP323" s="49" t="str">
        <f ca="1">IFERROR(INDEX(AC:AC,MATCH(SMALL($AU:$AU,ROW()+3),$AU:$AU,0)),"")</f>
        <v/>
      </c>
    </row>
    <row r="324" spans="30:42">
      <c r="AD324" s="49" t="str">
        <f ca="1">IFERROR(INDEX(AC:AC,MATCH(SMALL($AU:$AU,ROW()+3),$AU:$AU,0)),"")</f>
        <v/>
      </c>
      <c r="AE324" s="49" t="str">
        <f ca="1">IFERROR(INDEX(R:R,MATCH(SMALL($AU:$AU,ROW()+3),$AU:$AU,0)),"")</f>
        <v/>
      </c>
      <c r="AF324" s="49" t="str">
        <f ca="1">IFERROR(INDEX(S:S,MATCH(SMALL($AU:$AU,ROW()+3),$AU:$AU,0)),"")</f>
        <v/>
      </c>
      <c r="AG324" s="49" t="str">
        <f ca="1">IFERROR(INDEX(T:T,MATCH(SMALL($AU:$AU,ROW()+3),$AU:$AU,0)),"")</f>
        <v/>
      </c>
      <c r="AH324" s="122" t="str">
        <f ca="1">IFERROR(INDEX(U:U,MATCH(SMALL($AU:$AU,ROW()+3),$AU:$AU,0)),"")</f>
        <v/>
      </c>
      <c r="AI324" s="49" t="str">
        <f ca="1">IFERROR(INDEX(V:V,MATCH(SMALL($AU:$AU,ROW()+3),$AU:$AU,0)),"")</f>
        <v/>
      </c>
      <c r="AJ324" s="49" t="str">
        <f ca="1">IFERROR(INDEX(W:W,MATCH(SMALL($AU:$AU,ROW()+3),$AU:$AU,0)),"")</f>
        <v/>
      </c>
      <c r="AK324" s="49" t="str">
        <f ca="1">IFERROR(INDEX(X:X,MATCH(SMALL($AU:$AU,ROW()+3),$AU:$AU,0)),"")</f>
        <v/>
      </c>
      <c r="AL324" s="49" t="str">
        <f ca="1">IFERROR(INDEX(Y:Y,MATCH(SMALL($AU:$AU,ROW()+3),$AU:$AU,0)),"")</f>
        <v/>
      </c>
      <c r="AM324" s="49" t="str">
        <f ca="1">IFERROR(INDEX(Z:Z,MATCH(SMALL($AU:$AU,ROW()+3),$AU:$AU,0)),"")</f>
        <v/>
      </c>
      <c r="AN324" s="49" t="str">
        <f ca="1">IFERROR(INDEX(AA:AA,MATCH(SMALL($AU:$AU,ROW()+3),$AU:$AU,0)),"")</f>
        <v/>
      </c>
      <c r="AO324" s="49" t="str">
        <f ca="1">IFERROR(INDEX(AB:AB,MATCH(SMALL($AU:$AU,ROW()+3),$AU:$AU,0)),"")</f>
        <v/>
      </c>
      <c r="AP324" s="49" t="str">
        <f ca="1">IFERROR(INDEX(AC:AC,MATCH(SMALL($AU:$AU,ROW()+3),$AU:$AU,0)),"")</f>
        <v/>
      </c>
    </row>
    <row r="325" spans="30:42">
      <c r="AD325" s="49" t="str">
        <f ca="1">IFERROR(INDEX(AC:AC,MATCH(SMALL($AU:$AU,ROW()+3),$AU:$AU,0)),"")</f>
        <v/>
      </c>
      <c r="AE325" s="49" t="str">
        <f ca="1">IFERROR(INDEX(R:R,MATCH(SMALL($AU:$AU,ROW()+3),$AU:$AU,0)),"")</f>
        <v/>
      </c>
      <c r="AF325" s="49" t="str">
        <f ca="1">IFERROR(INDEX(S:S,MATCH(SMALL($AU:$AU,ROW()+3),$AU:$AU,0)),"")</f>
        <v/>
      </c>
      <c r="AG325" s="49" t="str">
        <f ca="1">IFERROR(INDEX(T:T,MATCH(SMALL($AU:$AU,ROW()+3),$AU:$AU,0)),"")</f>
        <v/>
      </c>
      <c r="AH325" s="122" t="str">
        <f ca="1">IFERROR(INDEX(U:U,MATCH(SMALL($AU:$AU,ROW()+3),$AU:$AU,0)),"")</f>
        <v/>
      </c>
      <c r="AI325" s="49" t="str">
        <f ca="1">IFERROR(INDEX(V:V,MATCH(SMALL($AU:$AU,ROW()+3),$AU:$AU,0)),"")</f>
        <v/>
      </c>
      <c r="AJ325" s="49" t="str">
        <f ca="1">IFERROR(INDEX(W:W,MATCH(SMALL($AU:$AU,ROW()+3),$AU:$AU,0)),"")</f>
        <v/>
      </c>
      <c r="AK325" s="49" t="str">
        <f ca="1">IFERROR(INDEX(X:X,MATCH(SMALL($AU:$AU,ROW()+3),$AU:$AU,0)),"")</f>
        <v/>
      </c>
      <c r="AL325" s="49" t="str">
        <f ca="1">IFERROR(INDEX(Y:Y,MATCH(SMALL($AU:$AU,ROW()+3),$AU:$AU,0)),"")</f>
        <v/>
      </c>
      <c r="AM325" s="49" t="str">
        <f ca="1">IFERROR(INDEX(Z:Z,MATCH(SMALL($AU:$AU,ROW()+3),$AU:$AU,0)),"")</f>
        <v/>
      </c>
      <c r="AN325" s="49" t="str">
        <f ca="1">IFERROR(INDEX(AA:AA,MATCH(SMALL($AU:$AU,ROW()+3),$AU:$AU,0)),"")</f>
        <v/>
      </c>
      <c r="AO325" s="49" t="str">
        <f ca="1">IFERROR(INDEX(AB:AB,MATCH(SMALL($AU:$AU,ROW()+3),$AU:$AU,0)),"")</f>
        <v/>
      </c>
      <c r="AP325" s="49" t="str">
        <f ca="1">IFERROR(INDEX(AC:AC,MATCH(SMALL($AU:$AU,ROW()+3),$AU:$AU,0)),"")</f>
        <v/>
      </c>
    </row>
    <row r="326" spans="30:42">
      <c r="AD326" s="49" t="str">
        <f ca="1">IFERROR(INDEX(AC:AC,MATCH(SMALL($AU:$AU,ROW()+3),$AU:$AU,0)),"")</f>
        <v/>
      </c>
      <c r="AE326" s="49" t="str">
        <f ca="1">IFERROR(INDEX(R:R,MATCH(SMALL($AU:$AU,ROW()+3),$AU:$AU,0)),"")</f>
        <v/>
      </c>
      <c r="AF326" s="49" t="str">
        <f ca="1">IFERROR(INDEX(S:S,MATCH(SMALL($AU:$AU,ROW()+3),$AU:$AU,0)),"")</f>
        <v/>
      </c>
      <c r="AG326" s="49" t="str">
        <f ca="1">IFERROR(INDEX(T:T,MATCH(SMALL($AU:$AU,ROW()+3),$AU:$AU,0)),"")</f>
        <v/>
      </c>
      <c r="AH326" s="122" t="str">
        <f ca="1">IFERROR(INDEX(U:U,MATCH(SMALL($AU:$AU,ROW()+3),$AU:$AU,0)),"")</f>
        <v/>
      </c>
      <c r="AI326" s="49" t="str">
        <f ca="1">IFERROR(INDEX(V:V,MATCH(SMALL($AU:$AU,ROW()+3),$AU:$AU,0)),"")</f>
        <v/>
      </c>
      <c r="AJ326" s="49" t="str">
        <f ca="1">IFERROR(INDEX(W:W,MATCH(SMALL($AU:$AU,ROW()+3),$AU:$AU,0)),"")</f>
        <v/>
      </c>
      <c r="AK326" s="49" t="str">
        <f ca="1">IFERROR(INDEX(X:X,MATCH(SMALL($AU:$AU,ROW()+3),$AU:$AU,0)),"")</f>
        <v/>
      </c>
      <c r="AL326" s="49" t="str">
        <f ca="1">IFERROR(INDEX(Y:Y,MATCH(SMALL($AU:$AU,ROW()+3),$AU:$AU,0)),"")</f>
        <v/>
      </c>
      <c r="AM326" s="49" t="str">
        <f ca="1">IFERROR(INDEX(Z:Z,MATCH(SMALL($AU:$AU,ROW()+3),$AU:$AU,0)),"")</f>
        <v/>
      </c>
      <c r="AN326" s="49" t="str">
        <f ca="1">IFERROR(INDEX(AA:AA,MATCH(SMALL($AU:$AU,ROW()+3),$AU:$AU,0)),"")</f>
        <v/>
      </c>
      <c r="AO326" s="49" t="str">
        <f ca="1">IFERROR(INDEX(AB:AB,MATCH(SMALL($AU:$AU,ROW()+3),$AU:$AU,0)),"")</f>
        <v/>
      </c>
      <c r="AP326" s="49" t="str">
        <f ca="1">IFERROR(INDEX(AC:AC,MATCH(SMALL($AU:$AU,ROW()+3),$AU:$AU,0)),"")</f>
        <v/>
      </c>
    </row>
    <row r="327" spans="30:42">
      <c r="AD327" s="49" t="str">
        <f ca="1">IFERROR(INDEX(AC:AC,MATCH(SMALL($AU:$AU,ROW()+3),$AU:$AU,0)),"")</f>
        <v/>
      </c>
      <c r="AE327" s="49" t="str">
        <f ca="1">IFERROR(INDEX(R:R,MATCH(SMALL($AU:$AU,ROW()+3),$AU:$AU,0)),"")</f>
        <v/>
      </c>
      <c r="AF327" s="49" t="str">
        <f ca="1">IFERROR(INDEX(S:S,MATCH(SMALL($AU:$AU,ROW()+3),$AU:$AU,0)),"")</f>
        <v/>
      </c>
      <c r="AG327" s="49" t="str">
        <f ca="1">IFERROR(INDEX(T:T,MATCH(SMALL($AU:$AU,ROW()+3),$AU:$AU,0)),"")</f>
        <v/>
      </c>
      <c r="AH327" s="122" t="str">
        <f ca="1">IFERROR(INDEX(U:U,MATCH(SMALL($AU:$AU,ROW()+3),$AU:$AU,0)),"")</f>
        <v/>
      </c>
      <c r="AI327" s="49" t="str">
        <f ca="1">IFERROR(INDEX(V:V,MATCH(SMALL($AU:$AU,ROW()+3),$AU:$AU,0)),"")</f>
        <v/>
      </c>
      <c r="AJ327" s="49" t="str">
        <f ca="1">IFERROR(INDEX(W:W,MATCH(SMALL($AU:$AU,ROW()+3),$AU:$AU,0)),"")</f>
        <v/>
      </c>
      <c r="AK327" s="49" t="str">
        <f ca="1">IFERROR(INDEX(X:X,MATCH(SMALL($AU:$AU,ROW()+3),$AU:$AU,0)),"")</f>
        <v/>
      </c>
      <c r="AL327" s="49" t="str">
        <f ca="1">IFERROR(INDEX(Y:Y,MATCH(SMALL($AU:$AU,ROW()+3),$AU:$AU,0)),"")</f>
        <v/>
      </c>
      <c r="AM327" s="49" t="str">
        <f ca="1">IFERROR(INDEX(Z:Z,MATCH(SMALL($AU:$AU,ROW()+3),$AU:$AU,0)),"")</f>
        <v/>
      </c>
      <c r="AN327" s="49" t="str">
        <f ca="1">IFERROR(INDEX(AA:AA,MATCH(SMALL($AU:$AU,ROW()+3),$AU:$AU,0)),"")</f>
        <v/>
      </c>
      <c r="AO327" s="49" t="str">
        <f ca="1">IFERROR(INDEX(AB:AB,MATCH(SMALL($AU:$AU,ROW()+3),$AU:$AU,0)),"")</f>
        <v/>
      </c>
      <c r="AP327" s="49" t="str">
        <f ca="1">IFERROR(INDEX(AC:AC,MATCH(SMALL($AU:$AU,ROW()+3),$AU:$AU,0)),"")</f>
        <v/>
      </c>
    </row>
    <row r="328" spans="30:42">
      <c r="AD328" s="49" t="str">
        <f ca="1">IFERROR(INDEX(AC:AC,MATCH(SMALL($AU:$AU,ROW()+3),$AU:$AU,0)),"")</f>
        <v/>
      </c>
      <c r="AE328" s="49" t="str">
        <f ca="1">IFERROR(INDEX(R:R,MATCH(SMALL($AU:$AU,ROW()+3),$AU:$AU,0)),"")</f>
        <v/>
      </c>
      <c r="AF328" s="49" t="str">
        <f ca="1">IFERROR(INDEX(S:S,MATCH(SMALL($AU:$AU,ROW()+3),$AU:$AU,0)),"")</f>
        <v/>
      </c>
      <c r="AG328" s="49" t="str">
        <f ca="1">IFERROR(INDEX(T:T,MATCH(SMALL($AU:$AU,ROW()+3),$AU:$AU,0)),"")</f>
        <v/>
      </c>
      <c r="AH328" s="122" t="str">
        <f ca="1">IFERROR(INDEX(U:U,MATCH(SMALL($AU:$AU,ROW()+3),$AU:$AU,0)),"")</f>
        <v/>
      </c>
      <c r="AI328" s="49" t="str">
        <f ca="1">IFERROR(INDEX(V:V,MATCH(SMALL($AU:$AU,ROW()+3),$AU:$AU,0)),"")</f>
        <v/>
      </c>
      <c r="AJ328" s="49" t="str">
        <f ca="1">IFERROR(INDEX(W:W,MATCH(SMALL($AU:$AU,ROW()+3),$AU:$AU,0)),"")</f>
        <v/>
      </c>
      <c r="AK328" s="49" t="str">
        <f ca="1">IFERROR(INDEX(X:X,MATCH(SMALL($AU:$AU,ROW()+3),$AU:$AU,0)),"")</f>
        <v/>
      </c>
      <c r="AL328" s="49" t="str">
        <f ca="1">IFERROR(INDEX(Y:Y,MATCH(SMALL($AU:$AU,ROW()+3),$AU:$AU,0)),"")</f>
        <v/>
      </c>
      <c r="AM328" s="49" t="str">
        <f ca="1">IFERROR(INDEX(Z:Z,MATCH(SMALL($AU:$AU,ROW()+3),$AU:$AU,0)),"")</f>
        <v/>
      </c>
      <c r="AN328" s="49" t="str">
        <f ca="1">IFERROR(INDEX(AA:AA,MATCH(SMALL($AU:$AU,ROW()+3),$AU:$AU,0)),"")</f>
        <v/>
      </c>
      <c r="AO328" s="49" t="str">
        <f ca="1">IFERROR(INDEX(AB:AB,MATCH(SMALL($AU:$AU,ROW()+3),$AU:$AU,0)),"")</f>
        <v/>
      </c>
      <c r="AP328" s="49" t="str">
        <f ca="1">IFERROR(INDEX(AC:AC,MATCH(SMALL($AU:$AU,ROW()+3),$AU:$AU,0)),"")</f>
        <v/>
      </c>
    </row>
    <row r="329" spans="30:42">
      <c r="AD329" s="49" t="str">
        <f ca="1">IFERROR(INDEX(AC:AC,MATCH(SMALL($AU:$AU,ROW()+3),$AU:$AU,0)),"")</f>
        <v/>
      </c>
      <c r="AE329" s="49" t="str">
        <f ca="1">IFERROR(INDEX(R:R,MATCH(SMALL($AU:$AU,ROW()+3),$AU:$AU,0)),"")</f>
        <v/>
      </c>
      <c r="AF329" s="49" t="str">
        <f ca="1">IFERROR(INDEX(S:S,MATCH(SMALL($AU:$AU,ROW()+3),$AU:$AU,0)),"")</f>
        <v/>
      </c>
      <c r="AG329" s="49" t="str">
        <f ca="1">IFERROR(INDEX(T:T,MATCH(SMALL($AU:$AU,ROW()+3),$AU:$AU,0)),"")</f>
        <v/>
      </c>
      <c r="AH329" s="122" t="str">
        <f ca="1">IFERROR(INDEX(U:U,MATCH(SMALL($AU:$AU,ROW()+3),$AU:$AU,0)),"")</f>
        <v/>
      </c>
      <c r="AI329" s="49" t="str">
        <f ca="1">IFERROR(INDEX(V:V,MATCH(SMALL($AU:$AU,ROW()+3),$AU:$AU,0)),"")</f>
        <v/>
      </c>
      <c r="AJ329" s="49" t="str">
        <f ca="1">IFERROR(INDEX(W:W,MATCH(SMALL($AU:$AU,ROW()+3),$AU:$AU,0)),"")</f>
        <v/>
      </c>
      <c r="AK329" s="49" t="str">
        <f ca="1">IFERROR(INDEX(X:X,MATCH(SMALL($AU:$AU,ROW()+3),$AU:$AU,0)),"")</f>
        <v/>
      </c>
      <c r="AL329" s="49" t="str">
        <f ca="1">IFERROR(INDEX(Y:Y,MATCH(SMALL($AU:$AU,ROW()+3),$AU:$AU,0)),"")</f>
        <v/>
      </c>
      <c r="AM329" s="49" t="str">
        <f ca="1">IFERROR(INDEX(Z:Z,MATCH(SMALL($AU:$AU,ROW()+3),$AU:$AU,0)),"")</f>
        <v/>
      </c>
      <c r="AN329" s="49" t="str">
        <f ca="1">IFERROR(INDEX(AA:AA,MATCH(SMALL($AU:$AU,ROW()+3),$AU:$AU,0)),"")</f>
        <v/>
      </c>
      <c r="AO329" s="49" t="str">
        <f ca="1">IFERROR(INDEX(AB:AB,MATCH(SMALL($AU:$AU,ROW()+3),$AU:$AU,0)),"")</f>
        <v/>
      </c>
      <c r="AP329" s="49" t="str">
        <f ca="1">IFERROR(INDEX(AC:AC,MATCH(SMALL($AU:$AU,ROW()+3),$AU:$AU,0)),"")</f>
        <v/>
      </c>
    </row>
    <row r="330" spans="30:42">
      <c r="AD330" s="49" t="str">
        <f ca="1">IFERROR(INDEX(AC:AC,MATCH(SMALL($AU:$AU,ROW()+3),$AU:$AU,0)),"")</f>
        <v/>
      </c>
      <c r="AE330" s="49" t="str">
        <f ca="1">IFERROR(INDEX(R:R,MATCH(SMALL($AU:$AU,ROW()+3),$AU:$AU,0)),"")</f>
        <v/>
      </c>
      <c r="AF330" s="49" t="str">
        <f ca="1">IFERROR(INDEX(S:S,MATCH(SMALL($AU:$AU,ROW()+3),$AU:$AU,0)),"")</f>
        <v/>
      </c>
      <c r="AG330" s="49" t="str">
        <f ca="1">IFERROR(INDEX(T:T,MATCH(SMALL($AU:$AU,ROW()+3),$AU:$AU,0)),"")</f>
        <v/>
      </c>
      <c r="AH330" s="122" t="str">
        <f ca="1">IFERROR(INDEX(U:U,MATCH(SMALL($AU:$AU,ROW()+3),$AU:$AU,0)),"")</f>
        <v/>
      </c>
      <c r="AI330" s="49" t="str">
        <f ca="1">IFERROR(INDEX(V:V,MATCH(SMALL($AU:$AU,ROW()+3),$AU:$AU,0)),"")</f>
        <v/>
      </c>
      <c r="AJ330" s="49" t="str">
        <f ca="1">IFERROR(INDEX(W:W,MATCH(SMALL($AU:$AU,ROW()+3),$AU:$AU,0)),"")</f>
        <v/>
      </c>
      <c r="AK330" s="49" t="str">
        <f ca="1">IFERROR(INDEX(X:X,MATCH(SMALL($AU:$AU,ROW()+3),$AU:$AU,0)),"")</f>
        <v/>
      </c>
      <c r="AL330" s="49" t="str">
        <f ca="1">IFERROR(INDEX(Y:Y,MATCH(SMALL($AU:$AU,ROW()+3),$AU:$AU,0)),"")</f>
        <v/>
      </c>
      <c r="AM330" s="49" t="str">
        <f ca="1">IFERROR(INDEX(Z:Z,MATCH(SMALL($AU:$AU,ROW()+3),$AU:$AU,0)),"")</f>
        <v/>
      </c>
      <c r="AN330" s="49" t="str">
        <f ca="1">IFERROR(INDEX(AA:AA,MATCH(SMALL($AU:$AU,ROW()+3),$AU:$AU,0)),"")</f>
        <v/>
      </c>
      <c r="AO330" s="49" t="str">
        <f ca="1">IFERROR(INDEX(AB:AB,MATCH(SMALL($AU:$AU,ROW()+3),$AU:$AU,0)),"")</f>
        <v/>
      </c>
      <c r="AP330" s="49" t="str">
        <f ca="1">IFERROR(INDEX(AC:AC,MATCH(SMALL($AU:$AU,ROW()+3),$AU:$AU,0)),"")</f>
        <v/>
      </c>
    </row>
    <row r="331" spans="30:42">
      <c r="AD331" s="49" t="str">
        <f ca="1">IFERROR(INDEX(AC:AC,MATCH(SMALL($AU:$AU,ROW()+3),$AU:$AU,0)),"")</f>
        <v/>
      </c>
      <c r="AE331" s="49" t="str">
        <f ca="1">IFERROR(INDEX(R:R,MATCH(SMALL($AU:$AU,ROW()+3),$AU:$AU,0)),"")</f>
        <v/>
      </c>
      <c r="AF331" s="49" t="str">
        <f ca="1">IFERROR(INDEX(S:S,MATCH(SMALL($AU:$AU,ROW()+3),$AU:$AU,0)),"")</f>
        <v/>
      </c>
      <c r="AG331" s="49" t="str">
        <f ca="1">IFERROR(INDEX(T:T,MATCH(SMALL($AU:$AU,ROW()+3),$AU:$AU,0)),"")</f>
        <v/>
      </c>
      <c r="AH331" s="122" t="str">
        <f ca="1">IFERROR(INDEX(U:U,MATCH(SMALL($AU:$AU,ROW()+3),$AU:$AU,0)),"")</f>
        <v/>
      </c>
      <c r="AI331" s="49" t="str">
        <f ca="1">IFERROR(INDEX(V:V,MATCH(SMALL($AU:$AU,ROW()+3),$AU:$AU,0)),"")</f>
        <v/>
      </c>
      <c r="AJ331" s="49" t="str">
        <f ca="1">IFERROR(INDEX(W:W,MATCH(SMALL($AU:$AU,ROW()+3),$AU:$AU,0)),"")</f>
        <v/>
      </c>
      <c r="AK331" s="49" t="str">
        <f ca="1">IFERROR(INDEX(X:X,MATCH(SMALL($AU:$AU,ROW()+3),$AU:$AU,0)),"")</f>
        <v/>
      </c>
      <c r="AL331" s="49" t="str">
        <f ca="1">IFERROR(INDEX(Y:Y,MATCH(SMALL($AU:$AU,ROW()+3),$AU:$AU,0)),"")</f>
        <v/>
      </c>
      <c r="AM331" s="49" t="str">
        <f ca="1">IFERROR(INDEX(Z:Z,MATCH(SMALL($AU:$AU,ROW()+3),$AU:$AU,0)),"")</f>
        <v/>
      </c>
      <c r="AN331" s="49" t="str">
        <f ca="1">IFERROR(INDEX(AA:AA,MATCH(SMALL($AU:$AU,ROW()+3),$AU:$AU,0)),"")</f>
        <v/>
      </c>
      <c r="AO331" s="49" t="str">
        <f ca="1">IFERROR(INDEX(AB:AB,MATCH(SMALL($AU:$AU,ROW()+3),$AU:$AU,0)),"")</f>
        <v/>
      </c>
      <c r="AP331" s="49" t="str">
        <f ca="1">IFERROR(INDEX(AC:AC,MATCH(SMALL($AU:$AU,ROW()+3),$AU:$AU,0)),"")</f>
        <v/>
      </c>
    </row>
    <row r="332" spans="30:42">
      <c r="AD332" s="49" t="str">
        <f ca="1">IFERROR(INDEX(AC:AC,MATCH(SMALL($AU:$AU,ROW()+3),$AU:$AU,0)),"")</f>
        <v/>
      </c>
      <c r="AE332" s="49" t="str">
        <f ca="1">IFERROR(INDEX(R:R,MATCH(SMALL($AU:$AU,ROW()+3),$AU:$AU,0)),"")</f>
        <v/>
      </c>
      <c r="AF332" s="49" t="str">
        <f ca="1">IFERROR(INDEX(S:S,MATCH(SMALL($AU:$AU,ROW()+3),$AU:$AU,0)),"")</f>
        <v/>
      </c>
      <c r="AG332" s="49" t="str">
        <f ca="1">IFERROR(INDEX(T:T,MATCH(SMALL($AU:$AU,ROW()+3),$AU:$AU,0)),"")</f>
        <v/>
      </c>
      <c r="AH332" s="122" t="str">
        <f ca="1">IFERROR(INDEX(U:U,MATCH(SMALL($AU:$AU,ROW()+3),$AU:$AU,0)),"")</f>
        <v/>
      </c>
      <c r="AI332" s="49" t="str">
        <f ca="1">IFERROR(INDEX(V:V,MATCH(SMALL($AU:$AU,ROW()+3),$AU:$AU,0)),"")</f>
        <v/>
      </c>
      <c r="AJ332" s="49" t="str">
        <f ca="1">IFERROR(INDEX(W:W,MATCH(SMALL($AU:$AU,ROW()+3),$AU:$AU,0)),"")</f>
        <v/>
      </c>
      <c r="AK332" s="49" t="str">
        <f ca="1">IFERROR(INDEX(X:X,MATCH(SMALL($AU:$AU,ROW()+3),$AU:$AU,0)),"")</f>
        <v/>
      </c>
      <c r="AL332" s="49" t="str">
        <f ca="1">IFERROR(INDEX(Y:Y,MATCH(SMALL($AU:$AU,ROW()+3),$AU:$AU,0)),"")</f>
        <v/>
      </c>
      <c r="AM332" s="49" t="str">
        <f ca="1">IFERROR(INDEX(Z:Z,MATCH(SMALL($AU:$AU,ROW()+3),$AU:$AU,0)),"")</f>
        <v/>
      </c>
      <c r="AN332" s="49" t="str">
        <f ca="1">IFERROR(INDEX(AA:AA,MATCH(SMALL($AU:$AU,ROW()+3),$AU:$AU,0)),"")</f>
        <v/>
      </c>
      <c r="AO332" s="49" t="str">
        <f ca="1">IFERROR(INDEX(AB:AB,MATCH(SMALL($AU:$AU,ROW()+3),$AU:$AU,0)),"")</f>
        <v/>
      </c>
      <c r="AP332" s="49" t="str">
        <f ca="1">IFERROR(INDEX(AC:AC,MATCH(SMALL($AU:$AU,ROW()+3),$AU:$AU,0)),"")</f>
        <v/>
      </c>
    </row>
    <row r="333" spans="30:42">
      <c r="AD333" s="49" t="str">
        <f ca="1">IFERROR(INDEX(AC:AC,MATCH(SMALL($AU:$AU,ROW()+3),$AU:$AU,0)),"")</f>
        <v/>
      </c>
      <c r="AE333" s="49" t="str">
        <f ca="1">IFERROR(INDEX(R:R,MATCH(SMALL($AU:$AU,ROW()+3),$AU:$AU,0)),"")</f>
        <v/>
      </c>
      <c r="AF333" s="49" t="str">
        <f ca="1">IFERROR(INDEX(S:S,MATCH(SMALL($AU:$AU,ROW()+3),$AU:$AU,0)),"")</f>
        <v/>
      </c>
      <c r="AG333" s="49" t="str">
        <f ca="1">IFERROR(INDEX(T:T,MATCH(SMALL($AU:$AU,ROW()+3),$AU:$AU,0)),"")</f>
        <v/>
      </c>
      <c r="AH333" s="122" t="str">
        <f ca="1">IFERROR(INDEX(U:U,MATCH(SMALL($AU:$AU,ROW()+3),$AU:$AU,0)),"")</f>
        <v/>
      </c>
      <c r="AI333" s="49" t="str">
        <f ca="1">IFERROR(INDEX(V:V,MATCH(SMALL($AU:$AU,ROW()+3),$AU:$AU,0)),"")</f>
        <v/>
      </c>
      <c r="AJ333" s="49" t="str">
        <f ca="1">IFERROR(INDEX(W:W,MATCH(SMALL($AU:$AU,ROW()+3),$AU:$AU,0)),"")</f>
        <v/>
      </c>
      <c r="AK333" s="49" t="str">
        <f ca="1">IFERROR(INDEX(X:X,MATCH(SMALL($AU:$AU,ROW()+3),$AU:$AU,0)),"")</f>
        <v/>
      </c>
      <c r="AL333" s="49" t="str">
        <f ca="1">IFERROR(INDEX(Y:Y,MATCH(SMALL($AU:$AU,ROW()+3),$AU:$AU,0)),"")</f>
        <v/>
      </c>
      <c r="AM333" s="49" t="str">
        <f ca="1">IFERROR(INDEX(Z:Z,MATCH(SMALL($AU:$AU,ROW()+3),$AU:$AU,0)),"")</f>
        <v/>
      </c>
      <c r="AN333" s="49" t="str">
        <f ca="1">IFERROR(INDEX(AA:AA,MATCH(SMALL($AU:$AU,ROW()+3),$AU:$AU,0)),"")</f>
        <v/>
      </c>
      <c r="AO333" s="49" t="str">
        <f ca="1">IFERROR(INDEX(AB:AB,MATCH(SMALL($AU:$AU,ROW()+3),$AU:$AU,0)),"")</f>
        <v/>
      </c>
      <c r="AP333" s="49" t="str">
        <f ca="1">IFERROR(INDEX(AC:AC,MATCH(SMALL($AU:$AU,ROW()+3),$AU:$AU,0)),"")</f>
        <v/>
      </c>
    </row>
    <row r="334" spans="30:42">
      <c r="AD334" s="49" t="str">
        <f ca="1">IFERROR(INDEX(AC:AC,MATCH(SMALL($AU:$AU,ROW()+3),$AU:$AU,0)),"")</f>
        <v/>
      </c>
      <c r="AE334" s="49" t="str">
        <f ca="1">IFERROR(INDEX(R:R,MATCH(SMALL($AU:$AU,ROW()+3),$AU:$AU,0)),"")</f>
        <v/>
      </c>
      <c r="AF334" s="49" t="str">
        <f ca="1">IFERROR(INDEX(S:S,MATCH(SMALL($AU:$AU,ROW()+3),$AU:$AU,0)),"")</f>
        <v/>
      </c>
      <c r="AG334" s="49" t="str">
        <f ca="1">IFERROR(INDEX(T:T,MATCH(SMALL($AU:$AU,ROW()+3),$AU:$AU,0)),"")</f>
        <v/>
      </c>
      <c r="AH334" s="122" t="str">
        <f ca="1">IFERROR(INDEX(U:U,MATCH(SMALL($AU:$AU,ROW()+3),$AU:$AU,0)),"")</f>
        <v/>
      </c>
      <c r="AI334" s="49" t="str">
        <f ca="1">IFERROR(INDEX(V:V,MATCH(SMALL($AU:$AU,ROW()+3),$AU:$AU,0)),"")</f>
        <v/>
      </c>
      <c r="AJ334" s="49" t="str">
        <f ca="1">IFERROR(INDEX(W:W,MATCH(SMALL($AU:$AU,ROW()+3),$AU:$AU,0)),"")</f>
        <v/>
      </c>
      <c r="AK334" s="49" t="str">
        <f ca="1">IFERROR(INDEX(X:X,MATCH(SMALL($AU:$AU,ROW()+3),$AU:$AU,0)),"")</f>
        <v/>
      </c>
      <c r="AL334" s="49" t="str">
        <f ca="1">IFERROR(INDEX(Y:Y,MATCH(SMALL($AU:$AU,ROW()+3),$AU:$AU,0)),"")</f>
        <v/>
      </c>
      <c r="AM334" s="49" t="str">
        <f ca="1">IFERROR(INDEX(Z:Z,MATCH(SMALL($AU:$AU,ROW()+3),$AU:$AU,0)),"")</f>
        <v/>
      </c>
      <c r="AN334" s="49" t="str">
        <f ca="1">IFERROR(INDEX(AA:AA,MATCH(SMALL($AU:$AU,ROW()+3),$AU:$AU,0)),"")</f>
        <v/>
      </c>
      <c r="AO334" s="49" t="str">
        <f ca="1">IFERROR(INDEX(AB:AB,MATCH(SMALL($AU:$AU,ROW()+3),$AU:$AU,0)),"")</f>
        <v/>
      </c>
      <c r="AP334" s="49" t="str">
        <f ca="1">IFERROR(INDEX(AC:AC,MATCH(SMALL($AU:$AU,ROW()+3),$AU:$AU,0)),"")</f>
        <v/>
      </c>
    </row>
    <row r="335" spans="30:42">
      <c r="AD335" s="49" t="str">
        <f ca="1">IFERROR(INDEX(AC:AC,MATCH(SMALL($AU:$AU,ROW()+3),$AU:$AU,0)),"")</f>
        <v/>
      </c>
      <c r="AE335" s="49" t="str">
        <f ca="1">IFERROR(INDEX(R:R,MATCH(SMALL($AU:$AU,ROW()+3),$AU:$AU,0)),"")</f>
        <v/>
      </c>
      <c r="AF335" s="49" t="str">
        <f ca="1">IFERROR(INDEX(S:S,MATCH(SMALL($AU:$AU,ROW()+3),$AU:$AU,0)),"")</f>
        <v/>
      </c>
      <c r="AG335" s="49" t="str">
        <f ca="1">IFERROR(INDEX(T:T,MATCH(SMALL($AU:$AU,ROW()+3),$AU:$AU,0)),"")</f>
        <v/>
      </c>
      <c r="AH335" s="122" t="str">
        <f ca="1">IFERROR(INDEX(U:U,MATCH(SMALL($AU:$AU,ROW()+3),$AU:$AU,0)),"")</f>
        <v/>
      </c>
      <c r="AI335" s="49" t="str">
        <f ca="1">IFERROR(INDEX(V:V,MATCH(SMALL($AU:$AU,ROW()+3),$AU:$AU,0)),"")</f>
        <v/>
      </c>
      <c r="AJ335" s="49" t="str">
        <f ca="1">IFERROR(INDEX(W:W,MATCH(SMALL($AU:$AU,ROW()+3),$AU:$AU,0)),"")</f>
        <v/>
      </c>
      <c r="AK335" s="49" t="str">
        <f ca="1">IFERROR(INDEX(X:X,MATCH(SMALL($AU:$AU,ROW()+3),$AU:$AU,0)),"")</f>
        <v/>
      </c>
      <c r="AL335" s="49" t="str">
        <f ca="1">IFERROR(INDEX(Y:Y,MATCH(SMALL($AU:$AU,ROW()+3),$AU:$AU,0)),"")</f>
        <v/>
      </c>
      <c r="AM335" s="49" t="str">
        <f ca="1">IFERROR(INDEX(Z:Z,MATCH(SMALL($AU:$AU,ROW()+3),$AU:$AU,0)),"")</f>
        <v/>
      </c>
      <c r="AN335" s="49" t="str">
        <f ca="1">IFERROR(INDEX(AA:AA,MATCH(SMALL($AU:$AU,ROW()+3),$AU:$AU,0)),"")</f>
        <v/>
      </c>
      <c r="AO335" s="49" t="str">
        <f ca="1">IFERROR(INDEX(AB:AB,MATCH(SMALL($AU:$AU,ROW()+3),$AU:$AU,0)),"")</f>
        <v/>
      </c>
      <c r="AP335" s="49" t="str">
        <f ca="1">IFERROR(INDEX(AC:AC,MATCH(SMALL($AU:$AU,ROW()+3),$AU:$AU,0)),"")</f>
        <v/>
      </c>
    </row>
    <row r="336" spans="30:42">
      <c r="AD336" s="49" t="str">
        <f ca="1">IFERROR(INDEX(AC:AC,MATCH(SMALL($AU:$AU,ROW()+3),$AU:$AU,0)),"")</f>
        <v/>
      </c>
      <c r="AE336" s="49" t="str">
        <f ca="1">IFERROR(INDEX(R:R,MATCH(SMALL($AU:$AU,ROW()+3),$AU:$AU,0)),"")</f>
        <v/>
      </c>
      <c r="AF336" s="49" t="str">
        <f ca="1">IFERROR(INDEX(S:S,MATCH(SMALL($AU:$AU,ROW()+3),$AU:$AU,0)),"")</f>
        <v/>
      </c>
      <c r="AG336" s="49" t="str">
        <f ca="1">IFERROR(INDEX(T:T,MATCH(SMALL($AU:$AU,ROW()+3),$AU:$AU,0)),"")</f>
        <v/>
      </c>
      <c r="AH336" s="122" t="str">
        <f ca="1">IFERROR(INDEX(U:U,MATCH(SMALL($AU:$AU,ROW()+3),$AU:$AU,0)),"")</f>
        <v/>
      </c>
      <c r="AI336" s="49" t="str">
        <f ca="1">IFERROR(INDEX(V:V,MATCH(SMALL($AU:$AU,ROW()+3),$AU:$AU,0)),"")</f>
        <v/>
      </c>
      <c r="AJ336" s="49" t="str">
        <f ca="1">IFERROR(INDEX(W:W,MATCH(SMALL($AU:$AU,ROW()+3),$AU:$AU,0)),"")</f>
        <v/>
      </c>
      <c r="AK336" s="49" t="str">
        <f ca="1">IFERROR(INDEX(X:X,MATCH(SMALL($AU:$AU,ROW()+3),$AU:$AU,0)),"")</f>
        <v/>
      </c>
      <c r="AL336" s="49" t="str">
        <f ca="1">IFERROR(INDEX(Y:Y,MATCH(SMALL($AU:$AU,ROW()+3),$AU:$AU,0)),"")</f>
        <v/>
      </c>
      <c r="AM336" s="49" t="str">
        <f ca="1">IFERROR(INDEX(Z:Z,MATCH(SMALL($AU:$AU,ROW()+3),$AU:$AU,0)),"")</f>
        <v/>
      </c>
      <c r="AN336" s="49" t="str">
        <f ca="1">IFERROR(INDEX(AA:AA,MATCH(SMALL($AU:$AU,ROW()+3),$AU:$AU,0)),"")</f>
        <v/>
      </c>
      <c r="AO336" s="49" t="str">
        <f ca="1">IFERROR(INDEX(AB:AB,MATCH(SMALL($AU:$AU,ROW()+3),$AU:$AU,0)),"")</f>
        <v/>
      </c>
      <c r="AP336" s="49" t="str">
        <f ca="1">IFERROR(INDEX(AC:AC,MATCH(SMALL($AU:$AU,ROW()+3),$AU:$AU,0)),"")</f>
        <v/>
      </c>
    </row>
    <row r="337" spans="30:42">
      <c r="AD337" s="49" t="str">
        <f ca="1">IFERROR(INDEX(AC:AC,MATCH(SMALL($AU:$AU,ROW()+3),$AU:$AU,0)),"")</f>
        <v/>
      </c>
      <c r="AE337" s="49" t="str">
        <f ca="1">IFERROR(INDEX(R:R,MATCH(SMALL($AU:$AU,ROW()+3),$AU:$AU,0)),"")</f>
        <v/>
      </c>
      <c r="AF337" s="49" t="str">
        <f ca="1">IFERROR(INDEX(S:S,MATCH(SMALL($AU:$AU,ROW()+3),$AU:$AU,0)),"")</f>
        <v/>
      </c>
      <c r="AG337" s="49" t="str">
        <f ca="1">IFERROR(INDEX(T:T,MATCH(SMALL($AU:$AU,ROW()+3),$AU:$AU,0)),"")</f>
        <v/>
      </c>
      <c r="AH337" s="122" t="str">
        <f ca="1">IFERROR(INDEX(U:U,MATCH(SMALL($AU:$AU,ROW()+3),$AU:$AU,0)),"")</f>
        <v/>
      </c>
      <c r="AI337" s="49" t="str">
        <f ca="1">IFERROR(INDEX(V:V,MATCH(SMALL($AU:$AU,ROW()+3),$AU:$AU,0)),"")</f>
        <v/>
      </c>
      <c r="AJ337" s="49" t="str">
        <f ca="1">IFERROR(INDEX(W:W,MATCH(SMALL($AU:$AU,ROW()+3),$AU:$AU,0)),"")</f>
        <v/>
      </c>
      <c r="AK337" s="49" t="str">
        <f ca="1">IFERROR(INDEX(X:X,MATCH(SMALL($AU:$AU,ROW()+3),$AU:$AU,0)),"")</f>
        <v/>
      </c>
      <c r="AL337" s="49" t="str">
        <f ca="1">IFERROR(INDEX(Y:Y,MATCH(SMALL($AU:$AU,ROW()+3),$AU:$AU,0)),"")</f>
        <v/>
      </c>
      <c r="AM337" s="49" t="str">
        <f ca="1">IFERROR(INDEX(Z:Z,MATCH(SMALL($AU:$AU,ROW()+3),$AU:$AU,0)),"")</f>
        <v/>
      </c>
      <c r="AN337" s="49" t="str">
        <f ca="1">IFERROR(INDEX(AA:AA,MATCH(SMALL($AU:$AU,ROW()+3),$AU:$AU,0)),"")</f>
        <v/>
      </c>
      <c r="AO337" s="49" t="str">
        <f ca="1">IFERROR(INDEX(AB:AB,MATCH(SMALL($AU:$AU,ROW()+3),$AU:$AU,0)),"")</f>
        <v/>
      </c>
      <c r="AP337" s="49" t="str">
        <f ca="1">IFERROR(INDEX(AC:AC,MATCH(SMALL($AU:$AU,ROW()+3),$AU:$AU,0)),"")</f>
        <v/>
      </c>
    </row>
    <row r="338" spans="30:42">
      <c r="AD338" s="49" t="str">
        <f ca="1">IFERROR(INDEX(AC:AC,MATCH(SMALL($AU:$AU,ROW()+3),$AU:$AU,0)),"")</f>
        <v/>
      </c>
      <c r="AE338" s="49" t="str">
        <f ca="1">IFERROR(INDEX(R:R,MATCH(SMALL($AU:$AU,ROW()+3),$AU:$AU,0)),"")</f>
        <v/>
      </c>
      <c r="AF338" s="49" t="str">
        <f ca="1">IFERROR(INDEX(S:S,MATCH(SMALL($AU:$AU,ROW()+3),$AU:$AU,0)),"")</f>
        <v/>
      </c>
      <c r="AG338" s="49" t="str">
        <f ca="1">IFERROR(INDEX(T:T,MATCH(SMALL($AU:$AU,ROW()+3),$AU:$AU,0)),"")</f>
        <v/>
      </c>
      <c r="AH338" s="122" t="str">
        <f ca="1">IFERROR(INDEX(U:U,MATCH(SMALL($AU:$AU,ROW()+3),$AU:$AU,0)),"")</f>
        <v/>
      </c>
      <c r="AI338" s="49" t="str">
        <f ca="1">IFERROR(INDEX(V:V,MATCH(SMALL($AU:$AU,ROW()+3),$AU:$AU,0)),"")</f>
        <v/>
      </c>
      <c r="AJ338" s="49" t="str">
        <f ca="1">IFERROR(INDEX(W:W,MATCH(SMALL($AU:$AU,ROW()+3),$AU:$AU,0)),"")</f>
        <v/>
      </c>
      <c r="AK338" s="49" t="str">
        <f ca="1">IFERROR(INDEX(X:X,MATCH(SMALL($AU:$AU,ROW()+3),$AU:$AU,0)),"")</f>
        <v/>
      </c>
      <c r="AL338" s="49" t="str">
        <f ca="1">IFERROR(INDEX(Y:Y,MATCH(SMALL($AU:$AU,ROW()+3),$AU:$AU,0)),"")</f>
        <v/>
      </c>
      <c r="AM338" s="49" t="str">
        <f ca="1">IFERROR(INDEX(Z:Z,MATCH(SMALL($AU:$AU,ROW()+3),$AU:$AU,0)),"")</f>
        <v/>
      </c>
      <c r="AN338" s="49" t="str">
        <f ca="1">IFERROR(INDEX(AA:AA,MATCH(SMALL($AU:$AU,ROW()+3),$AU:$AU,0)),"")</f>
        <v/>
      </c>
      <c r="AO338" s="49" t="str">
        <f ca="1">IFERROR(INDEX(AB:AB,MATCH(SMALL($AU:$AU,ROW()+3),$AU:$AU,0)),"")</f>
        <v/>
      </c>
      <c r="AP338" s="49" t="str">
        <f ca="1">IFERROR(INDEX(AC:AC,MATCH(SMALL($AU:$AU,ROW()+3),$AU:$AU,0)),"")</f>
        <v/>
      </c>
    </row>
    <row r="339" spans="30:42">
      <c r="AD339" s="49" t="str">
        <f ca="1">IFERROR(INDEX(AC:AC,MATCH(SMALL($AU:$AU,ROW()+3),$AU:$AU,0)),"")</f>
        <v/>
      </c>
      <c r="AE339" s="49" t="str">
        <f ca="1">IFERROR(INDEX(R:R,MATCH(SMALL($AU:$AU,ROW()+3),$AU:$AU,0)),"")</f>
        <v/>
      </c>
      <c r="AF339" s="49" t="str">
        <f ca="1">IFERROR(INDEX(S:S,MATCH(SMALL($AU:$AU,ROW()+3),$AU:$AU,0)),"")</f>
        <v/>
      </c>
      <c r="AG339" s="49" t="str">
        <f ca="1">IFERROR(INDEX(T:T,MATCH(SMALL($AU:$AU,ROW()+3),$AU:$AU,0)),"")</f>
        <v/>
      </c>
      <c r="AH339" s="122" t="str">
        <f ca="1">IFERROR(INDEX(U:U,MATCH(SMALL($AU:$AU,ROW()+3),$AU:$AU,0)),"")</f>
        <v/>
      </c>
      <c r="AI339" s="49" t="str">
        <f ca="1">IFERROR(INDEX(V:V,MATCH(SMALL($AU:$AU,ROW()+3),$AU:$AU,0)),"")</f>
        <v/>
      </c>
      <c r="AJ339" s="49" t="str">
        <f ca="1">IFERROR(INDEX(W:W,MATCH(SMALL($AU:$AU,ROW()+3),$AU:$AU,0)),"")</f>
        <v/>
      </c>
      <c r="AK339" s="49" t="str">
        <f ca="1">IFERROR(INDEX(X:X,MATCH(SMALL($AU:$AU,ROW()+3),$AU:$AU,0)),"")</f>
        <v/>
      </c>
      <c r="AL339" s="49" t="str">
        <f ca="1">IFERROR(INDEX(Y:Y,MATCH(SMALL($AU:$AU,ROW()+3),$AU:$AU,0)),"")</f>
        <v/>
      </c>
      <c r="AM339" s="49" t="str">
        <f ca="1">IFERROR(INDEX(Z:Z,MATCH(SMALL($AU:$AU,ROW()+3),$AU:$AU,0)),"")</f>
        <v/>
      </c>
      <c r="AN339" s="49" t="str">
        <f ca="1">IFERROR(INDEX(AA:AA,MATCH(SMALL($AU:$AU,ROW()+3),$AU:$AU,0)),"")</f>
        <v/>
      </c>
      <c r="AO339" s="49" t="str">
        <f ca="1">IFERROR(INDEX(AB:AB,MATCH(SMALL($AU:$AU,ROW()+3),$AU:$AU,0)),"")</f>
        <v/>
      </c>
      <c r="AP339" s="49" t="str">
        <f ca="1">IFERROR(INDEX(AC:AC,MATCH(SMALL($AU:$AU,ROW()+3),$AU:$AU,0)),"")</f>
        <v/>
      </c>
    </row>
    <row r="340" spans="30:42">
      <c r="AD340" s="49" t="str">
        <f ca="1">IFERROR(INDEX(AC:AC,MATCH(SMALL($AU:$AU,ROW()+3),$AU:$AU,0)),"")</f>
        <v/>
      </c>
      <c r="AE340" s="49" t="str">
        <f ca="1">IFERROR(INDEX(R:R,MATCH(SMALL($AU:$AU,ROW()+3),$AU:$AU,0)),"")</f>
        <v/>
      </c>
      <c r="AF340" s="49" t="str">
        <f ca="1">IFERROR(INDEX(S:S,MATCH(SMALL($AU:$AU,ROW()+3),$AU:$AU,0)),"")</f>
        <v/>
      </c>
      <c r="AG340" s="49" t="str">
        <f ca="1">IFERROR(INDEX(T:T,MATCH(SMALL($AU:$AU,ROW()+3),$AU:$AU,0)),"")</f>
        <v/>
      </c>
      <c r="AH340" s="122" t="str">
        <f ca="1">IFERROR(INDEX(U:U,MATCH(SMALL($AU:$AU,ROW()+3),$AU:$AU,0)),"")</f>
        <v/>
      </c>
      <c r="AI340" s="49" t="str">
        <f ca="1">IFERROR(INDEX(V:V,MATCH(SMALL($AU:$AU,ROW()+3),$AU:$AU,0)),"")</f>
        <v/>
      </c>
      <c r="AJ340" s="49" t="str">
        <f ca="1">IFERROR(INDEX(W:W,MATCH(SMALL($AU:$AU,ROW()+3),$AU:$AU,0)),"")</f>
        <v/>
      </c>
      <c r="AK340" s="49" t="str">
        <f ca="1">IFERROR(INDEX(X:X,MATCH(SMALL($AU:$AU,ROW()+3),$AU:$AU,0)),"")</f>
        <v/>
      </c>
      <c r="AL340" s="49" t="str">
        <f ca="1">IFERROR(INDEX(Y:Y,MATCH(SMALL($AU:$AU,ROW()+3),$AU:$AU,0)),"")</f>
        <v/>
      </c>
      <c r="AM340" s="49" t="str">
        <f ca="1">IFERROR(INDEX(Z:Z,MATCH(SMALL($AU:$AU,ROW()+3),$AU:$AU,0)),"")</f>
        <v/>
      </c>
      <c r="AN340" s="49" t="str">
        <f ca="1">IFERROR(INDEX(AA:AA,MATCH(SMALL($AU:$AU,ROW()+3),$AU:$AU,0)),"")</f>
        <v/>
      </c>
      <c r="AO340" s="49" t="str">
        <f ca="1">IFERROR(INDEX(AB:AB,MATCH(SMALL($AU:$AU,ROW()+3),$AU:$AU,0)),"")</f>
        <v/>
      </c>
      <c r="AP340" s="49" t="str">
        <f ca="1">IFERROR(INDEX(AC:AC,MATCH(SMALL($AU:$AU,ROW()+3),$AU:$AU,0)),"")</f>
        <v/>
      </c>
    </row>
    <row r="341" spans="30:42">
      <c r="AD341" s="49" t="str">
        <f ca="1">IFERROR(INDEX(AC:AC,MATCH(SMALL($AU:$AU,ROW()+3),$AU:$AU,0)),"")</f>
        <v/>
      </c>
      <c r="AE341" s="49" t="str">
        <f ca="1">IFERROR(INDEX(R:R,MATCH(SMALL($AU:$AU,ROW()+3),$AU:$AU,0)),"")</f>
        <v/>
      </c>
      <c r="AF341" s="49" t="str">
        <f ca="1">IFERROR(INDEX(S:S,MATCH(SMALL($AU:$AU,ROW()+3),$AU:$AU,0)),"")</f>
        <v/>
      </c>
      <c r="AG341" s="49" t="str">
        <f ca="1">IFERROR(INDEX(T:T,MATCH(SMALL($AU:$AU,ROW()+3),$AU:$AU,0)),"")</f>
        <v/>
      </c>
      <c r="AH341" s="122" t="str">
        <f ca="1">IFERROR(INDEX(U:U,MATCH(SMALL($AU:$AU,ROW()+3),$AU:$AU,0)),"")</f>
        <v/>
      </c>
      <c r="AI341" s="49" t="str">
        <f ca="1">IFERROR(INDEX(V:V,MATCH(SMALL($AU:$AU,ROW()+3),$AU:$AU,0)),"")</f>
        <v/>
      </c>
      <c r="AJ341" s="49" t="str">
        <f ca="1">IFERROR(INDEX(W:W,MATCH(SMALL($AU:$AU,ROW()+3),$AU:$AU,0)),"")</f>
        <v/>
      </c>
      <c r="AK341" s="49" t="str">
        <f ca="1">IFERROR(INDEX(X:X,MATCH(SMALL($AU:$AU,ROW()+3),$AU:$AU,0)),"")</f>
        <v/>
      </c>
      <c r="AL341" s="49" t="str">
        <f ca="1">IFERROR(INDEX(Y:Y,MATCH(SMALL($AU:$AU,ROW()+3),$AU:$AU,0)),"")</f>
        <v/>
      </c>
      <c r="AM341" s="49" t="str">
        <f ca="1">IFERROR(INDEX(Z:Z,MATCH(SMALL($AU:$AU,ROW()+3),$AU:$AU,0)),"")</f>
        <v/>
      </c>
      <c r="AN341" s="49" t="str">
        <f ca="1">IFERROR(INDEX(AA:AA,MATCH(SMALL($AU:$AU,ROW()+3),$AU:$AU,0)),"")</f>
        <v/>
      </c>
      <c r="AO341" s="49" t="str">
        <f ca="1">IFERROR(INDEX(AB:AB,MATCH(SMALL($AU:$AU,ROW()+3),$AU:$AU,0)),"")</f>
        <v/>
      </c>
      <c r="AP341" s="49" t="str">
        <f ca="1">IFERROR(INDEX(AC:AC,MATCH(SMALL($AU:$AU,ROW()+3),$AU:$AU,0)),"")</f>
        <v/>
      </c>
    </row>
    <row r="342" spans="30:42">
      <c r="AD342" s="49" t="str">
        <f ca="1">IFERROR(INDEX(AC:AC,MATCH(SMALL($AU:$AU,ROW()+3),$AU:$AU,0)),"")</f>
        <v/>
      </c>
      <c r="AE342" s="49" t="str">
        <f ca="1">IFERROR(INDEX(R:R,MATCH(SMALL($AU:$AU,ROW()+3),$AU:$AU,0)),"")</f>
        <v/>
      </c>
      <c r="AF342" s="49" t="str">
        <f ca="1">IFERROR(INDEX(S:S,MATCH(SMALL($AU:$AU,ROW()+3),$AU:$AU,0)),"")</f>
        <v/>
      </c>
      <c r="AG342" s="49" t="str">
        <f ca="1">IFERROR(INDEX(T:T,MATCH(SMALL($AU:$AU,ROW()+3),$AU:$AU,0)),"")</f>
        <v/>
      </c>
      <c r="AH342" s="122" t="str">
        <f ca="1">IFERROR(INDEX(U:U,MATCH(SMALL($AU:$AU,ROW()+3),$AU:$AU,0)),"")</f>
        <v/>
      </c>
      <c r="AI342" s="49" t="str">
        <f ca="1">IFERROR(INDEX(V:V,MATCH(SMALL($AU:$AU,ROW()+3),$AU:$AU,0)),"")</f>
        <v/>
      </c>
      <c r="AJ342" s="49" t="str">
        <f ca="1">IFERROR(INDEX(W:W,MATCH(SMALL($AU:$AU,ROW()+3),$AU:$AU,0)),"")</f>
        <v/>
      </c>
      <c r="AK342" s="49" t="str">
        <f ca="1">IFERROR(INDEX(X:X,MATCH(SMALL($AU:$AU,ROW()+3),$AU:$AU,0)),"")</f>
        <v/>
      </c>
      <c r="AL342" s="49" t="str">
        <f ca="1">IFERROR(INDEX(Y:Y,MATCH(SMALL($AU:$AU,ROW()+3),$AU:$AU,0)),"")</f>
        <v/>
      </c>
      <c r="AM342" s="49" t="str">
        <f ca="1">IFERROR(INDEX(Z:Z,MATCH(SMALL($AU:$AU,ROW()+3),$AU:$AU,0)),"")</f>
        <v/>
      </c>
      <c r="AN342" s="49" t="str">
        <f ca="1">IFERROR(INDEX(AA:AA,MATCH(SMALL($AU:$AU,ROW()+3),$AU:$AU,0)),"")</f>
        <v/>
      </c>
      <c r="AO342" s="49" t="str">
        <f ca="1">IFERROR(INDEX(AB:AB,MATCH(SMALL($AU:$AU,ROW()+3),$AU:$AU,0)),"")</f>
        <v/>
      </c>
      <c r="AP342" s="49" t="str">
        <f ca="1">IFERROR(INDEX(AC:AC,MATCH(SMALL($AU:$AU,ROW()+3),$AU:$AU,0)),"")</f>
        <v/>
      </c>
    </row>
    <row r="343" spans="30:42">
      <c r="AD343" s="49" t="str">
        <f ca="1">IFERROR(INDEX(AC:AC,MATCH(SMALL($AU:$AU,ROW()+3),$AU:$AU,0)),"")</f>
        <v/>
      </c>
      <c r="AE343" s="49" t="str">
        <f ca="1">IFERROR(INDEX(R:R,MATCH(SMALL($AU:$AU,ROW()+3),$AU:$AU,0)),"")</f>
        <v/>
      </c>
      <c r="AF343" s="49" t="str">
        <f ca="1">IFERROR(INDEX(S:S,MATCH(SMALL($AU:$AU,ROW()+3),$AU:$AU,0)),"")</f>
        <v/>
      </c>
      <c r="AG343" s="49" t="str">
        <f ca="1">IFERROR(INDEX(T:T,MATCH(SMALL($AU:$AU,ROW()+3),$AU:$AU,0)),"")</f>
        <v/>
      </c>
      <c r="AH343" s="122" t="str">
        <f ca="1">IFERROR(INDEX(U:U,MATCH(SMALL($AU:$AU,ROW()+3),$AU:$AU,0)),"")</f>
        <v/>
      </c>
      <c r="AI343" s="49" t="str">
        <f ca="1">IFERROR(INDEX(V:V,MATCH(SMALL($AU:$AU,ROW()+3),$AU:$AU,0)),"")</f>
        <v/>
      </c>
      <c r="AJ343" s="49" t="str">
        <f ca="1">IFERROR(INDEX(W:W,MATCH(SMALL($AU:$AU,ROW()+3),$AU:$AU,0)),"")</f>
        <v/>
      </c>
      <c r="AK343" s="49" t="str">
        <f ca="1">IFERROR(INDEX(X:X,MATCH(SMALL($AU:$AU,ROW()+3),$AU:$AU,0)),"")</f>
        <v/>
      </c>
      <c r="AL343" s="49" t="str">
        <f ca="1">IFERROR(INDEX(Y:Y,MATCH(SMALL($AU:$AU,ROW()+3),$AU:$AU,0)),"")</f>
        <v/>
      </c>
      <c r="AM343" s="49" t="str">
        <f ca="1">IFERROR(INDEX(Z:Z,MATCH(SMALL($AU:$AU,ROW()+3),$AU:$AU,0)),"")</f>
        <v/>
      </c>
      <c r="AN343" s="49" t="str">
        <f ca="1">IFERROR(INDEX(AA:AA,MATCH(SMALL($AU:$AU,ROW()+3),$AU:$AU,0)),"")</f>
        <v/>
      </c>
      <c r="AO343" s="49" t="str">
        <f ca="1">IFERROR(INDEX(AB:AB,MATCH(SMALL($AU:$AU,ROW()+3),$AU:$AU,0)),"")</f>
        <v/>
      </c>
      <c r="AP343" s="49" t="str">
        <f ca="1">IFERROR(INDEX(AC:AC,MATCH(SMALL($AU:$AU,ROW()+3),$AU:$AU,0)),"")</f>
        <v/>
      </c>
    </row>
    <row r="344" spans="30:42">
      <c r="AD344" s="49" t="str">
        <f ca="1">IFERROR(INDEX(AC:AC,MATCH(SMALL($AU:$AU,ROW()+3),$AU:$AU,0)),"")</f>
        <v/>
      </c>
      <c r="AE344" s="49" t="str">
        <f ca="1">IFERROR(INDEX(R:R,MATCH(SMALL($AU:$AU,ROW()+3),$AU:$AU,0)),"")</f>
        <v/>
      </c>
      <c r="AF344" s="49" t="str">
        <f ca="1">IFERROR(INDEX(S:S,MATCH(SMALL($AU:$AU,ROW()+3),$AU:$AU,0)),"")</f>
        <v/>
      </c>
      <c r="AG344" s="49" t="str">
        <f ca="1">IFERROR(INDEX(T:T,MATCH(SMALL($AU:$AU,ROW()+3),$AU:$AU,0)),"")</f>
        <v/>
      </c>
      <c r="AH344" s="122" t="str">
        <f ca="1">IFERROR(INDEX(U:U,MATCH(SMALL($AU:$AU,ROW()+3),$AU:$AU,0)),"")</f>
        <v/>
      </c>
      <c r="AI344" s="49" t="str">
        <f ca="1">IFERROR(INDEX(V:V,MATCH(SMALL($AU:$AU,ROW()+3),$AU:$AU,0)),"")</f>
        <v/>
      </c>
      <c r="AJ344" s="49" t="str">
        <f ca="1">IFERROR(INDEX(W:W,MATCH(SMALL($AU:$AU,ROW()+3),$AU:$AU,0)),"")</f>
        <v/>
      </c>
      <c r="AK344" s="49" t="str">
        <f ca="1">IFERROR(INDEX(X:X,MATCH(SMALL($AU:$AU,ROW()+3),$AU:$AU,0)),"")</f>
        <v/>
      </c>
      <c r="AL344" s="49" t="str">
        <f ca="1">IFERROR(INDEX(Y:Y,MATCH(SMALL($AU:$AU,ROW()+3),$AU:$AU,0)),"")</f>
        <v/>
      </c>
      <c r="AM344" s="49" t="str">
        <f ca="1">IFERROR(INDEX(Z:Z,MATCH(SMALL($AU:$AU,ROW()+3),$AU:$AU,0)),"")</f>
        <v/>
      </c>
      <c r="AN344" s="49" t="str">
        <f ca="1">IFERROR(INDEX(AA:AA,MATCH(SMALL($AU:$AU,ROW()+3),$AU:$AU,0)),"")</f>
        <v/>
      </c>
      <c r="AO344" s="49" t="str">
        <f ca="1">IFERROR(INDEX(AB:AB,MATCH(SMALL($AU:$AU,ROW()+3),$AU:$AU,0)),"")</f>
        <v/>
      </c>
      <c r="AP344" s="49" t="str">
        <f ca="1">IFERROR(INDEX(AC:AC,MATCH(SMALL($AU:$AU,ROW()+3),$AU:$AU,0)),"")</f>
        <v/>
      </c>
    </row>
    <row r="345" spans="30:42">
      <c r="AD345" s="49" t="str">
        <f ca="1">IFERROR(INDEX(AC:AC,MATCH(SMALL($AU:$AU,ROW()+3),$AU:$AU,0)),"")</f>
        <v/>
      </c>
      <c r="AE345" s="49" t="str">
        <f ca="1">IFERROR(INDEX(R:R,MATCH(SMALL($AU:$AU,ROW()+3),$AU:$AU,0)),"")</f>
        <v/>
      </c>
      <c r="AF345" s="49" t="str">
        <f ca="1">IFERROR(INDEX(S:S,MATCH(SMALL($AU:$AU,ROW()+3),$AU:$AU,0)),"")</f>
        <v/>
      </c>
      <c r="AG345" s="49" t="str">
        <f ca="1">IFERROR(INDEX(T:T,MATCH(SMALL($AU:$AU,ROW()+3),$AU:$AU,0)),"")</f>
        <v/>
      </c>
      <c r="AH345" s="122" t="str">
        <f ca="1">IFERROR(INDEX(U:U,MATCH(SMALL($AU:$AU,ROW()+3),$AU:$AU,0)),"")</f>
        <v/>
      </c>
      <c r="AI345" s="49" t="str">
        <f ca="1">IFERROR(INDEX(V:V,MATCH(SMALL($AU:$AU,ROW()+3),$AU:$AU,0)),"")</f>
        <v/>
      </c>
      <c r="AJ345" s="49" t="str">
        <f ca="1">IFERROR(INDEX(W:W,MATCH(SMALL($AU:$AU,ROW()+3),$AU:$AU,0)),"")</f>
        <v/>
      </c>
      <c r="AK345" s="49" t="str">
        <f ca="1">IFERROR(INDEX(X:X,MATCH(SMALL($AU:$AU,ROW()+3),$AU:$AU,0)),"")</f>
        <v/>
      </c>
      <c r="AL345" s="49" t="str">
        <f ca="1">IFERROR(INDEX(Y:Y,MATCH(SMALL($AU:$AU,ROW()+3),$AU:$AU,0)),"")</f>
        <v/>
      </c>
      <c r="AM345" s="49" t="str">
        <f ca="1">IFERROR(INDEX(Z:Z,MATCH(SMALL($AU:$AU,ROW()+3),$AU:$AU,0)),"")</f>
        <v/>
      </c>
      <c r="AN345" s="49" t="str">
        <f ca="1">IFERROR(INDEX(AA:AA,MATCH(SMALL($AU:$AU,ROW()+3),$AU:$AU,0)),"")</f>
        <v/>
      </c>
      <c r="AO345" s="49" t="str">
        <f ca="1">IFERROR(INDEX(AB:AB,MATCH(SMALL($AU:$AU,ROW()+3),$AU:$AU,0)),"")</f>
        <v/>
      </c>
      <c r="AP345" s="49" t="str">
        <f ca="1">IFERROR(INDEX(AC:AC,MATCH(SMALL($AU:$AU,ROW()+3),$AU:$AU,0)),"")</f>
        <v/>
      </c>
    </row>
    <row r="346" spans="30:42">
      <c r="AD346" s="49" t="str">
        <f ca="1">IFERROR(INDEX(AC:AC,MATCH(SMALL($AU:$AU,ROW()+3),$AU:$AU,0)),"")</f>
        <v/>
      </c>
      <c r="AE346" s="49" t="str">
        <f ca="1">IFERROR(INDEX(R:R,MATCH(SMALL($AU:$AU,ROW()+3),$AU:$AU,0)),"")</f>
        <v/>
      </c>
      <c r="AF346" s="49" t="str">
        <f ca="1">IFERROR(INDEX(S:S,MATCH(SMALL($AU:$AU,ROW()+3),$AU:$AU,0)),"")</f>
        <v/>
      </c>
      <c r="AG346" s="49" t="str">
        <f ca="1">IFERROR(INDEX(T:T,MATCH(SMALL($AU:$AU,ROW()+3),$AU:$AU,0)),"")</f>
        <v/>
      </c>
      <c r="AH346" s="122" t="str">
        <f ca="1">IFERROR(INDEX(U:U,MATCH(SMALL($AU:$AU,ROW()+3),$AU:$AU,0)),"")</f>
        <v/>
      </c>
      <c r="AI346" s="49" t="str">
        <f ca="1">IFERROR(INDEX(V:V,MATCH(SMALL($AU:$AU,ROW()+3),$AU:$AU,0)),"")</f>
        <v/>
      </c>
      <c r="AJ346" s="49" t="str">
        <f ca="1">IFERROR(INDEX(W:W,MATCH(SMALL($AU:$AU,ROW()+3),$AU:$AU,0)),"")</f>
        <v/>
      </c>
      <c r="AK346" s="49" t="str">
        <f ca="1">IFERROR(INDEX(X:X,MATCH(SMALL($AU:$AU,ROW()+3),$AU:$AU,0)),"")</f>
        <v/>
      </c>
      <c r="AL346" s="49" t="str">
        <f ca="1">IFERROR(INDEX(Y:Y,MATCH(SMALL($AU:$AU,ROW()+3),$AU:$AU,0)),"")</f>
        <v/>
      </c>
      <c r="AM346" s="49" t="str">
        <f ca="1">IFERROR(INDEX(Z:Z,MATCH(SMALL($AU:$AU,ROW()+3),$AU:$AU,0)),"")</f>
        <v/>
      </c>
      <c r="AN346" s="49" t="str">
        <f ca="1">IFERROR(INDEX(AA:AA,MATCH(SMALL($AU:$AU,ROW()+3),$AU:$AU,0)),"")</f>
        <v/>
      </c>
      <c r="AO346" s="49" t="str">
        <f ca="1">IFERROR(INDEX(AB:AB,MATCH(SMALL($AU:$AU,ROW()+3),$AU:$AU,0)),"")</f>
        <v/>
      </c>
      <c r="AP346" s="49" t="str">
        <f ca="1">IFERROR(INDEX(AC:AC,MATCH(SMALL($AU:$AU,ROW()+3),$AU:$AU,0)),"")</f>
        <v/>
      </c>
    </row>
    <row r="347" spans="30:42">
      <c r="AD347" s="49" t="str">
        <f ca="1">IFERROR(INDEX(AC:AC,MATCH(SMALL($AU:$AU,ROW()+3),$AU:$AU,0)),"")</f>
        <v/>
      </c>
      <c r="AE347" s="49" t="str">
        <f ca="1">IFERROR(INDEX(R:R,MATCH(SMALL($AU:$AU,ROW()+3),$AU:$AU,0)),"")</f>
        <v/>
      </c>
      <c r="AF347" s="49" t="str">
        <f ca="1">IFERROR(INDEX(S:S,MATCH(SMALL($AU:$AU,ROW()+3),$AU:$AU,0)),"")</f>
        <v/>
      </c>
      <c r="AG347" s="49" t="str">
        <f ca="1">IFERROR(INDEX(T:T,MATCH(SMALL($AU:$AU,ROW()+3),$AU:$AU,0)),"")</f>
        <v/>
      </c>
      <c r="AH347" s="122" t="str">
        <f ca="1">IFERROR(INDEX(U:U,MATCH(SMALL($AU:$AU,ROW()+3),$AU:$AU,0)),"")</f>
        <v/>
      </c>
      <c r="AI347" s="49" t="str">
        <f ca="1">IFERROR(INDEX(V:V,MATCH(SMALL($AU:$AU,ROW()+3),$AU:$AU,0)),"")</f>
        <v/>
      </c>
      <c r="AJ347" s="49" t="str">
        <f ca="1">IFERROR(INDEX(W:W,MATCH(SMALL($AU:$AU,ROW()+3),$AU:$AU,0)),"")</f>
        <v/>
      </c>
      <c r="AK347" s="49" t="str">
        <f ca="1">IFERROR(INDEX(X:X,MATCH(SMALL($AU:$AU,ROW()+3),$AU:$AU,0)),"")</f>
        <v/>
      </c>
      <c r="AL347" s="49" t="str">
        <f ca="1">IFERROR(INDEX(Y:Y,MATCH(SMALL($AU:$AU,ROW()+3),$AU:$AU,0)),"")</f>
        <v/>
      </c>
      <c r="AM347" s="49" t="str">
        <f ca="1">IFERROR(INDEX(Z:Z,MATCH(SMALL($AU:$AU,ROW()+3),$AU:$AU,0)),"")</f>
        <v/>
      </c>
      <c r="AN347" s="49" t="str">
        <f ca="1">IFERROR(INDEX(AA:AA,MATCH(SMALL($AU:$AU,ROW()+3),$AU:$AU,0)),"")</f>
        <v/>
      </c>
      <c r="AO347" s="49" t="str">
        <f ca="1">IFERROR(INDEX(AB:AB,MATCH(SMALL($AU:$AU,ROW()+3),$AU:$AU,0)),"")</f>
        <v/>
      </c>
      <c r="AP347" s="49" t="str">
        <f ca="1">IFERROR(INDEX(AC:AC,MATCH(SMALL($AU:$AU,ROW()+3),$AU:$AU,0)),"")</f>
        <v/>
      </c>
    </row>
    <row r="348" spans="30:42">
      <c r="AD348" s="49" t="str">
        <f ca="1">IFERROR(INDEX(AC:AC,MATCH(SMALL($AU:$AU,ROW()+3),$AU:$AU,0)),"")</f>
        <v/>
      </c>
      <c r="AE348" s="49" t="str">
        <f ca="1">IFERROR(INDEX(R:R,MATCH(SMALL($AU:$AU,ROW()+3),$AU:$AU,0)),"")</f>
        <v/>
      </c>
      <c r="AF348" s="49" t="str">
        <f ca="1">IFERROR(INDEX(S:S,MATCH(SMALL($AU:$AU,ROW()+3),$AU:$AU,0)),"")</f>
        <v/>
      </c>
      <c r="AG348" s="49" t="str">
        <f ca="1">IFERROR(INDEX(T:T,MATCH(SMALL($AU:$AU,ROW()+3),$AU:$AU,0)),"")</f>
        <v/>
      </c>
      <c r="AH348" s="122" t="str">
        <f ca="1">IFERROR(INDEX(U:U,MATCH(SMALL($AU:$AU,ROW()+3),$AU:$AU,0)),"")</f>
        <v/>
      </c>
      <c r="AI348" s="49" t="str">
        <f ca="1">IFERROR(INDEX(V:V,MATCH(SMALL($AU:$AU,ROW()+3),$AU:$AU,0)),"")</f>
        <v/>
      </c>
      <c r="AJ348" s="49" t="str">
        <f ca="1">IFERROR(INDEX(W:W,MATCH(SMALL($AU:$AU,ROW()+3),$AU:$AU,0)),"")</f>
        <v/>
      </c>
      <c r="AK348" s="49" t="str">
        <f ca="1">IFERROR(INDEX(X:X,MATCH(SMALL($AU:$AU,ROW()+3),$AU:$AU,0)),"")</f>
        <v/>
      </c>
      <c r="AL348" s="49" t="str">
        <f ca="1">IFERROR(INDEX(Y:Y,MATCH(SMALL($AU:$AU,ROW()+3),$AU:$AU,0)),"")</f>
        <v/>
      </c>
      <c r="AM348" s="49" t="str">
        <f ca="1">IFERROR(INDEX(Z:Z,MATCH(SMALL($AU:$AU,ROW()+3),$AU:$AU,0)),"")</f>
        <v/>
      </c>
      <c r="AN348" s="49" t="str">
        <f ca="1">IFERROR(INDEX(AA:AA,MATCH(SMALL($AU:$AU,ROW()+3),$AU:$AU,0)),"")</f>
        <v/>
      </c>
      <c r="AO348" s="49" t="str">
        <f ca="1">IFERROR(INDEX(AB:AB,MATCH(SMALL($AU:$AU,ROW()+3),$AU:$AU,0)),"")</f>
        <v/>
      </c>
      <c r="AP348" s="49" t="str">
        <f ca="1">IFERROR(INDEX(AC:AC,MATCH(SMALL($AU:$AU,ROW()+3),$AU:$AU,0)),"")</f>
        <v/>
      </c>
    </row>
    <row r="349" spans="30:42">
      <c r="AD349" s="49" t="str">
        <f ca="1">IFERROR(INDEX(AC:AC,MATCH(SMALL($AU:$AU,ROW()+3),$AU:$AU,0)),"")</f>
        <v/>
      </c>
      <c r="AE349" s="49" t="str">
        <f ca="1">IFERROR(INDEX(R:R,MATCH(SMALL($AU:$AU,ROW()+3),$AU:$AU,0)),"")</f>
        <v/>
      </c>
      <c r="AF349" s="49" t="str">
        <f ca="1">IFERROR(INDEX(S:S,MATCH(SMALL($AU:$AU,ROW()+3),$AU:$AU,0)),"")</f>
        <v/>
      </c>
      <c r="AG349" s="49" t="str">
        <f ca="1">IFERROR(INDEX(T:T,MATCH(SMALL($AU:$AU,ROW()+3),$AU:$AU,0)),"")</f>
        <v/>
      </c>
      <c r="AH349" s="122" t="str">
        <f ca="1">IFERROR(INDEX(U:U,MATCH(SMALL($AU:$AU,ROW()+3),$AU:$AU,0)),"")</f>
        <v/>
      </c>
      <c r="AI349" s="49" t="str">
        <f ca="1">IFERROR(INDEX(V:V,MATCH(SMALL($AU:$AU,ROW()+3),$AU:$AU,0)),"")</f>
        <v/>
      </c>
      <c r="AJ349" s="49" t="str">
        <f ca="1">IFERROR(INDEX(W:W,MATCH(SMALL($AU:$AU,ROW()+3),$AU:$AU,0)),"")</f>
        <v/>
      </c>
      <c r="AK349" s="49" t="str">
        <f ca="1">IFERROR(INDEX(X:X,MATCH(SMALL($AU:$AU,ROW()+3),$AU:$AU,0)),"")</f>
        <v/>
      </c>
      <c r="AL349" s="49" t="str">
        <f ca="1">IFERROR(INDEX(Y:Y,MATCH(SMALL($AU:$AU,ROW()+3),$AU:$AU,0)),"")</f>
        <v/>
      </c>
      <c r="AM349" s="49" t="str">
        <f ca="1">IFERROR(INDEX(Z:Z,MATCH(SMALL($AU:$AU,ROW()+3),$AU:$AU,0)),"")</f>
        <v/>
      </c>
      <c r="AN349" s="49" t="str">
        <f ca="1">IFERROR(INDEX(AA:AA,MATCH(SMALL($AU:$AU,ROW()+3),$AU:$AU,0)),"")</f>
        <v/>
      </c>
      <c r="AO349" s="49" t="str">
        <f ca="1">IFERROR(INDEX(AB:AB,MATCH(SMALL($AU:$AU,ROW()+3),$AU:$AU,0)),"")</f>
        <v/>
      </c>
      <c r="AP349" s="49" t="str">
        <f ca="1">IFERROR(INDEX(AC:AC,MATCH(SMALL($AU:$AU,ROW()+3),$AU:$AU,0)),"")</f>
        <v/>
      </c>
    </row>
    <row r="350" spans="30:42">
      <c r="AD350" s="49" t="str">
        <f ca="1">IFERROR(INDEX(AC:AC,MATCH(SMALL($AU:$AU,ROW()+3),$AU:$AU,0)),"")</f>
        <v/>
      </c>
      <c r="AE350" s="49" t="str">
        <f ca="1">IFERROR(INDEX(R:R,MATCH(SMALL($AU:$AU,ROW()+3),$AU:$AU,0)),"")</f>
        <v/>
      </c>
      <c r="AF350" s="49" t="str">
        <f ca="1">IFERROR(INDEX(S:S,MATCH(SMALL($AU:$AU,ROW()+3),$AU:$AU,0)),"")</f>
        <v/>
      </c>
      <c r="AG350" s="49" t="str">
        <f ca="1">IFERROR(INDEX(T:T,MATCH(SMALL($AU:$AU,ROW()+3),$AU:$AU,0)),"")</f>
        <v/>
      </c>
      <c r="AH350" s="122" t="str">
        <f ca="1">IFERROR(INDEX(U:U,MATCH(SMALL($AU:$AU,ROW()+3),$AU:$AU,0)),"")</f>
        <v/>
      </c>
      <c r="AI350" s="49" t="str">
        <f ca="1">IFERROR(INDEX(V:V,MATCH(SMALL($AU:$AU,ROW()+3),$AU:$AU,0)),"")</f>
        <v/>
      </c>
      <c r="AJ350" s="49" t="str">
        <f ca="1">IFERROR(INDEX(W:W,MATCH(SMALL($AU:$AU,ROW()+3),$AU:$AU,0)),"")</f>
        <v/>
      </c>
      <c r="AK350" s="49" t="str">
        <f ca="1">IFERROR(INDEX(X:X,MATCH(SMALL($AU:$AU,ROW()+3),$AU:$AU,0)),"")</f>
        <v/>
      </c>
      <c r="AL350" s="49" t="str">
        <f ca="1">IFERROR(INDEX(Y:Y,MATCH(SMALL($AU:$AU,ROW()+3),$AU:$AU,0)),"")</f>
        <v/>
      </c>
      <c r="AM350" s="49" t="str">
        <f ca="1">IFERROR(INDEX(Z:Z,MATCH(SMALL($AU:$AU,ROW()+3),$AU:$AU,0)),"")</f>
        <v/>
      </c>
      <c r="AN350" s="49" t="str">
        <f ca="1">IFERROR(INDEX(AA:AA,MATCH(SMALL($AU:$AU,ROW()+3),$AU:$AU,0)),"")</f>
        <v/>
      </c>
      <c r="AO350" s="49" t="str">
        <f ca="1">IFERROR(INDEX(AB:AB,MATCH(SMALL($AU:$AU,ROW()+3),$AU:$AU,0)),"")</f>
        <v/>
      </c>
      <c r="AP350" s="49" t="str">
        <f ca="1">IFERROR(INDEX(AC:AC,MATCH(SMALL($AU:$AU,ROW()+3),$AU:$AU,0)),"")</f>
        <v/>
      </c>
    </row>
    <row r="351" spans="30:42">
      <c r="AD351" s="49" t="str">
        <f ca="1">IFERROR(INDEX(AC:AC,MATCH(SMALL($AU:$AU,ROW()+3),$AU:$AU,0)),"")</f>
        <v/>
      </c>
      <c r="AE351" s="49" t="str">
        <f ca="1">IFERROR(INDEX(R:R,MATCH(SMALL($AU:$AU,ROW()+3),$AU:$AU,0)),"")</f>
        <v/>
      </c>
      <c r="AF351" s="49" t="str">
        <f ca="1">IFERROR(INDEX(S:S,MATCH(SMALL($AU:$AU,ROW()+3),$AU:$AU,0)),"")</f>
        <v/>
      </c>
      <c r="AG351" s="49" t="str">
        <f ca="1">IFERROR(INDEX(T:T,MATCH(SMALL($AU:$AU,ROW()+3),$AU:$AU,0)),"")</f>
        <v/>
      </c>
      <c r="AH351" s="122" t="str">
        <f ca="1">IFERROR(INDEX(U:U,MATCH(SMALL($AU:$AU,ROW()+3),$AU:$AU,0)),"")</f>
        <v/>
      </c>
      <c r="AI351" s="49" t="str">
        <f ca="1">IFERROR(INDEX(V:V,MATCH(SMALL($AU:$AU,ROW()+3),$AU:$AU,0)),"")</f>
        <v/>
      </c>
      <c r="AJ351" s="49" t="str">
        <f ca="1">IFERROR(INDEX(W:W,MATCH(SMALL($AU:$AU,ROW()+3),$AU:$AU,0)),"")</f>
        <v/>
      </c>
      <c r="AK351" s="49" t="str">
        <f ca="1">IFERROR(INDEX(X:X,MATCH(SMALL($AU:$AU,ROW()+3),$AU:$AU,0)),"")</f>
        <v/>
      </c>
      <c r="AL351" s="49" t="str">
        <f ca="1">IFERROR(INDEX(Y:Y,MATCH(SMALL($AU:$AU,ROW()+3),$AU:$AU,0)),"")</f>
        <v/>
      </c>
      <c r="AM351" s="49" t="str">
        <f ca="1">IFERROR(INDEX(Z:Z,MATCH(SMALL($AU:$AU,ROW()+3),$AU:$AU,0)),"")</f>
        <v/>
      </c>
      <c r="AN351" s="49" t="str">
        <f ca="1">IFERROR(INDEX(AA:AA,MATCH(SMALL($AU:$AU,ROW()+3),$AU:$AU,0)),"")</f>
        <v/>
      </c>
      <c r="AO351" s="49" t="str">
        <f ca="1">IFERROR(INDEX(AB:AB,MATCH(SMALL($AU:$AU,ROW()+3),$AU:$AU,0)),"")</f>
        <v/>
      </c>
      <c r="AP351" s="49" t="str">
        <f ca="1">IFERROR(INDEX(AC:AC,MATCH(SMALL($AU:$AU,ROW()+3),$AU:$AU,0)),"")</f>
        <v/>
      </c>
    </row>
    <row r="352" spans="30:42">
      <c r="AD352" s="49" t="str">
        <f ca="1">IFERROR(INDEX(AC:AC,MATCH(SMALL($AU:$AU,ROW()+3),$AU:$AU,0)),"")</f>
        <v/>
      </c>
      <c r="AE352" s="49" t="str">
        <f ca="1">IFERROR(INDEX(R:R,MATCH(SMALL($AU:$AU,ROW()+3),$AU:$AU,0)),"")</f>
        <v/>
      </c>
      <c r="AF352" s="49" t="str">
        <f ca="1">IFERROR(INDEX(S:S,MATCH(SMALL($AU:$AU,ROW()+3),$AU:$AU,0)),"")</f>
        <v/>
      </c>
      <c r="AG352" s="49" t="str">
        <f ca="1">IFERROR(INDEX(T:T,MATCH(SMALL($AU:$AU,ROW()+3),$AU:$AU,0)),"")</f>
        <v/>
      </c>
      <c r="AH352" s="122" t="str">
        <f ca="1">IFERROR(INDEX(U:U,MATCH(SMALL($AU:$AU,ROW()+3),$AU:$AU,0)),"")</f>
        <v/>
      </c>
      <c r="AI352" s="49" t="str">
        <f ca="1">IFERROR(INDEX(V:V,MATCH(SMALL($AU:$AU,ROW()+3),$AU:$AU,0)),"")</f>
        <v/>
      </c>
      <c r="AJ352" s="49" t="str">
        <f ca="1">IFERROR(INDEX(W:W,MATCH(SMALL($AU:$AU,ROW()+3),$AU:$AU,0)),"")</f>
        <v/>
      </c>
      <c r="AK352" s="49" t="str">
        <f ca="1">IFERROR(INDEX(X:X,MATCH(SMALL($AU:$AU,ROW()+3),$AU:$AU,0)),"")</f>
        <v/>
      </c>
      <c r="AL352" s="49" t="str">
        <f ca="1">IFERROR(INDEX(Y:Y,MATCH(SMALL($AU:$AU,ROW()+3),$AU:$AU,0)),"")</f>
        <v/>
      </c>
      <c r="AM352" s="49" t="str">
        <f ca="1">IFERROR(INDEX(Z:Z,MATCH(SMALL($AU:$AU,ROW()+3),$AU:$AU,0)),"")</f>
        <v/>
      </c>
      <c r="AN352" s="49" t="str">
        <f ca="1">IFERROR(INDEX(AA:AA,MATCH(SMALL($AU:$AU,ROW()+3),$AU:$AU,0)),"")</f>
        <v/>
      </c>
      <c r="AO352" s="49" t="str">
        <f ca="1">IFERROR(INDEX(AB:AB,MATCH(SMALL($AU:$AU,ROW()+3),$AU:$AU,0)),"")</f>
        <v/>
      </c>
      <c r="AP352" s="49" t="str">
        <f ca="1">IFERROR(INDEX(AC:AC,MATCH(SMALL($AU:$AU,ROW()+3),$AU:$AU,0)),"")</f>
        <v/>
      </c>
    </row>
    <row r="353" spans="30:42">
      <c r="AD353" s="49" t="str">
        <f ca="1">IFERROR(INDEX(AC:AC,MATCH(SMALL($AU:$AU,ROW()+3),$AU:$AU,0)),"")</f>
        <v/>
      </c>
      <c r="AE353" s="49" t="str">
        <f ca="1">IFERROR(INDEX(R:R,MATCH(SMALL($AU:$AU,ROW()+3),$AU:$AU,0)),"")</f>
        <v/>
      </c>
      <c r="AF353" s="49" t="str">
        <f ca="1">IFERROR(INDEX(S:S,MATCH(SMALL($AU:$AU,ROW()+3),$AU:$AU,0)),"")</f>
        <v/>
      </c>
      <c r="AG353" s="49" t="str">
        <f ca="1">IFERROR(INDEX(T:T,MATCH(SMALL($AU:$AU,ROW()+3),$AU:$AU,0)),"")</f>
        <v/>
      </c>
      <c r="AH353" s="122" t="str">
        <f ca="1">IFERROR(INDEX(U:U,MATCH(SMALL($AU:$AU,ROW()+3),$AU:$AU,0)),"")</f>
        <v/>
      </c>
      <c r="AI353" s="49" t="str">
        <f ca="1">IFERROR(INDEX(V:V,MATCH(SMALL($AU:$AU,ROW()+3),$AU:$AU,0)),"")</f>
        <v/>
      </c>
      <c r="AJ353" s="49" t="str">
        <f ca="1">IFERROR(INDEX(W:W,MATCH(SMALL($AU:$AU,ROW()+3),$AU:$AU,0)),"")</f>
        <v/>
      </c>
      <c r="AK353" s="49" t="str">
        <f ca="1">IFERROR(INDEX(X:X,MATCH(SMALL($AU:$AU,ROW()+3),$AU:$AU,0)),"")</f>
        <v/>
      </c>
      <c r="AL353" s="49" t="str">
        <f ca="1">IFERROR(INDEX(Y:Y,MATCH(SMALL($AU:$AU,ROW()+3),$AU:$AU,0)),"")</f>
        <v/>
      </c>
      <c r="AM353" s="49" t="str">
        <f ca="1">IFERROR(INDEX(Z:Z,MATCH(SMALL($AU:$AU,ROW()+3),$AU:$AU,0)),"")</f>
        <v/>
      </c>
      <c r="AN353" s="49" t="str">
        <f ca="1">IFERROR(INDEX(AA:AA,MATCH(SMALL($AU:$AU,ROW()+3),$AU:$AU,0)),"")</f>
        <v/>
      </c>
      <c r="AO353" s="49" t="str">
        <f ca="1">IFERROR(INDEX(AB:AB,MATCH(SMALL($AU:$AU,ROW()+3),$AU:$AU,0)),"")</f>
        <v/>
      </c>
      <c r="AP353" s="49" t="str">
        <f ca="1">IFERROR(INDEX(AC:AC,MATCH(SMALL($AU:$AU,ROW()+3),$AU:$AU,0)),"")</f>
        <v/>
      </c>
    </row>
    <row r="354" spans="30:42">
      <c r="AD354" s="49" t="str">
        <f ca="1">IFERROR(INDEX(AC:AC,MATCH(SMALL($AU:$AU,ROW()+3),$AU:$AU,0)),"")</f>
        <v/>
      </c>
      <c r="AE354" s="49" t="str">
        <f ca="1">IFERROR(INDEX(R:R,MATCH(SMALL($AU:$AU,ROW()+3),$AU:$AU,0)),"")</f>
        <v/>
      </c>
      <c r="AF354" s="49" t="str">
        <f ca="1">IFERROR(INDEX(S:S,MATCH(SMALL($AU:$AU,ROW()+3),$AU:$AU,0)),"")</f>
        <v/>
      </c>
      <c r="AG354" s="49" t="str">
        <f ca="1">IFERROR(INDEX(T:T,MATCH(SMALL($AU:$AU,ROW()+3),$AU:$AU,0)),"")</f>
        <v/>
      </c>
      <c r="AH354" s="122" t="str">
        <f ca="1">IFERROR(INDEX(U:U,MATCH(SMALL($AU:$AU,ROW()+3),$AU:$AU,0)),"")</f>
        <v/>
      </c>
      <c r="AI354" s="49" t="str">
        <f ca="1">IFERROR(INDEX(V:V,MATCH(SMALL($AU:$AU,ROW()+3),$AU:$AU,0)),"")</f>
        <v/>
      </c>
      <c r="AJ354" s="49" t="str">
        <f ca="1">IFERROR(INDEX(W:W,MATCH(SMALL($AU:$AU,ROW()+3),$AU:$AU,0)),"")</f>
        <v/>
      </c>
      <c r="AK354" s="49" t="str">
        <f ca="1">IFERROR(INDEX(X:X,MATCH(SMALL($AU:$AU,ROW()+3),$AU:$AU,0)),"")</f>
        <v/>
      </c>
      <c r="AL354" s="49" t="str">
        <f ca="1">IFERROR(INDEX(Y:Y,MATCH(SMALL($AU:$AU,ROW()+3),$AU:$AU,0)),"")</f>
        <v/>
      </c>
      <c r="AM354" s="49" t="str">
        <f ca="1">IFERROR(INDEX(Z:Z,MATCH(SMALL($AU:$AU,ROW()+3),$AU:$AU,0)),"")</f>
        <v/>
      </c>
      <c r="AN354" s="49" t="str">
        <f ca="1">IFERROR(INDEX(AA:AA,MATCH(SMALL($AU:$AU,ROW()+3),$AU:$AU,0)),"")</f>
        <v/>
      </c>
      <c r="AO354" s="49" t="str">
        <f ca="1">IFERROR(INDEX(AB:AB,MATCH(SMALL($AU:$AU,ROW()+3),$AU:$AU,0)),"")</f>
        <v/>
      </c>
      <c r="AP354" s="49" t="str">
        <f ca="1">IFERROR(INDEX(AC:AC,MATCH(SMALL($AU:$AU,ROW()+3),$AU:$AU,0)),"")</f>
        <v/>
      </c>
    </row>
    <row r="355" spans="30:42">
      <c r="AD355" s="49" t="str">
        <f ca="1">IFERROR(INDEX(AC:AC,MATCH(SMALL($AU:$AU,ROW()+3),$AU:$AU,0)),"")</f>
        <v/>
      </c>
      <c r="AE355" s="49" t="str">
        <f ca="1">IFERROR(INDEX(R:R,MATCH(SMALL($AU:$AU,ROW()+3),$AU:$AU,0)),"")</f>
        <v/>
      </c>
      <c r="AF355" s="49" t="str">
        <f ca="1">IFERROR(INDEX(S:S,MATCH(SMALL($AU:$AU,ROW()+3),$AU:$AU,0)),"")</f>
        <v/>
      </c>
      <c r="AG355" s="49" t="str">
        <f ca="1">IFERROR(INDEX(T:T,MATCH(SMALL($AU:$AU,ROW()+3),$AU:$AU,0)),"")</f>
        <v/>
      </c>
      <c r="AH355" s="122" t="str">
        <f ca="1">IFERROR(INDEX(U:U,MATCH(SMALL($AU:$AU,ROW()+3),$AU:$AU,0)),"")</f>
        <v/>
      </c>
      <c r="AI355" s="49" t="str">
        <f ca="1">IFERROR(INDEX(V:V,MATCH(SMALL($AU:$AU,ROW()+3),$AU:$AU,0)),"")</f>
        <v/>
      </c>
      <c r="AJ355" s="49" t="str">
        <f ca="1">IFERROR(INDEX(W:W,MATCH(SMALL($AU:$AU,ROW()+3),$AU:$AU,0)),"")</f>
        <v/>
      </c>
      <c r="AK355" s="49" t="str">
        <f ca="1">IFERROR(INDEX(X:X,MATCH(SMALL($AU:$AU,ROW()+3),$AU:$AU,0)),"")</f>
        <v/>
      </c>
      <c r="AL355" s="49" t="str">
        <f ca="1">IFERROR(INDEX(Y:Y,MATCH(SMALL($AU:$AU,ROW()+3),$AU:$AU,0)),"")</f>
        <v/>
      </c>
      <c r="AM355" s="49" t="str">
        <f ca="1">IFERROR(INDEX(Z:Z,MATCH(SMALL($AU:$AU,ROW()+3),$AU:$AU,0)),"")</f>
        <v/>
      </c>
      <c r="AN355" s="49" t="str">
        <f ca="1">IFERROR(INDEX(AA:AA,MATCH(SMALL($AU:$AU,ROW()+3),$AU:$AU,0)),"")</f>
        <v/>
      </c>
      <c r="AO355" s="49" t="str">
        <f ca="1">IFERROR(INDEX(AB:AB,MATCH(SMALL($AU:$AU,ROW()+3),$AU:$AU,0)),"")</f>
        <v/>
      </c>
      <c r="AP355" s="49" t="str">
        <f ca="1">IFERROR(INDEX(AC:AC,MATCH(SMALL($AU:$AU,ROW()+3),$AU:$AU,0)),"")</f>
        <v/>
      </c>
    </row>
    <row r="356" spans="30:42">
      <c r="AD356" s="49" t="str">
        <f ca="1">IFERROR(INDEX(AC:AC,MATCH(SMALL($AU:$AU,ROW()+3),$AU:$AU,0)),"")</f>
        <v/>
      </c>
      <c r="AE356" s="49" t="str">
        <f ca="1">IFERROR(INDEX(R:R,MATCH(SMALL($AU:$AU,ROW()+3),$AU:$AU,0)),"")</f>
        <v/>
      </c>
      <c r="AF356" s="49" t="str">
        <f ca="1">IFERROR(INDEX(S:S,MATCH(SMALL($AU:$AU,ROW()+3),$AU:$AU,0)),"")</f>
        <v/>
      </c>
      <c r="AG356" s="49" t="str">
        <f ca="1">IFERROR(INDEX(T:T,MATCH(SMALL($AU:$AU,ROW()+3),$AU:$AU,0)),"")</f>
        <v/>
      </c>
      <c r="AH356" s="122" t="str">
        <f ca="1">IFERROR(INDEX(U:U,MATCH(SMALL($AU:$AU,ROW()+3),$AU:$AU,0)),"")</f>
        <v/>
      </c>
      <c r="AI356" s="49" t="str">
        <f ca="1">IFERROR(INDEX(V:V,MATCH(SMALL($AU:$AU,ROW()+3),$AU:$AU,0)),"")</f>
        <v/>
      </c>
      <c r="AJ356" s="49" t="str">
        <f ca="1">IFERROR(INDEX(W:W,MATCH(SMALL($AU:$AU,ROW()+3),$AU:$AU,0)),"")</f>
        <v/>
      </c>
      <c r="AK356" s="49" t="str">
        <f ca="1">IFERROR(INDEX(X:X,MATCH(SMALL($AU:$AU,ROW()+3),$AU:$AU,0)),"")</f>
        <v/>
      </c>
      <c r="AL356" s="49" t="str">
        <f ca="1">IFERROR(INDEX(Y:Y,MATCH(SMALL($AU:$AU,ROW()+3),$AU:$AU,0)),"")</f>
        <v/>
      </c>
      <c r="AM356" s="49" t="str">
        <f ca="1">IFERROR(INDEX(Z:Z,MATCH(SMALL($AU:$AU,ROW()+3),$AU:$AU,0)),"")</f>
        <v/>
      </c>
      <c r="AN356" s="49" t="str">
        <f ca="1">IFERROR(INDEX(AA:AA,MATCH(SMALL($AU:$AU,ROW()+3),$AU:$AU,0)),"")</f>
        <v/>
      </c>
      <c r="AO356" s="49" t="str">
        <f ca="1">IFERROR(INDEX(AB:AB,MATCH(SMALL($AU:$AU,ROW()+3),$AU:$AU,0)),"")</f>
        <v/>
      </c>
      <c r="AP356" s="49" t="str">
        <f ca="1">IFERROR(INDEX(AC:AC,MATCH(SMALL($AU:$AU,ROW()+3),$AU:$AU,0)),"")</f>
        <v/>
      </c>
    </row>
    <row r="357" spans="30:42">
      <c r="AD357" s="49" t="str">
        <f ca="1">IFERROR(INDEX(AC:AC,MATCH(SMALL($AU:$AU,ROW()+3),$AU:$AU,0)),"")</f>
        <v/>
      </c>
      <c r="AE357" s="49" t="str">
        <f ca="1">IFERROR(INDEX(R:R,MATCH(SMALL($AU:$AU,ROW()+3),$AU:$AU,0)),"")</f>
        <v/>
      </c>
      <c r="AF357" s="49" t="str">
        <f ca="1">IFERROR(INDEX(S:S,MATCH(SMALL($AU:$AU,ROW()+3),$AU:$AU,0)),"")</f>
        <v/>
      </c>
      <c r="AG357" s="49" t="str">
        <f ca="1">IFERROR(INDEX(T:T,MATCH(SMALL($AU:$AU,ROW()+3),$AU:$AU,0)),"")</f>
        <v/>
      </c>
      <c r="AH357" s="122" t="str">
        <f ca="1">IFERROR(INDEX(U:U,MATCH(SMALL($AU:$AU,ROW()+3),$AU:$AU,0)),"")</f>
        <v/>
      </c>
      <c r="AI357" s="49" t="str">
        <f ca="1">IFERROR(INDEX(V:V,MATCH(SMALL($AU:$AU,ROW()+3),$AU:$AU,0)),"")</f>
        <v/>
      </c>
      <c r="AJ357" s="49" t="str">
        <f ca="1">IFERROR(INDEX(W:W,MATCH(SMALL($AU:$AU,ROW()+3),$AU:$AU,0)),"")</f>
        <v/>
      </c>
      <c r="AK357" s="49" t="str">
        <f ca="1">IFERROR(INDEX(X:X,MATCH(SMALL($AU:$AU,ROW()+3),$AU:$AU,0)),"")</f>
        <v/>
      </c>
      <c r="AL357" s="49" t="str">
        <f ca="1">IFERROR(INDEX(Y:Y,MATCH(SMALL($AU:$AU,ROW()+3),$AU:$AU,0)),"")</f>
        <v/>
      </c>
      <c r="AM357" s="49" t="str">
        <f ca="1">IFERROR(INDEX(Z:Z,MATCH(SMALL($AU:$AU,ROW()+3),$AU:$AU,0)),"")</f>
        <v/>
      </c>
      <c r="AN357" s="49" t="str">
        <f ca="1">IFERROR(INDEX(AA:AA,MATCH(SMALL($AU:$AU,ROW()+3),$AU:$AU,0)),"")</f>
        <v/>
      </c>
      <c r="AO357" s="49" t="str">
        <f ca="1">IFERROR(INDEX(AB:AB,MATCH(SMALL($AU:$AU,ROW()+3),$AU:$AU,0)),"")</f>
        <v/>
      </c>
      <c r="AP357" s="49" t="str">
        <f ca="1">IFERROR(INDEX(AC:AC,MATCH(SMALL($AU:$AU,ROW()+3),$AU:$AU,0)),"")</f>
        <v/>
      </c>
    </row>
    <row r="358" spans="30:42">
      <c r="AD358" s="49" t="str">
        <f ca="1">IFERROR(INDEX(AC:AC,MATCH(SMALL($AU:$AU,ROW()+3),$AU:$AU,0)),"")</f>
        <v/>
      </c>
      <c r="AE358" s="49" t="str">
        <f ca="1">IFERROR(INDEX(R:R,MATCH(SMALL($AU:$AU,ROW()+3),$AU:$AU,0)),"")</f>
        <v/>
      </c>
      <c r="AF358" s="49" t="str">
        <f ca="1">IFERROR(INDEX(S:S,MATCH(SMALL($AU:$AU,ROW()+3),$AU:$AU,0)),"")</f>
        <v/>
      </c>
      <c r="AG358" s="49" t="str">
        <f ca="1">IFERROR(INDEX(T:T,MATCH(SMALL($AU:$AU,ROW()+3),$AU:$AU,0)),"")</f>
        <v/>
      </c>
      <c r="AH358" s="122" t="str">
        <f ca="1">IFERROR(INDEX(U:U,MATCH(SMALL($AU:$AU,ROW()+3),$AU:$AU,0)),"")</f>
        <v/>
      </c>
      <c r="AI358" s="49" t="str">
        <f ca="1">IFERROR(INDEX(V:V,MATCH(SMALL($AU:$AU,ROW()+3),$AU:$AU,0)),"")</f>
        <v/>
      </c>
      <c r="AJ358" s="49" t="str">
        <f ca="1">IFERROR(INDEX(W:W,MATCH(SMALL($AU:$AU,ROW()+3),$AU:$AU,0)),"")</f>
        <v/>
      </c>
      <c r="AK358" s="49" t="str">
        <f ca="1">IFERROR(INDEX(X:X,MATCH(SMALL($AU:$AU,ROW()+3),$AU:$AU,0)),"")</f>
        <v/>
      </c>
      <c r="AL358" s="49" t="str">
        <f ca="1">IFERROR(INDEX(Y:Y,MATCH(SMALL($AU:$AU,ROW()+3),$AU:$AU,0)),"")</f>
        <v/>
      </c>
      <c r="AM358" s="49" t="str">
        <f ca="1">IFERROR(INDEX(Z:Z,MATCH(SMALL($AU:$AU,ROW()+3),$AU:$AU,0)),"")</f>
        <v/>
      </c>
      <c r="AN358" s="49" t="str">
        <f ca="1">IFERROR(INDEX(AA:AA,MATCH(SMALL($AU:$AU,ROW()+3),$AU:$AU,0)),"")</f>
        <v/>
      </c>
      <c r="AO358" s="49" t="str">
        <f ca="1">IFERROR(INDEX(AB:AB,MATCH(SMALL($AU:$AU,ROW()+3),$AU:$AU,0)),"")</f>
        <v/>
      </c>
      <c r="AP358" s="49" t="str">
        <f ca="1">IFERROR(INDEX(AC:AC,MATCH(SMALL($AU:$AU,ROW()+3),$AU:$AU,0)),"")</f>
        <v/>
      </c>
    </row>
    <row r="359" spans="30:42">
      <c r="AD359" s="49" t="str">
        <f ca="1">IFERROR(INDEX(AC:AC,MATCH(SMALL($AU:$AU,ROW()+3),$AU:$AU,0)),"")</f>
        <v/>
      </c>
      <c r="AE359" s="49" t="str">
        <f ca="1">IFERROR(INDEX(R:R,MATCH(SMALL($AU:$AU,ROW()+3),$AU:$AU,0)),"")</f>
        <v/>
      </c>
      <c r="AF359" s="49" t="str">
        <f ca="1">IFERROR(INDEX(S:S,MATCH(SMALL($AU:$AU,ROW()+3),$AU:$AU,0)),"")</f>
        <v/>
      </c>
      <c r="AG359" s="49" t="str">
        <f ca="1">IFERROR(INDEX(T:T,MATCH(SMALL($AU:$AU,ROW()+3),$AU:$AU,0)),"")</f>
        <v/>
      </c>
      <c r="AH359" s="122" t="str">
        <f ca="1">IFERROR(INDEX(U:U,MATCH(SMALL($AU:$AU,ROW()+3),$AU:$AU,0)),"")</f>
        <v/>
      </c>
      <c r="AI359" s="49" t="str">
        <f ca="1">IFERROR(INDEX(V:V,MATCH(SMALL($AU:$AU,ROW()+3),$AU:$AU,0)),"")</f>
        <v/>
      </c>
      <c r="AJ359" s="49" t="str">
        <f ca="1">IFERROR(INDEX(W:W,MATCH(SMALL($AU:$AU,ROW()+3),$AU:$AU,0)),"")</f>
        <v/>
      </c>
      <c r="AK359" s="49" t="str">
        <f ca="1">IFERROR(INDEX(X:X,MATCH(SMALL($AU:$AU,ROW()+3),$AU:$AU,0)),"")</f>
        <v/>
      </c>
      <c r="AL359" s="49" t="str">
        <f ca="1">IFERROR(INDEX(Y:Y,MATCH(SMALL($AU:$AU,ROW()+3),$AU:$AU,0)),"")</f>
        <v/>
      </c>
      <c r="AM359" s="49" t="str">
        <f ca="1">IFERROR(INDEX(Z:Z,MATCH(SMALL($AU:$AU,ROW()+3),$AU:$AU,0)),"")</f>
        <v/>
      </c>
      <c r="AN359" s="49" t="str">
        <f ca="1">IFERROR(INDEX(AA:AA,MATCH(SMALL($AU:$AU,ROW()+3),$AU:$AU,0)),"")</f>
        <v/>
      </c>
      <c r="AO359" s="49" t="str">
        <f ca="1">IFERROR(INDEX(AB:AB,MATCH(SMALL($AU:$AU,ROW()+3),$AU:$AU,0)),"")</f>
        <v/>
      </c>
      <c r="AP359" s="49" t="str">
        <f ca="1">IFERROR(INDEX(AC:AC,MATCH(SMALL($AU:$AU,ROW()+3),$AU:$AU,0)),"")</f>
        <v/>
      </c>
    </row>
    <row r="360" spans="30:42">
      <c r="AD360" s="49" t="str">
        <f ca="1">IFERROR(INDEX(AC:AC,MATCH(SMALL($AU:$AU,ROW()+3),$AU:$AU,0)),"")</f>
        <v/>
      </c>
      <c r="AE360" s="49" t="str">
        <f ca="1">IFERROR(INDEX(R:R,MATCH(SMALL($AU:$AU,ROW()+3),$AU:$AU,0)),"")</f>
        <v/>
      </c>
      <c r="AF360" s="49" t="str">
        <f ca="1">IFERROR(INDEX(S:S,MATCH(SMALL($AU:$AU,ROW()+3),$AU:$AU,0)),"")</f>
        <v/>
      </c>
      <c r="AG360" s="49" t="str">
        <f ca="1">IFERROR(INDEX(T:T,MATCH(SMALL($AU:$AU,ROW()+3),$AU:$AU,0)),"")</f>
        <v/>
      </c>
      <c r="AH360" s="122" t="str">
        <f ca="1">IFERROR(INDEX(U:U,MATCH(SMALL($AU:$AU,ROW()+3),$AU:$AU,0)),"")</f>
        <v/>
      </c>
      <c r="AI360" s="49" t="str">
        <f ca="1">IFERROR(INDEX(V:V,MATCH(SMALL($AU:$AU,ROW()+3),$AU:$AU,0)),"")</f>
        <v/>
      </c>
      <c r="AJ360" s="49" t="str">
        <f ca="1">IFERROR(INDEX(W:W,MATCH(SMALL($AU:$AU,ROW()+3),$AU:$AU,0)),"")</f>
        <v/>
      </c>
      <c r="AK360" s="49" t="str">
        <f ca="1">IFERROR(INDEX(X:X,MATCH(SMALL($AU:$AU,ROW()+3),$AU:$AU,0)),"")</f>
        <v/>
      </c>
      <c r="AL360" s="49" t="str">
        <f ca="1">IFERROR(INDEX(Y:Y,MATCH(SMALL($AU:$AU,ROW()+3),$AU:$AU,0)),"")</f>
        <v/>
      </c>
      <c r="AM360" s="49" t="str">
        <f ca="1">IFERROR(INDEX(Z:Z,MATCH(SMALL($AU:$AU,ROW()+3),$AU:$AU,0)),"")</f>
        <v/>
      </c>
      <c r="AN360" s="49" t="str">
        <f ca="1">IFERROR(INDEX(AA:AA,MATCH(SMALL($AU:$AU,ROW()+3),$AU:$AU,0)),"")</f>
        <v/>
      </c>
      <c r="AO360" s="49" t="str">
        <f ca="1">IFERROR(INDEX(AB:AB,MATCH(SMALL($AU:$AU,ROW()+3),$AU:$AU,0)),"")</f>
        <v/>
      </c>
      <c r="AP360" s="49" t="str">
        <f ca="1">IFERROR(INDEX(AC:AC,MATCH(SMALL($AU:$AU,ROW()+3),$AU:$AU,0)),"")</f>
        <v/>
      </c>
    </row>
    <row r="361" spans="30:42">
      <c r="AD361" s="49" t="str">
        <f ca="1">IFERROR(INDEX(AC:AC,MATCH(SMALL($AU:$AU,ROW()+3),$AU:$AU,0)),"")</f>
        <v/>
      </c>
      <c r="AE361" s="49" t="str">
        <f ca="1">IFERROR(INDEX(R:R,MATCH(SMALL($AU:$AU,ROW()+3),$AU:$AU,0)),"")</f>
        <v/>
      </c>
      <c r="AF361" s="49" t="str">
        <f ca="1">IFERROR(INDEX(S:S,MATCH(SMALL($AU:$AU,ROW()+3),$AU:$AU,0)),"")</f>
        <v/>
      </c>
      <c r="AG361" s="49" t="str">
        <f ca="1">IFERROR(INDEX(T:T,MATCH(SMALL($AU:$AU,ROW()+3),$AU:$AU,0)),"")</f>
        <v/>
      </c>
      <c r="AH361" s="122" t="str">
        <f ca="1">IFERROR(INDEX(U:U,MATCH(SMALL($AU:$AU,ROW()+3),$AU:$AU,0)),"")</f>
        <v/>
      </c>
      <c r="AI361" s="49" t="str">
        <f ca="1">IFERROR(INDEX(V:V,MATCH(SMALL($AU:$AU,ROW()+3),$AU:$AU,0)),"")</f>
        <v/>
      </c>
      <c r="AJ361" s="49" t="str">
        <f ca="1">IFERROR(INDEX(W:W,MATCH(SMALL($AU:$AU,ROW()+3),$AU:$AU,0)),"")</f>
        <v/>
      </c>
      <c r="AK361" s="49" t="str">
        <f ca="1">IFERROR(INDEX(X:X,MATCH(SMALL($AU:$AU,ROW()+3),$AU:$AU,0)),"")</f>
        <v/>
      </c>
      <c r="AL361" s="49" t="str">
        <f ca="1">IFERROR(INDEX(Y:Y,MATCH(SMALL($AU:$AU,ROW()+3),$AU:$AU,0)),"")</f>
        <v/>
      </c>
      <c r="AM361" s="49" t="str">
        <f ca="1">IFERROR(INDEX(Z:Z,MATCH(SMALL($AU:$AU,ROW()+3),$AU:$AU,0)),"")</f>
        <v/>
      </c>
      <c r="AN361" s="49" t="str">
        <f ca="1">IFERROR(INDEX(AA:AA,MATCH(SMALL($AU:$AU,ROW()+3),$AU:$AU,0)),"")</f>
        <v/>
      </c>
      <c r="AO361" s="49" t="str">
        <f ca="1">IFERROR(INDEX(AB:AB,MATCH(SMALL($AU:$AU,ROW()+3),$AU:$AU,0)),"")</f>
        <v/>
      </c>
      <c r="AP361" s="49" t="str">
        <f ca="1">IFERROR(INDEX(AC:AC,MATCH(SMALL($AU:$AU,ROW()+3),$AU:$AU,0)),"")</f>
        <v/>
      </c>
    </row>
    <row r="362" spans="30:42">
      <c r="AD362" s="49" t="str">
        <f ca="1">IFERROR(INDEX(AC:AC,MATCH(SMALL($AU:$AU,ROW()+3),$AU:$AU,0)),"")</f>
        <v/>
      </c>
      <c r="AE362" s="49" t="str">
        <f ca="1">IFERROR(INDEX(R:R,MATCH(SMALL($AU:$AU,ROW()+3),$AU:$AU,0)),"")</f>
        <v/>
      </c>
      <c r="AF362" s="49" t="str">
        <f ca="1">IFERROR(INDEX(S:S,MATCH(SMALL($AU:$AU,ROW()+3),$AU:$AU,0)),"")</f>
        <v/>
      </c>
      <c r="AG362" s="49" t="str">
        <f ca="1">IFERROR(INDEX(T:T,MATCH(SMALL($AU:$AU,ROW()+3),$AU:$AU,0)),"")</f>
        <v/>
      </c>
      <c r="AH362" s="122" t="str">
        <f ca="1">IFERROR(INDEX(U:U,MATCH(SMALL($AU:$AU,ROW()+3),$AU:$AU,0)),"")</f>
        <v/>
      </c>
      <c r="AI362" s="49" t="str">
        <f ca="1">IFERROR(INDEX(V:V,MATCH(SMALL($AU:$AU,ROW()+3),$AU:$AU,0)),"")</f>
        <v/>
      </c>
      <c r="AJ362" s="49" t="str">
        <f ca="1">IFERROR(INDEX(W:W,MATCH(SMALL($AU:$AU,ROW()+3),$AU:$AU,0)),"")</f>
        <v/>
      </c>
      <c r="AK362" s="49" t="str">
        <f ca="1">IFERROR(INDEX(X:X,MATCH(SMALL($AU:$AU,ROW()+3),$AU:$AU,0)),"")</f>
        <v/>
      </c>
      <c r="AL362" s="49" t="str">
        <f ca="1">IFERROR(INDEX(Y:Y,MATCH(SMALL($AU:$AU,ROW()+3),$AU:$AU,0)),"")</f>
        <v/>
      </c>
      <c r="AM362" s="49" t="str">
        <f ca="1">IFERROR(INDEX(Z:Z,MATCH(SMALL($AU:$AU,ROW()+3),$AU:$AU,0)),"")</f>
        <v/>
      </c>
      <c r="AN362" s="49" t="str">
        <f ca="1">IFERROR(INDEX(AA:AA,MATCH(SMALL($AU:$AU,ROW()+3),$AU:$AU,0)),"")</f>
        <v/>
      </c>
      <c r="AO362" s="49" t="str">
        <f ca="1">IFERROR(INDEX(AB:AB,MATCH(SMALL($AU:$AU,ROW()+3),$AU:$AU,0)),"")</f>
        <v/>
      </c>
      <c r="AP362" s="49" t="str">
        <f ca="1">IFERROR(INDEX(AC:AC,MATCH(SMALL($AU:$AU,ROW()+3),$AU:$AU,0)),"")</f>
        <v/>
      </c>
    </row>
    <row r="363" spans="30:42">
      <c r="AD363" s="49" t="str">
        <f ca="1">IFERROR(INDEX(AC:AC,MATCH(SMALL($AU:$AU,ROW()+3),$AU:$AU,0)),"")</f>
        <v/>
      </c>
      <c r="AE363" s="49" t="str">
        <f ca="1">IFERROR(INDEX(R:R,MATCH(SMALL($AU:$AU,ROW()+3),$AU:$AU,0)),"")</f>
        <v/>
      </c>
      <c r="AF363" s="49" t="str">
        <f ca="1">IFERROR(INDEX(S:S,MATCH(SMALL($AU:$AU,ROW()+3),$AU:$AU,0)),"")</f>
        <v/>
      </c>
      <c r="AG363" s="49" t="str">
        <f ca="1">IFERROR(INDEX(T:T,MATCH(SMALL($AU:$AU,ROW()+3),$AU:$AU,0)),"")</f>
        <v/>
      </c>
      <c r="AH363" s="122" t="str">
        <f ca="1">IFERROR(INDEX(U:U,MATCH(SMALL($AU:$AU,ROW()+3),$AU:$AU,0)),"")</f>
        <v/>
      </c>
      <c r="AI363" s="49" t="str">
        <f ca="1">IFERROR(INDEX(V:V,MATCH(SMALL($AU:$AU,ROW()+3),$AU:$AU,0)),"")</f>
        <v/>
      </c>
      <c r="AJ363" s="49" t="str">
        <f ca="1">IFERROR(INDEX(W:W,MATCH(SMALL($AU:$AU,ROW()+3),$AU:$AU,0)),"")</f>
        <v/>
      </c>
      <c r="AK363" s="49" t="str">
        <f ca="1">IFERROR(INDEX(X:X,MATCH(SMALL($AU:$AU,ROW()+3),$AU:$AU,0)),"")</f>
        <v/>
      </c>
      <c r="AL363" s="49" t="str">
        <f ca="1">IFERROR(INDEX(Y:Y,MATCH(SMALL($AU:$AU,ROW()+3),$AU:$AU,0)),"")</f>
        <v/>
      </c>
      <c r="AM363" s="49" t="str">
        <f ca="1">IFERROR(INDEX(Z:Z,MATCH(SMALL($AU:$AU,ROW()+3),$AU:$AU,0)),"")</f>
        <v/>
      </c>
      <c r="AN363" s="49" t="str">
        <f ca="1">IFERROR(INDEX(AA:AA,MATCH(SMALL($AU:$AU,ROW()+3),$AU:$AU,0)),"")</f>
        <v/>
      </c>
      <c r="AO363" s="49" t="str">
        <f ca="1">IFERROR(INDEX(AB:AB,MATCH(SMALL($AU:$AU,ROW()+3),$AU:$AU,0)),"")</f>
        <v/>
      </c>
      <c r="AP363" s="49" t="str">
        <f ca="1">IFERROR(INDEX(AC:AC,MATCH(SMALL($AU:$AU,ROW()+3),$AU:$AU,0)),"")</f>
        <v/>
      </c>
    </row>
    <row r="364" spans="30:42">
      <c r="AD364" s="49" t="str">
        <f ca="1">IFERROR(INDEX(AC:AC,MATCH(SMALL($AU:$AU,ROW()+3),$AU:$AU,0)),"")</f>
        <v/>
      </c>
      <c r="AE364" s="49" t="str">
        <f ca="1">IFERROR(INDEX(R:R,MATCH(SMALL($AU:$AU,ROW()+3),$AU:$AU,0)),"")</f>
        <v/>
      </c>
      <c r="AF364" s="49" t="str">
        <f ca="1">IFERROR(INDEX(S:S,MATCH(SMALL($AU:$AU,ROW()+3),$AU:$AU,0)),"")</f>
        <v/>
      </c>
      <c r="AG364" s="49" t="str">
        <f ca="1">IFERROR(INDEX(T:T,MATCH(SMALL($AU:$AU,ROW()+3),$AU:$AU,0)),"")</f>
        <v/>
      </c>
      <c r="AH364" s="122" t="str">
        <f ca="1">IFERROR(INDEX(U:U,MATCH(SMALL($AU:$AU,ROW()+3),$AU:$AU,0)),"")</f>
        <v/>
      </c>
      <c r="AI364" s="49" t="str">
        <f ca="1">IFERROR(INDEX(V:V,MATCH(SMALL($AU:$AU,ROW()+3),$AU:$AU,0)),"")</f>
        <v/>
      </c>
      <c r="AJ364" s="49" t="str">
        <f ca="1">IFERROR(INDEX(W:W,MATCH(SMALL($AU:$AU,ROW()+3),$AU:$AU,0)),"")</f>
        <v/>
      </c>
      <c r="AK364" s="49" t="str">
        <f ca="1">IFERROR(INDEX(X:X,MATCH(SMALL($AU:$AU,ROW()+3),$AU:$AU,0)),"")</f>
        <v/>
      </c>
      <c r="AL364" s="49" t="str">
        <f ca="1">IFERROR(INDEX(Y:Y,MATCH(SMALL($AU:$AU,ROW()+3),$AU:$AU,0)),"")</f>
        <v/>
      </c>
      <c r="AM364" s="49" t="str">
        <f ca="1">IFERROR(INDEX(Z:Z,MATCH(SMALL($AU:$AU,ROW()+3),$AU:$AU,0)),"")</f>
        <v/>
      </c>
      <c r="AN364" s="49" t="str">
        <f ca="1">IFERROR(INDEX(AA:AA,MATCH(SMALL($AU:$AU,ROW()+3),$AU:$AU,0)),"")</f>
        <v/>
      </c>
      <c r="AO364" s="49" t="str">
        <f ca="1">IFERROR(INDEX(AB:AB,MATCH(SMALL($AU:$AU,ROW()+3),$AU:$AU,0)),"")</f>
        <v/>
      </c>
      <c r="AP364" s="49" t="str">
        <f ca="1">IFERROR(INDEX(AC:AC,MATCH(SMALL($AU:$AU,ROW()+3),$AU:$AU,0)),"")</f>
        <v/>
      </c>
    </row>
    <row r="365" spans="30:42">
      <c r="AD365" s="49" t="str">
        <f ca="1">IFERROR(INDEX(AC:AC,MATCH(SMALL($AU:$AU,ROW()+3),$AU:$AU,0)),"")</f>
        <v/>
      </c>
      <c r="AE365" s="49" t="str">
        <f ca="1">IFERROR(INDEX(R:R,MATCH(SMALL($AU:$AU,ROW()+3),$AU:$AU,0)),"")</f>
        <v/>
      </c>
      <c r="AF365" s="49" t="str">
        <f ca="1">IFERROR(INDEX(S:S,MATCH(SMALL($AU:$AU,ROW()+3),$AU:$AU,0)),"")</f>
        <v/>
      </c>
      <c r="AG365" s="49" t="str">
        <f ca="1">IFERROR(INDEX(T:T,MATCH(SMALL($AU:$AU,ROW()+3),$AU:$AU,0)),"")</f>
        <v/>
      </c>
      <c r="AH365" s="122" t="str">
        <f ca="1">IFERROR(INDEX(U:U,MATCH(SMALL($AU:$AU,ROW()+3),$AU:$AU,0)),"")</f>
        <v/>
      </c>
      <c r="AI365" s="49" t="str">
        <f ca="1">IFERROR(INDEX(V:V,MATCH(SMALL($AU:$AU,ROW()+3),$AU:$AU,0)),"")</f>
        <v/>
      </c>
      <c r="AJ365" s="49" t="str">
        <f ca="1">IFERROR(INDEX(W:W,MATCH(SMALL($AU:$AU,ROW()+3),$AU:$AU,0)),"")</f>
        <v/>
      </c>
      <c r="AK365" s="49" t="str">
        <f ca="1">IFERROR(INDEX(X:X,MATCH(SMALL($AU:$AU,ROW()+3),$AU:$AU,0)),"")</f>
        <v/>
      </c>
      <c r="AL365" s="49" t="str">
        <f ca="1">IFERROR(INDEX(Y:Y,MATCH(SMALL($AU:$AU,ROW()+3),$AU:$AU,0)),"")</f>
        <v/>
      </c>
      <c r="AM365" s="49" t="str">
        <f ca="1">IFERROR(INDEX(Z:Z,MATCH(SMALL($AU:$AU,ROW()+3),$AU:$AU,0)),"")</f>
        <v/>
      </c>
      <c r="AN365" s="49" t="str">
        <f ca="1">IFERROR(INDEX(AA:AA,MATCH(SMALL($AU:$AU,ROW()+3),$AU:$AU,0)),"")</f>
        <v/>
      </c>
      <c r="AO365" s="49" t="str">
        <f ca="1">IFERROR(INDEX(AB:AB,MATCH(SMALL($AU:$AU,ROW()+3),$AU:$AU,0)),"")</f>
        <v/>
      </c>
      <c r="AP365" s="49" t="str">
        <f ca="1">IFERROR(INDEX(AC:AC,MATCH(SMALL($AU:$AU,ROW()+3),$AU:$AU,0)),"")</f>
        <v/>
      </c>
    </row>
    <row r="366" spans="30:42">
      <c r="AD366" s="49" t="str">
        <f ca="1">IFERROR(INDEX(AC:AC,MATCH(SMALL($AU:$AU,ROW()+3),$AU:$AU,0)),"")</f>
        <v/>
      </c>
      <c r="AE366" s="49" t="str">
        <f ca="1">IFERROR(INDEX(R:R,MATCH(SMALL($AU:$AU,ROW()+3),$AU:$AU,0)),"")</f>
        <v/>
      </c>
      <c r="AF366" s="49" t="str">
        <f ca="1">IFERROR(INDEX(S:S,MATCH(SMALL($AU:$AU,ROW()+3),$AU:$AU,0)),"")</f>
        <v/>
      </c>
      <c r="AG366" s="49" t="str">
        <f ca="1">IFERROR(INDEX(T:T,MATCH(SMALL($AU:$AU,ROW()+3),$AU:$AU,0)),"")</f>
        <v/>
      </c>
      <c r="AH366" s="122" t="str">
        <f ca="1">IFERROR(INDEX(U:U,MATCH(SMALL($AU:$AU,ROW()+3),$AU:$AU,0)),"")</f>
        <v/>
      </c>
      <c r="AI366" s="49" t="str">
        <f ca="1">IFERROR(INDEX(V:V,MATCH(SMALL($AU:$AU,ROW()+3),$AU:$AU,0)),"")</f>
        <v/>
      </c>
      <c r="AJ366" s="49" t="str">
        <f ca="1">IFERROR(INDEX(W:W,MATCH(SMALL($AU:$AU,ROW()+3),$AU:$AU,0)),"")</f>
        <v/>
      </c>
      <c r="AK366" s="49" t="str">
        <f ca="1">IFERROR(INDEX(X:X,MATCH(SMALL($AU:$AU,ROW()+3),$AU:$AU,0)),"")</f>
        <v/>
      </c>
      <c r="AL366" s="49" t="str">
        <f ca="1">IFERROR(INDEX(Y:Y,MATCH(SMALL($AU:$AU,ROW()+3),$AU:$AU,0)),"")</f>
        <v/>
      </c>
      <c r="AM366" s="49" t="str">
        <f ca="1">IFERROR(INDEX(Z:Z,MATCH(SMALL($AU:$AU,ROW()+3),$AU:$AU,0)),"")</f>
        <v/>
      </c>
      <c r="AN366" s="49" t="str">
        <f ca="1">IFERROR(INDEX(AA:AA,MATCH(SMALL($AU:$AU,ROW()+3),$AU:$AU,0)),"")</f>
        <v/>
      </c>
      <c r="AO366" s="49" t="str">
        <f ca="1">IFERROR(INDEX(AB:AB,MATCH(SMALL($AU:$AU,ROW()+3),$AU:$AU,0)),"")</f>
        <v/>
      </c>
      <c r="AP366" s="49" t="str">
        <f ca="1">IFERROR(INDEX(AC:AC,MATCH(SMALL($AU:$AU,ROW()+3),$AU:$AU,0)),"")</f>
        <v/>
      </c>
    </row>
    <row r="367" spans="30:42">
      <c r="AD367" s="49" t="str">
        <f ca="1">IFERROR(INDEX(AC:AC,MATCH(SMALL($AU:$AU,ROW()+3),$AU:$AU,0)),"")</f>
        <v/>
      </c>
      <c r="AE367" s="49" t="str">
        <f ca="1">IFERROR(INDEX(R:R,MATCH(SMALL($AU:$AU,ROW()+3),$AU:$AU,0)),"")</f>
        <v/>
      </c>
      <c r="AF367" s="49" t="str">
        <f ca="1">IFERROR(INDEX(S:S,MATCH(SMALL($AU:$AU,ROW()+3),$AU:$AU,0)),"")</f>
        <v/>
      </c>
      <c r="AG367" s="49" t="str">
        <f ca="1">IFERROR(INDEX(T:T,MATCH(SMALL($AU:$AU,ROW()+3),$AU:$AU,0)),"")</f>
        <v/>
      </c>
      <c r="AH367" s="122" t="str">
        <f ca="1">IFERROR(INDEX(U:U,MATCH(SMALL($AU:$AU,ROW()+3),$AU:$AU,0)),"")</f>
        <v/>
      </c>
      <c r="AI367" s="49" t="str">
        <f ca="1">IFERROR(INDEX(V:V,MATCH(SMALL($AU:$AU,ROW()+3),$AU:$AU,0)),"")</f>
        <v/>
      </c>
      <c r="AJ367" s="49" t="str">
        <f ca="1">IFERROR(INDEX(W:W,MATCH(SMALL($AU:$AU,ROW()+3),$AU:$AU,0)),"")</f>
        <v/>
      </c>
      <c r="AK367" s="49" t="str">
        <f ca="1">IFERROR(INDEX(X:X,MATCH(SMALL($AU:$AU,ROW()+3),$AU:$AU,0)),"")</f>
        <v/>
      </c>
      <c r="AL367" s="49" t="str">
        <f ca="1">IFERROR(INDEX(Y:Y,MATCH(SMALL($AU:$AU,ROW()+3),$AU:$AU,0)),"")</f>
        <v/>
      </c>
      <c r="AM367" s="49" t="str">
        <f ca="1">IFERROR(INDEX(Z:Z,MATCH(SMALL($AU:$AU,ROW()+3),$AU:$AU,0)),"")</f>
        <v/>
      </c>
      <c r="AN367" s="49" t="str">
        <f ca="1">IFERROR(INDEX(AA:AA,MATCH(SMALL($AU:$AU,ROW()+3),$AU:$AU,0)),"")</f>
        <v/>
      </c>
      <c r="AO367" s="49" t="str">
        <f ca="1">IFERROR(INDEX(AB:AB,MATCH(SMALL($AU:$AU,ROW()+3),$AU:$AU,0)),"")</f>
        <v/>
      </c>
      <c r="AP367" s="49" t="str">
        <f ca="1">IFERROR(INDEX(AC:AC,MATCH(SMALL($AU:$AU,ROW()+3),$AU:$AU,0)),"")</f>
        <v/>
      </c>
    </row>
    <row r="368" spans="30:42">
      <c r="AD368" s="49" t="str">
        <f ca="1">IFERROR(INDEX(AC:AC,MATCH(SMALL($AU:$AU,ROW()+3),$AU:$AU,0)),"")</f>
        <v/>
      </c>
      <c r="AE368" s="49" t="str">
        <f ca="1">IFERROR(INDEX(R:R,MATCH(SMALL($AU:$AU,ROW()+3),$AU:$AU,0)),"")</f>
        <v/>
      </c>
      <c r="AF368" s="49" t="str">
        <f ca="1">IFERROR(INDEX(S:S,MATCH(SMALL($AU:$AU,ROW()+3),$AU:$AU,0)),"")</f>
        <v/>
      </c>
      <c r="AG368" s="49" t="str">
        <f ca="1">IFERROR(INDEX(T:T,MATCH(SMALL($AU:$AU,ROW()+3),$AU:$AU,0)),"")</f>
        <v/>
      </c>
      <c r="AH368" s="122" t="str">
        <f ca="1">IFERROR(INDEX(U:U,MATCH(SMALL($AU:$AU,ROW()+3),$AU:$AU,0)),"")</f>
        <v/>
      </c>
      <c r="AI368" s="49" t="str">
        <f ca="1">IFERROR(INDEX(V:V,MATCH(SMALL($AU:$AU,ROW()+3),$AU:$AU,0)),"")</f>
        <v/>
      </c>
      <c r="AJ368" s="49" t="str">
        <f ca="1">IFERROR(INDEX(W:W,MATCH(SMALL($AU:$AU,ROW()+3),$AU:$AU,0)),"")</f>
        <v/>
      </c>
      <c r="AK368" s="49" t="str">
        <f ca="1">IFERROR(INDEX(X:X,MATCH(SMALL($AU:$AU,ROW()+3),$AU:$AU,0)),"")</f>
        <v/>
      </c>
      <c r="AL368" s="49" t="str">
        <f ca="1">IFERROR(INDEX(Y:Y,MATCH(SMALL($AU:$AU,ROW()+3),$AU:$AU,0)),"")</f>
        <v/>
      </c>
      <c r="AM368" s="49" t="str">
        <f ca="1">IFERROR(INDEX(Z:Z,MATCH(SMALL($AU:$AU,ROW()+3),$AU:$AU,0)),"")</f>
        <v/>
      </c>
      <c r="AN368" s="49" t="str">
        <f ca="1">IFERROR(INDEX(AA:AA,MATCH(SMALL($AU:$AU,ROW()+3),$AU:$AU,0)),"")</f>
        <v/>
      </c>
      <c r="AO368" s="49" t="str">
        <f ca="1">IFERROR(INDEX(AB:AB,MATCH(SMALL($AU:$AU,ROW()+3),$AU:$AU,0)),"")</f>
        <v/>
      </c>
      <c r="AP368" s="49" t="str">
        <f ca="1">IFERROR(INDEX(AC:AC,MATCH(SMALL($AU:$AU,ROW()+3),$AU:$AU,0)),"")</f>
        <v/>
      </c>
    </row>
    <row r="369" spans="30:42">
      <c r="AD369" s="49" t="str">
        <f ca="1">IFERROR(INDEX(AC:AC,MATCH(SMALL($AU:$AU,ROW()+3),$AU:$AU,0)),"")</f>
        <v/>
      </c>
      <c r="AE369" s="49" t="str">
        <f ca="1">IFERROR(INDEX(R:R,MATCH(SMALL($AU:$AU,ROW()+3),$AU:$AU,0)),"")</f>
        <v/>
      </c>
      <c r="AF369" s="49" t="str">
        <f ca="1">IFERROR(INDEX(S:S,MATCH(SMALL($AU:$AU,ROW()+3),$AU:$AU,0)),"")</f>
        <v/>
      </c>
      <c r="AG369" s="49" t="str">
        <f ca="1">IFERROR(INDEX(T:T,MATCH(SMALL($AU:$AU,ROW()+3),$AU:$AU,0)),"")</f>
        <v/>
      </c>
      <c r="AH369" s="122" t="str">
        <f ca="1">IFERROR(INDEX(U:U,MATCH(SMALL($AU:$AU,ROW()+3),$AU:$AU,0)),"")</f>
        <v/>
      </c>
      <c r="AI369" s="49" t="str">
        <f ca="1">IFERROR(INDEX(V:V,MATCH(SMALL($AU:$AU,ROW()+3),$AU:$AU,0)),"")</f>
        <v/>
      </c>
      <c r="AJ369" s="49" t="str">
        <f ca="1">IFERROR(INDEX(W:W,MATCH(SMALL($AU:$AU,ROW()+3),$AU:$AU,0)),"")</f>
        <v/>
      </c>
      <c r="AK369" s="49" t="str">
        <f ca="1">IFERROR(INDEX(X:X,MATCH(SMALL($AU:$AU,ROW()+3),$AU:$AU,0)),"")</f>
        <v/>
      </c>
      <c r="AL369" s="49" t="str">
        <f ca="1">IFERROR(INDEX(Y:Y,MATCH(SMALL($AU:$AU,ROW()+3),$AU:$AU,0)),"")</f>
        <v/>
      </c>
      <c r="AM369" s="49" t="str">
        <f ca="1">IFERROR(INDEX(Z:Z,MATCH(SMALL($AU:$AU,ROW()+3),$AU:$AU,0)),"")</f>
        <v/>
      </c>
      <c r="AN369" s="49" t="str">
        <f ca="1">IFERROR(INDEX(AA:AA,MATCH(SMALL($AU:$AU,ROW()+3),$AU:$AU,0)),"")</f>
        <v/>
      </c>
      <c r="AO369" s="49" t="str">
        <f ca="1">IFERROR(INDEX(AB:AB,MATCH(SMALL($AU:$AU,ROW()+3),$AU:$AU,0)),"")</f>
        <v/>
      </c>
      <c r="AP369" s="49" t="str">
        <f ca="1">IFERROR(INDEX(AC:AC,MATCH(SMALL($AU:$AU,ROW()+3),$AU:$AU,0)),"")</f>
        <v/>
      </c>
    </row>
    <row r="370" spans="30:42">
      <c r="AD370" s="49" t="str">
        <f ca="1">IFERROR(INDEX(AC:AC,MATCH(SMALL($AU:$AU,ROW()+3),$AU:$AU,0)),"")</f>
        <v/>
      </c>
      <c r="AE370" s="49" t="str">
        <f ca="1">IFERROR(INDEX(R:R,MATCH(SMALL($AU:$AU,ROW()+3),$AU:$AU,0)),"")</f>
        <v/>
      </c>
      <c r="AF370" s="49" t="str">
        <f ca="1">IFERROR(INDEX(S:S,MATCH(SMALL($AU:$AU,ROW()+3),$AU:$AU,0)),"")</f>
        <v/>
      </c>
      <c r="AG370" s="49" t="str">
        <f ca="1">IFERROR(INDEX(T:T,MATCH(SMALL($AU:$AU,ROW()+3),$AU:$AU,0)),"")</f>
        <v/>
      </c>
      <c r="AH370" s="122" t="str">
        <f ca="1">IFERROR(INDEX(U:U,MATCH(SMALL($AU:$AU,ROW()+3),$AU:$AU,0)),"")</f>
        <v/>
      </c>
      <c r="AI370" s="49" t="str">
        <f ca="1">IFERROR(INDEX(V:V,MATCH(SMALL($AU:$AU,ROW()+3),$AU:$AU,0)),"")</f>
        <v/>
      </c>
      <c r="AJ370" s="49" t="str">
        <f ca="1">IFERROR(INDEX(W:W,MATCH(SMALL($AU:$AU,ROW()+3),$AU:$AU,0)),"")</f>
        <v/>
      </c>
      <c r="AK370" s="49" t="str">
        <f ca="1">IFERROR(INDEX(X:X,MATCH(SMALL($AU:$AU,ROW()+3),$AU:$AU,0)),"")</f>
        <v/>
      </c>
      <c r="AL370" s="49" t="str">
        <f ca="1">IFERROR(INDEX(Y:Y,MATCH(SMALL($AU:$AU,ROW()+3),$AU:$AU,0)),"")</f>
        <v/>
      </c>
      <c r="AM370" s="49" t="str">
        <f ca="1">IFERROR(INDEX(Z:Z,MATCH(SMALL($AU:$AU,ROW()+3),$AU:$AU,0)),"")</f>
        <v/>
      </c>
      <c r="AN370" s="49" t="str">
        <f ca="1">IFERROR(INDEX(AA:AA,MATCH(SMALL($AU:$AU,ROW()+3),$AU:$AU,0)),"")</f>
        <v/>
      </c>
      <c r="AO370" s="49" t="str">
        <f ca="1">IFERROR(INDEX(AB:AB,MATCH(SMALL($AU:$AU,ROW()+3),$AU:$AU,0)),"")</f>
        <v/>
      </c>
      <c r="AP370" s="49" t="str">
        <f ca="1">IFERROR(INDEX(AC:AC,MATCH(SMALL($AU:$AU,ROW()+3),$AU:$AU,0)),"")</f>
        <v/>
      </c>
    </row>
    <row r="371" spans="30:42">
      <c r="AD371" s="49" t="str">
        <f ca="1">IFERROR(INDEX(AC:AC,MATCH(SMALL($AU:$AU,ROW()+3),$AU:$AU,0)),"")</f>
        <v/>
      </c>
      <c r="AE371" s="49" t="str">
        <f ca="1">IFERROR(INDEX(R:R,MATCH(SMALL($AU:$AU,ROW()+3),$AU:$AU,0)),"")</f>
        <v/>
      </c>
      <c r="AF371" s="49" t="str">
        <f ca="1">IFERROR(INDEX(S:S,MATCH(SMALL($AU:$AU,ROW()+3),$AU:$AU,0)),"")</f>
        <v/>
      </c>
      <c r="AG371" s="49" t="str">
        <f ca="1">IFERROR(INDEX(T:T,MATCH(SMALL($AU:$AU,ROW()+3),$AU:$AU,0)),"")</f>
        <v/>
      </c>
      <c r="AH371" s="122" t="str">
        <f ca="1">IFERROR(INDEX(U:U,MATCH(SMALL($AU:$AU,ROW()+3),$AU:$AU,0)),"")</f>
        <v/>
      </c>
      <c r="AI371" s="49" t="str">
        <f ca="1">IFERROR(INDEX(V:V,MATCH(SMALL($AU:$AU,ROW()+3),$AU:$AU,0)),"")</f>
        <v/>
      </c>
      <c r="AJ371" s="49" t="str">
        <f ca="1">IFERROR(INDEX(W:W,MATCH(SMALL($AU:$AU,ROW()+3),$AU:$AU,0)),"")</f>
        <v/>
      </c>
      <c r="AK371" s="49" t="str">
        <f ca="1">IFERROR(INDEX(X:X,MATCH(SMALL($AU:$AU,ROW()+3),$AU:$AU,0)),"")</f>
        <v/>
      </c>
      <c r="AL371" s="49" t="str">
        <f ca="1">IFERROR(INDEX(Y:Y,MATCH(SMALL($AU:$AU,ROW()+3),$AU:$AU,0)),"")</f>
        <v/>
      </c>
      <c r="AM371" s="49" t="str">
        <f ca="1">IFERROR(INDEX(Z:Z,MATCH(SMALL($AU:$AU,ROW()+3),$AU:$AU,0)),"")</f>
        <v/>
      </c>
      <c r="AN371" s="49" t="str">
        <f ca="1">IFERROR(INDEX(AA:AA,MATCH(SMALL($AU:$AU,ROW()+3),$AU:$AU,0)),"")</f>
        <v/>
      </c>
      <c r="AO371" s="49" t="str">
        <f ca="1">IFERROR(INDEX(AB:AB,MATCH(SMALL($AU:$AU,ROW()+3),$AU:$AU,0)),"")</f>
        <v/>
      </c>
      <c r="AP371" s="49" t="str">
        <f ca="1">IFERROR(INDEX(AC:AC,MATCH(SMALL($AU:$AU,ROW()+3),$AU:$AU,0)),"")</f>
        <v/>
      </c>
    </row>
    <row r="372" spans="30:42">
      <c r="AD372" s="49" t="str">
        <f ca="1">IFERROR(INDEX(AC:AC,MATCH(SMALL($AU:$AU,ROW()+3),$AU:$AU,0)),"")</f>
        <v/>
      </c>
      <c r="AE372" s="49" t="str">
        <f ca="1">IFERROR(INDEX(R:R,MATCH(SMALL($AU:$AU,ROW()+3),$AU:$AU,0)),"")</f>
        <v/>
      </c>
      <c r="AF372" s="49" t="str">
        <f ca="1">IFERROR(INDEX(S:S,MATCH(SMALL($AU:$AU,ROW()+3),$AU:$AU,0)),"")</f>
        <v/>
      </c>
      <c r="AG372" s="49" t="str">
        <f ca="1">IFERROR(INDEX(T:T,MATCH(SMALL($AU:$AU,ROW()+3),$AU:$AU,0)),"")</f>
        <v/>
      </c>
      <c r="AH372" s="122" t="str">
        <f ca="1">IFERROR(INDEX(U:U,MATCH(SMALL($AU:$AU,ROW()+3),$AU:$AU,0)),"")</f>
        <v/>
      </c>
      <c r="AI372" s="49" t="str">
        <f ca="1">IFERROR(INDEX(V:V,MATCH(SMALL($AU:$AU,ROW()+3),$AU:$AU,0)),"")</f>
        <v/>
      </c>
      <c r="AJ372" s="49" t="str">
        <f ca="1">IFERROR(INDEX(W:W,MATCH(SMALL($AU:$AU,ROW()+3),$AU:$AU,0)),"")</f>
        <v/>
      </c>
      <c r="AK372" s="49" t="str">
        <f ca="1">IFERROR(INDEX(X:X,MATCH(SMALL($AU:$AU,ROW()+3),$AU:$AU,0)),"")</f>
        <v/>
      </c>
      <c r="AL372" s="49" t="str">
        <f ca="1">IFERROR(INDEX(Y:Y,MATCH(SMALL($AU:$AU,ROW()+3),$AU:$AU,0)),"")</f>
        <v/>
      </c>
      <c r="AM372" s="49" t="str">
        <f ca="1">IFERROR(INDEX(Z:Z,MATCH(SMALL($AU:$AU,ROW()+3),$AU:$AU,0)),"")</f>
        <v/>
      </c>
      <c r="AN372" s="49" t="str">
        <f ca="1">IFERROR(INDEX(AA:AA,MATCH(SMALL($AU:$AU,ROW()+3),$AU:$AU,0)),"")</f>
        <v/>
      </c>
      <c r="AO372" s="49" t="str">
        <f ca="1">IFERROR(INDEX(AB:AB,MATCH(SMALL($AU:$AU,ROW()+3),$AU:$AU,0)),"")</f>
        <v/>
      </c>
      <c r="AP372" s="49" t="str">
        <f ca="1">IFERROR(INDEX(AC:AC,MATCH(SMALL($AU:$AU,ROW()+3),$AU:$AU,0)),"")</f>
        <v/>
      </c>
    </row>
    <row r="373" spans="30:42">
      <c r="AD373" s="49" t="str">
        <f ca="1">IFERROR(INDEX(AC:AC,MATCH(SMALL($AU:$AU,ROW()+3),$AU:$AU,0)),"")</f>
        <v/>
      </c>
      <c r="AE373" s="49" t="str">
        <f ca="1">IFERROR(INDEX(R:R,MATCH(SMALL($AU:$AU,ROW()+3),$AU:$AU,0)),"")</f>
        <v/>
      </c>
      <c r="AF373" s="49" t="str">
        <f ca="1">IFERROR(INDEX(S:S,MATCH(SMALL($AU:$AU,ROW()+3),$AU:$AU,0)),"")</f>
        <v/>
      </c>
      <c r="AG373" s="49" t="str">
        <f ca="1">IFERROR(INDEX(T:T,MATCH(SMALL($AU:$AU,ROW()+3),$AU:$AU,0)),"")</f>
        <v/>
      </c>
      <c r="AH373" s="122" t="str">
        <f ca="1">IFERROR(INDEX(U:U,MATCH(SMALL($AU:$AU,ROW()+3),$AU:$AU,0)),"")</f>
        <v/>
      </c>
      <c r="AI373" s="49" t="str">
        <f ca="1">IFERROR(INDEX(V:V,MATCH(SMALL($AU:$AU,ROW()+3),$AU:$AU,0)),"")</f>
        <v/>
      </c>
      <c r="AJ373" s="49" t="str">
        <f ca="1">IFERROR(INDEX(W:W,MATCH(SMALL($AU:$AU,ROW()+3),$AU:$AU,0)),"")</f>
        <v/>
      </c>
      <c r="AK373" s="49" t="str">
        <f ca="1">IFERROR(INDEX(X:X,MATCH(SMALL($AU:$AU,ROW()+3),$AU:$AU,0)),"")</f>
        <v/>
      </c>
      <c r="AL373" s="49" t="str">
        <f ca="1">IFERROR(INDEX(Y:Y,MATCH(SMALL($AU:$AU,ROW()+3),$AU:$AU,0)),"")</f>
        <v/>
      </c>
      <c r="AM373" s="49" t="str">
        <f ca="1">IFERROR(INDEX(Z:Z,MATCH(SMALL($AU:$AU,ROW()+3),$AU:$AU,0)),"")</f>
        <v/>
      </c>
      <c r="AN373" s="49" t="str">
        <f ca="1">IFERROR(INDEX(AA:AA,MATCH(SMALL($AU:$AU,ROW()+3),$AU:$AU,0)),"")</f>
        <v/>
      </c>
      <c r="AO373" s="49" t="str">
        <f ca="1">IFERROR(INDEX(AB:AB,MATCH(SMALL($AU:$AU,ROW()+3),$AU:$AU,0)),"")</f>
        <v/>
      </c>
      <c r="AP373" s="49" t="str">
        <f ca="1">IFERROR(INDEX(AC:AC,MATCH(SMALL($AU:$AU,ROW()+3),$AU:$AU,0)),"")</f>
        <v/>
      </c>
    </row>
    <row r="374" spans="30:42">
      <c r="AD374" s="49" t="str">
        <f ca="1">IFERROR(INDEX(AC:AC,MATCH(SMALL($AU:$AU,ROW()+3),$AU:$AU,0)),"")</f>
        <v/>
      </c>
      <c r="AE374" s="49" t="str">
        <f ca="1">IFERROR(INDEX(R:R,MATCH(SMALL($AU:$AU,ROW()+3),$AU:$AU,0)),"")</f>
        <v/>
      </c>
      <c r="AF374" s="49" t="str">
        <f ca="1">IFERROR(INDEX(S:S,MATCH(SMALL($AU:$AU,ROW()+3),$AU:$AU,0)),"")</f>
        <v/>
      </c>
      <c r="AG374" s="49" t="str">
        <f ca="1">IFERROR(INDEX(T:T,MATCH(SMALL($AU:$AU,ROW()+3),$AU:$AU,0)),"")</f>
        <v/>
      </c>
      <c r="AH374" s="122" t="str">
        <f ca="1">IFERROR(INDEX(U:U,MATCH(SMALL($AU:$AU,ROW()+3),$AU:$AU,0)),"")</f>
        <v/>
      </c>
      <c r="AI374" s="49" t="str">
        <f ca="1">IFERROR(INDEX(V:V,MATCH(SMALL($AU:$AU,ROW()+3),$AU:$AU,0)),"")</f>
        <v/>
      </c>
      <c r="AJ374" s="49" t="str">
        <f ca="1">IFERROR(INDEX(W:W,MATCH(SMALL($AU:$AU,ROW()+3),$AU:$AU,0)),"")</f>
        <v/>
      </c>
      <c r="AK374" s="49" t="str">
        <f ca="1">IFERROR(INDEX(X:X,MATCH(SMALL($AU:$AU,ROW()+3),$AU:$AU,0)),"")</f>
        <v/>
      </c>
      <c r="AL374" s="49" t="str">
        <f ca="1">IFERROR(INDEX(Y:Y,MATCH(SMALL($AU:$AU,ROW()+3),$AU:$AU,0)),"")</f>
        <v/>
      </c>
      <c r="AM374" s="49" t="str">
        <f ca="1">IFERROR(INDEX(Z:Z,MATCH(SMALL($AU:$AU,ROW()+3),$AU:$AU,0)),"")</f>
        <v/>
      </c>
      <c r="AN374" s="49" t="str">
        <f ca="1">IFERROR(INDEX(AA:AA,MATCH(SMALL($AU:$AU,ROW()+3),$AU:$AU,0)),"")</f>
        <v/>
      </c>
      <c r="AO374" s="49" t="str">
        <f ca="1">IFERROR(INDEX(AB:AB,MATCH(SMALL($AU:$AU,ROW()+3),$AU:$AU,0)),"")</f>
        <v/>
      </c>
      <c r="AP374" s="49" t="str">
        <f ca="1">IFERROR(INDEX(AC:AC,MATCH(SMALL($AU:$AU,ROW()+3),$AU:$AU,0)),"")</f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B1" sqref="B1"/>
    </sheetView>
  </sheetViews>
  <sheetFormatPr defaultRowHeight="22.2"/>
  <cols>
    <col min="1" max="1" width="2.8984375" style="52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0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7" customWidth="1"/>
    <col min="15" max="15" width="2.796875" style="29" customWidth="1"/>
    <col min="16" max="16" width="2.796875" style="52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0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7" customWidth="1"/>
    <col min="30" max="30" width="2.796875" style="29" customWidth="1"/>
    <col min="31" max="31" width="2.796875" style="52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0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7" customWidth="1"/>
    <col min="45" max="45" width="2.796875" style="29" customWidth="1"/>
    <col min="46" max="46" width="2.796875" style="52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0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7" customWidth="1"/>
    <col min="60" max="60" width="2.796875" style="29" customWidth="1"/>
    <col min="61" max="61" width="2.8984375" style="52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0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7" customWidth="1"/>
    <col min="75" max="75" width="2.796875" style="29" customWidth="1"/>
    <col min="76" max="76" width="2.796875" style="52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0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7" customWidth="1"/>
    <col min="90" max="90" width="2.796875" style="29" customWidth="1"/>
    <col min="91" max="91" width="2.796875" style="52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0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7" customWidth="1"/>
    <col min="105" max="105" width="2.796875" style="29" customWidth="1"/>
    <col min="106" max="106" width="2.796875" style="52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0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7" customWidth="1"/>
    <col min="120" max="120" width="2.796875" style="29" customWidth="1"/>
    <col min="121" max="121" width="2.796875" style="52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0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7" customWidth="1"/>
    <col min="135" max="135" width="2.796875" style="29" customWidth="1"/>
    <col min="136" max="136" width="2.796875" style="52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0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7" customWidth="1"/>
    <col min="150" max="150" width="2.796875" style="29" customWidth="1"/>
  </cols>
  <sheetData>
    <row r="1" spans="1:150" s="32" customFormat="1" ht="25.8" customHeight="1">
      <c r="A1" s="31">
        <v>1</v>
      </c>
      <c r="B1" s="42" t="str">
        <f ca="1">IF(C1&lt;&gt;"",
MID(貼り付け用!$A$2, FIND("年",貼り付け用!$A$2)+1,2)&amp;"/"&amp;MID(貼り付け用!$A$2, FIND("月",貼り付け用!$A$2)+1,2),"")</f>
        <v/>
      </c>
      <c r="C1" s="155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156"/>
      <c r="E1" s="156"/>
      <c r="F1" s="156"/>
      <c r="G1" s="41" t="str">
        <f t="array" aca="1" ref="G1" ca="1">IF(C1&lt;&gt;"",
IF(AND(INDIRECT("'盛付札（関数）'!AE"&amp;A1)&gt;=124,INDIRECT("'盛付札（関数）'!AE"&amp;A1)&lt;=144),"",
"様"),"")</f>
        <v/>
      </c>
      <c r="H1" s="35">
        <f>A1+1</f>
        <v>2</v>
      </c>
      <c r="I1" s="42" t="str">
        <f ca="1">IF(J1&lt;&gt;"",
MID(貼り付け用!$A$2, FIND("年",貼り付け用!$A$2)+1,2)&amp;"/"&amp;MID(貼り付け用!$A$2, FIND("月",貼り付け用!$A$2)+1,2),"")</f>
        <v/>
      </c>
      <c r="J1" s="155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156"/>
      <c r="L1" s="156"/>
      <c r="M1" s="156"/>
      <c r="N1" s="41" t="str">
        <f t="array" aca="1" ref="N1" ca="1">IF(J1&lt;&gt;"",
IF(AND(INDIRECT("'盛付札（関数）'!AE"&amp;H1)&gt;=124,INDIRECT("'盛付札（関数）'!AE"&amp;H1)&lt;=144),"",
"様"),"")</f>
        <v/>
      </c>
      <c r="O1" s="22"/>
      <c r="P1" s="31">
        <f>H41+1</f>
        <v>13</v>
      </c>
      <c r="Q1" s="42" t="str">
        <f ca="1">IF(R1&lt;&gt;"",
MID(貼り付け用!$A$2, FIND("年",貼り付け用!$A$2)+1,2)&amp;"/"&amp;MID(貼り付け用!$A$2, FIND("月",貼り付け用!$A$2)+1,2),"")</f>
        <v/>
      </c>
      <c r="R1" s="155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156"/>
      <c r="T1" s="156"/>
      <c r="U1" s="156"/>
      <c r="V1" s="41" t="str">
        <f t="array" aca="1" ref="V1" ca="1">IF(R1&lt;&gt;"",
IF(AND(INDIRECT("'盛付札（関数）'!AE"&amp;P1)&gt;=124,INDIRECT("'盛付札（関数）'!AE"&amp;P1)&lt;=144),"",
"様"),"")</f>
        <v/>
      </c>
      <c r="W1" s="35">
        <f>P1+1</f>
        <v>14</v>
      </c>
      <c r="X1" s="42" t="str">
        <f ca="1">IF(Y1&lt;&gt;"",
MID(貼り付け用!$A$2, FIND("年",貼り付け用!$A$2)+1,2)&amp;"/"&amp;MID(貼り付け用!$A$2, FIND("月",貼り付け用!$A$2)+1,2),"")</f>
        <v/>
      </c>
      <c r="Y1" s="155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156"/>
      <c r="AA1" s="156"/>
      <c r="AB1" s="156"/>
      <c r="AC1" s="41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1">
        <f>W41+1</f>
        <v>25</v>
      </c>
      <c r="AF1" s="42" t="str">
        <f ca="1">IF(AG1&lt;&gt;"",
MID(貼り付け用!$A$2, FIND("年",貼り付け用!$A$2)+1,2)&amp;"/"&amp;MID(貼り付け用!$A$2, FIND("月",貼り付け用!$A$2)+1,2),"")</f>
        <v/>
      </c>
      <c r="AG1" s="155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156"/>
      <c r="AI1" s="156"/>
      <c r="AJ1" s="156"/>
      <c r="AK1" s="41" t="str">
        <f t="array" aca="1" ref="AK1" ca="1">IF(AG1&lt;&gt;"",
IF(AND(INDIRECT("'盛付札（関数）'!AE"&amp;AE1)&gt;=124,INDIRECT("'盛付札（関数）'!AE"&amp;AE1)&lt;=144),"",
"様"),"")</f>
        <v/>
      </c>
      <c r="AL1" s="35">
        <f>AE1+1</f>
        <v>26</v>
      </c>
      <c r="AM1" s="42" t="str">
        <f ca="1">IF(AN1&lt;&gt;"",
MID(貼り付け用!$A$2, FIND("年",貼り付け用!$A$2)+1,2)&amp;"/"&amp;MID(貼り付け用!$A$2, FIND("月",貼り付け用!$A$2)+1,2),"")</f>
        <v/>
      </c>
      <c r="AN1" s="155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156"/>
      <c r="AP1" s="156"/>
      <c r="AQ1" s="156"/>
      <c r="AR1" s="41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1">
        <f>AL41+1</f>
        <v>37</v>
      </c>
      <c r="AU1" s="42" t="str">
        <f ca="1">IF(AV1&lt;&gt;"",
MID(貼り付け用!$A$2, FIND("年",貼り付け用!$A$2)+1,2)&amp;"/"&amp;MID(貼り付け用!$A$2, FIND("月",貼り付け用!$A$2)+1,2),"")</f>
        <v/>
      </c>
      <c r="AV1" s="155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156"/>
      <c r="AX1" s="156"/>
      <c r="AY1" s="156"/>
      <c r="AZ1" s="41" t="str">
        <f t="array" aca="1" ref="AZ1" ca="1">IF(AV1&lt;&gt;"",
IF(AND(INDIRECT("'盛付札（関数）'!AE"&amp;AT1)&gt;=124,INDIRECT("'盛付札（関数）'!AE"&amp;AT1)&lt;=144),"",
"様"),"")</f>
        <v/>
      </c>
      <c r="BA1" s="35">
        <f>AT1+1</f>
        <v>38</v>
      </c>
      <c r="BB1" s="42" t="str">
        <f ca="1">IF(BC1&lt;&gt;"",
MID(貼り付け用!$A$2, FIND("年",貼り付け用!$A$2)+1,2)&amp;"/"&amp;MID(貼り付け用!$A$2, FIND("月",貼り付け用!$A$2)+1,2),"")</f>
        <v/>
      </c>
      <c r="BC1" s="155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156"/>
      <c r="BE1" s="156"/>
      <c r="BF1" s="156"/>
      <c r="BG1" s="41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1">
        <f>BA41+1</f>
        <v>49</v>
      </c>
      <c r="BJ1" s="42" t="str">
        <f ca="1">IF(BK1&lt;&gt;"",
MID(貼り付け用!$A$2, FIND("年",貼り付け用!$A$2)+1,2)&amp;"/"&amp;MID(貼り付け用!$A$2, FIND("月",貼り付け用!$A$2)+1,2),"")</f>
        <v/>
      </c>
      <c r="BK1" s="155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156"/>
      <c r="BM1" s="156"/>
      <c r="BN1" s="156"/>
      <c r="BO1" s="41" t="str">
        <f t="array" aca="1" ref="BO1" ca="1">IF(BK1&lt;&gt;"",
IF(AND(INDIRECT("'盛付札（関数）'!AE"&amp;BI1)&gt;=124,INDIRECT("'盛付札（関数）'!AE"&amp;BI1)&lt;=144),"",
"様"),"")</f>
        <v/>
      </c>
      <c r="BP1" s="35">
        <f>BI1+1</f>
        <v>50</v>
      </c>
      <c r="BQ1" s="42" t="str">
        <f ca="1">IF(BR1&lt;&gt;"",
MID(貼り付け用!$A$2, FIND("年",貼り付け用!$A$2)+1,2)&amp;"/"&amp;MID(貼り付け用!$A$2, FIND("月",貼り付け用!$A$2)+1,2),"")</f>
        <v/>
      </c>
      <c r="BR1" s="155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156"/>
      <c r="BT1" s="156"/>
      <c r="BU1" s="156"/>
      <c r="BV1" s="41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1">
        <f>BP41+1</f>
        <v>61</v>
      </c>
      <c r="BY1" s="42" t="str">
        <f ca="1">IF(BZ1&lt;&gt;"",
MID(貼り付け用!$A$2, FIND("年",貼り付け用!$A$2)+1,2)&amp;"/"&amp;MID(貼り付け用!$A$2, FIND("月",貼り付け用!$A$2)+1,2),"")</f>
        <v/>
      </c>
      <c r="BZ1" s="155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156"/>
      <c r="CB1" s="156"/>
      <c r="CC1" s="156"/>
      <c r="CD1" s="41" t="str">
        <f t="array" aca="1" ref="CD1" ca="1">IF(BZ1&lt;&gt;"",
IF(AND(INDIRECT("'盛付札（関数）'!AE"&amp;BX1)&gt;=124,INDIRECT("'盛付札（関数）'!AE"&amp;BX1)&lt;=144),"",
"様"),"")</f>
        <v/>
      </c>
      <c r="CE1" s="35">
        <f>BX1+1</f>
        <v>62</v>
      </c>
      <c r="CF1" s="42" t="str">
        <f ca="1">IF(CG1&lt;&gt;"",
MID(貼り付け用!$A$2, FIND("年",貼り付け用!$A$2)+1,2)&amp;"/"&amp;MID(貼り付け用!$A$2, FIND("月",貼り付け用!$A$2)+1,2),"")</f>
        <v/>
      </c>
      <c r="CG1" s="155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156"/>
      <c r="CI1" s="156"/>
      <c r="CJ1" s="156"/>
      <c r="CK1" s="41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1">
        <f>CE41+1</f>
        <v>73</v>
      </c>
      <c r="CN1" s="42" t="str">
        <f ca="1">IF(CO1&lt;&gt;"",
MID(貼り付け用!$A$2, FIND("年",貼り付け用!$A$2)+1,2)&amp;"/"&amp;MID(貼り付け用!$A$2, FIND("月",貼り付け用!$A$2)+1,2),"")</f>
        <v/>
      </c>
      <c r="CO1" s="155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156"/>
      <c r="CQ1" s="156"/>
      <c r="CR1" s="156"/>
      <c r="CS1" s="41" t="str">
        <f t="array" aca="1" ref="CS1" ca="1">IF(CO1&lt;&gt;"",
IF(AND(INDIRECT("'盛付札（関数）'!AE"&amp;CM1)&gt;=124,INDIRECT("'盛付札（関数）'!AE"&amp;CM1)&lt;=144),"",
"様"),"")</f>
        <v/>
      </c>
      <c r="CT1" s="35">
        <f>CM1+1</f>
        <v>74</v>
      </c>
      <c r="CU1" s="42" t="str">
        <f ca="1">IF(CV1&lt;&gt;"",
MID(貼り付け用!$A$2, FIND("年",貼り付け用!$A$2)+1,2)&amp;"/"&amp;MID(貼り付け用!$A$2, FIND("月",貼り付け用!$A$2)+1,2),"")</f>
        <v/>
      </c>
      <c r="CV1" s="155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156"/>
      <c r="CX1" s="156"/>
      <c r="CY1" s="156"/>
      <c r="CZ1" s="41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1">
        <f>CT41+1</f>
        <v>85</v>
      </c>
      <c r="DC1" s="42" t="str">
        <f ca="1">IF(DD1&lt;&gt;"",
MID(貼り付け用!$A$2, FIND("年",貼り付け用!$A$2)+1,2)&amp;"/"&amp;MID(貼り付け用!$A$2, FIND("月",貼り付け用!$A$2)+1,2),"")</f>
        <v/>
      </c>
      <c r="DD1" s="155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156"/>
      <c r="DF1" s="156"/>
      <c r="DG1" s="156"/>
      <c r="DH1" s="41" t="str">
        <f t="array" aca="1" ref="DH1" ca="1">IF(DD1&lt;&gt;"",
IF(AND(INDIRECT("'盛付札（関数）'!AE"&amp;DB1)&gt;=124,INDIRECT("'盛付札（関数）'!AE"&amp;DB1)&lt;=144),"",
"様"),"")</f>
        <v/>
      </c>
      <c r="DI1" s="35">
        <f>DB1+1</f>
        <v>86</v>
      </c>
      <c r="DJ1" s="42" t="str">
        <f ca="1">IF(DK1&lt;&gt;"",
MID(貼り付け用!$A$2, FIND("年",貼り付け用!$A$2)+1,2)&amp;"/"&amp;MID(貼り付け用!$A$2, FIND("月",貼り付け用!$A$2)+1,2),"")</f>
        <v/>
      </c>
      <c r="DK1" s="155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156"/>
      <c r="DM1" s="156"/>
      <c r="DN1" s="156"/>
      <c r="DO1" s="41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1">
        <f>DI41+1</f>
        <v>97</v>
      </c>
      <c r="DR1" s="42" t="str">
        <f ca="1">IF(DS1&lt;&gt;"",
MID(貼り付け用!$A$2, FIND("年",貼り付け用!$A$2)+1,2)&amp;"/"&amp;MID(貼り付け用!$A$2, FIND("月",貼り付け用!$A$2)+1,2),"")</f>
        <v/>
      </c>
      <c r="DS1" s="155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156"/>
      <c r="DU1" s="156"/>
      <c r="DV1" s="156"/>
      <c r="DW1" s="41" t="str">
        <f t="array" aca="1" ref="DW1" ca="1">IF(DS1&lt;&gt;"",
IF(AND(INDIRECT("'盛付札（関数）'!AE"&amp;DQ1)&gt;=124,INDIRECT("'盛付札（関数）'!AE"&amp;DQ1)&lt;=144),"",
"様"),"")</f>
        <v/>
      </c>
      <c r="DX1" s="35">
        <f>DQ1+1</f>
        <v>98</v>
      </c>
      <c r="DY1" s="42" t="str">
        <f ca="1">IF(DZ1&lt;&gt;"",
MID(貼り付け用!$A$2, FIND("年",貼り付け用!$A$2)+1,2)&amp;"/"&amp;MID(貼り付け用!$A$2, FIND("月",貼り付け用!$A$2)+1,2),"")</f>
        <v/>
      </c>
      <c r="DZ1" s="155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156"/>
      <c r="EB1" s="156"/>
      <c r="EC1" s="156"/>
      <c r="ED1" s="41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1">
        <f>DX41+1</f>
        <v>109</v>
      </c>
      <c r="EG1" s="42" t="str">
        <f ca="1">IF(EH1&lt;&gt;"",
MID(貼り付け用!$A$2, FIND("年",貼り付け用!$A$2)+1,2)&amp;"/"&amp;MID(貼り付け用!$A$2, FIND("月",貼り付け用!$A$2)+1,2),"")</f>
        <v/>
      </c>
      <c r="EH1" s="155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156"/>
      <c r="EJ1" s="156"/>
      <c r="EK1" s="156"/>
      <c r="EL1" s="41" t="str">
        <f t="array" aca="1" ref="EL1" ca="1">IF(EH1&lt;&gt;"",
IF(AND(INDIRECT("'盛付札（関数）'!AE"&amp;EF1)&gt;=124,INDIRECT("'盛付札（関数）'!AE"&amp;EF1)&lt;=144),"",
"様"),"")</f>
        <v/>
      </c>
      <c r="EM1" s="35">
        <f>EF1+1</f>
        <v>110</v>
      </c>
      <c r="EN1" s="42" t="str">
        <f ca="1">IF(EO1&lt;&gt;"",
MID(貼り付け用!$A$2, FIND("年",貼り付け用!$A$2)+1,2)&amp;"/"&amp;MID(貼り付け用!$A$2, FIND("月",貼り付け用!$A$2)+1,2),"")</f>
        <v/>
      </c>
      <c r="EO1" s="155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156"/>
      <c r="EQ1" s="156"/>
      <c r="ER1" s="156"/>
      <c r="ES1" s="41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32" customFormat="1">
      <c r="A2" s="31"/>
      <c r="B2" s="109"/>
      <c r="C2" s="170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INDIRECT("'盛付札（関数）'!AG"&amp;A1))),"")</f>
        <v/>
      </c>
      <c r="D2" s="40"/>
      <c r="E2" s="40"/>
      <c r="F2" s="46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8"/>
      <c r="H2" s="47"/>
      <c r="I2" s="109"/>
      <c r="J2" s="170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INDIRECT("'盛付札（関数）'!AG"&amp;H1))),"")</f>
        <v/>
      </c>
      <c r="K2" s="40"/>
      <c r="L2" s="40"/>
      <c r="M2" s="46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8"/>
      <c r="O2" s="22"/>
      <c r="P2" s="31"/>
      <c r="Q2" s="109"/>
      <c r="R2" s="170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INDIRECT("'盛付札（関数）'!AG"&amp;P1))),"")</f>
        <v/>
      </c>
      <c r="S2" s="40"/>
      <c r="T2" s="40"/>
      <c r="U2" s="46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8"/>
      <c r="W2" s="47"/>
      <c r="X2" s="109"/>
      <c r="Y2" s="170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INDIRECT("'盛付札（関数）'!AG"&amp;W1))),"")</f>
        <v/>
      </c>
      <c r="Z2" s="40"/>
      <c r="AA2" s="40"/>
      <c r="AB2" s="46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8"/>
      <c r="AD2" s="22"/>
      <c r="AE2" s="31"/>
      <c r="AF2" s="109"/>
      <c r="AG2" s="170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INDIRECT("'盛付札（関数）'!AG"&amp;AE1))),"")</f>
        <v/>
      </c>
      <c r="AH2" s="40"/>
      <c r="AI2" s="40"/>
      <c r="AJ2" s="46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8"/>
      <c r="AL2" s="47"/>
      <c r="AM2" s="109"/>
      <c r="AN2" s="170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INDIRECT("'盛付札（関数）'!AG"&amp;AL1))),"")</f>
        <v/>
      </c>
      <c r="AO2" s="40"/>
      <c r="AP2" s="40"/>
      <c r="AQ2" s="46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8"/>
      <c r="AS2" s="22"/>
      <c r="AT2" s="31"/>
      <c r="AU2" s="109"/>
      <c r="AV2" s="170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INDIRECT("'盛付札（関数）'!AG"&amp;AT1))),"")</f>
        <v/>
      </c>
      <c r="AW2" s="40"/>
      <c r="AX2" s="40"/>
      <c r="AY2" s="46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8"/>
      <c r="BA2" s="47"/>
      <c r="BB2" s="109"/>
      <c r="BC2" s="170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INDIRECT("'盛付札（関数）'!AG"&amp;BA1))),"")</f>
        <v/>
      </c>
      <c r="BD2" s="40"/>
      <c r="BE2" s="40"/>
      <c r="BF2" s="46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8"/>
      <c r="BH2" s="22"/>
      <c r="BI2" s="31"/>
      <c r="BJ2" s="109"/>
      <c r="BK2" s="170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INDIRECT("'盛付札（関数）'!AG"&amp;BI1))),"")</f>
        <v/>
      </c>
      <c r="BL2" s="40"/>
      <c r="BM2" s="40"/>
      <c r="BN2" s="46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8"/>
      <c r="BP2" s="47"/>
      <c r="BQ2" s="109"/>
      <c r="BR2" s="170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INDIRECT("'盛付札（関数）'!AG"&amp;BP1))),"")</f>
        <v/>
      </c>
      <c r="BS2" s="40"/>
      <c r="BT2" s="40"/>
      <c r="BU2" s="46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8"/>
      <c r="BW2" s="22"/>
      <c r="BX2" s="31"/>
      <c r="BY2" s="109"/>
      <c r="BZ2" s="170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INDIRECT("'盛付札（関数）'!AG"&amp;BX1))),"")</f>
        <v/>
      </c>
      <c r="CA2" s="40"/>
      <c r="CB2" s="40"/>
      <c r="CC2" s="46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8"/>
      <c r="CE2" s="47"/>
      <c r="CF2" s="109"/>
      <c r="CG2" s="170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INDIRECT("'盛付札（関数）'!AG"&amp;CE1))),"")</f>
        <v/>
      </c>
      <c r="CH2" s="40"/>
      <c r="CI2" s="40"/>
      <c r="CJ2" s="46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8"/>
      <c r="CL2" s="22"/>
      <c r="CM2" s="31"/>
      <c r="CN2" s="109"/>
      <c r="CO2" s="170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INDIRECT("'盛付札（関数）'!AG"&amp;CM1))),"")</f>
        <v/>
      </c>
      <c r="CP2" s="40"/>
      <c r="CQ2" s="40"/>
      <c r="CR2" s="46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8"/>
      <c r="CT2" s="47"/>
      <c r="CU2" s="109"/>
      <c r="CV2" s="170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INDIRECT("'盛付札（関数）'!AG"&amp;CT1))),"")</f>
        <v/>
      </c>
      <c r="CW2" s="40"/>
      <c r="CX2" s="40"/>
      <c r="CY2" s="46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8"/>
      <c r="DA2" s="22"/>
      <c r="DB2" s="31"/>
      <c r="DC2" s="109"/>
      <c r="DD2" s="170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INDIRECT("'盛付札（関数）'!AG"&amp;DB1))),"")</f>
        <v/>
      </c>
      <c r="DE2" s="40"/>
      <c r="DF2" s="40"/>
      <c r="DG2" s="46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8"/>
      <c r="DI2" s="47"/>
      <c r="DJ2" s="109"/>
      <c r="DK2" s="170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INDIRECT("'盛付札（関数）'!AG"&amp;DI1))),"")</f>
        <v/>
      </c>
      <c r="DL2" s="40"/>
      <c r="DM2" s="40"/>
      <c r="DN2" s="46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8"/>
      <c r="DP2" s="22"/>
      <c r="DQ2" s="31"/>
      <c r="DR2" s="109"/>
      <c r="DS2" s="170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INDIRECT("'盛付札（関数）'!AG"&amp;DQ1))),"")</f>
        <v/>
      </c>
      <c r="DT2" s="40"/>
      <c r="DU2" s="40"/>
      <c r="DV2" s="46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8"/>
      <c r="DX2" s="47"/>
      <c r="DY2" s="109"/>
      <c r="DZ2" s="170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INDIRECT("'盛付札（関数）'!AG"&amp;DX1))),"")</f>
        <v/>
      </c>
      <c r="EA2" s="40"/>
      <c r="EB2" s="40"/>
      <c r="EC2" s="46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8"/>
      <c r="EE2" s="22"/>
      <c r="EF2" s="31"/>
      <c r="EG2" s="109"/>
      <c r="EH2" s="170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INDIRECT("'盛付札（関数）'!AG"&amp;EF1))),"")</f>
        <v/>
      </c>
      <c r="EI2" s="40"/>
      <c r="EJ2" s="40"/>
      <c r="EK2" s="46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8"/>
      <c r="EM2" s="47"/>
      <c r="EN2" s="109"/>
      <c r="EO2" s="170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INDIRECT("'盛付札（関数）'!AG"&amp;EM1))),"")</f>
        <v/>
      </c>
      <c r="EP2" s="40"/>
      <c r="EQ2" s="40"/>
      <c r="ER2" s="46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8"/>
      <c r="ET2" s="22"/>
    </row>
    <row r="3" spans="1:150" s="32" customFormat="1">
      <c r="A3" s="31"/>
      <c r="B3" s="33"/>
      <c r="C3" s="153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154"/>
      <c r="E3" s="22"/>
      <c r="F3" s="168" t="str" cm="1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9"/>
      <c r="H3" s="35"/>
      <c r="I3" s="33"/>
      <c r="J3" s="153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154"/>
      <c r="L3" s="22"/>
      <c r="M3" s="168" t="str" cm="1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9"/>
      <c r="O3" s="22"/>
      <c r="P3" s="31"/>
      <c r="Q3" s="33"/>
      <c r="R3" s="153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154"/>
      <c r="T3" s="22"/>
      <c r="U3" s="168" t="str" cm="1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9"/>
      <c r="W3" s="35"/>
      <c r="X3" s="33"/>
      <c r="Y3" s="153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154"/>
      <c r="AA3" s="22"/>
      <c r="AB3" s="168" t="str" cm="1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9"/>
      <c r="AD3" s="22"/>
      <c r="AE3" s="31"/>
      <c r="AF3" s="33"/>
      <c r="AG3" s="153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154"/>
      <c r="AI3" s="22"/>
      <c r="AJ3" s="168" t="str" cm="1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9"/>
      <c r="AL3" s="35"/>
      <c r="AM3" s="33"/>
      <c r="AN3" s="153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154"/>
      <c r="AP3" s="22"/>
      <c r="AQ3" s="168" t="str" cm="1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9"/>
      <c r="AS3" s="22"/>
      <c r="AT3" s="31"/>
      <c r="AU3" s="33"/>
      <c r="AV3" s="153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154"/>
      <c r="AX3" s="22"/>
      <c r="AY3" s="168" t="str" cm="1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9"/>
      <c r="BA3" s="35"/>
      <c r="BB3" s="33"/>
      <c r="BC3" s="153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154"/>
      <c r="BE3" s="22"/>
      <c r="BF3" s="168" t="str" cm="1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9"/>
      <c r="BH3" s="22"/>
      <c r="BI3" s="31"/>
      <c r="BJ3" s="33"/>
      <c r="BK3" s="153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154"/>
      <c r="BM3" s="22"/>
      <c r="BN3" s="168" t="str" cm="1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9"/>
      <c r="BP3" s="35"/>
      <c r="BQ3" s="33"/>
      <c r="BR3" s="153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154"/>
      <c r="BT3" s="22"/>
      <c r="BU3" s="168" t="str" cm="1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9"/>
      <c r="BW3" s="22"/>
      <c r="BX3" s="31"/>
      <c r="BY3" s="33"/>
      <c r="BZ3" s="153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154"/>
      <c r="CB3" s="22"/>
      <c r="CC3" s="168" t="str" cm="1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9"/>
      <c r="CE3" s="35"/>
      <c r="CF3" s="33"/>
      <c r="CG3" s="153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154"/>
      <c r="CI3" s="22"/>
      <c r="CJ3" s="168" t="str" cm="1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9"/>
      <c r="CL3" s="22"/>
      <c r="CM3" s="31"/>
      <c r="CN3" s="33"/>
      <c r="CO3" s="153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154"/>
      <c r="CQ3" s="22"/>
      <c r="CR3" s="168" t="str" cm="1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9"/>
      <c r="CT3" s="35"/>
      <c r="CU3" s="33"/>
      <c r="CV3" s="153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154"/>
      <c r="CX3" s="22"/>
      <c r="CY3" s="168" t="str" cm="1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9"/>
      <c r="DA3" s="22"/>
      <c r="DB3" s="31"/>
      <c r="DC3" s="33"/>
      <c r="DD3" s="153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154"/>
      <c r="DF3" s="22"/>
      <c r="DG3" s="168" t="str" cm="1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9"/>
      <c r="DI3" s="35"/>
      <c r="DJ3" s="33"/>
      <c r="DK3" s="153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154"/>
      <c r="DM3" s="22"/>
      <c r="DN3" s="168" t="str" cm="1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9"/>
      <c r="DP3" s="22"/>
      <c r="DQ3" s="31"/>
      <c r="DR3" s="33"/>
      <c r="DS3" s="153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154"/>
      <c r="DU3" s="22"/>
      <c r="DV3" s="168" t="str" cm="1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9"/>
      <c r="DX3" s="35"/>
      <c r="DY3" s="33"/>
      <c r="DZ3" s="153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154"/>
      <c r="EB3" s="22"/>
      <c r="EC3" s="168" t="str" cm="1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9"/>
      <c r="EE3" s="22"/>
      <c r="EF3" s="31"/>
      <c r="EG3" s="33"/>
      <c r="EH3" s="153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154"/>
      <c r="EJ3" s="22"/>
      <c r="EK3" s="168" t="str" cm="1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9"/>
      <c r="EM3" s="35"/>
      <c r="EN3" s="33"/>
      <c r="EO3" s="153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154"/>
      <c r="EQ3" s="22"/>
      <c r="ER3" s="168" t="str" cm="1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9"/>
      <c r="ET3" s="22"/>
    </row>
    <row r="4" spans="1:150" ht="15.6" customHeight="1">
      <c r="B4" s="25"/>
      <c r="C4" s="151" t="str">
        <f t="array" aca="1" ref="C4" ca="1">IF(C1&lt;&gt;"",INDIRECT("'盛付札（関数）'!AJ"&amp;A1),"")</f>
        <v/>
      </c>
      <c r="D4" s="152"/>
      <c r="E4" s="48"/>
      <c r="F4" s="147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148"/>
      <c r="H4" s="26"/>
      <c r="I4" s="25"/>
      <c r="J4" s="151" t="str">
        <f t="array" aca="1" ref="J4" ca="1">IF(J1&lt;&gt;"",INDIRECT("'盛付札（関数）'!AJ"&amp;H1),"")</f>
        <v/>
      </c>
      <c r="K4" s="152"/>
      <c r="L4" s="48"/>
      <c r="M4" s="147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148"/>
      <c r="Q4" s="25"/>
      <c r="R4" s="151" t="str">
        <f t="array" aca="1" ref="R4" ca="1">IF(R1&lt;&gt;"",INDIRECT("'盛付札（関数）'!AJ"&amp;P1),"")</f>
        <v/>
      </c>
      <c r="S4" s="152"/>
      <c r="T4" s="48"/>
      <c r="U4" s="147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148"/>
      <c r="W4" s="26"/>
      <c r="X4" s="25"/>
      <c r="Y4" s="151" t="str">
        <f t="array" aca="1" ref="Y4" ca="1">IF(Y1&lt;&gt;"",INDIRECT("'盛付札（関数）'!AJ"&amp;W1),"")</f>
        <v/>
      </c>
      <c r="Z4" s="152"/>
      <c r="AA4" s="48"/>
      <c r="AB4" s="147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148"/>
      <c r="AF4" s="25"/>
      <c r="AG4" s="151" t="str">
        <f t="array" aca="1" ref="AG4" ca="1">IF(AG1&lt;&gt;"",INDIRECT("'盛付札（関数）'!AJ"&amp;AE1),"")</f>
        <v/>
      </c>
      <c r="AH4" s="152"/>
      <c r="AI4" s="48"/>
      <c r="AJ4" s="147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148"/>
      <c r="AL4" s="26"/>
      <c r="AM4" s="25"/>
      <c r="AN4" s="151" t="str">
        <f t="array" aca="1" ref="AN4" ca="1">IF(AN1&lt;&gt;"",INDIRECT("'盛付札（関数）'!AJ"&amp;AL1),"")</f>
        <v/>
      </c>
      <c r="AO4" s="152"/>
      <c r="AP4" s="48"/>
      <c r="AQ4" s="147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148"/>
      <c r="AU4" s="25"/>
      <c r="AV4" s="151" t="str">
        <f t="array" aca="1" ref="AV4" ca="1">IF(AV1&lt;&gt;"",INDIRECT("'盛付札（関数）'!AJ"&amp;AT1),"")</f>
        <v/>
      </c>
      <c r="AW4" s="152"/>
      <c r="AX4" s="48"/>
      <c r="AY4" s="147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148"/>
      <c r="BA4" s="26"/>
      <c r="BB4" s="25"/>
      <c r="BC4" s="151" t="str">
        <f t="array" aca="1" ref="BC4" ca="1">IF(BC1&lt;&gt;"",INDIRECT("'盛付札（関数）'!AJ"&amp;BA1),"")</f>
        <v/>
      </c>
      <c r="BD4" s="152"/>
      <c r="BE4" s="48"/>
      <c r="BF4" s="147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148"/>
      <c r="BJ4" s="25"/>
      <c r="BK4" s="151" t="str">
        <f t="array" aca="1" ref="BK4" ca="1">IF(BK1&lt;&gt;"",INDIRECT("'盛付札（関数）'!AJ"&amp;BI1),"")</f>
        <v/>
      </c>
      <c r="BL4" s="152"/>
      <c r="BM4" s="48"/>
      <c r="BN4" s="147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148"/>
      <c r="BP4" s="26"/>
      <c r="BQ4" s="25"/>
      <c r="BR4" s="151" t="str">
        <f t="array" aca="1" ref="BR4" ca="1">IF(BR1&lt;&gt;"",INDIRECT("'盛付札（関数）'!AJ"&amp;BP1),"")</f>
        <v/>
      </c>
      <c r="BS4" s="152"/>
      <c r="BT4" s="48"/>
      <c r="BU4" s="147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148"/>
      <c r="BY4" s="25"/>
      <c r="BZ4" s="151" t="str">
        <f t="array" aca="1" ref="BZ4" ca="1">IF(BZ1&lt;&gt;"",INDIRECT("'盛付札（関数）'!AJ"&amp;BX1),"")</f>
        <v/>
      </c>
      <c r="CA4" s="152"/>
      <c r="CB4" s="48"/>
      <c r="CC4" s="147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148"/>
      <c r="CE4" s="26"/>
      <c r="CF4" s="25"/>
      <c r="CG4" s="151" t="str">
        <f t="array" aca="1" ref="CG4" ca="1">IF(CG1&lt;&gt;"",INDIRECT("'盛付札（関数）'!AJ"&amp;CE1),"")</f>
        <v/>
      </c>
      <c r="CH4" s="152"/>
      <c r="CI4" s="48"/>
      <c r="CJ4" s="147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148"/>
      <c r="CN4" s="25"/>
      <c r="CO4" s="151" t="str">
        <f t="array" aca="1" ref="CO4" ca="1">IF(CO1&lt;&gt;"",INDIRECT("'盛付札（関数）'!AJ"&amp;CM1),"")</f>
        <v/>
      </c>
      <c r="CP4" s="152"/>
      <c r="CQ4" s="48"/>
      <c r="CR4" s="147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148"/>
      <c r="CT4" s="26"/>
      <c r="CU4" s="25"/>
      <c r="CV4" s="151" t="str">
        <f t="array" aca="1" ref="CV4" ca="1">IF(CV1&lt;&gt;"",INDIRECT("'盛付札（関数）'!AJ"&amp;CT1),"")</f>
        <v/>
      </c>
      <c r="CW4" s="152"/>
      <c r="CX4" s="48"/>
      <c r="CY4" s="147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148"/>
      <c r="DC4" s="25"/>
      <c r="DD4" s="151" t="str">
        <f t="array" aca="1" ref="DD4" ca="1">IF(DD1&lt;&gt;"",INDIRECT("'盛付札（関数）'!AJ"&amp;DB1),"")</f>
        <v/>
      </c>
      <c r="DE4" s="152"/>
      <c r="DF4" s="48"/>
      <c r="DG4" s="147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148"/>
      <c r="DI4" s="26"/>
      <c r="DJ4" s="25"/>
      <c r="DK4" s="151" t="str">
        <f t="array" aca="1" ref="DK4" ca="1">IF(DK1&lt;&gt;"",INDIRECT("'盛付札（関数）'!AJ"&amp;DI1),"")</f>
        <v/>
      </c>
      <c r="DL4" s="152"/>
      <c r="DM4" s="48"/>
      <c r="DN4" s="147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148"/>
      <c r="DR4" s="25"/>
      <c r="DS4" s="151" t="str">
        <f t="array" aca="1" ref="DS4" ca="1">IF(DS1&lt;&gt;"",INDIRECT("'盛付札（関数）'!AJ"&amp;DQ1),"")</f>
        <v/>
      </c>
      <c r="DT4" s="152"/>
      <c r="DU4" s="48"/>
      <c r="DV4" s="147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148"/>
      <c r="DX4" s="26"/>
      <c r="DY4" s="25"/>
      <c r="DZ4" s="151" t="str">
        <f t="array" aca="1" ref="DZ4" ca="1">IF(DZ1&lt;&gt;"",INDIRECT("'盛付札（関数）'!AJ"&amp;DX1),"")</f>
        <v/>
      </c>
      <c r="EA4" s="152"/>
      <c r="EB4" s="48"/>
      <c r="EC4" s="147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148"/>
      <c r="EG4" s="25"/>
      <c r="EH4" s="151" t="str">
        <f t="array" aca="1" ref="EH4" ca="1">IF(EH1&lt;&gt;"",INDIRECT("'盛付札（関数）'!AJ"&amp;EF1),"")</f>
        <v/>
      </c>
      <c r="EI4" s="152"/>
      <c r="EJ4" s="48"/>
      <c r="EK4" s="147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148"/>
      <c r="EM4" s="26"/>
      <c r="EN4" s="25"/>
      <c r="EO4" s="151" t="str">
        <f t="array" aca="1" ref="EO4" ca="1">IF(EO1&lt;&gt;"",INDIRECT("'盛付札（関数）'!AJ"&amp;EM1),"")</f>
        <v/>
      </c>
      <c r="EP4" s="152"/>
      <c r="EQ4" s="48"/>
      <c r="ER4" s="147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148"/>
    </row>
    <row r="5" spans="1:150" ht="15.6" customHeight="1">
      <c r="B5" s="27"/>
      <c r="C5" s="149"/>
      <c r="D5" s="149"/>
      <c r="E5" s="43"/>
      <c r="F5" s="149"/>
      <c r="G5" s="150"/>
      <c r="H5" s="26"/>
      <c r="I5" s="27"/>
      <c r="J5" s="149"/>
      <c r="K5" s="149"/>
      <c r="L5" s="43"/>
      <c r="M5" s="149"/>
      <c r="N5" s="150"/>
      <c r="Q5" s="27"/>
      <c r="R5" s="149"/>
      <c r="S5" s="149"/>
      <c r="T5" s="43"/>
      <c r="U5" s="149"/>
      <c r="V5" s="150"/>
      <c r="W5" s="26"/>
      <c r="X5" s="27"/>
      <c r="Y5" s="149"/>
      <c r="Z5" s="149"/>
      <c r="AA5" s="43"/>
      <c r="AB5" s="149"/>
      <c r="AC5" s="150"/>
      <c r="AF5" s="27"/>
      <c r="AG5" s="149"/>
      <c r="AH5" s="149"/>
      <c r="AI5" s="43"/>
      <c r="AJ5" s="149"/>
      <c r="AK5" s="150"/>
      <c r="AL5" s="26"/>
      <c r="AM5" s="27"/>
      <c r="AN5" s="149"/>
      <c r="AO5" s="149"/>
      <c r="AP5" s="43"/>
      <c r="AQ5" s="149"/>
      <c r="AR5" s="150"/>
      <c r="AU5" s="27"/>
      <c r="AV5" s="149"/>
      <c r="AW5" s="149"/>
      <c r="AX5" s="43"/>
      <c r="AY5" s="149"/>
      <c r="AZ5" s="150"/>
      <c r="BA5" s="26"/>
      <c r="BB5" s="27"/>
      <c r="BC5" s="149"/>
      <c r="BD5" s="149"/>
      <c r="BE5" s="43"/>
      <c r="BF5" s="149"/>
      <c r="BG5" s="150"/>
      <c r="BJ5" s="27"/>
      <c r="BK5" s="149"/>
      <c r="BL5" s="149"/>
      <c r="BM5" s="43"/>
      <c r="BN5" s="149"/>
      <c r="BO5" s="150"/>
      <c r="BP5" s="26"/>
      <c r="BQ5" s="27"/>
      <c r="BR5" s="149"/>
      <c r="BS5" s="149"/>
      <c r="BT5" s="43"/>
      <c r="BU5" s="149"/>
      <c r="BV5" s="150"/>
      <c r="BY5" s="27"/>
      <c r="BZ5" s="149"/>
      <c r="CA5" s="149"/>
      <c r="CB5" s="43"/>
      <c r="CC5" s="149"/>
      <c r="CD5" s="150"/>
      <c r="CE5" s="26"/>
      <c r="CF5" s="27"/>
      <c r="CG5" s="149"/>
      <c r="CH5" s="149"/>
      <c r="CI5" s="43"/>
      <c r="CJ5" s="149"/>
      <c r="CK5" s="150"/>
      <c r="CN5" s="27"/>
      <c r="CO5" s="149"/>
      <c r="CP5" s="149"/>
      <c r="CQ5" s="43"/>
      <c r="CR5" s="149"/>
      <c r="CS5" s="150"/>
      <c r="CT5" s="26"/>
      <c r="CU5" s="27"/>
      <c r="CV5" s="149"/>
      <c r="CW5" s="149"/>
      <c r="CX5" s="43"/>
      <c r="CY5" s="149"/>
      <c r="CZ5" s="150"/>
      <c r="DC5" s="27"/>
      <c r="DD5" s="149"/>
      <c r="DE5" s="149"/>
      <c r="DF5" s="43"/>
      <c r="DG5" s="149"/>
      <c r="DH5" s="150"/>
      <c r="DI5" s="26"/>
      <c r="DJ5" s="27"/>
      <c r="DK5" s="149"/>
      <c r="DL5" s="149"/>
      <c r="DM5" s="43"/>
      <c r="DN5" s="149"/>
      <c r="DO5" s="150"/>
      <c r="DR5" s="27"/>
      <c r="DS5" s="149"/>
      <c r="DT5" s="149"/>
      <c r="DU5" s="43"/>
      <c r="DV5" s="149"/>
      <c r="DW5" s="150"/>
      <c r="DX5" s="26"/>
      <c r="DY5" s="27"/>
      <c r="DZ5" s="149"/>
      <c r="EA5" s="149"/>
      <c r="EB5" s="43"/>
      <c r="EC5" s="149"/>
      <c r="ED5" s="150"/>
      <c r="EG5" s="27"/>
      <c r="EH5" s="149"/>
      <c r="EI5" s="149"/>
      <c r="EJ5" s="43"/>
      <c r="EK5" s="149"/>
      <c r="EL5" s="150"/>
      <c r="EM5" s="26"/>
      <c r="EN5" s="27"/>
      <c r="EO5" s="149"/>
      <c r="EP5" s="149"/>
      <c r="EQ5" s="43"/>
      <c r="ER5" s="149"/>
      <c r="ES5" s="150"/>
    </row>
    <row r="6" spans="1:150" s="32" customFormat="1">
      <c r="A6" s="31"/>
      <c r="B6" s="36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4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6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4"/>
      <c r="F6" s="36" t="str">
        <f t="array" aca="1" ref="F6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"アレルギー")),"")</f>
        <v/>
      </c>
      <c r="G6" s="39"/>
      <c r="H6" s="22"/>
      <c r="I6" s="36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4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6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4"/>
      <c r="M6" s="36" t="str">
        <f t="array" aca="1" ref="M6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"アレルギー")),"")</f>
        <v/>
      </c>
      <c r="N6" s="39"/>
      <c r="O6" s="22"/>
      <c r="P6" s="31"/>
      <c r="Q6" s="36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4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6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4"/>
      <c r="U6" s="36" t="str">
        <f t="array" aca="1" ref="U6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"アレルギー")),"")</f>
        <v/>
      </c>
      <c r="V6" s="39"/>
      <c r="W6" s="22"/>
      <c r="X6" s="36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4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6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4"/>
      <c r="AB6" s="36" t="str">
        <f t="array" aca="1" ref="AB6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"アレルギー")),"")</f>
        <v/>
      </c>
      <c r="AC6" s="39"/>
      <c r="AD6" s="22"/>
      <c r="AE6" s="31"/>
      <c r="AF6" s="36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4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6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4"/>
      <c r="AJ6" s="36" t="str">
        <f t="array" aca="1" ref="AJ6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"アレルギー")),"")</f>
        <v/>
      </c>
      <c r="AK6" s="39"/>
      <c r="AL6" s="22"/>
      <c r="AM6" s="36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4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6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4"/>
      <c r="AQ6" s="36" t="str">
        <f t="array" aca="1" ref="AQ6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"アレルギー")),"")</f>
        <v/>
      </c>
      <c r="AR6" s="39"/>
      <c r="AS6" s="22"/>
      <c r="AT6" s="31"/>
      <c r="AU6" s="36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4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6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4"/>
      <c r="AY6" s="36" t="str">
        <f t="array" aca="1" ref="AY6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"アレルギー")),"")</f>
        <v/>
      </c>
      <c r="AZ6" s="39"/>
      <c r="BA6" s="22"/>
      <c r="BB6" s="36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4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6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4"/>
      <c r="BF6" s="36" t="str">
        <f t="array" aca="1" ref="BF6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"アレルギー")),"")</f>
        <v/>
      </c>
      <c r="BG6" s="39"/>
      <c r="BH6" s="22"/>
      <c r="BI6" s="31"/>
      <c r="BJ6" s="36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4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6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4"/>
      <c r="BN6" s="36" t="str">
        <f t="array" aca="1" ref="BN6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"アレルギー")),"")</f>
        <v/>
      </c>
      <c r="BO6" s="39"/>
      <c r="BP6" s="22"/>
      <c r="BQ6" s="36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4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6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4"/>
      <c r="BU6" s="36" t="str">
        <f t="array" aca="1" ref="BU6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"アレルギー")),"")</f>
        <v/>
      </c>
      <c r="BV6" s="39"/>
      <c r="BW6" s="22"/>
      <c r="BX6" s="31"/>
      <c r="BY6" s="36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4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6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4"/>
      <c r="CC6" s="36" t="str">
        <f t="array" aca="1" ref="CC6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"アレルギー")),"")</f>
        <v/>
      </c>
      <c r="CD6" s="39"/>
      <c r="CE6" s="22"/>
      <c r="CF6" s="36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4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6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4"/>
      <c r="CJ6" s="36" t="str">
        <f t="array" aca="1" ref="CJ6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"アレルギー")),"")</f>
        <v/>
      </c>
      <c r="CK6" s="39"/>
      <c r="CL6" s="22"/>
      <c r="CM6" s="31"/>
      <c r="CN6" s="36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4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6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4"/>
      <c r="CR6" s="36" t="str">
        <f t="array" aca="1" ref="CR6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"アレルギー")),"")</f>
        <v/>
      </c>
      <c r="CS6" s="39"/>
      <c r="CT6" s="22"/>
      <c r="CU6" s="36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4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6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4"/>
      <c r="CY6" s="36" t="str">
        <f t="array" aca="1" ref="CY6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"アレルギー")),"")</f>
        <v/>
      </c>
      <c r="CZ6" s="39"/>
      <c r="DA6" s="22"/>
      <c r="DB6" s="31"/>
      <c r="DC6" s="36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4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6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4"/>
      <c r="DG6" s="36" t="str">
        <f t="array" aca="1" ref="DG6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"アレルギー")),"")</f>
        <v/>
      </c>
      <c r="DH6" s="39"/>
      <c r="DI6" s="22"/>
      <c r="DJ6" s="36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4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6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4"/>
      <c r="DN6" s="36" t="str">
        <f t="array" aca="1" ref="DN6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"アレルギー")),"")</f>
        <v/>
      </c>
      <c r="DO6" s="39"/>
      <c r="DP6" s="22"/>
      <c r="DQ6" s="31"/>
      <c r="DR6" s="36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4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6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4"/>
      <c r="DV6" s="36" t="str">
        <f t="array" aca="1" ref="DV6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"アレルギー")),"")</f>
        <v/>
      </c>
      <c r="DW6" s="39"/>
      <c r="DX6" s="22"/>
      <c r="DY6" s="36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4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6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4"/>
      <c r="EC6" s="36" t="str">
        <f t="array" aca="1" ref="EC6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"アレルギー")),"")</f>
        <v/>
      </c>
      <c r="ED6" s="39"/>
      <c r="EE6" s="22"/>
      <c r="EF6" s="31"/>
      <c r="EG6" s="36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4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6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4"/>
      <c r="EK6" s="36" t="str">
        <f t="array" aca="1" ref="EK6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"アレルギー")),"")</f>
        <v/>
      </c>
      <c r="EL6" s="39"/>
      <c r="EM6" s="22"/>
      <c r="EN6" s="36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4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6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4"/>
      <c r="ER6" s="36" t="str">
        <f t="array" aca="1" ref="ER6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"アレルギー")),"")</f>
        <v/>
      </c>
      <c r="ES6" s="39"/>
      <c r="ET6" s="22"/>
    </row>
    <row r="7" spans="1:150" ht="27.6" customHeight="1">
      <c r="B7" s="157" t="str" cm="1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150"/>
      <c r="D7" s="157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150"/>
      <c r="F7" s="158" t="str">
        <f t="array" aca="1" ref="F7" ca="1">IF(AND(C1&lt;&gt;"",C1&lt;&gt;"社食"),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INDIRECT("'盛付札（関数）'!AO"&amp;A1))),"")</f>
        <v/>
      </c>
      <c r="G7" s="150"/>
      <c r="I7" s="157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150"/>
      <c r="K7" s="157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150"/>
      <c r="M7" s="158" t="str">
        <f t="array" aca="1" ref="M7" ca="1">IF(AND(J1&lt;&gt;"",J1&lt;&gt;"社食"),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INDIRECT("'盛付札（関数）'!AO"&amp;H1))),"")</f>
        <v/>
      </c>
      <c r="N7" s="150"/>
      <c r="Q7" s="157" t="str" cm="1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150"/>
      <c r="S7" s="157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150"/>
      <c r="U7" s="158" t="str">
        <f t="array" aca="1" ref="U7" ca="1">IF(AND(R1&lt;&gt;"",R1&lt;&gt;"社食"),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INDIRECT("'盛付札（関数）'!AO"&amp;P1))),"")</f>
        <v/>
      </c>
      <c r="V7" s="150"/>
      <c r="X7" s="157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150"/>
      <c r="Z7" s="157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150"/>
      <c r="AB7" s="158" t="str">
        <f t="array" aca="1" ref="AB7" ca="1">IF(AND(Y1&lt;&gt;"",Y1&lt;&gt;"社食"),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INDIRECT("'盛付札（関数）'!AO"&amp;W1))),"")</f>
        <v/>
      </c>
      <c r="AC7" s="150"/>
      <c r="AF7" s="157" t="str" cm="1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150"/>
      <c r="AH7" s="157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150"/>
      <c r="AJ7" s="158" t="str">
        <f t="array" aca="1" ref="AJ7" ca="1">IF(AND(AG1&lt;&gt;"",AG1&lt;&gt;"社食"),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INDIRECT("'盛付札（関数）'!AO"&amp;AE1))),"")</f>
        <v/>
      </c>
      <c r="AK7" s="150"/>
      <c r="AM7" s="157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150"/>
      <c r="AO7" s="157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150"/>
      <c r="AQ7" s="158" t="str">
        <f t="array" aca="1" ref="AQ7" ca="1">IF(AND(AN1&lt;&gt;"",AN1&lt;&gt;"社食"),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INDIRECT("'盛付札（関数）'!AO"&amp;AL1))),"")</f>
        <v/>
      </c>
      <c r="AR7" s="150"/>
      <c r="AU7" s="157" t="str" cm="1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150"/>
      <c r="AW7" s="157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150"/>
      <c r="AY7" s="158" t="str">
        <f t="array" aca="1" ref="AY7" ca="1">IF(AND(AV1&lt;&gt;"",AV1&lt;&gt;"社食"),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INDIRECT("'盛付札（関数）'!AO"&amp;AT1))),"")</f>
        <v/>
      </c>
      <c r="AZ7" s="150"/>
      <c r="BB7" s="157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150"/>
      <c r="BD7" s="157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150"/>
      <c r="BF7" s="158" t="str">
        <f t="array" aca="1" ref="BF7" ca="1">IF(AND(BC1&lt;&gt;"",BC1&lt;&gt;"社食"),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INDIRECT("'盛付札（関数）'!AO"&amp;BA1))),"")</f>
        <v/>
      </c>
      <c r="BG7" s="150"/>
      <c r="BJ7" s="157" t="str" cm="1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150"/>
      <c r="BL7" s="157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150"/>
      <c r="BN7" s="158" t="str">
        <f t="array" aca="1" ref="BN7" ca="1">IF(AND(BK1&lt;&gt;"",BK1&lt;&gt;"社食"),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INDIRECT("'盛付札（関数）'!AO"&amp;BI1))),"")</f>
        <v/>
      </c>
      <c r="BO7" s="150"/>
      <c r="BQ7" s="157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150"/>
      <c r="BS7" s="157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150"/>
      <c r="BU7" s="158" t="str">
        <f t="array" aca="1" ref="BU7" ca="1">IF(AND(BR1&lt;&gt;"",BR1&lt;&gt;"社食"),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INDIRECT("'盛付札（関数）'!AO"&amp;BP1))),"")</f>
        <v/>
      </c>
      <c r="BV7" s="150"/>
      <c r="BY7" s="157" t="str" cm="1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150"/>
      <c r="CA7" s="157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150"/>
      <c r="CC7" s="158" t="str">
        <f t="array" aca="1" ref="CC7" ca="1">IF(AND(BZ1&lt;&gt;"",BZ1&lt;&gt;"社食"),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INDIRECT("'盛付札（関数）'!AO"&amp;BX1))),"")</f>
        <v/>
      </c>
      <c r="CD7" s="150"/>
      <c r="CF7" s="157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150"/>
      <c r="CH7" s="157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150"/>
      <c r="CJ7" s="158" t="str">
        <f t="array" aca="1" ref="CJ7" ca="1">IF(AND(CG1&lt;&gt;"",CG1&lt;&gt;"社食"),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INDIRECT("'盛付札（関数）'!AO"&amp;CE1))),"")</f>
        <v/>
      </c>
      <c r="CK7" s="150"/>
      <c r="CN7" s="157" t="str" cm="1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150"/>
      <c r="CP7" s="157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150"/>
      <c r="CR7" s="158" t="str">
        <f t="array" aca="1" ref="CR7" ca="1">IF(AND(CO1&lt;&gt;"",CO1&lt;&gt;"社食"),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INDIRECT("'盛付札（関数）'!AO"&amp;CM1))),"")</f>
        <v/>
      </c>
      <c r="CS7" s="150"/>
      <c r="CU7" s="157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150"/>
      <c r="CW7" s="157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150"/>
      <c r="CY7" s="158" t="str">
        <f t="array" aca="1" ref="CY7" ca="1">IF(AND(CV1&lt;&gt;"",CV1&lt;&gt;"社食"),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INDIRECT("'盛付札（関数）'!AO"&amp;CT1))),"")</f>
        <v/>
      </c>
      <c r="CZ7" s="150"/>
      <c r="DC7" s="157" t="str" cm="1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150"/>
      <c r="DE7" s="157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150"/>
      <c r="DG7" s="158" t="str">
        <f t="array" aca="1" ref="DG7" ca="1">IF(AND(DD1&lt;&gt;"",DD1&lt;&gt;"社食"),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INDIRECT("'盛付札（関数）'!AO"&amp;DB1))),"")</f>
        <v/>
      </c>
      <c r="DH7" s="150"/>
      <c r="DJ7" s="157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150"/>
      <c r="DL7" s="157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150"/>
      <c r="DN7" s="158" t="str">
        <f t="array" aca="1" ref="DN7" ca="1">IF(AND(DK1&lt;&gt;"",DK1&lt;&gt;"社食"),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INDIRECT("'盛付札（関数）'!AO"&amp;DI1))),"")</f>
        <v/>
      </c>
      <c r="DO7" s="150"/>
      <c r="DR7" s="157" t="str" cm="1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150"/>
      <c r="DT7" s="157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150"/>
      <c r="DV7" s="158" t="str">
        <f t="array" aca="1" ref="DV7" ca="1">IF(AND(DS1&lt;&gt;"",DS1&lt;&gt;"社食"),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INDIRECT("'盛付札（関数）'!AO"&amp;DQ1))),"")</f>
        <v/>
      </c>
      <c r="DW7" s="150"/>
      <c r="DY7" s="157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150"/>
      <c r="EA7" s="157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150"/>
      <c r="EC7" s="158" t="str">
        <f t="array" aca="1" ref="EC7" ca="1">IF(AND(DZ1&lt;&gt;"",DZ1&lt;&gt;"社食"),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INDIRECT("'盛付札（関数）'!AO"&amp;DX1))),"")</f>
        <v/>
      </c>
      <c r="ED7" s="150"/>
      <c r="EG7" s="157" t="str" cm="1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150"/>
      <c r="EI7" s="157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150"/>
      <c r="EK7" s="158" t="str">
        <f t="array" aca="1" ref="EK7" ca="1">IF(AND(EH1&lt;&gt;"",EH1&lt;&gt;"社食"),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INDIRECT("'盛付札（関数）'!AO"&amp;EF1))),"")</f>
        <v/>
      </c>
      <c r="EL7" s="150"/>
      <c r="EN7" s="157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150"/>
      <c r="EP7" s="157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150"/>
      <c r="ER7" s="158" t="str">
        <f t="array" aca="1" ref="ER7" ca="1">IF(AND(EO1&lt;&gt;"",EO1&lt;&gt;"社食"),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INDIRECT("'盛付札（関数）'!AO"&amp;EM1))),"")</f>
        <v/>
      </c>
      <c r="ES7" s="150"/>
    </row>
    <row r="8" spans="1:150" ht="6.6" customHeight="1">
      <c r="B8" s="44"/>
      <c r="D8" s="44"/>
      <c r="F8" s="45"/>
      <c r="I8" s="44"/>
      <c r="K8" s="44"/>
      <c r="M8" s="45"/>
      <c r="Q8" s="44"/>
      <c r="S8" s="44"/>
      <c r="U8" s="45"/>
      <c r="X8" s="44"/>
      <c r="Z8" s="44"/>
      <c r="AB8" s="45"/>
      <c r="AF8" s="44"/>
      <c r="AH8" s="44"/>
      <c r="AJ8" s="45"/>
      <c r="AM8" s="44"/>
      <c r="AO8" s="44"/>
      <c r="AQ8" s="45"/>
      <c r="AU8" s="44"/>
      <c r="AW8" s="44"/>
      <c r="AY8" s="45"/>
      <c r="BB8" s="44"/>
      <c r="BD8" s="44"/>
      <c r="BF8" s="45"/>
      <c r="BJ8" s="44"/>
      <c r="BL8" s="44"/>
      <c r="BN8" s="45"/>
      <c r="BQ8" s="44"/>
      <c r="BS8" s="44"/>
      <c r="BU8" s="45"/>
      <c r="BY8" s="44"/>
      <c r="CA8" s="44"/>
      <c r="CC8" s="45"/>
      <c r="CF8" s="44"/>
      <c r="CH8" s="44"/>
      <c r="CJ8" s="45"/>
      <c r="CN8" s="44"/>
      <c r="CP8" s="44"/>
      <c r="CR8" s="45"/>
      <c r="CU8" s="44"/>
      <c r="CW8" s="44"/>
      <c r="CY8" s="45"/>
      <c r="DC8" s="44"/>
      <c r="DE8" s="44"/>
      <c r="DG8" s="45"/>
      <c r="DJ8" s="44"/>
      <c r="DL8" s="44"/>
      <c r="DN8" s="45"/>
      <c r="DR8" s="44"/>
      <c r="DT8" s="44"/>
      <c r="DV8" s="45"/>
      <c r="DY8" s="44"/>
      <c r="EA8" s="44"/>
      <c r="EC8" s="45"/>
      <c r="EG8" s="44"/>
      <c r="EI8" s="44"/>
      <c r="EK8" s="45"/>
      <c r="EN8" s="44"/>
      <c r="EP8" s="44"/>
      <c r="ER8" s="45"/>
    </row>
    <row r="9" spans="1:150" s="32" customFormat="1" ht="25.8" customHeight="1">
      <c r="A9" s="31">
        <f>H1+1</f>
        <v>3</v>
      </c>
      <c r="B9" s="42" t="str">
        <f ca="1">IF(C9&lt;&gt;"",
MID(貼り付け用!$A$2, FIND("年",貼り付け用!$A$2)+1,2)&amp;"/"&amp;MID(貼り付け用!$A$2, FIND("月",貼り付け用!$A$2)+1,2),"")</f>
        <v/>
      </c>
      <c r="C9" s="155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156"/>
      <c r="E9" s="156"/>
      <c r="F9" s="156"/>
      <c r="G9" s="41" t="str">
        <f t="array" aca="1" ref="G9" ca="1">IF(C9&lt;&gt;"",
IF(AND(INDIRECT("'盛付札（関数）'!AE"&amp;A9)&gt;=124,INDIRECT("'盛付札（関数）'!AE"&amp;A9)&lt;=144),"",
"様"),"")</f>
        <v/>
      </c>
      <c r="H9" s="35">
        <f>A9+1</f>
        <v>4</v>
      </c>
      <c r="I9" s="42" t="str">
        <f ca="1">IF(J9&lt;&gt;"",
MID(貼り付け用!$A$2, FIND("年",貼り付け用!$A$2)+1,2)&amp;"/"&amp;MID(貼り付け用!$A$2, FIND("月",貼り付け用!$A$2)+1,2),"")</f>
        <v/>
      </c>
      <c r="J9" s="155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156"/>
      <c r="L9" s="156"/>
      <c r="M9" s="156"/>
      <c r="N9" s="41" t="str">
        <f t="array" aca="1" ref="N9" ca="1">IF(J9&lt;&gt;"",
IF(AND(INDIRECT("'盛付札（関数）'!AE"&amp;H9)&gt;=124,INDIRECT("'盛付札（関数）'!AE"&amp;H9)&lt;=144),"",
"様"),"")</f>
        <v/>
      </c>
      <c r="O9" s="22"/>
      <c r="P9" s="31">
        <f>W1+1</f>
        <v>15</v>
      </c>
      <c r="Q9" s="42" t="str">
        <f ca="1">IF(R9&lt;&gt;"",
MID(貼り付け用!$A$2, FIND("年",貼り付け用!$A$2)+1,2)&amp;"/"&amp;MID(貼り付け用!$A$2, FIND("月",貼り付け用!$A$2)+1,2),"")</f>
        <v/>
      </c>
      <c r="R9" s="155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156"/>
      <c r="T9" s="156"/>
      <c r="U9" s="156"/>
      <c r="V9" s="41" t="str">
        <f t="array" aca="1" ref="V9" ca="1">IF(R9&lt;&gt;"",
IF(AND(INDIRECT("'盛付札（関数）'!AE"&amp;P9)&gt;=124,INDIRECT("'盛付札（関数）'!AE"&amp;P9)&lt;=144),"",
"様"),"")</f>
        <v/>
      </c>
      <c r="W9" s="35">
        <f>P9+1</f>
        <v>16</v>
      </c>
      <c r="X9" s="42" t="str">
        <f ca="1">IF(Y9&lt;&gt;"",
MID(貼り付け用!$A$2, FIND("年",貼り付け用!$A$2)+1,2)&amp;"/"&amp;MID(貼り付け用!$A$2, FIND("月",貼り付け用!$A$2)+1,2),"")</f>
        <v/>
      </c>
      <c r="Y9" s="155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156"/>
      <c r="AA9" s="156"/>
      <c r="AB9" s="156"/>
      <c r="AC9" s="41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1">
        <f>AL1+1</f>
        <v>27</v>
      </c>
      <c r="AF9" s="42" t="str">
        <f ca="1">IF(AG9&lt;&gt;"",
MID(貼り付け用!$A$2, FIND("年",貼り付け用!$A$2)+1,2)&amp;"/"&amp;MID(貼り付け用!$A$2, FIND("月",貼り付け用!$A$2)+1,2),"")</f>
        <v/>
      </c>
      <c r="AG9" s="155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156"/>
      <c r="AI9" s="156"/>
      <c r="AJ9" s="156"/>
      <c r="AK9" s="41" t="str">
        <f t="array" aca="1" ref="AK9" ca="1">IF(AG9&lt;&gt;"",
IF(AND(INDIRECT("'盛付札（関数）'!AE"&amp;AE9)&gt;=124,INDIRECT("'盛付札（関数）'!AE"&amp;AE9)&lt;=144),"",
"様"),"")</f>
        <v/>
      </c>
      <c r="AL9" s="35">
        <f>AE9+1</f>
        <v>28</v>
      </c>
      <c r="AM9" s="42" t="str">
        <f ca="1">IF(AN9&lt;&gt;"",
MID(貼り付け用!$A$2, FIND("年",貼り付け用!$A$2)+1,2)&amp;"/"&amp;MID(貼り付け用!$A$2, FIND("月",貼り付け用!$A$2)+1,2),"")</f>
        <v/>
      </c>
      <c r="AN9" s="155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156"/>
      <c r="AP9" s="156"/>
      <c r="AQ9" s="156"/>
      <c r="AR9" s="41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1">
        <f>BA1+1</f>
        <v>39</v>
      </c>
      <c r="AU9" s="42" t="str">
        <f ca="1">IF(AV9&lt;&gt;"",
MID(貼り付け用!$A$2, FIND("年",貼り付け用!$A$2)+1,2)&amp;"/"&amp;MID(貼り付け用!$A$2, FIND("月",貼り付け用!$A$2)+1,2),"")</f>
        <v/>
      </c>
      <c r="AV9" s="155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156"/>
      <c r="AX9" s="156"/>
      <c r="AY9" s="156"/>
      <c r="AZ9" s="41" t="str">
        <f t="array" aca="1" ref="AZ9" ca="1">IF(AV9&lt;&gt;"",
IF(AND(INDIRECT("'盛付札（関数）'!AE"&amp;AT9)&gt;=124,INDIRECT("'盛付札（関数）'!AE"&amp;AT9)&lt;=144),"",
"様"),"")</f>
        <v/>
      </c>
      <c r="BA9" s="35">
        <f>AT9+1</f>
        <v>40</v>
      </c>
      <c r="BB9" s="42" t="str">
        <f ca="1">IF(BC9&lt;&gt;"",
MID(貼り付け用!$A$2, FIND("年",貼り付け用!$A$2)+1,2)&amp;"/"&amp;MID(貼り付け用!$A$2, FIND("月",貼り付け用!$A$2)+1,2),"")</f>
        <v/>
      </c>
      <c r="BC9" s="155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156"/>
      <c r="BE9" s="156"/>
      <c r="BF9" s="156"/>
      <c r="BG9" s="41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1">
        <f>BP1+1</f>
        <v>51</v>
      </c>
      <c r="BJ9" s="42" t="str">
        <f ca="1">IF(BK9&lt;&gt;"",
MID(貼り付け用!$A$2, FIND("年",貼り付け用!$A$2)+1,2)&amp;"/"&amp;MID(貼り付け用!$A$2, FIND("月",貼り付け用!$A$2)+1,2),"")</f>
        <v/>
      </c>
      <c r="BK9" s="155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156"/>
      <c r="BM9" s="156"/>
      <c r="BN9" s="156"/>
      <c r="BO9" s="41" t="str">
        <f t="array" aca="1" ref="BO9" ca="1">IF(BK9&lt;&gt;"",
IF(AND(INDIRECT("'盛付札（関数）'!AE"&amp;BI9)&gt;=124,INDIRECT("'盛付札（関数）'!AE"&amp;BI9)&lt;=144),"",
"様"),"")</f>
        <v/>
      </c>
      <c r="BP9" s="35">
        <f>BI9+1</f>
        <v>52</v>
      </c>
      <c r="BQ9" s="42" t="str">
        <f ca="1">IF(BR9&lt;&gt;"",
MID(貼り付け用!$A$2, FIND("年",貼り付け用!$A$2)+1,2)&amp;"/"&amp;MID(貼り付け用!$A$2, FIND("月",貼り付け用!$A$2)+1,2),"")</f>
        <v/>
      </c>
      <c r="BR9" s="155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156"/>
      <c r="BT9" s="156"/>
      <c r="BU9" s="156"/>
      <c r="BV9" s="41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1">
        <f>CE1+1</f>
        <v>63</v>
      </c>
      <c r="BY9" s="42" t="str">
        <f ca="1">IF(BZ9&lt;&gt;"",
MID(貼り付け用!$A$2, FIND("年",貼り付け用!$A$2)+1,2)&amp;"/"&amp;MID(貼り付け用!$A$2, FIND("月",貼り付け用!$A$2)+1,2),"")</f>
        <v/>
      </c>
      <c r="BZ9" s="155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156"/>
      <c r="CB9" s="156"/>
      <c r="CC9" s="156"/>
      <c r="CD9" s="41" t="str">
        <f t="array" aca="1" ref="CD9" ca="1">IF(BZ9&lt;&gt;"",
IF(AND(INDIRECT("'盛付札（関数）'!AE"&amp;BX9)&gt;=124,INDIRECT("'盛付札（関数）'!AE"&amp;BX9)&lt;=144),"",
"様"),"")</f>
        <v/>
      </c>
      <c r="CE9" s="35">
        <f>BX9+1</f>
        <v>64</v>
      </c>
      <c r="CF9" s="42" t="str">
        <f ca="1">IF(CG9&lt;&gt;"",
MID(貼り付け用!$A$2, FIND("年",貼り付け用!$A$2)+1,2)&amp;"/"&amp;MID(貼り付け用!$A$2, FIND("月",貼り付け用!$A$2)+1,2),"")</f>
        <v/>
      </c>
      <c r="CG9" s="155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156"/>
      <c r="CI9" s="156"/>
      <c r="CJ9" s="156"/>
      <c r="CK9" s="41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1">
        <f>CT1+1</f>
        <v>75</v>
      </c>
      <c r="CN9" s="42" t="str">
        <f ca="1">IF(CO9&lt;&gt;"",
MID(貼り付け用!$A$2, FIND("年",貼り付け用!$A$2)+1,2)&amp;"/"&amp;MID(貼り付け用!$A$2, FIND("月",貼り付け用!$A$2)+1,2),"")</f>
        <v/>
      </c>
      <c r="CO9" s="155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156"/>
      <c r="CQ9" s="156"/>
      <c r="CR9" s="156"/>
      <c r="CS9" s="41" t="str">
        <f t="array" aca="1" ref="CS9" ca="1">IF(CO9&lt;&gt;"",
IF(AND(INDIRECT("'盛付札（関数）'!AE"&amp;CM9)&gt;=124,INDIRECT("'盛付札（関数）'!AE"&amp;CM9)&lt;=144),"",
"様"),"")</f>
        <v/>
      </c>
      <c r="CT9" s="35">
        <f>CM9+1</f>
        <v>76</v>
      </c>
      <c r="CU9" s="42" t="str">
        <f ca="1">IF(CV9&lt;&gt;"",
MID(貼り付け用!$A$2, FIND("年",貼り付け用!$A$2)+1,2)&amp;"/"&amp;MID(貼り付け用!$A$2, FIND("月",貼り付け用!$A$2)+1,2),"")</f>
        <v/>
      </c>
      <c r="CV9" s="155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156"/>
      <c r="CX9" s="156"/>
      <c r="CY9" s="156"/>
      <c r="CZ9" s="41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1">
        <f>DI1+1</f>
        <v>87</v>
      </c>
      <c r="DC9" s="42" t="str">
        <f ca="1">IF(DD9&lt;&gt;"",
MID(貼り付け用!$A$2, FIND("年",貼り付け用!$A$2)+1,2)&amp;"/"&amp;MID(貼り付け用!$A$2, FIND("月",貼り付け用!$A$2)+1,2),"")</f>
        <v/>
      </c>
      <c r="DD9" s="155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156"/>
      <c r="DF9" s="156"/>
      <c r="DG9" s="156"/>
      <c r="DH9" s="41" t="str">
        <f t="array" aca="1" ref="DH9" ca="1">IF(DD9&lt;&gt;"",
IF(AND(INDIRECT("'盛付札（関数）'!AE"&amp;DB9)&gt;=124,INDIRECT("'盛付札（関数）'!AE"&amp;DB9)&lt;=144),"",
"様"),"")</f>
        <v/>
      </c>
      <c r="DI9" s="35">
        <f>DB9+1</f>
        <v>88</v>
      </c>
      <c r="DJ9" s="42" t="str">
        <f ca="1">IF(DK9&lt;&gt;"",
MID(貼り付け用!$A$2, FIND("年",貼り付け用!$A$2)+1,2)&amp;"/"&amp;MID(貼り付け用!$A$2, FIND("月",貼り付け用!$A$2)+1,2),"")</f>
        <v/>
      </c>
      <c r="DK9" s="155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156"/>
      <c r="DM9" s="156"/>
      <c r="DN9" s="156"/>
      <c r="DO9" s="41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1">
        <f>DX1+1</f>
        <v>99</v>
      </c>
      <c r="DR9" s="42" t="str">
        <f ca="1">IF(DS9&lt;&gt;"",
MID(貼り付け用!$A$2, FIND("年",貼り付け用!$A$2)+1,2)&amp;"/"&amp;MID(貼り付け用!$A$2, FIND("月",貼り付け用!$A$2)+1,2),"")</f>
        <v/>
      </c>
      <c r="DS9" s="155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156"/>
      <c r="DU9" s="156"/>
      <c r="DV9" s="156"/>
      <c r="DW9" s="41" t="str">
        <f t="array" aca="1" ref="DW9" ca="1">IF(DS9&lt;&gt;"",
IF(AND(INDIRECT("'盛付札（関数）'!AE"&amp;DQ9)&gt;=124,INDIRECT("'盛付札（関数）'!AE"&amp;DQ9)&lt;=144),"",
"様"),"")</f>
        <v/>
      </c>
      <c r="DX9" s="35">
        <f>DQ9+1</f>
        <v>100</v>
      </c>
      <c r="DY9" s="42" t="str">
        <f ca="1">IF(DZ9&lt;&gt;"",
MID(貼り付け用!$A$2, FIND("年",貼り付け用!$A$2)+1,2)&amp;"/"&amp;MID(貼り付け用!$A$2, FIND("月",貼り付け用!$A$2)+1,2),"")</f>
        <v/>
      </c>
      <c r="DZ9" s="155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156"/>
      <c r="EB9" s="156"/>
      <c r="EC9" s="156"/>
      <c r="ED9" s="41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1">
        <f>EM1+1</f>
        <v>111</v>
      </c>
      <c r="EG9" s="42" t="str">
        <f ca="1">IF(EH9&lt;&gt;"",
MID(貼り付け用!$A$2, FIND("年",貼り付け用!$A$2)+1,2)&amp;"/"&amp;MID(貼り付け用!$A$2, FIND("月",貼り付け用!$A$2)+1,2),"")</f>
        <v/>
      </c>
      <c r="EH9" s="155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156"/>
      <c r="EJ9" s="156"/>
      <c r="EK9" s="156"/>
      <c r="EL9" s="41" t="str">
        <f t="array" aca="1" ref="EL9" ca="1">IF(EH9&lt;&gt;"",
IF(AND(INDIRECT("'盛付札（関数）'!AE"&amp;EF9)&gt;=124,INDIRECT("'盛付札（関数）'!AE"&amp;EF9)&lt;=144),"",
"様"),"")</f>
        <v/>
      </c>
      <c r="EM9" s="35">
        <f>EF9+1</f>
        <v>112</v>
      </c>
      <c r="EN9" s="42" t="str">
        <f ca="1">IF(EO9&lt;&gt;"",
MID(貼り付け用!$A$2, FIND("年",貼り付け用!$A$2)+1,2)&amp;"/"&amp;MID(貼り付け用!$A$2, FIND("月",貼り付け用!$A$2)+1,2),"")</f>
        <v/>
      </c>
      <c r="EO9" s="155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156"/>
      <c r="EQ9" s="156"/>
      <c r="ER9" s="156"/>
      <c r="ES9" s="41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32" customFormat="1">
      <c r="A10" s="31"/>
      <c r="B10" s="109"/>
      <c r="C10" s="170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INDIRECT("'盛付札（関数）'!AG"&amp;A9))),"")</f>
        <v/>
      </c>
      <c r="D10" s="40"/>
      <c r="E10" s="40"/>
      <c r="F10" s="46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8"/>
      <c r="H10" s="47"/>
      <c r="I10" s="109"/>
      <c r="J10" s="170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INDIRECT("'盛付札（関数）'!AG"&amp;H9))),"")</f>
        <v/>
      </c>
      <c r="K10" s="40"/>
      <c r="L10" s="40"/>
      <c r="M10" s="46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8"/>
      <c r="O10" s="22"/>
      <c r="P10" s="31"/>
      <c r="Q10" s="109"/>
      <c r="R10" s="170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INDIRECT("'盛付札（関数）'!AG"&amp;P9))),"")</f>
        <v/>
      </c>
      <c r="S10" s="40"/>
      <c r="T10" s="40"/>
      <c r="U10" s="46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8"/>
      <c r="W10" s="47"/>
      <c r="X10" s="109"/>
      <c r="Y10" s="170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INDIRECT("'盛付札（関数）'!AG"&amp;W9))),"")</f>
        <v/>
      </c>
      <c r="Z10" s="40"/>
      <c r="AA10" s="40"/>
      <c r="AB10" s="46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8"/>
      <c r="AD10" s="22"/>
      <c r="AE10" s="31"/>
      <c r="AF10" s="109"/>
      <c r="AG10" s="170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INDIRECT("'盛付札（関数）'!AG"&amp;AE9))),"")</f>
        <v/>
      </c>
      <c r="AH10" s="40"/>
      <c r="AI10" s="40"/>
      <c r="AJ10" s="46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8"/>
      <c r="AL10" s="47"/>
      <c r="AM10" s="109"/>
      <c r="AN10" s="170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INDIRECT("'盛付札（関数）'!AG"&amp;AL9))),"")</f>
        <v/>
      </c>
      <c r="AO10" s="40"/>
      <c r="AP10" s="40"/>
      <c r="AQ10" s="46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8"/>
      <c r="AS10" s="22"/>
      <c r="AT10" s="31"/>
      <c r="AU10" s="109"/>
      <c r="AV10" s="170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INDIRECT("'盛付札（関数）'!AG"&amp;AT9))),"")</f>
        <v/>
      </c>
      <c r="AW10" s="40"/>
      <c r="AX10" s="40"/>
      <c r="AY10" s="46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8"/>
      <c r="BA10" s="47"/>
      <c r="BB10" s="109"/>
      <c r="BC10" s="170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INDIRECT("'盛付札（関数）'!AG"&amp;BA9))),"")</f>
        <v/>
      </c>
      <c r="BD10" s="40"/>
      <c r="BE10" s="40"/>
      <c r="BF10" s="46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8"/>
      <c r="BH10" s="22"/>
      <c r="BI10" s="31"/>
      <c r="BJ10" s="109"/>
      <c r="BK10" s="170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INDIRECT("'盛付札（関数）'!AG"&amp;BI9))),"")</f>
        <v/>
      </c>
      <c r="BL10" s="40"/>
      <c r="BM10" s="40"/>
      <c r="BN10" s="46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8"/>
      <c r="BP10" s="47"/>
      <c r="BQ10" s="109"/>
      <c r="BR10" s="170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INDIRECT("'盛付札（関数）'!AG"&amp;BP9))),"")</f>
        <v/>
      </c>
      <c r="BS10" s="40"/>
      <c r="BT10" s="40"/>
      <c r="BU10" s="46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8"/>
      <c r="BW10" s="22"/>
      <c r="BX10" s="31"/>
      <c r="BY10" s="109"/>
      <c r="BZ10" s="170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INDIRECT("'盛付札（関数）'!AG"&amp;BX9))),"")</f>
        <v/>
      </c>
      <c r="CA10" s="40"/>
      <c r="CB10" s="40"/>
      <c r="CC10" s="46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8"/>
      <c r="CE10" s="47"/>
      <c r="CF10" s="109"/>
      <c r="CG10" s="170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INDIRECT("'盛付札（関数）'!AG"&amp;CE9))),"")</f>
        <v/>
      </c>
      <c r="CH10" s="40"/>
      <c r="CI10" s="40"/>
      <c r="CJ10" s="46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8"/>
      <c r="CL10" s="22"/>
      <c r="CM10" s="31"/>
      <c r="CN10" s="109"/>
      <c r="CO10" s="170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INDIRECT("'盛付札（関数）'!AG"&amp;CM9))),"")</f>
        <v/>
      </c>
      <c r="CP10" s="40"/>
      <c r="CQ10" s="40"/>
      <c r="CR10" s="46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8"/>
      <c r="CT10" s="47"/>
      <c r="CU10" s="109"/>
      <c r="CV10" s="170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INDIRECT("'盛付札（関数）'!AG"&amp;CT9))),"")</f>
        <v/>
      </c>
      <c r="CW10" s="40"/>
      <c r="CX10" s="40"/>
      <c r="CY10" s="46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8"/>
      <c r="DA10" s="22"/>
      <c r="DB10" s="31"/>
      <c r="DC10" s="109"/>
      <c r="DD10" s="170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INDIRECT("'盛付札（関数）'!AG"&amp;DB9))),"")</f>
        <v/>
      </c>
      <c r="DE10" s="40"/>
      <c r="DF10" s="40"/>
      <c r="DG10" s="46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8"/>
      <c r="DI10" s="47"/>
      <c r="DJ10" s="109"/>
      <c r="DK10" s="170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INDIRECT("'盛付札（関数）'!AG"&amp;DI9))),"")</f>
        <v/>
      </c>
      <c r="DL10" s="40"/>
      <c r="DM10" s="40"/>
      <c r="DN10" s="46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8"/>
      <c r="DP10" s="22"/>
      <c r="DQ10" s="31"/>
      <c r="DR10" s="109"/>
      <c r="DS10" s="170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INDIRECT("'盛付札（関数）'!AG"&amp;DQ9))),"")</f>
        <v/>
      </c>
      <c r="DT10" s="40"/>
      <c r="DU10" s="40"/>
      <c r="DV10" s="46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8"/>
      <c r="DX10" s="47"/>
      <c r="DY10" s="109"/>
      <c r="DZ10" s="170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INDIRECT("'盛付札（関数）'!AG"&amp;DX9))),"")</f>
        <v/>
      </c>
      <c r="EA10" s="40"/>
      <c r="EB10" s="40"/>
      <c r="EC10" s="46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8"/>
      <c r="EE10" s="22"/>
      <c r="EF10" s="31"/>
      <c r="EG10" s="109"/>
      <c r="EH10" s="170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INDIRECT("'盛付札（関数）'!AG"&amp;EF9))),"")</f>
        <v/>
      </c>
      <c r="EI10" s="40"/>
      <c r="EJ10" s="40"/>
      <c r="EK10" s="46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8"/>
      <c r="EM10" s="47"/>
      <c r="EN10" s="109"/>
      <c r="EO10" s="170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INDIRECT("'盛付札（関数）'!AG"&amp;EM9))),"")</f>
        <v/>
      </c>
      <c r="EP10" s="40"/>
      <c r="EQ10" s="40"/>
      <c r="ER10" s="46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8"/>
      <c r="ET10" s="22"/>
    </row>
    <row r="11" spans="1:150" s="32" customFormat="1">
      <c r="A11" s="31"/>
      <c r="B11" s="33"/>
      <c r="C11" s="153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154"/>
      <c r="E11" s="22"/>
      <c r="F11" s="168" t="str" cm="1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9"/>
      <c r="H11" s="35"/>
      <c r="I11" s="33"/>
      <c r="J11" s="153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154"/>
      <c r="L11" s="22"/>
      <c r="M11" s="168" t="str" cm="1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9"/>
      <c r="O11" s="22"/>
      <c r="P11" s="31"/>
      <c r="Q11" s="33"/>
      <c r="R11" s="153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154"/>
      <c r="T11" s="22"/>
      <c r="U11" s="168" t="str" cm="1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9"/>
      <c r="W11" s="35"/>
      <c r="X11" s="33"/>
      <c r="Y11" s="153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154"/>
      <c r="AA11" s="22"/>
      <c r="AB11" s="168" t="str" cm="1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9"/>
      <c r="AD11" s="22"/>
      <c r="AE11" s="31"/>
      <c r="AF11" s="33"/>
      <c r="AG11" s="153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154"/>
      <c r="AI11" s="22"/>
      <c r="AJ11" s="168" t="str" cm="1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9"/>
      <c r="AL11" s="35"/>
      <c r="AM11" s="33"/>
      <c r="AN11" s="153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154"/>
      <c r="AP11" s="22"/>
      <c r="AQ11" s="168" t="str" cm="1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9"/>
      <c r="AS11" s="22"/>
      <c r="AT11" s="31"/>
      <c r="AU11" s="33"/>
      <c r="AV11" s="153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154"/>
      <c r="AX11" s="22"/>
      <c r="AY11" s="168" t="str" cm="1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9"/>
      <c r="BA11" s="35"/>
      <c r="BB11" s="33"/>
      <c r="BC11" s="153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154"/>
      <c r="BE11" s="22"/>
      <c r="BF11" s="168" t="str" cm="1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9"/>
      <c r="BH11" s="22"/>
      <c r="BI11" s="31"/>
      <c r="BJ11" s="33"/>
      <c r="BK11" s="153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154"/>
      <c r="BM11" s="22"/>
      <c r="BN11" s="168" t="str" cm="1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9"/>
      <c r="BP11" s="35"/>
      <c r="BQ11" s="33"/>
      <c r="BR11" s="153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154"/>
      <c r="BT11" s="22"/>
      <c r="BU11" s="168" t="str" cm="1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9"/>
      <c r="BW11" s="22"/>
      <c r="BX11" s="31"/>
      <c r="BY11" s="33"/>
      <c r="BZ11" s="153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154"/>
      <c r="CB11" s="22"/>
      <c r="CC11" s="168" t="str" cm="1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9"/>
      <c r="CE11" s="35"/>
      <c r="CF11" s="33"/>
      <c r="CG11" s="153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154"/>
      <c r="CI11" s="22"/>
      <c r="CJ11" s="168" t="str" cm="1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9"/>
      <c r="CL11" s="22"/>
      <c r="CM11" s="31"/>
      <c r="CN11" s="33"/>
      <c r="CO11" s="153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154"/>
      <c r="CQ11" s="22"/>
      <c r="CR11" s="168" t="str" cm="1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9"/>
      <c r="CT11" s="35"/>
      <c r="CU11" s="33"/>
      <c r="CV11" s="153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154"/>
      <c r="CX11" s="22"/>
      <c r="CY11" s="168" t="str" cm="1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9"/>
      <c r="DA11" s="22"/>
      <c r="DB11" s="31"/>
      <c r="DC11" s="33"/>
      <c r="DD11" s="153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154"/>
      <c r="DF11" s="22"/>
      <c r="DG11" s="168" t="str" cm="1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9"/>
      <c r="DI11" s="35"/>
      <c r="DJ11" s="33"/>
      <c r="DK11" s="153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154"/>
      <c r="DM11" s="22"/>
      <c r="DN11" s="168" t="str" cm="1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9"/>
      <c r="DP11" s="22"/>
      <c r="DQ11" s="31"/>
      <c r="DR11" s="33"/>
      <c r="DS11" s="153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154"/>
      <c r="DU11" s="22"/>
      <c r="DV11" s="168" t="str" cm="1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9"/>
      <c r="DX11" s="35"/>
      <c r="DY11" s="33"/>
      <c r="DZ11" s="153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154"/>
      <c r="EB11" s="22"/>
      <c r="EC11" s="168" t="str" cm="1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9"/>
      <c r="EE11" s="22"/>
      <c r="EF11" s="31"/>
      <c r="EG11" s="33"/>
      <c r="EH11" s="153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154"/>
      <c r="EJ11" s="22"/>
      <c r="EK11" s="168" t="str" cm="1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9"/>
      <c r="EM11" s="35"/>
      <c r="EN11" s="33"/>
      <c r="EO11" s="153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154"/>
      <c r="EQ11" s="22"/>
      <c r="ER11" s="168" t="str" cm="1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9"/>
      <c r="ET11" s="22"/>
    </row>
    <row r="12" spans="1:150" ht="15.6" customHeight="1">
      <c r="B12" s="25"/>
      <c r="C12" s="151" t="str">
        <f t="array" aca="1" ref="C12" ca="1">IF(C9&lt;&gt;"",INDIRECT("'盛付札（関数）'!AJ"&amp;A9),"")</f>
        <v/>
      </c>
      <c r="D12" s="152"/>
      <c r="E12" s="48"/>
      <c r="F12" s="147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148"/>
      <c r="H12" s="26"/>
      <c r="I12" s="25"/>
      <c r="J12" s="151" t="str">
        <f t="array" aca="1" ref="J12" ca="1">IF(J9&lt;&gt;"",INDIRECT("'盛付札（関数）'!AJ"&amp;H9),"")</f>
        <v/>
      </c>
      <c r="K12" s="152"/>
      <c r="L12" s="48"/>
      <c r="M12" s="147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148"/>
      <c r="Q12" s="25"/>
      <c r="R12" s="151" t="str">
        <f t="array" aca="1" ref="R12" ca="1">IF(R9&lt;&gt;"",INDIRECT("'盛付札（関数）'!AJ"&amp;P9),"")</f>
        <v/>
      </c>
      <c r="S12" s="152"/>
      <c r="T12" s="48"/>
      <c r="U12" s="147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148"/>
      <c r="W12" s="26"/>
      <c r="X12" s="25"/>
      <c r="Y12" s="151" t="str">
        <f t="array" aca="1" ref="Y12" ca="1">IF(Y9&lt;&gt;"",INDIRECT("'盛付札（関数）'!AJ"&amp;W9),"")</f>
        <v/>
      </c>
      <c r="Z12" s="152"/>
      <c r="AA12" s="48"/>
      <c r="AB12" s="147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148"/>
      <c r="AF12" s="25"/>
      <c r="AG12" s="151" t="str">
        <f t="array" aca="1" ref="AG12" ca="1">IF(AG9&lt;&gt;"",INDIRECT("'盛付札（関数）'!AJ"&amp;AE9),"")</f>
        <v/>
      </c>
      <c r="AH12" s="152"/>
      <c r="AI12" s="48"/>
      <c r="AJ12" s="147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148"/>
      <c r="AL12" s="26"/>
      <c r="AM12" s="25"/>
      <c r="AN12" s="151" t="str">
        <f t="array" aca="1" ref="AN12" ca="1">IF(AN9&lt;&gt;"",INDIRECT("'盛付札（関数）'!AJ"&amp;AL9),"")</f>
        <v/>
      </c>
      <c r="AO12" s="152"/>
      <c r="AP12" s="48"/>
      <c r="AQ12" s="147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148"/>
      <c r="AU12" s="25"/>
      <c r="AV12" s="151" t="str">
        <f t="array" aca="1" ref="AV12" ca="1">IF(AV9&lt;&gt;"",INDIRECT("'盛付札（関数）'!AJ"&amp;AT9),"")</f>
        <v/>
      </c>
      <c r="AW12" s="152"/>
      <c r="AX12" s="48"/>
      <c r="AY12" s="147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148"/>
      <c r="BA12" s="26"/>
      <c r="BB12" s="25"/>
      <c r="BC12" s="151" t="str">
        <f t="array" aca="1" ref="BC12" ca="1">IF(BC9&lt;&gt;"",INDIRECT("'盛付札（関数）'!AJ"&amp;BA9),"")</f>
        <v/>
      </c>
      <c r="BD12" s="152"/>
      <c r="BE12" s="48"/>
      <c r="BF12" s="147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148"/>
      <c r="BJ12" s="25"/>
      <c r="BK12" s="151" t="str">
        <f t="array" aca="1" ref="BK12" ca="1">IF(BK9&lt;&gt;"",INDIRECT("'盛付札（関数）'!AJ"&amp;BI9),"")</f>
        <v/>
      </c>
      <c r="BL12" s="152"/>
      <c r="BM12" s="48"/>
      <c r="BN12" s="147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148"/>
      <c r="BP12" s="26"/>
      <c r="BQ12" s="25"/>
      <c r="BR12" s="151" t="str">
        <f t="array" aca="1" ref="BR12" ca="1">IF(BR9&lt;&gt;"",INDIRECT("'盛付札（関数）'!AJ"&amp;BP9),"")</f>
        <v/>
      </c>
      <c r="BS12" s="152"/>
      <c r="BT12" s="48"/>
      <c r="BU12" s="147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148"/>
      <c r="BY12" s="25"/>
      <c r="BZ12" s="151" t="str">
        <f t="array" aca="1" ref="BZ12" ca="1">IF(BZ9&lt;&gt;"",INDIRECT("'盛付札（関数）'!AJ"&amp;BX9),"")</f>
        <v/>
      </c>
      <c r="CA12" s="152"/>
      <c r="CB12" s="48"/>
      <c r="CC12" s="147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148"/>
      <c r="CE12" s="26"/>
      <c r="CF12" s="25"/>
      <c r="CG12" s="151" t="str">
        <f t="array" aca="1" ref="CG12" ca="1">IF(CG9&lt;&gt;"",INDIRECT("'盛付札（関数）'!AJ"&amp;CE9),"")</f>
        <v/>
      </c>
      <c r="CH12" s="152"/>
      <c r="CI12" s="48"/>
      <c r="CJ12" s="147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148"/>
      <c r="CN12" s="25"/>
      <c r="CO12" s="151" t="str">
        <f t="array" aca="1" ref="CO12" ca="1">IF(CO9&lt;&gt;"",INDIRECT("'盛付札（関数）'!AJ"&amp;CM9),"")</f>
        <v/>
      </c>
      <c r="CP12" s="152"/>
      <c r="CQ12" s="48"/>
      <c r="CR12" s="147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148"/>
      <c r="CT12" s="26"/>
      <c r="CU12" s="25"/>
      <c r="CV12" s="151" t="str">
        <f t="array" aca="1" ref="CV12" ca="1">IF(CV9&lt;&gt;"",INDIRECT("'盛付札（関数）'!AJ"&amp;CT9),"")</f>
        <v/>
      </c>
      <c r="CW12" s="152"/>
      <c r="CX12" s="48"/>
      <c r="CY12" s="147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148"/>
      <c r="DC12" s="25"/>
      <c r="DD12" s="151" t="str">
        <f t="array" aca="1" ref="DD12" ca="1">IF(DD9&lt;&gt;"",INDIRECT("'盛付札（関数）'!AJ"&amp;DB9),"")</f>
        <v/>
      </c>
      <c r="DE12" s="152"/>
      <c r="DF12" s="48"/>
      <c r="DG12" s="147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148"/>
      <c r="DI12" s="26"/>
      <c r="DJ12" s="25"/>
      <c r="DK12" s="151" t="str">
        <f t="array" aca="1" ref="DK12" ca="1">IF(DK9&lt;&gt;"",INDIRECT("'盛付札（関数）'!AJ"&amp;DI9),"")</f>
        <v/>
      </c>
      <c r="DL12" s="152"/>
      <c r="DM12" s="48"/>
      <c r="DN12" s="147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148"/>
      <c r="DR12" s="25"/>
      <c r="DS12" s="151" t="str">
        <f t="array" aca="1" ref="DS12" ca="1">IF(DS9&lt;&gt;"",INDIRECT("'盛付札（関数）'!AJ"&amp;DQ9),"")</f>
        <v/>
      </c>
      <c r="DT12" s="152"/>
      <c r="DU12" s="48"/>
      <c r="DV12" s="147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148"/>
      <c r="DX12" s="26"/>
      <c r="DY12" s="25"/>
      <c r="DZ12" s="151" t="str">
        <f t="array" aca="1" ref="DZ12" ca="1">IF(DZ9&lt;&gt;"",INDIRECT("'盛付札（関数）'!AJ"&amp;DX9),"")</f>
        <v/>
      </c>
      <c r="EA12" s="152"/>
      <c r="EB12" s="48"/>
      <c r="EC12" s="147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148"/>
      <c r="EG12" s="25"/>
      <c r="EH12" s="151" t="str">
        <f t="array" aca="1" ref="EH12" ca="1">IF(EH9&lt;&gt;"",INDIRECT("'盛付札（関数）'!AJ"&amp;EF9),"")</f>
        <v/>
      </c>
      <c r="EI12" s="152"/>
      <c r="EJ12" s="48"/>
      <c r="EK12" s="147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148"/>
      <c r="EM12" s="26"/>
      <c r="EN12" s="25"/>
      <c r="EO12" s="151" t="str">
        <f t="array" aca="1" ref="EO12" ca="1">IF(EO9&lt;&gt;"",INDIRECT("'盛付札（関数）'!AJ"&amp;EM9),"")</f>
        <v/>
      </c>
      <c r="EP12" s="152"/>
      <c r="EQ12" s="48"/>
      <c r="ER12" s="147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148"/>
    </row>
    <row r="13" spans="1:150" ht="15.6" customHeight="1">
      <c r="B13" s="27"/>
      <c r="C13" s="149"/>
      <c r="D13" s="149"/>
      <c r="E13" s="43"/>
      <c r="F13" s="149"/>
      <c r="G13" s="150"/>
      <c r="H13" s="26"/>
      <c r="I13" s="27"/>
      <c r="J13" s="149"/>
      <c r="K13" s="149"/>
      <c r="L13" s="43"/>
      <c r="M13" s="149"/>
      <c r="N13" s="150"/>
      <c r="Q13" s="27"/>
      <c r="R13" s="149"/>
      <c r="S13" s="149"/>
      <c r="T13" s="43"/>
      <c r="U13" s="149"/>
      <c r="V13" s="150"/>
      <c r="W13" s="26"/>
      <c r="X13" s="27"/>
      <c r="Y13" s="149"/>
      <c r="Z13" s="149"/>
      <c r="AA13" s="43"/>
      <c r="AB13" s="149"/>
      <c r="AC13" s="150"/>
      <c r="AF13" s="27"/>
      <c r="AG13" s="149"/>
      <c r="AH13" s="149"/>
      <c r="AI13" s="43"/>
      <c r="AJ13" s="149"/>
      <c r="AK13" s="150"/>
      <c r="AL13" s="26"/>
      <c r="AM13" s="27"/>
      <c r="AN13" s="149"/>
      <c r="AO13" s="149"/>
      <c r="AP13" s="43"/>
      <c r="AQ13" s="149"/>
      <c r="AR13" s="150"/>
      <c r="AU13" s="27"/>
      <c r="AV13" s="149"/>
      <c r="AW13" s="149"/>
      <c r="AX13" s="43"/>
      <c r="AY13" s="149"/>
      <c r="AZ13" s="150"/>
      <c r="BA13" s="26"/>
      <c r="BB13" s="27"/>
      <c r="BC13" s="149"/>
      <c r="BD13" s="149"/>
      <c r="BE13" s="43"/>
      <c r="BF13" s="149"/>
      <c r="BG13" s="150"/>
      <c r="BJ13" s="27"/>
      <c r="BK13" s="149"/>
      <c r="BL13" s="149"/>
      <c r="BM13" s="43"/>
      <c r="BN13" s="149"/>
      <c r="BO13" s="150"/>
      <c r="BP13" s="26"/>
      <c r="BQ13" s="27"/>
      <c r="BR13" s="149"/>
      <c r="BS13" s="149"/>
      <c r="BT13" s="43"/>
      <c r="BU13" s="149"/>
      <c r="BV13" s="150"/>
      <c r="BY13" s="27"/>
      <c r="BZ13" s="149"/>
      <c r="CA13" s="149"/>
      <c r="CB13" s="43"/>
      <c r="CC13" s="149"/>
      <c r="CD13" s="150"/>
      <c r="CE13" s="26"/>
      <c r="CF13" s="27"/>
      <c r="CG13" s="149"/>
      <c r="CH13" s="149"/>
      <c r="CI13" s="43"/>
      <c r="CJ13" s="149"/>
      <c r="CK13" s="150"/>
      <c r="CN13" s="27"/>
      <c r="CO13" s="149"/>
      <c r="CP13" s="149"/>
      <c r="CQ13" s="43"/>
      <c r="CR13" s="149"/>
      <c r="CS13" s="150"/>
      <c r="CT13" s="26"/>
      <c r="CU13" s="27"/>
      <c r="CV13" s="149"/>
      <c r="CW13" s="149"/>
      <c r="CX13" s="43"/>
      <c r="CY13" s="149"/>
      <c r="CZ13" s="150"/>
      <c r="DC13" s="27"/>
      <c r="DD13" s="149"/>
      <c r="DE13" s="149"/>
      <c r="DF13" s="43"/>
      <c r="DG13" s="149"/>
      <c r="DH13" s="150"/>
      <c r="DI13" s="26"/>
      <c r="DJ13" s="27"/>
      <c r="DK13" s="149"/>
      <c r="DL13" s="149"/>
      <c r="DM13" s="43"/>
      <c r="DN13" s="149"/>
      <c r="DO13" s="150"/>
      <c r="DR13" s="27"/>
      <c r="DS13" s="149"/>
      <c r="DT13" s="149"/>
      <c r="DU13" s="43"/>
      <c r="DV13" s="149"/>
      <c r="DW13" s="150"/>
      <c r="DX13" s="26"/>
      <c r="DY13" s="27"/>
      <c r="DZ13" s="149"/>
      <c r="EA13" s="149"/>
      <c r="EB13" s="43"/>
      <c r="EC13" s="149"/>
      <c r="ED13" s="150"/>
      <c r="EG13" s="27"/>
      <c r="EH13" s="149"/>
      <c r="EI13" s="149"/>
      <c r="EJ13" s="43"/>
      <c r="EK13" s="149"/>
      <c r="EL13" s="150"/>
      <c r="EM13" s="26"/>
      <c r="EN13" s="27"/>
      <c r="EO13" s="149"/>
      <c r="EP13" s="149"/>
      <c r="EQ13" s="43"/>
      <c r="ER13" s="149"/>
      <c r="ES13" s="150"/>
    </row>
    <row r="14" spans="1:150" s="32" customFormat="1">
      <c r="A14" s="31"/>
      <c r="B14" s="36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4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6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4"/>
      <c r="F14" s="36" t="str">
        <f t="array" aca="1" ref="F14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"アレルギー")),"")</f>
        <v/>
      </c>
      <c r="G14" s="39"/>
      <c r="H14" s="22"/>
      <c r="I14" s="36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4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6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4"/>
      <c r="M14" s="36" t="str">
        <f t="array" aca="1" ref="M14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"アレルギー")),"")</f>
        <v/>
      </c>
      <c r="N14" s="39"/>
      <c r="O14" s="22"/>
      <c r="P14" s="31"/>
      <c r="Q14" s="36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4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6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4"/>
      <c r="U14" s="36" t="str">
        <f t="array" aca="1" ref="U14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"アレルギー")),"")</f>
        <v/>
      </c>
      <c r="V14" s="39"/>
      <c r="W14" s="22"/>
      <c r="X14" s="36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4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6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4"/>
      <c r="AB14" s="36" t="str">
        <f t="array" aca="1" ref="AB14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"アレルギー")),"")</f>
        <v/>
      </c>
      <c r="AC14" s="39"/>
      <c r="AD14" s="22"/>
      <c r="AE14" s="31"/>
      <c r="AF14" s="36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4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6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4"/>
      <c r="AJ14" s="36" t="str">
        <f t="array" aca="1" ref="AJ14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"アレルギー")),"")</f>
        <v/>
      </c>
      <c r="AK14" s="39"/>
      <c r="AL14" s="22"/>
      <c r="AM14" s="36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4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6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4"/>
      <c r="AQ14" s="36" t="str">
        <f t="array" aca="1" ref="AQ14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"アレルギー")),"")</f>
        <v/>
      </c>
      <c r="AR14" s="39"/>
      <c r="AS14" s="22"/>
      <c r="AT14" s="31"/>
      <c r="AU14" s="36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4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6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4"/>
      <c r="AY14" s="36" t="str">
        <f t="array" aca="1" ref="AY14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"アレルギー")),"")</f>
        <v/>
      </c>
      <c r="AZ14" s="39"/>
      <c r="BA14" s="22"/>
      <c r="BB14" s="36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4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6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4"/>
      <c r="BF14" s="36" t="str">
        <f t="array" aca="1" ref="BF14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"アレルギー")),"")</f>
        <v/>
      </c>
      <c r="BG14" s="39"/>
      <c r="BH14" s="22"/>
      <c r="BI14" s="31"/>
      <c r="BJ14" s="36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4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6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4"/>
      <c r="BN14" s="36" t="str">
        <f t="array" aca="1" ref="BN14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"アレルギー")),"")</f>
        <v/>
      </c>
      <c r="BO14" s="39"/>
      <c r="BP14" s="22"/>
      <c r="BQ14" s="36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4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6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4"/>
      <c r="BU14" s="36" t="str">
        <f t="array" aca="1" ref="BU14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"アレルギー")),"")</f>
        <v/>
      </c>
      <c r="BV14" s="39"/>
      <c r="BW14" s="22"/>
      <c r="BX14" s="31"/>
      <c r="BY14" s="36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4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6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4"/>
      <c r="CC14" s="36" t="str">
        <f t="array" aca="1" ref="CC14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"アレルギー")),"")</f>
        <v/>
      </c>
      <c r="CD14" s="39"/>
      <c r="CE14" s="22"/>
      <c r="CF14" s="36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4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6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4"/>
      <c r="CJ14" s="36" t="str">
        <f t="array" aca="1" ref="CJ14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"アレルギー")),"")</f>
        <v/>
      </c>
      <c r="CK14" s="39"/>
      <c r="CL14" s="22"/>
      <c r="CM14" s="31"/>
      <c r="CN14" s="36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4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6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4"/>
      <c r="CR14" s="36" t="str">
        <f t="array" aca="1" ref="CR14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"アレルギー")),"")</f>
        <v/>
      </c>
      <c r="CS14" s="39"/>
      <c r="CT14" s="22"/>
      <c r="CU14" s="36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4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6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4"/>
      <c r="CY14" s="36" t="str">
        <f t="array" aca="1" ref="CY14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"アレルギー")),"")</f>
        <v/>
      </c>
      <c r="CZ14" s="39"/>
      <c r="DA14" s="22"/>
      <c r="DB14" s="31"/>
      <c r="DC14" s="36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4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6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4"/>
      <c r="DG14" s="36" t="str">
        <f t="array" aca="1" ref="DG14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"アレルギー")),"")</f>
        <v/>
      </c>
      <c r="DH14" s="39"/>
      <c r="DI14" s="22"/>
      <c r="DJ14" s="36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4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6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4"/>
      <c r="DN14" s="36" t="str">
        <f t="array" aca="1" ref="DN14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"アレルギー")),"")</f>
        <v/>
      </c>
      <c r="DO14" s="39"/>
      <c r="DP14" s="22"/>
      <c r="DQ14" s="31"/>
      <c r="DR14" s="36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4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6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4"/>
      <c r="DV14" s="36" t="str">
        <f t="array" aca="1" ref="DV14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"アレルギー")),"")</f>
        <v/>
      </c>
      <c r="DW14" s="39"/>
      <c r="DX14" s="22"/>
      <c r="DY14" s="36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4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6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4"/>
      <c r="EC14" s="36" t="str">
        <f t="array" aca="1" ref="EC14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"アレルギー")),"")</f>
        <v/>
      </c>
      <c r="ED14" s="39"/>
      <c r="EE14" s="22"/>
      <c r="EF14" s="31"/>
      <c r="EG14" s="36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4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6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4"/>
      <c r="EK14" s="36" t="str">
        <f t="array" aca="1" ref="EK14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"アレルギー")),"")</f>
        <v/>
      </c>
      <c r="EL14" s="39"/>
      <c r="EM14" s="22"/>
      <c r="EN14" s="36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4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6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4"/>
      <c r="ER14" s="36" t="str">
        <f t="array" aca="1" ref="ER14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"アレルギー")),"")</f>
        <v/>
      </c>
      <c r="ES14" s="39"/>
      <c r="ET14" s="22"/>
    </row>
    <row r="15" spans="1:150" ht="27.6" customHeight="1">
      <c r="B15" s="157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150"/>
      <c r="D15" s="157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150"/>
      <c r="F15" s="158" t="str">
        <f t="array" aca="1" ref="F15" ca="1">IF(AND(C9&lt;&gt;"",C9&lt;&gt;"社食"),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INDIRECT("'盛付札（関数）'!AO"&amp;A9))),"")</f>
        <v/>
      </c>
      <c r="G15" s="150"/>
      <c r="I15" s="157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150"/>
      <c r="K15" s="157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150"/>
      <c r="M15" s="158" t="str">
        <f t="array" aca="1" ref="M15" ca="1">IF(AND(J9&lt;&gt;"",J9&lt;&gt;"社食"),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INDIRECT("'盛付札（関数）'!AO"&amp;H9))),"")</f>
        <v/>
      </c>
      <c r="N15" s="150"/>
      <c r="Q15" s="157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150"/>
      <c r="S15" s="157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150"/>
      <c r="U15" s="158" t="str">
        <f t="array" aca="1" ref="U15" ca="1">IF(AND(R9&lt;&gt;"",R9&lt;&gt;"社食"),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INDIRECT("'盛付札（関数）'!AO"&amp;P9))),"")</f>
        <v/>
      </c>
      <c r="V15" s="150"/>
      <c r="X15" s="157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150"/>
      <c r="Z15" s="157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150"/>
      <c r="AB15" s="158" t="str">
        <f t="array" aca="1" ref="AB15" ca="1">IF(AND(Y9&lt;&gt;"",Y9&lt;&gt;"社食"),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INDIRECT("'盛付札（関数）'!AO"&amp;W9))),"")</f>
        <v/>
      </c>
      <c r="AC15" s="150"/>
      <c r="AF15" s="157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150"/>
      <c r="AH15" s="157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150"/>
      <c r="AJ15" s="158" t="str">
        <f t="array" aca="1" ref="AJ15" ca="1">IF(AND(AG9&lt;&gt;"",AG9&lt;&gt;"社食"),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INDIRECT("'盛付札（関数）'!AO"&amp;AE9))),"")</f>
        <v/>
      </c>
      <c r="AK15" s="150"/>
      <c r="AM15" s="157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150"/>
      <c r="AO15" s="157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150"/>
      <c r="AQ15" s="158" t="str">
        <f t="array" aca="1" ref="AQ15" ca="1">IF(AND(AN9&lt;&gt;"",AN9&lt;&gt;"社食"),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INDIRECT("'盛付札（関数）'!AO"&amp;AL9))),"")</f>
        <v/>
      </c>
      <c r="AR15" s="150"/>
      <c r="AU15" s="157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150"/>
      <c r="AW15" s="157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150"/>
      <c r="AY15" s="158" t="str">
        <f t="array" aca="1" ref="AY15" ca="1">IF(AND(AV9&lt;&gt;"",AV9&lt;&gt;"社食"),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INDIRECT("'盛付札（関数）'!AO"&amp;AT9))),"")</f>
        <v/>
      </c>
      <c r="AZ15" s="150"/>
      <c r="BB15" s="157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150"/>
      <c r="BD15" s="157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150"/>
      <c r="BF15" s="158" t="str">
        <f t="array" aca="1" ref="BF15" ca="1">IF(AND(BC9&lt;&gt;"",BC9&lt;&gt;"社食"),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INDIRECT("'盛付札（関数）'!AO"&amp;BA9))),"")</f>
        <v/>
      </c>
      <c r="BG15" s="150"/>
      <c r="BJ15" s="157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150"/>
      <c r="BL15" s="157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150"/>
      <c r="BN15" s="158" t="str">
        <f t="array" aca="1" ref="BN15" ca="1">IF(AND(BK9&lt;&gt;"",BK9&lt;&gt;"社食"),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INDIRECT("'盛付札（関数）'!AO"&amp;BI9))),"")</f>
        <v/>
      </c>
      <c r="BO15" s="150"/>
      <c r="BQ15" s="157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150"/>
      <c r="BS15" s="157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150"/>
      <c r="BU15" s="158" t="str">
        <f t="array" aca="1" ref="BU15" ca="1">IF(AND(BR9&lt;&gt;"",BR9&lt;&gt;"社食"),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INDIRECT("'盛付札（関数）'!AO"&amp;BP9))),"")</f>
        <v/>
      </c>
      <c r="BV15" s="150"/>
      <c r="BY15" s="157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150"/>
      <c r="CA15" s="157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150"/>
      <c r="CC15" s="158" t="str">
        <f t="array" aca="1" ref="CC15" ca="1">IF(AND(BZ9&lt;&gt;"",BZ9&lt;&gt;"社食"),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INDIRECT("'盛付札（関数）'!AO"&amp;BX9))),"")</f>
        <v/>
      </c>
      <c r="CD15" s="150"/>
      <c r="CF15" s="157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150"/>
      <c r="CH15" s="157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150"/>
      <c r="CJ15" s="158" t="str">
        <f t="array" aca="1" ref="CJ15" ca="1">IF(AND(CG9&lt;&gt;"",CG9&lt;&gt;"社食"),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INDIRECT("'盛付札（関数）'!AO"&amp;CE9))),"")</f>
        <v/>
      </c>
      <c r="CK15" s="150"/>
      <c r="CN15" s="157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150"/>
      <c r="CP15" s="157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150"/>
      <c r="CR15" s="158" t="str">
        <f t="array" aca="1" ref="CR15" ca="1">IF(AND(CO9&lt;&gt;"",CO9&lt;&gt;"社食"),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INDIRECT("'盛付札（関数）'!AO"&amp;CM9))),"")</f>
        <v/>
      </c>
      <c r="CS15" s="150"/>
      <c r="CU15" s="157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150"/>
      <c r="CW15" s="157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150"/>
      <c r="CY15" s="158" t="str">
        <f t="array" aca="1" ref="CY15" ca="1">IF(AND(CV9&lt;&gt;"",CV9&lt;&gt;"社食"),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INDIRECT("'盛付札（関数）'!AO"&amp;CT9))),"")</f>
        <v/>
      </c>
      <c r="CZ15" s="150"/>
      <c r="DC15" s="157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150"/>
      <c r="DE15" s="157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150"/>
      <c r="DG15" s="158" t="str">
        <f t="array" aca="1" ref="DG15" ca="1">IF(AND(DD9&lt;&gt;"",DD9&lt;&gt;"社食"),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INDIRECT("'盛付札（関数）'!AO"&amp;DB9))),"")</f>
        <v/>
      </c>
      <c r="DH15" s="150"/>
      <c r="DJ15" s="157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150"/>
      <c r="DL15" s="157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150"/>
      <c r="DN15" s="158" t="str">
        <f t="array" aca="1" ref="DN15" ca="1">IF(AND(DK9&lt;&gt;"",DK9&lt;&gt;"社食"),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INDIRECT("'盛付札（関数）'!AO"&amp;DI9))),"")</f>
        <v/>
      </c>
      <c r="DO15" s="150"/>
      <c r="DR15" s="157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150"/>
      <c r="DT15" s="157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150"/>
      <c r="DV15" s="158" t="str">
        <f t="array" aca="1" ref="DV15" ca="1">IF(AND(DS9&lt;&gt;"",DS9&lt;&gt;"社食"),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INDIRECT("'盛付札（関数）'!AO"&amp;DQ9))),"")</f>
        <v/>
      </c>
      <c r="DW15" s="150"/>
      <c r="DY15" s="157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150"/>
      <c r="EA15" s="157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150"/>
      <c r="EC15" s="158" t="str">
        <f t="array" aca="1" ref="EC15" ca="1">IF(AND(DZ9&lt;&gt;"",DZ9&lt;&gt;"社食"),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INDIRECT("'盛付札（関数）'!AO"&amp;DX9))),"")</f>
        <v/>
      </c>
      <c r="ED15" s="150"/>
      <c r="EG15" s="157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150"/>
      <c r="EI15" s="157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150"/>
      <c r="EK15" s="158" t="str">
        <f t="array" aca="1" ref="EK15" ca="1">IF(AND(EH9&lt;&gt;"",EH9&lt;&gt;"社食"),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INDIRECT("'盛付札（関数）'!AO"&amp;EF9))),"")</f>
        <v/>
      </c>
      <c r="EL15" s="150"/>
      <c r="EN15" s="157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150"/>
      <c r="EP15" s="157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150"/>
      <c r="ER15" s="158" t="str">
        <f t="array" aca="1" ref="ER15" ca="1">IF(AND(EO9&lt;&gt;"",EO9&lt;&gt;"社食"),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INDIRECT("'盛付札（関数）'!AO"&amp;EM9))),"")</f>
        <v/>
      </c>
      <c r="ES15" s="150"/>
    </row>
    <row r="16" spans="1:150" ht="6.6" customHeight="1">
      <c r="B16" s="44"/>
      <c r="D16" s="44"/>
      <c r="F16" s="45"/>
      <c r="I16" s="44"/>
      <c r="K16" s="44"/>
      <c r="M16" s="45"/>
      <c r="Q16" s="44"/>
      <c r="S16" s="44"/>
      <c r="U16" s="45"/>
      <c r="X16" s="44"/>
      <c r="Z16" s="44"/>
      <c r="AB16" s="45"/>
      <c r="AF16" s="44"/>
      <c r="AH16" s="44"/>
      <c r="AJ16" s="45"/>
      <c r="AM16" s="44"/>
      <c r="AO16" s="44"/>
      <c r="AQ16" s="45"/>
      <c r="AU16" s="44"/>
      <c r="AW16" s="44"/>
      <c r="AY16" s="45"/>
      <c r="BB16" s="44"/>
      <c r="BD16" s="44"/>
      <c r="BF16" s="45"/>
      <c r="BJ16" s="44"/>
      <c r="BL16" s="44"/>
      <c r="BN16" s="45"/>
      <c r="BQ16" s="44"/>
      <c r="BS16" s="44"/>
      <c r="BU16" s="45"/>
      <c r="BY16" s="44"/>
      <c r="CA16" s="44"/>
      <c r="CC16" s="45"/>
      <c r="CF16" s="44"/>
      <c r="CH16" s="44"/>
      <c r="CJ16" s="45"/>
      <c r="CN16" s="44"/>
      <c r="CP16" s="44"/>
      <c r="CR16" s="45"/>
      <c r="CU16" s="44"/>
      <c r="CW16" s="44"/>
      <c r="CY16" s="45"/>
      <c r="DC16" s="44"/>
      <c r="DE16" s="44"/>
      <c r="DG16" s="45"/>
      <c r="DJ16" s="44"/>
      <c r="DL16" s="44"/>
      <c r="DN16" s="45"/>
      <c r="DR16" s="44"/>
      <c r="DT16" s="44"/>
      <c r="DV16" s="45"/>
      <c r="DY16" s="44"/>
      <c r="EA16" s="44"/>
      <c r="EC16" s="45"/>
      <c r="EG16" s="44"/>
      <c r="EI16" s="44"/>
      <c r="EK16" s="45"/>
      <c r="EN16" s="44"/>
      <c r="EP16" s="44"/>
      <c r="ER16" s="45"/>
    </row>
    <row r="17" spans="1:150" s="32" customFormat="1" ht="25.8" customHeight="1">
      <c r="A17" s="31">
        <f>H9+1</f>
        <v>5</v>
      </c>
      <c r="B17" s="42" t="str">
        <f ca="1">IF(C17&lt;&gt;"",
MID(貼り付け用!$A$2, FIND("年",貼り付け用!$A$2)+1,2)&amp;"/"&amp;MID(貼り付け用!$A$2, FIND("月",貼り付け用!$A$2)+1,2),"")</f>
        <v/>
      </c>
      <c r="C17" s="155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156"/>
      <c r="E17" s="156"/>
      <c r="F17" s="156"/>
      <c r="G17" s="41" t="str">
        <f t="array" aca="1" ref="G17" ca="1">IF(C17&lt;&gt;"",
IF(AND(INDIRECT("'盛付札（関数）'!AE"&amp;A17)&gt;=124,INDIRECT("'盛付札（関数）'!AE"&amp;A17)&lt;=144),"",
"様"),"")</f>
        <v/>
      </c>
      <c r="H17" s="35">
        <f>A17+1</f>
        <v>6</v>
      </c>
      <c r="I17" s="42" t="str">
        <f ca="1">IF(J17&lt;&gt;"",
MID(貼り付け用!$A$2, FIND("年",貼り付け用!$A$2)+1,2)&amp;"/"&amp;MID(貼り付け用!$A$2, FIND("月",貼り付け用!$A$2)+1,2),"")</f>
        <v/>
      </c>
      <c r="J17" s="155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156"/>
      <c r="L17" s="156"/>
      <c r="M17" s="156"/>
      <c r="N17" s="41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1">
        <f>W9+1</f>
        <v>17</v>
      </c>
      <c r="Q17" s="42" t="str">
        <f ca="1">IF(R17&lt;&gt;"",
MID(貼り付け用!$A$2, FIND("年",貼り付け用!$A$2)+1,2)&amp;"/"&amp;MID(貼り付け用!$A$2, FIND("月",貼り付け用!$A$2)+1,2),"")</f>
        <v/>
      </c>
      <c r="R17" s="155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156"/>
      <c r="T17" s="156"/>
      <c r="U17" s="156"/>
      <c r="V17" s="41" t="str">
        <f t="array" aca="1" ref="V17" ca="1">IF(R17&lt;&gt;"",
IF(AND(INDIRECT("'盛付札（関数）'!AE"&amp;P17)&gt;=124,INDIRECT("'盛付札（関数）'!AE"&amp;P17)&lt;=144),"",
"様"),"")</f>
        <v/>
      </c>
      <c r="W17" s="35">
        <f>P17+1</f>
        <v>18</v>
      </c>
      <c r="X17" s="42" t="str">
        <f ca="1">IF(Y17&lt;&gt;"",
MID(貼り付け用!$A$2, FIND("年",貼り付け用!$A$2)+1,2)&amp;"/"&amp;MID(貼り付け用!$A$2, FIND("月",貼り付け用!$A$2)+1,2),"")</f>
        <v/>
      </c>
      <c r="Y17" s="155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156"/>
      <c r="AA17" s="156"/>
      <c r="AB17" s="156"/>
      <c r="AC17" s="41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1">
        <f>AL9+1</f>
        <v>29</v>
      </c>
      <c r="AF17" s="42" t="str">
        <f ca="1">IF(AG17&lt;&gt;"",
MID(貼り付け用!$A$2, FIND("年",貼り付け用!$A$2)+1,2)&amp;"/"&amp;MID(貼り付け用!$A$2, FIND("月",貼り付け用!$A$2)+1,2),"")</f>
        <v/>
      </c>
      <c r="AG17" s="155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156"/>
      <c r="AI17" s="156"/>
      <c r="AJ17" s="156"/>
      <c r="AK17" s="41" t="str">
        <f t="array" aca="1" ref="AK17" ca="1">IF(AG17&lt;&gt;"",
IF(AND(INDIRECT("'盛付札（関数）'!AE"&amp;AE17)&gt;=124,INDIRECT("'盛付札（関数）'!AE"&amp;AE17)&lt;=144),"",
"様"),"")</f>
        <v/>
      </c>
      <c r="AL17" s="35">
        <f>AE17+1</f>
        <v>30</v>
      </c>
      <c r="AM17" s="42" t="str">
        <f ca="1">IF(AN17&lt;&gt;"",
MID(貼り付け用!$A$2, FIND("年",貼り付け用!$A$2)+1,2)&amp;"/"&amp;MID(貼り付け用!$A$2, FIND("月",貼り付け用!$A$2)+1,2),"")</f>
        <v/>
      </c>
      <c r="AN17" s="155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156"/>
      <c r="AP17" s="156"/>
      <c r="AQ17" s="156"/>
      <c r="AR17" s="41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1">
        <f>BA9+1</f>
        <v>41</v>
      </c>
      <c r="AU17" s="42" t="str">
        <f ca="1">IF(AV17&lt;&gt;"",
MID(貼り付け用!$A$2, FIND("年",貼り付け用!$A$2)+1,2)&amp;"/"&amp;MID(貼り付け用!$A$2, FIND("月",貼り付け用!$A$2)+1,2),"")</f>
        <v/>
      </c>
      <c r="AV17" s="155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156"/>
      <c r="AX17" s="156"/>
      <c r="AY17" s="156"/>
      <c r="AZ17" s="41" t="str">
        <f t="array" aca="1" ref="AZ17" ca="1">IF(AV17&lt;&gt;"",
IF(AND(INDIRECT("'盛付札（関数）'!AE"&amp;AT17)&gt;=124,INDIRECT("'盛付札（関数）'!AE"&amp;AT17)&lt;=144),"",
"様"),"")</f>
        <v/>
      </c>
      <c r="BA17" s="35">
        <f>AT17+1</f>
        <v>42</v>
      </c>
      <c r="BB17" s="42" t="str">
        <f ca="1">IF(BC17&lt;&gt;"",
MID(貼り付け用!$A$2, FIND("年",貼り付け用!$A$2)+1,2)&amp;"/"&amp;MID(貼り付け用!$A$2, FIND("月",貼り付け用!$A$2)+1,2),"")</f>
        <v/>
      </c>
      <c r="BC17" s="155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156"/>
      <c r="BE17" s="156"/>
      <c r="BF17" s="156"/>
      <c r="BG17" s="41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1">
        <f>BP9+1</f>
        <v>53</v>
      </c>
      <c r="BJ17" s="42" t="str">
        <f ca="1">IF(BK17&lt;&gt;"",
MID(貼り付け用!$A$2, FIND("年",貼り付け用!$A$2)+1,2)&amp;"/"&amp;MID(貼り付け用!$A$2, FIND("月",貼り付け用!$A$2)+1,2),"")</f>
        <v/>
      </c>
      <c r="BK17" s="155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156"/>
      <c r="BM17" s="156"/>
      <c r="BN17" s="156"/>
      <c r="BO17" s="41" t="str">
        <f t="array" aca="1" ref="BO17" ca="1">IF(BK17&lt;&gt;"",
IF(AND(INDIRECT("'盛付札（関数）'!AE"&amp;BI17)&gt;=124,INDIRECT("'盛付札（関数）'!AE"&amp;BI17)&lt;=144),"",
"様"),"")</f>
        <v/>
      </c>
      <c r="BP17" s="35">
        <f>BI17+1</f>
        <v>54</v>
      </c>
      <c r="BQ17" s="42" t="str">
        <f ca="1">IF(BR17&lt;&gt;"",
MID(貼り付け用!$A$2, FIND("年",貼り付け用!$A$2)+1,2)&amp;"/"&amp;MID(貼り付け用!$A$2, FIND("月",貼り付け用!$A$2)+1,2),"")</f>
        <v/>
      </c>
      <c r="BR17" s="155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156"/>
      <c r="BT17" s="156"/>
      <c r="BU17" s="156"/>
      <c r="BV17" s="41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1">
        <f>CE9+1</f>
        <v>65</v>
      </c>
      <c r="BY17" s="42" t="str">
        <f ca="1">IF(BZ17&lt;&gt;"",
MID(貼り付け用!$A$2, FIND("年",貼り付け用!$A$2)+1,2)&amp;"/"&amp;MID(貼り付け用!$A$2, FIND("月",貼り付け用!$A$2)+1,2),"")</f>
        <v/>
      </c>
      <c r="BZ17" s="155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156"/>
      <c r="CB17" s="156"/>
      <c r="CC17" s="156"/>
      <c r="CD17" s="41" t="str">
        <f t="array" aca="1" ref="CD17" ca="1">IF(BZ17&lt;&gt;"",
IF(AND(INDIRECT("'盛付札（関数）'!AE"&amp;BX17)&gt;=124,INDIRECT("'盛付札（関数）'!AE"&amp;BX17)&lt;=144),"",
"様"),"")</f>
        <v/>
      </c>
      <c r="CE17" s="35">
        <f>BX17+1</f>
        <v>66</v>
      </c>
      <c r="CF17" s="42" t="str">
        <f ca="1">IF(CG17&lt;&gt;"",
MID(貼り付け用!$A$2, FIND("年",貼り付け用!$A$2)+1,2)&amp;"/"&amp;MID(貼り付け用!$A$2, FIND("月",貼り付け用!$A$2)+1,2),"")</f>
        <v/>
      </c>
      <c r="CG17" s="155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156"/>
      <c r="CI17" s="156"/>
      <c r="CJ17" s="156"/>
      <c r="CK17" s="41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1">
        <f>CT9+1</f>
        <v>77</v>
      </c>
      <c r="CN17" s="42" t="str">
        <f ca="1">IF(CO17&lt;&gt;"",
MID(貼り付け用!$A$2, FIND("年",貼り付け用!$A$2)+1,2)&amp;"/"&amp;MID(貼り付け用!$A$2, FIND("月",貼り付け用!$A$2)+1,2),"")</f>
        <v/>
      </c>
      <c r="CO17" s="155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156"/>
      <c r="CQ17" s="156"/>
      <c r="CR17" s="156"/>
      <c r="CS17" s="41" t="str">
        <f t="array" aca="1" ref="CS17" ca="1">IF(CO17&lt;&gt;"",
IF(AND(INDIRECT("'盛付札（関数）'!AE"&amp;CM17)&gt;=124,INDIRECT("'盛付札（関数）'!AE"&amp;CM17)&lt;=144),"",
"様"),"")</f>
        <v/>
      </c>
      <c r="CT17" s="35">
        <f>CM17+1</f>
        <v>78</v>
      </c>
      <c r="CU17" s="42" t="str">
        <f ca="1">IF(CV17&lt;&gt;"",
MID(貼り付け用!$A$2, FIND("年",貼り付け用!$A$2)+1,2)&amp;"/"&amp;MID(貼り付け用!$A$2, FIND("月",貼り付け用!$A$2)+1,2),"")</f>
        <v/>
      </c>
      <c r="CV17" s="155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156"/>
      <c r="CX17" s="156"/>
      <c r="CY17" s="156"/>
      <c r="CZ17" s="41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1">
        <f>DI9+1</f>
        <v>89</v>
      </c>
      <c r="DC17" s="42" t="str">
        <f ca="1">IF(DD17&lt;&gt;"",
MID(貼り付け用!$A$2, FIND("年",貼り付け用!$A$2)+1,2)&amp;"/"&amp;MID(貼り付け用!$A$2, FIND("月",貼り付け用!$A$2)+1,2),"")</f>
        <v/>
      </c>
      <c r="DD17" s="155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156"/>
      <c r="DF17" s="156"/>
      <c r="DG17" s="156"/>
      <c r="DH17" s="41" t="str">
        <f t="array" aca="1" ref="DH17" ca="1">IF(DD17&lt;&gt;"",
IF(AND(INDIRECT("'盛付札（関数）'!AE"&amp;DB17)&gt;=124,INDIRECT("'盛付札（関数）'!AE"&amp;DB17)&lt;=144),"",
"様"),"")</f>
        <v/>
      </c>
      <c r="DI17" s="35">
        <f>DB17+1</f>
        <v>90</v>
      </c>
      <c r="DJ17" s="42" t="str">
        <f ca="1">IF(DK17&lt;&gt;"",
MID(貼り付け用!$A$2, FIND("年",貼り付け用!$A$2)+1,2)&amp;"/"&amp;MID(貼り付け用!$A$2, FIND("月",貼り付け用!$A$2)+1,2),"")</f>
        <v/>
      </c>
      <c r="DK17" s="155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156"/>
      <c r="DM17" s="156"/>
      <c r="DN17" s="156"/>
      <c r="DO17" s="41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1">
        <f>DX9+1</f>
        <v>101</v>
      </c>
      <c r="DR17" s="42" t="str">
        <f ca="1">IF(DS17&lt;&gt;"",
MID(貼り付け用!$A$2, FIND("年",貼り付け用!$A$2)+1,2)&amp;"/"&amp;MID(貼り付け用!$A$2, FIND("月",貼り付け用!$A$2)+1,2),"")</f>
        <v/>
      </c>
      <c r="DS17" s="155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156"/>
      <c r="DU17" s="156"/>
      <c r="DV17" s="156"/>
      <c r="DW17" s="41" t="str">
        <f t="array" aca="1" ref="DW17" ca="1">IF(DS17&lt;&gt;"",
IF(AND(INDIRECT("'盛付札（関数）'!AE"&amp;DQ17)&gt;=124,INDIRECT("'盛付札（関数）'!AE"&amp;DQ17)&lt;=144),"",
"様"),"")</f>
        <v/>
      </c>
      <c r="DX17" s="35">
        <f>DQ17+1</f>
        <v>102</v>
      </c>
      <c r="DY17" s="42" t="str">
        <f ca="1">IF(DZ17&lt;&gt;"",
MID(貼り付け用!$A$2, FIND("年",貼り付け用!$A$2)+1,2)&amp;"/"&amp;MID(貼り付け用!$A$2, FIND("月",貼り付け用!$A$2)+1,2),"")</f>
        <v/>
      </c>
      <c r="DZ17" s="155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156"/>
      <c r="EB17" s="156"/>
      <c r="EC17" s="156"/>
      <c r="ED17" s="41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1">
        <f>EM9+1</f>
        <v>113</v>
      </c>
      <c r="EG17" s="42" t="str">
        <f ca="1">IF(EH17&lt;&gt;"",
MID(貼り付け用!$A$2, FIND("年",貼り付け用!$A$2)+1,2)&amp;"/"&amp;MID(貼り付け用!$A$2, FIND("月",貼り付け用!$A$2)+1,2),"")</f>
        <v/>
      </c>
      <c r="EH17" s="155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156"/>
      <c r="EJ17" s="156"/>
      <c r="EK17" s="156"/>
      <c r="EL17" s="41" t="str">
        <f t="array" aca="1" ref="EL17" ca="1">IF(EH17&lt;&gt;"",
IF(AND(INDIRECT("'盛付札（関数）'!AE"&amp;EF17)&gt;=124,INDIRECT("'盛付札（関数）'!AE"&amp;EF17)&lt;=144),"",
"様"),"")</f>
        <v/>
      </c>
      <c r="EM17" s="35">
        <f>EF17+1</f>
        <v>114</v>
      </c>
      <c r="EN17" s="42" t="str">
        <f ca="1">IF(EO17&lt;&gt;"",
MID(貼り付け用!$A$2, FIND("年",貼り付け用!$A$2)+1,2)&amp;"/"&amp;MID(貼り付け用!$A$2, FIND("月",貼り付け用!$A$2)+1,2),"")</f>
        <v/>
      </c>
      <c r="EO17" s="155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156"/>
      <c r="EQ17" s="156"/>
      <c r="ER17" s="156"/>
      <c r="ES17" s="41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32" customFormat="1">
      <c r="A18" s="31"/>
      <c r="B18" s="109"/>
      <c r="C18" s="170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INDIRECT("'盛付札（関数）'!AG"&amp;A17))),"")</f>
        <v/>
      </c>
      <c r="D18" s="40"/>
      <c r="E18" s="40"/>
      <c r="F18" s="46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8"/>
      <c r="H18" s="47"/>
      <c r="I18" s="109"/>
      <c r="J18" s="170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INDIRECT("'盛付札（関数）'!AG"&amp;H17))),"")</f>
        <v/>
      </c>
      <c r="K18" s="40"/>
      <c r="L18" s="40"/>
      <c r="M18" s="46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8"/>
      <c r="O18" s="22"/>
      <c r="P18" s="31"/>
      <c r="Q18" s="109"/>
      <c r="R18" s="170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INDIRECT("'盛付札（関数）'!AG"&amp;P17))),"")</f>
        <v/>
      </c>
      <c r="S18" s="40"/>
      <c r="T18" s="40"/>
      <c r="U18" s="46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8"/>
      <c r="W18" s="47"/>
      <c r="X18" s="109"/>
      <c r="Y18" s="170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INDIRECT("'盛付札（関数）'!AG"&amp;W17))),"")</f>
        <v/>
      </c>
      <c r="Z18" s="40"/>
      <c r="AA18" s="40"/>
      <c r="AB18" s="46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8"/>
      <c r="AD18" s="22"/>
      <c r="AE18" s="31"/>
      <c r="AF18" s="109"/>
      <c r="AG18" s="170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INDIRECT("'盛付札（関数）'!AG"&amp;AE17))),"")</f>
        <v/>
      </c>
      <c r="AH18" s="40"/>
      <c r="AI18" s="40"/>
      <c r="AJ18" s="46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8"/>
      <c r="AL18" s="47"/>
      <c r="AM18" s="109"/>
      <c r="AN18" s="170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INDIRECT("'盛付札（関数）'!AG"&amp;AL17))),"")</f>
        <v/>
      </c>
      <c r="AO18" s="40"/>
      <c r="AP18" s="40"/>
      <c r="AQ18" s="46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8"/>
      <c r="AS18" s="22"/>
      <c r="AT18" s="31"/>
      <c r="AU18" s="109"/>
      <c r="AV18" s="170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INDIRECT("'盛付札（関数）'!AG"&amp;AT17))),"")</f>
        <v/>
      </c>
      <c r="AW18" s="40"/>
      <c r="AX18" s="40"/>
      <c r="AY18" s="46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8"/>
      <c r="BA18" s="47"/>
      <c r="BB18" s="109"/>
      <c r="BC18" s="170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INDIRECT("'盛付札（関数）'!AG"&amp;BA17))),"")</f>
        <v/>
      </c>
      <c r="BD18" s="40"/>
      <c r="BE18" s="40"/>
      <c r="BF18" s="46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8"/>
      <c r="BH18" s="22"/>
      <c r="BI18" s="31"/>
      <c r="BJ18" s="109"/>
      <c r="BK18" s="170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INDIRECT("'盛付札（関数）'!AG"&amp;BI17))),"")</f>
        <v/>
      </c>
      <c r="BL18" s="40"/>
      <c r="BM18" s="40"/>
      <c r="BN18" s="46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8"/>
      <c r="BP18" s="47"/>
      <c r="BQ18" s="109"/>
      <c r="BR18" s="170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INDIRECT("'盛付札（関数）'!AG"&amp;BP17))),"")</f>
        <v/>
      </c>
      <c r="BS18" s="40"/>
      <c r="BT18" s="40"/>
      <c r="BU18" s="46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8"/>
      <c r="BW18" s="22"/>
      <c r="BX18" s="31"/>
      <c r="BY18" s="109"/>
      <c r="BZ18" s="170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INDIRECT("'盛付札（関数）'!AG"&amp;BX17))),"")</f>
        <v/>
      </c>
      <c r="CA18" s="40"/>
      <c r="CB18" s="40"/>
      <c r="CC18" s="46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8"/>
      <c r="CE18" s="47"/>
      <c r="CF18" s="109"/>
      <c r="CG18" s="170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INDIRECT("'盛付札（関数）'!AG"&amp;CE17))),"")</f>
        <v/>
      </c>
      <c r="CH18" s="40"/>
      <c r="CI18" s="40"/>
      <c r="CJ18" s="46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8"/>
      <c r="CL18" s="22"/>
      <c r="CM18" s="31"/>
      <c r="CN18" s="109"/>
      <c r="CO18" s="170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INDIRECT("'盛付札（関数）'!AG"&amp;CM17))),"")</f>
        <v/>
      </c>
      <c r="CP18" s="40"/>
      <c r="CQ18" s="40"/>
      <c r="CR18" s="46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8"/>
      <c r="CT18" s="47"/>
      <c r="CU18" s="109"/>
      <c r="CV18" s="170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INDIRECT("'盛付札（関数）'!AG"&amp;CT17))),"")</f>
        <v/>
      </c>
      <c r="CW18" s="40"/>
      <c r="CX18" s="40"/>
      <c r="CY18" s="46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8"/>
      <c r="DA18" s="22"/>
      <c r="DB18" s="31"/>
      <c r="DC18" s="109"/>
      <c r="DD18" s="170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INDIRECT("'盛付札（関数）'!AG"&amp;DB17))),"")</f>
        <v/>
      </c>
      <c r="DE18" s="40"/>
      <c r="DF18" s="40"/>
      <c r="DG18" s="46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8"/>
      <c r="DI18" s="47"/>
      <c r="DJ18" s="109"/>
      <c r="DK18" s="170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INDIRECT("'盛付札（関数）'!AG"&amp;DI17))),"")</f>
        <v/>
      </c>
      <c r="DL18" s="40"/>
      <c r="DM18" s="40"/>
      <c r="DN18" s="46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8"/>
      <c r="DP18" s="22"/>
      <c r="DQ18" s="31"/>
      <c r="DR18" s="109"/>
      <c r="DS18" s="170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INDIRECT("'盛付札（関数）'!AG"&amp;DQ17))),"")</f>
        <v/>
      </c>
      <c r="DT18" s="40"/>
      <c r="DU18" s="40"/>
      <c r="DV18" s="46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8"/>
      <c r="DX18" s="47"/>
      <c r="DY18" s="109"/>
      <c r="DZ18" s="170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INDIRECT("'盛付札（関数）'!AG"&amp;DX17))),"")</f>
        <v/>
      </c>
      <c r="EA18" s="40"/>
      <c r="EB18" s="40"/>
      <c r="EC18" s="46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8"/>
      <c r="EE18" s="22"/>
      <c r="EF18" s="31"/>
      <c r="EG18" s="109"/>
      <c r="EH18" s="170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INDIRECT("'盛付札（関数）'!AG"&amp;EF17))),"")</f>
        <v/>
      </c>
      <c r="EI18" s="40"/>
      <c r="EJ18" s="40"/>
      <c r="EK18" s="46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8"/>
      <c r="EM18" s="47"/>
      <c r="EN18" s="109"/>
      <c r="EO18" s="170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INDIRECT("'盛付札（関数）'!AG"&amp;EM17))),"")</f>
        <v/>
      </c>
      <c r="EP18" s="40"/>
      <c r="EQ18" s="40"/>
      <c r="ER18" s="46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8"/>
      <c r="ET18" s="22"/>
    </row>
    <row r="19" spans="1:150" s="32" customFormat="1">
      <c r="A19" s="31"/>
      <c r="B19" s="33"/>
      <c r="C19" s="153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154"/>
      <c r="E19" s="22"/>
      <c r="F19" s="168" t="str" cm="1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9"/>
      <c r="H19" s="35"/>
      <c r="I19" s="33"/>
      <c r="J19" s="153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154"/>
      <c r="L19" s="22"/>
      <c r="M19" s="168" t="str" cm="1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9"/>
      <c r="O19" s="22"/>
      <c r="P19" s="31"/>
      <c r="Q19" s="33"/>
      <c r="R19" s="153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154"/>
      <c r="T19" s="22"/>
      <c r="U19" s="168" t="str" cm="1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9"/>
      <c r="W19" s="35"/>
      <c r="X19" s="33"/>
      <c r="Y19" s="153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154"/>
      <c r="AA19" s="22"/>
      <c r="AB19" s="168" t="str" cm="1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9"/>
      <c r="AD19" s="22"/>
      <c r="AE19" s="31"/>
      <c r="AF19" s="33"/>
      <c r="AG19" s="153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154"/>
      <c r="AI19" s="22"/>
      <c r="AJ19" s="168" t="str" cm="1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9"/>
      <c r="AL19" s="35"/>
      <c r="AM19" s="33"/>
      <c r="AN19" s="153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154"/>
      <c r="AP19" s="22"/>
      <c r="AQ19" s="168" t="str" cm="1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9"/>
      <c r="AS19" s="22"/>
      <c r="AT19" s="31"/>
      <c r="AU19" s="33"/>
      <c r="AV19" s="153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154"/>
      <c r="AX19" s="22"/>
      <c r="AY19" s="168" t="str" cm="1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9"/>
      <c r="BA19" s="35"/>
      <c r="BB19" s="33"/>
      <c r="BC19" s="153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154"/>
      <c r="BE19" s="22"/>
      <c r="BF19" s="168" t="str" cm="1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9"/>
      <c r="BH19" s="22"/>
      <c r="BI19" s="31"/>
      <c r="BJ19" s="33"/>
      <c r="BK19" s="153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154"/>
      <c r="BM19" s="22"/>
      <c r="BN19" s="168" t="str" cm="1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9"/>
      <c r="BP19" s="35"/>
      <c r="BQ19" s="33"/>
      <c r="BR19" s="153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154"/>
      <c r="BT19" s="22"/>
      <c r="BU19" s="168" t="str" cm="1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9"/>
      <c r="BW19" s="22"/>
      <c r="BX19" s="31"/>
      <c r="BY19" s="33"/>
      <c r="BZ19" s="153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154"/>
      <c r="CB19" s="22"/>
      <c r="CC19" s="168" t="str" cm="1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9"/>
      <c r="CE19" s="35"/>
      <c r="CF19" s="33"/>
      <c r="CG19" s="153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154"/>
      <c r="CI19" s="22"/>
      <c r="CJ19" s="168" t="str" cm="1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9"/>
      <c r="CL19" s="22"/>
      <c r="CM19" s="31"/>
      <c r="CN19" s="33"/>
      <c r="CO19" s="153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154"/>
      <c r="CQ19" s="22"/>
      <c r="CR19" s="168" t="str" cm="1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9"/>
      <c r="CT19" s="35"/>
      <c r="CU19" s="33"/>
      <c r="CV19" s="153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154"/>
      <c r="CX19" s="22"/>
      <c r="CY19" s="168" t="str" cm="1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9"/>
      <c r="DA19" s="22"/>
      <c r="DB19" s="31"/>
      <c r="DC19" s="33"/>
      <c r="DD19" s="153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154"/>
      <c r="DF19" s="22"/>
      <c r="DG19" s="168" t="str" cm="1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9"/>
      <c r="DI19" s="35"/>
      <c r="DJ19" s="33"/>
      <c r="DK19" s="153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154"/>
      <c r="DM19" s="22"/>
      <c r="DN19" s="168" t="str" cm="1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9"/>
      <c r="DP19" s="22"/>
      <c r="DQ19" s="31"/>
      <c r="DR19" s="33"/>
      <c r="DS19" s="153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154"/>
      <c r="DU19" s="22"/>
      <c r="DV19" s="168" t="str" cm="1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9"/>
      <c r="DX19" s="35"/>
      <c r="DY19" s="33"/>
      <c r="DZ19" s="153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154"/>
      <c r="EB19" s="22"/>
      <c r="EC19" s="168" t="str" cm="1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9"/>
      <c r="EE19" s="22"/>
      <c r="EF19" s="31"/>
      <c r="EG19" s="33"/>
      <c r="EH19" s="153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154"/>
      <c r="EJ19" s="22"/>
      <c r="EK19" s="168" t="str" cm="1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9"/>
      <c r="EM19" s="35"/>
      <c r="EN19" s="33"/>
      <c r="EO19" s="153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154"/>
      <c r="EQ19" s="22"/>
      <c r="ER19" s="168" t="str" cm="1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9"/>
      <c r="ET19" s="22"/>
    </row>
    <row r="20" spans="1:150" ht="15.6" customHeight="1">
      <c r="B20" s="25"/>
      <c r="C20" s="151" t="str">
        <f t="array" aca="1" ref="C20" ca="1">IF(C17&lt;&gt;"",INDIRECT("'盛付札（関数）'!AJ"&amp;A17),"")</f>
        <v/>
      </c>
      <c r="D20" s="152"/>
      <c r="E20" s="48"/>
      <c r="F20" s="147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148"/>
      <c r="H20" s="26"/>
      <c r="I20" s="25"/>
      <c r="J20" s="151" t="str">
        <f t="array" aca="1" ref="J20" ca="1">IF(J17&lt;&gt;"",INDIRECT("'盛付札（関数）'!AJ"&amp;H17),"")</f>
        <v/>
      </c>
      <c r="K20" s="152"/>
      <c r="L20" s="48"/>
      <c r="M20" s="147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148"/>
      <c r="Q20" s="25"/>
      <c r="R20" s="151" t="str">
        <f t="array" aca="1" ref="R20" ca="1">IF(R17&lt;&gt;"",INDIRECT("'盛付札（関数）'!AJ"&amp;P17),"")</f>
        <v/>
      </c>
      <c r="S20" s="152"/>
      <c r="T20" s="48"/>
      <c r="U20" s="147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148"/>
      <c r="W20" s="26"/>
      <c r="X20" s="25"/>
      <c r="Y20" s="151" t="str">
        <f t="array" aca="1" ref="Y20" ca="1">IF(Y17&lt;&gt;"",INDIRECT("'盛付札（関数）'!AJ"&amp;W17),"")</f>
        <v/>
      </c>
      <c r="Z20" s="152"/>
      <c r="AA20" s="48"/>
      <c r="AB20" s="147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148"/>
      <c r="AF20" s="25"/>
      <c r="AG20" s="151" t="str">
        <f t="array" aca="1" ref="AG20" ca="1">IF(AG17&lt;&gt;"",INDIRECT("'盛付札（関数）'!AJ"&amp;AE17),"")</f>
        <v/>
      </c>
      <c r="AH20" s="152"/>
      <c r="AI20" s="48"/>
      <c r="AJ20" s="147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148"/>
      <c r="AL20" s="26"/>
      <c r="AM20" s="25"/>
      <c r="AN20" s="151" t="str">
        <f t="array" aca="1" ref="AN20" ca="1">IF(AN17&lt;&gt;"",INDIRECT("'盛付札（関数）'!AJ"&amp;AL17),"")</f>
        <v/>
      </c>
      <c r="AO20" s="152"/>
      <c r="AP20" s="48"/>
      <c r="AQ20" s="147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148"/>
      <c r="AU20" s="25"/>
      <c r="AV20" s="151" t="str">
        <f t="array" aca="1" ref="AV20" ca="1">IF(AV17&lt;&gt;"",INDIRECT("'盛付札（関数）'!AJ"&amp;AT17),"")</f>
        <v/>
      </c>
      <c r="AW20" s="152"/>
      <c r="AX20" s="48"/>
      <c r="AY20" s="147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148"/>
      <c r="BA20" s="26"/>
      <c r="BB20" s="25"/>
      <c r="BC20" s="151" t="str">
        <f t="array" aca="1" ref="BC20" ca="1">IF(BC17&lt;&gt;"",INDIRECT("'盛付札（関数）'!AJ"&amp;BA17),"")</f>
        <v/>
      </c>
      <c r="BD20" s="152"/>
      <c r="BE20" s="48"/>
      <c r="BF20" s="147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148"/>
      <c r="BJ20" s="25"/>
      <c r="BK20" s="151" t="str">
        <f t="array" aca="1" ref="BK20" ca="1">IF(BK17&lt;&gt;"",INDIRECT("'盛付札（関数）'!AJ"&amp;BI17),"")</f>
        <v/>
      </c>
      <c r="BL20" s="152"/>
      <c r="BM20" s="48"/>
      <c r="BN20" s="147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148"/>
      <c r="BP20" s="26"/>
      <c r="BQ20" s="25"/>
      <c r="BR20" s="151" t="str">
        <f t="array" aca="1" ref="BR20" ca="1">IF(BR17&lt;&gt;"",INDIRECT("'盛付札（関数）'!AJ"&amp;BP17),"")</f>
        <v/>
      </c>
      <c r="BS20" s="152"/>
      <c r="BT20" s="48"/>
      <c r="BU20" s="147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148"/>
      <c r="BY20" s="25"/>
      <c r="BZ20" s="151" t="str">
        <f t="array" aca="1" ref="BZ20" ca="1">IF(BZ17&lt;&gt;"",INDIRECT("'盛付札（関数）'!AJ"&amp;BX17),"")</f>
        <v/>
      </c>
      <c r="CA20" s="152"/>
      <c r="CB20" s="48"/>
      <c r="CC20" s="147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148"/>
      <c r="CE20" s="26"/>
      <c r="CF20" s="25"/>
      <c r="CG20" s="151" t="str">
        <f t="array" aca="1" ref="CG20" ca="1">IF(CG17&lt;&gt;"",INDIRECT("'盛付札（関数）'!AJ"&amp;CE17),"")</f>
        <v/>
      </c>
      <c r="CH20" s="152"/>
      <c r="CI20" s="48"/>
      <c r="CJ20" s="147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148"/>
      <c r="CN20" s="25"/>
      <c r="CO20" s="151" t="str">
        <f t="array" aca="1" ref="CO20" ca="1">IF(CO17&lt;&gt;"",INDIRECT("'盛付札（関数）'!AJ"&amp;CM17),"")</f>
        <v/>
      </c>
      <c r="CP20" s="152"/>
      <c r="CQ20" s="48"/>
      <c r="CR20" s="147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148"/>
      <c r="CT20" s="26"/>
      <c r="CU20" s="25"/>
      <c r="CV20" s="151" t="str">
        <f t="array" aca="1" ref="CV20" ca="1">IF(CV17&lt;&gt;"",INDIRECT("'盛付札（関数）'!AJ"&amp;CT17),"")</f>
        <v/>
      </c>
      <c r="CW20" s="152"/>
      <c r="CX20" s="48"/>
      <c r="CY20" s="147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148"/>
      <c r="DC20" s="25"/>
      <c r="DD20" s="151" t="str">
        <f t="array" aca="1" ref="DD20" ca="1">IF(DD17&lt;&gt;"",INDIRECT("'盛付札（関数）'!AJ"&amp;DB17),"")</f>
        <v/>
      </c>
      <c r="DE20" s="152"/>
      <c r="DF20" s="48"/>
      <c r="DG20" s="147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148"/>
      <c r="DI20" s="26"/>
      <c r="DJ20" s="25"/>
      <c r="DK20" s="151" t="str">
        <f t="array" aca="1" ref="DK20" ca="1">IF(DK17&lt;&gt;"",INDIRECT("'盛付札（関数）'!AJ"&amp;DI17),"")</f>
        <v/>
      </c>
      <c r="DL20" s="152"/>
      <c r="DM20" s="48"/>
      <c r="DN20" s="147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148"/>
      <c r="DR20" s="25"/>
      <c r="DS20" s="151" t="str">
        <f t="array" aca="1" ref="DS20" ca="1">IF(DS17&lt;&gt;"",INDIRECT("'盛付札（関数）'!AJ"&amp;DQ17),"")</f>
        <v/>
      </c>
      <c r="DT20" s="152"/>
      <c r="DU20" s="48"/>
      <c r="DV20" s="147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148"/>
      <c r="DX20" s="26"/>
      <c r="DY20" s="25"/>
      <c r="DZ20" s="151" t="str">
        <f t="array" aca="1" ref="DZ20" ca="1">IF(DZ17&lt;&gt;"",INDIRECT("'盛付札（関数）'!AJ"&amp;DX17),"")</f>
        <v/>
      </c>
      <c r="EA20" s="152"/>
      <c r="EB20" s="48"/>
      <c r="EC20" s="147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148"/>
      <c r="EG20" s="25"/>
      <c r="EH20" s="151" t="str">
        <f t="array" aca="1" ref="EH20" ca="1">IF(EH17&lt;&gt;"",INDIRECT("'盛付札（関数）'!AJ"&amp;EF17),"")</f>
        <v/>
      </c>
      <c r="EI20" s="152"/>
      <c r="EJ20" s="48"/>
      <c r="EK20" s="147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148"/>
      <c r="EM20" s="26"/>
      <c r="EN20" s="25"/>
      <c r="EO20" s="151" t="str">
        <f t="array" aca="1" ref="EO20" ca="1">IF(EO17&lt;&gt;"",INDIRECT("'盛付札（関数）'!AJ"&amp;EM17),"")</f>
        <v/>
      </c>
      <c r="EP20" s="152"/>
      <c r="EQ20" s="48"/>
      <c r="ER20" s="147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148"/>
    </row>
    <row r="21" spans="1:150" ht="15.6" customHeight="1">
      <c r="B21" s="27"/>
      <c r="C21" s="149"/>
      <c r="D21" s="149"/>
      <c r="E21" s="43"/>
      <c r="F21" s="149"/>
      <c r="G21" s="150"/>
      <c r="H21" s="26"/>
      <c r="I21" s="27"/>
      <c r="J21" s="149"/>
      <c r="K21" s="149"/>
      <c r="L21" s="43"/>
      <c r="M21" s="149"/>
      <c r="N21" s="150"/>
      <c r="Q21" s="27"/>
      <c r="R21" s="149"/>
      <c r="S21" s="149"/>
      <c r="T21" s="43"/>
      <c r="U21" s="149"/>
      <c r="V21" s="150"/>
      <c r="W21" s="26"/>
      <c r="X21" s="27"/>
      <c r="Y21" s="149"/>
      <c r="Z21" s="149"/>
      <c r="AA21" s="43"/>
      <c r="AB21" s="149"/>
      <c r="AC21" s="150"/>
      <c r="AF21" s="27"/>
      <c r="AG21" s="149"/>
      <c r="AH21" s="149"/>
      <c r="AI21" s="43"/>
      <c r="AJ21" s="149"/>
      <c r="AK21" s="150"/>
      <c r="AL21" s="26"/>
      <c r="AM21" s="27"/>
      <c r="AN21" s="149"/>
      <c r="AO21" s="149"/>
      <c r="AP21" s="43"/>
      <c r="AQ21" s="149"/>
      <c r="AR21" s="150"/>
      <c r="AU21" s="27"/>
      <c r="AV21" s="149"/>
      <c r="AW21" s="149"/>
      <c r="AX21" s="43"/>
      <c r="AY21" s="149"/>
      <c r="AZ21" s="150"/>
      <c r="BA21" s="26"/>
      <c r="BB21" s="27"/>
      <c r="BC21" s="149"/>
      <c r="BD21" s="149"/>
      <c r="BE21" s="43"/>
      <c r="BF21" s="149"/>
      <c r="BG21" s="150"/>
      <c r="BJ21" s="27"/>
      <c r="BK21" s="149"/>
      <c r="BL21" s="149"/>
      <c r="BM21" s="43"/>
      <c r="BN21" s="149"/>
      <c r="BO21" s="150"/>
      <c r="BP21" s="26"/>
      <c r="BQ21" s="27"/>
      <c r="BR21" s="149"/>
      <c r="BS21" s="149"/>
      <c r="BT21" s="43"/>
      <c r="BU21" s="149"/>
      <c r="BV21" s="150"/>
      <c r="BY21" s="27"/>
      <c r="BZ21" s="149"/>
      <c r="CA21" s="149"/>
      <c r="CB21" s="43"/>
      <c r="CC21" s="149"/>
      <c r="CD21" s="150"/>
      <c r="CE21" s="26"/>
      <c r="CF21" s="27"/>
      <c r="CG21" s="149"/>
      <c r="CH21" s="149"/>
      <c r="CI21" s="43"/>
      <c r="CJ21" s="149"/>
      <c r="CK21" s="150"/>
      <c r="CN21" s="27"/>
      <c r="CO21" s="149"/>
      <c r="CP21" s="149"/>
      <c r="CQ21" s="43"/>
      <c r="CR21" s="149"/>
      <c r="CS21" s="150"/>
      <c r="CT21" s="26"/>
      <c r="CU21" s="27"/>
      <c r="CV21" s="149"/>
      <c r="CW21" s="149"/>
      <c r="CX21" s="43"/>
      <c r="CY21" s="149"/>
      <c r="CZ21" s="150"/>
      <c r="DC21" s="27"/>
      <c r="DD21" s="149"/>
      <c r="DE21" s="149"/>
      <c r="DF21" s="43"/>
      <c r="DG21" s="149"/>
      <c r="DH21" s="150"/>
      <c r="DI21" s="26"/>
      <c r="DJ21" s="27"/>
      <c r="DK21" s="149"/>
      <c r="DL21" s="149"/>
      <c r="DM21" s="43"/>
      <c r="DN21" s="149"/>
      <c r="DO21" s="150"/>
      <c r="DR21" s="27"/>
      <c r="DS21" s="149"/>
      <c r="DT21" s="149"/>
      <c r="DU21" s="43"/>
      <c r="DV21" s="149"/>
      <c r="DW21" s="150"/>
      <c r="DX21" s="26"/>
      <c r="DY21" s="27"/>
      <c r="DZ21" s="149"/>
      <c r="EA21" s="149"/>
      <c r="EB21" s="43"/>
      <c r="EC21" s="149"/>
      <c r="ED21" s="150"/>
      <c r="EG21" s="27"/>
      <c r="EH21" s="149"/>
      <c r="EI21" s="149"/>
      <c r="EJ21" s="43"/>
      <c r="EK21" s="149"/>
      <c r="EL21" s="150"/>
      <c r="EM21" s="26"/>
      <c r="EN21" s="27"/>
      <c r="EO21" s="149"/>
      <c r="EP21" s="149"/>
      <c r="EQ21" s="43"/>
      <c r="ER21" s="149"/>
      <c r="ES21" s="150"/>
    </row>
    <row r="22" spans="1:150" s="32" customFormat="1">
      <c r="A22" s="31"/>
      <c r="B22" s="36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4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6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4"/>
      <c r="F22" s="36" t="str">
        <f t="array" aca="1" ref="F22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"アレルギー")),"")</f>
        <v/>
      </c>
      <c r="G22" s="39"/>
      <c r="H22" s="22"/>
      <c r="I22" s="36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4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6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4"/>
      <c r="M22" s="36" t="str">
        <f t="array" aca="1" ref="M22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"アレルギー")),"")</f>
        <v/>
      </c>
      <c r="N22" s="39"/>
      <c r="O22" s="22"/>
      <c r="P22" s="31"/>
      <c r="Q22" s="36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4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6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4"/>
      <c r="U22" s="36" t="str">
        <f t="array" aca="1" ref="U22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"アレルギー")),"")</f>
        <v/>
      </c>
      <c r="V22" s="39"/>
      <c r="W22" s="22"/>
      <c r="X22" s="36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4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6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4"/>
      <c r="AB22" s="36" t="str">
        <f t="array" aca="1" ref="AB22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"アレルギー")),"")</f>
        <v/>
      </c>
      <c r="AC22" s="39"/>
      <c r="AD22" s="22"/>
      <c r="AE22" s="31"/>
      <c r="AF22" s="36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4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6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4"/>
      <c r="AJ22" s="36" t="str">
        <f t="array" aca="1" ref="AJ22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"アレルギー")),"")</f>
        <v/>
      </c>
      <c r="AK22" s="39"/>
      <c r="AL22" s="22"/>
      <c r="AM22" s="36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4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6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4"/>
      <c r="AQ22" s="36" t="str">
        <f t="array" aca="1" ref="AQ22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"アレルギー")),"")</f>
        <v/>
      </c>
      <c r="AR22" s="39"/>
      <c r="AS22" s="22"/>
      <c r="AT22" s="31"/>
      <c r="AU22" s="36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4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6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4"/>
      <c r="AY22" s="36" t="str">
        <f t="array" aca="1" ref="AY22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"アレルギー")),"")</f>
        <v/>
      </c>
      <c r="AZ22" s="39"/>
      <c r="BA22" s="22"/>
      <c r="BB22" s="36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4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6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4"/>
      <c r="BF22" s="36" t="str">
        <f t="array" aca="1" ref="BF22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"アレルギー")),"")</f>
        <v/>
      </c>
      <c r="BG22" s="39"/>
      <c r="BH22" s="22"/>
      <c r="BI22" s="31"/>
      <c r="BJ22" s="36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4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6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4"/>
      <c r="BN22" s="36" t="str">
        <f t="array" aca="1" ref="BN22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"アレルギー")),"")</f>
        <v/>
      </c>
      <c r="BO22" s="39"/>
      <c r="BP22" s="22"/>
      <c r="BQ22" s="36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4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6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4"/>
      <c r="BU22" s="36" t="str">
        <f t="array" aca="1" ref="BU22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"アレルギー")),"")</f>
        <v/>
      </c>
      <c r="BV22" s="39"/>
      <c r="BW22" s="22"/>
      <c r="BX22" s="31"/>
      <c r="BY22" s="36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4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6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4"/>
      <c r="CC22" s="36" t="str">
        <f t="array" aca="1" ref="CC22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"アレルギー")),"")</f>
        <v/>
      </c>
      <c r="CD22" s="39"/>
      <c r="CE22" s="22"/>
      <c r="CF22" s="36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4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6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4"/>
      <c r="CJ22" s="36" t="str">
        <f t="array" aca="1" ref="CJ22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"アレルギー")),"")</f>
        <v/>
      </c>
      <c r="CK22" s="39"/>
      <c r="CL22" s="22"/>
      <c r="CM22" s="31"/>
      <c r="CN22" s="36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4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6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4"/>
      <c r="CR22" s="36" t="str">
        <f t="array" aca="1" ref="CR22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"アレルギー")),"")</f>
        <v/>
      </c>
      <c r="CS22" s="39"/>
      <c r="CT22" s="22"/>
      <c r="CU22" s="36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4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6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4"/>
      <c r="CY22" s="36" t="str">
        <f t="array" aca="1" ref="CY22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"アレルギー")),"")</f>
        <v/>
      </c>
      <c r="CZ22" s="39"/>
      <c r="DA22" s="22"/>
      <c r="DB22" s="31"/>
      <c r="DC22" s="36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4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6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4"/>
      <c r="DG22" s="36" t="str">
        <f t="array" aca="1" ref="DG22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"アレルギー")),"")</f>
        <v/>
      </c>
      <c r="DH22" s="39"/>
      <c r="DI22" s="22"/>
      <c r="DJ22" s="36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4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6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4"/>
      <c r="DN22" s="36" t="str">
        <f t="array" aca="1" ref="DN22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"アレルギー")),"")</f>
        <v/>
      </c>
      <c r="DO22" s="39"/>
      <c r="DP22" s="22"/>
      <c r="DQ22" s="31"/>
      <c r="DR22" s="36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4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6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4"/>
      <c r="DV22" s="36" t="str">
        <f t="array" aca="1" ref="DV22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"アレルギー")),"")</f>
        <v/>
      </c>
      <c r="DW22" s="39"/>
      <c r="DX22" s="22"/>
      <c r="DY22" s="36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4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6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4"/>
      <c r="EC22" s="36" t="str">
        <f t="array" aca="1" ref="EC22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"アレルギー")),"")</f>
        <v/>
      </c>
      <c r="ED22" s="39"/>
      <c r="EE22" s="22"/>
      <c r="EF22" s="31"/>
      <c r="EG22" s="36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4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6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4"/>
      <c r="EK22" s="36" t="str">
        <f t="array" aca="1" ref="EK22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"アレルギー")),"")</f>
        <v/>
      </c>
      <c r="EL22" s="39"/>
      <c r="EM22" s="22"/>
      <c r="EN22" s="36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4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6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4"/>
      <c r="ER22" s="36" t="str">
        <f t="array" aca="1" ref="ER22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"アレルギー")),"")</f>
        <v/>
      </c>
      <c r="ES22" s="39"/>
      <c r="ET22" s="22"/>
    </row>
    <row r="23" spans="1:150" ht="27.6" customHeight="1">
      <c r="B23" s="157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150"/>
      <c r="D23" s="157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150"/>
      <c r="F23" s="158" t="str">
        <f t="array" aca="1" ref="F23" ca="1">IF(AND(C17&lt;&gt;"",C17&lt;&gt;"社食"),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INDIRECT("'盛付札（関数）'!AO"&amp;A17))),"")</f>
        <v/>
      </c>
      <c r="G23" s="150"/>
      <c r="I23" s="157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150"/>
      <c r="K23" s="157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150"/>
      <c r="M23" s="158" t="str">
        <f t="array" aca="1" ref="M23" ca="1">IF(AND(J17&lt;&gt;"",J17&lt;&gt;"社食"),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INDIRECT("'盛付札（関数）'!AO"&amp;H17))),"")</f>
        <v/>
      </c>
      <c r="N23" s="150"/>
      <c r="Q23" s="157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150"/>
      <c r="S23" s="157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150"/>
      <c r="U23" s="158" t="str">
        <f t="array" aca="1" ref="U23" ca="1">IF(AND(R17&lt;&gt;"",R17&lt;&gt;"社食"),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INDIRECT("'盛付札（関数）'!AO"&amp;P17))),"")</f>
        <v/>
      </c>
      <c r="V23" s="150"/>
      <c r="X23" s="157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150"/>
      <c r="Z23" s="157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150"/>
      <c r="AB23" s="158" t="str">
        <f t="array" aca="1" ref="AB23" ca="1">IF(AND(Y17&lt;&gt;"",Y17&lt;&gt;"社食"),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INDIRECT("'盛付札（関数）'!AO"&amp;W17))),"")</f>
        <v/>
      </c>
      <c r="AC23" s="150"/>
      <c r="AF23" s="157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150"/>
      <c r="AH23" s="157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150"/>
      <c r="AJ23" s="158" t="str">
        <f t="array" aca="1" ref="AJ23" ca="1">IF(AND(AG17&lt;&gt;"",AG17&lt;&gt;"社食"),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INDIRECT("'盛付札（関数）'!AO"&amp;AE17))),"")</f>
        <v/>
      </c>
      <c r="AK23" s="150"/>
      <c r="AM23" s="157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150"/>
      <c r="AO23" s="157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150"/>
      <c r="AQ23" s="158" t="str">
        <f t="array" aca="1" ref="AQ23" ca="1">IF(AND(AN17&lt;&gt;"",AN17&lt;&gt;"社食"),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INDIRECT("'盛付札（関数）'!AO"&amp;AL17))),"")</f>
        <v/>
      </c>
      <c r="AR23" s="150"/>
      <c r="AU23" s="157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150"/>
      <c r="AW23" s="157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150"/>
      <c r="AY23" s="158" t="str">
        <f t="array" aca="1" ref="AY23" ca="1">IF(AND(AV17&lt;&gt;"",AV17&lt;&gt;"社食"),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INDIRECT("'盛付札（関数）'!AO"&amp;AT17))),"")</f>
        <v/>
      </c>
      <c r="AZ23" s="150"/>
      <c r="BB23" s="157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150"/>
      <c r="BD23" s="157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150"/>
      <c r="BF23" s="158" t="str">
        <f t="array" aca="1" ref="BF23" ca="1">IF(AND(BC17&lt;&gt;"",BC17&lt;&gt;"社食"),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INDIRECT("'盛付札（関数）'!AO"&amp;BA17))),"")</f>
        <v/>
      </c>
      <c r="BG23" s="150"/>
      <c r="BJ23" s="157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150"/>
      <c r="BL23" s="157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150"/>
      <c r="BN23" s="158" t="str">
        <f t="array" aca="1" ref="BN23" ca="1">IF(AND(BK17&lt;&gt;"",BK17&lt;&gt;"社食"),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INDIRECT("'盛付札（関数）'!AO"&amp;BI17))),"")</f>
        <v/>
      </c>
      <c r="BO23" s="150"/>
      <c r="BQ23" s="157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150"/>
      <c r="BS23" s="157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150"/>
      <c r="BU23" s="158" t="str">
        <f t="array" aca="1" ref="BU23" ca="1">IF(AND(BR17&lt;&gt;"",BR17&lt;&gt;"社食"),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INDIRECT("'盛付札（関数）'!AO"&amp;BP17))),"")</f>
        <v/>
      </c>
      <c r="BV23" s="150"/>
      <c r="BY23" s="157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150"/>
      <c r="CA23" s="157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150"/>
      <c r="CC23" s="158" t="str">
        <f t="array" aca="1" ref="CC23" ca="1">IF(AND(BZ17&lt;&gt;"",BZ17&lt;&gt;"社食"),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INDIRECT("'盛付札（関数）'!AO"&amp;BX17))),"")</f>
        <v/>
      </c>
      <c r="CD23" s="150"/>
      <c r="CF23" s="157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150"/>
      <c r="CH23" s="157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150"/>
      <c r="CJ23" s="158" t="str">
        <f t="array" aca="1" ref="CJ23" ca="1">IF(AND(CG17&lt;&gt;"",CG17&lt;&gt;"社食"),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INDIRECT("'盛付札（関数）'!AO"&amp;CE17))),"")</f>
        <v/>
      </c>
      <c r="CK23" s="150"/>
      <c r="CN23" s="157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150"/>
      <c r="CP23" s="157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150"/>
      <c r="CR23" s="158" t="str">
        <f t="array" aca="1" ref="CR23" ca="1">IF(AND(CO17&lt;&gt;"",CO17&lt;&gt;"社食"),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INDIRECT("'盛付札（関数）'!AO"&amp;CM17))),"")</f>
        <v/>
      </c>
      <c r="CS23" s="150"/>
      <c r="CU23" s="157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150"/>
      <c r="CW23" s="157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150"/>
      <c r="CY23" s="158" t="str">
        <f t="array" aca="1" ref="CY23" ca="1">IF(AND(CV17&lt;&gt;"",CV17&lt;&gt;"社食"),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INDIRECT("'盛付札（関数）'!AO"&amp;CT17))),"")</f>
        <v/>
      </c>
      <c r="CZ23" s="150"/>
      <c r="DC23" s="157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150"/>
      <c r="DE23" s="157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150"/>
      <c r="DG23" s="158" t="str">
        <f t="array" aca="1" ref="DG23" ca="1">IF(AND(DD17&lt;&gt;"",DD17&lt;&gt;"社食"),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INDIRECT("'盛付札（関数）'!AO"&amp;DB17))),"")</f>
        <v/>
      </c>
      <c r="DH23" s="150"/>
      <c r="DJ23" s="157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150"/>
      <c r="DL23" s="157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150"/>
      <c r="DN23" s="158" t="str">
        <f t="array" aca="1" ref="DN23" ca="1">IF(AND(DK17&lt;&gt;"",DK17&lt;&gt;"社食"),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INDIRECT("'盛付札（関数）'!AO"&amp;DI17))),"")</f>
        <v/>
      </c>
      <c r="DO23" s="150"/>
      <c r="DR23" s="157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150"/>
      <c r="DT23" s="157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150"/>
      <c r="DV23" s="158" t="str">
        <f t="array" aca="1" ref="DV23" ca="1">IF(AND(DS17&lt;&gt;"",DS17&lt;&gt;"社食"),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INDIRECT("'盛付札（関数）'!AO"&amp;DQ17))),"")</f>
        <v/>
      </c>
      <c r="DW23" s="150"/>
      <c r="DY23" s="157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150"/>
      <c r="EA23" s="157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150"/>
      <c r="EC23" s="158" t="str">
        <f t="array" aca="1" ref="EC23" ca="1">IF(AND(DZ17&lt;&gt;"",DZ17&lt;&gt;"社食"),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INDIRECT("'盛付札（関数）'!AO"&amp;DX17))),"")</f>
        <v/>
      </c>
      <c r="ED23" s="150"/>
      <c r="EG23" s="157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150"/>
      <c r="EI23" s="157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150"/>
      <c r="EK23" s="158" t="str">
        <f t="array" aca="1" ref="EK23" ca="1">IF(AND(EH17&lt;&gt;"",EH17&lt;&gt;"社食"),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INDIRECT("'盛付札（関数）'!AO"&amp;EF17))),"")</f>
        <v/>
      </c>
      <c r="EL23" s="150"/>
      <c r="EN23" s="157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150"/>
      <c r="EP23" s="157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150"/>
      <c r="ER23" s="158" t="str">
        <f t="array" aca="1" ref="ER23" ca="1">IF(AND(EO17&lt;&gt;"",EO17&lt;&gt;"社食"),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INDIRECT("'盛付札（関数）'!AO"&amp;EM17))),"")</f>
        <v/>
      </c>
      <c r="ES23" s="150"/>
    </row>
    <row r="24" spans="1:150" ht="6.6" customHeight="1">
      <c r="B24" s="44"/>
      <c r="D24" s="44"/>
      <c r="F24" s="45"/>
      <c r="I24" s="44"/>
      <c r="K24" s="44"/>
      <c r="M24" s="45"/>
      <c r="Q24" s="44"/>
      <c r="S24" s="44"/>
      <c r="U24" s="45"/>
      <c r="X24" s="44"/>
      <c r="Z24" s="44"/>
      <c r="AB24" s="45"/>
      <c r="AF24" s="44"/>
      <c r="AH24" s="44"/>
      <c r="AJ24" s="45"/>
      <c r="AM24" s="44"/>
      <c r="AO24" s="44"/>
      <c r="AQ24" s="45"/>
      <c r="AU24" s="44"/>
      <c r="AW24" s="44"/>
      <c r="AY24" s="45"/>
      <c r="BB24" s="44"/>
      <c r="BD24" s="44"/>
      <c r="BF24" s="45"/>
      <c r="BJ24" s="44"/>
      <c r="BL24" s="44"/>
      <c r="BN24" s="45"/>
      <c r="BQ24" s="44"/>
      <c r="BS24" s="44"/>
      <c r="BU24" s="45"/>
      <c r="BY24" s="44"/>
      <c r="CA24" s="44"/>
      <c r="CC24" s="45"/>
      <c r="CF24" s="44"/>
      <c r="CH24" s="44"/>
      <c r="CJ24" s="45"/>
      <c r="CN24" s="44"/>
      <c r="CP24" s="44"/>
      <c r="CR24" s="45"/>
      <c r="CU24" s="44"/>
      <c r="CW24" s="44"/>
      <c r="CY24" s="45"/>
      <c r="DC24" s="44"/>
      <c r="DE24" s="44"/>
      <c r="DG24" s="45"/>
      <c r="DJ24" s="44"/>
      <c r="DL24" s="44"/>
      <c r="DN24" s="45"/>
      <c r="DR24" s="44"/>
      <c r="DT24" s="44"/>
      <c r="DV24" s="45"/>
      <c r="DY24" s="44"/>
      <c r="EA24" s="44"/>
      <c r="EC24" s="45"/>
      <c r="EG24" s="44"/>
      <c r="EI24" s="44"/>
      <c r="EK24" s="45"/>
      <c r="EN24" s="44"/>
      <c r="EP24" s="44"/>
      <c r="ER24" s="45"/>
    </row>
    <row r="25" spans="1:150" s="32" customFormat="1" ht="25.8" customHeight="1">
      <c r="A25" s="31">
        <f>H17+1</f>
        <v>7</v>
      </c>
      <c r="B25" s="42" t="str">
        <f ca="1">IF(C25&lt;&gt;"",
MID(貼り付け用!$A$2, FIND("年",貼り付け用!$A$2)+1,2)&amp;"/"&amp;MID(貼り付け用!$A$2, FIND("月",貼り付け用!$A$2)+1,2),"")</f>
        <v/>
      </c>
      <c r="C25" s="155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156"/>
      <c r="E25" s="156"/>
      <c r="F25" s="156"/>
      <c r="G25" s="41" t="str">
        <f t="array" aca="1" ref="G25" ca="1">IF(C25&lt;&gt;"",
IF(AND(INDIRECT("'盛付札（関数）'!AE"&amp;A25)&gt;=124,INDIRECT("'盛付札（関数）'!AE"&amp;A25)&lt;=144),"",
"様"),"")</f>
        <v/>
      </c>
      <c r="H25" s="35">
        <f>A25+1</f>
        <v>8</v>
      </c>
      <c r="I25" s="42" t="str">
        <f ca="1">IF(J25&lt;&gt;"",
MID(貼り付け用!$A$2, FIND("年",貼り付け用!$A$2)+1,2)&amp;"/"&amp;MID(貼り付け用!$A$2, FIND("月",貼り付け用!$A$2)+1,2),"")</f>
        <v/>
      </c>
      <c r="J25" s="155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156"/>
      <c r="L25" s="156"/>
      <c r="M25" s="156"/>
      <c r="N25" s="41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1">
        <f>W17+1</f>
        <v>19</v>
      </c>
      <c r="Q25" s="42" t="str">
        <f ca="1">IF(R25&lt;&gt;"",
MID(貼り付け用!$A$2, FIND("年",貼り付け用!$A$2)+1,2)&amp;"/"&amp;MID(貼り付け用!$A$2, FIND("月",貼り付け用!$A$2)+1,2),"")</f>
        <v/>
      </c>
      <c r="R25" s="155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156"/>
      <c r="T25" s="156"/>
      <c r="U25" s="156"/>
      <c r="V25" s="41" t="str">
        <f t="array" aca="1" ref="V25" ca="1">IF(R25&lt;&gt;"",
IF(AND(INDIRECT("'盛付札（関数）'!AE"&amp;P25)&gt;=124,INDIRECT("'盛付札（関数）'!AE"&amp;P25)&lt;=144),"",
"様"),"")</f>
        <v/>
      </c>
      <c r="W25" s="35">
        <f>P25+1</f>
        <v>20</v>
      </c>
      <c r="X25" s="42" t="str">
        <f ca="1">IF(Y25&lt;&gt;"",
MID(貼り付け用!$A$2, FIND("年",貼り付け用!$A$2)+1,2)&amp;"/"&amp;MID(貼り付け用!$A$2, FIND("月",貼り付け用!$A$2)+1,2),"")</f>
        <v/>
      </c>
      <c r="Y25" s="155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156"/>
      <c r="AA25" s="156"/>
      <c r="AB25" s="156"/>
      <c r="AC25" s="41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1">
        <f>AL17+1</f>
        <v>31</v>
      </c>
      <c r="AF25" s="42" t="str">
        <f ca="1">IF(AG25&lt;&gt;"",
MID(貼り付け用!$A$2, FIND("年",貼り付け用!$A$2)+1,2)&amp;"/"&amp;MID(貼り付け用!$A$2, FIND("月",貼り付け用!$A$2)+1,2),"")</f>
        <v/>
      </c>
      <c r="AG25" s="155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156"/>
      <c r="AI25" s="156"/>
      <c r="AJ25" s="156"/>
      <c r="AK25" s="41" t="str">
        <f t="array" aca="1" ref="AK25" ca="1">IF(AG25&lt;&gt;"",
IF(AND(INDIRECT("'盛付札（関数）'!AE"&amp;AE25)&gt;=124,INDIRECT("'盛付札（関数）'!AE"&amp;AE25)&lt;=144),"",
"様"),"")</f>
        <v/>
      </c>
      <c r="AL25" s="35">
        <f>AE25+1</f>
        <v>32</v>
      </c>
      <c r="AM25" s="42" t="str">
        <f ca="1">IF(AN25&lt;&gt;"",
MID(貼り付け用!$A$2, FIND("年",貼り付け用!$A$2)+1,2)&amp;"/"&amp;MID(貼り付け用!$A$2, FIND("月",貼り付け用!$A$2)+1,2),"")</f>
        <v/>
      </c>
      <c r="AN25" s="155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156"/>
      <c r="AP25" s="156"/>
      <c r="AQ25" s="156"/>
      <c r="AR25" s="41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1">
        <f>BA17+1</f>
        <v>43</v>
      </c>
      <c r="AU25" s="42" t="str">
        <f ca="1">IF(AV25&lt;&gt;"",
MID(貼り付け用!$A$2, FIND("年",貼り付け用!$A$2)+1,2)&amp;"/"&amp;MID(貼り付け用!$A$2, FIND("月",貼り付け用!$A$2)+1,2),"")</f>
        <v/>
      </c>
      <c r="AV25" s="155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156"/>
      <c r="AX25" s="156"/>
      <c r="AY25" s="156"/>
      <c r="AZ25" s="41" t="str">
        <f t="array" aca="1" ref="AZ25" ca="1">IF(AV25&lt;&gt;"",
IF(AND(INDIRECT("'盛付札（関数）'!AE"&amp;AT25)&gt;=124,INDIRECT("'盛付札（関数）'!AE"&amp;AT25)&lt;=144),"",
"様"),"")</f>
        <v/>
      </c>
      <c r="BA25" s="35">
        <f>AT25+1</f>
        <v>44</v>
      </c>
      <c r="BB25" s="42" t="str">
        <f ca="1">IF(BC25&lt;&gt;"",
MID(貼り付け用!$A$2, FIND("年",貼り付け用!$A$2)+1,2)&amp;"/"&amp;MID(貼り付け用!$A$2, FIND("月",貼り付け用!$A$2)+1,2),"")</f>
        <v/>
      </c>
      <c r="BC25" s="155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156"/>
      <c r="BE25" s="156"/>
      <c r="BF25" s="156"/>
      <c r="BG25" s="41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1">
        <f>BP17+1</f>
        <v>55</v>
      </c>
      <c r="BJ25" s="42" t="str">
        <f ca="1">IF(BK25&lt;&gt;"",
MID(貼り付け用!$A$2, FIND("年",貼り付け用!$A$2)+1,2)&amp;"/"&amp;MID(貼り付け用!$A$2, FIND("月",貼り付け用!$A$2)+1,2),"")</f>
        <v/>
      </c>
      <c r="BK25" s="155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156"/>
      <c r="BM25" s="156"/>
      <c r="BN25" s="156"/>
      <c r="BO25" s="41" t="str">
        <f t="array" aca="1" ref="BO25" ca="1">IF(BK25&lt;&gt;"",
IF(AND(INDIRECT("'盛付札（関数）'!AE"&amp;BI25)&gt;=124,INDIRECT("'盛付札（関数）'!AE"&amp;BI25)&lt;=144),"",
"様"),"")</f>
        <v/>
      </c>
      <c r="BP25" s="35">
        <f>BI25+1</f>
        <v>56</v>
      </c>
      <c r="BQ25" s="42" t="str">
        <f ca="1">IF(BR25&lt;&gt;"",
MID(貼り付け用!$A$2, FIND("年",貼り付け用!$A$2)+1,2)&amp;"/"&amp;MID(貼り付け用!$A$2, FIND("月",貼り付け用!$A$2)+1,2),"")</f>
        <v/>
      </c>
      <c r="BR25" s="155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156"/>
      <c r="BT25" s="156"/>
      <c r="BU25" s="156"/>
      <c r="BV25" s="41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1">
        <f>CE17+1</f>
        <v>67</v>
      </c>
      <c r="BY25" s="42" t="str">
        <f ca="1">IF(BZ25&lt;&gt;"",
MID(貼り付け用!$A$2, FIND("年",貼り付け用!$A$2)+1,2)&amp;"/"&amp;MID(貼り付け用!$A$2, FIND("月",貼り付け用!$A$2)+1,2),"")</f>
        <v/>
      </c>
      <c r="BZ25" s="155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156"/>
      <c r="CB25" s="156"/>
      <c r="CC25" s="156"/>
      <c r="CD25" s="41" t="str">
        <f t="array" aca="1" ref="CD25" ca="1">IF(BZ25&lt;&gt;"",
IF(AND(INDIRECT("'盛付札（関数）'!AE"&amp;BX25)&gt;=124,INDIRECT("'盛付札（関数）'!AE"&amp;BX25)&lt;=144),"",
"様"),"")</f>
        <v/>
      </c>
      <c r="CE25" s="35">
        <f>BX25+1</f>
        <v>68</v>
      </c>
      <c r="CF25" s="42" t="str">
        <f ca="1">IF(CG25&lt;&gt;"",
MID(貼り付け用!$A$2, FIND("年",貼り付け用!$A$2)+1,2)&amp;"/"&amp;MID(貼り付け用!$A$2, FIND("月",貼り付け用!$A$2)+1,2),"")</f>
        <v/>
      </c>
      <c r="CG25" s="155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156"/>
      <c r="CI25" s="156"/>
      <c r="CJ25" s="156"/>
      <c r="CK25" s="41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1">
        <f>CT17+1</f>
        <v>79</v>
      </c>
      <c r="CN25" s="42" t="str">
        <f ca="1">IF(CO25&lt;&gt;"",
MID(貼り付け用!$A$2, FIND("年",貼り付け用!$A$2)+1,2)&amp;"/"&amp;MID(貼り付け用!$A$2, FIND("月",貼り付け用!$A$2)+1,2),"")</f>
        <v/>
      </c>
      <c r="CO25" s="155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156"/>
      <c r="CQ25" s="156"/>
      <c r="CR25" s="156"/>
      <c r="CS25" s="41" t="str">
        <f t="array" aca="1" ref="CS25" ca="1">IF(CO25&lt;&gt;"",
IF(AND(INDIRECT("'盛付札（関数）'!AE"&amp;CM25)&gt;=124,INDIRECT("'盛付札（関数）'!AE"&amp;CM25)&lt;=144),"",
"様"),"")</f>
        <v/>
      </c>
      <c r="CT25" s="35">
        <f>CM25+1</f>
        <v>80</v>
      </c>
      <c r="CU25" s="42" t="str">
        <f ca="1">IF(CV25&lt;&gt;"",
MID(貼り付け用!$A$2, FIND("年",貼り付け用!$A$2)+1,2)&amp;"/"&amp;MID(貼り付け用!$A$2, FIND("月",貼り付け用!$A$2)+1,2),"")</f>
        <v/>
      </c>
      <c r="CV25" s="155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156"/>
      <c r="CX25" s="156"/>
      <c r="CY25" s="156"/>
      <c r="CZ25" s="41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1">
        <f>DI17+1</f>
        <v>91</v>
      </c>
      <c r="DC25" s="42" t="str">
        <f ca="1">IF(DD25&lt;&gt;"",
MID(貼り付け用!$A$2, FIND("年",貼り付け用!$A$2)+1,2)&amp;"/"&amp;MID(貼り付け用!$A$2, FIND("月",貼り付け用!$A$2)+1,2),"")</f>
        <v/>
      </c>
      <c r="DD25" s="155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156"/>
      <c r="DF25" s="156"/>
      <c r="DG25" s="156"/>
      <c r="DH25" s="41" t="str">
        <f t="array" aca="1" ref="DH25" ca="1">IF(DD25&lt;&gt;"",
IF(AND(INDIRECT("'盛付札（関数）'!AE"&amp;DB25)&gt;=124,INDIRECT("'盛付札（関数）'!AE"&amp;DB25)&lt;=144),"",
"様"),"")</f>
        <v/>
      </c>
      <c r="DI25" s="35">
        <f>DB25+1</f>
        <v>92</v>
      </c>
      <c r="DJ25" s="42" t="str">
        <f ca="1">IF(DK25&lt;&gt;"",
MID(貼り付け用!$A$2, FIND("年",貼り付け用!$A$2)+1,2)&amp;"/"&amp;MID(貼り付け用!$A$2, FIND("月",貼り付け用!$A$2)+1,2),"")</f>
        <v/>
      </c>
      <c r="DK25" s="155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156"/>
      <c r="DM25" s="156"/>
      <c r="DN25" s="156"/>
      <c r="DO25" s="41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1">
        <f>DX17+1</f>
        <v>103</v>
      </c>
      <c r="DR25" s="42" t="str">
        <f ca="1">IF(DS25&lt;&gt;"",
MID(貼り付け用!$A$2, FIND("年",貼り付け用!$A$2)+1,2)&amp;"/"&amp;MID(貼り付け用!$A$2, FIND("月",貼り付け用!$A$2)+1,2),"")</f>
        <v/>
      </c>
      <c r="DS25" s="155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156"/>
      <c r="DU25" s="156"/>
      <c r="DV25" s="156"/>
      <c r="DW25" s="41" t="str">
        <f t="array" aca="1" ref="DW25" ca="1">IF(DS25&lt;&gt;"",
IF(AND(INDIRECT("'盛付札（関数）'!AE"&amp;DQ25)&gt;=124,INDIRECT("'盛付札（関数）'!AE"&amp;DQ25)&lt;=144),"",
"様"),"")</f>
        <v/>
      </c>
      <c r="DX25" s="35">
        <f>DQ25+1</f>
        <v>104</v>
      </c>
      <c r="DY25" s="42" t="str">
        <f ca="1">IF(DZ25&lt;&gt;"",
MID(貼り付け用!$A$2, FIND("年",貼り付け用!$A$2)+1,2)&amp;"/"&amp;MID(貼り付け用!$A$2, FIND("月",貼り付け用!$A$2)+1,2),"")</f>
        <v/>
      </c>
      <c r="DZ25" s="155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156"/>
      <c r="EB25" s="156"/>
      <c r="EC25" s="156"/>
      <c r="ED25" s="41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1">
        <f>EM17+1</f>
        <v>115</v>
      </c>
      <c r="EG25" s="42" t="str">
        <f ca="1">IF(EH25&lt;&gt;"",
MID(貼り付け用!$A$2, FIND("年",貼り付け用!$A$2)+1,2)&amp;"/"&amp;MID(貼り付け用!$A$2, FIND("月",貼り付け用!$A$2)+1,2),"")</f>
        <v/>
      </c>
      <c r="EH25" s="155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156"/>
      <c r="EJ25" s="156"/>
      <c r="EK25" s="156"/>
      <c r="EL25" s="41" t="str">
        <f t="array" aca="1" ref="EL25" ca="1">IF(EH25&lt;&gt;"",
IF(AND(INDIRECT("'盛付札（関数）'!AE"&amp;EF25)&gt;=124,INDIRECT("'盛付札（関数）'!AE"&amp;EF25)&lt;=144),"",
"様"),"")</f>
        <v/>
      </c>
      <c r="EM25" s="35">
        <f>EF25+1</f>
        <v>116</v>
      </c>
      <c r="EN25" s="42" t="str">
        <f ca="1">IF(EO25&lt;&gt;"",
MID(貼り付け用!$A$2, FIND("年",貼り付け用!$A$2)+1,2)&amp;"/"&amp;MID(貼り付け用!$A$2, FIND("月",貼り付け用!$A$2)+1,2),"")</f>
        <v/>
      </c>
      <c r="EO25" s="155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156"/>
      <c r="EQ25" s="156"/>
      <c r="ER25" s="156"/>
      <c r="ES25" s="41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32" customFormat="1">
      <c r="A26" s="31"/>
      <c r="B26" s="109"/>
      <c r="C26" s="170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INDIRECT("'盛付札（関数）'!AG"&amp;A25))),"")</f>
        <v/>
      </c>
      <c r="D26" s="40"/>
      <c r="E26" s="40"/>
      <c r="F26" s="46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8"/>
      <c r="H26" s="47"/>
      <c r="I26" s="109"/>
      <c r="J26" s="170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INDIRECT("'盛付札（関数）'!AG"&amp;H25))),"")</f>
        <v/>
      </c>
      <c r="K26" s="40"/>
      <c r="L26" s="40"/>
      <c r="M26" s="46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8"/>
      <c r="O26" s="22"/>
      <c r="P26" s="31"/>
      <c r="Q26" s="109"/>
      <c r="R26" s="170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INDIRECT("'盛付札（関数）'!AG"&amp;P25))),"")</f>
        <v/>
      </c>
      <c r="S26" s="40"/>
      <c r="T26" s="40"/>
      <c r="U26" s="46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8"/>
      <c r="W26" s="47"/>
      <c r="X26" s="109"/>
      <c r="Y26" s="170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INDIRECT("'盛付札（関数）'!AG"&amp;W25))),"")</f>
        <v/>
      </c>
      <c r="Z26" s="40"/>
      <c r="AA26" s="40"/>
      <c r="AB26" s="46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8"/>
      <c r="AD26" s="22"/>
      <c r="AE26" s="31"/>
      <c r="AF26" s="109"/>
      <c r="AG26" s="170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INDIRECT("'盛付札（関数）'!AG"&amp;AE25))),"")</f>
        <v/>
      </c>
      <c r="AH26" s="40"/>
      <c r="AI26" s="40"/>
      <c r="AJ26" s="46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8"/>
      <c r="AL26" s="47"/>
      <c r="AM26" s="109"/>
      <c r="AN26" s="170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INDIRECT("'盛付札（関数）'!AG"&amp;AL25))),"")</f>
        <v/>
      </c>
      <c r="AO26" s="40"/>
      <c r="AP26" s="40"/>
      <c r="AQ26" s="46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8"/>
      <c r="AS26" s="22"/>
      <c r="AT26" s="31"/>
      <c r="AU26" s="109"/>
      <c r="AV26" s="170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INDIRECT("'盛付札（関数）'!AG"&amp;AT25))),"")</f>
        <v/>
      </c>
      <c r="AW26" s="40"/>
      <c r="AX26" s="40"/>
      <c r="AY26" s="46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8"/>
      <c r="BA26" s="47"/>
      <c r="BB26" s="109"/>
      <c r="BC26" s="170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INDIRECT("'盛付札（関数）'!AG"&amp;BA25))),"")</f>
        <v/>
      </c>
      <c r="BD26" s="40"/>
      <c r="BE26" s="40"/>
      <c r="BF26" s="46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8"/>
      <c r="BH26" s="22"/>
      <c r="BI26" s="31"/>
      <c r="BJ26" s="109"/>
      <c r="BK26" s="170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INDIRECT("'盛付札（関数）'!AG"&amp;BI25))),"")</f>
        <v/>
      </c>
      <c r="BL26" s="40"/>
      <c r="BM26" s="40"/>
      <c r="BN26" s="46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8"/>
      <c r="BP26" s="47"/>
      <c r="BQ26" s="109"/>
      <c r="BR26" s="170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INDIRECT("'盛付札（関数）'!AG"&amp;BP25))),"")</f>
        <v/>
      </c>
      <c r="BS26" s="40"/>
      <c r="BT26" s="40"/>
      <c r="BU26" s="46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8"/>
      <c r="BW26" s="22"/>
      <c r="BX26" s="31"/>
      <c r="BY26" s="109"/>
      <c r="BZ26" s="170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INDIRECT("'盛付札（関数）'!AG"&amp;BX25))),"")</f>
        <v/>
      </c>
      <c r="CA26" s="40"/>
      <c r="CB26" s="40"/>
      <c r="CC26" s="46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8"/>
      <c r="CE26" s="47"/>
      <c r="CF26" s="109"/>
      <c r="CG26" s="170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INDIRECT("'盛付札（関数）'!AG"&amp;CE25))),"")</f>
        <v/>
      </c>
      <c r="CH26" s="40"/>
      <c r="CI26" s="40"/>
      <c r="CJ26" s="46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8"/>
      <c r="CL26" s="22"/>
      <c r="CM26" s="31"/>
      <c r="CN26" s="109"/>
      <c r="CO26" s="170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INDIRECT("'盛付札（関数）'!AG"&amp;CM25))),"")</f>
        <v/>
      </c>
      <c r="CP26" s="40"/>
      <c r="CQ26" s="40"/>
      <c r="CR26" s="46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8"/>
      <c r="CT26" s="47"/>
      <c r="CU26" s="109"/>
      <c r="CV26" s="170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INDIRECT("'盛付札（関数）'!AG"&amp;CT25))),"")</f>
        <v/>
      </c>
      <c r="CW26" s="40"/>
      <c r="CX26" s="40"/>
      <c r="CY26" s="46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8"/>
      <c r="DA26" s="22"/>
      <c r="DB26" s="31"/>
      <c r="DC26" s="109"/>
      <c r="DD26" s="170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INDIRECT("'盛付札（関数）'!AG"&amp;DB25))),"")</f>
        <v/>
      </c>
      <c r="DE26" s="40"/>
      <c r="DF26" s="40"/>
      <c r="DG26" s="46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8"/>
      <c r="DI26" s="47"/>
      <c r="DJ26" s="109"/>
      <c r="DK26" s="170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INDIRECT("'盛付札（関数）'!AG"&amp;DI25))),"")</f>
        <v/>
      </c>
      <c r="DL26" s="40"/>
      <c r="DM26" s="40"/>
      <c r="DN26" s="46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8"/>
      <c r="DP26" s="22"/>
      <c r="DQ26" s="31"/>
      <c r="DR26" s="109"/>
      <c r="DS26" s="170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INDIRECT("'盛付札（関数）'!AG"&amp;DQ25))),"")</f>
        <v/>
      </c>
      <c r="DT26" s="40"/>
      <c r="DU26" s="40"/>
      <c r="DV26" s="46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8"/>
      <c r="DX26" s="47"/>
      <c r="DY26" s="109"/>
      <c r="DZ26" s="170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INDIRECT("'盛付札（関数）'!AG"&amp;DX25))),"")</f>
        <v/>
      </c>
      <c r="EA26" s="40"/>
      <c r="EB26" s="40"/>
      <c r="EC26" s="46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8"/>
      <c r="EE26" s="22"/>
      <c r="EF26" s="31"/>
      <c r="EG26" s="109"/>
      <c r="EH26" s="170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INDIRECT("'盛付札（関数）'!AG"&amp;EF25))),"")</f>
        <v/>
      </c>
      <c r="EI26" s="40"/>
      <c r="EJ26" s="40"/>
      <c r="EK26" s="46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8"/>
      <c r="EM26" s="47"/>
      <c r="EN26" s="109"/>
      <c r="EO26" s="170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INDIRECT("'盛付札（関数）'!AG"&amp;EM25))),"")</f>
        <v/>
      </c>
      <c r="EP26" s="40"/>
      <c r="EQ26" s="40"/>
      <c r="ER26" s="46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8"/>
      <c r="ET26" s="22"/>
    </row>
    <row r="27" spans="1:150" s="32" customFormat="1">
      <c r="A27" s="31"/>
      <c r="B27" s="33"/>
      <c r="C27" s="153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154"/>
      <c r="E27" s="22"/>
      <c r="F27" s="168" t="str" cm="1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9"/>
      <c r="H27" s="35"/>
      <c r="I27" s="33"/>
      <c r="J27" s="153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154"/>
      <c r="L27" s="22"/>
      <c r="M27" s="168" t="str" cm="1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9"/>
      <c r="O27" s="22"/>
      <c r="P27" s="31"/>
      <c r="Q27" s="33"/>
      <c r="R27" s="153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154"/>
      <c r="T27" s="22"/>
      <c r="U27" s="168" t="str" cm="1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9"/>
      <c r="W27" s="35"/>
      <c r="X27" s="33"/>
      <c r="Y27" s="153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154"/>
      <c r="AA27" s="22"/>
      <c r="AB27" s="168" t="str" cm="1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9"/>
      <c r="AD27" s="22"/>
      <c r="AE27" s="31"/>
      <c r="AF27" s="33"/>
      <c r="AG27" s="153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154"/>
      <c r="AI27" s="22"/>
      <c r="AJ27" s="168" t="str" cm="1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9"/>
      <c r="AL27" s="35"/>
      <c r="AM27" s="33"/>
      <c r="AN27" s="153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154"/>
      <c r="AP27" s="22"/>
      <c r="AQ27" s="168" t="str" cm="1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9"/>
      <c r="AS27" s="22"/>
      <c r="AT27" s="31"/>
      <c r="AU27" s="33"/>
      <c r="AV27" s="153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154"/>
      <c r="AX27" s="22"/>
      <c r="AY27" s="168" t="str" cm="1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9"/>
      <c r="BA27" s="35"/>
      <c r="BB27" s="33"/>
      <c r="BC27" s="153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154"/>
      <c r="BE27" s="22"/>
      <c r="BF27" s="168" t="str" cm="1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9"/>
      <c r="BH27" s="22"/>
      <c r="BI27" s="31"/>
      <c r="BJ27" s="33"/>
      <c r="BK27" s="153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154"/>
      <c r="BM27" s="22"/>
      <c r="BN27" s="168" t="str" cm="1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9"/>
      <c r="BP27" s="35"/>
      <c r="BQ27" s="33"/>
      <c r="BR27" s="153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154"/>
      <c r="BT27" s="22"/>
      <c r="BU27" s="168" t="str" cm="1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9"/>
      <c r="BW27" s="22"/>
      <c r="BX27" s="31"/>
      <c r="BY27" s="33"/>
      <c r="BZ27" s="153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154"/>
      <c r="CB27" s="22"/>
      <c r="CC27" s="168" t="str" cm="1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9"/>
      <c r="CE27" s="35"/>
      <c r="CF27" s="33"/>
      <c r="CG27" s="153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154"/>
      <c r="CI27" s="22"/>
      <c r="CJ27" s="168" t="str" cm="1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9"/>
      <c r="CL27" s="22"/>
      <c r="CM27" s="31"/>
      <c r="CN27" s="33"/>
      <c r="CO27" s="153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154"/>
      <c r="CQ27" s="22"/>
      <c r="CR27" s="168" t="str" cm="1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9"/>
      <c r="CT27" s="35"/>
      <c r="CU27" s="33"/>
      <c r="CV27" s="153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154"/>
      <c r="CX27" s="22"/>
      <c r="CY27" s="168" t="str" cm="1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9"/>
      <c r="DA27" s="22"/>
      <c r="DB27" s="31"/>
      <c r="DC27" s="33"/>
      <c r="DD27" s="153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154"/>
      <c r="DF27" s="22"/>
      <c r="DG27" s="168" t="str" cm="1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9"/>
      <c r="DI27" s="35"/>
      <c r="DJ27" s="33"/>
      <c r="DK27" s="153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154"/>
      <c r="DM27" s="22"/>
      <c r="DN27" s="168" t="str" cm="1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9"/>
      <c r="DP27" s="22"/>
      <c r="DQ27" s="31"/>
      <c r="DR27" s="33"/>
      <c r="DS27" s="153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154"/>
      <c r="DU27" s="22"/>
      <c r="DV27" s="168" t="str" cm="1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9"/>
      <c r="DX27" s="35"/>
      <c r="DY27" s="33"/>
      <c r="DZ27" s="153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154"/>
      <c r="EB27" s="22"/>
      <c r="EC27" s="168" t="str" cm="1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9"/>
      <c r="EE27" s="22"/>
      <c r="EF27" s="31"/>
      <c r="EG27" s="33"/>
      <c r="EH27" s="153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154"/>
      <c r="EJ27" s="22"/>
      <c r="EK27" s="168" t="str" cm="1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9"/>
      <c r="EM27" s="35"/>
      <c r="EN27" s="33"/>
      <c r="EO27" s="153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154"/>
      <c r="EQ27" s="22"/>
      <c r="ER27" s="168" t="str" cm="1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9"/>
      <c r="ET27" s="22"/>
    </row>
    <row r="28" spans="1:150" ht="15.6" customHeight="1">
      <c r="B28" s="25"/>
      <c r="C28" s="151" t="str">
        <f t="array" aca="1" ref="C28" ca="1">IF(C25&lt;&gt;"",INDIRECT("'盛付札（関数）'!AJ"&amp;A25),"")</f>
        <v/>
      </c>
      <c r="D28" s="152"/>
      <c r="E28" s="48"/>
      <c r="F28" s="147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148"/>
      <c r="H28" s="26"/>
      <c r="I28" s="25"/>
      <c r="J28" s="151" t="str">
        <f t="array" aca="1" ref="J28" ca="1">IF(J25&lt;&gt;"",INDIRECT("'盛付札（関数）'!AJ"&amp;H25),"")</f>
        <v/>
      </c>
      <c r="K28" s="152"/>
      <c r="L28" s="48"/>
      <c r="M28" s="147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148"/>
      <c r="Q28" s="25"/>
      <c r="R28" s="151" t="str">
        <f t="array" aca="1" ref="R28" ca="1">IF(R25&lt;&gt;"",INDIRECT("'盛付札（関数）'!AJ"&amp;P25),"")</f>
        <v/>
      </c>
      <c r="S28" s="152"/>
      <c r="T28" s="48"/>
      <c r="U28" s="147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148"/>
      <c r="W28" s="26"/>
      <c r="X28" s="25"/>
      <c r="Y28" s="151" t="str">
        <f t="array" aca="1" ref="Y28" ca="1">IF(Y25&lt;&gt;"",INDIRECT("'盛付札（関数）'!AJ"&amp;W25),"")</f>
        <v/>
      </c>
      <c r="Z28" s="152"/>
      <c r="AA28" s="48"/>
      <c r="AB28" s="147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148"/>
      <c r="AF28" s="25"/>
      <c r="AG28" s="151" t="str">
        <f t="array" aca="1" ref="AG28" ca="1">IF(AG25&lt;&gt;"",INDIRECT("'盛付札（関数）'!AJ"&amp;AE25),"")</f>
        <v/>
      </c>
      <c r="AH28" s="152"/>
      <c r="AI28" s="48"/>
      <c r="AJ28" s="147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148"/>
      <c r="AL28" s="26"/>
      <c r="AM28" s="25"/>
      <c r="AN28" s="151" t="str">
        <f t="array" aca="1" ref="AN28" ca="1">IF(AN25&lt;&gt;"",INDIRECT("'盛付札（関数）'!AJ"&amp;AL25),"")</f>
        <v/>
      </c>
      <c r="AO28" s="152"/>
      <c r="AP28" s="48"/>
      <c r="AQ28" s="147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148"/>
      <c r="AU28" s="25"/>
      <c r="AV28" s="151" t="str">
        <f t="array" aca="1" ref="AV28" ca="1">IF(AV25&lt;&gt;"",INDIRECT("'盛付札（関数）'!AJ"&amp;AT25),"")</f>
        <v/>
      </c>
      <c r="AW28" s="152"/>
      <c r="AX28" s="48"/>
      <c r="AY28" s="147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148"/>
      <c r="BA28" s="26"/>
      <c r="BB28" s="25"/>
      <c r="BC28" s="151" t="str">
        <f t="array" aca="1" ref="BC28" ca="1">IF(BC25&lt;&gt;"",INDIRECT("'盛付札（関数）'!AJ"&amp;BA25),"")</f>
        <v/>
      </c>
      <c r="BD28" s="152"/>
      <c r="BE28" s="48"/>
      <c r="BF28" s="147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148"/>
      <c r="BJ28" s="25"/>
      <c r="BK28" s="151" t="str">
        <f t="array" aca="1" ref="BK28" ca="1">IF(BK25&lt;&gt;"",INDIRECT("'盛付札（関数）'!AJ"&amp;BI25),"")</f>
        <v/>
      </c>
      <c r="BL28" s="152"/>
      <c r="BM28" s="48"/>
      <c r="BN28" s="147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148"/>
      <c r="BP28" s="26"/>
      <c r="BQ28" s="25"/>
      <c r="BR28" s="151" t="str">
        <f t="array" aca="1" ref="BR28" ca="1">IF(BR25&lt;&gt;"",INDIRECT("'盛付札（関数）'!AJ"&amp;BP25),"")</f>
        <v/>
      </c>
      <c r="BS28" s="152"/>
      <c r="BT28" s="48"/>
      <c r="BU28" s="147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148"/>
      <c r="BY28" s="25"/>
      <c r="BZ28" s="151" t="str">
        <f t="array" aca="1" ref="BZ28" ca="1">IF(BZ25&lt;&gt;"",INDIRECT("'盛付札（関数）'!AJ"&amp;BX25),"")</f>
        <v/>
      </c>
      <c r="CA28" s="152"/>
      <c r="CB28" s="48"/>
      <c r="CC28" s="147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148"/>
      <c r="CE28" s="26"/>
      <c r="CF28" s="25"/>
      <c r="CG28" s="151" t="str">
        <f t="array" aca="1" ref="CG28" ca="1">IF(CG25&lt;&gt;"",INDIRECT("'盛付札（関数）'!AJ"&amp;CE25),"")</f>
        <v/>
      </c>
      <c r="CH28" s="152"/>
      <c r="CI28" s="48"/>
      <c r="CJ28" s="147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148"/>
      <c r="CN28" s="25"/>
      <c r="CO28" s="151" t="str">
        <f t="array" aca="1" ref="CO28" ca="1">IF(CO25&lt;&gt;"",INDIRECT("'盛付札（関数）'!AJ"&amp;CM25),"")</f>
        <v/>
      </c>
      <c r="CP28" s="152"/>
      <c r="CQ28" s="48"/>
      <c r="CR28" s="147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148"/>
      <c r="CT28" s="26"/>
      <c r="CU28" s="25"/>
      <c r="CV28" s="151" t="str">
        <f t="array" aca="1" ref="CV28" ca="1">IF(CV25&lt;&gt;"",INDIRECT("'盛付札（関数）'!AJ"&amp;CT25),"")</f>
        <v/>
      </c>
      <c r="CW28" s="152"/>
      <c r="CX28" s="48"/>
      <c r="CY28" s="147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148"/>
      <c r="DC28" s="25"/>
      <c r="DD28" s="151" t="str">
        <f t="array" aca="1" ref="DD28" ca="1">IF(DD25&lt;&gt;"",INDIRECT("'盛付札（関数）'!AJ"&amp;DB25),"")</f>
        <v/>
      </c>
      <c r="DE28" s="152"/>
      <c r="DF28" s="48"/>
      <c r="DG28" s="147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148"/>
      <c r="DI28" s="26"/>
      <c r="DJ28" s="25"/>
      <c r="DK28" s="151" t="str">
        <f t="array" aca="1" ref="DK28" ca="1">IF(DK25&lt;&gt;"",INDIRECT("'盛付札（関数）'!AJ"&amp;DI25),"")</f>
        <v/>
      </c>
      <c r="DL28" s="152"/>
      <c r="DM28" s="48"/>
      <c r="DN28" s="147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148"/>
      <c r="DR28" s="25"/>
      <c r="DS28" s="151" t="str">
        <f t="array" aca="1" ref="DS28" ca="1">IF(DS25&lt;&gt;"",INDIRECT("'盛付札（関数）'!AJ"&amp;DQ25),"")</f>
        <v/>
      </c>
      <c r="DT28" s="152"/>
      <c r="DU28" s="48"/>
      <c r="DV28" s="147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148"/>
      <c r="DX28" s="26"/>
      <c r="DY28" s="25"/>
      <c r="DZ28" s="151" t="str">
        <f t="array" aca="1" ref="DZ28" ca="1">IF(DZ25&lt;&gt;"",INDIRECT("'盛付札（関数）'!AJ"&amp;DX25),"")</f>
        <v/>
      </c>
      <c r="EA28" s="152"/>
      <c r="EB28" s="48"/>
      <c r="EC28" s="147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148"/>
      <c r="EG28" s="25"/>
      <c r="EH28" s="151" t="str">
        <f t="array" aca="1" ref="EH28" ca="1">IF(EH25&lt;&gt;"",INDIRECT("'盛付札（関数）'!AJ"&amp;EF25),"")</f>
        <v/>
      </c>
      <c r="EI28" s="152"/>
      <c r="EJ28" s="48"/>
      <c r="EK28" s="147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148"/>
      <c r="EM28" s="26"/>
      <c r="EN28" s="25"/>
      <c r="EO28" s="151" t="str">
        <f t="array" aca="1" ref="EO28" ca="1">IF(EO25&lt;&gt;"",INDIRECT("'盛付札（関数）'!AJ"&amp;EM25),"")</f>
        <v/>
      </c>
      <c r="EP28" s="152"/>
      <c r="EQ28" s="48"/>
      <c r="ER28" s="147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148"/>
    </row>
    <row r="29" spans="1:150" ht="15.6" customHeight="1">
      <c r="B29" s="27"/>
      <c r="C29" s="149"/>
      <c r="D29" s="149"/>
      <c r="E29" s="43"/>
      <c r="F29" s="149"/>
      <c r="G29" s="150"/>
      <c r="H29" s="26"/>
      <c r="I29" s="27"/>
      <c r="J29" s="149"/>
      <c r="K29" s="149"/>
      <c r="L29" s="43"/>
      <c r="M29" s="149"/>
      <c r="N29" s="150"/>
      <c r="Q29" s="27"/>
      <c r="R29" s="149"/>
      <c r="S29" s="149"/>
      <c r="T29" s="43"/>
      <c r="U29" s="149"/>
      <c r="V29" s="150"/>
      <c r="W29" s="26"/>
      <c r="X29" s="27"/>
      <c r="Y29" s="149"/>
      <c r="Z29" s="149"/>
      <c r="AA29" s="43"/>
      <c r="AB29" s="149"/>
      <c r="AC29" s="150"/>
      <c r="AF29" s="27"/>
      <c r="AG29" s="149"/>
      <c r="AH29" s="149"/>
      <c r="AI29" s="43"/>
      <c r="AJ29" s="149"/>
      <c r="AK29" s="150"/>
      <c r="AL29" s="26"/>
      <c r="AM29" s="27"/>
      <c r="AN29" s="149"/>
      <c r="AO29" s="149"/>
      <c r="AP29" s="43"/>
      <c r="AQ29" s="149"/>
      <c r="AR29" s="150"/>
      <c r="AU29" s="27"/>
      <c r="AV29" s="149"/>
      <c r="AW29" s="149"/>
      <c r="AX29" s="43"/>
      <c r="AY29" s="149"/>
      <c r="AZ29" s="150"/>
      <c r="BA29" s="26"/>
      <c r="BB29" s="27"/>
      <c r="BC29" s="149"/>
      <c r="BD29" s="149"/>
      <c r="BE29" s="43"/>
      <c r="BF29" s="149"/>
      <c r="BG29" s="150"/>
      <c r="BJ29" s="27"/>
      <c r="BK29" s="149"/>
      <c r="BL29" s="149"/>
      <c r="BM29" s="43"/>
      <c r="BN29" s="149"/>
      <c r="BO29" s="150"/>
      <c r="BP29" s="26"/>
      <c r="BQ29" s="27"/>
      <c r="BR29" s="149"/>
      <c r="BS29" s="149"/>
      <c r="BT29" s="43"/>
      <c r="BU29" s="149"/>
      <c r="BV29" s="150"/>
      <c r="BY29" s="27"/>
      <c r="BZ29" s="149"/>
      <c r="CA29" s="149"/>
      <c r="CB29" s="43"/>
      <c r="CC29" s="149"/>
      <c r="CD29" s="150"/>
      <c r="CE29" s="26"/>
      <c r="CF29" s="27"/>
      <c r="CG29" s="149"/>
      <c r="CH29" s="149"/>
      <c r="CI29" s="43"/>
      <c r="CJ29" s="149"/>
      <c r="CK29" s="150"/>
      <c r="CN29" s="27"/>
      <c r="CO29" s="149"/>
      <c r="CP29" s="149"/>
      <c r="CQ29" s="43"/>
      <c r="CR29" s="149"/>
      <c r="CS29" s="150"/>
      <c r="CT29" s="26"/>
      <c r="CU29" s="27"/>
      <c r="CV29" s="149"/>
      <c r="CW29" s="149"/>
      <c r="CX29" s="43"/>
      <c r="CY29" s="149"/>
      <c r="CZ29" s="150"/>
      <c r="DC29" s="27"/>
      <c r="DD29" s="149"/>
      <c r="DE29" s="149"/>
      <c r="DF29" s="43"/>
      <c r="DG29" s="149"/>
      <c r="DH29" s="150"/>
      <c r="DI29" s="26"/>
      <c r="DJ29" s="27"/>
      <c r="DK29" s="149"/>
      <c r="DL29" s="149"/>
      <c r="DM29" s="43"/>
      <c r="DN29" s="149"/>
      <c r="DO29" s="150"/>
      <c r="DR29" s="27"/>
      <c r="DS29" s="149"/>
      <c r="DT29" s="149"/>
      <c r="DU29" s="43"/>
      <c r="DV29" s="149"/>
      <c r="DW29" s="150"/>
      <c r="DX29" s="26"/>
      <c r="DY29" s="27"/>
      <c r="DZ29" s="149"/>
      <c r="EA29" s="149"/>
      <c r="EB29" s="43"/>
      <c r="EC29" s="149"/>
      <c r="ED29" s="150"/>
      <c r="EG29" s="27"/>
      <c r="EH29" s="149"/>
      <c r="EI29" s="149"/>
      <c r="EJ29" s="43"/>
      <c r="EK29" s="149"/>
      <c r="EL29" s="150"/>
      <c r="EM29" s="26"/>
      <c r="EN29" s="27"/>
      <c r="EO29" s="149"/>
      <c r="EP29" s="149"/>
      <c r="EQ29" s="43"/>
      <c r="ER29" s="149"/>
      <c r="ES29" s="150"/>
    </row>
    <row r="30" spans="1:150" s="32" customFormat="1">
      <c r="A30" s="31"/>
      <c r="B30" s="36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4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6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4"/>
      <c r="F30" s="36" t="str">
        <f t="array" aca="1" ref="F30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"アレルギー")),"")</f>
        <v/>
      </c>
      <c r="G30" s="39"/>
      <c r="H30" s="22"/>
      <c r="I30" s="36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4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6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4"/>
      <c r="M30" s="36" t="str">
        <f t="array" aca="1" ref="M30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"アレルギー")),"")</f>
        <v/>
      </c>
      <c r="N30" s="39"/>
      <c r="O30" s="22"/>
      <c r="P30" s="31"/>
      <c r="Q30" s="36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4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6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4"/>
      <c r="U30" s="36" t="str">
        <f t="array" aca="1" ref="U30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"アレルギー")),"")</f>
        <v/>
      </c>
      <c r="V30" s="39"/>
      <c r="W30" s="22"/>
      <c r="X30" s="36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4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6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4"/>
      <c r="AB30" s="36" t="str">
        <f t="array" aca="1" ref="AB30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"アレルギー")),"")</f>
        <v/>
      </c>
      <c r="AC30" s="39"/>
      <c r="AD30" s="22"/>
      <c r="AE30" s="31"/>
      <c r="AF30" s="36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4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6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4"/>
      <c r="AJ30" s="36" t="str">
        <f t="array" aca="1" ref="AJ30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"アレルギー")),"")</f>
        <v/>
      </c>
      <c r="AK30" s="39"/>
      <c r="AL30" s="22"/>
      <c r="AM30" s="36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4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6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4"/>
      <c r="AQ30" s="36" t="str">
        <f t="array" aca="1" ref="AQ30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"アレルギー")),"")</f>
        <v/>
      </c>
      <c r="AR30" s="39"/>
      <c r="AS30" s="22"/>
      <c r="AT30" s="31"/>
      <c r="AU30" s="36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4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6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4"/>
      <c r="AY30" s="36" t="str">
        <f t="array" aca="1" ref="AY30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"アレルギー")),"")</f>
        <v/>
      </c>
      <c r="AZ30" s="39"/>
      <c r="BA30" s="22"/>
      <c r="BB30" s="36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4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6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4"/>
      <c r="BF30" s="36" t="str">
        <f t="array" aca="1" ref="BF30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"アレルギー")),"")</f>
        <v/>
      </c>
      <c r="BG30" s="39"/>
      <c r="BH30" s="22"/>
      <c r="BI30" s="31"/>
      <c r="BJ30" s="36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4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6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4"/>
      <c r="BN30" s="36" t="str">
        <f t="array" aca="1" ref="BN30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"アレルギー")),"")</f>
        <v/>
      </c>
      <c r="BO30" s="39"/>
      <c r="BP30" s="22"/>
      <c r="BQ30" s="36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4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6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4"/>
      <c r="BU30" s="36" t="str">
        <f t="array" aca="1" ref="BU30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"アレルギー")),"")</f>
        <v/>
      </c>
      <c r="BV30" s="39"/>
      <c r="BW30" s="22"/>
      <c r="BX30" s="31"/>
      <c r="BY30" s="36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4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6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4"/>
      <c r="CC30" s="36" t="str">
        <f t="array" aca="1" ref="CC30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"アレルギー")),"")</f>
        <v/>
      </c>
      <c r="CD30" s="39"/>
      <c r="CE30" s="22"/>
      <c r="CF30" s="36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4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6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4"/>
      <c r="CJ30" s="36" t="str">
        <f t="array" aca="1" ref="CJ30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"アレルギー")),"")</f>
        <v/>
      </c>
      <c r="CK30" s="39"/>
      <c r="CL30" s="22"/>
      <c r="CM30" s="31"/>
      <c r="CN30" s="36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4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6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4"/>
      <c r="CR30" s="36" t="str">
        <f t="array" aca="1" ref="CR30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"アレルギー")),"")</f>
        <v/>
      </c>
      <c r="CS30" s="39"/>
      <c r="CT30" s="22"/>
      <c r="CU30" s="36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4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6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4"/>
      <c r="CY30" s="36" t="str">
        <f t="array" aca="1" ref="CY30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"アレルギー")),"")</f>
        <v/>
      </c>
      <c r="CZ30" s="39"/>
      <c r="DA30" s="22"/>
      <c r="DB30" s="31"/>
      <c r="DC30" s="36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4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6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4"/>
      <c r="DG30" s="36" t="str">
        <f t="array" aca="1" ref="DG30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"アレルギー")),"")</f>
        <v/>
      </c>
      <c r="DH30" s="39"/>
      <c r="DI30" s="22"/>
      <c r="DJ30" s="36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4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6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4"/>
      <c r="DN30" s="36" t="str">
        <f t="array" aca="1" ref="DN30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"アレルギー")),"")</f>
        <v/>
      </c>
      <c r="DO30" s="39"/>
      <c r="DP30" s="22"/>
      <c r="DQ30" s="31"/>
      <c r="DR30" s="36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4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6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4"/>
      <c r="DV30" s="36" t="str">
        <f t="array" aca="1" ref="DV30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"アレルギー")),"")</f>
        <v/>
      </c>
      <c r="DW30" s="39"/>
      <c r="DX30" s="22"/>
      <c r="DY30" s="36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4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6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4"/>
      <c r="EC30" s="36" t="str">
        <f t="array" aca="1" ref="EC30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"アレルギー")),"")</f>
        <v/>
      </c>
      <c r="ED30" s="39"/>
      <c r="EE30" s="22"/>
      <c r="EF30" s="31"/>
      <c r="EG30" s="36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4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6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4"/>
      <c r="EK30" s="36" t="str">
        <f t="array" aca="1" ref="EK30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"アレルギー")),"")</f>
        <v/>
      </c>
      <c r="EL30" s="39"/>
      <c r="EM30" s="22"/>
      <c r="EN30" s="36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4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6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4"/>
      <c r="ER30" s="36" t="str">
        <f t="array" aca="1" ref="ER30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"アレルギー")),"")</f>
        <v/>
      </c>
      <c r="ES30" s="39"/>
      <c r="ET30" s="22"/>
    </row>
    <row r="31" spans="1:150" ht="27.6" customHeight="1">
      <c r="B31" s="157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150"/>
      <c r="D31" s="157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150"/>
      <c r="F31" s="158" t="str">
        <f t="array" aca="1" ref="F31" ca="1">IF(AND(C25&lt;&gt;"",C25&lt;&gt;"社食"),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INDIRECT("'盛付札（関数）'!AO"&amp;A25))),"")</f>
        <v/>
      </c>
      <c r="G31" s="150"/>
      <c r="I31" s="157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150"/>
      <c r="K31" s="157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150"/>
      <c r="M31" s="158" t="str">
        <f t="array" aca="1" ref="M31" ca="1">IF(AND(J25&lt;&gt;"",J25&lt;&gt;"社食"),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INDIRECT("'盛付札（関数）'!AO"&amp;H25))),"")</f>
        <v/>
      </c>
      <c r="N31" s="150"/>
      <c r="Q31" s="157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150"/>
      <c r="S31" s="157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150"/>
      <c r="U31" s="158" t="str">
        <f t="array" aca="1" ref="U31" ca="1">IF(AND(R25&lt;&gt;"",R25&lt;&gt;"社食"),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INDIRECT("'盛付札（関数）'!AO"&amp;P25))),"")</f>
        <v/>
      </c>
      <c r="V31" s="150"/>
      <c r="X31" s="157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150"/>
      <c r="Z31" s="157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150"/>
      <c r="AB31" s="158" t="str">
        <f t="array" aca="1" ref="AB31" ca="1">IF(AND(Y25&lt;&gt;"",Y25&lt;&gt;"社食"),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INDIRECT("'盛付札（関数）'!AO"&amp;W25))),"")</f>
        <v/>
      </c>
      <c r="AC31" s="150"/>
      <c r="AF31" s="157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150"/>
      <c r="AH31" s="157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150"/>
      <c r="AJ31" s="158" t="str">
        <f t="array" aca="1" ref="AJ31" ca="1">IF(AND(AG25&lt;&gt;"",AG25&lt;&gt;"社食"),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INDIRECT("'盛付札（関数）'!AO"&amp;AE25))),"")</f>
        <v/>
      </c>
      <c r="AK31" s="150"/>
      <c r="AM31" s="157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150"/>
      <c r="AO31" s="157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150"/>
      <c r="AQ31" s="158" t="str">
        <f t="array" aca="1" ref="AQ31" ca="1">IF(AND(AN25&lt;&gt;"",AN25&lt;&gt;"社食"),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INDIRECT("'盛付札（関数）'!AO"&amp;AL25))),"")</f>
        <v/>
      </c>
      <c r="AR31" s="150"/>
      <c r="AU31" s="157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150"/>
      <c r="AW31" s="157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150"/>
      <c r="AY31" s="158" t="str">
        <f t="array" aca="1" ref="AY31" ca="1">IF(AND(AV25&lt;&gt;"",AV25&lt;&gt;"社食"),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INDIRECT("'盛付札（関数）'!AO"&amp;AT25))),"")</f>
        <v/>
      </c>
      <c r="AZ31" s="150"/>
      <c r="BB31" s="157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150"/>
      <c r="BD31" s="157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150"/>
      <c r="BF31" s="158" t="str">
        <f t="array" aca="1" ref="BF31" ca="1">IF(AND(BC25&lt;&gt;"",BC25&lt;&gt;"社食"),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INDIRECT("'盛付札（関数）'!AO"&amp;BA25))),"")</f>
        <v/>
      </c>
      <c r="BG31" s="150"/>
      <c r="BJ31" s="157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150"/>
      <c r="BL31" s="157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150"/>
      <c r="BN31" s="158" t="str">
        <f t="array" aca="1" ref="BN31" ca="1">IF(AND(BK25&lt;&gt;"",BK25&lt;&gt;"社食"),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INDIRECT("'盛付札（関数）'!AO"&amp;BI25))),"")</f>
        <v/>
      </c>
      <c r="BO31" s="150"/>
      <c r="BQ31" s="157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150"/>
      <c r="BS31" s="157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150"/>
      <c r="BU31" s="158" t="str">
        <f t="array" aca="1" ref="BU31" ca="1">IF(AND(BR25&lt;&gt;"",BR25&lt;&gt;"社食"),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INDIRECT("'盛付札（関数）'!AO"&amp;BP25))),"")</f>
        <v/>
      </c>
      <c r="BV31" s="150"/>
      <c r="BY31" s="157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150"/>
      <c r="CA31" s="157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150"/>
      <c r="CC31" s="158" t="str">
        <f t="array" aca="1" ref="CC31" ca="1">IF(AND(BZ25&lt;&gt;"",BZ25&lt;&gt;"社食"),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INDIRECT("'盛付札（関数）'!AO"&amp;BX25))),"")</f>
        <v/>
      </c>
      <c r="CD31" s="150"/>
      <c r="CF31" s="157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150"/>
      <c r="CH31" s="157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150"/>
      <c r="CJ31" s="158" t="str">
        <f t="array" aca="1" ref="CJ31" ca="1">IF(AND(CG25&lt;&gt;"",CG25&lt;&gt;"社食"),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INDIRECT("'盛付札（関数）'!AO"&amp;CE25))),"")</f>
        <v/>
      </c>
      <c r="CK31" s="150"/>
      <c r="CN31" s="157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150"/>
      <c r="CP31" s="157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150"/>
      <c r="CR31" s="158" t="str">
        <f t="array" aca="1" ref="CR31" ca="1">IF(AND(CO25&lt;&gt;"",CO25&lt;&gt;"社食"),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INDIRECT("'盛付札（関数）'!AO"&amp;CM25))),"")</f>
        <v/>
      </c>
      <c r="CS31" s="150"/>
      <c r="CU31" s="157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150"/>
      <c r="CW31" s="157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150"/>
      <c r="CY31" s="158" t="str">
        <f t="array" aca="1" ref="CY31" ca="1">IF(AND(CV25&lt;&gt;"",CV25&lt;&gt;"社食"),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INDIRECT("'盛付札（関数）'!AO"&amp;CT25))),"")</f>
        <v/>
      </c>
      <c r="CZ31" s="150"/>
      <c r="DC31" s="157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150"/>
      <c r="DE31" s="157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150"/>
      <c r="DG31" s="158" t="str">
        <f t="array" aca="1" ref="DG31" ca="1">IF(AND(DD25&lt;&gt;"",DD25&lt;&gt;"社食"),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INDIRECT("'盛付札（関数）'!AO"&amp;DB25))),"")</f>
        <v/>
      </c>
      <c r="DH31" s="150"/>
      <c r="DJ31" s="157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150"/>
      <c r="DL31" s="157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150"/>
      <c r="DN31" s="158" t="str">
        <f t="array" aca="1" ref="DN31" ca="1">IF(AND(DK25&lt;&gt;"",DK25&lt;&gt;"社食"),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INDIRECT("'盛付札（関数）'!AO"&amp;DI25))),"")</f>
        <v/>
      </c>
      <c r="DO31" s="150"/>
      <c r="DR31" s="157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150"/>
      <c r="DT31" s="157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150"/>
      <c r="DV31" s="158" t="str">
        <f t="array" aca="1" ref="DV31" ca="1">IF(AND(DS25&lt;&gt;"",DS25&lt;&gt;"社食"),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INDIRECT("'盛付札（関数）'!AO"&amp;DQ25))),"")</f>
        <v/>
      </c>
      <c r="DW31" s="150"/>
      <c r="DY31" s="157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150"/>
      <c r="EA31" s="157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150"/>
      <c r="EC31" s="158" t="str">
        <f t="array" aca="1" ref="EC31" ca="1">IF(AND(DZ25&lt;&gt;"",DZ25&lt;&gt;"社食"),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INDIRECT("'盛付札（関数）'!AO"&amp;DX25))),"")</f>
        <v/>
      </c>
      <c r="ED31" s="150"/>
      <c r="EG31" s="157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150"/>
      <c r="EI31" s="157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150"/>
      <c r="EK31" s="158" t="str">
        <f t="array" aca="1" ref="EK31" ca="1">IF(AND(EH25&lt;&gt;"",EH25&lt;&gt;"社食"),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INDIRECT("'盛付札（関数）'!AO"&amp;EF25))),"")</f>
        <v/>
      </c>
      <c r="EL31" s="150"/>
      <c r="EN31" s="157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150"/>
      <c r="EP31" s="157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150"/>
      <c r="ER31" s="158" t="str">
        <f t="array" aca="1" ref="ER31" ca="1">IF(AND(EO25&lt;&gt;"",EO25&lt;&gt;"社食"),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INDIRECT("'盛付札（関数）'!AO"&amp;EM25))),"")</f>
        <v/>
      </c>
      <c r="ES31" s="150"/>
    </row>
    <row r="32" spans="1:150" ht="6.6" customHeight="1">
      <c r="B32" s="44"/>
      <c r="D32" s="44"/>
      <c r="F32" s="45"/>
      <c r="I32" s="44"/>
      <c r="K32" s="44"/>
      <c r="M32" s="45"/>
      <c r="Q32" s="44"/>
      <c r="S32" s="44"/>
      <c r="U32" s="45"/>
      <c r="X32" s="44"/>
      <c r="Z32" s="44"/>
      <c r="AB32" s="45"/>
      <c r="AF32" s="44"/>
      <c r="AH32" s="44"/>
      <c r="AJ32" s="45"/>
      <c r="AM32" s="44"/>
      <c r="AO32" s="44"/>
      <c r="AQ32" s="45"/>
      <c r="AU32" s="44"/>
      <c r="AW32" s="44"/>
      <c r="AY32" s="45"/>
      <c r="BB32" s="44"/>
      <c r="BD32" s="44"/>
      <c r="BF32" s="45"/>
      <c r="BJ32" s="44"/>
      <c r="BL32" s="44"/>
      <c r="BN32" s="45"/>
      <c r="BQ32" s="44"/>
      <c r="BS32" s="44"/>
      <c r="BU32" s="45"/>
      <c r="BY32" s="44"/>
      <c r="CA32" s="44"/>
      <c r="CC32" s="45"/>
      <c r="CF32" s="44"/>
      <c r="CH32" s="44"/>
      <c r="CJ32" s="45"/>
      <c r="CN32" s="44"/>
      <c r="CP32" s="44"/>
      <c r="CR32" s="45"/>
      <c r="CU32" s="44"/>
      <c r="CW32" s="44"/>
      <c r="CY32" s="45"/>
      <c r="DC32" s="44"/>
      <c r="DE32" s="44"/>
      <c r="DG32" s="45"/>
      <c r="DJ32" s="44"/>
      <c r="DL32" s="44"/>
      <c r="DN32" s="45"/>
      <c r="DR32" s="44"/>
      <c r="DT32" s="44"/>
      <c r="DV32" s="45"/>
      <c r="DY32" s="44"/>
      <c r="EA32" s="44"/>
      <c r="EC32" s="45"/>
      <c r="EG32" s="44"/>
      <c r="EI32" s="44"/>
      <c r="EK32" s="45"/>
      <c r="EN32" s="44"/>
      <c r="EP32" s="44"/>
      <c r="ER32" s="45"/>
    </row>
    <row r="33" spans="1:150" s="32" customFormat="1" ht="25.8" customHeight="1">
      <c r="A33" s="31">
        <f>H25+1</f>
        <v>9</v>
      </c>
      <c r="B33" s="42" t="str">
        <f ca="1">IF(C33&lt;&gt;"",
MID(貼り付け用!$A$2, FIND("年",貼り付け用!$A$2)+1,2)&amp;"/"&amp;MID(貼り付け用!$A$2, FIND("月",貼り付け用!$A$2)+1,2),"")</f>
        <v/>
      </c>
      <c r="C33" s="155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156"/>
      <c r="E33" s="156"/>
      <c r="F33" s="156"/>
      <c r="G33" s="41" t="str">
        <f t="array" aca="1" ref="G33" ca="1">IF(C33&lt;&gt;"",
IF(AND(INDIRECT("'盛付札（関数）'!AE"&amp;A33)&gt;=124,INDIRECT("'盛付札（関数）'!AE"&amp;A33)&lt;=144),"",
"様"),"")</f>
        <v/>
      </c>
      <c r="H33" s="35">
        <f>A33+1</f>
        <v>10</v>
      </c>
      <c r="I33" s="42" t="str">
        <f ca="1">IF(J33&lt;&gt;"",
MID(貼り付け用!$A$2, FIND("年",貼り付け用!$A$2)+1,2)&amp;"/"&amp;MID(貼り付け用!$A$2, FIND("月",貼り付け用!$A$2)+1,2),"")</f>
        <v/>
      </c>
      <c r="J33" s="155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156"/>
      <c r="L33" s="156"/>
      <c r="M33" s="156"/>
      <c r="N33" s="41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1">
        <f>W25+1</f>
        <v>21</v>
      </c>
      <c r="Q33" s="42" t="str">
        <f ca="1">IF(R33&lt;&gt;"",
MID(貼り付け用!$A$2, FIND("年",貼り付け用!$A$2)+1,2)&amp;"/"&amp;MID(貼り付け用!$A$2, FIND("月",貼り付け用!$A$2)+1,2),"")</f>
        <v/>
      </c>
      <c r="R33" s="155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156"/>
      <c r="T33" s="156"/>
      <c r="U33" s="156"/>
      <c r="V33" s="41" t="str">
        <f t="array" aca="1" ref="V33" ca="1">IF(R33&lt;&gt;"",
IF(AND(INDIRECT("'盛付札（関数）'!AE"&amp;P33)&gt;=124,INDIRECT("'盛付札（関数）'!AE"&amp;P33)&lt;=144),"",
"様"),"")</f>
        <v/>
      </c>
      <c r="W33" s="35">
        <f>P33+1</f>
        <v>22</v>
      </c>
      <c r="X33" s="42" t="str">
        <f ca="1">IF(Y33&lt;&gt;"",
MID(貼り付け用!$A$2, FIND("年",貼り付け用!$A$2)+1,2)&amp;"/"&amp;MID(貼り付け用!$A$2, FIND("月",貼り付け用!$A$2)+1,2),"")</f>
        <v/>
      </c>
      <c r="Y33" s="155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156"/>
      <c r="AA33" s="156"/>
      <c r="AB33" s="156"/>
      <c r="AC33" s="41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1">
        <f>AL25+1</f>
        <v>33</v>
      </c>
      <c r="AF33" s="42" t="str">
        <f ca="1">IF(AG33&lt;&gt;"",
MID(貼り付け用!$A$2, FIND("年",貼り付け用!$A$2)+1,2)&amp;"/"&amp;MID(貼り付け用!$A$2, FIND("月",貼り付け用!$A$2)+1,2),"")</f>
        <v/>
      </c>
      <c r="AG33" s="155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156"/>
      <c r="AI33" s="156"/>
      <c r="AJ33" s="156"/>
      <c r="AK33" s="41" t="str">
        <f t="array" aca="1" ref="AK33" ca="1">IF(AG33&lt;&gt;"",
IF(AND(INDIRECT("'盛付札（関数）'!AE"&amp;AE33)&gt;=124,INDIRECT("'盛付札（関数）'!AE"&amp;AE33)&lt;=144),"",
"様"),"")</f>
        <v/>
      </c>
      <c r="AL33" s="35">
        <f>AE33+1</f>
        <v>34</v>
      </c>
      <c r="AM33" s="42" t="str">
        <f ca="1">IF(AN33&lt;&gt;"",
MID(貼り付け用!$A$2, FIND("年",貼り付け用!$A$2)+1,2)&amp;"/"&amp;MID(貼り付け用!$A$2, FIND("月",貼り付け用!$A$2)+1,2),"")</f>
        <v/>
      </c>
      <c r="AN33" s="155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156"/>
      <c r="AP33" s="156"/>
      <c r="AQ33" s="156"/>
      <c r="AR33" s="41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1">
        <f>BA25+1</f>
        <v>45</v>
      </c>
      <c r="AU33" s="42" t="str">
        <f ca="1">IF(AV33&lt;&gt;"",
MID(貼り付け用!$A$2, FIND("年",貼り付け用!$A$2)+1,2)&amp;"/"&amp;MID(貼り付け用!$A$2, FIND("月",貼り付け用!$A$2)+1,2),"")</f>
        <v/>
      </c>
      <c r="AV33" s="155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156"/>
      <c r="AX33" s="156"/>
      <c r="AY33" s="156"/>
      <c r="AZ33" s="41" t="str">
        <f t="array" aca="1" ref="AZ33" ca="1">IF(AV33&lt;&gt;"",
IF(AND(INDIRECT("'盛付札（関数）'!AE"&amp;AT33)&gt;=124,INDIRECT("'盛付札（関数）'!AE"&amp;AT33)&lt;=144),"",
"様"),"")</f>
        <v/>
      </c>
      <c r="BA33" s="35">
        <f>AT33+1</f>
        <v>46</v>
      </c>
      <c r="BB33" s="42" t="str">
        <f ca="1">IF(BC33&lt;&gt;"",
MID(貼り付け用!$A$2, FIND("年",貼り付け用!$A$2)+1,2)&amp;"/"&amp;MID(貼り付け用!$A$2, FIND("月",貼り付け用!$A$2)+1,2),"")</f>
        <v/>
      </c>
      <c r="BC33" s="155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156"/>
      <c r="BE33" s="156"/>
      <c r="BF33" s="156"/>
      <c r="BG33" s="41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1">
        <f>BP25+1</f>
        <v>57</v>
      </c>
      <c r="BJ33" s="42" t="str">
        <f ca="1">IF(BK33&lt;&gt;"",
MID(貼り付け用!$A$2, FIND("年",貼り付け用!$A$2)+1,2)&amp;"/"&amp;MID(貼り付け用!$A$2, FIND("月",貼り付け用!$A$2)+1,2),"")</f>
        <v/>
      </c>
      <c r="BK33" s="155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156"/>
      <c r="BM33" s="156"/>
      <c r="BN33" s="156"/>
      <c r="BO33" s="41" t="str">
        <f t="array" aca="1" ref="BO33" ca="1">IF(BK33&lt;&gt;"",
IF(AND(INDIRECT("'盛付札（関数）'!AE"&amp;BI33)&gt;=124,INDIRECT("'盛付札（関数）'!AE"&amp;BI33)&lt;=144),"",
"様"),"")</f>
        <v/>
      </c>
      <c r="BP33" s="35">
        <f>BI33+1</f>
        <v>58</v>
      </c>
      <c r="BQ33" s="42" t="str">
        <f ca="1">IF(BR33&lt;&gt;"",
MID(貼り付け用!$A$2, FIND("年",貼り付け用!$A$2)+1,2)&amp;"/"&amp;MID(貼り付け用!$A$2, FIND("月",貼り付け用!$A$2)+1,2),"")</f>
        <v/>
      </c>
      <c r="BR33" s="155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156"/>
      <c r="BT33" s="156"/>
      <c r="BU33" s="156"/>
      <c r="BV33" s="41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1">
        <f>CE25+1</f>
        <v>69</v>
      </c>
      <c r="BY33" s="42" t="str">
        <f ca="1">IF(BZ33&lt;&gt;"",
MID(貼り付け用!$A$2, FIND("年",貼り付け用!$A$2)+1,2)&amp;"/"&amp;MID(貼り付け用!$A$2, FIND("月",貼り付け用!$A$2)+1,2),"")</f>
        <v/>
      </c>
      <c r="BZ33" s="155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156"/>
      <c r="CB33" s="156"/>
      <c r="CC33" s="156"/>
      <c r="CD33" s="41" t="str">
        <f t="array" aca="1" ref="CD33" ca="1">IF(BZ33&lt;&gt;"",
IF(AND(INDIRECT("'盛付札（関数）'!AE"&amp;BX33)&gt;=124,INDIRECT("'盛付札（関数）'!AE"&amp;BX33)&lt;=144),"",
"様"),"")</f>
        <v/>
      </c>
      <c r="CE33" s="35">
        <f>BX33+1</f>
        <v>70</v>
      </c>
      <c r="CF33" s="42" t="str">
        <f ca="1">IF(CG33&lt;&gt;"",
MID(貼り付け用!$A$2, FIND("年",貼り付け用!$A$2)+1,2)&amp;"/"&amp;MID(貼り付け用!$A$2, FIND("月",貼り付け用!$A$2)+1,2),"")</f>
        <v/>
      </c>
      <c r="CG33" s="155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156"/>
      <c r="CI33" s="156"/>
      <c r="CJ33" s="156"/>
      <c r="CK33" s="41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1">
        <f>CT25+1</f>
        <v>81</v>
      </c>
      <c r="CN33" s="42" t="str">
        <f ca="1">IF(CO33&lt;&gt;"",
MID(貼り付け用!$A$2, FIND("年",貼り付け用!$A$2)+1,2)&amp;"/"&amp;MID(貼り付け用!$A$2, FIND("月",貼り付け用!$A$2)+1,2),"")</f>
        <v/>
      </c>
      <c r="CO33" s="155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156"/>
      <c r="CQ33" s="156"/>
      <c r="CR33" s="156"/>
      <c r="CS33" s="41" t="str">
        <f t="array" aca="1" ref="CS33" ca="1">IF(CO33&lt;&gt;"",
IF(AND(INDIRECT("'盛付札（関数）'!AE"&amp;CM33)&gt;=124,INDIRECT("'盛付札（関数）'!AE"&amp;CM33)&lt;=144),"",
"様"),"")</f>
        <v/>
      </c>
      <c r="CT33" s="35">
        <f>CM33+1</f>
        <v>82</v>
      </c>
      <c r="CU33" s="42" t="str">
        <f ca="1">IF(CV33&lt;&gt;"",
MID(貼り付け用!$A$2, FIND("年",貼り付け用!$A$2)+1,2)&amp;"/"&amp;MID(貼り付け用!$A$2, FIND("月",貼り付け用!$A$2)+1,2),"")</f>
        <v/>
      </c>
      <c r="CV33" s="155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156"/>
      <c r="CX33" s="156"/>
      <c r="CY33" s="156"/>
      <c r="CZ33" s="41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1">
        <f>DI25+1</f>
        <v>93</v>
      </c>
      <c r="DC33" s="42" t="str">
        <f ca="1">IF(DD33&lt;&gt;"",
MID(貼り付け用!$A$2, FIND("年",貼り付け用!$A$2)+1,2)&amp;"/"&amp;MID(貼り付け用!$A$2, FIND("月",貼り付け用!$A$2)+1,2),"")</f>
        <v/>
      </c>
      <c r="DD33" s="155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156"/>
      <c r="DF33" s="156"/>
      <c r="DG33" s="156"/>
      <c r="DH33" s="41" t="str">
        <f t="array" aca="1" ref="DH33" ca="1">IF(DD33&lt;&gt;"",
IF(AND(INDIRECT("'盛付札（関数）'!AE"&amp;DB33)&gt;=124,INDIRECT("'盛付札（関数）'!AE"&amp;DB33)&lt;=144),"",
"様"),"")</f>
        <v/>
      </c>
      <c r="DI33" s="35">
        <f>DB33+1</f>
        <v>94</v>
      </c>
      <c r="DJ33" s="42" t="str">
        <f ca="1">IF(DK33&lt;&gt;"",
MID(貼り付け用!$A$2, FIND("年",貼り付け用!$A$2)+1,2)&amp;"/"&amp;MID(貼り付け用!$A$2, FIND("月",貼り付け用!$A$2)+1,2),"")</f>
        <v/>
      </c>
      <c r="DK33" s="155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156"/>
      <c r="DM33" s="156"/>
      <c r="DN33" s="156"/>
      <c r="DO33" s="41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1">
        <f>DX25+1</f>
        <v>105</v>
      </c>
      <c r="DR33" s="42" t="str">
        <f ca="1">IF(DS33&lt;&gt;"",
MID(貼り付け用!$A$2, FIND("年",貼り付け用!$A$2)+1,2)&amp;"/"&amp;MID(貼り付け用!$A$2, FIND("月",貼り付け用!$A$2)+1,2),"")</f>
        <v/>
      </c>
      <c r="DS33" s="155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156"/>
      <c r="DU33" s="156"/>
      <c r="DV33" s="156"/>
      <c r="DW33" s="41" t="str">
        <f t="array" aca="1" ref="DW33" ca="1">IF(DS33&lt;&gt;"",
IF(AND(INDIRECT("'盛付札（関数）'!AE"&amp;DQ33)&gt;=124,INDIRECT("'盛付札（関数）'!AE"&amp;DQ33)&lt;=144),"",
"様"),"")</f>
        <v/>
      </c>
      <c r="DX33" s="35">
        <f>DQ33+1</f>
        <v>106</v>
      </c>
      <c r="DY33" s="42" t="str">
        <f ca="1">IF(DZ33&lt;&gt;"",
MID(貼り付け用!$A$2, FIND("年",貼り付け用!$A$2)+1,2)&amp;"/"&amp;MID(貼り付け用!$A$2, FIND("月",貼り付け用!$A$2)+1,2),"")</f>
        <v/>
      </c>
      <c r="DZ33" s="155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156"/>
      <c r="EB33" s="156"/>
      <c r="EC33" s="156"/>
      <c r="ED33" s="41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1">
        <f>EM25+1</f>
        <v>117</v>
      </c>
      <c r="EG33" s="42" t="str">
        <f ca="1">IF(EH33&lt;&gt;"",
MID(貼り付け用!$A$2, FIND("年",貼り付け用!$A$2)+1,2)&amp;"/"&amp;MID(貼り付け用!$A$2, FIND("月",貼り付け用!$A$2)+1,2),"")</f>
        <v/>
      </c>
      <c r="EH33" s="155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156"/>
      <c r="EJ33" s="156"/>
      <c r="EK33" s="156"/>
      <c r="EL33" s="41" t="str">
        <f t="array" aca="1" ref="EL33" ca="1">IF(EH33&lt;&gt;"",
IF(AND(INDIRECT("'盛付札（関数）'!AE"&amp;EF33)&gt;=124,INDIRECT("'盛付札（関数）'!AE"&amp;EF33)&lt;=144),"",
"様"),"")</f>
        <v/>
      </c>
      <c r="EM33" s="35">
        <f>EF33+1</f>
        <v>118</v>
      </c>
      <c r="EN33" s="42" t="str">
        <f ca="1">IF(EO33&lt;&gt;"",
MID(貼り付け用!$A$2, FIND("年",貼り付け用!$A$2)+1,2)&amp;"/"&amp;MID(貼り付け用!$A$2, FIND("月",貼り付け用!$A$2)+1,2),"")</f>
        <v/>
      </c>
      <c r="EO33" s="155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156"/>
      <c r="EQ33" s="156"/>
      <c r="ER33" s="156"/>
      <c r="ES33" s="41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32" customFormat="1">
      <c r="A34" s="31"/>
      <c r="B34" s="109"/>
      <c r="C34" s="170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INDIRECT("'盛付札（関数）'!AG"&amp;A33))),"")</f>
        <v/>
      </c>
      <c r="D34" s="40"/>
      <c r="E34" s="40"/>
      <c r="F34" s="46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8"/>
      <c r="H34" s="47"/>
      <c r="I34" s="109"/>
      <c r="J34" s="170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INDIRECT("'盛付札（関数）'!AG"&amp;H33))),"")</f>
        <v/>
      </c>
      <c r="K34" s="40"/>
      <c r="L34" s="40"/>
      <c r="M34" s="46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8"/>
      <c r="O34" s="22"/>
      <c r="P34" s="31"/>
      <c r="Q34" s="109"/>
      <c r="R34" s="170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INDIRECT("'盛付札（関数）'!AG"&amp;P33))),"")</f>
        <v/>
      </c>
      <c r="S34" s="40"/>
      <c r="T34" s="40"/>
      <c r="U34" s="46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8"/>
      <c r="W34" s="47"/>
      <c r="X34" s="109"/>
      <c r="Y34" s="170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INDIRECT("'盛付札（関数）'!AG"&amp;W33))),"")</f>
        <v/>
      </c>
      <c r="Z34" s="40"/>
      <c r="AA34" s="40"/>
      <c r="AB34" s="46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8"/>
      <c r="AD34" s="22"/>
      <c r="AE34" s="31"/>
      <c r="AF34" s="109"/>
      <c r="AG34" s="170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INDIRECT("'盛付札（関数）'!AG"&amp;AE33))),"")</f>
        <v/>
      </c>
      <c r="AH34" s="40"/>
      <c r="AI34" s="40"/>
      <c r="AJ34" s="46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8"/>
      <c r="AL34" s="47"/>
      <c r="AM34" s="109"/>
      <c r="AN34" s="170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INDIRECT("'盛付札（関数）'!AG"&amp;AL33))),"")</f>
        <v/>
      </c>
      <c r="AO34" s="40"/>
      <c r="AP34" s="40"/>
      <c r="AQ34" s="46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8"/>
      <c r="AS34" s="22"/>
      <c r="AT34" s="31"/>
      <c r="AU34" s="109"/>
      <c r="AV34" s="170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INDIRECT("'盛付札（関数）'!AG"&amp;AT33))),"")</f>
        <v/>
      </c>
      <c r="AW34" s="40"/>
      <c r="AX34" s="40"/>
      <c r="AY34" s="46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8"/>
      <c r="BA34" s="47"/>
      <c r="BB34" s="109"/>
      <c r="BC34" s="170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INDIRECT("'盛付札（関数）'!AG"&amp;BA33))),"")</f>
        <v/>
      </c>
      <c r="BD34" s="40"/>
      <c r="BE34" s="40"/>
      <c r="BF34" s="46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8"/>
      <c r="BH34" s="22"/>
      <c r="BI34" s="31"/>
      <c r="BJ34" s="109"/>
      <c r="BK34" s="170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INDIRECT("'盛付札（関数）'!AG"&amp;BI33))),"")</f>
        <v/>
      </c>
      <c r="BL34" s="40"/>
      <c r="BM34" s="40"/>
      <c r="BN34" s="46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8"/>
      <c r="BP34" s="47"/>
      <c r="BQ34" s="109"/>
      <c r="BR34" s="170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INDIRECT("'盛付札（関数）'!AG"&amp;BP33))),"")</f>
        <v/>
      </c>
      <c r="BS34" s="40"/>
      <c r="BT34" s="40"/>
      <c r="BU34" s="46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8"/>
      <c r="BW34" s="22"/>
      <c r="BX34" s="31"/>
      <c r="BY34" s="109"/>
      <c r="BZ34" s="170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INDIRECT("'盛付札（関数）'!AG"&amp;BX33))),"")</f>
        <v/>
      </c>
      <c r="CA34" s="40"/>
      <c r="CB34" s="40"/>
      <c r="CC34" s="46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8"/>
      <c r="CE34" s="47"/>
      <c r="CF34" s="109"/>
      <c r="CG34" s="170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INDIRECT("'盛付札（関数）'!AG"&amp;CE33))),"")</f>
        <v/>
      </c>
      <c r="CH34" s="40"/>
      <c r="CI34" s="40"/>
      <c r="CJ34" s="46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8"/>
      <c r="CL34" s="22"/>
      <c r="CM34" s="31"/>
      <c r="CN34" s="109"/>
      <c r="CO34" s="170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INDIRECT("'盛付札（関数）'!AG"&amp;CM33))),"")</f>
        <v/>
      </c>
      <c r="CP34" s="40"/>
      <c r="CQ34" s="40"/>
      <c r="CR34" s="46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8"/>
      <c r="CT34" s="47"/>
      <c r="CU34" s="109"/>
      <c r="CV34" s="170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INDIRECT("'盛付札（関数）'!AG"&amp;CT33))),"")</f>
        <v/>
      </c>
      <c r="CW34" s="40"/>
      <c r="CX34" s="40"/>
      <c r="CY34" s="46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8"/>
      <c r="DA34" s="22"/>
      <c r="DB34" s="31"/>
      <c r="DC34" s="109"/>
      <c r="DD34" s="170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INDIRECT("'盛付札（関数）'!AG"&amp;DB33))),"")</f>
        <v/>
      </c>
      <c r="DE34" s="40"/>
      <c r="DF34" s="40"/>
      <c r="DG34" s="46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8"/>
      <c r="DI34" s="47"/>
      <c r="DJ34" s="109"/>
      <c r="DK34" s="170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INDIRECT("'盛付札（関数）'!AG"&amp;DI33))),"")</f>
        <v/>
      </c>
      <c r="DL34" s="40"/>
      <c r="DM34" s="40"/>
      <c r="DN34" s="46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8"/>
      <c r="DP34" s="22"/>
      <c r="DQ34" s="31"/>
      <c r="DR34" s="109"/>
      <c r="DS34" s="170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INDIRECT("'盛付札（関数）'!AG"&amp;DQ33))),"")</f>
        <v/>
      </c>
      <c r="DT34" s="40"/>
      <c r="DU34" s="40"/>
      <c r="DV34" s="46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8"/>
      <c r="DX34" s="47"/>
      <c r="DY34" s="109"/>
      <c r="DZ34" s="170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INDIRECT("'盛付札（関数）'!AG"&amp;DX33))),"")</f>
        <v/>
      </c>
      <c r="EA34" s="40"/>
      <c r="EB34" s="40"/>
      <c r="EC34" s="46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8"/>
      <c r="EE34" s="22"/>
      <c r="EF34" s="31"/>
      <c r="EG34" s="109"/>
      <c r="EH34" s="170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INDIRECT("'盛付札（関数）'!AG"&amp;EF33))),"")</f>
        <v/>
      </c>
      <c r="EI34" s="40"/>
      <c r="EJ34" s="40"/>
      <c r="EK34" s="46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8"/>
      <c r="EM34" s="47"/>
      <c r="EN34" s="109"/>
      <c r="EO34" s="170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INDIRECT("'盛付札（関数）'!AG"&amp;EM33))),"")</f>
        <v/>
      </c>
      <c r="EP34" s="40"/>
      <c r="EQ34" s="40"/>
      <c r="ER34" s="46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8"/>
      <c r="ET34" s="22"/>
    </row>
    <row r="35" spans="1:150" s="32" customFormat="1">
      <c r="A35" s="31"/>
      <c r="B35" s="33"/>
      <c r="C35" s="153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154"/>
      <c r="E35" s="22"/>
      <c r="F35" s="168" t="str" cm="1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9"/>
      <c r="H35" s="35"/>
      <c r="I35" s="33"/>
      <c r="J35" s="153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154"/>
      <c r="L35" s="22"/>
      <c r="M35" s="168" t="str" cm="1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9"/>
      <c r="O35" s="22"/>
      <c r="P35" s="31"/>
      <c r="Q35" s="33"/>
      <c r="R35" s="153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154"/>
      <c r="T35" s="22"/>
      <c r="U35" s="168" t="str" cm="1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9"/>
      <c r="W35" s="35"/>
      <c r="X35" s="33"/>
      <c r="Y35" s="153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154"/>
      <c r="AA35" s="22"/>
      <c r="AB35" s="168" t="str" cm="1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9"/>
      <c r="AD35" s="22"/>
      <c r="AE35" s="31"/>
      <c r="AF35" s="33"/>
      <c r="AG35" s="153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154"/>
      <c r="AI35" s="22"/>
      <c r="AJ35" s="168" t="str" cm="1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9"/>
      <c r="AL35" s="35"/>
      <c r="AM35" s="33"/>
      <c r="AN35" s="153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154"/>
      <c r="AP35" s="22"/>
      <c r="AQ35" s="168" t="str" cm="1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9"/>
      <c r="AS35" s="22"/>
      <c r="AT35" s="31"/>
      <c r="AU35" s="33"/>
      <c r="AV35" s="153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154"/>
      <c r="AX35" s="22"/>
      <c r="AY35" s="168" t="str" cm="1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9"/>
      <c r="BA35" s="35"/>
      <c r="BB35" s="33"/>
      <c r="BC35" s="153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154"/>
      <c r="BE35" s="22"/>
      <c r="BF35" s="168" t="str" cm="1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9"/>
      <c r="BH35" s="22"/>
      <c r="BI35" s="31"/>
      <c r="BJ35" s="33"/>
      <c r="BK35" s="153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154"/>
      <c r="BM35" s="22"/>
      <c r="BN35" s="168" t="str" cm="1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9"/>
      <c r="BP35" s="35"/>
      <c r="BQ35" s="33"/>
      <c r="BR35" s="153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154"/>
      <c r="BT35" s="22"/>
      <c r="BU35" s="168" t="str" cm="1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9"/>
      <c r="BW35" s="22"/>
      <c r="BX35" s="31"/>
      <c r="BY35" s="33"/>
      <c r="BZ35" s="153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154"/>
      <c r="CB35" s="22"/>
      <c r="CC35" s="168" t="str" cm="1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9"/>
      <c r="CE35" s="35"/>
      <c r="CF35" s="33"/>
      <c r="CG35" s="153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154"/>
      <c r="CI35" s="22"/>
      <c r="CJ35" s="168" t="str" cm="1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9"/>
      <c r="CL35" s="22"/>
      <c r="CM35" s="31"/>
      <c r="CN35" s="33"/>
      <c r="CO35" s="153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154"/>
      <c r="CQ35" s="22"/>
      <c r="CR35" s="168" t="str" cm="1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9"/>
      <c r="CT35" s="35"/>
      <c r="CU35" s="33"/>
      <c r="CV35" s="153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154"/>
      <c r="CX35" s="22"/>
      <c r="CY35" s="168" t="str" cm="1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9"/>
      <c r="DA35" s="22"/>
      <c r="DB35" s="31"/>
      <c r="DC35" s="33"/>
      <c r="DD35" s="153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154"/>
      <c r="DF35" s="22"/>
      <c r="DG35" s="168" t="str" cm="1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9"/>
      <c r="DI35" s="35"/>
      <c r="DJ35" s="33"/>
      <c r="DK35" s="153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154"/>
      <c r="DM35" s="22"/>
      <c r="DN35" s="168" t="str" cm="1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9"/>
      <c r="DP35" s="22"/>
      <c r="DQ35" s="31"/>
      <c r="DR35" s="33"/>
      <c r="DS35" s="153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154"/>
      <c r="DU35" s="22"/>
      <c r="DV35" s="168" t="str" cm="1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9"/>
      <c r="DX35" s="35"/>
      <c r="DY35" s="33"/>
      <c r="DZ35" s="153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154"/>
      <c r="EB35" s="22"/>
      <c r="EC35" s="168" t="str" cm="1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9"/>
      <c r="EE35" s="22"/>
      <c r="EF35" s="31"/>
      <c r="EG35" s="33"/>
      <c r="EH35" s="153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154"/>
      <c r="EJ35" s="22"/>
      <c r="EK35" s="168" t="str" cm="1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9"/>
      <c r="EM35" s="35"/>
      <c r="EN35" s="33"/>
      <c r="EO35" s="153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154"/>
      <c r="EQ35" s="22"/>
      <c r="ER35" s="168" t="str" cm="1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9"/>
      <c r="ET35" s="22"/>
    </row>
    <row r="36" spans="1:150" ht="15.6" customHeight="1">
      <c r="B36" s="25"/>
      <c r="C36" s="151" t="str">
        <f t="array" aca="1" ref="C36" ca="1">IF(C33&lt;&gt;"",INDIRECT("'盛付札（関数）'!AJ"&amp;A33),"")</f>
        <v/>
      </c>
      <c r="D36" s="152"/>
      <c r="E36" s="48"/>
      <c r="F36" s="147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148"/>
      <c r="H36" s="26"/>
      <c r="I36" s="25"/>
      <c r="J36" s="151" t="str">
        <f t="array" aca="1" ref="J36" ca="1">IF(J33&lt;&gt;"",INDIRECT("'盛付札（関数）'!AJ"&amp;H33),"")</f>
        <v/>
      </c>
      <c r="K36" s="152"/>
      <c r="L36" s="48"/>
      <c r="M36" s="147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148"/>
      <c r="Q36" s="25"/>
      <c r="R36" s="151" t="str">
        <f t="array" aca="1" ref="R36" ca="1">IF(R33&lt;&gt;"",INDIRECT("'盛付札（関数）'!AJ"&amp;P33),"")</f>
        <v/>
      </c>
      <c r="S36" s="152"/>
      <c r="T36" s="48"/>
      <c r="U36" s="147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148"/>
      <c r="W36" s="26"/>
      <c r="X36" s="25"/>
      <c r="Y36" s="151" t="str">
        <f t="array" aca="1" ref="Y36" ca="1">IF(Y33&lt;&gt;"",INDIRECT("'盛付札（関数）'!AJ"&amp;W33),"")</f>
        <v/>
      </c>
      <c r="Z36" s="152"/>
      <c r="AA36" s="48"/>
      <c r="AB36" s="147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148"/>
      <c r="AF36" s="25"/>
      <c r="AG36" s="151" t="str">
        <f t="array" aca="1" ref="AG36" ca="1">IF(AG33&lt;&gt;"",INDIRECT("'盛付札（関数）'!AJ"&amp;AE33),"")</f>
        <v/>
      </c>
      <c r="AH36" s="152"/>
      <c r="AI36" s="48"/>
      <c r="AJ36" s="147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148"/>
      <c r="AL36" s="26"/>
      <c r="AM36" s="25"/>
      <c r="AN36" s="151" t="str">
        <f t="array" aca="1" ref="AN36" ca="1">IF(AN33&lt;&gt;"",INDIRECT("'盛付札（関数）'!AJ"&amp;AL33),"")</f>
        <v/>
      </c>
      <c r="AO36" s="152"/>
      <c r="AP36" s="48"/>
      <c r="AQ36" s="147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148"/>
      <c r="AU36" s="25"/>
      <c r="AV36" s="151" t="str">
        <f t="array" aca="1" ref="AV36" ca="1">IF(AV33&lt;&gt;"",INDIRECT("'盛付札（関数）'!AJ"&amp;AT33),"")</f>
        <v/>
      </c>
      <c r="AW36" s="152"/>
      <c r="AX36" s="48"/>
      <c r="AY36" s="147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148"/>
      <c r="BA36" s="26"/>
      <c r="BB36" s="25"/>
      <c r="BC36" s="151" t="str">
        <f t="array" aca="1" ref="BC36" ca="1">IF(BC33&lt;&gt;"",INDIRECT("'盛付札（関数）'!AJ"&amp;BA33),"")</f>
        <v/>
      </c>
      <c r="BD36" s="152"/>
      <c r="BE36" s="48"/>
      <c r="BF36" s="147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148"/>
      <c r="BJ36" s="25"/>
      <c r="BK36" s="151" t="str">
        <f t="array" aca="1" ref="BK36" ca="1">IF(BK33&lt;&gt;"",INDIRECT("'盛付札（関数）'!AJ"&amp;BI33),"")</f>
        <v/>
      </c>
      <c r="BL36" s="152"/>
      <c r="BM36" s="48"/>
      <c r="BN36" s="147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148"/>
      <c r="BP36" s="26"/>
      <c r="BQ36" s="25"/>
      <c r="BR36" s="151" t="str">
        <f t="array" aca="1" ref="BR36" ca="1">IF(BR33&lt;&gt;"",INDIRECT("'盛付札（関数）'!AJ"&amp;BP33),"")</f>
        <v/>
      </c>
      <c r="BS36" s="152"/>
      <c r="BT36" s="48"/>
      <c r="BU36" s="147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148"/>
      <c r="BY36" s="25"/>
      <c r="BZ36" s="151" t="str">
        <f t="array" aca="1" ref="BZ36" ca="1">IF(BZ33&lt;&gt;"",INDIRECT("'盛付札（関数）'!AJ"&amp;BX33),"")</f>
        <v/>
      </c>
      <c r="CA36" s="152"/>
      <c r="CB36" s="48"/>
      <c r="CC36" s="147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148"/>
      <c r="CE36" s="26"/>
      <c r="CF36" s="25"/>
      <c r="CG36" s="151" t="str">
        <f t="array" aca="1" ref="CG36" ca="1">IF(CG33&lt;&gt;"",INDIRECT("'盛付札（関数）'!AJ"&amp;CE33),"")</f>
        <v/>
      </c>
      <c r="CH36" s="152"/>
      <c r="CI36" s="48"/>
      <c r="CJ36" s="147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148"/>
      <c r="CN36" s="25"/>
      <c r="CO36" s="151" t="str">
        <f t="array" aca="1" ref="CO36" ca="1">IF(CO33&lt;&gt;"",INDIRECT("'盛付札（関数）'!AJ"&amp;CM33),"")</f>
        <v/>
      </c>
      <c r="CP36" s="152"/>
      <c r="CQ36" s="48"/>
      <c r="CR36" s="147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148"/>
      <c r="CT36" s="26"/>
      <c r="CU36" s="25"/>
      <c r="CV36" s="151" t="str">
        <f t="array" aca="1" ref="CV36" ca="1">IF(CV33&lt;&gt;"",INDIRECT("'盛付札（関数）'!AJ"&amp;CT33),"")</f>
        <v/>
      </c>
      <c r="CW36" s="152"/>
      <c r="CX36" s="48"/>
      <c r="CY36" s="147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148"/>
      <c r="DC36" s="25"/>
      <c r="DD36" s="151" t="str">
        <f t="array" aca="1" ref="DD36" ca="1">IF(DD33&lt;&gt;"",INDIRECT("'盛付札（関数）'!AJ"&amp;DB33),"")</f>
        <v/>
      </c>
      <c r="DE36" s="152"/>
      <c r="DF36" s="48"/>
      <c r="DG36" s="147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148"/>
      <c r="DI36" s="26"/>
      <c r="DJ36" s="25"/>
      <c r="DK36" s="151" t="str">
        <f t="array" aca="1" ref="DK36" ca="1">IF(DK33&lt;&gt;"",INDIRECT("'盛付札（関数）'!AJ"&amp;DI33),"")</f>
        <v/>
      </c>
      <c r="DL36" s="152"/>
      <c r="DM36" s="48"/>
      <c r="DN36" s="147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148"/>
      <c r="DR36" s="25"/>
      <c r="DS36" s="151" t="str">
        <f t="array" aca="1" ref="DS36" ca="1">IF(DS33&lt;&gt;"",INDIRECT("'盛付札（関数）'!AJ"&amp;DQ33),"")</f>
        <v/>
      </c>
      <c r="DT36" s="152"/>
      <c r="DU36" s="48"/>
      <c r="DV36" s="147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148"/>
      <c r="DX36" s="26"/>
      <c r="DY36" s="25"/>
      <c r="DZ36" s="151" t="str">
        <f t="array" aca="1" ref="DZ36" ca="1">IF(DZ33&lt;&gt;"",INDIRECT("'盛付札（関数）'!AJ"&amp;DX33),"")</f>
        <v/>
      </c>
      <c r="EA36" s="152"/>
      <c r="EB36" s="48"/>
      <c r="EC36" s="147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148"/>
      <c r="EG36" s="25"/>
      <c r="EH36" s="151" t="str">
        <f t="array" aca="1" ref="EH36" ca="1">IF(EH33&lt;&gt;"",INDIRECT("'盛付札（関数）'!AJ"&amp;EF33),"")</f>
        <v/>
      </c>
      <c r="EI36" s="152"/>
      <c r="EJ36" s="48"/>
      <c r="EK36" s="147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148"/>
      <c r="EM36" s="26"/>
      <c r="EN36" s="25"/>
      <c r="EO36" s="151" t="str">
        <f t="array" aca="1" ref="EO36" ca="1">IF(EO33&lt;&gt;"",INDIRECT("'盛付札（関数）'!AJ"&amp;EM33),"")</f>
        <v/>
      </c>
      <c r="EP36" s="152"/>
      <c r="EQ36" s="48"/>
      <c r="ER36" s="147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148"/>
    </row>
    <row r="37" spans="1:150" ht="15.6" customHeight="1">
      <c r="B37" s="27"/>
      <c r="C37" s="149"/>
      <c r="D37" s="149"/>
      <c r="E37" s="43"/>
      <c r="F37" s="149"/>
      <c r="G37" s="150"/>
      <c r="H37" s="26"/>
      <c r="I37" s="27"/>
      <c r="J37" s="149"/>
      <c r="K37" s="149"/>
      <c r="L37" s="43"/>
      <c r="M37" s="149"/>
      <c r="N37" s="150"/>
      <c r="Q37" s="27"/>
      <c r="R37" s="149"/>
      <c r="S37" s="149"/>
      <c r="T37" s="43"/>
      <c r="U37" s="149"/>
      <c r="V37" s="150"/>
      <c r="W37" s="26"/>
      <c r="X37" s="27"/>
      <c r="Y37" s="149"/>
      <c r="Z37" s="149"/>
      <c r="AA37" s="43"/>
      <c r="AB37" s="149"/>
      <c r="AC37" s="150"/>
      <c r="AF37" s="27"/>
      <c r="AG37" s="149"/>
      <c r="AH37" s="149"/>
      <c r="AI37" s="43"/>
      <c r="AJ37" s="149"/>
      <c r="AK37" s="150"/>
      <c r="AL37" s="26"/>
      <c r="AM37" s="27"/>
      <c r="AN37" s="149"/>
      <c r="AO37" s="149"/>
      <c r="AP37" s="43"/>
      <c r="AQ37" s="149"/>
      <c r="AR37" s="150"/>
      <c r="AU37" s="27"/>
      <c r="AV37" s="149"/>
      <c r="AW37" s="149"/>
      <c r="AX37" s="43"/>
      <c r="AY37" s="149"/>
      <c r="AZ37" s="150"/>
      <c r="BA37" s="26"/>
      <c r="BB37" s="27"/>
      <c r="BC37" s="149"/>
      <c r="BD37" s="149"/>
      <c r="BE37" s="43"/>
      <c r="BF37" s="149"/>
      <c r="BG37" s="150"/>
      <c r="BJ37" s="27"/>
      <c r="BK37" s="149"/>
      <c r="BL37" s="149"/>
      <c r="BM37" s="43"/>
      <c r="BN37" s="149"/>
      <c r="BO37" s="150"/>
      <c r="BP37" s="26"/>
      <c r="BQ37" s="27"/>
      <c r="BR37" s="149"/>
      <c r="BS37" s="149"/>
      <c r="BT37" s="43"/>
      <c r="BU37" s="149"/>
      <c r="BV37" s="150"/>
      <c r="BY37" s="27"/>
      <c r="BZ37" s="149"/>
      <c r="CA37" s="149"/>
      <c r="CB37" s="43"/>
      <c r="CC37" s="149"/>
      <c r="CD37" s="150"/>
      <c r="CE37" s="26"/>
      <c r="CF37" s="27"/>
      <c r="CG37" s="149"/>
      <c r="CH37" s="149"/>
      <c r="CI37" s="43"/>
      <c r="CJ37" s="149"/>
      <c r="CK37" s="150"/>
      <c r="CN37" s="27"/>
      <c r="CO37" s="149"/>
      <c r="CP37" s="149"/>
      <c r="CQ37" s="43"/>
      <c r="CR37" s="149"/>
      <c r="CS37" s="150"/>
      <c r="CT37" s="26"/>
      <c r="CU37" s="27"/>
      <c r="CV37" s="149"/>
      <c r="CW37" s="149"/>
      <c r="CX37" s="43"/>
      <c r="CY37" s="149"/>
      <c r="CZ37" s="150"/>
      <c r="DC37" s="27"/>
      <c r="DD37" s="149"/>
      <c r="DE37" s="149"/>
      <c r="DF37" s="43"/>
      <c r="DG37" s="149"/>
      <c r="DH37" s="150"/>
      <c r="DI37" s="26"/>
      <c r="DJ37" s="27"/>
      <c r="DK37" s="149"/>
      <c r="DL37" s="149"/>
      <c r="DM37" s="43"/>
      <c r="DN37" s="149"/>
      <c r="DO37" s="150"/>
      <c r="DR37" s="27"/>
      <c r="DS37" s="149"/>
      <c r="DT37" s="149"/>
      <c r="DU37" s="43"/>
      <c r="DV37" s="149"/>
      <c r="DW37" s="150"/>
      <c r="DX37" s="26"/>
      <c r="DY37" s="27"/>
      <c r="DZ37" s="149"/>
      <c r="EA37" s="149"/>
      <c r="EB37" s="43"/>
      <c r="EC37" s="149"/>
      <c r="ED37" s="150"/>
      <c r="EG37" s="27"/>
      <c r="EH37" s="149"/>
      <c r="EI37" s="149"/>
      <c r="EJ37" s="43"/>
      <c r="EK37" s="149"/>
      <c r="EL37" s="150"/>
      <c r="EM37" s="26"/>
      <c r="EN37" s="27"/>
      <c r="EO37" s="149"/>
      <c r="EP37" s="149"/>
      <c r="EQ37" s="43"/>
      <c r="ER37" s="149"/>
      <c r="ES37" s="150"/>
    </row>
    <row r="38" spans="1:150" s="32" customFormat="1">
      <c r="A38" s="31"/>
      <c r="B38" s="36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4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6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4"/>
      <c r="F38" s="36" t="str">
        <f t="array" aca="1" ref="F38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"アレルギー")),"")</f>
        <v/>
      </c>
      <c r="G38" s="39"/>
      <c r="H38" s="22"/>
      <c r="I38" s="36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4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6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4"/>
      <c r="M38" s="36" t="str">
        <f t="array" aca="1" ref="M38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"アレルギー")),"")</f>
        <v/>
      </c>
      <c r="N38" s="39"/>
      <c r="O38" s="22"/>
      <c r="P38" s="31"/>
      <c r="Q38" s="36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4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6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4"/>
      <c r="U38" s="36" t="str">
        <f t="array" aca="1" ref="U38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"アレルギー")),"")</f>
        <v/>
      </c>
      <c r="V38" s="39"/>
      <c r="W38" s="22"/>
      <c r="X38" s="36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4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6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4"/>
      <c r="AB38" s="36" t="str">
        <f t="array" aca="1" ref="AB38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"アレルギー")),"")</f>
        <v/>
      </c>
      <c r="AC38" s="39"/>
      <c r="AD38" s="22"/>
      <c r="AE38" s="31"/>
      <c r="AF38" s="36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4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6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4"/>
      <c r="AJ38" s="36" t="str">
        <f t="array" aca="1" ref="AJ38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"アレルギー")),"")</f>
        <v/>
      </c>
      <c r="AK38" s="39"/>
      <c r="AL38" s="22"/>
      <c r="AM38" s="36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4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6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4"/>
      <c r="AQ38" s="36" t="str">
        <f t="array" aca="1" ref="AQ38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"アレルギー")),"")</f>
        <v/>
      </c>
      <c r="AR38" s="39"/>
      <c r="AS38" s="22"/>
      <c r="AT38" s="31"/>
      <c r="AU38" s="36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4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6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4"/>
      <c r="AY38" s="36" t="str">
        <f t="array" aca="1" ref="AY38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"アレルギー")),"")</f>
        <v/>
      </c>
      <c r="AZ38" s="39"/>
      <c r="BA38" s="22"/>
      <c r="BB38" s="36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4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6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4"/>
      <c r="BF38" s="36" t="str">
        <f t="array" aca="1" ref="BF38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"アレルギー")),"")</f>
        <v/>
      </c>
      <c r="BG38" s="39"/>
      <c r="BH38" s="22"/>
      <c r="BI38" s="31"/>
      <c r="BJ38" s="36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4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6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4"/>
      <c r="BN38" s="36" t="str">
        <f t="array" aca="1" ref="BN38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"アレルギー")),"")</f>
        <v/>
      </c>
      <c r="BO38" s="39"/>
      <c r="BP38" s="22"/>
      <c r="BQ38" s="36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4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6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4"/>
      <c r="BU38" s="36" t="str">
        <f t="array" aca="1" ref="BU38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"アレルギー")),"")</f>
        <v/>
      </c>
      <c r="BV38" s="39"/>
      <c r="BW38" s="22"/>
      <c r="BX38" s="31"/>
      <c r="BY38" s="36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4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6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4"/>
      <c r="CC38" s="36" t="str">
        <f t="array" aca="1" ref="CC38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"アレルギー")),"")</f>
        <v/>
      </c>
      <c r="CD38" s="39"/>
      <c r="CE38" s="22"/>
      <c r="CF38" s="36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4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6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4"/>
      <c r="CJ38" s="36" t="str">
        <f t="array" aca="1" ref="CJ38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"アレルギー")),"")</f>
        <v/>
      </c>
      <c r="CK38" s="39"/>
      <c r="CL38" s="22"/>
      <c r="CM38" s="31"/>
      <c r="CN38" s="36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4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6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4"/>
      <c r="CR38" s="36" t="str">
        <f t="array" aca="1" ref="CR38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"アレルギー")),"")</f>
        <v/>
      </c>
      <c r="CS38" s="39"/>
      <c r="CT38" s="22"/>
      <c r="CU38" s="36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4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6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4"/>
      <c r="CY38" s="36" t="str">
        <f t="array" aca="1" ref="CY38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"アレルギー")),"")</f>
        <v/>
      </c>
      <c r="CZ38" s="39"/>
      <c r="DA38" s="22"/>
      <c r="DB38" s="31"/>
      <c r="DC38" s="36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4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6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4"/>
      <c r="DG38" s="36" t="str">
        <f t="array" aca="1" ref="DG38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"アレルギー")),"")</f>
        <v/>
      </c>
      <c r="DH38" s="39"/>
      <c r="DI38" s="22"/>
      <c r="DJ38" s="36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4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6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4"/>
      <c r="DN38" s="36" t="str">
        <f t="array" aca="1" ref="DN38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"アレルギー")),"")</f>
        <v/>
      </c>
      <c r="DO38" s="39"/>
      <c r="DP38" s="22"/>
      <c r="DQ38" s="31"/>
      <c r="DR38" s="36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4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6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4"/>
      <c r="DV38" s="36" t="str">
        <f t="array" aca="1" ref="DV38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"アレルギー")),"")</f>
        <v/>
      </c>
      <c r="DW38" s="39"/>
      <c r="DX38" s="22"/>
      <c r="DY38" s="36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4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6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4"/>
      <c r="EC38" s="36" t="str">
        <f t="array" aca="1" ref="EC38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"アレルギー")),"")</f>
        <v/>
      </c>
      <c r="ED38" s="39"/>
      <c r="EE38" s="22"/>
      <c r="EF38" s="31"/>
      <c r="EG38" s="36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4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6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4"/>
      <c r="EK38" s="36" t="str">
        <f t="array" aca="1" ref="EK38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"アレルギー")),"")</f>
        <v/>
      </c>
      <c r="EL38" s="39"/>
      <c r="EM38" s="22"/>
      <c r="EN38" s="36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4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6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4"/>
      <c r="ER38" s="36" t="str">
        <f t="array" aca="1" ref="ER38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"アレルギー")),"")</f>
        <v/>
      </c>
      <c r="ES38" s="39"/>
      <c r="ET38" s="22"/>
    </row>
    <row r="39" spans="1:150" ht="27.6" customHeight="1">
      <c r="B39" s="157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150"/>
      <c r="D39" s="157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150"/>
      <c r="F39" s="158" t="str">
        <f t="array" aca="1" ref="F39" ca="1">IF(AND(C33&lt;&gt;"",C33&lt;&gt;"社食"),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INDIRECT("'盛付札（関数）'!AO"&amp;A33))),"")</f>
        <v/>
      </c>
      <c r="G39" s="150"/>
      <c r="I39" s="157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150"/>
      <c r="K39" s="157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150"/>
      <c r="M39" s="158" t="str">
        <f t="array" aca="1" ref="M39" ca="1">IF(AND(J33&lt;&gt;"",J33&lt;&gt;"社食"),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INDIRECT("'盛付札（関数）'!AO"&amp;H33))),"")</f>
        <v/>
      </c>
      <c r="N39" s="150"/>
      <c r="Q39" s="157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150"/>
      <c r="S39" s="157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150"/>
      <c r="U39" s="158" t="str">
        <f t="array" aca="1" ref="U39" ca="1">IF(AND(R33&lt;&gt;"",R33&lt;&gt;"社食"),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INDIRECT("'盛付札（関数）'!AO"&amp;P33))),"")</f>
        <v/>
      </c>
      <c r="V39" s="150"/>
      <c r="X39" s="157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150"/>
      <c r="Z39" s="157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150"/>
      <c r="AB39" s="158" t="str">
        <f t="array" aca="1" ref="AB39" ca="1">IF(AND(Y33&lt;&gt;"",Y33&lt;&gt;"社食"),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INDIRECT("'盛付札（関数）'!AO"&amp;W33))),"")</f>
        <v/>
      </c>
      <c r="AC39" s="150"/>
      <c r="AF39" s="157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150"/>
      <c r="AH39" s="157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150"/>
      <c r="AJ39" s="158" t="str">
        <f t="array" aca="1" ref="AJ39" ca="1">IF(AND(AG33&lt;&gt;"",AG33&lt;&gt;"社食"),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INDIRECT("'盛付札（関数）'!AO"&amp;AE33))),"")</f>
        <v/>
      </c>
      <c r="AK39" s="150"/>
      <c r="AM39" s="157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150"/>
      <c r="AO39" s="157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150"/>
      <c r="AQ39" s="158" t="str">
        <f t="array" aca="1" ref="AQ39" ca="1">IF(AND(AN33&lt;&gt;"",AN33&lt;&gt;"社食"),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INDIRECT("'盛付札（関数）'!AO"&amp;AL33))),"")</f>
        <v/>
      </c>
      <c r="AR39" s="150"/>
      <c r="AU39" s="157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150"/>
      <c r="AW39" s="157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150"/>
      <c r="AY39" s="158" t="str">
        <f t="array" aca="1" ref="AY39" ca="1">IF(AND(AV33&lt;&gt;"",AV33&lt;&gt;"社食"),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INDIRECT("'盛付札（関数）'!AO"&amp;AT33))),"")</f>
        <v/>
      </c>
      <c r="AZ39" s="150"/>
      <c r="BB39" s="157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150"/>
      <c r="BD39" s="157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150"/>
      <c r="BF39" s="158" t="str">
        <f t="array" aca="1" ref="BF39" ca="1">IF(AND(BC33&lt;&gt;"",BC33&lt;&gt;"社食"),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INDIRECT("'盛付札（関数）'!AO"&amp;BA33))),"")</f>
        <v/>
      </c>
      <c r="BG39" s="150"/>
      <c r="BJ39" s="157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150"/>
      <c r="BL39" s="157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150"/>
      <c r="BN39" s="158" t="str">
        <f t="array" aca="1" ref="BN39" ca="1">IF(AND(BK33&lt;&gt;"",BK33&lt;&gt;"社食"),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INDIRECT("'盛付札（関数）'!AO"&amp;BI33))),"")</f>
        <v/>
      </c>
      <c r="BO39" s="150"/>
      <c r="BQ39" s="157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150"/>
      <c r="BS39" s="157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150"/>
      <c r="BU39" s="158" t="str">
        <f t="array" aca="1" ref="BU39" ca="1">IF(AND(BR33&lt;&gt;"",BR33&lt;&gt;"社食"),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INDIRECT("'盛付札（関数）'!AO"&amp;BP33))),"")</f>
        <v/>
      </c>
      <c r="BV39" s="150"/>
      <c r="BY39" s="157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150"/>
      <c r="CA39" s="157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150"/>
      <c r="CC39" s="158" t="str">
        <f t="array" aca="1" ref="CC39" ca="1">IF(AND(BZ33&lt;&gt;"",BZ33&lt;&gt;"社食"),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INDIRECT("'盛付札（関数）'!AO"&amp;BX33))),"")</f>
        <v/>
      </c>
      <c r="CD39" s="150"/>
      <c r="CF39" s="157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150"/>
      <c r="CH39" s="157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150"/>
      <c r="CJ39" s="158" t="str">
        <f t="array" aca="1" ref="CJ39" ca="1">IF(AND(CG33&lt;&gt;"",CG33&lt;&gt;"社食"),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INDIRECT("'盛付札（関数）'!AO"&amp;CE33))),"")</f>
        <v/>
      </c>
      <c r="CK39" s="150"/>
      <c r="CN39" s="157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150"/>
      <c r="CP39" s="157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150"/>
      <c r="CR39" s="158" t="str">
        <f t="array" aca="1" ref="CR39" ca="1">IF(AND(CO33&lt;&gt;"",CO33&lt;&gt;"社食"),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INDIRECT("'盛付札（関数）'!AO"&amp;CM33))),"")</f>
        <v/>
      </c>
      <c r="CS39" s="150"/>
      <c r="CU39" s="157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150"/>
      <c r="CW39" s="157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150"/>
      <c r="CY39" s="158" t="str">
        <f t="array" aca="1" ref="CY39" ca="1">IF(AND(CV33&lt;&gt;"",CV33&lt;&gt;"社食"),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INDIRECT("'盛付札（関数）'!AO"&amp;CT33))),"")</f>
        <v/>
      </c>
      <c r="CZ39" s="150"/>
      <c r="DC39" s="157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150"/>
      <c r="DE39" s="157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150"/>
      <c r="DG39" s="158" t="str">
        <f t="array" aca="1" ref="DG39" ca="1">IF(AND(DD33&lt;&gt;"",DD33&lt;&gt;"社食"),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INDIRECT("'盛付札（関数）'!AO"&amp;DB33))),"")</f>
        <v/>
      </c>
      <c r="DH39" s="150"/>
      <c r="DJ39" s="157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150"/>
      <c r="DL39" s="157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150"/>
      <c r="DN39" s="158" t="str">
        <f t="array" aca="1" ref="DN39" ca="1">IF(AND(DK33&lt;&gt;"",DK33&lt;&gt;"社食"),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INDIRECT("'盛付札（関数）'!AO"&amp;DI33))),"")</f>
        <v/>
      </c>
      <c r="DO39" s="150"/>
      <c r="DR39" s="157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150"/>
      <c r="DT39" s="157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150"/>
      <c r="DV39" s="158" t="str">
        <f t="array" aca="1" ref="DV39" ca="1">IF(AND(DS33&lt;&gt;"",DS33&lt;&gt;"社食"),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INDIRECT("'盛付札（関数）'!AO"&amp;DQ33))),"")</f>
        <v/>
      </c>
      <c r="DW39" s="150"/>
      <c r="DY39" s="157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150"/>
      <c r="EA39" s="157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150"/>
      <c r="EC39" s="158" t="str">
        <f t="array" aca="1" ref="EC39" ca="1">IF(AND(DZ33&lt;&gt;"",DZ33&lt;&gt;"社食"),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INDIRECT("'盛付札（関数）'!AO"&amp;DX33))),"")</f>
        <v/>
      </c>
      <c r="ED39" s="150"/>
      <c r="EG39" s="157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150"/>
      <c r="EI39" s="157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150"/>
      <c r="EK39" s="158" t="str">
        <f t="array" aca="1" ref="EK39" ca="1">IF(AND(EH33&lt;&gt;"",EH33&lt;&gt;"社食"),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INDIRECT("'盛付札（関数）'!AO"&amp;EF33))),"")</f>
        <v/>
      </c>
      <c r="EL39" s="150"/>
      <c r="EN39" s="157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150"/>
      <c r="EP39" s="157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150"/>
      <c r="ER39" s="158" t="str">
        <f t="array" aca="1" ref="ER39" ca="1">IF(AND(EO33&lt;&gt;"",EO33&lt;&gt;"社食"),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INDIRECT("'盛付札（関数）'!AO"&amp;EM33))),"")</f>
        <v/>
      </c>
      <c r="ES39" s="150"/>
    </row>
    <row r="40" spans="1:150" ht="6.6" customHeight="1">
      <c r="B40" s="44"/>
      <c r="D40" s="44"/>
      <c r="F40" s="45"/>
      <c r="I40" s="44"/>
      <c r="K40" s="44"/>
      <c r="M40" s="45"/>
      <c r="Q40" s="44"/>
      <c r="S40" s="44"/>
      <c r="U40" s="45"/>
      <c r="X40" s="44"/>
      <c r="Z40" s="44"/>
      <c r="AB40" s="45"/>
      <c r="AF40" s="44"/>
      <c r="AH40" s="44"/>
      <c r="AJ40" s="45"/>
      <c r="AM40" s="44"/>
      <c r="AO40" s="44"/>
      <c r="AQ40" s="45"/>
      <c r="AU40" s="44"/>
      <c r="AW40" s="44"/>
      <c r="AY40" s="45"/>
      <c r="BB40" s="44"/>
      <c r="BD40" s="44"/>
      <c r="BF40" s="45"/>
      <c r="BJ40" s="44"/>
      <c r="BL40" s="44"/>
      <c r="BN40" s="45"/>
      <c r="BQ40" s="44"/>
      <c r="BS40" s="44"/>
      <c r="BU40" s="45"/>
      <c r="BY40" s="44"/>
      <c r="CA40" s="44"/>
      <c r="CC40" s="45"/>
      <c r="CF40" s="44"/>
      <c r="CH40" s="44"/>
      <c r="CJ40" s="45"/>
      <c r="CN40" s="44"/>
      <c r="CP40" s="44"/>
      <c r="CR40" s="45"/>
      <c r="CU40" s="44"/>
      <c r="CW40" s="44"/>
      <c r="CY40" s="45"/>
      <c r="DC40" s="44"/>
      <c r="DE40" s="44"/>
      <c r="DG40" s="45"/>
      <c r="DJ40" s="44"/>
      <c r="DL40" s="44"/>
      <c r="DN40" s="45"/>
      <c r="DR40" s="44"/>
      <c r="DT40" s="44"/>
      <c r="DV40" s="45"/>
      <c r="DY40" s="44"/>
      <c r="EA40" s="44"/>
      <c r="EC40" s="45"/>
      <c r="EG40" s="44"/>
      <c r="EI40" s="44"/>
      <c r="EK40" s="45"/>
      <c r="EN40" s="44"/>
      <c r="EP40" s="44"/>
      <c r="ER40" s="45"/>
    </row>
    <row r="41" spans="1:150" s="32" customFormat="1" ht="25.8" customHeight="1">
      <c r="A41" s="31">
        <f>H33+1</f>
        <v>11</v>
      </c>
      <c r="B41" s="42" t="str">
        <f ca="1">IF(C41&lt;&gt;"",
MID(貼り付け用!$A$2, FIND("年",貼り付け用!$A$2)+1,2)&amp;"/"&amp;MID(貼り付け用!$A$2, FIND("月",貼り付け用!$A$2)+1,2),"")</f>
        <v/>
      </c>
      <c r="C41" s="155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156"/>
      <c r="E41" s="156"/>
      <c r="F41" s="156"/>
      <c r="G41" s="41" t="str">
        <f t="array" aca="1" ref="G41" ca="1">IF(C41&lt;&gt;"",
IF(AND(INDIRECT("'盛付札（関数）'!AE"&amp;A41)&gt;=124,INDIRECT("'盛付札（関数）'!AE"&amp;A41)&lt;=144),"",
"様"),"")</f>
        <v/>
      </c>
      <c r="H41" s="35">
        <f>A41+1</f>
        <v>12</v>
      </c>
      <c r="I41" s="42" t="str">
        <f ca="1">IF(J41&lt;&gt;"",
MID(貼り付け用!$A$2, FIND("年",貼り付け用!$A$2)+1,2)&amp;"/"&amp;MID(貼り付け用!$A$2, FIND("月",貼り付け用!$A$2)+1,2),"")</f>
        <v/>
      </c>
      <c r="J41" s="155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156"/>
      <c r="L41" s="156"/>
      <c r="M41" s="156"/>
      <c r="N41" s="41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1">
        <f>W33+1</f>
        <v>23</v>
      </c>
      <c r="Q41" s="42" t="str">
        <f ca="1">IF(R41&lt;&gt;"",
MID(貼り付け用!$A$2, FIND("年",貼り付け用!$A$2)+1,2)&amp;"/"&amp;MID(貼り付け用!$A$2, FIND("月",貼り付け用!$A$2)+1,2),"")</f>
        <v/>
      </c>
      <c r="R41" s="155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156"/>
      <c r="T41" s="156"/>
      <c r="U41" s="156"/>
      <c r="V41" s="41" t="str">
        <f t="array" aca="1" ref="V41" ca="1">IF(R41&lt;&gt;"",
IF(AND(INDIRECT("'盛付札（関数）'!AE"&amp;P41)&gt;=124,INDIRECT("'盛付札（関数）'!AE"&amp;P41)&lt;=144),"",
"様"),"")</f>
        <v/>
      </c>
      <c r="W41" s="35">
        <f>P41+1</f>
        <v>24</v>
      </c>
      <c r="X41" s="42" t="str">
        <f ca="1">IF(Y41&lt;&gt;"",
MID(貼り付け用!$A$2, FIND("年",貼り付け用!$A$2)+1,2)&amp;"/"&amp;MID(貼り付け用!$A$2, FIND("月",貼り付け用!$A$2)+1,2),"")</f>
        <v/>
      </c>
      <c r="Y41" s="155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156"/>
      <c r="AA41" s="156"/>
      <c r="AB41" s="156"/>
      <c r="AC41" s="41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1">
        <f>AL33+1</f>
        <v>35</v>
      </c>
      <c r="AF41" s="42" t="str">
        <f ca="1">IF(AG41&lt;&gt;"",
MID(貼り付け用!$A$2, FIND("年",貼り付け用!$A$2)+1,2)&amp;"/"&amp;MID(貼り付け用!$A$2, FIND("月",貼り付け用!$A$2)+1,2),"")</f>
        <v/>
      </c>
      <c r="AG41" s="155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156"/>
      <c r="AI41" s="156"/>
      <c r="AJ41" s="156"/>
      <c r="AK41" s="41" t="str">
        <f t="array" aca="1" ref="AK41" ca="1">IF(AG41&lt;&gt;"",
IF(AND(INDIRECT("'盛付札（関数）'!AE"&amp;AE41)&gt;=124,INDIRECT("'盛付札（関数）'!AE"&amp;AE41)&lt;=144),"",
"様"),"")</f>
        <v/>
      </c>
      <c r="AL41" s="35">
        <f>AE41+1</f>
        <v>36</v>
      </c>
      <c r="AM41" s="42" t="str">
        <f ca="1">IF(AN41&lt;&gt;"",
MID(貼り付け用!$A$2, FIND("年",貼り付け用!$A$2)+1,2)&amp;"/"&amp;MID(貼り付け用!$A$2, FIND("月",貼り付け用!$A$2)+1,2),"")</f>
        <v/>
      </c>
      <c r="AN41" s="155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156"/>
      <c r="AP41" s="156"/>
      <c r="AQ41" s="156"/>
      <c r="AR41" s="41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1">
        <f>BA33+1</f>
        <v>47</v>
      </c>
      <c r="AU41" s="42" t="str">
        <f ca="1">IF(AV41&lt;&gt;"",
MID(貼り付け用!$A$2, FIND("年",貼り付け用!$A$2)+1,2)&amp;"/"&amp;MID(貼り付け用!$A$2, FIND("月",貼り付け用!$A$2)+1,2),"")</f>
        <v/>
      </c>
      <c r="AV41" s="155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156"/>
      <c r="AX41" s="156"/>
      <c r="AY41" s="156"/>
      <c r="AZ41" s="41" t="str">
        <f t="array" aca="1" ref="AZ41" ca="1">IF(AV41&lt;&gt;"",
IF(AND(INDIRECT("'盛付札（関数）'!AE"&amp;AT41)&gt;=124,INDIRECT("'盛付札（関数）'!AE"&amp;AT41)&lt;=144),"",
"様"),"")</f>
        <v/>
      </c>
      <c r="BA41" s="35">
        <f>AT41+1</f>
        <v>48</v>
      </c>
      <c r="BB41" s="42" t="str">
        <f ca="1">IF(BC41&lt;&gt;"",
MID(貼り付け用!$A$2, FIND("年",貼り付け用!$A$2)+1,2)&amp;"/"&amp;MID(貼り付け用!$A$2, FIND("月",貼り付け用!$A$2)+1,2),"")</f>
        <v/>
      </c>
      <c r="BC41" s="155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156"/>
      <c r="BE41" s="156"/>
      <c r="BF41" s="156"/>
      <c r="BG41" s="41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1">
        <f>BP33+1</f>
        <v>59</v>
      </c>
      <c r="BJ41" s="42" t="str">
        <f ca="1">IF(BK41&lt;&gt;"",
MID(貼り付け用!$A$2, FIND("年",貼り付け用!$A$2)+1,2)&amp;"/"&amp;MID(貼り付け用!$A$2, FIND("月",貼り付け用!$A$2)+1,2),"")</f>
        <v/>
      </c>
      <c r="BK41" s="155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156"/>
      <c r="BM41" s="156"/>
      <c r="BN41" s="156"/>
      <c r="BO41" s="41" t="str">
        <f t="array" aca="1" ref="BO41" ca="1">IF(BK41&lt;&gt;"",
IF(AND(INDIRECT("'盛付札（関数）'!AE"&amp;BI41)&gt;=124,INDIRECT("'盛付札（関数）'!AE"&amp;BI41)&lt;=144),"",
"様"),"")</f>
        <v/>
      </c>
      <c r="BP41" s="35">
        <f>BI41+1</f>
        <v>60</v>
      </c>
      <c r="BQ41" s="42" t="str">
        <f ca="1">IF(BR41&lt;&gt;"",
MID(貼り付け用!$A$2, FIND("年",貼り付け用!$A$2)+1,2)&amp;"/"&amp;MID(貼り付け用!$A$2, FIND("月",貼り付け用!$A$2)+1,2),"")</f>
        <v/>
      </c>
      <c r="BR41" s="155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156"/>
      <c r="BT41" s="156"/>
      <c r="BU41" s="156"/>
      <c r="BV41" s="41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1">
        <f>CE33+1</f>
        <v>71</v>
      </c>
      <c r="BY41" s="42" t="str">
        <f ca="1">IF(BZ41&lt;&gt;"",
MID(貼り付け用!$A$2, FIND("年",貼り付け用!$A$2)+1,2)&amp;"/"&amp;MID(貼り付け用!$A$2, FIND("月",貼り付け用!$A$2)+1,2),"")</f>
        <v/>
      </c>
      <c r="BZ41" s="155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156"/>
      <c r="CB41" s="156"/>
      <c r="CC41" s="156"/>
      <c r="CD41" s="41" t="str">
        <f t="array" aca="1" ref="CD41" ca="1">IF(BZ41&lt;&gt;"",
IF(AND(INDIRECT("'盛付札（関数）'!AE"&amp;BX41)&gt;=124,INDIRECT("'盛付札（関数）'!AE"&amp;BX41)&lt;=144),"",
"様"),"")</f>
        <v/>
      </c>
      <c r="CE41" s="35">
        <f>BX41+1</f>
        <v>72</v>
      </c>
      <c r="CF41" s="42" t="str">
        <f ca="1">IF(CG41&lt;&gt;"",
MID(貼り付け用!$A$2, FIND("年",貼り付け用!$A$2)+1,2)&amp;"/"&amp;MID(貼り付け用!$A$2, FIND("月",貼り付け用!$A$2)+1,2),"")</f>
        <v/>
      </c>
      <c r="CG41" s="155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156"/>
      <c r="CI41" s="156"/>
      <c r="CJ41" s="156"/>
      <c r="CK41" s="41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1">
        <f>CT33+1</f>
        <v>83</v>
      </c>
      <c r="CN41" s="42" t="str">
        <f ca="1">IF(CO41&lt;&gt;"",
MID(貼り付け用!$A$2, FIND("年",貼り付け用!$A$2)+1,2)&amp;"/"&amp;MID(貼り付け用!$A$2, FIND("月",貼り付け用!$A$2)+1,2),"")</f>
        <v/>
      </c>
      <c r="CO41" s="155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156"/>
      <c r="CQ41" s="156"/>
      <c r="CR41" s="156"/>
      <c r="CS41" s="41" t="str">
        <f t="array" aca="1" ref="CS41" ca="1">IF(CO41&lt;&gt;"",
IF(AND(INDIRECT("'盛付札（関数）'!AE"&amp;CM41)&gt;=124,INDIRECT("'盛付札（関数）'!AE"&amp;CM41)&lt;=144),"",
"様"),"")</f>
        <v/>
      </c>
      <c r="CT41" s="35">
        <f>CM41+1</f>
        <v>84</v>
      </c>
      <c r="CU41" s="42" t="str">
        <f ca="1">IF(CV41&lt;&gt;"",
MID(貼り付け用!$A$2, FIND("年",貼り付け用!$A$2)+1,2)&amp;"/"&amp;MID(貼り付け用!$A$2, FIND("月",貼り付け用!$A$2)+1,2),"")</f>
        <v/>
      </c>
      <c r="CV41" s="155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156"/>
      <c r="CX41" s="156"/>
      <c r="CY41" s="156"/>
      <c r="CZ41" s="41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1">
        <f>DI33+1</f>
        <v>95</v>
      </c>
      <c r="DC41" s="42" t="str">
        <f ca="1">IF(DD41&lt;&gt;"",
MID(貼り付け用!$A$2, FIND("年",貼り付け用!$A$2)+1,2)&amp;"/"&amp;MID(貼り付け用!$A$2, FIND("月",貼り付け用!$A$2)+1,2),"")</f>
        <v/>
      </c>
      <c r="DD41" s="155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156"/>
      <c r="DF41" s="156"/>
      <c r="DG41" s="156"/>
      <c r="DH41" s="41" t="str">
        <f t="array" aca="1" ref="DH41" ca="1">IF(DD41&lt;&gt;"",
IF(AND(INDIRECT("'盛付札（関数）'!AE"&amp;DB41)&gt;=124,INDIRECT("'盛付札（関数）'!AE"&amp;DB41)&lt;=144),"",
"様"),"")</f>
        <v/>
      </c>
      <c r="DI41" s="35">
        <f>DB41+1</f>
        <v>96</v>
      </c>
      <c r="DJ41" s="42" t="str">
        <f ca="1">IF(DK41&lt;&gt;"",
MID(貼り付け用!$A$2, FIND("年",貼り付け用!$A$2)+1,2)&amp;"/"&amp;MID(貼り付け用!$A$2, FIND("月",貼り付け用!$A$2)+1,2),"")</f>
        <v/>
      </c>
      <c r="DK41" s="155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156"/>
      <c r="DM41" s="156"/>
      <c r="DN41" s="156"/>
      <c r="DO41" s="41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1">
        <f>DX33+1</f>
        <v>107</v>
      </c>
      <c r="DR41" s="42" t="str">
        <f ca="1">IF(DS41&lt;&gt;"",
MID(貼り付け用!$A$2, FIND("年",貼り付け用!$A$2)+1,2)&amp;"/"&amp;MID(貼り付け用!$A$2, FIND("月",貼り付け用!$A$2)+1,2),"")</f>
        <v/>
      </c>
      <c r="DS41" s="155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156"/>
      <c r="DU41" s="156"/>
      <c r="DV41" s="156"/>
      <c r="DW41" s="41" t="str">
        <f t="array" aca="1" ref="DW41" ca="1">IF(DS41&lt;&gt;"",
IF(AND(INDIRECT("'盛付札（関数）'!AE"&amp;DQ41)&gt;=124,INDIRECT("'盛付札（関数）'!AE"&amp;DQ41)&lt;=144),"",
"様"),"")</f>
        <v/>
      </c>
      <c r="DX41" s="35">
        <f>DQ41+1</f>
        <v>108</v>
      </c>
      <c r="DY41" s="42" t="str">
        <f ca="1">IF(DZ41&lt;&gt;"",
MID(貼り付け用!$A$2, FIND("年",貼り付け用!$A$2)+1,2)&amp;"/"&amp;MID(貼り付け用!$A$2, FIND("月",貼り付け用!$A$2)+1,2),"")</f>
        <v/>
      </c>
      <c r="DZ41" s="155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156"/>
      <c r="EB41" s="156"/>
      <c r="EC41" s="156"/>
      <c r="ED41" s="41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1">
        <f>EM33+1</f>
        <v>119</v>
      </c>
      <c r="EG41" s="42" t="str">
        <f ca="1">IF(EH41&lt;&gt;"",
MID(貼り付け用!$A$2, FIND("年",貼り付け用!$A$2)+1,2)&amp;"/"&amp;MID(貼り付け用!$A$2, FIND("月",貼り付け用!$A$2)+1,2),"")</f>
        <v/>
      </c>
      <c r="EH41" s="155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156"/>
      <c r="EJ41" s="156"/>
      <c r="EK41" s="156"/>
      <c r="EL41" s="41" t="str">
        <f t="array" aca="1" ref="EL41" ca="1">IF(EH41&lt;&gt;"",
IF(AND(INDIRECT("'盛付札（関数）'!AE"&amp;EF41)&gt;=124,INDIRECT("'盛付札（関数）'!AE"&amp;EF41)&lt;=144),"",
"様"),"")</f>
        <v/>
      </c>
      <c r="EM41" s="35">
        <f>EF41+1</f>
        <v>120</v>
      </c>
      <c r="EN41" s="42" t="str">
        <f ca="1">IF(EO41&lt;&gt;"",
MID(貼り付け用!$A$2, FIND("年",貼り付け用!$A$2)+1,2)&amp;"/"&amp;MID(貼り付け用!$A$2, FIND("月",貼り付け用!$A$2)+1,2),"")</f>
        <v/>
      </c>
      <c r="EO41" s="155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156"/>
      <c r="EQ41" s="156"/>
      <c r="ER41" s="156"/>
      <c r="ES41" s="41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32" customFormat="1">
      <c r="A42" s="31"/>
      <c r="B42" s="109"/>
      <c r="C42" s="170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INDIRECT("'盛付札（関数）'!AG"&amp;A41))),"")</f>
        <v/>
      </c>
      <c r="D42" s="40"/>
      <c r="E42" s="40"/>
      <c r="F42" s="46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8"/>
      <c r="H42" s="47"/>
      <c r="I42" s="109"/>
      <c r="J42" s="170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INDIRECT("'盛付札（関数）'!AG"&amp;H41))),"")</f>
        <v/>
      </c>
      <c r="K42" s="40"/>
      <c r="L42" s="40"/>
      <c r="M42" s="46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8"/>
      <c r="O42" s="22"/>
      <c r="P42" s="31"/>
      <c r="Q42" s="109"/>
      <c r="R42" s="170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INDIRECT("'盛付札（関数）'!AG"&amp;P41))),"")</f>
        <v/>
      </c>
      <c r="S42" s="40"/>
      <c r="T42" s="40"/>
      <c r="U42" s="46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8"/>
      <c r="W42" s="47"/>
      <c r="X42" s="109"/>
      <c r="Y42" s="170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INDIRECT("'盛付札（関数）'!AG"&amp;W41))),"")</f>
        <v/>
      </c>
      <c r="Z42" s="40"/>
      <c r="AA42" s="40"/>
      <c r="AB42" s="46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8"/>
      <c r="AD42" s="22"/>
      <c r="AE42" s="31"/>
      <c r="AF42" s="109"/>
      <c r="AG42" s="170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INDIRECT("'盛付札（関数）'!AG"&amp;AE41))),"")</f>
        <v/>
      </c>
      <c r="AH42" s="40"/>
      <c r="AI42" s="40"/>
      <c r="AJ42" s="46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8"/>
      <c r="AL42" s="47"/>
      <c r="AM42" s="109"/>
      <c r="AN42" s="170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INDIRECT("'盛付札（関数）'!AG"&amp;AL41))),"")</f>
        <v/>
      </c>
      <c r="AO42" s="40"/>
      <c r="AP42" s="40"/>
      <c r="AQ42" s="46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8"/>
      <c r="AS42" s="22"/>
      <c r="AT42" s="31"/>
      <c r="AU42" s="109"/>
      <c r="AV42" s="170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INDIRECT("'盛付札（関数）'!AG"&amp;AT41))),"")</f>
        <v/>
      </c>
      <c r="AW42" s="40"/>
      <c r="AX42" s="40"/>
      <c r="AY42" s="46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8"/>
      <c r="BA42" s="47"/>
      <c r="BB42" s="109"/>
      <c r="BC42" s="170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INDIRECT("'盛付札（関数）'!AG"&amp;BA41))),"")</f>
        <v/>
      </c>
      <c r="BD42" s="40"/>
      <c r="BE42" s="40"/>
      <c r="BF42" s="46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8"/>
      <c r="BH42" s="22"/>
      <c r="BI42" s="31"/>
      <c r="BJ42" s="109"/>
      <c r="BK42" s="170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INDIRECT("'盛付札（関数）'!AG"&amp;BI41))),"")</f>
        <v/>
      </c>
      <c r="BL42" s="40"/>
      <c r="BM42" s="40"/>
      <c r="BN42" s="46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8"/>
      <c r="BP42" s="47"/>
      <c r="BQ42" s="109"/>
      <c r="BR42" s="170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INDIRECT("'盛付札（関数）'!AG"&amp;BP41))),"")</f>
        <v/>
      </c>
      <c r="BS42" s="40"/>
      <c r="BT42" s="40"/>
      <c r="BU42" s="46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8"/>
      <c r="BW42" s="22"/>
      <c r="BX42" s="31"/>
      <c r="BY42" s="109"/>
      <c r="BZ42" s="170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INDIRECT("'盛付札（関数）'!AG"&amp;BX41))),"")</f>
        <v/>
      </c>
      <c r="CA42" s="40"/>
      <c r="CB42" s="40"/>
      <c r="CC42" s="46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8"/>
      <c r="CE42" s="47"/>
      <c r="CF42" s="109"/>
      <c r="CG42" s="170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INDIRECT("'盛付札（関数）'!AG"&amp;CE41))),"")</f>
        <v/>
      </c>
      <c r="CH42" s="40"/>
      <c r="CI42" s="40"/>
      <c r="CJ42" s="46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8"/>
      <c r="CL42" s="22"/>
      <c r="CM42" s="31"/>
      <c r="CN42" s="109"/>
      <c r="CO42" s="170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INDIRECT("'盛付札（関数）'!AG"&amp;CM41))),"")</f>
        <v/>
      </c>
      <c r="CP42" s="40"/>
      <c r="CQ42" s="40"/>
      <c r="CR42" s="46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8"/>
      <c r="CT42" s="47"/>
      <c r="CU42" s="109"/>
      <c r="CV42" s="170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INDIRECT("'盛付札（関数）'!AG"&amp;CT41))),"")</f>
        <v/>
      </c>
      <c r="CW42" s="40"/>
      <c r="CX42" s="40"/>
      <c r="CY42" s="46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8"/>
      <c r="DA42" s="22"/>
      <c r="DB42" s="31"/>
      <c r="DC42" s="109"/>
      <c r="DD42" s="170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INDIRECT("'盛付札（関数）'!AG"&amp;DB41))),"")</f>
        <v/>
      </c>
      <c r="DE42" s="40"/>
      <c r="DF42" s="40"/>
      <c r="DG42" s="46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8"/>
      <c r="DI42" s="47"/>
      <c r="DJ42" s="109"/>
      <c r="DK42" s="170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INDIRECT("'盛付札（関数）'!AG"&amp;DI41))),"")</f>
        <v/>
      </c>
      <c r="DL42" s="40"/>
      <c r="DM42" s="40"/>
      <c r="DN42" s="46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8"/>
      <c r="DP42" s="22"/>
      <c r="DQ42" s="31"/>
      <c r="DR42" s="109"/>
      <c r="DS42" s="170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INDIRECT("'盛付札（関数）'!AG"&amp;DQ41))),"")</f>
        <v/>
      </c>
      <c r="DT42" s="40"/>
      <c r="DU42" s="40"/>
      <c r="DV42" s="46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8"/>
      <c r="DX42" s="47"/>
      <c r="DY42" s="109"/>
      <c r="DZ42" s="170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INDIRECT("'盛付札（関数）'!AG"&amp;DX41))),"")</f>
        <v/>
      </c>
      <c r="EA42" s="40"/>
      <c r="EB42" s="40"/>
      <c r="EC42" s="46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8"/>
      <c r="EE42" s="22"/>
      <c r="EF42" s="31"/>
      <c r="EG42" s="109"/>
      <c r="EH42" s="170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INDIRECT("'盛付札（関数）'!AG"&amp;EF41))),"")</f>
        <v/>
      </c>
      <c r="EI42" s="40"/>
      <c r="EJ42" s="40"/>
      <c r="EK42" s="46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8"/>
      <c r="EM42" s="47"/>
      <c r="EN42" s="109"/>
      <c r="EO42" s="170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INDIRECT("'盛付札（関数）'!AG"&amp;EM41))),"")</f>
        <v/>
      </c>
      <c r="EP42" s="40"/>
      <c r="EQ42" s="40"/>
      <c r="ER42" s="46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8"/>
      <c r="ET42" s="22"/>
    </row>
    <row r="43" spans="1:150" s="32" customFormat="1">
      <c r="A43" s="31"/>
      <c r="B43" s="33"/>
      <c r="C43" s="153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154"/>
      <c r="E43" s="22"/>
      <c r="F43" s="168" t="str" cm="1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9"/>
      <c r="H43" s="35"/>
      <c r="I43" s="33"/>
      <c r="J43" s="153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154"/>
      <c r="L43" s="22"/>
      <c r="M43" s="168" t="str" cm="1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9"/>
      <c r="O43" s="22"/>
      <c r="P43" s="31"/>
      <c r="Q43" s="33"/>
      <c r="R43" s="153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154"/>
      <c r="T43" s="22"/>
      <c r="U43" s="168" t="str" cm="1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9"/>
      <c r="W43" s="35"/>
      <c r="X43" s="33"/>
      <c r="Y43" s="153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154"/>
      <c r="AA43" s="22"/>
      <c r="AB43" s="168" t="str" cm="1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9"/>
      <c r="AD43" s="22"/>
      <c r="AE43" s="31"/>
      <c r="AF43" s="33"/>
      <c r="AG43" s="153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154"/>
      <c r="AI43" s="22"/>
      <c r="AJ43" s="168" t="str" cm="1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9"/>
      <c r="AL43" s="35"/>
      <c r="AM43" s="33"/>
      <c r="AN43" s="153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154"/>
      <c r="AP43" s="22"/>
      <c r="AQ43" s="168" t="str" cm="1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9"/>
      <c r="AS43" s="22"/>
      <c r="AT43" s="31"/>
      <c r="AU43" s="33"/>
      <c r="AV43" s="153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154"/>
      <c r="AX43" s="22"/>
      <c r="AY43" s="168" t="str" cm="1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9"/>
      <c r="BA43" s="35"/>
      <c r="BB43" s="33"/>
      <c r="BC43" s="153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154"/>
      <c r="BE43" s="22"/>
      <c r="BF43" s="168" t="str" cm="1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9"/>
      <c r="BH43" s="22"/>
      <c r="BI43" s="31"/>
      <c r="BJ43" s="33"/>
      <c r="BK43" s="153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154"/>
      <c r="BM43" s="22"/>
      <c r="BN43" s="168" t="str" cm="1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9"/>
      <c r="BP43" s="35"/>
      <c r="BQ43" s="33"/>
      <c r="BR43" s="153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154"/>
      <c r="BT43" s="22"/>
      <c r="BU43" s="168" t="str" cm="1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9"/>
      <c r="BW43" s="22"/>
      <c r="BX43" s="31"/>
      <c r="BY43" s="33"/>
      <c r="BZ43" s="153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154"/>
      <c r="CB43" s="22"/>
      <c r="CC43" s="168" t="str" cm="1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9"/>
      <c r="CE43" s="35"/>
      <c r="CF43" s="33"/>
      <c r="CG43" s="153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154"/>
      <c r="CI43" s="22"/>
      <c r="CJ43" s="168" t="str" cm="1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9"/>
      <c r="CL43" s="22"/>
      <c r="CM43" s="31"/>
      <c r="CN43" s="33"/>
      <c r="CO43" s="153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154"/>
      <c r="CQ43" s="22"/>
      <c r="CR43" s="168" t="str" cm="1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9"/>
      <c r="CT43" s="35"/>
      <c r="CU43" s="33"/>
      <c r="CV43" s="153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154"/>
      <c r="CX43" s="22"/>
      <c r="CY43" s="168" t="str" cm="1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9"/>
      <c r="DA43" s="22"/>
      <c r="DB43" s="31"/>
      <c r="DC43" s="33"/>
      <c r="DD43" s="153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154"/>
      <c r="DF43" s="22"/>
      <c r="DG43" s="168" t="str" cm="1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9"/>
      <c r="DI43" s="35"/>
      <c r="DJ43" s="33"/>
      <c r="DK43" s="153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154"/>
      <c r="DM43" s="22"/>
      <c r="DN43" s="168" t="str" cm="1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9"/>
      <c r="DP43" s="22"/>
      <c r="DQ43" s="31"/>
      <c r="DR43" s="33"/>
      <c r="DS43" s="153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154"/>
      <c r="DU43" s="22"/>
      <c r="DV43" s="168" t="str" cm="1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9"/>
      <c r="DX43" s="35"/>
      <c r="DY43" s="33"/>
      <c r="DZ43" s="153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154"/>
      <c r="EB43" s="22"/>
      <c r="EC43" s="168" t="str" cm="1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9"/>
      <c r="EE43" s="22"/>
      <c r="EF43" s="31"/>
      <c r="EG43" s="33"/>
      <c r="EH43" s="153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154"/>
      <c r="EJ43" s="22"/>
      <c r="EK43" s="168" t="str" cm="1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9"/>
      <c r="EM43" s="35"/>
      <c r="EN43" s="33"/>
      <c r="EO43" s="153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154"/>
      <c r="EQ43" s="22"/>
      <c r="ER43" s="168" t="str" cm="1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9"/>
      <c r="ET43" s="22"/>
    </row>
    <row r="44" spans="1:150" ht="15.6" customHeight="1">
      <c r="B44" s="25"/>
      <c r="C44" s="151" t="str">
        <f t="array" aca="1" ref="C44" ca="1">IF(C41&lt;&gt;"",INDIRECT("'盛付札（関数）'!AJ"&amp;A41),"")</f>
        <v/>
      </c>
      <c r="D44" s="152"/>
      <c r="E44" s="48"/>
      <c r="F44" s="147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148"/>
      <c r="H44" s="26"/>
      <c r="I44" s="25"/>
      <c r="J44" s="151" t="str">
        <f t="array" aca="1" ref="J44" ca="1">IF(J41&lt;&gt;"",INDIRECT("'盛付札（関数）'!AJ"&amp;H41),"")</f>
        <v/>
      </c>
      <c r="K44" s="152"/>
      <c r="L44" s="48"/>
      <c r="M44" s="147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148"/>
      <c r="Q44" s="25"/>
      <c r="R44" s="151" t="str">
        <f t="array" aca="1" ref="R44" ca="1">IF(R41&lt;&gt;"",INDIRECT("'盛付札（関数）'!AJ"&amp;P41),"")</f>
        <v/>
      </c>
      <c r="S44" s="152"/>
      <c r="T44" s="48"/>
      <c r="U44" s="147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148"/>
      <c r="W44" s="26"/>
      <c r="X44" s="25"/>
      <c r="Y44" s="151" t="str">
        <f t="array" aca="1" ref="Y44" ca="1">IF(Y41&lt;&gt;"",INDIRECT("'盛付札（関数）'!AJ"&amp;W41),"")</f>
        <v/>
      </c>
      <c r="Z44" s="152"/>
      <c r="AA44" s="48"/>
      <c r="AB44" s="147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148"/>
      <c r="AF44" s="25"/>
      <c r="AG44" s="151" t="str">
        <f t="array" aca="1" ref="AG44" ca="1">IF(AG41&lt;&gt;"",INDIRECT("'盛付札（関数）'!AJ"&amp;AE41),"")</f>
        <v/>
      </c>
      <c r="AH44" s="152"/>
      <c r="AI44" s="48"/>
      <c r="AJ44" s="147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148"/>
      <c r="AL44" s="26"/>
      <c r="AM44" s="25"/>
      <c r="AN44" s="151" t="str">
        <f t="array" aca="1" ref="AN44" ca="1">IF(AN41&lt;&gt;"",INDIRECT("'盛付札（関数）'!AJ"&amp;AL41),"")</f>
        <v/>
      </c>
      <c r="AO44" s="152"/>
      <c r="AP44" s="48"/>
      <c r="AQ44" s="147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148"/>
      <c r="AU44" s="25"/>
      <c r="AV44" s="151" t="str">
        <f t="array" aca="1" ref="AV44" ca="1">IF(AV41&lt;&gt;"",INDIRECT("'盛付札（関数）'!AJ"&amp;AT41),"")</f>
        <v/>
      </c>
      <c r="AW44" s="152"/>
      <c r="AX44" s="48"/>
      <c r="AY44" s="147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148"/>
      <c r="BA44" s="26"/>
      <c r="BB44" s="25"/>
      <c r="BC44" s="151" t="str">
        <f t="array" aca="1" ref="BC44" ca="1">IF(BC41&lt;&gt;"",INDIRECT("'盛付札（関数）'!AJ"&amp;BA41),"")</f>
        <v/>
      </c>
      <c r="BD44" s="152"/>
      <c r="BE44" s="48"/>
      <c r="BF44" s="147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148"/>
      <c r="BJ44" s="25"/>
      <c r="BK44" s="151" t="str">
        <f t="array" aca="1" ref="BK44" ca="1">IF(BK41&lt;&gt;"",INDIRECT("'盛付札（関数）'!AJ"&amp;BI41),"")</f>
        <v/>
      </c>
      <c r="BL44" s="152"/>
      <c r="BM44" s="48"/>
      <c r="BN44" s="147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148"/>
      <c r="BP44" s="26"/>
      <c r="BQ44" s="25"/>
      <c r="BR44" s="151" t="str">
        <f t="array" aca="1" ref="BR44" ca="1">IF(BR41&lt;&gt;"",INDIRECT("'盛付札（関数）'!AJ"&amp;BP41),"")</f>
        <v/>
      </c>
      <c r="BS44" s="152"/>
      <c r="BT44" s="48"/>
      <c r="BU44" s="147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148"/>
      <c r="BY44" s="25"/>
      <c r="BZ44" s="151" t="str">
        <f t="array" aca="1" ref="BZ44" ca="1">IF(BZ41&lt;&gt;"",INDIRECT("'盛付札（関数）'!AJ"&amp;BX41),"")</f>
        <v/>
      </c>
      <c r="CA44" s="152"/>
      <c r="CB44" s="48"/>
      <c r="CC44" s="147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148"/>
      <c r="CE44" s="26"/>
      <c r="CF44" s="25"/>
      <c r="CG44" s="151" t="str">
        <f t="array" aca="1" ref="CG44" ca="1">IF(CG41&lt;&gt;"",INDIRECT("'盛付札（関数）'!AJ"&amp;CE41),"")</f>
        <v/>
      </c>
      <c r="CH44" s="152"/>
      <c r="CI44" s="48"/>
      <c r="CJ44" s="147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148"/>
      <c r="CN44" s="25"/>
      <c r="CO44" s="151" t="str">
        <f t="array" aca="1" ref="CO44" ca="1">IF(CO41&lt;&gt;"",INDIRECT("'盛付札（関数）'!AJ"&amp;CM41),"")</f>
        <v/>
      </c>
      <c r="CP44" s="152"/>
      <c r="CQ44" s="48"/>
      <c r="CR44" s="147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148"/>
      <c r="CT44" s="26"/>
      <c r="CU44" s="25"/>
      <c r="CV44" s="151" t="str">
        <f t="array" aca="1" ref="CV44" ca="1">IF(CV41&lt;&gt;"",INDIRECT("'盛付札（関数）'!AJ"&amp;CT41),"")</f>
        <v/>
      </c>
      <c r="CW44" s="152"/>
      <c r="CX44" s="48"/>
      <c r="CY44" s="147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148"/>
      <c r="DC44" s="25"/>
      <c r="DD44" s="151" t="str">
        <f t="array" aca="1" ref="DD44" ca="1">IF(DD41&lt;&gt;"",INDIRECT("'盛付札（関数）'!AJ"&amp;DB41),"")</f>
        <v/>
      </c>
      <c r="DE44" s="152"/>
      <c r="DF44" s="48"/>
      <c r="DG44" s="147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148"/>
      <c r="DI44" s="26"/>
      <c r="DJ44" s="25"/>
      <c r="DK44" s="151" t="str">
        <f t="array" aca="1" ref="DK44" ca="1">IF(DK41&lt;&gt;"",INDIRECT("'盛付札（関数）'!AJ"&amp;DI41),"")</f>
        <v/>
      </c>
      <c r="DL44" s="152"/>
      <c r="DM44" s="48"/>
      <c r="DN44" s="147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148"/>
      <c r="DR44" s="25"/>
      <c r="DS44" s="151" t="str">
        <f t="array" aca="1" ref="DS44" ca="1">IF(DS41&lt;&gt;"",INDIRECT("'盛付札（関数）'!AJ"&amp;DQ41),"")</f>
        <v/>
      </c>
      <c r="DT44" s="152"/>
      <c r="DU44" s="48"/>
      <c r="DV44" s="147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148"/>
      <c r="DX44" s="26"/>
      <c r="DY44" s="25"/>
      <c r="DZ44" s="151" t="str">
        <f t="array" aca="1" ref="DZ44" ca="1">IF(DZ41&lt;&gt;"",INDIRECT("'盛付札（関数）'!AJ"&amp;DX41),"")</f>
        <v/>
      </c>
      <c r="EA44" s="152"/>
      <c r="EB44" s="48"/>
      <c r="EC44" s="147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148"/>
      <c r="EG44" s="25"/>
      <c r="EH44" s="151" t="str">
        <f t="array" aca="1" ref="EH44" ca="1">IF(EH41&lt;&gt;"",INDIRECT("'盛付札（関数）'!AJ"&amp;EF41),"")</f>
        <v/>
      </c>
      <c r="EI44" s="152"/>
      <c r="EJ44" s="48"/>
      <c r="EK44" s="147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148"/>
      <c r="EM44" s="26"/>
      <c r="EN44" s="25"/>
      <c r="EO44" s="151" t="str">
        <f t="array" aca="1" ref="EO44" ca="1">IF(EO41&lt;&gt;"",INDIRECT("'盛付札（関数）'!AJ"&amp;EM41),"")</f>
        <v/>
      </c>
      <c r="EP44" s="152"/>
      <c r="EQ44" s="48"/>
      <c r="ER44" s="147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148"/>
    </row>
    <row r="45" spans="1:150" ht="15.6" customHeight="1">
      <c r="B45" s="27"/>
      <c r="C45" s="149"/>
      <c r="D45" s="149"/>
      <c r="E45" s="43"/>
      <c r="F45" s="149"/>
      <c r="G45" s="150"/>
      <c r="H45" s="26"/>
      <c r="I45" s="27"/>
      <c r="J45" s="149"/>
      <c r="K45" s="149"/>
      <c r="L45" s="43"/>
      <c r="M45" s="149"/>
      <c r="N45" s="150"/>
      <c r="Q45" s="27"/>
      <c r="R45" s="149"/>
      <c r="S45" s="149"/>
      <c r="T45" s="43"/>
      <c r="U45" s="149"/>
      <c r="V45" s="150"/>
      <c r="W45" s="26"/>
      <c r="X45" s="27"/>
      <c r="Y45" s="149"/>
      <c r="Z45" s="149"/>
      <c r="AA45" s="43"/>
      <c r="AB45" s="149"/>
      <c r="AC45" s="150"/>
      <c r="AF45" s="27"/>
      <c r="AG45" s="149"/>
      <c r="AH45" s="149"/>
      <c r="AI45" s="43"/>
      <c r="AJ45" s="149"/>
      <c r="AK45" s="150"/>
      <c r="AL45" s="26"/>
      <c r="AM45" s="27"/>
      <c r="AN45" s="149"/>
      <c r="AO45" s="149"/>
      <c r="AP45" s="43"/>
      <c r="AQ45" s="149"/>
      <c r="AR45" s="150"/>
      <c r="AU45" s="27"/>
      <c r="AV45" s="149"/>
      <c r="AW45" s="149"/>
      <c r="AX45" s="43"/>
      <c r="AY45" s="149"/>
      <c r="AZ45" s="150"/>
      <c r="BA45" s="26"/>
      <c r="BB45" s="27"/>
      <c r="BC45" s="149"/>
      <c r="BD45" s="149"/>
      <c r="BE45" s="43"/>
      <c r="BF45" s="149"/>
      <c r="BG45" s="150"/>
      <c r="BJ45" s="27"/>
      <c r="BK45" s="149"/>
      <c r="BL45" s="149"/>
      <c r="BM45" s="43"/>
      <c r="BN45" s="149"/>
      <c r="BO45" s="150"/>
      <c r="BP45" s="26"/>
      <c r="BQ45" s="27"/>
      <c r="BR45" s="149"/>
      <c r="BS45" s="149"/>
      <c r="BT45" s="43"/>
      <c r="BU45" s="149"/>
      <c r="BV45" s="150"/>
      <c r="BY45" s="27"/>
      <c r="BZ45" s="149"/>
      <c r="CA45" s="149"/>
      <c r="CB45" s="43"/>
      <c r="CC45" s="149"/>
      <c r="CD45" s="150"/>
      <c r="CE45" s="26"/>
      <c r="CF45" s="27"/>
      <c r="CG45" s="149"/>
      <c r="CH45" s="149"/>
      <c r="CI45" s="43"/>
      <c r="CJ45" s="149"/>
      <c r="CK45" s="150"/>
      <c r="CN45" s="27"/>
      <c r="CO45" s="149"/>
      <c r="CP45" s="149"/>
      <c r="CQ45" s="43"/>
      <c r="CR45" s="149"/>
      <c r="CS45" s="150"/>
      <c r="CT45" s="26"/>
      <c r="CU45" s="27"/>
      <c r="CV45" s="149"/>
      <c r="CW45" s="149"/>
      <c r="CX45" s="43"/>
      <c r="CY45" s="149"/>
      <c r="CZ45" s="150"/>
      <c r="DC45" s="27"/>
      <c r="DD45" s="149"/>
      <c r="DE45" s="149"/>
      <c r="DF45" s="43"/>
      <c r="DG45" s="149"/>
      <c r="DH45" s="150"/>
      <c r="DI45" s="26"/>
      <c r="DJ45" s="27"/>
      <c r="DK45" s="149"/>
      <c r="DL45" s="149"/>
      <c r="DM45" s="43"/>
      <c r="DN45" s="149"/>
      <c r="DO45" s="150"/>
      <c r="DR45" s="27"/>
      <c r="DS45" s="149"/>
      <c r="DT45" s="149"/>
      <c r="DU45" s="43"/>
      <c r="DV45" s="149"/>
      <c r="DW45" s="150"/>
      <c r="DX45" s="26"/>
      <c r="DY45" s="27"/>
      <c r="DZ45" s="149"/>
      <c r="EA45" s="149"/>
      <c r="EB45" s="43"/>
      <c r="EC45" s="149"/>
      <c r="ED45" s="150"/>
      <c r="EG45" s="27"/>
      <c r="EH45" s="149"/>
      <c r="EI45" s="149"/>
      <c r="EJ45" s="43"/>
      <c r="EK45" s="149"/>
      <c r="EL45" s="150"/>
      <c r="EM45" s="26"/>
      <c r="EN45" s="27"/>
      <c r="EO45" s="149"/>
      <c r="EP45" s="149"/>
      <c r="EQ45" s="43"/>
      <c r="ER45" s="149"/>
      <c r="ES45" s="150"/>
    </row>
    <row r="46" spans="1:150" s="32" customFormat="1">
      <c r="A46" s="31"/>
      <c r="B46" s="36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4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6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4"/>
      <c r="F46" s="36" t="str">
        <f t="array" aca="1" ref="F46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"アレルギー")),"")</f>
        <v/>
      </c>
      <c r="G46" s="39"/>
      <c r="H46" s="22"/>
      <c r="I46" s="36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4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6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4"/>
      <c r="M46" s="36" t="str">
        <f t="array" aca="1" ref="M46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"アレルギー")),"")</f>
        <v/>
      </c>
      <c r="N46" s="39"/>
      <c r="O46" s="22"/>
      <c r="P46" s="31"/>
      <c r="Q46" s="36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4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6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4"/>
      <c r="U46" s="36" t="str">
        <f t="array" aca="1" ref="U46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"アレルギー")),"")</f>
        <v/>
      </c>
      <c r="V46" s="39"/>
      <c r="W46" s="22"/>
      <c r="X46" s="36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4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6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4"/>
      <c r="AB46" s="36" t="str">
        <f t="array" aca="1" ref="AB46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"アレルギー")),"")</f>
        <v/>
      </c>
      <c r="AC46" s="39"/>
      <c r="AD46" s="22"/>
      <c r="AE46" s="31"/>
      <c r="AF46" s="36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4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6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4"/>
      <c r="AJ46" s="36" t="str">
        <f t="array" aca="1" ref="AJ46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"アレルギー")),"")</f>
        <v/>
      </c>
      <c r="AK46" s="39"/>
      <c r="AL46" s="22"/>
      <c r="AM46" s="36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4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6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4"/>
      <c r="AQ46" s="36" t="str">
        <f t="array" aca="1" ref="AQ46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"アレルギー")),"")</f>
        <v/>
      </c>
      <c r="AR46" s="39"/>
      <c r="AS46" s="22"/>
      <c r="AT46" s="31"/>
      <c r="AU46" s="36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4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6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4"/>
      <c r="AY46" s="36" t="str">
        <f t="array" aca="1" ref="AY46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"アレルギー")),"")</f>
        <v/>
      </c>
      <c r="AZ46" s="39"/>
      <c r="BA46" s="22"/>
      <c r="BB46" s="36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4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6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4"/>
      <c r="BF46" s="36" t="str">
        <f t="array" aca="1" ref="BF46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"アレルギー")),"")</f>
        <v/>
      </c>
      <c r="BG46" s="39"/>
      <c r="BH46" s="22"/>
      <c r="BI46" s="31"/>
      <c r="BJ46" s="36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4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6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4"/>
      <c r="BN46" s="36" t="str">
        <f t="array" aca="1" ref="BN46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"アレルギー")),"")</f>
        <v/>
      </c>
      <c r="BO46" s="39"/>
      <c r="BP46" s="22"/>
      <c r="BQ46" s="36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4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6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4"/>
      <c r="BU46" s="36" t="str">
        <f t="array" aca="1" ref="BU46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"アレルギー")),"")</f>
        <v/>
      </c>
      <c r="BV46" s="39"/>
      <c r="BW46" s="22"/>
      <c r="BX46" s="31"/>
      <c r="BY46" s="36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4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6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4"/>
      <c r="CC46" s="36" t="str">
        <f t="array" aca="1" ref="CC46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"アレルギー")),"")</f>
        <v/>
      </c>
      <c r="CD46" s="39"/>
      <c r="CE46" s="22"/>
      <c r="CF46" s="36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4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6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4"/>
      <c r="CJ46" s="36" t="str">
        <f t="array" aca="1" ref="CJ46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"アレルギー")),"")</f>
        <v/>
      </c>
      <c r="CK46" s="39"/>
      <c r="CL46" s="22"/>
      <c r="CM46" s="31"/>
      <c r="CN46" s="36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4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6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4"/>
      <c r="CR46" s="36" t="str">
        <f t="array" aca="1" ref="CR46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"アレルギー")),"")</f>
        <v/>
      </c>
      <c r="CS46" s="39"/>
      <c r="CT46" s="22"/>
      <c r="CU46" s="36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4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6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4"/>
      <c r="CY46" s="36" t="str">
        <f t="array" aca="1" ref="CY46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"アレルギー")),"")</f>
        <v/>
      </c>
      <c r="CZ46" s="39"/>
      <c r="DA46" s="22"/>
      <c r="DB46" s="31"/>
      <c r="DC46" s="36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4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6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4"/>
      <c r="DG46" s="36" t="str">
        <f t="array" aca="1" ref="DG46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"アレルギー")),"")</f>
        <v/>
      </c>
      <c r="DH46" s="39"/>
      <c r="DI46" s="22"/>
      <c r="DJ46" s="36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4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6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4"/>
      <c r="DN46" s="36" t="str">
        <f t="array" aca="1" ref="DN46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"アレルギー")),"")</f>
        <v/>
      </c>
      <c r="DO46" s="39"/>
      <c r="DP46" s="22"/>
      <c r="DQ46" s="31"/>
      <c r="DR46" s="36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4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6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4"/>
      <c r="DV46" s="36" t="str">
        <f t="array" aca="1" ref="DV46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"アレルギー")),"")</f>
        <v/>
      </c>
      <c r="DW46" s="39"/>
      <c r="DX46" s="22"/>
      <c r="DY46" s="36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4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6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4"/>
      <c r="EC46" s="36" t="str">
        <f t="array" aca="1" ref="EC46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"アレルギー")),"")</f>
        <v/>
      </c>
      <c r="ED46" s="39"/>
      <c r="EE46" s="22"/>
      <c r="EF46" s="31"/>
      <c r="EG46" s="36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4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6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4"/>
      <c r="EK46" s="36" t="str">
        <f t="array" aca="1" ref="EK46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"アレルギー")),"")</f>
        <v/>
      </c>
      <c r="EL46" s="39"/>
      <c r="EM46" s="22"/>
      <c r="EN46" s="36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4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6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4"/>
      <c r="ER46" s="36" t="str">
        <f t="array" aca="1" ref="ER46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"アレルギー")),"")</f>
        <v/>
      </c>
      <c r="ES46" s="39"/>
      <c r="ET46" s="22"/>
    </row>
    <row r="47" spans="1:150" ht="27.6" customHeight="1">
      <c r="B47" s="157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150"/>
      <c r="D47" s="157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150"/>
      <c r="F47" s="158" t="str">
        <f t="array" aca="1" ref="F47" ca="1">IF(AND(C41&lt;&gt;"",C41&lt;&gt;"社食"),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INDIRECT("'盛付札（関数）'!AO"&amp;A41))),"")</f>
        <v/>
      </c>
      <c r="G47" s="150"/>
      <c r="I47" s="157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150"/>
      <c r="K47" s="157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150"/>
      <c r="M47" s="158" t="str">
        <f t="array" aca="1" ref="M47" ca="1">IF(AND(J41&lt;&gt;"",J41&lt;&gt;"社食"),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INDIRECT("'盛付札（関数）'!AO"&amp;H41))),"")</f>
        <v/>
      </c>
      <c r="N47" s="150"/>
      <c r="Q47" s="157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150"/>
      <c r="S47" s="157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150"/>
      <c r="U47" s="158" t="str">
        <f t="array" aca="1" ref="U47" ca="1">IF(AND(R41&lt;&gt;"",R41&lt;&gt;"社食"),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INDIRECT("'盛付札（関数）'!AO"&amp;P41))),"")</f>
        <v/>
      </c>
      <c r="V47" s="150"/>
      <c r="X47" s="157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150"/>
      <c r="Z47" s="157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150"/>
      <c r="AB47" s="158" t="str">
        <f t="array" aca="1" ref="AB47" ca="1">IF(AND(Y41&lt;&gt;"",Y41&lt;&gt;"社食"),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INDIRECT("'盛付札（関数）'!AO"&amp;W41))),"")</f>
        <v/>
      </c>
      <c r="AC47" s="150"/>
      <c r="AF47" s="157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150"/>
      <c r="AH47" s="157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150"/>
      <c r="AJ47" s="158" t="str">
        <f t="array" aca="1" ref="AJ47" ca="1">IF(AND(AG41&lt;&gt;"",AG41&lt;&gt;"社食"),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INDIRECT("'盛付札（関数）'!AO"&amp;AE41))),"")</f>
        <v/>
      </c>
      <c r="AK47" s="150"/>
      <c r="AM47" s="157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150"/>
      <c r="AO47" s="157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150"/>
      <c r="AQ47" s="158" t="str">
        <f t="array" aca="1" ref="AQ47" ca="1">IF(AND(AN41&lt;&gt;"",AN41&lt;&gt;"社食"),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INDIRECT("'盛付札（関数）'!AO"&amp;AL41))),"")</f>
        <v/>
      </c>
      <c r="AR47" s="150"/>
      <c r="AU47" s="157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150"/>
      <c r="AW47" s="157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150"/>
      <c r="AY47" s="158" t="str">
        <f t="array" aca="1" ref="AY47" ca="1">IF(AND(AV41&lt;&gt;"",AV41&lt;&gt;"社食"),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INDIRECT("'盛付札（関数）'!AO"&amp;AT41))),"")</f>
        <v/>
      </c>
      <c r="AZ47" s="150"/>
      <c r="BB47" s="157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150"/>
      <c r="BD47" s="157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150"/>
      <c r="BF47" s="158" t="str">
        <f t="array" aca="1" ref="BF47" ca="1">IF(AND(BC41&lt;&gt;"",BC41&lt;&gt;"社食"),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INDIRECT("'盛付札（関数）'!AO"&amp;BA41))),"")</f>
        <v/>
      </c>
      <c r="BG47" s="150"/>
      <c r="BJ47" s="157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150"/>
      <c r="BL47" s="157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150"/>
      <c r="BN47" s="158" t="str">
        <f t="array" aca="1" ref="BN47" ca="1">IF(AND(BK41&lt;&gt;"",BK41&lt;&gt;"社食"),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INDIRECT("'盛付札（関数）'!AO"&amp;BI41))),"")</f>
        <v/>
      </c>
      <c r="BO47" s="150"/>
      <c r="BQ47" s="157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150"/>
      <c r="BS47" s="157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150"/>
      <c r="BU47" s="158" t="str">
        <f t="array" aca="1" ref="BU47" ca="1">IF(AND(BR41&lt;&gt;"",BR41&lt;&gt;"社食"),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INDIRECT("'盛付札（関数）'!AO"&amp;BP41))),"")</f>
        <v/>
      </c>
      <c r="BV47" s="150"/>
      <c r="BY47" s="157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150"/>
      <c r="CA47" s="157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150"/>
      <c r="CC47" s="158" t="str">
        <f t="array" aca="1" ref="CC47" ca="1">IF(AND(BZ41&lt;&gt;"",BZ41&lt;&gt;"社食"),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INDIRECT("'盛付札（関数）'!AO"&amp;BX41))),"")</f>
        <v/>
      </c>
      <c r="CD47" s="150"/>
      <c r="CF47" s="157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150"/>
      <c r="CH47" s="157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150"/>
      <c r="CJ47" s="158" t="str">
        <f t="array" aca="1" ref="CJ47" ca="1">IF(AND(CG41&lt;&gt;"",CG41&lt;&gt;"社食"),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INDIRECT("'盛付札（関数）'!AO"&amp;CE41))),"")</f>
        <v/>
      </c>
      <c r="CK47" s="150"/>
      <c r="CN47" s="157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150"/>
      <c r="CP47" s="157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150"/>
      <c r="CR47" s="158" t="str">
        <f t="array" aca="1" ref="CR47" ca="1">IF(AND(CO41&lt;&gt;"",CO41&lt;&gt;"社食"),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INDIRECT("'盛付札（関数）'!AO"&amp;CM41))),"")</f>
        <v/>
      </c>
      <c r="CS47" s="150"/>
      <c r="CU47" s="157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150"/>
      <c r="CW47" s="157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150"/>
      <c r="CY47" s="158" t="str">
        <f t="array" aca="1" ref="CY47" ca="1">IF(AND(CV41&lt;&gt;"",CV41&lt;&gt;"社食"),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INDIRECT("'盛付札（関数）'!AO"&amp;CT41))),"")</f>
        <v/>
      </c>
      <c r="CZ47" s="150"/>
      <c r="DC47" s="157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150"/>
      <c r="DE47" s="157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150"/>
      <c r="DG47" s="158" t="str">
        <f t="array" aca="1" ref="DG47" ca="1">IF(AND(DD41&lt;&gt;"",DD41&lt;&gt;"社食"),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INDIRECT("'盛付札（関数）'!AO"&amp;DB41))),"")</f>
        <v/>
      </c>
      <c r="DH47" s="150"/>
      <c r="DJ47" s="157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150"/>
      <c r="DL47" s="157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150"/>
      <c r="DN47" s="158" t="str">
        <f t="array" aca="1" ref="DN47" ca="1">IF(AND(DK41&lt;&gt;"",DK41&lt;&gt;"社食"),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INDIRECT("'盛付札（関数）'!AO"&amp;DI41))),"")</f>
        <v/>
      </c>
      <c r="DO47" s="150"/>
      <c r="DR47" s="157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150"/>
      <c r="DT47" s="157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150"/>
      <c r="DV47" s="158" t="str">
        <f t="array" aca="1" ref="DV47" ca="1">IF(AND(DS41&lt;&gt;"",DS41&lt;&gt;"社食"),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INDIRECT("'盛付札（関数）'!AO"&amp;DQ41))),"")</f>
        <v/>
      </c>
      <c r="DW47" s="150"/>
      <c r="DY47" s="157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150"/>
      <c r="EA47" s="157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150"/>
      <c r="EC47" s="158" t="str">
        <f t="array" aca="1" ref="EC47" ca="1">IF(AND(DZ41&lt;&gt;"",DZ41&lt;&gt;"社食"),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INDIRECT("'盛付札（関数）'!AO"&amp;DX41))),"")</f>
        <v/>
      </c>
      <c r="ED47" s="150"/>
      <c r="EG47" s="157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150"/>
      <c r="EI47" s="157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150"/>
      <c r="EK47" s="158" t="str">
        <f t="array" aca="1" ref="EK47" ca="1">IF(AND(EH41&lt;&gt;"",EH41&lt;&gt;"社食"),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INDIRECT("'盛付札（関数）'!AO"&amp;EF41))),"")</f>
        <v/>
      </c>
      <c r="EL47" s="150"/>
      <c r="EN47" s="157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150"/>
      <c r="EP47" s="157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150"/>
      <c r="ER47" s="158" t="str">
        <f t="array" aca="1" ref="ER47" ca="1">IF(AND(EO41&lt;&gt;"",EO41&lt;&gt;"社食"),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INDIRECT("'盛付札（関数）'!AO"&amp;EM41))),"")</f>
        <v/>
      </c>
      <c r="ES47" s="150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DR7:DS7"/>
    <mergeCell ref="DS27:DT27"/>
    <mergeCell ref="DS41:DV41"/>
    <mergeCell ref="DD44:DE45"/>
    <mergeCell ref="AV35:AW35"/>
    <mergeCell ref="EO12:EP13"/>
    <mergeCell ref="AO7:AP7"/>
    <mergeCell ref="BN4:BO5"/>
    <mergeCell ref="BF44:BG45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EA39:EB3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DS33:DV33"/>
    <mergeCell ref="BR19:BS19"/>
    <mergeCell ref="F36:G37"/>
    <mergeCell ref="F12:G13"/>
    <mergeCell ref="CP39:CQ39"/>
    <mergeCell ref="BK35:BL3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BB7:BC7"/>
    <mergeCell ref="AJ28:AK29"/>
    <mergeCell ref="CY12:CZ13"/>
    <mergeCell ref="BD7:BE7"/>
    <mergeCell ref="CY20:CZ21"/>
    <mergeCell ref="M39:N39"/>
    <mergeCell ref="AH23:AI23"/>
    <mergeCell ref="EH28:EI29"/>
    <mergeCell ref="EO33:ER33"/>
    <mergeCell ref="AH39:AI39"/>
    <mergeCell ref="BY47:BZ47"/>
    <mergeCell ref="AV19:AW19"/>
    <mergeCell ref="R25:U25"/>
    <mergeCell ref="EC20:ED21"/>
    <mergeCell ref="DK28:DL29"/>
    <mergeCell ref="EC7:ED7"/>
    <mergeCell ref="DZ11:EA11"/>
    <mergeCell ref="BK12:BL13"/>
    <mergeCell ref="AB44:AC45"/>
    <mergeCell ref="EI15:EJ15"/>
    <mergeCell ref="EH43:EI43"/>
    <mergeCell ref="EK15:EL15"/>
    <mergeCell ref="CJ44:CK45"/>
    <mergeCell ref="CR47:CS47"/>
    <mergeCell ref="AM47:AN47"/>
    <mergeCell ref="DK41:DN41"/>
    <mergeCell ref="CH47:CI47"/>
    <mergeCell ref="EO41:ER41"/>
    <mergeCell ref="AU47:AV47"/>
    <mergeCell ref="CC39:CD39"/>
    <mergeCell ref="DG20:DH21"/>
    <mergeCell ref="BK9:BN9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R41:U41"/>
    <mergeCell ref="S47:T47"/>
    <mergeCell ref="BB47:BC47"/>
    <mergeCell ref="BC12:BD13"/>
    <mergeCell ref="F15:G15"/>
    <mergeCell ref="AV11:AW11"/>
    <mergeCell ref="BB39:BC39"/>
    <mergeCell ref="BD39:BE39"/>
    <mergeCell ref="CU47:CV47"/>
    <mergeCell ref="EC12:ED13"/>
    <mergeCell ref="AN9:AQ9"/>
    <mergeCell ref="AV25:AY25"/>
    <mergeCell ref="DK9:DN9"/>
    <mergeCell ref="BN36:BO3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BC9:BF9"/>
    <mergeCell ref="DK44:DL45"/>
    <mergeCell ref="J27:K27"/>
    <mergeCell ref="BC28:BD29"/>
    <mergeCell ref="CW15:CX15"/>
    <mergeCell ref="CY15:CZ15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ER44:ES45"/>
    <mergeCell ref="DJ7:DK7"/>
    <mergeCell ref="Q47:R47"/>
    <mergeCell ref="R12:S13"/>
    <mergeCell ref="EG23:EH23"/>
    <mergeCell ref="DZ43:EA43"/>
    <mergeCell ref="CF39:CG39"/>
    <mergeCell ref="J36:K37"/>
    <mergeCell ref="BR11:BS11"/>
    <mergeCell ref="CH39:CI39"/>
    <mergeCell ref="BY7:BZ7"/>
    <mergeCell ref="BR25:BU25"/>
    <mergeCell ref="AJ39:AK39"/>
    <mergeCell ref="CR36:CS37"/>
    <mergeCell ref="R9:U9"/>
    <mergeCell ref="BZ44:CA45"/>
    <mergeCell ref="DK12:DL13"/>
    <mergeCell ref="DN31:DO31"/>
    <mergeCell ref="AB28:AC29"/>
    <mergeCell ref="BL15:BM15"/>
    <mergeCell ref="BN15:BO15"/>
    <mergeCell ref="AV36:AW37"/>
    <mergeCell ref="DT39:DU39"/>
    <mergeCell ref="DD11:DE11"/>
    <mergeCell ref="DV28:DW29"/>
    <mergeCell ref="AG25:AJ25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AN44:AO45"/>
    <mergeCell ref="BN20:BO21"/>
    <mergeCell ref="BK44:BL45"/>
    <mergeCell ref="DD25:DG25"/>
    <mergeCell ref="BB31:BC31"/>
    <mergeCell ref="BC41:BF41"/>
    <mergeCell ref="CG36:CH37"/>
    <mergeCell ref="CO28:CP29"/>
    <mergeCell ref="DE15:DF15"/>
    <mergeCell ref="DG15:DH15"/>
    <mergeCell ref="CV25:CY25"/>
    <mergeCell ref="BL39:BM39"/>
    <mergeCell ref="DD19:DE19"/>
    <mergeCell ref="DC47:DD47"/>
    <mergeCell ref="BN39:BO39"/>
    <mergeCell ref="BN47:BO47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BR41:BU41"/>
    <mergeCell ref="CG4:CH5"/>
    <mergeCell ref="CG20:CH21"/>
    <mergeCell ref="DS44:DT45"/>
    <mergeCell ref="CG12:CH13"/>
    <mergeCell ref="CC44:CD45"/>
    <mergeCell ref="AQ20:AR21"/>
    <mergeCell ref="DV23:DW23"/>
    <mergeCell ref="DD27:DE27"/>
    <mergeCell ref="AU7:AV7"/>
    <mergeCell ref="BZ33:CC33"/>
    <mergeCell ref="DK1:DN1"/>
    <mergeCell ref="EH19:EI19"/>
    <mergeCell ref="CN15:CO15"/>
    <mergeCell ref="AV28:AW29"/>
    <mergeCell ref="BN7:BO7"/>
    <mergeCell ref="CP15:CQ15"/>
    <mergeCell ref="EK7:EL7"/>
    <mergeCell ref="CR15:CS15"/>
    <mergeCell ref="EH33:EK33"/>
    <mergeCell ref="EA31:EB31"/>
    <mergeCell ref="EH4:EI5"/>
    <mergeCell ref="DZ28:EA29"/>
    <mergeCell ref="BU4:BV5"/>
    <mergeCell ref="DV4:DW5"/>
    <mergeCell ref="BC1:BF1"/>
    <mergeCell ref="DG7:DH7"/>
    <mergeCell ref="CV11:CW11"/>
    <mergeCell ref="DS4:DT5"/>
    <mergeCell ref="AV9:AY9"/>
    <mergeCell ref="EO20:EP21"/>
    <mergeCell ref="BR44:BS45"/>
    <mergeCell ref="R4:S5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F44:G45"/>
    <mergeCell ref="EO9:ER9"/>
    <mergeCell ref="J25:M25"/>
    <mergeCell ref="CJ47:CK47"/>
    <mergeCell ref="BC17:BF17"/>
    <mergeCell ref="AW39:AX39"/>
    <mergeCell ref="R20:S21"/>
    <mergeCell ref="DV12:DW13"/>
    <mergeCell ref="BK28:BL29"/>
    <mergeCell ref="EN31:EO31"/>
    <mergeCell ref="EP31:EQ31"/>
    <mergeCell ref="DT7:DU7"/>
    <mergeCell ref="DV7:DW7"/>
    <mergeCell ref="AQ44:AR45"/>
    <mergeCell ref="AW47:AX47"/>
    <mergeCell ref="AY47:AZ47"/>
    <mergeCell ref="EN39:EO39"/>
    <mergeCell ref="Q23:R23"/>
    <mergeCell ref="DV47:DW47"/>
    <mergeCell ref="CF7:CG7"/>
    <mergeCell ref="S23:T23"/>
    <mergeCell ref="DK20:DL21"/>
    <mergeCell ref="BF20:BG21"/>
    <mergeCell ref="Q31:R31"/>
    <mergeCell ref="DE47:DF47"/>
    <mergeCell ref="DG47:DH47"/>
    <mergeCell ref="CU23:CV23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I7:J7"/>
    <mergeCell ref="CR4:CS5"/>
    <mergeCell ref="DZ27:EA27"/>
    <mergeCell ref="DD33:DG33"/>
    <mergeCell ref="BS15:BT15"/>
    <mergeCell ref="AN11:AO11"/>
    <mergeCell ref="F31:G31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DN20:DO21"/>
    <mergeCell ref="BQ47:BR47"/>
    <mergeCell ref="AB39:AC3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BF47:BG47"/>
    <mergeCell ref="BJ23:BK2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B47:C47"/>
    <mergeCell ref="AV33:AY33"/>
    <mergeCell ref="EO36:EP37"/>
    <mergeCell ref="J4:K5"/>
    <mergeCell ref="AN12:AO13"/>
    <mergeCell ref="AB36:AC37"/>
    <mergeCell ref="DD3:DE3"/>
    <mergeCell ref="EG47:EH47"/>
    <mergeCell ref="CR39:CS39"/>
    <mergeCell ref="CV3:CW3"/>
    <mergeCell ref="EI47:EJ47"/>
    <mergeCell ref="BK27:BL27"/>
    <mergeCell ref="BZ9:CC9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Z12:CA13"/>
    <mergeCell ref="BR12:BS13"/>
    <mergeCell ref="EH9:EK9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CA15:CB15"/>
    <mergeCell ref="DD20:DE21"/>
    <mergeCell ref="EK28:EL29"/>
    <mergeCell ref="R17:U17"/>
    <mergeCell ref="CG43:CH43"/>
    <mergeCell ref="AM39:AN39"/>
    <mergeCell ref="AO39:AP39"/>
    <mergeCell ref="DZ33:EC33"/>
    <mergeCell ref="CO27:CP27"/>
    <mergeCell ref="CJ31:CK31"/>
    <mergeCell ref="DN12:DO13"/>
    <mergeCell ref="EN15:EO15"/>
    <mergeCell ref="EP7:EQ7"/>
    <mergeCell ref="EH20:EI21"/>
    <mergeCell ref="BU36:BV37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N7:DO7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AV27:AW27"/>
    <mergeCell ref="B7:C7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DZ19:EA19"/>
    <mergeCell ref="AJ20:AK21"/>
    <mergeCell ref="J12:K13"/>
    <mergeCell ref="J9:M9"/>
    <mergeCell ref="CV33:CY33"/>
    <mergeCell ref="EC15:ED15"/>
    <mergeCell ref="DN28:DO29"/>
    <mergeCell ref="CJ12:CK13"/>
    <mergeCell ref="BC35:BD35"/>
    <mergeCell ref="BU15:BV15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EG39:EH39"/>
    <mergeCell ref="CW47:CX47"/>
    <mergeCell ref="CY47:CZ47"/>
    <mergeCell ref="U4:V5"/>
    <mergeCell ref="CW31:CX31"/>
    <mergeCell ref="AV1:AY1"/>
    <mergeCell ref="AU15:AV15"/>
    <mergeCell ref="AW15:AX15"/>
    <mergeCell ref="AV43:AW43"/>
    <mergeCell ref="M44:N45"/>
    <mergeCell ref="AN33:AQ33"/>
    <mergeCell ref="DG28:DH29"/>
    <mergeCell ref="AV41:AY41"/>
    <mergeCell ref="Z39:AA39"/>
    <mergeCell ref="J1:M1"/>
    <mergeCell ref="BZ36:CA37"/>
    <mergeCell ref="AN25:AQ25"/>
    <mergeCell ref="AJ4:AK5"/>
    <mergeCell ref="AF7:AG7"/>
    <mergeCell ref="AH7:AI7"/>
    <mergeCell ref="Q7:R7"/>
    <mergeCell ref="U15:V15"/>
    <mergeCell ref="J19:K19"/>
    <mergeCell ref="J33:M33"/>
    <mergeCell ref="Y1:AB1"/>
    <mergeCell ref="K7:L7"/>
    <mergeCell ref="M23:N23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O35:EP35"/>
    <mergeCell ref="CU31:CV31"/>
    <mergeCell ref="Y28:Z29"/>
    <mergeCell ref="ER12:ES1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DK33:DN33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AF31:AG31"/>
    <mergeCell ref="BZ35:CA35"/>
    <mergeCell ref="B15:C15"/>
    <mergeCell ref="D15:E15"/>
    <mergeCell ref="CV1:CY1"/>
    <mergeCell ref="AY7:AZ7"/>
    <mergeCell ref="EI39:EJ39"/>
    <mergeCell ref="D7:E7"/>
    <mergeCell ref="AF15:AG15"/>
    <mergeCell ref="DD35:DE35"/>
    <mergeCell ref="CA7:CB7"/>
    <mergeCell ref="X15:Y15"/>
    <mergeCell ref="EH44:EI45"/>
    <mergeCell ref="CC7:CD7"/>
    <mergeCell ref="F23:G23"/>
    <mergeCell ref="EC39:ED39"/>
    <mergeCell ref="BK41:BN41"/>
    <mergeCell ref="DN44:DO4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C35:D35"/>
    <mergeCell ref="F20:G21"/>
    <mergeCell ref="AV3:AW3"/>
    <mergeCell ref="AQ7:AR7"/>
    <mergeCell ref="Y41:AB41"/>
    <mergeCell ref="BU23:BV2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AA20"/>
  <sheetViews>
    <sheetView topLeftCell="C1" workbookViewId="0">
      <selection activeCell="W1" sqref="Q1:W1048576"/>
    </sheetView>
  </sheetViews>
  <sheetFormatPr defaultRowHeight="18"/>
  <cols>
    <col min="1" max="1" width="4.59765625" style="169" bestFit="1" customWidth="1"/>
    <col min="2" max="2" width="2.59765625" style="169" bestFit="1" customWidth="1"/>
    <col min="3" max="3" width="3.3984375" style="169" bestFit="1" customWidth="1"/>
    <col min="4" max="4" width="3.3984375" style="169" customWidth="1"/>
    <col min="5" max="5" width="6.3984375" style="169" bestFit="1" customWidth="1"/>
    <col min="6" max="6" width="20.19921875" style="169" bestFit="1" customWidth="1"/>
    <col min="7" max="9" width="1.5" style="169" customWidth="1"/>
    <col min="10" max="10" width="14.796875" style="169" customWidth="1"/>
    <col min="11" max="13" width="6" style="169" customWidth="1"/>
    <col min="14" max="14" width="2.3984375" style="169" bestFit="1" customWidth="1"/>
    <col min="15" max="16" width="8.796875" style="169"/>
    <col min="17" max="19" width="8.796875" style="140"/>
    <col min="20" max="20" width="4.3984375" style="140" bestFit="1" customWidth="1"/>
    <col min="21" max="21" width="3.3984375" style="140" bestFit="1" customWidth="1"/>
    <col min="22" max="22" width="3.3984375" style="140" customWidth="1"/>
    <col min="23" max="23" width="3.3984375" style="140" bestFit="1" customWidth="1"/>
    <col min="24" max="24" width="3.3984375" style="169" customWidth="1"/>
    <col min="25" max="16384" width="8.796875" style="169"/>
  </cols>
  <sheetData>
    <row r="1" spans="1:27">
      <c r="A1" s="169" t="str">
        <f>IF('数出表_Excel（アレルギー入力）'!AO1&lt;&gt;"",'数出表_Excel（アレルギー入力）'!AO1,"")</f>
        <v/>
      </c>
      <c r="B1" s="169" t="str">
        <f ca="1">SUBSTITUTE(A1,C1,"")</f>
        <v/>
      </c>
      <c r="C1" s="169" t="str" cm="1">
        <f t="array" aca="1" ref="C1" ca="1">_xlfn.TEXTJOIN("",TRUE,IF(ISERROR(MID(A1,ROW(INDIRECT("1:"&amp;LEN(A1))),1)*1),"",MID(A1,ROW(INDIRECT("1:"&amp;LEN(A1))),1)))</f>
        <v/>
      </c>
      <c r="D1" s="169" t="str" cm="1">
        <f t="array" aca="1" ref="D1" ca="1">IF(A1&lt;&gt;"",COLUMN(INDIRECT($B1&amp;"1")),"")</f>
        <v/>
      </c>
      <c r="E1" s="169" t="str">
        <f ca="1">IF(A1&lt;&gt;"",
IF(ISEVEN($C1),
OFFSET('数出表_Excel（アレルギー入力）'!$A$1,$C1-1,0),
OFFSET('数出表_Excel（アレルギー入力）'!$A$1,$C1-2,0)),"")</f>
        <v/>
      </c>
      <c r="F1" s="169" t="str">
        <f ca="1">IF(A1&lt;&gt;"",
IF(ISEVEN($C1),
OFFSET('数出表_Excel（アレルギー入力）'!$A$1,$C1,0),
OFFSET('数出表_Excel（アレルギー入力）'!$A$1,$C1-1,0)),"")</f>
        <v/>
      </c>
      <c r="G1" s="169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s="169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s="169" t="str">
        <f ca="1">IF(A1&lt;&gt;"",
IF(OFFSET('数出表_Excel（アレルギー入力）'!$A$1,4,D1-1)&lt;&gt;"",OFFSET('数出表_Excel（アレルギー入力）'!$A$1,4,D1-1),""),"")</f>
        <v/>
      </c>
      <c r="J1" s="169" t="str">
        <f ca="1">G1&amp;H1&amp;I1</f>
        <v/>
      </c>
      <c r="K1" s="169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s="169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s="169" t="str">
        <f ca="1">IF(A1&lt;&gt;"",
IF(ISEVEN($D1),
OFFSET('数出表_Excel（アレルギー入力）'!$A$1,$C1-1,D1),
OFFSET('数出表_Excel（アレルギー入力）'!$A$1,$C1-1,D1-1)),"")</f>
        <v/>
      </c>
      <c r="O1" s="169" t="str">
        <f>IF(A1&lt;&gt;"",VLOOKUP(G1,注文弁当の抽出!E:F,2,FALSE),"")</f>
        <v/>
      </c>
      <c r="P1" s="169" t="str">
        <f ca="1">IF(AND(N1=0, COUNTIFS($E$1:E1,E1)=1), E1, "")</f>
        <v/>
      </c>
      <c r="Q1" s="140" t="str" cm="1">
        <f t="array" aca="1" ref="Q1" ca="1">IFERROR(INDEX(P:P, SMALL(IF(P:P&lt;&gt;"", ROW(P:P)), ROW(Q1))), "")</f>
        <v/>
      </c>
      <c r="R1" s="140" t="str">
        <f ca="1">IF($Q1&lt;&gt;"",VLOOKUP($Q1,$E:$O,COLUMN()-16,FALSE),"")</f>
        <v/>
      </c>
      <c r="S1" s="140" t="str">
        <f ca="1">IF($Q1&lt;&gt;"",VLOOKUP($Q1,$E:$O,COLUMN()-13,FALSE),"")</f>
        <v/>
      </c>
      <c r="T1" s="140" t="str">
        <f ca="1">IF($Q1&lt;&gt;"",VLOOKUP($Q1,$E:$O,COLUMN()-13,FALSE),"")</f>
        <v/>
      </c>
      <c r="U1" s="140" t="str">
        <f ca="1">IF($Q1&lt;&gt;"",VLOOKUP($Q1,$E:$O,COLUMN()-13,FALSE),"")</f>
        <v/>
      </c>
      <c r="V1" s="140" t="str">
        <f ca="1">IF($Q1&lt;&gt;"",VLOOKUP($Q1,$E:$O,COLUMN()-13,FALSE),"")</f>
        <v/>
      </c>
      <c r="W1" s="140" t="str">
        <f ca="1">IF($Q1&lt;&gt;"",VLOOKUP($Q1,$E:$O,COLUMN()-12,FALSE),"")</f>
        <v/>
      </c>
      <c r="Y1" s="169" t="str">
        <f ca="1">IF(E1&lt;&gt;"",
IF(COUNTIF(J1,"*キャラ*"),
VLOOKUP("*キャラ*",商品マスタ一覧!$D:$E,2,FALSE),
IF(COUNTIF(J1,"*赤*"),
VLOOKUP("*赤*",商品マスタ一覧!$D:$E,2,FALSE),
VLOOKUP("*"&amp;J1&amp;"*",商品マスタ一覧!$D:$E,2,FALSE))),"")</f>
        <v/>
      </c>
      <c r="Z1" s="169" t="str">
        <f ca="1">IF(E1&lt;&gt;"",
IF(COUNTIF(F1,"*雙葉*"),
IF(ROUND((K1-M1)/Y1,0)&lt;=0,1,
ROUND((K1-M1)/Y1,0)),
IF(OR(COUNTIF(J1,"*キャラ*"),COUNTIF(J1,"*赤*")),"",
IF(Y1=0,"",
IF(ROUND((K1-M1)/Y1,0)&lt;=0,1,
ROUND((K1-M1)/Y1,0))))),"")</f>
        <v/>
      </c>
      <c r="AA1" s="169" t="str">
        <f ca="1">IF(Z1&lt;&gt;"",
IF(VALUE(K1-M1)&gt;VALUE(Y1*Z1),
"+"&amp;(K1-M1)-Y1*Z1,
(K1-M1)-Y1*Z1),"")</f>
        <v/>
      </c>
    </row>
    <row r="2" spans="1:27">
      <c r="A2" s="169" t="str">
        <f>IF('数出表_Excel（アレルギー入力）'!AO2&lt;&gt;"",'数出表_Excel（アレルギー入力）'!AO2,"")</f>
        <v/>
      </c>
      <c r="B2" s="169" t="str">
        <f t="shared" ref="B2:B14" ca="1" si="0">SUBSTITUTE(A2,C2,"")</f>
        <v/>
      </c>
      <c r="C2" s="169" t="str" cm="1">
        <f t="array" aca="1" ref="C2" ca="1">_xlfn.TEXTJOIN("",TRUE,IF(ISERROR(MID(A2,ROW(INDIRECT("1:"&amp;LEN(A2))),1)*1),"",MID(A2,ROW(INDIRECT("1:"&amp;LEN(A2))),1)))</f>
        <v/>
      </c>
      <c r="D2" s="169" t="str" cm="1">
        <f t="array" aca="1" ref="D2" ca="1">IF(A2&lt;&gt;"",COLUMN(INDIRECT($B2&amp;"1")),"")</f>
        <v/>
      </c>
      <c r="E2" s="169" t="str">
        <f ca="1">IF(A2&lt;&gt;"",
IF(ISEVEN($C2),
OFFSET('数出表_Excel（アレルギー入力）'!$A$1,$C2-1,0),
OFFSET('数出表_Excel（アレルギー入力）'!$A$1,$C2-2,0)),"")</f>
        <v/>
      </c>
      <c r="F2" s="169" t="str">
        <f ca="1">IF(A2&lt;&gt;"",
IF(ISEVEN($C2),
OFFSET('数出表_Excel（アレルギー入力）'!$A$1,$C2,0),
OFFSET('数出表_Excel（アレルギー入力）'!$A$1,$C2-1,0)),"")</f>
        <v/>
      </c>
      <c r="G2" s="169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s="169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s="169" t="str">
        <f ca="1">IF(A2&lt;&gt;"",
IF(OFFSET('数出表_Excel（アレルギー入力）'!$A$1,4,D2-1)&lt;&gt;"",OFFSET('数出表_Excel（アレルギー入力）'!$A$1,4,D2-1),""),"")</f>
        <v/>
      </c>
      <c r="J2" s="169" t="str">
        <f t="shared" ref="J2:J15" ca="1" si="1">G2&amp;H2&amp;I2</f>
        <v/>
      </c>
      <c r="K2" s="169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s="169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s="169" t="str">
        <f ca="1">IF(A2&lt;&gt;"",
IF(ISEVEN($D2),
OFFSET('数出表_Excel（アレルギー入力）'!$A$1,$C2-1,D2),
OFFSET('数出表_Excel（アレルギー入力）'!$A$1,$C2-1,D2-1)),"")</f>
        <v/>
      </c>
      <c r="O2" s="169" t="str">
        <f>IF(A2&lt;&gt;"",VLOOKUP(G2,注文弁当の抽出!E:F,2,FALSE),"")</f>
        <v/>
      </c>
      <c r="P2" s="169" t="str">
        <f ca="1">IF(AND(N2=0, COUNTIFS($E$1:E2,E2)=1), E2, "")</f>
        <v/>
      </c>
      <c r="Q2" s="140" t="str" cm="1">
        <f t="array" aca="1" ref="Q2" ca="1">IFERROR(INDEX(P:P, SMALL(IF(P:P&lt;&gt;"", ROW(P:P)), ROW(Q2))), "")</f>
        <v/>
      </c>
      <c r="R2" s="140" t="str">
        <f ca="1">IF($Q2&lt;&gt;"",VLOOKUP($Q2,$E:$O,COLUMN()-16,FALSE),"")</f>
        <v/>
      </c>
      <c r="S2" s="140" t="str">
        <f ca="1">IF($Q2&lt;&gt;"",VLOOKUP($Q2,$E:$O,COLUMN()-13,FALSE),"")</f>
        <v/>
      </c>
      <c r="T2" s="140" t="str">
        <f ca="1">IF($Q2&lt;&gt;"",VLOOKUP($Q2,$E:$O,COLUMN()-13,FALSE),"")</f>
        <v/>
      </c>
      <c r="U2" s="140" t="str">
        <f t="shared" ref="U2:V6" ca="1" si="2">IF($Q2&lt;&gt;"",VLOOKUP($Q2,$E:$O,COLUMN()-13,FALSE),"")</f>
        <v/>
      </c>
      <c r="V2" s="140" t="str">
        <f t="shared" ca="1" si="2"/>
        <v/>
      </c>
      <c r="W2" s="140" t="str">
        <f t="shared" ref="W2:W9" ca="1" si="3">IF($Q2&lt;&gt;"",VLOOKUP($Q2,$E:$O,COLUMN()-12,FALSE),"")</f>
        <v/>
      </c>
      <c r="Y2" s="169" t="str">
        <f ca="1">IF(E2&lt;&gt;"",
IF(COUNTIF(J2,"*キャラ*"),
VLOOKUP("*キャラ*",商品マスタ一覧!$D:$E,2,FALSE),
IF(COUNTIF(J2,"*赤*"),
VLOOKUP("*赤*",商品マスタ一覧!$D:$E,2,FALSE),
VLOOKUP("*"&amp;J2&amp;"*",商品マスタ一覧!$D:$E,2,FALSE))),"")</f>
        <v/>
      </c>
      <c r="Z2" s="169" t="str">
        <f ca="1">IF(E2&lt;&gt;"",
IF(COUNTIF(F2,"*雙葉*"),
IF(ROUND((K2-M2)/Y2,0)&lt;=0,1,
ROUND((K2-M2)/Y2,0)),
IF(OR(COUNTIF(J2,"*キャラ*"),COUNTIF(J2,"*赤*")),"",
IF(Y2=0,"",
IF(ROUND((K2-M2)/Y2,0)&lt;=0,1,
ROUND((K2-M2)/Y2,0))))),"")</f>
        <v/>
      </c>
      <c r="AA2" s="169" t="str">
        <f ca="1">IF(Z2&lt;&gt;"",
IF(VALUE(K2-M2)&gt;VALUE(Y2*Z2),
"+"&amp;(K2-M2)-Y2*Z2,
(K2-M2)-Y2*Z2),"")</f>
        <v/>
      </c>
    </row>
    <row r="3" spans="1:27">
      <c r="A3" s="169" t="str">
        <f>IF('数出表_Excel（アレルギー入力）'!AO3&lt;&gt;"",'数出表_Excel（アレルギー入力）'!AO3,"")</f>
        <v/>
      </c>
      <c r="B3" s="169" t="str">
        <f t="shared" ca="1" si="0"/>
        <v/>
      </c>
      <c r="C3" s="169" t="str" cm="1">
        <f t="array" aca="1" ref="C3" ca="1">_xlfn.TEXTJOIN("",TRUE,IF(ISERROR(MID(A3,ROW(INDIRECT("1:"&amp;LEN(A3))),1)*1),"",MID(A3,ROW(INDIRECT("1:"&amp;LEN(A3))),1)))</f>
        <v/>
      </c>
      <c r="D3" s="169" t="str" cm="1">
        <f t="array" aca="1" ref="D3" ca="1">IF(A3&lt;&gt;"",COLUMN(INDIRECT($B3&amp;"1")),"")</f>
        <v/>
      </c>
      <c r="E3" s="169" t="str">
        <f ca="1">IF(A3&lt;&gt;"",
IF(ISEVEN($C3),
OFFSET('数出表_Excel（アレルギー入力）'!$A$1,$C3-1,0),
OFFSET('数出表_Excel（アレルギー入力）'!$A$1,$C3-2,0)),"")</f>
        <v/>
      </c>
      <c r="F3" s="169" t="str">
        <f ca="1">IF(A3&lt;&gt;"",
IF(ISEVEN($C3),
OFFSET('数出表_Excel（アレルギー入力）'!$A$1,$C3,0),
OFFSET('数出表_Excel（アレルギー入力）'!$A$1,$C3-1,0)),"")</f>
        <v/>
      </c>
      <c r="G3" s="169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s="169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s="169" t="str">
        <f ca="1">IF(A3&lt;&gt;"",
IF(OFFSET('数出表_Excel（アレルギー入力）'!$A$1,4,D3-1)&lt;&gt;"",OFFSET('数出表_Excel（アレルギー入力）'!$A$1,4,D3-1),""),"")</f>
        <v/>
      </c>
      <c r="J3" s="169" t="str">
        <f t="shared" ca="1" si="1"/>
        <v/>
      </c>
      <c r="K3" s="169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s="169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s="169" t="str">
        <f ca="1">IF(A3&lt;&gt;"",
IF(ISEVEN($D3),
OFFSET('数出表_Excel（アレルギー入力）'!$A$1,$C3-1,D3),
OFFSET('数出表_Excel（アレルギー入力）'!$A$1,$C3-1,D3-1)),"")</f>
        <v/>
      </c>
      <c r="O3" s="169" t="str">
        <f>IF(A3&lt;&gt;"",VLOOKUP(G3,注文弁当の抽出!E:F,2,FALSE),"")</f>
        <v/>
      </c>
      <c r="P3" s="169" t="str">
        <f ca="1">IF(AND(N3=0, COUNTIFS($E$1:E3,E3)=1), E3, "")</f>
        <v/>
      </c>
      <c r="Q3" s="140" t="str" cm="1">
        <f t="array" aca="1" ref="Q3" ca="1">IFERROR(INDEX(P:P, SMALL(IF(P:P&lt;&gt;"", ROW(P:P)), ROW(Q3))), "")</f>
        <v/>
      </c>
      <c r="R3" s="140" t="str">
        <f ca="1">IF($Q3&lt;&gt;"",VLOOKUP($Q3,$E:$O,COLUMN()-16,FALSE),"")</f>
        <v/>
      </c>
      <c r="S3" s="140" t="str">
        <f ca="1">IF($Q3&lt;&gt;"",VLOOKUP($Q3,$E:$O,COLUMN()-13,FALSE),"")</f>
        <v/>
      </c>
      <c r="T3" s="140" t="str">
        <f ca="1">IF($Q3&lt;&gt;"",VLOOKUP($Q3,$E:$O,COLUMN()-13,FALSE),"")</f>
        <v/>
      </c>
      <c r="U3" s="140" t="str">
        <f t="shared" ca="1" si="2"/>
        <v/>
      </c>
      <c r="V3" s="140" t="str">
        <f t="shared" ca="1" si="2"/>
        <v/>
      </c>
      <c r="W3" s="140" t="str">
        <f t="shared" ca="1" si="3"/>
        <v/>
      </c>
      <c r="Y3" s="169" t="str">
        <f ca="1">IF(E3&lt;&gt;"",
IF(COUNTIF(J3,"*キャラ*"),
VLOOKUP("*キャラ*",商品マスタ一覧!$D:$E,2,FALSE),
IF(COUNTIF(J3,"*赤*"),
VLOOKUP("*赤*",商品マスタ一覧!$D:$E,2,FALSE),
VLOOKUP("*"&amp;J3&amp;"*",商品マスタ一覧!$D:$E,2,FALSE))),"")</f>
        <v/>
      </c>
      <c r="Z3" s="169" t="str">
        <f ca="1">IF(E3&lt;&gt;"",
IF(COUNTIF(F3,"*雙葉*"),
IF(ROUND((K3-M3)/Y3,0)&lt;=0,1,
ROUND((K3-M3)/Y3,0)),
IF(OR(COUNTIF(J3,"*キャラ*"),COUNTIF(J3,"*赤*")),"",
IF(Y3=0,"",
IF(ROUND((K3-M3)/Y3,0)&lt;=0,1,
ROUND((K3-M3)/Y3,0))))),"")</f>
        <v/>
      </c>
      <c r="AA3" s="169" t="str">
        <f ca="1">IF(Z3&lt;&gt;"",
IF(VALUE(K3-M3)&gt;VALUE(Y3*Z3),
"+"&amp;(K3-M3)-Y3*Z3,
(K3-M3)-Y3*Z3),"")</f>
        <v/>
      </c>
    </row>
    <row r="4" spans="1:27">
      <c r="A4" s="169" t="str">
        <f>IF('数出表_Excel（アレルギー入力）'!AO4&lt;&gt;"",'数出表_Excel（アレルギー入力）'!AO4,"")</f>
        <v/>
      </c>
      <c r="B4" s="169" t="str">
        <f t="shared" ca="1" si="0"/>
        <v/>
      </c>
      <c r="C4" s="169" t="str" cm="1">
        <f t="array" aca="1" ref="C4" ca="1">_xlfn.TEXTJOIN("",TRUE,IF(ISERROR(MID(A4,ROW(INDIRECT("1:"&amp;LEN(A4))),1)*1),"",MID(A4,ROW(INDIRECT("1:"&amp;LEN(A4))),1)))</f>
        <v/>
      </c>
      <c r="D4" s="169" t="str" cm="1">
        <f t="array" aca="1" ref="D4" ca="1">IF(A4&lt;&gt;"",COLUMN(INDIRECT($B4&amp;"1")),"")</f>
        <v/>
      </c>
      <c r="E4" s="169" t="str">
        <f ca="1">IF(A4&lt;&gt;"",
IF(ISEVEN($C4),
OFFSET('数出表_Excel（アレルギー入力）'!$A$1,$C4-1,0),
OFFSET('数出表_Excel（アレルギー入力）'!$A$1,$C4-2,0)),"")</f>
        <v/>
      </c>
      <c r="F4" s="169" t="str">
        <f ca="1">IF(A4&lt;&gt;"",
IF(ISEVEN($C4),
OFFSET('数出表_Excel（アレルギー入力）'!$A$1,$C4,0),
OFFSET('数出表_Excel（アレルギー入力）'!$A$1,$C4-1,0)),"")</f>
        <v/>
      </c>
      <c r="G4" s="169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s="169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s="169" t="str">
        <f ca="1">IF(A4&lt;&gt;"",
IF(OFFSET('数出表_Excel（アレルギー入力）'!$A$1,4,D4-1)&lt;&gt;"",OFFSET('数出表_Excel（アレルギー入力）'!$A$1,4,D4-1),""),"")</f>
        <v/>
      </c>
      <c r="J4" s="169" t="str">
        <f t="shared" ca="1" si="1"/>
        <v/>
      </c>
      <c r="K4" s="169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s="169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s="169" t="str">
        <f ca="1">IF(A4&lt;&gt;"",
IF(ISEVEN($D4),
OFFSET('数出表_Excel（アレルギー入力）'!$A$1,$C4-1,D4),
OFFSET('数出表_Excel（アレルギー入力）'!$A$1,$C4-1,D4-1)),"")</f>
        <v/>
      </c>
      <c r="O4" s="169" t="str">
        <f>IF(A4&lt;&gt;"",VLOOKUP(G4,注文弁当の抽出!E:F,2,FALSE),"")</f>
        <v/>
      </c>
      <c r="P4" s="169" t="str">
        <f ca="1">IF(AND(N4=0, COUNTIFS($E$1:E4,E4)=1), E4, "")</f>
        <v/>
      </c>
      <c r="Q4" s="140" t="str" cm="1">
        <f t="array" aca="1" ref="Q4" ca="1">IFERROR(INDEX(P:P, SMALL(IF(P:P&lt;&gt;"", ROW(P:P)), ROW(Q4))), "")</f>
        <v/>
      </c>
      <c r="R4" s="140" t="str">
        <f ca="1">IF($Q4&lt;&gt;"",VLOOKUP($Q4,$E:$O,COLUMN()-16,FALSE),"")</f>
        <v/>
      </c>
      <c r="S4" s="140" t="str">
        <f ca="1">IF($Q4&lt;&gt;"",VLOOKUP($Q4,$E:$O,COLUMN()-13,FALSE),"")</f>
        <v/>
      </c>
      <c r="T4" s="140" t="str">
        <f ca="1">IF($Q4&lt;&gt;"",VLOOKUP($Q4,$E:$O,COLUMN()-13,FALSE),"")</f>
        <v/>
      </c>
      <c r="U4" s="140" t="str">
        <f t="shared" ca="1" si="2"/>
        <v/>
      </c>
      <c r="V4" s="140" t="str">
        <f t="shared" ca="1" si="2"/>
        <v/>
      </c>
      <c r="W4" s="140" t="str">
        <f t="shared" ca="1" si="3"/>
        <v/>
      </c>
      <c r="Y4" s="169" t="str">
        <f ca="1">IF(E4&lt;&gt;"",
IF(COUNTIF(J4,"*キャラ*"),
VLOOKUP("*キャラ*",商品マスタ一覧!$D:$E,2,FALSE),
IF(COUNTIF(J4,"*赤*"),
VLOOKUP("*赤*",商品マスタ一覧!$D:$E,2,FALSE),
VLOOKUP("*"&amp;J4&amp;"*",商品マスタ一覧!$D:$E,2,FALSE))),"")</f>
        <v/>
      </c>
      <c r="Z4" s="169" t="str">
        <f ca="1">IF(E4&lt;&gt;"",
IF(COUNTIF(F4,"*雙葉*"),
IF(ROUND((K4-M4)/Y4,0)&lt;=0,1,
ROUND((K4-M4)/Y4,0)),
IF(OR(COUNTIF(J4,"*キャラ*"),COUNTIF(J4,"*赤*")),"",
IF(Y4=0,"",
IF(ROUND((K4-M4)/Y4,0)&lt;=0,1,
ROUND((K4-M4)/Y4,0))))),"")</f>
        <v/>
      </c>
      <c r="AA4" s="169" t="str">
        <f ca="1">IF(Z4&lt;&gt;"",
IF(VALUE(K4-M4)&gt;VALUE(Y4*Z4),
"+"&amp;(K4-M4)-Y4*Z4,
(K4-M4)-Y4*Z4),"")</f>
        <v/>
      </c>
    </row>
    <row r="5" spans="1:27">
      <c r="A5" s="169" t="str">
        <f>IF('数出表_Excel（アレルギー入力）'!AO5&lt;&gt;"",'数出表_Excel（アレルギー入力）'!AO5,"")</f>
        <v/>
      </c>
      <c r="B5" s="169" t="str">
        <f t="shared" ca="1" si="0"/>
        <v/>
      </c>
      <c r="C5" s="169" t="str" cm="1">
        <f t="array" aca="1" ref="C5" ca="1">_xlfn.TEXTJOIN("",TRUE,IF(ISERROR(MID(A5,ROW(INDIRECT("1:"&amp;LEN(A5))),1)*1),"",MID(A5,ROW(INDIRECT("1:"&amp;LEN(A5))),1)))</f>
        <v/>
      </c>
      <c r="D5" s="169" t="str" cm="1">
        <f t="array" aca="1" ref="D5" ca="1">IF(A5&lt;&gt;"",COLUMN(INDIRECT($B5&amp;"1")),"")</f>
        <v/>
      </c>
      <c r="E5" s="169" t="str">
        <f ca="1">IF(A5&lt;&gt;"",
IF(ISEVEN($C5),
OFFSET('数出表_Excel（アレルギー入力）'!$A$1,$C5-1,0),
OFFSET('数出表_Excel（アレルギー入力）'!$A$1,$C5-2,0)),"")</f>
        <v/>
      </c>
      <c r="F5" s="169" t="str">
        <f ca="1">IF(A5&lt;&gt;"",
IF(ISEVEN($C5),
OFFSET('数出表_Excel（アレルギー入力）'!$A$1,$C5,0),
OFFSET('数出表_Excel（アレルギー入力）'!$A$1,$C5-1,0)),"")</f>
        <v/>
      </c>
      <c r="G5" s="169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s="169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s="169" t="str">
        <f ca="1">IF(A5&lt;&gt;"",
IF(OFFSET('数出表_Excel（アレルギー入力）'!$A$1,4,D5-1)&lt;&gt;"",OFFSET('数出表_Excel（アレルギー入力）'!$A$1,4,D5-1),""),"")</f>
        <v/>
      </c>
      <c r="J5" s="169" t="str">
        <f t="shared" ca="1" si="1"/>
        <v/>
      </c>
      <c r="K5" s="169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s="169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s="169" t="str">
        <f ca="1">IF(A5&lt;&gt;"",
IF(ISEVEN($D5),
OFFSET('数出表_Excel（アレルギー入力）'!$A$1,$C5-1,D5),
OFFSET('数出表_Excel（アレルギー入力）'!$A$1,$C5-1,D5-1)),"")</f>
        <v/>
      </c>
      <c r="O5" s="169" t="str">
        <f>IF(A5&lt;&gt;"",VLOOKUP(G5,注文弁当の抽出!E:F,2,FALSE),"")</f>
        <v/>
      </c>
      <c r="P5" s="169" t="str">
        <f ca="1">IF(AND(N5=0, COUNTIFS($E$1:E5,E5)=1), E5, "")</f>
        <v/>
      </c>
      <c r="Q5" s="140" t="str" cm="1">
        <f t="array" aca="1" ref="Q5" ca="1">IFERROR(INDEX(P:P, SMALL(IF(P:P&lt;&gt;"", ROW(P:P)), ROW(Q5))), "")</f>
        <v/>
      </c>
      <c r="R5" s="140" t="str">
        <f ca="1">IF($Q5&lt;&gt;"",VLOOKUP($Q5,$E:$O,COLUMN()-16,FALSE),"")</f>
        <v/>
      </c>
      <c r="S5" s="140" t="str">
        <f ca="1">IF($Q5&lt;&gt;"",VLOOKUP($Q5,$E:$O,COLUMN()-13,FALSE),"")</f>
        <v/>
      </c>
      <c r="T5" s="140" t="str">
        <f ca="1">IF($Q5&lt;&gt;"",VLOOKUP($Q5,$E:$O,COLUMN()-13,FALSE),"")</f>
        <v/>
      </c>
      <c r="U5" s="140" t="str">
        <f t="shared" ca="1" si="2"/>
        <v/>
      </c>
      <c r="V5" s="140" t="str">
        <f t="shared" ca="1" si="2"/>
        <v/>
      </c>
      <c r="W5" s="140" t="str">
        <f t="shared" ca="1" si="3"/>
        <v/>
      </c>
      <c r="Y5" s="169" t="str">
        <f ca="1">IF(E5&lt;&gt;"",
IF(COUNTIF(J5,"*キャラ*"),
VLOOKUP("*キャラ*",商品マスタ一覧!$D:$E,2,FALSE),
IF(COUNTIF(J5,"*赤*"),
VLOOKUP("*赤*",商品マスタ一覧!$D:$E,2,FALSE),
VLOOKUP("*"&amp;J5&amp;"*",商品マスタ一覧!$D:$E,2,FALSE))),"")</f>
        <v/>
      </c>
      <c r="Z5" s="169" t="str">
        <f ca="1">IF(E5&lt;&gt;"",
IF(COUNTIF(F5,"*雙葉*"),
IF(ROUND((K5-M5)/Y5,0)&lt;=0,1,
ROUND((K5-M5)/Y5,0)),
IF(OR(COUNTIF(J5,"*キャラ*"),COUNTIF(J5,"*赤*")),"",
IF(Y5=0,"",
IF(ROUND((K5-M5)/Y5,0)&lt;=0,1,
ROUND((K5-M5)/Y5,0))))),"")</f>
        <v/>
      </c>
      <c r="AA5" s="169" t="str">
        <f ca="1">IF(Z5&lt;&gt;"",
IF(VALUE(K5-M5)&gt;VALUE(Y5*Z5),
"+"&amp;(K5-M5)-Y5*Z5,
(K5-M5)-Y5*Z5),"")</f>
        <v/>
      </c>
    </row>
    <row r="6" spans="1:27">
      <c r="A6" s="169" t="str">
        <f>IF('数出表_Excel（アレルギー入力）'!AO6&lt;&gt;"",'数出表_Excel（アレルギー入力）'!AO6,"")</f>
        <v/>
      </c>
      <c r="B6" s="169" t="str">
        <f t="shared" ca="1" si="0"/>
        <v/>
      </c>
      <c r="C6" s="169" t="str" cm="1">
        <f t="array" aca="1" ref="C6" ca="1">_xlfn.TEXTJOIN("",TRUE,IF(ISERROR(MID(A6,ROW(INDIRECT("1:"&amp;LEN(A6))),1)*1),"",MID(A6,ROW(INDIRECT("1:"&amp;LEN(A6))),1)))</f>
        <v/>
      </c>
      <c r="D6" s="169" t="str" cm="1">
        <f t="array" aca="1" ref="D6" ca="1">IF(A6&lt;&gt;"",COLUMN(INDIRECT($B6&amp;"1")),"")</f>
        <v/>
      </c>
      <c r="E6" s="169" t="str">
        <f ca="1">IF(A6&lt;&gt;"",
IF(ISEVEN($C6),
OFFSET('数出表_Excel（アレルギー入力）'!$A$1,$C6-1,0),
OFFSET('数出表_Excel（アレルギー入力）'!$A$1,$C6-2,0)),"")</f>
        <v/>
      </c>
      <c r="F6" s="169" t="str">
        <f ca="1">IF(A6&lt;&gt;"",
IF(ISEVEN($C6),
OFFSET('数出表_Excel（アレルギー入力）'!$A$1,$C6,0),
OFFSET('数出表_Excel（アレルギー入力）'!$A$1,$C6-1,0)),"")</f>
        <v/>
      </c>
      <c r="G6" s="169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s="169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s="169" t="str">
        <f ca="1">IF(A6&lt;&gt;"",
IF(OFFSET('数出表_Excel（アレルギー入力）'!$A$1,4,D6-1)&lt;&gt;"",OFFSET('数出表_Excel（アレルギー入力）'!$A$1,4,D6-1),""),"")</f>
        <v/>
      </c>
      <c r="J6" s="169" t="str">
        <f t="shared" ca="1" si="1"/>
        <v/>
      </c>
      <c r="K6" s="169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s="169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s="169" t="str">
        <f ca="1">IF(A6&lt;&gt;"",
IF(ISEVEN($D6),
OFFSET('数出表_Excel（アレルギー入力）'!$A$1,$C6-1,D6),
OFFSET('数出表_Excel（アレルギー入力）'!$A$1,$C6-1,D6-1)),"")</f>
        <v/>
      </c>
      <c r="O6" s="169" t="str">
        <f>IF(A6&lt;&gt;"",VLOOKUP(G6,注文弁当の抽出!E:F,2,FALSE),"")</f>
        <v/>
      </c>
      <c r="P6" s="169" t="str">
        <f ca="1">IF(AND(N6=0, COUNTIFS($E$1:E6,E6)=1), E6, "")</f>
        <v/>
      </c>
      <c r="Q6" s="140" t="str" cm="1">
        <f t="array" aca="1" ref="Q6" ca="1">IFERROR(INDEX(P:P, SMALL(IF(P:P&lt;&gt;"", ROW(P:P)), ROW(Q6))), "")</f>
        <v/>
      </c>
      <c r="R6" s="140" t="str">
        <f ca="1">IF($Q6&lt;&gt;"",VLOOKUP($Q6,$E:$O,COLUMN()-16,FALSE),"")</f>
        <v/>
      </c>
      <c r="S6" s="140" t="str">
        <f ca="1">IF($Q6&lt;&gt;"",VLOOKUP($Q6,$E:$O,COLUMN()-13,FALSE),"")</f>
        <v/>
      </c>
      <c r="T6" s="140" t="str">
        <f ca="1">IF($Q6&lt;&gt;"",VLOOKUP($Q6,$E:$O,COLUMN()-13,FALSE),"")</f>
        <v/>
      </c>
      <c r="U6" s="140" t="str">
        <f t="shared" ca="1" si="2"/>
        <v/>
      </c>
      <c r="V6" s="140" t="str">
        <f t="shared" ca="1" si="2"/>
        <v/>
      </c>
      <c r="W6" s="140" t="str">
        <f t="shared" ca="1" si="3"/>
        <v/>
      </c>
      <c r="Y6" s="169" t="str">
        <f ca="1">IF(E6&lt;&gt;"",
IF(COUNTIF(J6,"*キャラ*"),
VLOOKUP("*キャラ*",商品マスタ一覧!$D:$E,2,FALSE),
IF(COUNTIF(J6,"*赤*"),
VLOOKUP("*赤*",商品マスタ一覧!$D:$E,2,FALSE),
VLOOKUP("*"&amp;J6&amp;"*",商品マスタ一覧!$D:$E,2,FALSE))),"")</f>
        <v/>
      </c>
      <c r="Z6" s="169" t="str">
        <f ca="1">IF(E6&lt;&gt;"",
IF(COUNTIF(F6,"*雙葉*"),
IF(ROUND((K6-M6)/Y6,0)&lt;=0,1,
ROUND((K6-M6)/Y6,0)),
IF(OR(COUNTIF(J6,"*キャラ*"),COUNTIF(J6,"*赤*")),"",
IF(Y6=0,"",
IF(ROUND((K6-M6)/Y6,0)&lt;=0,1,
ROUND((K6-M6)/Y6,0))))),"")</f>
        <v/>
      </c>
      <c r="AA6" s="169" t="str">
        <f ca="1">IF(Z6&lt;&gt;"",
IF(VALUE(K6-M6)&gt;VALUE(Y6*Z6),
"+"&amp;(K6-M6)-Y6*Z6,
(K6-M6)-Y6*Z6),"")</f>
        <v/>
      </c>
    </row>
    <row r="7" spans="1:27">
      <c r="A7" s="169" t="str">
        <f>IF('数出表_Excel（アレルギー入力）'!AO7&lt;&gt;"",'数出表_Excel（アレルギー入力）'!AO7,"")</f>
        <v/>
      </c>
      <c r="B7" s="169" t="str">
        <f t="shared" ca="1" si="0"/>
        <v/>
      </c>
      <c r="C7" s="169" t="str" cm="1">
        <f t="array" aca="1" ref="C7" ca="1">_xlfn.TEXTJOIN("",TRUE,IF(ISERROR(MID(A7,ROW(INDIRECT("1:"&amp;LEN(A7))),1)*1),"",MID(A7,ROW(INDIRECT("1:"&amp;LEN(A7))),1)))</f>
        <v/>
      </c>
      <c r="D7" s="169" t="str" cm="1">
        <f t="array" aca="1" ref="D7" ca="1">IF(A7&lt;&gt;"",COLUMN(INDIRECT($B7&amp;"1")),"")</f>
        <v/>
      </c>
      <c r="E7" s="169" t="str">
        <f ca="1">IF(A7&lt;&gt;"",
IF(ISEVEN($C7),
OFFSET('数出表_Excel（アレルギー入力）'!$A$1,$C7-1,0),
OFFSET('数出表_Excel（アレルギー入力）'!$A$1,$C7-2,0)),"")</f>
        <v/>
      </c>
      <c r="F7" s="169" t="str">
        <f ca="1">IF(A7&lt;&gt;"",
IF(ISEVEN($C7),
OFFSET('数出表_Excel（アレルギー入力）'!$A$1,$C7,0),
OFFSET('数出表_Excel（アレルギー入力）'!$A$1,$C7-1,0)),"")</f>
        <v/>
      </c>
      <c r="G7" s="169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s="169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s="169" t="str">
        <f ca="1">IF(A7&lt;&gt;"",
IF(OFFSET('数出表_Excel（アレルギー入力）'!$A$1,4,D7-1)&lt;&gt;"",OFFSET('数出表_Excel（アレルギー入力）'!$A$1,4,D7-1),""),"")</f>
        <v/>
      </c>
      <c r="J7" s="169" t="str">
        <f t="shared" ca="1" si="1"/>
        <v/>
      </c>
      <c r="K7" s="169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s="169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s="169" t="str">
        <f ca="1">IF(A7&lt;&gt;"",
IF(ISEVEN($D7),
OFFSET('数出表_Excel（アレルギー入力）'!$A$1,$C7-1,D7),
OFFSET('数出表_Excel（アレルギー入力）'!$A$1,$C7-1,D7-1)),"")</f>
        <v/>
      </c>
      <c r="O7" s="169" t="str">
        <f>IF(A7&lt;&gt;"",VLOOKUP(G7,注文弁当の抽出!E:F,2,FALSE),"")</f>
        <v/>
      </c>
      <c r="P7" s="169" t="str">
        <f ca="1">IF(AND(N7=0, COUNTIFS($E$1:E7,E7)=1), E7, "")</f>
        <v/>
      </c>
      <c r="Q7" s="140" t="str" cm="1">
        <f t="array" aca="1" ref="Q7" ca="1">IFERROR(INDEX(P:P, SMALL(IF(P:P&lt;&gt;"", ROW(P:P)), ROW(Q7))), "")</f>
        <v/>
      </c>
      <c r="R7" s="140" t="str">
        <f ca="1">IF($Q7&lt;&gt;"",VLOOKUP($Q7,$E:$O,COLUMN()-16,FALSE),"")</f>
        <v/>
      </c>
      <c r="S7" s="140" t="str">
        <f ca="1">IF($Q7&lt;&gt;"",VLOOKUP($Q7,$E:$O,COLUMN()-13,FALSE),"")</f>
        <v/>
      </c>
      <c r="T7" s="140" t="str">
        <f ca="1">IF($Q7&lt;&gt;"",VLOOKUP($Q7,$E:$O,COLUMN()-13,FALSE),"")</f>
        <v/>
      </c>
      <c r="U7" s="140" t="str">
        <f ca="1">IF($Q7&lt;&gt;"",VLOOKUP($Q7,$E:$O,COLUMN()-13,FALSE),"")</f>
        <v/>
      </c>
      <c r="W7" s="140" t="str">
        <f t="shared" ca="1" si="3"/>
        <v/>
      </c>
      <c r="Y7" s="169" t="str">
        <f ca="1">IF(E7&lt;&gt;"",
IF(COUNTIF(J7,"*キャラ*"),
VLOOKUP("*キャラ*",商品マスタ一覧!$D:$E,2,FALSE),
IF(COUNTIF(J7,"*赤*"),
VLOOKUP("*赤*",商品マスタ一覧!$D:$E,2,FALSE),
VLOOKUP("*"&amp;J7&amp;"*",商品マスタ一覧!$D:$E,2,FALSE))),"")</f>
        <v/>
      </c>
      <c r="Z7" s="169" t="str">
        <f ca="1">IF(E7&lt;&gt;"",
IF(COUNTIF(F7,"*雙葉*"),
IF(ROUND((K7-M7)/Y7,0)&lt;=0,1,
ROUND((K7-M7)/Y7,0)),
IF(OR(COUNTIF(J7,"*キャラ*"),COUNTIF(J7,"*赤*")),"",
IF(Y7=0,"",
IF(ROUND((K7-M7)/Y7,0)&lt;=0,1,
ROUND((K7-M7)/Y7,0))))),"")</f>
        <v/>
      </c>
      <c r="AA7" s="169" t="str">
        <f ca="1">IF(Z7&lt;&gt;"",
IF(VALUE(K7-M7)&gt;VALUE(Y7*Z7),
"+"&amp;(K7-M7)-Y7*Z7,
(K7-M7)-Y7*Z7),"")</f>
        <v/>
      </c>
    </row>
    <row r="8" spans="1:27">
      <c r="A8" s="169" t="str">
        <f>IF('数出表_Excel（アレルギー入力）'!AO8&lt;&gt;"",'数出表_Excel（アレルギー入力）'!AO8,"")</f>
        <v/>
      </c>
      <c r="B8" s="169" t="str">
        <f t="shared" ca="1" si="0"/>
        <v/>
      </c>
      <c r="C8" s="169" t="str" cm="1">
        <f t="array" aca="1" ref="C8" ca="1">_xlfn.TEXTJOIN("",TRUE,IF(ISERROR(MID(A8,ROW(INDIRECT("1:"&amp;LEN(A8))),1)*1),"",MID(A8,ROW(INDIRECT("1:"&amp;LEN(A8))),1)))</f>
        <v/>
      </c>
      <c r="D8" s="169" t="str" cm="1">
        <f t="array" aca="1" ref="D8" ca="1">IF(A8&lt;&gt;"",COLUMN(INDIRECT($B8&amp;"1")),"")</f>
        <v/>
      </c>
      <c r="E8" s="169" t="str">
        <f ca="1">IF(A8&lt;&gt;"",
IF(ISEVEN($C8),
OFFSET('数出表_Excel（アレルギー入力）'!$A$1,$C8-1,0),
OFFSET('数出表_Excel（アレルギー入力）'!$A$1,$C8-2,0)),"")</f>
        <v/>
      </c>
      <c r="F8" s="169" t="str">
        <f ca="1">IF(A8&lt;&gt;"",
IF(ISEVEN($C8),
OFFSET('数出表_Excel（アレルギー入力）'!$A$1,$C8,0),
OFFSET('数出表_Excel（アレルギー入力）'!$A$1,$C8-1,0)),"")</f>
        <v/>
      </c>
      <c r="G8" s="169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s="169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s="169" t="str">
        <f ca="1">IF(A8&lt;&gt;"",
IF(OFFSET('数出表_Excel（アレルギー入力）'!$A$1,4,D8-1)&lt;&gt;"",OFFSET('数出表_Excel（アレルギー入力）'!$A$1,4,D8-1),""),"")</f>
        <v/>
      </c>
      <c r="J8" s="169" t="str">
        <f t="shared" ca="1" si="1"/>
        <v/>
      </c>
      <c r="K8" s="169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s="169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s="169" t="str">
        <f ca="1">IF(A8&lt;&gt;"",
IF(ISEVEN($D8),
OFFSET('数出表_Excel（アレルギー入力）'!$A$1,$C8-1,D8),
OFFSET('数出表_Excel（アレルギー入力）'!$A$1,$C8-1,D8-1)),"")</f>
        <v/>
      </c>
      <c r="O8" s="169" t="str">
        <f>IF(A8&lt;&gt;"",VLOOKUP(G8,注文弁当の抽出!E:F,2,FALSE),"")</f>
        <v/>
      </c>
      <c r="P8" s="169" t="str">
        <f ca="1">IF(AND(N8=0, COUNTIFS($E$1:E8,E8)=1), E8, "")</f>
        <v/>
      </c>
      <c r="Q8" s="140" t="str" cm="1">
        <f t="array" aca="1" ref="Q8" ca="1">IFERROR(INDEX(P:P, SMALL(IF(P:P&lt;&gt;"", ROW(P:P)), ROW(Q8))), "")</f>
        <v/>
      </c>
      <c r="R8" s="140" t="str">
        <f ca="1">IF($Q8&lt;&gt;"",VLOOKUP($Q8,$E:$O,COLUMN()-16,FALSE),"")</f>
        <v/>
      </c>
      <c r="S8" s="140" t="str">
        <f ca="1">IF($Q8&lt;&gt;"",VLOOKUP($Q8,$E:$O,COLUMN()-13,FALSE),"")</f>
        <v/>
      </c>
      <c r="T8" s="140" t="str">
        <f ca="1">IF($Q8&lt;&gt;"",VLOOKUP($Q8,$E:$O,COLUMN()-13,FALSE),"")</f>
        <v/>
      </c>
      <c r="U8" s="140" t="str">
        <f ca="1">IF($Q8&lt;&gt;"",VLOOKUP($Q8,$E:$O,COLUMN()-13,FALSE),"")</f>
        <v/>
      </c>
      <c r="W8" s="140" t="str">
        <f t="shared" ca="1" si="3"/>
        <v/>
      </c>
      <c r="Y8" s="169" t="str">
        <f ca="1">IF(E8&lt;&gt;"",
IF(COUNTIF(J8,"*キャラ*"),
VLOOKUP("*キャラ*",商品マスタ一覧!$D:$E,2,FALSE),
IF(COUNTIF(J8,"*赤*"),
VLOOKUP("*赤*",商品マスタ一覧!$D:$E,2,FALSE),
VLOOKUP("*"&amp;J8&amp;"*",商品マスタ一覧!$D:$E,2,FALSE))),"")</f>
        <v/>
      </c>
      <c r="Z8" s="169" t="str">
        <f ca="1">IF(E8&lt;&gt;"",
IF(COUNTIF(F8,"*雙葉*"),
IF(ROUND((K8-M8)/Y8,0)&lt;=0,1,
ROUND((K8-M8)/Y8,0)),
IF(OR(COUNTIF(J8,"*キャラ*"),COUNTIF(J8,"*赤*")),"",
IF(Y8=0,"",
IF(ROUND((K8-M8)/Y8,0)&lt;=0,1,
ROUND((K8-M8)/Y8,0))))),"")</f>
        <v/>
      </c>
      <c r="AA8" s="169" t="str">
        <f ca="1">IF(Z8&lt;&gt;"",
IF(VALUE(K8-M8)&gt;VALUE(Y8*Z8),
"+"&amp;(K8-M8)-Y8*Z8,
(K8-M8)-Y8*Z8),"")</f>
        <v/>
      </c>
    </row>
    <row r="9" spans="1:27">
      <c r="A9" s="169" t="str">
        <f>IF('数出表_Excel（アレルギー入力）'!AO9&lt;&gt;"",'数出表_Excel（アレルギー入力）'!AO9,"")</f>
        <v/>
      </c>
      <c r="B9" s="169" t="str">
        <f t="shared" ca="1" si="0"/>
        <v/>
      </c>
      <c r="C9" s="169" t="str" cm="1">
        <f t="array" aca="1" ref="C9" ca="1">_xlfn.TEXTJOIN("",TRUE,IF(ISERROR(MID(A9,ROW(INDIRECT("1:"&amp;LEN(A9))),1)*1),"",MID(A9,ROW(INDIRECT("1:"&amp;LEN(A9))),1)))</f>
        <v/>
      </c>
      <c r="D9" s="169" t="str" cm="1">
        <f t="array" aca="1" ref="D9" ca="1">IF(A9&lt;&gt;"",COLUMN(INDIRECT($B9&amp;"1")),"")</f>
        <v/>
      </c>
      <c r="E9" s="169" t="str">
        <f ca="1">IF(A9&lt;&gt;"",
IF(ISEVEN($C9),
OFFSET('数出表_Excel（アレルギー入力）'!$A$1,$C9-1,0),
OFFSET('数出表_Excel（アレルギー入力）'!$A$1,$C9-2,0)),"")</f>
        <v/>
      </c>
      <c r="F9" s="169" t="str">
        <f ca="1">IF(A9&lt;&gt;"",
IF(ISEVEN($C9),
OFFSET('数出表_Excel（アレルギー入力）'!$A$1,$C9,0),
OFFSET('数出表_Excel（アレルギー入力）'!$A$1,$C9-1,0)),"")</f>
        <v/>
      </c>
      <c r="G9" s="16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s="16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s="169" t="str">
        <f ca="1">IF(A9&lt;&gt;"",
IF(OFFSET('数出表_Excel（アレルギー入力）'!$A$1,4,D9-1)&lt;&gt;"",OFFSET('数出表_Excel（アレルギー入力）'!$A$1,4,D9-1),""),"")</f>
        <v/>
      </c>
      <c r="J9" s="169" t="str">
        <f t="shared" ca="1" si="1"/>
        <v/>
      </c>
      <c r="K9" s="16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s="16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s="169" t="str">
        <f ca="1">IF(A9&lt;&gt;"",
IF(ISEVEN($D9),
OFFSET('数出表_Excel（アレルギー入力）'!$A$1,$C9-1,D9),
OFFSET('数出表_Excel（アレルギー入力）'!$A$1,$C9-1,D9-1)),"")</f>
        <v/>
      </c>
      <c r="O9" s="169" t="str">
        <f>IF(A9&lt;&gt;"",VLOOKUP(G9,注文弁当の抽出!E:F,2,FALSE),"")</f>
        <v/>
      </c>
      <c r="P9" s="169" t="str">
        <f ca="1">IF(AND(N9=0, COUNTIFS($E$1:E9,E9)=1), E9, "")</f>
        <v/>
      </c>
      <c r="Q9" s="140" t="str" cm="1">
        <f t="array" aca="1" ref="Q9" ca="1">IFERROR(INDEX(P:P, SMALL(IF(P:P&lt;&gt;"", ROW(P:P)), ROW(Q9))), "")</f>
        <v/>
      </c>
      <c r="R9" s="140" t="str">
        <f ca="1">IF($Q9&lt;&gt;"",VLOOKUP($Q9,$E:$O,COLUMN()-16,FALSE),"")</f>
        <v/>
      </c>
      <c r="S9" s="140" t="str">
        <f ca="1">IF($Q9&lt;&gt;"",VLOOKUP($Q9,$E:$O,COLUMN()-13,FALSE),"")</f>
        <v/>
      </c>
      <c r="T9" s="140" t="str">
        <f ca="1">IF($Q9&lt;&gt;"",VLOOKUP($Q9,$E:$O,COLUMN()-13,FALSE),"")</f>
        <v/>
      </c>
      <c r="U9" s="140" t="str">
        <f ca="1">IF($Q9&lt;&gt;"",VLOOKUP($Q9,$E:$O,COLUMN()-13,FALSE),"")</f>
        <v/>
      </c>
      <c r="W9" s="140" t="str">
        <f t="shared" ca="1" si="3"/>
        <v/>
      </c>
      <c r="Y9" s="169" t="str">
        <f ca="1">IF(E9&lt;&gt;"",
IF(COUNTIF(J9,"*キャラ*"),
VLOOKUP("*キャラ*",商品マスタ一覧!$D:$E,2,FALSE),
IF(COUNTIF(J9,"*赤*"),
VLOOKUP("*赤*",商品マスタ一覧!$D:$E,2,FALSE),
VLOOKUP("*"&amp;J9&amp;"*",商品マスタ一覧!$D:$E,2,FALSE))),"")</f>
        <v/>
      </c>
      <c r="Z9" s="169" t="str">
        <f ca="1">IF(E9&lt;&gt;"",
IF(COUNTIF(F9,"*雙葉*"),
IF(ROUND((K9-M9)/Y9,0)&lt;=0,1,
ROUND((K9-M9)/Y9,0)),
IF(OR(COUNTIF(J9,"*キャラ*"),COUNTIF(J9,"*赤*")),"",
IF(Y9=0,"",
IF(ROUND((K9-M9)/Y9,0)&lt;=0,1,
ROUND((K9-M9)/Y9,0))))),"")</f>
        <v/>
      </c>
      <c r="AA9" s="169" t="str">
        <f ca="1">IF(Z9&lt;&gt;"",
IF(VALUE(K9-M9)&gt;VALUE(Y9*Z9),
"+"&amp;(K9-M9)-Y9*Z9,
(K9-M9)-Y9*Z9),"")</f>
        <v/>
      </c>
    </row>
    <row r="10" spans="1:27">
      <c r="A10" s="169" t="str">
        <f>IF('数出表_Excel（アレルギー入力）'!AO10&lt;&gt;"",'数出表_Excel（アレルギー入力）'!AO10,"")</f>
        <v/>
      </c>
      <c r="B10" s="169" t="str">
        <f t="shared" ca="1" si="0"/>
        <v/>
      </c>
      <c r="C10" s="169" t="str" cm="1">
        <f t="array" aca="1" ref="C10" ca="1">_xlfn.TEXTJOIN("",TRUE,IF(ISERROR(MID(A10,ROW(INDIRECT("1:"&amp;LEN(A10))),1)*1),"",MID(A10,ROW(INDIRECT("1:"&amp;LEN(A10))),1)))</f>
        <v/>
      </c>
      <c r="D10" s="169" t="str" cm="1">
        <f t="array" aca="1" ref="D10" ca="1">IF(A10&lt;&gt;"",COLUMN(INDIRECT($B10&amp;"1")),"")</f>
        <v/>
      </c>
      <c r="E10" s="169" t="str">
        <f ca="1">IF(A10&lt;&gt;"",
IF(ISEVEN($C10),
OFFSET('数出表_Excel（アレルギー入力）'!$A$1,$C10-1,0),
OFFSET('数出表_Excel（アレルギー入力）'!$A$1,$C10-2,0)),"")</f>
        <v/>
      </c>
      <c r="F10" s="169" t="str">
        <f ca="1">IF(A10&lt;&gt;"",
IF(ISEVEN($C10),
OFFSET('数出表_Excel（アレルギー入力）'!$A$1,$C10,0),
OFFSET('数出表_Excel（アレルギー入力）'!$A$1,$C10-1,0)),"")</f>
        <v/>
      </c>
      <c r="G10" s="169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s="169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s="169" t="str">
        <f ca="1">IF(A10&lt;&gt;"",
IF(OFFSET('数出表_Excel（アレルギー入力）'!$A$1,4,D10-1)&lt;&gt;"",OFFSET('数出表_Excel（アレルギー入力）'!$A$1,4,D10-1),""),"")</f>
        <v/>
      </c>
      <c r="J10" s="169" t="str">
        <f t="shared" ca="1" si="1"/>
        <v/>
      </c>
      <c r="K10" s="169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s="169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s="169" t="str">
        <f ca="1">IF(A10&lt;&gt;"",
IF(ISEVEN($D10),
OFFSET('数出表_Excel（アレルギー入力）'!$A$1,$C10-1,D10),
OFFSET('数出表_Excel（アレルギー入力）'!$A$1,$C10-1,D10-1)),"")</f>
        <v/>
      </c>
      <c r="O10" s="169" t="str">
        <f>IF(A10&lt;&gt;"",VLOOKUP(G10,注文弁当の抽出!E:F,2,FALSE),"")</f>
        <v/>
      </c>
      <c r="P10" s="169" t="str">
        <f ca="1">IF(AND(N10=0, COUNTIFS($E$1:E10,E10)=1), E10, "")</f>
        <v/>
      </c>
      <c r="Q10" s="140" t="str" cm="1">
        <f t="array" aca="1" ref="Q10" ca="1">IFERROR(INDEX(P:P, SMALL(IF(P:P&lt;&gt;"", ROW(P:P)), ROW(Q10))), "")</f>
        <v/>
      </c>
      <c r="R10" s="140" t="str">
        <f ca="1">IF($Q10&lt;&gt;"",VLOOKUP($Q10,$E:$O,COLUMN()-16,FALSE),"")</f>
        <v/>
      </c>
      <c r="S10" s="140" t="str">
        <f ca="1">IF($Q10&lt;&gt;"",VLOOKUP($Q10,$E:$O,COLUMN()-13,FALSE),"")</f>
        <v/>
      </c>
      <c r="T10" s="140" t="str">
        <f ca="1">IF($Q10&lt;&gt;"",VLOOKUP($Q10,$E:$O,COLUMN()-13,FALSE),"")</f>
        <v/>
      </c>
      <c r="U10" s="140" t="str">
        <f ca="1">IF($Q10&lt;&gt;"",VLOOKUP($Q10,$E:$O,COLUMN()-13,FALSE),"")</f>
        <v/>
      </c>
      <c r="W10" s="140" t="str">
        <f ca="1">IF($Q10&lt;&gt;"",VLOOKUP($Q10,$E:$O,COLUMN()-11,FALSE),"")</f>
        <v/>
      </c>
      <c r="Y10" s="169" t="str">
        <f ca="1">IF(E10&lt;&gt;"",
IF(COUNTIF(J10,"*キャラ*"),
VLOOKUP("*キャラ*",商品マスタ一覧!$D:$E,2,FALSE),
IF(COUNTIF(J10,"*赤*"),
VLOOKUP("*赤*",商品マスタ一覧!$D:$E,2,FALSE),
VLOOKUP("*"&amp;J10&amp;"*",商品マスタ一覧!$D:$E,2,FALSE))),"")</f>
        <v/>
      </c>
      <c r="AA10" s="169" t="str">
        <f>IF(Z10&lt;&gt;"",
IF(VALUE(K10-M10)&gt;VALUE(Y10*Z10),
"+"&amp;(K10-M10)-Y10*Z10,
(K10-M10)-Y10*Z10),"")</f>
        <v/>
      </c>
    </row>
    <row r="11" spans="1:27">
      <c r="A11" s="169" t="str">
        <f>IF('数出表_Excel（アレルギー入力）'!AO11&lt;&gt;"",'数出表_Excel（アレルギー入力）'!AO11,"")</f>
        <v/>
      </c>
      <c r="B11" s="169" t="str">
        <f t="shared" ca="1" si="0"/>
        <v/>
      </c>
      <c r="C11" s="169" t="str" cm="1">
        <f t="array" aca="1" ref="C11" ca="1">_xlfn.TEXTJOIN("",TRUE,IF(ISERROR(MID(A11,ROW(INDIRECT("1:"&amp;LEN(A11))),1)*1),"",MID(A11,ROW(INDIRECT("1:"&amp;LEN(A11))),1)))</f>
        <v/>
      </c>
      <c r="D11" s="169" t="str" cm="1">
        <f t="array" aca="1" ref="D11" ca="1">IF(A11&lt;&gt;"",COLUMN(INDIRECT($B11&amp;"1")),"")</f>
        <v/>
      </c>
      <c r="E11" s="169" t="str">
        <f ca="1">IF(A11&lt;&gt;"",
IF(ISEVEN($C11),
OFFSET('数出表_Excel（アレルギー入力）'!$A$1,$C11-1,0),
OFFSET('数出表_Excel（アレルギー入力）'!$A$1,$C11-2,0)),"")</f>
        <v/>
      </c>
      <c r="F11" s="169" t="str">
        <f ca="1">IF(A11&lt;&gt;"",
IF(ISEVEN($C11),
OFFSET('数出表_Excel（アレルギー入力）'!$A$1,$C11,0),
OFFSET('数出表_Excel（アレルギー入力）'!$A$1,$C11-1,0)),"")</f>
        <v/>
      </c>
      <c r="G11" s="169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s="169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s="169" t="str">
        <f ca="1">IF(A11&lt;&gt;"",
IF(OFFSET('数出表_Excel（アレルギー入力）'!$A$1,4,D11-1)&lt;&gt;"",OFFSET('数出表_Excel（アレルギー入力）'!$A$1,4,D11-1),""),"")</f>
        <v/>
      </c>
      <c r="J11" s="169" t="str">
        <f t="shared" ca="1" si="1"/>
        <v/>
      </c>
      <c r="K11" s="169" t="str">
        <f ca="1">IF(A11&lt;&gt;"",
IF(ISEVEN($C11),
OFFSET('数出表_Excel（アレルギー入力）'!$A$1,$C11-1,D11-1),
OFFSET('数出表_Excel（アレルギー入力）'!$A$1,$C11-2,D11-1)),"")</f>
        <v/>
      </c>
      <c r="L11" s="169" t="str">
        <f ca="1">IF(A11&lt;&gt;"",
IF(ISEVEN($C11),
OFFSET('数出表_Excel（アレルギー入力）'!$A$1,$C11,D11-1),
OFFSET('数出表_Excel（アレルギー入力）'!$A$1,$C11-1,D11-1)),"")</f>
        <v/>
      </c>
      <c r="M11" s="169" t="str">
        <f ca="1">IF(A11&lt;&gt;"",
OFFSET('数出表_Excel（アレルギー入力）'!$A$1,$C11-1,D11),"")</f>
        <v/>
      </c>
      <c r="O11" s="169" t="str">
        <f>IF(A11&lt;&gt;"",VLOOKUP(G11,注文弁当の抽出!E:F,2,FALSE),"")</f>
        <v/>
      </c>
      <c r="P11" s="169" t="str">
        <f ca="1">IF(AND(N11=0, COUNTIFS($E$1:E11,E11,$N$1:N11,0)=1), E11, "")</f>
        <v/>
      </c>
      <c r="Q11" s="140" t="str" cm="1">
        <f t="array" aca="1" ref="Q11" ca="1">IFERROR(INDEX(P:P, SMALL(IF(P:P&lt;&gt;"", ROW(P:P)), ROW(Q11))), "")</f>
        <v/>
      </c>
      <c r="AA11" s="169" t="str">
        <f>IF(Z11&lt;&gt;"",
IF(VALUE(K11-M11)&gt;VALUE(Y11*Z11),
"+"&amp;(K11-M11)-Y11*Z11,
(K11-M11)-Y11*Z11),"")</f>
        <v/>
      </c>
    </row>
    <row r="12" spans="1:27">
      <c r="A12" s="169" t="str">
        <f>IF('数出表_Excel（アレルギー入力）'!AO12&lt;&gt;"",'数出表_Excel（アレルギー入力）'!AO12,"")</f>
        <v/>
      </c>
      <c r="B12" s="169" t="str">
        <f t="shared" ca="1" si="0"/>
        <v/>
      </c>
      <c r="C12" s="169" t="str" cm="1">
        <f t="array" aca="1" ref="C12" ca="1">_xlfn.TEXTJOIN("",TRUE,IF(ISERROR(MID(A12,ROW(INDIRECT("1:"&amp;LEN(A12))),1)*1),"",MID(A12,ROW(INDIRECT("1:"&amp;LEN(A12))),1)))</f>
        <v/>
      </c>
      <c r="D12" s="169" t="str" cm="1">
        <f t="array" aca="1" ref="D12" ca="1">IF(A12&lt;&gt;"",COLUMN(INDIRECT($B12&amp;"1")),"")</f>
        <v/>
      </c>
      <c r="E12" s="169" t="str">
        <f ca="1">IF(A12&lt;&gt;"",
IF(ISEVEN($C12),
OFFSET('数出表_Excel（アレルギー入力）'!$A$1,$C12-1,0),
OFFSET('数出表_Excel（アレルギー入力）'!$A$1,$C12-2,0)),"")</f>
        <v/>
      </c>
      <c r="F12" s="169" t="str">
        <f ca="1">IF(A12&lt;&gt;"",
IF(ISEVEN($C12),
OFFSET('数出表_Excel（アレルギー入力）'!$A$1,$C12,0),
OFFSET('数出表_Excel（アレルギー入力）'!$A$1,$C12+1,0)),"")</f>
        <v/>
      </c>
      <c r="G12" s="169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s="169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s="169" t="str">
        <f ca="1">IF(A12&lt;&gt;"",
IF(OFFSET('数出表_Excel（アレルギー入力）'!$A$1,4,D12-1)&lt;&gt;"",OFFSET('数出表_Excel（アレルギー入力）'!$A$1,4,D12-1),""),"")</f>
        <v/>
      </c>
      <c r="J12" s="169" t="str">
        <f t="shared" ca="1" si="1"/>
        <v/>
      </c>
      <c r="K12" s="169" t="str">
        <f ca="1">IF(A12&lt;&gt;"",
IF(ISEVEN($C12),
OFFSET('数出表_Excel（アレルギー入力）'!$A$1,$C12-1,D12-1),
OFFSET('数出表_Excel（アレルギー入力）'!$A$1,$C12-2,D12-1)),"")</f>
        <v/>
      </c>
      <c r="L12" s="169" t="str">
        <f ca="1">IF(A12&lt;&gt;"",
IF(ISEVEN($C12),
OFFSET('数出表_Excel（アレルギー入力）'!$A$1,$C12,D12-1),
OFFSET('数出表_Excel（アレルギー入力）'!$A$1,$C12-1,D12-1)),"")</f>
        <v/>
      </c>
      <c r="M12" s="169" t="str">
        <f ca="1">IF(A12&lt;&gt;"",
OFFSET('数出表_Excel（アレルギー入力）'!$A$1,$C12-1,D12),"")</f>
        <v/>
      </c>
      <c r="O12" s="169" t="str">
        <f>IF(A12&lt;&gt;"",VLOOKUP(G12,注文弁当の抽出!E:F,2,FALSE),"")</f>
        <v/>
      </c>
      <c r="AA12" s="169" t="str">
        <f>IF(Z12&lt;&gt;"",
IF(VALUE(K12-M12)&gt;VALUE(Y12*Z12),
"+"&amp;(K12-M12)-Y12*Z12,
(K12-M12)-Y12*Z12),"")</f>
        <v/>
      </c>
    </row>
    <row r="13" spans="1:27">
      <c r="A13" s="169" t="str">
        <f>IF('数出表_Excel（アレルギー入力）'!AO13&lt;&gt;"",'数出表_Excel（アレルギー入力）'!AO13,"")</f>
        <v/>
      </c>
      <c r="B13" s="169" t="str">
        <f t="shared" ca="1" si="0"/>
        <v/>
      </c>
      <c r="C13" s="169" t="str" cm="1">
        <f t="array" aca="1" ref="C13" ca="1">_xlfn.TEXTJOIN("",TRUE,IF(ISERROR(MID(A13,ROW(INDIRECT("1:"&amp;LEN(A13))),1)*1),"",MID(A13,ROW(INDIRECT("1:"&amp;LEN(A13))),1)))</f>
        <v/>
      </c>
      <c r="D13" s="169" t="str" cm="1">
        <f t="array" aca="1" ref="D13" ca="1">IF(A13&lt;&gt;"",COLUMN(INDIRECT($B13&amp;"1")),"")</f>
        <v/>
      </c>
      <c r="E13" s="169" t="str">
        <f ca="1">IF(A13&lt;&gt;"",
IF(ISEVEN($C13),
OFFSET('数出表_Excel（アレルギー入力）'!$A$1,$C13-1,0),
OFFSET('数出表_Excel（アレルギー入力）'!$A$1,$C13,0)),"")</f>
        <v/>
      </c>
      <c r="F13" s="169" t="str">
        <f ca="1">IF(A13&lt;&gt;"",
IF(ISEVEN($C13),
OFFSET('数出表_Excel（アレルギー入力）'!$A$1,$C13,0),
OFFSET('数出表_Excel（アレルギー入力）'!$A$1,$C13+1,0)),"")</f>
        <v/>
      </c>
      <c r="G13" s="169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s="169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s="169" t="str">
        <f ca="1">IF(A13&lt;&gt;"",
IF(OFFSET('数出表_Excel（アレルギー入力）'!$A$1,4,D13-1)&lt;&gt;"",OFFSET('数出表_Excel（アレルギー入力）'!$A$1,4,D13-1),""),"")</f>
        <v/>
      </c>
      <c r="J13" s="169" t="str">
        <f t="shared" ca="1" si="1"/>
        <v/>
      </c>
      <c r="K13" s="169" t="str">
        <f ca="1">IF(A13&lt;&gt;"",
OFFSET('数出表_Excel（アレルギー入力）'!$A$1,$C13-1,D13-1),"")</f>
        <v/>
      </c>
      <c r="L13" s="169" t="str">
        <f ca="1">IF(A13&lt;&gt;"",
IF(ISEVEN($C13),
OFFSET('数出表_Excel（アレルギー入力）'!$A$1,$C13,D13-1),
OFFSET('数出表_Excel（アレルギー入力）'!$A$1,$C13-1,D13-1)),"")</f>
        <v/>
      </c>
      <c r="M13" s="169" t="str">
        <f ca="1">IF(A13&lt;&gt;"",
IF(ISODD(D13),
"アレルギー",
OFFSET('数出表_Excel（アレルギー入力）'!$A$1,$C13-1,D13)),"")</f>
        <v/>
      </c>
      <c r="O13" s="169" t="str">
        <f>IF(A13&lt;&gt;"",VLOOKUP(G13,注文弁当の抽出!E:F,2,FALSE),"")</f>
        <v/>
      </c>
      <c r="AA13" s="169" t="str">
        <f>IF(Z13&lt;&gt;"",
IF(VALUE(K13-M13)&gt;VALUE(Y13*Z13),
"+"&amp;(K13-M13)-Y13*Z13,
(K13-M13)-Y13*Z13),"")</f>
        <v/>
      </c>
    </row>
    <row r="14" spans="1:27">
      <c r="A14" s="169" t="str">
        <f>IF('数出表_Excel（アレルギー入力）'!AO14&lt;&gt;"",'数出表_Excel（アレルギー入力）'!AO14,"")</f>
        <v/>
      </c>
      <c r="B14" s="169" t="str">
        <f t="shared" ca="1" si="0"/>
        <v/>
      </c>
      <c r="C14" s="169" t="str" cm="1">
        <f t="array" aca="1" ref="C14" ca="1">_xlfn.TEXTJOIN("",TRUE,IF(ISERROR(MID(A14,ROW(INDIRECT("1:"&amp;LEN(A14))),1)*1),"",MID(A14,ROW(INDIRECT("1:"&amp;LEN(A14))),1)))</f>
        <v/>
      </c>
      <c r="D14" s="169" t="str" cm="1">
        <f t="array" aca="1" ref="D14" ca="1">IF(A14&lt;&gt;"",COLUMN(INDIRECT($B14&amp;"1")),"")</f>
        <v/>
      </c>
      <c r="E14" s="169" t="str">
        <f ca="1">IF(A14&lt;&gt;"",
IF(ISEVEN($C14),
OFFSET('数出表_Excel（アレルギー入力）'!$A$1,$C14-1,0),
OFFSET('数出表_Excel（アレルギー入力）'!$A$1,$C14,0)),"")</f>
        <v/>
      </c>
      <c r="F14" s="169" t="str">
        <f ca="1">IF(A14&lt;&gt;"",
IF(ISEVEN($C14),
OFFSET('数出表_Excel（アレルギー入力）'!$A$1,$C14,0),
OFFSET('数出表_Excel（アレルギー入力）'!$A$1,$C14+1,0)),"")</f>
        <v/>
      </c>
      <c r="G14" s="169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s="169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s="169" t="str">
        <f ca="1">IF(A14&lt;&gt;"",
IF(OFFSET('数出表_Excel（アレルギー入力）'!$A$1,4,D14-1)&lt;&gt;"",OFFSET('数出表_Excel（アレルギー入力）'!$A$1,4,D14-1),""),"")</f>
        <v/>
      </c>
      <c r="J14" s="169" t="str">
        <f t="shared" ca="1" si="1"/>
        <v/>
      </c>
      <c r="K14" s="169" t="str">
        <f ca="1">IF(A14&lt;&gt;"",
OFFSET('数出表_Excel（アレルギー入力）'!$A$1,$C14-1,D14-1),"")</f>
        <v/>
      </c>
      <c r="L14" s="169" t="str">
        <f ca="1">IF(A14&lt;&gt;"",
IF(ISEVEN($C14),
OFFSET('数出表_Excel（アレルギー入力）'!$A$1,$C14,D14-1),
OFFSET('数出表_Excel（アレルギー入力）'!$A$1,$C14-1,D14-1)),"")</f>
        <v/>
      </c>
      <c r="M14" s="169" t="str">
        <f ca="1">IF(A14&lt;&gt;"",
IF(ISODD(D14),
"アレルギー",
OFFSET('数出表_Excel（アレルギー入力）'!$A$1,$C14-1,D14)),"")</f>
        <v/>
      </c>
      <c r="O14" s="169" t="str">
        <f>IF(A14&lt;&gt;"",VLOOKUP(G14,注文弁当の抽出!E:F,2,FALSE),"")</f>
        <v/>
      </c>
      <c r="AA14" s="169" t="str">
        <f>IF(Z14&lt;&gt;"",
IF(VALUE(K14-M14)&gt;VALUE(Y14*Z14),
"+"&amp;(K14-M14)-Y14*Z14,
(K14-M14)-Y14*Z14),"")</f>
        <v/>
      </c>
    </row>
    <row r="15" spans="1:27">
      <c r="D15" s="169" t="str" cm="1">
        <f t="array" aca="1" ref="D15" ca="1">IF(A15&lt;&gt;"",COLUMN(INDIRECT($B15&amp;"1")),"")</f>
        <v/>
      </c>
      <c r="E15" s="169" t="str">
        <f ca="1">IF(A15&lt;&gt;"",
IF(ISEVEN($C15),
OFFSET('数出表_Excel（アレルギー入力）'!$A$1,$C15-1,0),
OFFSET('数出表_Excel（アレルギー入力）'!$A$1,$C15,0)),"")</f>
        <v/>
      </c>
      <c r="F15" s="169" t="str">
        <f ca="1">IF(A15&lt;&gt;"",
IF(ISEVEN($C15),
OFFSET('数出表_Excel（アレルギー入力）'!$A$1,$C15,0),
OFFSET('数出表_Excel（アレルギー入力）'!$A$1,$C15+1,0)),"")</f>
        <v/>
      </c>
      <c r="G15" s="169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s="169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s="169" t="str">
        <f ca="1">IF(A15&lt;&gt;"",
IF(OFFSET('数出表_Excel（アレルギー入力）'!$A$1,4,D15-1)&lt;&gt;"",OFFSET('数出表_Excel（アレルギー入力）'!$A$1,4,D15-1),""),"")</f>
        <v/>
      </c>
      <c r="J15" s="169" t="str">
        <f t="shared" ca="1" si="1"/>
        <v/>
      </c>
      <c r="K15" s="169" t="str">
        <f ca="1">IF(A15&lt;&gt;"",
OFFSET('数出表_Excel（アレルギー入力）'!$A$1,$C15-1,D15-1),"")</f>
        <v/>
      </c>
      <c r="L15" s="169" t="str">
        <f ca="1">IF(A15&lt;&gt;"",
IF(ISEVEN($C15),
OFFSET('数出表_Excel（アレルギー入力）'!$A$1,$C15,D15-1),
OFFSET('数出表_Excel（アレルギー入力）'!$A$1,$C15-1,D15-1)),"")</f>
        <v/>
      </c>
      <c r="M15" s="169" t="str">
        <f ca="1">IF(A15&lt;&gt;"",
IF(ISODD(D15),
"アレルギー",
OFFSET('数出表_Excel（アレルギー入力）'!$A$1,$C15-1,D15)),"")</f>
        <v/>
      </c>
      <c r="O15" s="169" t="str">
        <f>IF(A15&lt;&gt;"",VLOOKUP(G15,注文弁当の抽出!E:F,2,FALSE),"")</f>
        <v/>
      </c>
    </row>
    <row r="16" spans="1:27">
      <c r="D16" s="169" t="str" cm="1">
        <f t="array" aca="1" ref="D16" ca="1">IF(A16&lt;&gt;"",COLUMN(INDIRECT($B16&amp;"1")),"")</f>
        <v/>
      </c>
      <c r="L16" s="169" t="str" cm="1">
        <f t="array" aca="1" ref="L16" ca="1">IF(A16&lt;&gt;"",
IF(ISEVEN($C16),
OFFSET('数出表_Excel（アレルギー入力）'!$A$1,$C16,COLUMN(INDIRECT($B16&amp;"1"))-1),
OFFSET('数出表_Excel（アレルギー入力）'!$A$1,$C16+1,COLUMN(INDIRECT($B16&amp;"1"))-1)),"")</f>
        <v/>
      </c>
      <c r="M16" s="169" t="str">
        <f ca="1">IF(A16&lt;&gt;"",
IF(ISODD(D16),
OFFSET('数出表_Excel（アレルギー入力）'!$A$1,$C16-1,D16),
OFFSET('数出表_Excel（アレルギー入力）'!$A$1,$C16-1,D16+1)),"")</f>
        <v/>
      </c>
      <c r="O16" s="169" t="str">
        <f>IF(A16&lt;&gt;"",VLOOKUP(G16,注文弁当の抽出!E:F,2,FALSE),"")</f>
        <v/>
      </c>
    </row>
    <row r="17" spans="12:15">
      <c r="L17" s="169" t="str" cm="1">
        <f t="array" aca="1" ref="L17" ca="1">IF(A17&lt;&gt;"",
IF(ISEVEN($C17),
OFFSET('数出表_Excel（アレルギー入力）'!$A$1,$C17,COLUMN(INDIRECT($B17&amp;"1"))-1),
OFFSET('数出表_Excel（アレルギー入力）'!$A$1,$C17+1,COLUMN(INDIRECT($B17&amp;"1"))-1)),"")</f>
        <v/>
      </c>
      <c r="M17" s="169" t="str">
        <f ca="1">IF(A17&lt;&gt;"",
IF(ISODD(D17),
OFFSET('数出表_Excel（アレルギー入力）'!$A$1,$C17-1,D17),
OFFSET('数出表_Excel（アレルギー入力）'!$A$1,$C17-1,D17+1)),"")</f>
        <v/>
      </c>
      <c r="O17" s="169" t="str">
        <f>IF(A17&lt;&gt;"",VLOOKUP(G17,注文弁当の抽出!E:F,2,FALSE),"")</f>
        <v/>
      </c>
    </row>
    <row r="18" spans="12:15">
      <c r="L18" s="169" t="str" cm="1">
        <f t="array" aca="1" ref="L18" ca="1">IF(A18&lt;&gt;"",
IF(ISEVEN($C18),
OFFSET('数出表_Excel（アレルギー入力）'!$A$1,$C18,COLUMN(INDIRECT($B18&amp;"1"))-1),
OFFSET('数出表_Excel（アレルギー入力）'!$A$1,$C18+1,COLUMN(INDIRECT($B18&amp;"1"))-1)),"")</f>
        <v/>
      </c>
      <c r="M18" s="169" t="str">
        <f ca="1">IF(A18&lt;&gt;"",
IF(ISODD(D18),
OFFSET('数出表_Excel（アレルギー入力）'!$A$1,$C18-1,D18),
OFFSET('数出表_Excel（アレルギー入力）'!$A$1,$C18-1,D18+1)),"")</f>
        <v/>
      </c>
      <c r="O18" s="169" t="str">
        <f>IF(A18&lt;&gt;"",VLOOKUP(G18,注文弁当の抽出!E:F,2,FALSE),"")</f>
        <v/>
      </c>
    </row>
    <row r="19" spans="12:15">
      <c r="L19" s="169" t="str" cm="1">
        <f t="array" aca="1" ref="L19" ca="1">IF(A19&lt;&gt;"",
IF(ISEVEN($C19),
OFFSET('数出表_Excel（アレルギー入力）'!$A$1,$C19,COLUMN(INDIRECT($B19&amp;"1"))-1),
OFFSET('数出表_Excel（アレルギー入力）'!$A$1,$C19+1,COLUMN(INDIRECT($B19&amp;"1"))-1)),"")</f>
        <v/>
      </c>
    </row>
    <row r="20" spans="12:15">
      <c r="L20" s="169" t="str" cm="1">
        <f t="array" aca="1" ref="L20" ca="1">IF(A20&lt;&gt;"",
IF(ISEVEN($C20),
OFFSET('数出表_Excel（アレルギー入力）'!$A$1,$C20,COLUMN(INDIRECT($B20&amp;"1"))-1),
OFFSET('数出表_Excel（アレルギー入力）'!$A$1,$C20+1,COLUMN(INDIRECT($B20&amp;"1"))-1)),"")</f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/>
  <dimension ref="A1:ET47"/>
  <sheetViews>
    <sheetView zoomScale="70" zoomScaleNormal="70" zoomScalePageLayoutView="55" workbookViewId="0">
      <selection activeCell="C2" sqref="C2"/>
    </sheetView>
  </sheetViews>
  <sheetFormatPr defaultRowHeight="22.2"/>
  <cols>
    <col min="1" max="1" width="2.796875" style="172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0" customWidth="1"/>
    <col min="8" max="8" width="8.8984375" style="29" hidden="1" customWidth="1"/>
    <col min="9" max="9" width="8.19921875" style="29" customWidth="1"/>
    <col min="10" max="12" width="7.59765625" style="29" customWidth="1"/>
    <col min="13" max="13" width="12.19921875" style="29" customWidth="1"/>
    <col min="14" max="14" width="4.19921875" style="37" customWidth="1"/>
    <col min="15" max="15" width="2.796875" style="29" customWidth="1"/>
    <col min="16" max="16" width="2.796875" style="172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0" customWidth="1"/>
    <col min="23" max="23" width="8.8984375" style="29" hidden="1" customWidth="1"/>
    <col min="24" max="24" width="8.19921875" style="29" customWidth="1"/>
    <col min="25" max="27" width="7.59765625" style="29" customWidth="1"/>
    <col min="28" max="28" width="12.19921875" style="29" customWidth="1"/>
    <col min="29" max="29" width="4.19921875" style="37" customWidth="1"/>
    <col min="30" max="30" width="2.796875" style="29" customWidth="1"/>
    <col min="31" max="31" width="2.796875" style="172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0" customWidth="1"/>
    <col min="38" max="38" width="8.8984375" style="29" hidden="1" customWidth="1"/>
    <col min="39" max="39" width="8.19921875" style="29" customWidth="1"/>
    <col min="40" max="42" width="7.59765625" style="29" customWidth="1"/>
    <col min="43" max="43" width="12.19921875" style="29" customWidth="1"/>
    <col min="44" max="44" width="4.19921875" style="37" customWidth="1"/>
    <col min="45" max="45" width="2.796875" style="29" customWidth="1"/>
    <col min="46" max="46" width="2.796875" style="172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0" customWidth="1"/>
    <col min="53" max="53" width="8.8984375" style="29" hidden="1" customWidth="1"/>
    <col min="54" max="54" width="8.19921875" style="29" customWidth="1"/>
    <col min="55" max="57" width="7.59765625" style="29" customWidth="1"/>
    <col min="58" max="58" width="12.19921875" style="29" customWidth="1"/>
    <col min="59" max="59" width="4.19921875" style="37" customWidth="1"/>
    <col min="60" max="60" width="2.796875" style="29" customWidth="1"/>
    <col min="61" max="61" width="2.796875" style="172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0" customWidth="1"/>
    <col min="68" max="68" width="8.8984375" style="29" hidden="1" customWidth="1"/>
    <col min="69" max="69" width="8.19921875" style="29" customWidth="1"/>
    <col min="70" max="72" width="7.59765625" style="29" customWidth="1"/>
    <col min="73" max="73" width="12.19921875" style="29" customWidth="1"/>
    <col min="74" max="74" width="4.19921875" style="37" customWidth="1"/>
    <col min="75" max="75" width="2.796875" style="29" customWidth="1"/>
    <col min="76" max="76" width="2.796875" style="172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0" customWidth="1"/>
    <col min="83" max="83" width="8.8984375" style="29" hidden="1" customWidth="1"/>
    <col min="84" max="84" width="8.19921875" style="29" customWidth="1"/>
    <col min="85" max="87" width="7.59765625" style="29" customWidth="1"/>
    <col min="88" max="88" width="12.19921875" style="29" customWidth="1"/>
    <col min="89" max="89" width="4.19921875" style="37" customWidth="1"/>
    <col min="90" max="90" width="2.796875" style="29" customWidth="1"/>
    <col min="91" max="91" width="2.796875" style="172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0" customWidth="1"/>
    <col min="98" max="98" width="8.8984375" style="29" hidden="1" customWidth="1"/>
    <col min="99" max="99" width="8.19921875" style="29" customWidth="1"/>
    <col min="100" max="102" width="7.59765625" style="29" customWidth="1"/>
    <col min="103" max="103" width="12.19921875" style="29" customWidth="1"/>
    <col min="104" max="104" width="4.19921875" style="37" customWidth="1"/>
    <col min="105" max="105" width="2.796875" style="29" customWidth="1"/>
    <col min="106" max="106" width="2.796875" style="172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0" customWidth="1"/>
    <col min="113" max="113" width="8.8984375" style="29" hidden="1" customWidth="1"/>
    <col min="114" max="114" width="8.19921875" style="29" customWidth="1"/>
    <col min="115" max="117" width="7.59765625" style="29" customWidth="1"/>
    <col min="118" max="118" width="12.19921875" style="29" customWidth="1"/>
    <col min="119" max="119" width="4.19921875" style="37" customWidth="1"/>
    <col min="120" max="120" width="2.796875" style="29" customWidth="1"/>
    <col min="121" max="121" width="2.796875" style="172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0" customWidth="1"/>
    <col min="128" max="128" width="8.8984375" style="29" hidden="1" customWidth="1"/>
    <col min="129" max="129" width="8.19921875" style="29" customWidth="1"/>
    <col min="130" max="132" width="7.59765625" style="29" customWidth="1"/>
    <col min="133" max="133" width="12.19921875" style="29" customWidth="1"/>
    <col min="134" max="134" width="4.19921875" style="37" customWidth="1"/>
    <col min="135" max="135" width="2.796875" style="29" customWidth="1"/>
    <col min="136" max="136" width="2.796875" style="172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0" customWidth="1"/>
    <col min="143" max="143" width="8.8984375" style="29" hidden="1" customWidth="1"/>
    <col min="144" max="144" width="8.19921875" style="29" customWidth="1"/>
    <col min="145" max="147" width="7.59765625" style="29" customWidth="1"/>
    <col min="148" max="148" width="12.19921875" style="29" customWidth="1"/>
    <col min="149" max="149" width="4.19921875" style="37" customWidth="1"/>
    <col min="150" max="150" width="2.796875" style="29" customWidth="1"/>
  </cols>
  <sheetData>
    <row r="1" spans="1:150" s="32" customFormat="1" ht="25.8" customHeight="1">
      <c r="A1" s="171">
        <v>1</v>
      </c>
      <c r="B1" s="42" t="str">
        <f ca="1">IF(C1&lt;&gt;"",
MID(貼り付け用!$A$2, FIND("年",貼り付け用!$A$2)+1,2)&amp;"/"&amp;MID(貼り付け用!$A$2, FIND("月",貼り付け用!$A$2)+1,2),"")</f>
        <v/>
      </c>
      <c r="C1" s="155" t="str">
        <f ca="1">IF(OFFSET(変更先抽出【15時】!$A$1,A1-1,16)&lt;&gt;"",OFFSET(変更先抽出【15時】!$A$1,A1-1,17),"")</f>
        <v/>
      </c>
      <c r="D1" s="156"/>
      <c r="E1" s="156"/>
      <c r="F1" s="156"/>
      <c r="G1" s="41" t="str">
        <f ca="1">IF(C1&lt;&gt;"","様","")</f>
        <v/>
      </c>
      <c r="H1" s="35">
        <f>A1+1</f>
        <v>2</v>
      </c>
      <c r="I1" s="42" t="str">
        <f ca="1">IF(J1&lt;&gt;"",
MID(貼り付け用!$A$2, FIND("年",貼り付け用!$A$2)+1,2)&amp;"/"&amp;MID(貼り付け用!$A$2, FIND("月",貼り付け用!$A$2)+1,2),"")</f>
        <v/>
      </c>
      <c r="J1" s="155" t="str">
        <f ca="1">IF(OFFSET(変更先抽出【15時】!$A$1,H1-1,16)&lt;&gt;"",OFFSET(変更先抽出【15時】!$A$1,H1-1,17),"")</f>
        <v/>
      </c>
      <c r="K1" s="156"/>
      <c r="L1" s="156"/>
      <c r="M1" s="156"/>
      <c r="N1" s="41" t="str">
        <f ca="1">IF(J1&lt;&gt;"","様","")</f>
        <v/>
      </c>
      <c r="O1" s="22"/>
      <c r="P1" s="171">
        <f>H41+1</f>
        <v>13</v>
      </c>
      <c r="Q1" s="42" t="str">
        <f ca="1">IF(R1&lt;&gt;"",
MID(貼り付け用!$A$2, FIND("年",貼り付け用!$A$2)+1,2)&amp;"/"&amp;MID(貼り付け用!$A$2, FIND("月",貼り付け用!$A$2)+1,2),"")</f>
        <v/>
      </c>
      <c r="R1" s="155" t="str">
        <f ca="1">IF(OFFSET(変更先抽出【15時】!$A$1,P1-1,16)&lt;&gt;"",OFFSET(変更先抽出【15時】!$A$1,P1-1,17),"")</f>
        <v/>
      </c>
      <c r="S1" s="156"/>
      <c r="T1" s="156"/>
      <c r="U1" s="156"/>
      <c r="V1" s="41" t="str">
        <f ca="1">IF(R1&lt;&gt;"","様","")</f>
        <v/>
      </c>
      <c r="W1" s="35">
        <f>P1+1</f>
        <v>14</v>
      </c>
      <c r="X1" s="42" t="str">
        <f ca="1">IF(Y1&lt;&gt;"",
MID(貼り付け用!$A$2, FIND("年",貼り付け用!$A$2)+1,2)&amp;"/"&amp;MID(貼り付け用!$A$2, FIND("月",貼り付け用!$A$2)+1,2),"")</f>
        <v/>
      </c>
      <c r="Y1" s="155" t="str">
        <f ca="1">IF(OFFSET(変更先抽出【15時】!$A$1,W1-1,16)&lt;&gt;"",OFFSET(変更先抽出【15時】!$A$1,W1-1,17),"")</f>
        <v/>
      </c>
      <c r="Z1" s="156"/>
      <c r="AA1" s="156"/>
      <c r="AB1" s="156"/>
      <c r="AC1" s="41" t="str">
        <f ca="1">IF(Y1&lt;&gt;"","様","")</f>
        <v/>
      </c>
      <c r="AD1" s="22"/>
      <c r="AE1" s="171">
        <f>W41+1</f>
        <v>25</v>
      </c>
      <c r="AF1" s="42" t="str">
        <f ca="1">IF(AG1&lt;&gt;"",
MID(貼り付け用!$A$2, FIND("年",貼り付け用!$A$2)+1,2)&amp;"/"&amp;MID(貼り付け用!$A$2, FIND("月",貼り付け用!$A$2)+1,2),"")</f>
        <v/>
      </c>
      <c r="AG1" s="155" t="str">
        <f ca="1">IF(OFFSET(変更先抽出【15時】!$A$1,AE1-1,16)&lt;&gt;"",OFFSET(変更先抽出【15時】!$A$1,AE1-1,17),"")</f>
        <v/>
      </c>
      <c r="AH1" s="156"/>
      <c r="AI1" s="156"/>
      <c r="AJ1" s="156"/>
      <c r="AK1" s="41" t="str">
        <f ca="1">IF(AG1&lt;&gt;"","様","")</f>
        <v/>
      </c>
      <c r="AL1" s="35">
        <f>AE1+1</f>
        <v>26</v>
      </c>
      <c r="AM1" s="42" t="str">
        <f ca="1">IF(AN1&lt;&gt;"",
MID(貼り付け用!$A$2, FIND("年",貼り付け用!$A$2)+1,2)&amp;"/"&amp;MID(貼り付け用!$A$2, FIND("月",貼り付け用!$A$2)+1,2),"")</f>
        <v/>
      </c>
      <c r="AN1" s="155" t="str">
        <f ca="1">IF(OFFSET(変更先抽出【15時】!$A$1,AL1-1,16)&lt;&gt;"",OFFSET(変更先抽出【15時】!$A$1,AL1-1,17),"")</f>
        <v/>
      </c>
      <c r="AO1" s="156"/>
      <c r="AP1" s="156"/>
      <c r="AQ1" s="156"/>
      <c r="AR1" s="41" t="str">
        <f ca="1">IF(AN1&lt;&gt;"","様","")</f>
        <v/>
      </c>
      <c r="AS1" s="22"/>
      <c r="AT1" s="171">
        <f>AL41+1</f>
        <v>37</v>
      </c>
      <c r="AU1" s="42" t="str">
        <f ca="1">IF(AV1&lt;&gt;"",
MID(貼り付け用!$A$2, FIND("年",貼り付け用!$A$2)+1,2)&amp;"/"&amp;MID(貼り付け用!$A$2, FIND("月",貼り付け用!$A$2)+1,2),"")</f>
        <v/>
      </c>
      <c r="AV1" s="155" t="str">
        <f ca="1">IF(OFFSET(変更先抽出【15時】!$A$1,AT1-1,16)&lt;&gt;"",OFFSET(変更先抽出【15時】!$A$1,AT1-1,17),"")</f>
        <v/>
      </c>
      <c r="AW1" s="156"/>
      <c r="AX1" s="156"/>
      <c r="AY1" s="156"/>
      <c r="AZ1" s="41" t="str">
        <f ca="1">IF(AV1&lt;&gt;"","様","")</f>
        <v/>
      </c>
      <c r="BA1" s="35">
        <f>AT1+1</f>
        <v>38</v>
      </c>
      <c r="BB1" s="42" t="str">
        <f ca="1">IF(BC1&lt;&gt;"",
MID(貼り付け用!$A$2, FIND("年",貼り付け用!$A$2)+1,2)&amp;"/"&amp;MID(貼り付け用!$A$2, FIND("月",貼り付け用!$A$2)+1,2),"")</f>
        <v/>
      </c>
      <c r="BC1" s="155" t="str">
        <f ca="1">IF(OFFSET(変更先抽出【15時】!$A$1,BA1-1,16)&lt;&gt;"",OFFSET(変更先抽出【15時】!$A$1,BA1-1,17),"")</f>
        <v/>
      </c>
      <c r="BD1" s="156"/>
      <c r="BE1" s="156"/>
      <c r="BF1" s="156"/>
      <c r="BG1" s="41" t="str">
        <f ca="1">IF(BC1&lt;&gt;"","様","")</f>
        <v/>
      </c>
      <c r="BH1" s="22"/>
      <c r="BI1" s="171">
        <f>BA41+1</f>
        <v>49</v>
      </c>
      <c r="BJ1" s="42" t="str">
        <f ca="1">IF(BK1&lt;&gt;"",
MID(貼り付け用!$A$2, FIND("年",貼り付け用!$A$2)+1,2)&amp;"/"&amp;MID(貼り付け用!$A$2, FIND("月",貼り付け用!$A$2)+1,2),"")</f>
        <v/>
      </c>
      <c r="BK1" s="155" t="str">
        <f ca="1">IF(OFFSET(変更先抽出【15時】!$A$1,BI1-1,16)&lt;&gt;"",OFFSET(変更先抽出【15時】!$A$1,BI1-1,17),"")</f>
        <v/>
      </c>
      <c r="BL1" s="156"/>
      <c r="BM1" s="156"/>
      <c r="BN1" s="156"/>
      <c r="BO1" s="41" t="str">
        <f ca="1">IF(BK1&lt;&gt;"","様","")</f>
        <v/>
      </c>
      <c r="BP1" s="35">
        <f>BI1+1</f>
        <v>50</v>
      </c>
      <c r="BQ1" s="42" t="str">
        <f ca="1">IF(BR1&lt;&gt;"",
MID(貼り付け用!$A$2, FIND("年",貼り付け用!$A$2)+1,2)&amp;"/"&amp;MID(貼り付け用!$A$2, FIND("月",貼り付け用!$A$2)+1,2),"")</f>
        <v/>
      </c>
      <c r="BR1" s="155" t="str">
        <f ca="1">IF(OFFSET(変更先抽出【15時】!$A$1,BP1-1,16)&lt;&gt;"",OFFSET(変更先抽出【15時】!$A$1,BP1-1,17),"")</f>
        <v/>
      </c>
      <c r="BS1" s="156"/>
      <c r="BT1" s="156"/>
      <c r="BU1" s="156"/>
      <c r="BV1" s="41" t="str">
        <f ca="1">IF(BR1&lt;&gt;"","様","")</f>
        <v/>
      </c>
      <c r="BW1" s="22"/>
      <c r="BX1" s="171">
        <f>BP41+1</f>
        <v>61</v>
      </c>
      <c r="BY1" s="42" t="str">
        <f ca="1">IF(BZ1&lt;&gt;"",
MID(貼り付け用!$A$2, FIND("年",貼り付け用!$A$2)+1,2)&amp;"/"&amp;MID(貼り付け用!$A$2, FIND("月",貼り付け用!$A$2)+1,2),"")</f>
        <v/>
      </c>
      <c r="BZ1" s="155" t="str">
        <f ca="1">IF(OFFSET(変更先抽出【15時】!$A$1,BX1-1,16)&lt;&gt;"",OFFSET(変更先抽出【15時】!$A$1,BX1-1,17),"")</f>
        <v/>
      </c>
      <c r="CA1" s="156"/>
      <c r="CB1" s="156"/>
      <c r="CC1" s="156"/>
      <c r="CD1" s="41" t="str">
        <f ca="1">IF(BZ1&lt;&gt;"","様","")</f>
        <v/>
      </c>
      <c r="CE1" s="35">
        <f>BX1+1</f>
        <v>62</v>
      </c>
      <c r="CF1" s="42" t="str">
        <f ca="1">IF(CG1&lt;&gt;"",
MID(貼り付け用!$A$2, FIND("年",貼り付け用!$A$2)+1,2)&amp;"/"&amp;MID(貼り付け用!$A$2, FIND("月",貼り付け用!$A$2)+1,2),"")</f>
        <v/>
      </c>
      <c r="CG1" s="155" t="str">
        <f ca="1">IF(OFFSET(変更先抽出【15時】!$A$1,CE1-1,16)&lt;&gt;"",OFFSET(変更先抽出【15時】!$A$1,CE1-1,17),"")</f>
        <v/>
      </c>
      <c r="CH1" s="156"/>
      <c r="CI1" s="156"/>
      <c r="CJ1" s="156"/>
      <c r="CK1" s="41" t="str">
        <f ca="1">IF(CG1&lt;&gt;"","様","")</f>
        <v/>
      </c>
      <c r="CL1" s="22"/>
      <c r="CM1" s="171">
        <f>CE41+1</f>
        <v>73</v>
      </c>
      <c r="CN1" s="42" t="str">
        <f ca="1">IF(CO1&lt;&gt;"",
MID(貼り付け用!$A$2, FIND("年",貼り付け用!$A$2)+1,2)&amp;"/"&amp;MID(貼り付け用!$A$2, FIND("月",貼り付け用!$A$2)+1,2),"")</f>
        <v/>
      </c>
      <c r="CO1" s="155" t="str">
        <f ca="1">IF(OFFSET(変更先抽出【15時】!$A$1,CM1-1,16)&lt;&gt;"",OFFSET(変更先抽出【15時】!$A$1,CM1-1,17),"")</f>
        <v/>
      </c>
      <c r="CP1" s="156"/>
      <c r="CQ1" s="156"/>
      <c r="CR1" s="156"/>
      <c r="CS1" s="41" t="str">
        <f ca="1">IF(CO1&lt;&gt;"","様","")</f>
        <v/>
      </c>
      <c r="CT1" s="35">
        <f>CM1+1</f>
        <v>74</v>
      </c>
      <c r="CU1" s="42" t="str">
        <f ca="1">IF(CV1&lt;&gt;"",
MID(貼り付け用!$A$2, FIND("年",貼り付け用!$A$2)+1,2)&amp;"/"&amp;MID(貼り付け用!$A$2, FIND("月",貼り付け用!$A$2)+1,2),"")</f>
        <v/>
      </c>
      <c r="CV1" s="155" t="str">
        <f ca="1">IF(OFFSET(変更先抽出【15時】!$A$1,CT1-1,16)&lt;&gt;"",OFFSET(変更先抽出【15時】!$A$1,CT1-1,17),"")</f>
        <v/>
      </c>
      <c r="CW1" s="156"/>
      <c r="CX1" s="156"/>
      <c r="CY1" s="156"/>
      <c r="CZ1" s="41" t="str">
        <f ca="1">IF(CV1&lt;&gt;"","様","")</f>
        <v/>
      </c>
      <c r="DA1" s="22"/>
      <c r="DB1" s="171">
        <f>CT41+1</f>
        <v>85</v>
      </c>
      <c r="DC1" s="42" t="str">
        <f ca="1">IF(DD1&lt;&gt;"",
MID(貼り付け用!$A$2, FIND("年",貼り付け用!$A$2)+1,2)&amp;"/"&amp;MID(貼り付け用!$A$2, FIND("月",貼り付け用!$A$2)+1,2),"")</f>
        <v/>
      </c>
      <c r="DD1" s="155" t="str">
        <f ca="1">IF(OFFSET(変更先抽出【15時】!$A$1,DB1-1,16)&lt;&gt;"",OFFSET(変更先抽出【15時】!$A$1,DB1-1,17),"")</f>
        <v/>
      </c>
      <c r="DE1" s="156"/>
      <c r="DF1" s="156"/>
      <c r="DG1" s="156"/>
      <c r="DH1" s="41" t="str">
        <f ca="1">IF(DD1&lt;&gt;"","様","")</f>
        <v/>
      </c>
      <c r="DI1" s="35">
        <f>DB1+1</f>
        <v>86</v>
      </c>
      <c r="DJ1" s="42" t="str">
        <f ca="1">IF(DK1&lt;&gt;"",
MID(貼り付け用!$A$2, FIND("年",貼り付け用!$A$2)+1,2)&amp;"/"&amp;MID(貼り付け用!$A$2, FIND("月",貼り付け用!$A$2)+1,2),"")</f>
        <v/>
      </c>
      <c r="DK1" s="155" t="str">
        <f ca="1">IF(OFFSET(変更先抽出【15時】!$A$1,DI1-1,16)&lt;&gt;"",OFFSET(変更先抽出【15時】!$A$1,DI1-1,17),"")</f>
        <v/>
      </c>
      <c r="DL1" s="156"/>
      <c r="DM1" s="156"/>
      <c r="DN1" s="156"/>
      <c r="DO1" s="41" t="str">
        <f ca="1">IF(DK1&lt;&gt;"","様","")</f>
        <v/>
      </c>
      <c r="DP1" s="22"/>
      <c r="DQ1" s="171">
        <f>DI41+1</f>
        <v>97</v>
      </c>
      <c r="DR1" s="42" t="str">
        <f ca="1">IF(DS1&lt;&gt;"",
MID(貼り付け用!$A$2, FIND("年",貼り付け用!$A$2)+1,2)&amp;"/"&amp;MID(貼り付け用!$A$2, FIND("月",貼り付け用!$A$2)+1,2),"")</f>
        <v/>
      </c>
      <c r="DS1" s="155" t="str">
        <f ca="1">IF(OFFSET(変更先抽出【15時】!$A$1,DQ1-1,16)&lt;&gt;"",OFFSET(変更先抽出【15時】!$A$1,DQ1-1,17),"")</f>
        <v/>
      </c>
      <c r="DT1" s="156"/>
      <c r="DU1" s="156"/>
      <c r="DV1" s="156"/>
      <c r="DW1" s="41" t="str">
        <f ca="1">IF(DS1&lt;&gt;"","様","")</f>
        <v/>
      </c>
      <c r="DX1" s="35">
        <f>DQ1+1</f>
        <v>98</v>
      </c>
      <c r="DY1" s="42" t="str">
        <f ca="1">IF(DZ1&lt;&gt;"",
MID(貼り付け用!$A$2, FIND("年",貼り付け用!$A$2)+1,2)&amp;"/"&amp;MID(貼り付け用!$A$2, FIND("月",貼り付け用!$A$2)+1,2),"")</f>
        <v/>
      </c>
      <c r="DZ1" s="155" t="str">
        <f ca="1">IF(OFFSET(変更先抽出【15時】!$A$1,DX1-1,16)&lt;&gt;"",OFFSET(変更先抽出【15時】!$A$1,DX1-1,17),"")</f>
        <v/>
      </c>
      <c r="EA1" s="156"/>
      <c r="EB1" s="156"/>
      <c r="EC1" s="156"/>
      <c r="ED1" s="41" t="str">
        <f ca="1">IF(DZ1&lt;&gt;"","様","")</f>
        <v/>
      </c>
      <c r="EE1" s="22"/>
      <c r="EF1" s="171">
        <f>DX41+1</f>
        <v>109</v>
      </c>
      <c r="EG1" s="42" t="str">
        <f ca="1">IF(EH1&lt;&gt;"",
MID(貼り付け用!$A$2, FIND("年",貼り付け用!$A$2)+1,2)&amp;"/"&amp;MID(貼り付け用!$A$2, FIND("月",貼り付け用!$A$2)+1,2),"")</f>
        <v/>
      </c>
      <c r="EH1" s="155" t="str">
        <f ca="1">IF(OFFSET(変更先抽出【15時】!$A$1,EF1-1,16)&lt;&gt;"",OFFSET(変更先抽出【15時】!$A$1,EF1-1,17),"")</f>
        <v/>
      </c>
      <c r="EI1" s="156"/>
      <c r="EJ1" s="156"/>
      <c r="EK1" s="156"/>
      <c r="EL1" s="41" t="str">
        <f ca="1">IF(EH1&lt;&gt;"","様","")</f>
        <v/>
      </c>
      <c r="EM1" s="35">
        <f>EF1+1</f>
        <v>110</v>
      </c>
      <c r="EN1" s="42" t="str">
        <f ca="1">IF(EO1&lt;&gt;"",
MID(貼り付け用!$A$2, FIND("年",貼り付け用!$A$2)+1,2)&amp;"/"&amp;MID(貼り付け用!$A$2, FIND("月",貼り付け用!$A$2)+1,2),"")</f>
        <v/>
      </c>
      <c r="EO1" s="155" t="str">
        <f ca="1">IF(OFFSET(変更先抽出【15時】!$A$1,EM1-1,16)&lt;&gt;"",OFFSET(変更先抽出【15時】!$A$1,EM1-1,17),"")</f>
        <v/>
      </c>
      <c r="EP1" s="156"/>
      <c r="EQ1" s="156"/>
      <c r="ER1" s="156"/>
      <c r="ES1" s="41" t="str">
        <f ca="1">IF(EO1&lt;&gt;"","様","")</f>
        <v/>
      </c>
      <c r="ET1" s="22"/>
    </row>
    <row r="2" spans="1:150" s="32" customFormat="1">
      <c r="A2" s="171"/>
      <c r="B2" s="109"/>
      <c r="C2" s="170" t="str">
        <f ca="1">IF(C1&lt;&gt;"",OFFSET(変更先抽出【15時】!$A$1,A1-1,18),"")</f>
        <v/>
      </c>
      <c r="D2" s="40"/>
      <c r="E2" s="40"/>
      <c r="F2" s="46" t="str">
        <f ca="1">IF(OFFSET(変更先抽出【15時】!$A$1,A1-1,25)&lt;&gt;"",OFFSET(変更先抽出【15時】!$A$1,A1-1,25)&amp;"箱"&amp;OFFSET(変更先抽出【15時】!$A$1,A1-1,26),"")</f>
        <v/>
      </c>
      <c r="G2" s="38"/>
      <c r="H2" s="47"/>
      <c r="I2" s="109"/>
      <c r="J2" s="170" t="str">
        <f ca="1">IF(J1&lt;&gt;"",OFFSET(変更先抽出【15時】!$A$1,H1-1,18),"")</f>
        <v/>
      </c>
      <c r="K2" s="40"/>
      <c r="L2" s="40"/>
      <c r="M2" s="46" t="str">
        <f ca="1">IF(OFFSET(変更先抽出【15時】!$A$1,H1-1,25)&lt;&gt;"",OFFSET(変更先抽出【15時】!$A$1,H1-1,25)&amp;"箱"&amp;OFFSET(変更先抽出【15時】!$A$1,H1-1,26),"")</f>
        <v/>
      </c>
      <c r="N2" s="38"/>
      <c r="O2" s="22"/>
      <c r="P2" s="171"/>
      <c r="Q2" s="109"/>
      <c r="R2" s="170" t="str">
        <f ca="1">IF(R1&lt;&gt;"",OFFSET(変更先抽出【15時】!$A$1,P1-1,18),"")</f>
        <v/>
      </c>
      <c r="S2" s="40"/>
      <c r="T2" s="40"/>
      <c r="U2" s="46" t="str">
        <f ca="1">IF(OFFSET(変更先抽出【15時】!$A$1,P1-1,25)&lt;&gt;"",OFFSET(変更先抽出【15時】!$A$1,P1-1,25)&amp;"箱"&amp;OFFSET(変更先抽出【15時】!$A$1,P1-1,26),"")</f>
        <v/>
      </c>
      <c r="V2" s="38"/>
      <c r="W2" s="47"/>
      <c r="X2" s="109"/>
      <c r="Y2" s="170" t="str">
        <f ca="1">IF(Y1&lt;&gt;"",OFFSET(変更先抽出【15時】!$A$1,W1-1,18),"")</f>
        <v/>
      </c>
      <c r="Z2" s="40"/>
      <c r="AA2" s="40"/>
      <c r="AB2" s="46" t="str">
        <f ca="1">IF(OFFSET(変更先抽出【15時】!$A$1,W1-1,25)&lt;&gt;"",OFFSET(変更先抽出【15時】!$A$1,W1-1,25)&amp;"箱"&amp;OFFSET(変更先抽出【15時】!$A$1,W1-1,26),"")</f>
        <v/>
      </c>
      <c r="AC2" s="38"/>
      <c r="AD2" s="22"/>
      <c r="AE2" s="171"/>
      <c r="AF2" s="109"/>
      <c r="AG2" s="170" t="str">
        <f ca="1">IF(AG1&lt;&gt;"",OFFSET(変更先抽出【15時】!$A$1,AE1-1,18),"")</f>
        <v/>
      </c>
      <c r="AH2" s="40"/>
      <c r="AI2" s="40"/>
      <c r="AJ2" s="46" t="str">
        <f ca="1">IF(OFFSET(変更先抽出【15時】!$A$1,AE1-1,25)&lt;&gt;"",OFFSET(変更先抽出【15時】!$A$1,AE1-1,25)&amp;"箱"&amp;OFFSET(変更先抽出【15時】!$A$1,AE1-1,26),"")</f>
        <v/>
      </c>
      <c r="AK2" s="38"/>
      <c r="AL2" s="47"/>
      <c r="AM2" s="109"/>
      <c r="AN2" s="170" t="str">
        <f ca="1">IF(AN1&lt;&gt;"",OFFSET(変更先抽出【15時】!$A$1,AL1-1,18),"")</f>
        <v/>
      </c>
      <c r="AO2" s="40"/>
      <c r="AP2" s="40"/>
      <c r="AQ2" s="46" t="str">
        <f ca="1">IF(OFFSET(変更先抽出【15時】!$A$1,AL1-1,25)&lt;&gt;"",OFFSET(変更先抽出【15時】!$A$1,AL1-1,25)&amp;"箱"&amp;OFFSET(変更先抽出【15時】!$A$1,AL1-1,26),"")</f>
        <v/>
      </c>
      <c r="AR2" s="38"/>
      <c r="AS2" s="22"/>
      <c r="AT2" s="171"/>
      <c r="AU2" s="109"/>
      <c r="AV2" s="170" t="str">
        <f ca="1">IF(AV1&lt;&gt;"",OFFSET(変更先抽出【15時】!$A$1,AT1-1,18),"")</f>
        <v/>
      </c>
      <c r="AW2" s="40"/>
      <c r="AX2" s="40"/>
      <c r="AY2" s="46" t="str">
        <f ca="1">IF(OFFSET(変更先抽出【15時】!$A$1,AT1-1,25)&lt;&gt;"",OFFSET(変更先抽出【15時】!$A$1,AT1-1,25)&amp;"箱"&amp;OFFSET(変更先抽出【15時】!$A$1,AT1-1,26),"")</f>
        <v/>
      </c>
      <c r="AZ2" s="38"/>
      <c r="BA2" s="47"/>
      <c r="BB2" s="109"/>
      <c r="BC2" s="170" t="str">
        <f ca="1">IF(BC1&lt;&gt;"",OFFSET(変更先抽出【15時】!$A$1,BA1-1,18),"")</f>
        <v/>
      </c>
      <c r="BD2" s="40"/>
      <c r="BE2" s="40"/>
      <c r="BF2" s="46" t="str">
        <f ca="1">IF(OFFSET(変更先抽出【15時】!$A$1,BA1-1,25)&lt;&gt;"",OFFSET(変更先抽出【15時】!$A$1,BA1-1,25)&amp;"箱"&amp;OFFSET(変更先抽出【15時】!$A$1,BA1-1,26),"")</f>
        <v/>
      </c>
      <c r="BG2" s="38"/>
      <c r="BH2" s="22"/>
      <c r="BI2" s="171"/>
      <c r="BJ2" s="109"/>
      <c r="BK2" s="170" t="str">
        <f ca="1">IF(BK1&lt;&gt;"",OFFSET(変更先抽出【15時】!$A$1,BI1-1,18),"")</f>
        <v/>
      </c>
      <c r="BL2" s="40"/>
      <c r="BM2" s="40"/>
      <c r="BN2" s="46" t="str">
        <f ca="1">IF(OFFSET(変更先抽出【15時】!$A$1,BI1-1,25)&lt;&gt;"",OFFSET(変更先抽出【15時】!$A$1,BI1-1,25)&amp;"箱"&amp;OFFSET(変更先抽出【15時】!$A$1,BI1-1,26),"")</f>
        <v/>
      </c>
      <c r="BO2" s="38"/>
      <c r="BP2" s="47"/>
      <c r="BQ2" s="109"/>
      <c r="BR2" s="170" t="str">
        <f ca="1">IF(BR1&lt;&gt;"",OFFSET(変更先抽出【15時】!$A$1,BP1-1,18),"")</f>
        <v/>
      </c>
      <c r="BS2" s="40"/>
      <c r="BT2" s="40"/>
      <c r="BU2" s="46" t="str">
        <f ca="1">IF(OFFSET(変更先抽出【15時】!$A$1,BP1-1,25)&lt;&gt;"",OFFSET(変更先抽出【15時】!$A$1,BP1-1,25)&amp;"箱"&amp;OFFSET(変更先抽出【15時】!$A$1,BP1-1,26),"")</f>
        <v/>
      </c>
      <c r="BV2" s="38"/>
      <c r="BW2" s="22"/>
      <c r="BX2" s="171"/>
      <c r="BY2" s="109"/>
      <c r="BZ2" s="170" t="str">
        <f ca="1">IF(BZ1&lt;&gt;"",OFFSET(変更先抽出【15時】!$A$1,BX1-1,18),"")</f>
        <v/>
      </c>
      <c r="CA2" s="40"/>
      <c r="CB2" s="40"/>
      <c r="CC2" s="46" t="str">
        <f ca="1">IF(OFFSET(変更先抽出【15時】!$A$1,BX1-1,25)&lt;&gt;"",OFFSET(変更先抽出【15時】!$A$1,BX1-1,25)&amp;"箱"&amp;OFFSET(変更先抽出【15時】!$A$1,BX1-1,26),"")</f>
        <v/>
      </c>
      <c r="CD2" s="38"/>
      <c r="CE2" s="47"/>
      <c r="CF2" s="109"/>
      <c r="CG2" s="170" t="str">
        <f ca="1">IF(CG1&lt;&gt;"",OFFSET(変更先抽出【15時】!$A$1,CE1-1,18),"")</f>
        <v/>
      </c>
      <c r="CH2" s="40"/>
      <c r="CI2" s="40"/>
      <c r="CJ2" s="46" t="str">
        <f ca="1">IF(OFFSET(変更先抽出【15時】!$A$1,CE1-1,25)&lt;&gt;"",OFFSET(変更先抽出【15時】!$A$1,CE1-1,25)&amp;"箱"&amp;OFFSET(変更先抽出【15時】!$A$1,CE1-1,26),"")</f>
        <v/>
      </c>
      <c r="CK2" s="38"/>
      <c r="CL2" s="22"/>
      <c r="CM2" s="171"/>
      <c r="CN2" s="109"/>
      <c r="CO2" s="170" t="str">
        <f ca="1">IF(CO1&lt;&gt;"",OFFSET(変更先抽出【15時】!$A$1,CM1-1,18),"")</f>
        <v/>
      </c>
      <c r="CP2" s="40"/>
      <c r="CQ2" s="40"/>
      <c r="CR2" s="46" t="str">
        <f ca="1">IF(OFFSET(変更先抽出【15時】!$A$1,CM1-1,25)&lt;&gt;"",OFFSET(変更先抽出【15時】!$A$1,CM1-1,25)&amp;"箱"&amp;OFFSET(変更先抽出【15時】!$A$1,CM1-1,26),"")</f>
        <v/>
      </c>
      <c r="CS2" s="38"/>
      <c r="CT2" s="47"/>
      <c r="CU2" s="109"/>
      <c r="CV2" s="170" t="str">
        <f ca="1">IF(CV1&lt;&gt;"",OFFSET(変更先抽出【15時】!$A$1,CT1-1,18),"")</f>
        <v/>
      </c>
      <c r="CW2" s="40"/>
      <c r="CX2" s="40"/>
      <c r="CY2" s="46" t="str">
        <f ca="1">IF(OFFSET(変更先抽出【15時】!$A$1,CT1-1,25)&lt;&gt;"",OFFSET(変更先抽出【15時】!$A$1,CT1-1,25)&amp;"箱"&amp;OFFSET(変更先抽出【15時】!$A$1,CT1-1,26),"")</f>
        <v/>
      </c>
      <c r="CZ2" s="38"/>
      <c r="DA2" s="22"/>
      <c r="DB2" s="171"/>
      <c r="DC2" s="109"/>
      <c r="DD2" s="170" t="str">
        <f ca="1">IF(DD1&lt;&gt;"",OFFSET(変更先抽出【15時】!$A$1,DB1-1,18),"")</f>
        <v/>
      </c>
      <c r="DE2" s="40"/>
      <c r="DF2" s="40"/>
      <c r="DG2" s="46" t="str">
        <f ca="1">IF(OFFSET(変更先抽出【15時】!$A$1,DB1-1,25)&lt;&gt;"",OFFSET(変更先抽出【15時】!$A$1,DB1-1,25)&amp;"箱"&amp;OFFSET(変更先抽出【15時】!$A$1,DB1-1,26),"")</f>
        <v/>
      </c>
      <c r="DH2" s="38"/>
      <c r="DI2" s="47"/>
      <c r="DJ2" s="109"/>
      <c r="DK2" s="170" t="str">
        <f ca="1">IF(DK1&lt;&gt;"",OFFSET(変更先抽出【15時】!$A$1,DI1-1,18),"")</f>
        <v/>
      </c>
      <c r="DL2" s="40"/>
      <c r="DM2" s="40"/>
      <c r="DN2" s="46" t="str">
        <f ca="1">IF(OFFSET(変更先抽出【15時】!$A$1,DI1-1,25)&lt;&gt;"",OFFSET(変更先抽出【15時】!$A$1,DI1-1,25)&amp;"箱"&amp;OFFSET(変更先抽出【15時】!$A$1,DI1-1,26),"")</f>
        <v/>
      </c>
      <c r="DO2" s="38"/>
      <c r="DP2" s="22"/>
      <c r="DQ2" s="171"/>
      <c r="DR2" s="109"/>
      <c r="DS2" s="170" t="str">
        <f ca="1">IF(DS1&lt;&gt;"",OFFSET(変更先抽出【15時】!$A$1,DQ1-1,18),"")</f>
        <v/>
      </c>
      <c r="DT2" s="40"/>
      <c r="DU2" s="40"/>
      <c r="DV2" s="46" t="str">
        <f ca="1">IF(OFFSET(変更先抽出【15時】!$A$1,DQ1-1,25)&lt;&gt;"",OFFSET(変更先抽出【15時】!$A$1,DQ1-1,25)&amp;"箱"&amp;OFFSET(変更先抽出【15時】!$A$1,DQ1-1,26),"")</f>
        <v/>
      </c>
      <c r="DW2" s="38"/>
      <c r="DX2" s="47"/>
      <c r="DY2" s="109"/>
      <c r="DZ2" s="170" t="str">
        <f ca="1">IF(DZ1&lt;&gt;"",OFFSET(変更先抽出【15時】!$A$1,DX1-1,18),"")</f>
        <v/>
      </c>
      <c r="EA2" s="40"/>
      <c r="EB2" s="40"/>
      <c r="EC2" s="46" t="str">
        <f ca="1">IF(OFFSET(変更先抽出【15時】!$A$1,DX1-1,25)&lt;&gt;"",OFFSET(変更先抽出【15時】!$A$1,DX1-1,25)&amp;"箱"&amp;OFFSET(変更先抽出【15時】!$A$1,DX1-1,26),"")</f>
        <v/>
      </c>
      <c r="ED2" s="38"/>
      <c r="EE2" s="22"/>
      <c r="EF2" s="171"/>
      <c r="EG2" s="109"/>
      <c r="EH2" s="170" t="str">
        <f ca="1">IF(EH1&lt;&gt;"",OFFSET(変更先抽出【15時】!$A$1,EF1-1,18),"")</f>
        <v/>
      </c>
      <c r="EI2" s="40"/>
      <c r="EJ2" s="40"/>
      <c r="EK2" s="46" t="str">
        <f ca="1">IF(OFFSET(変更先抽出【15時】!$A$1,EF1-1,25)&lt;&gt;"",OFFSET(変更先抽出【15時】!$A$1,EF1-1,25)&amp;"箱"&amp;OFFSET(変更先抽出【15時】!$A$1,EF1-1,26),"")</f>
        <v/>
      </c>
      <c r="EL2" s="38"/>
      <c r="EM2" s="47"/>
      <c r="EN2" s="109"/>
      <c r="EO2" s="170" t="str">
        <f ca="1">IF(EO1&lt;&gt;"",OFFSET(変更先抽出【15時】!$A$1,EM1-1,18),"")</f>
        <v/>
      </c>
      <c r="EP2" s="40"/>
      <c r="EQ2" s="40"/>
      <c r="ER2" s="46" t="str">
        <f ca="1">IF(OFFSET(変更先抽出【15時】!$A$1,EM1-1,25)&lt;&gt;"",OFFSET(変更先抽出【15時】!$A$1,EM1-1,25)&amp;"箱"&amp;OFFSET(変更先抽出【15時】!$A$1,EM1-1,26),"")</f>
        <v/>
      </c>
      <c r="ES2" s="38"/>
      <c r="ET2" s="22"/>
    </row>
    <row r="3" spans="1:150" s="32" customFormat="1">
      <c r="A3" s="171"/>
      <c r="B3" s="33"/>
      <c r="C3" s="153" t="str">
        <f ca="1">IF(C1&lt;&gt;"","園児","")</f>
        <v/>
      </c>
      <c r="D3" s="154"/>
      <c r="E3" s="22"/>
      <c r="F3" s="168" t="str">
        <f ca="1">IF(C1&lt;&gt;"","先生","")</f>
        <v/>
      </c>
      <c r="G3" s="39"/>
      <c r="H3" s="35"/>
      <c r="I3" s="33"/>
      <c r="J3" s="153" t="str">
        <f ca="1">IF(J1&lt;&gt;"","園児","")</f>
        <v/>
      </c>
      <c r="K3" s="154"/>
      <c r="L3" s="22"/>
      <c r="M3" s="168" t="str">
        <f ca="1">IF(J1&lt;&gt;"","先生","")</f>
        <v/>
      </c>
      <c r="N3" s="39"/>
      <c r="O3" s="22"/>
      <c r="P3" s="171"/>
      <c r="Q3" s="33"/>
      <c r="R3" s="153" t="str">
        <f ca="1">IF(R1&lt;&gt;"","園児","")</f>
        <v/>
      </c>
      <c r="S3" s="154"/>
      <c r="T3" s="22"/>
      <c r="U3" s="168" t="str">
        <f ca="1">IF(R1&lt;&gt;"","先生","")</f>
        <v/>
      </c>
      <c r="V3" s="39"/>
      <c r="W3" s="35"/>
      <c r="X3" s="33"/>
      <c r="Y3" s="153" t="str">
        <f ca="1">IF(Y1&lt;&gt;"","園児","")</f>
        <v/>
      </c>
      <c r="Z3" s="154"/>
      <c r="AA3" s="22"/>
      <c r="AB3" s="168" t="str">
        <f ca="1">IF(Y1&lt;&gt;"","先生","")</f>
        <v/>
      </c>
      <c r="AC3" s="39"/>
      <c r="AD3" s="22"/>
      <c r="AE3" s="171"/>
      <c r="AF3" s="33"/>
      <c r="AG3" s="153" t="str">
        <f ca="1">IF(AG1&lt;&gt;"","園児","")</f>
        <v/>
      </c>
      <c r="AH3" s="154"/>
      <c r="AI3" s="22"/>
      <c r="AJ3" s="168" t="str">
        <f ca="1">IF(AG1&lt;&gt;"","先生","")</f>
        <v/>
      </c>
      <c r="AK3" s="39"/>
      <c r="AL3" s="35"/>
      <c r="AM3" s="33"/>
      <c r="AN3" s="153" t="str">
        <f ca="1">IF(AN1&lt;&gt;"","園児","")</f>
        <v/>
      </c>
      <c r="AO3" s="154"/>
      <c r="AP3" s="22"/>
      <c r="AQ3" s="168" t="str">
        <f ca="1">IF(AN1&lt;&gt;"","先生","")</f>
        <v/>
      </c>
      <c r="AR3" s="39"/>
      <c r="AS3" s="22"/>
      <c r="AT3" s="171"/>
      <c r="AU3" s="33"/>
      <c r="AV3" s="153" t="str">
        <f ca="1">IF(AV1&lt;&gt;"","園児","")</f>
        <v/>
      </c>
      <c r="AW3" s="154"/>
      <c r="AX3" s="22"/>
      <c r="AY3" s="168" t="str">
        <f ca="1">IF(AV1&lt;&gt;"","先生","")</f>
        <v/>
      </c>
      <c r="AZ3" s="39"/>
      <c r="BA3" s="35"/>
      <c r="BB3" s="33"/>
      <c r="BC3" s="153" t="str">
        <f ca="1">IF(BC1&lt;&gt;"","園児","")</f>
        <v/>
      </c>
      <c r="BD3" s="154"/>
      <c r="BE3" s="22"/>
      <c r="BF3" s="168" t="str">
        <f ca="1">IF(BC1&lt;&gt;"","先生","")</f>
        <v/>
      </c>
      <c r="BG3" s="39"/>
      <c r="BH3" s="22"/>
      <c r="BI3" s="171"/>
      <c r="BJ3" s="33"/>
      <c r="BK3" s="153" t="str">
        <f ca="1">IF(BK1&lt;&gt;"","園児","")</f>
        <v/>
      </c>
      <c r="BL3" s="154"/>
      <c r="BM3" s="22"/>
      <c r="BN3" s="168" t="str">
        <f ca="1">IF(BK1&lt;&gt;"","先生","")</f>
        <v/>
      </c>
      <c r="BO3" s="39"/>
      <c r="BP3" s="35"/>
      <c r="BQ3" s="33"/>
      <c r="BR3" s="153" t="str">
        <f ca="1">IF(BR1&lt;&gt;"","園児","")</f>
        <v/>
      </c>
      <c r="BS3" s="154"/>
      <c r="BT3" s="22"/>
      <c r="BU3" s="168" t="str">
        <f ca="1">IF(BR1&lt;&gt;"","先生","")</f>
        <v/>
      </c>
      <c r="BV3" s="39"/>
      <c r="BW3" s="22"/>
      <c r="BX3" s="171"/>
      <c r="BY3" s="33"/>
      <c r="BZ3" s="153" t="str">
        <f ca="1">IF(BZ1&lt;&gt;"","園児","")</f>
        <v/>
      </c>
      <c r="CA3" s="154"/>
      <c r="CB3" s="22"/>
      <c r="CC3" s="168" t="str">
        <f ca="1">IF(BZ1&lt;&gt;"","先生","")</f>
        <v/>
      </c>
      <c r="CD3" s="39"/>
      <c r="CE3" s="35"/>
      <c r="CF3" s="33"/>
      <c r="CG3" s="153" t="str">
        <f ca="1">IF(CG1&lt;&gt;"","園児","")</f>
        <v/>
      </c>
      <c r="CH3" s="154"/>
      <c r="CI3" s="22"/>
      <c r="CJ3" s="168" t="str">
        <f ca="1">IF(CG1&lt;&gt;"","先生","")</f>
        <v/>
      </c>
      <c r="CK3" s="39"/>
      <c r="CL3" s="22"/>
      <c r="CM3" s="171"/>
      <c r="CN3" s="33"/>
      <c r="CO3" s="153" t="str">
        <f ca="1">IF(CO1&lt;&gt;"","園児","")</f>
        <v/>
      </c>
      <c r="CP3" s="154"/>
      <c r="CQ3" s="22"/>
      <c r="CR3" s="168" t="str">
        <f ca="1">IF(CO1&lt;&gt;"","先生","")</f>
        <v/>
      </c>
      <c r="CS3" s="39"/>
      <c r="CT3" s="35"/>
      <c r="CU3" s="33"/>
      <c r="CV3" s="153" t="str">
        <f ca="1">IF(CV1&lt;&gt;"","園児","")</f>
        <v/>
      </c>
      <c r="CW3" s="154"/>
      <c r="CX3" s="22"/>
      <c r="CY3" s="168" t="str">
        <f ca="1">IF(CV1&lt;&gt;"","先生","")</f>
        <v/>
      </c>
      <c r="CZ3" s="39"/>
      <c r="DA3" s="22"/>
      <c r="DB3" s="171"/>
      <c r="DC3" s="33"/>
      <c r="DD3" s="153" t="str">
        <f ca="1">IF(DD1&lt;&gt;"","園児","")</f>
        <v/>
      </c>
      <c r="DE3" s="154"/>
      <c r="DF3" s="22"/>
      <c r="DG3" s="168" t="str">
        <f ca="1">IF(DD1&lt;&gt;"","先生","")</f>
        <v/>
      </c>
      <c r="DH3" s="39"/>
      <c r="DI3" s="35"/>
      <c r="DJ3" s="33"/>
      <c r="DK3" s="153" t="str">
        <f ca="1">IF(DK1&lt;&gt;"","園児","")</f>
        <v/>
      </c>
      <c r="DL3" s="154"/>
      <c r="DM3" s="22"/>
      <c r="DN3" s="168" t="str">
        <f ca="1">IF(DK1&lt;&gt;"","先生","")</f>
        <v/>
      </c>
      <c r="DO3" s="39"/>
      <c r="DP3" s="22"/>
      <c r="DQ3" s="171"/>
      <c r="DR3" s="33"/>
      <c r="DS3" s="153" t="str">
        <f ca="1">IF(DS1&lt;&gt;"","園児","")</f>
        <v/>
      </c>
      <c r="DT3" s="154"/>
      <c r="DU3" s="22"/>
      <c r="DV3" s="168" t="str">
        <f ca="1">IF(DS1&lt;&gt;"","先生","")</f>
        <v/>
      </c>
      <c r="DW3" s="39"/>
      <c r="DX3" s="35"/>
      <c r="DY3" s="33"/>
      <c r="DZ3" s="153" t="str">
        <f ca="1">IF(DZ1&lt;&gt;"","園児","")</f>
        <v/>
      </c>
      <c r="EA3" s="154"/>
      <c r="EB3" s="22"/>
      <c r="EC3" s="168" t="str">
        <f ca="1">IF(DZ1&lt;&gt;"","先生","")</f>
        <v/>
      </c>
      <c r="ED3" s="39"/>
      <c r="EE3" s="22"/>
      <c r="EF3" s="171"/>
      <c r="EG3" s="33"/>
      <c r="EH3" s="153" t="str">
        <f ca="1">IF(EH1&lt;&gt;"","園児","")</f>
        <v/>
      </c>
      <c r="EI3" s="154"/>
      <c r="EJ3" s="22"/>
      <c r="EK3" s="168" t="str">
        <f ca="1">IF(EH1&lt;&gt;"","先生","")</f>
        <v/>
      </c>
      <c r="EL3" s="39"/>
      <c r="EM3" s="35"/>
      <c r="EN3" s="33"/>
      <c r="EO3" s="153" t="str">
        <f ca="1">IF(EO1&lt;&gt;"","園児","")</f>
        <v/>
      </c>
      <c r="EP3" s="154"/>
      <c r="EQ3" s="22"/>
      <c r="ER3" s="168" t="str">
        <f ca="1">IF(EO1&lt;&gt;"","先生","")</f>
        <v/>
      </c>
      <c r="ES3" s="39"/>
      <c r="ET3" s="22"/>
    </row>
    <row r="4" spans="1:150" ht="15.6" customHeight="1">
      <c r="B4" s="25"/>
      <c r="C4" s="151" t="str">
        <f ca="1">IF(C1&lt;&gt;"",OFFSET(変更先抽出【15時】!$A$1,A1-1,19),"")</f>
        <v/>
      </c>
      <c r="D4" s="152"/>
      <c r="E4" s="48"/>
      <c r="F4" s="147" t="str">
        <f ca="1">IF(C1&lt;&gt;"",OFFSET(変更先抽出【15時】!$A$1,A1-1,20),"")</f>
        <v/>
      </c>
      <c r="G4" s="148"/>
      <c r="H4" s="26"/>
      <c r="I4" s="25"/>
      <c r="J4" s="151" t="str">
        <f ca="1">IF(J1&lt;&gt;"",OFFSET(変更先抽出【15時】!$A$1,H1-1,19),"")</f>
        <v/>
      </c>
      <c r="K4" s="152"/>
      <c r="L4" s="48"/>
      <c r="M4" s="147" t="str">
        <f ca="1">IF(J1&lt;&gt;"",OFFSET(変更先抽出【15時】!$A$1,H1-1,20),"")</f>
        <v/>
      </c>
      <c r="N4" s="148"/>
      <c r="Q4" s="25"/>
      <c r="R4" s="151" t="str">
        <f ca="1">IF(R1&lt;&gt;"",OFFSET(変更先抽出【15時】!$A$1,P1-1,19),"")</f>
        <v/>
      </c>
      <c r="S4" s="152"/>
      <c r="T4" s="48"/>
      <c r="U4" s="147" t="str">
        <f ca="1">IF(R1&lt;&gt;"",OFFSET(変更先抽出【15時】!$A$1,P1-1,20),"")</f>
        <v/>
      </c>
      <c r="V4" s="148"/>
      <c r="W4" s="26"/>
      <c r="X4" s="25"/>
      <c r="Y4" s="151" t="str">
        <f ca="1">IF(Y1&lt;&gt;"",OFFSET(変更先抽出【15時】!$A$1,W1-1,19),"")</f>
        <v/>
      </c>
      <c r="Z4" s="152"/>
      <c r="AA4" s="48"/>
      <c r="AB4" s="147" t="str">
        <f ca="1">IF(Y1&lt;&gt;"",OFFSET(変更先抽出【15時】!$A$1,W1-1,20),"")</f>
        <v/>
      </c>
      <c r="AC4" s="148"/>
      <c r="AF4" s="25"/>
      <c r="AG4" s="151" t="str">
        <f ca="1">IF(AG1&lt;&gt;"",OFFSET(変更先抽出【15時】!$A$1,AE1-1,19),"")</f>
        <v/>
      </c>
      <c r="AH4" s="152"/>
      <c r="AI4" s="48"/>
      <c r="AJ4" s="147" t="str">
        <f ca="1">IF(AG1&lt;&gt;"",OFFSET(変更先抽出【15時】!$A$1,AE1-1,20),"")</f>
        <v/>
      </c>
      <c r="AK4" s="148"/>
      <c r="AL4" s="26"/>
      <c r="AM4" s="25"/>
      <c r="AN4" s="151" t="str">
        <f ca="1">IF(AN1&lt;&gt;"",OFFSET(変更先抽出【15時】!$A$1,AL1-1,19),"")</f>
        <v/>
      </c>
      <c r="AO4" s="152"/>
      <c r="AP4" s="48"/>
      <c r="AQ4" s="147" t="str">
        <f ca="1">IF(AN1&lt;&gt;"",OFFSET(変更先抽出【15時】!$A$1,AL1-1,20),"")</f>
        <v/>
      </c>
      <c r="AR4" s="148"/>
      <c r="AU4" s="25"/>
      <c r="AV4" s="151" t="str">
        <f ca="1">IF(AV1&lt;&gt;"",OFFSET(変更先抽出【15時】!$A$1,AT1-1,19),"")</f>
        <v/>
      </c>
      <c r="AW4" s="152"/>
      <c r="AX4" s="48"/>
      <c r="AY4" s="147" t="str">
        <f ca="1">IF(AV1&lt;&gt;"",OFFSET(変更先抽出【15時】!$A$1,AT1-1,20),"")</f>
        <v/>
      </c>
      <c r="AZ4" s="148"/>
      <c r="BA4" s="26"/>
      <c r="BB4" s="25"/>
      <c r="BC4" s="151" t="str">
        <f ca="1">IF(BC1&lt;&gt;"",OFFSET(変更先抽出【15時】!$A$1,BA1-1,19),"")</f>
        <v/>
      </c>
      <c r="BD4" s="152"/>
      <c r="BE4" s="48"/>
      <c r="BF4" s="147" t="str">
        <f ca="1">IF(BC1&lt;&gt;"",OFFSET(変更先抽出【15時】!$A$1,BA1-1,20),"")</f>
        <v/>
      </c>
      <c r="BG4" s="148"/>
      <c r="BJ4" s="25"/>
      <c r="BK4" s="151" t="str">
        <f ca="1">IF(BK1&lt;&gt;"",OFFSET(変更先抽出【15時】!$A$1,BI1-1,19),"")</f>
        <v/>
      </c>
      <c r="BL4" s="152"/>
      <c r="BM4" s="48"/>
      <c r="BN4" s="147" t="str">
        <f ca="1">IF(BK1&lt;&gt;"",OFFSET(変更先抽出【15時】!$A$1,BI1-1,20),"")</f>
        <v/>
      </c>
      <c r="BO4" s="148"/>
      <c r="BP4" s="26"/>
      <c r="BQ4" s="25"/>
      <c r="BR4" s="151" t="str">
        <f ca="1">IF(BR1&lt;&gt;"",OFFSET(変更先抽出【15時】!$A$1,BP1-1,19),"")</f>
        <v/>
      </c>
      <c r="BS4" s="152"/>
      <c r="BT4" s="48"/>
      <c r="BU4" s="147" t="str">
        <f ca="1">IF(BR1&lt;&gt;"",OFFSET(変更先抽出【15時】!$A$1,BP1-1,20),"")</f>
        <v/>
      </c>
      <c r="BV4" s="148"/>
      <c r="BY4" s="25"/>
      <c r="BZ4" s="151" t="str">
        <f ca="1">IF(BZ1&lt;&gt;"",OFFSET(変更先抽出【15時】!$A$1,BX1-1,19),"")</f>
        <v/>
      </c>
      <c r="CA4" s="152"/>
      <c r="CB4" s="48"/>
      <c r="CC4" s="147" t="str">
        <f ca="1">IF(BZ1&lt;&gt;"",OFFSET(変更先抽出【15時】!$A$1,BX1-1,20),"")</f>
        <v/>
      </c>
      <c r="CD4" s="148"/>
      <c r="CE4" s="26"/>
      <c r="CF4" s="25"/>
      <c r="CG4" s="151" t="str">
        <f ca="1">IF(CG1&lt;&gt;"",OFFSET(変更先抽出【15時】!$A$1,CE1-1,19),"")</f>
        <v/>
      </c>
      <c r="CH4" s="152"/>
      <c r="CI4" s="48"/>
      <c r="CJ4" s="147" t="str">
        <f ca="1">IF(CG1&lt;&gt;"",OFFSET(変更先抽出【15時】!$A$1,CE1-1,20),"")</f>
        <v/>
      </c>
      <c r="CK4" s="148"/>
      <c r="CN4" s="25"/>
      <c r="CO4" s="151" t="str">
        <f ca="1">IF(CO1&lt;&gt;"",OFFSET(変更先抽出【15時】!$A$1,CM1-1,19),"")</f>
        <v/>
      </c>
      <c r="CP4" s="152"/>
      <c r="CQ4" s="48"/>
      <c r="CR4" s="147" t="str">
        <f ca="1">IF(CO1&lt;&gt;"",OFFSET(変更先抽出【15時】!$A$1,CM1-1,20),"")</f>
        <v/>
      </c>
      <c r="CS4" s="148"/>
      <c r="CT4" s="26"/>
      <c r="CU4" s="25"/>
      <c r="CV4" s="151" t="str">
        <f ca="1">IF(CV1&lt;&gt;"",OFFSET(変更先抽出【15時】!$A$1,CT1-1,19),"")</f>
        <v/>
      </c>
      <c r="CW4" s="152"/>
      <c r="CX4" s="48"/>
      <c r="CY4" s="147" t="str">
        <f ca="1">IF(CV1&lt;&gt;"",OFFSET(変更先抽出【15時】!$A$1,CT1-1,20),"")</f>
        <v/>
      </c>
      <c r="CZ4" s="148"/>
      <c r="DC4" s="25"/>
      <c r="DD4" s="151" t="str">
        <f ca="1">IF(DD1&lt;&gt;"",OFFSET(変更先抽出【15時】!$A$1,DB1-1,19),"")</f>
        <v/>
      </c>
      <c r="DE4" s="152"/>
      <c r="DF4" s="48"/>
      <c r="DG4" s="147" t="str">
        <f ca="1">IF(DD1&lt;&gt;"",OFFSET(変更先抽出【15時】!$A$1,DB1-1,20),"")</f>
        <v/>
      </c>
      <c r="DH4" s="148"/>
      <c r="DI4" s="26"/>
      <c r="DJ4" s="25"/>
      <c r="DK4" s="151" t="str">
        <f ca="1">IF(DK1&lt;&gt;"",OFFSET(変更先抽出【15時】!$A$1,DI1-1,19),"")</f>
        <v/>
      </c>
      <c r="DL4" s="152"/>
      <c r="DM4" s="48"/>
      <c r="DN4" s="147" t="str">
        <f ca="1">IF(DK1&lt;&gt;"",OFFSET(変更先抽出【15時】!$A$1,DI1-1,20),"")</f>
        <v/>
      </c>
      <c r="DO4" s="148"/>
      <c r="DR4" s="25"/>
      <c r="DS4" s="151" t="str">
        <f ca="1">IF(DS1&lt;&gt;"",OFFSET(変更先抽出【15時】!$A$1,DQ1-1,19),"")</f>
        <v/>
      </c>
      <c r="DT4" s="152"/>
      <c r="DU4" s="48"/>
      <c r="DV4" s="147" t="str">
        <f ca="1">IF(DS1&lt;&gt;"",OFFSET(変更先抽出【15時】!$A$1,DQ1-1,20),"")</f>
        <v/>
      </c>
      <c r="DW4" s="148"/>
      <c r="DX4" s="26"/>
      <c r="DY4" s="25"/>
      <c r="DZ4" s="151" t="str">
        <f ca="1">IF(DZ1&lt;&gt;"",OFFSET(変更先抽出【15時】!$A$1,DX1-1,19),"")</f>
        <v/>
      </c>
      <c r="EA4" s="152"/>
      <c r="EB4" s="48"/>
      <c r="EC4" s="147" t="str">
        <f ca="1">IF(DZ1&lt;&gt;"",OFFSET(変更先抽出【15時】!$A$1,DX1-1,20),"")</f>
        <v/>
      </c>
      <c r="ED4" s="148"/>
      <c r="EG4" s="25"/>
      <c r="EH4" s="151" t="str">
        <f ca="1">IF(EH1&lt;&gt;"",OFFSET(変更先抽出【15時】!$A$1,EF1-1,19),"")</f>
        <v/>
      </c>
      <c r="EI4" s="152"/>
      <c r="EJ4" s="48"/>
      <c r="EK4" s="147" t="str">
        <f ca="1">IF(EH1&lt;&gt;"",OFFSET(変更先抽出【15時】!$A$1,EF1-1,20),"")</f>
        <v/>
      </c>
      <c r="EL4" s="148"/>
      <c r="EM4" s="26"/>
      <c r="EN4" s="25"/>
      <c r="EO4" s="151" t="str">
        <f ca="1">IF(EO1&lt;&gt;"",OFFSET(変更先抽出【15時】!$A$1,EM1-1,19),"")</f>
        <v/>
      </c>
      <c r="EP4" s="152"/>
      <c r="EQ4" s="48"/>
      <c r="ER4" s="147" t="str">
        <f ca="1">IF(EO1&lt;&gt;"",OFFSET(変更先抽出【15時】!$A$1,EM1-1,20),"")</f>
        <v/>
      </c>
      <c r="ES4" s="148"/>
    </row>
    <row r="5" spans="1:150" ht="15.6" customHeight="1">
      <c r="B5" s="27"/>
      <c r="C5" s="149"/>
      <c r="D5" s="149"/>
      <c r="E5" s="43"/>
      <c r="F5" s="149"/>
      <c r="G5" s="150"/>
      <c r="H5" s="26"/>
      <c r="I5" s="27"/>
      <c r="J5" s="149"/>
      <c r="K5" s="149"/>
      <c r="L5" s="43"/>
      <c r="M5" s="149"/>
      <c r="N5" s="150"/>
      <c r="Q5" s="27"/>
      <c r="R5" s="149"/>
      <c r="S5" s="149"/>
      <c r="T5" s="43"/>
      <c r="U5" s="149"/>
      <c r="V5" s="150"/>
      <c r="W5" s="26"/>
      <c r="X5" s="27"/>
      <c r="Y5" s="149"/>
      <c r="Z5" s="149"/>
      <c r="AA5" s="43"/>
      <c r="AB5" s="149"/>
      <c r="AC5" s="150"/>
      <c r="AF5" s="27"/>
      <c r="AG5" s="149"/>
      <c r="AH5" s="149"/>
      <c r="AI5" s="43"/>
      <c r="AJ5" s="149"/>
      <c r="AK5" s="150"/>
      <c r="AL5" s="26"/>
      <c r="AM5" s="27"/>
      <c r="AN5" s="149"/>
      <c r="AO5" s="149"/>
      <c r="AP5" s="43"/>
      <c r="AQ5" s="149"/>
      <c r="AR5" s="150"/>
      <c r="AU5" s="27"/>
      <c r="AV5" s="149"/>
      <c r="AW5" s="149"/>
      <c r="AX5" s="43"/>
      <c r="AY5" s="149"/>
      <c r="AZ5" s="150"/>
      <c r="BA5" s="26"/>
      <c r="BB5" s="27"/>
      <c r="BC5" s="149"/>
      <c r="BD5" s="149"/>
      <c r="BE5" s="43"/>
      <c r="BF5" s="149"/>
      <c r="BG5" s="150"/>
      <c r="BJ5" s="27"/>
      <c r="BK5" s="149"/>
      <c r="BL5" s="149"/>
      <c r="BM5" s="43"/>
      <c r="BN5" s="149"/>
      <c r="BO5" s="150"/>
      <c r="BP5" s="26"/>
      <c r="BQ5" s="27"/>
      <c r="BR5" s="149"/>
      <c r="BS5" s="149"/>
      <c r="BT5" s="43"/>
      <c r="BU5" s="149"/>
      <c r="BV5" s="150"/>
      <c r="BY5" s="27"/>
      <c r="BZ5" s="149"/>
      <c r="CA5" s="149"/>
      <c r="CB5" s="43"/>
      <c r="CC5" s="149"/>
      <c r="CD5" s="150"/>
      <c r="CE5" s="26"/>
      <c r="CF5" s="27"/>
      <c r="CG5" s="149"/>
      <c r="CH5" s="149"/>
      <c r="CI5" s="43"/>
      <c r="CJ5" s="149"/>
      <c r="CK5" s="150"/>
      <c r="CN5" s="27"/>
      <c r="CO5" s="149"/>
      <c r="CP5" s="149"/>
      <c r="CQ5" s="43"/>
      <c r="CR5" s="149"/>
      <c r="CS5" s="150"/>
      <c r="CT5" s="26"/>
      <c r="CU5" s="27"/>
      <c r="CV5" s="149"/>
      <c r="CW5" s="149"/>
      <c r="CX5" s="43"/>
      <c r="CY5" s="149"/>
      <c r="CZ5" s="150"/>
      <c r="DC5" s="27"/>
      <c r="DD5" s="149"/>
      <c r="DE5" s="149"/>
      <c r="DF5" s="43"/>
      <c r="DG5" s="149"/>
      <c r="DH5" s="150"/>
      <c r="DI5" s="26"/>
      <c r="DJ5" s="27"/>
      <c r="DK5" s="149"/>
      <c r="DL5" s="149"/>
      <c r="DM5" s="43"/>
      <c r="DN5" s="149"/>
      <c r="DO5" s="150"/>
      <c r="DR5" s="27"/>
      <c r="DS5" s="149"/>
      <c r="DT5" s="149"/>
      <c r="DU5" s="43"/>
      <c r="DV5" s="149"/>
      <c r="DW5" s="150"/>
      <c r="DX5" s="26"/>
      <c r="DY5" s="27"/>
      <c r="DZ5" s="149"/>
      <c r="EA5" s="149"/>
      <c r="EB5" s="43"/>
      <c r="EC5" s="149"/>
      <c r="ED5" s="150"/>
      <c r="EG5" s="27"/>
      <c r="EH5" s="149"/>
      <c r="EI5" s="149"/>
      <c r="EJ5" s="43"/>
      <c r="EK5" s="149"/>
      <c r="EL5" s="150"/>
      <c r="EM5" s="26"/>
      <c r="EN5" s="27"/>
      <c r="EO5" s="149"/>
      <c r="EP5" s="149"/>
      <c r="EQ5" s="43"/>
      <c r="ER5" s="149"/>
      <c r="ES5" s="150"/>
    </row>
    <row r="6" spans="1:150" s="32" customFormat="1">
      <c r="A6" s="171"/>
      <c r="B6" s="36" t="str">
        <f ca="1">IF(C1&lt;&gt;"","パン箱","")</f>
        <v/>
      </c>
      <c r="C6" s="34" t="str">
        <f ca="1">IF(C1&lt;&gt;"",OFFSET(変更先抽出【15時】!$A$1,A1-1,22),"")</f>
        <v/>
      </c>
      <c r="D6" s="36" t="str">
        <f ca="1">IF(C1&lt;&gt;"","端数","")</f>
        <v/>
      </c>
      <c r="E6" s="34"/>
      <c r="F6" s="36" t="str">
        <f ca="1">IF(C1&lt;&gt;"","アレルギー","")</f>
        <v/>
      </c>
      <c r="G6" s="39"/>
      <c r="H6" s="22"/>
      <c r="I6" s="36" t="str">
        <f ca="1">IF(J1&lt;&gt;"","パン箱","")</f>
        <v/>
      </c>
      <c r="J6" s="34" t="str">
        <f ca="1">IF(J1&lt;&gt;"",OFFSET(変更先抽出【15時】!$A$1,H1-1,22),"")</f>
        <v/>
      </c>
      <c r="K6" s="36" t="str">
        <f ca="1">IF(J1&lt;&gt;"","端数","")</f>
        <v/>
      </c>
      <c r="L6" s="34"/>
      <c r="M6" s="36" t="str">
        <f ca="1">IF(J1&lt;&gt;"","アレルギー","")</f>
        <v/>
      </c>
      <c r="N6" s="39"/>
      <c r="O6" s="22"/>
      <c r="P6" s="171"/>
      <c r="Q6" s="36" t="str">
        <f ca="1">IF(R1&lt;&gt;"","パン箱","")</f>
        <v/>
      </c>
      <c r="R6" s="34" t="str">
        <f ca="1">IF(R1&lt;&gt;"",OFFSET(変更先抽出【15時】!$A$1,P1-1,22),"")</f>
        <v/>
      </c>
      <c r="S6" s="36" t="str">
        <f ca="1">IF(R1&lt;&gt;"","端数","")</f>
        <v/>
      </c>
      <c r="T6" s="34"/>
      <c r="U6" s="36" t="str">
        <f ca="1">IF(R1&lt;&gt;"","アレルギー","")</f>
        <v/>
      </c>
      <c r="V6" s="39"/>
      <c r="W6" s="22"/>
      <c r="X6" s="36" t="str">
        <f ca="1">IF(Y1&lt;&gt;"","パン箱","")</f>
        <v/>
      </c>
      <c r="Y6" s="34" t="str">
        <f ca="1">IF(Y1&lt;&gt;"",OFFSET(変更先抽出【15時】!$A$1,W1-1,22),"")</f>
        <v/>
      </c>
      <c r="Z6" s="36" t="str">
        <f ca="1">IF(Y1&lt;&gt;"","端数","")</f>
        <v/>
      </c>
      <c r="AA6" s="34"/>
      <c r="AB6" s="36" t="str">
        <f ca="1">IF(Y1&lt;&gt;"","アレルギー","")</f>
        <v/>
      </c>
      <c r="AC6" s="39"/>
      <c r="AD6" s="22"/>
      <c r="AE6" s="171"/>
      <c r="AF6" s="36" t="str">
        <f ca="1">IF(AG1&lt;&gt;"","パン箱","")</f>
        <v/>
      </c>
      <c r="AG6" s="34" t="str">
        <f ca="1">IF(AG1&lt;&gt;"",OFFSET(変更先抽出【15時】!$A$1,AE1-1,22),"")</f>
        <v/>
      </c>
      <c r="AH6" s="36" t="str">
        <f ca="1">IF(AG1&lt;&gt;"","端数","")</f>
        <v/>
      </c>
      <c r="AI6" s="34"/>
      <c r="AJ6" s="36" t="str">
        <f ca="1">IF(AG1&lt;&gt;"","アレルギー","")</f>
        <v/>
      </c>
      <c r="AK6" s="39"/>
      <c r="AL6" s="22"/>
      <c r="AM6" s="36" t="str">
        <f ca="1">IF(AN1&lt;&gt;"","パン箱","")</f>
        <v/>
      </c>
      <c r="AN6" s="34" t="str">
        <f ca="1">IF(AN1&lt;&gt;"",OFFSET(変更先抽出【15時】!$A$1,AL1-1,22),"")</f>
        <v/>
      </c>
      <c r="AO6" s="36" t="str">
        <f ca="1">IF(AN1&lt;&gt;"","端数","")</f>
        <v/>
      </c>
      <c r="AP6" s="34"/>
      <c r="AQ6" s="36" t="str">
        <f ca="1">IF(AN1&lt;&gt;"","アレルギー","")</f>
        <v/>
      </c>
      <c r="AR6" s="39"/>
      <c r="AS6" s="22"/>
      <c r="AT6" s="171"/>
      <c r="AU6" s="36" t="str">
        <f ca="1">IF(AV1&lt;&gt;"","パン箱","")</f>
        <v/>
      </c>
      <c r="AV6" s="34" t="str">
        <f ca="1">IF(AV1&lt;&gt;"",OFFSET(変更先抽出【15時】!$A$1,AT1-1,22),"")</f>
        <v/>
      </c>
      <c r="AW6" s="36" t="str">
        <f ca="1">IF(AV1&lt;&gt;"","端数","")</f>
        <v/>
      </c>
      <c r="AX6" s="34"/>
      <c r="AY6" s="36" t="str">
        <f ca="1">IF(AV1&lt;&gt;"","アレルギー","")</f>
        <v/>
      </c>
      <c r="AZ6" s="39"/>
      <c r="BA6" s="22"/>
      <c r="BB6" s="36" t="str">
        <f ca="1">IF(BC1&lt;&gt;"","パン箱","")</f>
        <v/>
      </c>
      <c r="BC6" s="34" t="str">
        <f ca="1">IF(BC1&lt;&gt;"",OFFSET(変更先抽出【15時】!$A$1,BA1-1,22),"")</f>
        <v/>
      </c>
      <c r="BD6" s="36" t="str">
        <f ca="1">IF(BC1&lt;&gt;"","端数","")</f>
        <v/>
      </c>
      <c r="BE6" s="34"/>
      <c r="BF6" s="36" t="str">
        <f ca="1">IF(BC1&lt;&gt;"","アレルギー","")</f>
        <v/>
      </c>
      <c r="BG6" s="39"/>
      <c r="BH6" s="22"/>
      <c r="BI6" s="171"/>
      <c r="BJ6" s="36" t="str">
        <f ca="1">IF(BK1&lt;&gt;"","パン箱","")</f>
        <v/>
      </c>
      <c r="BK6" s="34" t="str">
        <f ca="1">IF(BK1&lt;&gt;"",OFFSET(変更先抽出【15時】!$A$1,BI1-1,22),"")</f>
        <v/>
      </c>
      <c r="BL6" s="36" t="str">
        <f ca="1">IF(BK1&lt;&gt;"","端数","")</f>
        <v/>
      </c>
      <c r="BM6" s="34"/>
      <c r="BN6" s="36" t="str">
        <f ca="1">IF(BK1&lt;&gt;"","アレルギー","")</f>
        <v/>
      </c>
      <c r="BO6" s="39"/>
      <c r="BP6" s="22"/>
      <c r="BQ6" s="36" t="str">
        <f ca="1">IF(BR1&lt;&gt;"","パン箱","")</f>
        <v/>
      </c>
      <c r="BR6" s="34" t="str">
        <f ca="1">IF(BR1&lt;&gt;"",OFFSET(変更先抽出【15時】!$A$1,BP1-1,22),"")</f>
        <v/>
      </c>
      <c r="BS6" s="36" t="str">
        <f ca="1">IF(BR1&lt;&gt;"","端数","")</f>
        <v/>
      </c>
      <c r="BT6" s="34"/>
      <c r="BU6" s="36" t="str">
        <f ca="1">IF(BR1&lt;&gt;"","アレルギー","")</f>
        <v/>
      </c>
      <c r="BV6" s="39"/>
      <c r="BW6" s="22"/>
      <c r="BX6" s="171"/>
      <c r="BY6" s="36" t="str">
        <f ca="1">IF(BZ1&lt;&gt;"","パン箱","")</f>
        <v/>
      </c>
      <c r="BZ6" s="34" t="str">
        <f ca="1">IF(BZ1&lt;&gt;"",OFFSET(変更先抽出【15時】!$A$1,BX1-1,22),"")</f>
        <v/>
      </c>
      <c r="CA6" s="36" t="str">
        <f ca="1">IF(BZ1&lt;&gt;"","端数","")</f>
        <v/>
      </c>
      <c r="CB6" s="34"/>
      <c r="CC6" s="36" t="str">
        <f ca="1">IF(BZ1&lt;&gt;"","アレルギー","")</f>
        <v/>
      </c>
      <c r="CD6" s="39"/>
      <c r="CE6" s="22"/>
      <c r="CF6" s="36" t="str">
        <f ca="1">IF(CG1&lt;&gt;"","パン箱","")</f>
        <v/>
      </c>
      <c r="CG6" s="34" t="str">
        <f ca="1">IF(CG1&lt;&gt;"",OFFSET(変更先抽出【15時】!$A$1,CE1-1,22),"")</f>
        <v/>
      </c>
      <c r="CH6" s="36" t="str">
        <f ca="1">IF(CG1&lt;&gt;"","端数","")</f>
        <v/>
      </c>
      <c r="CI6" s="34"/>
      <c r="CJ6" s="36" t="str">
        <f ca="1">IF(CG1&lt;&gt;"","アレルギー","")</f>
        <v/>
      </c>
      <c r="CK6" s="39"/>
      <c r="CL6" s="22"/>
      <c r="CM6" s="171"/>
      <c r="CN6" s="36" t="str">
        <f ca="1">IF(CO1&lt;&gt;"","パン箱","")</f>
        <v/>
      </c>
      <c r="CO6" s="34" t="str">
        <f ca="1">IF(CO1&lt;&gt;"",OFFSET(変更先抽出【15時】!$A$1,CM1-1,22),"")</f>
        <v/>
      </c>
      <c r="CP6" s="36" t="str">
        <f ca="1">IF(CO1&lt;&gt;"","端数","")</f>
        <v/>
      </c>
      <c r="CQ6" s="34"/>
      <c r="CR6" s="36" t="str">
        <f ca="1">IF(CO1&lt;&gt;"","アレルギー","")</f>
        <v/>
      </c>
      <c r="CS6" s="39"/>
      <c r="CT6" s="22"/>
      <c r="CU6" s="36" t="str">
        <f ca="1">IF(CV1&lt;&gt;"","パン箱","")</f>
        <v/>
      </c>
      <c r="CV6" s="34" t="str">
        <f ca="1">IF(CV1&lt;&gt;"",OFFSET(変更先抽出【15時】!$A$1,CT1-1,22),"")</f>
        <v/>
      </c>
      <c r="CW6" s="36" t="str">
        <f ca="1">IF(CV1&lt;&gt;"","端数","")</f>
        <v/>
      </c>
      <c r="CX6" s="34"/>
      <c r="CY6" s="36" t="str">
        <f ca="1">IF(CV1&lt;&gt;"","アレルギー","")</f>
        <v/>
      </c>
      <c r="CZ6" s="39"/>
      <c r="DA6" s="22"/>
      <c r="DB6" s="171"/>
      <c r="DC6" s="36" t="str">
        <f ca="1">IF(DD1&lt;&gt;"","パン箱","")</f>
        <v/>
      </c>
      <c r="DD6" s="34" t="str">
        <f ca="1">IF(DD1&lt;&gt;"",OFFSET(変更先抽出【15時】!$A$1,DB1-1,22),"")</f>
        <v/>
      </c>
      <c r="DE6" s="36" t="str">
        <f ca="1">IF(DD1&lt;&gt;"","端数","")</f>
        <v/>
      </c>
      <c r="DF6" s="34"/>
      <c r="DG6" s="36" t="str">
        <f ca="1">IF(DD1&lt;&gt;"","アレルギー","")</f>
        <v/>
      </c>
      <c r="DH6" s="39"/>
      <c r="DI6" s="22"/>
      <c r="DJ6" s="36" t="str">
        <f ca="1">IF(DK1&lt;&gt;"","パン箱","")</f>
        <v/>
      </c>
      <c r="DK6" s="34" t="str">
        <f ca="1">IF(DK1&lt;&gt;"",OFFSET(変更先抽出【15時】!$A$1,DI1-1,22),"")</f>
        <v/>
      </c>
      <c r="DL6" s="36" t="str">
        <f ca="1">IF(DK1&lt;&gt;"","端数","")</f>
        <v/>
      </c>
      <c r="DM6" s="34"/>
      <c r="DN6" s="36" t="str">
        <f ca="1">IF(DK1&lt;&gt;"","アレルギー","")</f>
        <v/>
      </c>
      <c r="DO6" s="39"/>
      <c r="DP6" s="22"/>
      <c r="DQ6" s="171"/>
      <c r="DR6" s="36" t="str">
        <f ca="1">IF(DS1&lt;&gt;"","パン箱","")</f>
        <v/>
      </c>
      <c r="DS6" s="34" t="str">
        <f ca="1">IF(DS1&lt;&gt;"",OFFSET(変更先抽出【15時】!$A$1,DQ1-1,22),"")</f>
        <v/>
      </c>
      <c r="DT6" s="36" t="str">
        <f ca="1">IF(DS1&lt;&gt;"","端数","")</f>
        <v/>
      </c>
      <c r="DU6" s="34"/>
      <c r="DV6" s="36" t="str">
        <f ca="1">IF(DS1&lt;&gt;"","アレルギー","")</f>
        <v/>
      </c>
      <c r="DW6" s="39"/>
      <c r="DX6" s="22"/>
      <c r="DY6" s="36" t="str">
        <f ca="1">IF(DZ1&lt;&gt;"","パン箱","")</f>
        <v/>
      </c>
      <c r="DZ6" s="34" t="str">
        <f ca="1">IF(DZ1&lt;&gt;"",OFFSET(変更先抽出【15時】!$A$1,DX1-1,22),"")</f>
        <v/>
      </c>
      <c r="EA6" s="36" t="str">
        <f ca="1">IF(DZ1&lt;&gt;"","端数","")</f>
        <v/>
      </c>
      <c r="EB6" s="34"/>
      <c r="EC6" s="36" t="str">
        <f ca="1">IF(DZ1&lt;&gt;"","アレルギー","")</f>
        <v/>
      </c>
      <c r="ED6" s="39"/>
      <c r="EE6" s="22"/>
      <c r="EF6" s="171"/>
      <c r="EG6" s="36" t="str">
        <f ca="1">IF(EH1&lt;&gt;"","パン箱","")</f>
        <v/>
      </c>
      <c r="EH6" s="34" t="str">
        <f ca="1">IF(EH1&lt;&gt;"",OFFSET(変更先抽出【15時】!$A$1,EF1-1,22),"")</f>
        <v/>
      </c>
      <c r="EI6" s="36" t="str">
        <f ca="1">IF(EH1&lt;&gt;"","端数","")</f>
        <v/>
      </c>
      <c r="EJ6" s="34"/>
      <c r="EK6" s="36" t="str">
        <f ca="1">IF(EH1&lt;&gt;"","アレルギー","")</f>
        <v/>
      </c>
      <c r="EL6" s="39"/>
      <c r="EM6" s="22"/>
      <c r="EN6" s="36" t="str">
        <f ca="1">IF(EO1&lt;&gt;"","パン箱","")</f>
        <v/>
      </c>
      <c r="EO6" s="34" t="str">
        <f ca="1">IF(EO1&lt;&gt;"",OFFSET(変更先抽出【15時】!$A$1,EM1-1,22),"")</f>
        <v/>
      </c>
      <c r="EP6" s="36" t="str">
        <f ca="1">IF(EO1&lt;&gt;"","端数","")</f>
        <v/>
      </c>
      <c r="EQ6" s="34"/>
      <c r="ER6" s="36" t="str">
        <f ca="1">IF(EO1&lt;&gt;"","アレルギー","")</f>
        <v/>
      </c>
      <c r="ES6" s="39"/>
      <c r="ET6" s="22"/>
    </row>
    <row r="7" spans="1:150" ht="27.6" customHeight="1">
      <c r="B7" s="157" t="str">
        <f ca="1">IF(C1&lt;&gt;"",IFERROR(INT(C4/C6),""),"")</f>
        <v/>
      </c>
      <c r="C7" s="150"/>
      <c r="D7" s="157" t="str">
        <f ca="1">IF(C1&lt;&gt;"",IFERROR(MOD(C4,C6),""),"")</f>
        <v/>
      </c>
      <c r="E7" s="150"/>
      <c r="F7" s="158" t="str">
        <f ca="1">IF(C1&lt;&gt;"",OFFSET(変更先抽出【15時】!$A$1,A1-1,21),"")</f>
        <v/>
      </c>
      <c r="G7" s="150"/>
      <c r="I7" s="157" t="str">
        <f ca="1">IF(J1&lt;&gt;"",IFERROR(INT(J4/J6),""),"")</f>
        <v/>
      </c>
      <c r="J7" s="150"/>
      <c r="K7" s="157" t="str">
        <f ca="1">IF(J1&lt;&gt;"",IFERROR(MOD(J4,J6),""),"")</f>
        <v/>
      </c>
      <c r="L7" s="150"/>
      <c r="M7" s="158" t="str">
        <f ca="1">IF(J1&lt;&gt;"",OFFSET(変更先抽出【15時】!$A$1,H1-1,21),"")</f>
        <v/>
      </c>
      <c r="N7" s="150"/>
      <c r="Q7" s="157" t="str">
        <f ca="1">IF(R1&lt;&gt;"",IFERROR(INT(R4/R6),""),"")</f>
        <v/>
      </c>
      <c r="R7" s="150"/>
      <c r="S7" s="157" t="str">
        <f ca="1">IF(R1&lt;&gt;"",IFERROR(MOD(R4,R6),""),"")</f>
        <v/>
      </c>
      <c r="T7" s="150"/>
      <c r="U7" s="158" t="str">
        <f ca="1">IF(R1&lt;&gt;"",OFFSET(変更先抽出【15時】!$A$1,P1-1,21),"")</f>
        <v/>
      </c>
      <c r="V7" s="150"/>
      <c r="X7" s="157" t="str">
        <f ca="1">IF(Y1&lt;&gt;"",IFERROR(INT(Y4/Y6),""),"")</f>
        <v/>
      </c>
      <c r="Y7" s="150"/>
      <c r="Z7" s="157" t="str">
        <f ca="1">IF(Y1&lt;&gt;"",IFERROR(MOD(Y4,Y6),""),"")</f>
        <v/>
      </c>
      <c r="AA7" s="150"/>
      <c r="AB7" s="158" t="str">
        <f ca="1">IF(Y1&lt;&gt;"",OFFSET(変更先抽出【15時】!$A$1,W1-1,21),"")</f>
        <v/>
      </c>
      <c r="AC7" s="150"/>
      <c r="AF7" s="157" t="str">
        <f ca="1">IF(AG1&lt;&gt;"",IFERROR(INT(AG4/AG6),""),"")</f>
        <v/>
      </c>
      <c r="AG7" s="150"/>
      <c r="AH7" s="157" t="str">
        <f ca="1">IF(AG1&lt;&gt;"",IFERROR(MOD(AG4,AG6),""),"")</f>
        <v/>
      </c>
      <c r="AI7" s="150"/>
      <c r="AJ7" s="158" t="str">
        <f ca="1">IF(AG1&lt;&gt;"",OFFSET(変更先抽出【15時】!$A$1,AE1-1,21),"")</f>
        <v/>
      </c>
      <c r="AK7" s="150"/>
      <c r="AM7" s="157" t="str">
        <f ca="1">IF(AN1&lt;&gt;"",IFERROR(INT(AN4/AN6),""),"")</f>
        <v/>
      </c>
      <c r="AN7" s="150"/>
      <c r="AO7" s="157" t="str">
        <f ca="1">IF(AN1&lt;&gt;"",IFERROR(MOD(AN4,AN6),""),"")</f>
        <v/>
      </c>
      <c r="AP7" s="150"/>
      <c r="AQ7" s="158" t="str">
        <f ca="1">IF(AN1&lt;&gt;"",OFFSET(変更先抽出【15時】!$A$1,AL1-1,21),"")</f>
        <v/>
      </c>
      <c r="AR7" s="150"/>
      <c r="AU7" s="157" t="str">
        <f ca="1">IF(AV1&lt;&gt;"",IFERROR(INT(AV4/AV6),""),"")</f>
        <v/>
      </c>
      <c r="AV7" s="150"/>
      <c r="AW7" s="157" t="str">
        <f ca="1">IF(AV1&lt;&gt;"",IFERROR(MOD(AV4,AV6),""),"")</f>
        <v/>
      </c>
      <c r="AX7" s="150"/>
      <c r="AY7" s="158" t="str">
        <f ca="1">IF(AV1&lt;&gt;"",OFFSET(変更先抽出【15時】!$A$1,AT1-1,21),"")</f>
        <v/>
      </c>
      <c r="AZ7" s="150"/>
      <c r="BB7" s="157" t="str">
        <f ca="1">IF(BC1&lt;&gt;"",IFERROR(INT(BC4/BC6),""),"")</f>
        <v/>
      </c>
      <c r="BC7" s="150"/>
      <c r="BD7" s="157" t="str">
        <f ca="1">IF(BC1&lt;&gt;"",IFERROR(MOD(BC4,BC6),""),"")</f>
        <v/>
      </c>
      <c r="BE7" s="150"/>
      <c r="BF7" s="158" t="str">
        <f ca="1">IF(BC1&lt;&gt;"",OFFSET(変更先抽出【15時】!$A$1,BA1-1,21),"")</f>
        <v/>
      </c>
      <c r="BG7" s="150"/>
      <c r="BJ7" s="157" t="str">
        <f ca="1">IF(BK1&lt;&gt;"",IFERROR(INT(BK4/BK6),""),"")</f>
        <v/>
      </c>
      <c r="BK7" s="150"/>
      <c r="BL7" s="157" t="str">
        <f ca="1">IF(BK1&lt;&gt;"",IFERROR(MOD(BK4,BK6),""),"")</f>
        <v/>
      </c>
      <c r="BM7" s="150"/>
      <c r="BN7" s="158" t="str">
        <f ca="1">IF(BK1&lt;&gt;"",OFFSET(変更先抽出【15時】!$A$1,BI1-1,21),"")</f>
        <v/>
      </c>
      <c r="BO7" s="150"/>
      <c r="BQ7" s="157" t="str">
        <f ca="1">IF(BR1&lt;&gt;"",IFERROR(INT(BR4/BR6),""),"")</f>
        <v/>
      </c>
      <c r="BR7" s="150"/>
      <c r="BS7" s="157" t="str">
        <f ca="1">IF(BR1&lt;&gt;"",IFERROR(MOD(BR4,BR6),""),"")</f>
        <v/>
      </c>
      <c r="BT7" s="150"/>
      <c r="BU7" s="158" t="str">
        <f ca="1">IF(BR1&lt;&gt;"",OFFSET(変更先抽出【15時】!$A$1,BP1-1,21),"")</f>
        <v/>
      </c>
      <c r="BV7" s="150"/>
      <c r="BY7" s="157" t="str">
        <f ca="1">IF(BZ1&lt;&gt;"",IFERROR(INT(BZ4/BZ6),""),"")</f>
        <v/>
      </c>
      <c r="BZ7" s="150"/>
      <c r="CA7" s="157" t="str">
        <f ca="1">IF(BZ1&lt;&gt;"",IFERROR(MOD(BZ4,BZ6),""),"")</f>
        <v/>
      </c>
      <c r="CB7" s="150"/>
      <c r="CC7" s="158" t="str">
        <f ca="1">IF(BZ1&lt;&gt;"",OFFSET(変更先抽出【15時】!$A$1,BX1-1,21),"")</f>
        <v/>
      </c>
      <c r="CD7" s="150"/>
      <c r="CF7" s="157" t="str">
        <f ca="1">IF(CG1&lt;&gt;"",IFERROR(INT(CG4/CG6),""),"")</f>
        <v/>
      </c>
      <c r="CG7" s="150"/>
      <c r="CH7" s="157" t="str">
        <f ca="1">IF(CG1&lt;&gt;"",IFERROR(MOD(CG4,CG6),""),"")</f>
        <v/>
      </c>
      <c r="CI7" s="150"/>
      <c r="CJ7" s="158" t="str">
        <f ca="1">IF(CG1&lt;&gt;"",OFFSET(変更先抽出【15時】!$A$1,CE1-1,21),"")</f>
        <v/>
      </c>
      <c r="CK7" s="150"/>
      <c r="CN7" s="157" t="str">
        <f ca="1">IF(CO1&lt;&gt;"",IFERROR(INT(CO4/CO6),""),"")</f>
        <v/>
      </c>
      <c r="CO7" s="150"/>
      <c r="CP7" s="157" t="str">
        <f ca="1">IF(CO1&lt;&gt;"",IFERROR(MOD(CO4,CO6),""),"")</f>
        <v/>
      </c>
      <c r="CQ7" s="150"/>
      <c r="CR7" s="158" t="str">
        <f ca="1">IF(CO1&lt;&gt;"",OFFSET(変更先抽出【15時】!$A$1,CM1-1,21),"")</f>
        <v/>
      </c>
      <c r="CS7" s="150"/>
      <c r="CU7" s="157" t="str">
        <f ca="1">IF(CV1&lt;&gt;"",IFERROR(INT(CV4/CV6),""),"")</f>
        <v/>
      </c>
      <c r="CV7" s="150"/>
      <c r="CW7" s="157" t="str">
        <f ca="1">IF(CV1&lt;&gt;"",IFERROR(MOD(CV4,CV6),""),"")</f>
        <v/>
      </c>
      <c r="CX7" s="150"/>
      <c r="CY7" s="158" t="str">
        <f ca="1">IF(CV1&lt;&gt;"",OFFSET(変更先抽出【15時】!$A$1,CT1-1,21),"")</f>
        <v/>
      </c>
      <c r="CZ7" s="150"/>
      <c r="DC7" s="157" t="str">
        <f ca="1">IF(DD1&lt;&gt;"",IFERROR(INT(DD4/DD6),""),"")</f>
        <v/>
      </c>
      <c r="DD7" s="150"/>
      <c r="DE7" s="157" t="str">
        <f ca="1">IF(DD1&lt;&gt;"",IFERROR(MOD(DD4,DD6),""),"")</f>
        <v/>
      </c>
      <c r="DF7" s="150"/>
      <c r="DG7" s="158" t="str">
        <f ca="1">IF(DD1&lt;&gt;"",OFFSET(変更先抽出【15時】!$A$1,DB1-1,21),"")</f>
        <v/>
      </c>
      <c r="DH7" s="150"/>
      <c r="DJ7" s="157" t="str">
        <f ca="1">IF(DK1&lt;&gt;"",IFERROR(INT(DK4/DK6),""),"")</f>
        <v/>
      </c>
      <c r="DK7" s="150"/>
      <c r="DL7" s="157" t="str">
        <f ca="1">IF(DK1&lt;&gt;"",IFERROR(MOD(DK4,DK6),""),"")</f>
        <v/>
      </c>
      <c r="DM7" s="150"/>
      <c r="DN7" s="158" t="str">
        <f ca="1">IF(DK1&lt;&gt;"",OFFSET(変更先抽出【15時】!$A$1,DI1-1,21),"")</f>
        <v/>
      </c>
      <c r="DO7" s="150"/>
      <c r="DR7" s="157" t="str">
        <f ca="1">IF(DS1&lt;&gt;"",IFERROR(INT(DS4/DS6),""),"")</f>
        <v/>
      </c>
      <c r="DS7" s="150"/>
      <c r="DT7" s="157" t="str">
        <f ca="1">IF(DS1&lt;&gt;"",IFERROR(MOD(DS4,DS6),""),"")</f>
        <v/>
      </c>
      <c r="DU7" s="150"/>
      <c r="DV7" s="158" t="str">
        <f ca="1">IF(DS1&lt;&gt;"",OFFSET(変更先抽出【15時】!$A$1,DQ1-1,21),"")</f>
        <v/>
      </c>
      <c r="DW7" s="150"/>
      <c r="DY7" s="157" t="str">
        <f ca="1">IF(DZ1&lt;&gt;"",IFERROR(INT(DZ4/DZ6),""),"")</f>
        <v/>
      </c>
      <c r="DZ7" s="150"/>
      <c r="EA7" s="157" t="str">
        <f ca="1">IF(DZ1&lt;&gt;"",IFERROR(MOD(DZ4,DZ6),""),"")</f>
        <v/>
      </c>
      <c r="EB7" s="150"/>
      <c r="EC7" s="158" t="str">
        <f ca="1">IF(DZ1&lt;&gt;"",OFFSET(変更先抽出【15時】!$A$1,DX1-1,21),"")</f>
        <v/>
      </c>
      <c r="ED7" s="150"/>
      <c r="EG7" s="157" t="str">
        <f ca="1">IF(EH1&lt;&gt;"",IFERROR(INT(EH4/EH6),""),"")</f>
        <v/>
      </c>
      <c r="EH7" s="150"/>
      <c r="EI7" s="157" t="str">
        <f ca="1">IF(EH1&lt;&gt;"",IFERROR(MOD(EH4,EH6),""),"")</f>
        <v/>
      </c>
      <c r="EJ7" s="150"/>
      <c r="EK7" s="158" t="str">
        <f ca="1">IF(EH1&lt;&gt;"",OFFSET(変更先抽出【15時】!$A$1,EF1-1,21),"")</f>
        <v/>
      </c>
      <c r="EL7" s="150"/>
      <c r="EN7" s="157" t="str">
        <f ca="1">IF(EO1&lt;&gt;"",IFERROR(INT(EO4/EO6),""),"")</f>
        <v/>
      </c>
      <c r="EO7" s="150"/>
      <c r="EP7" s="157" t="str">
        <f ca="1">IF(EO1&lt;&gt;"",IFERROR(MOD(EO4,EO6),""),"")</f>
        <v/>
      </c>
      <c r="EQ7" s="150"/>
      <c r="ER7" s="158" t="str">
        <f ca="1">IF(EO1&lt;&gt;"",OFFSET(変更先抽出【15時】!$A$1,EM1-1,21),"")</f>
        <v/>
      </c>
      <c r="ES7" s="150"/>
    </row>
    <row r="8" spans="1:150" ht="6.6" customHeight="1">
      <c r="B8" s="44"/>
      <c r="D8" s="44"/>
      <c r="F8" s="45"/>
      <c r="I8" s="44"/>
      <c r="K8" s="44"/>
      <c r="M8" s="45"/>
      <c r="Q8" s="44"/>
      <c r="S8" s="44"/>
      <c r="U8" s="45"/>
      <c r="X8" s="44"/>
      <c r="Z8" s="44"/>
      <c r="AB8" s="45"/>
      <c r="AF8" s="44"/>
      <c r="AH8" s="44"/>
      <c r="AJ8" s="45"/>
      <c r="AM8" s="44"/>
      <c r="AO8" s="44"/>
      <c r="AQ8" s="45"/>
      <c r="AU8" s="44"/>
      <c r="AW8" s="44"/>
      <c r="AY8" s="45"/>
      <c r="BB8" s="44"/>
      <c r="BD8" s="44"/>
      <c r="BF8" s="45"/>
      <c r="BJ8" s="44"/>
      <c r="BL8" s="44"/>
      <c r="BN8" s="45"/>
      <c r="BQ8" s="44"/>
      <c r="BS8" s="44"/>
      <c r="BU8" s="45"/>
      <c r="BY8" s="44"/>
      <c r="CA8" s="44"/>
      <c r="CC8" s="45"/>
      <c r="CF8" s="44"/>
      <c r="CH8" s="44"/>
      <c r="CJ8" s="45"/>
      <c r="CN8" s="44"/>
      <c r="CP8" s="44"/>
      <c r="CR8" s="45"/>
      <c r="CU8" s="44"/>
      <c r="CW8" s="44"/>
      <c r="CY8" s="45"/>
      <c r="DC8" s="44"/>
      <c r="DE8" s="44"/>
      <c r="DG8" s="45"/>
      <c r="DJ8" s="44"/>
      <c r="DL8" s="44"/>
      <c r="DN8" s="45"/>
      <c r="DR8" s="44"/>
      <c r="DT8" s="44"/>
      <c r="DV8" s="45"/>
      <c r="DY8" s="44"/>
      <c r="EA8" s="44"/>
      <c r="EC8" s="45"/>
      <c r="EG8" s="44"/>
      <c r="EI8" s="44"/>
      <c r="EK8" s="45"/>
      <c r="EN8" s="44"/>
      <c r="EP8" s="44"/>
      <c r="ER8" s="45"/>
    </row>
    <row r="9" spans="1:150" s="32" customFormat="1" ht="25.8" customHeight="1">
      <c r="A9" s="171">
        <f>H1+1</f>
        <v>3</v>
      </c>
      <c r="B9" s="42" t="str">
        <f ca="1">IF(C9&lt;&gt;"",
MID(貼り付け用!$A$2, FIND("年",貼り付け用!$A$2)+1,2)&amp;"/"&amp;MID(貼り付け用!$A$2, FIND("月",貼り付け用!$A$2)+1,2),"")</f>
        <v/>
      </c>
      <c r="C9" s="155" t="str">
        <f ca="1">IF(OFFSET(変更先抽出【15時】!$A$1,A9-1,16)&lt;&gt;"",OFFSET(変更先抽出【15時】!$A$1,A9-1,17),"")</f>
        <v/>
      </c>
      <c r="D9" s="156"/>
      <c r="E9" s="156"/>
      <c r="F9" s="156"/>
      <c r="G9" s="41" t="str">
        <f ca="1">IF(C9&lt;&gt;"","様","")</f>
        <v/>
      </c>
      <c r="H9" s="35">
        <f>A9+1</f>
        <v>4</v>
      </c>
      <c r="I9" s="42" t="str">
        <f ca="1">IF(J9&lt;&gt;"",
MID(貼り付け用!$A$2, FIND("年",貼り付け用!$A$2)+1,2)&amp;"/"&amp;MID(貼り付け用!$A$2, FIND("月",貼り付け用!$A$2)+1,2),"")</f>
        <v/>
      </c>
      <c r="J9" s="155" t="str">
        <f ca="1">IF(OFFSET(変更先抽出【15時】!$A$1,H9-1,16)&lt;&gt;"",OFFSET(変更先抽出【15時】!$A$1,H9-1,17),"")</f>
        <v/>
      </c>
      <c r="K9" s="156"/>
      <c r="L9" s="156"/>
      <c r="M9" s="156"/>
      <c r="N9" s="41" t="str">
        <f ca="1">IF(J9&lt;&gt;"","様","")</f>
        <v/>
      </c>
      <c r="O9" s="22"/>
      <c r="P9" s="171">
        <f>W1+1</f>
        <v>15</v>
      </c>
      <c r="Q9" s="42" t="str">
        <f ca="1">IF(R9&lt;&gt;"",
MID(貼り付け用!$A$2, FIND("年",貼り付け用!$A$2)+1,2)&amp;"/"&amp;MID(貼り付け用!$A$2, FIND("月",貼り付け用!$A$2)+1,2),"")</f>
        <v/>
      </c>
      <c r="R9" s="155" t="str">
        <f ca="1">IF(OFFSET(変更先抽出【15時】!$A$1,P9-1,16)&lt;&gt;"",OFFSET(変更先抽出【15時】!$A$1,P9-1,17),"")</f>
        <v/>
      </c>
      <c r="S9" s="156"/>
      <c r="T9" s="156"/>
      <c r="U9" s="156"/>
      <c r="V9" s="41" t="str">
        <f ca="1">IF(R9&lt;&gt;"","様","")</f>
        <v/>
      </c>
      <c r="W9" s="35">
        <f>P9+1</f>
        <v>16</v>
      </c>
      <c r="X9" s="42" t="str">
        <f ca="1">IF(Y9&lt;&gt;"",
MID(貼り付け用!$A$2, FIND("年",貼り付け用!$A$2)+1,2)&amp;"/"&amp;MID(貼り付け用!$A$2, FIND("月",貼り付け用!$A$2)+1,2),"")</f>
        <v/>
      </c>
      <c r="Y9" s="155" t="str">
        <f ca="1">IF(OFFSET(変更先抽出【15時】!$A$1,W9-1,16)&lt;&gt;"",OFFSET(変更先抽出【15時】!$A$1,W9-1,17),"")</f>
        <v/>
      </c>
      <c r="Z9" s="156"/>
      <c r="AA9" s="156"/>
      <c r="AB9" s="156"/>
      <c r="AC9" s="41" t="str">
        <f ca="1">IF(Y9&lt;&gt;"","様","")</f>
        <v/>
      </c>
      <c r="AD9" s="22"/>
      <c r="AE9" s="171">
        <f>AL1+1</f>
        <v>27</v>
      </c>
      <c r="AF9" s="42" t="str">
        <f ca="1">IF(AG9&lt;&gt;"",
MID(貼り付け用!$A$2, FIND("年",貼り付け用!$A$2)+1,2)&amp;"/"&amp;MID(貼り付け用!$A$2, FIND("月",貼り付け用!$A$2)+1,2),"")</f>
        <v/>
      </c>
      <c r="AG9" s="155" t="str">
        <f ca="1">IF(OFFSET(変更先抽出【15時】!$A$1,AE9-1,16)&lt;&gt;"",OFFSET(変更先抽出【15時】!$A$1,AE9-1,17),"")</f>
        <v/>
      </c>
      <c r="AH9" s="156"/>
      <c r="AI9" s="156"/>
      <c r="AJ9" s="156"/>
      <c r="AK9" s="41" t="str">
        <f ca="1">IF(AG9&lt;&gt;"","様","")</f>
        <v/>
      </c>
      <c r="AL9" s="35">
        <f>AE9+1</f>
        <v>28</v>
      </c>
      <c r="AM9" s="42" t="str">
        <f ca="1">IF(AN9&lt;&gt;"",
MID(貼り付け用!$A$2, FIND("年",貼り付け用!$A$2)+1,2)&amp;"/"&amp;MID(貼り付け用!$A$2, FIND("月",貼り付け用!$A$2)+1,2),"")</f>
        <v/>
      </c>
      <c r="AN9" s="155" t="str">
        <f ca="1">IF(OFFSET(変更先抽出【15時】!$A$1,AL9-1,16)&lt;&gt;"",OFFSET(変更先抽出【15時】!$A$1,AL9-1,17),"")</f>
        <v/>
      </c>
      <c r="AO9" s="156"/>
      <c r="AP9" s="156"/>
      <c r="AQ9" s="156"/>
      <c r="AR9" s="41" t="str">
        <f ca="1">IF(AN9&lt;&gt;"","様","")</f>
        <v/>
      </c>
      <c r="AS9" s="22"/>
      <c r="AT9" s="171">
        <f>BA1+1</f>
        <v>39</v>
      </c>
      <c r="AU9" s="42" t="str">
        <f ca="1">IF(AV9&lt;&gt;"",
MID(貼り付け用!$A$2, FIND("年",貼り付け用!$A$2)+1,2)&amp;"/"&amp;MID(貼り付け用!$A$2, FIND("月",貼り付け用!$A$2)+1,2),"")</f>
        <v/>
      </c>
      <c r="AV9" s="155" t="str">
        <f ca="1">IF(OFFSET(変更先抽出【15時】!$A$1,AT9-1,16)&lt;&gt;"",OFFSET(変更先抽出【15時】!$A$1,AT9-1,17),"")</f>
        <v/>
      </c>
      <c r="AW9" s="156"/>
      <c r="AX9" s="156"/>
      <c r="AY9" s="156"/>
      <c r="AZ9" s="41" t="str">
        <f ca="1">IF(AV9&lt;&gt;"","様","")</f>
        <v/>
      </c>
      <c r="BA9" s="35">
        <f>AT9+1</f>
        <v>40</v>
      </c>
      <c r="BB9" s="42" t="str">
        <f ca="1">IF(BC9&lt;&gt;"",
MID(貼り付け用!$A$2, FIND("年",貼り付け用!$A$2)+1,2)&amp;"/"&amp;MID(貼り付け用!$A$2, FIND("月",貼り付け用!$A$2)+1,2),"")</f>
        <v/>
      </c>
      <c r="BC9" s="155" t="str">
        <f ca="1">IF(OFFSET(変更先抽出【15時】!$A$1,BA9-1,16)&lt;&gt;"",OFFSET(変更先抽出【15時】!$A$1,BA9-1,17),"")</f>
        <v/>
      </c>
      <c r="BD9" s="156"/>
      <c r="BE9" s="156"/>
      <c r="BF9" s="156"/>
      <c r="BG9" s="41" t="str">
        <f ca="1">IF(BC9&lt;&gt;"","様","")</f>
        <v/>
      </c>
      <c r="BH9" s="22"/>
      <c r="BI9" s="171">
        <f>BP1+1</f>
        <v>51</v>
      </c>
      <c r="BJ9" s="42" t="str">
        <f ca="1">IF(BK9&lt;&gt;"",
MID(貼り付け用!$A$2, FIND("年",貼り付け用!$A$2)+1,2)&amp;"/"&amp;MID(貼り付け用!$A$2, FIND("月",貼り付け用!$A$2)+1,2),"")</f>
        <v/>
      </c>
      <c r="BK9" s="155" t="str">
        <f ca="1">IF(OFFSET(変更先抽出【15時】!$A$1,BI9-1,16)&lt;&gt;"",OFFSET(変更先抽出【15時】!$A$1,BI9-1,17),"")</f>
        <v/>
      </c>
      <c r="BL9" s="156"/>
      <c r="BM9" s="156"/>
      <c r="BN9" s="156"/>
      <c r="BO9" s="41" t="str">
        <f ca="1">IF(BK9&lt;&gt;"","様","")</f>
        <v/>
      </c>
      <c r="BP9" s="35">
        <f>BI9+1</f>
        <v>52</v>
      </c>
      <c r="BQ9" s="42" t="str">
        <f ca="1">IF(BR9&lt;&gt;"",
MID(貼り付け用!$A$2, FIND("年",貼り付け用!$A$2)+1,2)&amp;"/"&amp;MID(貼り付け用!$A$2, FIND("月",貼り付け用!$A$2)+1,2),"")</f>
        <v/>
      </c>
      <c r="BR9" s="155" t="str">
        <f ca="1">IF(OFFSET(変更先抽出【15時】!$A$1,BP9-1,16)&lt;&gt;"",OFFSET(変更先抽出【15時】!$A$1,BP9-1,17),"")</f>
        <v/>
      </c>
      <c r="BS9" s="156"/>
      <c r="BT9" s="156"/>
      <c r="BU9" s="156"/>
      <c r="BV9" s="41" t="str">
        <f ca="1">IF(BR9&lt;&gt;"","様","")</f>
        <v/>
      </c>
      <c r="BW9" s="22"/>
      <c r="BX9" s="171">
        <f>CE1+1</f>
        <v>63</v>
      </c>
      <c r="BY9" s="42" t="str">
        <f ca="1">IF(BZ9&lt;&gt;"",
MID(貼り付け用!$A$2, FIND("年",貼り付け用!$A$2)+1,2)&amp;"/"&amp;MID(貼り付け用!$A$2, FIND("月",貼り付け用!$A$2)+1,2),"")</f>
        <v/>
      </c>
      <c r="BZ9" s="155" t="str">
        <f ca="1">IF(OFFSET(変更先抽出【15時】!$A$1,BX9-1,16)&lt;&gt;"",OFFSET(変更先抽出【15時】!$A$1,BX9-1,17),"")</f>
        <v/>
      </c>
      <c r="CA9" s="156"/>
      <c r="CB9" s="156"/>
      <c r="CC9" s="156"/>
      <c r="CD9" s="41" t="str">
        <f ca="1">IF(BZ9&lt;&gt;"","様","")</f>
        <v/>
      </c>
      <c r="CE9" s="35">
        <f>BX9+1</f>
        <v>64</v>
      </c>
      <c r="CF9" s="42" t="str">
        <f ca="1">IF(CG9&lt;&gt;"",
MID(貼り付け用!$A$2, FIND("年",貼り付け用!$A$2)+1,2)&amp;"/"&amp;MID(貼り付け用!$A$2, FIND("月",貼り付け用!$A$2)+1,2),"")</f>
        <v/>
      </c>
      <c r="CG9" s="155" t="str">
        <f ca="1">IF(OFFSET(変更先抽出【15時】!$A$1,CE9-1,16)&lt;&gt;"",OFFSET(変更先抽出【15時】!$A$1,CE9-1,17),"")</f>
        <v/>
      </c>
      <c r="CH9" s="156"/>
      <c r="CI9" s="156"/>
      <c r="CJ9" s="156"/>
      <c r="CK9" s="41" t="str">
        <f ca="1">IF(CG9&lt;&gt;"","様","")</f>
        <v/>
      </c>
      <c r="CL9" s="22"/>
      <c r="CM9" s="171">
        <f>CT1+1</f>
        <v>75</v>
      </c>
      <c r="CN9" s="42" t="str">
        <f ca="1">IF(CO9&lt;&gt;"",
MID(貼り付け用!$A$2, FIND("年",貼り付け用!$A$2)+1,2)&amp;"/"&amp;MID(貼り付け用!$A$2, FIND("月",貼り付け用!$A$2)+1,2),"")</f>
        <v/>
      </c>
      <c r="CO9" s="155" t="str">
        <f ca="1">IF(OFFSET(変更先抽出【15時】!$A$1,CM9-1,16)&lt;&gt;"",OFFSET(変更先抽出【15時】!$A$1,CM9-1,17),"")</f>
        <v/>
      </c>
      <c r="CP9" s="156"/>
      <c r="CQ9" s="156"/>
      <c r="CR9" s="156"/>
      <c r="CS9" s="41" t="str">
        <f ca="1">IF(CO9&lt;&gt;"","様","")</f>
        <v/>
      </c>
      <c r="CT9" s="35">
        <f>CM9+1</f>
        <v>76</v>
      </c>
      <c r="CU9" s="42" t="str">
        <f ca="1">IF(CV9&lt;&gt;"",
MID(貼り付け用!$A$2, FIND("年",貼り付け用!$A$2)+1,2)&amp;"/"&amp;MID(貼り付け用!$A$2, FIND("月",貼り付け用!$A$2)+1,2),"")</f>
        <v/>
      </c>
      <c r="CV9" s="155" t="str">
        <f ca="1">IF(OFFSET(変更先抽出【15時】!$A$1,CT9-1,16)&lt;&gt;"",OFFSET(変更先抽出【15時】!$A$1,CT9-1,17),"")</f>
        <v/>
      </c>
      <c r="CW9" s="156"/>
      <c r="CX9" s="156"/>
      <c r="CY9" s="156"/>
      <c r="CZ9" s="41" t="str">
        <f ca="1">IF(CV9&lt;&gt;"","様","")</f>
        <v/>
      </c>
      <c r="DA9" s="22"/>
      <c r="DB9" s="171">
        <f>DI1+1</f>
        <v>87</v>
      </c>
      <c r="DC9" s="42" t="str">
        <f ca="1">IF(DD9&lt;&gt;"",
MID(貼り付け用!$A$2, FIND("年",貼り付け用!$A$2)+1,2)&amp;"/"&amp;MID(貼り付け用!$A$2, FIND("月",貼り付け用!$A$2)+1,2),"")</f>
        <v/>
      </c>
      <c r="DD9" s="155" t="str">
        <f ca="1">IF(OFFSET(変更先抽出【15時】!$A$1,DB9-1,16)&lt;&gt;"",OFFSET(変更先抽出【15時】!$A$1,DB9-1,17),"")</f>
        <v/>
      </c>
      <c r="DE9" s="156"/>
      <c r="DF9" s="156"/>
      <c r="DG9" s="156"/>
      <c r="DH9" s="41" t="str">
        <f ca="1">IF(DD9&lt;&gt;"","様","")</f>
        <v/>
      </c>
      <c r="DI9" s="35">
        <f>DB9+1</f>
        <v>88</v>
      </c>
      <c r="DJ9" s="42" t="str">
        <f ca="1">IF(DK9&lt;&gt;"",
MID(貼り付け用!$A$2, FIND("年",貼り付け用!$A$2)+1,2)&amp;"/"&amp;MID(貼り付け用!$A$2, FIND("月",貼り付け用!$A$2)+1,2),"")</f>
        <v/>
      </c>
      <c r="DK9" s="155" t="str">
        <f ca="1">IF(OFFSET(変更先抽出【15時】!$A$1,DI9-1,16)&lt;&gt;"",OFFSET(変更先抽出【15時】!$A$1,DI9-1,17),"")</f>
        <v/>
      </c>
      <c r="DL9" s="156"/>
      <c r="DM9" s="156"/>
      <c r="DN9" s="156"/>
      <c r="DO9" s="41" t="str">
        <f ca="1">IF(DK9&lt;&gt;"","様","")</f>
        <v/>
      </c>
      <c r="DP9" s="22"/>
      <c r="DQ9" s="171">
        <f>DX1+1</f>
        <v>99</v>
      </c>
      <c r="DR9" s="42" t="str">
        <f ca="1">IF(DS9&lt;&gt;"",
MID(貼り付け用!$A$2, FIND("年",貼り付け用!$A$2)+1,2)&amp;"/"&amp;MID(貼り付け用!$A$2, FIND("月",貼り付け用!$A$2)+1,2),"")</f>
        <v/>
      </c>
      <c r="DS9" s="155" t="str">
        <f ca="1">IF(OFFSET(変更先抽出【15時】!$A$1,DQ9-1,16)&lt;&gt;"",OFFSET(変更先抽出【15時】!$A$1,DQ9-1,17),"")</f>
        <v/>
      </c>
      <c r="DT9" s="156"/>
      <c r="DU9" s="156"/>
      <c r="DV9" s="156"/>
      <c r="DW9" s="41" t="str">
        <f ca="1">IF(DS9&lt;&gt;"","様","")</f>
        <v/>
      </c>
      <c r="DX9" s="35">
        <f>DQ9+1</f>
        <v>100</v>
      </c>
      <c r="DY9" s="42" t="str">
        <f ca="1">IF(DZ9&lt;&gt;"",
MID(貼り付け用!$A$2, FIND("年",貼り付け用!$A$2)+1,2)&amp;"/"&amp;MID(貼り付け用!$A$2, FIND("月",貼り付け用!$A$2)+1,2),"")</f>
        <v/>
      </c>
      <c r="DZ9" s="155" t="str">
        <f ca="1">IF(OFFSET(変更先抽出【15時】!$A$1,DX9-1,16)&lt;&gt;"",OFFSET(変更先抽出【15時】!$A$1,DX9-1,17),"")</f>
        <v/>
      </c>
      <c r="EA9" s="156"/>
      <c r="EB9" s="156"/>
      <c r="EC9" s="156"/>
      <c r="ED9" s="41" t="str">
        <f ca="1">IF(DZ9&lt;&gt;"","様","")</f>
        <v/>
      </c>
      <c r="EE9" s="22"/>
      <c r="EF9" s="171">
        <f>EM1+1</f>
        <v>111</v>
      </c>
      <c r="EG9" s="42" t="str">
        <f ca="1">IF(EH9&lt;&gt;"",
MID(貼り付け用!$A$2, FIND("年",貼り付け用!$A$2)+1,2)&amp;"/"&amp;MID(貼り付け用!$A$2, FIND("月",貼り付け用!$A$2)+1,2),"")</f>
        <v/>
      </c>
      <c r="EH9" s="155" t="str">
        <f ca="1">IF(OFFSET(変更先抽出【15時】!$A$1,EF9-1,16)&lt;&gt;"",OFFSET(変更先抽出【15時】!$A$1,EF9-1,17),"")</f>
        <v/>
      </c>
      <c r="EI9" s="156"/>
      <c r="EJ9" s="156"/>
      <c r="EK9" s="156"/>
      <c r="EL9" s="41" t="str">
        <f ca="1">IF(EH9&lt;&gt;"","様","")</f>
        <v/>
      </c>
      <c r="EM9" s="35">
        <f>EF9+1</f>
        <v>112</v>
      </c>
      <c r="EN9" s="42" t="str">
        <f ca="1">IF(EO9&lt;&gt;"",
MID(貼り付け用!$A$2, FIND("年",貼り付け用!$A$2)+1,2)&amp;"/"&amp;MID(貼り付け用!$A$2, FIND("月",貼り付け用!$A$2)+1,2),"")</f>
        <v/>
      </c>
      <c r="EO9" s="155" t="str">
        <f ca="1">IF(OFFSET(変更先抽出【15時】!$A$1,EM9-1,16)&lt;&gt;"",OFFSET(変更先抽出【15時】!$A$1,EM9-1,17),"")</f>
        <v/>
      </c>
      <c r="EP9" s="156"/>
      <c r="EQ9" s="156"/>
      <c r="ER9" s="156"/>
      <c r="ES9" s="41" t="str">
        <f ca="1">IF(EO9&lt;&gt;"","様","")</f>
        <v/>
      </c>
      <c r="ET9" s="22"/>
    </row>
    <row r="10" spans="1:150" s="32" customFormat="1">
      <c r="A10" s="171"/>
      <c r="B10" s="109"/>
      <c r="C10" s="170" t="str">
        <f ca="1">IF(C9&lt;&gt;"",OFFSET(変更先抽出【15時】!$A$1,A9-1,18),"")</f>
        <v/>
      </c>
      <c r="D10" s="40"/>
      <c r="E10" s="40"/>
      <c r="F10" s="46" t="str">
        <f ca="1">IF(OFFSET(変更先抽出【15時】!$A$1,A9-1,25)&lt;&gt;"",OFFSET(変更先抽出【15時】!$A$1,A9-1,25)&amp;"箱"&amp;OFFSET(変更先抽出【15時】!$A$1,A9-1,26),"")</f>
        <v/>
      </c>
      <c r="G10" s="38"/>
      <c r="H10" s="47"/>
      <c r="I10" s="109"/>
      <c r="J10" s="170" t="str">
        <f ca="1">IF(J9&lt;&gt;"",OFFSET(変更先抽出【15時】!$A$1,H9-1,18),"")</f>
        <v/>
      </c>
      <c r="K10" s="40"/>
      <c r="L10" s="40"/>
      <c r="M10" s="46" t="str">
        <f ca="1">IF(OFFSET(変更先抽出【15時】!$A$1,H9-1,25)&lt;&gt;"",OFFSET(変更先抽出【15時】!$A$1,H9-1,25)&amp;"箱"&amp;OFFSET(変更先抽出【15時】!$A$1,H9-1,26),"")</f>
        <v/>
      </c>
      <c r="N10" s="38"/>
      <c r="O10" s="22"/>
      <c r="P10" s="171"/>
      <c r="Q10" s="109"/>
      <c r="R10" s="170" t="str">
        <f ca="1">IF(R9&lt;&gt;"",OFFSET(変更先抽出【15時】!$A$1,P9-1,18),"")</f>
        <v/>
      </c>
      <c r="S10" s="40"/>
      <c r="T10" s="40"/>
      <c r="U10" s="46" t="str">
        <f ca="1">IF(OFFSET(変更先抽出【15時】!$A$1,P9-1,25)&lt;&gt;"",OFFSET(変更先抽出【15時】!$A$1,P9-1,25)&amp;"箱"&amp;OFFSET(変更先抽出【15時】!$A$1,P9-1,26),"")</f>
        <v/>
      </c>
      <c r="V10" s="38"/>
      <c r="W10" s="47"/>
      <c r="X10" s="109"/>
      <c r="Y10" s="170" t="str">
        <f ca="1">IF(Y9&lt;&gt;"",OFFSET(変更先抽出【15時】!$A$1,W9-1,18),"")</f>
        <v/>
      </c>
      <c r="Z10" s="40"/>
      <c r="AA10" s="40"/>
      <c r="AB10" s="46" t="str">
        <f ca="1">IF(OFFSET(変更先抽出【15時】!$A$1,W9-1,25)&lt;&gt;"",OFFSET(変更先抽出【15時】!$A$1,W9-1,25)&amp;"箱"&amp;OFFSET(変更先抽出【15時】!$A$1,W9-1,26),"")</f>
        <v/>
      </c>
      <c r="AC10" s="38"/>
      <c r="AD10" s="22"/>
      <c r="AE10" s="171"/>
      <c r="AF10" s="109"/>
      <c r="AG10" s="170" t="str">
        <f ca="1">IF(AG9&lt;&gt;"",OFFSET(変更先抽出【15時】!$A$1,AE9-1,18),"")</f>
        <v/>
      </c>
      <c r="AH10" s="40"/>
      <c r="AI10" s="40"/>
      <c r="AJ10" s="46" t="str">
        <f ca="1">IF(OFFSET(変更先抽出【15時】!$A$1,AE9-1,25)&lt;&gt;"",OFFSET(変更先抽出【15時】!$A$1,AE9-1,25)&amp;"箱"&amp;OFFSET(変更先抽出【15時】!$A$1,AE9-1,26),"")</f>
        <v/>
      </c>
      <c r="AK10" s="38"/>
      <c r="AL10" s="47"/>
      <c r="AM10" s="109"/>
      <c r="AN10" s="170" t="str">
        <f ca="1">IF(AN9&lt;&gt;"",OFFSET(変更先抽出【15時】!$A$1,AL9-1,18),"")</f>
        <v/>
      </c>
      <c r="AO10" s="40"/>
      <c r="AP10" s="40"/>
      <c r="AQ10" s="46" t="str">
        <f ca="1">IF(OFFSET(変更先抽出【15時】!$A$1,AL9-1,25)&lt;&gt;"",OFFSET(変更先抽出【15時】!$A$1,AL9-1,25)&amp;"箱"&amp;OFFSET(変更先抽出【15時】!$A$1,AL9-1,26),"")</f>
        <v/>
      </c>
      <c r="AR10" s="38"/>
      <c r="AS10" s="22"/>
      <c r="AT10" s="171"/>
      <c r="AU10" s="109"/>
      <c r="AV10" s="170" t="str">
        <f ca="1">IF(AV9&lt;&gt;"",OFFSET(変更先抽出【15時】!$A$1,AT9-1,18),"")</f>
        <v/>
      </c>
      <c r="AW10" s="40"/>
      <c r="AX10" s="40"/>
      <c r="AY10" s="46" t="str">
        <f ca="1">IF(OFFSET(変更先抽出【15時】!$A$1,AT9-1,25)&lt;&gt;"",OFFSET(変更先抽出【15時】!$A$1,AT9-1,25)&amp;"箱"&amp;OFFSET(変更先抽出【15時】!$A$1,AT9-1,26),"")</f>
        <v/>
      </c>
      <c r="AZ10" s="38"/>
      <c r="BA10" s="47"/>
      <c r="BB10" s="109"/>
      <c r="BC10" s="170" t="str">
        <f ca="1">IF(BC9&lt;&gt;"",OFFSET(変更先抽出【15時】!$A$1,BA9-1,18),"")</f>
        <v/>
      </c>
      <c r="BD10" s="40"/>
      <c r="BE10" s="40"/>
      <c r="BF10" s="46" t="str">
        <f ca="1">IF(OFFSET(変更先抽出【15時】!$A$1,BA9-1,25)&lt;&gt;"",OFFSET(変更先抽出【15時】!$A$1,BA9-1,25)&amp;"箱"&amp;OFFSET(変更先抽出【15時】!$A$1,BA9-1,26),"")</f>
        <v/>
      </c>
      <c r="BG10" s="38"/>
      <c r="BH10" s="22"/>
      <c r="BI10" s="171"/>
      <c r="BJ10" s="109"/>
      <c r="BK10" s="170" t="str">
        <f ca="1">IF(BK9&lt;&gt;"",OFFSET(変更先抽出【15時】!$A$1,BI9-1,18),"")</f>
        <v/>
      </c>
      <c r="BL10" s="40"/>
      <c r="BM10" s="40"/>
      <c r="BN10" s="46" t="str">
        <f ca="1">IF(OFFSET(変更先抽出【15時】!$A$1,BI9-1,25)&lt;&gt;"",OFFSET(変更先抽出【15時】!$A$1,BI9-1,25)&amp;"箱"&amp;OFFSET(変更先抽出【15時】!$A$1,BI9-1,26),"")</f>
        <v/>
      </c>
      <c r="BO10" s="38"/>
      <c r="BP10" s="47"/>
      <c r="BQ10" s="109"/>
      <c r="BR10" s="170" t="str">
        <f ca="1">IF(BR9&lt;&gt;"",OFFSET(変更先抽出【15時】!$A$1,BP9-1,18),"")</f>
        <v/>
      </c>
      <c r="BS10" s="40"/>
      <c r="BT10" s="40"/>
      <c r="BU10" s="46" t="str">
        <f ca="1">IF(OFFSET(変更先抽出【15時】!$A$1,BP9-1,25)&lt;&gt;"",OFFSET(変更先抽出【15時】!$A$1,BP9-1,25)&amp;"箱"&amp;OFFSET(変更先抽出【15時】!$A$1,BP9-1,26),"")</f>
        <v/>
      </c>
      <c r="BV10" s="38"/>
      <c r="BW10" s="22"/>
      <c r="BX10" s="171"/>
      <c r="BY10" s="109"/>
      <c r="BZ10" s="170" t="str">
        <f ca="1">IF(BZ9&lt;&gt;"",OFFSET(変更先抽出【15時】!$A$1,BX9-1,18),"")</f>
        <v/>
      </c>
      <c r="CA10" s="40"/>
      <c r="CB10" s="40"/>
      <c r="CC10" s="46" t="str">
        <f ca="1">IF(OFFSET(変更先抽出【15時】!$A$1,BX9-1,25)&lt;&gt;"",OFFSET(変更先抽出【15時】!$A$1,BX9-1,25)&amp;"箱"&amp;OFFSET(変更先抽出【15時】!$A$1,BX9-1,26),"")</f>
        <v/>
      </c>
      <c r="CD10" s="38"/>
      <c r="CE10" s="47"/>
      <c r="CF10" s="109"/>
      <c r="CG10" s="170" t="str">
        <f ca="1">IF(CG9&lt;&gt;"",OFFSET(変更先抽出【15時】!$A$1,CE9-1,18),"")</f>
        <v/>
      </c>
      <c r="CH10" s="40"/>
      <c r="CI10" s="40"/>
      <c r="CJ10" s="46" t="str">
        <f ca="1">IF(OFFSET(変更先抽出【15時】!$A$1,CE9-1,25)&lt;&gt;"",OFFSET(変更先抽出【15時】!$A$1,CE9-1,25)&amp;"箱"&amp;OFFSET(変更先抽出【15時】!$A$1,CE9-1,26),"")</f>
        <v/>
      </c>
      <c r="CK10" s="38"/>
      <c r="CL10" s="22"/>
      <c r="CM10" s="171"/>
      <c r="CN10" s="109"/>
      <c r="CO10" s="170" t="str">
        <f ca="1">IF(CO9&lt;&gt;"",OFFSET(変更先抽出【15時】!$A$1,CM9-1,18),"")</f>
        <v/>
      </c>
      <c r="CP10" s="40"/>
      <c r="CQ10" s="40"/>
      <c r="CR10" s="46" t="str">
        <f ca="1">IF(OFFSET(変更先抽出【15時】!$A$1,CM9-1,25)&lt;&gt;"",OFFSET(変更先抽出【15時】!$A$1,CM9-1,25)&amp;"箱"&amp;OFFSET(変更先抽出【15時】!$A$1,CM9-1,26),"")</f>
        <v/>
      </c>
      <c r="CS10" s="38"/>
      <c r="CT10" s="47"/>
      <c r="CU10" s="109"/>
      <c r="CV10" s="170" t="str">
        <f ca="1">IF(CV9&lt;&gt;"",OFFSET(変更先抽出【15時】!$A$1,CT9-1,18),"")</f>
        <v/>
      </c>
      <c r="CW10" s="40"/>
      <c r="CX10" s="40"/>
      <c r="CY10" s="46" t="str">
        <f ca="1">IF(OFFSET(変更先抽出【15時】!$A$1,CT9-1,25)&lt;&gt;"",OFFSET(変更先抽出【15時】!$A$1,CT9-1,25)&amp;"箱"&amp;OFFSET(変更先抽出【15時】!$A$1,CT9-1,26),"")</f>
        <v/>
      </c>
      <c r="CZ10" s="38"/>
      <c r="DA10" s="22"/>
      <c r="DB10" s="171"/>
      <c r="DC10" s="109"/>
      <c r="DD10" s="170" t="str">
        <f ca="1">IF(DD9&lt;&gt;"",OFFSET(変更先抽出【15時】!$A$1,DB9-1,18),"")</f>
        <v/>
      </c>
      <c r="DE10" s="40"/>
      <c r="DF10" s="40"/>
      <c r="DG10" s="46" t="str">
        <f ca="1">IF(OFFSET(変更先抽出【15時】!$A$1,DB9-1,25)&lt;&gt;"",OFFSET(変更先抽出【15時】!$A$1,DB9-1,25)&amp;"箱"&amp;OFFSET(変更先抽出【15時】!$A$1,DB9-1,26),"")</f>
        <v/>
      </c>
      <c r="DH10" s="38"/>
      <c r="DI10" s="47"/>
      <c r="DJ10" s="109"/>
      <c r="DK10" s="170" t="str">
        <f ca="1">IF(DK9&lt;&gt;"",OFFSET(変更先抽出【15時】!$A$1,DI9-1,18),"")</f>
        <v/>
      </c>
      <c r="DL10" s="40"/>
      <c r="DM10" s="40"/>
      <c r="DN10" s="46" t="str">
        <f ca="1">IF(OFFSET(変更先抽出【15時】!$A$1,DI9-1,25)&lt;&gt;"",OFFSET(変更先抽出【15時】!$A$1,DI9-1,25)&amp;"箱"&amp;OFFSET(変更先抽出【15時】!$A$1,DI9-1,26),"")</f>
        <v/>
      </c>
      <c r="DO10" s="38"/>
      <c r="DP10" s="22"/>
      <c r="DQ10" s="171"/>
      <c r="DR10" s="109"/>
      <c r="DS10" s="170" t="str">
        <f ca="1">IF(DS9&lt;&gt;"",OFFSET(変更先抽出【15時】!$A$1,DQ9-1,18),"")</f>
        <v/>
      </c>
      <c r="DT10" s="40"/>
      <c r="DU10" s="40"/>
      <c r="DV10" s="46" t="str">
        <f ca="1">IF(OFFSET(変更先抽出【15時】!$A$1,DQ9-1,25)&lt;&gt;"",OFFSET(変更先抽出【15時】!$A$1,DQ9-1,25)&amp;"箱"&amp;OFFSET(変更先抽出【15時】!$A$1,DQ9-1,26),"")</f>
        <v/>
      </c>
      <c r="DW10" s="38"/>
      <c r="DX10" s="47"/>
      <c r="DY10" s="109"/>
      <c r="DZ10" s="170" t="str">
        <f ca="1">IF(DZ9&lt;&gt;"",OFFSET(変更先抽出【15時】!$A$1,DX9-1,18),"")</f>
        <v/>
      </c>
      <c r="EA10" s="40"/>
      <c r="EB10" s="40"/>
      <c r="EC10" s="46" t="str">
        <f ca="1">IF(OFFSET(変更先抽出【15時】!$A$1,DX9-1,25)&lt;&gt;"",OFFSET(変更先抽出【15時】!$A$1,DX9-1,25)&amp;"箱"&amp;OFFSET(変更先抽出【15時】!$A$1,DX9-1,26),"")</f>
        <v/>
      </c>
      <c r="ED10" s="38"/>
      <c r="EE10" s="22"/>
      <c r="EF10" s="171"/>
      <c r="EG10" s="109"/>
      <c r="EH10" s="170" t="str">
        <f ca="1">IF(EH9&lt;&gt;"",OFFSET(変更先抽出【15時】!$A$1,EF9-1,18),"")</f>
        <v/>
      </c>
      <c r="EI10" s="40"/>
      <c r="EJ10" s="40"/>
      <c r="EK10" s="46" t="str">
        <f ca="1">IF(OFFSET(変更先抽出【15時】!$A$1,EF9-1,25)&lt;&gt;"",OFFSET(変更先抽出【15時】!$A$1,EF9-1,25)&amp;"箱"&amp;OFFSET(変更先抽出【15時】!$A$1,EF9-1,26),"")</f>
        <v/>
      </c>
      <c r="EL10" s="38"/>
      <c r="EM10" s="47"/>
      <c r="EN10" s="109"/>
      <c r="EO10" s="170" t="str">
        <f ca="1">IF(EO9&lt;&gt;"",OFFSET(変更先抽出【15時】!$A$1,EM9-1,18),"")</f>
        <v/>
      </c>
      <c r="EP10" s="40"/>
      <c r="EQ10" s="40"/>
      <c r="ER10" s="46" t="str">
        <f ca="1">IF(OFFSET(変更先抽出【15時】!$A$1,EM9-1,25)&lt;&gt;"",OFFSET(変更先抽出【15時】!$A$1,EM9-1,25)&amp;"箱"&amp;OFFSET(変更先抽出【15時】!$A$1,EM9-1,26),"")</f>
        <v/>
      </c>
      <c r="ES10" s="38"/>
      <c r="ET10" s="22"/>
    </row>
    <row r="11" spans="1:150" s="32" customFormat="1">
      <c r="A11" s="171"/>
      <c r="B11" s="33"/>
      <c r="C11" s="153" t="str">
        <f ca="1">IF(C9&lt;&gt;"","園児","")</f>
        <v/>
      </c>
      <c r="D11" s="154"/>
      <c r="E11" s="22"/>
      <c r="F11" s="168" t="str">
        <f ca="1">IF(C9&lt;&gt;"","先生","")</f>
        <v/>
      </c>
      <c r="G11" s="39"/>
      <c r="H11" s="35"/>
      <c r="I11" s="33"/>
      <c r="J11" s="153" t="str">
        <f ca="1">IF(J9&lt;&gt;"","園児","")</f>
        <v/>
      </c>
      <c r="K11" s="154"/>
      <c r="L11" s="22"/>
      <c r="M11" s="168" t="str">
        <f ca="1">IF(J9&lt;&gt;"","先生","")</f>
        <v/>
      </c>
      <c r="N11" s="39"/>
      <c r="O11" s="22"/>
      <c r="P11" s="171"/>
      <c r="Q11" s="33"/>
      <c r="R11" s="153" t="str">
        <f ca="1">IF(R9&lt;&gt;"","園児","")</f>
        <v/>
      </c>
      <c r="S11" s="154"/>
      <c r="T11" s="22"/>
      <c r="U11" s="168" t="str">
        <f ca="1">IF(R9&lt;&gt;"","先生","")</f>
        <v/>
      </c>
      <c r="V11" s="39"/>
      <c r="W11" s="35"/>
      <c r="X11" s="33"/>
      <c r="Y11" s="153" t="str">
        <f ca="1">IF(Y9&lt;&gt;"","園児","")</f>
        <v/>
      </c>
      <c r="Z11" s="154"/>
      <c r="AA11" s="22"/>
      <c r="AB11" s="168" t="str">
        <f ca="1">IF(Y9&lt;&gt;"","先生","")</f>
        <v/>
      </c>
      <c r="AC11" s="39"/>
      <c r="AD11" s="22"/>
      <c r="AE11" s="171"/>
      <c r="AF11" s="33"/>
      <c r="AG11" s="153" t="str">
        <f ca="1">IF(AG9&lt;&gt;"","園児","")</f>
        <v/>
      </c>
      <c r="AH11" s="154"/>
      <c r="AI11" s="22"/>
      <c r="AJ11" s="168" t="str">
        <f ca="1">IF(AG9&lt;&gt;"","先生","")</f>
        <v/>
      </c>
      <c r="AK11" s="39"/>
      <c r="AL11" s="35"/>
      <c r="AM11" s="33"/>
      <c r="AN11" s="153" t="str">
        <f ca="1">IF(AN9&lt;&gt;"","園児","")</f>
        <v/>
      </c>
      <c r="AO11" s="154"/>
      <c r="AP11" s="22"/>
      <c r="AQ11" s="168" t="str">
        <f ca="1">IF(AN9&lt;&gt;"","先生","")</f>
        <v/>
      </c>
      <c r="AR11" s="39"/>
      <c r="AS11" s="22"/>
      <c r="AT11" s="171"/>
      <c r="AU11" s="33"/>
      <c r="AV11" s="153" t="str">
        <f ca="1">IF(AV9&lt;&gt;"","園児","")</f>
        <v/>
      </c>
      <c r="AW11" s="154"/>
      <c r="AX11" s="22"/>
      <c r="AY11" s="168" t="str">
        <f ca="1">IF(AV9&lt;&gt;"","先生","")</f>
        <v/>
      </c>
      <c r="AZ11" s="39"/>
      <c r="BA11" s="35"/>
      <c r="BB11" s="33"/>
      <c r="BC11" s="153" t="str">
        <f ca="1">IF(BC9&lt;&gt;"","園児","")</f>
        <v/>
      </c>
      <c r="BD11" s="154"/>
      <c r="BE11" s="22"/>
      <c r="BF11" s="168" t="str">
        <f ca="1">IF(BC9&lt;&gt;"","先生","")</f>
        <v/>
      </c>
      <c r="BG11" s="39"/>
      <c r="BH11" s="22"/>
      <c r="BI11" s="171"/>
      <c r="BJ11" s="33"/>
      <c r="BK11" s="153" t="str">
        <f ca="1">IF(BK9&lt;&gt;"","園児","")</f>
        <v/>
      </c>
      <c r="BL11" s="154"/>
      <c r="BM11" s="22"/>
      <c r="BN11" s="168" t="str">
        <f ca="1">IF(BK9&lt;&gt;"","先生","")</f>
        <v/>
      </c>
      <c r="BO11" s="39"/>
      <c r="BP11" s="35"/>
      <c r="BQ11" s="33"/>
      <c r="BR11" s="153" t="str">
        <f ca="1">IF(BR9&lt;&gt;"","園児","")</f>
        <v/>
      </c>
      <c r="BS11" s="154"/>
      <c r="BT11" s="22"/>
      <c r="BU11" s="168" t="str">
        <f ca="1">IF(BR9&lt;&gt;"","先生","")</f>
        <v/>
      </c>
      <c r="BV11" s="39"/>
      <c r="BW11" s="22"/>
      <c r="BX11" s="171"/>
      <c r="BY11" s="33"/>
      <c r="BZ11" s="153" t="str">
        <f ca="1">IF(BZ9&lt;&gt;"","園児","")</f>
        <v/>
      </c>
      <c r="CA11" s="154"/>
      <c r="CB11" s="22"/>
      <c r="CC11" s="168" t="str">
        <f ca="1">IF(BZ9&lt;&gt;"","先生","")</f>
        <v/>
      </c>
      <c r="CD11" s="39"/>
      <c r="CE11" s="35"/>
      <c r="CF11" s="33"/>
      <c r="CG11" s="153" t="str">
        <f ca="1">IF(CG9&lt;&gt;"","園児","")</f>
        <v/>
      </c>
      <c r="CH11" s="154"/>
      <c r="CI11" s="22"/>
      <c r="CJ11" s="168" t="str">
        <f ca="1">IF(CG9&lt;&gt;"","先生","")</f>
        <v/>
      </c>
      <c r="CK11" s="39"/>
      <c r="CL11" s="22"/>
      <c r="CM11" s="171"/>
      <c r="CN11" s="33"/>
      <c r="CO11" s="153" t="str">
        <f ca="1">IF(CO9&lt;&gt;"","園児","")</f>
        <v/>
      </c>
      <c r="CP11" s="154"/>
      <c r="CQ11" s="22"/>
      <c r="CR11" s="168" t="str">
        <f ca="1">IF(CO9&lt;&gt;"","先生","")</f>
        <v/>
      </c>
      <c r="CS11" s="39"/>
      <c r="CT11" s="35"/>
      <c r="CU11" s="33"/>
      <c r="CV11" s="153" t="str">
        <f ca="1">IF(CV9&lt;&gt;"","園児","")</f>
        <v/>
      </c>
      <c r="CW11" s="154"/>
      <c r="CX11" s="22"/>
      <c r="CY11" s="168" t="str">
        <f ca="1">IF(CV9&lt;&gt;"","先生","")</f>
        <v/>
      </c>
      <c r="CZ11" s="39"/>
      <c r="DA11" s="22"/>
      <c r="DB11" s="171"/>
      <c r="DC11" s="33"/>
      <c r="DD11" s="153" t="str">
        <f ca="1">IF(DD9&lt;&gt;"","園児","")</f>
        <v/>
      </c>
      <c r="DE11" s="154"/>
      <c r="DF11" s="22"/>
      <c r="DG11" s="168" t="str">
        <f ca="1">IF(DD9&lt;&gt;"","先生","")</f>
        <v/>
      </c>
      <c r="DH11" s="39"/>
      <c r="DI11" s="35"/>
      <c r="DJ11" s="33"/>
      <c r="DK11" s="153" t="str">
        <f ca="1">IF(DK9&lt;&gt;"","園児","")</f>
        <v/>
      </c>
      <c r="DL11" s="154"/>
      <c r="DM11" s="22"/>
      <c r="DN11" s="168" t="str">
        <f ca="1">IF(DK9&lt;&gt;"","先生","")</f>
        <v/>
      </c>
      <c r="DO11" s="39"/>
      <c r="DP11" s="22"/>
      <c r="DQ11" s="171"/>
      <c r="DR11" s="33"/>
      <c r="DS11" s="153" t="str">
        <f ca="1">IF(DS9&lt;&gt;"","園児","")</f>
        <v/>
      </c>
      <c r="DT11" s="154"/>
      <c r="DU11" s="22"/>
      <c r="DV11" s="168" t="str">
        <f ca="1">IF(DS9&lt;&gt;"","先生","")</f>
        <v/>
      </c>
      <c r="DW11" s="39"/>
      <c r="DX11" s="35"/>
      <c r="DY11" s="33"/>
      <c r="DZ11" s="153" t="str">
        <f ca="1">IF(DZ9&lt;&gt;"","園児","")</f>
        <v/>
      </c>
      <c r="EA11" s="154"/>
      <c r="EB11" s="22"/>
      <c r="EC11" s="168" t="str">
        <f ca="1">IF(DZ9&lt;&gt;"","先生","")</f>
        <v/>
      </c>
      <c r="ED11" s="39"/>
      <c r="EE11" s="22"/>
      <c r="EF11" s="171"/>
      <c r="EG11" s="33"/>
      <c r="EH11" s="153" t="str">
        <f ca="1">IF(EH9&lt;&gt;"","園児","")</f>
        <v/>
      </c>
      <c r="EI11" s="154"/>
      <c r="EJ11" s="22"/>
      <c r="EK11" s="168" t="str">
        <f ca="1">IF(EH9&lt;&gt;"","先生","")</f>
        <v/>
      </c>
      <c r="EL11" s="39"/>
      <c r="EM11" s="35"/>
      <c r="EN11" s="33"/>
      <c r="EO11" s="153" t="str">
        <f ca="1">IF(EO9&lt;&gt;"","園児","")</f>
        <v/>
      </c>
      <c r="EP11" s="154"/>
      <c r="EQ11" s="22"/>
      <c r="ER11" s="168" t="str">
        <f ca="1">IF(EO9&lt;&gt;"","先生","")</f>
        <v/>
      </c>
      <c r="ES11" s="39"/>
      <c r="ET11" s="22"/>
    </row>
    <row r="12" spans="1:150" ht="15.6" customHeight="1">
      <c r="B12" s="25"/>
      <c r="C12" s="151" t="str">
        <f ca="1">IF(C9&lt;&gt;"",OFFSET(変更先抽出【15時】!$A$1,A9-1,19),"")</f>
        <v/>
      </c>
      <c r="D12" s="152"/>
      <c r="E12" s="48"/>
      <c r="F12" s="147" t="str">
        <f ca="1">IF(C9&lt;&gt;"",OFFSET(変更先抽出【15時】!$A$1,A9-1,20),"")</f>
        <v/>
      </c>
      <c r="G12" s="148"/>
      <c r="H12" s="26"/>
      <c r="I12" s="25"/>
      <c r="J12" s="151" t="str">
        <f ca="1">IF(J9&lt;&gt;"",OFFSET(変更先抽出【15時】!$A$1,H9-1,19),"")</f>
        <v/>
      </c>
      <c r="K12" s="152"/>
      <c r="L12" s="48"/>
      <c r="M12" s="147" t="str">
        <f ca="1">IF(J9&lt;&gt;"",OFFSET(変更先抽出【15時】!$A$1,H9-1,20),"")</f>
        <v/>
      </c>
      <c r="N12" s="148"/>
      <c r="Q12" s="25"/>
      <c r="R12" s="151" t="str">
        <f ca="1">IF(R9&lt;&gt;"",OFFSET(変更先抽出【15時】!$A$1,P9-1,19),"")</f>
        <v/>
      </c>
      <c r="S12" s="152"/>
      <c r="T12" s="48"/>
      <c r="U12" s="147" t="str">
        <f ca="1">IF(R9&lt;&gt;"",OFFSET(変更先抽出【15時】!$A$1,P9-1,20),"")</f>
        <v/>
      </c>
      <c r="V12" s="148"/>
      <c r="W12" s="26"/>
      <c r="X12" s="25"/>
      <c r="Y12" s="151" t="str">
        <f ca="1">IF(Y9&lt;&gt;"",OFFSET(変更先抽出【15時】!$A$1,W9-1,19),"")</f>
        <v/>
      </c>
      <c r="Z12" s="152"/>
      <c r="AA12" s="48"/>
      <c r="AB12" s="147" t="str">
        <f ca="1">IF(Y9&lt;&gt;"",OFFSET(変更先抽出【15時】!$A$1,W9-1,20),"")</f>
        <v/>
      </c>
      <c r="AC12" s="148"/>
      <c r="AF12" s="25"/>
      <c r="AG12" s="151" t="str">
        <f ca="1">IF(AG9&lt;&gt;"",OFFSET(変更先抽出【15時】!$A$1,AE9-1,19),"")</f>
        <v/>
      </c>
      <c r="AH12" s="152"/>
      <c r="AI12" s="48"/>
      <c r="AJ12" s="147" t="str">
        <f ca="1">IF(AG9&lt;&gt;"",OFFSET(変更先抽出【15時】!$A$1,AE9-1,20),"")</f>
        <v/>
      </c>
      <c r="AK12" s="148"/>
      <c r="AL12" s="26"/>
      <c r="AM12" s="25"/>
      <c r="AN12" s="151" t="str">
        <f ca="1">IF(AN9&lt;&gt;"",OFFSET(変更先抽出【15時】!$A$1,AL9-1,19),"")</f>
        <v/>
      </c>
      <c r="AO12" s="152"/>
      <c r="AP12" s="48"/>
      <c r="AQ12" s="147" t="str">
        <f ca="1">IF(AN9&lt;&gt;"",OFFSET(変更先抽出【15時】!$A$1,AL9-1,20),"")</f>
        <v/>
      </c>
      <c r="AR12" s="148"/>
      <c r="AU12" s="25"/>
      <c r="AV12" s="151" t="str">
        <f ca="1">IF(AV9&lt;&gt;"",OFFSET(変更先抽出【15時】!$A$1,AT9-1,19),"")</f>
        <v/>
      </c>
      <c r="AW12" s="152"/>
      <c r="AX12" s="48"/>
      <c r="AY12" s="147" t="str">
        <f ca="1">IF(AV9&lt;&gt;"",OFFSET(変更先抽出【15時】!$A$1,AT9-1,20),"")</f>
        <v/>
      </c>
      <c r="AZ12" s="148"/>
      <c r="BA12" s="26"/>
      <c r="BB12" s="25"/>
      <c r="BC12" s="151" t="str">
        <f ca="1">IF(BC9&lt;&gt;"",OFFSET(変更先抽出【15時】!$A$1,BA9-1,19),"")</f>
        <v/>
      </c>
      <c r="BD12" s="152"/>
      <c r="BE12" s="48"/>
      <c r="BF12" s="147" t="str">
        <f ca="1">IF(BC9&lt;&gt;"",OFFSET(変更先抽出【15時】!$A$1,BA9-1,20),"")</f>
        <v/>
      </c>
      <c r="BG12" s="148"/>
      <c r="BJ12" s="25"/>
      <c r="BK12" s="151" t="str">
        <f ca="1">IF(BK9&lt;&gt;"",OFFSET(変更先抽出【15時】!$A$1,BI9-1,19),"")</f>
        <v/>
      </c>
      <c r="BL12" s="152"/>
      <c r="BM12" s="48"/>
      <c r="BN12" s="147" t="str">
        <f ca="1">IF(BK9&lt;&gt;"",OFFSET(変更先抽出【15時】!$A$1,BI9-1,20),"")</f>
        <v/>
      </c>
      <c r="BO12" s="148"/>
      <c r="BP12" s="26"/>
      <c r="BQ12" s="25"/>
      <c r="BR12" s="151" t="str">
        <f ca="1">IF(BR9&lt;&gt;"",OFFSET(変更先抽出【15時】!$A$1,BP9-1,19),"")</f>
        <v/>
      </c>
      <c r="BS12" s="152"/>
      <c r="BT12" s="48"/>
      <c r="BU12" s="147" t="str">
        <f ca="1">IF(BR9&lt;&gt;"",OFFSET(変更先抽出【15時】!$A$1,BP9-1,20),"")</f>
        <v/>
      </c>
      <c r="BV12" s="148"/>
      <c r="BY12" s="25"/>
      <c r="BZ12" s="151" t="str">
        <f ca="1">IF(BZ9&lt;&gt;"",OFFSET(変更先抽出【15時】!$A$1,BX9-1,19),"")</f>
        <v/>
      </c>
      <c r="CA12" s="152"/>
      <c r="CB12" s="48"/>
      <c r="CC12" s="147" t="str">
        <f ca="1">IF(BZ9&lt;&gt;"",OFFSET(変更先抽出【15時】!$A$1,BX9-1,20),"")</f>
        <v/>
      </c>
      <c r="CD12" s="148"/>
      <c r="CE12" s="26"/>
      <c r="CF12" s="25"/>
      <c r="CG12" s="151" t="str">
        <f ca="1">IF(CG9&lt;&gt;"",OFFSET(変更先抽出【15時】!$A$1,CE9-1,19),"")</f>
        <v/>
      </c>
      <c r="CH12" s="152"/>
      <c r="CI12" s="48"/>
      <c r="CJ12" s="147" t="str">
        <f ca="1">IF(CG9&lt;&gt;"",OFFSET(変更先抽出【15時】!$A$1,CE9-1,20),"")</f>
        <v/>
      </c>
      <c r="CK12" s="148"/>
      <c r="CN12" s="25"/>
      <c r="CO12" s="151" t="str">
        <f ca="1">IF(CO9&lt;&gt;"",OFFSET(変更先抽出【15時】!$A$1,CM9-1,19),"")</f>
        <v/>
      </c>
      <c r="CP12" s="152"/>
      <c r="CQ12" s="48"/>
      <c r="CR12" s="147" t="str">
        <f ca="1">IF(CO9&lt;&gt;"",OFFSET(変更先抽出【15時】!$A$1,CM9-1,20),"")</f>
        <v/>
      </c>
      <c r="CS12" s="148"/>
      <c r="CT12" s="26"/>
      <c r="CU12" s="25"/>
      <c r="CV12" s="151" t="str">
        <f ca="1">IF(CV9&lt;&gt;"",OFFSET(変更先抽出【15時】!$A$1,CT9-1,19),"")</f>
        <v/>
      </c>
      <c r="CW12" s="152"/>
      <c r="CX12" s="48"/>
      <c r="CY12" s="147" t="str">
        <f ca="1">IF(CV9&lt;&gt;"",OFFSET(変更先抽出【15時】!$A$1,CT9-1,20),"")</f>
        <v/>
      </c>
      <c r="CZ12" s="148"/>
      <c r="DC12" s="25"/>
      <c r="DD12" s="151" t="str">
        <f ca="1">IF(DD9&lt;&gt;"",OFFSET(変更先抽出【15時】!$A$1,DB9-1,19),"")</f>
        <v/>
      </c>
      <c r="DE12" s="152"/>
      <c r="DF12" s="48"/>
      <c r="DG12" s="147" t="str">
        <f ca="1">IF(DD9&lt;&gt;"",OFFSET(変更先抽出【15時】!$A$1,DB9-1,20),"")</f>
        <v/>
      </c>
      <c r="DH12" s="148"/>
      <c r="DI12" s="26"/>
      <c r="DJ12" s="25"/>
      <c r="DK12" s="151" t="str">
        <f ca="1">IF(DK9&lt;&gt;"",OFFSET(変更先抽出【15時】!$A$1,DI9-1,19),"")</f>
        <v/>
      </c>
      <c r="DL12" s="152"/>
      <c r="DM12" s="48"/>
      <c r="DN12" s="147" t="str">
        <f ca="1">IF(DK9&lt;&gt;"",OFFSET(変更先抽出【15時】!$A$1,DI9-1,20),"")</f>
        <v/>
      </c>
      <c r="DO12" s="148"/>
      <c r="DR12" s="25"/>
      <c r="DS12" s="151" t="str">
        <f ca="1">IF(DS9&lt;&gt;"",OFFSET(変更先抽出【15時】!$A$1,DQ9-1,19),"")</f>
        <v/>
      </c>
      <c r="DT12" s="152"/>
      <c r="DU12" s="48"/>
      <c r="DV12" s="147" t="str">
        <f ca="1">IF(DS9&lt;&gt;"",OFFSET(変更先抽出【15時】!$A$1,DQ9-1,20),"")</f>
        <v/>
      </c>
      <c r="DW12" s="148"/>
      <c r="DX12" s="26"/>
      <c r="DY12" s="25"/>
      <c r="DZ12" s="151" t="str">
        <f ca="1">IF(DZ9&lt;&gt;"",OFFSET(変更先抽出【15時】!$A$1,DX9-1,19),"")</f>
        <v/>
      </c>
      <c r="EA12" s="152"/>
      <c r="EB12" s="48"/>
      <c r="EC12" s="147" t="str">
        <f ca="1">IF(DZ9&lt;&gt;"",OFFSET(変更先抽出【15時】!$A$1,DX9-1,20),"")</f>
        <v/>
      </c>
      <c r="ED12" s="148"/>
      <c r="EG12" s="25"/>
      <c r="EH12" s="151" t="str">
        <f ca="1">IF(EH9&lt;&gt;"",OFFSET(変更先抽出【15時】!$A$1,EF9-1,19),"")</f>
        <v/>
      </c>
      <c r="EI12" s="152"/>
      <c r="EJ12" s="48"/>
      <c r="EK12" s="147" t="str">
        <f ca="1">IF(EH9&lt;&gt;"",OFFSET(変更先抽出【15時】!$A$1,EF9-1,20),"")</f>
        <v/>
      </c>
      <c r="EL12" s="148"/>
      <c r="EM12" s="26"/>
      <c r="EN12" s="25"/>
      <c r="EO12" s="151" t="str">
        <f ca="1">IF(EO9&lt;&gt;"",OFFSET(変更先抽出【15時】!$A$1,EM9-1,19),"")</f>
        <v/>
      </c>
      <c r="EP12" s="152"/>
      <c r="EQ12" s="48"/>
      <c r="ER12" s="147" t="str">
        <f ca="1">IF(EO9&lt;&gt;"",OFFSET(変更先抽出【15時】!$A$1,EM9-1,20),"")</f>
        <v/>
      </c>
      <c r="ES12" s="148"/>
    </row>
    <row r="13" spans="1:150" ht="15.6" customHeight="1">
      <c r="B13" s="27"/>
      <c r="C13" s="149"/>
      <c r="D13" s="149"/>
      <c r="E13" s="43"/>
      <c r="F13" s="149"/>
      <c r="G13" s="150"/>
      <c r="H13" s="26"/>
      <c r="I13" s="27"/>
      <c r="J13" s="149"/>
      <c r="K13" s="149"/>
      <c r="L13" s="43"/>
      <c r="M13" s="149"/>
      <c r="N13" s="150"/>
      <c r="Q13" s="27"/>
      <c r="R13" s="149"/>
      <c r="S13" s="149"/>
      <c r="T13" s="43"/>
      <c r="U13" s="149"/>
      <c r="V13" s="150"/>
      <c r="W13" s="26"/>
      <c r="X13" s="27"/>
      <c r="Y13" s="149"/>
      <c r="Z13" s="149"/>
      <c r="AA13" s="43"/>
      <c r="AB13" s="149"/>
      <c r="AC13" s="150"/>
      <c r="AF13" s="27"/>
      <c r="AG13" s="149"/>
      <c r="AH13" s="149"/>
      <c r="AI13" s="43"/>
      <c r="AJ13" s="149"/>
      <c r="AK13" s="150"/>
      <c r="AL13" s="26"/>
      <c r="AM13" s="27"/>
      <c r="AN13" s="149"/>
      <c r="AO13" s="149"/>
      <c r="AP13" s="43"/>
      <c r="AQ13" s="149"/>
      <c r="AR13" s="150"/>
      <c r="AU13" s="27"/>
      <c r="AV13" s="149"/>
      <c r="AW13" s="149"/>
      <c r="AX13" s="43"/>
      <c r="AY13" s="149"/>
      <c r="AZ13" s="150"/>
      <c r="BA13" s="26"/>
      <c r="BB13" s="27"/>
      <c r="BC13" s="149"/>
      <c r="BD13" s="149"/>
      <c r="BE13" s="43"/>
      <c r="BF13" s="149"/>
      <c r="BG13" s="150"/>
      <c r="BJ13" s="27"/>
      <c r="BK13" s="149"/>
      <c r="BL13" s="149"/>
      <c r="BM13" s="43"/>
      <c r="BN13" s="149"/>
      <c r="BO13" s="150"/>
      <c r="BP13" s="26"/>
      <c r="BQ13" s="27"/>
      <c r="BR13" s="149"/>
      <c r="BS13" s="149"/>
      <c r="BT13" s="43"/>
      <c r="BU13" s="149"/>
      <c r="BV13" s="150"/>
      <c r="BY13" s="27"/>
      <c r="BZ13" s="149"/>
      <c r="CA13" s="149"/>
      <c r="CB13" s="43"/>
      <c r="CC13" s="149"/>
      <c r="CD13" s="150"/>
      <c r="CE13" s="26"/>
      <c r="CF13" s="27"/>
      <c r="CG13" s="149"/>
      <c r="CH13" s="149"/>
      <c r="CI13" s="43"/>
      <c r="CJ13" s="149"/>
      <c r="CK13" s="150"/>
      <c r="CN13" s="27"/>
      <c r="CO13" s="149"/>
      <c r="CP13" s="149"/>
      <c r="CQ13" s="43"/>
      <c r="CR13" s="149"/>
      <c r="CS13" s="150"/>
      <c r="CT13" s="26"/>
      <c r="CU13" s="27"/>
      <c r="CV13" s="149"/>
      <c r="CW13" s="149"/>
      <c r="CX13" s="43"/>
      <c r="CY13" s="149"/>
      <c r="CZ13" s="150"/>
      <c r="DC13" s="27"/>
      <c r="DD13" s="149"/>
      <c r="DE13" s="149"/>
      <c r="DF13" s="43"/>
      <c r="DG13" s="149"/>
      <c r="DH13" s="150"/>
      <c r="DI13" s="26"/>
      <c r="DJ13" s="27"/>
      <c r="DK13" s="149"/>
      <c r="DL13" s="149"/>
      <c r="DM13" s="43"/>
      <c r="DN13" s="149"/>
      <c r="DO13" s="150"/>
      <c r="DR13" s="27"/>
      <c r="DS13" s="149"/>
      <c r="DT13" s="149"/>
      <c r="DU13" s="43"/>
      <c r="DV13" s="149"/>
      <c r="DW13" s="150"/>
      <c r="DX13" s="26"/>
      <c r="DY13" s="27"/>
      <c r="DZ13" s="149"/>
      <c r="EA13" s="149"/>
      <c r="EB13" s="43"/>
      <c r="EC13" s="149"/>
      <c r="ED13" s="150"/>
      <c r="EG13" s="27"/>
      <c r="EH13" s="149"/>
      <c r="EI13" s="149"/>
      <c r="EJ13" s="43"/>
      <c r="EK13" s="149"/>
      <c r="EL13" s="150"/>
      <c r="EM13" s="26"/>
      <c r="EN13" s="27"/>
      <c r="EO13" s="149"/>
      <c r="EP13" s="149"/>
      <c r="EQ13" s="43"/>
      <c r="ER13" s="149"/>
      <c r="ES13" s="150"/>
    </row>
    <row r="14" spans="1:150" s="32" customFormat="1">
      <c r="A14" s="171"/>
      <c r="B14" s="36" t="str">
        <f ca="1">IF(C9&lt;&gt;"","パン箱","")</f>
        <v/>
      </c>
      <c r="C14" s="34" t="str">
        <f ca="1">IF(C9&lt;&gt;"",OFFSET(変更先抽出【15時】!$A$1,A9-1,22),"")</f>
        <v/>
      </c>
      <c r="D14" s="36" t="str">
        <f ca="1">IF(C9&lt;&gt;"","端数","")</f>
        <v/>
      </c>
      <c r="E14" s="34"/>
      <c r="F14" s="36" t="str">
        <f ca="1">IF(C9&lt;&gt;"","アレルギー","")</f>
        <v/>
      </c>
      <c r="G14" s="39"/>
      <c r="H14" s="22"/>
      <c r="I14" s="36" t="str">
        <f ca="1">IF(J9&lt;&gt;"","パン箱","")</f>
        <v/>
      </c>
      <c r="J14" s="34" t="str">
        <f ca="1">IF(J9&lt;&gt;"",OFFSET(変更先抽出【15時】!$A$1,H9-1,22),"")</f>
        <v/>
      </c>
      <c r="K14" s="36" t="str">
        <f ca="1">IF(J9&lt;&gt;"","端数","")</f>
        <v/>
      </c>
      <c r="L14" s="34"/>
      <c r="M14" s="36" t="str">
        <f ca="1">IF(J9&lt;&gt;"","アレルギー","")</f>
        <v/>
      </c>
      <c r="N14" s="39"/>
      <c r="O14" s="22"/>
      <c r="P14" s="171"/>
      <c r="Q14" s="36" t="str">
        <f ca="1">IF(R9&lt;&gt;"","パン箱","")</f>
        <v/>
      </c>
      <c r="R14" s="34" t="str">
        <f ca="1">IF(R9&lt;&gt;"",OFFSET(変更先抽出【15時】!$A$1,P9-1,22),"")</f>
        <v/>
      </c>
      <c r="S14" s="36" t="str">
        <f ca="1">IF(R9&lt;&gt;"","端数","")</f>
        <v/>
      </c>
      <c r="T14" s="34"/>
      <c r="U14" s="36" t="str">
        <f ca="1">IF(R9&lt;&gt;"","アレルギー","")</f>
        <v/>
      </c>
      <c r="V14" s="39"/>
      <c r="W14" s="22"/>
      <c r="X14" s="36" t="str">
        <f ca="1">IF(Y9&lt;&gt;"","パン箱","")</f>
        <v/>
      </c>
      <c r="Y14" s="34" t="str">
        <f ca="1">IF(Y9&lt;&gt;"",OFFSET(変更先抽出【15時】!$A$1,W9-1,22),"")</f>
        <v/>
      </c>
      <c r="Z14" s="36" t="str">
        <f ca="1">IF(Y9&lt;&gt;"","端数","")</f>
        <v/>
      </c>
      <c r="AA14" s="34"/>
      <c r="AB14" s="36" t="str">
        <f ca="1">IF(Y9&lt;&gt;"","アレルギー","")</f>
        <v/>
      </c>
      <c r="AC14" s="39"/>
      <c r="AD14" s="22"/>
      <c r="AE14" s="171"/>
      <c r="AF14" s="36" t="str">
        <f ca="1">IF(AG9&lt;&gt;"","パン箱","")</f>
        <v/>
      </c>
      <c r="AG14" s="34" t="str">
        <f ca="1">IF(AG9&lt;&gt;"",OFFSET(変更先抽出【15時】!$A$1,AE9-1,22),"")</f>
        <v/>
      </c>
      <c r="AH14" s="36" t="str">
        <f ca="1">IF(AG9&lt;&gt;"","端数","")</f>
        <v/>
      </c>
      <c r="AI14" s="34"/>
      <c r="AJ14" s="36" t="str">
        <f ca="1">IF(AG9&lt;&gt;"","アレルギー","")</f>
        <v/>
      </c>
      <c r="AK14" s="39"/>
      <c r="AL14" s="22"/>
      <c r="AM14" s="36" t="str">
        <f ca="1">IF(AN9&lt;&gt;"","パン箱","")</f>
        <v/>
      </c>
      <c r="AN14" s="34" t="str">
        <f ca="1">IF(AN9&lt;&gt;"",OFFSET(変更先抽出【15時】!$A$1,AL9-1,22),"")</f>
        <v/>
      </c>
      <c r="AO14" s="36" t="str">
        <f ca="1">IF(AN9&lt;&gt;"","端数","")</f>
        <v/>
      </c>
      <c r="AP14" s="34"/>
      <c r="AQ14" s="36" t="str">
        <f ca="1">IF(AN9&lt;&gt;"","アレルギー","")</f>
        <v/>
      </c>
      <c r="AR14" s="39"/>
      <c r="AS14" s="22"/>
      <c r="AT14" s="171"/>
      <c r="AU14" s="36" t="str">
        <f ca="1">IF(AV9&lt;&gt;"","パン箱","")</f>
        <v/>
      </c>
      <c r="AV14" s="34" t="str">
        <f ca="1">IF(AV9&lt;&gt;"",OFFSET(変更先抽出【15時】!$A$1,AT9-1,22),"")</f>
        <v/>
      </c>
      <c r="AW14" s="36" t="str">
        <f ca="1">IF(AV9&lt;&gt;"","端数","")</f>
        <v/>
      </c>
      <c r="AX14" s="34"/>
      <c r="AY14" s="36" t="str">
        <f ca="1">IF(AV9&lt;&gt;"","アレルギー","")</f>
        <v/>
      </c>
      <c r="AZ14" s="39"/>
      <c r="BA14" s="22"/>
      <c r="BB14" s="36" t="str">
        <f ca="1">IF(BC9&lt;&gt;"","パン箱","")</f>
        <v/>
      </c>
      <c r="BC14" s="34" t="str">
        <f ca="1">IF(BC9&lt;&gt;"",OFFSET(変更先抽出【15時】!$A$1,BA9-1,22),"")</f>
        <v/>
      </c>
      <c r="BD14" s="36" t="str">
        <f ca="1">IF(BC9&lt;&gt;"","端数","")</f>
        <v/>
      </c>
      <c r="BE14" s="34"/>
      <c r="BF14" s="36" t="str">
        <f ca="1">IF(BC9&lt;&gt;"","アレルギー","")</f>
        <v/>
      </c>
      <c r="BG14" s="39"/>
      <c r="BH14" s="22"/>
      <c r="BI14" s="171"/>
      <c r="BJ14" s="36" t="str">
        <f ca="1">IF(BK9&lt;&gt;"","パン箱","")</f>
        <v/>
      </c>
      <c r="BK14" s="34" t="str">
        <f ca="1">IF(BK9&lt;&gt;"",OFFSET(変更先抽出【15時】!$A$1,BI9-1,22),"")</f>
        <v/>
      </c>
      <c r="BL14" s="36" t="str">
        <f ca="1">IF(BK9&lt;&gt;"","端数","")</f>
        <v/>
      </c>
      <c r="BM14" s="34"/>
      <c r="BN14" s="36" t="str">
        <f ca="1">IF(BK9&lt;&gt;"","アレルギー","")</f>
        <v/>
      </c>
      <c r="BO14" s="39"/>
      <c r="BP14" s="22"/>
      <c r="BQ14" s="36" t="str">
        <f ca="1">IF(BR9&lt;&gt;"","パン箱","")</f>
        <v/>
      </c>
      <c r="BR14" s="34" t="str">
        <f ca="1">IF(BR9&lt;&gt;"",OFFSET(変更先抽出【15時】!$A$1,BP9-1,22),"")</f>
        <v/>
      </c>
      <c r="BS14" s="36" t="str">
        <f ca="1">IF(BR9&lt;&gt;"","端数","")</f>
        <v/>
      </c>
      <c r="BT14" s="34"/>
      <c r="BU14" s="36" t="str">
        <f ca="1">IF(BR9&lt;&gt;"","アレルギー","")</f>
        <v/>
      </c>
      <c r="BV14" s="39"/>
      <c r="BW14" s="22"/>
      <c r="BX14" s="171"/>
      <c r="BY14" s="36" t="str">
        <f ca="1">IF(BZ9&lt;&gt;"","パン箱","")</f>
        <v/>
      </c>
      <c r="BZ14" s="34" t="str">
        <f ca="1">IF(BZ9&lt;&gt;"",OFFSET(変更先抽出【15時】!$A$1,BX9-1,22),"")</f>
        <v/>
      </c>
      <c r="CA14" s="36" t="str">
        <f ca="1">IF(BZ9&lt;&gt;"","端数","")</f>
        <v/>
      </c>
      <c r="CB14" s="34"/>
      <c r="CC14" s="36" t="str">
        <f ca="1">IF(BZ9&lt;&gt;"","アレルギー","")</f>
        <v/>
      </c>
      <c r="CD14" s="39"/>
      <c r="CE14" s="22"/>
      <c r="CF14" s="36" t="str">
        <f ca="1">IF(CG9&lt;&gt;"","パン箱","")</f>
        <v/>
      </c>
      <c r="CG14" s="34" t="str">
        <f ca="1">IF(CG9&lt;&gt;"",OFFSET(変更先抽出【15時】!$A$1,CE9-1,22),"")</f>
        <v/>
      </c>
      <c r="CH14" s="36" t="str">
        <f ca="1">IF(CG9&lt;&gt;"","端数","")</f>
        <v/>
      </c>
      <c r="CI14" s="34"/>
      <c r="CJ14" s="36" t="str">
        <f ca="1">IF(CG9&lt;&gt;"","アレルギー","")</f>
        <v/>
      </c>
      <c r="CK14" s="39"/>
      <c r="CL14" s="22"/>
      <c r="CM14" s="171"/>
      <c r="CN14" s="36" t="str">
        <f ca="1">IF(CO9&lt;&gt;"","パン箱","")</f>
        <v/>
      </c>
      <c r="CO14" s="34" t="str">
        <f ca="1">IF(CO9&lt;&gt;"",OFFSET(変更先抽出【15時】!$A$1,CM9-1,22),"")</f>
        <v/>
      </c>
      <c r="CP14" s="36" t="str">
        <f ca="1">IF(CO9&lt;&gt;"","端数","")</f>
        <v/>
      </c>
      <c r="CQ14" s="34"/>
      <c r="CR14" s="36" t="str">
        <f ca="1">IF(CO9&lt;&gt;"","アレルギー","")</f>
        <v/>
      </c>
      <c r="CS14" s="39"/>
      <c r="CT14" s="22"/>
      <c r="CU14" s="36" t="str">
        <f ca="1">IF(CV9&lt;&gt;"","パン箱","")</f>
        <v/>
      </c>
      <c r="CV14" s="34" t="str">
        <f ca="1">IF(CV9&lt;&gt;"",OFFSET(変更先抽出【15時】!$A$1,CT9-1,22),"")</f>
        <v/>
      </c>
      <c r="CW14" s="36" t="str">
        <f ca="1">IF(CV9&lt;&gt;"","端数","")</f>
        <v/>
      </c>
      <c r="CX14" s="34"/>
      <c r="CY14" s="36" t="str">
        <f ca="1">IF(CV9&lt;&gt;"","アレルギー","")</f>
        <v/>
      </c>
      <c r="CZ14" s="39"/>
      <c r="DA14" s="22"/>
      <c r="DB14" s="171"/>
      <c r="DC14" s="36" t="str">
        <f ca="1">IF(DD9&lt;&gt;"","パン箱","")</f>
        <v/>
      </c>
      <c r="DD14" s="34" t="str">
        <f ca="1">IF(DD9&lt;&gt;"",OFFSET(変更先抽出【15時】!$A$1,DB9-1,22),"")</f>
        <v/>
      </c>
      <c r="DE14" s="36" t="str">
        <f ca="1">IF(DD9&lt;&gt;"","端数","")</f>
        <v/>
      </c>
      <c r="DF14" s="34"/>
      <c r="DG14" s="36" t="str">
        <f ca="1">IF(DD9&lt;&gt;"","アレルギー","")</f>
        <v/>
      </c>
      <c r="DH14" s="39"/>
      <c r="DI14" s="22"/>
      <c r="DJ14" s="36" t="str">
        <f ca="1">IF(DK9&lt;&gt;"","パン箱","")</f>
        <v/>
      </c>
      <c r="DK14" s="34" t="str">
        <f ca="1">IF(DK9&lt;&gt;"",OFFSET(変更先抽出【15時】!$A$1,DI9-1,22),"")</f>
        <v/>
      </c>
      <c r="DL14" s="36" t="str">
        <f ca="1">IF(DK9&lt;&gt;"","端数","")</f>
        <v/>
      </c>
      <c r="DM14" s="34"/>
      <c r="DN14" s="36" t="str">
        <f ca="1">IF(DK9&lt;&gt;"","アレルギー","")</f>
        <v/>
      </c>
      <c r="DO14" s="39"/>
      <c r="DP14" s="22"/>
      <c r="DQ14" s="171"/>
      <c r="DR14" s="36" t="str">
        <f ca="1">IF(DS9&lt;&gt;"","パン箱","")</f>
        <v/>
      </c>
      <c r="DS14" s="34" t="str">
        <f ca="1">IF(DS9&lt;&gt;"",OFFSET(変更先抽出【15時】!$A$1,DQ9-1,22),"")</f>
        <v/>
      </c>
      <c r="DT14" s="36" t="str">
        <f ca="1">IF(DS9&lt;&gt;"","端数","")</f>
        <v/>
      </c>
      <c r="DU14" s="34"/>
      <c r="DV14" s="36" t="str">
        <f ca="1">IF(DS9&lt;&gt;"","アレルギー","")</f>
        <v/>
      </c>
      <c r="DW14" s="39"/>
      <c r="DX14" s="22"/>
      <c r="DY14" s="36" t="str">
        <f ca="1">IF(DZ9&lt;&gt;"","パン箱","")</f>
        <v/>
      </c>
      <c r="DZ14" s="34" t="str">
        <f ca="1">IF(DZ9&lt;&gt;"",OFFSET(変更先抽出【15時】!$A$1,DX9-1,22),"")</f>
        <v/>
      </c>
      <c r="EA14" s="36" t="str">
        <f ca="1">IF(DZ9&lt;&gt;"","端数","")</f>
        <v/>
      </c>
      <c r="EB14" s="34"/>
      <c r="EC14" s="36" t="str">
        <f ca="1">IF(DZ9&lt;&gt;"","アレルギー","")</f>
        <v/>
      </c>
      <c r="ED14" s="39"/>
      <c r="EE14" s="22"/>
      <c r="EF14" s="171"/>
      <c r="EG14" s="36" t="str">
        <f ca="1">IF(EH9&lt;&gt;"","パン箱","")</f>
        <v/>
      </c>
      <c r="EH14" s="34" t="str">
        <f ca="1">IF(EH9&lt;&gt;"",OFFSET(変更先抽出【15時】!$A$1,EF9-1,22),"")</f>
        <v/>
      </c>
      <c r="EI14" s="36" t="str">
        <f ca="1">IF(EH9&lt;&gt;"","端数","")</f>
        <v/>
      </c>
      <c r="EJ14" s="34"/>
      <c r="EK14" s="36" t="str">
        <f ca="1">IF(EH9&lt;&gt;"","アレルギー","")</f>
        <v/>
      </c>
      <c r="EL14" s="39"/>
      <c r="EM14" s="22"/>
      <c r="EN14" s="36" t="str">
        <f ca="1">IF(EO9&lt;&gt;"","パン箱","")</f>
        <v/>
      </c>
      <c r="EO14" s="34" t="str">
        <f ca="1">IF(EO9&lt;&gt;"",OFFSET(変更先抽出【15時】!$A$1,EM9-1,22),"")</f>
        <v/>
      </c>
      <c r="EP14" s="36" t="str">
        <f ca="1">IF(EO9&lt;&gt;"","端数","")</f>
        <v/>
      </c>
      <c r="EQ14" s="34"/>
      <c r="ER14" s="36" t="str">
        <f ca="1">IF(EO9&lt;&gt;"","アレルギー","")</f>
        <v/>
      </c>
      <c r="ES14" s="39"/>
      <c r="ET14" s="22"/>
    </row>
    <row r="15" spans="1:150" ht="27.6" customHeight="1">
      <c r="B15" s="157" t="str">
        <f ca="1">IF(C9&lt;&gt;"",IFERROR(INT(C12/C14),""),"")</f>
        <v/>
      </c>
      <c r="C15" s="150"/>
      <c r="D15" s="157" t="str">
        <f ca="1">IF(C9&lt;&gt;"",IFERROR(MOD(C12,C14),""),"")</f>
        <v/>
      </c>
      <c r="E15" s="150"/>
      <c r="F15" s="158" t="str">
        <f ca="1">IF(C9&lt;&gt;"",OFFSET(変更先抽出【15時】!$A$1,A9-1,21),"")</f>
        <v/>
      </c>
      <c r="G15" s="150"/>
      <c r="I15" s="157" t="str">
        <f ca="1">IF(J9&lt;&gt;"",IFERROR(INT(J12/J14),""),"")</f>
        <v/>
      </c>
      <c r="J15" s="150"/>
      <c r="K15" s="157" t="str">
        <f ca="1">IF(J9&lt;&gt;"",IFERROR(MOD(J12,J14),""),"")</f>
        <v/>
      </c>
      <c r="L15" s="150"/>
      <c r="M15" s="158" t="str">
        <f ca="1">IF(J9&lt;&gt;"",OFFSET(変更先抽出【15時】!$A$1,H9-1,21),"")</f>
        <v/>
      </c>
      <c r="N15" s="150"/>
      <c r="Q15" s="157" t="str">
        <f ca="1">IF(R9&lt;&gt;"",IFERROR(INT(R12/R14),""),"")</f>
        <v/>
      </c>
      <c r="R15" s="150"/>
      <c r="S15" s="157" t="str">
        <f ca="1">IF(R9&lt;&gt;"",IFERROR(MOD(R12,R14),""),"")</f>
        <v/>
      </c>
      <c r="T15" s="150"/>
      <c r="U15" s="158" t="str">
        <f ca="1">IF(R9&lt;&gt;"",OFFSET(変更先抽出【15時】!$A$1,P9-1,21),"")</f>
        <v/>
      </c>
      <c r="V15" s="150"/>
      <c r="X15" s="157" t="str">
        <f ca="1">IF(Y9&lt;&gt;"",IFERROR(INT(Y12/Y14),""),"")</f>
        <v/>
      </c>
      <c r="Y15" s="150"/>
      <c r="Z15" s="157" t="str">
        <f ca="1">IF(Y9&lt;&gt;"",IFERROR(MOD(Y12,Y14),""),"")</f>
        <v/>
      </c>
      <c r="AA15" s="150"/>
      <c r="AB15" s="158" t="str">
        <f ca="1">IF(Y9&lt;&gt;"",OFFSET(変更先抽出【15時】!$A$1,W9-1,21),"")</f>
        <v/>
      </c>
      <c r="AC15" s="150"/>
      <c r="AF15" s="157" t="str">
        <f ca="1">IF(AG9&lt;&gt;"",IFERROR(INT(AG12/AG14),""),"")</f>
        <v/>
      </c>
      <c r="AG15" s="150"/>
      <c r="AH15" s="157" t="str">
        <f ca="1">IF(AG9&lt;&gt;"",IFERROR(MOD(AG12,AG14),""),"")</f>
        <v/>
      </c>
      <c r="AI15" s="150"/>
      <c r="AJ15" s="158" t="str">
        <f ca="1">IF(AG9&lt;&gt;"",OFFSET(変更先抽出【15時】!$A$1,AE9-1,21),"")</f>
        <v/>
      </c>
      <c r="AK15" s="150"/>
      <c r="AM15" s="157" t="str">
        <f ca="1">IF(AN9&lt;&gt;"",IFERROR(INT(AN12/AN14),""),"")</f>
        <v/>
      </c>
      <c r="AN15" s="150"/>
      <c r="AO15" s="157" t="str">
        <f ca="1">IF(AN9&lt;&gt;"",IFERROR(MOD(AN12,AN14),""),"")</f>
        <v/>
      </c>
      <c r="AP15" s="150"/>
      <c r="AQ15" s="158" t="str">
        <f ca="1">IF(AN9&lt;&gt;"",OFFSET(変更先抽出【15時】!$A$1,AL9-1,21),"")</f>
        <v/>
      </c>
      <c r="AR15" s="150"/>
      <c r="AU15" s="157" t="str">
        <f ca="1">IF(AV9&lt;&gt;"",IFERROR(INT(AV12/AV14),""),"")</f>
        <v/>
      </c>
      <c r="AV15" s="150"/>
      <c r="AW15" s="157" t="str">
        <f ca="1">IF(AV9&lt;&gt;"",IFERROR(MOD(AV12,AV14),""),"")</f>
        <v/>
      </c>
      <c r="AX15" s="150"/>
      <c r="AY15" s="158" t="str">
        <f ca="1">IF(AV9&lt;&gt;"",OFFSET(変更先抽出【15時】!$A$1,AT9-1,21),"")</f>
        <v/>
      </c>
      <c r="AZ15" s="150"/>
      <c r="BB15" s="157" t="str">
        <f ca="1">IF(BC9&lt;&gt;"",IFERROR(INT(BC12/BC14),""),"")</f>
        <v/>
      </c>
      <c r="BC15" s="150"/>
      <c r="BD15" s="157" t="str">
        <f ca="1">IF(BC9&lt;&gt;"",IFERROR(MOD(BC12,BC14),""),"")</f>
        <v/>
      </c>
      <c r="BE15" s="150"/>
      <c r="BF15" s="158" t="str">
        <f ca="1">IF(BC9&lt;&gt;"",OFFSET(変更先抽出【15時】!$A$1,BA9-1,21),"")</f>
        <v/>
      </c>
      <c r="BG15" s="150"/>
      <c r="BJ15" s="157" t="str">
        <f ca="1">IF(BK9&lt;&gt;"",IFERROR(INT(BK12/BK14),""),"")</f>
        <v/>
      </c>
      <c r="BK15" s="150"/>
      <c r="BL15" s="157" t="str">
        <f ca="1">IF(BK9&lt;&gt;"",IFERROR(MOD(BK12,BK14),""),"")</f>
        <v/>
      </c>
      <c r="BM15" s="150"/>
      <c r="BN15" s="158" t="str">
        <f ca="1">IF(BK9&lt;&gt;"",OFFSET(変更先抽出【15時】!$A$1,BI9-1,21),"")</f>
        <v/>
      </c>
      <c r="BO15" s="150"/>
      <c r="BQ15" s="157" t="str">
        <f ca="1">IF(BR9&lt;&gt;"",IFERROR(INT(BR12/BR14),""),"")</f>
        <v/>
      </c>
      <c r="BR15" s="150"/>
      <c r="BS15" s="157" t="str">
        <f ca="1">IF(BR9&lt;&gt;"",IFERROR(MOD(BR12,BR14),""),"")</f>
        <v/>
      </c>
      <c r="BT15" s="150"/>
      <c r="BU15" s="158" t="str">
        <f ca="1">IF(BR9&lt;&gt;"",OFFSET(変更先抽出【15時】!$A$1,BP9-1,21),"")</f>
        <v/>
      </c>
      <c r="BV15" s="150"/>
      <c r="BY15" s="157" t="str">
        <f ca="1">IF(BZ9&lt;&gt;"",IFERROR(INT(BZ12/BZ14),""),"")</f>
        <v/>
      </c>
      <c r="BZ15" s="150"/>
      <c r="CA15" s="157" t="str">
        <f ca="1">IF(BZ9&lt;&gt;"",IFERROR(MOD(BZ12,BZ14),""),"")</f>
        <v/>
      </c>
      <c r="CB15" s="150"/>
      <c r="CC15" s="158" t="str">
        <f ca="1">IF(BZ9&lt;&gt;"",OFFSET(変更先抽出【15時】!$A$1,BX9-1,21),"")</f>
        <v/>
      </c>
      <c r="CD15" s="150"/>
      <c r="CF15" s="157" t="str">
        <f ca="1">IF(CG9&lt;&gt;"",IFERROR(INT(CG12/CG14),""),"")</f>
        <v/>
      </c>
      <c r="CG15" s="150"/>
      <c r="CH15" s="157" t="str">
        <f ca="1">IF(CG9&lt;&gt;"",IFERROR(MOD(CG12,CG14),""),"")</f>
        <v/>
      </c>
      <c r="CI15" s="150"/>
      <c r="CJ15" s="158" t="str">
        <f ca="1">IF(CG9&lt;&gt;"",OFFSET(変更先抽出【15時】!$A$1,CE9-1,21),"")</f>
        <v/>
      </c>
      <c r="CK15" s="150"/>
      <c r="CN15" s="157" t="str">
        <f ca="1">IF(CO9&lt;&gt;"",IFERROR(INT(CO12/CO14),""),"")</f>
        <v/>
      </c>
      <c r="CO15" s="150"/>
      <c r="CP15" s="157" t="str">
        <f ca="1">IF(CO9&lt;&gt;"",IFERROR(MOD(CO12,CO14),""),"")</f>
        <v/>
      </c>
      <c r="CQ15" s="150"/>
      <c r="CR15" s="158" t="str">
        <f ca="1">IF(CO9&lt;&gt;"",OFFSET(変更先抽出【15時】!$A$1,CM9-1,21),"")</f>
        <v/>
      </c>
      <c r="CS15" s="150"/>
      <c r="CU15" s="157" t="str">
        <f ca="1">IF(CV9&lt;&gt;"",IFERROR(INT(CV12/CV14),""),"")</f>
        <v/>
      </c>
      <c r="CV15" s="150"/>
      <c r="CW15" s="157" t="str">
        <f ca="1">IF(CV9&lt;&gt;"",IFERROR(MOD(CV12,CV14),""),"")</f>
        <v/>
      </c>
      <c r="CX15" s="150"/>
      <c r="CY15" s="158" t="str">
        <f ca="1">IF(CV9&lt;&gt;"",OFFSET(変更先抽出【15時】!$A$1,CT9-1,21),"")</f>
        <v/>
      </c>
      <c r="CZ15" s="150"/>
      <c r="DC15" s="157" t="str">
        <f ca="1">IF(DD9&lt;&gt;"",IFERROR(INT(DD12/DD14),""),"")</f>
        <v/>
      </c>
      <c r="DD15" s="150"/>
      <c r="DE15" s="157" t="str">
        <f ca="1">IF(DD9&lt;&gt;"",IFERROR(MOD(DD12,DD14),""),"")</f>
        <v/>
      </c>
      <c r="DF15" s="150"/>
      <c r="DG15" s="158" t="str">
        <f ca="1">IF(DD9&lt;&gt;"",OFFSET(変更先抽出【15時】!$A$1,DB9-1,21),"")</f>
        <v/>
      </c>
      <c r="DH15" s="150"/>
      <c r="DJ15" s="157" t="str">
        <f ca="1">IF(DK9&lt;&gt;"",IFERROR(INT(DK12/DK14),""),"")</f>
        <v/>
      </c>
      <c r="DK15" s="150"/>
      <c r="DL15" s="157" t="str">
        <f ca="1">IF(DK9&lt;&gt;"",IFERROR(MOD(DK12,DK14),""),"")</f>
        <v/>
      </c>
      <c r="DM15" s="150"/>
      <c r="DN15" s="158" t="str">
        <f ca="1">IF(DK9&lt;&gt;"",OFFSET(変更先抽出【15時】!$A$1,DI9-1,21),"")</f>
        <v/>
      </c>
      <c r="DO15" s="150"/>
      <c r="DR15" s="157" t="str">
        <f ca="1">IF(DS9&lt;&gt;"",IFERROR(INT(DS12/DS14),""),"")</f>
        <v/>
      </c>
      <c r="DS15" s="150"/>
      <c r="DT15" s="157" t="str">
        <f ca="1">IF(DS9&lt;&gt;"",IFERROR(MOD(DS12,DS14),""),"")</f>
        <v/>
      </c>
      <c r="DU15" s="150"/>
      <c r="DV15" s="158" t="str">
        <f ca="1">IF(DS9&lt;&gt;"",OFFSET(変更先抽出【15時】!$A$1,DQ9-1,21),"")</f>
        <v/>
      </c>
      <c r="DW15" s="150"/>
      <c r="DY15" s="157" t="str">
        <f ca="1">IF(DZ9&lt;&gt;"",IFERROR(INT(DZ12/DZ14),""),"")</f>
        <v/>
      </c>
      <c r="DZ15" s="150"/>
      <c r="EA15" s="157" t="str">
        <f ca="1">IF(DZ9&lt;&gt;"",IFERROR(MOD(DZ12,DZ14),""),"")</f>
        <v/>
      </c>
      <c r="EB15" s="150"/>
      <c r="EC15" s="158" t="str">
        <f ca="1">IF(DZ9&lt;&gt;"",OFFSET(変更先抽出【15時】!$A$1,DX9-1,21),"")</f>
        <v/>
      </c>
      <c r="ED15" s="150"/>
      <c r="EG15" s="157" t="str">
        <f ca="1">IF(EH9&lt;&gt;"",IFERROR(INT(EH12/EH14),""),"")</f>
        <v/>
      </c>
      <c r="EH15" s="150"/>
      <c r="EI15" s="157" t="str">
        <f ca="1">IF(EH9&lt;&gt;"",IFERROR(MOD(EH12,EH14),""),"")</f>
        <v/>
      </c>
      <c r="EJ15" s="150"/>
      <c r="EK15" s="158" t="str">
        <f ca="1">IF(EH9&lt;&gt;"",OFFSET(変更先抽出【15時】!$A$1,EF9-1,21),"")</f>
        <v/>
      </c>
      <c r="EL15" s="150"/>
      <c r="EN15" s="157" t="str">
        <f ca="1">IF(EO9&lt;&gt;"",IFERROR(INT(EO12/EO14),""),"")</f>
        <v/>
      </c>
      <c r="EO15" s="150"/>
      <c r="EP15" s="157" t="str">
        <f ca="1">IF(EO9&lt;&gt;"",IFERROR(MOD(EO12,EO14),""),"")</f>
        <v/>
      </c>
      <c r="EQ15" s="150"/>
      <c r="ER15" s="158" t="str">
        <f ca="1">IF(EO9&lt;&gt;"",OFFSET(変更先抽出【15時】!$A$1,EM9-1,21),"")</f>
        <v/>
      </c>
      <c r="ES15" s="150"/>
    </row>
    <row r="16" spans="1:150" ht="6.6" customHeight="1">
      <c r="B16" s="44"/>
      <c r="D16" s="44"/>
      <c r="F16" s="45"/>
      <c r="I16" s="44"/>
      <c r="K16" s="44"/>
      <c r="M16" s="45"/>
      <c r="Q16" s="44"/>
      <c r="S16" s="44"/>
      <c r="U16" s="45"/>
      <c r="X16" s="44"/>
      <c r="Z16" s="44"/>
      <c r="AB16" s="45"/>
      <c r="AF16" s="44"/>
      <c r="AH16" s="44"/>
      <c r="AJ16" s="45"/>
      <c r="AM16" s="44"/>
      <c r="AO16" s="44"/>
      <c r="AQ16" s="45"/>
      <c r="AU16" s="44"/>
      <c r="AW16" s="44"/>
      <c r="AY16" s="45"/>
      <c r="BB16" s="44"/>
      <c r="BD16" s="44"/>
      <c r="BF16" s="45"/>
      <c r="BJ16" s="44"/>
      <c r="BL16" s="44"/>
      <c r="BN16" s="45"/>
      <c r="BQ16" s="44"/>
      <c r="BS16" s="44"/>
      <c r="BU16" s="45"/>
      <c r="BY16" s="44"/>
      <c r="CA16" s="44"/>
      <c r="CC16" s="45"/>
      <c r="CF16" s="44"/>
      <c r="CH16" s="44"/>
      <c r="CJ16" s="45"/>
      <c r="CN16" s="44"/>
      <c r="CP16" s="44"/>
      <c r="CR16" s="45"/>
      <c r="CU16" s="44"/>
      <c r="CW16" s="44"/>
      <c r="CY16" s="45"/>
      <c r="DC16" s="44"/>
      <c r="DE16" s="44"/>
      <c r="DG16" s="45"/>
      <c r="DJ16" s="44"/>
      <c r="DL16" s="44"/>
      <c r="DN16" s="45"/>
      <c r="DR16" s="44"/>
      <c r="DT16" s="44"/>
      <c r="DV16" s="45"/>
      <c r="DY16" s="44"/>
      <c r="EA16" s="44"/>
      <c r="EC16" s="45"/>
      <c r="EG16" s="44"/>
      <c r="EI16" s="44"/>
      <c r="EK16" s="45"/>
      <c r="EN16" s="44"/>
      <c r="EP16" s="44"/>
      <c r="ER16" s="45"/>
    </row>
    <row r="17" spans="1:150" s="32" customFormat="1" ht="25.8" customHeight="1">
      <c r="A17" s="171">
        <f>H9+1</f>
        <v>5</v>
      </c>
      <c r="B17" s="42" t="str">
        <f ca="1">IF(C17&lt;&gt;"",
MID(貼り付け用!$A$2, FIND("年",貼り付け用!$A$2)+1,2)&amp;"/"&amp;MID(貼り付け用!$A$2, FIND("月",貼り付け用!$A$2)+1,2),"")</f>
        <v/>
      </c>
      <c r="C17" s="155" t="str">
        <f ca="1">IF(OFFSET(変更先抽出【15時】!$A$1,A17-1,16)&lt;&gt;"",OFFSET(変更先抽出【15時】!$A$1,A17-1,17),"")</f>
        <v/>
      </c>
      <c r="D17" s="156"/>
      <c r="E17" s="156"/>
      <c r="F17" s="156"/>
      <c r="G17" s="41" t="str">
        <f ca="1">IF(C17&lt;&gt;"","様","")</f>
        <v/>
      </c>
      <c r="H17" s="35">
        <f>A17+1</f>
        <v>6</v>
      </c>
      <c r="I17" s="42" t="str">
        <f ca="1">IF(J17&lt;&gt;"",
MID(貼り付け用!$A$2, FIND("年",貼り付け用!$A$2)+1,2)&amp;"/"&amp;MID(貼り付け用!$A$2, FIND("月",貼り付け用!$A$2)+1,2),"")</f>
        <v/>
      </c>
      <c r="J17" s="155" t="str">
        <f ca="1">IF(OFFSET(変更先抽出【15時】!$A$1,H17-1,16)&lt;&gt;"",OFFSET(変更先抽出【15時】!$A$1,H17-1,17),"")</f>
        <v/>
      </c>
      <c r="K17" s="156"/>
      <c r="L17" s="156"/>
      <c r="M17" s="156"/>
      <c r="N17" s="41" t="str">
        <f ca="1">IF(J17&lt;&gt;"","様","")</f>
        <v/>
      </c>
      <c r="O17" s="22"/>
      <c r="P17" s="171">
        <f>W9+1</f>
        <v>17</v>
      </c>
      <c r="Q17" s="42" t="str">
        <f ca="1">IF(R17&lt;&gt;"",
MID(貼り付け用!$A$2, FIND("年",貼り付け用!$A$2)+1,2)&amp;"/"&amp;MID(貼り付け用!$A$2, FIND("月",貼り付け用!$A$2)+1,2),"")</f>
        <v/>
      </c>
      <c r="R17" s="155" t="str">
        <f ca="1">IF(OFFSET(変更先抽出【15時】!$A$1,P17-1,16)&lt;&gt;"",OFFSET(変更先抽出【15時】!$A$1,P17-1,17),"")</f>
        <v/>
      </c>
      <c r="S17" s="156"/>
      <c r="T17" s="156"/>
      <c r="U17" s="156"/>
      <c r="V17" s="41" t="str">
        <f ca="1">IF(R17&lt;&gt;"","様","")</f>
        <v/>
      </c>
      <c r="W17" s="35">
        <f>P17+1</f>
        <v>18</v>
      </c>
      <c r="X17" s="42" t="str">
        <f ca="1">IF(Y17&lt;&gt;"",
MID(貼り付け用!$A$2, FIND("年",貼り付け用!$A$2)+1,2)&amp;"/"&amp;MID(貼り付け用!$A$2, FIND("月",貼り付け用!$A$2)+1,2),"")</f>
        <v/>
      </c>
      <c r="Y17" s="155" t="str">
        <f ca="1">IF(OFFSET(変更先抽出【15時】!$A$1,W17-1,16)&lt;&gt;"",OFFSET(変更先抽出【15時】!$A$1,W17-1,17),"")</f>
        <v/>
      </c>
      <c r="Z17" s="156"/>
      <c r="AA17" s="156"/>
      <c r="AB17" s="156"/>
      <c r="AC17" s="41" t="str">
        <f ca="1">IF(Y17&lt;&gt;"","様","")</f>
        <v/>
      </c>
      <c r="AD17" s="22"/>
      <c r="AE17" s="171">
        <f>AL9+1</f>
        <v>29</v>
      </c>
      <c r="AF17" s="42" t="str">
        <f ca="1">IF(AG17&lt;&gt;"",
MID(貼り付け用!$A$2, FIND("年",貼り付け用!$A$2)+1,2)&amp;"/"&amp;MID(貼り付け用!$A$2, FIND("月",貼り付け用!$A$2)+1,2),"")</f>
        <v/>
      </c>
      <c r="AG17" s="155" t="str">
        <f ca="1">IF(OFFSET(変更先抽出【15時】!$A$1,AE17-1,16)&lt;&gt;"",OFFSET(変更先抽出【15時】!$A$1,AE17-1,17),"")</f>
        <v/>
      </c>
      <c r="AH17" s="156"/>
      <c r="AI17" s="156"/>
      <c r="AJ17" s="156"/>
      <c r="AK17" s="41" t="str">
        <f ca="1">IF(AG17&lt;&gt;"","様","")</f>
        <v/>
      </c>
      <c r="AL17" s="35">
        <f>AE17+1</f>
        <v>30</v>
      </c>
      <c r="AM17" s="42" t="str">
        <f ca="1">IF(AN17&lt;&gt;"",
MID(貼り付け用!$A$2, FIND("年",貼り付け用!$A$2)+1,2)&amp;"/"&amp;MID(貼り付け用!$A$2, FIND("月",貼り付け用!$A$2)+1,2),"")</f>
        <v/>
      </c>
      <c r="AN17" s="155" t="str">
        <f ca="1">IF(OFFSET(変更先抽出【15時】!$A$1,AL17-1,16)&lt;&gt;"",OFFSET(変更先抽出【15時】!$A$1,AL17-1,17),"")</f>
        <v/>
      </c>
      <c r="AO17" s="156"/>
      <c r="AP17" s="156"/>
      <c r="AQ17" s="156"/>
      <c r="AR17" s="41" t="str">
        <f ca="1">IF(AN17&lt;&gt;"","様","")</f>
        <v/>
      </c>
      <c r="AS17" s="22"/>
      <c r="AT17" s="171">
        <f>BA9+1</f>
        <v>41</v>
      </c>
      <c r="AU17" s="42" t="str">
        <f ca="1">IF(AV17&lt;&gt;"",
MID(貼り付け用!$A$2, FIND("年",貼り付け用!$A$2)+1,2)&amp;"/"&amp;MID(貼り付け用!$A$2, FIND("月",貼り付け用!$A$2)+1,2),"")</f>
        <v/>
      </c>
      <c r="AV17" s="155" t="str">
        <f ca="1">IF(OFFSET(変更先抽出【15時】!$A$1,AT17-1,16)&lt;&gt;"",OFFSET(変更先抽出【15時】!$A$1,AT17-1,17),"")</f>
        <v/>
      </c>
      <c r="AW17" s="156"/>
      <c r="AX17" s="156"/>
      <c r="AY17" s="156"/>
      <c r="AZ17" s="41" t="str">
        <f ca="1">IF(AV17&lt;&gt;"","様","")</f>
        <v/>
      </c>
      <c r="BA17" s="35">
        <f>AT17+1</f>
        <v>42</v>
      </c>
      <c r="BB17" s="42" t="str">
        <f ca="1">IF(BC17&lt;&gt;"",
MID(貼り付け用!$A$2, FIND("年",貼り付け用!$A$2)+1,2)&amp;"/"&amp;MID(貼り付け用!$A$2, FIND("月",貼り付け用!$A$2)+1,2),"")</f>
        <v/>
      </c>
      <c r="BC17" s="155" t="str">
        <f ca="1">IF(OFFSET(変更先抽出【15時】!$A$1,BA17-1,16)&lt;&gt;"",OFFSET(変更先抽出【15時】!$A$1,BA17-1,17),"")</f>
        <v/>
      </c>
      <c r="BD17" s="156"/>
      <c r="BE17" s="156"/>
      <c r="BF17" s="156"/>
      <c r="BG17" s="41" t="str">
        <f ca="1">IF(BC17&lt;&gt;"","様","")</f>
        <v/>
      </c>
      <c r="BH17" s="22"/>
      <c r="BI17" s="171">
        <f>BP9+1</f>
        <v>53</v>
      </c>
      <c r="BJ17" s="42" t="str">
        <f ca="1">IF(BK17&lt;&gt;"",
MID(貼り付け用!$A$2, FIND("年",貼り付け用!$A$2)+1,2)&amp;"/"&amp;MID(貼り付け用!$A$2, FIND("月",貼り付け用!$A$2)+1,2),"")</f>
        <v/>
      </c>
      <c r="BK17" s="155" t="str">
        <f ca="1">IF(OFFSET(変更先抽出【15時】!$A$1,BI17-1,16)&lt;&gt;"",OFFSET(変更先抽出【15時】!$A$1,BI17-1,17),"")</f>
        <v/>
      </c>
      <c r="BL17" s="156"/>
      <c r="BM17" s="156"/>
      <c r="BN17" s="156"/>
      <c r="BO17" s="41" t="str">
        <f ca="1">IF(BK17&lt;&gt;"","様","")</f>
        <v/>
      </c>
      <c r="BP17" s="35">
        <f>BI17+1</f>
        <v>54</v>
      </c>
      <c r="BQ17" s="42" t="str">
        <f ca="1">IF(BR17&lt;&gt;"",
MID(貼り付け用!$A$2, FIND("年",貼り付け用!$A$2)+1,2)&amp;"/"&amp;MID(貼り付け用!$A$2, FIND("月",貼り付け用!$A$2)+1,2),"")</f>
        <v/>
      </c>
      <c r="BR17" s="155" t="str">
        <f ca="1">IF(OFFSET(変更先抽出【15時】!$A$1,BP17-1,16)&lt;&gt;"",OFFSET(変更先抽出【15時】!$A$1,BP17-1,17),"")</f>
        <v/>
      </c>
      <c r="BS17" s="156"/>
      <c r="BT17" s="156"/>
      <c r="BU17" s="156"/>
      <c r="BV17" s="41" t="str">
        <f ca="1">IF(BR17&lt;&gt;"","様","")</f>
        <v/>
      </c>
      <c r="BW17" s="22"/>
      <c r="BX17" s="171">
        <f>CE9+1</f>
        <v>65</v>
      </c>
      <c r="BY17" s="42" t="str">
        <f ca="1">IF(BZ17&lt;&gt;"",
MID(貼り付け用!$A$2, FIND("年",貼り付け用!$A$2)+1,2)&amp;"/"&amp;MID(貼り付け用!$A$2, FIND("月",貼り付け用!$A$2)+1,2),"")</f>
        <v/>
      </c>
      <c r="BZ17" s="155" t="str">
        <f ca="1">IF(OFFSET(変更先抽出【15時】!$A$1,BX17-1,16)&lt;&gt;"",OFFSET(変更先抽出【15時】!$A$1,BX17-1,17),"")</f>
        <v/>
      </c>
      <c r="CA17" s="156"/>
      <c r="CB17" s="156"/>
      <c r="CC17" s="156"/>
      <c r="CD17" s="41" t="str">
        <f ca="1">IF(BZ17&lt;&gt;"","様","")</f>
        <v/>
      </c>
      <c r="CE17" s="35">
        <f>BX17+1</f>
        <v>66</v>
      </c>
      <c r="CF17" s="42" t="str">
        <f ca="1">IF(CG17&lt;&gt;"",
MID(貼り付け用!$A$2, FIND("年",貼り付け用!$A$2)+1,2)&amp;"/"&amp;MID(貼り付け用!$A$2, FIND("月",貼り付け用!$A$2)+1,2),"")</f>
        <v/>
      </c>
      <c r="CG17" s="155" t="str">
        <f ca="1">IF(OFFSET(変更先抽出【15時】!$A$1,CE17-1,16)&lt;&gt;"",OFFSET(変更先抽出【15時】!$A$1,CE17-1,17),"")</f>
        <v/>
      </c>
      <c r="CH17" s="156"/>
      <c r="CI17" s="156"/>
      <c r="CJ17" s="156"/>
      <c r="CK17" s="41" t="str">
        <f ca="1">IF(CG17&lt;&gt;"","様","")</f>
        <v/>
      </c>
      <c r="CL17" s="22"/>
      <c r="CM17" s="171">
        <f>CT9+1</f>
        <v>77</v>
      </c>
      <c r="CN17" s="42" t="str">
        <f ca="1">IF(CO17&lt;&gt;"",
MID(貼り付け用!$A$2, FIND("年",貼り付け用!$A$2)+1,2)&amp;"/"&amp;MID(貼り付け用!$A$2, FIND("月",貼り付け用!$A$2)+1,2),"")</f>
        <v/>
      </c>
      <c r="CO17" s="155" t="str">
        <f ca="1">IF(OFFSET(変更先抽出【15時】!$A$1,CM17-1,16)&lt;&gt;"",OFFSET(変更先抽出【15時】!$A$1,CM17-1,17),"")</f>
        <v/>
      </c>
      <c r="CP17" s="156"/>
      <c r="CQ17" s="156"/>
      <c r="CR17" s="156"/>
      <c r="CS17" s="41" t="str">
        <f ca="1">IF(CO17&lt;&gt;"","様","")</f>
        <v/>
      </c>
      <c r="CT17" s="35">
        <f>CM17+1</f>
        <v>78</v>
      </c>
      <c r="CU17" s="42" t="str">
        <f ca="1">IF(CV17&lt;&gt;"",
MID(貼り付け用!$A$2, FIND("年",貼り付け用!$A$2)+1,2)&amp;"/"&amp;MID(貼り付け用!$A$2, FIND("月",貼り付け用!$A$2)+1,2),"")</f>
        <v/>
      </c>
      <c r="CV17" s="155" t="str">
        <f ca="1">IF(OFFSET(変更先抽出【15時】!$A$1,CT17-1,16)&lt;&gt;"",OFFSET(変更先抽出【15時】!$A$1,CT17-1,17),"")</f>
        <v/>
      </c>
      <c r="CW17" s="156"/>
      <c r="CX17" s="156"/>
      <c r="CY17" s="156"/>
      <c r="CZ17" s="41" t="str">
        <f ca="1">IF(CV17&lt;&gt;"","様","")</f>
        <v/>
      </c>
      <c r="DA17" s="22"/>
      <c r="DB17" s="171">
        <f>DI9+1</f>
        <v>89</v>
      </c>
      <c r="DC17" s="42" t="str">
        <f ca="1">IF(DD17&lt;&gt;"",
MID(貼り付け用!$A$2, FIND("年",貼り付け用!$A$2)+1,2)&amp;"/"&amp;MID(貼り付け用!$A$2, FIND("月",貼り付け用!$A$2)+1,2),"")</f>
        <v/>
      </c>
      <c r="DD17" s="155" t="str">
        <f ca="1">IF(OFFSET(変更先抽出【15時】!$A$1,DB17-1,16)&lt;&gt;"",OFFSET(変更先抽出【15時】!$A$1,DB17-1,17),"")</f>
        <v/>
      </c>
      <c r="DE17" s="156"/>
      <c r="DF17" s="156"/>
      <c r="DG17" s="156"/>
      <c r="DH17" s="41" t="str">
        <f ca="1">IF(DD17&lt;&gt;"","様","")</f>
        <v/>
      </c>
      <c r="DI17" s="35">
        <f>DB17+1</f>
        <v>90</v>
      </c>
      <c r="DJ17" s="42" t="str">
        <f ca="1">IF(DK17&lt;&gt;"",
MID(貼り付け用!$A$2, FIND("年",貼り付け用!$A$2)+1,2)&amp;"/"&amp;MID(貼り付け用!$A$2, FIND("月",貼り付け用!$A$2)+1,2),"")</f>
        <v/>
      </c>
      <c r="DK17" s="155" t="str">
        <f ca="1">IF(OFFSET(変更先抽出【15時】!$A$1,DI17-1,16)&lt;&gt;"",OFFSET(変更先抽出【15時】!$A$1,DI17-1,17),"")</f>
        <v/>
      </c>
      <c r="DL17" s="156"/>
      <c r="DM17" s="156"/>
      <c r="DN17" s="156"/>
      <c r="DO17" s="41" t="str">
        <f ca="1">IF(DK17&lt;&gt;"","様","")</f>
        <v/>
      </c>
      <c r="DP17" s="22"/>
      <c r="DQ17" s="171">
        <f>DX9+1</f>
        <v>101</v>
      </c>
      <c r="DR17" s="42" t="str">
        <f ca="1">IF(DS17&lt;&gt;"",
MID(貼り付け用!$A$2, FIND("年",貼り付け用!$A$2)+1,2)&amp;"/"&amp;MID(貼り付け用!$A$2, FIND("月",貼り付け用!$A$2)+1,2),"")</f>
        <v/>
      </c>
      <c r="DS17" s="155" t="str">
        <f ca="1">IF(OFFSET(変更先抽出【15時】!$A$1,DQ17-1,16)&lt;&gt;"",OFFSET(変更先抽出【15時】!$A$1,DQ17-1,17),"")</f>
        <v/>
      </c>
      <c r="DT17" s="156"/>
      <c r="DU17" s="156"/>
      <c r="DV17" s="156"/>
      <c r="DW17" s="41" t="str">
        <f ca="1">IF(DS17&lt;&gt;"","様","")</f>
        <v/>
      </c>
      <c r="DX17" s="35">
        <f>DQ17+1</f>
        <v>102</v>
      </c>
      <c r="DY17" s="42" t="str">
        <f ca="1">IF(DZ17&lt;&gt;"",
MID(貼り付け用!$A$2, FIND("年",貼り付け用!$A$2)+1,2)&amp;"/"&amp;MID(貼り付け用!$A$2, FIND("月",貼り付け用!$A$2)+1,2),"")</f>
        <v/>
      </c>
      <c r="DZ17" s="155" t="str">
        <f ca="1">IF(OFFSET(変更先抽出【15時】!$A$1,DX17-1,16)&lt;&gt;"",OFFSET(変更先抽出【15時】!$A$1,DX17-1,17),"")</f>
        <v/>
      </c>
      <c r="EA17" s="156"/>
      <c r="EB17" s="156"/>
      <c r="EC17" s="156"/>
      <c r="ED17" s="41" t="str">
        <f ca="1">IF(DZ17&lt;&gt;"","様","")</f>
        <v/>
      </c>
      <c r="EE17" s="22"/>
      <c r="EF17" s="171">
        <f>EM9+1</f>
        <v>113</v>
      </c>
      <c r="EG17" s="42" t="str">
        <f ca="1">IF(EH17&lt;&gt;"",
MID(貼り付け用!$A$2, FIND("年",貼り付け用!$A$2)+1,2)&amp;"/"&amp;MID(貼り付け用!$A$2, FIND("月",貼り付け用!$A$2)+1,2),"")</f>
        <v/>
      </c>
      <c r="EH17" s="155" t="str">
        <f ca="1">IF(OFFSET(変更先抽出【15時】!$A$1,EF17-1,16)&lt;&gt;"",OFFSET(変更先抽出【15時】!$A$1,EF17-1,17),"")</f>
        <v/>
      </c>
      <c r="EI17" s="156"/>
      <c r="EJ17" s="156"/>
      <c r="EK17" s="156"/>
      <c r="EL17" s="41" t="str">
        <f ca="1">IF(EH17&lt;&gt;"","様","")</f>
        <v/>
      </c>
      <c r="EM17" s="35">
        <f>EF17+1</f>
        <v>114</v>
      </c>
      <c r="EN17" s="42" t="str">
        <f ca="1">IF(EO17&lt;&gt;"",
MID(貼り付け用!$A$2, FIND("年",貼り付け用!$A$2)+1,2)&amp;"/"&amp;MID(貼り付け用!$A$2, FIND("月",貼り付け用!$A$2)+1,2),"")</f>
        <v/>
      </c>
      <c r="EO17" s="155" t="str">
        <f ca="1">IF(OFFSET(変更先抽出【15時】!$A$1,EM17-1,16)&lt;&gt;"",OFFSET(変更先抽出【15時】!$A$1,EM17-1,17),"")</f>
        <v/>
      </c>
      <c r="EP17" s="156"/>
      <c r="EQ17" s="156"/>
      <c r="ER17" s="156"/>
      <c r="ES17" s="41" t="str">
        <f ca="1">IF(EO17&lt;&gt;"","様","")</f>
        <v/>
      </c>
      <c r="ET17" s="22"/>
    </row>
    <row r="18" spans="1:150" s="32" customFormat="1">
      <c r="A18" s="171"/>
      <c r="B18" s="109"/>
      <c r="C18" s="170" t="str">
        <f ca="1">IF(C17&lt;&gt;"",OFFSET(変更先抽出【15時】!$A$1,A17-1,18),"")</f>
        <v/>
      </c>
      <c r="D18" s="40"/>
      <c r="E18" s="40"/>
      <c r="F18" s="46" t="str">
        <f ca="1">IF(OFFSET(変更先抽出【15時】!$A$1,A17-1,25)&lt;&gt;"",OFFSET(変更先抽出【15時】!$A$1,A17-1,25)&amp;"箱"&amp;OFFSET(変更先抽出【15時】!$A$1,A17-1,26),"")</f>
        <v/>
      </c>
      <c r="G18" s="38"/>
      <c r="H18" s="47"/>
      <c r="I18" s="109"/>
      <c r="J18" s="170" t="str">
        <f ca="1">IF(J17&lt;&gt;"",OFFSET(変更先抽出【15時】!$A$1,H17-1,18),"")</f>
        <v/>
      </c>
      <c r="K18" s="40"/>
      <c r="L18" s="40"/>
      <c r="M18" s="46" t="str">
        <f ca="1">IF(OFFSET(変更先抽出【15時】!$A$1,H17-1,25)&lt;&gt;"",OFFSET(変更先抽出【15時】!$A$1,H17-1,25)&amp;"箱"&amp;OFFSET(変更先抽出【15時】!$A$1,H17-1,26),"")</f>
        <v/>
      </c>
      <c r="N18" s="38"/>
      <c r="O18" s="22"/>
      <c r="P18" s="171"/>
      <c r="Q18" s="109"/>
      <c r="R18" s="170" t="str">
        <f ca="1">IF(R17&lt;&gt;"",OFFSET(変更先抽出【15時】!$A$1,P17-1,18),"")</f>
        <v/>
      </c>
      <c r="S18" s="40"/>
      <c r="T18" s="40"/>
      <c r="U18" s="46" t="str">
        <f ca="1">IF(OFFSET(変更先抽出【15時】!$A$1,P17-1,25)&lt;&gt;"",OFFSET(変更先抽出【15時】!$A$1,P17-1,25)&amp;"箱"&amp;OFFSET(変更先抽出【15時】!$A$1,P17-1,26),"")</f>
        <v/>
      </c>
      <c r="V18" s="38"/>
      <c r="W18" s="47"/>
      <c r="X18" s="109"/>
      <c r="Y18" s="170" t="str">
        <f ca="1">IF(Y17&lt;&gt;"",OFFSET(変更先抽出【15時】!$A$1,W17-1,18),"")</f>
        <v/>
      </c>
      <c r="Z18" s="40"/>
      <c r="AA18" s="40"/>
      <c r="AB18" s="46" t="str">
        <f ca="1">IF(OFFSET(変更先抽出【15時】!$A$1,W17-1,25)&lt;&gt;"",OFFSET(変更先抽出【15時】!$A$1,W17-1,25)&amp;"箱"&amp;OFFSET(変更先抽出【15時】!$A$1,W17-1,26),"")</f>
        <v/>
      </c>
      <c r="AC18" s="38"/>
      <c r="AD18" s="22"/>
      <c r="AE18" s="171"/>
      <c r="AF18" s="109"/>
      <c r="AG18" s="170" t="str">
        <f ca="1">IF(AG17&lt;&gt;"",OFFSET(変更先抽出【15時】!$A$1,AE17-1,18),"")</f>
        <v/>
      </c>
      <c r="AH18" s="40"/>
      <c r="AI18" s="40"/>
      <c r="AJ18" s="46" t="str">
        <f ca="1">IF(OFFSET(変更先抽出【15時】!$A$1,AE17-1,25)&lt;&gt;"",OFFSET(変更先抽出【15時】!$A$1,AE17-1,25)&amp;"箱"&amp;OFFSET(変更先抽出【15時】!$A$1,AE17-1,26),"")</f>
        <v/>
      </c>
      <c r="AK18" s="38"/>
      <c r="AL18" s="47"/>
      <c r="AM18" s="109"/>
      <c r="AN18" s="170" t="str">
        <f ca="1">IF(AN17&lt;&gt;"",OFFSET(変更先抽出【15時】!$A$1,AL17-1,18),"")</f>
        <v/>
      </c>
      <c r="AO18" s="40"/>
      <c r="AP18" s="40"/>
      <c r="AQ18" s="46" t="str">
        <f ca="1">IF(OFFSET(変更先抽出【15時】!$A$1,AL17-1,25)&lt;&gt;"",OFFSET(変更先抽出【15時】!$A$1,AL17-1,25)&amp;"箱"&amp;OFFSET(変更先抽出【15時】!$A$1,AL17-1,26),"")</f>
        <v/>
      </c>
      <c r="AR18" s="38"/>
      <c r="AS18" s="22"/>
      <c r="AT18" s="171"/>
      <c r="AU18" s="109"/>
      <c r="AV18" s="170" t="str">
        <f ca="1">IF(AV17&lt;&gt;"",OFFSET(変更先抽出【15時】!$A$1,AT17-1,18),"")</f>
        <v/>
      </c>
      <c r="AW18" s="40"/>
      <c r="AX18" s="40"/>
      <c r="AY18" s="46" t="str">
        <f ca="1">IF(OFFSET(変更先抽出【15時】!$A$1,AT17-1,25)&lt;&gt;"",OFFSET(変更先抽出【15時】!$A$1,AT17-1,25)&amp;"箱"&amp;OFFSET(変更先抽出【15時】!$A$1,AT17-1,26),"")</f>
        <v/>
      </c>
      <c r="AZ18" s="38"/>
      <c r="BA18" s="47"/>
      <c r="BB18" s="109"/>
      <c r="BC18" s="170" t="str">
        <f ca="1">IF(BC17&lt;&gt;"",OFFSET(変更先抽出【15時】!$A$1,BA17-1,18),"")</f>
        <v/>
      </c>
      <c r="BD18" s="40"/>
      <c r="BE18" s="40"/>
      <c r="BF18" s="46" t="str">
        <f ca="1">IF(OFFSET(変更先抽出【15時】!$A$1,BA17-1,25)&lt;&gt;"",OFFSET(変更先抽出【15時】!$A$1,BA17-1,25)&amp;"箱"&amp;OFFSET(変更先抽出【15時】!$A$1,BA17-1,26),"")</f>
        <v/>
      </c>
      <c r="BG18" s="38"/>
      <c r="BH18" s="22"/>
      <c r="BI18" s="171"/>
      <c r="BJ18" s="109"/>
      <c r="BK18" s="170" t="str">
        <f ca="1">IF(BK17&lt;&gt;"",OFFSET(変更先抽出【15時】!$A$1,BI17-1,18),"")</f>
        <v/>
      </c>
      <c r="BL18" s="40"/>
      <c r="BM18" s="40"/>
      <c r="BN18" s="46" t="str">
        <f ca="1">IF(OFFSET(変更先抽出【15時】!$A$1,BI17-1,25)&lt;&gt;"",OFFSET(変更先抽出【15時】!$A$1,BI17-1,25)&amp;"箱"&amp;OFFSET(変更先抽出【15時】!$A$1,BI17-1,26),"")</f>
        <v/>
      </c>
      <c r="BO18" s="38"/>
      <c r="BP18" s="47"/>
      <c r="BQ18" s="109"/>
      <c r="BR18" s="170" t="str">
        <f ca="1">IF(BR17&lt;&gt;"",OFFSET(変更先抽出【15時】!$A$1,BP17-1,18),"")</f>
        <v/>
      </c>
      <c r="BS18" s="40"/>
      <c r="BT18" s="40"/>
      <c r="BU18" s="46" t="str">
        <f ca="1">IF(OFFSET(変更先抽出【15時】!$A$1,BP17-1,25)&lt;&gt;"",OFFSET(変更先抽出【15時】!$A$1,BP17-1,25)&amp;"箱"&amp;OFFSET(変更先抽出【15時】!$A$1,BP17-1,26),"")</f>
        <v/>
      </c>
      <c r="BV18" s="38"/>
      <c r="BW18" s="22"/>
      <c r="BX18" s="171"/>
      <c r="BY18" s="109"/>
      <c r="BZ18" s="170" t="str">
        <f ca="1">IF(BZ17&lt;&gt;"",OFFSET(変更先抽出【15時】!$A$1,BX17-1,18),"")</f>
        <v/>
      </c>
      <c r="CA18" s="40"/>
      <c r="CB18" s="40"/>
      <c r="CC18" s="46" t="str">
        <f ca="1">IF(OFFSET(変更先抽出【15時】!$A$1,BX17-1,25)&lt;&gt;"",OFFSET(変更先抽出【15時】!$A$1,BX17-1,25)&amp;"箱"&amp;OFFSET(変更先抽出【15時】!$A$1,BX17-1,26),"")</f>
        <v/>
      </c>
      <c r="CD18" s="38"/>
      <c r="CE18" s="47"/>
      <c r="CF18" s="109"/>
      <c r="CG18" s="170" t="str">
        <f ca="1">IF(CG17&lt;&gt;"",OFFSET(変更先抽出【15時】!$A$1,CE17-1,18),"")</f>
        <v/>
      </c>
      <c r="CH18" s="40"/>
      <c r="CI18" s="40"/>
      <c r="CJ18" s="46" t="str">
        <f ca="1">IF(OFFSET(変更先抽出【15時】!$A$1,CE17-1,25)&lt;&gt;"",OFFSET(変更先抽出【15時】!$A$1,CE17-1,25)&amp;"箱"&amp;OFFSET(変更先抽出【15時】!$A$1,CE17-1,26),"")</f>
        <v/>
      </c>
      <c r="CK18" s="38"/>
      <c r="CL18" s="22"/>
      <c r="CM18" s="171"/>
      <c r="CN18" s="109"/>
      <c r="CO18" s="170" t="str">
        <f ca="1">IF(CO17&lt;&gt;"",OFFSET(変更先抽出【15時】!$A$1,CM17-1,18),"")</f>
        <v/>
      </c>
      <c r="CP18" s="40"/>
      <c r="CQ18" s="40"/>
      <c r="CR18" s="46" t="str">
        <f ca="1">IF(OFFSET(変更先抽出【15時】!$A$1,CM17-1,25)&lt;&gt;"",OFFSET(変更先抽出【15時】!$A$1,CM17-1,25)&amp;"箱"&amp;OFFSET(変更先抽出【15時】!$A$1,CM17-1,26),"")</f>
        <v/>
      </c>
      <c r="CS18" s="38"/>
      <c r="CT18" s="47"/>
      <c r="CU18" s="109"/>
      <c r="CV18" s="170" t="str">
        <f ca="1">IF(CV17&lt;&gt;"",OFFSET(変更先抽出【15時】!$A$1,CT17-1,18),"")</f>
        <v/>
      </c>
      <c r="CW18" s="40"/>
      <c r="CX18" s="40"/>
      <c r="CY18" s="46" t="str">
        <f ca="1">IF(OFFSET(変更先抽出【15時】!$A$1,CT17-1,25)&lt;&gt;"",OFFSET(変更先抽出【15時】!$A$1,CT17-1,25)&amp;"箱"&amp;OFFSET(変更先抽出【15時】!$A$1,CT17-1,26),"")</f>
        <v/>
      </c>
      <c r="CZ18" s="38"/>
      <c r="DA18" s="22"/>
      <c r="DB18" s="171"/>
      <c r="DC18" s="109"/>
      <c r="DD18" s="170" t="str">
        <f ca="1">IF(DD17&lt;&gt;"",OFFSET(変更先抽出【15時】!$A$1,DB17-1,18),"")</f>
        <v/>
      </c>
      <c r="DE18" s="40"/>
      <c r="DF18" s="40"/>
      <c r="DG18" s="46" t="str">
        <f ca="1">IF(OFFSET(変更先抽出【15時】!$A$1,DB17-1,25)&lt;&gt;"",OFFSET(変更先抽出【15時】!$A$1,DB17-1,25)&amp;"箱"&amp;OFFSET(変更先抽出【15時】!$A$1,DB17-1,26),"")</f>
        <v/>
      </c>
      <c r="DH18" s="38"/>
      <c r="DI18" s="47"/>
      <c r="DJ18" s="109"/>
      <c r="DK18" s="170" t="str">
        <f ca="1">IF(DK17&lt;&gt;"",OFFSET(変更先抽出【15時】!$A$1,DI17-1,18),"")</f>
        <v/>
      </c>
      <c r="DL18" s="40"/>
      <c r="DM18" s="40"/>
      <c r="DN18" s="46" t="str">
        <f ca="1">IF(OFFSET(変更先抽出【15時】!$A$1,DI17-1,25)&lt;&gt;"",OFFSET(変更先抽出【15時】!$A$1,DI17-1,25)&amp;"箱"&amp;OFFSET(変更先抽出【15時】!$A$1,DI17-1,26),"")</f>
        <v/>
      </c>
      <c r="DO18" s="38"/>
      <c r="DP18" s="22"/>
      <c r="DQ18" s="171"/>
      <c r="DR18" s="109"/>
      <c r="DS18" s="170" t="str">
        <f ca="1">IF(DS17&lt;&gt;"",OFFSET(変更先抽出【15時】!$A$1,DQ17-1,18),"")</f>
        <v/>
      </c>
      <c r="DT18" s="40"/>
      <c r="DU18" s="40"/>
      <c r="DV18" s="46" t="str">
        <f ca="1">IF(OFFSET(変更先抽出【15時】!$A$1,DQ17-1,25)&lt;&gt;"",OFFSET(変更先抽出【15時】!$A$1,DQ17-1,25)&amp;"箱"&amp;OFFSET(変更先抽出【15時】!$A$1,DQ17-1,26),"")</f>
        <v/>
      </c>
      <c r="DW18" s="38"/>
      <c r="DX18" s="47"/>
      <c r="DY18" s="109"/>
      <c r="DZ18" s="170" t="str">
        <f ca="1">IF(DZ17&lt;&gt;"",OFFSET(変更先抽出【15時】!$A$1,DX17-1,18),"")</f>
        <v/>
      </c>
      <c r="EA18" s="40"/>
      <c r="EB18" s="40"/>
      <c r="EC18" s="46" t="str">
        <f ca="1">IF(OFFSET(変更先抽出【15時】!$A$1,DX17-1,25)&lt;&gt;"",OFFSET(変更先抽出【15時】!$A$1,DX17-1,25)&amp;"箱"&amp;OFFSET(変更先抽出【15時】!$A$1,DX17-1,26),"")</f>
        <v/>
      </c>
      <c r="ED18" s="38"/>
      <c r="EE18" s="22"/>
      <c r="EF18" s="171"/>
      <c r="EG18" s="109"/>
      <c r="EH18" s="170" t="str">
        <f ca="1">IF(EH17&lt;&gt;"",OFFSET(変更先抽出【15時】!$A$1,EF17-1,18),"")</f>
        <v/>
      </c>
      <c r="EI18" s="40"/>
      <c r="EJ18" s="40"/>
      <c r="EK18" s="46" t="str">
        <f ca="1">IF(OFFSET(変更先抽出【15時】!$A$1,EF17-1,25)&lt;&gt;"",OFFSET(変更先抽出【15時】!$A$1,EF17-1,25)&amp;"箱"&amp;OFFSET(変更先抽出【15時】!$A$1,EF17-1,26),"")</f>
        <v/>
      </c>
      <c r="EL18" s="38"/>
      <c r="EM18" s="47"/>
      <c r="EN18" s="109"/>
      <c r="EO18" s="170" t="str">
        <f ca="1">IF(EO17&lt;&gt;"",OFFSET(変更先抽出【15時】!$A$1,EM17-1,18),"")</f>
        <v/>
      </c>
      <c r="EP18" s="40"/>
      <c r="EQ18" s="40"/>
      <c r="ER18" s="46" t="str">
        <f ca="1">IF(OFFSET(変更先抽出【15時】!$A$1,EM17-1,25)&lt;&gt;"",OFFSET(変更先抽出【15時】!$A$1,EM17-1,25)&amp;"箱"&amp;OFFSET(変更先抽出【15時】!$A$1,EM17-1,26),"")</f>
        <v/>
      </c>
      <c r="ES18" s="38"/>
      <c r="ET18" s="22"/>
    </row>
    <row r="19" spans="1:150" s="32" customFormat="1">
      <c r="A19" s="171"/>
      <c r="B19" s="33"/>
      <c r="C19" s="153" t="str">
        <f ca="1">IF(C17&lt;&gt;"","園児","")</f>
        <v/>
      </c>
      <c r="D19" s="154"/>
      <c r="E19" s="22"/>
      <c r="F19" s="168" t="str">
        <f ca="1">IF(C17&lt;&gt;"","先生","")</f>
        <v/>
      </c>
      <c r="G19" s="39"/>
      <c r="H19" s="35"/>
      <c r="I19" s="33"/>
      <c r="J19" s="153" t="str">
        <f ca="1">IF(J17&lt;&gt;"","園児","")</f>
        <v/>
      </c>
      <c r="K19" s="154"/>
      <c r="L19" s="22"/>
      <c r="M19" s="168" t="str">
        <f ca="1">IF(J17&lt;&gt;"","先生","")</f>
        <v/>
      </c>
      <c r="N19" s="39"/>
      <c r="O19" s="22"/>
      <c r="P19" s="171"/>
      <c r="Q19" s="33"/>
      <c r="R19" s="153" t="str">
        <f ca="1">IF(R17&lt;&gt;"","園児","")</f>
        <v/>
      </c>
      <c r="S19" s="154"/>
      <c r="T19" s="22"/>
      <c r="U19" s="168" t="str">
        <f ca="1">IF(R17&lt;&gt;"","先生","")</f>
        <v/>
      </c>
      <c r="V19" s="39"/>
      <c r="W19" s="35"/>
      <c r="X19" s="33"/>
      <c r="Y19" s="153" t="str">
        <f ca="1">IF(Y17&lt;&gt;"","園児","")</f>
        <v/>
      </c>
      <c r="Z19" s="154"/>
      <c r="AA19" s="22"/>
      <c r="AB19" s="168" t="str">
        <f ca="1">IF(Y17&lt;&gt;"","先生","")</f>
        <v/>
      </c>
      <c r="AC19" s="39"/>
      <c r="AD19" s="22"/>
      <c r="AE19" s="171"/>
      <c r="AF19" s="33"/>
      <c r="AG19" s="153" t="str">
        <f ca="1">IF(AG17&lt;&gt;"","園児","")</f>
        <v/>
      </c>
      <c r="AH19" s="154"/>
      <c r="AI19" s="22"/>
      <c r="AJ19" s="168" t="str">
        <f ca="1">IF(AG17&lt;&gt;"","先生","")</f>
        <v/>
      </c>
      <c r="AK19" s="39"/>
      <c r="AL19" s="35"/>
      <c r="AM19" s="33"/>
      <c r="AN19" s="153" t="str">
        <f ca="1">IF(AN17&lt;&gt;"","園児","")</f>
        <v/>
      </c>
      <c r="AO19" s="154"/>
      <c r="AP19" s="22"/>
      <c r="AQ19" s="168" t="str">
        <f ca="1">IF(AN17&lt;&gt;"","先生","")</f>
        <v/>
      </c>
      <c r="AR19" s="39"/>
      <c r="AS19" s="22"/>
      <c r="AT19" s="171"/>
      <c r="AU19" s="33"/>
      <c r="AV19" s="153" t="str">
        <f ca="1">IF(AV17&lt;&gt;"","園児","")</f>
        <v/>
      </c>
      <c r="AW19" s="154"/>
      <c r="AX19" s="22"/>
      <c r="AY19" s="168" t="str">
        <f ca="1">IF(AV17&lt;&gt;"","先生","")</f>
        <v/>
      </c>
      <c r="AZ19" s="39"/>
      <c r="BA19" s="35"/>
      <c r="BB19" s="33"/>
      <c r="BC19" s="153" t="str">
        <f ca="1">IF(BC17&lt;&gt;"","園児","")</f>
        <v/>
      </c>
      <c r="BD19" s="154"/>
      <c r="BE19" s="22"/>
      <c r="BF19" s="168" t="str">
        <f ca="1">IF(BC17&lt;&gt;"","先生","")</f>
        <v/>
      </c>
      <c r="BG19" s="39"/>
      <c r="BH19" s="22"/>
      <c r="BI19" s="171"/>
      <c r="BJ19" s="33"/>
      <c r="BK19" s="153" t="str">
        <f ca="1">IF(BK17&lt;&gt;"","園児","")</f>
        <v/>
      </c>
      <c r="BL19" s="154"/>
      <c r="BM19" s="22"/>
      <c r="BN19" s="168" t="str">
        <f ca="1">IF(BK17&lt;&gt;"","先生","")</f>
        <v/>
      </c>
      <c r="BO19" s="39"/>
      <c r="BP19" s="35"/>
      <c r="BQ19" s="33"/>
      <c r="BR19" s="153" t="str">
        <f ca="1">IF(BR17&lt;&gt;"","園児","")</f>
        <v/>
      </c>
      <c r="BS19" s="154"/>
      <c r="BT19" s="22"/>
      <c r="BU19" s="168" t="str">
        <f ca="1">IF(BR17&lt;&gt;"","先生","")</f>
        <v/>
      </c>
      <c r="BV19" s="39"/>
      <c r="BW19" s="22"/>
      <c r="BX19" s="171"/>
      <c r="BY19" s="33"/>
      <c r="BZ19" s="153" t="str">
        <f ca="1">IF(BZ17&lt;&gt;"","園児","")</f>
        <v/>
      </c>
      <c r="CA19" s="154"/>
      <c r="CB19" s="22"/>
      <c r="CC19" s="168" t="str">
        <f ca="1">IF(BZ17&lt;&gt;"","先生","")</f>
        <v/>
      </c>
      <c r="CD19" s="39"/>
      <c r="CE19" s="35"/>
      <c r="CF19" s="33"/>
      <c r="CG19" s="153" t="str">
        <f ca="1">IF(CG17&lt;&gt;"","園児","")</f>
        <v/>
      </c>
      <c r="CH19" s="154"/>
      <c r="CI19" s="22"/>
      <c r="CJ19" s="168" t="str">
        <f ca="1">IF(CG17&lt;&gt;"","先生","")</f>
        <v/>
      </c>
      <c r="CK19" s="39"/>
      <c r="CL19" s="22"/>
      <c r="CM19" s="171"/>
      <c r="CN19" s="33"/>
      <c r="CO19" s="153" t="str">
        <f ca="1">IF(CO17&lt;&gt;"","園児","")</f>
        <v/>
      </c>
      <c r="CP19" s="154"/>
      <c r="CQ19" s="22"/>
      <c r="CR19" s="168" t="str">
        <f ca="1">IF(CO17&lt;&gt;"","先生","")</f>
        <v/>
      </c>
      <c r="CS19" s="39"/>
      <c r="CT19" s="35"/>
      <c r="CU19" s="33"/>
      <c r="CV19" s="153" t="str">
        <f ca="1">IF(CV17&lt;&gt;"","園児","")</f>
        <v/>
      </c>
      <c r="CW19" s="154"/>
      <c r="CX19" s="22"/>
      <c r="CY19" s="168" t="str">
        <f ca="1">IF(CV17&lt;&gt;"","先生","")</f>
        <v/>
      </c>
      <c r="CZ19" s="39"/>
      <c r="DA19" s="22"/>
      <c r="DB19" s="171"/>
      <c r="DC19" s="33"/>
      <c r="DD19" s="153" t="str">
        <f ca="1">IF(DD17&lt;&gt;"","園児","")</f>
        <v/>
      </c>
      <c r="DE19" s="154"/>
      <c r="DF19" s="22"/>
      <c r="DG19" s="168" t="str">
        <f ca="1">IF(DD17&lt;&gt;"","先生","")</f>
        <v/>
      </c>
      <c r="DH19" s="39"/>
      <c r="DI19" s="35"/>
      <c r="DJ19" s="33"/>
      <c r="DK19" s="153" t="str">
        <f ca="1">IF(DK17&lt;&gt;"","園児","")</f>
        <v/>
      </c>
      <c r="DL19" s="154"/>
      <c r="DM19" s="22"/>
      <c r="DN19" s="168" t="str">
        <f ca="1">IF(DK17&lt;&gt;"","先生","")</f>
        <v/>
      </c>
      <c r="DO19" s="39"/>
      <c r="DP19" s="22"/>
      <c r="DQ19" s="171"/>
      <c r="DR19" s="33"/>
      <c r="DS19" s="153" t="str">
        <f ca="1">IF(DS17&lt;&gt;"","園児","")</f>
        <v/>
      </c>
      <c r="DT19" s="154"/>
      <c r="DU19" s="22"/>
      <c r="DV19" s="168" t="str">
        <f ca="1">IF(DS17&lt;&gt;"","先生","")</f>
        <v/>
      </c>
      <c r="DW19" s="39"/>
      <c r="DX19" s="35"/>
      <c r="DY19" s="33"/>
      <c r="DZ19" s="153" t="str">
        <f ca="1">IF(DZ17&lt;&gt;"","園児","")</f>
        <v/>
      </c>
      <c r="EA19" s="154"/>
      <c r="EB19" s="22"/>
      <c r="EC19" s="168" t="str">
        <f ca="1">IF(DZ17&lt;&gt;"","先生","")</f>
        <v/>
      </c>
      <c r="ED19" s="39"/>
      <c r="EE19" s="22"/>
      <c r="EF19" s="171"/>
      <c r="EG19" s="33"/>
      <c r="EH19" s="153" t="str">
        <f ca="1">IF(EH17&lt;&gt;"","園児","")</f>
        <v/>
      </c>
      <c r="EI19" s="154"/>
      <c r="EJ19" s="22"/>
      <c r="EK19" s="168" t="str">
        <f ca="1">IF(EH17&lt;&gt;"","先生","")</f>
        <v/>
      </c>
      <c r="EL19" s="39"/>
      <c r="EM19" s="35"/>
      <c r="EN19" s="33"/>
      <c r="EO19" s="153" t="str">
        <f ca="1">IF(EO17&lt;&gt;"","園児","")</f>
        <v/>
      </c>
      <c r="EP19" s="154"/>
      <c r="EQ19" s="22"/>
      <c r="ER19" s="168" t="str">
        <f ca="1">IF(EO17&lt;&gt;"","先生","")</f>
        <v/>
      </c>
      <c r="ES19" s="39"/>
      <c r="ET19" s="22"/>
    </row>
    <row r="20" spans="1:150" ht="15.6" customHeight="1">
      <c r="B20" s="25"/>
      <c r="C20" s="151" t="str">
        <f ca="1">IF(C17&lt;&gt;"",OFFSET(変更先抽出【15時】!$A$1,A17-1,19),"")</f>
        <v/>
      </c>
      <c r="D20" s="152"/>
      <c r="E20" s="48"/>
      <c r="F20" s="147" t="str">
        <f ca="1">IF(C17&lt;&gt;"",OFFSET(変更先抽出【15時】!$A$1,A17-1,20),"")</f>
        <v/>
      </c>
      <c r="G20" s="148"/>
      <c r="H20" s="26"/>
      <c r="I20" s="25"/>
      <c r="J20" s="151" t="str">
        <f ca="1">IF(J17&lt;&gt;"",OFFSET(変更先抽出【15時】!$A$1,H17-1,19),"")</f>
        <v/>
      </c>
      <c r="K20" s="152"/>
      <c r="L20" s="48"/>
      <c r="M20" s="147" t="str">
        <f ca="1">IF(J17&lt;&gt;"",OFFSET(変更先抽出【15時】!$A$1,H17-1,20),"")</f>
        <v/>
      </c>
      <c r="N20" s="148"/>
      <c r="Q20" s="25"/>
      <c r="R20" s="151" t="str">
        <f ca="1">IF(R17&lt;&gt;"",OFFSET(変更先抽出【15時】!$A$1,P17-1,19),"")</f>
        <v/>
      </c>
      <c r="S20" s="152"/>
      <c r="T20" s="48"/>
      <c r="U20" s="147" t="str">
        <f ca="1">IF(R17&lt;&gt;"",OFFSET(変更先抽出【15時】!$A$1,P17-1,20),"")</f>
        <v/>
      </c>
      <c r="V20" s="148"/>
      <c r="W20" s="26"/>
      <c r="X20" s="25"/>
      <c r="Y20" s="151" t="str">
        <f ca="1">IF(Y17&lt;&gt;"",OFFSET(変更先抽出【15時】!$A$1,W17-1,19),"")</f>
        <v/>
      </c>
      <c r="Z20" s="152"/>
      <c r="AA20" s="48"/>
      <c r="AB20" s="147" t="str">
        <f ca="1">IF(Y17&lt;&gt;"",OFFSET(変更先抽出【15時】!$A$1,W17-1,20),"")</f>
        <v/>
      </c>
      <c r="AC20" s="148"/>
      <c r="AF20" s="25"/>
      <c r="AG20" s="151" t="str">
        <f ca="1">IF(AG17&lt;&gt;"",OFFSET(変更先抽出【15時】!$A$1,AE17-1,19),"")</f>
        <v/>
      </c>
      <c r="AH20" s="152"/>
      <c r="AI20" s="48"/>
      <c r="AJ20" s="147" t="str">
        <f ca="1">IF(AG17&lt;&gt;"",OFFSET(変更先抽出【15時】!$A$1,AE17-1,20),"")</f>
        <v/>
      </c>
      <c r="AK20" s="148"/>
      <c r="AL20" s="26"/>
      <c r="AM20" s="25"/>
      <c r="AN20" s="151" t="str">
        <f ca="1">IF(AN17&lt;&gt;"",OFFSET(変更先抽出【15時】!$A$1,AL17-1,19),"")</f>
        <v/>
      </c>
      <c r="AO20" s="152"/>
      <c r="AP20" s="48"/>
      <c r="AQ20" s="147" t="str">
        <f ca="1">IF(AN17&lt;&gt;"",OFFSET(変更先抽出【15時】!$A$1,AL17-1,20),"")</f>
        <v/>
      </c>
      <c r="AR20" s="148"/>
      <c r="AU20" s="25"/>
      <c r="AV20" s="151" t="str">
        <f ca="1">IF(AV17&lt;&gt;"",OFFSET(変更先抽出【15時】!$A$1,AT17-1,19),"")</f>
        <v/>
      </c>
      <c r="AW20" s="152"/>
      <c r="AX20" s="48"/>
      <c r="AY20" s="147" t="str">
        <f ca="1">IF(AV17&lt;&gt;"",OFFSET(変更先抽出【15時】!$A$1,AT17-1,20),"")</f>
        <v/>
      </c>
      <c r="AZ20" s="148"/>
      <c r="BA20" s="26"/>
      <c r="BB20" s="25"/>
      <c r="BC20" s="151" t="str">
        <f ca="1">IF(BC17&lt;&gt;"",OFFSET(変更先抽出【15時】!$A$1,BA17-1,19),"")</f>
        <v/>
      </c>
      <c r="BD20" s="152"/>
      <c r="BE20" s="48"/>
      <c r="BF20" s="147" t="str">
        <f ca="1">IF(BC17&lt;&gt;"",OFFSET(変更先抽出【15時】!$A$1,BA17-1,20),"")</f>
        <v/>
      </c>
      <c r="BG20" s="148"/>
      <c r="BJ20" s="25"/>
      <c r="BK20" s="151" t="str">
        <f ca="1">IF(BK17&lt;&gt;"",OFFSET(変更先抽出【15時】!$A$1,BI17-1,19),"")</f>
        <v/>
      </c>
      <c r="BL20" s="152"/>
      <c r="BM20" s="48"/>
      <c r="BN20" s="147" t="str">
        <f ca="1">IF(BK17&lt;&gt;"",OFFSET(変更先抽出【15時】!$A$1,BI17-1,20),"")</f>
        <v/>
      </c>
      <c r="BO20" s="148"/>
      <c r="BP20" s="26"/>
      <c r="BQ20" s="25"/>
      <c r="BR20" s="151" t="str">
        <f ca="1">IF(BR17&lt;&gt;"",OFFSET(変更先抽出【15時】!$A$1,BP17-1,19),"")</f>
        <v/>
      </c>
      <c r="BS20" s="152"/>
      <c r="BT20" s="48"/>
      <c r="BU20" s="147" t="str">
        <f ca="1">IF(BR17&lt;&gt;"",OFFSET(変更先抽出【15時】!$A$1,BP17-1,20),"")</f>
        <v/>
      </c>
      <c r="BV20" s="148"/>
      <c r="BY20" s="25"/>
      <c r="BZ20" s="151" t="str">
        <f ca="1">IF(BZ17&lt;&gt;"",OFFSET(変更先抽出【15時】!$A$1,BX17-1,19),"")</f>
        <v/>
      </c>
      <c r="CA20" s="152"/>
      <c r="CB20" s="48"/>
      <c r="CC20" s="147" t="str">
        <f ca="1">IF(BZ17&lt;&gt;"",OFFSET(変更先抽出【15時】!$A$1,BX17-1,20),"")</f>
        <v/>
      </c>
      <c r="CD20" s="148"/>
      <c r="CE20" s="26"/>
      <c r="CF20" s="25"/>
      <c r="CG20" s="151" t="str">
        <f ca="1">IF(CG17&lt;&gt;"",OFFSET(変更先抽出【15時】!$A$1,CE17-1,19),"")</f>
        <v/>
      </c>
      <c r="CH20" s="152"/>
      <c r="CI20" s="48"/>
      <c r="CJ20" s="147" t="str">
        <f ca="1">IF(CG17&lt;&gt;"",OFFSET(変更先抽出【15時】!$A$1,CE17-1,20),"")</f>
        <v/>
      </c>
      <c r="CK20" s="148"/>
      <c r="CN20" s="25"/>
      <c r="CO20" s="151" t="str">
        <f ca="1">IF(CO17&lt;&gt;"",OFFSET(変更先抽出【15時】!$A$1,CM17-1,19),"")</f>
        <v/>
      </c>
      <c r="CP20" s="152"/>
      <c r="CQ20" s="48"/>
      <c r="CR20" s="147" t="str">
        <f ca="1">IF(CO17&lt;&gt;"",OFFSET(変更先抽出【15時】!$A$1,CM17-1,20),"")</f>
        <v/>
      </c>
      <c r="CS20" s="148"/>
      <c r="CT20" s="26"/>
      <c r="CU20" s="25"/>
      <c r="CV20" s="151" t="str">
        <f ca="1">IF(CV17&lt;&gt;"",OFFSET(変更先抽出【15時】!$A$1,CT17-1,19),"")</f>
        <v/>
      </c>
      <c r="CW20" s="152"/>
      <c r="CX20" s="48"/>
      <c r="CY20" s="147" t="str">
        <f ca="1">IF(CV17&lt;&gt;"",OFFSET(変更先抽出【15時】!$A$1,CT17-1,20),"")</f>
        <v/>
      </c>
      <c r="CZ20" s="148"/>
      <c r="DC20" s="25"/>
      <c r="DD20" s="151" t="str">
        <f ca="1">IF(DD17&lt;&gt;"",OFFSET(変更先抽出【15時】!$A$1,DB17-1,19),"")</f>
        <v/>
      </c>
      <c r="DE20" s="152"/>
      <c r="DF20" s="48"/>
      <c r="DG20" s="147" t="str">
        <f ca="1">IF(DD17&lt;&gt;"",OFFSET(変更先抽出【15時】!$A$1,DB17-1,20),"")</f>
        <v/>
      </c>
      <c r="DH20" s="148"/>
      <c r="DI20" s="26"/>
      <c r="DJ20" s="25"/>
      <c r="DK20" s="151" t="str">
        <f ca="1">IF(DK17&lt;&gt;"",OFFSET(変更先抽出【15時】!$A$1,DI17-1,19),"")</f>
        <v/>
      </c>
      <c r="DL20" s="152"/>
      <c r="DM20" s="48"/>
      <c r="DN20" s="147" t="str">
        <f ca="1">IF(DK17&lt;&gt;"",OFFSET(変更先抽出【15時】!$A$1,DI17-1,20),"")</f>
        <v/>
      </c>
      <c r="DO20" s="148"/>
      <c r="DR20" s="25"/>
      <c r="DS20" s="151" t="str">
        <f ca="1">IF(DS17&lt;&gt;"",OFFSET(変更先抽出【15時】!$A$1,DQ17-1,19),"")</f>
        <v/>
      </c>
      <c r="DT20" s="152"/>
      <c r="DU20" s="48"/>
      <c r="DV20" s="147" t="str">
        <f ca="1">IF(DS17&lt;&gt;"",OFFSET(変更先抽出【15時】!$A$1,DQ17-1,20),"")</f>
        <v/>
      </c>
      <c r="DW20" s="148"/>
      <c r="DX20" s="26"/>
      <c r="DY20" s="25"/>
      <c r="DZ20" s="151" t="str">
        <f ca="1">IF(DZ17&lt;&gt;"",OFFSET(変更先抽出【15時】!$A$1,DX17-1,19),"")</f>
        <v/>
      </c>
      <c r="EA20" s="152"/>
      <c r="EB20" s="48"/>
      <c r="EC20" s="147" t="str">
        <f ca="1">IF(DZ17&lt;&gt;"",OFFSET(変更先抽出【15時】!$A$1,DX17-1,20),"")</f>
        <v/>
      </c>
      <c r="ED20" s="148"/>
      <c r="EG20" s="25"/>
      <c r="EH20" s="151" t="str">
        <f ca="1">IF(EH17&lt;&gt;"",OFFSET(変更先抽出【15時】!$A$1,EF17-1,19),"")</f>
        <v/>
      </c>
      <c r="EI20" s="152"/>
      <c r="EJ20" s="48"/>
      <c r="EK20" s="147" t="str">
        <f ca="1">IF(EH17&lt;&gt;"",OFFSET(変更先抽出【15時】!$A$1,EF17-1,20),"")</f>
        <v/>
      </c>
      <c r="EL20" s="148"/>
      <c r="EM20" s="26"/>
      <c r="EN20" s="25"/>
      <c r="EO20" s="151" t="str">
        <f ca="1">IF(EO17&lt;&gt;"",OFFSET(変更先抽出【15時】!$A$1,EM17-1,19),"")</f>
        <v/>
      </c>
      <c r="EP20" s="152"/>
      <c r="EQ20" s="48"/>
      <c r="ER20" s="147" t="str">
        <f ca="1">IF(EO17&lt;&gt;"",OFFSET(変更先抽出【15時】!$A$1,EM17-1,20),"")</f>
        <v/>
      </c>
      <c r="ES20" s="148"/>
    </row>
    <row r="21" spans="1:150" ht="15.6" customHeight="1">
      <c r="B21" s="27"/>
      <c r="C21" s="149"/>
      <c r="D21" s="149"/>
      <c r="E21" s="43"/>
      <c r="F21" s="149"/>
      <c r="G21" s="150"/>
      <c r="H21" s="26"/>
      <c r="I21" s="27"/>
      <c r="J21" s="149"/>
      <c r="K21" s="149"/>
      <c r="L21" s="43"/>
      <c r="M21" s="149"/>
      <c r="N21" s="150"/>
      <c r="Q21" s="27"/>
      <c r="R21" s="149"/>
      <c r="S21" s="149"/>
      <c r="T21" s="43"/>
      <c r="U21" s="149"/>
      <c r="V21" s="150"/>
      <c r="W21" s="26"/>
      <c r="X21" s="27"/>
      <c r="Y21" s="149"/>
      <c r="Z21" s="149"/>
      <c r="AA21" s="43"/>
      <c r="AB21" s="149"/>
      <c r="AC21" s="150"/>
      <c r="AF21" s="27"/>
      <c r="AG21" s="149"/>
      <c r="AH21" s="149"/>
      <c r="AI21" s="43"/>
      <c r="AJ21" s="149"/>
      <c r="AK21" s="150"/>
      <c r="AL21" s="26"/>
      <c r="AM21" s="27"/>
      <c r="AN21" s="149"/>
      <c r="AO21" s="149"/>
      <c r="AP21" s="43"/>
      <c r="AQ21" s="149"/>
      <c r="AR21" s="150"/>
      <c r="AU21" s="27"/>
      <c r="AV21" s="149"/>
      <c r="AW21" s="149"/>
      <c r="AX21" s="43"/>
      <c r="AY21" s="149"/>
      <c r="AZ21" s="150"/>
      <c r="BA21" s="26"/>
      <c r="BB21" s="27"/>
      <c r="BC21" s="149"/>
      <c r="BD21" s="149"/>
      <c r="BE21" s="43"/>
      <c r="BF21" s="149"/>
      <c r="BG21" s="150"/>
      <c r="BJ21" s="27"/>
      <c r="BK21" s="149"/>
      <c r="BL21" s="149"/>
      <c r="BM21" s="43"/>
      <c r="BN21" s="149"/>
      <c r="BO21" s="150"/>
      <c r="BP21" s="26"/>
      <c r="BQ21" s="27"/>
      <c r="BR21" s="149"/>
      <c r="BS21" s="149"/>
      <c r="BT21" s="43"/>
      <c r="BU21" s="149"/>
      <c r="BV21" s="150"/>
      <c r="BY21" s="27"/>
      <c r="BZ21" s="149"/>
      <c r="CA21" s="149"/>
      <c r="CB21" s="43"/>
      <c r="CC21" s="149"/>
      <c r="CD21" s="150"/>
      <c r="CE21" s="26"/>
      <c r="CF21" s="27"/>
      <c r="CG21" s="149"/>
      <c r="CH21" s="149"/>
      <c r="CI21" s="43"/>
      <c r="CJ21" s="149"/>
      <c r="CK21" s="150"/>
      <c r="CN21" s="27"/>
      <c r="CO21" s="149"/>
      <c r="CP21" s="149"/>
      <c r="CQ21" s="43"/>
      <c r="CR21" s="149"/>
      <c r="CS21" s="150"/>
      <c r="CT21" s="26"/>
      <c r="CU21" s="27"/>
      <c r="CV21" s="149"/>
      <c r="CW21" s="149"/>
      <c r="CX21" s="43"/>
      <c r="CY21" s="149"/>
      <c r="CZ21" s="150"/>
      <c r="DC21" s="27"/>
      <c r="DD21" s="149"/>
      <c r="DE21" s="149"/>
      <c r="DF21" s="43"/>
      <c r="DG21" s="149"/>
      <c r="DH21" s="150"/>
      <c r="DI21" s="26"/>
      <c r="DJ21" s="27"/>
      <c r="DK21" s="149"/>
      <c r="DL21" s="149"/>
      <c r="DM21" s="43"/>
      <c r="DN21" s="149"/>
      <c r="DO21" s="150"/>
      <c r="DR21" s="27"/>
      <c r="DS21" s="149"/>
      <c r="DT21" s="149"/>
      <c r="DU21" s="43"/>
      <c r="DV21" s="149"/>
      <c r="DW21" s="150"/>
      <c r="DX21" s="26"/>
      <c r="DY21" s="27"/>
      <c r="DZ21" s="149"/>
      <c r="EA21" s="149"/>
      <c r="EB21" s="43"/>
      <c r="EC21" s="149"/>
      <c r="ED21" s="150"/>
      <c r="EG21" s="27"/>
      <c r="EH21" s="149"/>
      <c r="EI21" s="149"/>
      <c r="EJ21" s="43"/>
      <c r="EK21" s="149"/>
      <c r="EL21" s="150"/>
      <c r="EM21" s="26"/>
      <c r="EN21" s="27"/>
      <c r="EO21" s="149"/>
      <c r="EP21" s="149"/>
      <c r="EQ21" s="43"/>
      <c r="ER21" s="149"/>
      <c r="ES21" s="150"/>
    </row>
    <row r="22" spans="1:150" s="32" customFormat="1">
      <c r="A22" s="171"/>
      <c r="B22" s="36" t="str">
        <f ca="1">IF(C17&lt;&gt;"","パン箱","")</f>
        <v/>
      </c>
      <c r="C22" s="34" t="str">
        <f ca="1">IF(C17&lt;&gt;"",OFFSET(変更先抽出【15時】!$A$1,A17-1,22),"")</f>
        <v/>
      </c>
      <c r="D22" s="36" t="str">
        <f ca="1">IF(C17&lt;&gt;"","端数","")</f>
        <v/>
      </c>
      <c r="E22" s="34"/>
      <c r="F22" s="36" t="str">
        <f ca="1">IF(C17&lt;&gt;"","アレルギー","")</f>
        <v/>
      </c>
      <c r="G22" s="39"/>
      <c r="H22" s="22"/>
      <c r="I22" s="36" t="str">
        <f ca="1">IF(J17&lt;&gt;"","パン箱","")</f>
        <v/>
      </c>
      <c r="J22" s="34" t="str">
        <f ca="1">IF(J17&lt;&gt;"",OFFSET(変更先抽出【15時】!$A$1,H17-1,22),"")</f>
        <v/>
      </c>
      <c r="K22" s="36" t="str">
        <f ca="1">IF(J17&lt;&gt;"","端数","")</f>
        <v/>
      </c>
      <c r="L22" s="34"/>
      <c r="M22" s="36" t="str">
        <f ca="1">IF(J17&lt;&gt;"","アレルギー","")</f>
        <v/>
      </c>
      <c r="N22" s="39"/>
      <c r="O22" s="22"/>
      <c r="P22" s="171"/>
      <c r="Q22" s="36" t="str">
        <f ca="1">IF(R17&lt;&gt;"","パン箱","")</f>
        <v/>
      </c>
      <c r="R22" s="34" t="str">
        <f ca="1">IF(R17&lt;&gt;"",OFFSET(変更先抽出【15時】!$A$1,P17-1,22),"")</f>
        <v/>
      </c>
      <c r="S22" s="36" t="str">
        <f ca="1">IF(R17&lt;&gt;"","端数","")</f>
        <v/>
      </c>
      <c r="T22" s="34"/>
      <c r="U22" s="36" t="str">
        <f ca="1">IF(R17&lt;&gt;"","アレルギー","")</f>
        <v/>
      </c>
      <c r="V22" s="39"/>
      <c r="W22" s="22"/>
      <c r="X22" s="36" t="str">
        <f ca="1">IF(Y17&lt;&gt;"","パン箱","")</f>
        <v/>
      </c>
      <c r="Y22" s="34" t="str">
        <f ca="1">IF(Y17&lt;&gt;"",OFFSET(変更先抽出【15時】!$A$1,W17-1,22),"")</f>
        <v/>
      </c>
      <c r="Z22" s="36" t="str">
        <f ca="1">IF(Y17&lt;&gt;"","端数","")</f>
        <v/>
      </c>
      <c r="AA22" s="34"/>
      <c r="AB22" s="36" t="str">
        <f ca="1">IF(Y17&lt;&gt;"","アレルギー","")</f>
        <v/>
      </c>
      <c r="AC22" s="39"/>
      <c r="AD22" s="22"/>
      <c r="AE22" s="171"/>
      <c r="AF22" s="36" t="str">
        <f ca="1">IF(AG17&lt;&gt;"","パン箱","")</f>
        <v/>
      </c>
      <c r="AG22" s="34" t="str">
        <f ca="1">IF(AG17&lt;&gt;"",OFFSET(変更先抽出【15時】!$A$1,AE17-1,22),"")</f>
        <v/>
      </c>
      <c r="AH22" s="36" t="str">
        <f ca="1">IF(AG17&lt;&gt;"","端数","")</f>
        <v/>
      </c>
      <c r="AI22" s="34"/>
      <c r="AJ22" s="36" t="str">
        <f ca="1">IF(AG17&lt;&gt;"","アレルギー","")</f>
        <v/>
      </c>
      <c r="AK22" s="39"/>
      <c r="AL22" s="22"/>
      <c r="AM22" s="36" t="str">
        <f ca="1">IF(AN17&lt;&gt;"","パン箱","")</f>
        <v/>
      </c>
      <c r="AN22" s="34" t="str">
        <f ca="1">IF(AN17&lt;&gt;"",OFFSET(変更先抽出【15時】!$A$1,AL17-1,22),"")</f>
        <v/>
      </c>
      <c r="AO22" s="36" t="str">
        <f ca="1">IF(AN17&lt;&gt;"","端数","")</f>
        <v/>
      </c>
      <c r="AP22" s="34"/>
      <c r="AQ22" s="36" t="str">
        <f ca="1">IF(AN17&lt;&gt;"","アレルギー","")</f>
        <v/>
      </c>
      <c r="AR22" s="39"/>
      <c r="AS22" s="22"/>
      <c r="AT22" s="171"/>
      <c r="AU22" s="36" t="str">
        <f ca="1">IF(AV17&lt;&gt;"","パン箱","")</f>
        <v/>
      </c>
      <c r="AV22" s="34" t="str">
        <f ca="1">IF(AV17&lt;&gt;"",OFFSET(変更先抽出【15時】!$A$1,AT17-1,22),"")</f>
        <v/>
      </c>
      <c r="AW22" s="36" t="str">
        <f ca="1">IF(AV17&lt;&gt;"","端数","")</f>
        <v/>
      </c>
      <c r="AX22" s="34"/>
      <c r="AY22" s="36" t="str">
        <f ca="1">IF(AV17&lt;&gt;"","アレルギー","")</f>
        <v/>
      </c>
      <c r="AZ22" s="39"/>
      <c r="BA22" s="22"/>
      <c r="BB22" s="36" t="str">
        <f ca="1">IF(BC17&lt;&gt;"","パン箱","")</f>
        <v/>
      </c>
      <c r="BC22" s="34" t="str">
        <f ca="1">IF(BC17&lt;&gt;"",OFFSET(変更先抽出【15時】!$A$1,BA17-1,22),"")</f>
        <v/>
      </c>
      <c r="BD22" s="36" t="str">
        <f ca="1">IF(BC17&lt;&gt;"","端数","")</f>
        <v/>
      </c>
      <c r="BE22" s="34"/>
      <c r="BF22" s="36" t="str">
        <f ca="1">IF(BC17&lt;&gt;"","アレルギー","")</f>
        <v/>
      </c>
      <c r="BG22" s="39"/>
      <c r="BH22" s="22"/>
      <c r="BI22" s="171"/>
      <c r="BJ22" s="36" t="str">
        <f ca="1">IF(BK17&lt;&gt;"","パン箱","")</f>
        <v/>
      </c>
      <c r="BK22" s="34" t="str">
        <f ca="1">IF(BK17&lt;&gt;"",OFFSET(変更先抽出【15時】!$A$1,BI17-1,22),"")</f>
        <v/>
      </c>
      <c r="BL22" s="36" t="str">
        <f ca="1">IF(BK17&lt;&gt;"","端数","")</f>
        <v/>
      </c>
      <c r="BM22" s="34"/>
      <c r="BN22" s="36" t="str">
        <f ca="1">IF(BK17&lt;&gt;"","アレルギー","")</f>
        <v/>
      </c>
      <c r="BO22" s="39"/>
      <c r="BP22" s="22"/>
      <c r="BQ22" s="36" t="str">
        <f ca="1">IF(BR17&lt;&gt;"","パン箱","")</f>
        <v/>
      </c>
      <c r="BR22" s="34" t="str">
        <f ca="1">IF(BR17&lt;&gt;"",OFFSET(変更先抽出【15時】!$A$1,BP17-1,22),"")</f>
        <v/>
      </c>
      <c r="BS22" s="36" t="str">
        <f ca="1">IF(BR17&lt;&gt;"","端数","")</f>
        <v/>
      </c>
      <c r="BT22" s="34"/>
      <c r="BU22" s="36" t="str">
        <f ca="1">IF(BR17&lt;&gt;"","アレルギー","")</f>
        <v/>
      </c>
      <c r="BV22" s="39"/>
      <c r="BW22" s="22"/>
      <c r="BX22" s="171"/>
      <c r="BY22" s="36" t="str">
        <f ca="1">IF(BZ17&lt;&gt;"","パン箱","")</f>
        <v/>
      </c>
      <c r="BZ22" s="34" t="str">
        <f ca="1">IF(BZ17&lt;&gt;"",OFFSET(変更先抽出【15時】!$A$1,BX17-1,22),"")</f>
        <v/>
      </c>
      <c r="CA22" s="36" t="str">
        <f ca="1">IF(BZ17&lt;&gt;"","端数","")</f>
        <v/>
      </c>
      <c r="CB22" s="34"/>
      <c r="CC22" s="36" t="str">
        <f ca="1">IF(BZ17&lt;&gt;"","アレルギー","")</f>
        <v/>
      </c>
      <c r="CD22" s="39"/>
      <c r="CE22" s="22"/>
      <c r="CF22" s="36" t="str">
        <f ca="1">IF(CG17&lt;&gt;"","パン箱","")</f>
        <v/>
      </c>
      <c r="CG22" s="34" t="str">
        <f ca="1">IF(CG17&lt;&gt;"",OFFSET(変更先抽出【15時】!$A$1,CE17-1,22),"")</f>
        <v/>
      </c>
      <c r="CH22" s="36" t="str">
        <f ca="1">IF(CG17&lt;&gt;"","端数","")</f>
        <v/>
      </c>
      <c r="CI22" s="34"/>
      <c r="CJ22" s="36" t="str">
        <f ca="1">IF(CG17&lt;&gt;"","アレルギー","")</f>
        <v/>
      </c>
      <c r="CK22" s="39"/>
      <c r="CL22" s="22"/>
      <c r="CM22" s="171"/>
      <c r="CN22" s="36" t="str">
        <f ca="1">IF(CO17&lt;&gt;"","パン箱","")</f>
        <v/>
      </c>
      <c r="CO22" s="34" t="str">
        <f ca="1">IF(CO17&lt;&gt;"",OFFSET(変更先抽出【15時】!$A$1,CM17-1,22),"")</f>
        <v/>
      </c>
      <c r="CP22" s="36" t="str">
        <f ca="1">IF(CO17&lt;&gt;"","端数","")</f>
        <v/>
      </c>
      <c r="CQ22" s="34"/>
      <c r="CR22" s="36" t="str">
        <f ca="1">IF(CO17&lt;&gt;"","アレルギー","")</f>
        <v/>
      </c>
      <c r="CS22" s="39"/>
      <c r="CT22" s="22"/>
      <c r="CU22" s="36" t="str">
        <f ca="1">IF(CV17&lt;&gt;"","パン箱","")</f>
        <v/>
      </c>
      <c r="CV22" s="34" t="str">
        <f ca="1">IF(CV17&lt;&gt;"",OFFSET(変更先抽出【15時】!$A$1,CT17-1,22),"")</f>
        <v/>
      </c>
      <c r="CW22" s="36" t="str">
        <f ca="1">IF(CV17&lt;&gt;"","端数","")</f>
        <v/>
      </c>
      <c r="CX22" s="34"/>
      <c r="CY22" s="36" t="str">
        <f ca="1">IF(CV17&lt;&gt;"","アレルギー","")</f>
        <v/>
      </c>
      <c r="CZ22" s="39"/>
      <c r="DA22" s="22"/>
      <c r="DB22" s="171"/>
      <c r="DC22" s="36" t="str">
        <f ca="1">IF(DD17&lt;&gt;"","パン箱","")</f>
        <v/>
      </c>
      <c r="DD22" s="34" t="str">
        <f ca="1">IF(DD17&lt;&gt;"",OFFSET(変更先抽出【15時】!$A$1,DB17-1,22),"")</f>
        <v/>
      </c>
      <c r="DE22" s="36" t="str">
        <f ca="1">IF(DD17&lt;&gt;"","端数","")</f>
        <v/>
      </c>
      <c r="DF22" s="34"/>
      <c r="DG22" s="36" t="str">
        <f ca="1">IF(DD17&lt;&gt;"","アレルギー","")</f>
        <v/>
      </c>
      <c r="DH22" s="39"/>
      <c r="DI22" s="22"/>
      <c r="DJ22" s="36" t="str">
        <f ca="1">IF(DK17&lt;&gt;"","パン箱","")</f>
        <v/>
      </c>
      <c r="DK22" s="34" t="str">
        <f ca="1">IF(DK17&lt;&gt;"",OFFSET(変更先抽出【15時】!$A$1,DI17-1,22),"")</f>
        <v/>
      </c>
      <c r="DL22" s="36" t="str">
        <f ca="1">IF(DK17&lt;&gt;"","端数","")</f>
        <v/>
      </c>
      <c r="DM22" s="34"/>
      <c r="DN22" s="36" t="str">
        <f ca="1">IF(DK17&lt;&gt;"","アレルギー","")</f>
        <v/>
      </c>
      <c r="DO22" s="39"/>
      <c r="DP22" s="22"/>
      <c r="DQ22" s="171"/>
      <c r="DR22" s="36" t="str">
        <f ca="1">IF(DS17&lt;&gt;"","パン箱","")</f>
        <v/>
      </c>
      <c r="DS22" s="34" t="str">
        <f ca="1">IF(DS17&lt;&gt;"",OFFSET(変更先抽出【15時】!$A$1,DQ17-1,22),"")</f>
        <v/>
      </c>
      <c r="DT22" s="36" t="str">
        <f ca="1">IF(DS17&lt;&gt;"","端数","")</f>
        <v/>
      </c>
      <c r="DU22" s="34"/>
      <c r="DV22" s="36" t="str">
        <f ca="1">IF(DS17&lt;&gt;"","アレルギー","")</f>
        <v/>
      </c>
      <c r="DW22" s="39"/>
      <c r="DX22" s="22"/>
      <c r="DY22" s="36" t="str">
        <f ca="1">IF(DZ17&lt;&gt;"","パン箱","")</f>
        <v/>
      </c>
      <c r="DZ22" s="34" t="str">
        <f ca="1">IF(DZ17&lt;&gt;"",OFFSET(変更先抽出【15時】!$A$1,DX17-1,22),"")</f>
        <v/>
      </c>
      <c r="EA22" s="36" t="str">
        <f ca="1">IF(DZ17&lt;&gt;"","端数","")</f>
        <v/>
      </c>
      <c r="EB22" s="34"/>
      <c r="EC22" s="36" t="str">
        <f ca="1">IF(DZ17&lt;&gt;"","アレルギー","")</f>
        <v/>
      </c>
      <c r="ED22" s="39"/>
      <c r="EE22" s="22"/>
      <c r="EF22" s="171"/>
      <c r="EG22" s="36" t="str">
        <f ca="1">IF(EH17&lt;&gt;"","パン箱","")</f>
        <v/>
      </c>
      <c r="EH22" s="34" t="str">
        <f ca="1">IF(EH17&lt;&gt;"",OFFSET(変更先抽出【15時】!$A$1,EF17-1,22),"")</f>
        <v/>
      </c>
      <c r="EI22" s="36" t="str">
        <f ca="1">IF(EH17&lt;&gt;"","端数","")</f>
        <v/>
      </c>
      <c r="EJ22" s="34"/>
      <c r="EK22" s="36" t="str">
        <f ca="1">IF(EH17&lt;&gt;"","アレルギー","")</f>
        <v/>
      </c>
      <c r="EL22" s="39"/>
      <c r="EM22" s="22"/>
      <c r="EN22" s="36" t="str">
        <f ca="1">IF(EO17&lt;&gt;"","パン箱","")</f>
        <v/>
      </c>
      <c r="EO22" s="34" t="str">
        <f ca="1">IF(EO17&lt;&gt;"",OFFSET(変更先抽出【15時】!$A$1,EM17-1,22),"")</f>
        <v/>
      </c>
      <c r="EP22" s="36" t="str">
        <f ca="1">IF(EO17&lt;&gt;"","端数","")</f>
        <v/>
      </c>
      <c r="EQ22" s="34"/>
      <c r="ER22" s="36" t="str">
        <f ca="1">IF(EO17&lt;&gt;"","アレルギー","")</f>
        <v/>
      </c>
      <c r="ES22" s="39"/>
      <c r="ET22" s="22"/>
    </row>
    <row r="23" spans="1:150" ht="27.6" customHeight="1">
      <c r="B23" s="157" t="str">
        <f ca="1">IF(C17&lt;&gt;"",IFERROR(INT(C20/C22),""),"")</f>
        <v/>
      </c>
      <c r="C23" s="150"/>
      <c r="D23" s="157" t="str">
        <f ca="1">IF(C17&lt;&gt;"",IFERROR(MOD(C20,C22),""),"")</f>
        <v/>
      </c>
      <c r="E23" s="150"/>
      <c r="F23" s="158" t="str">
        <f ca="1">IF(C17&lt;&gt;"",OFFSET(変更先抽出【15時】!$A$1,A17-1,21),"")</f>
        <v/>
      </c>
      <c r="G23" s="150"/>
      <c r="I23" s="157" t="str">
        <f ca="1">IF(J17&lt;&gt;"",IFERROR(INT(J20/J22),""),"")</f>
        <v/>
      </c>
      <c r="J23" s="150"/>
      <c r="K23" s="157" t="str">
        <f ca="1">IF(J17&lt;&gt;"",IFERROR(MOD(J20,J22),""),"")</f>
        <v/>
      </c>
      <c r="L23" s="150"/>
      <c r="M23" s="158" t="str">
        <f ca="1">IF(J17&lt;&gt;"",OFFSET(変更先抽出【15時】!$A$1,H17-1,21),"")</f>
        <v/>
      </c>
      <c r="N23" s="150"/>
      <c r="Q23" s="157" t="str">
        <f ca="1">IF(R17&lt;&gt;"",IFERROR(INT(R20/R22),""),"")</f>
        <v/>
      </c>
      <c r="R23" s="150"/>
      <c r="S23" s="157" t="str">
        <f ca="1">IF(R17&lt;&gt;"",IFERROR(MOD(R20,R22),""),"")</f>
        <v/>
      </c>
      <c r="T23" s="150"/>
      <c r="U23" s="158" t="str">
        <f ca="1">IF(R17&lt;&gt;"",OFFSET(変更先抽出【15時】!$A$1,P17-1,21),"")</f>
        <v/>
      </c>
      <c r="V23" s="150"/>
      <c r="X23" s="157" t="str">
        <f ca="1">IF(Y17&lt;&gt;"",IFERROR(INT(Y20/Y22),""),"")</f>
        <v/>
      </c>
      <c r="Y23" s="150"/>
      <c r="Z23" s="157" t="str">
        <f ca="1">IF(Y17&lt;&gt;"",IFERROR(MOD(Y20,Y22),""),"")</f>
        <v/>
      </c>
      <c r="AA23" s="150"/>
      <c r="AB23" s="158" t="str">
        <f ca="1">IF(Y17&lt;&gt;"",OFFSET(変更先抽出【15時】!$A$1,W17-1,21),"")</f>
        <v/>
      </c>
      <c r="AC23" s="150"/>
      <c r="AF23" s="157" t="str">
        <f ca="1">IF(AG17&lt;&gt;"",IFERROR(INT(AG20/AG22),""),"")</f>
        <v/>
      </c>
      <c r="AG23" s="150"/>
      <c r="AH23" s="157" t="str">
        <f ca="1">IF(AG17&lt;&gt;"",IFERROR(MOD(AG20,AG22),""),"")</f>
        <v/>
      </c>
      <c r="AI23" s="150"/>
      <c r="AJ23" s="158" t="str">
        <f ca="1">IF(AG17&lt;&gt;"",OFFSET(変更先抽出【15時】!$A$1,AE17-1,21),"")</f>
        <v/>
      </c>
      <c r="AK23" s="150"/>
      <c r="AM23" s="157" t="str">
        <f ca="1">IF(AN17&lt;&gt;"",IFERROR(INT(AN20/AN22),""),"")</f>
        <v/>
      </c>
      <c r="AN23" s="150"/>
      <c r="AO23" s="157" t="str">
        <f ca="1">IF(AN17&lt;&gt;"",IFERROR(MOD(AN20,AN22),""),"")</f>
        <v/>
      </c>
      <c r="AP23" s="150"/>
      <c r="AQ23" s="158" t="str">
        <f ca="1">IF(AN17&lt;&gt;"",OFFSET(変更先抽出【15時】!$A$1,AL17-1,21),"")</f>
        <v/>
      </c>
      <c r="AR23" s="150"/>
      <c r="AU23" s="157" t="str">
        <f ca="1">IF(AV17&lt;&gt;"",IFERROR(INT(AV20/AV22),""),"")</f>
        <v/>
      </c>
      <c r="AV23" s="150"/>
      <c r="AW23" s="157" t="str">
        <f ca="1">IF(AV17&lt;&gt;"",IFERROR(MOD(AV20,AV22),""),"")</f>
        <v/>
      </c>
      <c r="AX23" s="150"/>
      <c r="AY23" s="158" t="str">
        <f ca="1">IF(AV17&lt;&gt;"",OFFSET(変更先抽出【15時】!$A$1,AT17-1,21),"")</f>
        <v/>
      </c>
      <c r="AZ23" s="150"/>
      <c r="BB23" s="157" t="str">
        <f ca="1">IF(BC17&lt;&gt;"",IFERROR(INT(BC20/BC22),""),"")</f>
        <v/>
      </c>
      <c r="BC23" s="150"/>
      <c r="BD23" s="157" t="str">
        <f ca="1">IF(BC17&lt;&gt;"",IFERROR(MOD(BC20,BC22),""),"")</f>
        <v/>
      </c>
      <c r="BE23" s="150"/>
      <c r="BF23" s="158" t="str">
        <f ca="1">IF(BC17&lt;&gt;"",OFFSET(変更先抽出【15時】!$A$1,BA17-1,21),"")</f>
        <v/>
      </c>
      <c r="BG23" s="150"/>
      <c r="BJ23" s="157" t="str">
        <f ca="1">IF(BK17&lt;&gt;"",IFERROR(INT(BK20/BK22),""),"")</f>
        <v/>
      </c>
      <c r="BK23" s="150"/>
      <c r="BL23" s="157" t="str">
        <f ca="1">IF(BK17&lt;&gt;"",IFERROR(MOD(BK20,BK22),""),"")</f>
        <v/>
      </c>
      <c r="BM23" s="150"/>
      <c r="BN23" s="158" t="str">
        <f ca="1">IF(BK17&lt;&gt;"",OFFSET(変更先抽出【15時】!$A$1,BI17-1,21),"")</f>
        <v/>
      </c>
      <c r="BO23" s="150"/>
      <c r="BQ23" s="157" t="str">
        <f ca="1">IF(BR17&lt;&gt;"",IFERROR(INT(BR20/BR22),""),"")</f>
        <v/>
      </c>
      <c r="BR23" s="150"/>
      <c r="BS23" s="157" t="str">
        <f ca="1">IF(BR17&lt;&gt;"",IFERROR(MOD(BR20,BR22),""),"")</f>
        <v/>
      </c>
      <c r="BT23" s="150"/>
      <c r="BU23" s="158" t="str">
        <f ca="1">IF(BR17&lt;&gt;"",OFFSET(変更先抽出【15時】!$A$1,BP17-1,21),"")</f>
        <v/>
      </c>
      <c r="BV23" s="150"/>
      <c r="BY23" s="157" t="str">
        <f ca="1">IF(BZ17&lt;&gt;"",IFERROR(INT(BZ20/BZ22),""),"")</f>
        <v/>
      </c>
      <c r="BZ23" s="150"/>
      <c r="CA23" s="157" t="str">
        <f ca="1">IF(BZ17&lt;&gt;"",IFERROR(MOD(BZ20,BZ22),""),"")</f>
        <v/>
      </c>
      <c r="CB23" s="150"/>
      <c r="CC23" s="158" t="str">
        <f ca="1">IF(BZ17&lt;&gt;"",OFFSET(変更先抽出【15時】!$A$1,BX17-1,21),"")</f>
        <v/>
      </c>
      <c r="CD23" s="150"/>
      <c r="CF23" s="157" t="str">
        <f ca="1">IF(CG17&lt;&gt;"",IFERROR(INT(CG20/CG22),""),"")</f>
        <v/>
      </c>
      <c r="CG23" s="150"/>
      <c r="CH23" s="157" t="str">
        <f ca="1">IF(CG17&lt;&gt;"",IFERROR(MOD(CG20,CG22),""),"")</f>
        <v/>
      </c>
      <c r="CI23" s="150"/>
      <c r="CJ23" s="158" t="str">
        <f ca="1">IF(CG17&lt;&gt;"",OFFSET(変更先抽出【15時】!$A$1,CE17-1,21),"")</f>
        <v/>
      </c>
      <c r="CK23" s="150"/>
      <c r="CN23" s="157" t="str">
        <f ca="1">IF(CO17&lt;&gt;"",IFERROR(INT(CO20/CO22),""),"")</f>
        <v/>
      </c>
      <c r="CO23" s="150"/>
      <c r="CP23" s="157" t="str">
        <f ca="1">IF(CO17&lt;&gt;"",IFERROR(MOD(CO20,CO22),""),"")</f>
        <v/>
      </c>
      <c r="CQ23" s="150"/>
      <c r="CR23" s="158" t="str">
        <f ca="1">IF(CO17&lt;&gt;"",OFFSET(変更先抽出【15時】!$A$1,CM17-1,21),"")</f>
        <v/>
      </c>
      <c r="CS23" s="150"/>
      <c r="CU23" s="157" t="str">
        <f ca="1">IF(CV17&lt;&gt;"",IFERROR(INT(CV20/CV22),""),"")</f>
        <v/>
      </c>
      <c r="CV23" s="150"/>
      <c r="CW23" s="157" t="str">
        <f ca="1">IF(CV17&lt;&gt;"",IFERROR(MOD(CV20,CV22),""),"")</f>
        <v/>
      </c>
      <c r="CX23" s="150"/>
      <c r="CY23" s="158" t="str">
        <f ca="1">IF(CV17&lt;&gt;"",OFFSET(変更先抽出【15時】!$A$1,CT17-1,21),"")</f>
        <v/>
      </c>
      <c r="CZ23" s="150"/>
      <c r="DC23" s="157" t="str">
        <f ca="1">IF(DD17&lt;&gt;"",IFERROR(INT(DD20/DD22),""),"")</f>
        <v/>
      </c>
      <c r="DD23" s="150"/>
      <c r="DE23" s="157" t="str">
        <f ca="1">IF(DD17&lt;&gt;"",IFERROR(MOD(DD20,DD22),""),"")</f>
        <v/>
      </c>
      <c r="DF23" s="150"/>
      <c r="DG23" s="158" t="str">
        <f ca="1">IF(DD17&lt;&gt;"",OFFSET(変更先抽出【15時】!$A$1,DB17-1,21),"")</f>
        <v/>
      </c>
      <c r="DH23" s="150"/>
      <c r="DJ23" s="157" t="str">
        <f ca="1">IF(DK17&lt;&gt;"",IFERROR(INT(DK20/DK22),""),"")</f>
        <v/>
      </c>
      <c r="DK23" s="150"/>
      <c r="DL23" s="157" t="str">
        <f ca="1">IF(DK17&lt;&gt;"",IFERROR(MOD(DK20,DK22),""),"")</f>
        <v/>
      </c>
      <c r="DM23" s="150"/>
      <c r="DN23" s="158" t="str">
        <f ca="1">IF(DK17&lt;&gt;"",OFFSET(変更先抽出【15時】!$A$1,DI17-1,21),"")</f>
        <v/>
      </c>
      <c r="DO23" s="150"/>
      <c r="DR23" s="157" t="str">
        <f ca="1">IF(DS17&lt;&gt;"",IFERROR(INT(DS20/DS22),""),"")</f>
        <v/>
      </c>
      <c r="DS23" s="150"/>
      <c r="DT23" s="157" t="str">
        <f ca="1">IF(DS17&lt;&gt;"",IFERROR(MOD(DS20,DS22),""),"")</f>
        <v/>
      </c>
      <c r="DU23" s="150"/>
      <c r="DV23" s="158" t="str">
        <f ca="1">IF(DS17&lt;&gt;"",OFFSET(変更先抽出【15時】!$A$1,DQ17-1,21),"")</f>
        <v/>
      </c>
      <c r="DW23" s="150"/>
      <c r="DY23" s="157" t="str">
        <f ca="1">IF(DZ17&lt;&gt;"",IFERROR(INT(DZ20/DZ22),""),"")</f>
        <v/>
      </c>
      <c r="DZ23" s="150"/>
      <c r="EA23" s="157" t="str">
        <f ca="1">IF(DZ17&lt;&gt;"",IFERROR(MOD(DZ20,DZ22),""),"")</f>
        <v/>
      </c>
      <c r="EB23" s="150"/>
      <c r="EC23" s="158" t="str">
        <f ca="1">IF(DZ17&lt;&gt;"",OFFSET(変更先抽出【15時】!$A$1,DX17-1,21),"")</f>
        <v/>
      </c>
      <c r="ED23" s="150"/>
      <c r="EG23" s="157" t="str">
        <f ca="1">IF(EH17&lt;&gt;"",IFERROR(INT(EH20/EH22),""),"")</f>
        <v/>
      </c>
      <c r="EH23" s="150"/>
      <c r="EI23" s="157" t="str">
        <f ca="1">IF(EH17&lt;&gt;"",IFERROR(MOD(EH20,EH22),""),"")</f>
        <v/>
      </c>
      <c r="EJ23" s="150"/>
      <c r="EK23" s="158" t="str">
        <f ca="1">IF(EH17&lt;&gt;"",OFFSET(変更先抽出【15時】!$A$1,EF17-1,21),"")</f>
        <v/>
      </c>
      <c r="EL23" s="150"/>
      <c r="EN23" s="157" t="str">
        <f ca="1">IF(EO17&lt;&gt;"",IFERROR(INT(EO20/EO22),""),"")</f>
        <v/>
      </c>
      <c r="EO23" s="150"/>
      <c r="EP23" s="157" t="str">
        <f ca="1">IF(EO17&lt;&gt;"",IFERROR(MOD(EO20,EO22),""),"")</f>
        <v/>
      </c>
      <c r="EQ23" s="150"/>
      <c r="ER23" s="158" t="str">
        <f ca="1">IF(EO17&lt;&gt;"",OFFSET(変更先抽出【15時】!$A$1,EM17-1,21),"")</f>
        <v/>
      </c>
      <c r="ES23" s="150"/>
    </row>
    <row r="24" spans="1:150" ht="6.6" customHeight="1">
      <c r="B24" s="44"/>
      <c r="D24" s="44"/>
      <c r="F24" s="45"/>
      <c r="I24" s="44"/>
      <c r="K24" s="44"/>
      <c r="M24" s="45"/>
      <c r="Q24" s="44"/>
      <c r="S24" s="44"/>
      <c r="U24" s="45"/>
      <c r="X24" s="44"/>
      <c r="Z24" s="44"/>
      <c r="AB24" s="45"/>
      <c r="AF24" s="44"/>
      <c r="AH24" s="44"/>
      <c r="AJ24" s="45"/>
      <c r="AM24" s="44"/>
      <c r="AO24" s="44"/>
      <c r="AQ24" s="45"/>
      <c r="AU24" s="44"/>
      <c r="AW24" s="44"/>
      <c r="AY24" s="45"/>
      <c r="BB24" s="44"/>
      <c r="BD24" s="44"/>
      <c r="BF24" s="45"/>
      <c r="BJ24" s="44"/>
      <c r="BL24" s="44"/>
      <c r="BN24" s="45"/>
      <c r="BQ24" s="44"/>
      <c r="BS24" s="44"/>
      <c r="BU24" s="45"/>
      <c r="BY24" s="44"/>
      <c r="CA24" s="44"/>
      <c r="CC24" s="45"/>
      <c r="CF24" s="44"/>
      <c r="CH24" s="44"/>
      <c r="CJ24" s="45"/>
      <c r="CN24" s="44"/>
      <c r="CP24" s="44"/>
      <c r="CR24" s="45"/>
      <c r="CU24" s="44"/>
      <c r="CW24" s="44"/>
      <c r="CY24" s="45"/>
      <c r="DC24" s="44"/>
      <c r="DE24" s="44"/>
      <c r="DG24" s="45"/>
      <c r="DJ24" s="44"/>
      <c r="DL24" s="44"/>
      <c r="DN24" s="45"/>
      <c r="DR24" s="44"/>
      <c r="DT24" s="44"/>
      <c r="DV24" s="45"/>
      <c r="DY24" s="44"/>
      <c r="EA24" s="44"/>
      <c r="EC24" s="45"/>
      <c r="EG24" s="44"/>
      <c r="EI24" s="44"/>
      <c r="EK24" s="45"/>
      <c r="EN24" s="44"/>
      <c r="EP24" s="44"/>
      <c r="ER24" s="45"/>
    </row>
    <row r="25" spans="1:150" s="32" customFormat="1" ht="25.8" customHeight="1">
      <c r="A25" s="171">
        <f>H17+1</f>
        <v>7</v>
      </c>
      <c r="B25" s="42" t="str">
        <f ca="1">IF(C25&lt;&gt;"",
MID(貼り付け用!$A$2, FIND("年",貼り付け用!$A$2)+1,2)&amp;"/"&amp;MID(貼り付け用!$A$2, FIND("月",貼り付け用!$A$2)+1,2),"")</f>
        <v/>
      </c>
      <c r="C25" s="155" t="str">
        <f ca="1">IF(OFFSET(変更先抽出【15時】!$A$1,A25-1,16)&lt;&gt;"",OFFSET(変更先抽出【15時】!$A$1,A25-1,17),"")</f>
        <v/>
      </c>
      <c r="D25" s="156"/>
      <c r="E25" s="156"/>
      <c r="F25" s="156"/>
      <c r="G25" s="41" t="str">
        <f ca="1">IF(C25&lt;&gt;"","様","")</f>
        <v/>
      </c>
      <c r="H25" s="35">
        <f>A25+1</f>
        <v>8</v>
      </c>
      <c r="I25" s="42" t="str">
        <f ca="1">IF(J25&lt;&gt;"",
MID(貼り付け用!$A$2, FIND("年",貼り付け用!$A$2)+1,2)&amp;"/"&amp;MID(貼り付け用!$A$2, FIND("月",貼り付け用!$A$2)+1,2),"")</f>
        <v/>
      </c>
      <c r="J25" s="155" t="str">
        <f ca="1">IF(OFFSET(変更先抽出【15時】!$A$1,H25-1,16)&lt;&gt;"",OFFSET(変更先抽出【15時】!$A$1,H25-1,17),"")</f>
        <v/>
      </c>
      <c r="K25" s="156"/>
      <c r="L25" s="156"/>
      <c r="M25" s="156"/>
      <c r="N25" s="41" t="str">
        <f ca="1">IF(J25&lt;&gt;"","様","")</f>
        <v/>
      </c>
      <c r="O25" s="22"/>
      <c r="P25" s="171">
        <f>W17+1</f>
        <v>19</v>
      </c>
      <c r="Q25" s="42" t="str">
        <f ca="1">IF(R25&lt;&gt;"",
MID(貼り付け用!$A$2, FIND("年",貼り付け用!$A$2)+1,2)&amp;"/"&amp;MID(貼り付け用!$A$2, FIND("月",貼り付け用!$A$2)+1,2),"")</f>
        <v/>
      </c>
      <c r="R25" s="155" t="str">
        <f ca="1">IF(OFFSET(変更先抽出【15時】!$A$1,P25-1,16)&lt;&gt;"",OFFSET(変更先抽出【15時】!$A$1,P25-1,17),"")</f>
        <v/>
      </c>
      <c r="S25" s="156"/>
      <c r="T25" s="156"/>
      <c r="U25" s="156"/>
      <c r="V25" s="41" t="str">
        <f ca="1">IF(R25&lt;&gt;"","様","")</f>
        <v/>
      </c>
      <c r="W25" s="35">
        <f>P25+1</f>
        <v>20</v>
      </c>
      <c r="X25" s="42" t="str">
        <f ca="1">IF(Y25&lt;&gt;"",
MID(貼り付け用!$A$2, FIND("年",貼り付け用!$A$2)+1,2)&amp;"/"&amp;MID(貼り付け用!$A$2, FIND("月",貼り付け用!$A$2)+1,2),"")</f>
        <v/>
      </c>
      <c r="Y25" s="155" t="str">
        <f ca="1">IF(OFFSET(変更先抽出【15時】!$A$1,W25-1,16)&lt;&gt;"",OFFSET(変更先抽出【15時】!$A$1,W25-1,17),"")</f>
        <v/>
      </c>
      <c r="Z25" s="156"/>
      <c r="AA25" s="156"/>
      <c r="AB25" s="156"/>
      <c r="AC25" s="41" t="str">
        <f ca="1">IF(Y25&lt;&gt;"","様","")</f>
        <v/>
      </c>
      <c r="AD25" s="22"/>
      <c r="AE25" s="171">
        <f>AL17+1</f>
        <v>31</v>
      </c>
      <c r="AF25" s="42" t="str">
        <f ca="1">IF(AG25&lt;&gt;"",
MID(貼り付け用!$A$2, FIND("年",貼り付け用!$A$2)+1,2)&amp;"/"&amp;MID(貼り付け用!$A$2, FIND("月",貼り付け用!$A$2)+1,2),"")</f>
        <v/>
      </c>
      <c r="AG25" s="155" t="str">
        <f ca="1">IF(OFFSET(変更先抽出【15時】!$A$1,AE25-1,16)&lt;&gt;"",OFFSET(変更先抽出【15時】!$A$1,AE25-1,17),"")</f>
        <v/>
      </c>
      <c r="AH25" s="156"/>
      <c r="AI25" s="156"/>
      <c r="AJ25" s="156"/>
      <c r="AK25" s="41" t="str">
        <f ca="1">IF(AG25&lt;&gt;"","様","")</f>
        <v/>
      </c>
      <c r="AL25" s="35">
        <f>AE25+1</f>
        <v>32</v>
      </c>
      <c r="AM25" s="42" t="str">
        <f ca="1">IF(AN25&lt;&gt;"",
MID(貼り付け用!$A$2, FIND("年",貼り付け用!$A$2)+1,2)&amp;"/"&amp;MID(貼り付け用!$A$2, FIND("月",貼り付け用!$A$2)+1,2),"")</f>
        <v/>
      </c>
      <c r="AN25" s="155" t="str">
        <f ca="1">IF(OFFSET(変更先抽出【15時】!$A$1,AL25-1,16)&lt;&gt;"",OFFSET(変更先抽出【15時】!$A$1,AL25-1,17),"")</f>
        <v/>
      </c>
      <c r="AO25" s="156"/>
      <c r="AP25" s="156"/>
      <c r="AQ25" s="156"/>
      <c r="AR25" s="41" t="str">
        <f ca="1">IF(AN25&lt;&gt;"","様","")</f>
        <v/>
      </c>
      <c r="AS25" s="22"/>
      <c r="AT25" s="171">
        <f>BA17+1</f>
        <v>43</v>
      </c>
      <c r="AU25" s="42" t="str">
        <f ca="1">IF(AV25&lt;&gt;"",
MID(貼り付け用!$A$2, FIND("年",貼り付け用!$A$2)+1,2)&amp;"/"&amp;MID(貼り付け用!$A$2, FIND("月",貼り付け用!$A$2)+1,2),"")</f>
        <v/>
      </c>
      <c r="AV25" s="155" t="str">
        <f ca="1">IF(OFFSET(変更先抽出【15時】!$A$1,AT25-1,16)&lt;&gt;"",OFFSET(変更先抽出【15時】!$A$1,AT25-1,17),"")</f>
        <v/>
      </c>
      <c r="AW25" s="156"/>
      <c r="AX25" s="156"/>
      <c r="AY25" s="156"/>
      <c r="AZ25" s="41" t="str">
        <f ca="1">IF(AV25&lt;&gt;"","様","")</f>
        <v/>
      </c>
      <c r="BA25" s="35">
        <f>AT25+1</f>
        <v>44</v>
      </c>
      <c r="BB25" s="42" t="str">
        <f ca="1">IF(BC25&lt;&gt;"",
MID(貼り付け用!$A$2, FIND("年",貼り付け用!$A$2)+1,2)&amp;"/"&amp;MID(貼り付け用!$A$2, FIND("月",貼り付け用!$A$2)+1,2),"")</f>
        <v/>
      </c>
      <c r="BC25" s="155" t="str">
        <f ca="1">IF(OFFSET(変更先抽出【15時】!$A$1,BA25-1,16)&lt;&gt;"",OFFSET(変更先抽出【15時】!$A$1,BA25-1,17),"")</f>
        <v/>
      </c>
      <c r="BD25" s="156"/>
      <c r="BE25" s="156"/>
      <c r="BF25" s="156"/>
      <c r="BG25" s="41" t="str">
        <f ca="1">IF(BC25&lt;&gt;"","様","")</f>
        <v/>
      </c>
      <c r="BH25" s="22"/>
      <c r="BI25" s="171">
        <f>BP17+1</f>
        <v>55</v>
      </c>
      <c r="BJ25" s="42" t="str">
        <f ca="1">IF(BK25&lt;&gt;"",
MID(貼り付け用!$A$2, FIND("年",貼り付け用!$A$2)+1,2)&amp;"/"&amp;MID(貼り付け用!$A$2, FIND("月",貼り付け用!$A$2)+1,2),"")</f>
        <v/>
      </c>
      <c r="BK25" s="155" t="str">
        <f ca="1">IF(OFFSET(変更先抽出【15時】!$A$1,BI25-1,16)&lt;&gt;"",OFFSET(変更先抽出【15時】!$A$1,BI25-1,17),"")</f>
        <v/>
      </c>
      <c r="BL25" s="156"/>
      <c r="BM25" s="156"/>
      <c r="BN25" s="156"/>
      <c r="BO25" s="41" t="str">
        <f ca="1">IF(BK25&lt;&gt;"","様","")</f>
        <v/>
      </c>
      <c r="BP25" s="35">
        <f>BI25+1</f>
        <v>56</v>
      </c>
      <c r="BQ25" s="42" t="str">
        <f ca="1">IF(BR25&lt;&gt;"",
MID(貼り付け用!$A$2, FIND("年",貼り付け用!$A$2)+1,2)&amp;"/"&amp;MID(貼り付け用!$A$2, FIND("月",貼り付け用!$A$2)+1,2),"")</f>
        <v/>
      </c>
      <c r="BR25" s="155" t="str">
        <f ca="1">IF(OFFSET(変更先抽出【15時】!$A$1,BP25-1,16)&lt;&gt;"",OFFSET(変更先抽出【15時】!$A$1,BP25-1,17),"")</f>
        <v/>
      </c>
      <c r="BS25" s="156"/>
      <c r="BT25" s="156"/>
      <c r="BU25" s="156"/>
      <c r="BV25" s="41" t="str">
        <f ca="1">IF(BR25&lt;&gt;"","様","")</f>
        <v/>
      </c>
      <c r="BW25" s="22"/>
      <c r="BX25" s="171">
        <f>CE17+1</f>
        <v>67</v>
      </c>
      <c r="BY25" s="42" t="str">
        <f ca="1">IF(BZ25&lt;&gt;"",
MID(貼り付け用!$A$2, FIND("年",貼り付け用!$A$2)+1,2)&amp;"/"&amp;MID(貼り付け用!$A$2, FIND("月",貼り付け用!$A$2)+1,2),"")</f>
        <v/>
      </c>
      <c r="BZ25" s="155" t="str">
        <f ca="1">IF(OFFSET(変更先抽出【15時】!$A$1,BX25-1,16)&lt;&gt;"",OFFSET(変更先抽出【15時】!$A$1,BX25-1,17),"")</f>
        <v/>
      </c>
      <c r="CA25" s="156"/>
      <c r="CB25" s="156"/>
      <c r="CC25" s="156"/>
      <c r="CD25" s="41" t="str">
        <f ca="1">IF(BZ25&lt;&gt;"","様","")</f>
        <v/>
      </c>
      <c r="CE25" s="35">
        <f>BX25+1</f>
        <v>68</v>
      </c>
      <c r="CF25" s="42" t="str">
        <f ca="1">IF(CG25&lt;&gt;"",
MID(貼り付け用!$A$2, FIND("年",貼り付け用!$A$2)+1,2)&amp;"/"&amp;MID(貼り付け用!$A$2, FIND("月",貼り付け用!$A$2)+1,2),"")</f>
        <v/>
      </c>
      <c r="CG25" s="155" t="str">
        <f ca="1">IF(OFFSET(変更先抽出【15時】!$A$1,CE25-1,16)&lt;&gt;"",OFFSET(変更先抽出【15時】!$A$1,CE25-1,17),"")</f>
        <v/>
      </c>
      <c r="CH25" s="156"/>
      <c r="CI25" s="156"/>
      <c r="CJ25" s="156"/>
      <c r="CK25" s="41" t="str">
        <f ca="1">IF(CG25&lt;&gt;"","様","")</f>
        <v/>
      </c>
      <c r="CL25" s="22"/>
      <c r="CM25" s="171">
        <f>CT17+1</f>
        <v>79</v>
      </c>
      <c r="CN25" s="42" t="str">
        <f ca="1">IF(CO25&lt;&gt;"",
MID(貼り付け用!$A$2, FIND("年",貼り付け用!$A$2)+1,2)&amp;"/"&amp;MID(貼り付け用!$A$2, FIND("月",貼り付け用!$A$2)+1,2),"")</f>
        <v/>
      </c>
      <c r="CO25" s="155" t="str">
        <f ca="1">IF(OFFSET(変更先抽出【15時】!$A$1,CM25-1,16)&lt;&gt;"",OFFSET(変更先抽出【15時】!$A$1,CM25-1,17),"")</f>
        <v/>
      </c>
      <c r="CP25" s="156"/>
      <c r="CQ25" s="156"/>
      <c r="CR25" s="156"/>
      <c r="CS25" s="41" t="str">
        <f ca="1">IF(CO25&lt;&gt;"","様","")</f>
        <v/>
      </c>
      <c r="CT25" s="35">
        <f>CM25+1</f>
        <v>80</v>
      </c>
      <c r="CU25" s="42" t="str">
        <f ca="1">IF(CV25&lt;&gt;"",
MID(貼り付け用!$A$2, FIND("年",貼り付け用!$A$2)+1,2)&amp;"/"&amp;MID(貼り付け用!$A$2, FIND("月",貼り付け用!$A$2)+1,2),"")</f>
        <v/>
      </c>
      <c r="CV25" s="155" t="str">
        <f ca="1">IF(OFFSET(変更先抽出【15時】!$A$1,CT25-1,16)&lt;&gt;"",OFFSET(変更先抽出【15時】!$A$1,CT25-1,17),"")</f>
        <v/>
      </c>
      <c r="CW25" s="156"/>
      <c r="CX25" s="156"/>
      <c r="CY25" s="156"/>
      <c r="CZ25" s="41" t="str">
        <f ca="1">IF(CV25&lt;&gt;"","様","")</f>
        <v/>
      </c>
      <c r="DA25" s="22"/>
      <c r="DB25" s="171">
        <f>DI17+1</f>
        <v>91</v>
      </c>
      <c r="DC25" s="42" t="str">
        <f ca="1">IF(DD25&lt;&gt;"",
MID(貼り付け用!$A$2, FIND("年",貼り付け用!$A$2)+1,2)&amp;"/"&amp;MID(貼り付け用!$A$2, FIND("月",貼り付け用!$A$2)+1,2),"")</f>
        <v/>
      </c>
      <c r="DD25" s="155" t="str">
        <f ca="1">IF(OFFSET(変更先抽出【15時】!$A$1,DB25-1,16)&lt;&gt;"",OFFSET(変更先抽出【15時】!$A$1,DB25-1,17),"")</f>
        <v/>
      </c>
      <c r="DE25" s="156"/>
      <c r="DF25" s="156"/>
      <c r="DG25" s="156"/>
      <c r="DH25" s="41" t="str">
        <f ca="1">IF(DD25&lt;&gt;"","様","")</f>
        <v/>
      </c>
      <c r="DI25" s="35">
        <f>DB25+1</f>
        <v>92</v>
      </c>
      <c r="DJ25" s="42" t="str">
        <f ca="1">IF(DK25&lt;&gt;"",
MID(貼り付け用!$A$2, FIND("年",貼り付け用!$A$2)+1,2)&amp;"/"&amp;MID(貼り付け用!$A$2, FIND("月",貼り付け用!$A$2)+1,2),"")</f>
        <v/>
      </c>
      <c r="DK25" s="155" t="str">
        <f ca="1">IF(OFFSET(変更先抽出【15時】!$A$1,DI25-1,16)&lt;&gt;"",OFFSET(変更先抽出【15時】!$A$1,DI25-1,17),"")</f>
        <v/>
      </c>
      <c r="DL25" s="156"/>
      <c r="DM25" s="156"/>
      <c r="DN25" s="156"/>
      <c r="DO25" s="41" t="str">
        <f ca="1">IF(DK25&lt;&gt;"","様","")</f>
        <v/>
      </c>
      <c r="DP25" s="22"/>
      <c r="DQ25" s="171">
        <f>DX17+1</f>
        <v>103</v>
      </c>
      <c r="DR25" s="42" t="str">
        <f ca="1">IF(DS25&lt;&gt;"",
MID(貼り付け用!$A$2, FIND("年",貼り付け用!$A$2)+1,2)&amp;"/"&amp;MID(貼り付け用!$A$2, FIND("月",貼り付け用!$A$2)+1,2),"")</f>
        <v/>
      </c>
      <c r="DS25" s="155" t="str">
        <f ca="1">IF(OFFSET(変更先抽出【15時】!$A$1,DQ25-1,16)&lt;&gt;"",OFFSET(変更先抽出【15時】!$A$1,DQ25-1,17),"")</f>
        <v/>
      </c>
      <c r="DT25" s="156"/>
      <c r="DU25" s="156"/>
      <c r="DV25" s="156"/>
      <c r="DW25" s="41" t="str">
        <f ca="1">IF(DS25&lt;&gt;"","様","")</f>
        <v/>
      </c>
      <c r="DX25" s="35">
        <f>DQ25+1</f>
        <v>104</v>
      </c>
      <c r="DY25" s="42" t="str">
        <f ca="1">IF(DZ25&lt;&gt;"",
MID(貼り付け用!$A$2, FIND("年",貼り付け用!$A$2)+1,2)&amp;"/"&amp;MID(貼り付け用!$A$2, FIND("月",貼り付け用!$A$2)+1,2),"")</f>
        <v/>
      </c>
      <c r="DZ25" s="155" t="str">
        <f ca="1">IF(OFFSET(変更先抽出【15時】!$A$1,DX25-1,16)&lt;&gt;"",OFFSET(変更先抽出【15時】!$A$1,DX25-1,17),"")</f>
        <v/>
      </c>
      <c r="EA25" s="156"/>
      <c r="EB25" s="156"/>
      <c r="EC25" s="156"/>
      <c r="ED25" s="41" t="str">
        <f ca="1">IF(DZ25&lt;&gt;"","様","")</f>
        <v/>
      </c>
      <c r="EE25" s="22"/>
      <c r="EF25" s="171">
        <f>EM17+1</f>
        <v>115</v>
      </c>
      <c r="EG25" s="42" t="str">
        <f ca="1">IF(EH25&lt;&gt;"",
MID(貼り付け用!$A$2, FIND("年",貼り付け用!$A$2)+1,2)&amp;"/"&amp;MID(貼り付け用!$A$2, FIND("月",貼り付け用!$A$2)+1,2),"")</f>
        <v/>
      </c>
      <c r="EH25" s="155" t="str">
        <f ca="1">IF(OFFSET(変更先抽出【15時】!$A$1,EF25-1,16)&lt;&gt;"",OFFSET(変更先抽出【15時】!$A$1,EF25-1,17),"")</f>
        <v/>
      </c>
      <c r="EI25" s="156"/>
      <c r="EJ25" s="156"/>
      <c r="EK25" s="156"/>
      <c r="EL25" s="41" t="str">
        <f ca="1">IF(EH25&lt;&gt;"","様","")</f>
        <v/>
      </c>
      <c r="EM25" s="35">
        <f>EF25+1</f>
        <v>116</v>
      </c>
      <c r="EN25" s="42" t="str">
        <f ca="1">IF(EO25&lt;&gt;"",
MID(貼り付け用!$A$2, FIND("年",貼り付け用!$A$2)+1,2)&amp;"/"&amp;MID(貼り付け用!$A$2, FIND("月",貼り付け用!$A$2)+1,2),"")</f>
        <v/>
      </c>
      <c r="EO25" s="155" t="str">
        <f ca="1">IF(OFFSET(変更先抽出【15時】!$A$1,EM25-1,16)&lt;&gt;"",OFFSET(変更先抽出【15時】!$A$1,EM25-1,17),"")</f>
        <v/>
      </c>
      <c r="EP25" s="156"/>
      <c r="EQ25" s="156"/>
      <c r="ER25" s="156"/>
      <c r="ES25" s="41" t="str">
        <f ca="1">IF(EO25&lt;&gt;"","様","")</f>
        <v/>
      </c>
      <c r="ET25" s="22"/>
    </row>
    <row r="26" spans="1:150" s="32" customFormat="1">
      <c r="A26" s="171"/>
      <c r="B26" s="109"/>
      <c r="C26" s="170" t="str">
        <f ca="1">IF(C25&lt;&gt;"",OFFSET(変更先抽出【15時】!$A$1,A25-1,18),"")</f>
        <v/>
      </c>
      <c r="D26" s="40"/>
      <c r="E26" s="40"/>
      <c r="F26" s="46" t="str">
        <f ca="1">IF(OFFSET(変更先抽出【15時】!$A$1,A25-1,25)&lt;&gt;"",OFFSET(変更先抽出【15時】!$A$1,A25-1,25)&amp;"箱"&amp;OFFSET(変更先抽出【15時】!$A$1,A25-1,26),"")</f>
        <v/>
      </c>
      <c r="G26" s="38"/>
      <c r="H26" s="47"/>
      <c r="I26" s="109"/>
      <c r="J26" s="170" t="str">
        <f ca="1">IF(J25&lt;&gt;"",OFFSET(変更先抽出【15時】!$A$1,H25-1,18),"")</f>
        <v/>
      </c>
      <c r="K26" s="40"/>
      <c r="L26" s="40"/>
      <c r="M26" s="46" t="str">
        <f ca="1">IF(OFFSET(変更先抽出【15時】!$A$1,H25-1,25)&lt;&gt;"",OFFSET(変更先抽出【15時】!$A$1,H25-1,25)&amp;"箱"&amp;OFFSET(変更先抽出【15時】!$A$1,H25-1,26),"")</f>
        <v/>
      </c>
      <c r="N26" s="38"/>
      <c r="O26" s="22"/>
      <c r="P26" s="171"/>
      <c r="Q26" s="109"/>
      <c r="R26" s="170" t="str">
        <f ca="1">IF(R25&lt;&gt;"",OFFSET(変更先抽出【15時】!$A$1,P25-1,18),"")</f>
        <v/>
      </c>
      <c r="S26" s="40"/>
      <c r="T26" s="40"/>
      <c r="U26" s="46" t="str">
        <f ca="1">IF(OFFSET(変更先抽出【15時】!$A$1,P25-1,25)&lt;&gt;"",OFFSET(変更先抽出【15時】!$A$1,P25-1,25)&amp;"箱"&amp;OFFSET(変更先抽出【15時】!$A$1,P25-1,26),"")</f>
        <v/>
      </c>
      <c r="V26" s="38"/>
      <c r="W26" s="47"/>
      <c r="X26" s="109"/>
      <c r="Y26" s="170" t="str">
        <f ca="1">IF(Y25&lt;&gt;"",OFFSET(変更先抽出【15時】!$A$1,W25-1,18),"")</f>
        <v/>
      </c>
      <c r="Z26" s="40"/>
      <c r="AA26" s="40"/>
      <c r="AB26" s="46" t="str">
        <f ca="1">IF(OFFSET(変更先抽出【15時】!$A$1,W25-1,25)&lt;&gt;"",OFFSET(変更先抽出【15時】!$A$1,W25-1,25)&amp;"箱"&amp;OFFSET(変更先抽出【15時】!$A$1,W25-1,26),"")</f>
        <v/>
      </c>
      <c r="AC26" s="38"/>
      <c r="AD26" s="22"/>
      <c r="AE26" s="171"/>
      <c r="AF26" s="109"/>
      <c r="AG26" s="170" t="str">
        <f ca="1">IF(AG25&lt;&gt;"",OFFSET(変更先抽出【15時】!$A$1,AE25-1,18),"")</f>
        <v/>
      </c>
      <c r="AH26" s="40"/>
      <c r="AI26" s="40"/>
      <c r="AJ26" s="46" t="str">
        <f ca="1">IF(OFFSET(変更先抽出【15時】!$A$1,AE25-1,25)&lt;&gt;"",OFFSET(変更先抽出【15時】!$A$1,AE25-1,25)&amp;"箱"&amp;OFFSET(変更先抽出【15時】!$A$1,AE25-1,26),"")</f>
        <v/>
      </c>
      <c r="AK26" s="38"/>
      <c r="AL26" s="47"/>
      <c r="AM26" s="109"/>
      <c r="AN26" s="170" t="str">
        <f ca="1">IF(AN25&lt;&gt;"",OFFSET(変更先抽出【15時】!$A$1,AL25-1,18),"")</f>
        <v/>
      </c>
      <c r="AO26" s="40"/>
      <c r="AP26" s="40"/>
      <c r="AQ26" s="46" t="str">
        <f ca="1">IF(OFFSET(変更先抽出【15時】!$A$1,AL25-1,25)&lt;&gt;"",OFFSET(変更先抽出【15時】!$A$1,AL25-1,25)&amp;"箱"&amp;OFFSET(変更先抽出【15時】!$A$1,AL25-1,26),"")</f>
        <v/>
      </c>
      <c r="AR26" s="38"/>
      <c r="AS26" s="22"/>
      <c r="AT26" s="171"/>
      <c r="AU26" s="109"/>
      <c r="AV26" s="170" t="str">
        <f ca="1">IF(AV25&lt;&gt;"",OFFSET(変更先抽出【15時】!$A$1,AT25-1,18),"")</f>
        <v/>
      </c>
      <c r="AW26" s="40"/>
      <c r="AX26" s="40"/>
      <c r="AY26" s="46" t="str">
        <f ca="1">IF(OFFSET(変更先抽出【15時】!$A$1,AT25-1,25)&lt;&gt;"",OFFSET(変更先抽出【15時】!$A$1,AT25-1,25)&amp;"箱"&amp;OFFSET(変更先抽出【15時】!$A$1,AT25-1,26),"")</f>
        <v/>
      </c>
      <c r="AZ26" s="38"/>
      <c r="BA26" s="47"/>
      <c r="BB26" s="109"/>
      <c r="BC26" s="170" t="str">
        <f ca="1">IF(BC25&lt;&gt;"",OFFSET(変更先抽出【15時】!$A$1,BA25-1,18),"")</f>
        <v/>
      </c>
      <c r="BD26" s="40"/>
      <c r="BE26" s="40"/>
      <c r="BF26" s="46" t="str">
        <f ca="1">IF(OFFSET(変更先抽出【15時】!$A$1,BA25-1,25)&lt;&gt;"",OFFSET(変更先抽出【15時】!$A$1,BA25-1,25)&amp;"箱"&amp;OFFSET(変更先抽出【15時】!$A$1,BA25-1,26),"")</f>
        <v/>
      </c>
      <c r="BG26" s="38"/>
      <c r="BH26" s="22"/>
      <c r="BI26" s="171"/>
      <c r="BJ26" s="109"/>
      <c r="BK26" s="170" t="str">
        <f ca="1">IF(BK25&lt;&gt;"",OFFSET(変更先抽出【15時】!$A$1,BI25-1,18),"")</f>
        <v/>
      </c>
      <c r="BL26" s="40"/>
      <c r="BM26" s="40"/>
      <c r="BN26" s="46" t="str">
        <f ca="1">IF(OFFSET(変更先抽出【15時】!$A$1,BI25-1,25)&lt;&gt;"",OFFSET(変更先抽出【15時】!$A$1,BI25-1,25)&amp;"箱"&amp;OFFSET(変更先抽出【15時】!$A$1,BI25-1,26),"")</f>
        <v/>
      </c>
      <c r="BO26" s="38"/>
      <c r="BP26" s="47"/>
      <c r="BQ26" s="109"/>
      <c r="BR26" s="170" t="str">
        <f ca="1">IF(BR25&lt;&gt;"",OFFSET(変更先抽出【15時】!$A$1,BP25-1,18),"")</f>
        <v/>
      </c>
      <c r="BS26" s="40"/>
      <c r="BT26" s="40"/>
      <c r="BU26" s="46" t="str">
        <f ca="1">IF(OFFSET(変更先抽出【15時】!$A$1,BP25-1,25)&lt;&gt;"",OFFSET(変更先抽出【15時】!$A$1,BP25-1,25)&amp;"箱"&amp;OFFSET(変更先抽出【15時】!$A$1,BP25-1,26),"")</f>
        <v/>
      </c>
      <c r="BV26" s="38"/>
      <c r="BW26" s="22"/>
      <c r="BX26" s="171"/>
      <c r="BY26" s="109"/>
      <c r="BZ26" s="170" t="str">
        <f ca="1">IF(BZ25&lt;&gt;"",OFFSET(変更先抽出【15時】!$A$1,BX25-1,18),"")</f>
        <v/>
      </c>
      <c r="CA26" s="40"/>
      <c r="CB26" s="40"/>
      <c r="CC26" s="46" t="str">
        <f ca="1">IF(OFFSET(変更先抽出【15時】!$A$1,BX25-1,25)&lt;&gt;"",OFFSET(変更先抽出【15時】!$A$1,BX25-1,25)&amp;"箱"&amp;OFFSET(変更先抽出【15時】!$A$1,BX25-1,26),"")</f>
        <v/>
      </c>
      <c r="CD26" s="38"/>
      <c r="CE26" s="47"/>
      <c r="CF26" s="109"/>
      <c r="CG26" s="170" t="str">
        <f ca="1">IF(CG25&lt;&gt;"",OFFSET(変更先抽出【15時】!$A$1,CE25-1,18),"")</f>
        <v/>
      </c>
      <c r="CH26" s="40"/>
      <c r="CI26" s="40"/>
      <c r="CJ26" s="46" t="str">
        <f ca="1">IF(OFFSET(変更先抽出【15時】!$A$1,CE25-1,25)&lt;&gt;"",OFFSET(変更先抽出【15時】!$A$1,CE25-1,25)&amp;"箱"&amp;OFFSET(変更先抽出【15時】!$A$1,CE25-1,26),"")</f>
        <v/>
      </c>
      <c r="CK26" s="38"/>
      <c r="CL26" s="22"/>
      <c r="CM26" s="171"/>
      <c r="CN26" s="109"/>
      <c r="CO26" s="170" t="str">
        <f ca="1">IF(CO25&lt;&gt;"",OFFSET(変更先抽出【15時】!$A$1,CM25-1,18),"")</f>
        <v/>
      </c>
      <c r="CP26" s="40"/>
      <c r="CQ26" s="40"/>
      <c r="CR26" s="46" t="str">
        <f ca="1">IF(OFFSET(変更先抽出【15時】!$A$1,CM25-1,25)&lt;&gt;"",OFFSET(変更先抽出【15時】!$A$1,CM25-1,25)&amp;"箱"&amp;OFFSET(変更先抽出【15時】!$A$1,CM25-1,26),"")</f>
        <v/>
      </c>
      <c r="CS26" s="38"/>
      <c r="CT26" s="47"/>
      <c r="CU26" s="109"/>
      <c r="CV26" s="170" t="str">
        <f ca="1">IF(CV25&lt;&gt;"",OFFSET(変更先抽出【15時】!$A$1,CT25-1,18),"")</f>
        <v/>
      </c>
      <c r="CW26" s="40"/>
      <c r="CX26" s="40"/>
      <c r="CY26" s="46" t="str">
        <f ca="1">IF(OFFSET(変更先抽出【15時】!$A$1,CT25-1,25)&lt;&gt;"",OFFSET(変更先抽出【15時】!$A$1,CT25-1,25)&amp;"箱"&amp;OFFSET(変更先抽出【15時】!$A$1,CT25-1,26),"")</f>
        <v/>
      </c>
      <c r="CZ26" s="38"/>
      <c r="DA26" s="22"/>
      <c r="DB26" s="171"/>
      <c r="DC26" s="109"/>
      <c r="DD26" s="170" t="str">
        <f ca="1">IF(DD25&lt;&gt;"",OFFSET(変更先抽出【15時】!$A$1,DB25-1,18),"")</f>
        <v/>
      </c>
      <c r="DE26" s="40"/>
      <c r="DF26" s="40"/>
      <c r="DG26" s="46" t="str">
        <f ca="1">IF(OFFSET(変更先抽出【15時】!$A$1,DB25-1,25)&lt;&gt;"",OFFSET(変更先抽出【15時】!$A$1,DB25-1,25)&amp;"箱"&amp;OFFSET(変更先抽出【15時】!$A$1,DB25-1,26),"")</f>
        <v/>
      </c>
      <c r="DH26" s="38"/>
      <c r="DI26" s="47"/>
      <c r="DJ26" s="109"/>
      <c r="DK26" s="170" t="str">
        <f ca="1">IF(DK25&lt;&gt;"",OFFSET(変更先抽出【15時】!$A$1,DI25-1,18),"")</f>
        <v/>
      </c>
      <c r="DL26" s="40"/>
      <c r="DM26" s="40"/>
      <c r="DN26" s="46" t="str">
        <f ca="1">IF(OFFSET(変更先抽出【15時】!$A$1,DI25-1,25)&lt;&gt;"",OFFSET(変更先抽出【15時】!$A$1,DI25-1,25)&amp;"箱"&amp;OFFSET(変更先抽出【15時】!$A$1,DI25-1,26),"")</f>
        <v/>
      </c>
      <c r="DO26" s="38"/>
      <c r="DP26" s="22"/>
      <c r="DQ26" s="171"/>
      <c r="DR26" s="109"/>
      <c r="DS26" s="170" t="str">
        <f ca="1">IF(DS25&lt;&gt;"",OFFSET(変更先抽出【15時】!$A$1,DQ25-1,18),"")</f>
        <v/>
      </c>
      <c r="DT26" s="40"/>
      <c r="DU26" s="40"/>
      <c r="DV26" s="46" t="str">
        <f ca="1">IF(OFFSET(変更先抽出【15時】!$A$1,DQ25-1,25)&lt;&gt;"",OFFSET(変更先抽出【15時】!$A$1,DQ25-1,25)&amp;"箱"&amp;OFFSET(変更先抽出【15時】!$A$1,DQ25-1,26),"")</f>
        <v/>
      </c>
      <c r="DW26" s="38"/>
      <c r="DX26" s="47"/>
      <c r="DY26" s="109"/>
      <c r="DZ26" s="170" t="str">
        <f ca="1">IF(DZ25&lt;&gt;"",OFFSET(変更先抽出【15時】!$A$1,DX25-1,18),"")</f>
        <v/>
      </c>
      <c r="EA26" s="40"/>
      <c r="EB26" s="40"/>
      <c r="EC26" s="46" t="str">
        <f ca="1">IF(OFFSET(変更先抽出【15時】!$A$1,DX25-1,25)&lt;&gt;"",OFFSET(変更先抽出【15時】!$A$1,DX25-1,25)&amp;"箱"&amp;OFFSET(変更先抽出【15時】!$A$1,DX25-1,26),"")</f>
        <v/>
      </c>
      <c r="ED26" s="38"/>
      <c r="EE26" s="22"/>
      <c r="EF26" s="171"/>
      <c r="EG26" s="109"/>
      <c r="EH26" s="170" t="str">
        <f ca="1">IF(EH25&lt;&gt;"",OFFSET(変更先抽出【15時】!$A$1,EF25-1,18),"")</f>
        <v/>
      </c>
      <c r="EI26" s="40"/>
      <c r="EJ26" s="40"/>
      <c r="EK26" s="46" t="str">
        <f ca="1">IF(OFFSET(変更先抽出【15時】!$A$1,EF25-1,25)&lt;&gt;"",OFFSET(変更先抽出【15時】!$A$1,EF25-1,25)&amp;"箱"&amp;OFFSET(変更先抽出【15時】!$A$1,EF25-1,26),"")</f>
        <v/>
      </c>
      <c r="EL26" s="38"/>
      <c r="EM26" s="47"/>
      <c r="EN26" s="109"/>
      <c r="EO26" s="170" t="str">
        <f ca="1">IF(EO25&lt;&gt;"",OFFSET(変更先抽出【15時】!$A$1,EM25-1,18),"")</f>
        <v/>
      </c>
      <c r="EP26" s="40"/>
      <c r="EQ26" s="40"/>
      <c r="ER26" s="46" t="str">
        <f ca="1">IF(OFFSET(変更先抽出【15時】!$A$1,EM25-1,25)&lt;&gt;"",OFFSET(変更先抽出【15時】!$A$1,EM25-1,25)&amp;"箱"&amp;OFFSET(変更先抽出【15時】!$A$1,EM25-1,26),"")</f>
        <v/>
      </c>
      <c r="ES26" s="38"/>
      <c r="ET26" s="22"/>
    </row>
    <row r="27" spans="1:150" s="32" customFormat="1">
      <c r="A27" s="171"/>
      <c r="B27" s="33"/>
      <c r="C27" s="153" t="str">
        <f ca="1">IF(C25&lt;&gt;"","園児","")</f>
        <v/>
      </c>
      <c r="D27" s="154"/>
      <c r="E27" s="22"/>
      <c r="F27" s="168" t="str">
        <f ca="1">IF(C25&lt;&gt;"","先生","")</f>
        <v/>
      </c>
      <c r="G27" s="39"/>
      <c r="H27" s="35"/>
      <c r="I27" s="33"/>
      <c r="J27" s="153" t="str">
        <f ca="1">IF(J25&lt;&gt;"","園児","")</f>
        <v/>
      </c>
      <c r="K27" s="154"/>
      <c r="L27" s="22"/>
      <c r="M27" s="168" t="str">
        <f ca="1">IF(J25&lt;&gt;"","先生","")</f>
        <v/>
      </c>
      <c r="N27" s="39"/>
      <c r="O27" s="22"/>
      <c r="P27" s="171"/>
      <c r="Q27" s="33"/>
      <c r="R27" s="153" t="str">
        <f ca="1">IF(R25&lt;&gt;"","園児","")</f>
        <v/>
      </c>
      <c r="S27" s="154"/>
      <c r="T27" s="22"/>
      <c r="U27" s="168" t="str">
        <f ca="1">IF(R25&lt;&gt;"","先生","")</f>
        <v/>
      </c>
      <c r="V27" s="39"/>
      <c r="W27" s="35"/>
      <c r="X27" s="33"/>
      <c r="Y27" s="153" t="str">
        <f ca="1">IF(Y25&lt;&gt;"","園児","")</f>
        <v/>
      </c>
      <c r="Z27" s="154"/>
      <c r="AA27" s="22"/>
      <c r="AB27" s="168" t="str">
        <f ca="1">IF(Y25&lt;&gt;"","先生","")</f>
        <v/>
      </c>
      <c r="AC27" s="39"/>
      <c r="AD27" s="22"/>
      <c r="AE27" s="171"/>
      <c r="AF27" s="33"/>
      <c r="AG27" s="153" t="str">
        <f ca="1">IF(AG25&lt;&gt;"","園児","")</f>
        <v/>
      </c>
      <c r="AH27" s="154"/>
      <c r="AI27" s="22"/>
      <c r="AJ27" s="168" t="str">
        <f ca="1">IF(AG25&lt;&gt;"","先生","")</f>
        <v/>
      </c>
      <c r="AK27" s="39"/>
      <c r="AL27" s="35"/>
      <c r="AM27" s="33"/>
      <c r="AN27" s="153" t="str">
        <f ca="1">IF(AN25&lt;&gt;"","園児","")</f>
        <v/>
      </c>
      <c r="AO27" s="154"/>
      <c r="AP27" s="22"/>
      <c r="AQ27" s="168" t="str">
        <f ca="1">IF(AN25&lt;&gt;"","先生","")</f>
        <v/>
      </c>
      <c r="AR27" s="39"/>
      <c r="AS27" s="22"/>
      <c r="AT27" s="171"/>
      <c r="AU27" s="33"/>
      <c r="AV27" s="153" t="str">
        <f ca="1">IF(AV25&lt;&gt;"","園児","")</f>
        <v/>
      </c>
      <c r="AW27" s="154"/>
      <c r="AX27" s="22"/>
      <c r="AY27" s="168" t="str">
        <f ca="1">IF(AV25&lt;&gt;"","先生","")</f>
        <v/>
      </c>
      <c r="AZ27" s="39"/>
      <c r="BA27" s="35"/>
      <c r="BB27" s="33"/>
      <c r="BC27" s="153" t="str">
        <f ca="1">IF(BC25&lt;&gt;"","園児","")</f>
        <v/>
      </c>
      <c r="BD27" s="154"/>
      <c r="BE27" s="22"/>
      <c r="BF27" s="168" t="str">
        <f ca="1">IF(BC25&lt;&gt;"","先生","")</f>
        <v/>
      </c>
      <c r="BG27" s="39"/>
      <c r="BH27" s="22"/>
      <c r="BI27" s="171"/>
      <c r="BJ27" s="33"/>
      <c r="BK27" s="153" t="str">
        <f ca="1">IF(BK25&lt;&gt;"","園児","")</f>
        <v/>
      </c>
      <c r="BL27" s="154"/>
      <c r="BM27" s="22"/>
      <c r="BN27" s="168" t="str">
        <f ca="1">IF(BK25&lt;&gt;"","先生","")</f>
        <v/>
      </c>
      <c r="BO27" s="39"/>
      <c r="BP27" s="35"/>
      <c r="BQ27" s="33"/>
      <c r="BR27" s="153" t="str">
        <f ca="1">IF(BR25&lt;&gt;"","園児","")</f>
        <v/>
      </c>
      <c r="BS27" s="154"/>
      <c r="BT27" s="22"/>
      <c r="BU27" s="168" t="str">
        <f ca="1">IF(BR25&lt;&gt;"","先生","")</f>
        <v/>
      </c>
      <c r="BV27" s="39"/>
      <c r="BW27" s="22"/>
      <c r="BX27" s="171"/>
      <c r="BY27" s="33"/>
      <c r="BZ27" s="153" t="str">
        <f ca="1">IF(BZ25&lt;&gt;"","園児","")</f>
        <v/>
      </c>
      <c r="CA27" s="154"/>
      <c r="CB27" s="22"/>
      <c r="CC27" s="168" t="str">
        <f ca="1">IF(BZ25&lt;&gt;"","先生","")</f>
        <v/>
      </c>
      <c r="CD27" s="39"/>
      <c r="CE27" s="35"/>
      <c r="CF27" s="33"/>
      <c r="CG27" s="153" t="str">
        <f ca="1">IF(CG25&lt;&gt;"","園児","")</f>
        <v/>
      </c>
      <c r="CH27" s="154"/>
      <c r="CI27" s="22"/>
      <c r="CJ27" s="168" t="str">
        <f ca="1">IF(CG25&lt;&gt;"","先生","")</f>
        <v/>
      </c>
      <c r="CK27" s="39"/>
      <c r="CL27" s="22"/>
      <c r="CM27" s="171"/>
      <c r="CN27" s="33"/>
      <c r="CO27" s="153" t="str">
        <f ca="1">IF(CO25&lt;&gt;"","園児","")</f>
        <v/>
      </c>
      <c r="CP27" s="154"/>
      <c r="CQ27" s="22"/>
      <c r="CR27" s="168" t="str">
        <f ca="1">IF(CO25&lt;&gt;"","先生","")</f>
        <v/>
      </c>
      <c r="CS27" s="39"/>
      <c r="CT27" s="35"/>
      <c r="CU27" s="33"/>
      <c r="CV27" s="153" t="str">
        <f ca="1">IF(CV25&lt;&gt;"","園児","")</f>
        <v/>
      </c>
      <c r="CW27" s="154"/>
      <c r="CX27" s="22"/>
      <c r="CY27" s="168" t="str">
        <f ca="1">IF(CV25&lt;&gt;"","先生","")</f>
        <v/>
      </c>
      <c r="CZ27" s="39"/>
      <c r="DA27" s="22"/>
      <c r="DB27" s="171"/>
      <c r="DC27" s="33"/>
      <c r="DD27" s="153" t="str">
        <f ca="1">IF(DD25&lt;&gt;"","園児","")</f>
        <v/>
      </c>
      <c r="DE27" s="154"/>
      <c r="DF27" s="22"/>
      <c r="DG27" s="168" t="str">
        <f ca="1">IF(DD25&lt;&gt;"","先生","")</f>
        <v/>
      </c>
      <c r="DH27" s="39"/>
      <c r="DI27" s="35"/>
      <c r="DJ27" s="33"/>
      <c r="DK27" s="153" t="str">
        <f ca="1">IF(DK25&lt;&gt;"","園児","")</f>
        <v/>
      </c>
      <c r="DL27" s="154"/>
      <c r="DM27" s="22"/>
      <c r="DN27" s="168" t="str">
        <f ca="1">IF(DK25&lt;&gt;"","先生","")</f>
        <v/>
      </c>
      <c r="DO27" s="39"/>
      <c r="DP27" s="22"/>
      <c r="DQ27" s="171"/>
      <c r="DR27" s="33"/>
      <c r="DS27" s="153" t="str">
        <f ca="1">IF(DS25&lt;&gt;"","園児","")</f>
        <v/>
      </c>
      <c r="DT27" s="154"/>
      <c r="DU27" s="22"/>
      <c r="DV27" s="168" t="str">
        <f ca="1">IF(DS25&lt;&gt;"","先生","")</f>
        <v/>
      </c>
      <c r="DW27" s="39"/>
      <c r="DX27" s="35"/>
      <c r="DY27" s="33"/>
      <c r="DZ27" s="153" t="str">
        <f ca="1">IF(DZ25&lt;&gt;"","園児","")</f>
        <v/>
      </c>
      <c r="EA27" s="154"/>
      <c r="EB27" s="22"/>
      <c r="EC27" s="168" t="str">
        <f ca="1">IF(DZ25&lt;&gt;"","先生","")</f>
        <v/>
      </c>
      <c r="ED27" s="39"/>
      <c r="EE27" s="22"/>
      <c r="EF27" s="171"/>
      <c r="EG27" s="33"/>
      <c r="EH27" s="153" t="str">
        <f ca="1">IF(EH25&lt;&gt;"","園児","")</f>
        <v/>
      </c>
      <c r="EI27" s="154"/>
      <c r="EJ27" s="22"/>
      <c r="EK27" s="168" t="str">
        <f ca="1">IF(EH25&lt;&gt;"","先生","")</f>
        <v/>
      </c>
      <c r="EL27" s="39"/>
      <c r="EM27" s="35"/>
      <c r="EN27" s="33"/>
      <c r="EO27" s="153" t="str">
        <f ca="1">IF(EO25&lt;&gt;"","園児","")</f>
        <v/>
      </c>
      <c r="EP27" s="154"/>
      <c r="EQ27" s="22"/>
      <c r="ER27" s="168" t="str">
        <f ca="1">IF(EO25&lt;&gt;"","先生","")</f>
        <v/>
      </c>
      <c r="ES27" s="39"/>
      <c r="ET27" s="22"/>
    </row>
    <row r="28" spans="1:150" ht="15.6" customHeight="1">
      <c r="B28" s="25"/>
      <c r="C28" s="151" t="str">
        <f ca="1">IF(C25&lt;&gt;"",OFFSET(変更先抽出【15時】!$A$1,A25-1,19),"")</f>
        <v/>
      </c>
      <c r="D28" s="152"/>
      <c r="E28" s="48"/>
      <c r="F28" s="147" t="str">
        <f ca="1">IF(C25&lt;&gt;"",OFFSET(変更先抽出【15時】!$A$1,A25-1,20),"")</f>
        <v/>
      </c>
      <c r="G28" s="148"/>
      <c r="H28" s="26"/>
      <c r="I28" s="25"/>
      <c r="J28" s="151" t="str">
        <f ca="1">IF(J25&lt;&gt;"",OFFSET(変更先抽出【15時】!$A$1,H25-1,19),"")</f>
        <v/>
      </c>
      <c r="K28" s="152"/>
      <c r="L28" s="48"/>
      <c r="M28" s="147" t="str">
        <f ca="1">IF(J25&lt;&gt;"",OFFSET(変更先抽出【15時】!$A$1,H25-1,20),"")</f>
        <v/>
      </c>
      <c r="N28" s="148"/>
      <c r="Q28" s="25"/>
      <c r="R28" s="151" t="str">
        <f ca="1">IF(R25&lt;&gt;"",OFFSET(変更先抽出【15時】!$A$1,P25-1,19),"")</f>
        <v/>
      </c>
      <c r="S28" s="152"/>
      <c r="T28" s="48"/>
      <c r="U28" s="147" t="str">
        <f ca="1">IF(R25&lt;&gt;"",OFFSET(変更先抽出【15時】!$A$1,P25-1,20),"")</f>
        <v/>
      </c>
      <c r="V28" s="148"/>
      <c r="W28" s="26"/>
      <c r="X28" s="25"/>
      <c r="Y28" s="151" t="str">
        <f ca="1">IF(Y25&lt;&gt;"",OFFSET(変更先抽出【15時】!$A$1,W25-1,19),"")</f>
        <v/>
      </c>
      <c r="Z28" s="152"/>
      <c r="AA28" s="48"/>
      <c r="AB28" s="147" t="str">
        <f ca="1">IF(Y25&lt;&gt;"",OFFSET(変更先抽出【15時】!$A$1,W25-1,20),"")</f>
        <v/>
      </c>
      <c r="AC28" s="148"/>
      <c r="AF28" s="25"/>
      <c r="AG28" s="151" t="str">
        <f ca="1">IF(AG25&lt;&gt;"",OFFSET(変更先抽出【15時】!$A$1,AE25-1,19),"")</f>
        <v/>
      </c>
      <c r="AH28" s="152"/>
      <c r="AI28" s="48"/>
      <c r="AJ28" s="147" t="str">
        <f ca="1">IF(AG25&lt;&gt;"",OFFSET(変更先抽出【15時】!$A$1,AE25-1,20),"")</f>
        <v/>
      </c>
      <c r="AK28" s="148"/>
      <c r="AL28" s="26"/>
      <c r="AM28" s="25"/>
      <c r="AN28" s="151" t="str">
        <f ca="1">IF(AN25&lt;&gt;"",OFFSET(変更先抽出【15時】!$A$1,AL25-1,19),"")</f>
        <v/>
      </c>
      <c r="AO28" s="152"/>
      <c r="AP28" s="48"/>
      <c r="AQ28" s="147" t="str">
        <f ca="1">IF(AN25&lt;&gt;"",OFFSET(変更先抽出【15時】!$A$1,AL25-1,20),"")</f>
        <v/>
      </c>
      <c r="AR28" s="148"/>
      <c r="AU28" s="25"/>
      <c r="AV28" s="151" t="str">
        <f ca="1">IF(AV25&lt;&gt;"",OFFSET(変更先抽出【15時】!$A$1,AT25-1,19),"")</f>
        <v/>
      </c>
      <c r="AW28" s="152"/>
      <c r="AX28" s="48"/>
      <c r="AY28" s="147" t="str">
        <f ca="1">IF(AV25&lt;&gt;"",OFFSET(変更先抽出【15時】!$A$1,AT25-1,20),"")</f>
        <v/>
      </c>
      <c r="AZ28" s="148"/>
      <c r="BA28" s="26"/>
      <c r="BB28" s="25"/>
      <c r="BC28" s="151" t="str">
        <f ca="1">IF(BC25&lt;&gt;"",OFFSET(変更先抽出【15時】!$A$1,BA25-1,19),"")</f>
        <v/>
      </c>
      <c r="BD28" s="152"/>
      <c r="BE28" s="48"/>
      <c r="BF28" s="147" t="str">
        <f ca="1">IF(BC25&lt;&gt;"",OFFSET(変更先抽出【15時】!$A$1,BA25-1,20),"")</f>
        <v/>
      </c>
      <c r="BG28" s="148"/>
      <c r="BJ28" s="25"/>
      <c r="BK28" s="151" t="str">
        <f ca="1">IF(BK25&lt;&gt;"",OFFSET(変更先抽出【15時】!$A$1,BI25-1,19),"")</f>
        <v/>
      </c>
      <c r="BL28" s="152"/>
      <c r="BM28" s="48"/>
      <c r="BN28" s="147" t="str">
        <f ca="1">IF(BK25&lt;&gt;"",OFFSET(変更先抽出【15時】!$A$1,BI25-1,20),"")</f>
        <v/>
      </c>
      <c r="BO28" s="148"/>
      <c r="BP28" s="26"/>
      <c r="BQ28" s="25"/>
      <c r="BR28" s="151" t="str">
        <f ca="1">IF(BR25&lt;&gt;"",OFFSET(変更先抽出【15時】!$A$1,BP25-1,19),"")</f>
        <v/>
      </c>
      <c r="BS28" s="152"/>
      <c r="BT28" s="48"/>
      <c r="BU28" s="147" t="str">
        <f ca="1">IF(BR25&lt;&gt;"",OFFSET(変更先抽出【15時】!$A$1,BP25-1,20),"")</f>
        <v/>
      </c>
      <c r="BV28" s="148"/>
      <c r="BY28" s="25"/>
      <c r="BZ28" s="151" t="str">
        <f ca="1">IF(BZ25&lt;&gt;"",OFFSET(変更先抽出【15時】!$A$1,BX25-1,19),"")</f>
        <v/>
      </c>
      <c r="CA28" s="152"/>
      <c r="CB28" s="48"/>
      <c r="CC28" s="147" t="str">
        <f ca="1">IF(BZ25&lt;&gt;"",OFFSET(変更先抽出【15時】!$A$1,BX25-1,20),"")</f>
        <v/>
      </c>
      <c r="CD28" s="148"/>
      <c r="CE28" s="26"/>
      <c r="CF28" s="25"/>
      <c r="CG28" s="151" t="str">
        <f ca="1">IF(CG25&lt;&gt;"",OFFSET(変更先抽出【15時】!$A$1,CE25-1,19),"")</f>
        <v/>
      </c>
      <c r="CH28" s="152"/>
      <c r="CI28" s="48"/>
      <c r="CJ28" s="147" t="str">
        <f ca="1">IF(CG25&lt;&gt;"",OFFSET(変更先抽出【15時】!$A$1,CE25-1,20),"")</f>
        <v/>
      </c>
      <c r="CK28" s="148"/>
      <c r="CN28" s="25"/>
      <c r="CO28" s="151" t="str">
        <f ca="1">IF(CO25&lt;&gt;"",OFFSET(変更先抽出【15時】!$A$1,CM25-1,19),"")</f>
        <v/>
      </c>
      <c r="CP28" s="152"/>
      <c r="CQ28" s="48"/>
      <c r="CR28" s="147" t="str">
        <f ca="1">IF(CO25&lt;&gt;"",OFFSET(変更先抽出【15時】!$A$1,CM25-1,20),"")</f>
        <v/>
      </c>
      <c r="CS28" s="148"/>
      <c r="CT28" s="26"/>
      <c r="CU28" s="25"/>
      <c r="CV28" s="151" t="str">
        <f ca="1">IF(CV25&lt;&gt;"",OFFSET(変更先抽出【15時】!$A$1,CT25-1,19),"")</f>
        <v/>
      </c>
      <c r="CW28" s="152"/>
      <c r="CX28" s="48"/>
      <c r="CY28" s="147" t="str">
        <f ca="1">IF(CV25&lt;&gt;"",OFFSET(変更先抽出【15時】!$A$1,CT25-1,20),"")</f>
        <v/>
      </c>
      <c r="CZ28" s="148"/>
      <c r="DC28" s="25"/>
      <c r="DD28" s="151" t="str">
        <f ca="1">IF(DD25&lt;&gt;"",OFFSET(変更先抽出【15時】!$A$1,DB25-1,19),"")</f>
        <v/>
      </c>
      <c r="DE28" s="152"/>
      <c r="DF28" s="48"/>
      <c r="DG28" s="147" t="str">
        <f ca="1">IF(DD25&lt;&gt;"",OFFSET(変更先抽出【15時】!$A$1,DB25-1,20),"")</f>
        <v/>
      </c>
      <c r="DH28" s="148"/>
      <c r="DI28" s="26"/>
      <c r="DJ28" s="25"/>
      <c r="DK28" s="151" t="str">
        <f ca="1">IF(DK25&lt;&gt;"",OFFSET(変更先抽出【15時】!$A$1,DI25-1,19),"")</f>
        <v/>
      </c>
      <c r="DL28" s="152"/>
      <c r="DM28" s="48"/>
      <c r="DN28" s="147" t="str">
        <f ca="1">IF(DK25&lt;&gt;"",OFFSET(変更先抽出【15時】!$A$1,DI25-1,20),"")</f>
        <v/>
      </c>
      <c r="DO28" s="148"/>
      <c r="DR28" s="25"/>
      <c r="DS28" s="151" t="str">
        <f ca="1">IF(DS25&lt;&gt;"",OFFSET(変更先抽出【15時】!$A$1,DQ25-1,19),"")</f>
        <v/>
      </c>
      <c r="DT28" s="152"/>
      <c r="DU28" s="48"/>
      <c r="DV28" s="147" t="str">
        <f ca="1">IF(DS25&lt;&gt;"",OFFSET(変更先抽出【15時】!$A$1,DQ25-1,20),"")</f>
        <v/>
      </c>
      <c r="DW28" s="148"/>
      <c r="DX28" s="26"/>
      <c r="DY28" s="25"/>
      <c r="DZ28" s="151" t="str">
        <f ca="1">IF(DZ25&lt;&gt;"",OFFSET(変更先抽出【15時】!$A$1,DX25-1,19),"")</f>
        <v/>
      </c>
      <c r="EA28" s="152"/>
      <c r="EB28" s="48"/>
      <c r="EC28" s="147" t="str">
        <f ca="1">IF(DZ25&lt;&gt;"",OFFSET(変更先抽出【15時】!$A$1,DX25-1,20),"")</f>
        <v/>
      </c>
      <c r="ED28" s="148"/>
      <c r="EG28" s="25"/>
      <c r="EH28" s="151" t="str">
        <f ca="1">IF(EH25&lt;&gt;"",OFFSET(変更先抽出【15時】!$A$1,EF25-1,19),"")</f>
        <v/>
      </c>
      <c r="EI28" s="152"/>
      <c r="EJ28" s="48"/>
      <c r="EK28" s="147" t="str">
        <f ca="1">IF(EH25&lt;&gt;"",OFFSET(変更先抽出【15時】!$A$1,EF25-1,20),"")</f>
        <v/>
      </c>
      <c r="EL28" s="148"/>
      <c r="EM28" s="26"/>
      <c r="EN28" s="25"/>
      <c r="EO28" s="151" t="str">
        <f ca="1">IF(EO25&lt;&gt;"",OFFSET(変更先抽出【15時】!$A$1,EM25-1,19),"")</f>
        <v/>
      </c>
      <c r="EP28" s="152"/>
      <c r="EQ28" s="48"/>
      <c r="ER28" s="147" t="str">
        <f ca="1">IF(EO25&lt;&gt;"",OFFSET(変更先抽出【15時】!$A$1,EM25-1,20),"")</f>
        <v/>
      </c>
      <c r="ES28" s="148"/>
    </row>
    <row r="29" spans="1:150" ht="15.6" customHeight="1">
      <c r="B29" s="27"/>
      <c r="C29" s="149"/>
      <c r="D29" s="149"/>
      <c r="E29" s="43"/>
      <c r="F29" s="149"/>
      <c r="G29" s="150"/>
      <c r="H29" s="26"/>
      <c r="I29" s="27"/>
      <c r="J29" s="149"/>
      <c r="K29" s="149"/>
      <c r="L29" s="43"/>
      <c r="M29" s="149"/>
      <c r="N29" s="150"/>
      <c r="Q29" s="27"/>
      <c r="R29" s="149"/>
      <c r="S29" s="149"/>
      <c r="T29" s="43"/>
      <c r="U29" s="149"/>
      <c r="V29" s="150"/>
      <c r="W29" s="26"/>
      <c r="X29" s="27"/>
      <c r="Y29" s="149"/>
      <c r="Z29" s="149"/>
      <c r="AA29" s="43"/>
      <c r="AB29" s="149"/>
      <c r="AC29" s="150"/>
      <c r="AF29" s="27"/>
      <c r="AG29" s="149"/>
      <c r="AH29" s="149"/>
      <c r="AI29" s="43"/>
      <c r="AJ29" s="149"/>
      <c r="AK29" s="150"/>
      <c r="AL29" s="26"/>
      <c r="AM29" s="27"/>
      <c r="AN29" s="149"/>
      <c r="AO29" s="149"/>
      <c r="AP29" s="43"/>
      <c r="AQ29" s="149"/>
      <c r="AR29" s="150"/>
      <c r="AU29" s="27"/>
      <c r="AV29" s="149"/>
      <c r="AW29" s="149"/>
      <c r="AX29" s="43"/>
      <c r="AY29" s="149"/>
      <c r="AZ29" s="150"/>
      <c r="BA29" s="26"/>
      <c r="BB29" s="27"/>
      <c r="BC29" s="149"/>
      <c r="BD29" s="149"/>
      <c r="BE29" s="43"/>
      <c r="BF29" s="149"/>
      <c r="BG29" s="150"/>
      <c r="BJ29" s="27"/>
      <c r="BK29" s="149"/>
      <c r="BL29" s="149"/>
      <c r="BM29" s="43"/>
      <c r="BN29" s="149"/>
      <c r="BO29" s="150"/>
      <c r="BP29" s="26"/>
      <c r="BQ29" s="27"/>
      <c r="BR29" s="149"/>
      <c r="BS29" s="149"/>
      <c r="BT29" s="43"/>
      <c r="BU29" s="149"/>
      <c r="BV29" s="150"/>
      <c r="BY29" s="27"/>
      <c r="BZ29" s="149"/>
      <c r="CA29" s="149"/>
      <c r="CB29" s="43"/>
      <c r="CC29" s="149"/>
      <c r="CD29" s="150"/>
      <c r="CE29" s="26"/>
      <c r="CF29" s="27"/>
      <c r="CG29" s="149"/>
      <c r="CH29" s="149"/>
      <c r="CI29" s="43"/>
      <c r="CJ29" s="149"/>
      <c r="CK29" s="150"/>
      <c r="CN29" s="27"/>
      <c r="CO29" s="149"/>
      <c r="CP29" s="149"/>
      <c r="CQ29" s="43"/>
      <c r="CR29" s="149"/>
      <c r="CS29" s="150"/>
      <c r="CT29" s="26"/>
      <c r="CU29" s="27"/>
      <c r="CV29" s="149"/>
      <c r="CW29" s="149"/>
      <c r="CX29" s="43"/>
      <c r="CY29" s="149"/>
      <c r="CZ29" s="150"/>
      <c r="DC29" s="27"/>
      <c r="DD29" s="149"/>
      <c r="DE29" s="149"/>
      <c r="DF29" s="43"/>
      <c r="DG29" s="149"/>
      <c r="DH29" s="150"/>
      <c r="DI29" s="26"/>
      <c r="DJ29" s="27"/>
      <c r="DK29" s="149"/>
      <c r="DL29" s="149"/>
      <c r="DM29" s="43"/>
      <c r="DN29" s="149"/>
      <c r="DO29" s="150"/>
      <c r="DR29" s="27"/>
      <c r="DS29" s="149"/>
      <c r="DT29" s="149"/>
      <c r="DU29" s="43"/>
      <c r="DV29" s="149"/>
      <c r="DW29" s="150"/>
      <c r="DX29" s="26"/>
      <c r="DY29" s="27"/>
      <c r="DZ29" s="149"/>
      <c r="EA29" s="149"/>
      <c r="EB29" s="43"/>
      <c r="EC29" s="149"/>
      <c r="ED29" s="150"/>
      <c r="EG29" s="27"/>
      <c r="EH29" s="149"/>
      <c r="EI29" s="149"/>
      <c r="EJ29" s="43"/>
      <c r="EK29" s="149"/>
      <c r="EL29" s="150"/>
      <c r="EM29" s="26"/>
      <c r="EN29" s="27"/>
      <c r="EO29" s="149"/>
      <c r="EP29" s="149"/>
      <c r="EQ29" s="43"/>
      <c r="ER29" s="149"/>
      <c r="ES29" s="150"/>
    </row>
    <row r="30" spans="1:150" s="32" customFormat="1">
      <c r="A30" s="171"/>
      <c r="B30" s="36" t="str">
        <f ca="1">IF(C25&lt;&gt;"","パン箱","")</f>
        <v/>
      </c>
      <c r="C30" s="34" t="str">
        <f ca="1">IF(C25&lt;&gt;"",OFFSET(変更先抽出【15時】!$A$1,A25-1,22),"")</f>
        <v/>
      </c>
      <c r="D30" s="36" t="str">
        <f ca="1">IF(C25&lt;&gt;"","端数","")</f>
        <v/>
      </c>
      <c r="E30" s="34"/>
      <c r="F30" s="36" t="str">
        <f ca="1">IF(C25&lt;&gt;"","アレルギー","")</f>
        <v/>
      </c>
      <c r="G30" s="39"/>
      <c r="H30" s="22"/>
      <c r="I30" s="36" t="str">
        <f ca="1">IF(J25&lt;&gt;"","パン箱","")</f>
        <v/>
      </c>
      <c r="J30" s="34" t="str">
        <f ca="1">IF(J25&lt;&gt;"",OFFSET(変更先抽出【15時】!$A$1,H25-1,22),"")</f>
        <v/>
      </c>
      <c r="K30" s="36" t="str">
        <f ca="1">IF(J25&lt;&gt;"","端数","")</f>
        <v/>
      </c>
      <c r="L30" s="34"/>
      <c r="M30" s="36" t="str">
        <f ca="1">IF(J25&lt;&gt;"","アレルギー","")</f>
        <v/>
      </c>
      <c r="N30" s="39"/>
      <c r="O30" s="22"/>
      <c r="P30" s="171"/>
      <c r="Q30" s="36" t="str">
        <f ca="1">IF(R25&lt;&gt;"","パン箱","")</f>
        <v/>
      </c>
      <c r="R30" s="34" t="str">
        <f ca="1">IF(R25&lt;&gt;"",OFFSET(変更先抽出【15時】!$A$1,P25-1,22),"")</f>
        <v/>
      </c>
      <c r="S30" s="36" t="str">
        <f ca="1">IF(R25&lt;&gt;"","端数","")</f>
        <v/>
      </c>
      <c r="T30" s="34"/>
      <c r="U30" s="36" t="str">
        <f ca="1">IF(R25&lt;&gt;"","アレルギー","")</f>
        <v/>
      </c>
      <c r="V30" s="39"/>
      <c r="W30" s="22"/>
      <c r="X30" s="36" t="str">
        <f ca="1">IF(Y25&lt;&gt;"","パン箱","")</f>
        <v/>
      </c>
      <c r="Y30" s="34" t="str">
        <f ca="1">IF(Y25&lt;&gt;"",OFFSET(変更先抽出【15時】!$A$1,W25-1,22),"")</f>
        <v/>
      </c>
      <c r="Z30" s="36" t="str">
        <f ca="1">IF(Y25&lt;&gt;"","端数","")</f>
        <v/>
      </c>
      <c r="AA30" s="34"/>
      <c r="AB30" s="36" t="str">
        <f ca="1">IF(Y25&lt;&gt;"","アレルギー","")</f>
        <v/>
      </c>
      <c r="AC30" s="39"/>
      <c r="AD30" s="22"/>
      <c r="AE30" s="171"/>
      <c r="AF30" s="36" t="str">
        <f ca="1">IF(AG25&lt;&gt;"","パン箱","")</f>
        <v/>
      </c>
      <c r="AG30" s="34" t="str">
        <f ca="1">IF(AG25&lt;&gt;"",OFFSET(変更先抽出【15時】!$A$1,AE25-1,22),"")</f>
        <v/>
      </c>
      <c r="AH30" s="36" t="str">
        <f ca="1">IF(AG25&lt;&gt;"","端数","")</f>
        <v/>
      </c>
      <c r="AI30" s="34"/>
      <c r="AJ30" s="36" t="str">
        <f ca="1">IF(AG25&lt;&gt;"","アレルギー","")</f>
        <v/>
      </c>
      <c r="AK30" s="39"/>
      <c r="AL30" s="22"/>
      <c r="AM30" s="36" t="str">
        <f ca="1">IF(AN25&lt;&gt;"","パン箱","")</f>
        <v/>
      </c>
      <c r="AN30" s="34" t="str">
        <f ca="1">IF(AN25&lt;&gt;"",OFFSET(変更先抽出【15時】!$A$1,AL25-1,22),"")</f>
        <v/>
      </c>
      <c r="AO30" s="36" t="str">
        <f ca="1">IF(AN25&lt;&gt;"","端数","")</f>
        <v/>
      </c>
      <c r="AP30" s="34"/>
      <c r="AQ30" s="36" t="str">
        <f ca="1">IF(AN25&lt;&gt;"","アレルギー","")</f>
        <v/>
      </c>
      <c r="AR30" s="39"/>
      <c r="AS30" s="22"/>
      <c r="AT30" s="171"/>
      <c r="AU30" s="36" t="str">
        <f ca="1">IF(AV25&lt;&gt;"","パン箱","")</f>
        <v/>
      </c>
      <c r="AV30" s="34" t="str">
        <f ca="1">IF(AV25&lt;&gt;"",OFFSET(変更先抽出【15時】!$A$1,AT25-1,22),"")</f>
        <v/>
      </c>
      <c r="AW30" s="36" t="str">
        <f ca="1">IF(AV25&lt;&gt;"","端数","")</f>
        <v/>
      </c>
      <c r="AX30" s="34"/>
      <c r="AY30" s="36" t="str">
        <f ca="1">IF(AV25&lt;&gt;"","アレルギー","")</f>
        <v/>
      </c>
      <c r="AZ30" s="39"/>
      <c r="BA30" s="22"/>
      <c r="BB30" s="36" t="str">
        <f ca="1">IF(BC25&lt;&gt;"","パン箱","")</f>
        <v/>
      </c>
      <c r="BC30" s="34" t="str">
        <f ca="1">IF(BC25&lt;&gt;"",OFFSET(変更先抽出【15時】!$A$1,BA25-1,22),"")</f>
        <v/>
      </c>
      <c r="BD30" s="36" t="str">
        <f ca="1">IF(BC25&lt;&gt;"","端数","")</f>
        <v/>
      </c>
      <c r="BE30" s="34"/>
      <c r="BF30" s="36" t="str">
        <f ca="1">IF(BC25&lt;&gt;"","アレルギー","")</f>
        <v/>
      </c>
      <c r="BG30" s="39"/>
      <c r="BH30" s="22"/>
      <c r="BI30" s="171"/>
      <c r="BJ30" s="36" t="str">
        <f ca="1">IF(BK25&lt;&gt;"","パン箱","")</f>
        <v/>
      </c>
      <c r="BK30" s="34" t="str">
        <f ca="1">IF(BK25&lt;&gt;"",OFFSET(変更先抽出【15時】!$A$1,BI25-1,22),"")</f>
        <v/>
      </c>
      <c r="BL30" s="36" t="str">
        <f ca="1">IF(BK25&lt;&gt;"","端数","")</f>
        <v/>
      </c>
      <c r="BM30" s="34"/>
      <c r="BN30" s="36" t="str">
        <f ca="1">IF(BK25&lt;&gt;"","アレルギー","")</f>
        <v/>
      </c>
      <c r="BO30" s="39"/>
      <c r="BP30" s="22"/>
      <c r="BQ30" s="36" t="str">
        <f ca="1">IF(BR25&lt;&gt;"","パン箱","")</f>
        <v/>
      </c>
      <c r="BR30" s="34" t="str">
        <f ca="1">IF(BR25&lt;&gt;"",OFFSET(変更先抽出【15時】!$A$1,BP25-1,22),"")</f>
        <v/>
      </c>
      <c r="BS30" s="36" t="str">
        <f ca="1">IF(BR25&lt;&gt;"","端数","")</f>
        <v/>
      </c>
      <c r="BT30" s="34"/>
      <c r="BU30" s="36" t="str">
        <f ca="1">IF(BR25&lt;&gt;"","アレルギー","")</f>
        <v/>
      </c>
      <c r="BV30" s="39"/>
      <c r="BW30" s="22"/>
      <c r="BX30" s="171"/>
      <c r="BY30" s="36" t="str">
        <f ca="1">IF(BZ25&lt;&gt;"","パン箱","")</f>
        <v/>
      </c>
      <c r="BZ30" s="34" t="str">
        <f ca="1">IF(BZ25&lt;&gt;"",OFFSET(変更先抽出【15時】!$A$1,BX25-1,22),"")</f>
        <v/>
      </c>
      <c r="CA30" s="36" t="str">
        <f ca="1">IF(BZ25&lt;&gt;"","端数","")</f>
        <v/>
      </c>
      <c r="CB30" s="34"/>
      <c r="CC30" s="36" t="str">
        <f ca="1">IF(BZ25&lt;&gt;"","アレルギー","")</f>
        <v/>
      </c>
      <c r="CD30" s="39"/>
      <c r="CE30" s="22"/>
      <c r="CF30" s="36" t="str">
        <f ca="1">IF(CG25&lt;&gt;"","パン箱","")</f>
        <v/>
      </c>
      <c r="CG30" s="34" t="str">
        <f ca="1">IF(CG25&lt;&gt;"",OFFSET(変更先抽出【15時】!$A$1,CE25-1,22),"")</f>
        <v/>
      </c>
      <c r="CH30" s="36" t="str">
        <f ca="1">IF(CG25&lt;&gt;"","端数","")</f>
        <v/>
      </c>
      <c r="CI30" s="34"/>
      <c r="CJ30" s="36" t="str">
        <f ca="1">IF(CG25&lt;&gt;"","アレルギー","")</f>
        <v/>
      </c>
      <c r="CK30" s="39"/>
      <c r="CL30" s="22"/>
      <c r="CM30" s="171"/>
      <c r="CN30" s="36" t="str">
        <f ca="1">IF(CO25&lt;&gt;"","パン箱","")</f>
        <v/>
      </c>
      <c r="CO30" s="34" t="str">
        <f ca="1">IF(CO25&lt;&gt;"",OFFSET(変更先抽出【15時】!$A$1,CM25-1,22),"")</f>
        <v/>
      </c>
      <c r="CP30" s="36" t="str">
        <f ca="1">IF(CO25&lt;&gt;"","端数","")</f>
        <v/>
      </c>
      <c r="CQ30" s="34"/>
      <c r="CR30" s="36" t="str">
        <f ca="1">IF(CO25&lt;&gt;"","アレルギー","")</f>
        <v/>
      </c>
      <c r="CS30" s="39"/>
      <c r="CT30" s="22"/>
      <c r="CU30" s="36" t="str">
        <f ca="1">IF(CV25&lt;&gt;"","パン箱","")</f>
        <v/>
      </c>
      <c r="CV30" s="34" t="str">
        <f ca="1">IF(CV25&lt;&gt;"",OFFSET(変更先抽出【15時】!$A$1,CT25-1,22),"")</f>
        <v/>
      </c>
      <c r="CW30" s="36" t="str">
        <f ca="1">IF(CV25&lt;&gt;"","端数","")</f>
        <v/>
      </c>
      <c r="CX30" s="34"/>
      <c r="CY30" s="36" t="str">
        <f ca="1">IF(CV25&lt;&gt;"","アレルギー","")</f>
        <v/>
      </c>
      <c r="CZ30" s="39"/>
      <c r="DA30" s="22"/>
      <c r="DB30" s="171"/>
      <c r="DC30" s="36" t="str">
        <f ca="1">IF(DD25&lt;&gt;"","パン箱","")</f>
        <v/>
      </c>
      <c r="DD30" s="34" t="str">
        <f ca="1">IF(DD25&lt;&gt;"",OFFSET(変更先抽出【15時】!$A$1,DB25-1,22),"")</f>
        <v/>
      </c>
      <c r="DE30" s="36" t="str">
        <f ca="1">IF(DD25&lt;&gt;"","端数","")</f>
        <v/>
      </c>
      <c r="DF30" s="34"/>
      <c r="DG30" s="36" t="str">
        <f ca="1">IF(DD25&lt;&gt;"","アレルギー","")</f>
        <v/>
      </c>
      <c r="DH30" s="39"/>
      <c r="DI30" s="22"/>
      <c r="DJ30" s="36" t="str">
        <f ca="1">IF(DK25&lt;&gt;"","パン箱","")</f>
        <v/>
      </c>
      <c r="DK30" s="34" t="str">
        <f ca="1">IF(DK25&lt;&gt;"",OFFSET(変更先抽出【15時】!$A$1,DI25-1,22),"")</f>
        <v/>
      </c>
      <c r="DL30" s="36" t="str">
        <f ca="1">IF(DK25&lt;&gt;"","端数","")</f>
        <v/>
      </c>
      <c r="DM30" s="34"/>
      <c r="DN30" s="36" t="str">
        <f ca="1">IF(DK25&lt;&gt;"","アレルギー","")</f>
        <v/>
      </c>
      <c r="DO30" s="39"/>
      <c r="DP30" s="22"/>
      <c r="DQ30" s="171"/>
      <c r="DR30" s="36" t="str">
        <f ca="1">IF(DS25&lt;&gt;"","パン箱","")</f>
        <v/>
      </c>
      <c r="DS30" s="34" t="str">
        <f ca="1">IF(DS25&lt;&gt;"",OFFSET(変更先抽出【15時】!$A$1,DQ25-1,22),"")</f>
        <v/>
      </c>
      <c r="DT30" s="36" t="str">
        <f ca="1">IF(DS25&lt;&gt;"","端数","")</f>
        <v/>
      </c>
      <c r="DU30" s="34"/>
      <c r="DV30" s="36" t="str">
        <f ca="1">IF(DS25&lt;&gt;"","アレルギー","")</f>
        <v/>
      </c>
      <c r="DW30" s="39"/>
      <c r="DX30" s="22"/>
      <c r="DY30" s="36" t="str">
        <f ca="1">IF(DZ25&lt;&gt;"","パン箱","")</f>
        <v/>
      </c>
      <c r="DZ30" s="34" t="str">
        <f ca="1">IF(DZ25&lt;&gt;"",OFFSET(変更先抽出【15時】!$A$1,DX25-1,22),"")</f>
        <v/>
      </c>
      <c r="EA30" s="36" t="str">
        <f ca="1">IF(DZ25&lt;&gt;"","端数","")</f>
        <v/>
      </c>
      <c r="EB30" s="34"/>
      <c r="EC30" s="36" t="str">
        <f ca="1">IF(DZ25&lt;&gt;"","アレルギー","")</f>
        <v/>
      </c>
      <c r="ED30" s="39"/>
      <c r="EE30" s="22"/>
      <c r="EF30" s="171"/>
      <c r="EG30" s="36" t="str">
        <f ca="1">IF(EH25&lt;&gt;"","パン箱","")</f>
        <v/>
      </c>
      <c r="EH30" s="34" t="str">
        <f ca="1">IF(EH25&lt;&gt;"",OFFSET(変更先抽出【15時】!$A$1,EF25-1,22),"")</f>
        <v/>
      </c>
      <c r="EI30" s="36" t="str">
        <f ca="1">IF(EH25&lt;&gt;"","端数","")</f>
        <v/>
      </c>
      <c r="EJ30" s="34"/>
      <c r="EK30" s="36" t="str">
        <f ca="1">IF(EH25&lt;&gt;"","アレルギー","")</f>
        <v/>
      </c>
      <c r="EL30" s="39"/>
      <c r="EM30" s="22"/>
      <c r="EN30" s="36" t="str">
        <f ca="1">IF(EO25&lt;&gt;"","パン箱","")</f>
        <v/>
      </c>
      <c r="EO30" s="34" t="str">
        <f ca="1">IF(EO25&lt;&gt;"",OFFSET(変更先抽出【15時】!$A$1,EM25-1,22),"")</f>
        <v/>
      </c>
      <c r="EP30" s="36" t="str">
        <f ca="1">IF(EO25&lt;&gt;"","端数","")</f>
        <v/>
      </c>
      <c r="EQ30" s="34"/>
      <c r="ER30" s="36" t="str">
        <f ca="1">IF(EO25&lt;&gt;"","アレルギー","")</f>
        <v/>
      </c>
      <c r="ES30" s="39"/>
      <c r="ET30" s="22"/>
    </row>
    <row r="31" spans="1:150" ht="27.6" customHeight="1">
      <c r="B31" s="157" t="str">
        <f ca="1">IF(C25&lt;&gt;"",IFERROR(INT(C28/C30),""),"")</f>
        <v/>
      </c>
      <c r="C31" s="150"/>
      <c r="D31" s="157" t="str">
        <f ca="1">IF(C25&lt;&gt;"",IFERROR(MOD(C28,C30),""),"")</f>
        <v/>
      </c>
      <c r="E31" s="150"/>
      <c r="F31" s="158" t="str">
        <f ca="1">IF(C25&lt;&gt;"",OFFSET(変更先抽出【15時】!$A$1,A25-1,21),"")</f>
        <v/>
      </c>
      <c r="G31" s="150"/>
      <c r="I31" s="157" t="str">
        <f ca="1">IF(J25&lt;&gt;"",IFERROR(INT(J28/J30),""),"")</f>
        <v/>
      </c>
      <c r="J31" s="150"/>
      <c r="K31" s="157" t="str">
        <f ca="1">IF(J25&lt;&gt;"",IFERROR(MOD(J28,J30),""),"")</f>
        <v/>
      </c>
      <c r="L31" s="150"/>
      <c r="M31" s="158" t="str">
        <f ca="1">IF(J25&lt;&gt;"",OFFSET(変更先抽出【15時】!$A$1,H25-1,21),"")</f>
        <v/>
      </c>
      <c r="N31" s="150"/>
      <c r="Q31" s="157" t="str">
        <f ca="1">IF(R25&lt;&gt;"",IFERROR(INT(R28/R30),""),"")</f>
        <v/>
      </c>
      <c r="R31" s="150"/>
      <c r="S31" s="157" t="str">
        <f ca="1">IF(R25&lt;&gt;"",IFERROR(MOD(R28,R30),""),"")</f>
        <v/>
      </c>
      <c r="T31" s="150"/>
      <c r="U31" s="158" t="str">
        <f ca="1">IF(R25&lt;&gt;"",OFFSET(変更先抽出【15時】!$A$1,P25-1,21),"")</f>
        <v/>
      </c>
      <c r="V31" s="150"/>
      <c r="X31" s="157" t="str">
        <f ca="1">IF(Y25&lt;&gt;"",IFERROR(INT(Y28/Y30),""),"")</f>
        <v/>
      </c>
      <c r="Y31" s="150"/>
      <c r="Z31" s="157" t="str">
        <f ca="1">IF(Y25&lt;&gt;"",IFERROR(MOD(Y28,Y30),""),"")</f>
        <v/>
      </c>
      <c r="AA31" s="150"/>
      <c r="AB31" s="158" t="str">
        <f ca="1">IF(Y25&lt;&gt;"",OFFSET(変更先抽出【15時】!$A$1,W25-1,21),"")</f>
        <v/>
      </c>
      <c r="AC31" s="150"/>
      <c r="AF31" s="157" t="str">
        <f ca="1">IF(AG25&lt;&gt;"",IFERROR(INT(AG28/AG30),""),"")</f>
        <v/>
      </c>
      <c r="AG31" s="150"/>
      <c r="AH31" s="157" t="str">
        <f ca="1">IF(AG25&lt;&gt;"",IFERROR(MOD(AG28,AG30),""),"")</f>
        <v/>
      </c>
      <c r="AI31" s="150"/>
      <c r="AJ31" s="158" t="str">
        <f ca="1">IF(AG25&lt;&gt;"",OFFSET(変更先抽出【15時】!$A$1,AE25-1,21),"")</f>
        <v/>
      </c>
      <c r="AK31" s="150"/>
      <c r="AM31" s="157" t="str">
        <f ca="1">IF(AN25&lt;&gt;"",IFERROR(INT(AN28/AN30),""),"")</f>
        <v/>
      </c>
      <c r="AN31" s="150"/>
      <c r="AO31" s="157" t="str">
        <f ca="1">IF(AN25&lt;&gt;"",IFERROR(MOD(AN28,AN30),""),"")</f>
        <v/>
      </c>
      <c r="AP31" s="150"/>
      <c r="AQ31" s="158" t="str">
        <f ca="1">IF(AN25&lt;&gt;"",OFFSET(変更先抽出【15時】!$A$1,AL25-1,21),"")</f>
        <v/>
      </c>
      <c r="AR31" s="150"/>
      <c r="AU31" s="157" t="str">
        <f ca="1">IF(AV25&lt;&gt;"",IFERROR(INT(AV28/AV30),""),"")</f>
        <v/>
      </c>
      <c r="AV31" s="150"/>
      <c r="AW31" s="157" t="str">
        <f ca="1">IF(AV25&lt;&gt;"",IFERROR(MOD(AV28,AV30),""),"")</f>
        <v/>
      </c>
      <c r="AX31" s="150"/>
      <c r="AY31" s="158" t="str">
        <f ca="1">IF(AV25&lt;&gt;"",OFFSET(変更先抽出【15時】!$A$1,AT25-1,21),"")</f>
        <v/>
      </c>
      <c r="AZ31" s="150"/>
      <c r="BB31" s="157" t="str">
        <f ca="1">IF(BC25&lt;&gt;"",IFERROR(INT(BC28/BC30),""),"")</f>
        <v/>
      </c>
      <c r="BC31" s="150"/>
      <c r="BD31" s="157" t="str">
        <f ca="1">IF(BC25&lt;&gt;"",IFERROR(MOD(BC28,BC30),""),"")</f>
        <v/>
      </c>
      <c r="BE31" s="150"/>
      <c r="BF31" s="158" t="str">
        <f ca="1">IF(BC25&lt;&gt;"",OFFSET(変更先抽出【15時】!$A$1,BA25-1,21),"")</f>
        <v/>
      </c>
      <c r="BG31" s="150"/>
      <c r="BJ31" s="157" t="str">
        <f ca="1">IF(BK25&lt;&gt;"",IFERROR(INT(BK28/BK30),""),"")</f>
        <v/>
      </c>
      <c r="BK31" s="150"/>
      <c r="BL31" s="157" t="str">
        <f ca="1">IF(BK25&lt;&gt;"",IFERROR(MOD(BK28,BK30),""),"")</f>
        <v/>
      </c>
      <c r="BM31" s="150"/>
      <c r="BN31" s="158" t="str">
        <f ca="1">IF(BK25&lt;&gt;"",OFFSET(変更先抽出【15時】!$A$1,BI25-1,21),"")</f>
        <v/>
      </c>
      <c r="BO31" s="150"/>
      <c r="BQ31" s="157" t="str">
        <f ca="1">IF(BR25&lt;&gt;"",IFERROR(INT(BR28/BR30),""),"")</f>
        <v/>
      </c>
      <c r="BR31" s="150"/>
      <c r="BS31" s="157" t="str">
        <f ca="1">IF(BR25&lt;&gt;"",IFERROR(MOD(BR28,BR30),""),"")</f>
        <v/>
      </c>
      <c r="BT31" s="150"/>
      <c r="BU31" s="158" t="str">
        <f ca="1">IF(BR25&lt;&gt;"",OFFSET(変更先抽出【15時】!$A$1,BP25-1,21),"")</f>
        <v/>
      </c>
      <c r="BV31" s="150"/>
      <c r="BY31" s="157" t="str">
        <f ca="1">IF(BZ25&lt;&gt;"",IFERROR(INT(BZ28/BZ30),""),"")</f>
        <v/>
      </c>
      <c r="BZ31" s="150"/>
      <c r="CA31" s="157" t="str">
        <f ca="1">IF(BZ25&lt;&gt;"",IFERROR(MOD(BZ28,BZ30),""),"")</f>
        <v/>
      </c>
      <c r="CB31" s="150"/>
      <c r="CC31" s="158" t="str">
        <f ca="1">IF(BZ25&lt;&gt;"",OFFSET(変更先抽出【15時】!$A$1,BX25-1,21),"")</f>
        <v/>
      </c>
      <c r="CD31" s="150"/>
      <c r="CF31" s="157" t="str">
        <f ca="1">IF(CG25&lt;&gt;"",IFERROR(INT(CG28/CG30),""),"")</f>
        <v/>
      </c>
      <c r="CG31" s="150"/>
      <c r="CH31" s="157" t="str">
        <f ca="1">IF(CG25&lt;&gt;"",IFERROR(MOD(CG28,CG30),""),"")</f>
        <v/>
      </c>
      <c r="CI31" s="150"/>
      <c r="CJ31" s="158" t="str">
        <f ca="1">IF(CG25&lt;&gt;"",OFFSET(変更先抽出【15時】!$A$1,CE25-1,21),"")</f>
        <v/>
      </c>
      <c r="CK31" s="150"/>
      <c r="CN31" s="157" t="str">
        <f ca="1">IF(CO25&lt;&gt;"",IFERROR(INT(CO28/CO30),""),"")</f>
        <v/>
      </c>
      <c r="CO31" s="150"/>
      <c r="CP31" s="157" t="str">
        <f ca="1">IF(CO25&lt;&gt;"",IFERROR(MOD(CO28,CO30),""),"")</f>
        <v/>
      </c>
      <c r="CQ31" s="150"/>
      <c r="CR31" s="158" t="str">
        <f ca="1">IF(CO25&lt;&gt;"",OFFSET(変更先抽出【15時】!$A$1,CM25-1,21),"")</f>
        <v/>
      </c>
      <c r="CS31" s="150"/>
      <c r="CU31" s="157" t="str">
        <f ca="1">IF(CV25&lt;&gt;"",IFERROR(INT(CV28/CV30),""),"")</f>
        <v/>
      </c>
      <c r="CV31" s="150"/>
      <c r="CW31" s="157" t="str">
        <f ca="1">IF(CV25&lt;&gt;"",IFERROR(MOD(CV28,CV30),""),"")</f>
        <v/>
      </c>
      <c r="CX31" s="150"/>
      <c r="CY31" s="158" t="str">
        <f ca="1">IF(CV25&lt;&gt;"",OFFSET(変更先抽出【15時】!$A$1,CT25-1,21),"")</f>
        <v/>
      </c>
      <c r="CZ31" s="150"/>
      <c r="DC31" s="157" t="str">
        <f ca="1">IF(DD25&lt;&gt;"",IFERROR(INT(DD28/DD30),""),"")</f>
        <v/>
      </c>
      <c r="DD31" s="150"/>
      <c r="DE31" s="157" t="str">
        <f ca="1">IF(DD25&lt;&gt;"",IFERROR(MOD(DD28,DD30),""),"")</f>
        <v/>
      </c>
      <c r="DF31" s="150"/>
      <c r="DG31" s="158" t="str">
        <f ca="1">IF(DD25&lt;&gt;"",OFFSET(変更先抽出【15時】!$A$1,DB25-1,21),"")</f>
        <v/>
      </c>
      <c r="DH31" s="150"/>
      <c r="DJ31" s="157" t="str">
        <f ca="1">IF(DK25&lt;&gt;"",IFERROR(INT(DK28/DK30),""),"")</f>
        <v/>
      </c>
      <c r="DK31" s="150"/>
      <c r="DL31" s="157" t="str">
        <f ca="1">IF(DK25&lt;&gt;"",IFERROR(MOD(DK28,DK30),""),"")</f>
        <v/>
      </c>
      <c r="DM31" s="150"/>
      <c r="DN31" s="158" t="str">
        <f ca="1">IF(DK25&lt;&gt;"",OFFSET(変更先抽出【15時】!$A$1,DI25-1,21),"")</f>
        <v/>
      </c>
      <c r="DO31" s="150"/>
      <c r="DR31" s="157" t="str">
        <f ca="1">IF(DS25&lt;&gt;"",IFERROR(INT(DS28/DS30),""),"")</f>
        <v/>
      </c>
      <c r="DS31" s="150"/>
      <c r="DT31" s="157" t="str">
        <f ca="1">IF(DS25&lt;&gt;"",IFERROR(MOD(DS28,DS30),""),"")</f>
        <v/>
      </c>
      <c r="DU31" s="150"/>
      <c r="DV31" s="158" t="str">
        <f ca="1">IF(DS25&lt;&gt;"",OFFSET(変更先抽出【15時】!$A$1,DQ25-1,21),"")</f>
        <v/>
      </c>
      <c r="DW31" s="150"/>
      <c r="DY31" s="157" t="str">
        <f ca="1">IF(DZ25&lt;&gt;"",IFERROR(INT(DZ28/DZ30),""),"")</f>
        <v/>
      </c>
      <c r="DZ31" s="150"/>
      <c r="EA31" s="157" t="str">
        <f ca="1">IF(DZ25&lt;&gt;"",IFERROR(MOD(DZ28,DZ30),""),"")</f>
        <v/>
      </c>
      <c r="EB31" s="150"/>
      <c r="EC31" s="158" t="str">
        <f ca="1">IF(DZ25&lt;&gt;"",OFFSET(変更先抽出【15時】!$A$1,DX25-1,21),"")</f>
        <v/>
      </c>
      <c r="ED31" s="150"/>
      <c r="EG31" s="157" t="str">
        <f ca="1">IF(EH25&lt;&gt;"",IFERROR(INT(EH28/EH30),""),"")</f>
        <v/>
      </c>
      <c r="EH31" s="150"/>
      <c r="EI31" s="157" t="str">
        <f ca="1">IF(EH25&lt;&gt;"",IFERROR(MOD(EH28,EH30),""),"")</f>
        <v/>
      </c>
      <c r="EJ31" s="150"/>
      <c r="EK31" s="158" t="str">
        <f ca="1">IF(EH25&lt;&gt;"",OFFSET(変更先抽出【15時】!$A$1,EF25-1,21),"")</f>
        <v/>
      </c>
      <c r="EL31" s="150"/>
      <c r="EN31" s="157" t="str">
        <f ca="1">IF(EO25&lt;&gt;"",IFERROR(INT(EO28/EO30),""),"")</f>
        <v/>
      </c>
      <c r="EO31" s="150"/>
      <c r="EP31" s="157" t="str">
        <f ca="1">IF(EO25&lt;&gt;"",IFERROR(MOD(EO28,EO30),""),"")</f>
        <v/>
      </c>
      <c r="EQ31" s="150"/>
      <c r="ER31" s="158" t="str">
        <f ca="1">IF(EO25&lt;&gt;"",OFFSET(変更先抽出【15時】!$A$1,EM25-1,21),"")</f>
        <v/>
      </c>
      <c r="ES31" s="150"/>
    </row>
    <row r="32" spans="1:150" ht="6.6" customHeight="1">
      <c r="B32" s="44"/>
      <c r="D32" s="44"/>
      <c r="F32" s="45"/>
      <c r="I32" s="44"/>
      <c r="K32" s="44"/>
      <c r="M32" s="45"/>
      <c r="Q32" s="44"/>
      <c r="S32" s="44"/>
      <c r="U32" s="45"/>
      <c r="X32" s="44"/>
      <c r="Z32" s="44"/>
      <c r="AB32" s="45"/>
      <c r="AF32" s="44"/>
      <c r="AH32" s="44"/>
      <c r="AJ32" s="45"/>
      <c r="AM32" s="44"/>
      <c r="AO32" s="44"/>
      <c r="AQ32" s="45"/>
      <c r="AU32" s="44"/>
      <c r="AW32" s="44"/>
      <c r="AY32" s="45"/>
      <c r="BB32" s="44"/>
      <c r="BD32" s="44"/>
      <c r="BF32" s="45"/>
      <c r="BJ32" s="44"/>
      <c r="BL32" s="44"/>
      <c r="BN32" s="45"/>
      <c r="BQ32" s="44"/>
      <c r="BS32" s="44"/>
      <c r="BU32" s="45"/>
      <c r="BY32" s="44"/>
      <c r="CA32" s="44"/>
      <c r="CC32" s="45"/>
      <c r="CF32" s="44"/>
      <c r="CH32" s="44"/>
      <c r="CJ32" s="45"/>
      <c r="CN32" s="44"/>
      <c r="CP32" s="44"/>
      <c r="CR32" s="45"/>
      <c r="CU32" s="44"/>
      <c r="CW32" s="44"/>
      <c r="CY32" s="45"/>
      <c r="DC32" s="44"/>
      <c r="DE32" s="44"/>
      <c r="DG32" s="45"/>
      <c r="DJ32" s="44"/>
      <c r="DL32" s="44"/>
      <c r="DN32" s="45"/>
      <c r="DR32" s="44"/>
      <c r="DT32" s="44"/>
      <c r="DV32" s="45"/>
      <c r="DY32" s="44"/>
      <c r="EA32" s="44"/>
      <c r="EC32" s="45"/>
      <c r="EG32" s="44"/>
      <c r="EI32" s="44"/>
      <c r="EK32" s="45"/>
      <c r="EN32" s="44"/>
      <c r="EP32" s="44"/>
      <c r="ER32" s="45"/>
    </row>
    <row r="33" spans="1:150" s="32" customFormat="1" ht="25.8" customHeight="1">
      <c r="A33" s="171">
        <f>H25+1</f>
        <v>9</v>
      </c>
      <c r="B33" s="42" t="str">
        <f ca="1">IF(C33&lt;&gt;"",
MID(貼り付け用!$A$2, FIND("年",貼り付け用!$A$2)+1,2)&amp;"/"&amp;MID(貼り付け用!$A$2, FIND("月",貼り付け用!$A$2)+1,2),"")</f>
        <v/>
      </c>
      <c r="C33" s="155" t="str">
        <f ca="1">IF(OFFSET(変更先抽出【15時】!$A$1,A33-1,16)&lt;&gt;"",OFFSET(変更先抽出【15時】!$A$1,A33-1,17),"")</f>
        <v/>
      </c>
      <c r="D33" s="156"/>
      <c r="E33" s="156"/>
      <c r="F33" s="156"/>
      <c r="G33" s="41" t="str">
        <f ca="1">IF(C33&lt;&gt;"","様","")</f>
        <v/>
      </c>
      <c r="H33" s="35">
        <f>A33+1</f>
        <v>10</v>
      </c>
      <c r="I33" s="42" t="str">
        <f ca="1">IF(J33&lt;&gt;"",
MID(貼り付け用!$A$2, FIND("年",貼り付け用!$A$2)+1,2)&amp;"/"&amp;MID(貼り付け用!$A$2, FIND("月",貼り付け用!$A$2)+1,2),"")</f>
        <v/>
      </c>
      <c r="J33" s="155" t="str">
        <f ca="1">IF(OFFSET(変更先抽出【15時】!$A$1,H33-1,16)&lt;&gt;"",OFFSET(変更先抽出【15時】!$A$1,H33-1,17),"")</f>
        <v/>
      </c>
      <c r="K33" s="156"/>
      <c r="L33" s="156"/>
      <c r="M33" s="156"/>
      <c r="N33" s="41" t="str">
        <f ca="1">IF(J33&lt;&gt;"","様","")</f>
        <v/>
      </c>
      <c r="O33" s="22"/>
      <c r="P33" s="171">
        <f>W25+1</f>
        <v>21</v>
      </c>
      <c r="Q33" s="42" t="str">
        <f ca="1">IF(R33&lt;&gt;"",
MID(貼り付け用!$A$2, FIND("年",貼り付け用!$A$2)+1,2)&amp;"/"&amp;MID(貼り付け用!$A$2, FIND("月",貼り付け用!$A$2)+1,2),"")</f>
        <v/>
      </c>
      <c r="R33" s="155" t="str">
        <f ca="1">IF(OFFSET(変更先抽出【15時】!$A$1,P33-1,16)&lt;&gt;"",OFFSET(変更先抽出【15時】!$A$1,P33-1,17),"")</f>
        <v/>
      </c>
      <c r="S33" s="156"/>
      <c r="T33" s="156"/>
      <c r="U33" s="156"/>
      <c r="V33" s="41" t="str">
        <f ca="1">IF(R33&lt;&gt;"","様","")</f>
        <v/>
      </c>
      <c r="W33" s="35">
        <f>P33+1</f>
        <v>22</v>
      </c>
      <c r="X33" s="42" t="str">
        <f ca="1">IF(Y33&lt;&gt;"",
MID(貼り付け用!$A$2, FIND("年",貼り付け用!$A$2)+1,2)&amp;"/"&amp;MID(貼り付け用!$A$2, FIND("月",貼り付け用!$A$2)+1,2),"")</f>
        <v/>
      </c>
      <c r="Y33" s="155" t="str">
        <f ca="1">IF(OFFSET(変更先抽出【15時】!$A$1,W33-1,16)&lt;&gt;"",OFFSET(変更先抽出【15時】!$A$1,W33-1,17),"")</f>
        <v/>
      </c>
      <c r="Z33" s="156"/>
      <c r="AA33" s="156"/>
      <c r="AB33" s="156"/>
      <c r="AC33" s="41" t="str">
        <f ca="1">IF(Y33&lt;&gt;"","様","")</f>
        <v/>
      </c>
      <c r="AD33" s="22"/>
      <c r="AE33" s="171">
        <f>AL25+1</f>
        <v>33</v>
      </c>
      <c r="AF33" s="42" t="str">
        <f ca="1">IF(AG33&lt;&gt;"",
MID(貼り付け用!$A$2, FIND("年",貼り付け用!$A$2)+1,2)&amp;"/"&amp;MID(貼り付け用!$A$2, FIND("月",貼り付け用!$A$2)+1,2),"")</f>
        <v/>
      </c>
      <c r="AG33" s="155" t="str">
        <f ca="1">IF(OFFSET(変更先抽出【15時】!$A$1,AE33-1,16)&lt;&gt;"",OFFSET(変更先抽出【15時】!$A$1,AE33-1,17),"")</f>
        <v/>
      </c>
      <c r="AH33" s="156"/>
      <c r="AI33" s="156"/>
      <c r="AJ33" s="156"/>
      <c r="AK33" s="41" t="str">
        <f ca="1">IF(AG33&lt;&gt;"","様","")</f>
        <v/>
      </c>
      <c r="AL33" s="35">
        <f>AE33+1</f>
        <v>34</v>
      </c>
      <c r="AM33" s="42" t="str">
        <f ca="1">IF(AN33&lt;&gt;"",
MID(貼り付け用!$A$2, FIND("年",貼り付け用!$A$2)+1,2)&amp;"/"&amp;MID(貼り付け用!$A$2, FIND("月",貼り付け用!$A$2)+1,2),"")</f>
        <v/>
      </c>
      <c r="AN33" s="155" t="str">
        <f ca="1">IF(OFFSET(変更先抽出【15時】!$A$1,AL33-1,16)&lt;&gt;"",OFFSET(変更先抽出【15時】!$A$1,AL33-1,17),"")</f>
        <v/>
      </c>
      <c r="AO33" s="156"/>
      <c r="AP33" s="156"/>
      <c r="AQ33" s="156"/>
      <c r="AR33" s="41" t="str">
        <f ca="1">IF(AN33&lt;&gt;"","様","")</f>
        <v/>
      </c>
      <c r="AS33" s="22"/>
      <c r="AT33" s="171">
        <f>BA25+1</f>
        <v>45</v>
      </c>
      <c r="AU33" s="42" t="str">
        <f ca="1">IF(AV33&lt;&gt;"",
MID(貼り付け用!$A$2, FIND("年",貼り付け用!$A$2)+1,2)&amp;"/"&amp;MID(貼り付け用!$A$2, FIND("月",貼り付け用!$A$2)+1,2),"")</f>
        <v/>
      </c>
      <c r="AV33" s="155" t="str">
        <f ca="1">IF(OFFSET(変更先抽出【15時】!$A$1,AT33-1,16)&lt;&gt;"",OFFSET(変更先抽出【15時】!$A$1,AT33-1,17),"")</f>
        <v/>
      </c>
      <c r="AW33" s="156"/>
      <c r="AX33" s="156"/>
      <c r="AY33" s="156"/>
      <c r="AZ33" s="41" t="str">
        <f ca="1">IF(AV33&lt;&gt;"","様","")</f>
        <v/>
      </c>
      <c r="BA33" s="35">
        <f>AT33+1</f>
        <v>46</v>
      </c>
      <c r="BB33" s="42" t="str">
        <f ca="1">IF(BC33&lt;&gt;"",
MID(貼り付け用!$A$2, FIND("年",貼り付け用!$A$2)+1,2)&amp;"/"&amp;MID(貼り付け用!$A$2, FIND("月",貼り付け用!$A$2)+1,2),"")</f>
        <v/>
      </c>
      <c r="BC33" s="155" t="str">
        <f ca="1">IF(OFFSET(変更先抽出【15時】!$A$1,BA33-1,16)&lt;&gt;"",OFFSET(変更先抽出【15時】!$A$1,BA33-1,17),"")</f>
        <v/>
      </c>
      <c r="BD33" s="156"/>
      <c r="BE33" s="156"/>
      <c r="BF33" s="156"/>
      <c r="BG33" s="41" t="str">
        <f ca="1">IF(BC33&lt;&gt;"","様","")</f>
        <v/>
      </c>
      <c r="BH33" s="22"/>
      <c r="BI33" s="171">
        <f>BP25+1</f>
        <v>57</v>
      </c>
      <c r="BJ33" s="42" t="str">
        <f ca="1">IF(BK33&lt;&gt;"",
MID(貼り付け用!$A$2, FIND("年",貼り付け用!$A$2)+1,2)&amp;"/"&amp;MID(貼り付け用!$A$2, FIND("月",貼り付け用!$A$2)+1,2),"")</f>
        <v/>
      </c>
      <c r="BK33" s="155" t="str">
        <f ca="1">IF(OFFSET(変更先抽出【15時】!$A$1,BI33-1,16)&lt;&gt;"",OFFSET(変更先抽出【15時】!$A$1,BI33-1,17),"")</f>
        <v/>
      </c>
      <c r="BL33" s="156"/>
      <c r="BM33" s="156"/>
      <c r="BN33" s="156"/>
      <c r="BO33" s="41" t="str">
        <f ca="1">IF(BK33&lt;&gt;"","様","")</f>
        <v/>
      </c>
      <c r="BP33" s="35">
        <f>BI33+1</f>
        <v>58</v>
      </c>
      <c r="BQ33" s="42" t="str">
        <f ca="1">IF(BR33&lt;&gt;"",
MID(貼り付け用!$A$2, FIND("年",貼り付け用!$A$2)+1,2)&amp;"/"&amp;MID(貼り付け用!$A$2, FIND("月",貼り付け用!$A$2)+1,2),"")</f>
        <v/>
      </c>
      <c r="BR33" s="155" t="str">
        <f ca="1">IF(OFFSET(変更先抽出【15時】!$A$1,BP33-1,16)&lt;&gt;"",OFFSET(変更先抽出【15時】!$A$1,BP33-1,17),"")</f>
        <v/>
      </c>
      <c r="BS33" s="156"/>
      <c r="BT33" s="156"/>
      <c r="BU33" s="156"/>
      <c r="BV33" s="41" t="str">
        <f ca="1">IF(BR33&lt;&gt;"","様","")</f>
        <v/>
      </c>
      <c r="BW33" s="22"/>
      <c r="BX33" s="171">
        <f>CE25+1</f>
        <v>69</v>
      </c>
      <c r="BY33" s="42" t="str">
        <f ca="1">IF(BZ33&lt;&gt;"",
MID(貼り付け用!$A$2, FIND("年",貼り付け用!$A$2)+1,2)&amp;"/"&amp;MID(貼り付け用!$A$2, FIND("月",貼り付け用!$A$2)+1,2),"")</f>
        <v/>
      </c>
      <c r="BZ33" s="155" t="str">
        <f ca="1">IF(OFFSET(変更先抽出【15時】!$A$1,BX33-1,16)&lt;&gt;"",OFFSET(変更先抽出【15時】!$A$1,BX33-1,17),"")</f>
        <v/>
      </c>
      <c r="CA33" s="156"/>
      <c r="CB33" s="156"/>
      <c r="CC33" s="156"/>
      <c r="CD33" s="41" t="str">
        <f ca="1">IF(BZ33&lt;&gt;"","様","")</f>
        <v/>
      </c>
      <c r="CE33" s="35">
        <f>BX33+1</f>
        <v>70</v>
      </c>
      <c r="CF33" s="42" t="str">
        <f ca="1">IF(CG33&lt;&gt;"",
MID(貼り付け用!$A$2, FIND("年",貼り付け用!$A$2)+1,2)&amp;"/"&amp;MID(貼り付け用!$A$2, FIND("月",貼り付け用!$A$2)+1,2),"")</f>
        <v/>
      </c>
      <c r="CG33" s="155" t="str">
        <f ca="1">IF(OFFSET(変更先抽出【15時】!$A$1,CE33-1,16)&lt;&gt;"",OFFSET(変更先抽出【15時】!$A$1,CE33-1,17),"")</f>
        <v/>
      </c>
      <c r="CH33" s="156"/>
      <c r="CI33" s="156"/>
      <c r="CJ33" s="156"/>
      <c r="CK33" s="41" t="str">
        <f ca="1">IF(CG33&lt;&gt;"","様","")</f>
        <v/>
      </c>
      <c r="CL33" s="22"/>
      <c r="CM33" s="171">
        <f>CT25+1</f>
        <v>81</v>
      </c>
      <c r="CN33" s="42" t="str">
        <f ca="1">IF(CO33&lt;&gt;"",
MID(貼り付け用!$A$2, FIND("年",貼り付け用!$A$2)+1,2)&amp;"/"&amp;MID(貼り付け用!$A$2, FIND("月",貼り付け用!$A$2)+1,2),"")</f>
        <v/>
      </c>
      <c r="CO33" s="155" t="str">
        <f ca="1">IF(OFFSET(変更先抽出【15時】!$A$1,CM33-1,16)&lt;&gt;"",OFFSET(変更先抽出【15時】!$A$1,CM33-1,17),"")</f>
        <v/>
      </c>
      <c r="CP33" s="156"/>
      <c r="CQ33" s="156"/>
      <c r="CR33" s="156"/>
      <c r="CS33" s="41" t="str">
        <f ca="1">IF(CO33&lt;&gt;"","様","")</f>
        <v/>
      </c>
      <c r="CT33" s="35">
        <f>CM33+1</f>
        <v>82</v>
      </c>
      <c r="CU33" s="42" t="str">
        <f ca="1">IF(CV33&lt;&gt;"",
MID(貼り付け用!$A$2, FIND("年",貼り付け用!$A$2)+1,2)&amp;"/"&amp;MID(貼り付け用!$A$2, FIND("月",貼り付け用!$A$2)+1,2),"")</f>
        <v/>
      </c>
      <c r="CV33" s="155" t="str">
        <f ca="1">IF(OFFSET(変更先抽出【15時】!$A$1,CT33-1,16)&lt;&gt;"",OFFSET(変更先抽出【15時】!$A$1,CT33-1,17),"")</f>
        <v/>
      </c>
      <c r="CW33" s="156"/>
      <c r="CX33" s="156"/>
      <c r="CY33" s="156"/>
      <c r="CZ33" s="41" t="str">
        <f ca="1">IF(CV33&lt;&gt;"","様","")</f>
        <v/>
      </c>
      <c r="DA33" s="22"/>
      <c r="DB33" s="171">
        <f>DI25+1</f>
        <v>93</v>
      </c>
      <c r="DC33" s="42" t="str">
        <f ca="1">IF(DD33&lt;&gt;"",
MID(貼り付け用!$A$2, FIND("年",貼り付け用!$A$2)+1,2)&amp;"/"&amp;MID(貼り付け用!$A$2, FIND("月",貼り付け用!$A$2)+1,2),"")</f>
        <v/>
      </c>
      <c r="DD33" s="155" t="str">
        <f ca="1">IF(OFFSET(変更先抽出【15時】!$A$1,DB33-1,16)&lt;&gt;"",OFFSET(変更先抽出【15時】!$A$1,DB33-1,17),"")</f>
        <v/>
      </c>
      <c r="DE33" s="156"/>
      <c r="DF33" s="156"/>
      <c r="DG33" s="156"/>
      <c r="DH33" s="41" t="str">
        <f ca="1">IF(DD33&lt;&gt;"","様","")</f>
        <v/>
      </c>
      <c r="DI33" s="35">
        <f>DB33+1</f>
        <v>94</v>
      </c>
      <c r="DJ33" s="42" t="str">
        <f ca="1">IF(DK33&lt;&gt;"",
MID(貼り付け用!$A$2, FIND("年",貼り付け用!$A$2)+1,2)&amp;"/"&amp;MID(貼り付け用!$A$2, FIND("月",貼り付け用!$A$2)+1,2),"")</f>
        <v/>
      </c>
      <c r="DK33" s="155" t="str">
        <f ca="1">IF(OFFSET(変更先抽出【15時】!$A$1,DI33-1,16)&lt;&gt;"",OFFSET(変更先抽出【15時】!$A$1,DI33-1,17),"")</f>
        <v/>
      </c>
      <c r="DL33" s="156"/>
      <c r="DM33" s="156"/>
      <c r="DN33" s="156"/>
      <c r="DO33" s="41" t="str">
        <f ca="1">IF(DK33&lt;&gt;"","様","")</f>
        <v/>
      </c>
      <c r="DP33" s="22"/>
      <c r="DQ33" s="171">
        <f>DX25+1</f>
        <v>105</v>
      </c>
      <c r="DR33" s="42" t="str">
        <f ca="1">IF(DS33&lt;&gt;"",
MID(貼り付け用!$A$2, FIND("年",貼り付け用!$A$2)+1,2)&amp;"/"&amp;MID(貼り付け用!$A$2, FIND("月",貼り付け用!$A$2)+1,2),"")</f>
        <v/>
      </c>
      <c r="DS33" s="155" t="str">
        <f ca="1">IF(OFFSET(変更先抽出【15時】!$A$1,DQ33-1,16)&lt;&gt;"",OFFSET(変更先抽出【15時】!$A$1,DQ33-1,17),"")</f>
        <v/>
      </c>
      <c r="DT33" s="156"/>
      <c r="DU33" s="156"/>
      <c r="DV33" s="156"/>
      <c r="DW33" s="41" t="str">
        <f ca="1">IF(DS33&lt;&gt;"","様","")</f>
        <v/>
      </c>
      <c r="DX33" s="35">
        <f>DQ33+1</f>
        <v>106</v>
      </c>
      <c r="DY33" s="42" t="str">
        <f ca="1">IF(DZ33&lt;&gt;"",
MID(貼り付け用!$A$2, FIND("年",貼り付け用!$A$2)+1,2)&amp;"/"&amp;MID(貼り付け用!$A$2, FIND("月",貼り付け用!$A$2)+1,2),"")</f>
        <v/>
      </c>
      <c r="DZ33" s="155" t="str">
        <f ca="1">IF(OFFSET(変更先抽出【15時】!$A$1,DX33-1,16)&lt;&gt;"",OFFSET(変更先抽出【15時】!$A$1,DX33-1,17),"")</f>
        <v/>
      </c>
      <c r="EA33" s="156"/>
      <c r="EB33" s="156"/>
      <c r="EC33" s="156"/>
      <c r="ED33" s="41" t="str">
        <f ca="1">IF(DZ33&lt;&gt;"","様","")</f>
        <v/>
      </c>
      <c r="EE33" s="22"/>
      <c r="EF33" s="171">
        <f>EM25+1</f>
        <v>117</v>
      </c>
      <c r="EG33" s="42" t="str">
        <f ca="1">IF(EH33&lt;&gt;"",
MID(貼り付け用!$A$2, FIND("年",貼り付け用!$A$2)+1,2)&amp;"/"&amp;MID(貼り付け用!$A$2, FIND("月",貼り付け用!$A$2)+1,2),"")</f>
        <v/>
      </c>
      <c r="EH33" s="155" t="str">
        <f ca="1">IF(OFFSET(変更先抽出【15時】!$A$1,EF33-1,16)&lt;&gt;"",OFFSET(変更先抽出【15時】!$A$1,EF33-1,17),"")</f>
        <v/>
      </c>
      <c r="EI33" s="156"/>
      <c r="EJ33" s="156"/>
      <c r="EK33" s="156"/>
      <c r="EL33" s="41" t="str">
        <f ca="1">IF(EH33&lt;&gt;"","様","")</f>
        <v/>
      </c>
      <c r="EM33" s="35">
        <f>EF33+1</f>
        <v>118</v>
      </c>
      <c r="EN33" s="42" t="str">
        <f ca="1">IF(EO33&lt;&gt;"",
MID(貼り付け用!$A$2, FIND("年",貼り付け用!$A$2)+1,2)&amp;"/"&amp;MID(貼り付け用!$A$2, FIND("月",貼り付け用!$A$2)+1,2),"")</f>
        <v/>
      </c>
      <c r="EO33" s="155" t="str">
        <f ca="1">IF(OFFSET(変更先抽出【15時】!$A$1,EM33-1,16)&lt;&gt;"",OFFSET(変更先抽出【15時】!$A$1,EM33-1,17),"")</f>
        <v/>
      </c>
      <c r="EP33" s="156"/>
      <c r="EQ33" s="156"/>
      <c r="ER33" s="156"/>
      <c r="ES33" s="41" t="str">
        <f ca="1">IF(EO33&lt;&gt;"","様","")</f>
        <v/>
      </c>
      <c r="ET33" s="22"/>
    </row>
    <row r="34" spans="1:150" s="32" customFormat="1">
      <c r="A34" s="171"/>
      <c r="B34" s="109"/>
      <c r="C34" s="170" t="str">
        <f ca="1">IF(C33&lt;&gt;"",OFFSET(変更先抽出【15時】!$A$1,A33-1,18),"")</f>
        <v/>
      </c>
      <c r="D34" s="40"/>
      <c r="E34" s="40"/>
      <c r="F34" s="46" t="str">
        <f ca="1">IF(OFFSET(変更先抽出【15時】!$A$1,A33-1,25)&lt;&gt;"",OFFSET(変更先抽出【15時】!$A$1,A33-1,25)&amp;"箱"&amp;OFFSET(変更先抽出【15時】!$A$1,A33-1,26),"")</f>
        <v/>
      </c>
      <c r="G34" s="38"/>
      <c r="H34" s="47"/>
      <c r="I34" s="109"/>
      <c r="J34" s="170" t="str">
        <f ca="1">IF(J33&lt;&gt;"",OFFSET(変更先抽出【15時】!$A$1,H33-1,18),"")</f>
        <v/>
      </c>
      <c r="K34" s="40"/>
      <c r="L34" s="40"/>
      <c r="M34" s="46" t="str">
        <f ca="1">IF(OFFSET(変更先抽出【15時】!$A$1,H33-1,25)&lt;&gt;"",OFFSET(変更先抽出【15時】!$A$1,H33-1,25)&amp;"箱"&amp;OFFSET(変更先抽出【15時】!$A$1,H33-1,26),"")</f>
        <v/>
      </c>
      <c r="N34" s="38"/>
      <c r="O34" s="22"/>
      <c r="P34" s="171"/>
      <c r="Q34" s="109"/>
      <c r="R34" s="170" t="str">
        <f ca="1">IF(R33&lt;&gt;"",OFFSET(変更先抽出【15時】!$A$1,P33-1,18),"")</f>
        <v/>
      </c>
      <c r="S34" s="40"/>
      <c r="T34" s="40"/>
      <c r="U34" s="46" t="str">
        <f ca="1">IF(OFFSET(変更先抽出【15時】!$A$1,P33-1,25)&lt;&gt;"",OFFSET(変更先抽出【15時】!$A$1,P33-1,25)&amp;"箱"&amp;OFFSET(変更先抽出【15時】!$A$1,P33-1,26),"")</f>
        <v/>
      </c>
      <c r="V34" s="38"/>
      <c r="W34" s="47"/>
      <c r="X34" s="109"/>
      <c r="Y34" s="170" t="str">
        <f ca="1">IF(Y33&lt;&gt;"",OFFSET(変更先抽出【15時】!$A$1,W33-1,18),"")</f>
        <v/>
      </c>
      <c r="Z34" s="40"/>
      <c r="AA34" s="40"/>
      <c r="AB34" s="46" t="str">
        <f ca="1">IF(OFFSET(変更先抽出【15時】!$A$1,W33-1,25)&lt;&gt;"",OFFSET(変更先抽出【15時】!$A$1,W33-1,25)&amp;"箱"&amp;OFFSET(変更先抽出【15時】!$A$1,W33-1,26),"")</f>
        <v/>
      </c>
      <c r="AC34" s="38"/>
      <c r="AD34" s="22"/>
      <c r="AE34" s="171"/>
      <c r="AF34" s="109"/>
      <c r="AG34" s="170" t="str">
        <f ca="1">IF(AG33&lt;&gt;"",OFFSET(変更先抽出【15時】!$A$1,AE33-1,18),"")</f>
        <v/>
      </c>
      <c r="AH34" s="40"/>
      <c r="AI34" s="40"/>
      <c r="AJ34" s="46" t="str">
        <f ca="1">IF(OFFSET(変更先抽出【15時】!$A$1,AE33-1,25)&lt;&gt;"",OFFSET(変更先抽出【15時】!$A$1,AE33-1,25)&amp;"箱"&amp;OFFSET(変更先抽出【15時】!$A$1,AE33-1,26),"")</f>
        <v/>
      </c>
      <c r="AK34" s="38"/>
      <c r="AL34" s="47"/>
      <c r="AM34" s="109"/>
      <c r="AN34" s="170" t="str">
        <f ca="1">IF(AN33&lt;&gt;"",OFFSET(変更先抽出【15時】!$A$1,AL33-1,18),"")</f>
        <v/>
      </c>
      <c r="AO34" s="40"/>
      <c r="AP34" s="40"/>
      <c r="AQ34" s="46" t="str">
        <f ca="1">IF(OFFSET(変更先抽出【15時】!$A$1,AL33-1,25)&lt;&gt;"",OFFSET(変更先抽出【15時】!$A$1,AL33-1,25)&amp;"箱"&amp;OFFSET(変更先抽出【15時】!$A$1,AL33-1,26),"")</f>
        <v/>
      </c>
      <c r="AR34" s="38"/>
      <c r="AS34" s="22"/>
      <c r="AT34" s="171"/>
      <c r="AU34" s="109"/>
      <c r="AV34" s="170" t="str">
        <f ca="1">IF(AV33&lt;&gt;"",OFFSET(変更先抽出【15時】!$A$1,AT33-1,18),"")</f>
        <v/>
      </c>
      <c r="AW34" s="40"/>
      <c r="AX34" s="40"/>
      <c r="AY34" s="46" t="str">
        <f ca="1">IF(OFFSET(変更先抽出【15時】!$A$1,AT33-1,25)&lt;&gt;"",OFFSET(変更先抽出【15時】!$A$1,AT33-1,25)&amp;"箱"&amp;OFFSET(変更先抽出【15時】!$A$1,AT33-1,26),"")</f>
        <v/>
      </c>
      <c r="AZ34" s="38"/>
      <c r="BA34" s="47"/>
      <c r="BB34" s="109"/>
      <c r="BC34" s="170" t="str">
        <f ca="1">IF(BC33&lt;&gt;"",OFFSET(変更先抽出【15時】!$A$1,BA33-1,18),"")</f>
        <v/>
      </c>
      <c r="BD34" s="40"/>
      <c r="BE34" s="40"/>
      <c r="BF34" s="46" t="str">
        <f ca="1">IF(OFFSET(変更先抽出【15時】!$A$1,BA33-1,25)&lt;&gt;"",OFFSET(変更先抽出【15時】!$A$1,BA33-1,25)&amp;"箱"&amp;OFFSET(変更先抽出【15時】!$A$1,BA33-1,26),"")</f>
        <v/>
      </c>
      <c r="BG34" s="38"/>
      <c r="BH34" s="22"/>
      <c r="BI34" s="171"/>
      <c r="BJ34" s="109"/>
      <c r="BK34" s="170" t="str">
        <f ca="1">IF(BK33&lt;&gt;"",OFFSET(変更先抽出【15時】!$A$1,BI33-1,18),"")</f>
        <v/>
      </c>
      <c r="BL34" s="40"/>
      <c r="BM34" s="40"/>
      <c r="BN34" s="46" t="str">
        <f ca="1">IF(OFFSET(変更先抽出【15時】!$A$1,BI33-1,25)&lt;&gt;"",OFFSET(変更先抽出【15時】!$A$1,BI33-1,25)&amp;"箱"&amp;OFFSET(変更先抽出【15時】!$A$1,BI33-1,26),"")</f>
        <v/>
      </c>
      <c r="BO34" s="38"/>
      <c r="BP34" s="47"/>
      <c r="BQ34" s="109"/>
      <c r="BR34" s="170" t="str">
        <f ca="1">IF(BR33&lt;&gt;"",OFFSET(変更先抽出【15時】!$A$1,BP33-1,18),"")</f>
        <v/>
      </c>
      <c r="BS34" s="40"/>
      <c r="BT34" s="40"/>
      <c r="BU34" s="46" t="str">
        <f ca="1">IF(OFFSET(変更先抽出【15時】!$A$1,BP33-1,25)&lt;&gt;"",OFFSET(変更先抽出【15時】!$A$1,BP33-1,25)&amp;"箱"&amp;OFFSET(変更先抽出【15時】!$A$1,BP33-1,26),"")</f>
        <v/>
      </c>
      <c r="BV34" s="38"/>
      <c r="BW34" s="22"/>
      <c r="BX34" s="171"/>
      <c r="BY34" s="109"/>
      <c r="BZ34" s="170" t="str">
        <f ca="1">IF(BZ33&lt;&gt;"",OFFSET(変更先抽出【15時】!$A$1,BX33-1,18),"")</f>
        <v/>
      </c>
      <c r="CA34" s="40"/>
      <c r="CB34" s="40"/>
      <c r="CC34" s="46" t="str">
        <f ca="1">IF(OFFSET(変更先抽出【15時】!$A$1,BX33-1,25)&lt;&gt;"",OFFSET(変更先抽出【15時】!$A$1,BX33-1,25)&amp;"箱"&amp;OFFSET(変更先抽出【15時】!$A$1,BX33-1,26),"")</f>
        <v/>
      </c>
      <c r="CD34" s="38"/>
      <c r="CE34" s="47"/>
      <c r="CF34" s="109"/>
      <c r="CG34" s="170" t="str">
        <f ca="1">IF(CG33&lt;&gt;"",OFFSET(変更先抽出【15時】!$A$1,CE33-1,18),"")</f>
        <v/>
      </c>
      <c r="CH34" s="40"/>
      <c r="CI34" s="40"/>
      <c r="CJ34" s="46" t="str">
        <f ca="1">IF(OFFSET(変更先抽出【15時】!$A$1,CE33-1,25)&lt;&gt;"",OFFSET(変更先抽出【15時】!$A$1,CE33-1,25)&amp;"箱"&amp;OFFSET(変更先抽出【15時】!$A$1,CE33-1,26),"")</f>
        <v/>
      </c>
      <c r="CK34" s="38"/>
      <c r="CL34" s="22"/>
      <c r="CM34" s="171"/>
      <c r="CN34" s="109"/>
      <c r="CO34" s="170" t="str">
        <f ca="1">IF(CO33&lt;&gt;"",OFFSET(変更先抽出【15時】!$A$1,CM33-1,18),"")</f>
        <v/>
      </c>
      <c r="CP34" s="40"/>
      <c r="CQ34" s="40"/>
      <c r="CR34" s="46" t="str">
        <f ca="1">IF(OFFSET(変更先抽出【15時】!$A$1,CM33-1,25)&lt;&gt;"",OFFSET(変更先抽出【15時】!$A$1,CM33-1,25)&amp;"箱"&amp;OFFSET(変更先抽出【15時】!$A$1,CM33-1,26),"")</f>
        <v/>
      </c>
      <c r="CS34" s="38"/>
      <c r="CT34" s="47"/>
      <c r="CU34" s="109"/>
      <c r="CV34" s="170" t="str">
        <f ca="1">IF(CV33&lt;&gt;"",OFFSET(変更先抽出【15時】!$A$1,CT33-1,18),"")</f>
        <v/>
      </c>
      <c r="CW34" s="40"/>
      <c r="CX34" s="40"/>
      <c r="CY34" s="46" t="str">
        <f ca="1">IF(OFFSET(変更先抽出【15時】!$A$1,CT33-1,25)&lt;&gt;"",OFFSET(変更先抽出【15時】!$A$1,CT33-1,25)&amp;"箱"&amp;OFFSET(変更先抽出【15時】!$A$1,CT33-1,26),"")</f>
        <v/>
      </c>
      <c r="CZ34" s="38"/>
      <c r="DA34" s="22"/>
      <c r="DB34" s="171"/>
      <c r="DC34" s="109"/>
      <c r="DD34" s="170" t="str">
        <f ca="1">IF(DD33&lt;&gt;"",OFFSET(変更先抽出【15時】!$A$1,DB33-1,18),"")</f>
        <v/>
      </c>
      <c r="DE34" s="40"/>
      <c r="DF34" s="40"/>
      <c r="DG34" s="46" t="str">
        <f ca="1">IF(OFFSET(変更先抽出【15時】!$A$1,DB33-1,25)&lt;&gt;"",OFFSET(変更先抽出【15時】!$A$1,DB33-1,25)&amp;"箱"&amp;OFFSET(変更先抽出【15時】!$A$1,DB33-1,26),"")</f>
        <v/>
      </c>
      <c r="DH34" s="38"/>
      <c r="DI34" s="47"/>
      <c r="DJ34" s="109"/>
      <c r="DK34" s="170" t="str">
        <f ca="1">IF(DK33&lt;&gt;"",OFFSET(変更先抽出【15時】!$A$1,DI33-1,18),"")</f>
        <v/>
      </c>
      <c r="DL34" s="40"/>
      <c r="DM34" s="40"/>
      <c r="DN34" s="46" t="str">
        <f ca="1">IF(OFFSET(変更先抽出【15時】!$A$1,DI33-1,25)&lt;&gt;"",OFFSET(変更先抽出【15時】!$A$1,DI33-1,25)&amp;"箱"&amp;OFFSET(変更先抽出【15時】!$A$1,DI33-1,26),"")</f>
        <v/>
      </c>
      <c r="DO34" s="38"/>
      <c r="DP34" s="22"/>
      <c r="DQ34" s="171"/>
      <c r="DR34" s="109"/>
      <c r="DS34" s="170" t="str">
        <f ca="1">IF(DS33&lt;&gt;"",OFFSET(変更先抽出【15時】!$A$1,DQ33-1,18),"")</f>
        <v/>
      </c>
      <c r="DT34" s="40"/>
      <c r="DU34" s="40"/>
      <c r="DV34" s="46" t="str">
        <f ca="1">IF(OFFSET(変更先抽出【15時】!$A$1,DQ33-1,25)&lt;&gt;"",OFFSET(変更先抽出【15時】!$A$1,DQ33-1,25)&amp;"箱"&amp;OFFSET(変更先抽出【15時】!$A$1,DQ33-1,26),"")</f>
        <v/>
      </c>
      <c r="DW34" s="38"/>
      <c r="DX34" s="47"/>
      <c r="DY34" s="109"/>
      <c r="DZ34" s="170" t="str">
        <f ca="1">IF(DZ33&lt;&gt;"",OFFSET(変更先抽出【15時】!$A$1,DX33-1,18),"")</f>
        <v/>
      </c>
      <c r="EA34" s="40"/>
      <c r="EB34" s="40"/>
      <c r="EC34" s="46" t="str">
        <f ca="1">IF(OFFSET(変更先抽出【15時】!$A$1,DX33-1,25)&lt;&gt;"",OFFSET(変更先抽出【15時】!$A$1,DX33-1,25)&amp;"箱"&amp;OFFSET(変更先抽出【15時】!$A$1,DX33-1,26),"")</f>
        <v/>
      </c>
      <c r="ED34" s="38"/>
      <c r="EE34" s="22"/>
      <c r="EF34" s="171"/>
      <c r="EG34" s="109"/>
      <c r="EH34" s="170" t="str">
        <f ca="1">IF(EH33&lt;&gt;"",OFFSET(変更先抽出【15時】!$A$1,EF33-1,18),"")</f>
        <v/>
      </c>
      <c r="EI34" s="40"/>
      <c r="EJ34" s="40"/>
      <c r="EK34" s="46" t="str">
        <f ca="1">IF(OFFSET(変更先抽出【15時】!$A$1,EF33-1,25)&lt;&gt;"",OFFSET(変更先抽出【15時】!$A$1,EF33-1,25)&amp;"箱"&amp;OFFSET(変更先抽出【15時】!$A$1,EF33-1,26),"")</f>
        <v/>
      </c>
      <c r="EL34" s="38"/>
      <c r="EM34" s="47"/>
      <c r="EN34" s="109"/>
      <c r="EO34" s="170" t="str">
        <f ca="1">IF(EO33&lt;&gt;"",OFFSET(変更先抽出【15時】!$A$1,EM33-1,18),"")</f>
        <v/>
      </c>
      <c r="EP34" s="40"/>
      <c r="EQ34" s="40"/>
      <c r="ER34" s="46" t="str">
        <f ca="1">IF(OFFSET(変更先抽出【15時】!$A$1,EM33-1,25)&lt;&gt;"",OFFSET(変更先抽出【15時】!$A$1,EM33-1,25)&amp;"箱"&amp;OFFSET(変更先抽出【15時】!$A$1,EM33-1,26),"")</f>
        <v/>
      </c>
      <c r="ES34" s="38"/>
      <c r="ET34" s="22"/>
    </row>
    <row r="35" spans="1:150" s="32" customFormat="1">
      <c r="A35" s="171"/>
      <c r="B35" s="33"/>
      <c r="C35" s="153" t="str">
        <f ca="1">IF(C33&lt;&gt;"","園児","")</f>
        <v/>
      </c>
      <c r="D35" s="154"/>
      <c r="E35" s="22"/>
      <c r="F35" s="168" t="str">
        <f ca="1">IF(C33&lt;&gt;"","先生","")</f>
        <v/>
      </c>
      <c r="G35" s="39"/>
      <c r="H35" s="35"/>
      <c r="I35" s="33"/>
      <c r="J35" s="153" t="str">
        <f ca="1">IF(J33&lt;&gt;"","園児","")</f>
        <v/>
      </c>
      <c r="K35" s="154"/>
      <c r="L35" s="22"/>
      <c r="M35" s="168" t="str">
        <f ca="1">IF(J33&lt;&gt;"","先生","")</f>
        <v/>
      </c>
      <c r="N35" s="39"/>
      <c r="O35" s="22"/>
      <c r="P35" s="171"/>
      <c r="Q35" s="33"/>
      <c r="R35" s="153" t="str">
        <f ca="1">IF(R33&lt;&gt;"","園児","")</f>
        <v/>
      </c>
      <c r="S35" s="154"/>
      <c r="T35" s="22"/>
      <c r="U35" s="168" t="str">
        <f ca="1">IF(R33&lt;&gt;"","先生","")</f>
        <v/>
      </c>
      <c r="V35" s="39"/>
      <c r="W35" s="35"/>
      <c r="X35" s="33"/>
      <c r="Y35" s="153" t="str">
        <f ca="1">IF(Y33&lt;&gt;"","園児","")</f>
        <v/>
      </c>
      <c r="Z35" s="154"/>
      <c r="AA35" s="22"/>
      <c r="AB35" s="168" t="str">
        <f ca="1">IF(Y33&lt;&gt;"","先生","")</f>
        <v/>
      </c>
      <c r="AC35" s="39"/>
      <c r="AD35" s="22"/>
      <c r="AE35" s="171"/>
      <c r="AF35" s="33"/>
      <c r="AG35" s="153" t="str">
        <f ca="1">IF(AG33&lt;&gt;"","園児","")</f>
        <v/>
      </c>
      <c r="AH35" s="154"/>
      <c r="AI35" s="22"/>
      <c r="AJ35" s="168" t="str">
        <f ca="1">IF(AG33&lt;&gt;"","先生","")</f>
        <v/>
      </c>
      <c r="AK35" s="39"/>
      <c r="AL35" s="35"/>
      <c r="AM35" s="33"/>
      <c r="AN35" s="153" t="str">
        <f ca="1">IF(AN33&lt;&gt;"","園児","")</f>
        <v/>
      </c>
      <c r="AO35" s="154"/>
      <c r="AP35" s="22"/>
      <c r="AQ35" s="168" t="str">
        <f ca="1">IF(AN33&lt;&gt;"","先生","")</f>
        <v/>
      </c>
      <c r="AR35" s="39"/>
      <c r="AS35" s="22"/>
      <c r="AT35" s="171"/>
      <c r="AU35" s="33"/>
      <c r="AV35" s="153" t="str">
        <f ca="1">IF(AV33&lt;&gt;"","園児","")</f>
        <v/>
      </c>
      <c r="AW35" s="154"/>
      <c r="AX35" s="22"/>
      <c r="AY35" s="168" t="str">
        <f ca="1">IF(AV33&lt;&gt;"","先生","")</f>
        <v/>
      </c>
      <c r="AZ35" s="39"/>
      <c r="BA35" s="35"/>
      <c r="BB35" s="33"/>
      <c r="BC35" s="153" t="str">
        <f ca="1">IF(BC33&lt;&gt;"","園児","")</f>
        <v/>
      </c>
      <c r="BD35" s="154"/>
      <c r="BE35" s="22"/>
      <c r="BF35" s="168" t="str">
        <f ca="1">IF(BC33&lt;&gt;"","先生","")</f>
        <v/>
      </c>
      <c r="BG35" s="39"/>
      <c r="BH35" s="22"/>
      <c r="BI35" s="171"/>
      <c r="BJ35" s="33"/>
      <c r="BK35" s="153" t="str">
        <f ca="1">IF(BK33&lt;&gt;"","園児","")</f>
        <v/>
      </c>
      <c r="BL35" s="154"/>
      <c r="BM35" s="22"/>
      <c r="BN35" s="168" t="str">
        <f ca="1">IF(BK33&lt;&gt;"","先生","")</f>
        <v/>
      </c>
      <c r="BO35" s="39"/>
      <c r="BP35" s="35"/>
      <c r="BQ35" s="33"/>
      <c r="BR35" s="153" t="str">
        <f ca="1">IF(BR33&lt;&gt;"","園児","")</f>
        <v/>
      </c>
      <c r="BS35" s="154"/>
      <c r="BT35" s="22"/>
      <c r="BU35" s="168" t="str">
        <f ca="1">IF(BR33&lt;&gt;"","先生","")</f>
        <v/>
      </c>
      <c r="BV35" s="39"/>
      <c r="BW35" s="22"/>
      <c r="BX35" s="171"/>
      <c r="BY35" s="33"/>
      <c r="BZ35" s="153" t="str">
        <f ca="1">IF(BZ33&lt;&gt;"","園児","")</f>
        <v/>
      </c>
      <c r="CA35" s="154"/>
      <c r="CB35" s="22"/>
      <c r="CC35" s="168" t="str">
        <f ca="1">IF(BZ33&lt;&gt;"","先生","")</f>
        <v/>
      </c>
      <c r="CD35" s="39"/>
      <c r="CE35" s="35"/>
      <c r="CF35" s="33"/>
      <c r="CG35" s="153" t="str">
        <f ca="1">IF(CG33&lt;&gt;"","園児","")</f>
        <v/>
      </c>
      <c r="CH35" s="154"/>
      <c r="CI35" s="22"/>
      <c r="CJ35" s="168" t="str">
        <f ca="1">IF(CG33&lt;&gt;"","先生","")</f>
        <v/>
      </c>
      <c r="CK35" s="39"/>
      <c r="CL35" s="22"/>
      <c r="CM35" s="171"/>
      <c r="CN35" s="33"/>
      <c r="CO35" s="153" t="str">
        <f ca="1">IF(CO33&lt;&gt;"","園児","")</f>
        <v/>
      </c>
      <c r="CP35" s="154"/>
      <c r="CQ35" s="22"/>
      <c r="CR35" s="168" t="str">
        <f ca="1">IF(CO33&lt;&gt;"","先生","")</f>
        <v/>
      </c>
      <c r="CS35" s="39"/>
      <c r="CT35" s="35"/>
      <c r="CU35" s="33"/>
      <c r="CV35" s="153" t="str">
        <f ca="1">IF(CV33&lt;&gt;"","園児","")</f>
        <v/>
      </c>
      <c r="CW35" s="154"/>
      <c r="CX35" s="22"/>
      <c r="CY35" s="168" t="str">
        <f ca="1">IF(CV33&lt;&gt;"","先生","")</f>
        <v/>
      </c>
      <c r="CZ35" s="39"/>
      <c r="DA35" s="22"/>
      <c r="DB35" s="171"/>
      <c r="DC35" s="33"/>
      <c r="DD35" s="153" t="str">
        <f ca="1">IF(DD33&lt;&gt;"","園児","")</f>
        <v/>
      </c>
      <c r="DE35" s="154"/>
      <c r="DF35" s="22"/>
      <c r="DG35" s="168" t="str">
        <f ca="1">IF(DD33&lt;&gt;"","先生","")</f>
        <v/>
      </c>
      <c r="DH35" s="39"/>
      <c r="DI35" s="35"/>
      <c r="DJ35" s="33"/>
      <c r="DK35" s="153" t="str">
        <f ca="1">IF(DK33&lt;&gt;"","園児","")</f>
        <v/>
      </c>
      <c r="DL35" s="154"/>
      <c r="DM35" s="22"/>
      <c r="DN35" s="168" t="str">
        <f ca="1">IF(DK33&lt;&gt;"","先生","")</f>
        <v/>
      </c>
      <c r="DO35" s="39"/>
      <c r="DP35" s="22"/>
      <c r="DQ35" s="171"/>
      <c r="DR35" s="33"/>
      <c r="DS35" s="153" t="str">
        <f ca="1">IF(DS33&lt;&gt;"","園児","")</f>
        <v/>
      </c>
      <c r="DT35" s="154"/>
      <c r="DU35" s="22"/>
      <c r="DV35" s="168" t="str">
        <f ca="1">IF(DS33&lt;&gt;"","先生","")</f>
        <v/>
      </c>
      <c r="DW35" s="39"/>
      <c r="DX35" s="35"/>
      <c r="DY35" s="33"/>
      <c r="DZ35" s="153" t="str">
        <f ca="1">IF(DZ33&lt;&gt;"","園児","")</f>
        <v/>
      </c>
      <c r="EA35" s="154"/>
      <c r="EB35" s="22"/>
      <c r="EC35" s="168" t="str">
        <f ca="1">IF(DZ33&lt;&gt;"","先生","")</f>
        <v/>
      </c>
      <c r="ED35" s="39"/>
      <c r="EE35" s="22"/>
      <c r="EF35" s="171"/>
      <c r="EG35" s="33"/>
      <c r="EH35" s="153" t="str">
        <f ca="1">IF(EH33&lt;&gt;"","園児","")</f>
        <v/>
      </c>
      <c r="EI35" s="154"/>
      <c r="EJ35" s="22"/>
      <c r="EK35" s="168" t="str">
        <f ca="1">IF(EH33&lt;&gt;"","先生","")</f>
        <v/>
      </c>
      <c r="EL35" s="39"/>
      <c r="EM35" s="35"/>
      <c r="EN35" s="33"/>
      <c r="EO35" s="153" t="str">
        <f ca="1">IF(EO33&lt;&gt;"","園児","")</f>
        <v/>
      </c>
      <c r="EP35" s="154"/>
      <c r="EQ35" s="22"/>
      <c r="ER35" s="168" t="str">
        <f ca="1">IF(EO33&lt;&gt;"","先生","")</f>
        <v/>
      </c>
      <c r="ES35" s="39"/>
      <c r="ET35" s="22"/>
    </row>
    <row r="36" spans="1:150" ht="15.6" customHeight="1">
      <c r="B36" s="25"/>
      <c r="C36" s="151" t="str">
        <f ca="1">IF(C33&lt;&gt;"",OFFSET(変更先抽出【15時】!$A$1,A33-1,19),"")</f>
        <v/>
      </c>
      <c r="D36" s="152"/>
      <c r="E36" s="48"/>
      <c r="F36" s="147" t="str">
        <f ca="1">IF(C33&lt;&gt;"",OFFSET(変更先抽出【15時】!$A$1,A33-1,20),"")</f>
        <v/>
      </c>
      <c r="G36" s="148"/>
      <c r="H36" s="26"/>
      <c r="I36" s="25"/>
      <c r="J36" s="151" t="str">
        <f ca="1">IF(J33&lt;&gt;"",OFFSET(変更先抽出【15時】!$A$1,H33-1,19),"")</f>
        <v/>
      </c>
      <c r="K36" s="152"/>
      <c r="L36" s="48"/>
      <c r="M36" s="147" t="str">
        <f ca="1">IF(J33&lt;&gt;"",OFFSET(変更先抽出【15時】!$A$1,H33-1,20),"")</f>
        <v/>
      </c>
      <c r="N36" s="148"/>
      <c r="Q36" s="25"/>
      <c r="R36" s="151" t="str">
        <f ca="1">IF(R33&lt;&gt;"",OFFSET(変更先抽出【15時】!$A$1,P33-1,19),"")</f>
        <v/>
      </c>
      <c r="S36" s="152"/>
      <c r="T36" s="48"/>
      <c r="U36" s="147" t="str">
        <f ca="1">IF(R33&lt;&gt;"",OFFSET(変更先抽出【15時】!$A$1,P33-1,20),"")</f>
        <v/>
      </c>
      <c r="V36" s="148"/>
      <c r="W36" s="26"/>
      <c r="X36" s="25"/>
      <c r="Y36" s="151" t="str">
        <f ca="1">IF(Y33&lt;&gt;"",OFFSET(変更先抽出【15時】!$A$1,W33-1,19),"")</f>
        <v/>
      </c>
      <c r="Z36" s="152"/>
      <c r="AA36" s="48"/>
      <c r="AB36" s="147" t="str">
        <f ca="1">IF(Y33&lt;&gt;"",OFFSET(変更先抽出【15時】!$A$1,W33-1,20),"")</f>
        <v/>
      </c>
      <c r="AC36" s="148"/>
      <c r="AF36" s="25"/>
      <c r="AG36" s="151" t="str">
        <f ca="1">IF(AG33&lt;&gt;"",OFFSET(変更先抽出【15時】!$A$1,AE33-1,19),"")</f>
        <v/>
      </c>
      <c r="AH36" s="152"/>
      <c r="AI36" s="48"/>
      <c r="AJ36" s="147" t="str">
        <f ca="1">IF(AG33&lt;&gt;"",OFFSET(変更先抽出【15時】!$A$1,AE33-1,20),"")</f>
        <v/>
      </c>
      <c r="AK36" s="148"/>
      <c r="AL36" s="26"/>
      <c r="AM36" s="25"/>
      <c r="AN36" s="151" t="str">
        <f ca="1">IF(AN33&lt;&gt;"",OFFSET(変更先抽出【15時】!$A$1,AL33-1,19),"")</f>
        <v/>
      </c>
      <c r="AO36" s="152"/>
      <c r="AP36" s="48"/>
      <c r="AQ36" s="147" t="str">
        <f ca="1">IF(AN33&lt;&gt;"",OFFSET(変更先抽出【15時】!$A$1,AL33-1,20),"")</f>
        <v/>
      </c>
      <c r="AR36" s="148"/>
      <c r="AU36" s="25"/>
      <c r="AV36" s="151" t="str">
        <f ca="1">IF(AV33&lt;&gt;"",OFFSET(変更先抽出【15時】!$A$1,AT33-1,19),"")</f>
        <v/>
      </c>
      <c r="AW36" s="152"/>
      <c r="AX36" s="48"/>
      <c r="AY36" s="147" t="str">
        <f ca="1">IF(AV33&lt;&gt;"",OFFSET(変更先抽出【15時】!$A$1,AT33-1,20),"")</f>
        <v/>
      </c>
      <c r="AZ36" s="148"/>
      <c r="BA36" s="26"/>
      <c r="BB36" s="25"/>
      <c r="BC36" s="151" t="str">
        <f ca="1">IF(BC33&lt;&gt;"",OFFSET(変更先抽出【15時】!$A$1,BA33-1,19),"")</f>
        <v/>
      </c>
      <c r="BD36" s="152"/>
      <c r="BE36" s="48"/>
      <c r="BF36" s="147" t="str">
        <f ca="1">IF(BC33&lt;&gt;"",OFFSET(変更先抽出【15時】!$A$1,BA33-1,20),"")</f>
        <v/>
      </c>
      <c r="BG36" s="148"/>
      <c r="BJ36" s="25"/>
      <c r="BK36" s="151" t="str">
        <f ca="1">IF(BK33&lt;&gt;"",OFFSET(変更先抽出【15時】!$A$1,BI33-1,19),"")</f>
        <v/>
      </c>
      <c r="BL36" s="152"/>
      <c r="BM36" s="48"/>
      <c r="BN36" s="147" t="str">
        <f ca="1">IF(BK33&lt;&gt;"",OFFSET(変更先抽出【15時】!$A$1,BI33-1,20),"")</f>
        <v/>
      </c>
      <c r="BO36" s="148"/>
      <c r="BP36" s="26"/>
      <c r="BQ36" s="25"/>
      <c r="BR36" s="151" t="str">
        <f ca="1">IF(BR33&lt;&gt;"",OFFSET(変更先抽出【15時】!$A$1,BP33-1,19),"")</f>
        <v/>
      </c>
      <c r="BS36" s="152"/>
      <c r="BT36" s="48"/>
      <c r="BU36" s="147" t="str">
        <f ca="1">IF(BR33&lt;&gt;"",OFFSET(変更先抽出【15時】!$A$1,BP33-1,20),"")</f>
        <v/>
      </c>
      <c r="BV36" s="148"/>
      <c r="BY36" s="25"/>
      <c r="BZ36" s="151" t="str">
        <f ca="1">IF(BZ33&lt;&gt;"",OFFSET(変更先抽出【15時】!$A$1,BX33-1,19),"")</f>
        <v/>
      </c>
      <c r="CA36" s="152"/>
      <c r="CB36" s="48"/>
      <c r="CC36" s="147" t="str">
        <f ca="1">IF(BZ33&lt;&gt;"",OFFSET(変更先抽出【15時】!$A$1,BX33-1,20),"")</f>
        <v/>
      </c>
      <c r="CD36" s="148"/>
      <c r="CE36" s="26"/>
      <c r="CF36" s="25"/>
      <c r="CG36" s="151" t="str">
        <f ca="1">IF(CG33&lt;&gt;"",OFFSET(変更先抽出【15時】!$A$1,CE33-1,19),"")</f>
        <v/>
      </c>
      <c r="CH36" s="152"/>
      <c r="CI36" s="48"/>
      <c r="CJ36" s="147" t="str">
        <f ca="1">IF(CG33&lt;&gt;"",OFFSET(変更先抽出【15時】!$A$1,CE33-1,20),"")</f>
        <v/>
      </c>
      <c r="CK36" s="148"/>
      <c r="CN36" s="25"/>
      <c r="CO36" s="151" t="str">
        <f ca="1">IF(CO33&lt;&gt;"",OFFSET(変更先抽出【15時】!$A$1,CM33-1,19),"")</f>
        <v/>
      </c>
      <c r="CP36" s="152"/>
      <c r="CQ36" s="48"/>
      <c r="CR36" s="147" t="str">
        <f ca="1">IF(CO33&lt;&gt;"",OFFSET(変更先抽出【15時】!$A$1,CM33-1,20),"")</f>
        <v/>
      </c>
      <c r="CS36" s="148"/>
      <c r="CT36" s="26"/>
      <c r="CU36" s="25"/>
      <c r="CV36" s="151" t="str">
        <f ca="1">IF(CV33&lt;&gt;"",OFFSET(変更先抽出【15時】!$A$1,CT33-1,19),"")</f>
        <v/>
      </c>
      <c r="CW36" s="152"/>
      <c r="CX36" s="48"/>
      <c r="CY36" s="147" t="str">
        <f ca="1">IF(CV33&lt;&gt;"",OFFSET(変更先抽出【15時】!$A$1,CT33-1,20),"")</f>
        <v/>
      </c>
      <c r="CZ36" s="148"/>
      <c r="DC36" s="25"/>
      <c r="DD36" s="151" t="str">
        <f ca="1">IF(DD33&lt;&gt;"",OFFSET(変更先抽出【15時】!$A$1,DB33-1,19),"")</f>
        <v/>
      </c>
      <c r="DE36" s="152"/>
      <c r="DF36" s="48"/>
      <c r="DG36" s="147" t="str">
        <f ca="1">IF(DD33&lt;&gt;"",OFFSET(変更先抽出【15時】!$A$1,DB33-1,20),"")</f>
        <v/>
      </c>
      <c r="DH36" s="148"/>
      <c r="DI36" s="26"/>
      <c r="DJ36" s="25"/>
      <c r="DK36" s="151" t="str">
        <f ca="1">IF(DK33&lt;&gt;"",OFFSET(変更先抽出【15時】!$A$1,DI33-1,19),"")</f>
        <v/>
      </c>
      <c r="DL36" s="152"/>
      <c r="DM36" s="48"/>
      <c r="DN36" s="147" t="str">
        <f ca="1">IF(DK33&lt;&gt;"",OFFSET(変更先抽出【15時】!$A$1,DI33-1,20),"")</f>
        <v/>
      </c>
      <c r="DO36" s="148"/>
      <c r="DR36" s="25"/>
      <c r="DS36" s="151" t="str">
        <f ca="1">IF(DS33&lt;&gt;"",OFFSET(変更先抽出【15時】!$A$1,DQ33-1,19),"")</f>
        <v/>
      </c>
      <c r="DT36" s="152"/>
      <c r="DU36" s="48"/>
      <c r="DV36" s="147" t="str">
        <f ca="1">IF(DS33&lt;&gt;"",OFFSET(変更先抽出【15時】!$A$1,DQ33-1,20),"")</f>
        <v/>
      </c>
      <c r="DW36" s="148"/>
      <c r="DX36" s="26"/>
      <c r="DY36" s="25"/>
      <c r="DZ36" s="151" t="str">
        <f ca="1">IF(DZ33&lt;&gt;"",OFFSET(変更先抽出【15時】!$A$1,DX33-1,19),"")</f>
        <v/>
      </c>
      <c r="EA36" s="152"/>
      <c r="EB36" s="48"/>
      <c r="EC36" s="147" t="str">
        <f ca="1">IF(DZ33&lt;&gt;"",OFFSET(変更先抽出【15時】!$A$1,DX33-1,20),"")</f>
        <v/>
      </c>
      <c r="ED36" s="148"/>
      <c r="EG36" s="25"/>
      <c r="EH36" s="151" t="str">
        <f ca="1">IF(EH33&lt;&gt;"",OFFSET(変更先抽出【15時】!$A$1,EF33-1,19),"")</f>
        <v/>
      </c>
      <c r="EI36" s="152"/>
      <c r="EJ36" s="48"/>
      <c r="EK36" s="147" t="str">
        <f ca="1">IF(EH33&lt;&gt;"",OFFSET(変更先抽出【15時】!$A$1,EF33-1,20),"")</f>
        <v/>
      </c>
      <c r="EL36" s="148"/>
      <c r="EM36" s="26"/>
      <c r="EN36" s="25"/>
      <c r="EO36" s="151" t="str">
        <f ca="1">IF(EO33&lt;&gt;"",OFFSET(変更先抽出【15時】!$A$1,EM33-1,19),"")</f>
        <v/>
      </c>
      <c r="EP36" s="152"/>
      <c r="EQ36" s="48"/>
      <c r="ER36" s="147" t="str">
        <f ca="1">IF(EO33&lt;&gt;"",OFFSET(変更先抽出【15時】!$A$1,EM33-1,20),"")</f>
        <v/>
      </c>
      <c r="ES36" s="148"/>
    </row>
    <row r="37" spans="1:150" ht="15.6" customHeight="1">
      <c r="B37" s="27"/>
      <c r="C37" s="149"/>
      <c r="D37" s="149"/>
      <c r="E37" s="43"/>
      <c r="F37" s="149"/>
      <c r="G37" s="150"/>
      <c r="H37" s="26"/>
      <c r="I37" s="27"/>
      <c r="J37" s="149"/>
      <c r="K37" s="149"/>
      <c r="L37" s="43"/>
      <c r="M37" s="149"/>
      <c r="N37" s="150"/>
      <c r="Q37" s="27"/>
      <c r="R37" s="149"/>
      <c r="S37" s="149"/>
      <c r="T37" s="43"/>
      <c r="U37" s="149"/>
      <c r="V37" s="150"/>
      <c r="W37" s="26"/>
      <c r="X37" s="27"/>
      <c r="Y37" s="149"/>
      <c r="Z37" s="149"/>
      <c r="AA37" s="43"/>
      <c r="AB37" s="149"/>
      <c r="AC37" s="150"/>
      <c r="AF37" s="27"/>
      <c r="AG37" s="149"/>
      <c r="AH37" s="149"/>
      <c r="AI37" s="43"/>
      <c r="AJ37" s="149"/>
      <c r="AK37" s="150"/>
      <c r="AL37" s="26"/>
      <c r="AM37" s="27"/>
      <c r="AN37" s="149"/>
      <c r="AO37" s="149"/>
      <c r="AP37" s="43"/>
      <c r="AQ37" s="149"/>
      <c r="AR37" s="150"/>
      <c r="AU37" s="27"/>
      <c r="AV37" s="149"/>
      <c r="AW37" s="149"/>
      <c r="AX37" s="43"/>
      <c r="AY37" s="149"/>
      <c r="AZ37" s="150"/>
      <c r="BA37" s="26"/>
      <c r="BB37" s="27"/>
      <c r="BC37" s="149"/>
      <c r="BD37" s="149"/>
      <c r="BE37" s="43"/>
      <c r="BF37" s="149"/>
      <c r="BG37" s="150"/>
      <c r="BJ37" s="27"/>
      <c r="BK37" s="149"/>
      <c r="BL37" s="149"/>
      <c r="BM37" s="43"/>
      <c r="BN37" s="149"/>
      <c r="BO37" s="150"/>
      <c r="BP37" s="26"/>
      <c r="BQ37" s="27"/>
      <c r="BR37" s="149"/>
      <c r="BS37" s="149"/>
      <c r="BT37" s="43"/>
      <c r="BU37" s="149"/>
      <c r="BV37" s="150"/>
      <c r="BY37" s="27"/>
      <c r="BZ37" s="149"/>
      <c r="CA37" s="149"/>
      <c r="CB37" s="43"/>
      <c r="CC37" s="149"/>
      <c r="CD37" s="150"/>
      <c r="CE37" s="26"/>
      <c r="CF37" s="27"/>
      <c r="CG37" s="149"/>
      <c r="CH37" s="149"/>
      <c r="CI37" s="43"/>
      <c r="CJ37" s="149"/>
      <c r="CK37" s="150"/>
      <c r="CN37" s="27"/>
      <c r="CO37" s="149"/>
      <c r="CP37" s="149"/>
      <c r="CQ37" s="43"/>
      <c r="CR37" s="149"/>
      <c r="CS37" s="150"/>
      <c r="CT37" s="26"/>
      <c r="CU37" s="27"/>
      <c r="CV37" s="149"/>
      <c r="CW37" s="149"/>
      <c r="CX37" s="43"/>
      <c r="CY37" s="149"/>
      <c r="CZ37" s="150"/>
      <c r="DC37" s="27"/>
      <c r="DD37" s="149"/>
      <c r="DE37" s="149"/>
      <c r="DF37" s="43"/>
      <c r="DG37" s="149"/>
      <c r="DH37" s="150"/>
      <c r="DI37" s="26"/>
      <c r="DJ37" s="27"/>
      <c r="DK37" s="149"/>
      <c r="DL37" s="149"/>
      <c r="DM37" s="43"/>
      <c r="DN37" s="149"/>
      <c r="DO37" s="150"/>
      <c r="DR37" s="27"/>
      <c r="DS37" s="149"/>
      <c r="DT37" s="149"/>
      <c r="DU37" s="43"/>
      <c r="DV37" s="149"/>
      <c r="DW37" s="150"/>
      <c r="DX37" s="26"/>
      <c r="DY37" s="27"/>
      <c r="DZ37" s="149"/>
      <c r="EA37" s="149"/>
      <c r="EB37" s="43"/>
      <c r="EC37" s="149"/>
      <c r="ED37" s="150"/>
      <c r="EG37" s="27"/>
      <c r="EH37" s="149"/>
      <c r="EI37" s="149"/>
      <c r="EJ37" s="43"/>
      <c r="EK37" s="149"/>
      <c r="EL37" s="150"/>
      <c r="EM37" s="26"/>
      <c r="EN37" s="27"/>
      <c r="EO37" s="149"/>
      <c r="EP37" s="149"/>
      <c r="EQ37" s="43"/>
      <c r="ER37" s="149"/>
      <c r="ES37" s="150"/>
    </row>
    <row r="38" spans="1:150" s="32" customFormat="1">
      <c r="A38" s="171"/>
      <c r="B38" s="36" t="str">
        <f ca="1">IF(C33&lt;&gt;"","パン箱","")</f>
        <v/>
      </c>
      <c r="C38" s="34" t="str">
        <f ca="1">IF(C33&lt;&gt;"",OFFSET(変更先抽出【15時】!$A$1,A33-1,22),"")</f>
        <v/>
      </c>
      <c r="D38" s="36" t="str">
        <f ca="1">IF(C33&lt;&gt;"","端数","")</f>
        <v/>
      </c>
      <c r="E38" s="34"/>
      <c r="F38" s="36" t="str">
        <f ca="1">IF(C33&lt;&gt;"","アレルギー","")</f>
        <v/>
      </c>
      <c r="G38" s="39"/>
      <c r="H38" s="22"/>
      <c r="I38" s="36" t="str">
        <f ca="1">IF(J33&lt;&gt;"","パン箱","")</f>
        <v/>
      </c>
      <c r="J38" s="34" t="str">
        <f ca="1">IF(J33&lt;&gt;"",OFFSET(変更先抽出【15時】!$A$1,H33-1,22),"")</f>
        <v/>
      </c>
      <c r="K38" s="36" t="str">
        <f ca="1">IF(J33&lt;&gt;"","端数","")</f>
        <v/>
      </c>
      <c r="L38" s="34"/>
      <c r="M38" s="36" t="str">
        <f ca="1">IF(J33&lt;&gt;"","アレルギー","")</f>
        <v/>
      </c>
      <c r="N38" s="39"/>
      <c r="O38" s="22"/>
      <c r="P38" s="171"/>
      <c r="Q38" s="36" t="str">
        <f ca="1">IF(R33&lt;&gt;"","パン箱","")</f>
        <v/>
      </c>
      <c r="R38" s="34" t="str">
        <f ca="1">IF(R33&lt;&gt;"",OFFSET(変更先抽出【15時】!$A$1,P33-1,22),"")</f>
        <v/>
      </c>
      <c r="S38" s="36" t="str">
        <f ca="1">IF(R33&lt;&gt;"","端数","")</f>
        <v/>
      </c>
      <c r="T38" s="34"/>
      <c r="U38" s="36" t="str">
        <f ca="1">IF(R33&lt;&gt;"","アレルギー","")</f>
        <v/>
      </c>
      <c r="V38" s="39"/>
      <c r="W38" s="22"/>
      <c r="X38" s="36" t="str">
        <f ca="1">IF(Y33&lt;&gt;"","パン箱","")</f>
        <v/>
      </c>
      <c r="Y38" s="34" t="str">
        <f ca="1">IF(Y33&lt;&gt;"",OFFSET(変更先抽出【15時】!$A$1,W33-1,22),"")</f>
        <v/>
      </c>
      <c r="Z38" s="36" t="str">
        <f ca="1">IF(Y33&lt;&gt;"","端数","")</f>
        <v/>
      </c>
      <c r="AA38" s="34"/>
      <c r="AB38" s="36" t="str">
        <f ca="1">IF(Y33&lt;&gt;"","アレルギー","")</f>
        <v/>
      </c>
      <c r="AC38" s="39"/>
      <c r="AD38" s="22"/>
      <c r="AE38" s="171"/>
      <c r="AF38" s="36" t="str">
        <f ca="1">IF(AG33&lt;&gt;"","パン箱","")</f>
        <v/>
      </c>
      <c r="AG38" s="34" t="str">
        <f ca="1">IF(AG33&lt;&gt;"",OFFSET(変更先抽出【15時】!$A$1,AE33-1,22),"")</f>
        <v/>
      </c>
      <c r="AH38" s="36" t="str">
        <f ca="1">IF(AG33&lt;&gt;"","端数","")</f>
        <v/>
      </c>
      <c r="AI38" s="34"/>
      <c r="AJ38" s="36" t="str">
        <f ca="1">IF(AG33&lt;&gt;"","アレルギー","")</f>
        <v/>
      </c>
      <c r="AK38" s="39"/>
      <c r="AL38" s="22"/>
      <c r="AM38" s="36" t="str">
        <f ca="1">IF(AN33&lt;&gt;"","パン箱","")</f>
        <v/>
      </c>
      <c r="AN38" s="34" t="str">
        <f ca="1">IF(AN33&lt;&gt;"",OFFSET(変更先抽出【15時】!$A$1,AL33-1,22),"")</f>
        <v/>
      </c>
      <c r="AO38" s="36" t="str">
        <f ca="1">IF(AN33&lt;&gt;"","端数","")</f>
        <v/>
      </c>
      <c r="AP38" s="34"/>
      <c r="AQ38" s="36" t="str">
        <f ca="1">IF(AN33&lt;&gt;"","アレルギー","")</f>
        <v/>
      </c>
      <c r="AR38" s="39"/>
      <c r="AS38" s="22"/>
      <c r="AT38" s="171"/>
      <c r="AU38" s="36" t="str">
        <f ca="1">IF(AV33&lt;&gt;"","パン箱","")</f>
        <v/>
      </c>
      <c r="AV38" s="34" t="str">
        <f ca="1">IF(AV33&lt;&gt;"",OFFSET(変更先抽出【15時】!$A$1,AT33-1,22),"")</f>
        <v/>
      </c>
      <c r="AW38" s="36" t="str">
        <f ca="1">IF(AV33&lt;&gt;"","端数","")</f>
        <v/>
      </c>
      <c r="AX38" s="34"/>
      <c r="AY38" s="36" t="str">
        <f ca="1">IF(AV33&lt;&gt;"","アレルギー","")</f>
        <v/>
      </c>
      <c r="AZ38" s="39"/>
      <c r="BA38" s="22"/>
      <c r="BB38" s="36" t="str">
        <f ca="1">IF(BC33&lt;&gt;"","パン箱","")</f>
        <v/>
      </c>
      <c r="BC38" s="34" t="str">
        <f ca="1">IF(BC33&lt;&gt;"",OFFSET(変更先抽出【15時】!$A$1,BA33-1,22),"")</f>
        <v/>
      </c>
      <c r="BD38" s="36" t="str">
        <f ca="1">IF(BC33&lt;&gt;"","端数","")</f>
        <v/>
      </c>
      <c r="BE38" s="34"/>
      <c r="BF38" s="36" t="str">
        <f ca="1">IF(BC33&lt;&gt;"","アレルギー","")</f>
        <v/>
      </c>
      <c r="BG38" s="39"/>
      <c r="BH38" s="22"/>
      <c r="BI38" s="171"/>
      <c r="BJ38" s="36" t="str">
        <f ca="1">IF(BK33&lt;&gt;"","パン箱","")</f>
        <v/>
      </c>
      <c r="BK38" s="34" t="str">
        <f ca="1">IF(BK33&lt;&gt;"",OFFSET(変更先抽出【15時】!$A$1,BI33-1,22),"")</f>
        <v/>
      </c>
      <c r="BL38" s="36" t="str">
        <f ca="1">IF(BK33&lt;&gt;"","端数","")</f>
        <v/>
      </c>
      <c r="BM38" s="34"/>
      <c r="BN38" s="36" t="str">
        <f ca="1">IF(BK33&lt;&gt;"","アレルギー","")</f>
        <v/>
      </c>
      <c r="BO38" s="39"/>
      <c r="BP38" s="22"/>
      <c r="BQ38" s="36" t="str">
        <f ca="1">IF(BR33&lt;&gt;"","パン箱","")</f>
        <v/>
      </c>
      <c r="BR38" s="34" t="str">
        <f ca="1">IF(BR33&lt;&gt;"",OFFSET(変更先抽出【15時】!$A$1,BP33-1,22),"")</f>
        <v/>
      </c>
      <c r="BS38" s="36" t="str">
        <f ca="1">IF(BR33&lt;&gt;"","端数","")</f>
        <v/>
      </c>
      <c r="BT38" s="34"/>
      <c r="BU38" s="36" t="str">
        <f ca="1">IF(BR33&lt;&gt;"","アレルギー","")</f>
        <v/>
      </c>
      <c r="BV38" s="39"/>
      <c r="BW38" s="22"/>
      <c r="BX38" s="171"/>
      <c r="BY38" s="36" t="str">
        <f ca="1">IF(BZ33&lt;&gt;"","パン箱","")</f>
        <v/>
      </c>
      <c r="BZ38" s="34" t="str">
        <f ca="1">IF(BZ33&lt;&gt;"",OFFSET(変更先抽出【15時】!$A$1,BX33-1,22),"")</f>
        <v/>
      </c>
      <c r="CA38" s="36" t="str">
        <f ca="1">IF(BZ33&lt;&gt;"","端数","")</f>
        <v/>
      </c>
      <c r="CB38" s="34"/>
      <c r="CC38" s="36" t="str">
        <f ca="1">IF(BZ33&lt;&gt;"","アレルギー","")</f>
        <v/>
      </c>
      <c r="CD38" s="39"/>
      <c r="CE38" s="22"/>
      <c r="CF38" s="36" t="str">
        <f ca="1">IF(CG33&lt;&gt;"","パン箱","")</f>
        <v/>
      </c>
      <c r="CG38" s="34" t="str">
        <f ca="1">IF(CG33&lt;&gt;"",OFFSET(変更先抽出【15時】!$A$1,CE33-1,22),"")</f>
        <v/>
      </c>
      <c r="CH38" s="36" t="str">
        <f ca="1">IF(CG33&lt;&gt;"","端数","")</f>
        <v/>
      </c>
      <c r="CI38" s="34"/>
      <c r="CJ38" s="36" t="str">
        <f ca="1">IF(CG33&lt;&gt;"","アレルギー","")</f>
        <v/>
      </c>
      <c r="CK38" s="39"/>
      <c r="CL38" s="22"/>
      <c r="CM38" s="171"/>
      <c r="CN38" s="36" t="str">
        <f ca="1">IF(CO33&lt;&gt;"","パン箱","")</f>
        <v/>
      </c>
      <c r="CO38" s="34" t="str">
        <f ca="1">IF(CO33&lt;&gt;"",OFFSET(変更先抽出【15時】!$A$1,CM33-1,22),"")</f>
        <v/>
      </c>
      <c r="CP38" s="36" t="str">
        <f ca="1">IF(CO33&lt;&gt;"","端数","")</f>
        <v/>
      </c>
      <c r="CQ38" s="34"/>
      <c r="CR38" s="36" t="str">
        <f ca="1">IF(CO33&lt;&gt;"","アレルギー","")</f>
        <v/>
      </c>
      <c r="CS38" s="39"/>
      <c r="CT38" s="22"/>
      <c r="CU38" s="36" t="str">
        <f ca="1">IF(CV33&lt;&gt;"","パン箱","")</f>
        <v/>
      </c>
      <c r="CV38" s="34" t="str">
        <f ca="1">IF(CV33&lt;&gt;"",OFFSET(変更先抽出【15時】!$A$1,CT33-1,22),"")</f>
        <v/>
      </c>
      <c r="CW38" s="36" t="str">
        <f ca="1">IF(CV33&lt;&gt;"","端数","")</f>
        <v/>
      </c>
      <c r="CX38" s="34"/>
      <c r="CY38" s="36" t="str">
        <f ca="1">IF(CV33&lt;&gt;"","アレルギー","")</f>
        <v/>
      </c>
      <c r="CZ38" s="39"/>
      <c r="DA38" s="22"/>
      <c r="DB38" s="171"/>
      <c r="DC38" s="36" t="str">
        <f ca="1">IF(DD33&lt;&gt;"","パン箱","")</f>
        <v/>
      </c>
      <c r="DD38" s="34" t="str">
        <f ca="1">IF(DD33&lt;&gt;"",OFFSET(変更先抽出【15時】!$A$1,DB33-1,22),"")</f>
        <v/>
      </c>
      <c r="DE38" s="36" t="str">
        <f ca="1">IF(DD33&lt;&gt;"","端数","")</f>
        <v/>
      </c>
      <c r="DF38" s="34"/>
      <c r="DG38" s="36" t="str">
        <f ca="1">IF(DD33&lt;&gt;"","アレルギー","")</f>
        <v/>
      </c>
      <c r="DH38" s="39"/>
      <c r="DI38" s="22"/>
      <c r="DJ38" s="36" t="str">
        <f ca="1">IF(DK33&lt;&gt;"","パン箱","")</f>
        <v/>
      </c>
      <c r="DK38" s="34" t="str">
        <f ca="1">IF(DK33&lt;&gt;"",OFFSET(変更先抽出【15時】!$A$1,DI33-1,22),"")</f>
        <v/>
      </c>
      <c r="DL38" s="36" t="str">
        <f ca="1">IF(DK33&lt;&gt;"","端数","")</f>
        <v/>
      </c>
      <c r="DM38" s="34"/>
      <c r="DN38" s="36" t="str">
        <f ca="1">IF(DK33&lt;&gt;"","アレルギー","")</f>
        <v/>
      </c>
      <c r="DO38" s="39"/>
      <c r="DP38" s="22"/>
      <c r="DQ38" s="171"/>
      <c r="DR38" s="36" t="str">
        <f ca="1">IF(DS33&lt;&gt;"","パン箱","")</f>
        <v/>
      </c>
      <c r="DS38" s="34" t="str">
        <f ca="1">IF(DS33&lt;&gt;"",OFFSET(変更先抽出【15時】!$A$1,DQ33-1,22),"")</f>
        <v/>
      </c>
      <c r="DT38" s="36" t="str">
        <f ca="1">IF(DS33&lt;&gt;"","端数","")</f>
        <v/>
      </c>
      <c r="DU38" s="34"/>
      <c r="DV38" s="36" t="str">
        <f ca="1">IF(DS33&lt;&gt;"","アレルギー","")</f>
        <v/>
      </c>
      <c r="DW38" s="39"/>
      <c r="DX38" s="22"/>
      <c r="DY38" s="36" t="str">
        <f ca="1">IF(DZ33&lt;&gt;"","パン箱","")</f>
        <v/>
      </c>
      <c r="DZ38" s="34" t="str">
        <f ca="1">IF(DZ33&lt;&gt;"",OFFSET(変更先抽出【15時】!$A$1,DX33-1,22),"")</f>
        <v/>
      </c>
      <c r="EA38" s="36" t="str">
        <f ca="1">IF(DZ33&lt;&gt;"","端数","")</f>
        <v/>
      </c>
      <c r="EB38" s="34"/>
      <c r="EC38" s="36" t="str">
        <f ca="1">IF(DZ33&lt;&gt;"","アレルギー","")</f>
        <v/>
      </c>
      <c r="ED38" s="39"/>
      <c r="EE38" s="22"/>
      <c r="EF38" s="171"/>
      <c r="EG38" s="36" t="str">
        <f ca="1">IF(EH33&lt;&gt;"","パン箱","")</f>
        <v/>
      </c>
      <c r="EH38" s="34" t="str">
        <f ca="1">IF(EH33&lt;&gt;"",OFFSET(変更先抽出【15時】!$A$1,EF33-1,22),"")</f>
        <v/>
      </c>
      <c r="EI38" s="36" t="str">
        <f ca="1">IF(EH33&lt;&gt;"","端数","")</f>
        <v/>
      </c>
      <c r="EJ38" s="34"/>
      <c r="EK38" s="36" t="str">
        <f ca="1">IF(EH33&lt;&gt;"","アレルギー","")</f>
        <v/>
      </c>
      <c r="EL38" s="39"/>
      <c r="EM38" s="22"/>
      <c r="EN38" s="36" t="str">
        <f ca="1">IF(EO33&lt;&gt;"","パン箱","")</f>
        <v/>
      </c>
      <c r="EO38" s="34" t="str">
        <f ca="1">IF(EO33&lt;&gt;"",OFFSET(変更先抽出【15時】!$A$1,EM33-1,22),"")</f>
        <v/>
      </c>
      <c r="EP38" s="36" t="str">
        <f ca="1">IF(EO33&lt;&gt;"","端数","")</f>
        <v/>
      </c>
      <c r="EQ38" s="34"/>
      <c r="ER38" s="36" t="str">
        <f ca="1">IF(EO33&lt;&gt;"","アレルギー","")</f>
        <v/>
      </c>
      <c r="ES38" s="39"/>
      <c r="ET38" s="22"/>
    </row>
    <row r="39" spans="1:150" ht="27.6" customHeight="1">
      <c r="B39" s="157" t="str">
        <f ca="1">IF(C33&lt;&gt;"",IFERROR(INT(C36/C38),""),"")</f>
        <v/>
      </c>
      <c r="C39" s="150"/>
      <c r="D39" s="157" t="str">
        <f ca="1">IF(C33&lt;&gt;"",IFERROR(MOD(C36,C38),""),"")</f>
        <v/>
      </c>
      <c r="E39" s="150"/>
      <c r="F39" s="158" t="str">
        <f ca="1">IF(C33&lt;&gt;"",OFFSET(変更先抽出【15時】!$A$1,A33-1,21),"")</f>
        <v/>
      </c>
      <c r="G39" s="150"/>
      <c r="I39" s="157" t="str">
        <f ca="1">IF(J33&lt;&gt;"",IFERROR(INT(J36/J38),""),"")</f>
        <v/>
      </c>
      <c r="J39" s="150"/>
      <c r="K39" s="157" t="str">
        <f ca="1">IF(J33&lt;&gt;"",IFERROR(MOD(J36,J38),""),"")</f>
        <v/>
      </c>
      <c r="L39" s="150"/>
      <c r="M39" s="158" t="str">
        <f ca="1">IF(J33&lt;&gt;"",OFFSET(変更先抽出【15時】!$A$1,H33-1,21),"")</f>
        <v/>
      </c>
      <c r="N39" s="150"/>
      <c r="Q39" s="157" t="str">
        <f ca="1">IF(R33&lt;&gt;"",IFERROR(INT(R36/R38),""),"")</f>
        <v/>
      </c>
      <c r="R39" s="150"/>
      <c r="S39" s="157" t="str">
        <f ca="1">IF(R33&lt;&gt;"",IFERROR(MOD(R36,R38),""),"")</f>
        <v/>
      </c>
      <c r="T39" s="150"/>
      <c r="U39" s="158" t="str">
        <f ca="1">IF(R33&lt;&gt;"",OFFSET(変更先抽出【15時】!$A$1,P33-1,21),"")</f>
        <v/>
      </c>
      <c r="V39" s="150"/>
      <c r="X39" s="157" t="str">
        <f ca="1">IF(Y33&lt;&gt;"",IFERROR(INT(Y36/Y38),""),"")</f>
        <v/>
      </c>
      <c r="Y39" s="150"/>
      <c r="Z39" s="157" t="str">
        <f ca="1">IF(Y33&lt;&gt;"",IFERROR(MOD(Y36,Y38),""),"")</f>
        <v/>
      </c>
      <c r="AA39" s="150"/>
      <c r="AB39" s="158" t="str">
        <f ca="1">IF(Y33&lt;&gt;"",OFFSET(変更先抽出【15時】!$A$1,W33-1,21),"")</f>
        <v/>
      </c>
      <c r="AC39" s="150"/>
      <c r="AF39" s="157" t="str">
        <f ca="1">IF(AG33&lt;&gt;"",IFERROR(INT(AG36/AG38),""),"")</f>
        <v/>
      </c>
      <c r="AG39" s="150"/>
      <c r="AH39" s="157" t="str">
        <f ca="1">IF(AG33&lt;&gt;"",IFERROR(MOD(AG36,AG38),""),"")</f>
        <v/>
      </c>
      <c r="AI39" s="150"/>
      <c r="AJ39" s="158" t="str">
        <f ca="1">IF(AG33&lt;&gt;"",OFFSET(変更先抽出【15時】!$A$1,AE33-1,21),"")</f>
        <v/>
      </c>
      <c r="AK39" s="150"/>
      <c r="AM39" s="157" t="str">
        <f ca="1">IF(AN33&lt;&gt;"",IFERROR(INT(AN36/AN38),""),"")</f>
        <v/>
      </c>
      <c r="AN39" s="150"/>
      <c r="AO39" s="157" t="str">
        <f ca="1">IF(AN33&lt;&gt;"",IFERROR(MOD(AN36,AN38),""),"")</f>
        <v/>
      </c>
      <c r="AP39" s="150"/>
      <c r="AQ39" s="158" t="str">
        <f ca="1">IF(AN33&lt;&gt;"",OFFSET(変更先抽出【15時】!$A$1,AL33-1,21),"")</f>
        <v/>
      </c>
      <c r="AR39" s="150"/>
      <c r="AU39" s="157" t="str">
        <f ca="1">IF(AV33&lt;&gt;"",IFERROR(INT(AV36/AV38),""),"")</f>
        <v/>
      </c>
      <c r="AV39" s="150"/>
      <c r="AW39" s="157" t="str">
        <f ca="1">IF(AV33&lt;&gt;"",IFERROR(MOD(AV36,AV38),""),"")</f>
        <v/>
      </c>
      <c r="AX39" s="150"/>
      <c r="AY39" s="158" t="str">
        <f ca="1">IF(AV33&lt;&gt;"",OFFSET(変更先抽出【15時】!$A$1,AT33-1,21),"")</f>
        <v/>
      </c>
      <c r="AZ39" s="150"/>
      <c r="BB39" s="157" t="str">
        <f ca="1">IF(BC33&lt;&gt;"",IFERROR(INT(BC36/BC38),""),"")</f>
        <v/>
      </c>
      <c r="BC39" s="150"/>
      <c r="BD39" s="157" t="str">
        <f ca="1">IF(BC33&lt;&gt;"",IFERROR(MOD(BC36,BC38),""),"")</f>
        <v/>
      </c>
      <c r="BE39" s="150"/>
      <c r="BF39" s="158" t="str">
        <f ca="1">IF(BC33&lt;&gt;"",OFFSET(変更先抽出【15時】!$A$1,BA33-1,21),"")</f>
        <v/>
      </c>
      <c r="BG39" s="150"/>
      <c r="BJ39" s="157" t="str">
        <f ca="1">IF(BK33&lt;&gt;"",IFERROR(INT(BK36/BK38),""),"")</f>
        <v/>
      </c>
      <c r="BK39" s="150"/>
      <c r="BL39" s="157" t="str">
        <f ca="1">IF(BK33&lt;&gt;"",IFERROR(MOD(BK36,BK38),""),"")</f>
        <v/>
      </c>
      <c r="BM39" s="150"/>
      <c r="BN39" s="158" t="str">
        <f ca="1">IF(BK33&lt;&gt;"",OFFSET(変更先抽出【15時】!$A$1,BI33-1,21),"")</f>
        <v/>
      </c>
      <c r="BO39" s="150"/>
      <c r="BQ39" s="157" t="str">
        <f ca="1">IF(BR33&lt;&gt;"",IFERROR(INT(BR36/BR38),""),"")</f>
        <v/>
      </c>
      <c r="BR39" s="150"/>
      <c r="BS39" s="157" t="str">
        <f ca="1">IF(BR33&lt;&gt;"",IFERROR(MOD(BR36,BR38),""),"")</f>
        <v/>
      </c>
      <c r="BT39" s="150"/>
      <c r="BU39" s="158" t="str">
        <f ca="1">IF(BR33&lt;&gt;"",OFFSET(変更先抽出【15時】!$A$1,BP33-1,21),"")</f>
        <v/>
      </c>
      <c r="BV39" s="150"/>
      <c r="BY39" s="157" t="str">
        <f ca="1">IF(BZ33&lt;&gt;"",IFERROR(INT(BZ36/BZ38),""),"")</f>
        <v/>
      </c>
      <c r="BZ39" s="150"/>
      <c r="CA39" s="157" t="str">
        <f ca="1">IF(BZ33&lt;&gt;"",IFERROR(MOD(BZ36,BZ38),""),"")</f>
        <v/>
      </c>
      <c r="CB39" s="150"/>
      <c r="CC39" s="158" t="str">
        <f ca="1">IF(BZ33&lt;&gt;"",OFFSET(変更先抽出【15時】!$A$1,BX33-1,21),"")</f>
        <v/>
      </c>
      <c r="CD39" s="150"/>
      <c r="CF39" s="157" t="str">
        <f ca="1">IF(CG33&lt;&gt;"",IFERROR(INT(CG36/CG38),""),"")</f>
        <v/>
      </c>
      <c r="CG39" s="150"/>
      <c r="CH39" s="157" t="str">
        <f ca="1">IF(CG33&lt;&gt;"",IFERROR(MOD(CG36,CG38),""),"")</f>
        <v/>
      </c>
      <c r="CI39" s="150"/>
      <c r="CJ39" s="158" t="str">
        <f ca="1">IF(CG33&lt;&gt;"",OFFSET(変更先抽出【15時】!$A$1,CE33-1,21),"")</f>
        <v/>
      </c>
      <c r="CK39" s="150"/>
      <c r="CN39" s="157" t="str">
        <f ca="1">IF(CO33&lt;&gt;"",IFERROR(INT(CO36/CO38),""),"")</f>
        <v/>
      </c>
      <c r="CO39" s="150"/>
      <c r="CP39" s="157" t="str">
        <f ca="1">IF(CO33&lt;&gt;"",IFERROR(MOD(CO36,CO38),""),"")</f>
        <v/>
      </c>
      <c r="CQ39" s="150"/>
      <c r="CR39" s="158" t="str">
        <f ca="1">IF(CO33&lt;&gt;"",OFFSET(変更先抽出【15時】!$A$1,CM33-1,21),"")</f>
        <v/>
      </c>
      <c r="CS39" s="150"/>
      <c r="CU39" s="157" t="str">
        <f ca="1">IF(CV33&lt;&gt;"",IFERROR(INT(CV36/CV38),""),"")</f>
        <v/>
      </c>
      <c r="CV39" s="150"/>
      <c r="CW39" s="157" t="str">
        <f ca="1">IF(CV33&lt;&gt;"",IFERROR(MOD(CV36,CV38),""),"")</f>
        <v/>
      </c>
      <c r="CX39" s="150"/>
      <c r="CY39" s="158" t="str">
        <f ca="1">IF(CV33&lt;&gt;"",OFFSET(変更先抽出【15時】!$A$1,CT33-1,21),"")</f>
        <v/>
      </c>
      <c r="CZ39" s="150"/>
      <c r="DC39" s="157" t="str">
        <f ca="1">IF(DD33&lt;&gt;"",IFERROR(INT(DD36/DD38),""),"")</f>
        <v/>
      </c>
      <c r="DD39" s="150"/>
      <c r="DE39" s="157" t="str">
        <f ca="1">IF(DD33&lt;&gt;"",IFERROR(MOD(DD36,DD38),""),"")</f>
        <v/>
      </c>
      <c r="DF39" s="150"/>
      <c r="DG39" s="158" t="str">
        <f ca="1">IF(DD33&lt;&gt;"",OFFSET(変更先抽出【15時】!$A$1,DB33-1,21),"")</f>
        <v/>
      </c>
      <c r="DH39" s="150"/>
      <c r="DJ39" s="157" t="str">
        <f ca="1">IF(DK33&lt;&gt;"",IFERROR(INT(DK36/DK38),""),"")</f>
        <v/>
      </c>
      <c r="DK39" s="150"/>
      <c r="DL39" s="157" t="str">
        <f ca="1">IF(DK33&lt;&gt;"",IFERROR(MOD(DK36,DK38),""),"")</f>
        <v/>
      </c>
      <c r="DM39" s="150"/>
      <c r="DN39" s="158" t="str">
        <f ca="1">IF(DK33&lt;&gt;"",OFFSET(変更先抽出【15時】!$A$1,DI33-1,21),"")</f>
        <v/>
      </c>
      <c r="DO39" s="150"/>
      <c r="DR39" s="157" t="str">
        <f ca="1">IF(DS33&lt;&gt;"",IFERROR(INT(DS36/DS38),""),"")</f>
        <v/>
      </c>
      <c r="DS39" s="150"/>
      <c r="DT39" s="157" t="str">
        <f ca="1">IF(DS33&lt;&gt;"",IFERROR(MOD(DS36,DS38),""),"")</f>
        <v/>
      </c>
      <c r="DU39" s="150"/>
      <c r="DV39" s="158" t="str">
        <f ca="1">IF(DS33&lt;&gt;"",OFFSET(変更先抽出【15時】!$A$1,DQ33-1,21),"")</f>
        <v/>
      </c>
      <c r="DW39" s="150"/>
      <c r="DY39" s="157" t="str">
        <f ca="1">IF(DZ33&lt;&gt;"",IFERROR(INT(DZ36/DZ38),""),"")</f>
        <v/>
      </c>
      <c r="DZ39" s="150"/>
      <c r="EA39" s="157" t="str">
        <f ca="1">IF(DZ33&lt;&gt;"",IFERROR(MOD(DZ36,DZ38),""),"")</f>
        <v/>
      </c>
      <c r="EB39" s="150"/>
      <c r="EC39" s="158" t="str">
        <f ca="1">IF(DZ33&lt;&gt;"",OFFSET(変更先抽出【15時】!$A$1,DX33-1,21),"")</f>
        <v/>
      </c>
      <c r="ED39" s="150"/>
      <c r="EG39" s="157" t="str">
        <f ca="1">IF(EH33&lt;&gt;"",IFERROR(INT(EH36/EH38),""),"")</f>
        <v/>
      </c>
      <c r="EH39" s="150"/>
      <c r="EI39" s="157" t="str">
        <f ca="1">IF(EH33&lt;&gt;"",IFERROR(MOD(EH36,EH38),""),"")</f>
        <v/>
      </c>
      <c r="EJ39" s="150"/>
      <c r="EK39" s="158" t="str">
        <f ca="1">IF(EH33&lt;&gt;"",OFFSET(変更先抽出【15時】!$A$1,EF33-1,21),"")</f>
        <v/>
      </c>
      <c r="EL39" s="150"/>
      <c r="EN39" s="157" t="str">
        <f ca="1">IF(EO33&lt;&gt;"",IFERROR(INT(EO36/EO38),""),"")</f>
        <v/>
      </c>
      <c r="EO39" s="150"/>
      <c r="EP39" s="157" t="str">
        <f ca="1">IF(EO33&lt;&gt;"",IFERROR(MOD(EO36,EO38),""),"")</f>
        <v/>
      </c>
      <c r="EQ39" s="150"/>
      <c r="ER39" s="158" t="str">
        <f ca="1">IF(EO33&lt;&gt;"",OFFSET(変更先抽出【15時】!$A$1,EM33-1,21),"")</f>
        <v/>
      </c>
      <c r="ES39" s="150"/>
    </row>
    <row r="40" spans="1:150" ht="6.6" customHeight="1">
      <c r="B40" s="44"/>
      <c r="D40" s="44"/>
      <c r="F40" s="45"/>
      <c r="I40" s="44"/>
      <c r="K40" s="44"/>
      <c r="M40" s="45"/>
      <c r="Q40" s="44"/>
      <c r="S40" s="44"/>
      <c r="U40" s="45"/>
      <c r="X40" s="44"/>
      <c r="Z40" s="44"/>
      <c r="AB40" s="45"/>
      <c r="AF40" s="44"/>
      <c r="AH40" s="44"/>
      <c r="AJ40" s="45"/>
      <c r="AM40" s="44"/>
      <c r="AO40" s="44"/>
      <c r="AQ40" s="45"/>
      <c r="AU40" s="44"/>
      <c r="AW40" s="44"/>
      <c r="AY40" s="45"/>
      <c r="BB40" s="44"/>
      <c r="BD40" s="44"/>
      <c r="BF40" s="45"/>
      <c r="BJ40" s="44"/>
      <c r="BL40" s="44"/>
      <c r="BN40" s="45"/>
      <c r="BQ40" s="44"/>
      <c r="BS40" s="44"/>
      <c r="BU40" s="45"/>
      <c r="BY40" s="44"/>
      <c r="CA40" s="44"/>
      <c r="CC40" s="45"/>
      <c r="CF40" s="44"/>
      <c r="CH40" s="44"/>
      <c r="CJ40" s="45"/>
      <c r="CN40" s="44"/>
      <c r="CP40" s="44"/>
      <c r="CR40" s="45"/>
      <c r="CU40" s="44"/>
      <c r="CW40" s="44"/>
      <c r="CY40" s="45"/>
      <c r="DC40" s="44"/>
      <c r="DE40" s="44"/>
      <c r="DG40" s="45"/>
      <c r="DJ40" s="44"/>
      <c r="DL40" s="44"/>
      <c r="DN40" s="45"/>
      <c r="DR40" s="44"/>
      <c r="DT40" s="44"/>
      <c r="DV40" s="45"/>
      <c r="DY40" s="44"/>
      <c r="EA40" s="44"/>
      <c r="EC40" s="45"/>
      <c r="EG40" s="44"/>
      <c r="EI40" s="44"/>
      <c r="EK40" s="45"/>
      <c r="EN40" s="44"/>
      <c r="EP40" s="44"/>
      <c r="ER40" s="45"/>
    </row>
    <row r="41" spans="1:150" s="32" customFormat="1" ht="25.8" customHeight="1">
      <c r="A41" s="171">
        <f>H33+1</f>
        <v>11</v>
      </c>
      <c r="B41" s="42" t="str">
        <f ca="1">IF(C41&lt;&gt;"",
MID(貼り付け用!$A$2, FIND("年",貼り付け用!$A$2)+1,2)&amp;"/"&amp;MID(貼り付け用!$A$2, FIND("月",貼り付け用!$A$2)+1,2),"")</f>
        <v/>
      </c>
      <c r="C41" s="155" t="str">
        <f ca="1">IF(OFFSET(変更先抽出【15時】!$A$1,A41-1,16)&lt;&gt;"",OFFSET(変更先抽出【15時】!$A$1,A41-1,17),"")</f>
        <v/>
      </c>
      <c r="D41" s="156"/>
      <c r="E41" s="156"/>
      <c r="F41" s="156"/>
      <c r="G41" s="41" t="str">
        <f ca="1">IF(C41&lt;&gt;"","様","")</f>
        <v/>
      </c>
      <c r="H41" s="35">
        <f>A41+1</f>
        <v>12</v>
      </c>
      <c r="I41" s="42" t="str">
        <f ca="1">IF(J41&lt;&gt;"",
MID(貼り付け用!$A$2, FIND("年",貼り付け用!$A$2)+1,2)&amp;"/"&amp;MID(貼り付け用!$A$2, FIND("月",貼り付け用!$A$2)+1,2),"")</f>
        <v/>
      </c>
      <c r="J41" s="155" t="str">
        <f ca="1">IF(OFFSET(変更先抽出【15時】!$A$1,H41-1,16)&lt;&gt;"",OFFSET(変更先抽出【15時】!$A$1,H41-1,17),"")</f>
        <v/>
      </c>
      <c r="K41" s="156"/>
      <c r="L41" s="156"/>
      <c r="M41" s="156"/>
      <c r="N41" s="41" t="str">
        <f ca="1">IF(J41&lt;&gt;"","様","")</f>
        <v/>
      </c>
      <c r="O41" s="22"/>
      <c r="P41" s="171">
        <f>W33+1</f>
        <v>23</v>
      </c>
      <c r="Q41" s="42" t="str">
        <f ca="1">IF(R41&lt;&gt;"",
MID(貼り付け用!$A$2, FIND("年",貼り付け用!$A$2)+1,2)&amp;"/"&amp;MID(貼り付け用!$A$2, FIND("月",貼り付け用!$A$2)+1,2),"")</f>
        <v/>
      </c>
      <c r="R41" s="155" t="str">
        <f ca="1">IF(OFFSET(変更先抽出【15時】!$A$1,P41-1,16)&lt;&gt;"",OFFSET(変更先抽出【15時】!$A$1,P41-1,17),"")</f>
        <v/>
      </c>
      <c r="S41" s="156"/>
      <c r="T41" s="156"/>
      <c r="U41" s="156"/>
      <c r="V41" s="41" t="str">
        <f ca="1">IF(R41&lt;&gt;"","様","")</f>
        <v/>
      </c>
      <c r="W41" s="35">
        <f>P41+1</f>
        <v>24</v>
      </c>
      <c r="X41" s="42" t="str">
        <f ca="1">IF(Y41&lt;&gt;"",
MID(貼り付け用!$A$2, FIND("年",貼り付け用!$A$2)+1,2)&amp;"/"&amp;MID(貼り付け用!$A$2, FIND("月",貼り付け用!$A$2)+1,2),"")</f>
        <v/>
      </c>
      <c r="Y41" s="155" t="str">
        <f ca="1">IF(OFFSET(変更先抽出【15時】!$A$1,W41-1,16)&lt;&gt;"",OFFSET(変更先抽出【15時】!$A$1,W41-1,17),"")</f>
        <v/>
      </c>
      <c r="Z41" s="156"/>
      <c r="AA41" s="156"/>
      <c r="AB41" s="156"/>
      <c r="AC41" s="41" t="str">
        <f ca="1">IF(Y41&lt;&gt;"","様","")</f>
        <v/>
      </c>
      <c r="AD41" s="22"/>
      <c r="AE41" s="171">
        <f>AL33+1</f>
        <v>35</v>
      </c>
      <c r="AF41" s="42" t="str">
        <f ca="1">IF(AG41&lt;&gt;"",
MID(貼り付け用!$A$2, FIND("年",貼り付け用!$A$2)+1,2)&amp;"/"&amp;MID(貼り付け用!$A$2, FIND("月",貼り付け用!$A$2)+1,2),"")</f>
        <v/>
      </c>
      <c r="AG41" s="155" t="str">
        <f ca="1">IF(OFFSET(変更先抽出【15時】!$A$1,AE41-1,16)&lt;&gt;"",OFFSET(変更先抽出【15時】!$A$1,AE41-1,17),"")</f>
        <v/>
      </c>
      <c r="AH41" s="156"/>
      <c r="AI41" s="156"/>
      <c r="AJ41" s="156"/>
      <c r="AK41" s="41" t="str">
        <f ca="1">IF(AG41&lt;&gt;"","様","")</f>
        <v/>
      </c>
      <c r="AL41" s="35">
        <f>AE41+1</f>
        <v>36</v>
      </c>
      <c r="AM41" s="42" t="str">
        <f ca="1">IF(AN41&lt;&gt;"",
MID(貼り付け用!$A$2, FIND("年",貼り付け用!$A$2)+1,2)&amp;"/"&amp;MID(貼り付け用!$A$2, FIND("月",貼り付け用!$A$2)+1,2),"")</f>
        <v/>
      </c>
      <c r="AN41" s="155" t="str">
        <f ca="1">IF(OFFSET(変更先抽出【15時】!$A$1,AL41-1,16)&lt;&gt;"",OFFSET(変更先抽出【15時】!$A$1,AL41-1,17),"")</f>
        <v/>
      </c>
      <c r="AO41" s="156"/>
      <c r="AP41" s="156"/>
      <c r="AQ41" s="156"/>
      <c r="AR41" s="41" t="str">
        <f ca="1">IF(AN41&lt;&gt;"","様","")</f>
        <v/>
      </c>
      <c r="AS41" s="22"/>
      <c r="AT41" s="171">
        <f>BA33+1</f>
        <v>47</v>
      </c>
      <c r="AU41" s="42" t="str">
        <f ca="1">IF(AV41&lt;&gt;"",
MID(貼り付け用!$A$2, FIND("年",貼り付け用!$A$2)+1,2)&amp;"/"&amp;MID(貼り付け用!$A$2, FIND("月",貼り付け用!$A$2)+1,2),"")</f>
        <v/>
      </c>
      <c r="AV41" s="155" t="str">
        <f ca="1">IF(OFFSET(変更先抽出【15時】!$A$1,AT41-1,16)&lt;&gt;"",OFFSET(変更先抽出【15時】!$A$1,AT41-1,17),"")</f>
        <v/>
      </c>
      <c r="AW41" s="156"/>
      <c r="AX41" s="156"/>
      <c r="AY41" s="156"/>
      <c r="AZ41" s="41" t="str">
        <f ca="1">IF(AV41&lt;&gt;"","様","")</f>
        <v/>
      </c>
      <c r="BA41" s="35">
        <f>AT41+1</f>
        <v>48</v>
      </c>
      <c r="BB41" s="42" t="str">
        <f ca="1">IF(BC41&lt;&gt;"",
MID(貼り付け用!$A$2, FIND("年",貼り付け用!$A$2)+1,2)&amp;"/"&amp;MID(貼り付け用!$A$2, FIND("月",貼り付け用!$A$2)+1,2),"")</f>
        <v/>
      </c>
      <c r="BC41" s="155" t="str">
        <f ca="1">IF(OFFSET(変更先抽出【15時】!$A$1,BA41-1,16)&lt;&gt;"",OFFSET(変更先抽出【15時】!$A$1,BA41-1,17),"")</f>
        <v/>
      </c>
      <c r="BD41" s="156"/>
      <c r="BE41" s="156"/>
      <c r="BF41" s="156"/>
      <c r="BG41" s="41" t="str">
        <f ca="1">IF(BC41&lt;&gt;"","様","")</f>
        <v/>
      </c>
      <c r="BH41" s="22"/>
      <c r="BI41" s="171">
        <f>BP33+1</f>
        <v>59</v>
      </c>
      <c r="BJ41" s="42" t="str">
        <f ca="1">IF(BK41&lt;&gt;"",
MID(貼り付け用!$A$2, FIND("年",貼り付け用!$A$2)+1,2)&amp;"/"&amp;MID(貼り付け用!$A$2, FIND("月",貼り付け用!$A$2)+1,2),"")</f>
        <v/>
      </c>
      <c r="BK41" s="155" t="str">
        <f ca="1">IF(OFFSET(変更先抽出【15時】!$A$1,BI41-1,16)&lt;&gt;"",OFFSET(変更先抽出【15時】!$A$1,BI41-1,17),"")</f>
        <v/>
      </c>
      <c r="BL41" s="156"/>
      <c r="BM41" s="156"/>
      <c r="BN41" s="156"/>
      <c r="BO41" s="41" t="str">
        <f ca="1">IF(BK41&lt;&gt;"","様","")</f>
        <v/>
      </c>
      <c r="BP41" s="35">
        <f>BI41+1</f>
        <v>60</v>
      </c>
      <c r="BQ41" s="42" t="str">
        <f ca="1">IF(BR41&lt;&gt;"",
MID(貼り付け用!$A$2, FIND("年",貼り付け用!$A$2)+1,2)&amp;"/"&amp;MID(貼り付け用!$A$2, FIND("月",貼り付け用!$A$2)+1,2),"")</f>
        <v/>
      </c>
      <c r="BR41" s="155" t="str">
        <f ca="1">IF(OFFSET(変更先抽出【15時】!$A$1,BP41-1,16)&lt;&gt;"",OFFSET(変更先抽出【15時】!$A$1,BP41-1,17),"")</f>
        <v/>
      </c>
      <c r="BS41" s="156"/>
      <c r="BT41" s="156"/>
      <c r="BU41" s="156"/>
      <c r="BV41" s="41" t="str">
        <f ca="1">IF(BR41&lt;&gt;"","様","")</f>
        <v/>
      </c>
      <c r="BW41" s="22"/>
      <c r="BX41" s="171">
        <f>CE33+1</f>
        <v>71</v>
      </c>
      <c r="BY41" s="42" t="str">
        <f ca="1">IF(BZ41&lt;&gt;"",
MID(貼り付け用!$A$2, FIND("年",貼り付け用!$A$2)+1,2)&amp;"/"&amp;MID(貼り付け用!$A$2, FIND("月",貼り付け用!$A$2)+1,2),"")</f>
        <v/>
      </c>
      <c r="BZ41" s="155" t="str">
        <f ca="1">IF(OFFSET(変更先抽出【15時】!$A$1,BX41-1,16)&lt;&gt;"",OFFSET(変更先抽出【15時】!$A$1,BX41-1,17),"")</f>
        <v/>
      </c>
      <c r="CA41" s="156"/>
      <c r="CB41" s="156"/>
      <c r="CC41" s="156"/>
      <c r="CD41" s="41" t="str">
        <f ca="1">IF(BZ41&lt;&gt;"","様","")</f>
        <v/>
      </c>
      <c r="CE41" s="35">
        <f>BX41+1</f>
        <v>72</v>
      </c>
      <c r="CF41" s="42" t="str">
        <f ca="1">IF(CG41&lt;&gt;"",
MID(貼り付け用!$A$2, FIND("年",貼り付け用!$A$2)+1,2)&amp;"/"&amp;MID(貼り付け用!$A$2, FIND("月",貼り付け用!$A$2)+1,2),"")</f>
        <v/>
      </c>
      <c r="CG41" s="155" t="str">
        <f ca="1">IF(OFFSET(変更先抽出【15時】!$A$1,CE41-1,16)&lt;&gt;"",OFFSET(変更先抽出【15時】!$A$1,CE41-1,17),"")</f>
        <v/>
      </c>
      <c r="CH41" s="156"/>
      <c r="CI41" s="156"/>
      <c r="CJ41" s="156"/>
      <c r="CK41" s="41" t="str">
        <f ca="1">IF(CG41&lt;&gt;"","様","")</f>
        <v/>
      </c>
      <c r="CL41" s="22"/>
      <c r="CM41" s="171">
        <f>CT33+1</f>
        <v>83</v>
      </c>
      <c r="CN41" s="42" t="str">
        <f ca="1">IF(CO41&lt;&gt;"",
MID(貼り付け用!$A$2, FIND("年",貼り付け用!$A$2)+1,2)&amp;"/"&amp;MID(貼り付け用!$A$2, FIND("月",貼り付け用!$A$2)+1,2),"")</f>
        <v/>
      </c>
      <c r="CO41" s="155" t="str">
        <f ca="1">IF(OFFSET(変更先抽出【15時】!$A$1,CM41-1,16)&lt;&gt;"",OFFSET(変更先抽出【15時】!$A$1,CM41-1,17),"")</f>
        <v/>
      </c>
      <c r="CP41" s="156"/>
      <c r="CQ41" s="156"/>
      <c r="CR41" s="156"/>
      <c r="CS41" s="41" t="str">
        <f ca="1">IF(CO41&lt;&gt;"","様","")</f>
        <v/>
      </c>
      <c r="CT41" s="35">
        <f>CM41+1</f>
        <v>84</v>
      </c>
      <c r="CU41" s="42" t="str">
        <f ca="1">IF(CV41&lt;&gt;"",
MID(貼り付け用!$A$2, FIND("年",貼り付け用!$A$2)+1,2)&amp;"/"&amp;MID(貼り付け用!$A$2, FIND("月",貼り付け用!$A$2)+1,2),"")</f>
        <v/>
      </c>
      <c r="CV41" s="155" t="str">
        <f ca="1">IF(OFFSET(変更先抽出【15時】!$A$1,CT41-1,16)&lt;&gt;"",OFFSET(変更先抽出【15時】!$A$1,CT41-1,17),"")</f>
        <v/>
      </c>
      <c r="CW41" s="156"/>
      <c r="CX41" s="156"/>
      <c r="CY41" s="156"/>
      <c r="CZ41" s="41" t="str">
        <f ca="1">IF(CV41&lt;&gt;"","様","")</f>
        <v/>
      </c>
      <c r="DA41" s="22"/>
      <c r="DB41" s="171">
        <f>DI33+1</f>
        <v>95</v>
      </c>
      <c r="DC41" s="42" t="str">
        <f ca="1">IF(DD41&lt;&gt;"",
MID(貼り付け用!$A$2, FIND("年",貼り付け用!$A$2)+1,2)&amp;"/"&amp;MID(貼り付け用!$A$2, FIND("月",貼り付け用!$A$2)+1,2),"")</f>
        <v/>
      </c>
      <c r="DD41" s="155" t="str">
        <f ca="1">IF(OFFSET(変更先抽出【15時】!$A$1,DB41-1,16)&lt;&gt;"",OFFSET(変更先抽出【15時】!$A$1,DB41-1,17),"")</f>
        <v/>
      </c>
      <c r="DE41" s="156"/>
      <c r="DF41" s="156"/>
      <c r="DG41" s="156"/>
      <c r="DH41" s="41" t="str">
        <f ca="1">IF(DD41&lt;&gt;"","様","")</f>
        <v/>
      </c>
      <c r="DI41" s="35">
        <f>DB41+1</f>
        <v>96</v>
      </c>
      <c r="DJ41" s="42" t="str">
        <f ca="1">IF(DK41&lt;&gt;"",
MID(貼り付け用!$A$2, FIND("年",貼り付け用!$A$2)+1,2)&amp;"/"&amp;MID(貼り付け用!$A$2, FIND("月",貼り付け用!$A$2)+1,2),"")</f>
        <v/>
      </c>
      <c r="DK41" s="155" t="str">
        <f ca="1">IF(OFFSET(変更先抽出【15時】!$A$1,DI41-1,16)&lt;&gt;"",OFFSET(変更先抽出【15時】!$A$1,DI41-1,17),"")</f>
        <v/>
      </c>
      <c r="DL41" s="156"/>
      <c r="DM41" s="156"/>
      <c r="DN41" s="156"/>
      <c r="DO41" s="41" t="str">
        <f ca="1">IF(DK41&lt;&gt;"","様","")</f>
        <v/>
      </c>
      <c r="DP41" s="22"/>
      <c r="DQ41" s="171">
        <f>DX33+1</f>
        <v>107</v>
      </c>
      <c r="DR41" s="42" t="str">
        <f ca="1">IF(DS41&lt;&gt;"",
MID(貼り付け用!$A$2, FIND("年",貼り付け用!$A$2)+1,2)&amp;"/"&amp;MID(貼り付け用!$A$2, FIND("月",貼り付け用!$A$2)+1,2),"")</f>
        <v/>
      </c>
      <c r="DS41" s="155" t="str">
        <f ca="1">IF(OFFSET(変更先抽出【15時】!$A$1,DQ41-1,16)&lt;&gt;"",OFFSET(変更先抽出【15時】!$A$1,DQ41-1,17),"")</f>
        <v/>
      </c>
      <c r="DT41" s="156"/>
      <c r="DU41" s="156"/>
      <c r="DV41" s="156"/>
      <c r="DW41" s="41" t="str">
        <f ca="1">IF(DS41&lt;&gt;"","様","")</f>
        <v/>
      </c>
      <c r="DX41" s="35">
        <f>DQ41+1</f>
        <v>108</v>
      </c>
      <c r="DY41" s="42" t="str">
        <f ca="1">IF(DZ41&lt;&gt;"",
MID(貼り付け用!$A$2, FIND("年",貼り付け用!$A$2)+1,2)&amp;"/"&amp;MID(貼り付け用!$A$2, FIND("月",貼り付け用!$A$2)+1,2),"")</f>
        <v/>
      </c>
      <c r="DZ41" s="155" t="str">
        <f ca="1">IF(OFFSET(変更先抽出【15時】!$A$1,DX41-1,16)&lt;&gt;"",OFFSET(変更先抽出【15時】!$A$1,DX41-1,17),"")</f>
        <v/>
      </c>
      <c r="EA41" s="156"/>
      <c r="EB41" s="156"/>
      <c r="EC41" s="156"/>
      <c r="ED41" s="41" t="str">
        <f ca="1">IF(DZ41&lt;&gt;"","様","")</f>
        <v/>
      </c>
      <c r="EE41" s="22"/>
      <c r="EF41" s="171">
        <f>EM33+1</f>
        <v>119</v>
      </c>
      <c r="EG41" s="42" t="str">
        <f ca="1">IF(EH41&lt;&gt;"",
MID(貼り付け用!$A$2, FIND("年",貼り付け用!$A$2)+1,2)&amp;"/"&amp;MID(貼り付け用!$A$2, FIND("月",貼り付け用!$A$2)+1,2),"")</f>
        <v/>
      </c>
      <c r="EH41" s="155" t="str">
        <f ca="1">IF(OFFSET(変更先抽出【15時】!$A$1,EF41-1,16)&lt;&gt;"",OFFSET(変更先抽出【15時】!$A$1,EF41-1,17),"")</f>
        <v/>
      </c>
      <c r="EI41" s="156"/>
      <c r="EJ41" s="156"/>
      <c r="EK41" s="156"/>
      <c r="EL41" s="41" t="str">
        <f ca="1">IF(EH41&lt;&gt;"","様","")</f>
        <v/>
      </c>
      <c r="EM41" s="35">
        <f>EF41+1</f>
        <v>120</v>
      </c>
      <c r="EN41" s="42" t="str">
        <f ca="1">IF(EO41&lt;&gt;"",
MID(貼り付け用!$A$2, FIND("年",貼り付け用!$A$2)+1,2)&amp;"/"&amp;MID(貼り付け用!$A$2, FIND("月",貼り付け用!$A$2)+1,2),"")</f>
        <v/>
      </c>
      <c r="EO41" s="155" t="str">
        <f ca="1">IF(OFFSET(変更先抽出【15時】!$A$1,EM41-1,16)&lt;&gt;"",OFFSET(変更先抽出【15時】!$A$1,EM41-1,17),"")</f>
        <v/>
      </c>
      <c r="EP41" s="156"/>
      <c r="EQ41" s="156"/>
      <c r="ER41" s="156"/>
      <c r="ES41" s="41" t="str">
        <f ca="1">IF(EO41&lt;&gt;"","様","")</f>
        <v/>
      </c>
      <c r="ET41" s="22"/>
    </row>
    <row r="42" spans="1:150" s="32" customFormat="1">
      <c r="A42" s="171"/>
      <c r="B42" s="109"/>
      <c r="C42" s="170" t="str">
        <f ca="1">IF(C41&lt;&gt;"",OFFSET(変更先抽出【15時】!$A$1,A41-1,18),"")</f>
        <v/>
      </c>
      <c r="D42" s="40"/>
      <c r="E42" s="40"/>
      <c r="F42" s="46" t="str">
        <f ca="1">IF(OFFSET(変更先抽出【15時】!$A$1,A41-1,25)&lt;&gt;"",OFFSET(変更先抽出【15時】!$A$1,A41-1,25)&amp;"箱"&amp;OFFSET(変更先抽出【15時】!$A$1,A41-1,26),"")</f>
        <v/>
      </c>
      <c r="G42" s="38"/>
      <c r="H42" s="47"/>
      <c r="I42" s="109"/>
      <c r="J42" s="170" t="str">
        <f ca="1">IF(J41&lt;&gt;"",OFFSET(変更先抽出【15時】!$A$1,H41-1,18),"")</f>
        <v/>
      </c>
      <c r="K42" s="40"/>
      <c r="L42" s="40"/>
      <c r="M42" s="46" t="str">
        <f ca="1">IF(OFFSET(変更先抽出【15時】!$A$1,H41-1,25)&lt;&gt;"",OFFSET(変更先抽出【15時】!$A$1,H41-1,25)&amp;"箱"&amp;OFFSET(変更先抽出【15時】!$A$1,H41-1,26),"")</f>
        <v/>
      </c>
      <c r="N42" s="38"/>
      <c r="O42" s="22"/>
      <c r="P42" s="171"/>
      <c r="Q42" s="109"/>
      <c r="R42" s="170" t="str">
        <f ca="1">IF(R41&lt;&gt;"",OFFSET(変更先抽出【15時】!$A$1,P41-1,18),"")</f>
        <v/>
      </c>
      <c r="S42" s="40"/>
      <c r="T42" s="40"/>
      <c r="U42" s="46" t="str">
        <f ca="1">IF(OFFSET(変更先抽出【15時】!$A$1,P41-1,25)&lt;&gt;"",OFFSET(変更先抽出【15時】!$A$1,P41-1,25)&amp;"箱"&amp;OFFSET(変更先抽出【15時】!$A$1,P41-1,26),"")</f>
        <v/>
      </c>
      <c r="V42" s="38"/>
      <c r="W42" s="47"/>
      <c r="X42" s="109"/>
      <c r="Y42" s="170" t="str">
        <f ca="1">IF(Y41&lt;&gt;"",OFFSET(変更先抽出【15時】!$A$1,W41-1,18),"")</f>
        <v/>
      </c>
      <c r="Z42" s="40"/>
      <c r="AA42" s="40"/>
      <c r="AB42" s="46" t="str">
        <f ca="1">IF(OFFSET(変更先抽出【15時】!$A$1,W41-1,25)&lt;&gt;"",OFFSET(変更先抽出【15時】!$A$1,W41-1,25)&amp;"箱"&amp;OFFSET(変更先抽出【15時】!$A$1,W41-1,26),"")</f>
        <v/>
      </c>
      <c r="AC42" s="38"/>
      <c r="AD42" s="22"/>
      <c r="AE42" s="171"/>
      <c r="AF42" s="109"/>
      <c r="AG42" s="170" t="str">
        <f ca="1">IF(AG41&lt;&gt;"",OFFSET(変更先抽出【15時】!$A$1,AE41-1,18),"")</f>
        <v/>
      </c>
      <c r="AH42" s="40"/>
      <c r="AI42" s="40"/>
      <c r="AJ42" s="46" t="str">
        <f ca="1">IF(OFFSET(変更先抽出【15時】!$A$1,AE41-1,25)&lt;&gt;"",OFFSET(変更先抽出【15時】!$A$1,AE41-1,25)&amp;"箱"&amp;OFFSET(変更先抽出【15時】!$A$1,AE41-1,26),"")</f>
        <v/>
      </c>
      <c r="AK42" s="38"/>
      <c r="AL42" s="47"/>
      <c r="AM42" s="109"/>
      <c r="AN42" s="170" t="str">
        <f ca="1">IF(AN41&lt;&gt;"",OFFSET(変更先抽出【15時】!$A$1,AL41-1,18),"")</f>
        <v/>
      </c>
      <c r="AO42" s="40"/>
      <c r="AP42" s="40"/>
      <c r="AQ42" s="46" t="str">
        <f ca="1">IF(OFFSET(変更先抽出【15時】!$A$1,AL41-1,25)&lt;&gt;"",OFFSET(変更先抽出【15時】!$A$1,AL41-1,25)&amp;"箱"&amp;OFFSET(変更先抽出【15時】!$A$1,AL41-1,26),"")</f>
        <v/>
      </c>
      <c r="AR42" s="38"/>
      <c r="AS42" s="22"/>
      <c r="AT42" s="171"/>
      <c r="AU42" s="109"/>
      <c r="AV42" s="170" t="str">
        <f ca="1">IF(AV41&lt;&gt;"",OFFSET(変更先抽出【15時】!$A$1,AT41-1,18),"")</f>
        <v/>
      </c>
      <c r="AW42" s="40"/>
      <c r="AX42" s="40"/>
      <c r="AY42" s="46" t="str">
        <f ca="1">IF(OFFSET(変更先抽出【15時】!$A$1,AT41-1,25)&lt;&gt;"",OFFSET(変更先抽出【15時】!$A$1,AT41-1,25)&amp;"箱"&amp;OFFSET(変更先抽出【15時】!$A$1,AT41-1,26),"")</f>
        <v/>
      </c>
      <c r="AZ42" s="38"/>
      <c r="BA42" s="47"/>
      <c r="BB42" s="109"/>
      <c r="BC42" s="170" t="str">
        <f ca="1">IF(BC41&lt;&gt;"",OFFSET(変更先抽出【15時】!$A$1,BA41-1,18),"")</f>
        <v/>
      </c>
      <c r="BD42" s="40"/>
      <c r="BE42" s="40"/>
      <c r="BF42" s="46" t="str">
        <f ca="1">IF(OFFSET(変更先抽出【15時】!$A$1,BA41-1,25)&lt;&gt;"",OFFSET(変更先抽出【15時】!$A$1,BA41-1,25)&amp;"箱"&amp;OFFSET(変更先抽出【15時】!$A$1,BA41-1,26),"")</f>
        <v/>
      </c>
      <c r="BG42" s="38"/>
      <c r="BH42" s="22"/>
      <c r="BI42" s="171"/>
      <c r="BJ42" s="109"/>
      <c r="BK42" s="170" t="str">
        <f ca="1">IF(BK41&lt;&gt;"",OFFSET(変更先抽出【15時】!$A$1,BI41-1,18),"")</f>
        <v/>
      </c>
      <c r="BL42" s="40"/>
      <c r="BM42" s="40"/>
      <c r="BN42" s="46" t="str">
        <f ca="1">IF(OFFSET(変更先抽出【15時】!$A$1,BI41-1,25)&lt;&gt;"",OFFSET(変更先抽出【15時】!$A$1,BI41-1,25)&amp;"箱"&amp;OFFSET(変更先抽出【15時】!$A$1,BI41-1,26),"")</f>
        <v/>
      </c>
      <c r="BO42" s="38"/>
      <c r="BP42" s="47"/>
      <c r="BQ42" s="109"/>
      <c r="BR42" s="170" t="str">
        <f ca="1">IF(BR41&lt;&gt;"",OFFSET(変更先抽出【15時】!$A$1,BP41-1,18),"")</f>
        <v/>
      </c>
      <c r="BS42" s="40"/>
      <c r="BT42" s="40"/>
      <c r="BU42" s="46" t="str">
        <f ca="1">IF(OFFSET(変更先抽出【15時】!$A$1,BP41-1,25)&lt;&gt;"",OFFSET(変更先抽出【15時】!$A$1,BP41-1,25)&amp;"箱"&amp;OFFSET(変更先抽出【15時】!$A$1,BP41-1,26),"")</f>
        <v/>
      </c>
      <c r="BV42" s="38"/>
      <c r="BW42" s="22"/>
      <c r="BX42" s="171"/>
      <c r="BY42" s="109"/>
      <c r="BZ42" s="170" t="str">
        <f ca="1">IF(BZ41&lt;&gt;"",OFFSET(変更先抽出【15時】!$A$1,BX41-1,18),"")</f>
        <v/>
      </c>
      <c r="CA42" s="40"/>
      <c r="CB42" s="40"/>
      <c r="CC42" s="46" t="str">
        <f ca="1">IF(OFFSET(変更先抽出【15時】!$A$1,BX41-1,25)&lt;&gt;"",OFFSET(変更先抽出【15時】!$A$1,BX41-1,25)&amp;"箱"&amp;OFFSET(変更先抽出【15時】!$A$1,BX41-1,26),"")</f>
        <v/>
      </c>
      <c r="CD42" s="38"/>
      <c r="CE42" s="47"/>
      <c r="CF42" s="109"/>
      <c r="CG42" s="170" t="str">
        <f ca="1">IF(CG41&lt;&gt;"",OFFSET(変更先抽出【15時】!$A$1,CE41-1,18),"")</f>
        <v/>
      </c>
      <c r="CH42" s="40"/>
      <c r="CI42" s="40"/>
      <c r="CJ42" s="46" t="str">
        <f ca="1">IF(OFFSET(変更先抽出【15時】!$A$1,CE41-1,25)&lt;&gt;"",OFFSET(変更先抽出【15時】!$A$1,CE41-1,25)&amp;"箱"&amp;OFFSET(変更先抽出【15時】!$A$1,CE41-1,26),"")</f>
        <v/>
      </c>
      <c r="CK42" s="38"/>
      <c r="CL42" s="22"/>
      <c r="CM42" s="171"/>
      <c r="CN42" s="109"/>
      <c r="CO42" s="170" t="str">
        <f ca="1">IF(CO41&lt;&gt;"",OFFSET(変更先抽出【15時】!$A$1,CM41-1,18),"")</f>
        <v/>
      </c>
      <c r="CP42" s="40"/>
      <c r="CQ42" s="40"/>
      <c r="CR42" s="46" t="str">
        <f ca="1">IF(OFFSET(変更先抽出【15時】!$A$1,CM41-1,25)&lt;&gt;"",OFFSET(変更先抽出【15時】!$A$1,CM41-1,25)&amp;"箱"&amp;OFFSET(変更先抽出【15時】!$A$1,CM41-1,26),"")</f>
        <v/>
      </c>
      <c r="CS42" s="38"/>
      <c r="CT42" s="47"/>
      <c r="CU42" s="109"/>
      <c r="CV42" s="170" t="str">
        <f ca="1">IF(CV41&lt;&gt;"",OFFSET(変更先抽出【15時】!$A$1,CT41-1,18),"")</f>
        <v/>
      </c>
      <c r="CW42" s="40"/>
      <c r="CX42" s="40"/>
      <c r="CY42" s="46" t="str">
        <f ca="1">IF(OFFSET(変更先抽出【15時】!$A$1,CT41-1,25)&lt;&gt;"",OFFSET(変更先抽出【15時】!$A$1,CT41-1,25)&amp;"箱"&amp;OFFSET(変更先抽出【15時】!$A$1,CT41-1,26),"")</f>
        <v/>
      </c>
      <c r="CZ42" s="38"/>
      <c r="DA42" s="22"/>
      <c r="DB42" s="171"/>
      <c r="DC42" s="109"/>
      <c r="DD42" s="170" t="str">
        <f ca="1">IF(DD41&lt;&gt;"",OFFSET(変更先抽出【15時】!$A$1,DB41-1,18),"")</f>
        <v/>
      </c>
      <c r="DE42" s="40"/>
      <c r="DF42" s="40"/>
      <c r="DG42" s="46" t="str">
        <f ca="1">IF(OFFSET(変更先抽出【15時】!$A$1,DB41-1,25)&lt;&gt;"",OFFSET(変更先抽出【15時】!$A$1,DB41-1,25)&amp;"箱"&amp;OFFSET(変更先抽出【15時】!$A$1,DB41-1,26),"")</f>
        <v/>
      </c>
      <c r="DH42" s="38"/>
      <c r="DI42" s="47"/>
      <c r="DJ42" s="109"/>
      <c r="DK42" s="170" t="str">
        <f ca="1">IF(DK41&lt;&gt;"",OFFSET(変更先抽出【15時】!$A$1,DI41-1,18),"")</f>
        <v/>
      </c>
      <c r="DL42" s="40"/>
      <c r="DM42" s="40"/>
      <c r="DN42" s="46" t="str">
        <f ca="1">IF(OFFSET(変更先抽出【15時】!$A$1,DI41-1,25)&lt;&gt;"",OFFSET(変更先抽出【15時】!$A$1,DI41-1,25)&amp;"箱"&amp;OFFSET(変更先抽出【15時】!$A$1,DI41-1,26),"")</f>
        <v/>
      </c>
      <c r="DO42" s="38"/>
      <c r="DP42" s="22"/>
      <c r="DQ42" s="171"/>
      <c r="DR42" s="109"/>
      <c r="DS42" s="170" t="str">
        <f ca="1">IF(DS41&lt;&gt;"",OFFSET(変更先抽出【15時】!$A$1,DQ41-1,18),"")</f>
        <v/>
      </c>
      <c r="DT42" s="40"/>
      <c r="DU42" s="40"/>
      <c r="DV42" s="46" t="str">
        <f ca="1">IF(OFFSET(変更先抽出【15時】!$A$1,DQ41-1,25)&lt;&gt;"",OFFSET(変更先抽出【15時】!$A$1,DQ41-1,25)&amp;"箱"&amp;OFFSET(変更先抽出【15時】!$A$1,DQ41-1,26),"")</f>
        <v/>
      </c>
      <c r="DW42" s="38"/>
      <c r="DX42" s="47"/>
      <c r="DY42" s="109"/>
      <c r="DZ42" s="170" t="str">
        <f ca="1">IF(DZ41&lt;&gt;"",OFFSET(変更先抽出【15時】!$A$1,DX41-1,18),"")</f>
        <v/>
      </c>
      <c r="EA42" s="40"/>
      <c r="EB42" s="40"/>
      <c r="EC42" s="46" t="str">
        <f ca="1">IF(OFFSET(変更先抽出【15時】!$A$1,DX41-1,25)&lt;&gt;"",OFFSET(変更先抽出【15時】!$A$1,DX41-1,25)&amp;"箱"&amp;OFFSET(変更先抽出【15時】!$A$1,DX41-1,26),"")</f>
        <v/>
      </c>
      <c r="ED42" s="38"/>
      <c r="EE42" s="22"/>
      <c r="EF42" s="171"/>
      <c r="EG42" s="109"/>
      <c r="EH42" s="170" t="str">
        <f ca="1">IF(EH41&lt;&gt;"",OFFSET(変更先抽出【15時】!$A$1,EF41-1,18),"")</f>
        <v/>
      </c>
      <c r="EI42" s="40"/>
      <c r="EJ42" s="40"/>
      <c r="EK42" s="46" t="str">
        <f ca="1">IF(OFFSET(変更先抽出【15時】!$A$1,EF41-1,25)&lt;&gt;"",OFFSET(変更先抽出【15時】!$A$1,EF41-1,25)&amp;"箱"&amp;OFFSET(変更先抽出【15時】!$A$1,EF41-1,26),"")</f>
        <v/>
      </c>
      <c r="EL42" s="38"/>
      <c r="EM42" s="47"/>
      <c r="EN42" s="109"/>
      <c r="EO42" s="170" t="str">
        <f ca="1">IF(EO41&lt;&gt;"",OFFSET(変更先抽出【15時】!$A$1,EM41-1,18),"")</f>
        <v/>
      </c>
      <c r="EP42" s="40"/>
      <c r="EQ42" s="40"/>
      <c r="ER42" s="46" t="str">
        <f ca="1">IF(OFFSET(変更先抽出【15時】!$A$1,EM41-1,25)&lt;&gt;"",OFFSET(変更先抽出【15時】!$A$1,EM41-1,25)&amp;"箱"&amp;OFFSET(変更先抽出【15時】!$A$1,EM41-1,26),"")</f>
        <v/>
      </c>
      <c r="ES42" s="38"/>
      <c r="ET42" s="22"/>
    </row>
    <row r="43" spans="1:150" s="32" customFormat="1">
      <c r="A43" s="171"/>
      <c r="B43" s="33"/>
      <c r="C43" s="153" t="str">
        <f ca="1">IF(C41&lt;&gt;"","園児","")</f>
        <v/>
      </c>
      <c r="D43" s="154"/>
      <c r="E43" s="22"/>
      <c r="F43" s="168" t="str">
        <f ca="1">IF(C41&lt;&gt;"","先生","")</f>
        <v/>
      </c>
      <c r="G43" s="39"/>
      <c r="H43" s="35"/>
      <c r="I43" s="33"/>
      <c r="J43" s="153" t="str">
        <f ca="1">IF(J41&lt;&gt;"","園児","")</f>
        <v/>
      </c>
      <c r="K43" s="154"/>
      <c r="L43" s="22"/>
      <c r="M43" s="168" t="str">
        <f ca="1">IF(J41&lt;&gt;"","先生","")</f>
        <v/>
      </c>
      <c r="N43" s="39"/>
      <c r="O43" s="22"/>
      <c r="P43" s="171"/>
      <c r="Q43" s="33"/>
      <c r="R43" s="153" t="str">
        <f ca="1">IF(R41&lt;&gt;"","園児","")</f>
        <v/>
      </c>
      <c r="S43" s="154"/>
      <c r="T43" s="22"/>
      <c r="U43" s="168" t="str">
        <f ca="1">IF(R41&lt;&gt;"","先生","")</f>
        <v/>
      </c>
      <c r="V43" s="39"/>
      <c r="W43" s="35"/>
      <c r="X43" s="33"/>
      <c r="Y43" s="153" t="str">
        <f ca="1">IF(Y41&lt;&gt;"","園児","")</f>
        <v/>
      </c>
      <c r="Z43" s="154"/>
      <c r="AA43" s="22"/>
      <c r="AB43" s="168" t="str">
        <f ca="1">IF(Y41&lt;&gt;"","先生","")</f>
        <v/>
      </c>
      <c r="AC43" s="39"/>
      <c r="AD43" s="22"/>
      <c r="AE43" s="171"/>
      <c r="AF43" s="33"/>
      <c r="AG43" s="153" t="str">
        <f ca="1">IF(AG41&lt;&gt;"","園児","")</f>
        <v/>
      </c>
      <c r="AH43" s="154"/>
      <c r="AI43" s="22"/>
      <c r="AJ43" s="168" t="str">
        <f ca="1">IF(AG41&lt;&gt;"","先生","")</f>
        <v/>
      </c>
      <c r="AK43" s="39"/>
      <c r="AL43" s="35"/>
      <c r="AM43" s="33"/>
      <c r="AN43" s="153" t="str">
        <f ca="1">IF(AN41&lt;&gt;"","園児","")</f>
        <v/>
      </c>
      <c r="AO43" s="154"/>
      <c r="AP43" s="22"/>
      <c r="AQ43" s="168" t="str">
        <f ca="1">IF(AN41&lt;&gt;"","先生","")</f>
        <v/>
      </c>
      <c r="AR43" s="39"/>
      <c r="AS43" s="22"/>
      <c r="AT43" s="171"/>
      <c r="AU43" s="33"/>
      <c r="AV43" s="153" t="str">
        <f ca="1">IF(AV41&lt;&gt;"","園児","")</f>
        <v/>
      </c>
      <c r="AW43" s="154"/>
      <c r="AX43" s="22"/>
      <c r="AY43" s="168" t="str">
        <f ca="1">IF(AV41&lt;&gt;"","先生","")</f>
        <v/>
      </c>
      <c r="AZ43" s="39"/>
      <c r="BA43" s="35"/>
      <c r="BB43" s="33"/>
      <c r="BC43" s="153" t="str">
        <f ca="1">IF(BC41&lt;&gt;"","園児","")</f>
        <v/>
      </c>
      <c r="BD43" s="154"/>
      <c r="BE43" s="22"/>
      <c r="BF43" s="168" t="str">
        <f ca="1">IF(BC41&lt;&gt;"","先生","")</f>
        <v/>
      </c>
      <c r="BG43" s="39"/>
      <c r="BH43" s="22"/>
      <c r="BI43" s="171"/>
      <c r="BJ43" s="33"/>
      <c r="BK43" s="153" t="str">
        <f ca="1">IF(BK41&lt;&gt;"","園児","")</f>
        <v/>
      </c>
      <c r="BL43" s="154"/>
      <c r="BM43" s="22"/>
      <c r="BN43" s="168" t="str">
        <f ca="1">IF(BK41&lt;&gt;"","先生","")</f>
        <v/>
      </c>
      <c r="BO43" s="39"/>
      <c r="BP43" s="35"/>
      <c r="BQ43" s="33"/>
      <c r="BR43" s="153" t="str">
        <f ca="1">IF(BR41&lt;&gt;"","園児","")</f>
        <v/>
      </c>
      <c r="BS43" s="154"/>
      <c r="BT43" s="22"/>
      <c r="BU43" s="168" t="str">
        <f ca="1">IF(BR41&lt;&gt;"","先生","")</f>
        <v/>
      </c>
      <c r="BV43" s="39"/>
      <c r="BW43" s="22"/>
      <c r="BX43" s="171"/>
      <c r="BY43" s="33"/>
      <c r="BZ43" s="153" t="str">
        <f ca="1">IF(BZ41&lt;&gt;"","園児","")</f>
        <v/>
      </c>
      <c r="CA43" s="154"/>
      <c r="CB43" s="22"/>
      <c r="CC43" s="168" t="str">
        <f ca="1">IF(BZ41&lt;&gt;"","先生","")</f>
        <v/>
      </c>
      <c r="CD43" s="39"/>
      <c r="CE43" s="35"/>
      <c r="CF43" s="33"/>
      <c r="CG43" s="153" t="str">
        <f ca="1">IF(CG41&lt;&gt;"","園児","")</f>
        <v/>
      </c>
      <c r="CH43" s="154"/>
      <c r="CI43" s="22"/>
      <c r="CJ43" s="168" t="str">
        <f ca="1">IF(CG41&lt;&gt;"","先生","")</f>
        <v/>
      </c>
      <c r="CK43" s="39"/>
      <c r="CL43" s="22"/>
      <c r="CM43" s="171"/>
      <c r="CN43" s="33"/>
      <c r="CO43" s="153" t="str">
        <f ca="1">IF(CO41&lt;&gt;"","園児","")</f>
        <v/>
      </c>
      <c r="CP43" s="154"/>
      <c r="CQ43" s="22"/>
      <c r="CR43" s="168" t="str">
        <f ca="1">IF(CO41&lt;&gt;"","先生","")</f>
        <v/>
      </c>
      <c r="CS43" s="39"/>
      <c r="CT43" s="35"/>
      <c r="CU43" s="33"/>
      <c r="CV43" s="153" t="str">
        <f ca="1">IF(CV41&lt;&gt;"","園児","")</f>
        <v/>
      </c>
      <c r="CW43" s="154"/>
      <c r="CX43" s="22"/>
      <c r="CY43" s="168" t="str">
        <f ca="1">IF(CV41&lt;&gt;"","先生","")</f>
        <v/>
      </c>
      <c r="CZ43" s="39"/>
      <c r="DA43" s="22"/>
      <c r="DB43" s="171"/>
      <c r="DC43" s="33"/>
      <c r="DD43" s="153" t="str">
        <f ca="1">IF(DD41&lt;&gt;"","園児","")</f>
        <v/>
      </c>
      <c r="DE43" s="154"/>
      <c r="DF43" s="22"/>
      <c r="DG43" s="168" t="str">
        <f ca="1">IF(DD41&lt;&gt;"","先生","")</f>
        <v/>
      </c>
      <c r="DH43" s="39"/>
      <c r="DI43" s="35"/>
      <c r="DJ43" s="33"/>
      <c r="DK43" s="153" t="str">
        <f ca="1">IF(DK41&lt;&gt;"","園児","")</f>
        <v/>
      </c>
      <c r="DL43" s="154"/>
      <c r="DM43" s="22"/>
      <c r="DN43" s="168" t="str">
        <f ca="1">IF(DK41&lt;&gt;"","先生","")</f>
        <v/>
      </c>
      <c r="DO43" s="39"/>
      <c r="DP43" s="22"/>
      <c r="DQ43" s="171"/>
      <c r="DR43" s="33"/>
      <c r="DS43" s="153" t="str">
        <f ca="1">IF(DS41&lt;&gt;"","園児","")</f>
        <v/>
      </c>
      <c r="DT43" s="154"/>
      <c r="DU43" s="22"/>
      <c r="DV43" s="168" t="str">
        <f ca="1">IF(DS41&lt;&gt;"","先生","")</f>
        <v/>
      </c>
      <c r="DW43" s="39"/>
      <c r="DX43" s="35"/>
      <c r="DY43" s="33"/>
      <c r="DZ43" s="153" t="str">
        <f ca="1">IF(DZ41&lt;&gt;"","園児","")</f>
        <v/>
      </c>
      <c r="EA43" s="154"/>
      <c r="EB43" s="22"/>
      <c r="EC43" s="168" t="str">
        <f ca="1">IF(DZ41&lt;&gt;"","先生","")</f>
        <v/>
      </c>
      <c r="ED43" s="39"/>
      <c r="EE43" s="22"/>
      <c r="EF43" s="171"/>
      <c r="EG43" s="33"/>
      <c r="EH43" s="153" t="str">
        <f ca="1">IF(EH41&lt;&gt;"","園児","")</f>
        <v/>
      </c>
      <c r="EI43" s="154"/>
      <c r="EJ43" s="22"/>
      <c r="EK43" s="168" t="str">
        <f ca="1">IF(EH41&lt;&gt;"","先生","")</f>
        <v/>
      </c>
      <c r="EL43" s="39"/>
      <c r="EM43" s="35"/>
      <c r="EN43" s="33"/>
      <c r="EO43" s="153" t="str">
        <f ca="1">IF(EO41&lt;&gt;"","園児","")</f>
        <v/>
      </c>
      <c r="EP43" s="154"/>
      <c r="EQ43" s="22"/>
      <c r="ER43" s="168" t="str">
        <f ca="1">IF(EO41&lt;&gt;"","先生","")</f>
        <v/>
      </c>
      <c r="ES43" s="39"/>
      <c r="ET43" s="22"/>
    </row>
    <row r="44" spans="1:150" ht="15.6" customHeight="1">
      <c r="B44" s="25"/>
      <c r="C44" s="151" t="str">
        <f ca="1">IF(C41&lt;&gt;"",OFFSET(変更先抽出【15時】!$A$1,A41-1,19),"")</f>
        <v/>
      </c>
      <c r="D44" s="152"/>
      <c r="E44" s="48"/>
      <c r="F44" s="147" t="str">
        <f ca="1">IF(C41&lt;&gt;"",OFFSET(変更先抽出【15時】!$A$1,A41-1,20),"")</f>
        <v/>
      </c>
      <c r="G44" s="148"/>
      <c r="H44" s="26"/>
      <c r="I44" s="25"/>
      <c r="J44" s="151" t="str">
        <f ca="1">IF(J41&lt;&gt;"",OFFSET(変更先抽出【15時】!$A$1,H41-1,19),"")</f>
        <v/>
      </c>
      <c r="K44" s="152"/>
      <c r="L44" s="48"/>
      <c r="M44" s="147" t="str">
        <f ca="1">IF(J41&lt;&gt;"",OFFSET(変更先抽出【15時】!$A$1,H41-1,20),"")</f>
        <v/>
      </c>
      <c r="N44" s="148"/>
      <c r="Q44" s="25"/>
      <c r="R44" s="151" t="str">
        <f ca="1">IF(R41&lt;&gt;"",OFFSET(変更先抽出【15時】!$A$1,P41-1,19),"")</f>
        <v/>
      </c>
      <c r="S44" s="152"/>
      <c r="T44" s="48"/>
      <c r="U44" s="147" t="str">
        <f ca="1">IF(R41&lt;&gt;"",OFFSET(変更先抽出【15時】!$A$1,P41-1,20),"")</f>
        <v/>
      </c>
      <c r="V44" s="148"/>
      <c r="W44" s="26"/>
      <c r="X44" s="25"/>
      <c r="Y44" s="151" t="str">
        <f ca="1">IF(Y41&lt;&gt;"",OFFSET(変更先抽出【15時】!$A$1,W41-1,19),"")</f>
        <v/>
      </c>
      <c r="Z44" s="152"/>
      <c r="AA44" s="48"/>
      <c r="AB44" s="147" t="str">
        <f ca="1">IF(Y41&lt;&gt;"",OFFSET(変更先抽出【15時】!$A$1,W41-1,20),"")</f>
        <v/>
      </c>
      <c r="AC44" s="148"/>
      <c r="AF44" s="25"/>
      <c r="AG44" s="151" t="str">
        <f ca="1">IF(AG41&lt;&gt;"",OFFSET(変更先抽出【15時】!$A$1,AE41-1,19),"")</f>
        <v/>
      </c>
      <c r="AH44" s="152"/>
      <c r="AI44" s="48"/>
      <c r="AJ44" s="147" t="str">
        <f ca="1">IF(AG41&lt;&gt;"",OFFSET(変更先抽出【15時】!$A$1,AE41-1,20),"")</f>
        <v/>
      </c>
      <c r="AK44" s="148"/>
      <c r="AL44" s="26"/>
      <c r="AM44" s="25"/>
      <c r="AN44" s="151" t="str">
        <f ca="1">IF(AN41&lt;&gt;"",OFFSET(変更先抽出【15時】!$A$1,AL41-1,19),"")</f>
        <v/>
      </c>
      <c r="AO44" s="152"/>
      <c r="AP44" s="48"/>
      <c r="AQ44" s="147" t="str">
        <f ca="1">IF(AN41&lt;&gt;"",OFFSET(変更先抽出【15時】!$A$1,AL41-1,20),"")</f>
        <v/>
      </c>
      <c r="AR44" s="148"/>
      <c r="AU44" s="25"/>
      <c r="AV44" s="151" t="str">
        <f ca="1">IF(AV41&lt;&gt;"",OFFSET(変更先抽出【15時】!$A$1,AT41-1,19),"")</f>
        <v/>
      </c>
      <c r="AW44" s="152"/>
      <c r="AX44" s="48"/>
      <c r="AY44" s="147" t="str">
        <f ca="1">IF(AV41&lt;&gt;"",OFFSET(変更先抽出【15時】!$A$1,AT41-1,20),"")</f>
        <v/>
      </c>
      <c r="AZ44" s="148"/>
      <c r="BA44" s="26"/>
      <c r="BB44" s="25"/>
      <c r="BC44" s="151" t="str">
        <f ca="1">IF(BC41&lt;&gt;"",OFFSET(変更先抽出【15時】!$A$1,BA41-1,19),"")</f>
        <v/>
      </c>
      <c r="BD44" s="152"/>
      <c r="BE44" s="48"/>
      <c r="BF44" s="147" t="str">
        <f ca="1">IF(BC41&lt;&gt;"",OFFSET(変更先抽出【15時】!$A$1,BA41-1,20),"")</f>
        <v/>
      </c>
      <c r="BG44" s="148"/>
      <c r="BJ44" s="25"/>
      <c r="BK44" s="151" t="str">
        <f ca="1">IF(BK41&lt;&gt;"",OFFSET(変更先抽出【15時】!$A$1,BI41-1,19),"")</f>
        <v/>
      </c>
      <c r="BL44" s="152"/>
      <c r="BM44" s="48"/>
      <c r="BN44" s="147" t="str">
        <f ca="1">IF(BK41&lt;&gt;"",OFFSET(変更先抽出【15時】!$A$1,BI41-1,20),"")</f>
        <v/>
      </c>
      <c r="BO44" s="148"/>
      <c r="BP44" s="26"/>
      <c r="BQ44" s="25"/>
      <c r="BR44" s="151" t="str">
        <f ca="1">IF(BR41&lt;&gt;"",OFFSET(変更先抽出【15時】!$A$1,BP41-1,19),"")</f>
        <v/>
      </c>
      <c r="BS44" s="152"/>
      <c r="BT44" s="48"/>
      <c r="BU44" s="147" t="str">
        <f ca="1">IF(BR41&lt;&gt;"",OFFSET(変更先抽出【15時】!$A$1,BP41-1,20),"")</f>
        <v/>
      </c>
      <c r="BV44" s="148"/>
      <c r="BY44" s="25"/>
      <c r="BZ44" s="151" t="str">
        <f ca="1">IF(BZ41&lt;&gt;"",OFFSET(変更先抽出【15時】!$A$1,BX41-1,19),"")</f>
        <v/>
      </c>
      <c r="CA44" s="152"/>
      <c r="CB44" s="48"/>
      <c r="CC44" s="147" t="str">
        <f ca="1">IF(BZ41&lt;&gt;"",OFFSET(変更先抽出【15時】!$A$1,BX41-1,20),"")</f>
        <v/>
      </c>
      <c r="CD44" s="148"/>
      <c r="CE44" s="26"/>
      <c r="CF44" s="25"/>
      <c r="CG44" s="151" t="str">
        <f ca="1">IF(CG41&lt;&gt;"",OFFSET(変更先抽出【15時】!$A$1,CE41-1,19),"")</f>
        <v/>
      </c>
      <c r="CH44" s="152"/>
      <c r="CI44" s="48"/>
      <c r="CJ44" s="147" t="str">
        <f ca="1">IF(CG41&lt;&gt;"",OFFSET(変更先抽出【15時】!$A$1,CE41-1,20),"")</f>
        <v/>
      </c>
      <c r="CK44" s="148"/>
      <c r="CN44" s="25"/>
      <c r="CO44" s="151" t="str">
        <f ca="1">IF(CO41&lt;&gt;"",OFFSET(変更先抽出【15時】!$A$1,CM41-1,19),"")</f>
        <v/>
      </c>
      <c r="CP44" s="152"/>
      <c r="CQ44" s="48"/>
      <c r="CR44" s="147" t="str">
        <f ca="1">IF(CO41&lt;&gt;"",OFFSET(変更先抽出【15時】!$A$1,CM41-1,20),"")</f>
        <v/>
      </c>
      <c r="CS44" s="148"/>
      <c r="CT44" s="26"/>
      <c r="CU44" s="25"/>
      <c r="CV44" s="151" t="str">
        <f ca="1">IF(CV41&lt;&gt;"",OFFSET(変更先抽出【15時】!$A$1,CT41-1,19),"")</f>
        <v/>
      </c>
      <c r="CW44" s="152"/>
      <c r="CX44" s="48"/>
      <c r="CY44" s="147" t="str">
        <f ca="1">IF(CV41&lt;&gt;"",OFFSET(変更先抽出【15時】!$A$1,CT41-1,20),"")</f>
        <v/>
      </c>
      <c r="CZ44" s="148"/>
      <c r="DC44" s="25"/>
      <c r="DD44" s="151" t="str">
        <f ca="1">IF(DD41&lt;&gt;"",OFFSET(変更先抽出【15時】!$A$1,DB41-1,19),"")</f>
        <v/>
      </c>
      <c r="DE44" s="152"/>
      <c r="DF44" s="48"/>
      <c r="DG44" s="147" t="str">
        <f ca="1">IF(DD41&lt;&gt;"",OFFSET(変更先抽出【15時】!$A$1,DB41-1,20),"")</f>
        <v/>
      </c>
      <c r="DH44" s="148"/>
      <c r="DI44" s="26"/>
      <c r="DJ44" s="25"/>
      <c r="DK44" s="151" t="str">
        <f ca="1">IF(DK41&lt;&gt;"",OFFSET(変更先抽出【15時】!$A$1,DI41-1,19),"")</f>
        <v/>
      </c>
      <c r="DL44" s="152"/>
      <c r="DM44" s="48"/>
      <c r="DN44" s="147" t="str">
        <f ca="1">IF(DK41&lt;&gt;"",OFFSET(変更先抽出【15時】!$A$1,DI41-1,20),"")</f>
        <v/>
      </c>
      <c r="DO44" s="148"/>
      <c r="DR44" s="25"/>
      <c r="DS44" s="151" t="str">
        <f ca="1">IF(DS41&lt;&gt;"",OFFSET(変更先抽出【15時】!$A$1,DQ41-1,19),"")</f>
        <v/>
      </c>
      <c r="DT44" s="152"/>
      <c r="DU44" s="48"/>
      <c r="DV44" s="147" t="str">
        <f ca="1">IF(DS41&lt;&gt;"",OFFSET(変更先抽出【15時】!$A$1,DQ41-1,20),"")</f>
        <v/>
      </c>
      <c r="DW44" s="148"/>
      <c r="DX44" s="26"/>
      <c r="DY44" s="25"/>
      <c r="DZ44" s="151" t="str">
        <f ca="1">IF(DZ41&lt;&gt;"",OFFSET(変更先抽出【15時】!$A$1,DX41-1,19),"")</f>
        <v/>
      </c>
      <c r="EA44" s="152"/>
      <c r="EB44" s="48"/>
      <c r="EC44" s="147" t="str">
        <f ca="1">IF(DZ41&lt;&gt;"",OFFSET(変更先抽出【15時】!$A$1,DX41-1,20),"")</f>
        <v/>
      </c>
      <c r="ED44" s="148"/>
      <c r="EG44" s="25"/>
      <c r="EH44" s="151" t="str">
        <f ca="1">IF(EH41&lt;&gt;"",OFFSET(変更先抽出【15時】!$A$1,EF41-1,19),"")</f>
        <v/>
      </c>
      <c r="EI44" s="152"/>
      <c r="EJ44" s="48"/>
      <c r="EK44" s="147" t="str">
        <f ca="1">IF(EH41&lt;&gt;"",OFFSET(変更先抽出【15時】!$A$1,EF41-1,20),"")</f>
        <v/>
      </c>
      <c r="EL44" s="148"/>
      <c r="EM44" s="26"/>
      <c r="EN44" s="25"/>
      <c r="EO44" s="151" t="str">
        <f ca="1">IF(EO41&lt;&gt;"",OFFSET(変更先抽出【15時】!$A$1,EM41-1,19),"")</f>
        <v/>
      </c>
      <c r="EP44" s="152"/>
      <c r="EQ44" s="48"/>
      <c r="ER44" s="147" t="str">
        <f ca="1">IF(EO41&lt;&gt;"",OFFSET(変更先抽出【15時】!$A$1,EM41-1,20),"")</f>
        <v/>
      </c>
      <c r="ES44" s="148"/>
    </row>
    <row r="45" spans="1:150" ht="15.6" customHeight="1">
      <c r="B45" s="27"/>
      <c r="C45" s="149"/>
      <c r="D45" s="149"/>
      <c r="E45" s="43"/>
      <c r="F45" s="149"/>
      <c r="G45" s="150"/>
      <c r="H45" s="26"/>
      <c r="I45" s="27"/>
      <c r="J45" s="149"/>
      <c r="K45" s="149"/>
      <c r="L45" s="43"/>
      <c r="M45" s="149"/>
      <c r="N45" s="150"/>
      <c r="Q45" s="27"/>
      <c r="R45" s="149"/>
      <c r="S45" s="149"/>
      <c r="T45" s="43"/>
      <c r="U45" s="149"/>
      <c r="V45" s="150"/>
      <c r="W45" s="26"/>
      <c r="X45" s="27"/>
      <c r="Y45" s="149"/>
      <c r="Z45" s="149"/>
      <c r="AA45" s="43"/>
      <c r="AB45" s="149"/>
      <c r="AC45" s="150"/>
      <c r="AF45" s="27"/>
      <c r="AG45" s="149"/>
      <c r="AH45" s="149"/>
      <c r="AI45" s="43"/>
      <c r="AJ45" s="149"/>
      <c r="AK45" s="150"/>
      <c r="AL45" s="26"/>
      <c r="AM45" s="27"/>
      <c r="AN45" s="149"/>
      <c r="AO45" s="149"/>
      <c r="AP45" s="43"/>
      <c r="AQ45" s="149"/>
      <c r="AR45" s="150"/>
      <c r="AU45" s="27"/>
      <c r="AV45" s="149"/>
      <c r="AW45" s="149"/>
      <c r="AX45" s="43"/>
      <c r="AY45" s="149"/>
      <c r="AZ45" s="150"/>
      <c r="BA45" s="26"/>
      <c r="BB45" s="27"/>
      <c r="BC45" s="149"/>
      <c r="BD45" s="149"/>
      <c r="BE45" s="43"/>
      <c r="BF45" s="149"/>
      <c r="BG45" s="150"/>
      <c r="BJ45" s="27"/>
      <c r="BK45" s="149"/>
      <c r="BL45" s="149"/>
      <c r="BM45" s="43"/>
      <c r="BN45" s="149"/>
      <c r="BO45" s="150"/>
      <c r="BP45" s="26"/>
      <c r="BQ45" s="27"/>
      <c r="BR45" s="149"/>
      <c r="BS45" s="149"/>
      <c r="BT45" s="43"/>
      <c r="BU45" s="149"/>
      <c r="BV45" s="150"/>
      <c r="BY45" s="27"/>
      <c r="BZ45" s="149"/>
      <c r="CA45" s="149"/>
      <c r="CB45" s="43"/>
      <c r="CC45" s="149"/>
      <c r="CD45" s="150"/>
      <c r="CE45" s="26"/>
      <c r="CF45" s="27"/>
      <c r="CG45" s="149"/>
      <c r="CH45" s="149"/>
      <c r="CI45" s="43"/>
      <c r="CJ45" s="149"/>
      <c r="CK45" s="150"/>
      <c r="CN45" s="27"/>
      <c r="CO45" s="149"/>
      <c r="CP45" s="149"/>
      <c r="CQ45" s="43"/>
      <c r="CR45" s="149"/>
      <c r="CS45" s="150"/>
      <c r="CT45" s="26"/>
      <c r="CU45" s="27"/>
      <c r="CV45" s="149"/>
      <c r="CW45" s="149"/>
      <c r="CX45" s="43"/>
      <c r="CY45" s="149"/>
      <c r="CZ45" s="150"/>
      <c r="DC45" s="27"/>
      <c r="DD45" s="149"/>
      <c r="DE45" s="149"/>
      <c r="DF45" s="43"/>
      <c r="DG45" s="149"/>
      <c r="DH45" s="150"/>
      <c r="DI45" s="26"/>
      <c r="DJ45" s="27"/>
      <c r="DK45" s="149"/>
      <c r="DL45" s="149"/>
      <c r="DM45" s="43"/>
      <c r="DN45" s="149"/>
      <c r="DO45" s="150"/>
      <c r="DR45" s="27"/>
      <c r="DS45" s="149"/>
      <c r="DT45" s="149"/>
      <c r="DU45" s="43"/>
      <c r="DV45" s="149"/>
      <c r="DW45" s="150"/>
      <c r="DX45" s="26"/>
      <c r="DY45" s="27"/>
      <c r="DZ45" s="149"/>
      <c r="EA45" s="149"/>
      <c r="EB45" s="43"/>
      <c r="EC45" s="149"/>
      <c r="ED45" s="150"/>
      <c r="EG45" s="27"/>
      <c r="EH45" s="149"/>
      <c r="EI45" s="149"/>
      <c r="EJ45" s="43"/>
      <c r="EK45" s="149"/>
      <c r="EL45" s="150"/>
      <c r="EM45" s="26"/>
      <c r="EN45" s="27"/>
      <c r="EO45" s="149"/>
      <c r="EP45" s="149"/>
      <c r="EQ45" s="43"/>
      <c r="ER45" s="149"/>
      <c r="ES45" s="150"/>
    </row>
    <row r="46" spans="1:150" s="32" customFormat="1">
      <c r="A46" s="171"/>
      <c r="B46" s="36" t="str">
        <f ca="1">IF(C41&lt;&gt;"","パン箱","")</f>
        <v/>
      </c>
      <c r="C46" s="34" t="str">
        <f ca="1">IF(C41&lt;&gt;"",OFFSET(変更先抽出【15時】!$A$1,A41-1,22),"")</f>
        <v/>
      </c>
      <c r="D46" s="36" t="str">
        <f ca="1">IF(C41&lt;&gt;"","端数","")</f>
        <v/>
      </c>
      <c r="E46" s="34"/>
      <c r="F46" s="36" t="str">
        <f ca="1">IF(C41&lt;&gt;"","アレルギー","")</f>
        <v/>
      </c>
      <c r="G46" s="39"/>
      <c r="H46" s="22"/>
      <c r="I46" s="36" t="str">
        <f ca="1">IF(J41&lt;&gt;"","パン箱","")</f>
        <v/>
      </c>
      <c r="J46" s="34" t="str">
        <f ca="1">IF(J41&lt;&gt;"",OFFSET(変更先抽出【15時】!$A$1,H41-1,22),"")</f>
        <v/>
      </c>
      <c r="K46" s="36" t="str">
        <f ca="1">IF(J41&lt;&gt;"","端数","")</f>
        <v/>
      </c>
      <c r="L46" s="34"/>
      <c r="M46" s="36" t="str">
        <f ca="1">IF(J41&lt;&gt;"","アレルギー","")</f>
        <v/>
      </c>
      <c r="N46" s="39"/>
      <c r="O46" s="22"/>
      <c r="P46" s="171"/>
      <c r="Q46" s="36" t="str">
        <f ca="1">IF(R41&lt;&gt;"","パン箱","")</f>
        <v/>
      </c>
      <c r="R46" s="34" t="str">
        <f ca="1">IF(R41&lt;&gt;"",OFFSET(変更先抽出【15時】!$A$1,P41-1,22),"")</f>
        <v/>
      </c>
      <c r="S46" s="36" t="str">
        <f ca="1">IF(R41&lt;&gt;"","端数","")</f>
        <v/>
      </c>
      <c r="T46" s="34"/>
      <c r="U46" s="36" t="str">
        <f ca="1">IF(R41&lt;&gt;"","アレルギー","")</f>
        <v/>
      </c>
      <c r="V46" s="39"/>
      <c r="W46" s="22"/>
      <c r="X46" s="36" t="str">
        <f ca="1">IF(Y41&lt;&gt;"","パン箱","")</f>
        <v/>
      </c>
      <c r="Y46" s="34" t="str">
        <f ca="1">IF(Y41&lt;&gt;"",OFFSET(変更先抽出【15時】!$A$1,W41-1,22),"")</f>
        <v/>
      </c>
      <c r="Z46" s="36" t="str">
        <f ca="1">IF(Y41&lt;&gt;"","端数","")</f>
        <v/>
      </c>
      <c r="AA46" s="34"/>
      <c r="AB46" s="36" t="str">
        <f ca="1">IF(Y41&lt;&gt;"","アレルギー","")</f>
        <v/>
      </c>
      <c r="AC46" s="39"/>
      <c r="AD46" s="22"/>
      <c r="AE46" s="171"/>
      <c r="AF46" s="36" t="str">
        <f ca="1">IF(AG41&lt;&gt;"","パン箱","")</f>
        <v/>
      </c>
      <c r="AG46" s="34" t="str">
        <f ca="1">IF(AG41&lt;&gt;"",OFFSET(変更先抽出【15時】!$A$1,AE41-1,22),"")</f>
        <v/>
      </c>
      <c r="AH46" s="36" t="str">
        <f ca="1">IF(AG41&lt;&gt;"","端数","")</f>
        <v/>
      </c>
      <c r="AI46" s="34"/>
      <c r="AJ46" s="36" t="str">
        <f ca="1">IF(AG41&lt;&gt;"","アレルギー","")</f>
        <v/>
      </c>
      <c r="AK46" s="39"/>
      <c r="AL46" s="22"/>
      <c r="AM46" s="36" t="str">
        <f ca="1">IF(AN41&lt;&gt;"","パン箱","")</f>
        <v/>
      </c>
      <c r="AN46" s="34" t="str">
        <f ca="1">IF(AN41&lt;&gt;"",OFFSET(変更先抽出【15時】!$A$1,AL41-1,22),"")</f>
        <v/>
      </c>
      <c r="AO46" s="36" t="str">
        <f ca="1">IF(AN41&lt;&gt;"","端数","")</f>
        <v/>
      </c>
      <c r="AP46" s="34"/>
      <c r="AQ46" s="36" t="str">
        <f ca="1">IF(AN41&lt;&gt;"","アレルギー","")</f>
        <v/>
      </c>
      <c r="AR46" s="39"/>
      <c r="AS46" s="22"/>
      <c r="AT46" s="171"/>
      <c r="AU46" s="36" t="str">
        <f ca="1">IF(AV41&lt;&gt;"","パン箱","")</f>
        <v/>
      </c>
      <c r="AV46" s="34" t="str">
        <f ca="1">IF(AV41&lt;&gt;"",OFFSET(変更先抽出【15時】!$A$1,AT41-1,22),"")</f>
        <v/>
      </c>
      <c r="AW46" s="36" t="str">
        <f ca="1">IF(AV41&lt;&gt;"","端数","")</f>
        <v/>
      </c>
      <c r="AX46" s="34"/>
      <c r="AY46" s="36" t="str">
        <f ca="1">IF(AV41&lt;&gt;"","アレルギー","")</f>
        <v/>
      </c>
      <c r="AZ46" s="39"/>
      <c r="BA46" s="22"/>
      <c r="BB46" s="36" t="str">
        <f ca="1">IF(BC41&lt;&gt;"","パン箱","")</f>
        <v/>
      </c>
      <c r="BC46" s="34" t="str">
        <f ca="1">IF(BC41&lt;&gt;"",OFFSET(変更先抽出【15時】!$A$1,BA41-1,22),"")</f>
        <v/>
      </c>
      <c r="BD46" s="36" t="str">
        <f ca="1">IF(BC41&lt;&gt;"","端数","")</f>
        <v/>
      </c>
      <c r="BE46" s="34"/>
      <c r="BF46" s="36" t="str">
        <f ca="1">IF(BC41&lt;&gt;"","アレルギー","")</f>
        <v/>
      </c>
      <c r="BG46" s="39"/>
      <c r="BH46" s="22"/>
      <c r="BI46" s="171"/>
      <c r="BJ46" s="36" t="str">
        <f ca="1">IF(BK41&lt;&gt;"","パン箱","")</f>
        <v/>
      </c>
      <c r="BK46" s="34" t="str">
        <f ca="1">IF(BK41&lt;&gt;"",OFFSET(変更先抽出【15時】!$A$1,BI41-1,22),"")</f>
        <v/>
      </c>
      <c r="BL46" s="36" t="str">
        <f ca="1">IF(BK41&lt;&gt;"","端数","")</f>
        <v/>
      </c>
      <c r="BM46" s="34"/>
      <c r="BN46" s="36" t="str">
        <f ca="1">IF(BK41&lt;&gt;"","アレルギー","")</f>
        <v/>
      </c>
      <c r="BO46" s="39"/>
      <c r="BP46" s="22"/>
      <c r="BQ46" s="36" t="str">
        <f ca="1">IF(BR41&lt;&gt;"","パン箱","")</f>
        <v/>
      </c>
      <c r="BR46" s="34" t="str">
        <f ca="1">IF(BR41&lt;&gt;"",OFFSET(変更先抽出【15時】!$A$1,BP41-1,22),"")</f>
        <v/>
      </c>
      <c r="BS46" s="36" t="str">
        <f ca="1">IF(BR41&lt;&gt;"","端数","")</f>
        <v/>
      </c>
      <c r="BT46" s="34"/>
      <c r="BU46" s="36" t="str">
        <f ca="1">IF(BR41&lt;&gt;"","アレルギー","")</f>
        <v/>
      </c>
      <c r="BV46" s="39"/>
      <c r="BW46" s="22"/>
      <c r="BX46" s="171"/>
      <c r="BY46" s="36" t="str">
        <f ca="1">IF(BZ41&lt;&gt;"","パン箱","")</f>
        <v/>
      </c>
      <c r="BZ46" s="34" t="str">
        <f ca="1">IF(BZ41&lt;&gt;"",OFFSET(変更先抽出【15時】!$A$1,BX41-1,22),"")</f>
        <v/>
      </c>
      <c r="CA46" s="36" t="str">
        <f ca="1">IF(BZ41&lt;&gt;"","端数","")</f>
        <v/>
      </c>
      <c r="CB46" s="34"/>
      <c r="CC46" s="36" t="str">
        <f ca="1">IF(BZ41&lt;&gt;"","アレルギー","")</f>
        <v/>
      </c>
      <c r="CD46" s="39"/>
      <c r="CE46" s="22"/>
      <c r="CF46" s="36" t="str">
        <f ca="1">IF(CG41&lt;&gt;"","パン箱","")</f>
        <v/>
      </c>
      <c r="CG46" s="34" t="str">
        <f ca="1">IF(CG41&lt;&gt;"",OFFSET(変更先抽出【15時】!$A$1,CE41-1,22),"")</f>
        <v/>
      </c>
      <c r="CH46" s="36" t="str">
        <f ca="1">IF(CG41&lt;&gt;"","端数","")</f>
        <v/>
      </c>
      <c r="CI46" s="34"/>
      <c r="CJ46" s="36" t="str">
        <f ca="1">IF(CG41&lt;&gt;"","アレルギー","")</f>
        <v/>
      </c>
      <c r="CK46" s="39"/>
      <c r="CL46" s="22"/>
      <c r="CM46" s="171"/>
      <c r="CN46" s="36" t="str">
        <f ca="1">IF(CO41&lt;&gt;"","パン箱","")</f>
        <v/>
      </c>
      <c r="CO46" s="34" t="str">
        <f ca="1">IF(CO41&lt;&gt;"",OFFSET(変更先抽出【15時】!$A$1,CM41-1,22),"")</f>
        <v/>
      </c>
      <c r="CP46" s="36" t="str">
        <f ca="1">IF(CO41&lt;&gt;"","端数","")</f>
        <v/>
      </c>
      <c r="CQ46" s="34"/>
      <c r="CR46" s="36" t="str">
        <f ca="1">IF(CO41&lt;&gt;"","アレルギー","")</f>
        <v/>
      </c>
      <c r="CS46" s="39"/>
      <c r="CT46" s="22"/>
      <c r="CU46" s="36" t="str">
        <f ca="1">IF(CV41&lt;&gt;"","パン箱","")</f>
        <v/>
      </c>
      <c r="CV46" s="34" t="str">
        <f ca="1">IF(CV41&lt;&gt;"",OFFSET(変更先抽出【15時】!$A$1,CT41-1,22),"")</f>
        <v/>
      </c>
      <c r="CW46" s="36" t="str">
        <f ca="1">IF(CV41&lt;&gt;"","端数","")</f>
        <v/>
      </c>
      <c r="CX46" s="34"/>
      <c r="CY46" s="36" t="str">
        <f ca="1">IF(CV41&lt;&gt;"","アレルギー","")</f>
        <v/>
      </c>
      <c r="CZ46" s="39"/>
      <c r="DA46" s="22"/>
      <c r="DB46" s="171"/>
      <c r="DC46" s="36" t="str">
        <f ca="1">IF(DD41&lt;&gt;"","パン箱","")</f>
        <v/>
      </c>
      <c r="DD46" s="34" t="str">
        <f ca="1">IF(DD41&lt;&gt;"",OFFSET(変更先抽出【15時】!$A$1,DB41-1,22),"")</f>
        <v/>
      </c>
      <c r="DE46" s="36" t="str">
        <f ca="1">IF(DD41&lt;&gt;"","端数","")</f>
        <v/>
      </c>
      <c r="DF46" s="34"/>
      <c r="DG46" s="36" t="str">
        <f ca="1">IF(DD41&lt;&gt;"","アレルギー","")</f>
        <v/>
      </c>
      <c r="DH46" s="39"/>
      <c r="DI46" s="22"/>
      <c r="DJ46" s="36" t="str">
        <f ca="1">IF(DK41&lt;&gt;"","パン箱","")</f>
        <v/>
      </c>
      <c r="DK46" s="34" t="str">
        <f ca="1">IF(DK41&lt;&gt;"",OFFSET(変更先抽出【15時】!$A$1,DI41-1,22),"")</f>
        <v/>
      </c>
      <c r="DL46" s="36" t="str">
        <f ca="1">IF(DK41&lt;&gt;"","端数","")</f>
        <v/>
      </c>
      <c r="DM46" s="34"/>
      <c r="DN46" s="36" t="str">
        <f ca="1">IF(DK41&lt;&gt;"","アレルギー","")</f>
        <v/>
      </c>
      <c r="DO46" s="39"/>
      <c r="DP46" s="22"/>
      <c r="DQ46" s="171"/>
      <c r="DR46" s="36" t="str">
        <f ca="1">IF(DS41&lt;&gt;"","パン箱","")</f>
        <v/>
      </c>
      <c r="DS46" s="34" t="str">
        <f ca="1">IF(DS41&lt;&gt;"",OFFSET(変更先抽出【15時】!$A$1,DQ41-1,22),"")</f>
        <v/>
      </c>
      <c r="DT46" s="36" t="str">
        <f ca="1">IF(DS41&lt;&gt;"","端数","")</f>
        <v/>
      </c>
      <c r="DU46" s="34"/>
      <c r="DV46" s="36" t="str">
        <f ca="1">IF(DS41&lt;&gt;"","アレルギー","")</f>
        <v/>
      </c>
      <c r="DW46" s="39"/>
      <c r="DX46" s="22"/>
      <c r="DY46" s="36" t="str">
        <f ca="1">IF(DZ41&lt;&gt;"","パン箱","")</f>
        <v/>
      </c>
      <c r="DZ46" s="34" t="str">
        <f ca="1">IF(DZ41&lt;&gt;"",OFFSET(変更先抽出【15時】!$A$1,DX41-1,22),"")</f>
        <v/>
      </c>
      <c r="EA46" s="36" t="str">
        <f ca="1">IF(DZ41&lt;&gt;"","端数","")</f>
        <v/>
      </c>
      <c r="EB46" s="34"/>
      <c r="EC46" s="36" t="str">
        <f ca="1">IF(DZ41&lt;&gt;"","アレルギー","")</f>
        <v/>
      </c>
      <c r="ED46" s="39"/>
      <c r="EE46" s="22"/>
      <c r="EF46" s="171"/>
      <c r="EG46" s="36" t="str">
        <f ca="1">IF(EH41&lt;&gt;"","パン箱","")</f>
        <v/>
      </c>
      <c r="EH46" s="34" t="str">
        <f ca="1">IF(EH41&lt;&gt;"",OFFSET(変更先抽出【15時】!$A$1,EF41-1,22),"")</f>
        <v/>
      </c>
      <c r="EI46" s="36" t="str">
        <f ca="1">IF(EH41&lt;&gt;"","端数","")</f>
        <v/>
      </c>
      <c r="EJ46" s="34"/>
      <c r="EK46" s="36" t="str">
        <f ca="1">IF(EH41&lt;&gt;"","アレルギー","")</f>
        <v/>
      </c>
      <c r="EL46" s="39"/>
      <c r="EM46" s="22"/>
      <c r="EN46" s="36" t="str">
        <f ca="1">IF(EO41&lt;&gt;"","パン箱","")</f>
        <v/>
      </c>
      <c r="EO46" s="34" t="str">
        <f ca="1">IF(EO41&lt;&gt;"",OFFSET(変更先抽出【15時】!$A$1,EM41-1,22),"")</f>
        <v/>
      </c>
      <c r="EP46" s="36" t="str">
        <f ca="1">IF(EO41&lt;&gt;"","端数","")</f>
        <v/>
      </c>
      <c r="EQ46" s="34"/>
      <c r="ER46" s="36" t="str">
        <f ca="1">IF(EO41&lt;&gt;"","アレルギー","")</f>
        <v/>
      </c>
      <c r="ES46" s="39"/>
      <c r="ET46" s="22"/>
    </row>
    <row r="47" spans="1:150" ht="27.6" customHeight="1">
      <c r="B47" s="157" t="str">
        <f ca="1">IF(C41&lt;&gt;"",IFERROR(INT(C44/C46),""),"")</f>
        <v/>
      </c>
      <c r="C47" s="150"/>
      <c r="D47" s="157" t="str">
        <f ca="1">IF(C41&lt;&gt;"",IFERROR(MOD(C44,C46),""),"")</f>
        <v/>
      </c>
      <c r="E47" s="150"/>
      <c r="F47" s="158" t="str">
        <f ca="1">IF(C41&lt;&gt;"",OFFSET(変更先抽出【15時】!$A$1,A41-1,21),"")</f>
        <v/>
      </c>
      <c r="G47" s="150"/>
      <c r="I47" s="157" t="str">
        <f ca="1">IF(J41&lt;&gt;"",IFERROR(INT(J44/J46),""),"")</f>
        <v/>
      </c>
      <c r="J47" s="150"/>
      <c r="K47" s="157" t="str">
        <f ca="1">IF(J41&lt;&gt;"",IFERROR(MOD(J44,J46),""),"")</f>
        <v/>
      </c>
      <c r="L47" s="150"/>
      <c r="M47" s="158" t="str">
        <f ca="1">IF(J41&lt;&gt;"",OFFSET(変更先抽出【15時】!$A$1,H41-1,21),"")</f>
        <v/>
      </c>
      <c r="N47" s="150"/>
      <c r="Q47" s="157" t="str">
        <f ca="1">IF(R41&lt;&gt;"",IFERROR(INT(R44/R46),""),"")</f>
        <v/>
      </c>
      <c r="R47" s="150"/>
      <c r="S47" s="157" t="str">
        <f ca="1">IF(R41&lt;&gt;"",IFERROR(MOD(R44,R46),""),"")</f>
        <v/>
      </c>
      <c r="T47" s="150"/>
      <c r="U47" s="158" t="str">
        <f ca="1">IF(R41&lt;&gt;"",OFFSET(変更先抽出【15時】!$A$1,P41-1,21),"")</f>
        <v/>
      </c>
      <c r="V47" s="150"/>
      <c r="X47" s="157" t="str">
        <f ca="1">IF(Y41&lt;&gt;"",IFERROR(INT(Y44/Y46),""),"")</f>
        <v/>
      </c>
      <c r="Y47" s="150"/>
      <c r="Z47" s="157" t="str">
        <f ca="1">IF(Y41&lt;&gt;"",IFERROR(MOD(Y44,Y46),""),"")</f>
        <v/>
      </c>
      <c r="AA47" s="150"/>
      <c r="AB47" s="158" t="str">
        <f ca="1">IF(Y41&lt;&gt;"",OFFSET(変更先抽出【15時】!$A$1,W41-1,21),"")</f>
        <v/>
      </c>
      <c r="AC47" s="150"/>
      <c r="AF47" s="157" t="str">
        <f ca="1">IF(AG41&lt;&gt;"",IFERROR(INT(AG44/AG46),""),"")</f>
        <v/>
      </c>
      <c r="AG47" s="150"/>
      <c r="AH47" s="157" t="str">
        <f ca="1">IF(AG41&lt;&gt;"",IFERROR(MOD(AG44,AG46),""),"")</f>
        <v/>
      </c>
      <c r="AI47" s="150"/>
      <c r="AJ47" s="158" t="str">
        <f ca="1">IF(AG41&lt;&gt;"",OFFSET(変更先抽出【15時】!$A$1,AE41-1,21),"")</f>
        <v/>
      </c>
      <c r="AK47" s="150"/>
      <c r="AM47" s="157" t="str">
        <f ca="1">IF(AN41&lt;&gt;"",IFERROR(INT(AN44/AN46),""),"")</f>
        <v/>
      </c>
      <c r="AN47" s="150"/>
      <c r="AO47" s="157" t="str">
        <f ca="1">IF(AN41&lt;&gt;"",IFERROR(MOD(AN44,AN46),""),"")</f>
        <v/>
      </c>
      <c r="AP47" s="150"/>
      <c r="AQ47" s="158" t="str">
        <f ca="1">IF(AN41&lt;&gt;"",OFFSET(変更先抽出【15時】!$A$1,AL41-1,21),"")</f>
        <v/>
      </c>
      <c r="AR47" s="150"/>
      <c r="AU47" s="157" t="str">
        <f ca="1">IF(AV41&lt;&gt;"",IFERROR(INT(AV44/AV46),""),"")</f>
        <v/>
      </c>
      <c r="AV47" s="150"/>
      <c r="AW47" s="157" t="str">
        <f ca="1">IF(AV41&lt;&gt;"",IFERROR(MOD(AV44,AV46),""),"")</f>
        <v/>
      </c>
      <c r="AX47" s="150"/>
      <c r="AY47" s="158" t="str">
        <f ca="1">IF(AV41&lt;&gt;"",OFFSET(変更先抽出【15時】!$A$1,AT41-1,21),"")</f>
        <v/>
      </c>
      <c r="AZ47" s="150"/>
      <c r="BB47" s="157" t="str">
        <f ca="1">IF(BC41&lt;&gt;"",IFERROR(INT(BC44/BC46),""),"")</f>
        <v/>
      </c>
      <c r="BC47" s="150"/>
      <c r="BD47" s="157" t="str">
        <f ca="1">IF(BC41&lt;&gt;"",IFERROR(MOD(BC44,BC46),""),"")</f>
        <v/>
      </c>
      <c r="BE47" s="150"/>
      <c r="BF47" s="158" t="str">
        <f ca="1">IF(BC41&lt;&gt;"",OFFSET(変更先抽出【15時】!$A$1,BA41-1,21),"")</f>
        <v/>
      </c>
      <c r="BG47" s="150"/>
      <c r="BJ47" s="157" t="str">
        <f ca="1">IF(BK41&lt;&gt;"",IFERROR(INT(BK44/BK46),""),"")</f>
        <v/>
      </c>
      <c r="BK47" s="150"/>
      <c r="BL47" s="157" t="str">
        <f ca="1">IF(BK41&lt;&gt;"",IFERROR(MOD(BK44,BK46),""),"")</f>
        <v/>
      </c>
      <c r="BM47" s="150"/>
      <c r="BN47" s="158" t="str">
        <f ca="1">IF(BK41&lt;&gt;"",OFFSET(変更先抽出【15時】!$A$1,BI41-1,21),"")</f>
        <v/>
      </c>
      <c r="BO47" s="150"/>
      <c r="BQ47" s="157" t="str">
        <f ca="1">IF(BR41&lt;&gt;"",IFERROR(INT(BR44/BR46),""),"")</f>
        <v/>
      </c>
      <c r="BR47" s="150"/>
      <c r="BS47" s="157" t="str">
        <f ca="1">IF(BR41&lt;&gt;"",IFERROR(MOD(BR44,BR46),""),"")</f>
        <v/>
      </c>
      <c r="BT47" s="150"/>
      <c r="BU47" s="158" t="str">
        <f ca="1">IF(BR41&lt;&gt;"",OFFSET(変更先抽出【15時】!$A$1,BP41-1,21),"")</f>
        <v/>
      </c>
      <c r="BV47" s="150"/>
      <c r="BY47" s="157" t="str">
        <f ca="1">IF(BZ41&lt;&gt;"",IFERROR(INT(BZ44/BZ46),""),"")</f>
        <v/>
      </c>
      <c r="BZ47" s="150"/>
      <c r="CA47" s="157" t="str">
        <f ca="1">IF(BZ41&lt;&gt;"",IFERROR(MOD(BZ44,BZ46),""),"")</f>
        <v/>
      </c>
      <c r="CB47" s="150"/>
      <c r="CC47" s="158" t="str">
        <f ca="1">IF(BZ41&lt;&gt;"",OFFSET(変更先抽出【15時】!$A$1,BX41-1,21),"")</f>
        <v/>
      </c>
      <c r="CD47" s="150"/>
      <c r="CF47" s="157" t="str">
        <f ca="1">IF(CG41&lt;&gt;"",IFERROR(INT(CG44/CG46),""),"")</f>
        <v/>
      </c>
      <c r="CG47" s="150"/>
      <c r="CH47" s="157" t="str">
        <f ca="1">IF(CG41&lt;&gt;"",IFERROR(MOD(CG44,CG46),""),"")</f>
        <v/>
      </c>
      <c r="CI47" s="150"/>
      <c r="CJ47" s="158" t="str">
        <f ca="1">IF(CG41&lt;&gt;"",OFFSET(変更先抽出【15時】!$A$1,CE41-1,21),"")</f>
        <v/>
      </c>
      <c r="CK47" s="150"/>
      <c r="CN47" s="157" t="str">
        <f ca="1">IF(CO41&lt;&gt;"",IFERROR(INT(CO44/CO46),""),"")</f>
        <v/>
      </c>
      <c r="CO47" s="150"/>
      <c r="CP47" s="157" t="str">
        <f ca="1">IF(CO41&lt;&gt;"",IFERROR(MOD(CO44,CO46),""),"")</f>
        <v/>
      </c>
      <c r="CQ47" s="150"/>
      <c r="CR47" s="158" t="str">
        <f ca="1">IF(CO41&lt;&gt;"",OFFSET(変更先抽出【15時】!$A$1,CM41-1,21),"")</f>
        <v/>
      </c>
      <c r="CS47" s="150"/>
      <c r="CU47" s="157" t="str">
        <f ca="1">IF(CV41&lt;&gt;"",IFERROR(INT(CV44/CV46),""),"")</f>
        <v/>
      </c>
      <c r="CV47" s="150"/>
      <c r="CW47" s="157" t="str">
        <f ca="1">IF(CV41&lt;&gt;"",IFERROR(MOD(CV44,CV46),""),"")</f>
        <v/>
      </c>
      <c r="CX47" s="150"/>
      <c r="CY47" s="158" t="str">
        <f ca="1">IF(CV41&lt;&gt;"",OFFSET(変更先抽出【15時】!$A$1,CT41-1,21),"")</f>
        <v/>
      </c>
      <c r="CZ47" s="150"/>
      <c r="DC47" s="157" t="str">
        <f ca="1">IF(DD41&lt;&gt;"",IFERROR(INT(DD44/DD46),""),"")</f>
        <v/>
      </c>
      <c r="DD47" s="150"/>
      <c r="DE47" s="157" t="str">
        <f ca="1">IF(DD41&lt;&gt;"",IFERROR(MOD(DD44,DD46),""),"")</f>
        <v/>
      </c>
      <c r="DF47" s="150"/>
      <c r="DG47" s="158" t="str">
        <f ca="1">IF(DD41&lt;&gt;"",OFFSET(変更先抽出【15時】!$A$1,DB41-1,21),"")</f>
        <v/>
      </c>
      <c r="DH47" s="150"/>
      <c r="DJ47" s="157" t="str">
        <f ca="1">IF(DK41&lt;&gt;"",IFERROR(INT(DK44/DK46),""),"")</f>
        <v/>
      </c>
      <c r="DK47" s="150"/>
      <c r="DL47" s="157" t="str">
        <f ca="1">IF(DK41&lt;&gt;"",IFERROR(MOD(DK44,DK46),""),"")</f>
        <v/>
      </c>
      <c r="DM47" s="150"/>
      <c r="DN47" s="158" t="str">
        <f ca="1">IF(DK41&lt;&gt;"",OFFSET(変更先抽出【15時】!$A$1,DI41-1,21),"")</f>
        <v/>
      </c>
      <c r="DO47" s="150"/>
      <c r="DR47" s="157" t="str">
        <f ca="1">IF(DS41&lt;&gt;"",IFERROR(INT(DS44/DS46),""),"")</f>
        <v/>
      </c>
      <c r="DS47" s="150"/>
      <c r="DT47" s="157" t="str">
        <f ca="1">IF(DS41&lt;&gt;"",IFERROR(MOD(DS44,DS46),""),"")</f>
        <v/>
      </c>
      <c r="DU47" s="150"/>
      <c r="DV47" s="158" t="str">
        <f ca="1">IF(DS41&lt;&gt;"",OFFSET(変更先抽出【15時】!$A$1,DQ41-1,21),"")</f>
        <v/>
      </c>
      <c r="DW47" s="150"/>
      <c r="DY47" s="157" t="str">
        <f ca="1">IF(DZ41&lt;&gt;"",IFERROR(INT(DZ44/DZ46),""),"")</f>
        <v/>
      </c>
      <c r="DZ47" s="150"/>
      <c r="EA47" s="157" t="str">
        <f ca="1">IF(DZ41&lt;&gt;"",IFERROR(MOD(DZ44,DZ46),""),"")</f>
        <v/>
      </c>
      <c r="EB47" s="150"/>
      <c r="EC47" s="158" t="str">
        <f ca="1">IF(DZ41&lt;&gt;"",OFFSET(変更先抽出【15時】!$A$1,DX41-1,21),"")</f>
        <v/>
      </c>
      <c r="ED47" s="150"/>
      <c r="EG47" s="157" t="str">
        <f ca="1">IF(EH41&lt;&gt;"",IFERROR(INT(EH44/EH46),""),"")</f>
        <v/>
      </c>
      <c r="EH47" s="150"/>
      <c r="EI47" s="157" t="str">
        <f ca="1">IF(EH41&lt;&gt;"",IFERROR(MOD(EH44,EH46),""),"")</f>
        <v/>
      </c>
      <c r="EJ47" s="150"/>
      <c r="EK47" s="158" t="str">
        <f ca="1">IF(EH41&lt;&gt;"",OFFSET(変更先抽出【15時】!$A$1,EF41-1,21),"")</f>
        <v/>
      </c>
      <c r="EL47" s="150"/>
      <c r="EN47" s="157" t="str">
        <f ca="1">IF(EO41&lt;&gt;"",IFERROR(INT(EO44/EO46),""),"")</f>
        <v/>
      </c>
      <c r="EO47" s="150"/>
      <c r="EP47" s="157" t="str">
        <f ca="1">IF(EO41&lt;&gt;"",IFERROR(MOD(EO44,EO46),""),"")</f>
        <v/>
      </c>
      <c r="EQ47" s="150"/>
      <c r="ER47" s="158" t="str">
        <f ca="1">IF(EO41&lt;&gt;"",OFFSET(変更先抽出【15時】!$A$1,EM41-1,21),"")</f>
        <v/>
      </c>
      <c r="ES47" s="150"/>
    </row>
  </sheetData>
  <mergeCells count="840">
    <mergeCell ref="C9:F9"/>
    <mergeCell ref="J43:K43"/>
    <mergeCell ref="CV12:CW13"/>
    <mergeCell ref="Y17:AB17"/>
    <mergeCell ref="CY31:CZ31"/>
    <mergeCell ref="AQ12:AR13"/>
    <mergeCell ref="EA39:EB39"/>
    <mergeCell ref="DR7:DS7"/>
    <mergeCell ref="DS27:DT27"/>
    <mergeCell ref="AY15:AZ15"/>
    <mergeCell ref="AG36:AH37"/>
    <mergeCell ref="DS41:DV41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R3:S3"/>
    <mergeCell ref="BC25:BF25"/>
    <mergeCell ref="U39:V39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DS4:DT5"/>
    <mergeCell ref="DC47:DD47"/>
    <mergeCell ref="BN39:BO39"/>
    <mergeCell ref="AV9:AY9"/>
    <mergeCell ref="AV35:AW35"/>
    <mergeCell ref="AO7:AP7"/>
    <mergeCell ref="EO12:EP13"/>
    <mergeCell ref="DD44:DE45"/>
    <mergeCell ref="BN4:BO5"/>
    <mergeCell ref="BF44:BG45"/>
    <mergeCell ref="CH47:CI47"/>
    <mergeCell ref="CO20:CP21"/>
    <mergeCell ref="EO27:EP27"/>
    <mergeCell ref="DJ23:DK23"/>
    <mergeCell ref="BC36:BD37"/>
    <mergeCell ref="DS33:DV33"/>
    <mergeCell ref="BR19:BS19"/>
    <mergeCell ref="F36:G37"/>
    <mergeCell ref="K7:L7"/>
    <mergeCell ref="EO41:ER41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X47:Y47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CY36:CZ37"/>
    <mergeCell ref="Y9:AB9"/>
    <mergeCell ref="AN43:AO43"/>
    <mergeCell ref="EH43:EI43"/>
    <mergeCell ref="EK15:EL15"/>
    <mergeCell ref="F12:G13"/>
    <mergeCell ref="CP39:CQ39"/>
    <mergeCell ref="BK35:BL3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CR28:CS29"/>
    <mergeCell ref="BC20:BD21"/>
    <mergeCell ref="AW23:AX23"/>
    <mergeCell ref="DS17:DV17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G36:CH37"/>
    <mergeCell ref="CY15:CZ15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BB39:BC39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AV11:AW11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Z27:EA27"/>
    <mergeCell ref="CU23:CV23"/>
    <mergeCell ref="DG47:DH4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DN28:DO29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BJ23:BK2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AN17:AQ17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EN15:EO15"/>
    <mergeCell ref="B7:C7"/>
    <mergeCell ref="EG39:EH39"/>
    <mergeCell ref="BF31:BG31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B15:AC15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BZ1:CC1"/>
    <mergeCell ref="AO23:AP23"/>
    <mergeCell ref="DK17:DN17"/>
    <mergeCell ref="BZ20:CA21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BZ35:CA35"/>
    <mergeCell ref="AF31:AG31"/>
    <mergeCell ref="D15:E15"/>
    <mergeCell ref="CV1:CY1"/>
    <mergeCell ref="DN44:DO45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Y41:AB41"/>
    <mergeCell ref="AV3:AW3"/>
    <mergeCell ref="BU23:BV23"/>
    <mergeCell ref="AQ7:AR7"/>
    <mergeCell ref="AB47:AC47"/>
    <mergeCell ref="DS12:DT13"/>
    <mergeCell ref="S7:T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U438"/>
  <sheetViews>
    <sheetView workbookViewId="0">
      <selection activeCell="E48" sqref="E48"/>
    </sheetView>
  </sheetViews>
  <sheetFormatPr defaultRowHeight="18"/>
  <cols>
    <col min="3" max="3" width="25.296875" style="29" customWidth="1"/>
    <col min="4" max="4" width="20.296875" style="29" customWidth="1"/>
    <col min="6" max="6" width="12.19921875" style="29" customWidth="1"/>
    <col min="10" max="19" width="6.796875" style="29" customWidth="1"/>
  </cols>
  <sheetData>
    <row r="1" spans="1:21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  <c r="M1" t="s">
        <v>53</v>
      </c>
      <c r="N1" t="s">
        <v>54</v>
      </c>
      <c r="O1" t="s">
        <v>55</v>
      </c>
      <c r="P1" t="s">
        <v>56</v>
      </c>
      <c r="Q1" t="s">
        <v>57</v>
      </c>
      <c r="R1" t="s">
        <v>58</v>
      </c>
      <c r="S1" t="s">
        <v>59</v>
      </c>
      <c r="T1" t="s">
        <v>60</v>
      </c>
      <c r="U1" t="s">
        <v>61</v>
      </c>
    </row>
    <row r="2" spans="1:21">
      <c r="A2">
        <v>1</v>
      </c>
      <c r="B2">
        <v>1</v>
      </c>
      <c r="C2" t="s">
        <v>62</v>
      </c>
      <c r="D2" t="s">
        <v>0</v>
      </c>
      <c r="E2" s="120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118">
        <v>43999.629166666673</v>
      </c>
    </row>
    <row r="3" spans="1:21">
      <c r="A3">
        <v>2</v>
      </c>
      <c r="B3">
        <v>0</v>
      </c>
      <c r="C3" t="s">
        <v>63</v>
      </c>
      <c r="D3" t="s">
        <v>64</v>
      </c>
      <c r="E3" s="120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118">
        <v>40823.748611111107</v>
      </c>
    </row>
    <row r="4" spans="1:21">
      <c r="A4">
        <v>3</v>
      </c>
      <c r="B4">
        <v>1</v>
      </c>
      <c r="C4" t="s">
        <v>65</v>
      </c>
      <c r="D4" t="s">
        <v>66</v>
      </c>
      <c r="E4" s="120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118">
        <v>41936.67083333333</v>
      </c>
    </row>
    <row r="5" spans="1:21">
      <c r="A5">
        <v>4</v>
      </c>
      <c r="B5">
        <v>0</v>
      </c>
      <c r="C5" t="s">
        <v>63</v>
      </c>
      <c r="D5" t="s">
        <v>67</v>
      </c>
      <c r="E5" s="120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118">
        <v>40800</v>
      </c>
    </row>
    <row r="6" spans="1:21">
      <c r="A6">
        <v>5</v>
      </c>
      <c r="B6">
        <v>0</v>
      </c>
      <c r="C6" t="s">
        <v>63</v>
      </c>
      <c r="D6" t="s">
        <v>68</v>
      </c>
      <c r="E6" s="120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118">
        <v>40800</v>
      </c>
    </row>
    <row r="7" spans="1:21">
      <c r="A7">
        <v>6</v>
      </c>
      <c r="B7">
        <v>1</v>
      </c>
      <c r="C7" t="s">
        <v>69</v>
      </c>
      <c r="D7" t="s">
        <v>70</v>
      </c>
      <c r="E7" s="120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118">
        <v>42202.411805555559</v>
      </c>
    </row>
    <row r="8" spans="1:21">
      <c r="A8">
        <v>7</v>
      </c>
      <c r="B8">
        <v>1</v>
      </c>
      <c r="C8" t="s">
        <v>70</v>
      </c>
      <c r="D8" t="s">
        <v>71</v>
      </c>
      <c r="E8" s="120"/>
      <c r="F8">
        <v>0</v>
      </c>
      <c r="G8">
        <v>0</v>
      </c>
      <c r="H8">
        <v>1</v>
      </c>
      <c r="I8">
        <v>24</v>
      </c>
      <c r="J8" t="s">
        <v>72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118">
        <v>42202.412499999999</v>
      </c>
    </row>
    <row r="9" spans="1:21">
      <c r="A9">
        <v>8</v>
      </c>
      <c r="B9">
        <v>0</v>
      </c>
      <c r="C9" t="s">
        <v>63</v>
      </c>
      <c r="D9" t="s">
        <v>2</v>
      </c>
      <c r="E9" s="120"/>
      <c r="F9">
        <v>0</v>
      </c>
      <c r="G9">
        <v>0</v>
      </c>
      <c r="H9">
        <v>1</v>
      </c>
      <c r="I9">
        <v>24</v>
      </c>
      <c r="T9">
        <v>1</v>
      </c>
      <c r="U9" s="118">
        <v>40766</v>
      </c>
    </row>
    <row r="10" spans="1:21">
      <c r="A10">
        <v>9</v>
      </c>
      <c r="B10">
        <v>0</v>
      </c>
      <c r="C10" t="s">
        <v>63</v>
      </c>
      <c r="D10" t="s">
        <v>73</v>
      </c>
      <c r="E10" s="120"/>
      <c r="F10">
        <v>9</v>
      </c>
      <c r="G10">
        <v>0</v>
      </c>
      <c r="H10">
        <v>1</v>
      </c>
      <c r="I10">
        <v>24</v>
      </c>
      <c r="T10">
        <v>9999</v>
      </c>
      <c r="U10" s="118">
        <v>40800</v>
      </c>
    </row>
    <row r="11" spans="1:21">
      <c r="A11">
        <v>10</v>
      </c>
      <c r="B11">
        <v>0</v>
      </c>
      <c r="C11" t="s">
        <v>63</v>
      </c>
      <c r="D11" t="s">
        <v>74</v>
      </c>
      <c r="E11" s="120"/>
      <c r="F11">
        <v>10</v>
      </c>
      <c r="G11">
        <v>0</v>
      </c>
      <c r="H11">
        <v>1</v>
      </c>
      <c r="I11">
        <v>24</v>
      </c>
      <c r="T11">
        <v>9999</v>
      </c>
      <c r="U11" s="118">
        <v>40800</v>
      </c>
    </row>
    <row r="12" spans="1:21">
      <c r="A12">
        <v>11</v>
      </c>
      <c r="B12">
        <v>0</v>
      </c>
      <c r="C12" t="s">
        <v>75</v>
      </c>
      <c r="D12" t="s">
        <v>76</v>
      </c>
      <c r="E12" s="120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118">
        <v>40857.65625</v>
      </c>
    </row>
    <row r="13" spans="1:21">
      <c r="A13">
        <v>13</v>
      </c>
      <c r="B13">
        <v>1</v>
      </c>
      <c r="C13" t="s">
        <v>62</v>
      </c>
      <c r="D13" t="s">
        <v>77</v>
      </c>
      <c r="E13" s="120">
        <v>71</v>
      </c>
      <c r="F13">
        <v>14</v>
      </c>
      <c r="G13">
        <v>0</v>
      </c>
      <c r="H13">
        <v>1</v>
      </c>
      <c r="I13">
        <v>24</v>
      </c>
      <c r="J13" t="s">
        <v>72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118">
        <v>40987.674305555563</v>
      </c>
    </row>
    <row r="14" spans="1:21">
      <c r="A14">
        <v>14</v>
      </c>
      <c r="B14">
        <v>0</v>
      </c>
      <c r="C14" t="s">
        <v>63</v>
      </c>
      <c r="D14" t="s">
        <v>78</v>
      </c>
      <c r="E14" s="120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118">
        <v>40914.605555555558</v>
      </c>
    </row>
    <row r="15" spans="1:21">
      <c r="A15">
        <v>15</v>
      </c>
      <c r="B15">
        <v>1</v>
      </c>
      <c r="C15" t="s">
        <v>79</v>
      </c>
      <c r="D15" t="s">
        <v>80</v>
      </c>
      <c r="E15" s="120">
        <v>71</v>
      </c>
      <c r="F15">
        <v>16</v>
      </c>
      <c r="G15">
        <v>0</v>
      </c>
      <c r="H15">
        <v>1</v>
      </c>
      <c r="I15">
        <v>24</v>
      </c>
      <c r="J15" t="s">
        <v>81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118">
        <v>40981.67291666667</v>
      </c>
    </row>
    <row r="16" spans="1:21">
      <c r="A16">
        <v>16</v>
      </c>
      <c r="B16">
        <v>0</v>
      </c>
      <c r="C16" t="s">
        <v>63</v>
      </c>
      <c r="D16" t="s">
        <v>82</v>
      </c>
      <c r="E16" s="120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118">
        <v>40914.447916666657</v>
      </c>
    </row>
    <row r="17" spans="1:21">
      <c r="A17">
        <v>17</v>
      </c>
      <c r="B17">
        <v>1</v>
      </c>
      <c r="C17" t="s">
        <v>62</v>
      </c>
      <c r="D17" t="s">
        <v>14</v>
      </c>
      <c r="E17" s="120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118">
        <v>44643.589583333327</v>
      </c>
    </row>
    <row r="18" spans="1:21">
      <c r="A18">
        <v>18</v>
      </c>
      <c r="B18">
        <v>0</v>
      </c>
      <c r="C18" t="s">
        <v>63</v>
      </c>
      <c r="D18" t="s">
        <v>83</v>
      </c>
      <c r="E18" s="120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118">
        <v>44634.582638888889</v>
      </c>
    </row>
    <row r="19" spans="1:21">
      <c r="A19">
        <v>19</v>
      </c>
      <c r="B19">
        <v>1</v>
      </c>
      <c r="C19" t="s">
        <v>62</v>
      </c>
      <c r="D19" t="s">
        <v>84</v>
      </c>
      <c r="E19" s="120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118">
        <v>40823.75</v>
      </c>
    </row>
    <row r="20" spans="1:21">
      <c r="A20">
        <v>20</v>
      </c>
      <c r="B20">
        <v>0</v>
      </c>
      <c r="C20" t="s">
        <v>63</v>
      </c>
      <c r="D20" t="s">
        <v>85</v>
      </c>
      <c r="E20" s="120"/>
      <c r="F20">
        <v>20</v>
      </c>
      <c r="G20">
        <v>0</v>
      </c>
      <c r="H20">
        <v>1</v>
      </c>
      <c r="I20">
        <v>30</v>
      </c>
      <c r="T20">
        <v>9999</v>
      </c>
      <c r="U20" s="118">
        <v>40800</v>
      </c>
    </row>
    <row r="21" spans="1:21">
      <c r="A21">
        <v>21</v>
      </c>
      <c r="B21">
        <v>0</v>
      </c>
      <c r="C21" t="s">
        <v>63</v>
      </c>
      <c r="D21" t="s">
        <v>86</v>
      </c>
      <c r="E21" s="120"/>
      <c r="F21">
        <v>21</v>
      </c>
      <c r="G21">
        <v>0</v>
      </c>
      <c r="H21">
        <v>1</v>
      </c>
      <c r="I21">
        <v>30</v>
      </c>
      <c r="T21">
        <v>9999</v>
      </c>
      <c r="U21" s="118">
        <v>40800</v>
      </c>
    </row>
    <row r="22" spans="1:21">
      <c r="A22">
        <v>22</v>
      </c>
      <c r="B22">
        <v>1</v>
      </c>
      <c r="C22" t="s">
        <v>87</v>
      </c>
      <c r="D22" t="s">
        <v>88</v>
      </c>
      <c r="E22" s="120"/>
      <c r="F22">
        <v>23</v>
      </c>
      <c r="G22">
        <v>1</v>
      </c>
      <c r="H22">
        <v>2</v>
      </c>
      <c r="I22">
        <v>0</v>
      </c>
      <c r="J22" t="s">
        <v>88</v>
      </c>
      <c r="K22">
        <v>0</v>
      </c>
      <c r="L22" t="s">
        <v>89</v>
      </c>
      <c r="M22">
        <v>0</v>
      </c>
      <c r="O22">
        <v>0</v>
      </c>
      <c r="Q22">
        <v>0</v>
      </c>
      <c r="S22">
        <v>0</v>
      </c>
      <c r="T22">
        <v>2</v>
      </c>
      <c r="U22" s="118">
        <v>42048.504861111112</v>
      </c>
    </row>
    <row r="23" spans="1:21">
      <c r="A23">
        <v>23</v>
      </c>
      <c r="B23">
        <v>1</v>
      </c>
      <c r="C23" t="s">
        <v>90</v>
      </c>
      <c r="D23" t="s">
        <v>90</v>
      </c>
      <c r="E23" s="120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118">
        <v>42048.505555555559</v>
      </c>
    </row>
    <row r="24" spans="1:21">
      <c r="A24">
        <v>24</v>
      </c>
      <c r="B24">
        <v>1</v>
      </c>
      <c r="C24" t="s">
        <v>91</v>
      </c>
      <c r="D24" t="s">
        <v>14</v>
      </c>
      <c r="E24" s="120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118">
        <v>45779.536805555559</v>
      </c>
    </row>
    <row r="25" spans="1:21">
      <c r="A25">
        <v>25</v>
      </c>
      <c r="B25">
        <v>1</v>
      </c>
      <c r="C25" t="s">
        <v>92</v>
      </c>
      <c r="D25" t="s">
        <v>14</v>
      </c>
      <c r="E25" s="120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118">
        <v>45779.536805555559</v>
      </c>
    </row>
    <row r="26" spans="1:21">
      <c r="A26">
        <v>26</v>
      </c>
      <c r="B26">
        <v>1</v>
      </c>
      <c r="C26" t="s">
        <v>93</v>
      </c>
      <c r="D26" t="s">
        <v>93</v>
      </c>
      <c r="E26" s="120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118">
        <v>44817.400694444441</v>
      </c>
    </row>
    <row r="27" spans="1:21">
      <c r="A27">
        <v>27</v>
      </c>
      <c r="B27">
        <v>1</v>
      </c>
      <c r="C27" t="s">
        <v>94</v>
      </c>
      <c r="D27" t="s">
        <v>95</v>
      </c>
      <c r="E27" s="120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118">
        <v>44817.400694444441</v>
      </c>
    </row>
    <row r="28" spans="1:21">
      <c r="A28">
        <v>28</v>
      </c>
      <c r="B28">
        <v>0</v>
      </c>
      <c r="C28" t="s">
        <v>96</v>
      </c>
      <c r="D28" t="s">
        <v>96</v>
      </c>
      <c r="E28" s="120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118">
        <v>44679.605555555558</v>
      </c>
    </row>
    <row r="29" spans="1:21">
      <c r="A29">
        <v>29</v>
      </c>
      <c r="B29">
        <v>0</v>
      </c>
      <c r="C29" t="s">
        <v>97</v>
      </c>
      <c r="D29" t="s">
        <v>97</v>
      </c>
      <c r="E29" s="120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118">
        <v>44679.605555555558</v>
      </c>
    </row>
    <row r="30" spans="1:21">
      <c r="A30">
        <v>30</v>
      </c>
      <c r="B30">
        <v>0</v>
      </c>
      <c r="C30" t="s">
        <v>98</v>
      </c>
      <c r="D30" t="s">
        <v>98</v>
      </c>
      <c r="E30" s="120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118">
        <v>44679.605555555558</v>
      </c>
    </row>
    <row r="31" spans="1:21">
      <c r="A31">
        <v>31</v>
      </c>
      <c r="B31">
        <v>0</v>
      </c>
      <c r="C31" t="s">
        <v>99</v>
      </c>
      <c r="D31" t="s">
        <v>99</v>
      </c>
      <c r="E31" s="120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118">
        <v>44679.606249999997</v>
      </c>
    </row>
    <row r="32" spans="1:21">
      <c r="A32">
        <v>33</v>
      </c>
      <c r="B32">
        <v>1</v>
      </c>
      <c r="C32" t="s">
        <v>100</v>
      </c>
      <c r="D32" t="s">
        <v>101</v>
      </c>
      <c r="E32" s="120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118">
        <v>45835.455555555563</v>
      </c>
    </row>
    <row r="33" spans="1:21">
      <c r="A33">
        <v>34</v>
      </c>
      <c r="B33">
        <v>0</v>
      </c>
      <c r="C33" t="s">
        <v>102</v>
      </c>
      <c r="D33" t="s">
        <v>103</v>
      </c>
      <c r="E33" s="120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118">
        <v>45835.455555555563</v>
      </c>
    </row>
    <row r="34" spans="1:21">
      <c r="A34">
        <v>35</v>
      </c>
      <c r="B34">
        <v>1</v>
      </c>
      <c r="C34" t="s">
        <v>100</v>
      </c>
      <c r="D34" t="s">
        <v>104</v>
      </c>
      <c r="E34" s="120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118">
        <v>45835.455555555563</v>
      </c>
    </row>
    <row r="35" spans="1:21">
      <c r="A35">
        <v>36</v>
      </c>
      <c r="B35">
        <v>0</v>
      </c>
      <c r="C35" t="s">
        <v>102</v>
      </c>
      <c r="D35" t="s">
        <v>105</v>
      </c>
      <c r="E35" s="120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118">
        <v>45835.455555555563</v>
      </c>
    </row>
    <row r="36" spans="1:21">
      <c r="A36">
        <v>37</v>
      </c>
      <c r="B36">
        <v>1</v>
      </c>
      <c r="C36" t="s">
        <v>106</v>
      </c>
      <c r="D36" t="s">
        <v>4</v>
      </c>
      <c r="E36" s="120"/>
      <c r="F36">
        <v>38</v>
      </c>
      <c r="G36">
        <v>1</v>
      </c>
      <c r="H36">
        <v>1</v>
      </c>
      <c r="I36">
        <v>69</v>
      </c>
      <c r="J36" t="s">
        <v>89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118">
        <v>45835.455555555563</v>
      </c>
    </row>
    <row r="37" spans="1:21">
      <c r="A37">
        <v>38</v>
      </c>
      <c r="B37">
        <v>0</v>
      </c>
      <c r="C37" t="s">
        <v>107</v>
      </c>
      <c r="D37" t="s">
        <v>108</v>
      </c>
      <c r="E37" s="120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118">
        <v>45835.455555555563</v>
      </c>
    </row>
    <row r="38" spans="1:21">
      <c r="A38">
        <v>39</v>
      </c>
      <c r="B38">
        <v>1</v>
      </c>
      <c r="C38" t="s">
        <v>109</v>
      </c>
      <c r="D38" t="s">
        <v>5</v>
      </c>
      <c r="E38" s="120">
        <v>65</v>
      </c>
      <c r="F38">
        <v>40</v>
      </c>
      <c r="G38">
        <v>1</v>
      </c>
      <c r="H38">
        <v>1</v>
      </c>
      <c r="I38">
        <v>18</v>
      </c>
      <c r="J38" t="s">
        <v>110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118">
        <v>45070.729166666657</v>
      </c>
    </row>
    <row r="39" spans="1:21">
      <c r="A39">
        <v>40</v>
      </c>
      <c r="B39">
        <v>0</v>
      </c>
      <c r="C39" t="s">
        <v>111</v>
      </c>
      <c r="D39" t="s">
        <v>111</v>
      </c>
      <c r="E39" s="120"/>
      <c r="F39">
        <v>0</v>
      </c>
      <c r="G39">
        <v>1</v>
      </c>
      <c r="H39">
        <v>1</v>
      </c>
      <c r="I39">
        <v>0</v>
      </c>
      <c r="T39">
        <v>9999</v>
      </c>
      <c r="U39" s="118">
        <v>40800</v>
      </c>
    </row>
    <row r="40" spans="1:21">
      <c r="A40">
        <v>41</v>
      </c>
      <c r="B40">
        <v>1</v>
      </c>
      <c r="C40" t="s">
        <v>112</v>
      </c>
      <c r="D40" t="s">
        <v>113</v>
      </c>
      <c r="E40" s="120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118">
        <v>44743.711805555547</v>
      </c>
    </row>
    <row r="41" spans="1:21">
      <c r="A41">
        <v>42</v>
      </c>
      <c r="B41">
        <v>0</v>
      </c>
      <c r="C41" t="s">
        <v>114</v>
      </c>
      <c r="D41" t="s">
        <v>114</v>
      </c>
      <c r="E41" s="120"/>
      <c r="F41">
        <v>0</v>
      </c>
      <c r="G41">
        <v>1</v>
      </c>
      <c r="H41">
        <v>1</v>
      </c>
      <c r="I41">
        <v>0</v>
      </c>
      <c r="T41">
        <v>9999</v>
      </c>
      <c r="U41" s="118">
        <v>40800</v>
      </c>
    </row>
    <row r="42" spans="1:21">
      <c r="A42">
        <v>43</v>
      </c>
      <c r="B42">
        <v>1</v>
      </c>
      <c r="C42" t="s">
        <v>115</v>
      </c>
      <c r="D42" t="s">
        <v>116</v>
      </c>
      <c r="E42" s="120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118">
        <v>45266.568055555559</v>
      </c>
    </row>
    <row r="43" spans="1:21">
      <c r="A43">
        <v>44</v>
      </c>
      <c r="B43">
        <v>0</v>
      </c>
      <c r="C43" t="s">
        <v>117</v>
      </c>
      <c r="D43" t="s">
        <v>117</v>
      </c>
      <c r="E43" s="120"/>
      <c r="F43">
        <v>0</v>
      </c>
      <c r="G43">
        <v>1</v>
      </c>
      <c r="H43">
        <v>1</v>
      </c>
      <c r="I43">
        <v>0</v>
      </c>
      <c r="T43">
        <v>9999</v>
      </c>
      <c r="U43" s="118">
        <v>40800</v>
      </c>
    </row>
    <row r="44" spans="1:21">
      <c r="A44">
        <v>45</v>
      </c>
      <c r="B44">
        <v>1</v>
      </c>
      <c r="C44" t="s">
        <v>118</v>
      </c>
      <c r="D44" t="s">
        <v>119</v>
      </c>
      <c r="E44" s="120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118">
        <v>45716.407638888893</v>
      </c>
    </row>
    <row r="45" spans="1:21">
      <c r="A45">
        <v>46</v>
      </c>
      <c r="B45">
        <v>0</v>
      </c>
      <c r="C45" t="s">
        <v>120</v>
      </c>
      <c r="D45" t="s">
        <v>120</v>
      </c>
      <c r="E45" s="120"/>
      <c r="F45">
        <v>0</v>
      </c>
      <c r="G45">
        <v>1</v>
      </c>
      <c r="H45">
        <v>1</v>
      </c>
      <c r="I45">
        <v>0</v>
      </c>
      <c r="T45">
        <v>9999</v>
      </c>
      <c r="U45" s="118">
        <v>40800</v>
      </c>
    </row>
    <row r="46" spans="1:21">
      <c r="A46">
        <v>47</v>
      </c>
      <c r="B46">
        <v>1</v>
      </c>
      <c r="C46" t="s">
        <v>121</v>
      </c>
      <c r="D46" t="s">
        <v>122</v>
      </c>
      <c r="E46" s="120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118">
        <v>40857.586111111108</v>
      </c>
    </row>
    <row r="47" spans="1:21">
      <c r="A47">
        <v>48</v>
      </c>
      <c r="B47">
        <v>0</v>
      </c>
      <c r="C47" t="s">
        <v>123</v>
      </c>
      <c r="D47" t="s">
        <v>123</v>
      </c>
      <c r="E47" s="120"/>
      <c r="F47">
        <v>0</v>
      </c>
      <c r="G47">
        <v>1</v>
      </c>
      <c r="H47">
        <v>1</v>
      </c>
      <c r="I47">
        <v>0</v>
      </c>
      <c r="T47">
        <v>9999</v>
      </c>
      <c r="U47" s="118">
        <v>40800</v>
      </c>
    </row>
    <row r="48" spans="1:21">
      <c r="A48">
        <v>49</v>
      </c>
      <c r="B48">
        <v>1</v>
      </c>
      <c r="C48" t="s">
        <v>124</v>
      </c>
      <c r="D48" t="s">
        <v>6</v>
      </c>
      <c r="E48" s="120"/>
      <c r="F48">
        <v>50</v>
      </c>
      <c r="G48">
        <v>1</v>
      </c>
      <c r="H48">
        <v>2</v>
      </c>
      <c r="I48">
        <v>0</v>
      </c>
      <c r="J48" t="s">
        <v>72</v>
      </c>
      <c r="K48">
        <v>1</v>
      </c>
      <c r="L48" t="s">
        <v>125</v>
      </c>
      <c r="M48">
        <v>0</v>
      </c>
      <c r="N48" t="s">
        <v>89</v>
      </c>
      <c r="O48">
        <v>0</v>
      </c>
      <c r="Q48">
        <v>0</v>
      </c>
      <c r="S48">
        <v>0</v>
      </c>
      <c r="T48">
        <v>2</v>
      </c>
      <c r="U48" s="118">
        <v>42360.588194444441</v>
      </c>
    </row>
    <row r="49" spans="1:21">
      <c r="A49">
        <v>50</v>
      </c>
      <c r="B49">
        <v>0</v>
      </c>
      <c r="C49" t="s">
        <v>126</v>
      </c>
      <c r="D49" t="s">
        <v>126</v>
      </c>
      <c r="E49" s="120"/>
      <c r="F49">
        <v>0</v>
      </c>
      <c r="G49">
        <v>1</v>
      </c>
      <c r="H49">
        <v>2</v>
      </c>
      <c r="I49">
        <v>0</v>
      </c>
      <c r="T49">
        <v>9999</v>
      </c>
      <c r="U49" s="118">
        <v>40800</v>
      </c>
    </row>
    <row r="50" spans="1:21">
      <c r="A50">
        <v>51</v>
      </c>
      <c r="B50">
        <v>0</v>
      </c>
      <c r="C50" t="s">
        <v>126</v>
      </c>
      <c r="D50" t="s">
        <v>127</v>
      </c>
      <c r="E50" s="120"/>
      <c r="F50">
        <v>51</v>
      </c>
      <c r="G50">
        <v>1</v>
      </c>
      <c r="H50">
        <v>2</v>
      </c>
      <c r="I50">
        <v>0</v>
      </c>
      <c r="T50">
        <v>9999</v>
      </c>
      <c r="U50" s="118">
        <v>40800</v>
      </c>
    </row>
    <row r="51" spans="1:21">
      <c r="A51">
        <v>52</v>
      </c>
      <c r="B51">
        <v>1</v>
      </c>
      <c r="C51" t="s">
        <v>128</v>
      </c>
      <c r="D51" t="s">
        <v>129</v>
      </c>
      <c r="E51" s="120"/>
      <c r="F51">
        <v>53</v>
      </c>
      <c r="G51">
        <v>1</v>
      </c>
      <c r="H51">
        <v>2</v>
      </c>
      <c r="I51">
        <v>0</v>
      </c>
      <c r="J51" t="s">
        <v>72</v>
      </c>
      <c r="K51">
        <v>1</v>
      </c>
      <c r="L51" t="s">
        <v>125</v>
      </c>
      <c r="M51">
        <v>0</v>
      </c>
      <c r="N51" t="s">
        <v>89</v>
      </c>
      <c r="O51">
        <v>0</v>
      </c>
      <c r="Q51">
        <v>0</v>
      </c>
      <c r="S51">
        <v>0</v>
      </c>
      <c r="T51">
        <v>2</v>
      </c>
      <c r="U51" s="118">
        <v>40857.595138888893</v>
      </c>
    </row>
    <row r="52" spans="1:21">
      <c r="A52">
        <v>53</v>
      </c>
      <c r="B52">
        <v>0</v>
      </c>
      <c r="C52" t="s">
        <v>130</v>
      </c>
      <c r="D52" t="s">
        <v>130</v>
      </c>
      <c r="E52" s="120"/>
      <c r="F52">
        <v>0</v>
      </c>
      <c r="G52">
        <v>1</v>
      </c>
      <c r="H52">
        <v>2</v>
      </c>
      <c r="I52">
        <v>0</v>
      </c>
      <c r="J52" t="s">
        <v>72</v>
      </c>
      <c r="K52">
        <v>1</v>
      </c>
      <c r="L52" t="s">
        <v>125</v>
      </c>
      <c r="M52">
        <v>0</v>
      </c>
      <c r="N52" t="s">
        <v>89</v>
      </c>
      <c r="O52">
        <v>0</v>
      </c>
      <c r="T52">
        <v>2</v>
      </c>
      <c r="U52" s="118">
        <v>40823.696527777778</v>
      </c>
    </row>
    <row r="53" spans="1:21">
      <c r="A53">
        <v>54</v>
      </c>
      <c r="B53">
        <v>0</v>
      </c>
      <c r="C53" t="s">
        <v>130</v>
      </c>
      <c r="D53" t="s">
        <v>131</v>
      </c>
      <c r="E53" s="120"/>
      <c r="F53">
        <v>54</v>
      </c>
      <c r="G53">
        <v>1</v>
      </c>
      <c r="H53">
        <v>2</v>
      </c>
      <c r="I53">
        <v>0</v>
      </c>
      <c r="J53" t="s">
        <v>72</v>
      </c>
      <c r="K53">
        <v>1</v>
      </c>
      <c r="L53" t="s">
        <v>125</v>
      </c>
      <c r="M53">
        <v>0</v>
      </c>
      <c r="N53" t="s">
        <v>89</v>
      </c>
      <c r="O53">
        <v>0</v>
      </c>
      <c r="T53">
        <v>2</v>
      </c>
      <c r="U53" s="118">
        <v>40823.697222222218</v>
      </c>
    </row>
    <row r="54" spans="1:21">
      <c r="A54">
        <v>55</v>
      </c>
      <c r="B54">
        <v>1</v>
      </c>
      <c r="C54" t="s">
        <v>132</v>
      </c>
      <c r="D54" t="s">
        <v>133</v>
      </c>
      <c r="E54" s="120"/>
      <c r="F54">
        <v>56</v>
      </c>
      <c r="G54">
        <v>1</v>
      </c>
      <c r="H54">
        <v>2</v>
      </c>
      <c r="I54">
        <v>0</v>
      </c>
      <c r="J54" t="s">
        <v>133</v>
      </c>
      <c r="K54">
        <v>0</v>
      </c>
      <c r="L54" t="s">
        <v>89</v>
      </c>
      <c r="M54">
        <v>0</v>
      </c>
      <c r="O54">
        <v>0</v>
      </c>
      <c r="Q54">
        <v>0</v>
      </c>
      <c r="S54">
        <v>0</v>
      </c>
      <c r="T54">
        <v>2</v>
      </c>
      <c r="U54" s="118">
        <v>40863.760416666657</v>
      </c>
    </row>
    <row r="55" spans="1:21">
      <c r="A55">
        <v>56</v>
      </c>
      <c r="B55">
        <v>0</v>
      </c>
      <c r="C55" t="s">
        <v>134</v>
      </c>
      <c r="D55" t="s">
        <v>134</v>
      </c>
      <c r="E55" s="120"/>
      <c r="F55">
        <v>0</v>
      </c>
      <c r="G55">
        <v>1</v>
      </c>
      <c r="H55">
        <v>2</v>
      </c>
      <c r="I55">
        <v>0</v>
      </c>
      <c r="J55" t="s">
        <v>133</v>
      </c>
      <c r="K55">
        <v>0</v>
      </c>
      <c r="L55" t="s">
        <v>89</v>
      </c>
      <c r="M55">
        <v>0</v>
      </c>
      <c r="N55" t="s">
        <v>135</v>
      </c>
      <c r="O55">
        <v>0</v>
      </c>
      <c r="T55">
        <v>2</v>
      </c>
      <c r="U55" s="118">
        <v>40823.697916666657</v>
      </c>
    </row>
    <row r="56" spans="1:21">
      <c r="A56">
        <v>57</v>
      </c>
      <c r="B56">
        <v>0</v>
      </c>
      <c r="C56" t="s">
        <v>134</v>
      </c>
      <c r="D56" t="s">
        <v>136</v>
      </c>
      <c r="E56" s="120"/>
      <c r="F56">
        <v>57</v>
      </c>
      <c r="G56">
        <v>1</v>
      </c>
      <c r="H56">
        <v>2</v>
      </c>
      <c r="I56">
        <v>0</v>
      </c>
      <c r="J56" t="s">
        <v>133</v>
      </c>
      <c r="K56">
        <v>0</v>
      </c>
      <c r="L56" t="s">
        <v>89</v>
      </c>
      <c r="M56">
        <v>0</v>
      </c>
      <c r="N56" t="s">
        <v>135</v>
      </c>
      <c r="O56">
        <v>0</v>
      </c>
      <c r="T56">
        <v>2</v>
      </c>
      <c r="U56" s="118">
        <v>40823.697916666657</v>
      </c>
    </row>
    <row r="57" spans="1:21">
      <c r="A57">
        <v>58</v>
      </c>
      <c r="B57">
        <v>1</v>
      </c>
      <c r="C57" t="s">
        <v>137</v>
      </c>
      <c r="D57" t="s">
        <v>138</v>
      </c>
      <c r="E57" s="120"/>
      <c r="F57">
        <v>59</v>
      </c>
      <c r="G57">
        <v>1</v>
      </c>
      <c r="H57">
        <v>2</v>
      </c>
      <c r="I57">
        <v>0</v>
      </c>
      <c r="J57" t="s">
        <v>139</v>
      </c>
      <c r="K57">
        <v>0</v>
      </c>
      <c r="L57" t="s">
        <v>138</v>
      </c>
      <c r="M57">
        <v>0</v>
      </c>
      <c r="O57">
        <v>0</v>
      </c>
      <c r="Q57">
        <v>0</v>
      </c>
      <c r="S57">
        <v>0</v>
      </c>
      <c r="T57">
        <v>2</v>
      </c>
      <c r="U57" s="118">
        <v>45544.602083333331</v>
      </c>
    </row>
    <row r="58" spans="1:21">
      <c r="A58">
        <v>59</v>
      </c>
      <c r="B58">
        <v>0</v>
      </c>
      <c r="C58" t="s">
        <v>140</v>
      </c>
      <c r="D58" t="s">
        <v>140</v>
      </c>
      <c r="E58" s="120"/>
      <c r="F58">
        <v>0</v>
      </c>
      <c r="G58">
        <v>1</v>
      </c>
      <c r="H58">
        <v>2</v>
      </c>
      <c r="I58">
        <v>0</v>
      </c>
      <c r="J58" t="s">
        <v>135</v>
      </c>
      <c r="K58">
        <v>0</v>
      </c>
      <c r="L58" t="s">
        <v>138</v>
      </c>
      <c r="M58">
        <v>0</v>
      </c>
      <c r="O58">
        <v>0</v>
      </c>
      <c r="T58">
        <v>2</v>
      </c>
      <c r="U58" s="118">
        <v>40823.699305555558</v>
      </c>
    </row>
    <row r="59" spans="1:21">
      <c r="A59">
        <v>60</v>
      </c>
      <c r="B59">
        <v>1</v>
      </c>
      <c r="C59" t="s">
        <v>141</v>
      </c>
      <c r="D59" t="s">
        <v>142</v>
      </c>
      <c r="E59" s="120">
        <v>200</v>
      </c>
      <c r="F59">
        <v>61</v>
      </c>
      <c r="G59">
        <v>1</v>
      </c>
      <c r="H59">
        <v>2</v>
      </c>
      <c r="I59">
        <v>21</v>
      </c>
      <c r="J59" t="s">
        <v>72</v>
      </c>
      <c r="K59">
        <v>1</v>
      </c>
      <c r="L59" t="s">
        <v>138</v>
      </c>
      <c r="M59">
        <v>0</v>
      </c>
      <c r="N59" t="s">
        <v>143</v>
      </c>
      <c r="O59">
        <v>0</v>
      </c>
      <c r="Q59">
        <v>0</v>
      </c>
      <c r="S59">
        <v>0</v>
      </c>
      <c r="T59">
        <v>2</v>
      </c>
      <c r="U59" s="118">
        <v>42782.45208333333</v>
      </c>
    </row>
    <row r="60" spans="1:21">
      <c r="A60">
        <v>61</v>
      </c>
      <c r="B60">
        <v>0</v>
      </c>
      <c r="C60" t="s">
        <v>144</v>
      </c>
      <c r="D60" t="s">
        <v>144</v>
      </c>
      <c r="E60" s="120">
        <v>200</v>
      </c>
      <c r="F60">
        <v>0</v>
      </c>
      <c r="G60">
        <v>1</v>
      </c>
      <c r="H60">
        <v>2</v>
      </c>
      <c r="I60">
        <v>0</v>
      </c>
      <c r="J60" t="s">
        <v>72</v>
      </c>
      <c r="K60">
        <v>1</v>
      </c>
      <c r="L60" t="s">
        <v>138</v>
      </c>
      <c r="M60">
        <v>0</v>
      </c>
      <c r="N60" t="s">
        <v>143</v>
      </c>
      <c r="O60">
        <v>0</v>
      </c>
      <c r="T60">
        <v>2</v>
      </c>
      <c r="U60" s="118">
        <v>40823.700694444437</v>
      </c>
    </row>
    <row r="61" spans="1:21">
      <c r="A61">
        <v>62</v>
      </c>
      <c r="B61">
        <v>1</v>
      </c>
      <c r="C61" t="s">
        <v>145</v>
      </c>
      <c r="D61" t="s">
        <v>146</v>
      </c>
      <c r="E61" s="120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118">
        <v>45404.693749999999</v>
      </c>
    </row>
    <row r="62" spans="1:21">
      <c r="A62">
        <v>63</v>
      </c>
      <c r="B62">
        <v>0</v>
      </c>
      <c r="C62" t="s">
        <v>147</v>
      </c>
      <c r="D62" t="s">
        <v>147</v>
      </c>
      <c r="E62" s="120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118">
        <v>41334.615972222222</v>
      </c>
    </row>
    <row r="63" spans="1:21">
      <c r="A63">
        <v>64</v>
      </c>
      <c r="B63">
        <v>1</v>
      </c>
      <c r="C63" t="s">
        <v>148</v>
      </c>
      <c r="D63" t="s">
        <v>149</v>
      </c>
      <c r="E63" s="120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118">
        <v>42054.589583333327</v>
      </c>
    </row>
    <row r="64" spans="1:21">
      <c r="A64">
        <v>65</v>
      </c>
      <c r="B64">
        <v>0</v>
      </c>
      <c r="C64" t="s">
        <v>150</v>
      </c>
      <c r="D64" t="s">
        <v>150</v>
      </c>
      <c r="E64" s="120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118">
        <v>42054.594444444447</v>
      </c>
    </row>
    <row r="65" spans="1:21">
      <c r="A65">
        <v>66</v>
      </c>
      <c r="B65">
        <v>1</v>
      </c>
      <c r="C65" t="s">
        <v>151</v>
      </c>
      <c r="D65" t="s">
        <v>152</v>
      </c>
      <c r="E65" s="120"/>
      <c r="F65">
        <v>67</v>
      </c>
      <c r="G65">
        <v>1</v>
      </c>
      <c r="H65">
        <v>2</v>
      </c>
      <c r="I65">
        <v>0</v>
      </c>
      <c r="J65" t="s">
        <v>153</v>
      </c>
      <c r="K65">
        <v>0</v>
      </c>
      <c r="L65" t="s">
        <v>154</v>
      </c>
      <c r="M65">
        <v>0</v>
      </c>
      <c r="N65" t="s">
        <v>155</v>
      </c>
      <c r="O65">
        <v>0</v>
      </c>
      <c r="P65" t="s">
        <v>156</v>
      </c>
      <c r="Q65">
        <v>0</v>
      </c>
      <c r="R65" t="s">
        <v>157</v>
      </c>
      <c r="S65">
        <v>0</v>
      </c>
      <c r="T65">
        <v>2</v>
      </c>
      <c r="U65" s="118">
        <v>41059.626388888893</v>
      </c>
    </row>
    <row r="66" spans="1:21">
      <c r="A66">
        <v>67</v>
      </c>
      <c r="B66">
        <v>0</v>
      </c>
      <c r="C66" t="s">
        <v>158</v>
      </c>
      <c r="D66" t="s">
        <v>158</v>
      </c>
      <c r="E66" s="120"/>
      <c r="F66">
        <v>0</v>
      </c>
      <c r="G66">
        <v>1</v>
      </c>
      <c r="H66">
        <v>2</v>
      </c>
      <c r="I66">
        <v>0</v>
      </c>
      <c r="J66" t="s">
        <v>89</v>
      </c>
      <c r="K66">
        <v>0</v>
      </c>
      <c r="M66">
        <v>0</v>
      </c>
      <c r="O66">
        <v>0</v>
      </c>
      <c r="T66">
        <v>2</v>
      </c>
      <c r="U66" s="118">
        <v>40823.701388888891</v>
      </c>
    </row>
    <row r="67" spans="1:21">
      <c r="A67">
        <v>68</v>
      </c>
      <c r="B67">
        <v>0</v>
      </c>
      <c r="C67" t="s">
        <v>158</v>
      </c>
      <c r="D67" t="s">
        <v>159</v>
      </c>
      <c r="E67" s="120"/>
      <c r="F67">
        <v>68</v>
      </c>
      <c r="G67">
        <v>1</v>
      </c>
      <c r="H67">
        <v>2</v>
      </c>
      <c r="I67">
        <v>0</v>
      </c>
      <c r="J67" t="s">
        <v>89</v>
      </c>
      <c r="K67">
        <v>0</v>
      </c>
      <c r="M67">
        <v>0</v>
      </c>
      <c r="O67">
        <v>0</v>
      </c>
      <c r="T67">
        <v>2</v>
      </c>
      <c r="U67" s="118">
        <v>40823.701388888891</v>
      </c>
    </row>
    <row r="68" spans="1:21">
      <c r="A68">
        <v>69</v>
      </c>
      <c r="B68">
        <v>1</v>
      </c>
      <c r="C68" t="s">
        <v>160</v>
      </c>
      <c r="D68" t="s">
        <v>161</v>
      </c>
      <c r="E68" s="120"/>
      <c r="F68">
        <v>70</v>
      </c>
      <c r="G68">
        <v>1</v>
      </c>
      <c r="H68">
        <v>2</v>
      </c>
      <c r="I68">
        <v>0</v>
      </c>
      <c r="J68" t="s">
        <v>161</v>
      </c>
      <c r="K68">
        <v>1</v>
      </c>
      <c r="L68" t="s">
        <v>89</v>
      </c>
      <c r="M68">
        <v>0</v>
      </c>
      <c r="O68">
        <v>0</v>
      </c>
      <c r="Q68">
        <v>0</v>
      </c>
      <c r="S68">
        <v>0</v>
      </c>
      <c r="T68">
        <v>2</v>
      </c>
      <c r="U68" s="118">
        <v>44490.711805555547</v>
      </c>
    </row>
    <row r="69" spans="1:21">
      <c r="A69">
        <v>70</v>
      </c>
      <c r="B69">
        <v>0</v>
      </c>
      <c r="C69" t="s">
        <v>162</v>
      </c>
      <c r="D69" t="s">
        <v>162</v>
      </c>
      <c r="E69" s="120"/>
      <c r="F69">
        <v>0</v>
      </c>
      <c r="G69">
        <v>1</v>
      </c>
      <c r="H69">
        <v>2</v>
      </c>
      <c r="I69">
        <v>0</v>
      </c>
      <c r="J69" t="s">
        <v>161</v>
      </c>
      <c r="K69">
        <v>1</v>
      </c>
      <c r="L69" t="s">
        <v>89</v>
      </c>
      <c r="M69">
        <v>0</v>
      </c>
      <c r="O69">
        <v>0</v>
      </c>
      <c r="T69">
        <v>2</v>
      </c>
      <c r="U69" s="118">
        <v>40823.726388888892</v>
      </c>
    </row>
    <row r="70" spans="1:21">
      <c r="A70">
        <v>71</v>
      </c>
      <c r="B70">
        <v>0</v>
      </c>
      <c r="C70" t="s">
        <v>162</v>
      </c>
      <c r="D70" t="s">
        <v>163</v>
      </c>
      <c r="E70" s="120"/>
      <c r="F70">
        <v>71</v>
      </c>
      <c r="G70">
        <v>1</v>
      </c>
      <c r="H70">
        <v>2</v>
      </c>
      <c r="I70">
        <v>0</v>
      </c>
      <c r="J70" t="s">
        <v>161</v>
      </c>
      <c r="K70">
        <v>1</v>
      </c>
      <c r="L70" t="s">
        <v>89</v>
      </c>
      <c r="M70">
        <v>0</v>
      </c>
      <c r="O70">
        <v>0</v>
      </c>
      <c r="T70">
        <v>2</v>
      </c>
      <c r="U70" s="118">
        <v>40823.726388888892</v>
      </c>
    </row>
    <row r="71" spans="1:21">
      <c r="A71">
        <v>72</v>
      </c>
      <c r="B71">
        <v>1</v>
      </c>
      <c r="C71" t="s">
        <v>164</v>
      </c>
      <c r="D71" t="s">
        <v>165</v>
      </c>
      <c r="E71" s="120"/>
      <c r="F71">
        <v>73</v>
      </c>
      <c r="G71">
        <v>1</v>
      </c>
      <c r="H71">
        <v>2</v>
      </c>
      <c r="I71">
        <v>0</v>
      </c>
      <c r="J71" t="s">
        <v>165</v>
      </c>
      <c r="K71">
        <v>1</v>
      </c>
      <c r="L71" t="s">
        <v>89</v>
      </c>
      <c r="M71">
        <v>0</v>
      </c>
      <c r="O71">
        <v>0</v>
      </c>
      <c r="Q71">
        <v>0</v>
      </c>
      <c r="S71">
        <v>0</v>
      </c>
      <c r="T71">
        <v>2</v>
      </c>
      <c r="U71" s="118">
        <v>40857.59652777778</v>
      </c>
    </row>
    <row r="72" spans="1:21">
      <c r="A72">
        <v>73</v>
      </c>
      <c r="B72">
        <v>0</v>
      </c>
      <c r="C72" t="s">
        <v>166</v>
      </c>
      <c r="D72" t="s">
        <v>166</v>
      </c>
      <c r="E72" s="120"/>
      <c r="F72">
        <v>0</v>
      </c>
      <c r="G72">
        <v>1</v>
      </c>
      <c r="H72">
        <v>2</v>
      </c>
      <c r="I72">
        <v>0</v>
      </c>
      <c r="J72" t="s">
        <v>165</v>
      </c>
      <c r="K72">
        <v>1</v>
      </c>
      <c r="L72" t="s">
        <v>89</v>
      </c>
      <c r="M72">
        <v>0</v>
      </c>
      <c r="O72">
        <v>0</v>
      </c>
      <c r="T72">
        <v>2</v>
      </c>
      <c r="U72" s="118">
        <v>40823.725694444453</v>
      </c>
    </row>
    <row r="73" spans="1:21">
      <c r="A73">
        <v>74</v>
      </c>
      <c r="B73">
        <v>0</v>
      </c>
      <c r="C73" t="s">
        <v>166</v>
      </c>
      <c r="D73" t="s">
        <v>167</v>
      </c>
      <c r="E73" s="120"/>
      <c r="F73">
        <v>74</v>
      </c>
      <c r="G73">
        <v>1</v>
      </c>
      <c r="H73">
        <v>2</v>
      </c>
      <c r="I73">
        <v>0</v>
      </c>
      <c r="J73" t="s">
        <v>165</v>
      </c>
      <c r="K73">
        <v>1</v>
      </c>
      <c r="L73" t="s">
        <v>89</v>
      </c>
      <c r="M73">
        <v>0</v>
      </c>
      <c r="O73">
        <v>0</v>
      </c>
      <c r="T73">
        <v>2</v>
      </c>
      <c r="U73" s="118">
        <v>40823.726388888892</v>
      </c>
    </row>
    <row r="74" spans="1:21">
      <c r="A74">
        <v>75</v>
      </c>
      <c r="B74">
        <v>1</v>
      </c>
      <c r="C74" t="s">
        <v>168</v>
      </c>
      <c r="D74" t="s">
        <v>169</v>
      </c>
      <c r="E74" s="120"/>
      <c r="F74">
        <v>76</v>
      </c>
      <c r="G74">
        <v>1</v>
      </c>
      <c r="H74">
        <v>2</v>
      </c>
      <c r="I74">
        <v>0</v>
      </c>
      <c r="J74" t="s">
        <v>169</v>
      </c>
      <c r="K74">
        <v>1</v>
      </c>
      <c r="L74" t="s">
        <v>89</v>
      </c>
      <c r="M74">
        <v>0</v>
      </c>
      <c r="O74">
        <v>0</v>
      </c>
      <c r="Q74">
        <v>0</v>
      </c>
      <c r="S74">
        <v>0</v>
      </c>
      <c r="T74">
        <v>2</v>
      </c>
      <c r="U74" s="118">
        <v>40857.59652777778</v>
      </c>
    </row>
    <row r="75" spans="1:21">
      <c r="A75">
        <v>76</v>
      </c>
      <c r="B75">
        <v>0</v>
      </c>
      <c r="C75" t="s">
        <v>170</v>
      </c>
      <c r="D75" t="s">
        <v>170</v>
      </c>
      <c r="E75" s="120"/>
      <c r="F75">
        <v>0</v>
      </c>
      <c r="G75">
        <v>1</v>
      </c>
      <c r="H75">
        <v>2</v>
      </c>
      <c r="I75">
        <v>0</v>
      </c>
      <c r="J75" t="s">
        <v>169</v>
      </c>
      <c r="K75">
        <v>1</v>
      </c>
      <c r="L75" t="s">
        <v>89</v>
      </c>
      <c r="M75">
        <v>0</v>
      </c>
      <c r="O75">
        <v>0</v>
      </c>
      <c r="T75">
        <v>2</v>
      </c>
      <c r="U75" s="118">
        <v>40823.736805555563</v>
      </c>
    </row>
    <row r="76" spans="1:21">
      <c r="A76">
        <v>77</v>
      </c>
      <c r="B76">
        <v>0</v>
      </c>
      <c r="C76" t="s">
        <v>170</v>
      </c>
      <c r="D76" t="s">
        <v>171</v>
      </c>
      <c r="E76" s="120"/>
      <c r="F76">
        <v>77</v>
      </c>
      <c r="G76">
        <v>1</v>
      </c>
      <c r="H76">
        <v>2</v>
      </c>
      <c r="I76">
        <v>0</v>
      </c>
      <c r="J76" t="s">
        <v>169</v>
      </c>
      <c r="K76">
        <v>1</v>
      </c>
      <c r="L76" t="s">
        <v>89</v>
      </c>
      <c r="M76">
        <v>0</v>
      </c>
      <c r="O76">
        <v>0</v>
      </c>
      <c r="T76">
        <v>2</v>
      </c>
      <c r="U76" s="118">
        <v>40823.736805555563</v>
      </c>
    </row>
    <row r="77" spans="1:21">
      <c r="A77">
        <v>78</v>
      </c>
      <c r="B77">
        <v>1</v>
      </c>
      <c r="C77" t="s">
        <v>172</v>
      </c>
      <c r="D77" t="s">
        <v>173</v>
      </c>
      <c r="E77" s="120"/>
      <c r="F77">
        <v>79</v>
      </c>
      <c r="G77">
        <v>1</v>
      </c>
      <c r="H77">
        <v>2</v>
      </c>
      <c r="I77">
        <v>0</v>
      </c>
      <c r="J77" t="s">
        <v>72</v>
      </c>
      <c r="K77">
        <v>1</v>
      </c>
      <c r="L77" t="s">
        <v>89</v>
      </c>
      <c r="M77">
        <v>0</v>
      </c>
      <c r="N77" t="s">
        <v>174</v>
      </c>
      <c r="O77">
        <v>0</v>
      </c>
      <c r="Q77">
        <v>0</v>
      </c>
      <c r="S77">
        <v>0</v>
      </c>
      <c r="T77">
        <v>2</v>
      </c>
      <c r="U77" s="118">
        <v>40891.716666666667</v>
      </c>
    </row>
    <row r="78" spans="1:21">
      <c r="A78">
        <v>79</v>
      </c>
      <c r="B78">
        <v>0</v>
      </c>
      <c r="C78" t="s">
        <v>175</v>
      </c>
      <c r="D78" t="s">
        <v>175</v>
      </c>
      <c r="E78" s="120"/>
      <c r="F78">
        <v>0</v>
      </c>
      <c r="G78">
        <v>1</v>
      </c>
      <c r="H78">
        <v>2</v>
      </c>
      <c r="I78">
        <v>0</v>
      </c>
      <c r="J78" t="s">
        <v>72</v>
      </c>
      <c r="K78">
        <v>1</v>
      </c>
      <c r="L78" t="s">
        <v>89</v>
      </c>
      <c r="M78">
        <v>0</v>
      </c>
      <c r="N78" t="s">
        <v>173</v>
      </c>
      <c r="O78">
        <v>0</v>
      </c>
      <c r="T78">
        <v>2</v>
      </c>
      <c r="U78" s="118">
        <v>40823.737500000003</v>
      </c>
    </row>
    <row r="79" spans="1:21">
      <c r="A79">
        <v>80</v>
      </c>
      <c r="B79">
        <v>0</v>
      </c>
      <c r="C79" t="s">
        <v>175</v>
      </c>
      <c r="D79" t="s">
        <v>176</v>
      </c>
      <c r="E79" s="120"/>
      <c r="F79">
        <v>80</v>
      </c>
      <c r="G79">
        <v>1</v>
      </c>
      <c r="H79">
        <v>2</v>
      </c>
      <c r="I79">
        <v>0</v>
      </c>
      <c r="J79" t="s">
        <v>72</v>
      </c>
      <c r="K79">
        <v>1</v>
      </c>
      <c r="L79" t="s">
        <v>89</v>
      </c>
      <c r="M79">
        <v>0</v>
      </c>
      <c r="N79" t="s">
        <v>173</v>
      </c>
      <c r="O79">
        <v>0</v>
      </c>
      <c r="T79">
        <v>2</v>
      </c>
      <c r="U79" s="118">
        <v>40823.737500000003</v>
      </c>
    </row>
    <row r="80" spans="1:21">
      <c r="A80">
        <v>81</v>
      </c>
      <c r="B80">
        <v>1</v>
      </c>
      <c r="C80" t="s">
        <v>177</v>
      </c>
      <c r="D80" t="s">
        <v>178</v>
      </c>
      <c r="E80" s="120"/>
      <c r="F80">
        <v>82</v>
      </c>
      <c r="G80">
        <v>1</v>
      </c>
      <c r="H80">
        <v>2</v>
      </c>
      <c r="I80">
        <v>0</v>
      </c>
      <c r="J80" t="s">
        <v>72</v>
      </c>
      <c r="K80">
        <v>1</v>
      </c>
      <c r="L80" t="s">
        <v>89</v>
      </c>
      <c r="M80">
        <v>0</v>
      </c>
      <c r="N80" t="s">
        <v>178</v>
      </c>
      <c r="O80">
        <v>0</v>
      </c>
      <c r="Q80">
        <v>0</v>
      </c>
      <c r="S80">
        <v>0</v>
      </c>
      <c r="T80">
        <v>2</v>
      </c>
      <c r="U80" s="118">
        <v>40857.59652777778</v>
      </c>
    </row>
    <row r="81" spans="1:21">
      <c r="A81">
        <v>82</v>
      </c>
      <c r="B81">
        <v>0</v>
      </c>
      <c r="C81" t="s">
        <v>179</v>
      </c>
      <c r="D81" t="s">
        <v>179</v>
      </c>
      <c r="E81" s="120"/>
      <c r="F81">
        <v>0</v>
      </c>
      <c r="G81">
        <v>1</v>
      </c>
      <c r="H81">
        <v>2</v>
      </c>
      <c r="I81">
        <v>0</v>
      </c>
      <c r="J81" t="s">
        <v>72</v>
      </c>
      <c r="K81">
        <v>1</v>
      </c>
      <c r="L81" t="s">
        <v>89</v>
      </c>
      <c r="M81">
        <v>0</v>
      </c>
      <c r="N81" t="s">
        <v>178</v>
      </c>
      <c r="O81">
        <v>0</v>
      </c>
      <c r="T81">
        <v>2</v>
      </c>
      <c r="U81" s="118">
        <v>40823.738194444442</v>
      </c>
    </row>
    <row r="82" spans="1:21">
      <c r="A82">
        <v>83</v>
      </c>
      <c r="B82">
        <v>0</v>
      </c>
      <c r="C82" t="s">
        <v>179</v>
      </c>
      <c r="D82" t="s">
        <v>180</v>
      </c>
      <c r="E82" s="120"/>
      <c r="F82">
        <v>83</v>
      </c>
      <c r="G82">
        <v>1</v>
      </c>
      <c r="H82">
        <v>2</v>
      </c>
      <c r="I82">
        <v>0</v>
      </c>
      <c r="J82" t="s">
        <v>72</v>
      </c>
      <c r="K82">
        <v>1</v>
      </c>
      <c r="L82" t="s">
        <v>89</v>
      </c>
      <c r="M82">
        <v>0</v>
      </c>
      <c r="N82" t="s">
        <v>178</v>
      </c>
      <c r="O82">
        <v>0</v>
      </c>
      <c r="T82">
        <v>2</v>
      </c>
      <c r="U82" s="118">
        <v>40823.738194444442</v>
      </c>
    </row>
    <row r="83" spans="1:21">
      <c r="A83">
        <v>84</v>
      </c>
      <c r="B83">
        <v>1</v>
      </c>
      <c r="C83" t="s">
        <v>181</v>
      </c>
      <c r="D83" t="s">
        <v>182</v>
      </c>
      <c r="E83" s="120"/>
      <c r="F83">
        <v>85</v>
      </c>
      <c r="G83">
        <v>1</v>
      </c>
      <c r="H83">
        <v>2</v>
      </c>
      <c r="I83">
        <v>0</v>
      </c>
      <c r="J83" t="s">
        <v>72</v>
      </c>
      <c r="K83">
        <v>1</v>
      </c>
      <c r="L83" t="s">
        <v>89</v>
      </c>
      <c r="M83">
        <v>0</v>
      </c>
      <c r="N83" t="s">
        <v>182</v>
      </c>
      <c r="O83">
        <v>0</v>
      </c>
      <c r="Q83">
        <v>0</v>
      </c>
      <c r="S83">
        <v>0</v>
      </c>
      <c r="T83">
        <v>2</v>
      </c>
      <c r="U83" s="118">
        <v>40857.59652777778</v>
      </c>
    </row>
    <row r="84" spans="1:21">
      <c r="A84">
        <v>85</v>
      </c>
      <c r="B84">
        <v>0</v>
      </c>
      <c r="C84" t="s">
        <v>183</v>
      </c>
      <c r="D84" t="s">
        <v>183</v>
      </c>
      <c r="E84" s="120"/>
      <c r="F84">
        <v>0</v>
      </c>
      <c r="G84">
        <v>1</v>
      </c>
      <c r="H84">
        <v>2</v>
      </c>
      <c r="I84">
        <v>0</v>
      </c>
      <c r="J84" t="s">
        <v>72</v>
      </c>
      <c r="K84">
        <v>1</v>
      </c>
      <c r="L84" t="s">
        <v>89</v>
      </c>
      <c r="M84">
        <v>0</v>
      </c>
      <c r="N84" t="s">
        <v>182</v>
      </c>
      <c r="O84">
        <v>0</v>
      </c>
      <c r="T84">
        <v>2</v>
      </c>
      <c r="U84" s="118">
        <v>40823.738194444442</v>
      </c>
    </row>
    <row r="85" spans="1:21">
      <c r="A85">
        <v>86</v>
      </c>
      <c r="B85">
        <v>0</v>
      </c>
      <c r="C85" t="s">
        <v>183</v>
      </c>
      <c r="D85" t="s">
        <v>184</v>
      </c>
      <c r="E85" s="120"/>
      <c r="F85">
        <v>86</v>
      </c>
      <c r="G85">
        <v>1</v>
      </c>
      <c r="H85">
        <v>2</v>
      </c>
      <c r="I85">
        <v>0</v>
      </c>
      <c r="J85" t="s">
        <v>72</v>
      </c>
      <c r="K85">
        <v>1</v>
      </c>
      <c r="L85" t="s">
        <v>89</v>
      </c>
      <c r="M85">
        <v>0</v>
      </c>
      <c r="N85" t="s">
        <v>182</v>
      </c>
      <c r="O85">
        <v>0</v>
      </c>
      <c r="T85">
        <v>2</v>
      </c>
      <c r="U85" s="118">
        <v>40823.738888888889</v>
      </c>
    </row>
    <row r="86" spans="1:21">
      <c r="A86">
        <v>87</v>
      </c>
      <c r="B86">
        <v>1</v>
      </c>
      <c r="C86" t="s">
        <v>185</v>
      </c>
      <c r="D86" t="s">
        <v>186</v>
      </c>
      <c r="E86" s="120"/>
      <c r="F86">
        <v>88</v>
      </c>
      <c r="G86">
        <v>1</v>
      </c>
      <c r="H86">
        <v>2</v>
      </c>
      <c r="I86">
        <v>0</v>
      </c>
      <c r="J86" t="s">
        <v>72</v>
      </c>
      <c r="K86">
        <v>1</v>
      </c>
      <c r="L86" t="s">
        <v>186</v>
      </c>
      <c r="M86">
        <v>0</v>
      </c>
      <c r="N86" t="s">
        <v>89</v>
      </c>
      <c r="O86">
        <v>0</v>
      </c>
      <c r="Q86">
        <v>0</v>
      </c>
      <c r="S86">
        <v>0</v>
      </c>
      <c r="T86">
        <v>2</v>
      </c>
      <c r="U86" s="118">
        <v>40857.59652777778</v>
      </c>
    </row>
    <row r="87" spans="1:21">
      <c r="A87">
        <v>88</v>
      </c>
      <c r="B87">
        <v>0</v>
      </c>
      <c r="C87" t="s">
        <v>187</v>
      </c>
      <c r="D87" t="s">
        <v>187</v>
      </c>
      <c r="E87" s="120"/>
      <c r="F87">
        <v>0</v>
      </c>
      <c r="G87">
        <v>1</v>
      </c>
      <c r="H87">
        <v>2</v>
      </c>
      <c r="I87">
        <v>0</v>
      </c>
      <c r="J87" t="s">
        <v>72</v>
      </c>
      <c r="K87">
        <v>1</v>
      </c>
      <c r="L87" t="s">
        <v>186</v>
      </c>
      <c r="M87">
        <v>0</v>
      </c>
      <c r="N87" t="s">
        <v>89</v>
      </c>
      <c r="O87">
        <v>0</v>
      </c>
      <c r="T87">
        <v>2</v>
      </c>
      <c r="U87" s="118">
        <v>40823.739583333343</v>
      </c>
    </row>
    <row r="88" spans="1:21">
      <c r="A88">
        <v>89</v>
      </c>
      <c r="B88">
        <v>0</v>
      </c>
      <c r="C88" t="s">
        <v>187</v>
      </c>
      <c r="D88" t="s">
        <v>188</v>
      </c>
      <c r="E88" s="120"/>
      <c r="F88">
        <v>89</v>
      </c>
      <c r="G88">
        <v>1</v>
      </c>
      <c r="H88">
        <v>2</v>
      </c>
      <c r="I88">
        <v>0</v>
      </c>
      <c r="J88" t="s">
        <v>72</v>
      </c>
      <c r="K88">
        <v>1</v>
      </c>
      <c r="L88" t="s">
        <v>186</v>
      </c>
      <c r="M88">
        <v>0</v>
      </c>
      <c r="N88" t="s">
        <v>89</v>
      </c>
      <c r="O88">
        <v>0</v>
      </c>
      <c r="T88">
        <v>2</v>
      </c>
      <c r="U88" s="118">
        <v>40823.740277777782</v>
      </c>
    </row>
    <row r="89" spans="1:21">
      <c r="A89">
        <v>90</v>
      </c>
      <c r="B89">
        <v>1</v>
      </c>
      <c r="C89" t="s">
        <v>189</v>
      </c>
      <c r="D89" t="s">
        <v>190</v>
      </c>
      <c r="E89" s="120"/>
      <c r="F89">
        <v>91</v>
      </c>
      <c r="G89">
        <v>1</v>
      </c>
      <c r="H89">
        <v>2</v>
      </c>
      <c r="I89">
        <v>0</v>
      </c>
      <c r="J89" t="s">
        <v>190</v>
      </c>
      <c r="K89">
        <v>0</v>
      </c>
      <c r="L89" t="s">
        <v>139</v>
      </c>
      <c r="M89">
        <v>0</v>
      </c>
      <c r="O89">
        <v>0</v>
      </c>
      <c r="Q89">
        <v>0</v>
      </c>
      <c r="S89">
        <v>0</v>
      </c>
      <c r="T89">
        <v>2</v>
      </c>
      <c r="U89" s="118">
        <v>41213.614583333343</v>
      </c>
    </row>
    <row r="90" spans="1:21">
      <c r="A90">
        <v>91</v>
      </c>
      <c r="B90">
        <v>0</v>
      </c>
      <c r="C90" t="s">
        <v>191</v>
      </c>
      <c r="D90" t="s">
        <v>191</v>
      </c>
      <c r="E90" s="120"/>
      <c r="F90">
        <v>0</v>
      </c>
      <c r="G90">
        <v>1</v>
      </c>
      <c r="H90">
        <v>2</v>
      </c>
      <c r="I90">
        <v>0</v>
      </c>
      <c r="J90" t="s">
        <v>190</v>
      </c>
      <c r="K90">
        <v>0</v>
      </c>
      <c r="L90" t="s">
        <v>139</v>
      </c>
      <c r="M90">
        <v>0</v>
      </c>
      <c r="O90">
        <v>0</v>
      </c>
      <c r="T90">
        <v>2</v>
      </c>
      <c r="U90" s="118">
        <v>40823.740972222222</v>
      </c>
    </row>
    <row r="91" spans="1:21">
      <c r="A91">
        <v>92</v>
      </c>
      <c r="B91">
        <v>0</v>
      </c>
      <c r="C91" t="s">
        <v>191</v>
      </c>
      <c r="D91" t="s">
        <v>192</v>
      </c>
      <c r="E91" s="120"/>
      <c r="F91">
        <v>92</v>
      </c>
      <c r="G91">
        <v>1</v>
      </c>
      <c r="H91">
        <v>2</v>
      </c>
      <c r="I91">
        <v>0</v>
      </c>
      <c r="J91" t="s">
        <v>190</v>
      </c>
      <c r="K91">
        <v>0</v>
      </c>
      <c r="L91" t="s">
        <v>139</v>
      </c>
      <c r="M91">
        <v>0</v>
      </c>
      <c r="O91">
        <v>0</v>
      </c>
      <c r="T91">
        <v>2</v>
      </c>
      <c r="U91" s="118">
        <v>40823.740972222222</v>
      </c>
    </row>
    <row r="92" spans="1:21">
      <c r="A92">
        <v>93</v>
      </c>
      <c r="B92">
        <v>1</v>
      </c>
      <c r="C92" t="s">
        <v>193</v>
      </c>
      <c r="D92" t="s">
        <v>194</v>
      </c>
      <c r="E92" s="120"/>
      <c r="F92">
        <v>94</v>
      </c>
      <c r="G92">
        <v>1</v>
      </c>
      <c r="H92">
        <v>2</v>
      </c>
      <c r="I92">
        <v>0</v>
      </c>
      <c r="J92" t="s">
        <v>194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118">
        <v>40932.67291666667</v>
      </c>
    </row>
    <row r="93" spans="1:21">
      <c r="A93">
        <v>94</v>
      </c>
      <c r="B93">
        <v>0</v>
      </c>
      <c r="C93" t="s">
        <v>195</v>
      </c>
      <c r="D93" t="s">
        <v>195</v>
      </c>
      <c r="E93" s="120"/>
      <c r="F93">
        <v>0</v>
      </c>
      <c r="G93">
        <v>1</v>
      </c>
      <c r="H93">
        <v>2</v>
      </c>
      <c r="I93">
        <v>0</v>
      </c>
      <c r="J93" t="s">
        <v>194</v>
      </c>
      <c r="K93">
        <v>1</v>
      </c>
      <c r="L93" t="s">
        <v>89</v>
      </c>
      <c r="M93">
        <v>0</v>
      </c>
      <c r="O93">
        <v>0</v>
      </c>
      <c r="T93">
        <v>2</v>
      </c>
      <c r="U93" s="118">
        <v>40823.741666666669</v>
      </c>
    </row>
    <row r="94" spans="1:21">
      <c r="A94">
        <v>95</v>
      </c>
      <c r="B94">
        <v>0</v>
      </c>
      <c r="C94" t="s">
        <v>195</v>
      </c>
      <c r="D94" t="s">
        <v>196</v>
      </c>
      <c r="E94" s="120"/>
      <c r="F94">
        <v>95</v>
      </c>
      <c r="G94">
        <v>1</v>
      </c>
      <c r="H94">
        <v>2</v>
      </c>
      <c r="I94">
        <v>0</v>
      </c>
      <c r="J94" t="s">
        <v>194</v>
      </c>
      <c r="K94">
        <v>1</v>
      </c>
      <c r="L94" t="s">
        <v>89</v>
      </c>
      <c r="M94">
        <v>0</v>
      </c>
      <c r="O94">
        <v>0</v>
      </c>
      <c r="T94">
        <v>2</v>
      </c>
      <c r="U94" s="118">
        <v>40823.741666666669</v>
      </c>
    </row>
    <row r="95" spans="1:21">
      <c r="A95">
        <v>96</v>
      </c>
      <c r="B95">
        <v>1</v>
      </c>
      <c r="C95" t="s">
        <v>197</v>
      </c>
      <c r="D95" t="s">
        <v>72</v>
      </c>
      <c r="E95" s="120"/>
      <c r="F95">
        <v>97</v>
      </c>
      <c r="G95">
        <v>1</v>
      </c>
      <c r="H95">
        <v>2</v>
      </c>
      <c r="I95">
        <v>0</v>
      </c>
      <c r="J95" t="s">
        <v>72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118">
        <v>42191.624305555553</v>
      </c>
    </row>
    <row r="96" spans="1:21">
      <c r="A96">
        <v>97</v>
      </c>
      <c r="B96">
        <v>0</v>
      </c>
      <c r="C96" t="s">
        <v>198</v>
      </c>
      <c r="D96" t="s">
        <v>198</v>
      </c>
      <c r="E96" s="120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118">
        <v>41815.463194444441</v>
      </c>
    </row>
    <row r="97" spans="1:21">
      <c r="A97">
        <v>98</v>
      </c>
      <c r="B97">
        <v>1</v>
      </c>
      <c r="C97" t="s">
        <v>199</v>
      </c>
      <c r="D97" t="s">
        <v>18</v>
      </c>
      <c r="E97" s="120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118">
        <v>40857.597222222219</v>
      </c>
    </row>
    <row r="98" spans="1:21">
      <c r="A98">
        <v>99</v>
      </c>
      <c r="B98">
        <v>0</v>
      </c>
      <c r="C98" t="s">
        <v>200</v>
      </c>
      <c r="D98" t="s">
        <v>200</v>
      </c>
      <c r="E98" s="120"/>
      <c r="F98">
        <v>0</v>
      </c>
      <c r="G98">
        <v>1</v>
      </c>
      <c r="H98">
        <v>1</v>
      </c>
      <c r="I98">
        <v>0</v>
      </c>
      <c r="T98">
        <v>9999</v>
      </c>
      <c r="U98" s="118">
        <v>40800</v>
      </c>
    </row>
    <row r="99" spans="1:21">
      <c r="A99">
        <v>100</v>
      </c>
      <c r="B99">
        <v>1</v>
      </c>
      <c r="C99" t="s">
        <v>201</v>
      </c>
      <c r="D99" t="s">
        <v>201</v>
      </c>
      <c r="E99" s="120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118">
        <v>44831.722916666673</v>
      </c>
    </row>
    <row r="100" spans="1:21">
      <c r="A100">
        <v>101</v>
      </c>
      <c r="B100">
        <v>0</v>
      </c>
      <c r="C100" t="s">
        <v>202</v>
      </c>
      <c r="D100" t="s">
        <v>202</v>
      </c>
      <c r="E100" s="120"/>
      <c r="F100">
        <v>0</v>
      </c>
      <c r="G100">
        <v>1</v>
      </c>
      <c r="H100">
        <v>1</v>
      </c>
      <c r="I100">
        <v>0</v>
      </c>
      <c r="T100">
        <v>9999</v>
      </c>
      <c r="U100" s="118">
        <v>40800</v>
      </c>
    </row>
    <row r="101" spans="1:21">
      <c r="A101">
        <v>102</v>
      </c>
      <c r="B101">
        <v>1</v>
      </c>
      <c r="C101" t="s">
        <v>203</v>
      </c>
      <c r="D101" t="s">
        <v>204</v>
      </c>
      <c r="E101" s="120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118">
        <v>43999.628472222219</v>
      </c>
    </row>
    <row r="102" spans="1:21">
      <c r="A102">
        <v>103</v>
      </c>
      <c r="B102">
        <v>0</v>
      </c>
      <c r="C102" t="s">
        <v>205</v>
      </c>
      <c r="D102" t="s">
        <v>204</v>
      </c>
      <c r="E102" s="120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118">
        <v>43999.628472222219</v>
      </c>
    </row>
    <row r="103" spans="1:21">
      <c r="A103">
        <v>104</v>
      </c>
      <c r="B103">
        <v>1</v>
      </c>
      <c r="C103" t="s">
        <v>206</v>
      </c>
      <c r="D103" t="s">
        <v>207</v>
      </c>
      <c r="E103" s="120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118">
        <v>43999.629166666673</v>
      </c>
    </row>
    <row r="104" spans="1:21">
      <c r="A104">
        <v>105</v>
      </c>
      <c r="B104">
        <v>0</v>
      </c>
      <c r="C104" t="s">
        <v>208</v>
      </c>
      <c r="D104" t="s">
        <v>207</v>
      </c>
      <c r="E104" s="120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118">
        <v>43999.629166666673</v>
      </c>
    </row>
    <row r="105" spans="1:21">
      <c r="A105">
        <v>106</v>
      </c>
      <c r="B105">
        <v>1</v>
      </c>
      <c r="C105" t="s">
        <v>209</v>
      </c>
      <c r="D105" t="s">
        <v>210</v>
      </c>
      <c r="E105" s="120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118">
        <v>43999.629166666673</v>
      </c>
    </row>
    <row r="106" spans="1:21">
      <c r="A106">
        <v>107</v>
      </c>
      <c r="B106">
        <v>0</v>
      </c>
      <c r="C106" t="s">
        <v>211</v>
      </c>
      <c r="D106" t="s">
        <v>210</v>
      </c>
      <c r="E106" s="120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118">
        <v>43999.629166666673</v>
      </c>
    </row>
    <row r="107" spans="1:21">
      <c r="A107">
        <v>108</v>
      </c>
      <c r="B107">
        <v>1</v>
      </c>
      <c r="C107" t="s">
        <v>212</v>
      </c>
      <c r="D107" t="s">
        <v>212</v>
      </c>
      <c r="E107" s="120"/>
      <c r="F107">
        <v>109</v>
      </c>
      <c r="G107">
        <v>3</v>
      </c>
      <c r="H107">
        <v>0</v>
      </c>
      <c r="I107">
        <v>0</v>
      </c>
      <c r="T107">
        <v>9999</v>
      </c>
      <c r="U107" s="118">
        <v>40800</v>
      </c>
    </row>
    <row r="108" spans="1:21">
      <c r="A108">
        <v>109</v>
      </c>
      <c r="B108">
        <v>0</v>
      </c>
      <c r="C108" t="s">
        <v>213</v>
      </c>
      <c r="D108" t="s">
        <v>213</v>
      </c>
      <c r="E108" s="120"/>
      <c r="F108">
        <v>0</v>
      </c>
      <c r="G108">
        <v>3</v>
      </c>
      <c r="H108">
        <v>0</v>
      </c>
      <c r="I108">
        <v>0</v>
      </c>
      <c r="T108">
        <v>9999</v>
      </c>
      <c r="U108" s="118">
        <v>40800</v>
      </c>
    </row>
    <row r="109" spans="1:21">
      <c r="A109">
        <v>110</v>
      </c>
      <c r="B109">
        <v>1</v>
      </c>
      <c r="C109" t="s">
        <v>214</v>
      </c>
      <c r="D109" t="s">
        <v>215</v>
      </c>
      <c r="E109" s="120"/>
      <c r="F109">
        <v>111</v>
      </c>
      <c r="G109">
        <v>1</v>
      </c>
      <c r="H109">
        <v>2</v>
      </c>
      <c r="I109">
        <v>0</v>
      </c>
      <c r="J109" t="s">
        <v>215</v>
      </c>
      <c r="K109">
        <v>0</v>
      </c>
      <c r="L109" t="s">
        <v>139</v>
      </c>
      <c r="M109">
        <v>0</v>
      </c>
      <c r="O109">
        <v>0</v>
      </c>
      <c r="Q109">
        <v>0</v>
      </c>
      <c r="S109">
        <v>0</v>
      </c>
      <c r="T109">
        <v>2</v>
      </c>
      <c r="U109" s="118">
        <v>41304.588194444441</v>
      </c>
    </row>
    <row r="110" spans="1:21">
      <c r="A110">
        <v>111</v>
      </c>
      <c r="B110">
        <v>0</v>
      </c>
      <c r="C110" t="s">
        <v>216</v>
      </c>
      <c r="D110" t="s">
        <v>216</v>
      </c>
      <c r="E110" s="120"/>
      <c r="F110">
        <v>0</v>
      </c>
      <c r="G110">
        <v>3</v>
      </c>
      <c r="H110">
        <v>0</v>
      </c>
      <c r="I110">
        <v>0</v>
      </c>
      <c r="T110">
        <v>9999</v>
      </c>
      <c r="U110" s="118">
        <v>40800</v>
      </c>
    </row>
    <row r="111" spans="1:21">
      <c r="A111">
        <v>112</v>
      </c>
      <c r="B111">
        <v>1</v>
      </c>
      <c r="C111" t="s">
        <v>217</v>
      </c>
      <c r="D111" t="s">
        <v>217</v>
      </c>
      <c r="E111" s="120"/>
      <c r="F111">
        <v>113</v>
      </c>
      <c r="G111">
        <v>3</v>
      </c>
      <c r="H111">
        <v>0</v>
      </c>
      <c r="I111">
        <v>0</v>
      </c>
      <c r="T111">
        <v>9999</v>
      </c>
      <c r="U111" s="118">
        <v>40800</v>
      </c>
    </row>
    <row r="112" spans="1:21">
      <c r="A112">
        <v>113</v>
      </c>
      <c r="B112">
        <v>0</v>
      </c>
      <c r="C112" t="s">
        <v>218</v>
      </c>
      <c r="D112" t="s">
        <v>218</v>
      </c>
      <c r="E112" s="120"/>
      <c r="F112">
        <v>0</v>
      </c>
      <c r="G112">
        <v>3</v>
      </c>
      <c r="H112">
        <v>0</v>
      </c>
      <c r="I112">
        <v>0</v>
      </c>
      <c r="T112">
        <v>9999</v>
      </c>
      <c r="U112" s="118">
        <v>40800</v>
      </c>
    </row>
    <row r="113" spans="1:21">
      <c r="A113">
        <v>114</v>
      </c>
      <c r="B113">
        <v>1</v>
      </c>
      <c r="C113" t="s">
        <v>15</v>
      </c>
      <c r="D113" t="s">
        <v>15</v>
      </c>
      <c r="E113" s="120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118">
        <v>42242.440972222219</v>
      </c>
    </row>
    <row r="114" spans="1:21">
      <c r="A114">
        <v>115</v>
      </c>
      <c r="B114">
        <v>1</v>
      </c>
      <c r="C114" t="s">
        <v>219</v>
      </c>
      <c r="D114" t="s">
        <v>219</v>
      </c>
      <c r="E114" s="120"/>
      <c r="F114">
        <v>0</v>
      </c>
      <c r="G114">
        <v>3</v>
      </c>
      <c r="H114">
        <v>0</v>
      </c>
      <c r="I114">
        <v>0</v>
      </c>
      <c r="J114" t="s">
        <v>219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118">
        <v>42636.577777777777</v>
      </c>
    </row>
    <row r="115" spans="1:21">
      <c r="A115">
        <v>116</v>
      </c>
      <c r="B115">
        <v>1</v>
      </c>
      <c r="C115" t="s">
        <v>220</v>
      </c>
      <c r="D115" t="s">
        <v>220</v>
      </c>
      <c r="E115" s="120"/>
      <c r="F115">
        <v>0</v>
      </c>
      <c r="G115">
        <v>3</v>
      </c>
      <c r="H115">
        <v>2</v>
      </c>
      <c r="I115">
        <v>0</v>
      </c>
      <c r="J115" t="s">
        <v>220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118">
        <v>42356.577777777777</v>
      </c>
    </row>
    <row r="116" spans="1:21">
      <c r="A116">
        <v>117</v>
      </c>
      <c r="B116">
        <v>1</v>
      </c>
      <c r="C116" t="s">
        <v>221</v>
      </c>
      <c r="D116" t="s">
        <v>221</v>
      </c>
      <c r="E116" s="120"/>
      <c r="F116">
        <v>0</v>
      </c>
      <c r="G116">
        <v>3</v>
      </c>
      <c r="H116">
        <v>0</v>
      </c>
      <c r="I116">
        <v>0</v>
      </c>
      <c r="T116">
        <v>9999</v>
      </c>
      <c r="U116" s="118">
        <v>40800</v>
      </c>
    </row>
    <row r="117" spans="1:21">
      <c r="A117">
        <v>118</v>
      </c>
      <c r="B117">
        <v>1</v>
      </c>
      <c r="C117" t="s">
        <v>222</v>
      </c>
      <c r="D117" t="s">
        <v>222</v>
      </c>
      <c r="E117" s="120"/>
      <c r="F117">
        <v>0</v>
      </c>
      <c r="G117">
        <v>3</v>
      </c>
      <c r="H117">
        <v>0</v>
      </c>
      <c r="I117">
        <v>0</v>
      </c>
      <c r="T117">
        <v>9999</v>
      </c>
      <c r="U117" s="118">
        <v>40800</v>
      </c>
    </row>
    <row r="118" spans="1:21">
      <c r="A118">
        <v>119</v>
      </c>
      <c r="B118">
        <v>1</v>
      </c>
      <c r="C118" t="s">
        <v>223</v>
      </c>
      <c r="D118" t="s">
        <v>223</v>
      </c>
      <c r="E118" s="120"/>
      <c r="F118">
        <v>0</v>
      </c>
      <c r="G118">
        <v>3</v>
      </c>
      <c r="H118">
        <v>0</v>
      </c>
      <c r="I118">
        <v>0</v>
      </c>
      <c r="T118">
        <v>9999</v>
      </c>
      <c r="U118" s="118">
        <v>40800</v>
      </c>
    </row>
    <row r="119" spans="1:21">
      <c r="A119">
        <v>120</v>
      </c>
      <c r="B119">
        <v>1</v>
      </c>
      <c r="C119" t="s">
        <v>224</v>
      </c>
      <c r="D119" t="s">
        <v>224</v>
      </c>
      <c r="E119" s="120"/>
      <c r="F119">
        <v>0</v>
      </c>
      <c r="G119">
        <v>3</v>
      </c>
      <c r="H119">
        <v>0</v>
      </c>
      <c r="I119">
        <v>0</v>
      </c>
      <c r="T119">
        <v>9999</v>
      </c>
      <c r="U119" s="118">
        <v>40800</v>
      </c>
    </row>
    <row r="120" spans="1:21">
      <c r="A120">
        <v>121</v>
      </c>
      <c r="B120">
        <v>1</v>
      </c>
      <c r="C120" t="s">
        <v>225</v>
      </c>
      <c r="D120" t="s">
        <v>225</v>
      </c>
      <c r="E120" s="120"/>
      <c r="F120">
        <v>0</v>
      </c>
      <c r="G120">
        <v>3</v>
      </c>
      <c r="H120">
        <v>0</v>
      </c>
      <c r="I120">
        <v>0</v>
      </c>
      <c r="T120">
        <v>9999</v>
      </c>
      <c r="U120" s="118">
        <v>40800</v>
      </c>
    </row>
    <row r="121" spans="1:21">
      <c r="A121">
        <v>122</v>
      </c>
      <c r="B121">
        <v>1</v>
      </c>
      <c r="C121" t="s">
        <v>226</v>
      </c>
      <c r="D121" t="s">
        <v>226</v>
      </c>
      <c r="E121" s="120"/>
      <c r="F121">
        <v>0</v>
      </c>
      <c r="G121">
        <v>3</v>
      </c>
      <c r="H121">
        <v>0</v>
      </c>
      <c r="I121">
        <v>0</v>
      </c>
      <c r="T121">
        <v>9999</v>
      </c>
      <c r="U121" s="118">
        <v>40800</v>
      </c>
    </row>
    <row r="122" spans="1:21">
      <c r="A122">
        <v>123</v>
      </c>
      <c r="B122">
        <v>0</v>
      </c>
      <c r="C122" t="s">
        <v>227</v>
      </c>
      <c r="D122" t="s">
        <v>227</v>
      </c>
      <c r="E122" s="120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118">
        <v>45030.580555555563</v>
      </c>
    </row>
    <row r="123" spans="1:21">
      <c r="A123">
        <v>124</v>
      </c>
      <c r="B123">
        <v>1</v>
      </c>
      <c r="C123" t="s">
        <v>228</v>
      </c>
      <c r="D123" t="s">
        <v>228</v>
      </c>
      <c r="E123" s="120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118">
        <v>42356.578472222223</v>
      </c>
    </row>
    <row r="124" spans="1:21">
      <c r="A124">
        <v>125</v>
      </c>
      <c r="B124">
        <v>1</v>
      </c>
      <c r="C124" t="s">
        <v>229</v>
      </c>
      <c r="D124" t="s">
        <v>229</v>
      </c>
      <c r="E124" s="120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118">
        <v>43252.563194444447</v>
      </c>
    </row>
    <row r="125" spans="1:21">
      <c r="A125">
        <v>126</v>
      </c>
      <c r="B125">
        <v>1</v>
      </c>
      <c r="C125" t="s">
        <v>230</v>
      </c>
      <c r="D125" t="s">
        <v>230</v>
      </c>
      <c r="E125" s="120"/>
      <c r="F125">
        <v>0</v>
      </c>
      <c r="G125">
        <v>3</v>
      </c>
      <c r="H125">
        <v>0</v>
      </c>
      <c r="I125">
        <v>0</v>
      </c>
      <c r="T125">
        <v>9999</v>
      </c>
      <c r="U125" s="118">
        <v>40800</v>
      </c>
    </row>
    <row r="126" spans="1:21">
      <c r="A126">
        <v>127</v>
      </c>
      <c r="B126">
        <v>1</v>
      </c>
      <c r="C126" t="s">
        <v>231</v>
      </c>
      <c r="D126" t="s">
        <v>231</v>
      </c>
      <c r="E126" s="120"/>
      <c r="F126">
        <v>0</v>
      </c>
      <c r="G126">
        <v>3</v>
      </c>
      <c r="H126">
        <v>0</v>
      </c>
      <c r="I126">
        <v>0</v>
      </c>
      <c r="T126">
        <v>9999</v>
      </c>
      <c r="U126" s="118">
        <v>40800</v>
      </c>
    </row>
    <row r="127" spans="1:21">
      <c r="A127">
        <v>128</v>
      </c>
      <c r="B127">
        <v>1</v>
      </c>
      <c r="C127" t="s">
        <v>232</v>
      </c>
      <c r="D127" t="s">
        <v>232</v>
      </c>
      <c r="E127" s="120"/>
      <c r="F127">
        <v>0</v>
      </c>
      <c r="G127">
        <v>3</v>
      </c>
      <c r="H127">
        <v>0</v>
      </c>
      <c r="I127">
        <v>0</v>
      </c>
      <c r="T127">
        <v>9999</v>
      </c>
      <c r="U127" s="118">
        <v>40800</v>
      </c>
    </row>
    <row r="128" spans="1:21">
      <c r="A128">
        <v>129</v>
      </c>
      <c r="B128">
        <v>1</v>
      </c>
      <c r="C128" t="s">
        <v>233</v>
      </c>
      <c r="D128" t="s">
        <v>233</v>
      </c>
      <c r="E128" s="120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118">
        <v>43264.604166666657</v>
      </c>
    </row>
    <row r="129" spans="1:21">
      <c r="A129">
        <v>130</v>
      </c>
      <c r="B129">
        <v>1</v>
      </c>
      <c r="C129" t="s">
        <v>234</v>
      </c>
      <c r="D129" t="s">
        <v>234</v>
      </c>
      <c r="E129" s="120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118">
        <v>42535.40902777778</v>
      </c>
    </row>
    <row r="130" spans="1:21">
      <c r="A130">
        <v>131</v>
      </c>
      <c r="B130">
        <v>1</v>
      </c>
      <c r="C130" t="s">
        <v>235</v>
      </c>
      <c r="D130" t="s">
        <v>235</v>
      </c>
      <c r="E130" s="120"/>
      <c r="F130">
        <v>0</v>
      </c>
      <c r="G130">
        <v>3</v>
      </c>
      <c r="H130">
        <v>0</v>
      </c>
      <c r="I130">
        <v>0</v>
      </c>
      <c r="T130">
        <v>9999</v>
      </c>
      <c r="U130" s="118">
        <v>40800</v>
      </c>
    </row>
    <row r="131" spans="1:21">
      <c r="A131">
        <v>132</v>
      </c>
      <c r="B131">
        <v>1</v>
      </c>
      <c r="C131" t="s">
        <v>236</v>
      </c>
      <c r="D131" t="s">
        <v>236</v>
      </c>
      <c r="E131" s="120"/>
      <c r="F131">
        <v>0</v>
      </c>
      <c r="G131">
        <v>2</v>
      </c>
      <c r="H131">
        <v>0</v>
      </c>
      <c r="I131">
        <v>0</v>
      </c>
      <c r="T131">
        <v>9999</v>
      </c>
      <c r="U131" s="118">
        <v>40800</v>
      </c>
    </row>
    <row r="132" spans="1:21">
      <c r="A132">
        <v>133</v>
      </c>
      <c r="B132">
        <v>1</v>
      </c>
      <c r="C132" t="s">
        <v>237</v>
      </c>
      <c r="D132" t="s">
        <v>237</v>
      </c>
      <c r="E132" s="120"/>
      <c r="F132">
        <v>0</v>
      </c>
      <c r="G132">
        <v>2</v>
      </c>
      <c r="H132">
        <v>2</v>
      </c>
      <c r="I132">
        <v>0</v>
      </c>
      <c r="J132" t="s">
        <v>238</v>
      </c>
      <c r="K132">
        <v>0</v>
      </c>
      <c r="M132">
        <v>0</v>
      </c>
      <c r="O132">
        <v>0</v>
      </c>
      <c r="T132">
        <v>2</v>
      </c>
      <c r="U132" s="118">
        <v>40823.75277777778</v>
      </c>
    </row>
    <row r="133" spans="1:21">
      <c r="A133">
        <v>134</v>
      </c>
      <c r="B133">
        <v>1</v>
      </c>
      <c r="C133" t="s">
        <v>239</v>
      </c>
      <c r="D133" t="s">
        <v>239</v>
      </c>
      <c r="E133" s="120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118">
        <v>42711.476388888892</v>
      </c>
    </row>
    <row r="134" spans="1:21">
      <c r="A134">
        <v>135</v>
      </c>
      <c r="B134">
        <v>1</v>
      </c>
      <c r="C134" t="s">
        <v>240</v>
      </c>
      <c r="D134" t="s">
        <v>240</v>
      </c>
      <c r="E134" s="120"/>
      <c r="F134">
        <v>0</v>
      </c>
      <c r="G134">
        <v>2</v>
      </c>
      <c r="H134">
        <v>0</v>
      </c>
      <c r="I134">
        <v>0</v>
      </c>
      <c r="T134">
        <v>9999</v>
      </c>
      <c r="U134" s="118">
        <v>40800</v>
      </c>
    </row>
    <row r="135" spans="1:21">
      <c r="A135">
        <v>136</v>
      </c>
      <c r="B135">
        <v>1</v>
      </c>
      <c r="C135" t="s">
        <v>241</v>
      </c>
      <c r="D135" t="s">
        <v>241</v>
      </c>
      <c r="E135" s="120"/>
      <c r="F135">
        <v>522</v>
      </c>
      <c r="G135">
        <v>1</v>
      </c>
      <c r="H135">
        <v>2</v>
      </c>
      <c r="I135">
        <v>0</v>
      </c>
      <c r="J135" t="s">
        <v>241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118">
        <v>43665.711111111108</v>
      </c>
    </row>
    <row r="136" spans="1:21">
      <c r="A136">
        <v>137</v>
      </c>
      <c r="B136">
        <v>1</v>
      </c>
      <c r="C136" t="s">
        <v>242</v>
      </c>
      <c r="D136" t="s">
        <v>242</v>
      </c>
      <c r="E136" s="120"/>
      <c r="F136">
        <v>492</v>
      </c>
      <c r="G136">
        <v>1</v>
      </c>
      <c r="H136">
        <v>2</v>
      </c>
      <c r="I136">
        <v>0</v>
      </c>
      <c r="J136" t="s">
        <v>72</v>
      </c>
      <c r="K136">
        <v>1</v>
      </c>
      <c r="L136" t="s">
        <v>138</v>
      </c>
      <c r="M136">
        <v>0</v>
      </c>
      <c r="N136" t="s">
        <v>89</v>
      </c>
      <c r="O136">
        <v>0</v>
      </c>
      <c r="P136" t="s">
        <v>135</v>
      </c>
      <c r="Q136">
        <v>0</v>
      </c>
      <c r="R136" t="s">
        <v>243</v>
      </c>
      <c r="S136">
        <v>0</v>
      </c>
      <c r="T136">
        <v>2</v>
      </c>
      <c r="U136" s="118">
        <v>44216.600694444453</v>
      </c>
    </row>
    <row r="137" spans="1:21">
      <c r="A137">
        <v>138</v>
      </c>
      <c r="B137">
        <v>1</v>
      </c>
      <c r="C137" t="s">
        <v>244</v>
      </c>
      <c r="D137" t="s">
        <v>244</v>
      </c>
      <c r="E137" s="120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118">
        <v>42051.667361111111</v>
      </c>
    </row>
    <row r="138" spans="1:21">
      <c r="A138">
        <v>139</v>
      </c>
      <c r="B138">
        <v>1</v>
      </c>
      <c r="C138" t="s">
        <v>245</v>
      </c>
      <c r="D138" t="s">
        <v>245</v>
      </c>
      <c r="E138" s="120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118">
        <v>42060.472222222219</v>
      </c>
    </row>
    <row r="139" spans="1:21">
      <c r="A139">
        <v>140</v>
      </c>
      <c r="B139">
        <v>1</v>
      </c>
      <c r="C139" t="s">
        <v>246</v>
      </c>
      <c r="D139" t="s">
        <v>246</v>
      </c>
      <c r="E139" s="120"/>
      <c r="F139">
        <v>0</v>
      </c>
      <c r="G139">
        <v>2</v>
      </c>
      <c r="H139">
        <v>0</v>
      </c>
      <c r="I139">
        <v>0</v>
      </c>
      <c r="T139">
        <v>9999</v>
      </c>
      <c r="U139" s="118">
        <v>40800</v>
      </c>
    </row>
    <row r="140" spans="1:21">
      <c r="A140">
        <v>141</v>
      </c>
      <c r="B140">
        <v>1</v>
      </c>
      <c r="C140" t="s">
        <v>247</v>
      </c>
      <c r="D140" t="s">
        <v>247</v>
      </c>
      <c r="E140" s="120"/>
      <c r="F140">
        <v>0</v>
      </c>
      <c r="G140">
        <v>0</v>
      </c>
      <c r="H140">
        <v>2</v>
      </c>
      <c r="I140">
        <v>0</v>
      </c>
      <c r="J140" t="s">
        <v>247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118">
        <v>44998.709722222222</v>
      </c>
    </row>
    <row r="141" spans="1:21">
      <c r="A141">
        <v>142</v>
      </c>
      <c r="B141">
        <v>1</v>
      </c>
      <c r="C141" t="s">
        <v>248</v>
      </c>
      <c r="D141" t="s">
        <v>248</v>
      </c>
      <c r="E141" s="120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118">
        <v>40862.552777777782</v>
      </c>
    </row>
    <row r="142" spans="1:21">
      <c r="A142">
        <v>143</v>
      </c>
      <c r="B142">
        <v>1</v>
      </c>
      <c r="C142" t="s">
        <v>249</v>
      </c>
      <c r="D142" t="s">
        <v>250</v>
      </c>
      <c r="E142" s="120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118">
        <v>41718.542361111111</v>
      </c>
    </row>
    <row r="143" spans="1:21">
      <c r="A143">
        <v>148</v>
      </c>
      <c r="B143">
        <v>1</v>
      </c>
      <c r="C143" t="s">
        <v>251</v>
      </c>
      <c r="D143" t="s">
        <v>251</v>
      </c>
      <c r="E143" s="120"/>
      <c r="F143">
        <v>0</v>
      </c>
      <c r="G143">
        <v>2</v>
      </c>
      <c r="H143">
        <v>0</v>
      </c>
      <c r="I143">
        <v>0</v>
      </c>
      <c r="T143">
        <v>9999</v>
      </c>
      <c r="U143" s="118">
        <v>40800</v>
      </c>
    </row>
    <row r="144" spans="1:21">
      <c r="A144">
        <v>149</v>
      </c>
      <c r="B144">
        <v>1</v>
      </c>
      <c r="C144" t="s">
        <v>252</v>
      </c>
      <c r="D144" t="s">
        <v>252</v>
      </c>
      <c r="E144" s="120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118">
        <v>41829.661111111112</v>
      </c>
    </row>
    <row r="145" spans="1:21">
      <c r="A145">
        <v>150</v>
      </c>
      <c r="B145">
        <v>1</v>
      </c>
      <c r="C145" t="s">
        <v>253</v>
      </c>
      <c r="D145" t="s">
        <v>253</v>
      </c>
      <c r="E145" s="120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118">
        <v>42312.499305555553</v>
      </c>
    </row>
    <row r="146" spans="1:21">
      <c r="A146">
        <v>151</v>
      </c>
      <c r="B146">
        <v>0</v>
      </c>
      <c r="C146" t="s">
        <v>254</v>
      </c>
      <c r="D146" t="s">
        <v>253</v>
      </c>
      <c r="E146" s="120"/>
      <c r="F146">
        <v>0</v>
      </c>
      <c r="G146">
        <v>2</v>
      </c>
      <c r="H146">
        <v>0</v>
      </c>
      <c r="I146">
        <v>0</v>
      </c>
      <c r="T146">
        <v>9999</v>
      </c>
      <c r="U146" s="118">
        <v>40800</v>
      </c>
    </row>
    <row r="147" spans="1:21">
      <c r="A147">
        <v>152</v>
      </c>
      <c r="B147">
        <v>1</v>
      </c>
      <c r="C147" t="s">
        <v>70</v>
      </c>
      <c r="D147" t="s">
        <v>70</v>
      </c>
      <c r="E147" s="120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118">
        <v>42571.453472222223</v>
      </c>
    </row>
    <row r="148" spans="1:21">
      <c r="A148">
        <v>153</v>
      </c>
      <c r="B148">
        <v>0</v>
      </c>
      <c r="C148" t="s">
        <v>255</v>
      </c>
      <c r="D148" t="s">
        <v>253</v>
      </c>
      <c r="E148" s="120"/>
      <c r="F148">
        <v>0</v>
      </c>
      <c r="G148">
        <v>2</v>
      </c>
      <c r="H148">
        <v>0</v>
      </c>
      <c r="I148">
        <v>0</v>
      </c>
      <c r="T148">
        <v>9999</v>
      </c>
      <c r="U148" s="118">
        <v>40800</v>
      </c>
    </row>
    <row r="149" spans="1:21">
      <c r="A149">
        <v>154</v>
      </c>
      <c r="B149">
        <v>0</v>
      </c>
      <c r="C149" t="s">
        <v>256</v>
      </c>
      <c r="D149" t="s">
        <v>253</v>
      </c>
      <c r="E149" s="120"/>
      <c r="F149">
        <v>0</v>
      </c>
      <c r="G149">
        <v>2</v>
      </c>
      <c r="H149">
        <v>0</v>
      </c>
      <c r="I149">
        <v>0</v>
      </c>
      <c r="T149">
        <v>9999</v>
      </c>
      <c r="U149" s="118">
        <v>40800</v>
      </c>
    </row>
    <row r="150" spans="1:21">
      <c r="A150">
        <v>155</v>
      </c>
      <c r="B150">
        <v>0</v>
      </c>
      <c r="C150" t="s">
        <v>257</v>
      </c>
      <c r="D150" t="s">
        <v>253</v>
      </c>
      <c r="E150" s="120"/>
      <c r="F150">
        <v>0</v>
      </c>
      <c r="G150">
        <v>2</v>
      </c>
      <c r="H150">
        <v>0</v>
      </c>
      <c r="I150">
        <v>0</v>
      </c>
      <c r="T150">
        <v>9999</v>
      </c>
      <c r="U150" s="118">
        <v>40800</v>
      </c>
    </row>
    <row r="151" spans="1:21">
      <c r="A151">
        <v>156</v>
      </c>
      <c r="B151">
        <v>0</v>
      </c>
      <c r="C151" t="s">
        <v>258</v>
      </c>
      <c r="D151" t="s">
        <v>259</v>
      </c>
      <c r="E151" s="120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118">
        <v>41829.616666666669</v>
      </c>
    </row>
    <row r="152" spans="1:21">
      <c r="A152">
        <v>157</v>
      </c>
      <c r="B152">
        <v>1</v>
      </c>
      <c r="C152" t="s">
        <v>260</v>
      </c>
      <c r="D152" t="s">
        <v>261</v>
      </c>
      <c r="E152" s="120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118">
        <v>43252.563194444447</v>
      </c>
    </row>
    <row r="153" spans="1:21">
      <c r="A153">
        <v>158</v>
      </c>
      <c r="B153">
        <v>1</v>
      </c>
      <c r="C153" t="s">
        <v>262</v>
      </c>
      <c r="D153" t="s">
        <v>262</v>
      </c>
      <c r="E153" s="120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118">
        <v>43882.459722222222</v>
      </c>
    </row>
    <row r="154" spans="1:21">
      <c r="A154">
        <v>159</v>
      </c>
      <c r="B154">
        <v>1</v>
      </c>
      <c r="C154" t="s">
        <v>263</v>
      </c>
      <c r="D154" t="s">
        <v>263</v>
      </c>
      <c r="E154" s="120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118">
        <v>43252.563194444447</v>
      </c>
    </row>
    <row r="155" spans="1:21">
      <c r="A155">
        <v>160</v>
      </c>
      <c r="B155">
        <v>1</v>
      </c>
      <c r="C155" t="s">
        <v>264</v>
      </c>
      <c r="D155" t="s">
        <v>265</v>
      </c>
      <c r="E155" s="120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118">
        <v>42202.553472222222</v>
      </c>
    </row>
    <row r="156" spans="1:21">
      <c r="A156">
        <v>161</v>
      </c>
      <c r="B156">
        <v>0</v>
      </c>
      <c r="C156" t="s">
        <v>266</v>
      </c>
      <c r="D156" t="s">
        <v>267</v>
      </c>
      <c r="E156" s="120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118">
        <v>42202.545138888891</v>
      </c>
    </row>
    <row r="157" spans="1:21">
      <c r="A157">
        <v>162</v>
      </c>
      <c r="B157">
        <v>1</v>
      </c>
      <c r="C157" t="s">
        <v>268</v>
      </c>
      <c r="D157" t="s">
        <v>268</v>
      </c>
      <c r="E157" s="120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118">
        <v>45226.445138888892</v>
      </c>
    </row>
    <row r="158" spans="1:21">
      <c r="A158">
        <v>163</v>
      </c>
      <c r="B158">
        <v>0</v>
      </c>
      <c r="C158" t="s">
        <v>269</v>
      </c>
      <c r="D158" t="s">
        <v>267</v>
      </c>
      <c r="E158" s="120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118">
        <v>42202.545138888891</v>
      </c>
    </row>
    <row r="159" spans="1:21">
      <c r="A159">
        <v>164</v>
      </c>
      <c r="B159">
        <v>1</v>
      </c>
      <c r="C159" t="s">
        <v>270</v>
      </c>
      <c r="D159" t="s">
        <v>270</v>
      </c>
      <c r="E159" s="120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118">
        <v>42202.545138888891</v>
      </c>
    </row>
    <row r="160" spans="1:21">
      <c r="A160">
        <v>165</v>
      </c>
      <c r="B160">
        <v>0</v>
      </c>
      <c r="C160" t="s">
        <v>271</v>
      </c>
      <c r="D160" t="s">
        <v>267</v>
      </c>
      <c r="E160" s="120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118">
        <v>42202.54583333333</v>
      </c>
    </row>
    <row r="161" spans="1:21">
      <c r="A161">
        <v>166</v>
      </c>
      <c r="B161">
        <v>1</v>
      </c>
      <c r="C161" t="s">
        <v>272</v>
      </c>
      <c r="D161" t="s">
        <v>273</v>
      </c>
      <c r="E161" s="120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118">
        <v>42202.54583333333</v>
      </c>
    </row>
    <row r="162" spans="1:21">
      <c r="A162">
        <v>167</v>
      </c>
      <c r="B162">
        <v>1</v>
      </c>
      <c r="C162" t="s">
        <v>18</v>
      </c>
      <c r="D162" t="s">
        <v>18</v>
      </c>
      <c r="E162" s="120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118">
        <v>42291.458333333343</v>
      </c>
    </row>
    <row r="163" spans="1:21">
      <c r="A163">
        <v>168</v>
      </c>
      <c r="B163">
        <v>1</v>
      </c>
      <c r="C163" t="s">
        <v>274</v>
      </c>
      <c r="D163" t="s">
        <v>274</v>
      </c>
      <c r="E163" s="120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118">
        <v>45581.530555555553</v>
      </c>
    </row>
    <row r="164" spans="1:21">
      <c r="A164">
        <v>169</v>
      </c>
      <c r="B164">
        <v>1</v>
      </c>
      <c r="C164" t="s">
        <v>275</v>
      </c>
      <c r="D164" t="s">
        <v>276</v>
      </c>
      <c r="E164" s="120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118">
        <v>43010.552083333343</v>
      </c>
    </row>
    <row r="165" spans="1:21">
      <c r="A165">
        <v>170</v>
      </c>
      <c r="B165">
        <v>0</v>
      </c>
      <c r="C165" t="s">
        <v>277</v>
      </c>
      <c r="D165" t="s">
        <v>267</v>
      </c>
      <c r="E165" s="120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118">
        <v>42202.54583333333</v>
      </c>
    </row>
    <row r="166" spans="1:21">
      <c r="A166">
        <v>171</v>
      </c>
      <c r="B166">
        <v>1</v>
      </c>
      <c r="C166" t="s">
        <v>6</v>
      </c>
      <c r="D166" t="s">
        <v>278</v>
      </c>
      <c r="E166" s="120"/>
      <c r="F166">
        <v>0</v>
      </c>
      <c r="G166">
        <v>1</v>
      </c>
      <c r="H166">
        <v>2</v>
      </c>
      <c r="I166">
        <v>0</v>
      </c>
      <c r="J166" t="s">
        <v>72</v>
      </c>
      <c r="K166">
        <v>1</v>
      </c>
      <c r="L166" t="s">
        <v>125</v>
      </c>
      <c r="M166">
        <v>1</v>
      </c>
      <c r="N166" t="s">
        <v>89</v>
      </c>
      <c r="O166">
        <v>0</v>
      </c>
      <c r="Q166">
        <v>0</v>
      </c>
      <c r="S166">
        <v>0</v>
      </c>
      <c r="T166">
        <v>2</v>
      </c>
      <c r="U166" s="118">
        <v>43269.609027777777</v>
      </c>
    </row>
    <row r="167" spans="1:21">
      <c r="A167">
        <v>172</v>
      </c>
      <c r="B167">
        <v>0</v>
      </c>
      <c r="C167" t="s">
        <v>279</v>
      </c>
      <c r="D167" t="s">
        <v>267</v>
      </c>
      <c r="E167" s="120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118">
        <v>42202.54583333333</v>
      </c>
    </row>
    <row r="168" spans="1:21">
      <c r="A168">
        <v>173</v>
      </c>
      <c r="B168">
        <v>1</v>
      </c>
      <c r="C168" t="s">
        <v>280</v>
      </c>
      <c r="D168" t="s">
        <v>281</v>
      </c>
      <c r="E168" s="120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118">
        <v>42202.54583333333</v>
      </c>
    </row>
    <row r="169" spans="1:21">
      <c r="A169">
        <v>174</v>
      </c>
      <c r="B169">
        <v>0</v>
      </c>
      <c r="C169" t="s">
        <v>282</v>
      </c>
      <c r="D169" t="s">
        <v>267</v>
      </c>
      <c r="E169" s="120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118">
        <v>42202.546527777777</v>
      </c>
    </row>
    <row r="170" spans="1:21">
      <c r="A170">
        <v>175</v>
      </c>
      <c r="B170">
        <v>1</v>
      </c>
      <c r="C170" t="s">
        <v>283</v>
      </c>
      <c r="D170" t="s">
        <v>284</v>
      </c>
      <c r="E170" s="120"/>
      <c r="F170">
        <v>191</v>
      </c>
      <c r="G170">
        <v>1</v>
      </c>
      <c r="H170">
        <v>2</v>
      </c>
      <c r="I170">
        <v>0</v>
      </c>
      <c r="J170" t="s">
        <v>284</v>
      </c>
      <c r="K170">
        <v>0</v>
      </c>
      <c r="L170" t="s">
        <v>89</v>
      </c>
      <c r="M170">
        <v>0</v>
      </c>
      <c r="O170">
        <v>0</v>
      </c>
      <c r="Q170">
        <v>0</v>
      </c>
      <c r="S170">
        <v>0</v>
      </c>
      <c r="T170">
        <v>2</v>
      </c>
      <c r="U170" s="118">
        <v>42634.438888888893</v>
      </c>
    </row>
    <row r="171" spans="1:21">
      <c r="A171">
        <v>176</v>
      </c>
      <c r="B171">
        <v>1</v>
      </c>
      <c r="C171" t="s">
        <v>285</v>
      </c>
      <c r="D171" t="s">
        <v>286</v>
      </c>
      <c r="E171" s="120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118">
        <v>42202.546527777777</v>
      </c>
    </row>
    <row r="172" spans="1:21">
      <c r="A172">
        <v>177</v>
      </c>
      <c r="B172">
        <v>0</v>
      </c>
      <c r="C172" t="s">
        <v>287</v>
      </c>
      <c r="D172" t="s">
        <v>286</v>
      </c>
      <c r="E172" s="120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118">
        <v>42202.546527777777</v>
      </c>
    </row>
    <row r="173" spans="1:21">
      <c r="A173">
        <v>178</v>
      </c>
      <c r="B173">
        <v>0</v>
      </c>
      <c r="C173" t="s">
        <v>288</v>
      </c>
      <c r="D173" t="s">
        <v>286</v>
      </c>
      <c r="E173" s="120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118">
        <v>42202.546527777777</v>
      </c>
    </row>
    <row r="174" spans="1:21">
      <c r="A174">
        <v>179</v>
      </c>
      <c r="B174">
        <v>0</v>
      </c>
      <c r="C174" t="s">
        <v>289</v>
      </c>
      <c r="D174" t="s">
        <v>286</v>
      </c>
      <c r="E174" s="120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118">
        <v>42202.546527777777</v>
      </c>
    </row>
    <row r="175" spans="1:21">
      <c r="A175">
        <v>180</v>
      </c>
      <c r="B175">
        <v>0</v>
      </c>
      <c r="C175" t="s">
        <v>290</v>
      </c>
      <c r="D175" t="s">
        <v>286</v>
      </c>
      <c r="E175" s="120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118">
        <v>42202.546527777777</v>
      </c>
    </row>
    <row r="176" spans="1:21">
      <c r="A176">
        <v>181</v>
      </c>
      <c r="B176">
        <v>0</v>
      </c>
      <c r="C176" t="s">
        <v>291</v>
      </c>
      <c r="D176" t="s">
        <v>286</v>
      </c>
      <c r="E176" s="120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118">
        <v>42202.546527777777</v>
      </c>
    </row>
    <row r="177" spans="1:21">
      <c r="A177">
        <v>182</v>
      </c>
      <c r="B177">
        <v>0</v>
      </c>
      <c r="C177" t="s">
        <v>292</v>
      </c>
      <c r="D177" t="s">
        <v>286</v>
      </c>
      <c r="E177" s="120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118">
        <v>42202.546527777777</v>
      </c>
    </row>
    <row r="178" spans="1:21">
      <c r="A178">
        <v>183</v>
      </c>
      <c r="B178">
        <v>0</v>
      </c>
      <c r="C178" t="s">
        <v>293</v>
      </c>
      <c r="D178" t="s">
        <v>286</v>
      </c>
      <c r="E178" s="120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118">
        <v>42202.546527777777</v>
      </c>
    </row>
    <row r="179" spans="1:21">
      <c r="A179">
        <v>184</v>
      </c>
      <c r="B179">
        <v>0</v>
      </c>
      <c r="C179" t="s">
        <v>294</v>
      </c>
      <c r="D179" t="s">
        <v>286</v>
      </c>
      <c r="E179" s="120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118">
        <v>42298.729861111111</v>
      </c>
    </row>
    <row r="180" spans="1:21">
      <c r="A180">
        <v>185</v>
      </c>
      <c r="B180">
        <v>0</v>
      </c>
      <c r="C180" t="s">
        <v>295</v>
      </c>
      <c r="D180" t="s">
        <v>286</v>
      </c>
      <c r="E180" s="120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118">
        <v>42202.546527777777</v>
      </c>
    </row>
    <row r="181" spans="1:21">
      <c r="A181">
        <v>186</v>
      </c>
      <c r="B181">
        <v>0</v>
      </c>
      <c r="C181" t="s">
        <v>296</v>
      </c>
      <c r="D181" t="s">
        <v>286</v>
      </c>
      <c r="E181" s="120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118">
        <v>42202.546527777777</v>
      </c>
    </row>
    <row r="182" spans="1:21">
      <c r="A182">
        <v>187</v>
      </c>
      <c r="B182">
        <v>1</v>
      </c>
      <c r="C182" t="s">
        <v>297</v>
      </c>
      <c r="D182" t="s">
        <v>298</v>
      </c>
      <c r="E182" s="120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118">
        <v>42570.57708333333</v>
      </c>
    </row>
    <row r="183" spans="1:21">
      <c r="A183">
        <v>188</v>
      </c>
      <c r="B183">
        <v>1</v>
      </c>
      <c r="C183" t="s">
        <v>299</v>
      </c>
      <c r="D183" t="s">
        <v>300</v>
      </c>
      <c r="E183" s="120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118">
        <v>42291.458333333343</v>
      </c>
    </row>
    <row r="184" spans="1:21">
      <c r="A184">
        <v>189</v>
      </c>
      <c r="B184">
        <v>0</v>
      </c>
      <c r="C184" t="s">
        <v>301</v>
      </c>
      <c r="D184" t="s">
        <v>286</v>
      </c>
      <c r="E184" s="120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118">
        <v>42202.547222222223</v>
      </c>
    </row>
    <row r="185" spans="1:21">
      <c r="A185">
        <v>190</v>
      </c>
      <c r="B185">
        <v>0</v>
      </c>
      <c r="C185" t="s">
        <v>302</v>
      </c>
      <c r="D185" t="s">
        <v>286</v>
      </c>
      <c r="E185" s="120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118">
        <v>42202.547222222223</v>
      </c>
    </row>
    <row r="186" spans="1:21">
      <c r="A186">
        <v>191</v>
      </c>
      <c r="B186">
        <v>0</v>
      </c>
      <c r="C186" t="s">
        <v>303</v>
      </c>
      <c r="D186" t="s">
        <v>303</v>
      </c>
      <c r="E186" s="120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118">
        <v>42639.6</v>
      </c>
    </row>
    <row r="187" spans="1:21">
      <c r="A187">
        <v>192</v>
      </c>
      <c r="B187">
        <v>1</v>
      </c>
      <c r="C187" t="s">
        <v>304</v>
      </c>
      <c r="D187" t="s">
        <v>304</v>
      </c>
      <c r="E187" s="120"/>
      <c r="F187">
        <v>0</v>
      </c>
      <c r="G187">
        <v>1</v>
      </c>
      <c r="H187">
        <v>1</v>
      </c>
      <c r="I187">
        <v>0</v>
      </c>
      <c r="J187" t="s">
        <v>305</v>
      </c>
      <c r="K187">
        <v>0</v>
      </c>
      <c r="L187" t="s">
        <v>306</v>
      </c>
      <c r="M187">
        <v>0</v>
      </c>
      <c r="N187" t="s">
        <v>307</v>
      </c>
      <c r="O187">
        <v>0</v>
      </c>
      <c r="Q187">
        <v>0</v>
      </c>
      <c r="S187">
        <v>0</v>
      </c>
      <c r="T187">
        <v>2</v>
      </c>
      <c r="U187" s="118">
        <v>42202.547222222223</v>
      </c>
    </row>
    <row r="188" spans="1:21">
      <c r="A188">
        <v>193</v>
      </c>
      <c r="B188">
        <v>1</v>
      </c>
      <c r="C188" t="s">
        <v>308</v>
      </c>
      <c r="D188" t="s">
        <v>308</v>
      </c>
      <c r="E188" s="120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118">
        <v>42202.547222222223</v>
      </c>
    </row>
    <row r="189" spans="1:21">
      <c r="A189">
        <v>194</v>
      </c>
      <c r="B189">
        <v>1</v>
      </c>
      <c r="C189" t="s">
        <v>309</v>
      </c>
      <c r="D189" t="s">
        <v>309</v>
      </c>
      <c r="E189" s="120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118">
        <v>41936.684027777781</v>
      </c>
    </row>
    <row r="190" spans="1:21">
      <c r="A190">
        <v>195</v>
      </c>
      <c r="B190">
        <v>1</v>
      </c>
      <c r="C190" t="s">
        <v>310</v>
      </c>
      <c r="D190" t="s">
        <v>310</v>
      </c>
      <c r="E190" s="120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118">
        <v>42233.490277777782</v>
      </c>
    </row>
    <row r="191" spans="1:21">
      <c r="A191">
        <v>196</v>
      </c>
      <c r="B191">
        <v>1</v>
      </c>
      <c r="C191" t="s">
        <v>311</v>
      </c>
      <c r="D191" t="s">
        <v>311</v>
      </c>
      <c r="E191" s="120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118">
        <v>40864.594444444447</v>
      </c>
    </row>
    <row r="192" spans="1:21">
      <c r="A192">
        <v>197</v>
      </c>
      <c r="B192">
        <v>1</v>
      </c>
      <c r="C192" t="s">
        <v>312</v>
      </c>
      <c r="D192" t="s">
        <v>312</v>
      </c>
      <c r="E192" s="120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118">
        <v>40876.540277777778</v>
      </c>
    </row>
    <row r="193" spans="1:21">
      <c r="A193">
        <v>198</v>
      </c>
      <c r="B193">
        <v>1</v>
      </c>
      <c r="C193" t="s">
        <v>313</v>
      </c>
      <c r="D193" t="s">
        <v>313</v>
      </c>
      <c r="E193" s="120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118">
        <v>40897.466666666667</v>
      </c>
    </row>
    <row r="194" spans="1:21">
      <c r="A194">
        <v>199</v>
      </c>
      <c r="B194">
        <v>1</v>
      </c>
      <c r="C194" t="s">
        <v>314</v>
      </c>
      <c r="D194" t="s">
        <v>315</v>
      </c>
      <c r="E194" s="121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118">
        <v>43516.615972222222</v>
      </c>
    </row>
    <row r="195" spans="1:21">
      <c r="A195">
        <v>200</v>
      </c>
      <c r="B195">
        <v>1</v>
      </c>
      <c r="C195" t="s">
        <v>81</v>
      </c>
      <c r="D195" t="s">
        <v>81</v>
      </c>
      <c r="E195" s="120"/>
      <c r="F195">
        <v>0</v>
      </c>
      <c r="G195">
        <v>2</v>
      </c>
      <c r="H195">
        <v>2</v>
      </c>
      <c r="I195">
        <v>0</v>
      </c>
      <c r="J195" t="s">
        <v>72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118">
        <v>45397.655555555553</v>
      </c>
    </row>
    <row r="196" spans="1:21">
      <c r="A196">
        <v>201</v>
      </c>
      <c r="B196">
        <v>2</v>
      </c>
      <c r="C196" t="s">
        <v>316</v>
      </c>
      <c r="D196" t="s">
        <v>316</v>
      </c>
      <c r="E196" s="120"/>
      <c r="F196">
        <v>0</v>
      </c>
      <c r="G196">
        <v>2</v>
      </c>
      <c r="H196">
        <v>2</v>
      </c>
      <c r="I196">
        <v>0</v>
      </c>
      <c r="J196" t="s">
        <v>317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118">
        <v>41814.681944444441</v>
      </c>
    </row>
    <row r="197" spans="1:21">
      <c r="A197">
        <v>202</v>
      </c>
      <c r="B197">
        <v>2</v>
      </c>
      <c r="C197" t="s">
        <v>318</v>
      </c>
      <c r="D197" t="s">
        <v>318</v>
      </c>
      <c r="E197" s="120"/>
      <c r="F197">
        <v>0</v>
      </c>
      <c r="G197">
        <v>2</v>
      </c>
      <c r="H197">
        <v>2</v>
      </c>
      <c r="I197">
        <v>0</v>
      </c>
      <c r="J197" t="s">
        <v>319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118">
        <v>45259.643750000003</v>
      </c>
    </row>
    <row r="198" spans="1:21">
      <c r="A198">
        <v>203</v>
      </c>
      <c r="B198">
        <v>2</v>
      </c>
      <c r="C198" t="s">
        <v>320</v>
      </c>
      <c r="D198" t="s">
        <v>320</v>
      </c>
      <c r="E198" s="120"/>
      <c r="F198">
        <v>0</v>
      </c>
      <c r="G198">
        <v>2</v>
      </c>
      <c r="H198">
        <v>2</v>
      </c>
      <c r="I198">
        <v>0</v>
      </c>
      <c r="J198" t="s">
        <v>320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118">
        <v>45259.643055555563</v>
      </c>
    </row>
    <row r="199" spans="1:21">
      <c r="A199">
        <v>204</v>
      </c>
      <c r="B199">
        <v>2</v>
      </c>
      <c r="C199" t="s">
        <v>321</v>
      </c>
      <c r="D199" t="s">
        <v>321</v>
      </c>
      <c r="E199" s="120"/>
      <c r="F199">
        <v>0</v>
      </c>
      <c r="G199">
        <v>2</v>
      </c>
      <c r="H199">
        <v>2</v>
      </c>
      <c r="I199">
        <v>0</v>
      </c>
      <c r="J199" t="s">
        <v>321</v>
      </c>
      <c r="K199">
        <v>0</v>
      </c>
      <c r="M199">
        <v>0</v>
      </c>
      <c r="O199">
        <v>0</v>
      </c>
      <c r="T199">
        <v>2</v>
      </c>
      <c r="U199" s="118">
        <v>40827.634027777778</v>
      </c>
    </row>
    <row r="200" spans="1:21">
      <c r="A200">
        <v>205</v>
      </c>
      <c r="B200">
        <v>2</v>
      </c>
      <c r="C200" t="s">
        <v>322</v>
      </c>
      <c r="D200" t="s">
        <v>322</v>
      </c>
      <c r="E200" s="120"/>
      <c r="F200">
        <v>0</v>
      </c>
      <c r="G200">
        <v>2</v>
      </c>
      <c r="H200">
        <v>2</v>
      </c>
      <c r="I200">
        <v>0</v>
      </c>
      <c r="J200" t="s">
        <v>322</v>
      </c>
      <c r="K200">
        <v>0</v>
      </c>
      <c r="M200">
        <v>0</v>
      </c>
      <c r="O200">
        <v>0</v>
      </c>
      <c r="T200">
        <v>2</v>
      </c>
      <c r="U200" s="118">
        <v>40827.634027777778</v>
      </c>
    </row>
    <row r="201" spans="1:21">
      <c r="A201">
        <v>206</v>
      </c>
      <c r="B201">
        <v>2</v>
      </c>
      <c r="C201" t="s">
        <v>323</v>
      </c>
      <c r="D201" t="s">
        <v>323</v>
      </c>
      <c r="E201" s="120"/>
      <c r="F201">
        <v>0</v>
      </c>
      <c r="G201">
        <v>2</v>
      </c>
      <c r="H201">
        <v>2</v>
      </c>
      <c r="I201">
        <v>0</v>
      </c>
      <c r="J201" t="s">
        <v>324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118">
        <v>40882.493750000001</v>
      </c>
    </row>
    <row r="202" spans="1:21">
      <c r="A202">
        <v>207</v>
      </c>
      <c r="B202">
        <v>2</v>
      </c>
      <c r="C202" t="s">
        <v>325</v>
      </c>
      <c r="D202" t="s">
        <v>325</v>
      </c>
      <c r="E202" s="120"/>
      <c r="F202">
        <v>0</v>
      </c>
      <c r="G202">
        <v>2</v>
      </c>
      <c r="H202">
        <v>2</v>
      </c>
      <c r="I202">
        <v>0</v>
      </c>
      <c r="J202" t="s">
        <v>324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118">
        <v>45628.588194444441</v>
      </c>
    </row>
    <row r="203" spans="1:21">
      <c r="A203">
        <v>208</v>
      </c>
      <c r="B203">
        <v>2</v>
      </c>
      <c r="C203" t="s">
        <v>326</v>
      </c>
      <c r="D203" t="s">
        <v>326</v>
      </c>
      <c r="E203" s="120"/>
      <c r="F203">
        <v>0</v>
      </c>
      <c r="G203">
        <v>2</v>
      </c>
      <c r="H203">
        <v>2</v>
      </c>
      <c r="I203">
        <v>0</v>
      </c>
      <c r="J203" t="s">
        <v>324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118">
        <v>40882.493750000001</v>
      </c>
    </row>
    <row r="204" spans="1:21">
      <c r="A204">
        <v>209</v>
      </c>
      <c r="B204">
        <v>2</v>
      </c>
      <c r="C204" t="s">
        <v>327</v>
      </c>
      <c r="D204" t="s">
        <v>327</v>
      </c>
      <c r="E204" s="120"/>
      <c r="F204">
        <v>0</v>
      </c>
      <c r="G204">
        <v>2</v>
      </c>
      <c r="H204">
        <v>2</v>
      </c>
      <c r="I204">
        <v>0</v>
      </c>
      <c r="J204" t="s">
        <v>324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118">
        <v>40882.493750000001</v>
      </c>
    </row>
    <row r="205" spans="1:21">
      <c r="A205">
        <v>210</v>
      </c>
      <c r="B205">
        <v>2</v>
      </c>
      <c r="C205" t="s">
        <v>328</v>
      </c>
      <c r="D205" t="s">
        <v>328</v>
      </c>
      <c r="E205" s="120"/>
      <c r="F205">
        <v>0</v>
      </c>
      <c r="G205">
        <v>2</v>
      </c>
      <c r="H205">
        <v>2</v>
      </c>
      <c r="I205">
        <v>0</v>
      </c>
      <c r="J205" t="s">
        <v>324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118">
        <v>43265.692361111112</v>
      </c>
    </row>
    <row r="206" spans="1:21">
      <c r="A206">
        <v>211</v>
      </c>
      <c r="B206">
        <v>2</v>
      </c>
      <c r="C206" t="s">
        <v>329</v>
      </c>
      <c r="D206" t="s">
        <v>329</v>
      </c>
      <c r="E206" s="120"/>
      <c r="F206">
        <v>0</v>
      </c>
      <c r="G206">
        <v>2</v>
      </c>
      <c r="H206">
        <v>2</v>
      </c>
      <c r="I206">
        <v>0</v>
      </c>
      <c r="J206" t="s">
        <v>324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118">
        <v>43265.693055555559</v>
      </c>
    </row>
    <row r="207" spans="1:21">
      <c r="A207">
        <v>212</v>
      </c>
      <c r="B207">
        <v>2</v>
      </c>
      <c r="C207" t="s">
        <v>330</v>
      </c>
      <c r="D207" t="s">
        <v>331</v>
      </c>
      <c r="E207" s="120"/>
      <c r="F207">
        <v>0</v>
      </c>
      <c r="G207">
        <v>2</v>
      </c>
      <c r="H207">
        <v>2</v>
      </c>
      <c r="I207">
        <v>0</v>
      </c>
      <c r="J207" t="s">
        <v>324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118">
        <v>43265.693055555559</v>
      </c>
    </row>
    <row r="208" spans="1:21">
      <c r="A208">
        <v>213</v>
      </c>
      <c r="B208">
        <v>2</v>
      </c>
      <c r="C208" t="s">
        <v>332</v>
      </c>
      <c r="D208" t="s">
        <v>332</v>
      </c>
      <c r="E208" s="120"/>
      <c r="F208">
        <v>0</v>
      </c>
      <c r="G208">
        <v>2</v>
      </c>
      <c r="H208">
        <v>2</v>
      </c>
      <c r="I208">
        <v>0</v>
      </c>
      <c r="J208" t="s">
        <v>332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118">
        <v>40833.695138888892</v>
      </c>
    </row>
    <row r="209" spans="1:21">
      <c r="A209">
        <v>214</v>
      </c>
      <c r="B209">
        <v>2</v>
      </c>
      <c r="C209" t="s">
        <v>272</v>
      </c>
      <c r="D209" t="s">
        <v>272</v>
      </c>
      <c r="E209" s="120"/>
      <c r="F209">
        <v>0</v>
      </c>
      <c r="G209">
        <v>2</v>
      </c>
      <c r="H209">
        <v>2</v>
      </c>
      <c r="I209">
        <v>0</v>
      </c>
      <c r="J209" t="s">
        <v>272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118">
        <v>40833.695833333331</v>
      </c>
    </row>
    <row r="210" spans="1:21">
      <c r="A210">
        <v>215</v>
      </c>
      <c r="B210">
        <v>2</v>
      </c>
      <c r="C210" t="s">
        <v>333</v>
      </c>
      <c r="D210" t="s">
        <v>333</v>
      </c>
      <c r="E210" s="120"/>
      <c r="F210">
        <v>0</v>
      </c>
      <c r="G210">
        <v>2</v>
      </c>
      <c r="H210">
        <v>2</v>
      </c>
      <c r="I210">
        <v>0</v>
      </c>
      <c r="J210" t="s">
        <v>333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118">
        <v>40833.695833333331</v>
      </c>
    </row>
    <row r="211" spans="1:21">
      <c r="A211">
        <v>216</v>
      </c>
      <c r="B211">
        <v>2</v>
      </c>
      <c r="C211" t="s">
        <v>334</v>
      </c>
      <c r="D211" t="s">
        <v>334</v>
      </c>
      <c r="E211" s="120"/>
      <c r="F211">
        <v>0</v>
      </c>
      <c r="G211">
        <v>2</v>
      </c>
      <c r="H211">
        <v>2</v>
      </c>
      <c r="I211">
        <v>0</v>
      </c>
      <c r="J211" t="s">
        <v>334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118">
        <v>40844.736805555563</v>
      </c>
    </row>
    <row r="212" spans="1:21">
      <c r="A212">
        <v>217</v>
      </c>
      <c r="B212">
        <v>2</v>
      </c>
      <c r="C212" t="s">
        <v>335</v>
      </c>
      <c r="D212" t="s">
        <v>336</v>
      </c>
      <c r="E212" s="120"/>
      <c r="F212">
        <v>0</v>
      </c>
      <c r="G212">
        <v>2</v>
      </c>
      <c r="H212">
        <v>2</v>
      </c>
      <c r="I212">
        <v>0</v>
      </c>
      <c r="J212" t="s">
        <v>336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118">
        <v>40862.727777777778</v>
      </c>
    </row>
    <row r="213" spans="1:21">
      <c r="A213">
        <v>218</v>
      </c>
      <c r="B213">
        <v>2</v>
      </c>
      <c r="C213" t="s">
        <v>335</v>
      </c>
      <c r="D213" t="s">
        <v>237</v>
      </c>
      <c r="E213" s="120"/>
      <c r="F213">
        <v>0</v>
      </c>
      <c r="G213">
        <v>2</v>
      </c>
      <c r="H213">
        <v>2</v>
      </c>
      <c r="I213">
        <v>0</v>
      </c>
      <c r="J213" t="s">
        <v>237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118">
        <v>40862.728472222218</v>
      </c>
    </row>
    <row r="214" spans="1:21">
      <c r="A214">
        <v>219</v>
      </c>
      <c r="B214">
        <v>2</v>
      </c>
      <c r="C214" t="s">
        <v>247</v>
      </c>
      <c r="D214" t="s">
        <v>337</v>
      </c>
      <c r="E214" s="120"/>
      <c r="F214">
        <v>0</v>
      </c>
      <c r="G214">
        <v>2</v>
      </c>
      <c r="H214">
        <v>2</v>
      </c>
      <c r="I214">
        <v>0</v>
      </c>
      <c r="J214" t="s">
        <v>337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118">
        <v>45692.509027777778</v>
      </c>
    </row>
    <row r="215" spans="1:21">
      <c r="A215">
        <v>220</v>
      </c>
      <c r="B215">
        <v>2</v>
      </c>
      <c r="C215" t="s">
        <v>89</v>
      </c>
      <c r="D215" t="s">
        <v>89</v>
      </c>
      <c r="E215" s="120"/>
      <c r="F215">
        <v>0</v>
      </c>
      <c r="G215">
        <v>2</v>
      </c>
      <c r="H215">
        <v>2</v>
      </c>
      <c r="I215">
        <v>0</v>
      </c>
      <c r="J215" t="s">
        <v>89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118">
        <v>40833.696527777778</v>
      </c>
    </row>
    <row r="216" spans="1:21">
      <c r="A216">
        <v>221</v>
      </c>
      <c r="B216">
        <v>2</v>
      </c>
      <c r="C216" t="s">
        <v>135</v>
      </c>
      <c r="D216" t="s">
        <v>135</v>
      </c>
      <c r="E216" s="120"/>
      <c r="F216">
        <v>0</v>
      </c>
      <c r="G216">
        <v>2</v>
      </c>
      <c r="H216">
        <v>2</v>
      </c>
      <c r="I216">
        <v>0</v>
      </c>
      <c r="J216" t="s">
        <v>135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118">
        <v>42662.68472222222</v>
      </c>
    </row>
    <row r="217" spans="1:21">
      <c r="A217">
        <v>222</v>
      </c>
      <c r="B217">
        <v>2</v>
      </c>
      <c r="C217" t="s">
        <v>338</v>
      </c>
      <c r="D217" t="s">
        <v>339</v>
      </c>
      <c r="E217" s="120"/>
      <c r="F217">
        <v>0</v>
      </c>
      <c r="G217">
        <v>2</v>
      </c>
      <c r="H217">
        <v>2</v>
      </c>
      <c r="I217">
        <v>0</v>
      </c>
      <c r="J217" t="s">
        <v>339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118">
        <v>44533.520833333343</v>
      </c>
    </row>
    <row r="218" spans="1:21">
      <c r="A218">
        <v>223</v>
      </c>
      <c r="B218">
        <v>2</v>
      </c>
      <c r="C218" t="s">
        <v>340</v>
      </c>
      <c r="D218" t="s">
        <v>340</v>
      </c>
      <c r="E218" s="120"/>
      <c r="F218">
        <v>0</v>
      </c>
      <c r="G218">
        <v>2</v>
      </c>
      <c r="H218">
        <v>2</v>
      </c>
      <c r="I218">
        <v>0</v>
      </c>
      <c r="J218" t="s">
        <v>340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118">
        <v>41241.449999999997</v>
      </c>
    </row>
    <row r="219" spans="1:21">
      <c r="A219">
        <v>225</v>
      </c>
      <c r="B219">
        <v>2</v>
      </c>
      <c r="C219" t="s">
        <v>138</v>
      </c>
      <c r="D219" t="s">
        <v>138</v>
      </c>
      <c r="E219" s="120"/>
      <c r="F219">
        <v>0</v>
      </c>
      <c r="G219">
        <v>2</v>
      </c>
      <c r="H219">
        <v>2</v>
      </c>
      <c r="I219">
        <v>0</v>
      </c>
      <c r="J219" t="s">
        <v>138</v>
      </c>
      <c r="K219">
        <v>0</v>
      </c>
      <c r="L219" t="s">
        <v>139</v>
      </c>
      <c r="M219">
        <v>0</v>
      </c>
      <c r="O219">
        <v>0</v>
      </c>
      <c r="Q219">
        <v>0</v>
      </c>
      <c r="S219">
        <v>0</v>
      </c>
      <c r="T219">
        <v>2</v>
      </c>
      <c r="U219" s="118">
        <v>45033.597222222219</v>
      </c>
    </row>
    <row r="220" spans="1:21">
      <c r="A220">
        <v>226</v>
      </c>
      <c r="B220">
        <v>2</v>
      </c>
      <c r="D220" t="s">
        <v>341</v>
      </c>
      <c r="E220" s="120"/>
      <c r="F220">
        <v>0</v>
      </c>
      <c r="G220">
        <v>2</v>
      </c>
      <c r="H220">
        <v>2</v>
      </c>
      <c r="I220">
        <v>0</v>
      </c>
      <c r="J220" t="s">
        <v>342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118">
        <v>41059.632638888892</v>
      </c>
    </row>
    <row r="221" spans="1:21">
      <c r="A221">
        <v>227</v>
      </c>
      <c r="B221">
        <v>2</v>
      </c>
      <c r="C221" t="s">
        <v>343</v>
      </c>
      <c r="D221" t="s">
        <v>343</v>
      </c>
      <c r="E221" s="120"/>
      <c r="F221">
        <v>0</v>
      </c>
      <c r="G221">
        <v>2</v>
      </c>
      <c r="H221">
        <v>2</v>
      </c>
      <c r="I221">
        <v>0</v>
      </c>
      <c r="J221" t="s">
        <v>343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118">
        <v>41929.679166666669</v>
      </c>
    </row>
    <row r="222" spans="1:21">
      <c r="A222">
        <v>229</v>
      </c>
      <c r="B222">
        <v>0</v>
      </c>
      <c r="C222" t="s">
        <v>178</v>
      </c>
      <c r="E222" s="120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118">
        <v>41212.490277777782</v>
      </c>
    </row>
    <row r="223" spans="1:21">
      <c r="A223">
        <v>230</v>
      </c>
      <c r="B223">
        <v>1</v>
      </c>
      <c r="C223" t="s">
        <v>344</v>
      </c>
      <c r="D223" t="s">
        <v>344</v>
      </c>
      <c r="E223" s="120"/>
      <c r="F223">
        <v>0</v>
      </c>
      <c r="G223">
        <v>3</v>
      </c>
      <c r="H223">
        <v>2</v>
      </c>
      <c r="I223">
        <v>0</v>
      </c>
      <c r="J223" t="s">
        <v>345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118">
        <v>44943.676388888889</v>
      </c>
    </row>
    <row r="224" spans="1:21">
      <c r="A224">
        <v>231</v>
      </c>
      <c r="B224">
        <v>1</v>
      </c>
      <c r="C224" t="s">
        <v>346</v>
      </c>
      <c r="D224" t="s">
        <v>346</v>
      </c>
      <c r="E224" s="120"/>
      <c r="F224">
        <v>0</v>
      </c>
      <c r="G224">
        <v>3</v>
      </c>
      <c r="H224">
        <v>2</v>
      </c>
      <c r="I224">
        <v>0</v>
      </c>
      <c r="J224" t="s">
        <v>347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118">
        <v>44943.677083333343</v>
      </c>
    </row>
    <row r="225" spans="1:21">
      <c r="A225">
        <v>232</v>
      </c>
      <c r="B225">
        <v>1</v>
      </c>
      <c r="C225" t="s">
        <v>348</v>
      </c>
      <c r="D225" t="s">
        <v>348</v>
      </c>
      <c r="E225" s="120"/>
      <c r="F225">
        <v>0</v>
      </c>
      <c r="G225">
        <v>3</v>
      </c>
      <c r="H225">
        <v>2</v>
      </c>
      <c r="I225">
        <v>0</v>
      </c>
      <c r="J225" t="s">
        <v>349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118">
        <v>44943.675000000003</v>
      </c>
    </row>
    <row r="226" spans="1:21">
      <c r="A226">
        <v>233</v>
      </c>
      <c r="B226">
        <v>1</v>
      </c>
      <c r="C226" t="s">
        <v>350</v>
      </c>
      <c r="D226" t="s">
        <v>350</v>
      </c>
      <c r="E226" s="120"/>
      <c r="F226">
        <v>0</v>
      </c>
      <c r="G226">
        <v>3</v>
      </c>
      <c r="H226">
        <v>2</v>
      </c>
      <c r="I226">
        <v>0</v>
      </c>
      <c r="J226" t="s">
        <v>351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118">
        <v>44943.677777777782</v>
      </c>
    </row>
    <row r="227" spans="1:21">
      <c r="A227">
        <v>234</v>
      </c>
      <c r="B227">
        <v>1</v>
      </c>
      <c r="C227" t="s">
        <v>352</v>
      </c>
      <c r="D227" t="s">
        <v>352</v>
      </c>
      <c r="E227" s="120"/>
      <c r="F227">
        <v>0</v>
      </c>
      <c r="G227">
        <v>3</v>
      </c>
      <c r="H227">
        <v>2</v>
      </c>
      <c r="I227">
        <v>0</v>
      </c>
      <c r="J227" t="s">
        <v>353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118">
        <v>44943.675000000003</v>
      </c>
    </row>
    <row r="228" spans="1:21">
      <c r="A228">
        <v>235</v>
      </c>
      <c r="B228">
        <v>1</v>
      </c>
      <c r="C228" t="s">
        <v>354</v>
      </c>
      <c r="D228" t="s">
        <v>354</v>
      </c>
      <c r="E228" s="120"/>
      <c r="F228">
        <v>0</v>
      </c>
      <c r="G228">
        <v>3</v>
      </c>
      <c r="H228">
        <v>2</v>
      </c>
      <c r="I228">
        <v>0</v>
      </c>
      <c r="J228" t="s">
        <v>355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118">
        <v>44943.675000000003</v>
      </c>
    </row>
    <row r="229" spans="1:21">
      <c r="A229">
        <v>236</v>
      </c>
      <c r="B229">
        <v>1</v>
      </c>
      <c r="C229" t="s">
        <v>356</v>
      </c>
      <c r="D229" t="s">
        <v>356</v>
      </c>
      <c r="E229" s="120"/>
      <c r="F229">
        <v>237</v>
      </c>
      <c r="G229">
        <v>1</v>
      </c>
      <c r="H229">
        <v>2</v>
      </c>
      <c r="I229">
        <v>0</v>
      </c>
      <c r="J229" t="s">
        <v>357</v>
      </c>
      <c r="K229">
        <v>0</v>
      </c>
      <c r="L229" t="s">
        <v>358</v>
      </c>
      <c r="M229">
        <v>0</v>
      </c>
      <c r="N229" t="s">
        <v>89</v>
      </c>
      <c r="O229">
        <v>0</v>
      </c>
      <c r="Q229">
        <v>0</v>
      </c>
      <c r="S229">
        <v>0</v>
      </c>
      <c r="T229">
        <v>2</v>
      </c>
      <c r="U229" s="118">
        <v>41926.456944444442</v>
      </c>
    </row>
    <row r="230" spans="1:21">
      <c r="A230">
        <v>237</v>
      </c>
      <c r="B230">
        <v>1</v>
      </c>
      <c r="C230" t="s">
        <v>356</v>
      </c>
      <c r="D230" t="s">
        <v>356</v>
      </c>
      <c r="E230" s="120"/>
      <c r="F230">
        <v>237</v>
      </c>
      <c r="G230">
        <v>1</v>
      </c>
      <c r="H230">
        <v>2</v>
      </c>
      <c r="I230">
        <v>0</v>
      </c>
      <c r="J230" t="s">
        <v>357</v>
      </c>
      <c r="K230">
        <v>0</v>
      </c>
      <c r="L230" t="s">
        <v>358</v>
      </c>
      <c r="M230">
        <v>0</v>
      </c>
      <c r="N230" t="s">
        <v>89</v>
      </c>
      <c r="O230">
        <v>0</v>
      </c>
      <c r="Q230">
        <v>0</v>
      </c>
      <c r="S230">
        <v>0</v>
      </c>
      <c r="T230">
        <v>2</v>
      </c>
      <c r="U230" s="118">
        <v>42027.56527777778</v>
      </c>
    </row>
    <row r="231" spans="1:21">
      <c r="A231">
        <v>238</v>
      </c>
      <c r="B231">
        <v>2</v>
      </c>
      <c r="C231" t="s">
        <v>359</v>
      </c>
      <c r="D231" t="s">
        <v>359</v>
      </c>
      <c r="E231" s="120"/>
      <c r="F231">
        <v>239</v>
      </c>
      <c r="G231">
        <v>2</v>
      </c>
      <c r="H231">
        <v>0</v>
      </c>
      <c r="I231">
        <v>0</v>
      </c>
      <c r="J231" t="s">
        <v>359</v>
      </c>
      <c r="K231">
        <v>0</v>
      </c>
      <c r="L231" t="s">
        <v>139</v>
      </c>
      <c r="M231">
        <v>0</v>
      </c>
      <c r="O231">
        <v>0</v>
      </c>
      <c r="Q231">
        <v>0</v>
      </c>
      <c r="S231">
        <v>0</v>
      </c>
      <c r="T231">
        <v>2</v>
      </c>
      <c r="U231" s="118">
        <v>42283.689583333333</v>
      </c>
    </row>
    <row r="232" spans="1:21">
      <c r="A232">
        <v>240</v>
      </c>
      <c r="B232">
        <v>2</v>
      </c>
      <c r="C232" t="s">
        <v>360</v>
      </c>
      <c r="D232" t="s">
        <v>360</v>
      </c>
      <c r="E232" s="120"/>
      <c r="F232">
        <v>241</v>
      </c>
      <c r="G232">
        <v>2</v>
      </c>
      <c r="H232">
        <v>2</v>
      </c>
      <c r="I232">
        <v>0</v>
      </c>
      <c r="J232" t="s">
        <v>72</v>
      </c>
      <c r="K232">
        <v>1</v>
      </c>
      <c r="L232" t="s">
        <v>361</v>
      </c>
      <c r="M232">
        <v>0</v>
      </c>
      <c r="N232" t="s">
        <v>362</v>
      </c>
      <c r="O232">
        <v>0</v>
      </c>
      <c r="P232" t="s">
        <v>363</v>
      </c>
      <c r="Q232">
        <v>0</v>
      </c>
      <c r="R232" t="s">
        <v>139</v>
      </c>
      <c r="S232">
        <v>0</v>
      </c>
      <c r="T232">
        <v>7</v>
      </c>
      <c r="U232" s="118">
        <v>45824.580555555563</v>
      </c>
    </row>
    <row r="233" spans="1:21">
      <c r="A233">
        <v>241</v>
      </c>
      <c r="B233">
        <v>2</v>
      </c>
      <c r="C233" t="s">
        <v>364</v>
      </c>
      <c r="D233" t="s">
        <v>364</v>
      </c>
      <c r="E233" s="120"/>
      <c r="F233">
        <v>0</v>
      </c>
      <c r="G233">
        <v>2</v>
      </c>
      <c r="H233">
        <v>2</v>
      </c>
      <c r="I233">
        <v>0</v>
      </c>
      <c r="J233" t="s">
        <v>364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118">
        <v>42662.714583333327</v>
      </c>
    </row>
    <row r="234" spans="1:21">
      <c r="A234">
        <v>242</v>
      </c>
      <c r="B234">
        <v>2</v>
      </c>
      <c r="C234" t="s">
        <v>365</v>
      </c>
      <c r="D234" t="s">
        <v>365</v>
      </c>
      <c r="E234" s="120"/>
      <c r="F234">
        <v>0</v>
      </c>
      <c r="G234">
        <v>2</v>
      </c>
      <c r="H234">
        <v>2</v>
      </c>
      <c r="I234">
        <v>0</v>
      </c>
      <c r="J234" t="s">
        <v>365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118">
        <v>42662.715277777781</v>
      </c>
    </row>
    <row r="235" spans="1:21">
      <c r="A235">
        <v>243</v>
      </c>
      <c r="B235">
        <v>2</v>
      </c>
      <c r="C235" t="s">
        <v>366</v>
      </c>
      <c r="D235" t="s">
        <v>366</v>
      </c>
      <c r="E235" s="120"/>
      <c r="F235">
        <v>0</v>
      </c>
      <c r="G235">
        <v>2</v>
      </c>
      <c r="H235">
        <v>2</v>
      </c>
      <c r="I235">
        <v>0</v>
      </c>
      <c r="J235" t="s">
        <v>366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118">
        <v>42997.616666666669</v>
      </c>
    </row>
    <row r="236" spans="1:21">
      <c r="A236">
        <v>244</v>
      </c>
      <c r="B236">
        <v>2</v>
      </c>
      <c r="C236" t="s">
        <v>367</v>
      </c>
      <c r="D236" t="s">
        <v>367</v>
      </c>
      <c r="E236" s="120"/>
      <c r="F236">
        <v>0</v>
      </c>
      <c r="G236">
        <v>2</v>
      </c>
      <c r="H236">
        <v>2</v>
      </c>
      <c r="I236">
        <v>0</v>
      </c>
      <c r="J236" t="s">
        <v>367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118">
        <v>43059.659722222219</v>
      </c>
    </row>
    <row r="237" spans="1:21">
      <c r="A237">
        <v>245</v>
      </c>
      <c r="B237">
        <v>2</v>
      </c>
      <c r="C237" t="s">
        <v>368</v>
      </c>
      <c r="D237" t="s">
        <v>368</v>
      </c>
      <c r="E237" s="120"/>
      <c r="F237">
        <v>0</v>
      </c>
      <c r="G237">
        <v>2</v>
      </c>
      <c r="H237">
        <v>2</v>
      </c>
      <c r="I237">
        <v>0</v>
      </c>
      <c r="J237" t="s">
        <v>368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118">
        <v>43221.536111111112</v>
      </c>
    </row>
    <row r="238" spans="1:21">
      <c r="A238">
        <v>246</v>
      </c>
      <c r="B238">
        <v>2</v>
      </c>
      <c r="C238" t="s">
        <v>369</v>
      </c>
      <c r="D238" t="s">
        <v>369</v>
      </c>
      <c r="E238" s="120"/>
      <c r="F238">
        <v>0</v>
      </c>
      <c r="G238">
        <v>2</v>
      </c>
      <c r="H238">
        <v>2</v>
      </c>
      <c r="I238">
        <v>0</v>
      </c>
      <c r="J238" t="s">
        <v>369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118">
        <v>43462.695833333331</v>
      </c>
    </row>
    <row r="239" spans="1:21">
      <c r="A239">
        <v>247</v>
      </c>
      <c r="B239">
        <v>2</v>
      </c>
      <c r="C239" t="s">
        <v>370</v>
      </c>
      <c r="D239" t="s">
        <v>370</v>
      </c>
      <c r="E239" s="120"/>
      <c r="F239">
        <v>0</v>
      </c>
      <c r="G239">
        <v>2</v>
      </c>
      <c r="H239">
        <v>2</v>
      </c>
      <c r="I239">
        <v>0</v>
      </c>
      <c r="J239" t="s">
        <v>370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118">
        <v>43719.580555555563</v>
      </c>
    </row>
    <row r="240" spans="1:21">
      <c r="A240">
        <v>248</v>
      </c>
      <c r="B240">
        <v>2</v>
      </c>
      <c r="C240" t="s">
        <v>371</v>
      </c>
      <c r="D240" t="s">
        <v>371</v>
      </c>
      <c r="E240" s="120"/>
      <c r="F240">
        <v>0</v>
      </c>
      <c r="G240">
        <v>2</v>
      </c>
      <c r="H240">
        <v>2</v>
      </c>
      <c r="I240">
        <v>0</v>
      </c>
      <c r="J240" t="s">
        <v>371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118">
        <v>44533.520833333343</v>
      </c>
    </row>
    <row r="241" spans="1:21">
      <c r="A241">
        <v>250</v>
      </c>
      <c r="B241">
        <v>2</v>
      </c>
      <c r="C241" t="s">
        <v>372</v>
      </c>
      <c r="D241" t="s">
        <v>372</v>
      </c>
      <c r="E241" s="120"/>
      <c r="F241">
        <v>0</v>
      </c>
      <c r="G241">
        <v>2</v>
      </c>
      <c r="H241">
        <v>2</v>
      </c>
      <c r="I241">
        <v>0</v>
      </c>
      <c r="J241" t="s">
        <v>72</v>
      </c>
      <c r="K241">
        <v>1</v>
      </c>
      <c r="L241" t="s">
        <v>138</v>
      </c>
      <c r="M241">
        <v>0</v>
      </c>
      <c r="N241" t="s">
        <v>373</v>
      </c>
      <c r="O241">
        <v>0</v>
      </c>
      <c r="P241" t="s">
        <v>374</v>
      </c>
      <c r="Q241">
        <v>0</v>
      </c>
      <c r="R241" t="s">
        <v>375</v>
      </c>
      <c r="S241">
        <v>0</v>
      </c>
      <c r="T241">
        <v>2</v>
      </c>
      <c r="U241" s="118">
        <v>44280.711805555547</v>
      </c>
    </row>
    <row r="242" spans="1:21">
      <c r="A242">
        <v>251</v>
      </c>
      <c r="B242">
        <v>2</v>
      </c>
      <c r="C242" t="s">
        <v>376</v>
      </c>
      <c r="D242" t="s">
        <v>376</v>
      </c>
      <c r="E242" s="120"/>
      <c r="F242">
        <v>0</v>
      </c>
      <c r="G242">
        <v>2</v>
      </c>
      <c r="H242">
        <v>2</v>
      </c>
      <c r="I242">
        <v>0</v>
      </c>
      <c r="J242" t="s">
        <v>376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118">
        <v>44538.546527777777</v>
      </c>
    </row>
    <row r="243" spans="1:21">
      <c r="A243">
        <v>252</v>
      </c>
      <c r="B243">
        <v>2</v>
      </c>
      <c r="C243" t="s">
        <v>377</v>
      </c>
      <c r="D243" t="s">
        <v>377</v>
      </c>
      <c r="E243" s="120"/>
      <c r="F243">
        <v>0</v>
      </c>
      <c r="G243">
        <v>2</v>
      </c>
      <c r="H243">
        <v>2</v>
      </c>
      <c r="I243">
        <v>0</v>
      </c>
      <c r="J243" t="s">
        <v>377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118">
        <v>44538.547222222223</v>
      </c>
    </row>
    <row r="244" spans="1:21">
      <c r="A244">
        <v>253</v>
      </c>
      <c r="B244">
        <v>2</v>
      </c>
      <c r="C244" t="s">
        <v>378</v>
      </c>
      <c r="D244" t="s">
        <v>378</v>
      </c>
      <c r="E244" s="120"/>
      <c r="F244">
        <v>0</v>
      </c>
      <c r="G244">
        <v>2</v>
      </c>
      <c r="H244">
        <v>2</v>
      </c>
      <c r="I244">
        <v>0</v>
      </c>
      <c r="J244" t="s">
        <v>378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118">
        <v>44974.582638888889</v>
      </c>
    </row>
    <row r="245" spans="1:21">
      <c r="A245">
        <v>254</v>
      </c>
      <c r="B245">
        <v>2</v>
      </c>
      <c r="C245" t="s">
        <v>379</v>
      </c>
      <c r="D245" t="s">
        <v>379</v>
      </c>
      <c r="E245" s="120"/>
      <c r="F245">
        <v>0</v>
      </c>
      <c r="G245">
        <v>2</v>
      </c>
      <c r="H245">
        <v>2</v>
      </c>
      <c r="I245">
        <v>0</v>
      </c>
      <c r="J245" t="s">
        <v>379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118">
        <v>44974.582638888889</v>
      </c>
    </row>
    <row r="246" spans="1:21">
      <c r="A246">
        <v>255</v>
      </c>
      <c r="B246">
        <v>2</v>
      </c>
      <c r="C246" t="s">
        <v>380</v>
      </c>
      <c r="D246" t="s">
        <v>380</v>
      </c>
      <c r="E246" s="120"/>
      <c r="F246">
        <v>0</v>
      </c>
      <c r="G246">
        <v>2</v>
      </c>
      <c r="H246">
        <v>2</v>
      </c>
      <c r="I246">
        <v>0</v>
      </c>
      <c r="J246" t="s">
        <v>381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118">
        <v>44974.582638888889</v>
      </c>
    </row>
    <row r="247" spans="1:21">
      <c r="A247">
        <v>256</v>
      </c>
      <c r="B247">
        <v>2</v>
      </c>
      <c r="C247" t="s">
        <v>382</v>
      </c>
      <c r="D247" t="s">
        <v>382</v>
      </c>
      <c r="E247" s="120"/>
      <c r="F247">
        <v>0</v>
      </c>
      <c r="G247">
        <v>2</v>
      </c>
      <c r="H247">
        <v>2</v>
      </c>
      <c r="I247">
        <v>0</v>
      </c>
      <c r="J247" t="s">
        <v>382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118">
        <v>45072.6</v>
      </c>
    </row>
    <row r="248" spans="1:21">
      <c r="A248">
        <v>257</v>
      </c>
      <c r="B248">
        <v>2</v>
      </c>
      <c r="C248" t="s">
        <v>383</v>
      </c>
      <c r="D248" t="s">
        <v>383</v>
      </c>
      <c r="E248" s="120"/>
      <c r="F248">
        <v>0</v>
      </c>
      <c r="G248">
        <v>2</v>
      </c>
      <c r="H248">
        <v>2</v>
      </c>
      <c r="I248">
        <v>0</v>
      </c>
      <c r="J248" t="s">
        <v>383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118">
        <v>45072.616666666669</v>
      </c>
    </row>
    <row r="249" spans="1:21">
      <c r="A249">
        <v>258</v>
      </c>
      <c r="B249">
        <v>2</v>
      </c>
      <c r="C249" t="s">
        <v>312</v>
      </c>
      <c r="D249" t="s">
        <v>312</v>
      </c>
      <c r="E249" s="120"/>
      <c r="F249">
        <v>0</v>
      </c>
      <c r="G249">
        <v>2</v>
      </c>
      <c r="H249">
        <v>2</v>
      </c>
      <c r="I249">
        <v>0</v>
      </c>
      <c r="J249" t="s">
        <v>312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118">
        <v>45272.631249999999</v>
      </c>
    </row>
    <row r="250" spans="1:21">
      <c r="A250">
        <v>259</v>
      </c>
      <c r="B250">
        <v>2</v>
      </c>
      <c r="C250" t="s">
        <v>313</v>
      </c>
      <c r="D250" t="s">
        <v>313</v>
      </c>
      <c r="E250" s="120"/>
      <c r="F250">
        <v>0</v>
      </c>
      <c r="G250">
        <v>2</v>
      </c>
      <c r="H250">
        <v>2</v>
      </c>
      <c r="I250">
        <v>0</v>
      </c>
      <c r="J250" t="s">
        <v>313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118">
        <v>45272.631249999999</v>
      </c>
    </row>
    <row r="251" spans="1:21">
      <c r="A251">
        <v>260</v>
      </c>
      <c r="B251">
        <v>2</v>
      </c>
      <c r="C251" t="s">
        <v>374</v>
      </c>
      <c r="D251" t="s">
        <v>374</v>
      </c>
      <c r="E251" s="120"/>
      <c r="F251">
        <v>0</v>
      </c>
      <c r="G251">
        <v>2</v>
      </c>
      <c r="H251">
        <v>2</v>
      </c>
      <c r="I251">
        <v>0</v>
      </c>
      <c r="J251" t="s">
        <v>374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118">
        <v>45390.600694444453</v>
      </c>
    </row>
    <row r="252" spans="1:21">
      <c r="A252">
        <v>261</v>
      </c>
      <c r="B252">
        <v>2</v>
      </c>
      <c r="C252" t="s">
        <v>375</v>
      </c>
      <c r="D252" t="s">
        <v>375</v>
      </c>
      <c r="E252" s="120"/>
      <c r="F252">
        <v>0</v>
      </c>
      <c r="G252">
        <v>2</v>
      </c>
      <c r="H252">
        <v>2</v>
      </c>
      <c r="I252">
        <v>0</v>
      </c>
      <c r="J252" t="s">
        <v>375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118">
        <v>45390.600694444453</v>
      </c>
    </row>
    <row r="253" spans="1:21">
      <c r="A253">
        <v>262</v>
      </c>
      <c r="B253">
        <v>2</v>
      </c>
      <c r="C253" t="s">
        <v>384</v>
      </c>
      <c r="D253" t="s">
        <v>384</v>
      </c>
      <c r="E253" s="121"/>
      <c r="F253">
        <v>0</v>
      </c>
      <c r="G253">
        <v>2</v>
      </c>
      <c r="H253">
        <v>2</v>
      </c>
      <c r="I253">
        <v>0</v>
      </c>
      <c r="J253" t="s">
        <v>138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118">
        <v>45390.602083333331</v>
      </c>
    </row>
    <row r="254" spans="1:21">
      <c r="A254">
        <v>301</v>
      </c>
      <c r="B254">
        <v>2</v>
      </c>
      <c r="C254" t="s">
        <v>385</v>
      </c>
      <c r="D254" t="s">
        <v>385</v>
      </c>
      <c r="E254" s="119"/>
      <c r="F254">
        <v>0</v>
      </c>
      <c r="G254">
        <v>2</v>
      </c>
      <c r="H254">
        <v>2</v>
      </c>
      <c r="I254">
        <v>0</v>
      </c>
      <c r="T254">
        <v>2</v>
      </c>
      <c r="U254" s="118">
        <v>40801.599999999999</v>
      </c>
    </row>
    <row r="255" spans="1:21">
      <c r="A255">
        <v>302</v>
      </c>
      <c r="B255">
        <v>2</v>
      </c>
      <c r="C255" t="s">
        <v>386</v>
      </c>
      <c r="D255" t="s">
        <v>386</v>
      </c>
      <c r="E255" s="120"/>
      <c r="F255">
        <v>0</v>
      </c>
      <c r="G255">
        <v>2</v>
      </c>
      <c r="H255">
        <v>2</v>
      </c>
      <c r="I255">
        <v>0</v>
      </c>
      <c r="T255">
        <v>2</v>
      </c>
      <c r="U255" s="118">
        <v>40801.600694444453</v>
      </c>
    </row>
    <row r="256" spans="1:21">
      <c r="A256">
        <v>303</v>
      </c>
      <c r="B256">
        <v>2</v>
      </c>
      <c r="C256" t="s">
        <v>387</v>
      </c>
      <c r="D256" t="s">
        <v>387</v>
      </c>
      <c r="E256" s="120"/>
      <c r="F256">
        <v>0</v>
      </c>
      <c r="G256">
        <v>2</v>
      </c>
      <c r="H256">
        <v>2</v>
      </c>
      <c r="I256">
        <v>0</v>
      </c>
      <c r="T256">
        <v>2</v>
      </c>
      <c r="U256" s="118">
        <v>40801.601388888892</v>
      </c>
    </row>
    <row r="257" spans="1:21">
      <c r="A257">
        <v>304</v>
      </c>
      <c r="B257">
        <v>2</v>
      </c>
      <c r="C257" t="s">
        <v>388</v>
      </c>
      <c r="D257" t="s">
        <v>388</v>
      </c>
      <c r="E257" s="120"/>
      <c r="F257">
        <v>0</v>
      </c>
      <c r="G257">
        <v>2</v>
      </c>
      <c r="H257">
        <v>2</v>
      </c>
      <c r="I257">
        <v>0</v>
      </c>
      <c r="T257">
        <v>2</v>
      </c>
      <c r="U257" s="118">
        <v>40801.689583333333</v>
      </c>
    </row>
    <row r="258" spans="1:21">
      <c r="A258">
        <v>305</v>
      </c>
      <c r="B258">
        <v>2</v>
      </c>
      <c r="C258" t="s">
        <v>389</v>
      </c>
      <c r="D258" t="s">
        <v>389</v>
      </c>
      <c r="E258" s="120"/>
      <c r="F258">
        <v>0</v>
      </c>
      <c r="G258">
        <v>2</v>
      </c>
      <c r="H258">
        <v>2</v>
      </c>
      <c r="I258">
        <v>0</v>
      </c>
      <c r="T258">
        <v>2</v>
      </c>
      <c r="U258" s="118">
        <v>40801.601388888892</v>
      </c>
    </row>
    <row r="259" spans="1:21">
      <c r="A259">
        <v>306</v>
      </c>
      <c r="B259">
        <v>2</v>
      </c>
      <c r="C259" t="s">
        <v>390</v>
      </c>
      <c r="D259" t="s">
        <v>390</v>
      </c>
      <c r="E259" s="120"/>
      <c r="F259">
        <v>0</v>
      </c>
      <c r="G259">
        <v>2</v>
      </c>
      <c r="H259">
        <v>2</v>
      </c>
      <c r="I259">
        <v>0</v>
      </c>
      <c r="T259">
        <v>2</v>
      </c>
      <c r="U259" s="118">
        <v>40801.602083333331</v>
      </c>
    </row>
    <row r="260" spans="1:21">
      <c r="A260">
        <v>307</v>
      </c>
      <c r="B260">
        <v>2</v>
      </c>
      <c r="C260" t="s">
        <v>343</v>
      </c>
      <c r="D260" t="s">
        <v>343</v>
      </c>
      <c r="E260" s="120"/>
      <c r="F260">
        <v>0</v>
      </c>
      <c r="G260">
        <v>2</v>
      </c>
      <c r="H260">
        <v>2</v>
      </c>
      <c r="I260">
        <v>0</v>
      </c>
      <c r="T260">
        <v>2</v>
      </c>
      <c r="U260" s="118">
        <v>40801.602083333331</v>
      </c>
    </row>
    <row r="261" spans="1:21">
      <c r="A261">
        <v>308</v>
      </c>
      <c r="B261">
        <v>2</v>
      </c>
      <c r="C261" t="s">
        <v>135</v>
      </c>
      <c r="D261" t="s">
        <v>135</v>
      </c>
      <c r="E261" s="120"/>
      <c r="F261">
        <v>0</v>
      </c>
      <c r="G261">
        <v>2</v>
      </c>
      <c r="H261">
        <v>2</v>
      </c>
      <c r="I261">
        <v>0</v>
      </c>
      <c r="T261">
        <v>2</v>
      </c>
      <c r="U261" s="118">
        <v>40801.602083333331</v>
      </c>
    </row>
    <row r="262" spans="1:21">
      <c r="A262">
        <v>309</v>
      </c>
      <c r="B262">
        <v>2</v>
      </c>
      <c r="C262" t="s">
        <v>391</v>
      </c>
      <c r="D262" t="s">
        <v>391</v>
      </c>
      <c r="E262" s="120"/>
      <c r="F262">
        <v>0</v>
      </c>
      <c r="G262">
        <v>2</v>
      </c>
      <c r="H262">
        <v>2</v>
      </c>
      <c r="I262">
        <v>0</v>
      </c>
      <c r="T262">
        <v>2</v>
      </c>
      <c r="U262" s="118">
        <v>40801.602083333331</v>
      </c>
    </row>
    <row r="263" spans="1:21">
      <c r="A263">
        <v>310</v>
      </c>
      <c r="B263">
        <v>2</v>
      </c>
      <c r="C263" t="s">
        <v>392</v>
      </c>
      <c r="D263" t="s">
        <v>392</v>
      </c>
      <c r="E263" s="120"/>
      <c r="F263">
        <v>0</v>
      </c>
      <c r="G263">
        <v>2</v>
      </c>
      <c r="H263">
        <v>2</v>
      </c>
      <c r="I263">
        <v>0</v>
      </c>
      <c r="T263">
        <v>2</v>
      </c>
      <c r="U263" s="118">
        <v>40801.602777777778</v>
      </c>
    </row>
    <row r="264" spans="1:21">
      <c r="A264">
        <v>311</v>
      </c>
      <c r="B264">
        <v>2</v>
      </c>
      <c r="C264" t="s">
        <v>393</v>
      </c>
      <c r="D264" t="s">
        <v>393</v>
      </c>
      <c r="E264" s="120"/>
      <c r="F264">
        <v>0</v>
      </c>
      <c r="G264">
        <v>2</v>
      </c>
      <c r="H264">
        <v>2</v>
      </c>
      <c r="I264">
        <v>0</v>
      </c>
      <c r="T264">
        <v>2</v>
      </c>
      <c r="U264" s="118">
        <v>40801.602777777778</v>
      </c>
    </row>
    <row r="265" spans="1:21">
      <c r="A265">
        <v>312</v>
      </c>
      <c r="B265">
        <v>2</v>
      </c>
      <c r="C265" t="s">
        <v>394</v>
      </c>
      <c r="D265" t="s">
        <v>394</v>
      </c>
      <c r="E265" s="120"/>
      <c r="F265">
        <v>0</v>
      </c>
      <c r="G265">
        <v>2</v>
      </c>
      <c r="H265">
        <v>2</v>
      </c>
      <c r="I265">
        <v>0</v>
      </c>
      <c r="T265">
        <v>2</v>
      </c>
      <c r="U265" s="118">
        <v>40801.602777777778</v>
      </c>
    </row>
    <row r="266" spans="1:21">
      <c r="A266">
        <v>313</v>
      </c>
      <c r="B266">
        <v>2</v>
      </c>
      <c r="C266" t="s">
        <v>395</v>
      </c>
      <c r="D266" t="s">
        <v>395</v>
      </c>
      <c r="E266" s="120"/>
      <c r="F266">
        <v>0</v>
      </c>
      <c r="G266">
        <v>2</v>
      </c>
      <c r="H266">
        <v>2</v>
      </c>
      <c r="I266">
        <v>0</v>
      </c>
      <c r="T266">
        <v>2</v>
      </c>
      <c r="U266" s="118">
        <v>40801.603472222218</v>
      </c>
    </row>
    <row r="267" spans="1:21">
      <c r="A267">
        <v>314</v>
      </c>
      <c r="B267">
        <v>2</v>
      </c>
      <c r="C267" t="s">
        <v>396</v>
      </c>
      <c r="D267" t="s">
        <v>396</v>
      </c>
      <c r="E267" s="120"/>
      <c r="F267">
        <v>0</v>
      </c>
      <c r="G267">
        <v>2</v>
      </c>
      <c r="H267">
        <v>2</v>
      </c>
      <c r="I267">
        <v>0</v>
      </c>
      <c r="T267">
        <v>2</v>
      </c>
      <c r="U267" s="118">
        <v>40801.603472222218</v>
      </c>
    </row>
    <row r="268" spans="1:21">
      <c r="A268">
        <v>315</v>
      </c>
      <c r="B268">
        <v>2</v>
      </c>
      <c r="C268" t="s">
        <v>397</v>
      </c>
      <c r="D268" t="s">
        <v>397</v>
      </c>
      <c r="E268" s="120"/>
      <c r="F268">
        <v>0</v>
      </c>
      <c r="G268">
        <v>2</v>
      </c>
      <c r="H268">
        <v>2</v>
      </c>
      <c r="I268">
        <v>0</v>
      </c>
      <c r="T268">
        <v>2</v>
      </c>
      <c r="U268" s="118">
        <v>40801.603472222218</v>
      </c>
    </row>
    <row r="269" spans="1:21">
      <c r="A269">
        <v>316</v>
      </c>
      <c r="B269">
        <v>2</v>
      </c>
      <c r="C269" t="s">
        <v>398</v>
      </c>
      <c r="D269" t="s">
        <v>398</v>
      </c>
      <c r="E269" s="121"/>
      <c r="F269">
        <v>0</v>
      </c>
      <c r="G269">
        <v>2</v>
      </c>
      <c r="H269">
        <v>2</v>
      </c>
      <c r="I269">
        <v>0</v>
      </c>
      <c r="T269">
        <v>2</v>
      </c>
      <c r="U269" s="118">
        <v>40801.603472222218</v>
      </c>
    </row>
    <row r="270" spans="1:21">
      <c r="A270">
        <v>400</v>
      </c>
      <c r="B270">
        <v>1</v>
      </c>
      <c r="C270" t="s">
        <v>399</v>
      </c>
      <c r="D270" t="s">
        <v>400</v>
      </c>
      <c r="E270" s="120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118">
        <v>42054.595833333333</v>
      </c>
    </row>
    <row r="271" spans="1:21">
      <c r="A271">
        <v>401</v>
      </c>
      <c r="B271">
        <v>0</v>
      </c>
      <c r="C271" t="s">
        <v>401</v>
      </c>
      <c r="D271" t="s">
        <v>400</v>
      </c>
      <c r="E271" s="120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118">
        <v>42054.595833333333</v>
      </c>
    </row>
    <row r="272" spans="1:21">
      <c r="A272">
        <v>402</v>
      </c>
      <c r="B272">
        <v>1</v>
      </c>
      <c r="C272" t="s">
        <v>402</v>
      </c>
      <c r="D272" t="s">
        <v>402</v>
      </c>
      <c r="E272" s="120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118">
        <v>41829.61041666667</v>
      </c>
    </row>
    <row r="273" spans="1:21">
      <c r="A273">
        <v>403</v>
      </c>
      <c r="B273">
        <v>1</v>
      </c>
      <c r="C273" t="s">
        <v>403</v>
      </c>
      <c r="D273" t="s">
        <v>403</v>
      </c>
      <c r="E273" s="120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118">
        <v>43672.388194444437</v>
      </c>
    </row>
    <row r="274" spans="1:21">
      <c r="A274">
        <v>404</v>
      </c>
      <c r="B274">
        <v>1</v>
      </c>
      <c r="C274" t="s">
        <v>404</v>
      </c>
      <c r="D274" t="s">
        <v>405</v>
      </c>
      <c r="E274" s="120"/>
      <c r="F274">
        <v>405</v>
      </c>
      <c r="G274">
        <v>1</v>
      </c>
      <c r="H274">
        <v>2</v>
      </c>
      <c r="I274">
        <v>0</v>
      </c>
      <c r="J274" t="s">
        <v>89</v>
      </c>
      <c r="K274">
        <v>0</v>
      </c>
      <c r="L274" t="s">
        <v>406</v>
      </c>
      <c r="M274">
        <v>0</v>
      </c>
      <c r="O274">
        <v>0</v>
      </c>
      <c r="Q274">
        <v>0</v>
      </c>
      <c r="S274">
        <v>0</v>
      </c>
      <c r="T274">
        <v>3</v>
      </c>
      <c r="U274" s="118">
        <v>43810.755555555559</v>
      </c>
    </row>
    <row r="275" spans="1:21">
      <c r="A275">
        <v>405</v>
      </c>
      <c r="B275">
        <v>0</v>
      </c>
      <c r="C275" t="s">
        <v>407</v>
      </c>
      <c r="D275" t="s">
        <v>405</v>
      </c>
      <c r="E275" s="120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118">
        <v>43782.701388888891</v>
      </c>
    </row>
    <row r="276" spans="1:21">
      <c r="A276">
        <v>410</v>
      </c>
      <c r="B276">
        <v>1</v>
      </c>
      <c r="C276" t="s">
        <v>408</v>
      </c>
      <c r="D276" t="s">
        <v>409</v>
      </c>
      <c r="E276" s="120"/>
      <c r="F276">
        <v>411</v>
      </c>
      <c r="G276">
        <v>1</v>
      </c>
      <c r="H276">
        <v>1</v>
      </c>
      <c r="I276">
        <v>18</v>
      </c>
      <c r="J276" t="s">
        <v>334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118">
        <v>41022.645833333343</v>
      </c>
    </row>
    <row r="277" spans="1:21">
      <c r="A277">
        <v>411</v>
      </c>
      <c r="B277">
        <v>1</v>
      </c>
      <c r="C277" t="s">
        <v>410</v>
      </c>
      <c r="D277" t="s">
        <v>409</v>
      </c>
      <c r="E277" s="120"/>
      <c r="F277">
        <v>411</v>
      </c>
      <c r="G277">
        <v>1</v>
      </c>
      <c r="H277">
        <v>1</v>
      </c>
      <c r="I277">
        <v>18</v>
      </c>
      <c r="J277" t="s">
        <v>334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118">
        <v>42562.600694444453</v>
      </c>
    </row>
    <row r="278" spans="1:21">
      <c r="A278">
        <v>412</v>
      </c>
      <c r="B278">
        <v>0</v>
      </c>
      <c r="C278" t="s">
        <v>411</v>
      </c>
      <c r="D278" t="s">
        <v>411</v>
      </c>
      <c r="E278" s="120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118">
        <v>41067.478472222218</v>
      </c>
    </row>
    <row r="279" spans="1:21">
      <c r="A279">
        <v>413</v>
      </c>
      <c r="B279">
        <v>0</v>
      </c>
      <c r="C279" t="s">
        <v>412</v>
      </c>
      <c r="E279" s="120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118">
        <v>41212.493750000001</v>
      </c>
    </row>
    <row r="280" spans="1:21">
      <c r="A280">
        <v>414</v>
      </c>
      <c r="B280">
        <v>2</v>
      </c>
      <c r="C280" t="s">
        <v>339</v>
      </c>
      <c r="D280" t="s">
        <v>339</v>
      </c>
      <c r="E280" s="120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118">
        <v>45121.540277777778</v>
      </c>
    </row>
    <row r="281" spans="1:21">
      <c r="A281">
        <v>415</v>
      </c>
      <c r="B281">
        <v>0</v>
      </c>
      <c r="C281" t="s">
        <v>413</v>
      </c>
      <c r="E281" s="120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118">
        <v>41212.494444444441</v>
      </c>
    </row>
    <row r="282" spans="1:21">
      <c r="A282">
        <v>416</v>
      </c>
      <c r="B282">
        <v>0</v>
      </c>
      <c r="C282" t="s">
        <v>414</v>
      </c>
      <c r="E282" s="120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118">
        <v>41212.495138888888</v>
      </c>
    </row>
    <row r="283" spans="1:21">
      <c r="A283">
        <v>417</v>
      </c>
      <c r="B283">
        <v>0</v>
      </c>
      <c r="C283" t="s">
        <v>415</v>
      </c>
      <c r="E283" s="120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118">
        <v>41212.495833333327</v>
      </c>
    </row>
    <row r="284" spans="1:21">
      <c r="A284">
        <v>418</v>
      </c>
      <c r="B284">
        <v>0</v>
      </c>
      <c r="C284" t="s">
        <v>416</v>
      </c>
      <c r="E284" s="120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118">
        <v>41225.491666666669</v>
      </c>
    </row>
    <row r="285" spans="1:21">
      <c r="A285">
        <v>419</v>
      </c>
      <c r="B285">
        <v>0</v>
      </c>
      <c r="C285" t="s">
        <v>417</v>
      </c>
      <c r="E285" s="120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118">
        <v>41225.491666666669</v>
      </c>
    </row>
    <row r="286" spans="1:21">
      <c r="A286">
        <v>420</v>
      </c>
      <c r="B286">
        <v>1</v>
      </c>
      <c r="C286" t="s">
        <v>418</v>
      </c>
      <c r="D286" t="s">
        <v>419</v>
      </c>
      <c r="E286" s="120"/>
      <c r="F286">
        <v>421</v>
      </c>
      <c r="G286">
        <v>1</v>
      </c>
      <c r="H286">
        <v>2</v>
      </c>
      <c r="I286">
        <v>0</v>
      </c>
      <c r="J286" t="s">
        <v>419</v>
      </c>
      <c r="K286">
        <v>0</v>
      </c>
      <c r="L286" t="s">
        <v>420</v>
      </c>
      <c r="M286">
        <v>0</v>
      </c>
      <c r="N286" t="s">
        <v>139</v>
      </c>
      <c r="O286">
        <v>0</v>
      </c>
      <c r="Q286">
        <v>0</v>
      </c>
      <c r="S286">
        <v>0</v>
      </c>
      <c r="T286">
        <v>2</v>
      </c>
      <c r="U286" s="118">
        <v>43410.616666666669</v>
      </c>
    </row>
    <row r="287" spans="1:21">
      <c r="A287">
        <v>421</v>
      </c>
      <c r="B287">
        <v>1</v>
      </c>
      <c r="C287" t="s">
        <v>421</v>
      </c>
      <c r="D287" t="s">
        <v>419</v>
      </c>
      <c r="E287" s="120"/>
      <c r="F287">
        <v>0</v>
      </c>
      <c r="G287">
        <v>1</v>
      </c>
      <c r="H287">
        <v>2</v>
      </c>
      <c r="I287">
        <v>0</v>
      </c>
      <c r="J287" t="s">
        <v>419</v>
      </c>
      <c r="K287">
        <v>0</v>
      </c>
      <c r="L287" t="s">
        <v>138</v>
      </c>
      <c r="M287">
        <v>0</v>
      </c>
      <c r="N287" t="s">
        <v>139</v>
      </c>
      <c r="O287">
        <v>0</v>
      </c>
      <c r="Q287">
        <v>0</v>
      </c>
      <c r="S287">
        <v>0</v>
      </c>
      <c r="T287">
        <v>2</v>
      </c>
      <c r="U287" s="118">
        <v>43391.707638888889</v>
      </c>
    </row>
    <row r="288" spans="1:21">
      <c r="A288">
        <v>422</v>
      </c>
      <c r="B288">
        <v>0</v>
      </c>
      <c r="C288" t="s">
        <v>138</v>
      </c>
      <c r="E288" s="120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118">
        <v>41303.448611111111</v>
      </c>
    </row>
    <row r="289" spans="1:21">
      <c r="A289">
        <v>423</v>
      </c>
      <c r="B289">
        <v>0</v>
      </c>
      <c r="C289" t="s">
        <v>422</v>
      </c>
      <c r="E289" s="120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118">
        <v>41330.536111111112</v>
      </c>
    </row>
    <row r="290" spans="1:21">
      <c r="A290">
        <v>424</v>
      </c>
      <c r="B290">
        <v>0</v>
      </c>
      <c r="C290" t="s">
        <v>423</v>
      </c>
      <c r="E290" s="120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118">
        <v>41332.54791666667</v>
      </c>
    </row>
    <row r="291" spans="1:21">
      <c r="A291">
        <v>425</v>
      </c>
      <c r="B291">
        <v>0</v>
      </c>
      <c r="C291" t="s">
        <v>424</v>
      </c>
      <c r="E291" s="120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118">
        <v>41333.504166666673</v>
      </c>
    </row>
    <row r="292" spans="1:21">
      <c r="A292">
        <v>426</v>
      </c>
      <c r="B292">
        <v>0</v>
      </c>
      <c r="C292" t="s">
        <v>425</v>
      </c>
      <c r="E292" s="120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118">
        <v>41333.504166666673</v>
      </c>
    </row>
    <row r="293" spans="1:21">
      <c r="A293">
        <v>427</v>
      </c>
      <c r="B293">
        <v>0</v>
      </c>
      <c r="C293" t="s">
        <v>426</v>
      </c>
      <c r="D293" t="s">
        <v>427</v>
      </c>
      <c r="E293" s="120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118">
        <v>41338.46875</v>
      </c>
    </row>
    <row r="294" spans="1:21">
      <c r="A294">
        <v>430</v>
      </c>
      <c r="B294">
        <v>1</v>
      </c>
      <c r="C294" t="s">
        <v>428</v>
      </c>
      <c r="D294" t="s">
        <v>428</v>
      </c>
      <c r="E294" s="120"/>
      <c r="F294">
        <v>431</v>
      </c>
      <c r="G294">
        <v>1</v>
      </c>
      <c r="H294">
        <v>2</v>
      </c>
      <c r="I294">
        <v>0</v>
      </c>
      <c r="J294" t="s">
        <v>72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118">
        <v>43474.438888888893</v>
      </c>
    </row>
    <row r="295" spans="1:21">
      <c r="A295">
        <v>431</v>
      </c>
      <c r="B295">
        <v>1</v>
      </c>
      <c r="C295" t="s">
        <v>207</v>
      </c>
      <c r="D295" t="s">
        <v>428</v>
      </c>
      <c r="E295" s="120"/>
      <c r="F295">
        <v>431</v>
      </c>
      <c r="G295">
        <v>1</v>
      </c>
      <c r="H295">
        <v>2</v>
      </c>
      <c r="I295">
        <v>0</v>
      </c>
      <c r="J295" t="s">
        <v>72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118">
        <v>41383.786111111112</v>
      </c>
    </row>
    <row r="296" spans="1:21">
      <c r="A296">
        <v>432</v>
      </c>
      <c r="B296">
        <v>1</v>
      </c>
      <c r="C296" t="s">
        <v>429</v>
      </c>
      <c r="D296" t="s">
        <v>430</v>
      </c>
      <c r="E296" s="120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118">
        <v>42178.476388888892</v>
      </c>
    </row>
    <row r="297" spans="1:21">
      <c r="A297">
        <v>433</v>
      </c>
      <c r="B297">
        <v>0</v>
      </c>
      <c r="C297" t="s">
        <v>431</v>
      </c>
      <c r="E297" s="120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118">
        <v>41478.56527777778</v>
      </c>
    </row>
    <row r="298" spans="1:21">
      <c r="A298">
        <v>434</v>
      </c>
      <c r="B298">
        <v>1</v>
      </c>
      <c r="C298" t="s">
        <v>432</v>
      </c>
      <c r="D298" t="s">
        <v>432</v>
      </c>
      <c r="E298" s="120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118">
        <v>45216.575694444437</v>
      </c>
    </row>
    <row r="299" spans="1:21">
      <c r="A299">
        <v>435</v>
      </c>
      <c r="B299">
        <v>0</v>
      </c>
      <c r="C299" t="s">
        <v>433</v>
      </c>
      <c r="E299" s="120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118">
        <v>41512.532638888893</v>
      </c>
    </row>
    <row r="300" spans="1:21">
      <c r="A300">
        <v>436</v>
      </c>
      <c r="B300">
        <v>0</v>
      </c>
      <c r="C300" t="s">
        <v>434</v>
      </c>
      <c r="E300" s="120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118">
        <v>41512.533333333333</v>
      </c>
    </row>
    <row r="301" spans="1:21">
      <c r="A301">
        <v>438</v>
      </c>
      <c r="B301">
        <v>0</v>
      </c>
      <c r="C301" t="s">
        <v>435</v>
      </c>
      <c r="E301" s="120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118">
        <v>41512.534722222219</v>
      </c>
    </row>
    <row r="302" spans="1:21">
      <c r="A302">
        <v>439</v>
      </c>
      <c r="B302">
        <v>0</v>
      </c>
      <c r="C302" t="s">
        <v>436</v>
      </c>
      <c r="E302" s="120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118">
        <v>41522.586805555547</v>
      </c>
    </row>
    <row r="303" spans="1:21">
      <c r="A303">
        <v>440</v>
      </c>
      <c r="B303">
        <v>0</v>
      </c>
      <c r="C303" t="s">
        <v>437</v>
      </c>
      <c r="E303" s="120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118">
        <v>41522.588888888888</v>
      </c>
    </row>
    <row r="304" spans="1:21">
      <c r="A304">
        <v>441</v>
      </c>
      <c r="B304">
        <v>0</v>
      </c>
      <c r="C304" t="s">
        <v>438</v>
      </c>
      <c r="E304" s="120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118">
        <v>41527.534722222219</v>
      </c>
    </row>
    <row r="305" spans="1:21">
      <c r="A305">
        <v>442</v>
      </c>
      <c r="B305">
        <v>0</v>
      </c>
      <c r="C305" t="s">
        <v>439</v>
      </c>
      <c r="E305" s="120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118">
        <v>41527.534722222219</v>
      </c>
    </row>
    <row r="306" spans="1:21">
      <c r="A306">
        <v>443</v>
      </c>
      <c r="B306">
        <v>0</v>
      </c>
      <c r="C306" t="s">
        <v>440</v>
      </c>
      <c r="E306" s="120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118">
        <v>42178.479861111111</v>
      </c>
    </row>
    <row r="307" spans="1:21">
      <c r="A307">
        <v>444</v>
      </c>
      <c r="B307">
        <v>0</v>
      </c>
      <c r="C307" t="s">
        <v>441</v>
      </c>
      <c r="E307" s="120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118">
        <v>41534.566666666673</v>
      </c>
    </row>
    <row r="308" spans="1:21">
      <c r="A308">
        <v>445</v>
      </c>
      <c r="B308">
        <v>0</v>
      </c>
      <c r="C308" t="s">
        <v>442</v>
      </c>
      <c r="E308" s="120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118">
        <v>41535.584027777782</v>
      </c>
    </row>
    <row r="309" spans="1:21">
      <c r="A309">
        <v>446</v>
      </c>
      <c r="B309">
        <v>0</v>
      </c>
      <c r="C309" t="s">
        <v>443</v>
      </c>
      <c r="E309" s="120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118">
        <v>41535.584722222222</v>
      </c>
    </row>
    <row r="310" spans="1:21">
      <c r="A310">
        <v>447</v>
      </c>
      <c r="B310">
        <v>0</v>
      </c>
      <c r="C310" t="s">
        <v>444</v>
      </c>
      <c r="E310" s="120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118">
        <v>41554.56527777778</v>
      </c>
    </row>
    <row r="311" spans="1:21">
      <c r="A311">
        <v>448</v>
      </c>
      <c r="B311">
        <v>0</v>
      </c>
      <c r="C311" t="s">
        <v>445</v>
      </c>
      <c r="E311" s="120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118">
        <v>41554.565972222219</v>
      </c>
    </row>
    <row r="312" spans="1:21">
      <c r="A312">
        <v>451</v>
      </c>
      <c r="B312">
        <v>0</v>
      </c>
      <c r="C312" t="s">
        <v>446</v>
      </c>
      <c r="E312" s="120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118">
        <v>41977.621527777781</v>
      </c>
    </row>
    <row r="313" spans="1:21">
      <c r="A313">
        <v>452</v>
      </c>
      <c r="B313">
        <v>0</v>
      </c>
      <c r="C313" t="s">
        <v>447</v>
      </c>
      <c r="E313" s="120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118">
        <v>41977.621527777781</v>
      </c>
    </row>
    <row r="314" spans="1:21">
      <c r="A314">
        <v>453</v>
      </c>
      <c r="B314">
        <v>0</v>
      </c>
      <c r="C314" t="s">
        <v>448</v>
      </c>
      <c r="E314" s="120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118">
        <v>41977.621527777781</v>
      </c>
    </row>
    <row r="315" spans="1:21">
      <c r="A315">
        <v>454</v>
      </c>
      <c r="B315">
        <v>1</v>
      </c>
      <c r="C315" t="s">
        <v>449</v>
      </c>
      <c r="D315" t="s">
        <v>449</v>
      </c>
      <c r="E315" s="120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118">
        <v>45216.574999999997</v>
      </c>
    </row>
    <row r="316" spans="1:21">
      <c r="A316">
        <v>455</v>
      </c>
      <c r="B316">
        <v>0</v>
      </c>
      <c r="C316" t="s">
        <v>450</v>
      </c>
      <c r="E316" s="120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118">
        <v>41575.570833333331</v>
      </c>
    </row>
    <row r="317" spans="1:21">
      <c r="A317">
        <v>456</v>
      </c>
      <c r="B317">
        <v>0</v>
      </c>
      <c r="C317" t="s">
        <v>451</v>
      </c>
      <c r="E317" s="120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118">
        <v>41575.570833333331</v>
      </c>
    </row>
    <row r="318" spans="1:21">
      <c r="A318">
        <v>457</v>
      </c>
      <c r="B318">
        <v>1</v>
      </c>
      <c r="C318" t="s">
        <v>452</v>
      </c>
      <c r="D318" t="s">
        <v>452</v>
      </c>
      <c r="E318" s="120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118">
        <v>45226.444444444453</v>
      </c>
    </row>
    <row r="319" spans="1:21">
      <c r="A319">
        <v>458</v>
      </c>
      <c r="B319">
        <v>0</v>
      </c>
      <c r="C319" t="s">
        <v>453</v>
      </c>
      <c r="E319" s="120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118">
        <v>41575.572222222218</v>
      </c>
    </row>
    <row r="320" spans="1:21">
      <c r="A320">
        <v>459</v>
      </c>
      <c r="B320">
        <v>0</v>
      </c>
      <c r="C320" t="s">
        <v>454</v>
      </c>
      <c r="E320" s="120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118">
        <v>41834.582638888889</v>
      </c>
    </row>
    <row r="321" spans="1:21">
      <c r="A321">
        <v>460</v>
      </c>
      <c r="B321">
        <v>1</v>
      </c>
      <c r="C321" t="s">
        <v>455</v>
      </c>
      <c r="D321" t="s">
        <v>456</v>
      </c>
      <c r="E321" s="120"/>
      <c r="F321">
        <v>463</v>
      </c>
      <c r="G321">
        <v>1</v>
      </c>
      <c r="H321">
        <v>0</v>
      </c>
      <c r="I321">
        <v>0</v>
      </c>
      <c r="J321" t="s">
        <v>18</v>
      </c>
      <c r="K321">
        <v>0</v>
      </c>
      <c r="L321" t="s">
        <v>156</v>
      </c>
      <c r="M321">
        <v>0</v>
      </c>
      <c r="N321" t="s">
        <v>157</v>
      </c>
      <c r="O321">
        <v>0</v>
      </c>
      <c r="P321" t="s">
        <v>457</v>
      </c>
      <c r="Q321">
        <v>0</v>
      </c>
      <c r="R321" t="s">
        <v>458</v>
      </c>
      <c r="S321">
        <v>0</v>
      </c>
      <c r="T321">
        <v>2</v>
      </c>
      <c r="U321" s="118">
        <v>45097.559027777781</v>
      </c>
    </row>
    <row r="322" spans="1:21">
      <c r="A322">
        <v>461</v>
      </c>
      <c r="B322">
        <v>0</v>
      </c>
      <c r="C322" t="s">
        <v>459</v>
      </c>
      <c r="E322" s="120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118">
        <v>41718.425694444442</v>
      </c>
    </row>
    <row r="323" spans="1:21">
      <c r="A323">
        <v>462</v>
      </c>
      <c r="B323">
        <v>0</v>
      </c>
      <c r="C323" t="s">
        <v>460</v>
      </c>
      <c r="E323" s="120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118">
        <v>41718.426388888889</v>
      </c>
    </row>
    <row r="324" spans="1:21">
      <c r="A324">
        <v>463</v>
      </c>
      <c r="B324">
        <v>1</v>
      </c>
      <c r="C324" t="s">
        <v>461</v>
      </c>
      <c r="D324" t="s">
        <v>456</v>
      </c>
      <c r="E324" s="120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118">
        <v>41789.540277777778</v>
      </c>
    </row>
    <row r="325" spans="1:21">
      <c r="A325">
        <v>464</v>
      </c>
      <c r="B325">
        <v>1</v>
      </c>
      <c r="C325" t="s">
        <v>462</v>
      </c>
      <c r="D325" t="s">
        <v>7</v>
      </c>
      <c r="E325" s="120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118">
        <v>45583.434027777781</v>
      </c>
    </row>
    <row r="326" spans="1:21">
      <c r="A326">
        <v>465</v>
      </c>
      <c r="B326">
        <v>1</v>
      </c>
      <c r="C326" t="s">
        <v>462</v>
      </c>
      <c r="D326" t="s">
        <v>463</v>
      </c>
      <c r="E326" s="120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118">
        <v>42286.698611111111</v>
      </c>
    </row>
    <row r="327" spans="1:21">
      <c r="A327">
        <v>466</v>
      </c>
      <c r="B327">
        <v>1</v>
      </c>
      <c r="C327" t="s">
        <v>464</v>
      </c>
      <c r="D327" t="s">
        <v>253</v>
      </c>
      <c r="E327" s="120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118">
        <v>41948.513888888891</v>
      </c>
    </row>
    <row r="328" spans="1:21">
      <c r="A328">
        <v>467</v>
      </c>
      <c r="B328">
        <v>1</v>
      </c>
      <c r="C328" t="s">
        <v>465</v>
      </c>
      <c r="D328" t="s">
        <v>465</v>
      </c>
      <c r="E328" s="120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118">
        <v>41948.597916666673</v>
      </c>
    </row>
    <row r="329" spans="1:21">
      <c r="A329">
        <v>468</v>
      </c>
      <c r="B329">
        <v>1</v>
      </c>
      <c r="C329" t="s">
        <v>466</v>
      </c>
      <c r="D329" t="s">
        <v>466</v>
      </c>
      <c r="E329" s="120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118">
        <v>41948.597916666673</v>
      </c>
    </row>
    <row r="330" spans="1:21">
      <c r="A330">
        <v>469</v>
      </c>
      <c r="B330">
        <v>0</v>
      </c>
      <c r="C330" t="s">
        <v>467</v>
      </c>
      <c r="E330" s="120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118">
        <v>44741.589583333327</v>
      </c>
    </row>
    <row r="331" spans="1:21">
      <c r="A331">
        <v>470</v>
      </c>
      <c r="B331">
        <v>1</v>
      </c>
      <c r="C331" t="s">
        <v>468</v>
      </c>
      <c r="D331" t="s">
        <v>469</v>
      </c>
      <c r="E331" s="120"/>
      <c r="F331">
        <v>471</v>
      </c>
      <c r="G331">
        <v>1</v>
      </c>
      <c r="H331">
        <v>2</v>
      </c>
      <c r="I331">
        <v>0</v>
      </c>
      <c r="J331" t="s">
        <v>406</v>
      </c>
      <c r="K331">
        <v>0</v>
      </c>
      <c r="L331" t="s">
        <v>89</v>
      </c>
      <c r="M331">
        <v>0</v>
      </c>
      <c r="O331">
        <v>0</v>
      </c>
      <c r="Q331">
        <v>0</v>
      </c>
      <c r="S331">
        <v>0</v>
      </c>
      <c r="T331">
        <v>2</v>
      </c>
      <c r="U331" s="118">
        <v>43153.49722222222</v>
      </c>
    </row>
    <row r="332" spans="1:21">
      <c r="A332">
        <v>471</v>
      </c>
      <c r="B332">
        <v>0</v>
      </c>
      <c r="C332" t="s">
        <v>470</v>
      </c>
      <c r="D332" t="s">
        <v>470</v>
      </c>
      <c r="E332" s="120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118">
        <v>43153.49722222222</v>
      </c>
    </row>
    <row r="333" spans="1:21">
      <c r="A333">
        <v>472</v>
      </c>
      <c r="B333">
        <v>0</v>
      </c>
      <c r="C333" t="s">
        <v>471</v>
      </c>
      <c r="E333" s="120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118">
        <v>41977.624305555553</v>
      </c>
    </row>
    <row r="334" spans="1:21">
      <c r="A334">
        <v>473</v>
      </c>
      <c r="B334">
        <v>0</v>
      </c>
      <c r="C334" t="s">
        <v>472</v>
      </c>
      <c r="E334" s="120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118">
        <v>41977.622916666667</v>
      </c>
    </row>
    <row r="335" spans="1:21">
      <c r="A335">
        <v>474</v>
      </c>
      <c r="B335">
        <v>1</v>
      </c>
      <c r="C335" t="s">
        <v>473</v>
      </c>
      <c r="D335" t="s">
        <v>474</v>
      </c>
      <c r="E335" s="120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118">
        <v>44221.486805555563</v>
      </c>
    </row>
    <row r="336" spans="1:21">
      <c r="A336">
        <v>475</v>
      </c>
      <c r="B336">
        <v>1</v>
      </c>
      <c r="C336" t="s">
        <v>475</v>
      </c>
      <c r="D336" t="s">
        <v>476</v>
      </c>
      <c r="E336" s="120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118">
        <v>42026.43472222222</v>
      </c>
    </row>
    <row r="337" spans="1:21">
      <c r="A337">
        <v>476</v>
      </c>
      <c r="B337">
        <v>1</v>
      </c>
      <c r="C337" t="s">
        <v>348</v>
      </c>
      <c r="D337" t="s">
        <v>477</v>
      </c>
      <c r="E337" s="120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118">
        <v>42026.443055555559</v>
      </c>
    </row>
    <row r="338" spans="1:21">
      <c r="A338">
        <v>477</v>
      </c>
      <c r="B338">
        <v>1</v>
      </c>
      <c r="C338" t="s">
        <v>478</v>
      </c>
      <c r="D338" t="s">
        <v>478</v>
      </c>
      <c r="E338" s="120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118">
        <v>42026.443055555559</v>
      </c>
    </row>
    <row r="339" spans="1:21">
      <c r="A339">
        <v>478</v>
      </c>
      <c r="B339">
        <v>1</v>
      </c>
      <c r="C339" t="s">
        <v>479</v>
      </c>
      <c r="D339" t="s">
        <v>479</v>
      </c>
      <c r="E339" s="120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118">
        <v>42026.443749999999</v>
      </c>
    </row>
    <row r="340" spans="1:21">
      <c r="A340">
        <v>479</v>
      </c>
      <c r="B340">
        <v>1</v>
      </c>
      <c r="C340" t="s">
        <v>354</v>
      </c>
      <c r="D340" t="s">
        <v>354</v>
      </c>
      <c r="E340" s="120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118">
        <v>42026.444444444453</v>
      </c>
    </row>
    <row r="341" spans="1:21">
      <c r="A341">
        <v>480</v>
      </c>
      <c r="B341">
        <v>1</v>
      </c>
      <c r="C341" t="s">
        <v>480</v>
      </c>
      <c r="D341" t="s">
        <v>480</v>
      </c>
      <c r="E341" s="120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118">
        <v>42852.626388888893</v>
      </c>
    </row>
    <row r="342" spans="1:21">
      <c r="A342">
        <v>481</v>
      </c>
      <c r="B342">
        <v>1</v>
      </c>
      <c r="C342" t="s">
        <v>231</v>
      </c>
      <c r="D342" t="s">
        <v>231</v>
      </c>
      <c r="E342" s="120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118">
        <v>44979.555555555547</v>
      </c>
    </row>
    <row r="343" spans="1:21">
      <c r="A343">
        <v>482</v>
      </c>
      <c r="B343">
        <v>1</v>
      </c>
      <c r="C343" t="s">
        <v>481</v>
      </c>
      <c r="D343" t="s">
        <v>265</v>
      </c>
      <c r="E343" s="120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118">
        <v>42065.598611111112</v>
      </c>
    </row>
    <row r="344" spans="1:21">
      <c r="A344">
        <v>483</v>
      </c>
      <c r="B344">
        <v>1</v>
      </c>
      <c r="C344" t="s">
        <v>482</v>
      </c>
      <c r="D344" t="s">
        <v>482</v>
      </c>
      <c r="E344" s="120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118">
        <v>42178.481249999997</v>
      </c>
    </row>
    <row r="345" spans="1:21">
      <c r="A345">
        <v>484</v>
      </c>
      <c r="B345">
        <v>0</v>
      </c>
      <c r="C345" t="s">
        <v>483</v>
      </c>
      <c r="D345" t="s">
        <v>483</v>
      </c>
      <c r="E345" s="120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118">
        <v>42242.442361111112</v>
      </c>
    </row>
    <row r="346" spans="1:21">
      <c r="A346">
        <v>485</v>
      </c>
      <c r="B346">
        <v>1</v>
      </c>
      <c r="C346" t="s">
        <v>484</v>
      </c>
      <c r="D346" t="s">
        <v>484</v>
      </c>
      <c r="E346" s="120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118">
        <v>42291.447222222218</v>
      </c>
    </row>
    <row r="347" spans="1:21">
      <c r="A347">
        <v>486</v>
      </c>
      <c r="B347">
        <v>1</v>
      </c>
      <c r="C347" t="s">
        <v>485</v>
      </c>
      <c r="D347" t="s">
        <v>485</v>
      </c>
      <c r="E347" s="120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118">
        <v>42291.447916666657</v>
      </c>
    </row>
    <row r="348" spans="1:21">
      <c r="A348">
        <v>487</v>
      </c>
      <c r="B348">
        <v>1</v>
      </c>
      <c r="C348" t="s">
        <v>486</v>
      </c>
      <c r="D348" t="s">
        <v>486</v>
      </c>
      <c r="E348" s="120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118">
        <v>42291.447916666657</v>
      </c>
    </row>
    <row r="349" spans="1:21">
      <c r="A349">
        <v>488</v>
      </c>
      <c r="B349">
        <v>1</v>
      </c>
      <c r="C349" t="s">
        <v>487</v>
      </c>
      <c r="D349" t="s">
        <v>487</v>
      </c>
      <c r="E349" s="120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118">
        <v>43018.568749999999</v>
      </c>
    </row>
    <row r="350" spans="1:21">
      <c r="A350">
        <v>489</v>
      </c>
      <c r="B350">
        <v>1</v>
      </c>
      <c r="C350" t="s">
        <v>488</v>
      </c>
      <c r="D350" t="s">
        <v>488</v>
      </c>
      <c r="E350" s="120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118">
        <v>43018.568749999999</v>
      </c>
    </row>
    <row r="351" spans="1:21">
      <c r="A351">
        <v>490</v>
      </c>
      <c r="B351">
        <v>1</v>
      </c>
      <c r="C351" t="s">
        <v>489</v>
      </c>
      <c r="D351" t="s">
        <v>489</v>
      </c>
      <c r="E351" s="120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118">
        <v>43437.678472222222</v>
      </c>
    </row>
    <row r="352" spans="1:21">
      <c r="A352">
        <v>491</v>
      </c>
      <c r="B352">
        <v>0</v>
      </c>
      <c r="C352" t="s">
        <v>253</v>
      </c>
      <c r="D352" t="s">
        <v>253</v>
      </c>
      <c r="E352" s="120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118">
        <v>42312.498611111107</v>
      </c>
    </row>
    <row r="353" spans="1:21">
      <c r="A353">
        <v>492</v>
      </c>
      <c r="B353">
        <v>0</v>
      </c>
      <c r="C353" t="s">
        <v>490</v>
      </c>
      <c r="D353" t="s">
        <v>490</v>
      </c>
      <c r="E353" s="120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118">
        <v>42318.472222222219</v>
      </c>
    </row>
    <row r="354" spans="1:21">
      <c r="A354">
        <v>493</v>
      </c>
      <c r="B354">
        <v>0</v>
      </c>
      <c r="C354" t="s">
        <v>491</v>
      </c>
      <c r="D354" t="s">
        <v>491</v>
      </c>
      <c r="E354" s="120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118">
        <v>42390.62777777778</v>
      </c>
    </row>
    <row r="355" spans="1:21">
      <c r="A355">
        <v>494</v>
      </c>
      <c r="B355">
        <v>1</v>
      </c>
      <c r="C355" t="s">
        <v>492</v>
      </c>
      <c r="D355" t="s">
        <v>492</v>
      </c>
      <c r="E355" s="120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118">
        <v>42420.436805555553</v>
      </c>
    </row>
    <row r="356" spans="1:21">
      <c r="A356">
        <v>495</v>
      </c>
      <c r="B356">
        <v>1</v>
      </c>
      <c r="C356" t="s">
        <v>493</v>
      </c>
      <c r="D356" t="s">
        <v>494</v>
      </c>
      <c r="E356" s="120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118">
        <v>42420.436805555553</v>
      </c>
    </row>
    <row r="357" spans="1:21">
      <c r="A357">
        <v>496</v>
      </c>
      <c r="B357">
        <v>1</v>
      </c>
      <c r="C357" t="s">
        <v>495</v>
      </c>
      <c r="D357" t="s">
        <v>495</v>
      </c>
      <c r="E357" s="120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118">
        <v>42779.754166666673</v>
      </c>
    </row>
    <row r="358" spans="1:21">
      <c r="A358">
        <v>497</v>
      </c>
      <c r="B358">
        <v>1</v>
      </c>
      <c r="C358" t="s">
        <v>496</v>
      </c>
      <c r="D358" t="s">
        <v>496</v>
      </c>
      <c r="E358" s="120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118">
        <v>42415.618750000001</v>
      </c>
    </row>
    <row r="359" spans="1:21">
      <c r="A359">
        <v>498</v>
      </c>
      <c r="B359">
        <v>1</v>
      </c>
      <c r="C359" t="s">
        <v>497</v>
      </c>
      <c r="D359" t="s">
        <v>497</v>
      </c>
      <c r="E359" s="120"/>
      <c r="F359">
        <v>499</v>
      </c>
      <c r="G359">
        <v>1</v>
      </c>
      <c r="H359">
        <v>2</v>
      </c>
      <c r="I359">
        <v>0</v>
      </c>
      <c r="J359" t="s">
        <v>497</v>
      </c>
      <c r="K359">
        <v>0</v>
      </c>
      <c r="L359" t="s">
        <v>89</v>
      </c>
      <c r="M359">
        <v>0</v>
      </c>
      <c r="O359">
        <v>0</v>
      </c>
      <c r="Q359">
        <v>0</v>
      </c>
      <c r="S359">
        <v>0</v>
      </c>
      <c r="T359">
        <v>2</v>
      </c>
      <c r="U359" s="118">
        <v>42514.609027777777</v>
      </c>
    </row>
    <row r="360" spans="1:21">
      <c r="A360">
        <v>499</v>
      </c>
      <c r="B360">
        <v>1</v>
      </c>
      <c r="C360" t="s">
        <v>498</v>
      </c>
      <c r="D360" t="s">
        <v>498</v>
      </c>
      <c r="E360" s="120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118">
        <v>42514.609027777777</v>
      </c>
    </row>
    <row r="361" spans="1:21">
      <c r="A361">
        <v>500</v>
      </c>
      <c r="B361">
        <v>1</v>
      </c>
      <c r="C361" t="s">
        <v>499</v>
      </c>
      <c r="D361" t="s">
        <v>499</v>
      </c>
      <c r="E361" s="120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118">
        <v>42566.401388888888</v>
      </c>
    </row>
    <row r="362" spans="1:21">
      <c r="A362">
        <v>501</v>
      </c>
      <c r="B362">
        <v>1</v>
      </c>
      <c r="C362" t="s">
        <v>500</v>
      </c>
      <c r="D362" t="s">
        <v>500</v>
      </c>
      <c r="E362" s="120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118">
        <v>42566.401388888888</v>
      </c>
    </row>
    <row r="363" spans="1:21">
      <c r="A363">
        <v>502</v>
      </c>
      <c r="B363">
        <v>0</v>
      </c>
      <c r="C363" t="s">
        <v>501</v>
      </c>
      <c r="D363" t="s">
        <v>501</v>
      </c>
      <c r="E363" s="120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118">
        <v>41981.550694444442</v>
      </c>
    </row>
    <row r="364" spans="1:21">
      <c r="A364">
        <v>503</v>
      </c>
      <c r="B364">
        <v>0</v>
      </c>
      <c r="C364" t="s">
        <v>70</v>
      </c>
      <c r="D364" t="s">
        <v>70</v>
      </c>
      <c r="E364" s="120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118">
        <v>42571.453472222223</v>
      </c>
    </row>
    <row r="365" spans="1:21">
      <c r="A365">
        <v>504</v>
      </c>
      <c r="B365">
        <v>1</v>
      </c>
      <c r="C365" t="s">
        <v>502</v>
      </c>
      <c r="D365" t="s">
        <v>502</v>
      </c>
      <c r="E365" s="120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118">
        <v>42759.599305555559</v>
      </c>
    </row>
    <row r="366" spans="1:21">
      <c r="A366">
        <v>505</v>
      </c>
      <c r="B366">
        <v>1</v>
      </c>
      <c r="C366" t="s">
        <v>503</v>
      </c>
      <c r="D366" t="s">
        <v>503</v>
      </c>
      <c r="E366" s="120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118">
        <v>42759.598611111112</v>
      </c>
    </row>
    <row r="367" spans="1:21">
      <c r="A367">
        <v>506</v>
      </c>
      <c r="B367">
        <v>0</v>
      </c>
      <c r="C367" t="s">
        <v>504</v>
      </c>
      <c r="D367" t="s">
        <v>504</v>
      </c>
      <c r="E367" s="120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118">
        <v>42793.700694444437</v>
      </c>
    </row>
    <row r="368" spans="1:21">
      <c r="A368">
        <v>507</v>
      </c>
      <c r="B368">
        <v>0</v>
      </c>
      <c r="C368" t="s">
        <v>505</v>
      </c>
      <c r="D368" t="s">
        <v>505</v>
      </c>
      <c r="E368" s="120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118">
        <v>42793.700694444437</v>
      </c>
    </row>
    <row r="369" spans="1:21">
      <c r="A369">
        <v>508</v>
      </c>
      <c r="B369">
        <v>1</v>
      </c>
      <c r="C369" t="s">
        <v>506</v>
      </c>
      <c r="D369" t="s">
        <v>507</v>
      </c>
      <c r="E369" s="120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118">
        <v>42822.540972222218</v>
      </c>
    </row>
    <row r="370" spans="1:21">
      <c r="A370">
        <v>520</v>
      </c>
      <c r="B370">
        <v>1</v>
      </c>
      <c r="C370" t="s">
        <v>508</v>
      </c>
      <c r="D370" t="s">
        <v>509</v>
      </c>
      <c r="E370" s="120"/>
      <c r="F370">
        <v>521</v>
      </c>
      <c r="G370">
        <v>1</v>
      </c>
      <c r="H370">
        <v>2</v>
      </c>
      <c r="I370">
        <v>0</v>
      </c>
      <c r="J370" t="s">
        <v>509</v>
      </c>
      <c r="K370">
        <v>0</v>
      </c>
      <c r="L370" t="s">
        <v>138</v>
      </c>
      <c r="M370">
        <v>0</v>
      </c>
      <c r="N370" t="s">
        <v>89</v>
      </c>
      <c r="O370">
        <v>0</v>
      </c>
      <c r="Q370">
        <v>0</v>
      </c>
      <c r="S370">
        <v>0</v>
      </c>
      <c r="T370">
        <v>2</v>
      </c>
      <c r="U370" s="118">
        <v>43999.712500000001</v>
      </c>
    </row>
    <row r="371" spans="1:21">
      <c r="A371">
        <v>521</v>
      </c>
      <c r="B371">
        <v>1</v>
      </c>
      <c r="C371" t="s">
        <v>510</v>
      </c>
      <c r="D371" t="s">
        <v>509</v>
      </c>
      <c r="E371" s="120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118">
        <v>43364.460416666669</v>
      </c>
    </row>
    <row r="372" spans="1:21">
      <c r="A372">
        <v>522</v>
      </c>
      <c r="B372">
        <v>1</v>
      </c>
      <c r="C372" t="s">
        <v>241</v>
      </c>
      <c r="D372" t="s">
        <v>241</v>
      </c>
      <c r="E372" s="120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118">
        <v>42934.473611111112</v>
      </c>
    </row>
    <row r="373" spans="1:21">
      <c r="A373">
        <v>523</v>
      </c>
      <c r="B373">
        <v>1</v>
      </c>
      <c r="C373" t="s">
        <v>511</v>
      </c>
      <c r="D373" t="s">
        <v>511</v>
      </c>
      <c r="E373" s="120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118">
        <v>42935.651388888888</v>
      </c>
    </row>
    <row r="374" spans="1:21">
      <c r="A374">
        <v>524</v>
      </c>
      <c r="B374">
        <v>1</v>
      </c>
      <c r="C374" t="s">
        <v>512</v>
      </c>
      <c r="D374" t="s">
        <v>513</v>
      </c>
      <c r="E374" s="120"/>
      <c r="F374">
        <v>525</v>
      </c>
      <c r="G374">
        <v>1</v>
      </c>
      <c r="H374">
        <v>2</v>
      </c>
      <c r="I374">
        <v>0</v>
      </c>
      <c r="J374" t="s">
        <v>72</v>
      </c>
      <c r="K374">
        <v>1</v>
      </c>
      <c r="L374" t="s">
        <v>125</v>
      </c>
      <c r="M374">
        <v>1</v>
      </c>
      <c r="N374" t="s">
        <v>89</v>
      </c>
      <c r="O374">
        <v>0</v>
      </c>
      <c r="Q374">
        <v>0</v>
      </c>
      <c r="S374">
        <v>0</v>
      </c>
      <c r="T374">
        <v>2</v>
      </c>
      <c r="U374" s="118">
        <v>42948.600694444453</v>
      </c>
    </row>
    <row r="375" spans="1:21">
      <c r="A375">
        <v>525</v>
      </c>
      <c r="B375">
        <v>1</v>
      </c>
      <c r="C375" t="s">
        <v>514</v>
      </c>
      <c r="D375" t="s">
        <v>515</v>
      </c>
      <c r="E375" s="120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118">
        <v>42948.600694444453</v>
      </c>
    </row>
    <row r="376" spans="1:21">
      <c r="A376">
        <v>526</v>
      </c>
      <c r="B376">
        <v>1</v>
      </c>
      <c r="C376" t="s">
        <v>516</v>
      </c>
      <c r="D376" t="s">
        <v>517</v>
      </c>
      <c r="E376" s="120"/>
      <c r="F376">
        <v>527</v>
      </c>
      <c r="G376">
        <v>1</v>
      </c>
      <c r="H376">
        <v>2</v>
      </c>
      <c r="I376">
        <v>0</v>
      </c>
      <c r="J376" t="s">
        <v>517</v>
      </c>
      <c r="K376">
        <v>0</v>
      </c>
      <c r="L376" t="s">
        <v>138</v>
      </c>
      <c r="M376">
        <v>0</v>
      </c>
      <c r="N376" t="s">
        <v>139</v>
      </c>
      <c r="O376">
        <v>0</v>
      </c>
      <c r="Q376">
        <v>0</v>
      </c>
      <c r="S376">
        <v>0</v>
      </c>
      <c r="T376">
        <v>2</v>
      </c>
      <c r="U376" s="118">
        <v>43391.706944444442</v>
      </c>
    </row>
    <row r="377" spans="1:21">
      <c r="A377">
        <v>527</v>
      </c>
      <c r="B377">
        <v>1</v>
      </c>
      <c r="C377" t="s">
        <v>518</v>
      </c>
      <c r="D377" t="s">
        <v>517</v>
      </c>
      <c r="E377" s="120"/>
      <c r="F377">
        <v>0</v>
      </c>
      <c r="G377">
        <v>1</v>
      </c>
      <c r="H377">
        <v>2</v>
      </c>
      <c r="I377">
        <v>0</v>
      </c>
      <c r="J377" t="s">
        <v>517</v>
      </c>
      <c r="K377">
        <v>0</v>
      </c>
      <c r="L377" t="s">
        <v>138</v>
      </c>
      <c r="M377">
        <v>0</v>
      </c>
      <c r="N377" t="s">
        <v>139</v>
      </c>
      <c r="O377">
        <v>0</v>
      </c>
      <c r="Q377">
        <v>0</v>
      </c>
      <c r="S377">
        <v>0</v>
      </c>
      <c r="T377">
        <v>6</v>
      </c>
      <c r="U377" s="118">
        <v>43432.397916666669</v>
      </c>
    </row>
    <row r="378" spans="1:21">
      <c r="A378">
        <v>528</v>
      </c>
      <c r="B378">
        <v>1</v>
      </c>
      <c r="C378" t="s">
        <v>519</v>
      </c>
      <c r="D378" t="s">
        <v>520</v>
      </c>
      <c r="E378" s="120"/>
      <c r="F378">
        <v>529</v>
      </c>
      <c r="G378">
        <v>1</v>
      </c>
      <c r="H378">
        <v>2</v>
      </c>
      <c r="I378">
        <v>0</v>
      </c>
      <c r="J378" t="s">
        <v>161</v>
      </c>
      <c r="K378">
        <v>1</v>
      </c>
      <c r="L378" t="s">
        <v>89</v>
      </c>
      <c r="M378">
        <v>0</v>
      </c>
      <c r="N378" t="s">
        <v>521</v>
      </c>
      <c r="O378">
        <v>0</v>
      </c>
      <c r="Q378">
        <v>0</v>
      </c>
      <c r="S378">
        <v>0</v>
      </c>
      <c r="T378">
        <v>2</v>
      </c>
      <c r="U378" s="118">
        <v>43441.709027777782</v>
      </c>
    </row>
    <row r="379" spans="1:21">
      <c r="A379">
        <v>529</v>
      </c>
      <c r="B379">
        <v>0</v>
      </c>
      <c r="C379" t="s">
        <v>522</v>
      </c>
      <c r="D379" t="s">
        <v>522</v>
      </c>
      <c r="E379" s="120"/>
      <c r="F379">
        <v>0</v>
      </c>
      <c r="G379">
        <v>1</v>
      </c>
      <c r="H379">
        <v>2</v>
      </c>
      <c r="I379">
        <v>0</v>
      </c>
      <c r="J379" t="s">
        <v>161</v>
      </c>
      <c r="K379">
        <v>1</v>
      </c>
      <c r="L379" t="s">
        <v>89</v>
      </c>
      <c r="M379">
        <v>0</v>
      </c>
      <c r="N379" t="s">
        <v>521</v>
      </c>
      <c r="O379">
        <v>0</v>
      </c>
      <c r="Q379">
        <v>0</v>
      </c>
      <c r="S379">
        <v>0</v>
      </c>
      <c r="T379">
        <v>2</v>
      </c>
      <c r="U379" s="118">
        <v>43441.709027777782</v>
      </c>
    </row>
    <row r="380" spans="1:21">
      <c r="A380">
        <v>530</v>
      </c>
      <c r="B380">
        <v>1</v>
      </c>
      <c r="C380" t="s">
        <v>523</v>
      </c>
      <c r="D380" t="s">
        <v>524</v>
      </c>
      <c r="E380" s="120"/>
      <c r="F380">
        <v>531</v>
      </c>
      <c r="G380">
        <v>1</v>
      </c>
      <c r="H380">
        <v>2</v>
      </c>
      <c r="I380">
        <v>0</v>
      </c>
      <c r="J380" t="s">
        <v>383</v>
      </c>
      <c r="K380">
        <v>0</v>
      </c>
      <c r="L380" t="s">
        <v>525</v>
      </c>
      <c r="M380">
        <v>0</v>
      </c>
      <c r="N380" t="s">
        <v>89</v>
      </c>
      <c r="O380">
        <v>0</v>
      </c>
      <c r="Q380">
        <v>0</v>
      </c>
      <c r="S380">
        <v>0</v>
      </c>
      <c r="T380">
        <v>2</v>
      </c>
      <c r="U380" s="118">
        <v>43441.71597222222</v>
      </c>
    </row>
    <row r="381" spans="1:21">
      <c r="A381">
        <v>531</v>
      </c>
      <c r="B381">
        <v>1</v>
      </c>
      <c r="C381" t="s">
        <v>526</v>
      </c>
      <c r="D381" t="s">
        <v>526</v>
      </c>
      <c r="E381" s="120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118">
        <v>43441.710416666669</v>
      </c>
    </row>
    <row r="382" spans="1:21">
      <c r="A382">
        <v>532</v>
      </c>
      <c r="B382">
        <v>1</v>
      </c>
      <c r="C382" t="s">
        <v>527</v>
      </c>
      <c r="D382" t="s">
        <v>527</v>
      </c>
      <c r="E382" s="120"/>
      <c r="F382">
        <v>533</v>
      </c>
      <c r="G382">
        <v>1</v>
      </c>
      <c r="H382">
        <v>1</v>
      </c>
      <c r="I382">
        <v>0</v>
      </c>
      <c r="J382" t="s">
        <v>153</v>
      </c>
      <c r="K382">
        <v>0</v>
      </c>
      <c r="L382" t="s">
        <v>154</v>
      </c>
      <c r="M382">
        <v>0</v>
      </c>
      <c r="N382" t="s">
        <v>156</v>
      </c>
      <c r="O382">
        <v>0</v>
      </c>
      <c r="P382" t="s">
        <v>157</v>
      </c>
      <c r="Q382">
        <v>0</v>
      </c>
      <c r="R382" t="s">
        <v>457</v>
      </c>
      <c r="S382">
        <v>0</v>
      </c>
      <c r="T382">
        <v>2</v>
      </c>
      <c r="U382" s="118">
        <v>43602.65902777778</v>
      </c>
    </row>
    <row r="383" spans="1:21">
      <c r="A383">
        <v>533</v>
      </c>
      <c r="B383">
        <v>1</v>
      </c>
      <c r="C383" t="s">
        <v>528</v>
      </c>
      <c r="D383" t="s">
        <v>528</v>
      </c>
      <c r="E383" s="120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118">
        <v>43602.65902777778</v>
      </c>
    </row>
    <row r="384" spans="1:21">
      <c r="A384">
        <v>534</v>
      </c>
      <c r="B384">
        <v>1</v>
      </c>
      <c r="C384" t="s">
        <v>529</v>
      </c>
      <c r="D384" t="s">
        <v>8</v>
      </c>
      <c r="E384" s="120"/>
      <c r="F384">
        <v>535</v>
      </c>
      <c r="G384">
        <v>0</v>
      </c>
      <c r="H384">
        <v>2</v>
      </c>
      <c r="I384">
        <v>0</v>
      </c>
      <c r="J384" t="s">
        <v>72</v>
      </c>
      <c r="K384">
        <v>1</v>
      </c>
      <c r="L384" t="s">
        <v>138</v>
      </c>
      <c r="M384">
        <v>0</v>
      </c>
      <c r="N384" t="s">
        <v>89</v>
      </c>
      <c r="O384">
        <v>0</v>
      </c>
      <c r="P384" t="s">
        <v>374</v>
      </c>
      <c r="Q384">
        <v>0</v>
      </c>
      <c r="R384" t="s">
        <v>375</v>
      </c>
      <c r="S384">
        <v>0</v>
      </c>
      <c r="T384">
        <v>2</v>
      </c>
      <c r="U384" s="118">
        <v>45737.613194444442</v>
      </c>
    </row>
    <row r="385" spans="1:21">
      <c r="A385">
        <v>535</v>
      </c>
      <c r="B385">
        <v>1</v>
      </c>
      <c r="C385" t="s">
        <v>530</v>
      </c>
      <c r="D385" t="s">
        <v>531</v>
      </c>
      <c r="E385" s="120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118">
        <v>45370.575694444437</v>
      </c>
    </row>
    <row r="386" spans="1:21">
      <c r="A386">
        <v>536</v>
      </c>
      <c r="B386">
        <v>1</v>
      </c>
      <c r="C386" t="s">
        <v>532</v>
      </c>
      <c r="D386" t="s">
        <v>532</v>
      </c>
      <c r="E386" s="120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118">
        <v>43712.543055555558</v>
      </c>
    </row>
    <row r="387" spans="1:21">
      <c r="A387">
        <v>537</v>
      </c>
      <c r="B387">
        <v>1</v>
      </c>
      <c r="C387" t="s">
        <v>533</v>
      </c>
      <c r="D387" t="s">
        <v>533</v>
      </c>
      <c r="E387" s="120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118">
        <v>43712.543749999997</v>
      </c>
    </row>
    <row r="388" spans="1:21">
      <c r="A388">
        <v>538</v>
      </c>
      <c r="B388">
        <v>1</v>
      </c>
      <c r="C388" t="s">
        <v>534</v>
      </c>
      <c r="D388" t="s">
        <v>534</v>
      </c>
      <c r="E388" s="120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118">
        <v>43712.544444444437</v>
      </c>
    </row>
    <row r="389" spans="1:21">
      <c r="A389">
        <v>539</v>
      </c>
      <c r="B389">
        <v>1</v>
      </c>
      <c r="C389" t="s">
        <v>535</v>
      </c>
      <c r="D389" t="s">
        <v>535</v>
      </c>
      <c r="E389" s="120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118">
        <v>43761.571527777778</v>
      </c>
    </row>
    <row r="390" spans="1:21">
      <c r="A390">
        <v>540</v>
      </c>
      <c r="B390">
        <v>1</v>
      </c>
      <c r="C390" t="s">
        <v>536</v>
      </c>
      <c r="D390" t="s">
        <v>536</v>
      </c>
      <c r="E390" s="120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118">
        <v>43761.571527777778</v>
      </c>
    </row>
    <row r="391" spans="1:21">
      <c r="A391">
        <v>541</v>
      </c>
      <c r="B391">
        <v>1</v>
      </c>
      <c r="C391" t="s">
        <v>537</v>
      </c>
      <c r="D391" t="s">
        <v>537</v>
      </c>
      <c r="E391" s="120"/>
      <c r="F391">
        <v>542</v>
      </c>
      <c r="G391">
        <v>1</v>
      </c>
      <c r="H391">
        <v>2</v>
      </c>
      <c r="I391">
        <v>0</v>
      </c>
      <c r="J391" t="s">
        <v>89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118">
        <v>43880.713194444441</v>
      </c>
    </row>
    <row r="392" spans="1:21">
      <c r="A392">
        <v>542</v>
      </c>
      <c r="B392">
        <v>1</v>
      </c>
      <c r="C392" t="s">
        <v>538</v>
      </c>
      <c r="D392" t="s">
        <v>538</v>
      </c>
      <c r="E392" s="120"/>
      <c r="F392">
        <v>0</v>
      </c>
      <c r="G392">
        <v>1</v>
      </c>
      <c r="H392">
        <v>2</v>
      </c>
      <c r="I392">
        <v>0</v>
      </c>
      <c r="J392" t="s">
        <v>89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118">
        <v>43889.402777777781</v>
      </c>
    </row>
    <row r="393" spans="1:21">
      <c r="A393">
        <v>543</v>
      </c>
      <c r="B393">
        <v>1</v>
      </c>
      <c r="C393" t="s">
        <v>539</v>
      </c>
      <c r="D393" t="s">
        <v>539</v>
      </c>
      <c r="E393" s="120"/>
      <c r="F393">
        <v>0</v>
      </c>
      <c r="G393">
        <v>1</v>
      </c>
      <c r="H393">
        <v>2</v>
      </c>
      <c r="I393">
        <v>0</v>
      </c>
      <c r="J393" t="s">
        <v>334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118">
        <v>44005.700694444437</v>
      </c>
    </row>
    <row r="394" spans="1:21">
      <c r="A394">
        <v>544</v>
      </c>
      <c r="B394">
        <v>1</v>
      </c>
      <c r="C394" t="s">
        <v>540</v>
      </c>
      <c r="D394" t="s">
        <v>541</v>
      </c>
      <c r="E394" s="120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118">
        <v>45244.493750000001</v>
      </c>
    </row>
    <row r="395" spans="1:21">
      <c r="A395">
        <v>545</v>
      </c>
      <c r="B395">
        <v>1</v>
      </c>
      <c r="C395" t="s">
        <v>542</v>
      </c>
      <c r="D395" t="s">
        <v>543</v>
      </c>
      <c r="E395" s="120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118">
        <v>44167.578472222223</v>
      </c>
    </row>
    <row r="396" spans="1:21">
      <c r="A396">
        <v>546</v>
      </c>
      <c r="B396">
        <v>1</v>
      </c>
      <c r="C396" t="s">
        <v>544</v>
      </c>
      <c r="D396" t="s">
        <v>544</v>
      </c>
      <c r="E396" s="120"/>
      <c r="F396">
        <v>547</v>
      </c>
      <c r="G396">
        <v>1</v>
      </c>
      <c r="H396">
        <v>0</v>
      </c>
      <c r="I396">
        <v>0</v>
      </c>
      <c r="J396" t="s">
        <v>545</v>
      </c>
      <c r="K396">
        <v>0</v>
      </c>
      <c r="L396" t="s">
        <v>89</v>
      </c>
      <c r="M396">
        <v>0</v>
      </c>
      <c r="O396">
        <v>0</v>
      </c>
      <c r="Q396">
        <v>0</v>
      </c>
      <c r="S396">
        <v>0</v>
      </c>
      <c r="T396">
        <v>2</v>
      </c>
      <c r="U396" s="118">
        <v>44532.731944444437</v>
      </c>
    </row>
    <row r="397" spans="1:21">
      <c r="A397">
        <v>547</v>
      </c>
      <c r="B397">
        <v>1</v>
      </c>
      <c r="C397" t="s">
        <v>546</v>
      </c>
      <c r="D397" t="s">
        <v>546</v>
      </c>
      <c r="E397" s="120"/>
      <c r="F397">
        <v>0</v>
      </c>
      <c r="G397">
        <v>1</v>
      </c>
      <c r="H397">
        <v>0</v>
      </c>
      <c r="I397">
        <v>0</v>
      </c>
      <c r="J397" t="s">
        <v>545</v>
      </c>
      <c r="K397">
        <v>0</v>
      </c>
      <c r="L397" t="s">
        <v>89</v>
      </c>
      <c r="M397">
        <v>0</v>
      </c>
      <c r="O397">
        <v>0</v>
      </c>
      <c r="Q397">
        <v>0</v>
      </c>
      <c r="S397">
        <v>0</v>
      </c>
      <c r="T397">
        <v>2</v>
      </c>
      <c r="U397" s="118">
        <v>44532.731944444437</v>
      </c>
    </row>
    <row r="398" spans="1:21">
      <c r="A398">
        <v>548</v>
      </c>
      <c r="B398">
        <v>1</v>
      </c>
      <c r="C398" t="s">
        <v>547</v>
      </c>
      <c r="D398" t="s">
        <v>547</v>
      </c>
      <c r="E398" s="120"/>
      <c r="F398">
        <v>549</v>
      </c>
      <c r="G398">
        <v>1</v>
      </c>
      <c r="H398">
        <v>2</v>
      </c>
      <c r="I398">
        <v>16</v>
      </c>
      <c r="J398" t="s">
        <v>138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118">
        <v>45824.486805555563</v>
      </c>
    </row>
    <row r="399" spans="1:21">
      <c r="A399">
        <v>549</v>
      </c>
      <c r="B399">
        <v>1</v>
      </c>
      <c r="C399" t="s">
        <v>548</v>
      </c>
      <c r="D399" t="s">
        <v>548</v>
      </c>
      <c r="E399" s="120"/>
      <c r="F399">
        <v>549</v>
      </c>
      <c r="G399">
        <v>1</v>
      </c>
      <c r="H399">
        <v>2</v>
      </c>
      <c r="I399">
        <v>0</v>
      </c>
      <c r="J399" t="s">
        <v>138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118">
        <v>45064.607638888891</v>
      </c>
    </row>
    <row r="400" spans="1:21">
      <c r="A400">
        <v>550</v>
      </c>
      <c r="B400">
        <v>1</v>
      </c>
      <c r="C400" t="s">
        <v>549</v>
      </c>
      <c r="D400" t="s">
        <v>550</v>
      </c>
      <c r="E400" s="120">
        <v>100</v>
      </c>
      <c r="F400">
        <v>551</v>
      </c>
      <c r="G400">
        <v>1</v>
      </c>
      <c r="H400">
        <v>2</v>
      </c>
      <c r="I400">
        <v>0</v>
      </c>
      <c r="J400" t="s">
        <v>72</v>
      </c>
      <c r="K400">
        <v>1</v>
      </c>
      <c r="L400" t="s">
        <v>89</v>
      </c>
      <c r="M400">
        <v>0</v>
      </c>
      <c r="N400" t="s">
        <v>550</v>
      </c>
      <c r="O400">
        <v>0</v>
      </c>
      <c r="Q400">
        <v>0</v>
      </c>
      <c r="S400">
        <v>0</v>
      </c>
      <c r="T400">
        <v>3</v>
      </c>
      <c r="U400" s="118">
        <v>44937.614583333343</v>
      </c>
    </row>
    <row r="401" spans="1:21">
      <c r="A401">
        <v>551</v>
      </c>
      <c r="B401">
        <v>0</v>
      </c>
      <c r="C401" t="s">
        <v>551</v>
      </c>
      <c r="D401" t="s">
        <v>551</v>
      </c>
      <c r="E401" s="120">
        <v>100</v>
      </c>
      <c r="F401">
        <v>0</v>
      </c>
      <c r="G401">
        <v>1</v>
      </c>
      <c r="H401">
        <v>2</v>
      </c>
      <c r="I401">
        <v>0</v>
      </c>
      <c r="J401" t="s">
        <v>72</v>
      </c>
      <c r="K401">
        <v>1</v>
      </c>
      <c r="L401" t="s">
        <v>89</v>
      </c>
      <c r="M401">
        <v>0</v>
      </c>
      <c r="N401" t="s">
        <v>178</v>
      </c>
      <c r="O401">
        <v>0</v>
      </c>
      <c r="Q401">
        <v>0</v>
      </c>
      <c r="S401">
        <v>0</v>
      </c>
      <c r="T401">
        <v>2</v>
      </c>
      <c r="U401" s="118">
        <v>44910.572916666657</v>
      </c>
    </row>
    <row r="402" spans="1:21">
      <c r="A402">
        <v>552</v>
      </c>
      <c r="B402">
        <v>1</v>
      </c>
      <c r="C402" t="s">
        <v>552</v>
      </c>
      <c r="D402" t="s">
        <v>552</v>
      </c>
      <c r="E402" s="120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118">
        <v>44973.67083333333</v>
      </c>
    </row>
    <row r="403" spans="1:21">
      <c r="A403">
        <v>553</v>
      </c>
      <c r="B403">
        <v>1</v>
      </c>
      <c r="C403" t="s">
        <v>553</v>
      </c>
      <c r="D403" t="s">
        <v>553</v>
      </c>
      <c r="E403" s="120"/>
      <c r="F403">
        <v>554</v>
      </c>
      <c r="G403">
        <v>1</v>
      </c>
      <c r="H403">
        <v>2</v>
      </c>
      <c r="I403">
        <v>30</v>
      </c>
      <c r="J403" t="s">
        <v>554</v>
      </c>
      <c r="K403">
        <v>0</v>
      </c>
      <c r="L403" t="s">
        <v>139</v>
      </c>
      <c r="M403">
        <v>0</v>
      </c>
      <c r="O403">
        <v>0</v>
      </c>
      <c r="Q403">
        <v>0</v>
      </c>
      <c r="S403">
        <v>0</v>
      </c>
      <c r="T403">
        <v>2</v>
      </c>
      <c r="U403" s="118">
        <v>45211.456944444442</v>
      </c>
    </row>
    <row r="404" spans="1:21">
      <c r="A404">
        <v>554</v>
      </c>
      <c r="B404">
        <v>1</v>
      </c>
      <c r="C404" t="s">
        <v>553</v>
      </c>
      <c r="D404" t="s">
        <v>553</v>
      </c>
      <c r="E404" s="120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118">
        <v>44974.561111111107</v>
      </c>
    </row>
    <row r="405" spans="1:21">
      <c r="A405">
        <v>555</v>
      </c>
      <c r="B405">
        <v>1</v>
      </c>
      <c r="C405" t="s">
        <v>555</v>
      </c>
      <c r="D405" t="s">
        <v>555</v>
      </c>
      <c r="E405" s="120"/>
      <c r="F405">
        <v>556</v>
      </c>
      <c r="G405">
        <v>1</v>
      </c>
      <c r="H405">
        <v>2</v>
      </c>
      <c r="I405">
        <v>0</v>
      </c>
      <c r="J405" t="s">
        <v>72</v>
      </c>
      <c r="K405">
        <v>1</v>
      </c>
      <c r="L405" t="s">
        <v>361</v>
      </c>
      <c r="M405">
        <v>0</v>
      </c>
      <c r="N405" t="s">
        <v>362</v>
      </c>
      <c r="O405">
        <v>0</v>
      </c>
      <c r="P405" t="s">
        <v>363</v>
      </c>
      <c r="Q405">
        <v>0</v>
      </c>
      <c r="R405" t="s">
        <v>139</v>
      </c>
      <c r="S405">
        <v>0</v>
      </c>
      <c r="T405">
        <v>2</v>
      </c>
      <c r="U405" s="118">
        <v>45824.481944444437</v>
      </c>
    </row>
    <row r="406" spans="1:21">
      <c r="A406">
        <v>556</v>
      </c>
      <c r="B406">
        <v>1</v>
      </c>
      <c r="C406" t="s">
        <v>556</v>
      </c>
      <c r="D406" t="s">
        <v>556</v>
      </c>
      <c r="E406" s="120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118">
        <v>45824.481944444437</v>
      </c>
    </row>
    <row r="407" spans="1:21">
      <c r="A407">
        <v>557</v>
      </c>
      <c r="B407">
        <v>0</v>
      </c>
      <c r="C407" t="s">
        <v>557</v>
      </c>
      <c r="D407" t="s">
        <v>557</v>
      </c>
      <c r="E407" s="120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118">
        <v>45170.594444444447</v>
      </c>
    </row>
    <row r="408" spans="1:21">
      <c r="A408">
        <v>558</v>
      </c>
      <c r="B408">
        <v>1</v>
      </c>
      <c r="C408" t="s">
        <v>558</v>
      </c>
      <c r="D408" t="s">
        <v>558</v>
      </c>
      <c r="E408" s="120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118">
        <v>45226.445833333331</v>
      </c>
    </row>
    <row r="409" spans="1:21">
      <c r="A409">
        <v>559</v>
      </c>
      <c r="B409">
        <v>1</v>
      </c>
      <c r="C409" t="s">
        <v>559</v>
      </c>
      <c r="D409" t="s">
        <v>559</v>
      </c>
      <c r="E409" s="120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118">
        <v>45226.445833333331</v>
      </c>
    </row>
    <row r="410" spans="1:21">
      <c r="A410">
        <v>560</v>
      </c>
      <c r="B410">
        <v>1</v>
      </c>
      <c r="C410" t="s">
        <v>560</v>
      </c>
      <c r="D410" t="s">
        <v>560</v>
      </c>
      <c r="E410" s="120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118">
        <v>45226.446527777778</v>
      </c>
    </row>
    <row r="411" spans="1:21">
      <c r="A411">
        <v>561</v>
      </c>
      <c r="B411">
        <v>1</v>
      </c>
      <c r="C411" t="s">
        <v>561</v>
      </c>
      <c r="D411" t="s">
        <v>561</v>
      </c>
      <c r="E411" s="120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118">
        <v>45226.446527777778</v>
      </c>
    </row>
    <row r="412" spans="1:21">
      <c r="A412">
        <v>562</v>
      </c>
      <c r="B412">
        <v>1</v>
      </c>
      <c r="C412" t="s">
        <v>562</v>
      </c>
      <c r="D412" t="s">
        <v>562</v>
      </c>
      <c r="E412" s="120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118">
        <v>45216.566666666673</v>
      </c>
    </row>
    <row r="413" spans="1:21">
      <c r="A413">
        <v>563</v>
      </c>
      <c r="B413">
        <v>1</v>
      </c>
      <c r="C413" t="s">
        <v>563</v>
      </c>
      <c r="D413" t="s">
        <v>564</v>
      </c>
      <c r="E413" s="120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118">
        <v>45370.57708333333</v>
      </c>
    </row>
    <row r="414" spans="1:21">
      <c r="A414">
        <v>564</v>
      </c>
      <c r="B414">
        <v>1</v>
      </c>
      <c r="C414" t="s">
        <v>565</v>
      </c>
      <c r="D414" t="s">
        <v>564</v>
      </c>
      <c r="E414" s="120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118">
        <v>45370.578472222223</v>
      </c>
    </row>
    <row r="415" spans="1:21">
      <c r="A415">
        <v>570</v>
      </c>
      <c r="B415">
        <v>1</v>
      </c>
      <c r="C415" t="s">
        <v>566</v>
      </c>
      <c r="D415" t="s">
        <v>566</v>
      </c>
      <c r="E415" s="120"/>
      <c r="F415">
        <v>0</v>
      </c>
      <c r="G415">
        <v>3</v>
      </c>
      <c r="H415">
        <v>2</v>
      </c>
      <c r="I415">
        <v>0</v>
      </c>
      <c r="J415" t="s">
        <v>345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118">
        <v>45279.568055555559</v>
      </c>
    </row>
    <row r="416" spans="1:21">
      <c r="A416">
        <v>571</v>
      </c>
      <c r="B416">
        <v>1</v>
      </c>
      <c r="C416" t="s">
        <v>567</v>
      </c>
      <c r="D416" t="s">
        <v>568</v>
      </c>
      <c r="E416" s="120"/>
      <c r="F416">
        <v>0</v>
      </c>
      <c r="G416">
        <v>3</v>
      </c>
      <c r="H416">
        <v>2</v>
      </c>
      <c r="I416">
        <v>0</v>
      </c>
      <c r="J416" t="s">
        <v>569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118">
        <v>45279.568749999999</v>
      </c>
    </row>
    <row r="417" spans="1:21">
      <c r="A417">
        <v>572</v>
      </c>
      <c r="B417">
        <v>1</v>
      </c>
      <c r="C417" t="s">
        <v>570</v>
      </c>
      <c r="D417" t="s">
        <v>570</v>
      </c>
      <c r="E417" s="120"/>
      <c r="F417">
        <v>0</v>
      </c>
      <c r="G417">
        <v>3</v>
      </c>
      <c r="H417">
        <v>2</v>
      </c>
      <c r="I417">
        <v>0</v>
      </c>
      <c r="J417" t="s">
        <v>571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118">
        <v>45279.571527777778</v>
      </c>
    </row>
    <row r="418" spans="1:21">
      <c r="A418">
        <v>573</v>
      </c>
      <c r="B418">
        <v>1</v>
      </c>
      <c r="C418" t="s">
        <v>572</v>
      </c>
      <c r="D418" t="s">
        <v>572</v>
      </c>
      <c r="E418" s="120"/>
      <c r="F418">
        <v>0</v>
      </c>
      <c r="G418">
        <v>3</v>
      </c>
      <c r="H418">
        <v>2</v>
      </c>
      <c r="I418">
        <v>0</v>
      </c>
      <c r="J418" t="s">
        <v>573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118">
        <v>45306.5625</v>
      </c>
    </row>
    <row r="419" spans="1:21">
      <c r="A419">
        <v>574</v>
      </c>
      <c r="B419">
        <v>1</v>
      </c>
      <c r="C419" t="s">
        <v>574</v>
      </c>
      <c r="D419" t="s">
        <v>574</v>
      </c>
      <c r="E419" s="120"/>
      <c r="F419">
        <v>0</v>
      </c>
      <c r="G419">
        <v>3</v>
      </c>
      <c r="H419">
        <v>2</v>
      </c>
      <c r="I419">
        <v>0</v>
      </c>
      <c r="J419" t="s">
        <v>575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118">
        <v>45279.572916666657</v>
      </c>
    </row>
    <row r="420" spans="1:21">
      <c r="A420">
        <v>575</v>
      </c>
      <c r="B420">
        <v>1</v>
      </c>
      <c r="C420" t="s">
        <v>531</v>
      </c>
      <c r="D420" t="s">
        <v>576</v>
      </c>
      <c r="E420" s="120"/>
      <c r="F420">
        <v>576</v>
      </c>
      <c r="G420">
        <v>0</v>
      </c>
      <c r="H420">
        <v>2</v>
      </c>
      <c r="I420">
        <v>0</v>
      </c>
      <c r="J420" t="s">
        <v>72</v>
      </c>
      <c r="K420">
        <v>1</v>
      </c>
      <c r="L420" t="s">
        <v>138</v>
      </c>
      <c r="M420">
        <v>0</v>
      </c>
      <c r="N420" t="s">
        <v>89</v>
      </c>
      <c r="O420">
        <v>0</v>
      </c>
      <c r="P420" t="s">
        <v>374</v>
      </c>
      <c r="Q420">
        <v>0</v>
      </c>
      <c r="R420" t="s">
        <v>375</v>
      </c>
      <c r="S420">
        <v>0</v>
      </c>
      <c r="T420">
        <v>2</v>
      </c>
      <c r="U420" s="118">
        <v>45737.614583333343</v>
      </c>
    </row>
    <row r="421" spans="1:21">
      <c r="A421">
        <v>576</v>
      </c>
      <c r="B421">
        <v>1</v>
      </c>
      <c r="C421" t="s">
        <v>577</v>
      </c>
      <c r="D421" t="s">
        <v>577</v>
      </c>
      <c r="E421" s="120"/>
      <c r="F421">
        <v>0</v>
      </c>
      <c r="G421">
        <v>1</v>
      </c>
      <c r="H421">
        <v>2</v>
      </c>
      <c r="I421">
        <v>0</v>
      </c>
      <c r="J421" t="s">
        <v>72</v>
      </c>
      <c r="K421">
        <v>1</v>
      </c>
      <c r="L421" t="s">
        <v>578</v>
      </c>
      <c r="M421">
        <v>0</v>
      </c>
      <c r="N421" t="s">
        <v>138</v>
      </c>
      <c r="O421">
        <v>0</v>
      </c>
      <c r="Q421">
        <v>0</v>
      </c>
      <c r="S421">
        <v>0</v>
      </c>
      <c r="T421">
        <v>2</v>
      </c>
      <c r="U421" s="118">
        <v>45748.4</v>
      </c>
    </row>
    <row r="422" spans="1:21">
      <c r="A422">
        <v>600</v>
      </c>
      <c r="B422">
        <v>1</v>
      </c>
      <c r="C422" t="s">
        <v>579</v>
      </c>
      <c r="D422" t="s">
        <v>579</v>
      </c>
      <c r="E422" s="120"/>
      <c r="F422">
        <v>601</v>
      </c>
      <c r="G422">
        <v>1</v>
      </c>
      <c r="H422">
        <v>2</v>
      </c>
      <c r="I422">
        <v>0</v>
      </c>
      <c r="J422" t="s">
        <v>580</v>
      </c>
      <c r="K422">
        <v>0</v>
      </c>
      <c r="L422" t="s">
        <v>89</v>
      </c>
      <c r="M422">
        <v>0</v>
      </c>
      <c r="O422">
        <v>0</v>
      </c>
      <c r="Q422">
        <v>0</v>
      </c>
      <c r="S422">
        <v>0</v>
      </c>
      <c r="T422">
        <v>6</v>
      </c>
      <c r="U422" s="118">
        <v>43433.401388888888</v>
      </c>
    </row>
    <row r="423" spans="1:21">
      <c r="A423">
        <v>601</v>
      </c>
      <c r="B423">
        <v>1</v>
      </c>
      <c r="C423" t="s">
        <v>581</v>
      </c>
      <c r="D423" t="s">
        <v>581</v>
      </c>
      <c r="E423" s="120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118">
        <v>43433.401388888888</v>
      </c>
    </row>
    <row r="424" spans="1:21">
      <c r="A424">
        <v>602</v>
      </c>
      <c r="B424">
        <v>0</v>
      </c>
      <c r="C424" t="s">
        <v>582</v>
      </c>
      <c r="D424" t="s">
        <v>582</v>
      </c>
      <c r="E424" s="120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118">
        <v>42674.584027777782</v>
      </c>
    </row>
    <row r="425" spans="1:21">
      <c r="A425">
        <v>603</v>
      </c>
      <c r="B425">
        <v>1</v>
      </c>
      <c r="C425" t="s">
        <v>452</v>
      </c>
      <c r="D425" t="s">
        <v>452</v>
      </c>
      <c r="E425" s="120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118">
        <v>42682.54791666667</v>
      </c>
    </row>
    <row r="426" spans="1:21">
      <c r="A426">
        <v>604</v>
      </c>
      <c r="B426">
        <v>1</v>
      </c>
      <c r="C426" t="s">
        <v>583</v>
      </c>
      <c r="D426" t="s">
        <v>583</v>
      </c>
      <c r="E426" s="120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118">
        <v>42711.476388888892</v>
      </c>
    </row>
    <row r="427" spans="1:21">
      <c r="A427">
        <v>605</v>
      </c>
      <c r="B427">
        <v>1</v>
      </c>
      <c r="C427" t="s">
        <v>584</v>
      </c>
      <c r="D427" t="s">
        <v>584</v>
      </c>
      <c r="E427" s="120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118">
        <v>43529.595138888893</v>
      </c>
    </row>
    <row r="428" spans="1:21">
      <c r="A428">
        <v>606</v>
      </c>
      <c r="B428">
        <v>1</v>
      </c>
      <c r="C428" t="s">
        <v>584</v>
      </c>
      <c r="D428" t="s">
        <v>584</v>
      </c>
      <c r="E428" s="120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118">
        <v>43529.595138888893</v>
      </c>
    </row>
    <row r="429" spans="1:21">
      <c r="A429">
        <v>607</v>
      </c>
      <c r="B429">
        <v>1</v>
      </c>
      <c r="C429" t="s">
        <v>585</v>
      </c>
      <c r="D429" t="s">
        <v>585</v>
      </c>
      <c r="E429" s="120"/>
      <c r="F429">
        <v>608</v>
      </c>
      <c r="G429">
        <v>0</v>
      </c>
      <c r="H429">
        <v>1</v>
      </c>
      <c r="I429">
        <v>0</v>
      </c>
      <c r="J429" t="s">
        <v>72</v>
      </c>
      <c r="K429">
        <v>1</v>
      </c>
      <c r="L429" t="s">
        <v>138</v>
      </c>
      <c r="M429">
        <v>0</v>
      </c>
      <c r="N429" t="s">
        <v>89</v>
      </c>
      <c r="O429">
        <v>0</v>
      </c>
      <c r="P429" t="s">
        <v>374</v>
      </c>
      <c r="Q429">
        <v>0</v>
      </c>
      <c r="R429" t="s">
        <v>375</v>
      </c>
      <c r="S429">
        <v>0</v>
      </c>
      <c r="T429">
        <v>7</v>
      </c>
      <c r="U429" s="118">
        <v>45097.661805555559</v>
      </c>
    </row>
    <row r="430" spans="1:21">
      <c r="A430">
        <v>608</v>
      </c>
      <c r="B430">
        <v>1</v>
      </c>
      <c r="C430" t="s">
        <v>585</v>
      </c>
      <c r="D430" t="s">
        <v>585</v>
      </c>
      <c r="E430" s="120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118">
        <v>45097.658333333333</v>
      </c>
    </row>
    <row r="431" spans="1:21">
      <c r="A431">
        <v>609</v>
      </c>
      <c r="B431">
        <v>1</v>
      </c>
      <c r="C431" t="s">
        <v>586</v>
      </c>
      <c r="D431" t="s">
        <v>586</v>
      </c>
      <c r="E431" s="120"/>
      <c r="F431">
        <v>610</v>
      </c>
      <c r="G431">
        <v>0</v>
      </c>
      <c r="H431">
        <v>1</v>
      </c>
      <c r="I431">
        <v>0</v>
      </c>
      <c r="J431" t="s">
        <v>72</v>
      </c>
      <c r="K431">
        <v>1</v>
      </c>
      <c r="L431" t="s">
        <v>138</v>
      </c>
      <c r="M431">
        <v>0</v>
      </c>
      <c r="N431" t="s">
        <v>89</v>
      </c>
      <c r="O431">
        <v>0</v>
      </c>
      <c r="P431" t="s">
        <v>374</v>
      </c>
      <c r="Q431">
        <v>0</v>
      </c>
      <c r="R431" t="s">
        <v>375</v>
      </c>
      <c r="S431">
        <v>0</v>
      </c>
      <c r="T431">
        <v>7</v>
      </c>
      <c r="U431" s="118">
        <v>45097.662499999999</v>
      </c>
    </row>
    <row r="432" spans="1:21">
      <c r="A432">
        <v>610</v>
      </c>
      <c r="B432">
        <v>1</v>
      </c>
      <c r="C432" t="s">
        <v>586</v>
      </c>
      <c r="D432" t="s">
        <v>586</v>
      </c>
      <c r="E432" s="120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118">
        <v>45097.662499999999</v>
      </c>
    </row>
    <row r="433" spans="1:21">
      <c r="A433">
        <v>611</v>
      </c>
      <c r="B433">
        <v>1</v>
      </c>
      <c r="C433" t="s">
        <v>587</v>
      </c>
      <c r="D433" t="s">
        <v>587</v>
      </c>
      <c r="E433" s="120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118">
        <v>45098.629861111112</v>
      </c>
    </row>
    <row r="434" spans="1:21">
      <c r="A434">
        <v>612</v>
      </c>
      <c r="B434">
        <v>1</v>
      </c>
      <c r="C434" t="s">
        <v>587</v>
      </c>
      <c r="D434" t="s">
        <v>587</v>
      </c>
      <c r="E434" s="120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118">
        <v>45098.629861111112</v>
      </c>
    </row>
    <row r="435" spans="1:21">
      <c r="A435">
        <v>613</v>
      </c>
      <c r="B435">
        <v>1</v>
      </c>
      <c r="C435" t="s">
        <v>364</v>
      </c>
      <c r="D435" t="s">
        <v>364</v>
      </c>
      <c r="E435" s="120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118">
        <v>45581.526388888888</v>
      </c>
    </row>
    <row r="436" spans="1:21">
      <c r="A436">
        <v>614</v>
      </c>
      <c r="B436">
        <v>1</v>
      </c>
      <c r="C436" t="s">
        <v>588</v>
      </c>
      <c r="D436" t="s">
        <v>588</v>
      </c>
      <c r="E436" s="120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118">
        <v>45581.526388888888</v>
      </c>
    </row>
    <row r="437" spans="1:21">
      <c r="A437">
        <v>615</v>
      </c>
      <c r="B437">
        <v>0</v>
      </c>
      <c r="C437" t="s">
        <v>589</v>
      </c>
      <c r="D437" t="s">
        <v>589</v>
      </c>
      <c r="E437" s="120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118">
        <v>45601.616666666669</v>
      </c>
    </row>
    <row r="438" spans="1:21">
      <c r="E438" s="12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注文弁当の抽出</vt:lpstr>
      <vt:lpstr>クライアント抽出</vt:lpstr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変更先抽出【15時】</vt:lpstr>
      <vt:lpstr>札_まとめ（印刷用）【15時】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2025-08-24T00:43:41Z</cp:lastPrinted>
  <dcterms:created xsi:type="dcterms:W3CDTF">2025-03-09T00:44:18Z</dcterms:created>
  <dcterms:modified xsi:type="dcterms:W3CDTF">2025-08-24T00:44:54Z</dcterms:modified>
</cp:coreProperties>
</file>